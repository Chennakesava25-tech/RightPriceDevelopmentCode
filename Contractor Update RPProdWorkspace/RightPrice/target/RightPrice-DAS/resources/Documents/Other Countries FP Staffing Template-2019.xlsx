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28.32.30\ppsoft\Costing Team\checklist-FP and T&amp;M\2016 Checklists V8 -08052016\"/>
    </mc:Choice>
  </mc:AlternateContent>
  <bookViews>
    <workbookView xWindow="0" yWindow="0" windowWidth="20490" windowHeight="8985" tabRatio="935" activeTab="2"/>
  </bookViews>
  <sheets>
    <sheet name="CheckList" sheetId="11" r:id="rId1"/>
    <sheet name="Role Selection" sheetId="46" r:id="rId2"/>
    <sheet name="Staffing-Roles" sheetId="47" r:id="rId3"/>
    <sheet name="Staffing" sheetId="40" state="veryHidden" r:id="rId4"/>
    <sheet name="Campus Hires %" sheetId="44" r:id="rId5"/>
    <sheet name="T&amp;M TCV calculation" sheetId="45" r:id="rId6"/>
    <sheet name="Hardware Software Cost" sheetId="4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'Role Selection'!$A$504:$T$884</definedName>
    <definedName name="a">#REF!</definedName>
    <definedName name="ABAP" localSheetId="1">#REF!</definedName>
    <definedName name="ABAP" localSheetId="2">#REF!</definedName>
    <definedName name="ABAP">#REF!</definedName>
    <definedName name="Administrator" localSheetId="1">'Role Selection'!$O$12:$O$38</definedName>
    <definedName name="Administrator" localSheetId="2">#REF!</definedName>
    <definedName name="Administrator">#REF!</definedName>
    <definedName name="AdministratorBIDW" localSheetId="1">'Role Selection'!$DZ$12:$DZ$38</definedName>
    <definedName name="AdministratorBIDW" localSheetId="2">#REF!</definedName>
    <definedName name="AdministratorBIDW">#REF!</definedName>
    <definedName name="AdministratorMiddleware" localSheetId="1">'Role Selection'!$AO$12:$AO$38</definedName>
    <definedName name="AdministratorMiddleware" localSheetId="2">#REF!</definedName>
    <definedName name="AdministratorMiddleware">#REF!</definedName>
    <definedName name="AdministratorNetwork" localSheetId="1">'Role Selection'!$AQ$12:$AQ$38</definedName>
    <definedName name="AdministratorNetwork" localSheetId="2">#REF!</definedName>
    <definedName name="AdministratorNetwork">#REF!</definedName>
    <definedName name="AdministratorSecurity" localSheetId="1">'Role Selection'!$AS$12:$AS$38</definedName>
    <definedName name="AdministratorSecurity" localSheetId="2">#REF!</definedName>
    <definedName name="AdministratorSecurity">#REF!</definedName>
    <definedName name="AdministratorSharepoint" localSheetId="1">'Role Selection'!$V$12:$V$38</definedName>
    <definedName name="AdministratorSharepoint" localSheetId="2">#REF!</definedName>
    <definedName name="AdministratorSharepoint">#REF!</definedName>
    <definedName name="AdministratorStorage" localSheetId="1">'Role Selection'!$AU$12:$AU$38</definedName>
    <definedName name="AdministratorStorage" localSheetId="2">#REF!</definedName>
    <definedName name="AdministratorStorage">#REF!</definedName>
    <definedName name="AdministratorSystems" localSheetId="1">'Role Selection'!$BA$12:$BA$38</definedName>
    <definedName name="AdministratorSystems" localSheetId="2">#REF!</definedName>
    <definedName name="AdministratorSystems">#REF!</definedName>
    <definedName name="AdministratorSystemsMSSQLOracle" localSheetId="1">'Role Selection'!$AY$12:$AY$38</definedName>
    <definedName name="AdministratorSystemsMSSQLOracle" localSheetId="2">#REF!</definedName>
    <definedName name="AdministratorSystemsMSSQLOracle">#REF!</definedName>
    <definedName name="AdministratorSystemsSolaris" localSheetId="1">'Role Selection'!$AW$12:$AW$38</definedName>
    <definedName name="AdministratorSystemsSolaris" localSheetId="2">#REF!</definedName>
    <definedName name="AdministratorSystemsSolaris">#REF!</definedName>
    <definedName name="AdministratorSystemsSybase" localSheetId="1">'Role Selection'!$AZ$12:$AZ$38</definedName>
    <definedName name="AdministratorSystemsSybase" localSheetId="2">#REF!</definedName>
    <definedName name="AdministratorSystemsSybase">#REF!</definedName>
    <definedName name="AdministratorSystemsVMWareSCCMCitrix" localSheetId="1">'Role Selection'!$AX$12:$AX$38</definedName>
    <definedName name="AdministratorSystemsVMWareSCCMCitrix" localSheetId="2">#REF!</definedName>
    <definedName name="AdministratorSystemsVMWareSCCMCitrix">#REF!</definedName>
    <definedName name="ADS" localSheetId="1">'Role Selection'!$BR$12:$BR$17</definedName>
    <definedName name="ADS" localSheetId="2">#REF!</definedName>
    <definedName name="ADS">#REF!</definedName>
    <definedName name="Amdocs" localSheetId="1">'Role Selection'!$CU$12:$CU$38</definedName>
    <definedName name="Amdocs" localSheetId="2">#REF!</definedName>
    <definedName name="Amdocs">#REF!</definedName>
    <definedName name="AnalystBusinessRules" localSheetId="1">'Role Selection'!$EO$12:$EO$38</definedName>
    <definedName name="AnalystBusinessRules" localSheetId="2">#REF!</definedName>
    <definedName name="AnalystBusinessRules">#REF!</definedName>
    <definedName name="ApplicationArchitect" localSheetId="1">'Role Selection'!$DV$30:$DV$33</definedName>
    <definedName name="ApplicationArchitect" localSheetId="2">#REF!</definedName>
    <definedName name="ApplicationArchitect">#REF!</definedName>
    <definedName name="Architect" localSheetId="1">'Role Selection'!$P$12:$P$36</definedName>
    <definedName name="Architect" localSheetId="2">#REF!</definedName>
    <definedName name="Architect">#REF!</definedName>
    <definedName name="ArchitectAIMS" localSheetId="1">'Role Selection'!$AD$12:$AD$36</definedName>
    <definedName name="ArchitectAIMS" localSheetId="2">#REF!</definedName>
    <definedName name="ArchitectAIMS">#REF!</definedName>
    <definedName name="ArchitectASG" localSheetId="1">'Role Selection'!$DX$12:$DX$38</definedName>
    <definedName name="ArchitectASG" localSheetId="2">#REF!</definedName>
    <definedName name="ArchitectASG">#REF!</definedName>
    <definedName name="ArchitectBIDW" localSheetId="1">'Role Selection'!$EA$12:$EA$38</definedName>
    <definedName name="ArchitectBIDW" localSheetId="2">#REF!</definedName>
    <definedName name="ArchitectBIDW">#REF!</definedName>
    <definedName name="ArchitectBusinessRules" localSheetId="1">'Role Selection'!$ER$12:$ER$38</definedName>
    <definedName name="ArchitectBusinessRules" localSheetId="2">#REF!</definedName>
    <definedName name="ArchitectBusinessRules">#REF!</definedName>
    <definedName name="ArchitectDuckCreek" localSheetId="1">'Role Selection'!$BW$12:$BW$38</definedName>
    <definedName name="ArchitectDuckCreek" localSheetId="2">#REF!</definedName>
    <definedName name="ArchitectDuckCreek">#REF!</definedName>
    <definedName name="ArchitectEAI" localSheetId="1">'Role Selection'!$EQ$12:$EQ$38</definedName>
    <definedName name="ArchitectEAI" localSheetId="2">#REF!</definedName>
    <definedName name="ArchitectEAI">#REF!</definedName>
    <definedName name="ArchitectIMS" localSheetId="1">'Role Selection'!$AC$12:$AC$36</definedName>
    <definedName name="ArchitectIMS" localSheetId="2">#REF!</definedName>
    <definedName name="ArchitectIMS">#REF!</definedName>
    <definedName name="ArchitectJavaNet" localSheetId="1">'Role Selection'!$CE$12:$CE$38</definedName>
    <definedName name="ArchitectJavaNet" localSheetId="2">#REF!</definedName>
    <definedName name="ArchitectJavaNet">#REF!</definedName>
    <definedName name="ArchitectMobility" localSheetId="1">'Role Selection'!$DJ$12:$DJ$18</definedName>
    <definedName name="ArchitectMobility" localSheetId="2">#REF!</definedName>
    <definedName name="ArchitectMobility">#REF!</definedName>
    <definedName name="ArchitectProcess" localSheetId="1">'Role Selection'!$ES$12:$ES$38</definedName>
    <definedName name="ArchitectProcess" localSheetId="2">#REF!</definedName>
    <definedName name="ArchitectProcess">#REF!</definedName>
    <definedName name="ArchitectSharepoint" localSheetId="1">'Role Selection'!$W$12:$W$38</definedName>
    <definedName name="ArchitectSharepoint" localSheetId="2">#REF!</definedName>
    <definedName name="ArchitectSharepoint">#REF!</definedName>
    <definedName name="ArchitectTIBCO" localSheetId="1">'Role Selection'!$EP$12:$EP$38</definedName>
    <definedName name="ArchitectTIBCO" localSheetId="2">#REF!</definedName>
    <definedName name="ArchitectTIBCO">#REF!</definedName>
    <definedName name="ASG" localSheetId="1">'Role Selection'!$DW$12:$DW$23</definedName>
    <definedName name="ASG" localSheetId="2">#REF!</definedName>
    <definedName name="ASG">#REF!</definedName>
    <definedName name="Automation" localSheetId="1">'Role Selection'!$FT$12:$FT$38</definedName>
    <definedName name="Automation" localSheetId="2">#REF!</definedName>
    <definedName name="Automation">#REF!</definedName>
    <definedName name="AutomationTester" localSheetId="1">'Role Selection'!$FZ$12:$FZ$38</definedName>
    <definedName name="AutomationTester" localSheetId="2">#REF!</definedName>
    <definedName name="AutomationTester">#REF!</definedName>
    <definedName name="AutomationTestLead" localSheetId="1">'Role Selection'!$GA$12:$GA$38</definedName>
    <definedName name="AutomationTestLead" localSheetId="2">#REF!</definedName>
    <definedName name="AutomationTestLead">#REF!</definedName>
    <definedName name="AutomationTestManager" localSheetId="1">'Role Selection'!$GB$12:$GB$38</definedName>
    <definedName name="AutomationTestManager" localSheetId="2">#REF!</definedName>
    <definedName name="AutomationTestManager">#REF!</definedName>
    <definedName name="Basis" localSheetId="1">#REF!</definedName>
    <definedName name="Basis" localSheetId="2">#REF!</definedName>
    <definedName name="Basis">#REF!</definedName>
    <definedName name="BIDW" localSheetId="1">'Role Selection'!$DY$12:$DY$38</definedName>
    <definedName name="BIDW" localSheetId="2">#REF!</definedName>
    <definedName name="BIDW">#REF!</definedName>
    <definedName name="BuildandReleaseManagement" localSheetId="1">'Role Selection'!$AE$12:$AE$36</definedName>
    <definedName name="BuildandReleaseManagement" localSheetId="2">#REF!</definedName>
    <definedName name="BuildandReleaseManagement">#REF!</definedName>
    <definedName name="BuildManager" localSheetId="1">'Role Selection'!$AF$12:$AF$38</definedName>
    <definedName name="BuildManager" localSheetId="2">#REF!</definedName>
    <definedName name="BuildManager">#REF!</definedName>
    <definedName name="BusinessAnalyst" localSheetId="1">'Role Selection'!$BU$12:$BU$38</definedName>
    <definedName name="BusinessAnalyst" localSheetId="2">#REF!</definedName>
    <definedName name="BusinessAnalyst">#REF!</definedName>
    <definedName name="BusinessSystemsAnalyst" localSheetId="1">'Role Selection'!$BS$12:$BS$38</definedName>
    <definedName name="BusinessSystemsAnalyst" localSheetId="2">#REF!</definedName>
    <definedName name="BusinessSystemsAnalyst">#REF!</definedName>
    <definedName name="ce">[1]Allowances!$B$4:$B$253</definedName>
    <definedName name="City" localSheetId="0">#REF!</definedName>
    <definedName name="City" localSheetId="1">#REF!</definedName>
    <definedName name="City" localSheetId="3">#REF!</definedName>
    <definedName name="City" localSheetId="2">#REF!</definedName>
    <definedName name="City">#REF!</definedName>
    <definedName name="Cloud" localSheetId="1">'Role Selection'!$L$12:$L$38</definedName>
    <definedName name="Cloud" localSheetId="2">#REF!</definedName>
    <definedName name="Cloud">#REF!</definedName>
    <definedName name="Collaboration" localSheetId="1">'Role Selection'!$AB$38:$AB$46</definedName>
    <definedName name="Collaboration">#REF!</definedName>
    <definedName name="Collaboration_Developer" localSheetId="1">'Role Selection'!$AE$38:$AE$46</definedName>
    <definedName name="Collaboration_Developer">#REF!</definedName>
    <definedName name="Collaboration_TechnicalArchitect" localSheetId="1">'Role Selection'!$AC$38:$AC$46</definedName>
    <definedName name="Collaboration_TechnicalArchitect">#REF!</definedName>
    <definedName name="Collaboration_TechnicalLead" localSheetId="1">'Role Selection'!$AD$38:$AD$46</definedName>
    <definedName name="Collaboration_TechnicalLead">#REF!</definedName>
    <definedName name="Configurator" localSheetId="1">'Role Selection'!$BJ$12:$BJ$38</definedName>
    <definedName name="Configurator" localSheetId="2">#REF!</definedName>
    <definedName name="Configurator">#REF!</definedName>
    <definedName name="ConfiguratorMercatorMQ" localSheetId="1">'Role Selection'!$ET$12:$ET$38</definedName>
    <definedName name="ConfiguratorMercatorMQ" localSheetId="2">#REF!</definedName>
    <definedName name="ConfiguratorMercatorMQ">#REF!</definedName>
    <definedName name="Configurators" localSheetId="1">#REF!</definedName>
    <definedName name="Configurators">#REF!</definedName>
    <definedName name="ConsultantCloud" localSheetId="1">'Role Selection'!$S$12:$S$38</definedName>
    <definedName name="ConsultantCloud" localSheetId="2">#REF!</definedName>
    <definedName name="ConsultantCloud">#REF!</definedName>
    <definedName name="ConsultantDomain" localSheetId="1">'Role Selection'!$DG$12:$DG$38</definedName>
    <definedName name="ConsultantDomain" localSheetId="2">#REF!</definedName>
    <definedName name="ConsultantDomain">#REF!</definedName>
    <definedName name="ConsultantInfoSec" localSheetId="1">'Role Selection'!$AH$12:$AH$38</definedName>
    <definedName name="ConsultantInfoSec" localSheetId="2">#REF!</definedName>
    <definedName name="ConsultantInfoSec">#REF!</definedName>
    <definedName name="ConsultantITIL" localSheetId="1">'Role Selection'!$CC$12:$CC$17</definedName>
    <definedName name="ConsultantITIL" localSheetId="2">#REF!</definedName>
    <definedName name="ConsultantITIL">#REF!</definedName>
    <definedName name="ConsultantITSM" localSheetId="1">'Role Selection'!$AJ$12:$AJ$38</definedName>
    <definedName name="ConsultantITSM" localSheetId="2">#REF!</definedName>
    <definedName name="ConsultantITSM">#REF!</definedName>
    <definedName name="ConsultantPeoplesoft" localSheetId="1">'Role Selection'!$FO$12:$FO$38</definedName>
    <definedName name="ConsultantPeoplesoft" localSheetId="2">#REF!</definedName>
    <definedName name="ConsultantPeoplesoft">#REF!</definedName>
    <definedName name="ConsultantTIBCO" localSheetId="1">'Role Selection'!$EU$12:$EU$38</definedName>
    <definedName name="ConsultantTIBCO" localSheetId="2">#REF!</definedName>
    <definedName name="ConsultantTIBCO">#REF!</definedName>
    <definedName name="Consulting" localSheetId="1">'Role Selection'!$M$12:$M$38</definedName>
    <definedName name="Consulting" localSheetId="2">#REF!</definedName>
    <definedName name="Consulting">#REF!</definedName>
    <definedName name="Customer_Communication_Management" localSheetId="1">'Role Selection'!$T$38:$T$46</definedName>
    <definedName name="Customer_Communication_Management">#REF!</definedName>
    <definedName name="Customer_Communication_Management_Developer" localSheetId="1">'Role Selection'!$W$38:$W$46</definedName>
    <definedName name="Customer_Communication_Management_Developer">#REF!</definedName>
    <definedName name="Customer_Communication_Management_TechnicalArchitect" localSheetId="1">'Role Selection'!$U$38:$U$46</definedName>
    <definedName name="Customer_Communication_Management_TechnicalArchitect">#REF!</definedName>
    <definedName name="Customer_Communication_Management_TechnicalLead" localSheetId="1">'Role Selection'!$V$38:$V$46</definedName>
    <definedName name="Customer_Communication_Management_TechnicalLead">#REF!</definedName>
    <definedName name="DatabaseAdministratorGeneric" localSheetId="1">#REF!</definedName>
    <definedName name="DatabaseAdministratorGeneric" localSheetId="2">#REF!</definedName>
    <definedName name="DatabaseAdministratorGeneric">#REF!</definedName>
    <definedName name="DatabaseAdministratorIMSGeneric" localSheetId="1">'Role Selection'!$BZ$12:$BZ$38</definedName>
    <definedName name="DatabaseAdministratorOracle" localSheetId="1">'Role Selection'!$FF$12:$FF$38</definedName>
    <definedName name="DatabaseAdministratorOracle" localSheetId="2">#REF!</definedName>
    <definedName name="DatabaseAdministratorOracle">#REF!</definedName>
    <definedName name="DatabaseAdministratorPeoplesoft" localSheetId="1">'Role Selection'!$FK$28:$FK$32</definedName>
    <definedName name="DatabaseAdministratorPeoplesoft" localSheetId="2">#REF!</definedName>
    <definedName name="DatabaseAdministratorPeoplesoft">#REF!</definedName>
    <definedName name="DatabaseAdministratorSystemsMSSQLOracle" localSheetId="1">'Role Selection'!$AX$12:$AX$38</definedName>
    <definedName name="DatabaseAdministratorSystemsMSSQLOracle" localSheetId="2">#REF!</definedName>
    <definedName name="DatabaseAdministratorSystemsMSSQLOracle">#REF!</definedName>
    <definedName name="DatabaseAdministratorSystemsSybase" localSheetId="1">'Role Selection'!$AY$12:$AY$38</definedName>
    <definedName name="DatabaseAdministratorSystemsSybase" localSheetId="2">#REF!</definedName>
    <definedName name="DatabaseAdministratorSystemsSybase">#REF!</definedName>
    <definedName name="DataCenterOperations" localSheetId="1">'Role Selection'!$BD$12:$BD$38</definedName>
    <definedName name="DataCenterOperations" localSheetId="2">#REF!</definedName>
    <definedName name="DataCenterOperations">#REF!</definedName>
    <definedName name="DataCentre" localSheetId="1">'Role Selection'!$BC$12:$BC$38</definedName>
    <definedName name="DataCentre" localSheetId="2">#REF!</definedName>
    <definedName name="DataCentre">#REF!</definedName>
    <definedName name="Desktop" localSheetId="1">'Role Selection'!$BE$12:$BE$38</definedName>
    <definedName name="Desktop" localSheetId="2">#REF!</definedName>
    <definedName name="Desktop">#REF!</definedName>
    <definedName name="DesktopEngineer" localSheetId="1">'Role Selection'!$BF$12:$BF$38</definedName>
    <definedName name="DesktopEngineer" localSheetId="2">#REF!</definedName>
    <definedName name="DesktopEngineer">#REF!</definedName>
    <definedName name="DesktopEngineerNOC" localSheetId="1">'Role Selection'!$BL$12:$BL$38</definedName>
    <definedName name="DesktopEngineerNOC">#REF!</definedName>
    <definedName name="DesktopEngineerNOCDesktop" localSheetId="1">#REF!</definedName>
    <definedName name="DesktopEngineerNOCDesktop" localSheetId="2">#REF!</definedName>
    <definedName name="DesktopEngineerNOCDesktop">#REF!</definedName>
    <definedName name="Developer" localSheetId="1">'Role Selection'!$Q$12:$Q$38</definedName>
    <definedName name="Developer" localSheetId="2">#REF!</definedName>
    <definedName name="Developer">#REF!</definedName>
    <definedName name="DeveloperAmdocs" localSheetId="1">'Role Selection'!$CV$12:$CV$38</definedName>
    <definedName name="DeveloperAmdocs" localSheetId="2">#REF!</definedName>
    <definedName name="DeveloperAmdocs">#REF!</definedName>
    <definedName name="DeveloperBIDW" localSheetId="1">'Role Selection'!$EC$12:$EC$38</definedName>
    <definedName name="DeveloperBIDW" localSheetId="2">#REF!</definedName>
    <definedName name="DeveloperBIDW">#REF!</definedName>
    <definedName name="DeveloperBIDWCognos" localSheetId="1">'Role Selection'!$EB$12:$EB$38</definedName>
    <definedName name="DeveloperBIDWCognos" localSheetId="2">#REF!</definedName>
    <definedName name="DeveloperBIDWCognos">#REF!</definedName>
    <definedName name="DeveloperBIDWETL" localSheetId="1">'Role Selection'!$ED$12:$ED$38</definedName>
    <definedName name="DeveloperBIDWETL" localSheetId="2">#REF!</definedName>
    <definedName name="DeveloperBIDWETL">#REF!</definedName>
    <definedName name="DeveloperBIDWInformatica" localSheetId="1">'Role Selection'!$EE$12:$EE$38</definedName>
    <definedName name="DeveloperBIDWInformatica" localSheetId="2">#REF!</definedName>
    <definedName name="DeveloperBIDWInformatica">#REF!</definedName>
    <definedName name="DeveloperBIDWReporting" localSheetId="1">'Role Selection'!$EF$12:$EF$38</definedName>
    <definedName name="DeveloperBIDWReporting" localSheetId="2">#REF!</definedName>
    <definedName name="DeveloperBIDWReporting">#REF!</definedName>
    <definedName name="DeveloperBusinessRules" localSheetId="1">'Role Selection'!$FB$12:$FB$38</definedName>
    <definedName name="DeveloperBusinessRules" localSheetId="2">#REF!</definedName>
    <definedName name="DeveloperBusinessRules">#REF!</definedName>
    <definedName name="DeveloperEAI" localSheetId="1">'Role Selection'!$EV$12:$EV$38</definedName>
    <definedName name="DeveloperEAI" localSheetId="2">#REF!</definedName>
    <definedName name="DeveloperEAI">#REF!</definedName>
    <definedName name="DeveloperEDI" localSheetId="1">'Role Selection'!$HE$13:$HE$15</definedName>
    <definedName name="DeveloperEDI" localSheetId="2">#REF!</definedName>
    <definedName name="DeveloperEDI">#REF!</definedName>
    <definedName name="DeveloperGoldenSource" localSheetId="1">'Role Selection'!$CA$12:$CA$38</definedName>
    <definedName name="DeveloperGoldenSource" localSheetId="2">#REF!</definedName>
    <definedName name="DeveloperGoldenSource">#REF!</definedName>
    <definedName name="DeveloperIBMWebSphereMessageBroker" localSheetId="1">'Role Selection'!$EX$12:$EX$38</definedName>
    <definedName name="DeveloperIBMWebSphereMessageBroker" localSheetId="2">#REF!</definedName>
    <definedName name="DeveloperIBMWebSphereMessageBroker">#REF!</definedName>
    <definedName name="DeveloperIBMWebSphereProcessServer" localSheetId="1">'Role Selection'!$EW$12:$EW$38</definedName>
    <definedName name="DeveloperIBMWebSphereProcessServer" localSheetId="2">#REF!</definedName>
    <definedName name="DeveloperIBMWebSphereProcessServer">#REF!</definedName>
    <definedName name="DeveloperJavaNetColdFusion" localSheetId="1">'Role Selection'!$CG$12:$CG$38</definedName>
    <definedName name="DeveloperJavaNetColdFusion" localSheetId="2">#REF!</definedName>
    <definedName name="DeveloperJavaNetColdFusion">#REF!</definedName>
    <definedName name="DeveloperLatentZero" localSheetId="1">'Role Selection'!$DE$12:$DE$38</definedName>
    <definedName name="DeveloperLatentZero" localSheetId="2">#REF!</definedName>
    <definedName name="DeveloperLatentZero">#REF!</definedName>
    <definedName name="DeveloperLotusNotes" localSheetId="1">'Role Selection'!$CI$12:$CI$38</definedName>
    <definedName name="DeveloperLotusNotes" localSheetId="2">#REF!</definedName>
    <definedName name="DeveloperLotusNotes">#REF!</definedName>
    <definedName name="DeveloperMainframe" localSheetId="1">'Role Selection'!$CK$12:$CK$38</definedName>
    <definedName name="DeveloperMainframe" localSheetId="2">#REF!</definedName>
    <definedName name="DeveloperMainframe">#REF!</definedName>
    <definedName name="DeveloperMobility" localSheetId="1">'Role Selection'!$DK$12:$DK$18</definedName>
    <definedName name="DeveloperMobility" localSheetId="2">#REF!</definedName>
    <definedName name="DeveloperMobility">#REF!</definedName>
    <definedName name="DeveloperOracle" localSheetId="1">'Role Selection'!$FG$12:$FG$38</definedName>
    <definedName name="DeveloperOracle" localSheetId="2">#REF!</definedName>
    <definedName name="DeveloperOracle">#REF!</definedName>
    <definedName name="DeveloperRemedy" localSheetId="1">'Role Selection'!$DA$12:$DA$38</definedName>
    <definedName name="DeveloperRemedy" localSheetId="2">#REF!</definedName>
    <definedName name="DeveloperRemedy">#REF!</definedName>
    <definedName name="DeveloperSharepoint" localSheetId="1">'Role Selection'!$X$12:$X$36</definedName>
    <definedName name="DeveloperSharepoint" localSheetId="2">#REF!</definedName>
    <definedName name="DeveloperSharepoint">#REF!</definedName>
    <definedName name="DeveloperSQL" localSheetId="1">'Role Selection'!$DC$12:$DC$38</definedName>
    <definedName name="DeveloperSQL" localSheetId="2">#REF!</definedName>
    <definedName name="DeveloperSQL">#REF!</definedName>
    <definedName name="DeveloperTibco" localSheetId="1">'Role Selection'!$EY$12:$EY$38</definedName>
    <definedName name="DeveloperTibco" localSheetId="2">#REF!</definedName>
    <definedName name="DeveloperTibco">#REF!</definedName>
    <definedName name="DeveloperTumbleWeed" localSheetId="1">'Role Selection'!$CR$12:$CR$38</definedName>
    <definedName name="DeveloperTumbleWeed" localSheetId="2">#REF!</definedName>
    <definedName name="DeveloperTumbleWeed">#REF!</definedName>
    <definedName name="DeveloperVaricent" localSheetId="1">'Role Selection'!$FR$12:$FR$38</definedName>
    <definedName name="DeveloperVaricent" localSheetId="2">#REF!</definedName>
    <definedName name="DeveloperVaricent">#REF!</definedName>
    <definedName name="DeveloperVermillion" localSheetId="1">'Role Selection'!$CT$12:$CT$38</definedName>
    <definedName name="DeveloperVermillion" localSheetId="2">#REF!</definedName>
    <definedName name="DeveloperVermillion">#REF!</definedName>
    <definedName name="DeveloperWebApplicationIntegrationMiddlewareInfrastructure" localSheetId="1">'Role Selection'!$EZ$12:$EZ$38</definedName>
    <definedName name="DeveloperWebApplicationIntegrationMiddlewareInfrastructure" localSheetId="2">#REF!</definedName>
    <definedName name="DeveloperWebApplicationIntegrationMiddlewareInfrastructure">#REF!</definedName>
    <definedName name="DeveloperWebMethods" localSheetId="1">'Role Selection'!$FA$12:$FA$38</definedName>
    <definedName name="DeveloperWebMethods" localSheetId="2">#REF!</definedName>
    <definedName name="DeveloperWebMethods">#REF!</definedName>
    <definedName name="Document_Management" localSheetId="1">'Role Selection'!$P$38:$P$46</definedName>
    <definedName name="Document_Management">#REF!</definedName>
    <definedName name="Document_Management_Developer" localSheetId="1">'Role Selection'!$S$38:$S$46</definedName>
    <definedName name="Document_Management_Developer">#REF!</definedName>
    <definedName name="Document_Management_TechnicalArchitect" localSheetId="1">'Role Selection'!$Q$38:$Q$46</definedName>
    <definedName name="Document_Management_TechnicalArchitect">#REF!</definedName>
    <definedName name="Document_Management_TechnicalLead" localSheetId="1">'Role Selection'!$R$38:$R$46</definedName>
    <definedName name="Document_Management_TechnicalLead">#REF!</definedName>
    <definedName name="Domain" localSheetId="1">'Role Selection'!$BT$12:$BT$38</definedName>
    <definedName name="Domain" localSheetId="2">#REF!</definedName>
    <definedName name="Domain">#REF!</definedName>
    <definedName name="DomainIT" localSheetId="1">'Role Selection'!$DF$12:$DF$38</definedName>
    <definedName name="DomainIT" localSheetId="2">#REF!</definedName>
    <definedName name="DomainIT">#REF!</definedName>
    <definedName name="DomainSAP" localSheetId="1">#REF!</definedName>
    <definedName name="DomainSAP" localSheetId="2">#REF!</definedName>
    <definedName name="DomainSAP">#REF!</definedName>
    <definedName name="DomainTestBusinessAnalyst" localSheetId="1">'Role Selection'!$GC$12:$GC$38</definedName>
    <definedName name="DomainTestBusinessAnalyst" localSheetId="2">#REF!</definedName>
    <definedName name="DomainTestBusinessAnalyst">#REF!</definedName>
    <definedName name="DomainTesting" localSheetId="1">'Role Selection'!$FU$12:$FU$38</definedName>
    <definedName name="DomainTesting" localSheetId="2">#REF!</definedName>
    <definedName name="DomainTesting">#REF!</definedName>
    <definedName name="DuckCreek" localSheetId="1">'Role Selection'!$BV$12:$BV$38</definedName>
    <definedName name="DuckCreek" localSheetId="2">#REF!</definedName>
    <definedName name="DuckCreek">#REF!</definedName>
    <definedName name="EAI" localSheetId="1">'Role Selection'!$EN$12:$EN$38</definedName>
    <definedName name="EAI" localSheetId="2">#REF!</definedName>
    <definedName name="EAI">#REF!</definedName>
    <definedName name="ECM" localSheetId="1">'Role Selection'!$T$12:$T$34</definedName>
    <definedName name="ECM" localSheetId="2">#REF!</definedName>
    <definedName name="ECM">#REF!</definedName>
    <definedName name="EDI" localSheetId="1">'Role Selection'!$HF$12:$HF$15</definedName>
    <definedName name="EDI" localSheetId="2">#REF!</definedName>
    <definedName name="EDI">#REF!</definedName>
    <definedName name="EnggServices" localSheetId="1">'Role Selection'!$GU$12:$GU$21</definedName>
    <definedName name="EnggServices" localSheetId="2">#REF!</definedName>
    <definedName name="EnggServices">#REF!</definedName>
    <definedName name="EnggServicesAnalyst" localSheetId="1">'Role Selection'!$GV$12:$GV$21</definedName>
    <definedName name="EnggServicesAnalyst" localSheetId="2">#REF!</definedName>
    <definedName name="EnggServicesAnalyst">#REF!</definedName>
    <definedName name="EnggServicesDesigner" localSheetId="1">'Role Selection'!$GY$12:$GY$21</definedName>
    <definedName name="EnggServicesDeveloper" localSheetId="1">'Role Selection'!$GX$12:$GX$21</definedName>
    <definedName name="EnggServicesProject_Lead" localSheetId="1">'Role Selection'!$GW$12:$GW$21</definedName>
    <definedName name="EnggServicesProjectLead">#REF!</definedName>
    <definedName name="EnggServicesProjectManager" localSheetId="1">'Role Selection'!$GZ$12:$GZ$21</definedName>
    <definedName name="EnterpriseArchitect" localSheetId="1">'Role Selection'!$DX$30:$DX$34</definedName>
    <definedName name="EnterpriseArchitect" localSheetId="2">#REF!</definedName>
    <definedName name="EnterpriseArchitect">#REF!</definedName>
    <definedName name="FunctionalDomain" localSheetId="1">'Role Selection'!$DS$12:$DS$38</definedName>
    <definedName name="FunctionalDomain" localSheetId="2">#REF!</definedName>
    <definedName name="FunctionalDomain">#REF!</definedName>
    <definedName name="FunctionalOracle" localSheetId="1">'Role Selection'!$FH$12:$FH$38</definedName>
    <definedName name="FunctionalOracle" localSheetId="2">#REF!</definedName>
    <definedName name="FunctionalOracle">#REF!</definedName>
    <definedName name="FunctionalPeoplesoft" localSheetId="1">'Role Selection'!$FL$12:$FL$38</definedName>
    <definedName name="FunctionalPeoplesoft" localSheetId="2">#REF!</definedName>
    <definedName name="FunctionalPeoplesoft">#REF!</definedName>
    <definedName name="Generic" localSheetId="1">'Role Selection'!$BY$12:$BY$38</definedName>
    <definedName name="Generic" localSheetId="2">#REF!</definedName>
    <definedName name="Generic">#REF!</definedName>
    <definedName name="GoldenSource" localSheetId="1">'Role Selection'!$BZ$23:$BZ$25</definedName>
    <definedName name="GoldenSource" localSheetId="2">#REF!</definedName>
    <definedName name="GoldenSource">#REF!</definedName>
    <definedName name="HelpDesk" localSheetId="1">'Role Selection'!$BG$12:$BG$38</definedName>
    <definedName name="HelpDesk" localSheetId="2">#REF!</definedName>
    <definedName name="HelpDesk">#REF!</definedName>
    <definedName name="HelpDeskAnalyst" localSheetId="1">'Role Selection'!$BH$12:$BH$38</definedName>
    <definedName name="HelpDeskAnalyst" localSheetId="2">#REF!</definedName>
    <definedName name="HelpDeskAnalyst">#REF!</definedName>
    <definedName name="Imaging_and_Scanning" localSheetId="1">'Role Selection'!$X$38:$X$46</definedName>
    <definedName name="Imaging_and_Scanning">#REF!</definedName>
    <definedName name="Imaging_and_Scanning_Developer" localSheetId="1">'Role Selection'!$AA$38:$AA$46</definedName>
    <definedName name="Imaging_and_Scanning_Developer">#REF!</definedName>
    <definedName name="Imaging_and_Scanning_TechnicalArchitect" localSheetId="1">'Role Selection'!$Y$38:$Y$46</definedName>
    <definedName name="Imaging_and_Scanning_TechnicalArchitect">#REF!</definedName>
    <definedName name="Imaging_and_Scanning_TechnicalLead" localSheetId="1">'Role Selection'!$Z$38:$Z$46</definedName>
    <definedName name="Imaging_and_Scanning_TechnicalLead">#REF!</definedName>
    <definedName name="IMS" localSheetId="1">'Role Selection'!$AB$12:$AB$36</definedName>
    <definedName name="IMS" localSheetId="2">#REF!</definedName>
    <definedName name="IMS">#REF!</definedName>
    <definedName name="IMSArchitect" localSheetId="1">'Role Selection'!$AD$12:$AD$36</definedName>
    <definedName name="IMSArchitect" localSheetId="2">#REF!</definedName>
    <definedName name="IMSArchitect">#REF!</definedName>
    <definedName name="IMSBASIC" localSheetId="1">'Role Selection'!$BB$12:$BB$38</definedName>
    <definedName name="IMSGeneric" localSheetId="1">'Role Selection'!$HC$12:$HC$34</definedName>
    <definedName name="IMSGeneric" localSheetId="2">#REF!</definedName>
    <definedName name="IMSGeneric">#REF!</definedName>
    <definedName name="IMSTWO" localSheetId="1">#REF!</definedName>
    <definedName name="IMSTWO" localSheetId="2">#REF!</definedName>
    <definedName name="IMSTWO">#REF!</definedName>
    <definedName name="InfoSecurity" localSheetId="1">'Role Selection'!$AG$12:$AG$38</definedName>
    <definedName name="InfoSecurity" localSheetId="2">#REF!</definedName>
    <definedName name="InfoSecurity">#REF!</definedName>
    <definedName name="Integrator" localSheetId="1">'Role Selection'!$HD$12:$HD$34</definedName>
    <definedName name="Integrator">#REF!</definedName>
    <definedName name="Intergration" localSheetId="1">'Role Selection'!$CB$12:$CB$38</definedName>
    <definedName name="Intergration" localSheetId="2">#REF!</definedName>
    <definedName name="Intergration">#REF!</definedName>
    <definedName name="IT" localSheetId="1">'Role Selection'!$BQ$12:$BQ$38</definedName>
    <definedName name="IT" localSheetId="2">#REF!</definedName>
    <definedName name="IT">#REF!</definedName>
    <definedName name="ITIL" localSheetId="1">'Role Selection'!$CC$25:$CC$27</definedName>
    <definedName name="ITIL" localSheetId="2">#REF!</definedName>
    <definedName name="ITIL">#REF!</definedName>
    <definedName name="ITSM" localSheetId="1">'Role Selection'!$AI$12:$AI$38</definedName>
    <definedName name="ITSM" localSheetId="2">#REF!</definedName>
    <definedName name="ITSM">#REF!</definedName>
    <definedName name="JavaNet" localSheetId="1">'Role Selection'!$CD$12:$CD$38</definedName>
    <definedName name="JavaNet" localSheetId="2">#REF!</definedName>
    <definedName name="JavaNet">#REF!</definedName>
    <definedName name="JavaNetColdFusion" localSheetId="1">'Role Selection'!$CF$12:$CF$38</definedName>
    <definedName name="JavaNetColdFusion" localSheetId="2">#REF!</definedName>
    <definedName name="JavaNetColdFusion">#REF!</definedName>
    <definedName name="JavaNetColdFusionIT" localSheetId="1">'Role Selection'!$CF$12:$CF$19</definedName>
    <definedName name="JavaNetColdFusionIT" localSheetId="2">#REF!</definedName>
    <definedName name="JavaNetColdFusionIT">#REF!</definedName>
    <definedName name="LatentZero" localSheetId="1">'Role Selection'!$DD$12:$DD$38</definedName>
    <definedName name="LatentZero" localSheetId="2">#REF!</definedName>
    <definedName name="LatentZero">#REF!</definedName>
    <definedName name="LotusNotes" localSheetId="1">'Role Selection'!$CH$12:$CH$38</definedName>
    <definedName name="LotusNotes" localSheetId="2">#REF!</definedName>
    <definedName name="LotusNotes">#REF!</definedName>
    <definedName name="MailSetup" localSheetId="1">'Role Selection'!$BI$12:$BI$38</definedName>
    <definedName name="MailSetup" localSheetId="2">#REF!</definedName>
    <definedName name="MailSetup">#REF!</definedName>
    <definedName name="Mainframe" localSheetId="1">'Role Selection'!$CJ$12:$CJ$38</definedName>
    <definedName name="Mainframe" localSheetId="2">#REF!</definedName>
    <definedName name="Mainframe">#REF!</definedName>
    <definedName name="MainframeAdministratorSystems" localSheetId="1">'Role Selection'!$AZ$12:$AZ$38</definedName>
    <definedName name="MainframeAdministratorSystems" localSheetId="2">#REF!</definedName>
    <definedName name="MainframeAdministratorSystems">#REF!</definedName>
    <definedName name="Management" localSheetId="1">'Role Selection'!$AK$12:$AK$38</definedName>
    <definedName name="Management" localSheetId="2">#REF!</definedName>
    <definedName name="Management">#REF!</definedName>
    <definedName name="ManagementIT" localSheetId="1">'Role Selection'!$CL$12:$CL$38</definedName>
    <definedName name="ManagementIT" localSheetId="2">#REF!</definedName>
    <definedName name="ManagementIT">#REF!</definedName>
    <definedName name="ManagementSAP" localSheetId="1">#REF!</definedName>
    <definedName name="ManagementSAP" localSheetId="2">#REF!</definedName>
    <definedName name="ManagementSAP">#REF!</definedName>
    <definedName name="ManualTesting" localSheetId="1">'Role Selection'!$FV$12:$FV$38</definedName>
    <definedName name="ManualTesting" localSheetId="2">#REF!</definedName>
    <definedName name="ManualTesting">#REF!</definedName>
    <definedName name="ManualTestingTester" localSheetId="1">'Role Selection'!$GD$12:$GD$38</definedName>
    <definedName name="ManualTestingTester" localSheetId="2">#REF!</definedName>
    <definedName name="ManualTestingTester">#REF!</definedName>
    <definedName name="ManualTestingTestLead" localSheetId="1">'Role Selection'!$GE$12:$GE$38</definedName>
    <definedName name="ManualTestingTestLead" localSheetId="2">#REF!</definedName>
    <definedName name="ManualTestingTestLead">#REF!</definedName>
    <definedName name="ManualTestingTestManager" localSheetId="1">'Role Selection'!$GF$12:$GF$38</definedName>
    <definedName name="ManualTestingTestManager" localSheetId="2">#REF!</definedName>
    <definedName name="ManualTestingTestManager">#REF!</definedName>
    <definedName name="Middleware" localSheetId="1">'Role Selection'!$AN$12:$AN$38</definedName>
    <definedName name="Middleware" localSheetId="2">#REF!</definedName>
    <definedName name="Middleware">#REF!</definedName>
    <definedName name="Mobility" localSheetId="1">'Role Selection'!$DH$12:$DH$38</definedName>
    <definedName name="Mobility" localSheetId="2">#REF!</definedName>
    <definedName name="Mobility">#REF!</definedName>
    <definedName name="MobilityE" localSheetId="1">'Role Selection'!$DI$12:$DI$38</definedName>
    <definedName name="MobilityE" localSheetId="2">#REF!</definedName>
    <definedName name="MobilityE">#REF!</definedName>
    <definedName name="Months">[2]Sheet1!$B$3:$BU$3</definedName>
    <definedName name="Network" localSheetId="1">'Role Selection'!$AP$12:$AP$38</definedName>
    <definedName name="Network" localSheetId="2">#REF!</definedName>
    <definedName name="Network">#REF!</definedName>
    <definedName name="NOCDesktop" localSheetId="1">'Role Selection'!$BK$12:$BK$34</definedName>
    <definedName name="NOCDesktop" localSheetId="2">#REF!</definedName>
    <definedName name="NOCDesktop">#REF!</definedName>
    <definedName name="Off_Rate" localSheetId="1">'[3]GRC Rate Card Mapping'!$Y$3:$Y$1111</definedName>
    <definedName name="Off_Rate" localSheetId="2">'[4]GRC Rate Card Mapping'!$Y$3:$Y$1111</definedName>
    <definedName name="Off_Rate">'[5]GRC Rate Card Mapping'!$Y$3:$Y$1111</definedName>
    <definedName name="On_Rate" localSheetId="1">'[3]GRC Rate Card Mapping'!$X$3:$X$1111</definedName>
    <definedName name="On_Rate" localSheetId="2">'[4]GRC Rate Card Mapping'!$X$3:$X$1111</definedName>
    <definedName name="On_Rate">'[5]GRC Rate Card Mapping'!$X$3:$X$1111</definedName>
    <definedName name="Operation" localSheetId="1">'Role Selection'!$CN$12:$CN$38</definedName>
    <definedName name="Operation" localSheetId="2">#REF!</definedName>
    <definedName name="Operation">#REF!</definedName>
    <definedName name="OpnSupportIMS2" localSheetId="1">'Role Selection'!$BN$12:$BN$38</definedName>
    <definedName name="OpnSupportIMS2" localSheetId="2">#REF!</definedName>
    <definedName name="OpnSupportIMS2">#REF!</definedName>
    <definedName name="OpnSupportIMSBASIC" localSheetId="1">'Role Selection'!$BN$12:$BN$21</definedName>
    <definedName name="OpnSupportIMSBASIC" localSheetId="2">#REF!</definedName>
    <definedName name="OpnSupportIMSBASIC">#REF!</definedName>
    <definedName name="OpnSupportIMSTWO" localSheetId="1">#REF!</definedName>
    <definedName name="OpnSupportIMSTWO" localSheetId="2">#REF!</definedName>
    <definedName name="OpnSupportIMSTWO">#REF!</definedName>
    <definedName name="OpsSupport" localSheetId="1">'Role Selection'!$BM$12:$BM$38</definedName>
    <definedName name="OpsSupport" localSheetId="2">#REF!</definedName>
    <definedName name="OpsSupport">#REF!</definedName>
    <definedName name="Oracle" localSheetId="1">'Role Selection'!$FE$12:$FE$21</definedName>
    <definedName name="Oracle" localSheetId="2">#REF!</definedName>
    <definedName name="Oracle">#REF!</definedName>
    <definedName name="Others" localSheetId="1">'Role Selection'!$CO$12:$CO$38</definedName>
    <definedName name="Others" localSheetId="2">#REF!</definedName>
    <definedName name="Others">#REF!</definedName>
    <definedName name="OthersIT" localSheetId="1">#REF!</definedName>
    <definedName name="OthersIT" localSheetId="2">#REF!</definedName>
    <definedName name="OthersIT">#REF!</definedName>
    <definedName name="PEGA">'Role Selection'!$HG$13:$HG$17</definedName>
    <definedName name="PEGAArchitect">'Role Selection'!$HL$13:$HL$17</definedName>
    <definedName name="PEGADeveloper">'Role Selection'!$HM$13:$HM$17</definedName>
    <definedName name="PEGAEAI">'Role Selection'!$HH$13:$HH$17</definedName>
    <definedName name="PEGALeadSystemArchitect">'Role Selection'!$HI$13:$HI$18</definedName>
    <definedName name="PEGAProjectManager">'Role Selection'!$HJ$13:$HJ$18</definedName>
    <definedName name="PEGASeniorArchitect">'Role Selection'!$HK$13:$HK$18</definedName>
    <definedName name="Peoplesoft" localSheetId="1">'Role Selection'!$FK$12:$FK$26</definedName>
    <definedName name="Peoplesoft" localSheetId="2">#REF!</definedName>
    <definedName name="Peoplesoft">#REF!</definedName>
    <definedName name="Performance" localSheetId="1">'Role Selection'!$FW$12:$FW$38</definedName>
    <definedName name="Performance" localSheetId="2">#REF!</definedName>
    <definedName name="Performance">#REF!</definedName>
    <definedName name="PerformanceTester" localSheetId="1">'Role Selection'!$GG$12:$GG$38</definedName>
    <definedName name="PerformanceTester" localSheetId="2">#REF!</definedName>
    <definedName name="PerformanceTester">#REF!</definedName>
    <definedName name="PerformanceTestLead" localSheetId="1">'Role Selection'!$GH$12:$GH$38</definedName>
    <definedName name="PerformanceTestLead" localSheetId="2">#REF!</definedName>
    <definedName name="PerformanceTestLead">#REF!</definedName>
    <definedName name="PerformanceTestManager" localSheetId="1">'Role Selection'!$GI$12:$GI$38</definedName>
    <definedName name="PerformanceTestManager" localSheetId="2">#REF!</definedName>
    <definedName name="PerformanceTestManager">#REF!</definedName>
    <definedName name="PLM" localSheetId="1">'Role Selection'!$GN$12:$GN$21</definedName>
    <definedName name="PLM" localSheetId="2">#REF!</definedName>
    <definedName name="PLM">#REF!</definedName>
    <definedName name="PLM1_" localSheetId="1">'Role Selection'!$GN$12:$GN$21</definedName>
    <definedName name="PLMAdministrator" localSheetId="1">'Role Selection'!$GQ$12:$GQ$21</definedName>
    <definedName name="PLMDesigner" localSheetId="1">'Role Selection'!$GR$12:$GR$21</definedName>
    <definedName name="PLMDeveloper" localSheetId="1">'Role Selection'!$GO$12:$GO$21</definedName>
    <definedName name="PLMEnggServices" localSheetId="1">'Role Selection'!$GM$12:$GM$21</definedName>
    <definedName name="PLMProjectManager" localSheetId="1">'Role Selection'!$GS$12:$GS$21</definedName>
    <definedName name="PLMTechnicalLead" localSheetId="1">'Role Selection'!$GP$12:$GP$21</definedName>
    <definedName name="Practice" localSheetId="1">'Role Selection'!$K$12:$K$38</definedName>
    <definedName name="Practice" localSheetId="2">#REF!</definedName>
    <definedName name="Practice">#REF!</definedName>
    <definedName name="_xlnm.Print_Area" localSheetId="3">Staffing!$C$1:$CF$115</definedName>
    <definedName name="_xlnm.Print_Area" localSheetId="2">'Staffing-Roles'!$C$1:$DT$192</definedName>
    <definedName name="_xlnm.Print_Titles" localSheetId="3">Staffing!$A$1:$IV$5</definedName>
    <definedName name="_xlnm.Print_Titles" localSheetId="2">'Staffing-Roles'!$1:$5</definedName>
    <definedName name="ProductBased" localSheetId="1">'Role Selection'!$FY$12:$FY$38</definedName>
    <definedName name="ProductBased" localSheetId="2">#REF!</definedName>
    <definedName name="ProductBased">#REF!</definedName>
    <definedName name="ProductBasedTester" localSheetId="1">'Role Selection'!$GJ$12:$GJ$38</definedName>
    <definedName name="ProductBasedTester" localSheetId="2">#REF!</definedName>
    <definedName name="ProductBasedTester">#REF!</definedName>
    <definedName name="ProductBasedTestLead" localSheetId="1">'Role Selection'!$GK$12:$GK$38</definedName>
    <definedName name="ProductBasedTestLead" localSheetId="2">#REF!</definedName>
    <definedName name="ProductBasedTestLead">#REF!</definedName>
    <definedName name="ProductBasedTestManager" localSheetId="1">'Role Selection'!$GL$12:$GL$38</definedName>
    <definedName name="ProductBasedTestManager" localSheetId="2">#REF!</definedName>
    <definedName name="ProductBasedTestManager">#REF!</definedName>
    <definedName name="ProgramManager" localSheetId="1">'Role Selection'!$AL$12:$AL$38</definedName>
    <definedName name="ProgramManager" localSheetId="2">#REF!</definedName>
    <definedName name="ProgramManager">#REF!</definedName>
    <definedName name="ProgramManagerManagement" localSheetId="1">'Role Selection'!$AL$12:$AL$38</definedName>
    <definedName name="ProgramManagerManagement" localSheetId="2">#REF!</definedName>
    <definedName name="ProgramManagerManagement">#REF!</definedName>
    <definedName name="ProjectManager" localSheetId="1">'Role Selection'!$AM$12:$AM$38</definedName>
    <definedName name="ProjectManager" localSheetId="2">#REF!</definedName>
    <definedName name="ProjectManager">#REF!</definedName>
    <definedName name="ProjectManagerAmdocs" localSheetId="1">'Role Selection'!$CW$12:$CW$38</definedName>
    <definedName name="ProjectManagerAmdocs" localSheetId="2">#REF!</definedName>
    <definedName name="ProjectManagerAmdocs">#REF!</definedName>
    <definedName name="ProjectManagerBIDW" localSheetId="1">'Role Selection'!$EG$12:$EG$38</definedName>
    <definedName name="ProjectManagerBIDW" localSheetId="2">#REF!</definedName>
    <definedName name="ProjectManagerBIDW">#REF!</definedName>
    <definedName name="ProjectManagerDuckCreek" localSheetId="1">'Role Selection'!$BX$12:$BX$38</definedName>
    <definedName name="ProjectManagerDuckCreek" localSheetId="2">#REF!</definedName>
    <definedName name="ProjectManagerDuckCreek">#REF!</definedName>
    <definedName name="ProjectManagerEAI" localSheetId="1">'Role Selection'!$FC$12:$FC$38</definedName>
    <definedName name="ProjectManagerEAI" localSheetId="2">#REF!</definedName>
    <definedName name="ProjectManagerEAI">#REF!</definedName>
    <definedName name="ProjectManagerIT" localSheetId="1">'Role Selection'!$CM$12:$CM$38</definedName>
    <definedName name="ProjectManagerIT" localSheetId="2">#REF!</definedName>
    <definedName name="ProjectManagerIT">#REF!</definedName>
    <definedName name="ProjectManagerManagement" localSheetId="1">'Role Selection'!$AM$12:$AM$38</definedName>
    <definedName name="ProjectManagerManagement" localSheetId="2">#REF!</definedName>
    <definedName name="ProjectManagerManagement">#REF!</definedName>
    <definedName name="ProjectManagerManagementSAP" localSheetId="1">#REF!</definedName>
    <definedName name="ProjectManagerManagementSAP" localSheetId="2">#REF!</definedName>
    <definedName name="ProjectManagerManagementSAP">#REF!</definedName>
    <definedName name="ProjectManagerOracle" localSheetId="1">'Role Selection'!$FI$12:$FI$38</definedName>
    <definedName name="ProjectManagerOracle" localSheetId="2">#REF!</definedName>
    <definedName name="ProjectManagerOracle">#REF!</definedName>
    <definedName name="ProjectManagerPeoplesoft" localSheetId="1">'Role Selection'!$FM$12:$FM$38</definedName>
    <definedName name="ProjectManagerPeoplesoft" localSheetId="2">#REF!</definedName>
    <definedName name="ProjectManagerPeoplesoft">#REF!</definedName>
    <definedName name="ProjectManagerSAPManagement" localSheetId="1">'Role Selection'!$DU$12:$DU$38</definedName>
    <definedName name="PvtPubCloud" localSheetId="1">'Role Selection'!$N$12:$N$38</definedName>
    <definedName name="PvtPubCloud" localSheetId="2">#REF!</definedName>
    <definedName name="PvtPubCloud">#REF!</definedName>
    <definedName name="RC_Role" localSheetId="1">'[3]GRC Rate Card Mapping'!$F$3:$F$1111</definedName>
    <definedName name="RC_Role" localSheetId="2">'[4]GRC Rate Card Mapping'!$F$3:$F$1111</definedName>
    <definedName name="RC_Role">'[5]GRC Rate Card Mapping'!$F$3:$F$1111</definedName>
    <definedName name="Remedy" localSheetId="1">'Role Selection'!$CZ$12:$CZ$38</definedName>
    <definedName name="Remedy" localSheetId="2">#REF!</definedName>
    <definedName name="Remedy">#REF!</definedName>
    <definedName name="Role" localSheetId="1">'[3]GRC Rate Card Mapping'!$G$3:$G$1111</definedName>
    <definedName name="Role" localSheetId="2">'[4]GRC Rate Card Mapping'!$G$3:$G$1111</definedName>
    <definedName name="Role">'[5]GRC Rate Card Mapping'!$G$3:$G$1111</definedName>
    <definedName name="SAP" localSheetId="1">#REF!</definedName>
    <definedName name="SAP" localSheetId="2">#REF!</definedName>
    <definedName name="SAP">#REF!</definedName>
    <definedName name="SAPABAP" localSheetId="1">'Role Selection'!$DN$12:$DN$38</definedName>
    <definedName name="SAPArchitect" localSheetId="1">'Role Selection'!$HB$12:$HB$21</definedName>
    <definedName name="SAPArchitect" localSheetId="2">#REF!</definedName>
    <definedName name="SAPArchitect">#REF!</definedName>
    <definedName name="SAPBasis" localSheetId="1">'Role Selection'!$DP$12:$DP$38</definedName>
    <definedName name="SAPDomain" localSheetId="1">'Role Selection'!$DR$12:$DR$38</definedName>
    <definedName name="SAPManagement" localSheetId="1">'Role Selection'!$DT$12:$DT$38</definedName>
    <definedName name="SAPOne" localSheetId="1">'Role Selection'!$HA$12:$HA$21</definedName>
    <definedName name="SAPOne" localSheetId="2">#REF!</definedName>
    <definedName name="SAPOne">#REF!</definedName>
    <definedName name="Security" localSheetId="1">'Role Selection'!$AR$12:$AR$38</definedName>
    <definedName name="Security" localSheetId="2">#REF!</definedName>
    <definedName name="Security">#REF!</definedName>
    <definedName name="SharePoint" localSheetId="1">'Role Selection'!$U$12:$U$36</definedName>
    <definedName name="SharePoint" localSheetId="2">#REF!</definedName>
    <definedName name="SharePoint">#REF!</definedName>
    <definedName name="Skill" localSheetId="1">[6]INPUTS!#REF!</definedName>
    <definedName name="Skill" localSheetId="3">[6]INPUTS!#REF!</definedName>
    <definedName name="Skill">[6]INPUTS!#REF!</definedName>
    <definedName name="SOG" localSheetId="1">'Role Selection'!$DV$12:$DV$38</definedName>
    <definedName name="SOG" localSheetId="2">#REF!</definedName>
    <definedName name="SOG">#REF!</definedName>
    <definedName name="SOGTWO" localSheetId="1">'Role Selection'!$FP$12:$FP$38</definedName>
    <definedName name="SOGTwo" localSheetId="2">#REF!</definedName>
    <definedName name="SOGTwo">#REF!</definedName>
    <definedName name="SolutionArchitect" localSheetId="1">'Role Selection'!$DW$30:$DW$33</definedName>
    <definedName name="SolutionArchitect" localSheetId="2">#REF!</definedName>
    <definedName name="SolutionArchitect">#REF!</definedName>
    <definedName name="SQL" localSheetId="1">'Role Selection'!$DB$12:$DB$38</definedName>
    <definedName name="SQL" localSheetId="2">#REF!</definedName>
    <definedName name="SQL">#REF!</definedName>
    <definedName name="Storage" localSheetId="1">'Role Selection'!$AT$12:$AT$38</definedName>
    <definedName name="Storage" localSheetId="2">#REF!</definedName>
    <definedName name="Storage">#REF!</definedName>
    <definedName name="Systems" localSheetId="1">'Role Selection'!$AV$12:$AV$38</definedName>
    <definedName name="Systems" localSheetId="2">#REF!</definedName>
    <definedName name="Systems">#REF!</definedName>
    <definedName name="TechnicalABAP" localSheetId="1">'Role Selection'!$DO$12:$DO$38</definedName>
    <definedName name="TechnicalABAP" localSheetId="2">#REF!</definedName>
    <definedName name="TechnicalABAP">#REF!</definedName>
    <definedName name="TechnicalBasis" localSheetId="1">'Role Selection'!$DQ$12:$DQ$38</definedName>
    <definedName name="TechnicalBasis" localSheetId="2">#REF!</definedName>
    <definedName name="TechnicalBasis">#REF!</definedName>
    <definedName name="TechnicalLead" localSheetId="1">'Role Selection'!$R$12:$R$38</definedName>
    <definedName name="TechnicalLead" localSheetId="2">#REF!</definedName>
    <definedName name="TechnicalLead">#REF!</definedName>
    <definedName name="TechnicalLeadAbinitioInformaticaDatastage" localSheetId="1">'Role Selection'!$EH$12:$EH$38</definedName>
    <definedName name="TechnicalLeadAbinitioInformaticaDatastage" localSheetId="2">#REF!</definedName>
    <definedName name="TechnicalLeadAbinitioInformaticaDatastage">#REF!</definedName>
    <definedName name="TechnicalLeadActuateCrystal" localSheetId="1">'Role Selection'!$EI$12:$EI$38</definedName>
    <definedName name="TechnicalLeadActuateCrystal" localSheetId="2">#REF!</definedName>
    <definedName name="TechnicalLeadActuateCrystal">#REF!</definedName>
    <definedName name="TechnicalLeadavaNetColdFusion">#REF!</definedName>
    <definedName name="TechnicalLeadCognosBO" localSheetId="1">'Role Selection'!$EK$12:$EK$38</definedName>
    <definedName name="TechnicalLeadCognosBO" localSheetId="2">#REF!</definedName>
    <definedName name="TechnicalLeadCognosBO">#REF!</definedName>
    <definedName name="TechnicalLeadEAI" localSheetId="1">'Role Selection'!$FD$12:$FD$38</definedName>
    <definedName name="TechnicalLeadEAI" localSheetId="2">#REF!</definedName>
    <definedName name="TechnicalLeadEAI">#REF!</definedName>
    <definedName name="TechnicalLeadJavaNetColdFusion" localSheetId="1">'Role Selection'!$CY$12:$CY$38</definedName>
    <definedName name="TechnicalLeadJavaNetColdFusion" localSheetId="2">#REF!</definedName>
    <definedName name="TechnicalLeadJavaNetColdFusion">#REF!</definedName>
    <definedName name="TechnicalLeadMicrostrategyAbinitioTeradata" localSheetId="1">'Role Selection'!$EJ$12:$EJ$38</definedName>
    <definedName name="TechnicalLeadMicrostrategyAbinitioTeradata" localSheetId="2">#REF!</definedName>
    <definedName name="TechnicalLeadMicrostrategyAbinitioTeradata">#REF!</definedName>
    <definedName name="TechnicalLeadMobility" localSheetId="1">'Role Selection'!$DL$12:$DL$38</definedName>
    <definedName name="TechnicalLeadMobility" localSheetId="2">#REF!</definedName>
    <definedName name="TechnicalLeadMobility">#REF!</definedName>
    <definedName name="TechnicalLeadReporting" localSheetId="1">'Role Selection'!$EL$12:$EL$38</definedName>
    <definedName name="TechnicalLeadReporting" localSheetId="2">#REF!</definedName>
    <definedName name="TechnicalLeadReporting">#REF!</definedName>
    <definedName name="TechnicalLeadSharepoint" localSheetId="1">'Role Selection'!$Y$12:$Y$36</definedName>
    <definedName name="TechnicalLeadSharepoint" localSheetId="2">#REF!</definedName>
    <definedName name="TechnicalLeadSharepoint">#REF!</definedName>
    <definedName name="TechnicalOracle" localSheetId="1">'Role Selection'!$FJ$12:$FJ$38</definedName>
    <definedName name="TechnicalOracle" localSheetId="2">#REF!</definedName>
    <definedName name="TechnicalOracle">#REF!</definedName>
    <definedName name="TechnicalPeoplesoft" localSheetId="1">'Role Selection'!$FN$12:$FN$38</definedName>
    <definedName name="TechnicalPeoplesoft" localSheetId="2">#REF!</definedName>
    <definedName name="TechnicalPeoplesoft">#REF!</definedName>
    <definedName name="TechnicalWriter" localSheetId="1">'Role Selection'!$CP$12:$CP$38</definedName>
    <definedName name="TechnicalWriter" localSheetId="2">#REF!</definedName>
    <definedName name="TechnicalWriter">#REF!</definedName>
    <definedName name="Technician" localSheetId="1">'Role Selection'!$BP$12:$BP$193</definedName>
    <definedName name="Technician" localSheetId="2">#REF!</definedName>
    <definedName name="Technician">#REF!</definedName>
    <definedName name="Telecom" localSheetId="1">'Role Selection'!$BO$12:$BO$38</definedName>
    <definedName name="Telecom" localSheetId="2">#REF!</definedName>
    <definedName name="Telecom">#REF!</definedName>
    <definedName name="TesterBIDW" localSheetId="1">'Role Selection'!$EM$12:$EM$38</definedName>
    <definedName name="TesterBIDW" localSheetId="2">#REF!</definedName>
    <definedName name="TesterBIDW">#REF!</definedName>
    <definedName name="TesterSharepoint" localSheetId="1">'Role Selection'!$AA$12:$AA$38</definedName>
    <definedName name="TesterSharepoint" localSheetId="2">#REF!</definedName>
    <definedName name="TesterSharepoint">#REF!</definedName>
    <definedName name="Testing" localSheetId="1">'Role Selection'!$FS$12:$FS$38</definedName>
    <definedName name="Testing" localSheetId="2">#REF!</definedName>
    <definedName name="Testing">#REF!</definedName>
    <definedName name="TestingTwo" localSheetId="1">'Role Selection'!$FX$12:$FX$38</definedName>
    <definedName name="TestingTwo" localSheetId="2">#REF!</definedName>
    <definedName name="TestingTwo">#REF!</definedName>
    <definedName name="TestLeadShaerpoint" localSheetId="1">'Role Selection'!$Z$12:$Z$36</definedName>
    <definedName name="TestLeadShaerpoint" localSheetId="2">#REF!</definedName>
    <definedName name="TestLeadShaerpoint">#REF!</definedName>
    <definedName name="TumbleWeed" localSheetId="1">'Role Selection'!$CQ$12:$CQ$38</definedName>
    <definedName name="TumbleWeed" localSheetId="2">#REF!</definedName>
    <definedName name="TumbleWeed">#REF!</definedName>
    <definedName name="Varicent" localSheetId="1">'Role Selection'!$FQ$12:$FQ$38</definedName>
    <definedName name="Varicent" localSheetId="2">#REF!</definedName>
    <definedName name="Varicent">#REF!</definedName>
    <definedName name="Vermillion" localSheetId="1">'Role Selection'!$CS$12:$CS$38</definedName>
    <definedName name="Vermillion" localSheetId="2">#REF!</definedName>
    <definedName name="Vermillion">#REF!</definedName>
    <definedName name="Web_Content_Management" localSheetId="1">'Role Selection'!$L$38:$L$46</definedName>
    <definedName name="Web_Content_Management">#REF!</definedName>
    <definedName name="Web_Content_Management_Developer" localSheetId="1">'Role Selection'!$O$38:$O$46</definedName>
    <definedName name="Web_Content_Management_Developer">#REF!</definedName>
    <definedName name="Web_Content_Management_TechnicalArchitect" localSheetId="1">'Role Selection'!$M$38:$M$46</definedName>
    <definedName name="Web_Content_Management_TechnicalArchitect">#REF!</definedName>
    <definedName name="Web_Content_Management_TechnicalLead" localSheetId="1">'Role Selection'!$N$38:$N$46</definedName>
    <definedName name="Web_Content_Management_TechnicalLead">#REF!</definedName>
  </definedNames>
  <calcPr calcId="162913"/>
</workbook>
</file>

<file path=xl/calcChain.xml><?xml version="1.0" encoding="utf-8"?>
<calcChain xmlns="http://schemas.openxmlformats.org/spreadsheetml/2006/main">
  <c r="DS189" i="47" l="1"/>
  <c r="DS188" i="47"/>
  <c r="DS187" i="47"/>
  <c r="DS186" i="47"/>
  <c r="DS185" i="47"/>
  <c r="DS184" i="47"/>
  <c r="DS183" i="47"/>
  <c r="DS182" i="47"/>
  <c r="DS181" i="47"/>
  <c r="DS180" i="47"/>
  <c r="DS179" i="47"/>
  <c r="DS178" i="47"/>
  <c r="DS177" i="47"/>
  <c r="DS176" i="47"/>
  <c r="DS175" i="47"/>
  <c r="DS174" i="47"/>
  <c r="DS173" i="47"/>
  <c r="DS172" i="47"/>
  <c r="DS171" i="47"/>
  <c r="DS170" i="47"/>
  <c r="DS169" i="47"/>
  <c r="DS168" i="47"/>
  <c r="DS161" i="47"/>
  <c r="DS160" i="47"/>
  <c r="DS159" i="47"/>
  <c r="DS158" i="47"/>
  <c r="DS157" i="47"/>
  <c r="DS156" i="47"/>
  <c r="DS155" i="47"/>
  <c r="DS154" i="47"/>
  <c r="DS153" i="47"/>
  <c r="DS152" i="47"/>
  <c r="DS151" i="47"/>
  <c r="DS150" i="47"/>
  <c r="DS149" i="47"/>
  <c r="DS148" i="47"/>
  <c r="DS147" i="47"/>
  <c r="DS146" i="47"/>
  <c r="DS145" i="47"/>
  <c r="DS144" i="47"/>
  <c r="DS143" i="47"/>
  <c r="DS142" i="47"/>
  <c r="DS141" i="47"/>
  <c r="DS140" i="47"/>
  <c r="DS134" i="47"/>
  <c r="DS133" i="47"/>
  <c r="DS132" i="47"/>
  <c r="DS131" i="47"/>
  <c r="DS130" i="47"/>
  <c r="DS129" i="47"/>
  <c r="DS128" i="47"/>
  <c r="DS127" i="47"/>
  <c r="DS126" i="47"/>
  <c r="DS125" i="47"/>
  <c r="DS124" i="47"/>
  <c r="DS123" i="47"/>
  <c r="DS122" i="47"/>
  <c r="DS121" i="47"/>
  <c r="DS120" i="47"/>
  <c r="DS119" i="47"/>
  <c r="DS118" i="47"/>
  <c r="DS117" i="47"/>
  <c r="DS116" i="47"/>
  <c r="DS115" i="47"/>
  <c r="DS114" i="47"/>
  <c r="DS113" i="47"/>
  <c r="DS107" i="47"/>
  <c r="DS106" i="47"/>
  <c r="DS105" i="47"/>
  <c r="DS104" i="47"/>
  <c r="DS103" i="47"/>
  <c r="DS102" i="47"/>
  <c r="DS101" i="47"/>
  <c r="DS100" i="47"/>
  <c r="DS99" i="47"/>
  <c r="DS98" i="47"/>
  <c r="DS97" i="47"/>
  <c r="DS96" i="47"/>
  <c r="DS95" i="47"/>
  <c r="DS94" i="47"/>
  <c r="DS93" i="47"/>
  <c r="DS92" i="47"/>
  <c r="DS91" i="47"/>
  <c r="DS90" i="47"/>
  <c r="DS89" i="47"/>
  <c r="DS88" i="47"/>
  <c r="DS87" i="47"/>
  <c r="DS55" i="47"/>
  <c r="DS54" i="47"/>
  <c r="DS53" i="47"/>
  <c r="DS52" i="47"/>
  <c r="DS51" i="47"/>
  <c r="DS50" i="47"/>
  <c r="DS49" i="47"/>
  <c r="DS48" i="47"/>
  <c r="DS47" i="47"/>
  <c r="DS46" i="47"/>
  <c r="DS45" i="47"/>
  <c r="DS44" i="47"/>
  <c r="DS43" i="47"/>
  <c r="DS42" i="47"/>
  <c r="DS41" i="47"/>
  <c r="DS40" i="47"/>
  <c r="DS39" i="47"/>
  <c r="DS38" i="47"/>
  <c r="DS37" i="47"/>
  <c r="DS36" i="47"/>
  <c r="DS35" i="47"/>
  <c r="DS29" i="47"/>
  <c r="DS28" i="47"/>
  <c r="DS27" i="47"/>
  <c r="DS26" i="47"/>
  <c r="DS25" i="47"/>
  <c r="DS24" i="47"/>
  <c r="DS23" i="47"/>
  <c r="DS22" i="47"/>
  <c r="DS21" i="47"/>
  <c r="DS20" i="47"/>
  <c r="DS19" i="47"/>
  <c r="DS18" i="47"/>
  <c r="DS17" i="47"/>
  <c r="DS16" i="47"/>
  <c r="DS15" i="47"/>
  <c r="DS14" i="47"/>
  <c r="DS13" i="47"/>
  <c r="DS12" i="47"/>
  <c r="DS11" i="47"/>
  <c r="DS10" i="47"/>
  <c r="DS9" i="47"/>
  <c r="DS7" i="47"/>
  <c r="DR195" i="47"/>
  <c r="DR194" i="47"/>
  <c r="DR196" i="47" s="1"/>
  <c r="DR189" i="47"/>
  <c r="DR188" i="47"/>
  <c r="DR187" i="47"/>
  <c r="DR186" i="47"/>
  <c r="DR185" i="47"/>
  <c r="DR184" i="47"/>
  <c r="DR183" i="47"/>
  <c r="DR182" i="47"/>
  <c r="DR181" i="47"/>
  <c r="DR180" i="47"/>
  <c r="DR179" i="47"/>
  <c r="DR178" i="47"/>
  <c r="DR177" i="47"/>
  <c r="DR176" i="47"/>
  <c r="DR175" i="47"/>
  <c r="DR174" i="47"/>
  <c r="DR173" i="47"/>
  <c r="DR172" i="47"/>
  <c r="DR171" i="47"/>
  <c r="DR170" i="47"/>
  <c r="DR169" i="47"/>
  <c r="DR168" i="47"/>
  <c r="DQ136" i="47"/>
  <c r="DQ191" i="47" s="1"/>
  <c r="DP136" i="47"/>
  <c r="DP191" i="47" s="1"/>
  <c r="DO136" i="47"/>
  <c r="DO191" i="47" s="1"/>
  <c r="DN136" i="47"/>
  <c r="DN191" i="47" s="1"/>
  <c r="DM136" i="47"/>
  <c r="DM191" i="47" s="1"/>
  <c r="DL136" i="47"/>
  <c r="DL191" i="47" s="1"/>
  <c r="DK136" i="47"/>
  <c r="DK191" i="47" s="1"/>
  <c r="DJ136" i="47"/>
  <c r="DJ191" i="47" s="1"/>
  <c r="DI136" i="47"/>
  <c r="DI191" i="47" s="1"/>
  <c r="DH136" i="47"/>
  <c r="DH191" i="47" s="1"/>
  <c r="DG136" i="47"/>
  <c r="DG191" i="47" s="1"/>
  <c r="DF136" i="47"/>
  <c r="DF191" i="47" s="1"/>
  <c r="DE195" i="47"/>
  <c r="DE194" i="47"/>
  <c r="DE196" i="47" s="1"/>
  <c r="DE189" i="47"/>
  <c r="DE188" i="47"/>
  <c r="DE187" i="47"/>
  <c r="DE186" i="47"/>
  <c r="DE185" i="47"/>
  <c r="DE184" i="47"/>
  <c r="DE183" i="47"/>
  <c r="DE182" i="47"/>
  <c r="DE181" i="47"/>
  <c r="DE180" i="47"/>
  <c r="DE179" i="47"/>
  <c r="DE178" i="47"/>
  <c r="DE177" i="47"/>
  <c r="DE176" i="47"/>
  <c r="DE175" i="47"/>
  <c r="DE174" i="47"/>
  <c r="DE173" i="47"/>
  <c r="DE172" i="47"/>
  <c r="DE171" i="47"/>
  <c r="DE170" i="47"/>
  <c r="DE169" i="47"/>
  <c r="DE168" i="47"/>
  <c r="DD136" i="47"/>
  <c r="DD191" i="47" s="1"/>
  <c r="DC136" i="47"/>
  <c r="DC191" i="47" s="1"/>
  <c r="DB136" i="47"/>
  <c r="DB191" i="47" s="1"/>
  <c r="DA136" i="47"/>
  <c r="DA191" i="47" s="1"/>
  <c r="CZ136" i="47"/>
  <c r="CZ191" i="47" s="1"/>
  <c r="CY136" i="47"/>
  <c r="CY191" i="47" s="1"/>
  <c r="CX136" i="47"/>
  <c r="CX191" i="47" s="1"/>
  <c r="CW136" i="47"/>
  <c r="CW191" i="47" s="1"/>
  <c r="CV136" i="47"/>
  <c r="CV191" i="47" s="1"/>
  <c r="CU136" i="47"/>
  <c r="CU191" i="47" s="1"/>
  <c r="CT136" i="47"/>
  <c r="CT191" i="47" s="1"/>
  <c r="CS136" i="47"/>
  <c r="CS191" i="47" s="1"/>
  <c r="CR195" i="47"/>
  <c r="CR194" i="47"/>
  <c r="CR196" i="47" s="1"/>
  <c r="CR189" i="47"/>
  <c r="CR188" i="47"/>
  <c r="CR187" i="47"/>
  <c r="CR186" i="47"/>
  <c r="CR185" i="47"/>
  <c r="CR184" i="47"/>
  <c r="CR183" i="47"/>
  <c r="CR182" i="47"/>
  <c r="CR181" i="47"/>
  <c r="CR180" i="47"/>
  <c r="CR179" i="47"/>
  <c r="CR178" i="47"/>
  <c r="CR177" i="47"/>
  <c r="CR176" i="47"/>
  <c r="CR175" i="47"/>
  <c r="CR174" i="47"/>
  <c r="CR173" i="47"/>
  <c r="CR172" i="47"/>
  <c r="CR171" i="47"/>
  <c r="CR170" i="47"/>
  <c r="CR169" i="47"/>
  <c r="CR168" i="47"/>
  <c r="CQ136" i="47"/>
  <c r="CQ191" i="47" s="1"/>
  <c r="CP136" i="47"/>
  <c r="CP191" i="47" s="1"/>
  <c r="CO136" i="47"/>
  <c r="CO191" i="47" s="1"/>
  <c r="CN136" i="47"/>
  <c r="CN191" i="47" s="1"/>
  <c r="CM136" i="47"/>
  <c r="CM191" i="47" s="1"/>
  <c r="CL136" i="47"/>
  <c r="CL191" i="47" s="1"/>
  <c r="CK136" i="47"/>
  <c r="CK191" i="47" s="1"/>
  <c r="CJ136" i="47"/>
  <c r="CJ191" i="47" s="1"/>
  <c r="CI136" i="47"/>
  <c r="CI191" i="47" s="1"/>
  <c r="CH136" i="47"/>
  <c r="CH191" i="47" s="1"/>
  <c r="CG136" i="47"/>
  <c r="CG191" i="47" s="1"/>
  <c r="CF136" i="47"/>
  <c r="CF191" i="47" s="1"/>
  <c r="M62" i="11" l="1"/>
  <c r="M61" i="11"/>
  <c r="M60" i="11"/>
  <c r="M59" i="11"/>
  <c r="D29" i="47" l="1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B41" i="44"/>
  <c r="C14" i="45"/>
  <c r="G94" i="11" l="1"/>
  <c r="G86" i="11"/>
  <c r="F39" i="45" l="1"/>
  <c r="E39" i="45"/>
  <c r="F38" i="45"/>
  <c r="E38" i="45"/>
  <c r="F37" i="45"/>
  <c r="E37" i="45"/>
  <c r="F36" i="45"/>
  <c r="E36" i="45"/>
  <c r="F35" i="45"/>
  <c r="E35" i="45"/>
  <c r="F34" i="45"/>
  <c r="E34" i="45"/>
  <c r="F33" i="45"/>
  <c r="E33" i="45"/>
  <c r="F32" i="45"/>
  <c r="E32" i="45"/>
  <c r="F31" i="45"/>
  <c r="E31" i="45"/>
  <c r="F30" i="45"/>
  <c r="E30" i="45"/>
  <c r="F29" i="45"/>
  <c r="E29" i="45"/>
  <c r="F28" i="45"/>
  <c r="E28" i="45"/>
  <c r="F27" i="45"/>
  <c r="E27" i="45"/>
  <c r="F26" i="45"/>
  <c r="E26" i="45"/>
  <c r="F25" i="45"/>
  <c r="E25" i="45"/>
  <c r="F24" i="45"/>
  <c r="E24" i="45"/>
  <c r="F23" i="45"/>
  <c r="E23" i="45"/>
  <c r="F22" i="45"/>
  <c r="E22" i="45"/>
  <c r="F21" i="45"/>
  <c r="E21" i="45"/>
  <c r="F20" i="45"/>
  <c r="E20" i="45"/>
  <c r="F19" i="45"/>
  <c r="E19" i="45"/>
  <c r="M98" i="11"/>
  <c r="D51" i="47" l="1"/>
  <c r="D103" i="47" s="1"/>
  <c r="D130" i="47" s="1"/>
  <c r="D157" i="47" s="1"/>
  <c r="D185" i="47" s="1"/>
  <c r="D50" i="47"/>
  <c r="D102" i="47" s="1"/>
  <c r="D129" i="47" s="1"/>
  <c r="D156" i="47" s="1"/>
  <c r="D184" i="47" s="1"/>
  <c r="D47" i="47"/>
  <c r="D99" i="47" s="1"/>
  <c r="D126" i="47" s="1"/>
  <c r="D153" i="47" s="1"/>
  <c r="D181" i="47" s="1"/>
  <c r="D46" i="47"/>
  <c r="D98" i="47" s="1"/>
  <c r="D125" i="47" s="1"/>
  <c r="D152" i="47" s="1"/>
  <c r="D180" i="47" s="1"/>
  <c r="D43" i="47"/>
  <c r="D95" i="47" s="1"/>
  <c r="D122" i="47" s="1"/>
  <c r="D149" i="47" s="1"/>
  <c r="D177" i="47" s="1"/>
  <c r="D41" i="47"/>
  <c r="D93" i="47" s="1"/>
  <c r="D120" i="47" s="1"/>
  <c r="D147" i="47" s="1"/>
  <c r="D175" i="47" s="1"/>
  <c r="D35" i="47"/>
  <c r="D87" i="47" s="1"/>
  <c r="D114" i="47" s="1"/>
  <c r="D141" i="47" s="1"/>
  <c r="D169" i="47" s="1"/>
  <c r="C18" i="45"/>
  <c r="AE196" i="47"/>
  <c r="R196" i="47"/>
  <c r="CE195" i="47"/>
  <c r="BR195" i="47"/>
  <c r="BE195" i="47"/>
  <c r="AR195" i="47"/>
  <c r="CE194" i="47"/>
  <c r="CE196" i="47" s="1"/>
  <c r="BR194" i="47"/>
  <c r="BE194" i="47"/>
  <c r="BE196" i="47" s="1"/>
  <c r="AR194" i="47"/>
  <c r="AR196" i="47" s="1"/>
  <c r="C191" i="47"/>
  <c r="CE189" i="47"/>
  <c r="R189" i="47"/>
  <c r="CE188" i="47"/>
  <c r="R188" i="47"/>
  <c r="CE187" i="47"/>
  <c r="R187" i="47"/>
  <c r="CE186" i="47"/>
  <c r="R186" i="47"/>
  <c r="CE185" i="47"/>
  <c r="R185" i="47"/>
  <c r="CE184" i="47"/>
  <c r="R184" i="47"/>
  <c r="CE183" i="47"/>
  <c r="R183" i="47"/>
  <c r="CE182" i="47"/>
  <c r="R182" i="47"/>
  <c r="CE181" i="47"/>
  <c r="R181" i="47"/>
  <c r="CE180" i="47"/>
  <c r="R180" i="47"/>
  <c r="CE179" i="47"/>
  <c r="R179" i="47"/>
  <c r="CE178" i="47"/>
  <c r="R178" i="47"/>
  <c r="CE177" i="47"/>
  <c r="R177" i="47"/>
  <c r="CE176" i="47"/>
  <c r="R176" i="47"/>
  <c r="CE175" i="47"/>
  <c r="R175" i="47"/>
  <c r="CE174" i="47"/>
  <c r="R174" i="47"/>
  <c r="CE173" i="47"/>
  <c r="R173" i="47"/>
  <c r="CE172" i="47"/>
  <c r="R172" i="47"/>
  <c r="CE171" i="47"/>
  <c r="R171" i="47"/>
  <c r="CE170" i="47"/>
  <c r="R170" i="47"/>
  <c r="CE169" i="47"/>
  <c r="R169" i="47"/>
  <c r="CE168" i="47"/>
  <c r="DT164" i="47"/>
  <c r="AE164" i="47"/>
  <c r="R164" i="47"/>
  <c r="F164" i="47"/>
  <c r="G163" i="47"/>
  <c r="H163" i="47" s="1"/>
  <c r="I163" i="47" s="1"/>
  <c r="J163" i="47" s="1"/>
  <c r="K163" i="47" s="1"/>
  <c r="L163" i="47" s="1"/>
  <c r="M163" i="47" s="1"/>
  <c r="N163" i="47" s="1"/>
  <c r="O163" i="47" s="1"/>
  <c r="P163" i="47" s="1"/>
  <c r="Q163" i="47" s="1"/>
  <c r="S163" i="47" s="1"/>
  <c r="T163" i="47" s="1"/>
  <c r="U163" i="47" s="1"/>
  <c r="V163" i="47" s="1"/>
  <c r="W163" i="47" s="1"/>
  <c r="X163" i="47" s="1"/>
  <c r="Y163" i="47" s="1"/>
  <c r="Z163" i="47" s="1"/>
  <c r="AA163" i="47" s="1"/>
  <c r="AB163" i="47" s="1"/>
  <c r="AC163" i="47" s="1"/>
  <c r="AD163" i="47" s="1"/>
  <c r="AR163" i="47" s="1"/>
  <c r="G162" i="47"/>
  <c r="C162" i="47"/>
  <c r="C190" i="47" s="1"/>
  <c r="G161" i="47"/>
  <c r="H161" i="47" s="1"/>
  <c r="I161" i="47" s="1"/>
  <c r="G160" i="47"/>
  <c r="H160" i="47" s="1"/>
  <c r="I160" i="47" s="1"/>
  <c r="J160" i="47" s="1"/>
  <c r="K160" i="47" s="1"/>
  <c r="L160" i="47" s="1"/>
  <c r="M160" i="47" s="1"/>
  <c r="N160" i="47" s="1"/>
  <c r="O160" i="47" s="1"/>
  <c r="P160" i="47" s="1"/>
  <c r="Q160" i="47" s="1"/>
  <c r="S160" i="47" s="1"/>
  <c r="G159" i="47"/>
  <c r="H159" i="47" s="1"/>
  <c r="I159" i="47" s="1"/>
  <c r="J159" i="47" s="1"/>
  <c r="K159" i="47" s="1"/>
  <c r="L159" i="47" s="1"/>
  <c r="M159" i="47" s="1"/>
  <c r="N159" i="47" s="1"/>
  <c r="O159" i="47" s="1"/>
  <c r="P159" i="47" s="1"/>
  <c r="Q159" i="47" s="1"/>
  <c r="S159" i="47" s="1"/>
  <c r="T159" i="47" s="1"/>
  <c r="U159" i="47" s="1"/>
  <c r="V159" i="47" s="1"/>
  <c r="W159" i="47" s="1"/>
  <c r="X159" i="47" s="1"/>
  <c r="Y159" i="47" s="1"/>
  <c r="Z159" i="47" s="1"/>
  <c r="AA159" i="47" s="1"/>
  <c r="AB159" i="47" s="1"/>
  <c r="AC159" i="47" s="1"/>
  <c r="AD159" i="47" s="1"/>
  <c r="AF159" i="47" s="1"/>
  <c r="G158" i="47"/>
  <c r="H158" i="47" s="1"/>
  <c r="I158" i="47" s="1"/>
  <c r="G157" i="47"/>
  <c r="H157" i="47" s="1"/>
  <c r="G156" i="47"/>
  <c r="G155" i="47"/>
  <c r="H155" i="47" s="1"/>
  <c r="G154" i="47"/>
  <c r="G153" i="47"/>
  <c r="G152" i="47"/>
  <c r="G151" i="47"/>
  <c r="G150" i="47"/>
  <c r="G149" i="47"/>
  <c r="G148" i="47"/>
  <c r="G147" i="47"/>
  <c r="G146" i="47"/>
  <c r="T145" i="47"/>
  <c r="U145" i="47" s="1"/>
  <c r="G145" i="47"/>
  <c r="T144" i="47"/>
  <c r="U144" i="47" s="1"/>
  <c r="V144" i="47" s="1"/>
  <c r="W144" i="47" s="1"/>
  <c r="X144" i="47" s="1"/>
  <c r="Y144" i="47" s="1"/>
  <c r="Z144" i="47" s="1"/>
  <c r="AA144" i="47" s="1"/>
  <c r="AB144" i="47" s="1"/>
  <c r="AC144" i="47" s="1"/>
  <c r="AD144" i="47" s="1"/>
  <c r="AF144" i="47" s="1"/>
  <c r="G144" i="47"/>
  <c r="H144" i="47" s="1"/>
  <c r="I144" i="47" s="1"/>
  <c r="J144" i="47" s="1"/>
  <c r="K144" i="47" s="1"/>
  <c r="L144" i="47" s="1"/>
  <c r="M144" i="47" s="1"/>
  <c r="N144" i="47" s="1"/>
  <c r="O144" i="47" s="1"/>
  <c r="P144" i="47" s="1"/>
  <c r="Q144" i="47" s="1"/>
  <c r="G143" i="47"/>
  <c r="H143" i="47" s="1"/>
  <c r="I143" i="47" s="1"/>
  <c r="J143" i="47" s="1"/>
  <c r="K143" i="47" s="1"/>
  <c r="L143" i="47" s="1"/>
  <c r="M143" i="47" s="1"/>
  <c r="N143" i="47" s="1"/>
  <c r="O143" i="47" s="1"/>
  <c r="P143" i="47" s="1"/>
  <c r="Q143" i="47" s="1"/>
  <c r="S143" i="47" s="1"/>
  <c r="T142" i="47"/>
  <c r="U142" i="47" s="1"/>
  <c r="V142" i="47" s="1"/>
  <c r="W142" i="47" s="1"/>
  <c r="G142" i="47"/>
  <c r="H142" i="47" s="1"/>
  <c r="I142" i="47" s="1"/>
  <c r="J142" i="47" s="1"/>
  <c r="K142" i="47" s="1"/>
  <c r="L142" i="47" s="1"/>
  <c r="M142" i="47" s="1"/>
  <c r="N142" i="47" s="1"/>
  <c r="O142" i="47" s="1"/>
  <c r="P142" i="47" s="1"/>
  <c r="Q142" i="47" s="1"/>
  <c r="G141" i="47"/>
  <c r="H141" i="47" s="1"/>
  <c r="I141" i="47" s="1"/>
  <c r="J141" i="47" s="1"/>
  <c r="K141" i="47" s="1"/>
  <c r="L141" i="47" s="1"/>
  <c r="M141" i="47" s="1"/>
  <c r="N141" i="47" s="1"/>
  <c r="O141" i="47" s="1"/>
  <c r="P141" i="47" s="1"/>
  <c r="Q141" i="47" s="1"/>
  <c r="S141" i="47" s="1"/>
  <c r="G140" i="47"/>
  <c r="DT136" i="47"/>
  <c r="DT191" i="47" s="1"/>
  <c r="CD136" i="47"/>
  <c r="CD191" i="47" s="1"/>
  <c r="CC136" i="47"/>
  <c r="CC191" i="47" s="1"/>
  <c r="CB136" i="47"/>
  <c r="CB191" i="47" s="1"/>
  <c r="CA136" i="47"/>
  <c r="CA191" i="47" s="1"/>
  <c r="BZ136" i="47"/>
  <c r="BZ191" i="47" s="1"/>
  <c r="BY136" i="47"/>
  <c r="BY191" i="47" s="1"/>
  <c r="BX136" i="47"/>
  <c r="BX191" i="47" s="1"/>
  <c r="BW136" i="47"/>
  <c r="BW191" i="47" s="1"/>
  <c r="BV136" i="47"/>
  <c r="BV191" i="47" s="1"/>
  <c r="BU136" i="47"/>
  <c r="BU191" i="47" s="1"/>
  <c r="BT136" i="47"/>
  <c r="BT191" i="47" s="1"/>
  <c r="BS136" i="47"/>
  <c r="BS191" i="47" s="1"/>
  <c r="BQ136" i="47"/>
  <c r="BQ191" i="47" s="1"/>
  <c r="BP136" i="47"/>
  <c r="BP191" i="47" s="1"/>
  <c r="BO136" i="47"/>
  <c r="BO191" i="47" s="1"/>
  <c r="BN136" i="47"/>
  <c r="BN191" i="47" s="1"/>
  <c r="BM136" i="47"/>
  <c r="BM191" i="47" s="1"/>
  <c r="BL136" i="47"/>
  <c r="BL191" i="47" s="1"/>
  <c r="BK136" i="47"/>
  <c r="BK191" i="47" s="1"/>
  <c r="BJ136" i="47"/>
  <c r="BJ191" i="47" s="1"/>
  <c r="BI136" i="47"/>
  <c r="BI191" i="47" s="1"/>
  <c r="BH136" i="47"/>
  <c r="BH191" i="47" s="1"/>
  <c r="BG136" i="47"/>
  <c r="BG191" i="47" s="1"/>
  <c r="BF136" i="47"/>
  <c r="BF191" i="47" s="1"/>
  <c r="BD136" i="47"/>
  <c r="BD191" i="47" s="1"/>
  <c r="BC136" i="47"/>
  <c r="BC191" i="47" s="1"/>
  <c r="BB136" i="47"/>
  <c r="BB191" i="47" s="1"/>
  <c r="BA136" i="47"/>
  <c r="BA191" i="47" s="1"/>
  <c r="AZ136" i="47"/>
  <c r="AZ191" i="47" s="1"/>
  <c r="AY136" i="47"/>
  <c r="AY191" i="47" s="1"/>
  <c r="AX136" i="47"/>
  <c r="AX191" i="47" s="1"/>
  <c r="AW136" i="47"/>
  <c r="AW191" i="47" s="1"/>
  <c r="AV136" i="47"/>
  <c r="AV191" i="47" s="1"/>
  <c r="AU136" i="47"/>
  <c r="AU191" i="47" s="1"/>
  <c r="AT136" i="47"/>
  <c r="AT191" i="47" s="1"/>
  <c r="AS136" i="47"/>
  <c r="AS191" i="47" s="1"/>
  <c r="AQ136" i="47"/>
  <c r="AQ191" i="47" s="1"/>
  <c r="AP136" i="47"/>
  <c r="AP191" i="47" s="1"/>
  <c r="AO136" i="47"/>
  <c r="AO191" i="47" s="1"/>
  <c r="AN136" i="47"/>
  <c r="AN191" i="47" s="1"/>
  <c r="AM136" i="47"/>
  <c r="AM191" i="47" s="1"/>
  <c r="AL136" i="47"/>
  <c r="AL191" i="47" s="1"/>
  <c r="AK136" i="47"/>
  <c r="AK191" i="47" s="1"/>
  <c r="AJ136" i="47"/>
  <c r="AJ191" i="47" s="1"/>
  <c r="AI136" i="47"/>
  <c r="AI191" i="47" s="1"/>
  <c r="AH136" i="47"/>
  <c r="AH191" i="47" s="1"/>
  <c r="AG136" i="47"/>
  <c r="AG191" i="47" s="1"/>
  <c r="AF136" i="47"/>
  <c r="AF191" i="47" s="1"/>
  <c r="AE136" i="47"/>
  <c r="AE191" i="47" s="1"/>
  <c r="R136" i="47"/>
  <c r="R191" i="47" s="1"/>
  <c r="F136" i="47"/>
  <c r="F191" i="47" s="1"/>
  <c r="C136" i="47"/>
  <c r="C163" i="47" s="1"/>
  <c r="DT135" i="47"/>
  <c r="DT190" i="47" s="1"/>
  <c r="AE135" i="47"/>
  <c r="AE190" i="47" s="1"/>
  <c r="R135" i="47"/>
  <c r="R190" i="47" s="1"/>
  <c r="F135" i="47"/>
  <c r="F190" i="47" s="1"/>
  <c r="DT134" i="47"/>
  <c r="DT189" i="47" s="1"/>
  <c r="BR134" i="47"/>
  <c r="BR189" i="47" s="1"/>
  <c r="BE134" i="47"/>
  <c r="BE189" i="47" s="1"/>
  <c r="AR134" i="47"/>
  <c r="AR189" i="47" s="1"/>
  <c r="AE134" i="47"/>
  <c r="AE189" i="47" s="1"/>
  <c r="F134" i="47"/>
  <c r="DT133" i="47"/>
  <c r="DT188" i="47" s="1"/>
  <c r="BR133" i="47"/>
  <c r="BR188" i="47" s="1"/>
  <c r="BE133" i="47"/>
  <c r="BE188" i="47" s="1"/>
  <c r="AR133" i="47"/>
  <c r="AR188" i="47" s="1"/>
  <c r="AE133" i="47"/>
  <c r="AE188" i="47" s="1"/>
  <c r="F133" i="47"/>
  <c r="DT132" i="47"/>
  <c r="DT187" i="47" s="1"/>
  <c r="BR132" i="47"/>
  <c r="BR187" i="47" s="1"/>
  <c r="BE132" i="47"/>
  <c r="BE187" i="47" s="1"/>
  <c r="AR132" i="47"/>
  <c r="AR187" i="47" s="1"/>
  <c r="AE132" i="47"/>
  <c r="AE187" i="47" s="1"/>
  <c r="F132" i="47"/>
  <c r="DT131" i="47"/>
  <c r="DT186" i="47" s="1"/>
  <c r="BR131" i="47"/>
  <c r="BR186" i="47" s="1"/>
  <c r="BE131" i="47"/>
  <c r="BE186" i="47" s="1"/>
  <c r="AR131" i="47"/>
  <c r="AR186" i="47" s="1"/>
  <c r="AE131" i="47"/>
  <c r="AE186" i="47" s="1"/>
  <c r="F131" i="47"/>
  <c r="DT130" i="47"/>
  <c r="DT185" i="47" s="1"/>
  <c r="BR130" i="47"/>
  <c r="BR185" i="47" s="1"/>
  <c r="BE130" i="47"/>
  <c r="BE185" i="47" s="1"/>
  <c r="AR130" i="47"/>
  <c r="AR185" i="47" s="1"/>
  <c r="AE130" i="47"/>
  <c r="AE185" i="47" s="1"/>
  <c r="F130" i="47"/>
  <c r="DT129" i="47"/>
  <c r="DT184" i="47" s="1"/>
  <c r="BR129" i="47"/>
  <c r="BR184" i="47" s="1"/>
  <c r="BE129" i="47"/>
  <c r="BE184" i="47" s="1"/>
  <c r="AR129" i="47"/>
  <c r="AR184" i="47" s="1"/>
  <c r="AE129" i="47"/>
  <c r="AE184" i="47" s="1"/>
  <c r="F129" i="47"/>
  <c r="DT128" i="47"/>
  <c r="DT183" i="47" s="1"/>
  <c r="BR128" i="47"/>
  <c r="BR183" i="47" s="1"/>
  <c r="BE128" i="47"/>
  <c r="BE183" i="47" s="1"/>
  <c r="AR128" i="47"/>
  <c r="AR183" i="47" s="1"/>
  <c r="AE128" i="47"/>
  <c r="AE183" i="47" s="1"/>
  <c r="F128" i="47"/>
  <c r="DT127" i="47"/>
  <c r="DT182" i="47" s="1"/>
  <c r="BR127" i="47"/>
  <c r="BR182" i="47" s="1"/>
  <c r="BE127" i="47"/>
  <c r="BE182" i="47" s="1"/>
  <c r="AR127" i="47"/>
  <c r="AR182" i="47" s="1"/>
  <c r="AE127" i="47"/>
  <c r="AE182" i="47" s="1"/>
  <c r="F127" i="47"/>
  <c r="DT126" i="47"/>
  <c r="DT181" i="47" s="1"/>
  <c r="BR126" i="47"/>
  <c r="BR181" i="47" s="1"/>
  <c r="BE126" i="47"/>
  <c r="BE181" i="47" s="1"/>
  <c r="AR126" i="47"/>
  <c r="AR181" i="47" s="1"/>
  <c r="AE126" i="47"/>
  <c r="AE181" i="47" s="1"/>
  <c r="F126" i="47"/>
  <c r="DT125" i="47"/>
  <c r="DT180" i="47" s="1"/>
  <c r="BR125" i="47"/>
  <c r="BR180" i="47" s="1"/>
  <c r="BE125" i="47"/>
  <c r="BE180" i="47" s="1"/>
  <c r="AR125" i="47"/>
  <c r="AR180" i="47" s="1"/>
  <c r="AE125" i="47"/>
  <c r="AE180" i="47" s="1"/>
  <c r="F125" i="47"/>
  <c r="DT124" i="47"/>
  <c r="DT179" i="47" s="1"/>
  <c r="BR124" i="47"/>
  <c r="BR179" i="47" s="1"/>
  <c r="BE124" i="47"/>
  <c r="BE179" i="47" s="1"/>
  <c r="AR124" i="47"/>
  <c r="AR179" i="47" s="1"/>
  <c r="AE124" i="47"/>
  <c r="AE179" i="47" s="1"/>
  <c r="F124" i="47"/>
  <c r="DT123" i="47"/>
  <c r="DT178" i="47" s="1"/>
  <c r="BR123" i="47"/>
  <c r="BR178" i="47" s="1"/>
  <c r="BE123" i="47"/>
  <c r="BE178" i="47" s="1"/>
  <c r="AR123" i="47"/>
  <c r="AR178" i="47" s="1"/>
  <c r="AE123" i="47"/>
  <c r="AE178" i="47" s="1"/>
  <c r="F123" i="47"/>
  <c r="DT122" i="47"/>
  <c r="DT177" i="47" s="1"/>
  <c r="BR122" i="47"/>
  <c r="BR177" i="47" s="1"/>
  <c r="BE122" i="47"/>
  <c r="BE177" i="47" s="1"/>
  <c r="AR122" i="47"/>
  <c r="AR177" i="47" s="1"/>
  <c r="AE122" i="47"/>
  <c r="AE177" i="47" s="1"/>
  <c r="F122" i="47"/>
  <c r="DT121" i="47"/>
  <c r="DT176" i="47" s="1"/>
  <c r="BR121" i="47"/>
  <c r="BR176" i="47" s="1"/>
  <c r="BE121" i="47"/>
  <c r="BE176" i="47" s="1"/>
  <c r="AR121" i="47"/>
  <c r="AR176" i="47" s="1"/>
  <c r="AE121" i="47"/>
  <c r="AE176" i="47" s="1"/>
  <c r="F121" i="47"/>
  <c r="DT120" i="47"/>
  <c r="DT175" i="47" s="1"/>
  <c r="BR120" i="47"/>
  <c r="BR175" i="47" s="1"/>
  <c r="BE120" i="47"/>
  <c r="BE175" i="47" s="1"/>
  <c r="AR120" i="47"/>
  <c r="AR175" i="47" s="1"/>
  <c r="AE120" i="47"/>
  <c r="AE175" i="47" s="1"/>
  <c r="F120" i="47"/>
  <c r="DT119" i="47"/>
  <c r="DT174" i="47" s="1"/>
  <c r="BR119" i="47"/>
  <c r="BR174" i="47" s="1"/>
  <c r="BE119" i="47"/>
  <c r="BE174" i="47" s="1"/>
  <c r="AR119" i="47"/>
  <c r="AR174" i="47" s="1"/>
  <c r="AE119" i="47"/>
  <c r="AE174" i="47" s="1"/>
  <c r="F119" i="47"/>
  <c r="DT118" i="47"/>
  <c r="DT173" i="47" s="1"/>
  <c r="BR118" i="47"/>
  <c r="BR173" i="47" s="1"/>
  <c r="BE118" i="47"/>
  <c r="BE173" i="47" s="1"/>
  <c r="AR118" i="47"/>
  <c r="AR173" i="47" s="1"/>
  <c r="AE118" i="47"/>
  <c r="AE173" i="47" s="1"/>
  <c r="F118" i="47"/>
  <c r="DT117" i="47"/>
  <c r="DT172" i="47" s="1"/>
  <c r="BR117" i="47"/>
  <c r="BR172" i="47" s="1"/>
  <c r="BE117" i="47"/>
  <c r="BE172" i="47" s="1"/>
  <c r="AR117" i="47"/>
  <c r="AR172" i="47" s="1"/>
  <c r="AE117" i="47"/>
  <c r="AE172" i="47" s="1"/>
  <c r="F117" i="47"/>
  <c r="DT116" i="47"/>
  <c r="DT171" i="47" s="1"/>
  <c r="BR116" i="47"/>
  <c r="BR171" i="47" s="1"/>
  <c r="BE116" i="47"/>
  <c r="BE171" i="47" s="1"/>
  <c r="AR116" i="47"/>
  <c r="AR171" i="47" s="1"/>
  <c r="AE116" i="47"/>
  <c r="AE171" i="47" s="1"/>
  <c r="F116" i="47"/>
  <c r="DT115" i="47"/>
  <c r="BR115" i="47"/>
  <c r="BR170" i="47" s="1"/>
  <c r="BE115" i="47"/>
  <c r="BE170" i="47" s="1"/>
  <c r="AR115" i="47"/>
  <c r="AR170" i="47" s="1"/>
  <c r="AE115" i="47"/>
  <c r="AE170" i="47" s="1"/>
  <c r="F115" i="47"/>
  <c r="DT114" i="47"/>
  <c r="DT169" i="47" s="1"/>
  <c r="BR114" i="47"/>
  <c r="BR169" i="47" s="1"/>
  <c r="BE114" i="47"/>
  <c r="BE169" i="47" s="1"/>
  <c r="AR114" i="47"/>
  <c r="AR169" i="47" s="1"/>
  <c r="AE114" i="47"/>
  <c r="AE169" i="47" s="1"/>
  <c r="F114" i="47"/>
  <c r="F169" i="47" s="1"/>
  <c r="BR113" i="47"/>
  <c r="BE113" i="47"/>
  <c r="AR113" i="47"/>
  <c r="AR168" i="47" s="1"/>
  <c r="AE113" i="47"/>
  <c r="R113" i="47"/>
  <c r="R168" i="47" s="1"/>
  <c r="F113" i="47"/>
  <c r="C113" i="47"/>
  <c r="B18" i="45" s="1"/>
  <c r="DT110" i="47"/>
  <c r="AE110" i="47"/>
  <c r="R110" i="47"/>
  <c r="F110" i="47"/>
  <c r="G109" i="47"/>
  <c r="H109" i="47" s="1"/>
  <c r="I109" i="47" s="1"/>
  <c r="J109" i="47" s="1"/>
  <c r="K109" i="47" s="1"/>
  <c r="L109" i="47" s="1"/>
  <c r="M109" i="47" s="1"/>
  <c r="N109" i="47" s="1"/>
  <c r="O109" i="47" s="1"/>
  <c r="P109" i="47" s="1"/>
  <c r="Q109" i="47" s="1"/>
  <c r="S109" i="47" s="1"/>
  <c r="T109" i="47" s="1"/>
  <c r="U109" i="47" s="1"/>
  <c r="V109" i="47" s="1"/>
  <c r="W109" i="47" s="1"/>
  <c r="X109" i="47" s="1"/>
  <c r="Y109" i="47" s="1"/>
  <c r="Z109" i="47" s="1"/>
  <c r="AA109" i="47" s="1"/>
  <c r="AB109" i="47" s="1"/>
  <c r="AC109" i="47" s="1"/>
  <c r="AD109" i="47" s="1"/>
  <c r="AR109" i="47" s="1"/>
  <c r="CE108" i="47"/>
  <c r="CR108" i="47" s="1"/>
  <c r="G108" i="47"/>
  <c r="H108" i="47" s="1"/>
  <c r="I108" i="47" s="1"/>
  <c r="J108" i="47" s="1"/>
  <c r="K108" i="47" s="1"/>
  <c r="L108" i="47" s="1"/>
  <c r="M108" i="47" s="1"/>
  <c r="N108" i="47" s="1"/>
  <c r="O108" i="47" s="1"/>
  <c r="P108" i="47" s="1"/>
  <c r="Q108" i="47" s="1"/>
  <c r="S108" i="47" s="1"/>
  <c r="T108" i="47" s="1"/>
  <c r="U108" i="47" s="1"/>
  <c r="V108" i="47" s="1"/>
  <c r="W108" i="47" s="1"/>
  <c r="X108" i="47" s="1"/>
  <c r="Y108" i="47" s="1"/>
  <c r="Z108" i="47" s="1"/>
  <c r="AA108" i="47" s="1"/>
  <c r="AB108" i="47" s="1"/>
  <c r="AC108" i="47" s="1"/>
  <c r="AD108" i="47" s="1"/>
  <c r="AF108" i="47" s="1"/>
  <c r="AG108" i="47" s="1"/>
  <c r="AH108" i="47" s="1"/>
  <c r="AI108" i="47" s="1"/>
  <c r="AJ108" i="47" s="1"/>
  <c r="AK108" i="47" s="1"/>
  <c r="AL108" i="47" s="1"/>
  <c r="AM108" i="47" s="1"/>
  <c r="AN108" i="47" s="1"/>
  <c r="AO108" i="47" s="1"/>
  <c r="AP108" i="47" s="1"/>
  <c r="AQ108" i="47" s="1"/>
  <c r="AS108" i="47" s="1"/>
  <c r="AT108" i="47" s="1"/>
  <c r="AU108" i="47" s="1"/>
  <c r="AV108" i="47" s="1"/>
  <c r="AW108" i="47" s="1"/>
  <c r="AX108" i="47" s="1"/>
  <c r="AY108" i="47" s="1"/>
  <c r="AZ108" i="47" s="1"/>
  <c r="BA108" i="47" s="1"/>
  <c r="BB108" i="47" s="1"/>
  <c r="BC108" i="47" s="1"/>
  <c r="BD108" i="47" s="1"/>
  <c r="BF108" i="47" s="1"/>
  <c r="BG108" i="47" s="1"/>
  <c r="BH108" i="47" s="1"/>
  <c r="BI108" i="47" s="1"/>
  <c r="BJ108" i="47" s="1"/>
  <c r="BK108" i="47" s="1"/>
  <c r="BL108" i="47" s="1"/>
  <c r="BM108" i="47" s="1"/>
  <c r="BN108" i="47" s="1"/>
  <c r="BO108" i="47" s="1"/>
  <c r="BP108" i="47" s="1"/>
  <c r="BQ108" i="47" s="1"/>
  <c r="BS108" i="47" s="1"/>
  <c r="BT108" i="47" s="1"/>
  <c r="BU108" i="47" s="1"/>
  <c r="BV108" i="47" s="1"/>
  <c r="BW108" i="47" s="1"/>
  <c r="BX108" i="47" s="1"/>
  <c r="BY108" i="47" s="1"/>
  <c r="BZ108" i="47" s="1"/>
  <c r="CA108" i="47" s="1"/>
  <c r="CB108" i="47" s="1"/>
  <c r="CC108" i="47" s="1"/>
  <c r="CD108" i="47" s="1"/>
  <c r="CF108" i="47" s="1"/>
  <c r="CG108" i="47" s="1"/>
  <c r="CH108" i="47" s="1"/>
  <c r="CI108" i="47" s="1"/>
  <c r="CJ108" i="47" s="1"/>
  <c r="CK108" i="47" s="1"/>
  <c r="CL108" i="47" s="1"/>
  <c r="CM108" i="47" s="1"/>
  <c r="CN108" i="47" s="1"/>
  <c r="CO108" i="47" s="1"/>
  <c r="CP108" i="47" s="1"/>
  <c r="CQ108" i="47" s="1"/>
  <c r="CS108" i="47" s="1"/>
  <c r="CT108" i="47" s="1"/>
  <c r="CU108" i="47" s="1"/>
  <c r="CV108" i="47" s="1"/>
  <c r="CW108" i="47" s="1"/>
  <c r="CX108" i="47" s="1"/>
  <c r="CY108" i="47" s="1"/>
  <c r="CZ108" i="47" s="1"/>
  <c r="DA108" i="47" s="1"/>
  <c r="DB108" i="47" s="1"/>
  <c r="DC108" i="47" s="1"/>
  <c r="DD108" i="47" s="1"/>
  <c r="DF108" i="47" s="1"/>
  <c r="DG108" i="47" s="1"/>
  <c r="DH108" i="47" s="1"/>
  <c r="DI108" i="47" s="1"/>
  <c r="DJ108" i="47" s="1"/>
  <c r="DK108" i="47" s="1"/>
  <c r="DL108" i="47" s="1"/>
  <c r="DM108" i="47" s="1"/>
  <c r="DN108" i="47" s="1"/>
  <c r="DO108" i="47" s="1"/>
  <c r="DP108" i="47" s="1"/>
  <c r="DQ108" i="47" s="1"/>
  <c r="G107" i="47"/>
  <c r="G106" i="47"/>
  <c r="G105" i="47"/>
  <c r="G104" i="47"/>
  <c r="H104" i="47" s="1"/>
  <c r="G103" i="47"/>
  <c r="H103" i="47" s="1"/>
  <c r="I103" i="47" s="1"/>
  <c r="J103" i="47" s="1"/>
  <c r="K103" i="47" s="1"/>
  <c r="L103" i="47" s="1"/>
  <c r="M103" i="47" s="1"/>
  <c r="N103" i="47" s="1"/>
  <c r="O103" i="47" s="1"/>
  <c r="P103" i="47" s="1"/>
  <c r="Q103" i="47" s="1"/>
  <c r="S103" i="47" s="1"/>
  <c r="T103" i="47" s="1"/>
  <c r="U103" i="47" s="1"/>
  <c r="V103" i="47" s="1"/>
  <c r="W103" i="47" s="1"/>
  <c r="X103" i="47" s="1"/>
  <c r="Y103" i="47" s="1"/>
  <c r="Z103" i="47" s="1"/>
  <c r="AA103" i="47" s="1"/>
  <c r="AB103" i="47" s="1"/>
  <c r="AC103" i="47" s="1"/>
  <c r="AD103" i="47" s="1"/>
  <c r="AF103" i="47" s="1"/>
  <c r="AG103" i="47" s="1"/>
  <c r="AH103" i="47" s="1"/>
  <c r="AI103" i="47" s="1"/>
  <c r="AJ103" i="47" s="1"/>
  <c r="AK103" i="47" s="1"/>
  <c r="AL103" i="47" s="1"/>
  <c r="AM103" i="47" s="1"/>
  <c r="AN103" i="47" s="1"/>
  <c r="AO103" i="47" s="1"/>
  <c r="AP103" i="47" s="1"/>
  <c r="AQ103" i="47" s="1"/>
  <c r="AS103" i="47" s="1"/>
  <c r="AT103" i="47" s="1"/>
  <c r="AU103" i="47" s="1"/>
  <c r="AV103" i="47" s="1"/>
  <c r="AW103" i="47" s="1"/>
  <c r="AX103" i="47" s="1"/>
  <c r="AY103" i="47" s="1"/>
  <c r="AZ103" i="47" s="1"/>
  <c r="BA103" i="47" s="1"/>
  <c r="BB103" i="47" s="1"/>
  <c r="BC103" i="47" s="1"/>
  <c r="BD103" i="47" s="1"/>
  <c r="BF103" i="47" s="1"/>
  <c r="BG103" i="47" s="1"/>
  <c r="BH103" i="47" s="1"/>
  <c r="BI103" i="47" s="1"/>
  <c r="BJ103" i="47" s="1"/>
  <c r="BK103" i="47" s="1"/>
  <c r="BL103" i="47" s="1"/>
  <c r="BM103" i="47" s="1"/>
  <c r="BN103" i="47" s="1"/>
  <c r="BO103" i="47" s="1"/>
  <c r="BP103" i="47" s="1"/>
  <c r="BQ103" i="47" s="1"/>
  <c r="BS103" i="47" s="1"/>
  <c r="BT103" i="47" s="1"/>
  <c r="BU103" i="47" s="1"/>
  <c r="BV103" i="47" s="1"/>
  <c r="BW103" i="47" s="1"/>
  <c r="BX103" i="47" s="1"/>
  <c r="BY103" i="47" s="1"/>
  <c r="BZ103" i="47" s="1"/>
  <c r="CA103" i="47" s="1"/>
  <c r="CB103" i="47" s="1"/>
  <c r="CC103" i="47" s="1"/>
  <c r="CD103" i="47" s="1"/>
  <c r="CF103" i="47" s="1"/>
  <c r="CG103" i="47" s="1"/>
  <c r="CH103" i="47" s="1"/>
  <c r="CI103" i="47" s="1"/>
  <c r="CJ103" i="47" s="1"/>
  <c r="CK103" i="47" s="1"/>
  <c r="CL103" i="47" s="1"/>
  <c r="CM103" i="47" s="1"/>
  <c r="CN103" i="47" s="1"/>
  <c r="CO103" i="47" s="1"/>
  <c r="CP103" i="47" s="1"/>
  <c r="CQ103" i="47" s="1"/>
  <c r="CS103" i="47" s="1"/>
  <c r="CT103" i="47" s="1"/>
  <c r="CU103" i="47" s="1"/>
  <c r="CV103" i="47" s="1"/>
  <c r="CW103" i="47" s="1"/>
  <c r="CX103" i="47" s="1"/>
  <c r="CY103" i="47" s="1"/>
  <c r="CZ103" i="47" s="1"/>
  <c r="DA103" i="47" s="1"/>
  <c r="DB103" i="47" s="1"/>
  <c r="DC103" i="47" s="1"/>
  <c r="DD103" i="47" s="1"/>
  <c r="DF103" i="47" s="1"/>
  <c r="DG103" i="47" s="1"/>
  <c r="DH103" i="47" s="1"/>
  <c r="DI103" i="47" s="1"/>
  <c r="DJ103" i="47" s="1"/>
  <c r="DK103" i="47" s="1"/>
  <c r="DL103" i="47" s="1"/>
  <c r="DM103" i="47" s="1"/>
  <c r="DN103" i="47" s="1"/>
  <c r="DO103" i="47" s="1"/>
  <c r="DP103" i="47" s="1"/>
  <c r="DQ103" i="47" s="1"/>
  <c r="G102" i="47"/>
  <c r="H102" i="47" s="1"/>
  <c r="G101" i="47"/>
  <c r="H101" i="47" s="1"/>
  <c r="I101" i="47" s="1"/>
  <c r="J101" i="47" s="1"/>
  <c r="K101" i="47" s="1"/>
  <c r="L101" i="47" s="1"/>
  <c r="M101" i="47" s="1"/>
  <c r="N101" i="47" s="1"/>
  <c r="O101" i="47" s="1"/>
  <c r="P101" i="47" s="1"/>
  <c r="Q101" i="47" s="1"/>
  <c r="S101" i="47" s="1"/>
  <c r="T101" i="47" s="1"/>
  <c r="U101" i="47" s="1"/>
  <c r="V101" i="47" s="1"/>
  <c r="W101" i="47" s="1"/>
  <c r="X101" i="47" s="1"/>
  <c r="Y101" i="47" s="1"/>
  <c r="Z101" i="47" s="1"/>
  <c r="AA101" i="47" s="1"/>
  <c r="AB101" i="47" s="1"/>
  <c r="AC101" i="47" s="1"/>
  <c r="AD101" i="47" s="1"/>
  <c r="AF101" i="47" s="1"/>
  <c r="AG101" i="47" s="1"/>
  <c r="AH101" i="47" s="1"/>
  <c r="AI101" i="47" s="1"/>
  <c r="AJ101" i="47" s="1"/>
  <c r="AK101" i="47" s="1"/>
  <c r="AL101" i="47" s="1"/>
  <c r="AM101" i="47" s="1"/>
  <c r="AN101" i="47" s="1"/>
  <c r="AO101" i="47" s="1"/>
  <c r="AP101" i="47" s="1"/>
  <c r="AQ101" i="47" s="1"/>
  <c r="AS101" i="47" s="1"/>
  <c r="AT101" i="47" s="1"/>
  <c r="AU101" i="47" s="1"/>
  <c r="AV101" i="47" s="1"/>
  <c r="AW101" i="47" s="1"/>
  <c r="AX101" i="47" s="1"/>
  <c r="AY101" i="47" s="1"/>
  <c r="AZ101" i="47" s="1"/>
  <c r="BA101" i="47" s="1"/>
  <c r="BB101" i="47" s="1"/>
  <c r="BC101" i="47" s="1"/>
  <c r="BD101" i="47" s="1"/>
  <c r="BF101" i="47" s="1"/>
  <c r="BG101" i="47" s="1"/>
  <c r="BH101" i="47" s="1"/>
  <c r="BI101" i="47" s="1"/>
  <c r="BJ101" i="47" s="1"/>
  <c r="BK101" i="47" s="1"/>
  <c r="BL101" i="47" s="1"/>
  <c r="BM101" i="47" s="1"/>
  <c r="BN101" i="47" s="1"/>
  <c r="BO101" i="47" s="1"/>
  <c r="BP101" i="47" s="1"/>
  <c r="BQ101" i="47" s="1"/>
  <c r="BS101" i="47" s="1"/>
  <c r="BT101" i="47" s="1"/>
  <c r="BU101" i="47" s="1"/>
  <c r="BV101" i="47" s="1"/>
  <c r="BW101" i="47" s="1"/>
  <c r="BX101" i="47" s="1"/>
  <c r="BY101" i="47" s="1"/>
  <c r="BZ101" i="47" s="1"/>
  <c r="CA101" i="47" s="1"/>
  <c r="CB101" i="47" s="1"/>
  <c r="CC101" i="47" s="1"/>
  <c r="CD101" i="47" s="1"/>
  <c r="CF101" i="47" s="1"/>
  <c r="CG101" i="47" s="1"/>
  <c r="CH101" i="47" s="1"/>
  <c r="CI101" i="47" s="1"/>
  <c r="CJ101" i="47" s="1"/>
  <c r="CK101" i="47" s="1"/>
  <c r="CL101" i="47" s="1"/>
  <c r="CM101" i="47" s="1"/>
  <c r="CN101" i="47" s="1"/>
  <c r="CO101" i="47" s="1"/>
  <c r="CP101" i="47" s="1"/>
  <c r="CQ101" i="47" s="1"/>
  <c r="CS101" i="47" s="1"/>
  <c r="CT101" i="47" s="1"/>
  <c r="CU101" i="47" s="1"/>
  <c r="CV101" i="47" s="1"/>
  <c r="CW101" i="47" s="1"/>
  <c r="CX101" i="47" s="1"/>
  <c r="CY101" i="47" s="1"/>
  <c r="CZ101" i="47" s="1"/>
  <c r="DA101" i="47" s="1"/>
  <c r="DB101" i="47" s="1"/>
  <c r="DC101" i="47" s="1"/>
  <c r="DD101" i="47" s="1"/>
  <c r="DF101" i="47" s="1"/>
  <c r="DG101" i="47" s="1"/>
  <c r="DH101" i="47" s="1"/>
  <c r="DI101" i="47" s="1"/>
  <c r="DJ101" i="47" s="1"/>
  <c r="DK101" i="47" s="1"/>
  <c r="DL101" i="47" s="1"/>
  <c r="DM101" i="47" s="1"/>
  <c r="DN101" i="47" s="1"/>
  <c r="DO101" i="47" s="1"/>
  <c r="DP101" i="47" s="1"/>
  <c r="DQ101" i="47" s="1"/>
  <c r="G100" i="47"/>
  <c r="H100" i="47" s="1"/>
  <c r="I100" i="47" s="1"/>
  <c r="J100" i="47" s="1"/>
  <c r="K100" i="47" s="1"/>
  <c r="L100" i="47" s="1"/>
  <c r="M100" i="47" s="1"/>
  <c r="N100" i="47" s="1"/>
  <c r="O100" i="47" s="1"/>
  <c r="P100" i="47" s="1"/>
  <c r="Q100" i="47" s="1"/>
  <c r="S100" i="47" s="1"/>
  <c r="T100" i="47" s="1"/>
  <c r="U100" i="47" s="1"/>
  <c r="V100" i="47" s="1"/>
  <c r="W100" i="47" s="1"/>
  <c r="X100" i="47" s="1"/>
  <c r="Y100" i="47" s="1"/>
  <c r="Z100" i="47" s="1"/>
  <c r="AA100" i="47" s="1"/>
  <c r="AB100" i="47" s="1"/>
  <c r="AC100" i="47" s="1"/>
  <c r="AD100" i="47" s="1"/>
  <c r="AF100" i="47" s="1"/>
  <c r="AG100" i="47" s="1"/>
  <c r="AH100" i="47" s="1"/>
  <c r="AI100" i="47" s="1"/>
  <c r="AJ100" i="47" s="1"/>
  <c r="AK100" i="47" s="1"/>
  <c r="AL100" i="47" s="1"/>
  <c r="AM100" i="47" s="1"/>
  <c r="AN100" i="47" s="1"/>
  <c r="AO100" i="47" s="1"/>
  <c r="AP100" i="47" s="1"/>
  <c r="AQ100" i="47" s="1"/>
  <c r="AS100" i="47" s="1"/>
  <c r="AT100" i="47" s="1"/>
  <c r="AU100" i="47" s="1"/>
  <c r="AV100" i="47" s="1"/>
  <c r="AW100" i="47" s="1"/>
  <c r="AX100" i="47" s="1"/>
  <c r="AY100" i="47" s="1"/>
  <c r="AZ100" i="47" s="1"/>
  <c r="BA100" i="47" s="1"/>
  <c r="BB100" i="47" s="1"/>
  <c r="BC100" i="47" s="1"/>
  <c r="BD100" i="47" s="1"/>
  <c r="BF100" i="47" s="1"/>
  <c r="BG100" i="47" s="1"/>
  <c r="BH100" i="47" s="1"/>
  <c r="BI100" i="47" s="1"/>
  <c r="BJ100" i="47" s="1"/>
  <c r="BK100" i="47" s="1"/>
  <c r="BL100" i="47" s="1"/>
  <c r="BM100" i="47" s="1"/>
  <c r="BN100" i="47" s="1"/>
  <c r="BO100" i="47" s="1"/>
  <c r="BP100" i="47" s="1"/>
  <c r="BQ100" i="47" s="1"/>
  <c r="BS100" i="47" s="1"/>
  <c r="BT100" i="47" s="1"/>
  <c r="BU100" i="47" s="1"/>
  <c r="BV100" i="47" s="1"/>
  <c r="BW100" i="47" s="1"/>
  <c r="BX100" i="47" s="1"/>
  <c r="BY100" i="47" s="1"/>
  <c r="BZ100" i="47" s="1"/>
  <c r="CA100" i="47" s="1"/>
  <c r="CB100" i="47" s="1"/>
  <c r="CC100" i="47" s="1"/>
  <c r="CD100" i="47" s="1"/>
  <c r="CF100" i="47" s="1"/>
  <c r="CG100" i="47" s="1"/>
  <c r="CH100" i="47" s="1"/>
  <c r="CI100" i="47" s="1"/>
  <c r="CJ100" i="47" s="1"/>
  <c r="CK100" i="47" s="1"/>
  <c r="CL100" i="47" s="1"/>
  <c r="CM100" i="47" s="1"/>
  <c r="CN100" i="47" s="1"/>
  <c r="CO100" i="47" s="1"/>
  <c r="CP100" i="47" s="1"/>
  <c r="CQ100" i="47" s="1"/>
  <c r="CS100" i="47" s="1"/>
  <c r="CT100" i="47" s="1"/>
  <c r="CU100" i="47" s="1"/>
  <c r="CV100" i="47" s="1"/>
  <c r="CW100" i="47" s="1"/>
  <c r="CX100" i="47" s="1"/>
  <c r="CY100" i="47" s="1"/>
  <c r="CZ100" i="47" s="1"/>
  <c r="DA100" i="47" s="1"/>
  <c r="DB100" i="47" s="1"/>
  <c r="DC100" i="47" s="1"/>
  <c r="DD100" i="47" s="1"/>
  <c r="DF100" i="47" s="1"/>
  <c r="DG100" i="47" s="1"/>
  <c r="DH100" i="47" s="1"/>
  <c r="DI100" i="47" s="1"/>
  <c r="DJ100" i="47" s="1"/>
  <c r="DK100" i="47" s="1"/>
  <c r="DL100" i="47" s="1"/>
  <c r="DM100" i="47" s="1"/>
  <c r="DN100" i="47" s="1"/>
  <c r="DO100" i="47" s="1"/>
  <c r="DP100" i="47" s="1"/>
  <c r="DQ100" i="47" s="1"/>
  <c r="G99" i="47"/>
  <c r="G98" i="47"/>
  <c r="G97" i="47"/>
  <c r="H97" i="47" s="1"/>
  <c r="I97" i="47" s="1"/>
  <c r="J97" i="47" s="1"/>
  <c r="K97" i="47" s="1"/>
  <c r="L97" i="47" s="1"/>
  <c r="M97" i="47" s="1"/>
  <c r="N97" i="47" s="1"/>
  <c r="O97" i="47" s="1"/>
  <c r="P97" i="47" s="1"/>
  <c r="Q97" i="47" s="1"/>
  <c r="S97" i="47" s="1"/>
  <c r="T97" i="47" s="1"/>
  <c r="U97" i="47" s="1"/>
  <c r="V97" i="47" s="1"/>
  <c r="W97" i="47" s="1"/>
  <c r="X97" i="47" s="1"/>
  <c r="Y97" i="47" s="1"/>
  <c r="Z97" i="47" s="1"/>
  <c r="AA97" i="47" s="1"/>
  <c r="AB97" i="47" s="1"/>
  <c r="AC97" i="47" s="1"/>
  <c r="AD97" i="47" s="1"/>
  <c r="AF97" i="47" s="1"/>
  <c r="AG97" i="47" s="1"/>
  <c r="AH97" i="47" s="1"/>
  <c r="AI97" i="47" s="1"/>
  <c r="AJ97" i="47" s="1"/>
  <c r="AK97" i="47" s="1"/>
  <c r="AL97" i="47" s="1"/>
  <c r="AM97" i="47" s="1"/>
  <c r="AN97" i="47" s="1"/>
  <c r="AO97" i="47" s="1"/>
  <c r="AP97" i="47" s="1"/>
  <c r="AQ97" i="47" s="1"/>
  <c r="AS97" i="47" s="1"/>
  <c r="AT97" i="47" s="1"/>
  <c r="AU97" i="47" s="1"/>
  <c r="AV97" i="47" s="1"/>
  <c r="AW97" i="47" s="1"/>
  <c r="AX97" i="47" s="1"/>
  <c r="AY97" i="47" s="1"/>
  <c r="AZ97" i="47" s="1"/>
  <c r="BA97" i="47" s="1"/>
  <c r="BB97" i="47" s="1"/>
  <c r="BC97" i="47" s="1"/>
  <c r="BD97" i="47" s="1"/>
  <c r="BF97" i="47" s="1"/>
  <c r="BG97" i="47" s="1"/>
  <c r="BH97" i="47" s="1"/>
  <c r="BI97" i="47" s="1"/>
  <c r="BJ97" i="47" s="1"/>
  <c r="BK97" i="47" s="1"/>
  <c r="BL97" i="47" s="1"/>
  <c r="BM97" i="47" s="1"/>
  <c r="BN97" i="47" s="1"/>
  <c r="BO97" i="47" s="1"/>
  <c r="BP97" i="47" s="1"/>
  <c r="BQ97" i="47" s="1"/>
  <c r="BS97" i="47" s="1"/>
  <c r="BT97" i="47" s="1"/>
  <c r="BU97" i="47" s="1"/>
  <c r="BV97" i="47" s="1"/>
  <c r="BW97" i="47" s="1"/>
  <c r="BX97" i="47" s="1"/>
  <c r="BY97" i="47" s="1"/>
  <c r="BZ97" i="47" s="1"/>
  <c r="CA97" i="47" s="1"/>
  <c r="CB97" i="47" s="1"/>
  <c r="CC97" i="47" s="1"/>
  <c r="CD97" i="47" s="1"/>
  <c r="CF97" i="47" s="1"/>
  <c r="CG97" i="47" s="1"/>
  <c r="CH97" i="47" s="1"/>
  <c r="CI97" i="47" s="1"/>
  <c r="CJ97" i="47" s="1"/>
  <c r="CK97" i="47" s="1"/>
  <c r="CL97" i="47" s="1"/>
  <c r="CM97" i="47" s="1"/>
  <c r="CN97" i="47" s="1"/>
  <c r="CO97" i="47" s="1"/>
  <c r="CP97" i="47" s="1"/>
  <c r="CQ97" i="47" s="1"/>
  <c r="CS97" i="47" s="1"/>
  <c r="CT97" i="47" s="1"/>
  <c r="CU97" i="47" s="1"/>
  <c r="CV97" i="47" s="1"/>
  <c r="CW97" i="47" s="1"/>
  <c r="CX97" i="47" s="1"/>
  <c r="CY97" i="47" s="1"/>
  <c r="CZ97" i="47" s="1"/>
  <c r="DA97" i="47" s="1"/>
  <c r="DB97" i="47" s="1"/>
  <c r="DC97" i="47" s="1"/>
  <c r="DD97" i="47" s="1"/>
  <c r="DF97" i="47" s="1"/>
  <c r="DG97" i="47" s="1"/>
  <c r="DH97" i="47" s="1"/>
  <c r="DI97" i="47" s="1"/>
  <c r="DJ97" i="47" s="1"/>
  <c r="DK97" i="47" s="1"/>
  <c r="DL97" i="47" s="1"/>
  <c r="DM97" i="47" s="1"/>
  <c r="DN97" i="47" s="1"/>
  <c r="DO97" i="47" s="1"/>
  <c r="DP97" i="47" s="1"/>
  <c r="DQ97" i="47" s="1"/>
  <c r="G96" i="47"/>
  <c r="H96" i="47" s="1"/>
  <c r="G95" i="47"/>
  <c r="H95" i="47" s="1"/>
  <c r="I95" i="47" s="1"/>
  <c r="J95" i="47" s="1"/>
  <c r="K95" i="47" s="1"/>
  <c r="L95" i="47" s="1"/>
  <c r="M95" i="47" s="1"/>
  <c r="N95" i="47" s="1"/>
  <c r="O95" i="47" s="1"/>
  <c r="P95" i="47" s="1"/>
  <c r="Q95" i="47" s="1"/>
  <c r="S95" i="47" s="1"/>
  <c r="T95" i="47" s="1"/>
  <c r="U95" i="47" s="1"/>
  <c r="V95" i="47" s="1"/>
  <c r="W95" i="47" s="1"/>
  <c r="X95" i="47" s="1"/>
  <c r="Y95" i="47" s="1"/>
  <c r="Z95" i="47" s="1"/>
  <c r="AA95" i="47" s="1"/>
  <c r="AB95" i="47" s="1"/>
  <c r="AC95" i="47" s="1"/>
  <c r="AD95" i="47" s="1"/>
  <c r="AF95" i="47" s="1"/>
  <c r="AG95" i="47" s="1"/>
  <c r="AH95" i="47" s="1"/>
  <c r="AI95" i="47" s="1"/>
  <c r="AJ95" i="47" s="1"/>
  <c r="AK95" i="47" s="1"/>
  <c r="AL95" i="47" s="1"/>
  <c r="AM95" i="47" s="1"/>
  <c r="AN95" i="47" s="1"/>
  <c r="AO95" i="47" s="1"/>
  <c r="AP95" i="47" s="1"/>
  <c r="AQ95" i="47" s="1"/>
  <c r="AS95" i="47" s="1"/>
  <c r="AT95" i="47" s="1"/>
  <c r="AU95" i="47" s="1"/>
  <c r="AV95" i="47" s="1"/>
  <c r="AW95" i="47" s="1"/>
  <c r="AX95" i="47" s="1"/>
  <c r="AY95" i="47" s="1"/>
  <c r="AZ95" i="47" s="1"/>
  <c r="BA95" i="47" s="1"/>
  <c r="BB95" i="47" s="1"/>
  <c r="BC95" i="47" s="1"/>
  <c r="BD95" i="47" s="1"/>
  <c r="BF95" i="47" s="1"/>
  <c r="BG95" i="47" s="1"/>
  <c r="BH95" i="47" s="1"/>
  <c r="BI95" i="47" s="1"/>
  <c r="BJ95" i="47" s="1"/>
  <c r="BK95" i="47" s="1"/>
  <c r="BL95" i="47" s="1"/>
  <c r="BM95" i="47" s="1"/>
  <c r="BN95" i="47" s="1"/>
  <c r="BO95" i="47" s="1"/>
  <c r="BP95" i="47" s="1"/>
  <c r="BQ95" i="47" s="1"/>
  <c r="BS95" i="47" s="1"/>
  <c r="BT95" i="47" s="1"/>
  <c r="BU95" i="47" s="1"/>
  <c r="BV95" i="47" s="1"/>
  <c r="BW95" i="47" s="1"/>
  <c r="BX95" i="47" s="1"/>
  <c r="BY95" i="47" s="1"/>
  <c r="BZ95" i="47" s="1"/>
  <c r="CA95" i="47" s="1"/>
  <c r="CB95" i="47" s="1"/>
  <c r="CC95" i="47" s="1"/>
  <c r="CD95" i="47" s="1"/>
  <c r="CF95" i="47" s="1"/>
  <c r="CG95" i="47" s="1"/>
  <c r="CH95" i="47" s="1"/>
  <c r="CI95" i="47" s="1"/>
  <c r="CJ95" i="47" s="1"/>
  <c r="CK95" i="47" s="1"/>
  <c r="CL95" i="47" s="1"/>
  <c r="CM95" i="47" s="1"/>
  <c r="CN95" i="47" s="1"/>
  <c r="CO95" i="47" s="1"/>
  <c r="CP95" i="47" s="1"/>
  <c r="CQ95" i="47" s="1"/>
  <c r="CS95" i="47" s="1"/>
  <c r="CT95" i="47" s="1"/>
  <c r="CU95" i="47" s="1"/>
  <c r="CV95" i="47" s="1"/>
  <c r="CW95" i="47" s="1"/>
  <c r="CX95" i="47" s="1"/>
  <c r="CY95" i="47" s="1"/>
  <c r="CZ95" i="47" s="1"/>
  <c r="DA95" i="47" s="1"/>
  <c r="DB95" i="47" s="1"/>
  <c r="DC95" i="47" s="1"/>
  <c r="DD95" i="47" s="1"/>
  <c r="DF95" i="47" s="1"/>
  <c r="DG95" i="47" s="1"/>
  <c r="DH95" i="47" s="1"/>
  <c r="DI95" i="47" s="1"/>
  <c r="DJ95" i="47" s="1"/>
  <c r="DK95" i="47" s="1"/>
  <c r="DL95" i="47" s="1"/>
  <c r="DM95" i="47" s="1"/>
  <c r="DN95" i="47" s="1"/>
  <c r="DO95" i="47" s="1"/>
  <c r="DP95" i="47" s="1"/>
  <c r="DQ95" i="47" s="1"/>
  <c r="G94" i="47"/>
  <c r="H94" i="47" s="1"/>
  <c r="I94" i="47" s="1"/>
  <c r="J94" i="47" s="1"/>
  <c r="K94" i="47" s="1"/>
  <c r="L94" i="47" s="1"/>
  <c r="M94" i="47" s="1"/>
  <c r="N94" i="47" s="1"/>
  <c r="O94" i="47" s="1"/>
  <c r="P94" i="47" s="1"/>
  <c r="Q94" i="47" s="1"/>
  <c r="S94" i="47" s="1"/>
  <c r="T94" i="47" s="1"/>
  <c r="U94" i="47" s="1"/>
  <c r="V94" i="47" s="1"/>
  <c r="W94" i="47" s="1"/>
  <c r="X94" i="47" s="1"/>
  <c r="Y94" i="47" s="1"/>
  <c r="Z94" i="47" s="1"/>
  <c r="AA94" i="47" s="1"/>
  <c r="AB94" i="47" s="1"/>
  <c r="AC94" i="47" s="1"/>
  <c r="AD94" i="47" s="1"/>
  <c r="AF94" i="47" s="1"/>
  <c r="AG94" i="47" s="1"/>
  <c r="AH94" i="47" s="1"/>
  <c r="AI94" i="47" s="1"/>
  <c r="AJ94" i="47" s="1"/>
  <c r="AK94" i="47" s="1"/>
  <c r="AL94" i="47" s="1"/>
  <c r="AM94" i="47" s="1"/>
  <c r="AN94" i="47" s="1"/>
  <c r="AO94" i="47" s="1"/>
  <c r="AP94" i="47" s="1"/>
  <c r="AQ94" i="47" s="1"/>
  <c r="AS94" i="47" s="1"/>
  <c r="AT94" i="47" s="1"/>
  <c r="AU94" i="47" s="1"/>
  <c r="AV94" i="47" s="1"/>
  <c r="AW94" i="47" s="1"/>
  <c r="AX94" i="47" s="1"/>
  <c r="AY94" i="47" s="1"/>
  <c r="AZ94" i="47" s="1"/>
  <c r="BA94" i="47" s="1"/>
  <c r="BB94" i="47" s="1"/>
  <c r="BC94" i="47" s="1"/>
  <c r="BD94" i="47" s="1"/>
  <c r="BF94" i="47" s="1"/>
  <c r="BG94" i="47" s="1"/>
  <c r="BH94" i="47" s="1"/>
  <c r="BI94" i="47" s="1"/>
  <c r="BJ94" i="47" s="1"/>
  <c r="BK94" i="47" s="1"/>
  <c r="BL94" i="47" s="1"/>
  <c r="BM94" i="47" s="1"/>
  <c r="BN94" i="47" s="1"/>
  <c r="BO94" i="47" s="1"/>
  <c r="BP94" i="47" s="1"/>
  <c r="BQ94" i="47" s="1"/>
  <c r="BS94" i="47" s="1"/>
  <c r="BT94" i="47" s="1"/>
  <c r="BU94" i="47" s="1"/>
  <c r="BV94" i="47" s="1"/>
  <c r="BW94" i="47" s="1"/>
  <c r="BX94" i="47" s="1"/>
  <c r="BY94" i="47" s="1"/>
  <c r="BZ94" i="47" s="1"/>
  <c r="CA94" i="47" s="1"/>
  <c r="CB94" i="47" s="1"/>
  <c r="CC94" i="47" s="1"/>
  <c r="CD94" i="47" s="1"/>
  <c r="CF94" i="47" s="1"/>
  <c r="CG94" i="47" s="1"/>
  <c r="CH94" i="47" s="1"/>
  <c r="CI94" i="47" s="1"/>
  <c r="CJ94" i="47" s="1"/>
  <c r="CK94" i="47" s="1"/>
  <c r="CL94" i="47" s="1"/>
  <c r="CM94" i="47" s="1"/>
  <c r="CN94" i="47" s="1"/>
  <c r="CO94" i="47" s="1"/>
  <c r="CP94" i="47" s="1"/>
  <c r="CQ94" i="47" s="1"/>
  <c r="CS94" i="47" s="1"/>
  <c r="CT94" i="47" s="1"/>
  <c r="CU94" i="47" s="1"/>
  <c r="CV94" i="47" s="1"/>
  <c r="CW94" i="47" s="1"/>
  <c r="CX94" i="47" s="1"/>
  <c r="CY94" i="47" s="1"/>
  <c r="CZ94" i="47" s="1"/>
  <c r="DA94" i="47" s="1"/>
  <c r="DB94" i="47" s="1"/>
  <c r="DC94" i="47" s="1"/>
  <c r="DD94" i="47" s="1"/>
  <c r="DF94" i="47" s="1"/>
  <c r="DG94" i="47" s="1"/>
  <c r="DH94" i="47" s="1"/>
  <c r="DI94" i="47" s="1"/>
  <c r="DJ94" i="47" s="1"/>
  <c r="DK94" i="47" s="1"/>
  <c r="DL94" i="47" s="1"/>
  <c r="DM94" i="47" s="1"/>
  <c r="DN94" i="47" s="1"/>
  <c r="DO94" i="47" s="1"/>
  <c r="DP94" i="47" s="1"/>
  <c r="DQ94" i="47" s="1"/>
  <c r="G93" i="47"/>
  <c r="H93" i="47" s="1"/>
  <c r="I93" i="47" s="1"/>
  <c r="J93" i="47" s="1"/>
  <c r="K93" i="47" s="1"/>
  <c r="L93" i="47" s="1"/>
  <c r="M93" i="47" s="1"/>
  <c r="N93" i="47" s="1"/>
  <c r="O93" i="47" s="1"/>
  <c r="P93" i="47" s="1"/>
  <c r="Q93" i="47" s="1"/>
  <c r="S93" i="47" s="1"/>
  <c r="T93" i="47" s="1"/>
  <c r="U93" i="47" s="1"/>
  <c r="V93" i="47" s="1"/>
  <c r="W93" i="47" s="1"/>
  <c r="X93" i="47" s="1"/>
  <c r="Y93" i="47" s="1"/>
  <c r="Z93" i="47" s="1"/>
  <c r="AA93" i="47" s="1"/>
  <c r="AB93" i="47" s="1"/>
  <c r="AC93" i="47" s="1"/>
  <c r="AD93" i="47" s="1"/>
  <c r="AF93" i="47" s="1"/>
  <c r="AG93" i="47" s="1"/>
  <c r="AH93" i="47" s="1"/>
  <c r="AI93" i="47" s="1"/>
  <c r="AJ93" i="47" s="1"/>
  <c r="AK93" i="47" s="1"/>
  <c r="AL93" i="47" s="1"/>
  <c r="AM93" i="47" s="1"/>
  <c r="AN93" i="47" s="1"/>
  <c r="AO93" i="47" s="1"/>
  <c r="AP93" i="47" s="1"/>
  <c r="AQ93" i="47" s="1"/>
  <c r="AS93" i="47" s="1"/>
  <c r="AT93" i="47" s="1"/>
  <c r="AU93" i="47" s="1"/>
  <c r="AV93" i="47" s="1"/>
  <c r="AW93" i="47" s="1"/>
  <c r="AX93" i="47" s="1"/>
  <c r="AY93" i="47" s="1"/>
  <c r="AZ93" i="47" s="1"/>
  <c r="BA93" i="47" s="1"/>
  <c r="BB93" i="47" s="1"/>
  <c r="BC93" i="47" s="1"/>
  <c r="BD93" i="47" s="1"/>
  <c r="BF93" i="47" s="1"/>
  <c r="BG93" i="47" s="1"/>
  <c r="BH93" i="47" s="1"/>
  <c r="BI93" i="47" s="1"/>
  <c r="BJ93" i="47" s="1"/>
  <c r="BK93" i="47" s="1"/>
  <c r="BL93" i="47" s="1"/>
  <c r="BM93" i="47" s="1"/>
  <c r="BN93" i="47" s="1"/>
  <c r="BO93" i="47" s="1"/>
  <c r="BP93" i="47" s="1"/>
  <c r="BQ93" i="47" s="1"/>
  <c r="BS93" i="47" s="1"/>
  <c r="BT93" i="47" s="1"/>
  <c r="BU93" i="47" s="1"/>
  <c r="BV93" i="47" s="1"/>
  <c r="BW93" i="47" s="1"/>
  <c r="BX93" i="47" s="1"/>
  <c r="BY93" i="47" s="1"/>
  <c r="BZ93" i="47" s="1"/>
  <c r="CA93" i="47" s="1"/>
  <c r="CB93" i="47" s="1"/>
  <c r="CC93" i="47" s="1"/>
  <c r="CD93" i="47" s="1"/>
  <c r="CF93" i="47" s="1"/>
  <c r="CG93" i="47" s="1"/>
  <c r="CH93" i="47" s="1"/>
  <c r="CI93" i="47" s="1"/>
  <c r="CJ93" i="47" s="1"/>
  <c r="CK93" i="47" s="1"/>
  <c r="CL93" i="47" s="1"/>
  <c r="CM93" i="47" s="1"/>
  <c r="CN93" i="47" s="1"/>
  <c r="CO93" i="47" s="1"/>
  <c r="CP93" i="47" s="1"/>
  <c r="CQ93" i="47" s="1"/>
  <c r="CS93" i="47" s="1"/>
  <c r="CT93" i="47" s="1"/>
  <c r="CU93" i="47" s="1"/>
  <c r="CV93" i="47" s="1"/>
  <c r="CW93" i="47" s="1"/>
  <c r="CX93" i="47" s="1"/>
  <c r="CY93" i="47" s="1"/>
  <c r="CZ93" i="47" s="1"/>
  <c r="DA93" i="47" s="1"/>
  <c r="DB93" i="47" s="1"/>
  <c r="DC93" i="47" s="1"/>
  <c r="DD93" i="47" s="1"/>
  <c r="DF93" i="47" s="1"/>
  <c r="DG93" i="47" s="1"/>
  <c r="DH93" i="47" s="1"/>
  <c r="DI93" i="47" s="1"/>
  <c r="DJ93" i="47" s="1"/>
  <c r="DK93" i="47" s="1"/>
  <c r="DL93" i="47" s="1"/>
  <c r="DM93" i="47" s="1"/>
  <c r="DN93" i="47" s="1"/>
  <c r="DO93" i="47" s="1"/>
  <c r="DP93" i="47" s="1"/>
  <c r="DQ93" i="47" s="1"/>
  <c r="G92" i="47"/>
  <c r="H92" i="47" s="1"/>
  <c r="I92" i="47" s="1"/>
  <c r="J92" i="47" s="1"/>
  <c r="K92" i="47" s="1"/>
  <c r="L92" i="47" s="1"/>
  <c r="M92" i="47" s="1"/>
  <c r="N92" i="47" s="1"/>
  <c r="O92" i="47" s="1"/>
  <c r="P92" i="47" s="1"/>
  <c r="Q92" i="47" s="1"/>
  <c r="S92" i="47" s="1"/>
  <c r="T92" i="47" s="1"/>
  <c r="U92" i="47" s="1"/>
  <c r="V92" i="47" s="1"/>
  <c r="W92" i="47" s="1"/>
  <c r="X92" i="47" s="1"/>
  <c r="Y92" i="47" s="1"/>
  <c r="Z92" i="47" s="1"/>
  <c r="AA92" i="47" s="1"/>
  <c r="AB92" i="47" s="1"/>
  <c r="AC92" i="47" s="1"/>
  <c r="AD92" i="47" s="1"/>
  <c r="AF92" i="47" s="1"/>
  <c r="AG92" i="47" s="1"/>
  <c r="AH92" i="47" s="1"/>
  <c r="AI92" i="47" s="1"/>
  <c r="AJ92" i="47" s="1"/>
  <c r="AK92" i="47" s="1"/>
  <c r="AL92" i="47" s="1"/>
  <c r="AM92" i="47" s="1"/>
  <c r="AN92" i="47" s="1"/>
  <c r="AO92" i="47" s="1"/>
  <c r="AP92" i="47" s="1"/>
  <c r="AQ92" i="47" s="1"/>
  <c r="AS92" i="47" s="1"/>
  <c r="AT92" i="47" s="1"/>
  <c r="AU92" i="47" s="1"/>
  <c r="AV92" i="47" s="1"/>
  <c r="AW92" i="47" s="1"/>
  <c r="AX92" i="47" s="1"/>
  <c r="AY92" i="47" s="1"/>
  <c r="AZ92" i="47" s="1"/>
  <c r="BA92" i="47" s="1"/>
  <c r="BB92" i="47" s="1"/>
  <c r="BC92" i="47" s="1"/>
  <c r="BD92" i="47" s="1"/>
  <c r="BF92" i="47" s="1"/>
  <c r="BG92" i="47" s="1"/>
  <c r="BH92" i="47" s="1"/>
  <c r="BI92" i="47" s="1"/>
  <c r="BJ92" i="47" s="1"/>
  <c r="BK92" i="47" s="1"/>
  <c r="BL92" i="47" s="1"/>
  <c r="BM92" i="47" s="1"/>
  <c r="BN92" i="47" s="1"/>
  <c r="BO92" i="47" s="1"/>
  <c r="BP92" i="47" s="1"/>
  <c r="BQ92" i="47" s="1"/>
  <c r="BS92" i="47" s="1"/>
  <c r="BT92" i="47" s="1"/>
  <c r="BU92" i="47" s="1"/>
  <c r="BV92" i="47" s="1"/>
  <c r="BW92" i="47" s="1"/>
  <c r="BX92" i="47" s="1"/>
  <c r="BY92" i="47" s="1"/>
  <c r="BZ92" i="47" s="1"/>
  <c r="CA92" i="47" s="1"/>
  <c r="CB92" i="47" s="1"/>
  <c r="CC92" i="47" s="1"/>
  <c r="CD92" i="47" s="1"/>
  <c r="CF92" i="47" s="1"/>
  <c r="CG92" i="47" s="1"/>
  <c r="CH92" i="47" s="1"/>
  <c r="CI92" i="47" s="1"/>
  <c r="CJ92" i="47" s="1"/>
  <c r="CK92" i="47" s="1"/>
  <c r="CL92" i="47" s="1"/>
  <c r="CM92" i="47" s="1"/>
  <c r="CN92" i="47" s="1"/>
  <c r="CO92" i="47" s="1"/>
  <c r="CP92" i="47" s="1"/>
  <c r="CQ92" i="47" s="1"/>
  <c r="CS92" i="47" s="1"/>
  <c r="CT92" i="47" s="1"/>
  <c r="CU92" i="47" s="1"/>
  <c r="CV92" i="47" s="1"/>
  <c r="CW92" i="47" s="1"/>
  <c r="CX92" i="47" s="1"/>
  <c r="CY92" i="47" s="1"/>
  <c r="CZ92" i="47" s="1"/>
  <c r="DA92" i="47" s="1"/>
  <c r="DB92" i="47" s="1"/>
  <c r="DC92" i="47" s="1"/>
  <c r="DD92" i="47" s="1"/>
  <c r="DF92" i="47" s="1"/>
  <c r="DG92" i="47" s="1"/>
  <c r="DH92" i="47" s="1"/>
  <c r="DI92" i="47" s="1"/>
  <c r="DJ92" i="47" s="1"/>
  <c r="DK92" i="47" s="1"/>
  <c r="DL92" i="47" s="1"/>
  <c r="DM92" i="47" s="1"/>
  <c r="DN92" i="47" s="1"/>
  <c r="DO92" i="47" s="1"/>
  <c r="DP92" i="47" s="1"/>
  <c r="DQ92" i="47" s="1"/>
  <c r="G91" i="47"/>
  <c r="G90" i="47"/>
  <c r="G89" i="47"/>
  <c r="G88" i="47"/>
  <c r="H88" i="47" s="1"/>
  <c r="G87" i="47"/>
  <c r="H87" i="47" s="1"/>
  <c r="DT84" i="47"/>
  <c r="AE84" i="47"/>
  <c r="R84" i="47"/>
  <c r="F84" i="47"/>
  <c r="G83" i="47"/>
  <c r="H83" i="47" s="1"/>
  <c r="I83" i="47" s="1"/>
  <c r="J83" i="47" s="1"/>
  <c r="K83" i="47" s="1"/>
  <c r="L83" i="47" s="1"/>
  <c r="M83" i="47" s="1"/>
  <c r="N83" i="47" s="1"/>
  <c r="O83" i="47" s="1"/>
  <c r="P83" i="47" s="1"/>
  <c r="Q83" i="47" s="1"/>
  <c r="S83" i="47" s="1"/>
  <c r="T83" i="47" s="1"/>
  <c r="U83" i="47" s="1"/>
  <c r="V83" i="47" s="1"/>
  <c r="W83" i="47" s="1"/>
  <c r="X83" i="47" s="1"/>
  <c r="Y83" i="47" s="1"/>
  <c r="Z83" i="47" s="1"/>
  <c r="AA83" i="47" s="1"/>
  <c r="AB83" i="47" s="1"/>
  <c r="AC83" i="47" s="1"/>
  <c r="AD83" i="47" s="1"/>
  <c r="AR83" i="47" s="1"/>
  <c r="G82" i="47"/>
  <c r="H82" i="47" s="1"/>
  <c r="G81" i="47"/>
  <c r="H81" i="47" s="1"/>
  <c r="I81" i="47" s="1"/>
  <c r="J81" i="47" s="1"/>
  <c r="K81" i="47" s="1"/>
  <c r="L81" i="47" s="1"/>
  <c r="M81" i="47" s="1"/>
  <c r="N81" i="47" s="1"/>
  <c r="O81" i="47" s="1"/>
  <c r="P81" i="47" s="1"/>
  <c r="Q81" i="47" s="1"/>
  <c r="S81" i="47" s="1"/>
  <c r="T81" i="47" s="1"/>
  <c r="U81" i="47" s="1"/>
  <c r="V81" i="47" s="1"/>
  <c r="W81" i="47" s="1"/>
  <c r="X81" i="47" s="1"/>
  <c r="Y81" i="47" s="1"/>
  <c r="Z81" i="47" s="1"/>
  <c r="AA81" i="47" s="1"/>
  <c r="AB81" i="47" s="1"/>
  <c r="AC81" i="47" s="1"/>
  <c r="AD81" i="47" s="1"/>
  <c r="AF81" i="47" s="1"/>
  <c r="AG81" i="47" s="1"/>
  <c r="AH81" i="47" s="1"/>
  <c r="AI81" i="47" s="1"/>
  <c r="AJ81" i="47" s="1"/>
  <c r="AK81" i="47" s="1"/>
  <c r="AL81" i="47" s="1"/>
  <c r="AM81" i="47" s="1"/>
  <c r="AN81" i="47" s="1"/>
  <c r="AO81" i="47" s="1"/>
  <c r="AP81" i="47" s="1"/>
  <c r="AQ81" i="47" s="1"/>
  <c r="AS81" i="47" s="1"/>
  <c r="AT81" i="47" s="1"/>
  <c r="AU81" i="47" s="1"/>
  <c r="AV81" i="47" s="1"/>
  <c r="AW81" i="47" s="1"/>
  <c r="AX81" i="47" s="1"/>
  <c r="AY81" i="47" s="1"/>
  <c r="AZ81" i="47" s="1"/>
  <c r="BA81" i="47" s="1"/>
  <c r="BB81" i="47" s="1"/>
  <c r="BC81" i="47" s="1"/>
  <c r="BD81" i="47" s="1"/>
  <c r="BF81" i="47" s="1"/>
  <c r="BG81" i="47" s="1"/>
  <c r="BH81" i="47" s="1"/>
  <c r="BI81" i="47" s="1"/>
  <c r="BJ81" i="47" s="1"/>
  <c r="BK81" i="47" s="1"/>
  <c r="BL81" i="47" s="1"/>
  <c r="BM81" i="47" s="1"/>
  <c r="BN81" i="47" s="1"/>
  <c r="BO81" i="47" s="1"/>
  <c r="BP81" i="47" s="1"/>
  <c r="BQ81" i="47" s="1"/>
  <c r="BS81" i="47" s="1"/>
  <c r="BT81" i="47" s="1"/>
  <c r="BU81" i="47" s="1"/>
  <c r="BV81" i="47" s="1"/>
  <c r="BW81" i="47" s="1"/>
  <c r="BX81" i="47" s="1"/>
  <c r="BY81" i="47" s="1"/>
  <c r="BZ81" i="47" s="1"/>
  <c r="CA81" i="47" s="1"/>
  <c r="CB81" i="47" s="1"/>
  <c r="CC81" i="47" s="1"/>
  <c r="CD81" i="47" s="1"/>
  <c r="CF81" i="47" s="1"/>
  <c r="CG81" i="47" s="1"/>
  <c r="CH81" i="47" s="1"/>
  <c r="CI81" i="47" s="1"/>
  <c r="CJ81" i="47" s="1"/>
  <c r="CK81" i="47" s="1"/>
  <c r="CL81" i="47" s="1"/>
  <c r="CM81" i="47" s="1"/>
  <c r="CN81" i="47" s="1"/>
  <c r="CO81" i="47" s="1"/>
  <c r="CP81" i="47" s="1"/>
  <c r="CQ81" i="47" s="1"/>
  <c r="CS81" i="47" s="1"/>
  <c r="CT81" i="47" s="1"/>
  <c r="CU81" i="47" s="1"/>
  <c r="CV81" i="47" s="1"/>
  <c r="CW81" i="47" s="1"/>
  <c r="CX81" i="47" s="1"/>
  <c r="CY81" i="47" s="1"/>
  <c r="CZ81" i="47" s="1"/>
  <c r="DA81" i="47" s="1"/>
  <c r="DB81" i="47" s="1"/>
  <c r="DC81" i="47" s="1"/>
  <c r="DD81" i="47" s="1"/>
  <c r="DF81" i="47" s="1"/>
  <c r="DG81" i="47" s="1"/>
  <c r="DH81" i="47" s="1"/>
  <c r="DI81" i="47" s="1"/>
  <c r="DJ81" i="47" s="1"/>
  <c r="DK81" i="47" s="1"/>
  <c r="DL81" i="47" s="1"/>
  <c r="DM81" i="47" s="1"/>
  <c r="DN81" i="47" s="1"/>
  <c r="DO81" i="47" s="1"/>
  <c r="DP81" i="47" s="1"/>
  <c r="DQ81" i="47" s="1"/>
  <c r="G80" i="47"/>
  <c r="G79" i="47"/>
  <c r="H79" i="47" s="1"/>
  <c r="I79" i="47" s="1"/>
  <c r="J79" i="47" s="1"/>
  <c r="K79" i="47" s="1"/>
  <c r="L79" i="47" s="1"/>
  <c r="M79" i="47" s="1"/>
  <c r="N79" i="47" s="1"/>
  <c r="O79" i="47" s="1"/>
  <c r="P79" i="47" s="1"/>
  <c r="Q79" i="47" s="1"/>
  <c r="S79" i="47" s="1"/>
  <c r="T79" i="47" s="1"/>
  <c r="U79" i="47" s="1"/>
  <c r="V79" i="47" s="1"/>
  <c r="W79" i="47" s="1"/>
  <c r="X79" i="47" s="1"/>
  <c r="Y79" i="47" s="1"/>
  <c r="Z79" i="47" s="1"/>
  <c r="AA79" i="47" s="1"/>
  <c r="AB79" i="47" s="1"/>
  <c r="AC79" i="47" s="1"/>
  <c r="AD79" i="47" s="1"/>
  <c r="AF79" i="47" s="1"/>
  <c r="AG79" i="47" s="1"/>
  <c r="AH79" i="47" s="1"/>
  <c r="AI79" i="47" s="1"/>
  <c r="AJ79" i="47" s="1"/>
  <c r="AK79" i="47" s="1"/>
  <c r="AL79" i="47" s="1"/>
  <c r="AM79" i="47" s="1"/>
  <c r="AN79" i="47" s="1"/>
  <c r="AO79" i="47" s="1"/>
  <c r="AP79" i="47" s="1"/>
  <c r="AQ79" i="47" s="1"/>
  <c r="AS79" i="47" s="1"/>
  <c r="AT79" i="47" s="1"/>
  <c r="AU79" i="47" s="1"/>
  <c r="AV79" i="47" s="1"/>
  <c r="AW79" i="47" s="1"/>
  <c r="AX79" i="47" s="1"/>
  <c r="AY79" i="47" s="1"/>
  <c r="AZ79" i="47" s="1"/>
  <c r="BA79" i="47" s="1"/>
  <c r="BB79" i="47" s="1"/>
  <c r="BC79" i="47" s="1"/>
  <c r="BD79" i="47" s="1"/>
  <c r="BF79" i="47" s="1"/>
  <c r="BG79" i="47" s="1"/>
  <c r="BH79" i="47" s="1"/>
  <c r="BI79" i="47" s="1"/>
  <c r="BJ79" i="47" s="1"/>
  <c r="BK79" i="47" s="1"/>
  <c r="BL79" i="47" s="1"/>
  <c r="BM79" i="47" s="1"/>
  <c r="BN79" i="47" s="1"/>
  <c r="BO79" i="47" s="1"/>
  <c r="BP79" i="47" s="1"/>
  <c r="BQ79" i="47" s="1"/>
  <c r="BS79" i="47" s="1"/>
  <c r="BT79" i="47" s="1"/>
  <c r="BU79" i="47" s="1"/>
  <c r="BV79" i="47" s="1"/>
  <c r="BW79" i="47" s="1"/>
  <c r="BX79" i="47" s="1"/>
  <c r="BY79" i="47" s="1"/>
  <c r="BZ79" i="47" s="1"/>
  <c r="CA79" i="47" s="1"/>
  <c r="CB79" i="47" s="1"/>
  <c r="CC79" i="47" s="1"/>
  <c r="CD79" i="47" s="1"/>
  <c r="CF79" i="47" s="1"/>
  <c r="CG79" i="47" s="1"/>
  <c r="CH79" i="47" s="1"/>
  <c r="CI79" i="47" s="1"/>
  <c r="CJ79" i="47" s="1"/>
  <c r="CK79" i="47" s="1"/>
  <c r="CL79" i="47" s="1"/>
  <c r="CM79" i="47" s="1"/>
  <c r="CN79" i="47" s="1"/>
  <c r="CO79" i="47" s="1"/>
  <c r="CP79" i="47" s="1"/>
  <c r="CQ79" i="47" s="1"/>
  <c r="CS79" i="47" s="1"/>
  <c r="CT79" i="47" s="1"/>
  <c r="CU79" i="47" s="1"/>
  <c r="CV79" i="47" s="1"/>
  <c r="CW79" i="47" s="1"/>
  <c r="CX79" i="47" s="1"/>
  <c r="CY79" i="47" s="1"/>
  <c r="CZ79" i="47" s="1"/>
  <c r="DA79" i="47" s="1"/>
  <c r="DB79" i="47" s="1"/>
  <c r="DC79" i="47" s="1"/>
  <c r="DD79" i="47" s="1"/>
  <c r="DF79" i="47" s="1"/>
  <c r="DG79" i="47" s="1"/>
  <c r="DH79" i="47" s="1"/>
  <c r="DI79" i="47" s="1"/>
  <c r="DJ79" i="47" s="1"/>
  <c r="DK79" i="47" s="1"/>
  <c r="DL79" i="47" s="1"/>
  <c r="DM79" i="47" s="1"/>
  <c r="DN79" i="47" s="1"/>
  <c r="DO79" i="47" s="1"/>
  <c r="DP79" i="47" s="1"/>
  <c r="DQ79" i="47" s="1"/>
  <c r="G78" i="47"/>
  <c r="G77" i="47"/>
  <c r="H77" i="47" s="1"/>
  <c r="I77" i="47" s="1"/>
  <c r="J77" i="47" s="1"/>
  <c r="K77" i="47" s="1"/>
  <c r="L77" i="47" s="1"/>
  <c r="M77" i="47" s="1"/>
  <c r="N77" i="47" s="1"/>
  <c r="O77" i="47" s="1"/>
  <c r="P77" i="47" s="1"/>
  <c r="Q77" i="47" s="1"/>
  <c r="S77" i="47" s="1"/>
  <c r="T77" i="47" s="1"/>
  <c r="U77" i="47" s="1"/>
  <c r="V77" i="47" s="1"/>
  <c r="W77" i="47" s="1"/>
  <c r="X77" i="47" s="1"/>
  <c r="Y77" i="47" s="1"/>
  <c r="Z77" i="47" s="1"/>
  <c r="AA77" i="47" s="1"/>
  <c r="AB77" i="47" s="1"/>
  <c r="AC77" i="47" s="1"/>
  <c r="AD77" i="47" s="1"/>
  <c r="AF77" i="47" s="1"/>
  <c r="AG77" i="47" s="1"/>
  <c r="AH77" i="47" s="1"/>
  <c r="AI77" i="47" s="1"/>
  <c r="AJ77" i="47" s="1"/>
  <c r="AK77" i="47" s="1"/>
  <c r="AL77" i="47" s="1"/>
  <c r="AM77" i="47" s="1"/>
  <c r="AN77" i="47" s="1"/>
  <c r="AO77" i="47" s="1"/>
  <c r="AP77" i="47" s="1"/>
  <c r="AQ77" i="47" s="1"/>
  <c r="AS77" i="47" s="1"/>
  <c r="AT77" i="47" s="1"/>
  <c r="AU77" i="47" s="1"/>
  <c r="AV77" i="47" s="1"/>
  <c r="AW77" i="47" s="1"/>
  <c r="AX77" i="47" s="1"/>
  <c r="AY77" i="47" s="1"/>
  <c r="AZ77" i="47" s="1"/>
  <c r="BA77" i="47" s="1"/>
  <c r="BB77" i="47" s="1"/>
  <c r="BC77" i="47" s="1"/>
  <c r="BD77" i="47" s="1"/>
  <c r="BF77" i="47" s="1"/>
  <c r="BG77" i="47" s="1"/>
  <c r="BH77" i="47" s="1"/>
  <c r="BI77" i="47" s="1"/>
  <c r="BJ77" i="47" s="1"/>
  <c r="BK77" i="47" s="1"/>
  <c r="BL77" i="47" s="1"/>
  <c r="BM77" i="47" s="1"/>
  <c r="BN77" i="47" s="1"/>
  <c r="BO77" i="47" s="1"/>
  <c r="BP77" i="47" s="1"/>
  <c r="BQ77" i="47" s="1"/>
  <c r="BS77" i="47" s="1"/>
  <c r="BT77" i="47" s="1"/>
  <c r="BU77" i="47" s="1"/>
  <c r="BV77" i="47" s="1"/>
  <c r="BW77" i="47" s="1"/>
  <c r="BX77" i="47" s="1"/>
  <c r="BY77" i="47" s="1"/>
  <c r="BZ77" i="47" s="1"/>
  <c r="CA77" i="47" s="1"/>
  <c r="CB77" i="47" s="1"/>
  <c r="CC77" i="47" s="1"/>
  <c r="CD77" i="47" s="1"/>
  <c r="CF77" i="47" s="1"/>
  <c r="CG77" i="47" s="1"/>
  <c r="CH77" i="47" s="1"/>
  <c r="CI77" i="47" s="1"/>
  <c r="CJ77" i="47" s="1"/>
  <c r="CK77" i="47" s="1"/>
  <c r="CL77" i="47" s="1"/>
  <c r="CM77" i="47" s="1"/>
  <c r="CN77" i="47" s="1"/>
  <c r="CO77" i="47" s="1"/>
  <c r="CP77" i="47" s="1"/>
  <c r="CQ77" i="47" s="1"/>
  <c r="CS77" i="47" s="1"/>
  <c r="CT77" i="47" s="1"/>
  <c r="CU77" i="47" s="1"/>
  <c r="CV77" i="47" s="1"/>
  <c r="CW77" i="47" s="1"/>
  <c r="CX77" i="47" s="1"/>
  <c r="CY77" i="47" s="1"/>
  <c r="CZ77" i="47" s="1"/>
  <c r="DA77" i="47" s="1"/>
  <c r="DB77" i="47" s="1"/>
  <c r="DC77" i="47" s="1"/>
  <c r="DD77" i="47" s="1"/>
  <c r="DF77" i="47" s="1"/>
  <c r="DG77" i="47" s="1"/>
  <c r="DH77" i="47" s="1"/>
  <c r="DI77" i="47" s="1"/>
  <c r="DJ77" i="47" s="1"/>
  <c r="DK77" i="47" s="1"/>
  <c r="DL77" i="47" s="1"/>
  <c r="DM77" i="47" s="1"/>
  <c r="DN77" i="47" s="1"/>
  <c r="DO77" i="47" s="1"/>
  <c r="DP77" i="47" s="1"/>
  <c r="DQ77" i="47" s="1"/>
  <c r="G76" i="47"/>
  <c r="H76" i="47" s="1"/>
  <c r="I76" i="47" s="1"/>
  <c r="J76" i="47" s="1"/>
  <c r="K76" i="47" s="1"/>
  <c r="L76" i="47" s="1"/>
  <c r="M76" i="47" s="1"/>
  <c r="N76" i="47" s="1"/>
  <c r="O76" i="47" s="1"/>
  <c r="P76" i="47" s="1"/>
  <c r="Q76" i="47" s="1"/>
  <c r="S76" i="47" s="1"/>
  <c r="T76" i="47" s="1"/>
  <c r="U76" i="47" s="1"/>
  <c r="V76" i="47" s="1"/>
  <c r="W76" i="47" s="1"/>
  <c r="X76" i="47" s="1"/>
  <c r="Y76" i="47" s="1"/>
  <c r="Z76" i="47" s="1"/>
  <c r="AA76" i="47" s="1"/>
  <c r="AB76" i="47" s="1"/>
  <c r="AC76" i="47" s="1"/>
  <c r="AD76" i="47" s="1"/>
  <c r="AF76" i="47" s="1"/>
  <c r="AG76" i="47" s="1"/>
  <c r="AH76" i="47" s="1"/>
  <c r="AI76" i="47" s="1"/>
  <c r="AJ76" i="47" s="1"/>
  <c r="AK76" i="47" s="1"/>
  <c r="AL76" i="47" s="1"/>
  <c r="AM76" i="47" s="1"/>
  <c r="AN76" i="47" s="1"/>
  <c r="AO76" i="47" s="1"/>
  <c r="AP76" i="47" s="1"/>
  <c r="AQ76" i="47" s="1"/>
  <c r="AS76" i="47" s="1"/>
  <c r="AT76" i="47" s="1"/>
  <c r="AU76" i="47" s="1"/>
  <c r="AV76" i="47" s="1"/>
  <c r="AW76" i="47" s="1"/>
  <c r="AX76" i="47" s="1"/>
  <c r="AY76" i="47" s="1"/>
  <c r="AZ76" i="47" s="1"/>
  <c r="BA76" i="47" s="1"/>
  <c r="BB76" i="47" s="1"/>
  <c r="BC76" i="47" s="1"/>
  <c r="BD76" i="47" s="1"/>
  <c r="BF76" i="47" s="1"/>
  <c r="BG76" i="47" s="1"/>
  <c r="BH76" i="47" s="1"/>
  <c r="BI76" i="47" s="1"/>
  <c r="BJ76" i="47" s="1"/>
  <c r="BK76" i="47" s="1"/>
  <c r="BL76" i="47" s="1"/>
  <c r="BM76" i="47" s="1"/>
  <c r="BN76" i="47" s="1"/>
  <c r="BO76" i="47" s="1"/>
  <c r="BP76" i="47" s="1"/>
  <c r="BQ76" i="47" s="1"/>
  <c r="BS76" i="47" s="1"/>
  <c r="BT76" i="47" s="1"/>
  <c r="BU76" i="47" s="1"/>
  <c r="BV76" i="47" s="1"/>
  <c r="BW76" i="47" s="1"/>
  <c r="BX76" i="47" s="1"/>
  <c r="BY76" i="47" s="1"/>
  <c r="BZ76" i="47" s="1"/>
  <c r="CA76" i="47" s="1"/>
  <c r="CB76" i="47" s="1"/>
  <c r="CC76" i="47" s="1"/>
  <c r="CD76" i="47" s="1"/>
  <c r="CF76" i="47" s="1"/>
  <c r="CG76" i="47" s="1"/>
  <c r="CH76" i="47" s="1"/>
  <c r="CI76" i="47" s="1"/>
  <c r="CJ76" i="47" s="1"/>
  <c r="CK76" i="47" s="1"/>
  <c r="CL76" i="47" s="1"/>
  <c r="CM76" i="47" s="1"/>
  <c r="CN76" i="47" s="1"/>
  <c r="CO76" i="47" s="1"/>
  <c r="CP76" i="47" s="1"/>
  <c r="CQ76" i="47" s="1"/>
  <c r="CS76" i="47" s="1"/>
  <c r="CT76" i="47" s="1"/>
  <c r="CU76" i="47" s="1"/>
  <c r="CV76" i="47" s="1"/>
  <c r="CW76" i="47" s="1"/>
  <c r="CX76" i="47" s="1"/>
  <c r="CY76" i="47" s="1"/>
  <c r="CZ76" i="47" s="1"/>
  <c r="DA76" i="47" s="1"/>
  <c r="DB76" i="47" s="1"/>
  <c r="DC76" i="47" s="1"/>
  <c r="DD76" i="47" s="1"/>
  <c r="DF76" i="47" s="1"/>
  <c r="DG76" i="47" s="1"/>
  <c r="DH76" i="47" s="1"/>
  <c r="DI76" i="47" s="1"/>
  <c r="DJ76" i="47" s="1"/>
  <c r="DK76" i="47" s="1"/>
  <c r="DL76" i="47" s="1"/>
  <c r="DM76" i="47" s="1"/>
  <c r="DN76" i="47" s="1"/>
  <c r="DO76" i="47" s="1"/>
  <c r="DP76" i="47" s="1"/>
  <c r="DQ76" i="47" s="1"/>
  <c r="G75" i="47"/>
  <c r="H75" i="47" s="1"/>
  <c r="I75" i="47" s="1"/>
  <c r="J75" i="47" s="1"/>
  <c r="K75" i="47" s="1"/>
  <c r="L75" i="47" s="1"/>
  <c r="M75" i="47" s="1"/>
  <c r="N75" i="47" s="1"/>
  <c r="O75" i="47" s="1"/>
  <c r="P75" i="47" s="1"/>
  <c r="Q75" i="47" s="1"/>
  <c r="S75" i="47" s="1"/>
  <c r="T75" i="47" s="1"/>
  <c r="U75" i="47" s="1"/>
  <c r="V75" i="47" s="1"/>
  <c r="W75" i="47" s="1"/>
  <c r="X75" i="47" s="1"/>
  <c r="Y75" i="47" s="1"/>
  <c r="Z75" i="47" s="1"/>
  <c r="AA75" i="47" s="1"/>
  <c r="AB75" i="47" s="1"/>
  <c r="AC75" i="47" s="1"/>
  <c r="AD75" i="47" s="1"/>
  <c r="AF75" i="47" s="1"/>
  <c r="AG75" i="47" s="1"/>
  <c r="AH75" i="47" s="1"/>
  <c r="AI75" i="47" s="1"/>
  <c r="AJ75" i="47" s="1"/>
  <c r="AK75" i="47" s="1"/>
  <c r="AL75" i="47" s="1"/>
  <c r="AM75" i="47" s="1"/>
  <c r="AN75" i="47" s="1"/>
  <c r="AO75" i="47" s="1"/>
  <c r="AP75" i="47" s="1"/>
  <c r="AQ75" i="47" s="1"/>
  <c r="AS75" i="47" s="1"/>
  <c r="AT75" i="47" s="1"/>
  <c r="AU75" i="47" s="1"/>
  <c r="AV75" i="47" s="1"/>
  <c r="AW75" i="47" s="1"/>
  <c r="AX75" i="47" s="1"/>
  <c r="AY75" i="47" s="1"/>
  <c r="AZ75" i="47" s="1"/>
  <c r="BA75" i="47" s="1"/>
  <c r="BB75" i="47" s="1"/>
  <c r="BC75" i="47" s="1"/>
  <c r="BD75" i="47" s="1"/>
  <c r="BF75" i="47" s="1"/>
  <c r="BG75" i="47" s="1"/>
  <c r="BH75" i="47" s="1"/>
  <c r="BI75" i="47" s="1"/>
  <c r="BJ75" i="47" s="1"/>
  <c r="BK75" i="47" s="1"/>
  <c r="BL75" i="47" s="1"/>
  <c r="BM75" i="47" s="1"/>
  <c r="BN75" i="47" s="1"/>
  <c r="BO75" i="47" s="1"/>
  <c r="BP75" i="47" s="1"/>
  <c r="BQ75" i="47" s="1"/>
  <c r="BS75" i="47" s="1"/>
  <c r="BT75" i="47" s="1"/>
  <c r="BU75" i="47" s="1"/>
  <c r="BV75" i="47" s="1"/>
  <c r="BW75" i="47" s="1"/>
  <c r="BX75" i="47" s="1"/>
  <c r="BY75" i="47" s="1"/>
  <c r="BZ75" i="47" s="1"/>
  <c r="CA75" i="47" s="1"/>
  <c r="CB75" i="47" s="1"/>
  <c r="CC75" i="47" s="1"/>
  <c r="CD75" i="47" s="1"/>
  <c r="CF75" i="47" s="1"/>
  <c r="CG75" i="47" s="1"/>
  <c r="CH75" i="47" s="1"/>
  <c r="CI75" i="47" s="1"/>
  <c r="CJ75" i="47" s="1"/>
  <c r="CK75" i="47" s="1"/>
  <c r="CL75" i="47" s="1"/>
  <c r="CM75" i="47" s="1"/>
  <c r="CN75" i="47" s="1"/>
  <c r="CO75" i="47" s="1"/>
  <c r="CP75" i="47" s="1"/>
  <c r="CQ75" i="47" s="1"/>
  <c r="CS75" i="47" s="1"/>
  <c r="CT75" i="47" s="1"/>
  <c r="CU75" i="47" s="1"/>
  <c r="CV75" i="47" s="1"/>
  <c r="CW75" i="47" s="1"/>
  <c r="CX75" i="47" s="1"/>
  <c r="CY75" i="47" s="1"/>
  <c r="CZ75" i="47" s="1"/>
  <c r="DA75" i="47" s="1"/>
  <c r="DB75" i="47" s="1"/>
  <c r="DC75" i="47" s="1"/>
  <c r="DD75" i="47" s="1"/>
  <c r="DF75" i="47" s="1"/>
  <c r="DG75" i="47" s="1"/>
  <c r="DH75" i="47" s="1"/>
  <c r="DI75" i="47" s="1"/>
  <c r="DJ75" i="47" s="1"/>
  <c r="DK75" i="47" s="1"/>
  <c r="DL75" i="47" s="1"/>
  <c r="DM75" i="47" s="1"/>
  <c r="DN75" i="47" s="1"/>
  <c r="DO75" i="47" s="1"/>
  <c r="DP75" i="47" s="1"/>
  <c r="DQ75" i="47" s="1"/>
  <c r="G74" i="47"/>
  <c r="G73" i="47"/>
  <c r="H73" i="47" s="1"/>
  <c r="I73" i="47" s="1"/>
  <c r="J73" i="47" s="1"/>
  <c r="K73" i="47" s="1"/>
  <c r="L73" i="47" s="1"/>
  <c r="M73" i="47" s="1"/>
  <c r="N73" i="47" s="1"/>
  <c r="O73" i="47" s="1"/>
  <c r="P73" i="47" s="1"/>
  <c r="Q73" i="47" s="1"/>
  <c r="S73" i="47" s="1"/>
  <c r="T73" i="47" s="1"/>
  <c r="U73" i="47" s="1"/>
  <c r="V73" i="47" s="1"/>
  <c r="W73" i="47" s="1"/>
  <c r="X73" i="47" s="1"/>
  <c r="Y73" i="47" s="1"/>
  <c r="Z73" i="47" s="1"/>
  <c r="AA73" i="47" s="1"/>
  <c r="AB73" i="47" s="1"/>
  <c r="AC73" i="47" s="1"/>
  <c r="AD73" i="47" s="1"/>
  <c r="AF73" i="47" s="1"/>
  <c r="AG73" i="47" s="1"/>
  <c r="AH73" i="47" s="1"/>
  <c r="AI73" i="47" s="1"/>
  <c r="AJ73" i="47" s="1"/>
  <c r="AK73" i="47" s="1"/>
  <c r="AL73" i="47" s="1"/>
  <c r="AM73" i="47" s="1"/>
  <c r="AN73" i="47" s="1"/>
  <c r="AO73" i="47" s="1"/>
  <c r="AP73" i="47" s="1"/>
  <c r="AQ73" i="47" s="1"/>
  <c r="AS73" i="47" s="1"/>
  <c r="AT73" i="47" s="1"/>
  <c r="AU73" i="47" s="1"/>
  <c r="AV73" i="47" s="1"/>
  <c r="AW73" i="47" s="1"/>
  <c r="AX73" i="47" s="1"/>
  <c r="AY73" i="47" s="1"/>
  <c r="AZ73" i="47" s="1"/>
  <c r="BA73" i="47" s="1"/>
  <c r="BB73" i="47" s="1"/>
  <c r="BC73" i="47" s="1"/>
  <c r="BD73" i="47" s="1"/>
  <c r="BF73" i="47" s="1"/>
  <c r="BG73" i="47" s="1"/>
  <c r="BH73" i="47" s="1"/>
  <c r="BI73" i="47" s="1"/>
  <c r="BJ73" i="47" s="1"/>
  <c r="BK73" i="47" s="1"/>
  <c r="BL73" i="47" s="1"/>
  <c r="BM73" i="47" s="1"/>
  <c r="BN73" i="47" s="1"/>
  <c r="BO73" i="47" s="1"/>
  <c r="BP73" i="47" s="1"/>
  <c r="BQ73" i="47" s="1"/>
  <c r="BS73" i="47" s="1"/>
  <c r="BT73" i="47" s="1"/>
  <c r="BU73" i="47" s="1"/>
  <c r="BV73" i="47" s="1"/>
  <c r="BW73" i="47" s="1"/>
  <c r="BX73" i="47" s="1"/>
  <c r="BY73" i="47" s="1"/>
  <c r="BZ73" i="47" s="1"/>
  <c r="CA73" i="47" s="1"/>
  <c r="CB73" i="47" s="1"/>
  <c r="CC73" i="47" s="1"/>
  <c r="CD73" i="47" s="1"/>
  <c r="CF73" i="47" s="1"/>
  <c r="CG73" i="47" s="1"/>
  <c r="CH73" i="47" s="1"/>
  <c r="CI73" i="47" s="1"/>
  <c r="CJ73" i="47" s="1"/>
  <c r="CK73" i="47" s="1"/>
  <c r="CL73" i="47" s="1"/>
  <c r="CM73" i="47" s="1"/>
  <c r="CN73" i="47" s="1"/>
  <c r="CO73" i="47" s="1"/>
  <c r="CP73" i="47" s="1"/>
  <c r="CQ73" i="47" s="1"/>
  <c r="CS73" i="47" s="1"/>
  <c r="CT73" i="47" s="1"/>
  <c r="CU73" i="47" s="1"/>
  <c r="CV73" i="47" s="1"/>
  <c r="CW73" i="47" s="1"/>
  <c r="CX73" i="47" s="1"/>
  <c r="CY73" i="47" s="1"/>
  <c r="CZ73" i="47" s="1"/>
  <c r="DA73" i="47" s="1"/>
  <c r="DB73" i="47" s="1"/>
  <c r="DC73" i="47" s="1"/>
  <c r="DD73" i="47" s="1"/>
  <c r="DF73" i="47" s="1"/>
  <c r="DG73" i="47" s="1"/>
  <c r="DH73" i="47" s="1"/>
  <c r="DI73" i="47" s="1"/>
  <c r="DJ73" i="47" s="1"/>
  <c r="DK73" i="47" s="1"/>
  <c r="DL73" i="47" s="1"/>
  <c r="DM73" i="47" s="1"/>
  <c r="DN73" i="47" s="1"/>
  <c r="DO73" i="47" s="1"/>
  <c r="DP73" i="47" s="1"/>
  <c r="DQ73" i="47" s="1"/>
  <c r="G72" i="47"/>
  <c r="H72" i="47" s="1"/>
  <c r="I72" i="47" s="1"/>
  <c r="J72" i="47" s="1"/>
  <c r="K72" i="47" s="1"/>
  <c r="L72" i="47" s="1"/>
  <c r="M72" i="47" s="1"/>
  <c r="N72" i="47" s="1"/>
  <c r="O72" i="47" s="1"/>
  <c r="P72" i="47" s="1"/>
  <c r="Q72" i="47" s="1"/>
  <c r="S72" i="47" s="1"/>
  <c r="T72" i="47" s="1"/>
  <c r="U72" i="47" s="1"/>
  <c r="V72" i="47" s="1"/>
  <c r="W72" i="47" s="1"/>
  <c r="X72" i="47" s="1"/>
  <c r="Y72" i="47" s="1"/>
  <c r="Z72" i="47" s="1"/>
  <c r="AA72" i="47" s="1"/>
  <c r="AB72" i="47" s="1"/>
  <c r="AC72" i="47" s="1"/>
  <c r="AD72" i="47" s="1"/>
  <c r="AF72" i="47" s="1"/>
  <c r="AG72" i="47" s="1"/>
  <c r="AH72" i="47" s="1"/>
  <c r="AI72" i="47" s="1"/>
  <c r="AJ72" i="47" s="1"/>
  <c r="AK72" i="47" s="1"/>
  <c r="AL72" i="47" s="1"/>
  <c r="AM72" i="47" s="1"/>
  <c r="AN72" i="47" s="1"/>
  <c r="AO72" i="47" s="1"/>
  <c r="AP72" i="47" s="1"/>
  <c r="AQ72" i="47" s="1"/>
  <c r="AS72" i="47" s="1"/>
  <c r="AT72" i="47" s="1"/>
  <c r="AU72" i="47" s="1"/>
  <c r="AV72" i="47" s="1"/>
  <c r="AW72" i="47" s="1"/>
  <c r="AX72" i="47" s="1"/>
  <c r="AY72" i="47" s="1"/>
  <c r="AZ72" i="47" s="1"/>
  <c r="BA72" i="47" s="1"/>
  <c r="BB72" i="47" s="1"/>
  <c r="BC72" i="47" s="1"/>
  <c r="BD72" i="47" s="1"/>
  <c r="BF72" i="47" s="1"/>
  <c r="BG72" i="47" s="1"/>
  <c r="BH72" i="47" s="1"/>
  <c r="BI72" i="47" s="1"/>
  <c r="BJ72" i="47" s="1"/>
  <c r="BK72" i="47" s="1"/>
  <c r="BL72" i="47" s="1"/>
  <c r="BM72" i="47" s="1"/>
  <c r="BN72" i="47" s="1"/>
  <c r="BO72" i="47" s="1"/>
  <c r="BP72" i="47" s="1"/>
  <c r="BQ72" i="47" s="1"/>
  <c r="BS72" i="47" s="1"/>
  <c r="BT72" i="47" s="1"/>
  <c r="BU72" i="47" s="1"/>
  <c r="BV72" i="47" s="1"/>
  <c r="BW72" i="47" s="1"/>
  <c r="BX72" i="47" s="1"/>
  <c r="BY72" i="47" s="1"/>
  <c r="BZ72" i="47" s="1"/>
  <c r="CA72" i="47" s="1"/>
  <c r="CB72" i="47" s="1"/>
  <c r="CC72" i="47" s="1"/>
  <c r="CD72" i="47" s="1"/>
  <c r="CF72" i="47" s="1"/>
  <c r="CG72" i="47" s="1"/>
  <c r="CH72" i="47" s="1"/>
  <c r="CI72" i="47" s="1"/>
  <c r="CJ72" i="47" s="1"/>
  <c r="CK72" i="47" s="1"/>
  <c r="CL72" i="47" s="1"/>
  <c r="CM72" i="47" s="1"/>
  <c r="CN72" i="47" s="1"/>
  <c r="CO72" i="47" s="1"/>
  <c r="CP72" i="47" s="1"/>
  <c r="CQ72" i="47" s="1"/>
  <c r="CS72" i="47" s="1"/>
  <c r="CT72" i="47" s="1"/>
  <c r="CU72" i="47" s="1"/>
  <c r="CV72" i="47" s="1"/>
  <c r="CW72" i="47" s="1"/>
  <c r="CX72" i="47" s="1"/>
  <c r="CY72" i="47" s="1"/>
  <c r="CZ72" i="47" s="1"/>
  <c r="DA72" i="47" s="1"/>
  <c r="DB72" i="47" s="1"/>
  <c r="DC72" i="47" s="1"/>
  <c r="DD72" i="47" s="1"/>
  <c r="DF72" i="47" s="1"/>
  <c r="DG72" i="47" s="1"/>
  <c r="DH72" i="47" s="1"/>
  <c r="DI72" i="47" s="1"/>
  <c r="DJ72" i="47" s="1"/>
  <c r="DK72" i="47" s="1"/>
  <c r="DL72" i="47" s="1"/>
  <c r="DM72" i="47" s="1"/>
  <c r="DN72" i="47" s="1"/>
  <c r="DO72" i="47" s="1"/>
  <c r="DP72" i="47" s="1"/>
  <c r="DQ72" i="47" s="1"/>
  <c r="G71" i="47"/>
  <c r="H71" i="47" s="1"/>
  <c r="G70" i="47"/>
  <c r="G69" i="47"/>
  <c r="H69" i="47" s="1"/>
  <c r="G68" i="47"/>
  <c r="H68" i="47" s="1"/>
  <c r="I68" i="47" s="1"/>
  <c r="J68" i="47" s="1"/>
  <c r="K68" i="47" s="1"/>
  <c r="L68" i="47" s="1"/>
  <c r="M68" i="47" s="1"/>
  <c r="N68" i="47" s="1"/>
  <c r="O68" i="47" s="1"/>
  <c r="P68" i="47" s="1"/>
  <c r="Q68" i="47" s="1"/>
  <c r="S68" i="47" s="1"/>
  <c r="T68" i="47" s="1"/>
  <c r="U68" i="47" s="1"/>
  <c r="V68" i="47" s="1"/>
  <c r="W68" i="47" s="1"/>
  <c r="X68" i="47" s="1"/>
  <c r="Y68" i="47" s="1"/>
  <c r="Z68" i="47" s="1"/>
  <c r="AA68" i="47" s="1"/>
  <c r="AB68" i="47" s="1"/>
  <c r="AC68" i="47" s="1"/>
  <c r="AD68" i="47" s="1"/>
  <c r="AF68" i="47" s="1"/>
  <c r="AG68" i="47" s="1"/>
  <c r="AH68" i="47" s="1"/>
  <c r="AI68" i="47" s="1"/>
  <c r="AJ68" i="47" s="1"/>
  <c r="AK68" i="47" s="1"/>
  <c r="AL68" i="47" s="1"/>
  <c r="AM68" i="47" s="1"/>
  <c r="AN68" i="47" s="1"/>
  <c r="AO68" i="47" s="1"/>
  <c r="AP68" i="47" s="1"/>
  <c r="AQ68" i="47" s="1"/>
  <c r="AS68" i="47" s="1"/>
  <c r="AT68" i="47" s="1"/>
  <c r="AU68" i="47" s="1"/>
  <c r="AV68" i="47" s="1"/>
  <c r="AW68" i="47" s="1"/>
  <c r="AX68" i="47" s="1"/>
  <c r="AY68" i="47" s="1"/>
  <c r="AZ68" i="47" s="1"/>
  <c r="BA68" i="47" s="1"/>
  <c r="BB68" i="47" s="1"/>
  <c r="BC68" i="47" s="1"/>
  <c r="BD68" i="47" s="1"/>
  <c r="BF68" i="47" s="1"/>
  <c r="BG68" i="47" s="1"/>
  <c r="BH68" i="47" s="1"/>
  <c r="BI68" i="47" s="1"/>
  <c r="BJ68" i="47" s="1"/>
  <c r="BK68" i="47" s="1"/>
  <c r="BL68" i="47" s="1"/>
  <c r="BM68" i="47" s="1"/>
  <c r="BN68" i="47" s="1"/>
  <c r="BO68" i="47" s="1"/>
  <c r="BP68" i="47" s="1"/>
  <c r="BQ68" i="47" s="1"/>
  <c r="BS68" i="47" s="1"/>
  <c r="BT68" i="47" s="1"/>
  <c r="BU68" i="47" s="1"/>
  <c r="BV68" i="47" s="1"/>
  <c r="BW68" i="47" s="1"/>
  <c r="BX68" i="47" s="1"/>
  <c r="BY68" i="47" s="1"/>
  <c r="BZ68" i="47" s="1"/>
  <c r="CA68" i="47" s="1"/>
  <c r="CB68" i="47" s="1"/>
  <c r="CC68" i="47" s="1"/>
  <c r="CD68" i="47" s="1"/>
  <c r="CF68" i="47" s="1"/>
  <c r="CG68" i="47" s="1"/>
  <c r="CH68" i="47" s="1"/>
  <c r="CI68" i="47" s="1"/>
  <c r="CJ68" i="47" s="1"/>
  <c r="CK68" i="47" s="1"/>
  <c r="CL68" i="47" s="1"/>
  <c r="CM68" i="47" s="1"/>
  <c r="CN68" i="47" s="1"/>
  <c r="CO68" i="47" s="1"/>
  <c r="CP68" i="47" s="1"/>
  <c r="CQ68" i="47" s="1"/>
  <c r="CS68" i="47" s="1"/>
  <c r="CT68" i="47" s="1"/>
  <c r="CU68" i="47" s="1"/>
  <c r="CV68" i="47" s="1"/>
  <c r="CW68" i="47" s="1"/>
  <c r="CX68" i="47" s="1"/>
  <c r="CY68" i="47" s="1"/>
  <c r="CZ68" i="47" s="1"/>
  <c r="DA68" i="47" s="1"/>
  <c r="DB68" i="47" s="1"/>
  <c r="DC68" i="47" s="1"/>
  <c r="DD68" i="47" s="1"/>
  <c r="DF68" i="47" s="1"/>
  <c r="DG68" i="47" s="1"/>
  <c r="DH68" i="47" s="1"/>
  <c r="DI68" i="47" s="1"/>
  <c r="DJ68" i="47" s="1"/>
  <c r="DK68" i="47" s="1"/>
  <c r="DL68" i="47" s="1"/>
  <c r="DM68" i="47" s="1"/>
  <c r="DN68" i="47" s="1"/>
  <c r="DO68" i="47" s="1"/>
  <c r="DP68" i="47" s="1"/>
  <c r="DQ68" i="47" s="1"/>
  <c r="G67" i="47"/>
  <c r="H67" i="47" s="1"/>
  <c r="I67" i="47" s="1"/>
  <c r="J67" i="47" s="1"/>
  <c r="K67" i="47" s="1"/>
  <c r="L67" i="47" s="1"/>
  <c r="M67" i="47" s="1"/>
  <c r="N67" i="47" s="1"/>
  <c r="O67" i="47" s="1"/>
  <c r="P67" i="47" s="1"/>
  <c r="Q67" i="47" s="1"/>
  <c r="S67" i="47" s="1"/>
  <c r="T67" i="47" s="1"/>
  <c r="U67" i="47" s="1"/>
  <c r="V67" i="47" s="1"/>
  <c r="W67" i="47" s="1"/>
  <c r="X67" i="47" s="1"/>
  <c r="Y67" i="47" s="1"/>
  <c r="Z67" i="47" s="1"/>
  <c r="AA67" i="47" s="1"/>
  <c r="AB67" i="47" s="1"/>
  <c r="AC67" i="47" s="1"/>
  <c r="AD67" i="47" s="1"/>
  <c r="AF67" i="47" s="1"/>
  <c r="AG67" i="47" s="1"/>
  <c r="AH67" i="47" s="1"/>
  <c r="AI67" i="47" s="1"/>
  <c r="AJ67" i="47" s="1"/>
  <c r="AK67" i="47" s="1"/>
  <c r="AL67" i="47" s="1"/>
  <c r="AM67" i="47" s="1"/>
  <c r="AN67" i="47" s="1"/>
  <c r="AO67" i="47" s="1"/>
  <c r="AP67" i="47" s="1"/>
  <c r="AQ67" i="47" s="1"/>
  <c r="AS67" i="47" s="1"/>
  <c r="AT67" i="47" s="1"/>
  <c r="AU67" i="47" s="1"/>
  <c r="AV67" i="47" s="1"/>
  <c r="AW67" i="47" s="1"/>
  <c r="AX67" i="47" s="1"/>
  <c r="AY67" i="47" s="1"/>
  <c r="AZ67" i="47" s="1"/>
  <c r="BA67" i="47" s="1"/>
  <c r="BB67" i="47" s="1"/>
  <c r="BC67" i="47" s="1"/>
  <c r="BD67" i="47" s="1"/>
  <c r="BF67" i="47" s="1"/>
  <c r="BG67" i="47" s="1"/>
  <c r="BH67" i="47" s="1"/>
  <c r="BI67" i="47" s="1"/>
  <c r="BJ67" i="47" s="1"/>
  <c r="BK67" i="47" s="1"/>
  <c r="BL67" i="47" s="1"/>
  <c r="BM67" i="47" s="1"/>
  <c r="BN67" i="47" s="1"/>
  <c r="BO67" i="47" s="1"/>
  <c r="BP67" i="47" s="1"/>
  <c r="BQ67" i="47" s="1"/>
  <c r="BS67" i="47" s="1"/>
  <c r="BT67" i="47" s="1"/>
  <c r="BU67" i="47" s="1"/>
  <c r="BV67" i="47" s="1"/>
  <c r="BW67" i="47" s="1"/>
  <c r="BX67" i="47" s="1"/>
  <c r="BY67" i="47" s="1"/>
  <c r="BZ67" i="47" s="1"/>
  <c r="CA67" i="47" s="1"/>
  <c r="CB67" i="47" s="1"/>
  <c r="CC67" i="47" s="1"/>
  <c r="CD67" i="47" s="1"/>
  <c r="CF67" i="47" s="1"/>
  <c r="CG67" i="47" s="1"/>
  <c r="CH67" i="47" s="1"/>
  <c r="CI67" i="47" s="1"/>
  <c r="CJ67" i="47" s="1"/>
  <c r="CK67" i="47" s="1"/>
  <c r="CL67" i="47" s="1"/>
  <c r="CM67" i="47" s="1"/>
  <c r="CN67" i="47" s="1"/>
  <c r="CO67" i="47" s="1"/>
  <c r="CP67" i="47" s="1"/>
  <c r="CQ67" i="47" s="1"/>
  <c r="CS67" i="47" s="1"/>
  <c r="CT67" i="47" s="1"/>
  <c r="CU67" i="47" s="1"/>
  <c r="CV67" i="47" s="1"/>
  <c r="CW67" i="47" s="1"/>
  <c r="CX67" i="47" s="1"/>
  <c r="CY67" i="47" s="1"/>
  <c r="CZ67" i="47" s="1"/>
  <c r="DA67" i="47" s="1"/>
  <c r="DB67" i="47" s="1"/>
  <c r="DC67" i="47" s="1"/>
  <c r="DD67" i="47" s="1"/>
  <c r="DF67" i="47" s="1"/>
  <c r="DG67" i="47" s="1"/>
  <c r="DH67" i="47" s="1"/>
  <c r="DI67" i="47" s="1"/>
  <c r="DJ67" i="47" s="1"/>
  <c r="DK67" i="47" s="1"/>
  <c r="DL67" i="47" s="1"/>
  <c r="DM67" i="47" s="1"/>
  <c r="DN67" i="47" s="1"/>
  <c r="DO67" i="47" s="1"/>
  <c r="DP67" i="47" s="1"/>
  <c r="DQ67" i="47" s="1"/>
  <c r="G66" i="47"/>
  <c r="T65" i="47"/>
  <c r="U65" i="47" s="1"/>
  <c r="V65" i="47" s="1"/>
  <c r="W65" i="47" s="1"/>
  <c r="X65" i="47" s="1"/>
  <c r="Y65" i="47" s="1"/>
  <c r="Z65" i="47" s="1"/>
  <c r="AA65" i="47" s="1"/>
  <c r="AB65" i="47" s="1"/>
  <c r="AC65" i="47" s="1"/>
  <c r="AD65" i="47" s="1"/>
  <c r="AF65" i="47" s="1"/>
  <c r="AG65" i="47" s="1"/>
  <c r="AH65" i="47" s="1"/>
  <c r="AI65" i="47" s="1"/>
  <c r="AJ65" i="47" s="1"/>
  <c r="AK65" i="47" s="1"/>
  <c r="AL65" i="47" s="1"/>
  <c r="AM65" i="47" s="1"/>
  <c r="AN65" i="47" s="1"/>
  <c r="AO65" i="47" s="1"/>
  <c r="AP65" i="47" s="1"/>
  <c r="AQ65" i="47" s="1"/>
  <c r="AS65" i="47" s="1"/>
  <c r="AT65" i="47" s="1"/>
  <c r="AU65" i="47" s="1"/>
  <c r="AV65" i="47" s="1"/>
  <c r="AW65" i="47" s="1"/>
  <c r="AX65" i="47" s="1"/>
  <c r="AY65" i="47" s="1"/>
  <c r="AZ65" i="47" s="1"/>
  <c r="BA65" i="47" s="1"/>
  <c r="BB65" i="47" s="1"/>
  <c r="BC65" i="47" s="1"/>
  <c r="BD65" i="47" s="1"/>
  <c r="BF65" i="47" s="1"/>
  <c r="BG65" i="47" s="1"/>
  <c r="BH65" i="47" s="1"/>
  <c r="BI65" i="47" s="1"/>
  <c r="BJ65" i="47" s="1"/>
  <c r="BK65" i="47" s="1"/>
  <c r="BL65" i="47" s="1"/>
  <c r="BM65" i="47" s="1"/>
  <c r="BN65" i="47" s="1"/>
  <c r="BO65" i="47" s="1"/>
  <c r="BP65" i="47" s="1"/>
  <c r="BQ65" i="47" s="1"/>
  <c r="BS65" i="47" s="1"/>
  <c r="BT65" i="47" s="1"/>
  <c r="BU65" i="47" s="1"/>
  <c r="BV65" i="47" s="1"/>
  <c r="BW65" i="47" s="1"/>
  <c r="BX65" i="47" s="1"/>
  <c r="BY65" i="47" s="1"/>
  <c r="BZ65" i="47" s="1"/>
  <c r="CA65" i="47" s="1"/>
  <c r="CB65" i="47" s="1"/>
  <c r="CC65" i="47" s="1"/>
  <c r="CD65" i="47" s="1"/>
  <c r="CF65" i="47" s="1"/>
  <c r="CG65" i="47" s="1"/>
  <c r="CH65" i="47" s="1"/>
  <c r="CI65" i="47" s="1"/>
  <c r="CJ65" i="47" s="1"/>
  <c r="CK65" i="47" s="1"/>
  <c r="CL65" i="47" s="1"/>
  <c r="CM65" i="47" s="1"/>
  <c r="CN65" i="47" s="1"/>
  <c r="CO65" i="47" s="1"/>
  <c r="CP65" i="47" s="1"/>
  <c r="CQ65" i="47" s="1"/>
  <c r="CS65" i="47" s="1"/>
  <c r="CT65" i="47" s="1"/>
  <c r="CU65" i="47" s="1"/>
  <c r="CV65" i="47" s="1"/>
  <c r="CW65" i="47" s="1"/>
  <c r="CX65" i="47" s="1"/>
  <c r="CY65" i="47" s="1"/>
  <c r="CZ65" i="47" s="1"/>
  <c r="DA65" i="47" s="1"/>
  <c r="DB65" i="47" s="1"/>
  <c r="DC65" i="47" s="1"/>
  <c r="DD65" i="47" s="1"/>
  <c r="DF65" i="47" s="1"/>
  <c r="DG65" i="47" s="1"/>
  <c r="DH65" i="47" s="1"/>
  <c r="DI65" i="47" s="1"/>
  <c r="DJ65" i="47" s="1"/>
  <c r="DK65" i="47" s="1"/>
  <c r="DL65" i="47" s="1"/>
  <c r="DM65" i="47" s="1"/>
  <c r="DN65" i="47" s="1"/>
  <c r="DO65" i="47" s="1"/>
  <c r="DP65" i="47" s="1"/>
  <c r="DQ65" i="47" s="1"/>
  <c r="G65" i="47"/>
  <c r="H65" i="47" s="1"/>
  <c r="I65" i="47" s="1"/>
  <c r="J65" i="47" s="1"/>
  <c r="K65" i="47" s="1"/>
  <c r="L65" i="47" s="1"/>
  <c r="M65" i="47" s="1"/>
  <c r="N65" i="47" s="1"/>
  <c r="O65" i="47" s="1"/>
  <c r="P65" i="47" s="1"/>
  <c r="Q65" i="47" s="1"/>
  <c r="T64" i="47"/>
  <c r="U64" i="47" s="1"/>
  <c r="V64" i="47" s="1"/>
  <c r="W64" i="47" s="1"/>
  <c r="X64" i="47" s="1"/>
  <c r="Y64" i="47" s="1"/>
  <c r="Z64" i="47" s="1"/>
  <c r="AA64" i="47" s="1"/>
  <c r="AB64" i="47" s="1"/>
  <c r="AC64" i="47" s="1"/>
  <c r="AD64" i="47" s="1"/>
  <c r="AF64" i="47" s="1"/>
  <c r="AG64" i="47" s="1"/>
  <c r="AH64" i="47" s="1"/>
  <c r="AI64" i="47" s="1"/>
  <c r="AJ64" i="47" s="1"/>
  <c r="AK64" i="47" s="1"/>
  <c r="AL64" i="47" s="1"/>
  <c r="AM64" i="47" s="1"/>
  <c r="AN64" i="47" s="1"/>
  <c r="AO64" i="47" s="1"/>
  <c r="AP64" i="47" s="1"/>
  <c r="AQ64" i="47" s="1"/>
  <c r="AS64" i="47" s="1"/>
  <c r="AT64" i="47" s="1"/>
  <c r="AU64" i="47" s="1"/>
  <c r="AV64" i="47" s="1"/>
  <c r="AW64" i="47" s="1"/>
  <c r="AX64" i="47" s="1"/>
  <c r="AY64" i="47" s="1"/>
  <c r="AZ64" i="47" s="1"/>
  <c r="BA64" i="47" s="1"/>
  <c r="BB64" i="47" s="1"/>
  <c r="BC64" i="47" s="1"/>
  <c r="BD64" i="47" s="1"/>
  <c r="BF64" i="47" s="1"/>
  <c r="BG64" i="47" s="1"/>
  <c r="BH64" i="47" s="1"/>
  <c r="BI64" i="47" s="1"/>
  <c r="BJ64" i="47" s="1"/>
  <c r="BK64" i="47" s="1"/>
  <c r="BL64" i="47" s="1"/>
  <c r="BM64" i="47" s="1"/>
  <c r="BN64" i="47" s="1"/>
  <c r="BO64" i="47" s="1"/>
  <c r="BP64" i="47" s="1"/>
  <c r="BQ64" i="47" s="1"/>
  <c r="BS64" i="47" s="1"/>
  <c r="BT64" i="47" s="1"/>
  <c r="BU64" i="47" s="1"/>
  <c r="BV64" i="47" s="1"/>
  <c r="BW64" i="47" s="1"/>
  <c r="BX64" i="47" s="1"/>
  <c r="BY64" i="47" s="1"/>
  <c r="BZ64" i="47" s="1"/>
  <c r="CA64" i="47" s="1"/>
  <c r="CB64" i="47" s="1"/>
  <c r="CC64" i="47" s="1"/>
  <c r="CD64" i="47" s="1"/>
  <c r="CF64" i="47" s="1"/>
  <c r="CG64" i="47" s="1"/>
  <c r="CH64" i="47" s="1"/>
  <c r="CI64" i="47" s="1"/>
  <c r="CJ64" i="47" s="1"/>
  <c r="CK64" i="47" s="1"/>
  <c r="CL64" i="47" s="1"/>
  <c r="CM64" i="47" s="1"/>
  <c r="CN64" i="47" s="1"/>
  <c r="CO64" i="47" s="1"/>
  <c r="CP64" i="47" s="1"/>
  <c r="CQ64" i="47" s="1"/>
  <c r="CS64" i="47" s="1"/>
  <c r="CT64" i="47" s="1"/>
  <c r="CU64" i="47" s="1"/>
  <c r="CV64" i="47" s="1"/>
  <c r="CW64" i="47" s="1"/>
  <c r="CX64" i="47" s="1"/>
  <c r="CY64" i="47" s="1"/>
  <c r="CZ64" i="47" s="1"/>
  <c r="DA64" i="47" s="1"/>
  <c r="DB64" i="47" s="1"/>
  <c r="DC64" i="47" s="1"/>
  <c r="DD64" i="47" s="1"/>
  <c r="DF64" i="47" s="1"/>
  <c r="DG64" i="47" s="1"/>
  <c r="DH64" i="47" s="1"/>
  <c r="DI64" i="47" s="1"/>
  <c r="DJ64" i="47" s="1"/>
  <c r="DK64" i="47" s="1"/>
  <c r="DL64" i="47" s="1"/>
  <c r="DM64" i="47" s="1"/>
  <c r="DN64" i="47" s="1"/>
  <c r="DO64" i="47" s="1"/>
  <c r="DP64" i="47" s="1"/>
  <c r="DQ64" i="47" s="1"/>
  <c r="G64" i="47"/>
  <c r="H64" i="47" s="1"/>
  <c r="I64" i="47" s="1"/>
  <c r="T63" i="47"/>
  <c r="U63" i="47" s="1"/>
  <c r="V63" i="47" s="1"/>
  <c r="W63" i="47" s="1"/>
  <c r="X63" i="47" s="1"/>
  <c r="Y63" i="47" s="1"/>
  <c r="Z63" i="47" s="1"/>
  <c r="AA63" i="47" s="1"/>
  <c r="AB63" i="47" s="1"/>
  <c r="AC63" i="47" s="1"/>
  <c r="AD63" i="47" s="1"/>
  <c r="AF63" i="47" s="1"/>
  <c r="AG63" i="47" s="1"/>
  <c r="AH63" i="47" s="1"/>
  <c r="AI63" i="47" s="1"/>
  <c r="AJ63" i="47" s="1"/>
  <c r="AK63" i="47" s="1"/>
  <c r="AL63" i="47" s="1"/>
  <c r="AM63" i="47" s="1"/>
  <c r="AN63" i="47" s="1"/>
  <c r="AO63" i="47" s="1"/>
  <c r="AP63" i="47" s="1"/>
  <c r="AQ63" i="47" s="1"/>
  <c r="AS63" i="47" s="1"/>
  <c r="AT63" i="47" s="1"/>
  <c r="AU63" i="47" s="1"/>
  <c r="AV63" i="47" s="1"/>
  <c r="AW63" i="47" s="1"/>
  <c r="AX63" i="47" s="1"/>
  <c r="AY63" i="47" s="1"/>
  <c r="AZ63" i="47" s="1"/>
  <c r="BA63" i="47" s="1"/>
  <c r="BB63" i="47" s="1"/>
  <c r="BC63" i="47" s="1"/>
  <c r="BD63" i="47" s="1"/>
  <c r="BF63" i="47" s="1"/>
  <c r="BG63" i="47" s="1"/>
  <c r="BH63" i="47" s="1"/>
  <c r="BI63" i="47" s="1"/>
  <c r="BJ63" i="47" s="1"/>
  <c r="BK63" i="47" s="1"/>
  <c r="BL63" i="47" s="1"/>
  <c r="BM63" i="47" s="1"/>
  <c r="BN63" i="47" s="1"/>
  <c r="BO63" i="47" s="1"/>
  <c r="BP63" i="47" s="1"/>
  <c r="BQ63" i="47" s="1"/>
  <c r="BS63" i="47" s="1"/>
  <c r="BT63" i="47" s="1"/>
  <c r="BU63" i="47" s="1"/>
  <c r="BV63" i="47" s="1"/>
  <c r="BW63" i="47" s="1"/>
  <c r="BX63" i="47" s="1"/>
  <c r="BY63" i="47" s="1"/>
  <c r="BZ63" i="47" s="1"/>
  <c r="CA63" i="47" s="1"/>
  <c r="CB63" i="47" s="1"/>
  <c r="CC63" i="47" s="1"/>
  <c r="CD63" i="47" s="1"/>
  <c r="CF63" i="47" s="1"/>
  <c r="CG63" i="47" s="1"/>
  <c r="CH63" i="47" s="1"/>
  <c r="CI63" i="47" s="1"/>
  <c r="CJ63" i="47" s="1"/>
  <c r="CK63" i="47" s="1"/>
  <c r="CL63" i="47" s="1"/>
  <c r="CM63" i="47" s="1"/>
  <c r="CN63" i="47" s="1"/>
  <c r="CO63" i="47" s="1"/>
  <c r="CP63" i="47" s="1"/>
  <c r="CQ63" i="47" s="1"/>
  <c r="CS63" i="47" s="1"/>
  <c r="CT63" i="47" s="1"/>
  <c r="CU63" i="47" s="1"/>
  <c r="CV63" i="47" s="1"/>
  <c r="CW63" i="47" s="1"/>
  <c r="CX63" i="47" s="1"/>
  <c r="CY63" i="47" s="1"/>
  <c r="CZ63" i="47" s="1"/>
  <c r="DA63" i="47" s="1"/>
  <c r="DB63" i="47" s="1"/>
  <c r="DC63" i="47" s="1"/>
  <c r="DD63" i="47" s="1"/>
  <c r="DF63" i="47" s="1"/>
  <c r="DG63" i="47" s="1"/>
  <c r="DH63" i="47" s="1"/>
  <c r="DI63" i="47" s="1"/>
  <c r="DJ63" i="47" s="1"/>
  <c r="DK63" i="47" s="1"/>
  <c r="DL63" i="47" s="1"/>
  <c r="DM63" i="47" s="1"/>
  <c r="DN63" i="47" s="1"/>
  <c r="DO63" i="47" s="1"/>
  <c r="DP63" i="47" s="1"/>
  <c r="DQ63" i="47" s="1"/>
  <c r="G63" i="47"/>
  <c r="T62" i="47"/>
  <c r="U62" i="47" s="1"/>
  <c r="V62" i="47" s="1"/>
  <c r="W62" i="47" s="1"/>
  <c r="X62" i="47" s="1"/>
  <c r="Y62" i="47" s="1"/>
  <c r="Z62" i="47" s="1"/>
  <c r="AA62" i="47" s="1"/>
  <c r="AB62" i="47" s="1"/>
  <c r="AC62" i="47" s="1"/>
  <c r="AD62" i="47" s="1"/>
  <c r="AF62" i="47" s="1"/>
  <c r="AG62" i="47" s="1"/>
  <c r="AH62" i="47" s="1"/>
  <c r="AI62" i="47" s="1"/>
  <c r="AJ62" i="47" s="1"/>
  <c r="AK62" i="47" s="1"/>
  <c r="AL62" i="47" s="1"/>
  <c r="AM62" i="47" s="1"/>
  <c r="AN62" i="47" s="1"/>
  <c r="AO62" i="47" s="1"/>
  <c r="AP62" i="47" s="1"/>
  <c r="AQ62" i="47" s="1"/>
  <c r="AS62" i="47" s="1"/>
  <c r="AT62" i="47" s="1"/>
  <c r="AU62" i="47" s="1"/>
  <c r="AV62" i="47" s="1"/>
  <c r="AW62" i="47" s="1"/>
  <c r="AX62" i="47" s="1"/>
  <c r="AY62" i="47" s="1"/>
  <c r="AZ62" i="47" s="1"/>
  <c r="BA62" i="47" s="1"/>
  <c r="BB62" i="47" s="1"/>
  <c r="BC62" i="47" s="1"/>
  <c r="BD62" i="47" s="1"/>
  <c r="BF62" i="47" s="1"/>
  <c r="BG62" i="47" s="1"/>
  <c r="BH62" i="47" s="1"/>
  <c r="BI62" i="47" s="1"/>
  <c r="BJ62" i="47" s="1"/>
  <c r="BK62" i="47" s="1"/>
  <c r="BL62" i="47" s="1"/>
  <c r="BM62" i="47" s="1"/>
  <c r="BN62" i="47" s="1"/>
  <c r="BO62" i="47" s="1"/>
  <c r="BP62" i="47" s="1"/>
  <c r="BQ62" i="47" s="1"/>
  <c r="BS62" i="47" s="1"/>
  <c r="BT62" i="47" s="1"/>
  <c r="BU62" i="47" s="1"/>
  <c r="BV62" i="47" s="1"/>
  <c r="BW62" i="47" s="1"/>
  <c r="BX62" i="47" s="1"/>
  <c r="BY62" i="47" s="1"/>
  <c r="BZ62" i="47" s="1"/>
  <c r="CA62" i="47" s="1"/>
  <c r="CB62" i="47" s="1"/>
  <c r="CC62" i="47" s="1"/>
  <c r="CD62" i="47" s="1"/>
  <c r="CF62" i="47" s="1"/>
  <c r="CG62" i="47" s="1"/>
  <c r="CH62" i="47" s="1"/>
  <c r="CI62" i="47" s="1"/>
  <c r="CJ62" i="47" s="1"/>
  <c r="CK62" i="47" s="1"/>
  <c r="CL62" i="47" s="1"/>
  <c r="CM62" i="47" s="1"/>
  <c r="CN62" i="47" s="1"/>
  <c r="CO62" i="47" s="1"/>
  <c r="CP62" i="47" s="1"/>
  <c r="CQ62" i="47" s="1"/>
  <c r="CS62" i="47" s="1"/>
  <c r="CT62" i="47" s="1"/>
  <c r="CU62" i="47" s="1"/>
  <c r="CV62" i="47" s="1"/>
  <c r="CW62" i="47" s="1"/>
  <c r="CX62" i="47" s="1"/>
  <c r="CY62" i="47" s="1"/>
  <c r="CZ62" i="47" s="1"/>
  <c r="DA62" i="47" s="1"/>
  <c r="DB62" i="47" s="1"/>
  <c r="DC62" i="47" s="1"/>
  <c r="DD62" i="47" s="1"/>
  <c r="DF62" i="47" s="1"/>
  <c r="DG62" i="47" s="1"/>
  <c r="DH62" i="47" s="1"/>
  <c r="DI62" i="47" s="1"/>
  <c r="DJ62" i="47" s="1"/>
  <c r="DK62" i="47" s="1"/>
  <c r="DL62" i="47" s="1"/>
  <c r="DM62" i="47" s="1"/>
  <c r="DN62" i="47" s="1"/>
  <c r="DO62" i="47" s="1"/>
  <c r="DP62" i="47" s="1"/>
  <c r="DQ62" i="47" s="1"/>
  <c r="G62" i="47"/>
  <c r="T61" i="47"/>
  <c r="G61" i="47"/>
  <c r="H61" i="47" s="1"/>
  <c r="I61" i="47" s="1"/>
  <c r="DT58" i="47"/>
  <c r="AE58" i="47"/>
  <c r="R58" i="47"/>
  <c r="F58" i="47"/>
  <c r="C58" i="47"/>
  <c r="G57" i="47"/>
  <c r="H57" i="47" s="1"/>
  <c r="I57" i="47" s="1"/>
  <c r="J57" i="47" s="1"/>
  <c r="K57" i="47" s="1"/>
  <c r="L57" i="47" s="1"/>
  <c r="M57" i="47" s="1"/>
  <c r="N57" i="47" s="1"/>
  <c r="O57" i="47" s="1"/>
  <c r="P57" i="47" s="1"/>
  <c r="Q57" i="47" s="1"/>
  <c r="S57" i="47" s="1"/>
  <c r="T57" i="47" s="1"/>
  <c r="U57" i="47" s="1"/>
  <c r="V57" i="47" s="1"/>
  <c r="W57" i="47" s="1"/>
  <c r="X57" i="47" s="1"/>
  <c r="Y57" i="47" s="1"/>
  <c r="Z57" i="47" s="1"/>
  <c r="AA57" i="47" s="1"/>
  <c r="AB57" i="47" s="1"/>
  <c r="AC57" i="47" s="1"/>
  <c r="AD57" i="47" s="1"/>
  <c r="AR57" i="47" s="1"/>
  <c r="G56" i="47"/>
  <c r="H56" i="47" s="1"/>
  <c r="I56" i="47" s="1"/>
  <c r="J56" i="47" s="1"/>
  <c r="K56" i="47" s="1"/>
  <c r="L56" i="47" s="1"/>
  <c r="M56" i="47" s="1"/>
  <c r="N56" i="47" s="1"/>
  <c r="O56" i="47" s="1"/>
  <c r="P56" i="47" s="1"/>
  <c r="Q56" i="47" s="1"/>
  <c r="S56" i="47" s="1"/>
  <c r="T56" i="47" s="1"/>
  <c r="U56" i="47" s="1"/>
  <c r="V56" i="47" s="1"/>
  <c r="W56" i="47" s="1"/>
  <c r="X56" i="47" s="1"/>
  <c r="Y56" i="47" s="1"/>
  <c r="Z56" i="47" s="1"/>
  <c r="AA56" i="47" s="1"/>
  <c r="AB56" i="47" s="1"/>
  <c r="AC56" i="47" s="1"/>
  <c r="AD56" i="47" s="1"/>
  <c r="AF56" i="47" s="1"/>
  <c r="G55" i="47"/>
  <c r="H55" i="47" s="1"/>
  <c r="I55" i="47" s="1"/>
  <c r="J55" i="47" s="1"/>
  <c r="K55" i="47" s="1"/>
  <c r="L55" i="47" s="1"/>
  <c r="M55" i="47" s="1"/>
  <c r="N55" i="47" s="1"/>
  <c r="O55" i="47" s="1"/>
  <c r="P55" i="47" s="1"/>
  <c r="Q55" i="47" s="1"/>
  <c r="S55" i="47" s="1"/>
  <c r="T55" i="47" s="1"/>
  <c r="U55" i="47" s="1"/>
  <c r="V55" i="47" s="1"/>
  <c r="W55" i="47" s="1"/>
  <c r="X55" i="47" s="1"/>
  <c r="Y55" i="47" s="1"/>
  <c r="Z55" i="47" s="1"/>
  <c r="AA55" i="47" s="1"/>
  <c r="AB55" i="47" s="1"/>
  <c r="AC55" i="47" s="1"/>
  <c r="AD55" i="47" s="1"/>
  <c r="AF55" i="47" s="1"/>
  <c r="AG55" i="47" s="1"/>
  <c r="AH55" i="47" s="1"/>
  <c r="AI55" i="47" s="1"/>
  <c r="AJ55" i="47" s="1"/>
  <c r="AK55" i="47" s="1"/>
  <c r="AL55" i="47" s="1"/>
  <c r="AM55" i="47" s="1"/>
  <c r="AN55" i="47" s="1"/>
  <c r="AO55" i="47" s="1"/>
  <c r="AP55" i="47" s="1"/>
  <c r="AQ55" i="47" s="1"/>
  <c r="AS55" i="47" s="1"/>
  <c r="AT55" i="47" s="1"/>
  <c r="AU55" i="47" s="1"/>
  <c r="AV55" i="47" s="1"/>
  <c r="AW55" i="47" s="1"/>
  <c r="AX55" i="47" s="1"/>
  <c r="AY55" i="47" s="1"/>
  <c r="AZ55" i="47" s="1"/>
  <c r="BA55" i="47" s="1"/>
  <c r="BB55" i="47" s="1"/>
  <c r="BC55" i="47" s="1"/>
  <c r="BD55" i="47" s="1"/>
  <c r="BF55" i="47" s="1"/>
  <c r="BG55" i="47" s="1"/>
  <c r="BH55" i="47" s="1"/>
  <c r="BI55" i="47" s="1"/>
  <c r="BJ55" i="47" s="1"/>
  <c r="BK55" i="47" s="1"/>
  <c r="BL55" i="47" s="1"/>
  <c r="BM55" i="47" s="1"/>
  <c r="BN55" i="47" s="1"/>
  <c r="BO55" i="47" s="1"/>
  <c r="BP55" i="47" s="1"/>
  <c r="BQ55" i="47" s="1"/>
  <c r="BS55" i="47" s="1"/>
  <c r="BT55" i="47" s="1"/>
  <c r="BU55" i="47" s="1"/>
  <c r="BV55" i="47" s="1"/>
  <c r="BW55" i="47" s="1"/>
  <c r="BX55" i="47" s="1"/>
  <c r="BY55" i="47" s="1"/>
  <c r="BZ55" i="47" s="1"/>
  <c r="CA55" i="47" s="1"/>
  <c r="CB55" i="47" s="1"/>
  <c r="CC55" i="47" s="1"/>
  <c r="CD55" i="47" s="1"/>
  <c r="CF55" i="47" s="1"/>
  <c r="CG55" i="47" s="1"/>
  <c r="CH55" i="47" s="1"/>
  <c r="CI55" i="47" s="1"/>
  <c r="CJ55" i="47" s="1"/>
  <c r="CK55" i="47" s="1"/>
  <c r="CL55" i="47" s="1"/>
  <c r="CM55" i="47" s="1"/>
  <c r="CN55" i="47" s="1"/>
  <c r="CO55" i="47" s="1"/>
  <c r="CP55" i="47" s="1"/>
  <c r="CQ55" i="47" s="1"/>
  <c r="CS55" i="47" s="1"/>
  <c r="CT55" i="47" s="1"/>
  <c r="CU55" i="47" s="1"/>
  <c r="CV55" i="47" s="1"/>
  <c r="CW55" i="47" s="1"/>
  <c r="CX55" i="47" s="1"/>
  <c r="CY55" i="47" s="1"/>
  <c r="CZ55" i="47" s="1"/>
  <c r="DA55" i="47" s="1"/>
  <c r="DB55" i="47" s="1"/>
  <c r="DC55" i="47" s="1"/>
  <c r="DD55" i="47" s="1"/>
  <c r="DF55" i="47" s="1"/>
  <c r="DG55" i="47" s="1"/>
  <c r="DH55" i="47" s="1"/>
  <c r="DI55" i="47" s="1"/>
  <c r="DJ55" i="47" s="1"/>
  <c r="DK55" i="47" s="1"/>
  <c r="DL55" i="47" s="1"/>
  <c r="DM55" i="47" s="1"/>
  <c r="DN55" i="47" s="1"/>
  <c r="DO55" i="47" s="1"/>
  <c r="DP55" i="47" s="1"/>
  <c r="DQ55" i="47" s="1"/>
  <c r="G54" i="47"/>
  <c r="H54" i="47" s="1"/>
  <c r="I54" i="47" s="1"/>
  <c r="J54" i="47" s="1"/>
  <c r="K54" i="47" s="1"/>
  <c r="L54" i="47" s="1"/>
  <c r="M54" i="47" s="1"/>
  <c r="N54" i="47" s="1"/>
  <c r="O54" i="47" s="1"/>
  <c r="P54" i="47" s="1"/>
  <c r="Q54" i="47" s="1"/>
  <c r="S54" i="47" s="1"/>
  <c r="T54" i="47" s="1"/>
  <c r="U54" i="47" s="1"/>
  <c r="V54" i="47" s="1"/>
  <c r="W54" i="47" s="1"/>
  <c r="X54" i="47" s="1"/>
  <c r="Y54" i="47" s="1"/>
  <c r="Z54" i="47" s="1"/>
  <c r="AA54" i="47" s="1"/>
  <c r="AB54" i="47" s="1"/>
  <c r="AC54" i="47" s="1"/>
  <c r="AD54" i="47" s="1"/>
  <c r="AF54" i="47" s="1"/>
  <c r="AG54" i="47" s="1"/>
  <c r="AH54" i="47" s="1"/>
  <c r="AI54" i="47" s="1"/>
  <c r="AJ54" i="47" s="1"/>
  <c r="AK54" i="47" s="1"/>
  <c r="AL54" i="47" s="1"/>
  <c r="AM54" i="47" s="1"/>
  <c r="AN54" i="47" s="1"/>
  <c r="AO54" i="47" s="1"/>
  <c r="AP54" i="47" s="1"/>
  <c r="AQ54" i="47" s="1"/>
  <c r="AS54" i="47" s="1"/>
  <c r="AT54" i="47" s="1"/>
  <c r="AU54" i="47" s="1"/>
  <c r="AV54" i="47" s="1"/>
  <c r="AW54" i="47" s="1"/>
  <c r="AX54" i="47" s="1"/>
  <c r="AY54" i="47" s="1"/>
  <c r="AZ54" i="47" s="1"/>
  <c r="BA54" i="47" s="1"/>
  <c r="BB54" i="47" s="1"/>
  <c r="BC54" i="47" s="1"/>
  <c r="BD54" i="47" s="1"/>
  <c r="BF54" i="47" s="1"/>
  <c r="BG54" i="47" s="1"/>
  <c r="BH54" i="47" s="1"/>
  <c r="BI54" i="47" s="1"/>
  <c r="BJ54" i="47" s="1"/>
  <c r="BK54" i="47" s="1"/>
  <c r="BL54" i="47" s="1"/>
  <c r="BM54" i="47" s="1"/>
  <c r="BN54" i="47" s="1"/>
  <c r="BO54" i="47" s="1"/>
  <c r="BP54" i="47" s="1"/>
  <c r="BQ54" i="47" s="1"/>
  <c r="BS54" i="47" s="1"/>
  <c r="BT54" i="47" s="1"/>
  <c r="BU54" i="47" s="1"/>
  <c r="BV54" i="47" s="1"/>
  <c r="BW54" i="47" s="1"/>
  <c r="BX54" i="47" s="1"/>
  <c r="BY54" i="47" s="1"/>
  <c r="BZ54" i="47" s="1"/>
  <c r="CA54" i="47" s="1"/>
  <c r="CB54" i="47" s="1"/>
  <c r="CC54" i="47" s="1"/>
  <c r="CD54" i="47" s="1"/>
  <c r="CF54" i="47" s="1"/>
  <c r="CG54" i="47" s="1"/>
  <c r="CH54" i="47" s="1"/>
  <c r="CI54" i="47" s="1"/>
  <c r="CJ54" i="47" s="1"/>
  <c r="CK54" i="47" s="1"/>
  <c r="CL54" i="47" s="1"/>
  <c r="CM54" i="47" s="1"/>
  <c r="CN54" i="47" s="1"/>
  <c r="CO54" i="47" s="1"/>
  <c r="CP54" i="47" s="1"/>
  <c r="CQ54" i="47" s="1"/>
  <c r="CS54" i="47" s="1"/>
  <c r="CT54" i="47" s="1"/>
  <c r="CU54" i="47" s="1"/>
  <c r="CV54" i="47" s="1"/>
  <c r="CW54" i="47" s="1"/>
  <c r="CX54" i="47" s="1"/>
  <c r="CY54" i="47" s="1"/>
  <c r="CZ54" i="47" s="1"/>
  <c r="DA54" i="47" s="1"/>
  <c r="DB54" i="47" s="1"/>
  <c r="DC54" i="47" s="1"/>
  <c r="DD54" i="47" s="1"/>
  <c r="DF54" i="47" s="1"/>
  <c r="DG54" i="47" s="1"/>
  <c r="DH54" i="47" s="1"/>
  <c r="DI54" i="47" s="1"/>
  <c r="DJ54" i="47" s="1"/>
  <c r="DK54" i="47" s="1"/>
  <c r="DL54" i="47" s="1"/>
  <c r="DM54" i="47" s="1"/>
  <c r="DN54" i="47" s="1"/>
  <c r="DO54" i="47" s="1"/>
  <c r="DP54" i="47" s="1"/>
  <c r="DQ54" i="47" s="1"/>
  <c r="D54" i="47"/>
  <c r="D106" i="47" s="1"/>
  <c r="D133" i="47" s="1"/>
  <c r="D160" i="47" s="1"/>
  <c r="D188" i="47" s="1"/>
  <c r="G53" i="47"/>
  <c r="H53" i="47" s="1"/>
  <c r="G52" i="47"/>
  <c r="H52" i="47" s="1"/>
  <c r="I52" i="47" s="1"/>
  <c r="J52" i="47" s="1"/>
  <c r="K52" i="47" s="1"/>
  <c r="L52" i="47" s="1"/>
  <c r="M52" i="47" s="1"/>
  <c r="N52" i="47" s="1"/>
  <c r="O52" i="47" s="1"/>
  <c r="P52" i="47" s="1"/>
  <c r="Q52" i="47" s="1"/>
  <c r="S52" i="47" s="1"/>
  <c r="T52" i="47" s="1"/>
  <c r="U52" i="47" s="1"/>
  <c r="V52" i="47" s="1"/>
  <c r="W52" i="47" s="1"/>
  <c r="X52" i="47" s="1"/>
  <c r="Y52" i="47" s="1"/>
  <c r="Z52" i="47" s="1"/>
  <c r="AA52" i="47" s="1"/>
  <c r="AB52" i="47" s="1"/>
  <c r="AC52" i="47" s="1"/>
  <c r="AD52" i="47" s="1"/>
  <c r="AF52" i="47" s="1"/>
  <c r="AG52" i="47" s="1"/>
  <c r="AH52" i="47" s="1"/>
  <c r="AI52" i="47" s="1"/>
  <c r="AJ52" i="47" s="1"/>
  <c r="AK52" i="47" s="1"/>
  <c r="AL52" i="47" s="1"/>
  <c r="AM52" i="47" s="1"/>
  <c r="AN52" i="47" s="1"/>
  <c r="AO52" i="47" s="1"/>
  <c r="AP52" i="47" s="1"/>
  <c r="AQ52" i="47" s="1"/>
  <c r="AS52" i="47" s="1"/>
  <c r="AT52" i="47" s="1"/>
  <c r="AU52" i="47" s="1"/>
  <c r="AV52" i="47" s="1"/>
  <c r="AW52" i="47" s="1"/>
  <c r="AX52" i="47" s="1"/>
  <c r="AY52" i="47" s="1"/>
  <c r="AZ52" i="47" s="1"/>
  <c r="BA52" i="47" s="1"/>
  <c r="BB52" i="47" s="1"/>
  <c r="BC52" i="47" s="1"/>
  <c r="BD52" i="47" s="1"/>
  <c r="BF52" i="47" s="1"/>
  <c r="BG52" i="47" s="1"/>
  <c r="BH52" i="47" s="1"/>
  <c r="BI52" i="47" s="1"/>
  <c r="BJ52" i="47" s="1"/>
  <c r="BK52" i="47" s="1"/>
  <c r="BL52" i="47" s="1"/>
  <c r="BM52" i="47" s="1"/>
  <c r="BN52" i="47" s="1"/>
  <c r="BO52" i="47" s="1"/>
  <c r="BP52" i="47" s="1"/>
  <c r="BQ52" i="47" s="1"/>
  <c r="BS52" i="47" s="1"/>
  <c r="BT52" i="47" s="1"/>
  <c r="BU52" i="47" s="1"/>
  <c r="BV52" i="47" s="1"/>
  <c r="BW52" i="47" s="1"/>
  <c r="BX52" i="47" s="1"/>
  <c r="BY52" i="47" s="1"/>
  <c r="BZ52" i="47" s="1"/>
  <c r="CA52" i="47" s="1"/>
  <c r="CB52" i="47" s="1"/>
  <c r="CC52" i="47" s="1"/>
  <c r="CD52" i="47" s="1"/>
  <c r="CF52" i="47" s="1"/>
  <c r="CG52" i="47" s="1"/>
  <c r="CH52" i="47" s="1"/>
  <c r="CI52" i="47" s="1"/>
  <c r="CJ52" i="47" s="1"/>
  <c r="CK52" i="47" s="1"/>
  <c r="CL52" i="47" s="1"/>
  <c r="CM52" i="47" s="1"/>
  <c r="CN52" i="47" s="1"/>
  <c r="CO52" i="47" s="1"/>
  <c r="CP52" i="47" s="1"/>
  <c r="CQ52" i="47" s="1"/>
  <c r="CS52" i="47" s="1"/>
  <c r="CT52" i="47" s="1"/>
  <c r="CU52" i="47" s="1"/>
  <c r="CV52" i="47" s="1"/>
  <c r="CW52" i="47" s="1"/>
  <c r="CX52" i="47" s="1"/>
  <c r="CY52" i="47" s="1"/>
  <c r="CZ52" i="47" s="1"/>
  <c r="DA52" i="47" s="1"/>
  <c r="DB52" i="47" s="1"/>
  <c r="DC52" i="47" s="1"/>
  <c r="DD52" i="47" s="1"/>
  <c r="DF52" i="47" s="1"/>
  <c r="DG52" i="47" s="1"/>
  <c r="DH52" i="47" s="1"/>
  <c r="DI52" i="47" s="1"/>
  <c r="DJ52" i="47" s="1"/>
  <c r="DK52" i="47" s="1"/>
  <c r="DL52" i="47" s="1"/>
  <c r="DM52" i="47" s="1"/>
  <c r="DN52" i="47" s="1"/>
  <c r="DO52" i="47" s="1"/>
  <c r="DP52" i="47" s="1"/>
  <c r="DQ52" i="47" s="1"/>
  <c r="G51" i="47"/>
  <c r="H51" i="47" s="1"/>
  <c r="I51" i="47" s="1"/>
  <c r="J51" i="47" s="1"/>
  <c r="K51" i="47" s="1"/>
  <c r="L51" i="47" s="1"/>
  <c r="M51" i="47" s="1"/>
  <c r="N51" i="47" s="1"/>
  <c r="O51" i="47" s="1"/>
  <c r="P51" i="47" s="1"/>
  <c r="Q51" i="47" s="1"/>
  <c r="S51" i="47" s="1"/>
  <c r="T51" i="47" s="1"/>
  <c r="U51" i="47" s="1"/>
  <c r="V51" i="47" s="1"/>
  <c r="W51" i="47" s="1"/>
  <c r="X51" i="47" s="1"/>
  <c r="Y51" i="47" s="1"/>
  <c r="Z51" i="47" s="1"/>
  <c r="AA51" i="47" s="1"/>
  <c r="AB51" i="47" s="1"/>
  <c r="AC51" i="47" s="1"/>
  <c r="AD51" i="47" s="1"/>
  <c r="AF51" i="47" s="1"/>
  <c r="AG51" i="47" s="1"/>
  <c r="AH51" i="47" s="1"/>
  <c r="AI51" i="47" s="1"/>
  <c r="AJ51" i="47" s="1"/>
  <c r="AK51" i="47" s="1"/>
  <c r="AL51" i="47" s="1"/>
  <c r="AM51" i="47" s="1"/>
  <c r="AN51" i="47" s="1"/>
  <c r="AO51" i="47" s="1"/>
  <c r="AP51" i="47" s="1"/>
  <c r="AQ51" i="47" s="1"/>
  <c r="AS51" i="47" s="1"/>
  <c r="AT51" i="47" s="1"/>
  <c r="AU51" i="47" s="1"/>
  <c r="AV51" i="47" s="1"/>
  <c r="AW51" i="47" s="1"/>
  <c r="AX51" i="47" s="1"/>
  <c r="AY51" i="47" s="1"/>
  <c r="AZ51" i="47" s="1"/>
  <c r="BA51" i="47" s="1"/>
  <c r="BB51" i="47" s="1"/>
  <c r="BC51" i="47" s="1"/>
  <c r="BD51" i="47" s="1"/>
  <c r="BF51" i="47" s="1"/>
  <c r="BG51" i="47" s="1"/>
  <c r="BH51" i="47" s="1"/>
  <c r="BI51" i="47" s="1"/>
  <c r="BJ51" i="47" s="1"/>
  <c r="BK51" i="47" s="1"/>
  <c r="BL51" i="47" s="1"/>
  <c r="BM51" i="47" s="1"/>
  <c r="BN51" i="47" s="1"/>
  <c r="BO51" i="47" s="1"/>
  <c r="BP51" i="47" s="1"/>
  <c r="BQ51" i="47" s="1"/>
  <c r="BS51" i="47" s="1"/>
  <c r="BT51" i="47" s="1"/>
  <c r="BU51" i="47" s="1"/>
  <c r="BV51" i="47" s="1"/>
  <c r="BW51" i="47" s="1"/>
  <c r="BX51" i="47" s="1"/>
  <c r="BY51" i="47" s="1"/>
  <c r="BZ51" i="47" s="1"/>
  <c r="CA51" i="47" s="1"/>
  <c r="CB51" i="47" s="1"/>
  <c r="CC51" i="47" s="1"/>
  <c r="CD51" i="47" s="1"/>
  <c r="CF51" i="47" s="1"/>
  <c r="CG51" i="47" s="1"/>
  <c r="CH51" i="47" s="1"/>
  <c r="CI51" i="47" s="1"/>
  <c r="CJ51" i="47" s="1"/>
  <c r="CK51" i="47" s="1"/>
  <c r="CL51" i="47" s="1"/>
  <c r="CM51" i="47" s="1"/>
  <c r="CN51" i="47" s="1"/>
  <c r="CO51" i="47" s="1"/>
  <c r="CP51" i="47" s="1"/>
  <c r="CQ51" i="47" s="1"/>
  <c r="CS51" i="47" s="1"/>
  <c r="CT51" i="47" s="1"/>
  <c r="CU51" i="47" s="1"/>
  <c r="CV51" i="47" s="1"/>
  <c r="CW51" i="47" s="1"/>
  <c r="CX51" i="47" s="1"/>
  <c r="CY51" i="47" s="1"/>
  <c r="CZ51" i="47" s="1"/>
  <c r="DA51" i="47" s="1"/>
  <c r="DB51" i="47" s="1"/>
  <c r="DC51" i="47" s="1"/>
  <c r="DD51" i="47" s="1"/>
  <c r="DF51" i="47" s="1"/>
  <c r="DG51" i="47" s="1"/>
  <c r="DH51" i="47" s="1"/>
  <c r="DI51" i="47" s="1"/>
  <c r="DJ51" i="47" s="1"/>
  <c r="DK51" i="47" s="1"/>
  <c r="DL51" i="47" s="1"/>
  <c r="DM51" i="47" s="1"/>
  <c r="DN51" i="47" s="1"/>
  <c r="DO51" i="47" s="1"/>
  <c r="DP51" i="47" s="1"/>
  <c r="DQ51" i="47" s="1"/>
  <c r="G50" i="47"/>
  <c r="H50" i="47" s="1"/>
  <c r="I50" i="47" s="1"/>
  <c r="J50" i="47" s="1"/>
  <c r="K50" i="47" s="1"/>
  <c r="L50" i="47" s="1"/>
  <c r="M50" i="47" s="1"/>
  <c r="N50" i="47" s="1"/>
  <c r="O50" i="47" s="1"/>
  <c r="P50" i="47" s="1"/>
  <c r="Q50" i="47" s="1"/>
  <c r="S50" i="47" s="1"/>
  <c r="T50" i="47" s="1"/>
  <c r="U50" i="47" s="1"/>
  <c r="V50" i="47" s="1"/>
  <c r="W50" i="47" s="1"/>
  <c r="X50" i="47" s="1"/>
  <c r="Y50" i="47" s="1"/>
  <c r="Z50" i="47" s="1"/>
  <c r="AA50" i="47" s="1"/>
  <c r="AB50" i="47" s="1"/>
  <c r="AC50" i="47" s="1"/>
  <c r="AD50" i="47" s="1"/>
  <c r="AF50" i="47" s="1"/>
  <c r="AG50" i="47" s="1"/>
  <c r="AH50" i="47" s="1"/>
  <c r="AI50" i="47" s="1"/>
  <c r="AJ50" i="47" s="1"/>
  <c r="AK50" i="47" s="1"/>
  <c r="AL50" i="47" s="1"/>
  <c r="AM50" i="47" s="1"/>
  <c r="AN50" i="47" s="1"/>
  <c r="AO50" i="47" s="1"/>
  <c r="AP50" i="47" s="1"/>
  <c r="AQ50" i="47" s="1"/>
  <c r="AS50" i="47" s="1"/>
  <c r="AT50" i="47" s="1"/>
  <c r="AU50" i="47" s="1"/>
  <c r="AV50" i="47" s="1"/>
  <c r="AW50" i="47" s="1"/>
  <c r="AX50" i="47" s="1"/>
  <c r="AY50" i="47" s="1"/>
  <c r="AZ50" i="47" s="1"/>
  <c r="BA50" i="47" s="1"/>
  <c r="BB50" i="47" s="1"/>
  <c r="BC50" i="47" s="1"/>
  <c r="BD50" i="47" s="1"/>
  <c r="BF50" i="47" s="1"/>
  <c r="BG50" i="47" s="1"/>
  <c r="BH50" i="47" s="1"/>
  <c r="BI50" i="47" s="1"/>
  <c r="BJ50" i="47" s="1"/>
  <c r="BK50" i="47" s="1"/>
  <c r="BL50" i="47" s="1"/>
  <c r="BM50" i="47" s="1"/>
  <c r="BN50" i="47" s="1"/>
  <c r="BO50" i="47" s="1"/>
  <c r="BP50" i="47" s="1"/>
  <c r="BQ50" i="47" s="1"/>
  <c r="BS50" i="47" s="1"/>
  <c r="BT50" i="47" s="1"/>
  <c r="BU50" i="47" s="1"/>
  <c r="BV50" i="47" s="1"/>
  <c r="BW50" i="47" s="1"/>
  <c r="BX50" i="47" s="1"/>
  <c r="BY50" i="47" s="1"/>
  <c r="BZ50" i="47" s="1"/>
  <c r="CA50" i="47" s="1"/>
  <c r="CB50" i="47" s="1"/>
  <c r="CC50" i="47" s="1"/>
  <c r="CD50" i="47" s="1"/>
  <c r="CF50" i="47" s="1"/>
  <c r="CG50" i="47" s="1"/>
  <c r="CH50" i="47" s="1"/>
  <c r="CI50" i="47" s="1"/>
  <c r="CJ50" i="47" s="1"/>
  <c r="CK50" i="47" s="1"/>
  <c r="CL50" i="47" s="1"/>
  <c r="CM50" i="47" s="1"/>
  <c r="CN50" i="47" s="1"/>
  <c r="CO50" i="47" s="1"/>
  <c r="CP50" i="47" s="1"/>
  <c r="CQ50" i="47" s="1"/>
  <c r="CS50" i="47" s="1"/>
  <c r="CT50" i="47" s="1"/>
  <c r="CU50" i="47" s="1"/>
  <c r="CV50" i="47" s="1"/>
  <c r="CW50" i="47" s="1"/>
  <c r="CX50" i="47" s="1"/>
  <c r="CY50" i="47" s="1"/>
  <c r="CZ50" i="47" s="1"/>
  <c r="DA50" i="47" s="1"/>
  <c r="DB50" i="47" s="1"/>
  <c r="DC50" i="47" s="1"/>
  <c r="DD50" i="47" s="1"/>
  <c r="DF50" i="47" s="1"/>
  <c r="DG50" i="47" s="1"/>
  <c r="DH50" i="47" s="1"/>
  <c r="DI50" i="47" s="1"/>
  <c r="DJ50" i="47" s="1"/>
  <c r="DK50" i="47" s="1"/>
  <c r="DL50" i="47" s="1"/>
  <c r="DM50" i="47" s="1"/>
  <c r="DN50" i="47" s="1"/>
  <c r="DO50" i="47" s="1"/>
  <c r="DP50" i="47" s="1"/>
  <c r="DQ50" i="47" s="1"/>
  <c r="G49" i="47"/>
  <c r="H49" i="47" s="1"/>
  <c r="G48" i="47"/>
  <c r="H48" i="47" s="1"/>
  <c r="I48" i="47" s="1"/>
  <c r="J48" i="47" s="1"/>
  <c r="K48" i="47" s="1"/>
  <c r="L48" i="47" s="1"/>
  <c r="M48" i="47" s="1"/>
  <c r="N48" i="47" s="1"/>
  <c r="O48" i="47" s="1"/>
  <c r="P48" i="47" s="1"/>
  <c r="Q48" i="47" s="1"/>
  <c r="S48" i="47" s="1"/>
  <c r="T48" i="47" s="1"/>
  <c r="U48" i="47" s="1"/>
  <c r="V48" i="47" s="1"/>
  <c r="W48" i="47" s="1"/>
  <c r="X48" i="47" s="1"/>
  <c r="Y48" i="47" s="1"/>
  <c r="Z48" i="47" s="1"/>
  <c r="AA48" i="47" s="1"/>
  <c r="AB48" i="47" s="1"/>
  <c r="AC48" i="47" s="1"/>
  <c r="AD48" i="47" s="1"/>
  <c r="AF48" i="47" s="1"/>
  <c r="AG48" i="47" s="1"/>
  <c r="AH48" i="47" s="1"/>
  <c r="AI48" i="47" s="1"/>
  <c r="AJ48" i="47" s="1"/>
  <c r="AK48" i="47" s="1"/>
  <c r="AL48" i="47" s="1"/>
  <c r="AM48" i="47" s="1"/>
  <c r="AN48" i="47" s="1"/>
  <c r="AO48" i="47" s="1"/>
  <c r="AP48" i="47" s="1"/>
  <c r="AQ48" i="47" s="1"/>
  <c r="AS48" i="47" s="1"/>
  <c r="AT48" i="47" s="1"/>
  <c r="AU48" i="47" s="1"/>
  <c r="AV48" i="47" s="1"/>
  <c r="AW48" i="47" s="1"/>
  <c r="AX48" i="47" s="1"/>
  <c r="AY48" i="47" s="1"/>
  <c r="AZ48" i="47" s="1"/>
  <c r="BA48" i="47" s="1"/>
  <c r="BB48" i="47" s="1"/>
  <c r="BC48" i="47" s="1"/>
  <c r="BD48" i="47" s="1"/>
  <c r="BF48" i="47" s="1"/>
  <c r="BG48" i="47" s="1"/>
  <c r="BH48" i="47" s="1"/>
  <c r="BI48" i="47" s="1"/>
  <c r="BJ48" i="47" s="1"/>
  <c r="BK48" i="47" s="1"/>
  <c r="BL48" i="47" s="1"/>
  <c r="BM48" i="47" s="1"/>
  <c r="BN48" i="47" s="1"/>
  <c r="BO48" i="47" s="1"/>
  <c r="BP48" i="47" s="1"/>
  <c r="BQ48" i="47" s="1"/>
  <c r="BS48" i="47" s="1"/>
  <c r="BT48" i="47" s="1"/>
  <c r="BU48" i="47" s="1"/>
  <c r="BV48" i="47" s="1"/>
  <c r="BW48" i="47" s="1"/>
  <c r="BX48" i="47" s="1"/>
  <c r="BY48" i="47" s="1"/>
  <c r="BZ48" i="47" s="1"/>
  <c r="CA48" i="47" s="1"/>
  <c r="CB48" i="47" s="1"/>
  <c r="CC48" i="47" s="1"/>
  <c r="CD48" i="47" s="1"/>
  <c r="CF48" i="47" s="1"/>
  <c r="CG48" i="47" s="1"/>
  <c r="CH48" i="47" s="1"/>
  <c r="CI48" i="47" s="1"/>
  <c r="CJ48" i="47" s="1"/>
  <c r="CK48" i="47" s="1"/>
  <c r="CL48" i="47" s="1"/>
  <c r="CM48" i="47" s="1"/>
  <c r="CN48" i="47" s="1"/>
  <c r="CO48" i="47" s="1"/>
  <c r="CP48" i="47" s="1"/>
  <c r="CQ48" i="47" s="1"/>
  <c r="CS48" i="47" s="1"/>
  <c r="CT48" i="47" s="1"/>
  <c r="CU48" i="47" s="1"/>
  <c r="CV48" i="47" s="1"/>
  <c r="CW48" i="47" s="1"/>
  <c r="CX48" i="47" s="1"/>
  <c r="CY48" i="47" s="1"/>
  <c r="CZ48" i="47" s="1"/>
  <c r="DA48" i="47" s="1"/>
  <c r="DB48" i="47" s="1"/>
  <c r="DC48" i="47" s="1"/>
  <c r="DD48" i="47" s="1"/>
  <c r="DF48" i="47" s="1"/>
  <c r="DG48" i="47" s="1"/>
  <c r="DH48" i="47" s="1"/>
  <c r="DI48" i="47" s="1"/>
  <c r="DJ48" i="47" s="1"/>
  <c r="DK48" i="47" s="1"/>
  <c r="DL48" i="47" s="1"/>
  <c r="DM48" i="47" s="1"/>
  <c r="DN48" i="47" s="1"/>
  <c r="DO48" i="47" s="1"/>
  <c r="DP48" i="47" s="1"/>
  <c r="DQ48" i="47" s="1"/>
  <c r="G47" i="47"/>
  <c r="H47" i="47" s="1"/>
  <c r="I47" i="47" s="1"/>
  <c r="J47" i="47" s="1"/>
  <c r="K47" i="47" s="1"/>
  <c r="L47" i="47" s="1"/>
  <c r="M47" i="47" s="1"/>
  <c r="N47" i="47" s="1"/>
  <c r="O47" i="47" s="1"/>
  <c r="P47" i="47" s="1"/>
  <c r="Q47" i="47" s="1"/>
  <c r="S47" i="47" s="1"/>
  <c r="T47" i="47" s="1"/>
  <c r="U47" i="47" s="1"/>
  <c r="V47" i="47" s="1"/>
  <c r="W47" i="47" s="1"/>
  <c r="X47" i="47" s="1"/>
  <c r="Y47" i="47" s="1"/>
  <c r="Z47" i="47" s="1"/>
  <c r="AA47" i="47" s="1"/>
  <c r="AB47" i="47" s="1"/>
  <c r="AC47" i="47" s="1"/>
  <c r="AD47" i="47" s="1"/>
  <c r="AF47" i="47" s="1"/>
  <c r="AG47" i="47" s="1"/>
  <c r="AH47" i="47" s="1"/>
  <c r="AI47" i="47" s="1"/>
  <c r="AJ47" i="47" s="1"/>
  <c r="AK47" i="47" s="1"/>
  <c r="AL47" i="47" s="1"/>
  <c r="AM47" i="47" s="1"/>
  <c r="AN47" i="47" s="1"/>
  <c r="AO47" i="47" s="1"/>
  <c r="AP47" i="47" s="1"/>
  <c r="AQ47" i="47" s="1"/>
  <c r="AS47" i="47" s="1"/>
  <c r="AT47" i="47" s="1"/>
  <c r="AU47" i="47" s="1"/>
  <c r="AV47" i="47" s="1"/>
  <c r="AW47" i="47" s="1"/>
  <c r="AX47" i="47" s="1"/>
  <c r="AY47" i="47" s="1"/>
  <c r="AZ47" i="47" s="1"/>
  <c r="BA47" i="47" s="1"/>
  <c r="BB47" i="47" s="1"/>
  <c r="BC47" i="47" s="1"/>
  <c r="BD47" i="47" s="1"/>
  <c r="BF47" i="47" s="1"/>
  <c r="BG47" i="47" s="1"/>
  <c r="BH47" i="47" s="1"/>
  <c r="BI47" i="47" s="1"/>
  <c r="BJ47" i="47" s="1"/>
  <c r="BK47" i="47" s="1"/>
  <c r="BL47" i="47" s="1"/>
  <c r="BM47" i="47" s="1"/>
  <c r="BN47" i="47" s="1"/>
  <c r="BO47" i="47" s="1"/>
  <c r="BP47" i="47" s="1"/>
  <c r="BQ47" i="47" s="1"/>
  <c r="BS47" i="47" s="1"/>
  <c r="BT47" i="47" s="1"/>
  <c r="BU47" i="47" s="1"/>
  <c r="BV47" i="47" s="1"/>
  <c r="BW47" i="47" s="1"/>
  <c r="BX47" i="47" s="1"/>
  <c r="BY47" i="47" s="1"/>
  <c r="BZ47" i="47" s="1"/>
  <c r="CA47" i="47" s="1"/>
  <c r="CB47" i="47" s="1"/>
  <c r="CC47" i="47" s="1"/>
  <c r="CD47" i="47" s="1"/>
  <c r="CF47" i="47" s="1"/>
  <c r="CG47" i="47" s="1"/>
  <c r="CH47" i="47" s="1"/>
  <c r="CI47" i="47" s="1"/>
  <c r="CJ47" i="47" s="1"/>
  <c r="CK47" i="47" s="1"/>
  <c r="CL47" i="47" s="1"/>
  <c r="CM47" i="47" s="1"/>
  <c r="CN47" i="47" s="1"/>
  <c r="CO47" i="47" s="1"/>
  <c r="CP47" i="47" s="1"/>
  <c r="CQ47" i="47" s="1"/>
  <c r="CS47" i="47" s="1"/>
  <c r="CT47" i="47" s="1"/>
  <c r="CU47" i="47" s="1"/>
  <c r="CV47" i="47" s="1"/>
  <c r="CW47" i="47" s="1"/>
  <c r="CX47" i="47" s="1"/>
  <c r="CY47" i="47" s="1"/>
  <c r="CZ47" i="47" s="1"/>
  <c r="DA47" i="47" s="1"/>
  <c r="DB47" i="47" s="1"/>
  <c r="DC47" i="47" s="1"/>
  <c r="DD47" i="47" s="1"/>
  <c r="DF47" i="47" s="1"/>
  <c r="DG47" i="47" s="1"/>
  <c r="DH47" i="47" s="1"/>
  <c r="DI47" i="47" s="1"/>
  <c r="DJ47" i="47" s="1"/>
  <c r="DK47" i="47" s="1"/>
  <c r="DL47" i="47" s="1"/>
  <c r="DM47" i="47" s="1"/>
  <c r="DN47" i="47" s="1"/>
  <c r="DO47" i="47" s="1"/>
  <c r="DP47" i="47" s="1"/>
  <c r="DQ47" i="47" s="1"/>
  <c r="G46" i="47"/>
  <c r="H46" i="47" s="1"/>
  <c r="I46" i="47" s="1"/>
  <c r="J46" i="47" s="1"/>
  <c r="K46" i="47" s="1"/>
  <c r="L46" i="47" s="1"/>
  <c r="M46" i="47" s="1"/>
  <c r="N46" i="47" s="1"/>
  <c r="O46" i="47" s="1"/>
  <c r="P46" i="47" s="1"/>
  <c r="Q46" i="47" s="1"/>
  <c r="S46" i="47" s="1"/>
  <c r="T46" i="47" s="1"/>
  <c r="U46" i="47" s="1"/>
  <c r="V46" i="47" s="1"/>
  <c r="W46" i="47" s="1"/>
  <c r="X46" i="47" s="1"/>
  <c r="Y46" i="47" s="1"/>
  <c r="Z46" i="47" s="1"/>
  <c r="AA46" i="47" s="1"/>
  <c r="AB46" i="47" s="1"/>
  <c r="AC46" i="47" s="1"/>
  <c r="AD46" i="47" s="1"/>
  <c r="AF46" i="47" s="1"/>
  <c r="AG46" i="47" s="1"/>
  <c r="AH46" i="47" s="1"/>
  <c r="AI46" i="47" s="1"/>
  <c r="AJ46" i="47" s="1"/>
  <c r="AK46" i="47" s="1"/>
  <c r="AL46" i="47" s="1"/>
  <c r="AM46" i="47" s="1"/>
  <c r="AN46" i="47" s="1"/>
  <c r="AO46" i="47" s="1"/>
  <c r="AP46" i="47" s="1"/>
  <c r="AQ46" i="47" s="1"/>
  <c r="AS46" i="47" s="1"/>
  <c r="AT46" i="47" s="1"/>
  <c r="AU46" i="47" s="1"/>
  <c r="AV46" i="47" s="1"/>
  <c r="AW46" i="47" s="1"/>
  <c r="AX46" i="47" s="1"/>
  <c r="AY46" i="47" s="1"/>
  <c r="AZ46" i="47" s="1"/>
  <c r="BA46" i="47" s="1"/>
  <c r="BB46" i="47" s="1"/>
  <c r="BC46" i="47" s="1"/>
  <c r="BD46" i="47" s="1"/>
  <c r="BF46" i="47" s="1"/>
  <c r="BG46" i="47" s="1"/>
  <c r="BH46" i="47" s="1"/>
  <c r="BI46" i="47" s="1"/>
  <c r="BJ46" i="47" s="1"/>
  <c r="BK46" i="47" s="1"/>
  <c r="BL46" i="47" s="1"/>
  <c r="BM46" i="47" s="1"/>
  <c r="BN46" i="47" s="1"/>
  <c r="BO46" i="47" s="1"/>
  <c r="BP46" i="47" s="1"/>
  <c r="BQ46" i="47" s="1"/>
  <c r="BS46" i="47" s="1"/>
  <c r="BT46" i="47" s="1"/>
  <c r="BU46" i="47" s="1"/>
  <c r="BV46" i="47" s="1"/>
  <c r="BW46" i="47" s="1"/>
  <c r="BX46" i="47" s="1"/>
  <c r="BY46" i="47" s="1"/>
  <c r="BZ46" i="47" s="1"/>
  <c r="CA46" i="47" s="1"/>
  <c r="CB46" i="47" s="1"/>
  <c r="CC46" i="47" s="1"/>
  <c r="CD46" i="47" s="1"/>
  <c r="CF46" i="47" s="1"/>
  <c r="CG46" i="47" s="1"/>
  <c r="CH46" i="47" s="1"/>
  <c r="CI46" i="47" s="1"/>
  <c r="CJ46" i="47" s="1"/>
  <c r="CK46" i="47" s="1"/>
  <c r="CL46" i="47" s="1"/>
  <c r="CM46" i="47" s="1"/>
  <c r="CN46" i="47" s="1"/>
  <c r="CO46" i="47" s="1"/>
  <c r="CP46" i="47" s="1"/>
  <c r="CQ46" i="47" s="1"/>
  <c r="CS46" i="47" s="1"/>
  <c r="CT46" i="47" s="1"/>
  <c r="CU46" i="47" s="1"/>
  <c r="CV46" i="47" s="1"/>
  <c r="CW46" i="47" s="1"/>
  <c r="CX46" i="47" s="1"/>
  <c r="CY46" i="47" s="1"/>
  <c r="CZ46" i="47" s="1"/>
  <c r="DA46" i="47" s="1"/>
  <c r="DB46" i="47" s="1"/>
  <c r="DC46" i="47" s="1"/>
  <c r="DD46" i="47" s="1"/>
  <c r="DF46" i="47" s="1"/>
  <c r="DG46" i="47" s="1"/>
  <c r="DH46" i="47" s="1"/>
  <c r="DI46" i="47" s="1"/>
  <c r="DJ46" i="47" s="1"/>
  <c r="DK46" i="47" s="1"/>
  <c r="DL46" i="47" s="1"/>
  <c r="DM46" i="47" s="1"/>
  <c r="DN46" i="47" s="1"/>
  <c r="DO46" i="47" s="1"/>
  <c r="DP46" i="47" s="1"/>
  <c r="DQ46" i="47" s="1"/>
  <c r="G45" i="47"/>
  <c r="H45" i="47" s="1"/>
  <c r="G44" i="47"/>
  <c r="H44" i="47" s="1"/>
  <c r="I44" i="47" s="1"/>
  <c r="J44" i="47" s="1"/>
  <c r="K44" i="47" s="1"/>
  <c r="L44" i="47" s="1"/>
  <c r="M44" i="47" s="1"/>
  <c r="N44" i="47" s="1"/>
  <c r="O44" i="47" s="1"/>
  <c r="P44" i="47" s="1"/>
  <c r="Q44" i="47" s="1"/>
  <c r="S44" i="47" s="1"/>
  <c r="T44" i="47" s="1"/>
  <c r="U44" i="47" s="1"/>
  <c r="V44" i="47" s="1"/>
  <c r="W44" i="47" s="1"/>
  <c r="X44" i="47" s="1"/>
  <c r="Y44" i="47" s="1"/>
  <c r="Z44" i="47" s="1"/>
  <c r="AA44" i="47" s="1"/>
  <c r="AB44" i="47" s="1"/>
  <c r="AC44" i="47" s="1"/>
  <c r="AD44" i="47" s="1"/>
  <c r="AF44" i="47" s="1"/>
  <c r="AG44" i="47" s="1"/>
  <c r="AH44" i="47" s="1"/>
  <c r="AI44" i="47" s="1"/>
  <c r="AJ44" i="47" s="1"/>
  <c r="AK44" i="47" s="1"/>
  <c r="AL44" i="47" s="1"/>
  <c r="AM44" i="47" s="1"/>
  <c r="AN44" i="47" s="1"/>
  <c r="AO44" i="47" s="1"/>
  <c r="AP44" i="47" s="1"/>
  <c r="AQ44" i="47" s="1"/>
  <c r="AS44" i="47" s="1"/>
  <c r="AT44" i="47" s="1"/>
  <c r="AU44" i="47" s="1"/>
  <c r="AV44" i="47" s="1"/>
  <c r="AW44" i="47" s="1"/>
  <c r="AX44" i="47" s="1"/>
  <c r="AY44" i="47" s="1"/>
  <c r="AZ44" i="47" s="1"/>
  <c r="BA44" i="47" s="1"/>
  <c r="BB44" i="47" s="1"/>
  <c r="BC44" i="47" s="1"/>
  <c r="BD44" i="47" s="1"/>
  <c r="BF44" i="47" s="1"/>
  <c r="BG44" i="47" s="1"/>
  <c r="BH44" i="47" s="1"/>
  <c r="BI44" i="47" s="1"/>
  <c r="BJ44" i="47" s="1"/>
  <c r="BK44" i="47" s="1"/>
  <c r="BL44" i="47" s="1"/>
  <c r="BM44" i="47" s="1"/>
  <c r="BN44" i="47" s="1"/>
  <c r="BO44" i="47" s="1"/>
  <c r="BP44" i="47" s="1"/>
  <c r="BQ44" i="47" s="1"/>
  <c r="BS44" i="47" s="1"/>
  <c r="BT44" i="47" s="1"/>
  <c r="BU44" i="47" s="1"/>
  <c r="BV44" i="47" s="1"/>
  <c r="BW44" i="47" s="1"/>
  <c r="BX44" i="47" s="1"/>
  <c r="BY44" i="47" s="1"/>
  <c r="BZ44" i="47" s="1"/>
  <c r="CA44" i="47" s="1"/>
  <c r="CB44" i="47" s="1"/>
  <c r="CC44" i="47" s="1"/>
  <c r="CD44" i="47" s="1"/>
  <c r="CF44" i="47" s="1"/>
  <c r="CG44" i="47" s="1"/>
  <c r="CH44" i="47" s="1"/>
  <c r="CI44" i="47" s="1"/>
  <c r="CJ44" i="47" s="1"/>
  <c r="CK44" i="47" s="1"/>
  <c r="CL44" i="47" s="1"/>
  <c r="CM44" i="47" s="1"/>
  <c r="CN44" i="47" s="1"/>
  <c r="CO44" i="47" s="1"/>
  <c r="CP44" i="47" s="1"/>
  <c r="CQ44" i="47" s="1"/>
  <c r="CS44" i="47" s="1"/>
  <c r="CT44" i="47" s="1"/>
  <c r="CU44" i="47" s="1"/>
  <c r="CV44" i="47" s="1"/>
  <c r="CW44" i="47" s="1"/>
  <c r="CX44" i="47" s="1"/>
  <c r="CY44" i="47" s="1"/>
  <c r="CZ44" i="47" s="1"/>
  <c r="DA44" i="47" s="1"/>
  <c r="DB44" i="47" s="1"/>
  <c r="DC44" i="47" s="1"/>
  <c r="DD44" i="47" s="1"/>
  <c r="DF44" i="47" s="1"/>
  <c r="DG44" i="47" s="1"/>
  <c r="DH44" i="47" s="1"/>
  <c r="DI44" i="47" s="1"/>
  <c r="DJ44" i="47" s="1"/>
  <c r="DK44" i="47" s="1"/>
  <c r="DL44" i="47" s="1"/>
  <c r="DM44" i="47" s="1"/>
  <c r="DN44" i="47" s="1"/>
  <c r="DO44" i="47" s="1"/>
  <c r="DP44" i="47" s="1"/>
  <c r="DQ44" i="47" s="1"/>
  <c r="G43" i="47"/>
  <c r="H43" i="47" s="1"/>
  <c r="I43" i="47" s="1"/>
  <c r="J43" i="47" s="1"/>
  <c r="K43" i="47" s="1"/>
  <c r="L43" i="47" s="1"/>
  <c r="M43" i="47" s="1"/>
  <c r="N43" i="47" s="1"/>
  <c r="O43" i="47" s="1"/>
  <c r="P43" i="47" s="1"/>
  <c r="Q43" i="47" s="1"/>
  <c r="S43" i="47" s="1"/>
  <c r="T43" i="47" s="1"/>
  <c r="U43" i="47" s="1"/>
  <c r="V43" i="47" s="1"/>
  <c r="W43" i="47" s="1"/>
  <c r="X43" i="47" s="1"/>
  <c r="Y43" i="47" s="1"/>
  <c r="Z43" i="47" s="1"/>
  <c r="AA43" i="47" s="1"/>
  <c r="AB43" i="47" s="1"/>
  <c r="AC43" i="47" s="1"/>
  <c r="AD43" i="47" s="1"/>
  <c r="AF43" i="47" s="1"/>
  <c r="AG43" i="47" s="1"/>
  <c r="AH43" i="47" s="1"/>
  <c r="AI43" i="47" s="1"/>
  <c r="AJ43" i="47" s="1"/>
  <c r="AK43" i="47" s="1"/>
  <c r="AL43" i="47" s="1"/>
  <c r="AM43" i="47" s="1"/>
  <c r="AN43" i="47" s="1"/>
  <c r="AO43" i="47" s="1"/>
  <c r="AP43" i="47" s="1"/>
  <c r="AQ43" i="47" s="1"/>
  <c r="AS43" i="47" s="1"/>
  <c r="AT43" i="47" s="1"/>
  <c r="AU43" i="47" s="1"/>
  <c r="AV43" i="47" s="1"/>
  <c r="AW43" i="47" s="1"/>
  <c r="AX43" i="47" s="1"/>
  <c r="AY43" i="47" s="1"/>
  <c r="AZ43" i="47" s="1"/>
  <c r="BA43" i="47" s="1"/>
  <c r="BB43" i="47" s="1"/>
  <c r="BC43" i="47" s="1"/>
  <c r="BD43" i="47" s="1"/>
  <c r="BF43" i="47" s="1"/>
  <c r="BG43" i="47" s="1"/>
  <c r="BH43" i="47" s="1"/>
  <c r="BI43" i="47" s="1"/>
  <c r="BJ43" i="47" s="1"/>
  <c r="BK43" i="47" s="1"/>
  <c r="BL43" i="47" s="1"/>
  <c r="BM43" i="47" s="1"/>
  <c r="BN43" i="47" s="1"/>
  <c r="BO43" i="47" s="1"/>
  <c r="BP43" i="47" s="1"/>
  <c r="BQ43" i="47" s="1"/>
  <c r="BS43" i="47" s="1"/>
  <c r="BT43" i="47" s="1"/>
  <c r="BU43" i="47" s="1"/>
  <c r="BV43" i="47" s="1"/>
  <c r="BW43" i="47" s="1"/>
  <c r="BX43" i="47" s="1"/>
  <c r="BY43" i="47" s="1"/>
  <c r="BZ43" i="47" s="1"/>
  <c r="CA43" i="47" s="1"/>
  <c r="CB43" i="47" s="1"/>
  <c r="CC43" i="47" s="1"/>
  <c r="CD43" i="47" s="1"/>
  <c r="CF43" i="47" s="1"/>
  <c r="CG43" i="47" s="1"/>
  <c r="CH43" i="47" s="1"/>
  <c r="CI43" i="47" s="1"/>
  <c r="CJ43" i="47" s="1"/>
  <c r="CK43" i="47" s="1"/>
  <c r="CL43" i="47" s="1"/>
  <c r="CM43" i="47" s="1"/>
  <c r="CN43" i="47" s="1"/>
  <c r="CO43" i="47" s="1"/>
  <c r="CP43" i="47" s="1"/>
  <c r="CQ43" i="47" s="1"/>
  <c r="CS43" i="47" s="1"/>
  <c r="CT43" i="47" s="1"/>
  <c r="CU43" i="47" s="1"/>
  <c r="CV43" i="47" s="1"/>
  <c r="CW43" i="47" s="1"/>
  <c r="CX43" i="47" s="1"/>
  <c r="CY43" i="47" s="1"/>
  <c r="CZ43" i="47" s="1"/>
  <c r="DA43" i="47" s="1"/>
  <c r="DB43" i="47" s="1"/>
  <c r="DC43" i="47" s="1"/>
  <c r="DD43" i="47" s="1"/>
  <c r="DF43" i="47" s="1"/>
  <c r="DG43" i="47" s="1"/>
  <c r="DH43" i="47" s="1"/>
  <c r="DI43" i="47" s="1"/>
  <c r="DJ43" i="47" s="1"/>
  <c r="DK43" i="47" s="1"/>
  <c r="DL43" i="47" s="1"/>
  <c r="DM43" i="47" s="1"/>
  <c r="DN43" i="47" s="1"/>
  <c r="DO43" i="47" s="1"/>
  <c r="DP43" i="47" s="1"/>
  <c r="DQ43" i="47" s="1"/>
  <c r="G42" i="47"/>
  <c r="H42" i="47" s="1"/>
  <c r="I42" i="47" s="1"/>
  <c r="J42" i="47" s="1"/>
  <c r="K42" i="47" s="1"/>
  <c r="L42" i="47" s="1"/>
  <c r="M42" i="47" s="1"/>
  <c r="N42" i="47" s="1"/>
  <c r="O42" i="47" s="1"/>
  <c r="P42" i="47" s="1"/>
  <c r="Q42" i="47" s="1"/>
  <c r="S42" i="47" s="1"/>
  <c r="T42" i="47" s="1"/>
  <c r="U42" i="47" s="1"/>
  <c r="V42" i="47" s="1"/>
  <c r="W42" i="47" s="1"/>
  <c r="X42" i="47" s="1"/>
  <c r="Y42" i="47" s="1"/>
  <c r="Z42" i="47" s="1"/>
  <c r="AA42" i="47" s="1"/>
  <c r="AB42" i="47" s="1"/>
  <c r="AC42" i="47" s="1"/>
  <c r="AD42" i="47" s="1"/>
  <c r="AF42" i="47" s="1"/>
  <c r="AG42" i="47" s="1"/>
  <c r="AH42" i="47" s="1"/>
  <c r="AI42" i="47" s="1"/>
  <c r="AJ42" i="47" s="1"/>
  <c r="AK42" i="47" s="1"/>
  <c r="AL42" i="47" s="1"/>
  <c r="AM42" i="47" s="1"/>
  <c r="AN42" i="47" s="1"/>
  <c r="AO42" i="47" s="1"/>
  <c r="AP42" i="47" s="1"/>
  <c r="AQ42" i="47" s="1"/>
  <c r="AS42" i="47" s="1"/>
  <c r="AT42" i="47" s="1"/>
  <c r="AU42" i="47" s="1"/>
  <c r="AV42" i="47" s="1"/>
  <c r="AW42" i="47" s="1"/>
  <c r="AX42" i="47" s="1"/>
  <c r="AY42" i="47" s="1"/>
  <c r="AZ42" i="47" s="1"/>
  <c r="BA42" i="47" s="1"/>
  <c r="BB42" i="47" s="1"/>
  <c r="BC42" i="47" s="1"/>
  <c r="BD42" i="47" s="1"/>
  <c r="BF42" i="47" s="1"/>
  <c r="BG42" i="47" s="1"/>
  <c r="BH42" i="47" s="1"/>
  <c r="BI42" i="47" s="1"/>
  <c r="BJ42" i="47" s="1"/>
  <c r="BK42" i="47" s="1"/>
  <c r="BL42" i="47" s="1"/>
  <c r="BM42" i="47" s="1"/>
  <c r="BN42" i="47" s="1"/>
  <c r="BO42" i="47" s="1"/>
  <c r="BP42" i="47" s="1"/>
  <c r="BQ42" i="47" s="1"/>
  <c r="BS42" i="47" s="1"/>
  <c r="BT42" i="47" s="1"/>
  <c r="BU42" i="47" s="1"/>
  <c r="BV42" i="47" s="1"/>
  <c r="BW42" i="47" s="1"/>
  <c r="BX42" i="47" s="1"/>
  <c r="BY42" i="47" s="1"/>
  <c r="BZ42" i="47" s="1"/>
  <c r="CA42" i="47" s="1"/>
  <c r="CB42" i="47" s="1"/>
  <c r="CC42" i="47" s="1"/>
  <c r="CD42" i="47" s="1"/>
  <c r="CF42" i="47" s="1"/>
  <c r="CG42" i="47" s="1"/>
  <c r="CH42" i="47" s="1"/>
  <c r="CI42" i="47" s="1"/>
  <c r="CJ42" i="47" s="1"/>
  <c r="CK42" i="47" s="1"/>
  <c r="CL42" i="47" s="1"/>
  <c r="CM42" i="47" s="1"/>
  <c r="CN42" i="47" s="1"/>
  <c r="CO42" i="47" s="1"/>
  <c r="CP42" i="47" s="1"/>
  <c r="CQ42" i="47" s="1"/>
  <c r="CS42" i="47" s="1"/>
  <c r="CT42" i="47" s="1"/>
  <c r="CU42" i="47" s="1"/>
  <c r="CV42" i="47" s="1"/>
  <c r="CW42" i="47" s="1"/>
  <c r="CX42" i="47" s="1"/>
  <c r="CY42" i="47" s="1"/>
  <c r="CZ42" i="47" s="1"/>
  <c r="DA42" i="47" s="1"/>
  <c r="DB42" i="47" s="1"/>
  <c r="DC42" i="47" s="1"/>
  <c r="DD42" i="47" s="1"/>
  <c r="DF42" i="47" s="1"/>
  <c r="DG42" i="47" s="1"/>
  <c r="DH42" i="47" s="1"/>
  <c r="DI42" i="47" s="1"/>
  <c r="DJ42" i="47" s="1"/>
  <c r="DK42" i="47" s="1"/>
  <c r="DL42" i="47" s="1"/>
  <c r="DM42" i="47" s="1"/>
  <c r="DN42" i="47" s="1"/>
  <c r="DO42" i="47" s="1"/>
  <c r="DP42" i="47" s="1"/>
  <c r="DQ42" i="47" s="1"/>
  <c r="D42" i="47"/>
  <c r="D94" i="47" s="1"/>
  <c r="D121" i="47" s="1"/>
  <c r="D148" i="47" s="1"/>
  <c r="D176" i="47" s="1"/>
  <c r="G41" i="47"/>
  <c r="H41" i="47" s="1"/>
  <c r="I41" i="47" s="1"/>
  <c r="J41" i="47" s="1"/>
  <c r="K41" i="47" s="1"/>
  <c r="L41" i="47" s="1"/>
  <c r="M41" i="47" s="1"/>
  <c r="N41" i="47" s="1"/>
  <c r="O41" i="47" s="1"/>
  <c r="P41" i="47" s="1"/>
  <c r="Q41" i="47" s="1"/>
  <c r="S41" i="47" s="1"/>
  <c r="T41" i="47" s="1"/>
  <c r="U41" i="47" s="1"/>
  <c r="V41" i="47" s="1"/>
  <c r="W41" i="47" s="1"/>
  <c r="X41" i="47" s="1"/>
  <c r="Y41" i="47" s="1"/>
  <c r="Z41" i="47" s="1"/>
  <c r="AA41" i="47" s="1"/>
  <c r="AB41" i="47" s="1"/>
  <c r="AC41" i="47" s="1"/>
  <c r="AD41" i="47" s="1"/>
  <c r="AF41" i="47" s="1"/>
  <c r="AG41" i="47" s="1"/>
  <c r="AH41" i="47" s="1"/>
  <c r="AI41" i="47" s="1"/>
  <c r="AJ41" i="47" s="1"/>
  <c r="AK41" i="47" s="1"/>
  <c r="AL41" i="47" s="1"/>
  <c r="AM41" i="47" s="1"/>
  <c r="AN41" i="47" s="1"/>
  <c r="AO41" i="47" s="1"/>
  <c r="AP41" i="47" s="1"/>
  <c r="AQ41" i="47" s="1"/>
  <c r="AS41" i="47" s="1"/>
  <c r="AT41" i="47" s="1"/>
  <c r="AU41" i="47" s="1"/>
  <c r="AV41" i="47" s="1"/>
  <c r="AW41" i="47" s="1"/>
  <c r="AX41" i="47" s="1"/>
  <c r="AY41" i="47" s="1"/>
  <c r="AZ41" i="47" s="1"/>
  <c r="BA41" i="47" s="1"/>
  <c r="BB41" i="47" s="1"/>
  <c r="BC41" i="47" s="1"/>
  <c r="BD41" i="47" s="1"/>
  <c r="BF41" i="47" s="1"/>
  <c r="BG41" i="47" s="1"/>
  <c r="BH41" i="47" s="1"/>
  <c r="BI41" i="47" s="1"/>
  <c r="BJ41" i="47" s="1"/>
  <c r="BK41" i="47" s="1"/>
  <c r="BL41" i="47" s="1"/>
  <c r="BM41" i="47" s="1"/>
  <c r="BN41" i="47" s="1"/>
  <c r="BO41" i="47" s="1"/>
  <c r="BP41" i="47" s="1"/>
  <c r="BQ41" i="47" s="1"/>
  <c r="BS41" i="47" s="1"/>
  <c r="BT41" i="47" s="1"/>
  <c r="BU41" i="47" s="1"/>
  <c r="BV41" i="47" s="1"/>
  <c r="BW41" i="47" s="1"/>
  <c r="BX41" i="47" s="1"/>
  <c r="BY41" i="47" s="1"/>
  <c r="BZ41" i="47" s="1"/>
  <c r="CA41" i="47" s="1"/>
  <c r="CB41" i="47" s="1"/>
  <c r="CC41" i="47" s="1"/>
  <c r="CD41" i="47" s="1"/>
  <c r="CF41" i="47" s="1"/>
  <c r="CG41" i="47" s="1"/>
  <c r="CH41" i="47" s="1"/>
  <c r="CI41" i="47" s="1"/>
  <c r="CJ41" i="47" s="1"/>
  <c r="CK41" i="47" s="1"/>
  <c r="CL41" i="47" s="1"/>
  <c r="CM41" i="47" s="1"/>
  <c r="CN41" i="47" s="1"/>
  <c r="CO41" i="47" s="1"/>
  <c r="CP41" i="47" s="1"/>
  <c r="CQ41" i="47" s="1"/>
  <c r="CS41" i="47" s="1"/>
  <c r="CT41" i="47" s="1"/>
  <c r="CU41" i="47" s="1"/>
  <c r="CV41" i="47" s="1"/>
  <c r="CW41" i="47" s="1"/>
  <c r="CX41" i="47" s="1"/>
  <c r="CY41" i="47" s="1"/>
  <c r="CZ41" i="47" s="1"/>
  <c r="DA41" i="47" s="1"/>
  <c r="DB41" i="47" s="1"/>
  <c r="DC41" i="47" s="1"/>
  <c r="DD41" i="47" s="1"/>
  <c r="DF41" i="47" s="1"/>
  <c r="DG41" i="47" s="1"/>
  <c r="DH41" i="47" s="1"/>
  <c r="DI41" i="47" s="1"/>
  <c r="DJ41" i="47" s="1"/>
  <c r="DK41" i="47" s="1"/>
  <c r="DL41" i="47" s="1"/>
  <c r="DM41" i="47" s="1"/>
  <c r="DN41" i="47" s="1"/>
  <c r="DO41" i="47" s="1"/>
  <c r="DP41" i="47" s="1"/>
  <c r="DQ41" i="47" s="1"/>
  <c r="G40" i="47"/>
  <c r="H40" i="47" s="1"/>
  <c r="I40" i="47" s="1"/>
  <c r="J40" i="47" s="1"/>
  <c r="K40" i="47" s="1"/>
  <c r="L40" i="47" s="1"/>
  <c r="M40" i="47" s="1"/>
  <c r="N40" i="47" s="1"/>
  <c r="O40" i="47" s="1"/>
  <c r="P40" i="47" s="1"/>
  <c r="Q40" i="47" s="1"/>
  <c r="S40" i="47" s="1"/>
  <c r="T40" i="47" s="1"/>
  <c r="U40" i="47" s="1"/>
  <c r="V40" i="47" s="1"/>
  <c r="W40" i="47" s="1"/>
  <c r="X40" i="47" s="1"/>
  <c r="Y40" i="47" s="1"/>
  <c r="Z40" i="47" s="1"/>
  <c r="AA40" i="47" s="1"/>
  <c r="AB40" i="47" s="1"/>
  <c r="AC40" i="47" s="1"/>
  <c r="AD40" i="47" s="1"/>
  <c r="AF40" i="47" s="1"/>
  <c r="AG40" i="47" s="1"/>
  <c r="AH40" i="47" s="1"/>
  <c r="AI40" i="47" s="1"/>
  <c r="AJ40" i="47" s="1"/>
  <c r="AK40" i="47" s="1"/>
  <c r="AL40" i="47" s="1"/>
  <c r="AM40" i="47" s="1"/>
  <c r="AN40" i="47" s="1"/>
  <c r="AO40" i="47" s="1"/>
  <c r="AP40" i="47" s="1"/>
  <c r="AQ40" i="47" s="1"/>
  <c r="AS40" i="47" s="1"/>
  <c r="AT40" i="47" s="1"/>
  <c r="AU40" i="47" s="1"/>
  <c r="AV40" i="47" s="1"/>
  <c r="AW40" i="47" s="1"/>
  <c r="AX40" i="47" s="1"/>
  <c r="AY40" i="47" s="1"/>
  <c r="AZ40" i="47" s="1"/>
  <c r="BA40" i="47" s="1"/>
  <c r="BB40" i="47" s="1"/>
  <c r="BC40" i="47" s="1"/>
  <c r="BD40" i="47" s="1"/>
  <c r="BF40" i="47" s="1"/>
  <c r="BG40" i="47" s="1"/>
  <c r="BH40" i="47" s="1"/>
  <c r="BI40" i="47" s="1"/>
  <c r="BJ40" i="47" s="1"/>
  <c r="BK40" i="47" s="1"/>
  <c r="BL40" i="47" s="1"/>
  <c r="BM40" i="47" s="1"/>
  <c r="BN40" i="47" s="1"/>
  <c r="BO40" i="47" s="1"/>
  <c r="BP40" i="47" s="1"/>
  <c r="BQ40" i="47" s="1"/>
  <c r="BS40" i="47" s="1"/>
  <c r="BT40" i="47" s="1"/>
  <c r="BU40" i="47" s="1"/>
  <c r="BV40" i="47" s="1"/>
  <c r="BW40" i="47" s="1"/>
  <c r="BX40" i="47" s="1"/>
  <c r="BY40" i="47" s="1"/>
  <c r="BZ40" i="47" s="1"/>
  <c r="CA40" i="47" s="1"/>
  <c r="CB40" i="47" s="1"/>
  <c r="CC40" i="47" s="1"/>
  <c r="CD40" i="47" s="1"/>
  <c r="CF40" i="47" s="1"/>
  <c r="CG40" i="47" s="1"/>
  <c r="CH40" i="47" s="1"/>
  <c r="CI40" i="47" s="1"/>
  <c r="CJ40" i="47" s="1"/>
  <c r="CK40" i="47" s="1"/>
  <c r="CL40" i="47" s="1"/>
  <c r="CM40" i="47" s="1"/>
  <c r="CN40" i="47" s="1"/>
  <c r="CO40" i="47" s="1"/>
  <c r="CP40" i="47" s="1"/>
  <c r="CQ40" i="47" s="1"/>
  <c r="CS40" i="47" s="1"/>
  <c r="CT40" i="47" s="1"/>
  <c r="CU40" i="47" s="1"/>
  <c r="CV40" i="47" s="1"/>
  <c r="CW40" i="47" s="1"/>
  <c r="CX40" i="47" s="1"/>
  <c r="CY40" i="47" s="1"/>
  <c r="CZ40" i="47" s="1"/>
  <c r="DA40" i="47" s="1"/>
  <c r="DB40" i="47" s="1"/>
  <c r="DC40" i="47" s="1"/>
  <c r="DD40" i="47" s="1"/>
  <c r="DF40" i="47" s="1"/>
  <c r="DG40" i="47" s="1"/>
  <c r="DH40" i="47" s="1"/>
  <c r="DI40" i="47" s="1"/>
  <c r="DJ40" i="47" s="1"/>
  <c r="DK40" i="47" s="1"/>
  <c r="DL40" i="47" s="1"/>
  <c r="DM40" i="47" s="1"/>
  <c r="DN40" i="47" s="1"/>
  <c r="DO40" i="47" s="1"/>
  <c r="DP40" i="47" s="1"/>
  <c r="DQ40" i="47" s="1"/>
  <c r="T39" i="47"/>
  <c r="U39" i="47" s="1"/>
  <c r="V39" i="47" s="1"/>
  <c r="W39" i="47" s="1"/>
  <c r="X39" i="47" s="1"/>
  <c r="Y39" i="47" s="1"/>
  <c r="Z39" i="47" s="1"/>
  <c r="AA39" i="47" s="1"/>
  <c r="AB39" i="47" s="1"/>
  <c r="AC39" i="47" s="1"/>
  <c r="AD39" i="47" s="1"/>
  <c r="AF39" i="47" s="1"/>
  <c r="AG39" i="47" s="1"/>
  <c r="AH39" i="47" s="1"/>
  <c r="AI39" i="47" s="1"/>
  <c r="AJ39" i="47" s="1"/>
  <c r="AK39" i="47" s="1"/>
  <c r="AL39" i="47" s="1"/>
  <c r="AM39" i="47" s="1"/>
  <c r="AN39" i="47" s="1"/>
  <c r="AO39" i="47" s="1"/>
  <c r="AP39" i="47" s="1"/>
  <c r="AQ39" i="47" s="1"/>
  <c r="AS39" i="47" s="1"/>
  <c r="AT39" i="47" s="1"/>
  <c r="AU39" i="47" s="1"/>
  <c r="AV39" i="47" s="1"/>
  <c r="AW39" i="47" s="1"/>
  <c r="AX39" i="47" s="1"/>
  <c r="AY39" i="47" s="1"/>
  <c r="AZ39" i="47" s="1"/>
  <c r="BA39" i="47" s="1"/>
  <c r="BB39" i="47" s="1"/>
  <c r="BC39" i="47" s="1"/>
  <c r="BD39" i="47" s="1"/>
  <c r="BF39" i="47" s="1"/>
  <c r="BG39" i="47" s="1"/>
  <c r="BH39" i="47" s="1"/>
  <c r="BI39" i="47" s="1"/>
  <c r="BJ39" i="47" s="1"/>
  <c r="BK39" i="47" s="1"/>
  <c r="BL39" i="47" s="1"/>
  <c r="BM39" i="47" s="1"/>
  <c r="BN39" i="47" s="1"/>
  <c r="BO39" i="47" s="1"/>
  <c r="BP39" i="47" s="1"/>
  <c r="BQ39" i="47" s="1"/>
  <c r="BS39" i="47" s="1"/>
  <c r="BT39" i="47" s="1"/>
  <c r="BU39" i="47" s="1"/>
  <c r="BV39" i="47" s="1"/>
  <c r="BW39" i="47" s="1"/>
  <c r="BX39" i="47" s="1"/>
  <c r="BY39" i="47" s="1"/>
  <c r="BZ39" i="47" s="1"/>
  <c r="CA39" i="47" s="1"/>
  <c r="CB39" i="47" s="1"/>
  <c r="CC39" i="47" s="1"/>
  <c r="CD39" i="47" s="1"/>
  <c r="CF39" i="47" s="1"/>
  <c r="CG39" i="47" s="1"/>
  <c r="CH39" i="47" s="1"/>
  <c r="CI39" i="47" s="1"/>
  <c r="CJ39" i="47" s="1"/>
  <c r="CK39" i="47" s="1"/>
  <c r="CL39" i="47" s="1"/>
  <c r="CM39" i="47" s="1"/>
  <c r="CN39" i="47" s="1"/>
  <c r="CO39" i="47" s="1"/>
  <c r="CP39" i="47" s="1"/>
  <c r="CQ39" i="47" s="1"/>
  <c r="CS39" i="47" s="1"/>
  <c r="CT39" i="47" s="1"/>
  <c r="CU39" i="47" s="1"/>
  <c r="CV39" i="47" s="1"/>
  <c r="CW39" i="47" s="1"/>
  <c r="CX39" i="47" s="1"/>
  <c r="CY39" i="47" s="1"/>
  <c r="CZ39" i="47" s="1"/>
  <c r="DA39" i="47" s="1"/>
  <c r="DB39" i="47" s="1"/>
  <c r="DC39" i="47" s="1"/>
  <c r="DD39" i="47" s="1"/>
  <c r="DF39" i="47" s="1"/>
  <c r="DG39" i="47" s="1"/>
  <c r="DH39" i="47" s="1"/>
  <c r="DI39" i="47" s="1"/>
  <c r="DJ39" i="47" s="1"/>
  <c r="DK39" i="47" s="1"/>
  <c r="DL39" i="47" s="1"/>
  <c r="DM39" i="47" s="1"/>
  <c r="DN39" i="47" s="1"/>
  <c r="DO39" i="47" s="1"/>
  <c r="DP39" i="47" s="1"/>
  <c r="DQ39" i="47" s="1"/>
  <c r="G39" i="47"/>
  <c r="H39" i="47" s="1"/>
  <c r="T38" i="47"/>
  <c r="U38" i="47" s="1"/>
  <c r="V38" i="47" s="1"/>
  <c r="W38" i="47" s="1"/>
  <c r="X38" i="47" s="1"/>
  <c r="Y38" i="47" s="1"/>
  <c r="Z38" i="47" s="1"/>
  <c r="AA38" i="47" s="1"/>
  <c r="AB38" i="47" s="1"/>
  <c r="AC38" i="47" s="1"/>
  <c r="AD38" i="47" s="1"/>
  <c r="AF38" i="47" s="1"/>
  <c r="AG38" i="47" s="1"/>
  <c r="AH38" i="47" s="1"/>
  <c r="AI38" i="47" s="1"/>
  <c r="AJ38" i="47" s="1"/>
  <c r="AK38" i="47" s="1"/>
  <c r="AL38" i="47" s="1"/>
  <c r="AM38" i="47" s="1"/>
  <c r="AN38" i="47" s="1"/>
  <c r="AO38" i="47" s="1"/>
  <c r="AP38" i="47" s="1"/>
  <c r="AQ38" i="47" s="1"/>
  <c r="AS38" i="47" s="1"/>
  <c r="AT38" i="47" s="1"/>
  <c r="AU38" i="47" s="1"/>
  <c r="AV38" i="47" s="1"/>
  <c r="AW38" i="47" s="1"/>
  <c r="AX38" i="47" s="1"/>
  <c r="AY38" i="47" s="1"/>
  <c r="AZ38" i="47" s="1"/>
  <c r="BA38" i="47" s="1"/>
  <c r="BB38" i="47" s="1"/>
  <c r="BC38" i="47" s="1"/>
  <c r="BD38" i="47" s="1"/>
  <c r="BF38" i="47" s="1"/>
  <c r="BG38" i="47" s="1"/>
  <c r="BH38" i="47" s="1"/>
  <c r="BI38" i="47" s="1"/>
  <c r="BJ38" i="47" s="1"/>
  <c r="BK38" i="47" s="1"/>
  <c r="BL38" i="47" s="1"/>
  <c r="BM38" i="47" s="1"/>
  <c r="BN38" i="47" s="1"/>
  <c r="BO38" i="47" s="1"/>
  <c r="BP38" i="47" s="1"/>
  <c r="BQ38" i="47" s="1"/>
  <c r="BS38" i="47" s="1"/>
  <c r="BT38" i="47" s="1"/>
  <c r="BU38" i="47" s="1"/>
  <c r="BV38" i="47" s="1"/>
  <c r="BW38" i="47" s="1"/>
  <c r="BX38" i="47" s="1"/>
  <c r="BY38" i="47" s="1"/>
  <c r="BZ38" i="47" s="1"/>
  <c r="CA38" i="47" s="1"/>
  <c r="CB38" i="47" s="1"/>
  <c r="CC38" i="47" s="1"/>
  <c r="CD38" i="47" s="1"/>
  <c r="CF38" i="47" s="1"/>
  <c r="CG38" i="47" s="1"/>
  <c r="CH38" i="47" s="1"/>
  <c r="CI38" i="47" s="1"/>
  <c r="CJ38" i="47" s="1"/>
  <c r="CK38" i="47" s="1"/>
  <c r="CL38" i="47" s="1"/>
  <c r="CM38" i="47" s="1"/>
  <c r="CN38" i="47" s="1"/>
  <c r="CO38" i="47" s="1"/>
  <c r="CP38" i="47" s="1"/>
  <c r="CQ38" i="47" s="1"/>
  <c r="CS38" i="47" s="1"/>
  <c r="CT38" i="47" s="1"/>
  <c r="CU38" i="47" s="1"/>
  <c r="CV38" i="47" s="1"/>
  <c r="CW38" i="47" s="1"/>
  <c r="CX38" i="47" s="1"/>
  <c r="CY38" i="47" s="1"/>
  <c r="CZ38" i="47" s="1"/>
  <c r="DA38" i="47" s="1"/>
  <c r="DB38" i="47" s="1"/>
  <c r="DC38" i="47" s="1"/>
  <c r="DD38" i="47" s="1"/>
  <c r="DF38" i="47" s="1"/>
  <c r="DG38" i="47" s="1"/>
  <c r="DH38" i="47" s="1"/>
  <c r="DI38" i="47" s="1"/>
  <c r="DJ38" i="47" s="1"/>
  <c r="DK38" i="47" s="1"/>
  <c r="DL38" i="47" s="1"/>
  <c r="DM38" i="47" s="1"/>
  <c r="DN38" i="47" s="1"/>
  <c r="DO38" i="47" s="1"/>
  <c r="DP38" i="47" s="1"/>
  <c r="DQ38" i="47" s="1"/>
  <c r="G38" i="47"/>
  <c r="H38" i="47" s="1"/>
  <c r="I38" i="47" s="1"/>
  <c r="J38" i="47" s="1"/>
  <c r="K38" i="47" s="1"/>
  <c r="L38" i="47" s="1"/>
  <c r="M38" i="47" s="1"/>
  <c r="N38" i="47" s="1"/>
  <c r="O38" i="47" s="1"/>
  <c r="P38" i="47" s="1"/>
  <c r="Q38" i="47" s="1"/>
  <c r="T37" i="47"/>
  <c r="U37" i="47" s="1"/>
  <c r="V37" i="47" s="1"/>
  <c r="W37" i="47" s="1"/>
  <c r="X37" i="47" s="1"/>
  <c r="Y37" i="47" s="1"/>
  <c r="Z37" i="47" s="1"/>
  <c r="AA37" i="47" s="1"/>
  <c r="AB37" i="47" s="1"/>
  <c r="AC37" i="47" s="1"/>
  <c r="AD37" i="47" s="1"/>
  <c r="AF37" i="47" s="1"/>
  <c r="AG37" i="47" s="1"/>
  <c r="AH37" i="47" s="1"/>
  <c r="AI37" i="47" s="1"/>
  <c r="AJ37" i="47" s="1"/>
  <c r="AK37" i="47" s="1"/>
  <c r="AL37" i="47" s="1"/>
  <c r="AM37" i="47" s="1"/>
  <c r="AN37" i="47" s="1"/>
  <c r="AO37" i="47" s="1"/>
  <c r="AP37" i="47" s="1"/>
  <c r="AQ37" i="47" s="1"/>
  <c r="AS37" i="47" s="1"/>
  <c r="AT37" i="47" s="1"/>
  <c r="AU37" i="47" s="1"/>
  <c r="AV37" i="47" s="1"/>
  <c r="AW37" i="47" s="1"/>
  <c r="AX37" i="47" s="1"/>
  <c r="AY37" i="47" s="1"/>
  <c r="AZ37" i="47" s="1"/>
  <c r="BA37" i="47" s="1"/>
  <c r="BB37" i="47" s="1"/>
  <c r="BC37" i="47" s="1"/>
  <c r="BD37" i="47" s="1"/>
  <c r="BF37" i="47" s="1"/>
  <c r="BG37" i="47" s="1"/>
  <c r="BH37" i="47" s="1"/>
  <c r="BI37" i="47" s="1"/>
  <c r="BJ37" i="47" s="1"/>
  <c r="BK37" i="47" s="1"/>
  <c r="BL37" i="47" s="1"/>
  <c r="BM37" i="47" s="1"/>
  <c r="BN37" i="47" s="1"/>
  <c r="BO37" i="47" s="1"/>
  <c r="BP37" i="47" s="1"/>
  <c r="BQ37" i="47" s="1"/>
  <c r="BS37" i="47" s="1"/>
  <c r="BT37" i="47" s="1"/>
  <c r="BU37" i="47" s="1"/>
  <c r="BV37" i="47" s="1"/>
  <c r="BW37" i="47" s="1"/>
  <c r="BX37" i="47" s="1"/>
  <c r="BY37" i="47" s="1"/>
  <c r="BZ37" i="47" s="1"/>
  <c r="CA37" i="47" s="1"/>
  <c r="CB37" i="47" s="1"/>
  <c r="CC37" i="47" s="1"/>
  <c r="CD37" i="47" s="1"/>
  <c r="CF37" i="47" s="1"/>
  <c r="CG37" i="47" s="1"/>
  <c r="CH37" i="47" s="1"/>
  <c r="CI37" i="47" s="1"/>
  <c r="CJ37" i="47" s="1"/>
  <c r="CK37" i="47" s="1"/>
  <c r="CL37" i="47" s="1"/>
  <c r="CM37" i="47" s="1"/>
  <c r="CN37" i="47" s="1"/>
  <c r="CO37" i="47" s="1"/>
  <c r="CP37" i="47" s="1"/>
  <c r="CQ37" i="47" s="1"/>
  <c r="CS37" i="47" s="1"/>
  <c r="CT37" i="47" s="1"/>
  <c r="CU37" i="47" s="1"/>
  <c r="CV37" i="47" s="1"/>
  <c r="CW37" i="47" s="1"/>
  <c r="CX37" i="47" s="1"/>
  <c r="CY37" i="47" s="1"/>
  <c r="CZ37" i="47" s="1"/>
  <c r="DA37" i="47" s="1"/>
  <c r="DB37" i="47" s="1"/>
  <c r="DC37" i="47" s="1"/>
  <c r="DD37" i="47" s="1"/>
  <c r="DF37" i="47" s="1"/>
  <c r="DG37" i="47" s="1"/>
  <c r="DH37" i="47" s="1"/>
  <c r="DI37" i="47" s="1"/>
  <c r="DJ37" i="47" s="1"/>
  <c r="DK37" i="47" s="1"/>
  <c r="DL37" i="47" s="1"/>
  <c r="DM37" i="47" s="1"/>
  <c r="DN37" i="47" s="1"/>
  <c r="DO37" i="47" s="1"/>
  <c r="DP37" i="47" s="1"/>
  <c r="DQ37" i="47" s="1"/>
  <c r="G37" i="47"/>
  <c r="H37" i="47" s="1"/>
  <c r="T36" i="47"/>
  <c r="U36" i="47" s="1"/>
  <c r="V36" i="47" s="1"/>
  <c r="W36" i="47" s="1"/>
  <c r="X36" i="47" s="1"/>
  <c r="Y36" i="47" s="1"/>
  <c r="Z36" i="47" s="1"/>
  <c r="AA36" i="47" s="1"/>
  <c r="AB36" i="47" s="1"/>
  <c r="AC36" i="47" s="1"/>
  <c r="AD36" i="47" s="1"/>
  <c r="AF36" i="47" s="1"/>
  <c r="AG36" i="47" s="1"/>
  <c r="AH36" i="47" s="1"/>
  <c r="AI36" i="47" s="1"/>
  <c r="AJ36" i="47" s="1"/>
  <c r="AK36" i="47" s="1"/>
  <c r="AL36" i="47" s="1"/>
  <c r="AM36" i="47" s="1"/>
  <c r="AN36" i="47" s="1"/>
  <c r="AO36" i="47" s="1"/>
  <c r="AP36" i="47" s="1"/>
  <c r="AQ36" i="47" s="1"/>
  <c r="AS36" i="47" s="1"/>
  <c r="AT36" i="47" s="1"/>
  <c r="AU36" i="47" s="1"/>
  <c r="AV36" i="47" s="1"/>
  <c r="AW36" i="47" s="1"/>
  <c r="AX36" i="47" s="1"/>
  <c r="AY36" i="47" s="1"/>
  <c r="AZ36" i="47" s="1"/>
  <c r="BA36" i="47" s="1"/>
  <c r="BB36" i="47" s="1"/>
  <c r="BC36" i="47" s="1"/>
  <c r="BD36" i="47" s="1"/>
  <c r="BF36" i="47" s="1"/>
  <c r="BG36" i="47" s="1"/>
  <c r="BH36" i="47" s="1"/>
  <c r="BI36" i="47" s="1"/>
  <c r="BJ36" i="47" s="1"/>
  <c r="BK36" i="47" s="1"/>
  <c r="BL36" i="47" s="1"/>
  <c r="BM36" i="47" s="1"/>
  <c r="BN36" i="47" s="1"/>
  <c r="BO36" i="47" s="1"/>
  <c r="BP36" i="47" s="1"/>
  <c r="BQ36" i="47" s="1"/>
  <c r="BS36" i="47" s="1"/>
  <c r="BT36" i="47" s="1"/>
  <c r="BU36" i="47" s="1"/>
  <c r="BV36" i="47" s="1"/>
  <c r="BW36" i="47" s="1"/>
  <c r="BX36" i="47" s="1"/>
  <c r="BY36" i="47" s="1"/>
  <c r="BZ36" i="47" s="1"/>
  <c r="CA36" i="47" s="1"/>
  <c r="CB36" i="47" s="1"/>
  <c r="CC36" i="47" s="1"/>
  <c r="CD36" i="47" s="1"/>
  <c r="CF36" i="47" s="1"/>
  <c r="CG36" i="47" s="1"/>
  <c r="CH36" i="47" s="1"/>
  <c r="CI36" i="47" s="1"/>
  <c r="CJ36" i="47" s="1"/>
  <c r="CK36" i="47" s="1"/>
  <c r="CL36" i="47" s="1"/>
  <c r="CM36" i="47" s="1"/>
  <c r="CN36" i="47" s="1"/>
  <c r="CO36" i="47" s="1"/>
  <c r="CP36" i="47" s="1"/>
  <c r="CQ36" i="47" s="1"/>
  <c r="CS36" i="47" s="1"/>
  <c r="CT36" i="47" s="1"/>
  <c r="CU36" i="47" s="1"/>
  <c r="CV36" i="47" s="1"/>
  <c r="CW36" i="47" s="1"/>
  <c r="CX36" i="47" s="1"/>
  <c r="CY36" i="47" s="1"/>
  <c r="CZ36" i="47" s="1"/>
  <c r="DA36" i="47" s="1"/>
  <c r="DB36" i="47" s="1"/>
  <c r="DC36" i="47" s="1"/>
  <c r="DD36" i="47" s="1"/>
  <c r="DF36" i="47" s="1"/>
  <c r="DG36" i="47" s="1"/>
  <c r="DH36" i="47" s="1"/>
  <c r="DI36" i="47" s="1"/>
  <c r="DJ36" i="47" s="1"/>
  <c r="DK36" i="47" s="1"/>
  <c r="DL36" i="47" s="1"/>
  <c r="DM36" i="47" s="1"/>
  <c r="DN36" i="47" s="1"/>
  <c r="DO36" i="47" s="1"/>
  <c r="DP36" i="47" s="1"/>
  <c r="DQ36" i="47" s="1"/>
  <c r="G36" i="47"/>
  <c r="H36" i="47" s="1"/>
  <c r="I36" i="47" s="1"/>
  <c r="J36" i="47" s="1"/>
  <c r="K36" i="47" s="1"/>
  <c r="L36" i="47" s="1"/>
  <c r="M36" i="47" s="1"/>
  <c r="N36" i="47" s="1"/>
  <c r="O36" i="47" s="1"/>
  <c r="P36" i="47" s="1"/>
  <c r="Q36" i="47" s="1"/>
  <c r="G35" i="47"/>
  <c r="DT32" i="47"/>
  <c r="AE32" i="47"/>
  <c r="R32" i="47"/>
  <c r="F32" i="47"/>
  <c r="G31" i="47"/>
  <c r="H31" i="47" s="1"/>
  <c r="G30" i="47"/>
  <c r="H30" i="47" s="1"/>
  <c r="I30" i="47" s="1"/>
  <c r="G29" i="47"/>
  <c r="H29" i="47" s="1"/>
  <c r="I29" i="47" s="1"/>
  <c r="D55" i="47"/>
  <c r="D107" i="47" s="1"/>
  <c r="D134" i="47" s="1"/>
  <c r="D161" i="47" s="1"/>
  <c r="D189" i="47" s="1"/>
  <c r="G28" i="47"/>
  <c r="G27" i="47"/>
  <c r="D53" i="47"/>
  <c r="D105" i="47" s="1"/>
  <c r="D132" i="47" s="1"/>
  <c r="D159" i="47" s="1"/>
  <c r="D187" i="47" s="1"/>
  <c r="G26" i="47"/>
  <c r="H26" i="47" s="1"/>
  <c r="D52" i="47"/>
  <c r="D104" i="47" s="1"/>
  <c r="D131" i="47" s="1"/>
  <c r="D158" i="47" s="1"/>
  <c r="D186" i="47" s="1"/>
  <c r="G25" i="47"/>
  <c r="H25" i="47" s="1"/>
  <c r="G24" i="47"/>
  <c r="G23" i="47"/>
  <c r="D49" i="47"/>
  <c r="D101" i="47" s="1"/>
  <c r="D128" i="47" s="1"/>
  <c r="D155" i="47" s="1"/>
  <c r="D183" i="47" s="1"/>
  <c r="G22" i="47"/>
  <c r="D48" i="47"/>
  <c r="D100" i="47" s="1"/>
  <c r="D127" i="47" s="1"/>
  <c r="D154" i="47" s="1"/>
  <c r="D182" i="47" s="1"/>
  <c r="G21" i="47"/>
  <c r="H21" i="47" s="1"/>
  <c r="G20" i="47"/>
  <c r="G19" i="47"/>
  <c r="D45" i="47"/>
  <c r="D97" i="47" s="1"/>
  <c r="D124" i="47" s="1"/>
  <c r="D151" i="47" s="1"/>
  <c r="D179" i="47" s="1"/>
  <c r="G18" i="47"/>
  <c r="D44" i="47"/>
  <c r="D96" i="47" s="1"/>
  <c r="D123" i="47" s="1"/>
  <c r="D150" i="47" s="1"/>
  <c r="D178" i="47" s="1"/>
  <c r="G17" i="47"/>
  <c r="H17" i="47" s="1"/>
  <c r="G16" i="47"/>
  <c r="G15" i="47"/>
  <c r="G14" i="47"/>
  <c r="D40" i="47"/>
  <c r="D92" i="47" s="1"/>
  <c r="D119" i="47" s="1"/>
  <c r="D146" i="47" s="1"/>
  <c r="D174" i="47" s="1"/>
  <c r="G13" i="47"/>
  <c r="H13" i="47" s="1"/>
  <c r="D39" i="47"/>
  <c r="D91" i="47" s="1"/>
  <c r="D118" i="47" s="1"/>
  <c r="D145" i="47" s="1"/>
  <c r="D173" i="47" s="1"/>
  <c r="G12" i="47"/>
  <c r="D38" i="47"/>
  <c r="D90" i="47" s="1"/>
  <c r="D117" i="47" s="1"/>
  <c r="D144" i="47" s="1"/>
  <c r="D172" i="47" s="1"/>
  <c r="G11" i="47"/>
  <c r="H11" i="47" s="1"/>
  <c r="D37" i="47"/>
  <c r="D89" i="47" s="1"/>
  <c r="D116" i="47" s="1"/>
  <c r="D143" i="47" s="1"/>
  <c r="D171" i="47" s="1"/>
  <c r="G10" i="47"/>
  <c r="D36" i="47"/>
  <c r="D88" i="47" s="1"/>
  <c r="D115" i="47" s="1"/>
  <c r="D142" i="47" s="1"/>
  <c r="D170" i="47" s="1"/>
  <c r="G9" i="47"/>
  <c r="H9" i="47" s="1"/>
  <c r="G7" i="47"/>
  <c r="G5" i="47"/>
  <c r="H5" i="47" s="1"/>
  <c r="I5" i="47" s="1"/>
  <c r="J5" i="47" s="1"/>
  <c r="K5" i="47" s="1"/>
  <c r="L5" i="47" s="1"/>
  <c r="M5" i="47" s="1"/>
  <c r="N5" i="47" s="1"/>
  <c r="O5" i="47" s="1"/>
  <c r="P5" i="47" s="1"/>
  <c r="Q5" i="47" s="1"/>
  <c r="R5" i="47" s="1"/>
  <c r="DE108" i="47" l="1"/>
  <c r="I37" i="45"/>
  <c r="G117" i="47"/>
  <c r="G172" i="47" s="1"/>
  <c r="G125" i="47"/>
  <c r="G120" i="47"/>
  <c r="G175" i="47" s="1"/>
  <c r="H130" i="47"/>
  <c r="H185" i="47" s="1"/>
  <c r="G121" i="47"/>
  <c r="G176" i="47" s="1"/>
  <c r="H122" i="47"/>
  <c r="G124" i="47"/>
  <c r="G179" i="47" s="1"/>
  <c r="F176" i="47"/>
  <c r="F180" i="47"/>
  <c r="J158" i="47"/>
  <c r="K158" i="47" s="1"/>
  <c r="L158" i="47" s="1"/>
  <c r="M158" i="47" s="1"/>
  <c r="N158" i="47" s="1"/>
  <c r="O158" i="47" s="1"/>
  <c r="P158" i="47" s="1"/>
  <c r="Q158" i="47" s="1"/>
  <c r="S158" i="47" s="1"/>
  <c r="S5" i="47"/>
  <c r="T5" i="47" s="1"/>
  <c r="U5" i="47" s="1"/>
  <c r="V5" i="47" s="1"/>
  <c r="W5" i="47" s="1"/>
  <c r="X5" i="47" s="1"/>
  <c r="Y5" i="47" s="1"/>
  <c r="Z5" i="47" s="1"/>
  <c r="AA5" i="47" s="1"/>
  <c r="AB5" i="47" s="1"/>
  <c r="AC5" i="47" s="1"/>
  <c r="AD5" i="47" s="1"/>
  <c r="AE5" i="47" s="1"/>
  <c r="H15" i="45"/>
  <c r="G128" i="47"/>
  <c r="G183" i="47" s="1"/>
  <c r="AG159" i="47"/>
  <c r="AH159" i="47" s="1"/>
  <c r="AI159" i="47" s="1"/>
  <c r="AJ159" i="47" s="1"/>
  <c r="AK159" i="47" s="1"/>
  <c r="AL159" i="47" s="1"/>
  <c r="AM159" i="47" s="1"/>
  <c r="AN159" i="47" s="1"/>
  <c r="AO159" i="47" s="1"/>
  <c r="AP159" i="47" s="1"/>
  <c r="AQ159" i="47" s="1"/>
  <c r="AS159" i="47" s="1"/>
  <c r="M37" i="45"/>
  <c r="F170" i="47"/>
  <c r="F172" i="47"/>
  <c r="F174" i="47"/>
  <c r="F178" i="47"/>
  <c r="F182" i="47"/>
  <c r="F186" i="47"/>
  <c r="X142" i="47"/>
  <c r="Y142" i="47" s="1"/>
  <c r="Z142" i="47" s="1"/>
  <c r="AA142" i="47" s="1"/>
  <c r="AB142" i="47" s="1"/>
  <c r="AC142" i="47" s="1"/>
  <c r="AD142" i="47" s="1"/>
  <c r="AF142" i="47" s="1"/>
  <c r="K20" i="45"/>
  <c r="AG144" i="47"/>
  <c r="AH144" i="47" s="1"/>
  <c r="AI144" i="47" s="1"/>
  <c r="AJ144" i="47" s="1"/>
  <c r="AK144" i="47" s="1"/>
  <c r="AL144" i="47" s="1"/>
  <c r="AM144" i="47" s="1"/>
  <c r="AN144" i="47" s="1"/>
  <c r="AO144" i="47" s="1"/>
  <c r="AP144" i="47" s="1"/>
  <c r="AQ144" i="47" s="1"/>
  <c r="AS144" i="47" s="1"/>
  <c r="H150" i="47"/>
  <c r="I150" i="47" s="1"/>
  <c r="J150" i="47" s="1"/>
  <c r="K150" i="47" s="1"/>
  <c r="L150" i="47" s="1"/>
  <c r="M150" i="47" s="1"/>
  <c r="N150" i="47" s="1"/>
  <c r="O150" i="47" s="1"/>
  <c r="P150" i="47" s="1"/>
  <c r="Q150" i="47" s="1"/>
  <c r="S150" i="47" s="1"/>
  <c r="G129" i="47"/>
  <c r="G184" i="47" s="1"/>
  <c r="G132" i="47"/>
  <c r="G187" i="47" s="1"/>
  <c r="G84" i="47"/>
  <c r="F183" i="47"/>
  <c r="F185" i="47"/>
  <c r="F187" i="47"/>
  <c r="F189" i="47"/>
  <c r="I22" i="45"/>
  <c r="H145" i="47"/>
  <c r="I145" i="47" s="1"/>
  <c r="J145" i="47" s="1"/>
  <c r="K145" i="47" s="1"/>
  <c r="L145" i="47" s="1"/>
  <c r="M145" i="47" s="1"/>
  <c r="N145" i="47" s="1"/>
  <c r="O145" i="47" s="1"/>
  <c r="P145" i="47" s="1"/>
  <c r="Q145" i="47" s="1"/>
  <c r="H156" i="47"/>
  <c r="I156" i="47" s="1"/>
  <c r="J156" i="47" s="1"/>
  <c r="K156" i="47" s="1"/>
  <c r="L156" i="47" s="1"/>
  <c r="M156" i="47" s="1"/>
  <c r="N156" i="47" s="1"/>
  <c r="O156" i="47" s="1"/>
  <c r="P156" i="47" s="1"/>
  <c r="Q156" i="47" s="1"/>
  <c r="S156" i="47" s="1"/>
  <c r="I38" i="45"/>
  <c r="H149" i="47"/>
  <c r="I149" i="47" s="1"/>
  <c r="J149" i="47" s="1"/>
  <c r="K149" i="47" s="1"/>
  <c r="L149" i="47" s="1"/>
  <c r="M149" i="47" s="1"/>
  <c r="N149" i="47" s="1"/>
  <c r="O149" i="47" s="1"/>
  <c r="P149" i="47" s="1"/>
  <c r="Q149" i="47" s="1"/>
  <c r="S149" i="47" s="1"/>
  <c r="I20" i="45"/>
  <c r="H154" i="47"/>
  <c r="I154" i="47" s="1"/>
  <c r="J154" i="47" s="1"/>
  <c r="K154" i="47" s="1"/>
  <c r="L154" i="47" s="1"/>
  <c r="M154" i="47" s="1"/>
  <c r="N154" i="47" s="1"/>
  <c r="O154" i="47" s="1"/>
  <c r="P154" i="47" s="1"/>
  <c r="Q154" i="47" s="1"/>
  <c r="S154" i="47" s="1"/>
  <c r="K37" i="45"/>
  <c r="T160" i="47"/>
  <c r="U160" i="47" s="1"/>
  <c r="V160" i="47" s="1"/>
  <c r="W160" i="47" s="1"/>
  <c r="X160" i="47" s="1"/>
  <c r="Y160" i="47" s="1"/>
  <c r="Z160" i="47" s="1"/>
  <c r="AA160" i="47" s="1"/>
  <c r="AB160" i="47" s="1"/>
  <c r="AC160" i="47" s="1"/>
  <c r="AD160" i="47" s="1"/>
  <c r="AF160" i="47" s="1"/>
  <c r="K22" i="45"/>
  <c r="H147" i="47"/>
  <c r="I147" i="47" s="1"/>
  <c r="J147" i="47" s="1"/>
  <c r="K147" i="47" s="1"/>
  <c r="L147" i="47" s="1"/>
  <c r="M147" i="47" s="1"/>
  <c r="N147" i="47" s="1"/>
  <c r="O147" i="47" s="1"/>
  <c r="P147" i="47" s="1"/>
  <c r="Q147" i="47" s="1"/>
  <c r="S147" i="47" s="1"/>
  <c r="H151" i="47"/>
  <c r="I151" i="47" s="1"/>
  <c r="J151" i="47" s="1"/>
  <c r="K151" i="47" s="1"/>
  <c r="L151" i="47" s="1"/>
  <c r="M151" i="47" s="1"/>
  <c r="N151" i="47" s="1"/>
  <c r="O151" i="47" s="1"/>
  <c r="P151" i="47" s="1"/>
  <c r="Q151" i="47" s="1"/>
  <c r="S151" i="47" s="1"/>
  <c r="H153" i="47"/>
  <c r="I153" i="47" s="1"/>
  <c r="J153" i="47" s="1"/>
  <c r="K153" i="47" s="1"/>
  <c r="L153" i="47" s="1"/>
  <c r="M153" i="47" s="1"/>
  <c r="N153" i="47" s="1"/>
  <c r="O153" i="47" s="1"/>
  <c r="P153" i="47" s="1"/>
  <c r="Q153" i="47" s="1"/>
  <c r="S153" i="47" s="1"/>
  <c r="T143" i="47"/>
  <c r="U143" i="47" s="1"/>
  <c r="V143" i="47" s="1"/>
  <c r="W143" i="47" s="1"/>
  <c r="X143" i="47" s="1"/>
  <c r="Y143" i="47" s="1"/>
  <c r="Z143" i="47" s="1"/>
  <c r="AA143" i="47" s="1"/>
  <c r="AB143" i="47" s="1"/>
  <c r="AC143" i="47" s="1"/>
  <c r="AD143" i="47" s="1"/>
  <c r="AF143" i="47" s="1"/>
  <c r="I21" i="45"/>
  <c r="T141" i="47"/>
  <c r="U141" i="47" s="1"/>
  <c r="V141" i="47" s="1"/>
  <c r="W141" i="47" s="1"/>
  <c r="X141" i="47" s="1"/>
  <c r="Y141" i="47" s="1"/>
  <c r="Z141" i="47" s="1"/>
  <c r="AA141" i="47" s="1"/>
  <c r="AB141" i="47" s="1"/>
  <c r="AC141" i="47" s="1"/>
  <c r="AD141" i="47" s="1"/>
  <c r="AF141" i="47" s="1"/>
  <c r="I19" i="45"/>
  <c r="AR58" i="47"/>
  <c r="BE57" i="47"/>
  <c r="I11" i="47"/>
  <c r="AR84" i="47"/>
  <c r="BE83" i="47"/>
  <c r="AG56" i="47"/>
  <c r="J61" i="47"/>
  <c r="J64" i="47"/>
  <c r="K64" i="47" s="1"/>
  <c r="L64" i="47" s="1"/>
  <c r="M64" i="47" s="1"/>
  <c r="N64" i="47" s="1"/>
  <c r="O64" i="47" s="1"/>
  <c r="P64" i="47" s="1"/>
  <c r="Q64" i="47" s="1"/>
  <c r="DS65" i="47"/>
  <c r="DS73" i="47"/>
  <c r="DS81" i="47"/>
  <c r="I87" i="47"/>
  <c r="BE109" i="47"/>
  <c r="AR110" i="47"/>
  <c r="G113" i="47"/>
  <c r="G32" i="47"/>
  <c r="H63" i="47"/>
  <c r="I63" i="47" s="1"/>
  <c r="J63" i="47" s="1"/>
  <c r="K63" i="47" s="1"/>
  <c r="L63" i="47" s="1"/>
  <c r="M63" i="47" s="1"/>
  <c r="N63" i="47" s="1"/>
  <c r="O63" i="47" s="1"/>
  <c r="P63" i="47" s="1"/>
  <c r="Q63" i="47" s="1"/>
  <c r="I9" i="47"/>
  <c r="I13" i="47"/>
  <c r="H16" i="47"/>
  <c r="H24" i="47"/>
  <c r="I37" i="47"/>
  <c r="J37" i="47" s="1"/>
  <c r="K37" i="47" s="1"/>
  <c r="L37" i="47" s="1"/>
  <c r="M37" i="47" s="1"/>
  <c r="N37" i="47" s="1"/>
  <c r="O37" i="47" s="1"/>
  <c r="P37" i="47" s="1"/>
  <c r="Q37" i="47" s="1"/>
  <c r="I53" i="47"/>
  <c r="J53" i="47" s="1"/>
  <c r="K53" i="47" s="1"/>
  <c r="L53" i="47" s="1"/>
  <c r="M53" i="47" s="1"/>
  <c r="N53" i="47" s="1"/>
  <c r="O53" i="47" s="1"/>
  <c r="P53" i="47" s="1"/>
  <c r="Q53" i="47" s="1"/>
  <c r="S53" i="47" s="1"/>
  <c r="T53" i="47" s="1"/>
  <c r="U53" i="47" s="1"/>
  <c r="V53" i="47" s="1"/>
  <c r="W53" i="47" s="1"/>
  <c r="X53" i="47" s="1"/>
  <c r="Y53" i="47" s="1"/>
  <c r="Z53" i="47" s="1"/>
  <c r="AA53" i="47" s="1"/>
  <c r="AB53" i="47" s="1"/>
  <c r="AC53" i="47" s="1"/>
  <c r="AD53" i="47" s="1"/>
  <c r="AF53" i="47" s="1"/>
  <c r="AG53" i="47" s="1"/>
  <c r="AH53" i="47" s="1"/>
  <c r="AI53" i="47" s="1"/>
  <c r="AJ53" i="47" s="1"/>
  <c r="AK53" i="47" s="1"/>
  <c r="AL53" i="47" s="1"/>
  <c r="AM53" i="47" s="1"/>
  <c r="AN53" i="47" s="1"/>
  <c r="AO53" i="47" s="1"/>
  <c r="AP53" i="47" s="1"/>
  <c r="AQ53" i="47" s="1"/>
  <c r="AS53" i="47" s="1"/>
  <c r="AT53" i="47" s="1"/>
  <c r="AU53" i="47" s="1"/>
  <c r="AV53" i="47" s="1"/>
  <c r="AW53" i="47" s="1"/>
  <c r="AX53" i="47" s="1"/>
  <c r="AY53" i="47" s="1"/>
  <c r="AZ53" i="47" s="1"/>
  <c r="BA53" i="47" s="1"/>
  <c r="BB53" i="47" s="1"/>
  <c r="BC53" i="47" s="1"/>
  <c r="BD53" i="47" s="1"/>
  <c r="BF53" i="47" s="1"/>
  <c r="BG53" i="47" s="1"/>
  <c r="BH53" i="47" s="1"/>
  <c r="BI53" i="47" s="1"/>
  <c r="BJ53" i="47" s="1"/>
  <c r="BK53" i="47" s="1"/>
  <c r="BL53" i="47" s="1"/>
  <c r="BM53" i="47" s="1"/>
  <c r="BN53" i="47" s="1"/>
  <c r="BO53" i="47" s="1"/>
  <c r="BP53" i="47" s="1"/>
  <c r="BQ53" i="47" s="1"/>
  <c r="BS53" i="47" s="1"/>
  <c r="BT53" i="47" s="1"/>
  <c r="BU53" i="47" s="1"/>
  <c r="BV53" i="47" s="1"/>
  <c r="BW53" i="47" s="1"/>
  <c r="BX53" i="47" s="1"/>
  <c r="BY53" i="47" s="1"/>
  <c r="BZ53" i="47" s="1"/>
  <c r="CA53" i="47" s="1"/>
  <c r="CB53" i="47" s="1"/>
  <c r="CC53" i="47" s="1"/>
  <c r="CD53" i="47" s="1"/>
  <c r="CF53" i="47" s="1"/>
  <c r="CG53" i="47" s="1"/>
  <c r="CH53" i="47" s="1"/>
  <c r="CI53" i="47" s="1"/>
  <c r="CJ53" i="47" s="1"/>
  <c r="CK53" i="47" s="1"/>
  <c r="CL53" i="47" s="1"/>
  <c r="CM53" i="47" s="1"/>
  <c r="CN53" i="47" s="1"/>
  <c r="CO53" i="47" s="1"/>
  <c r="CP53" i="47" s="1"/>
  <c r="CQ53" i="47" s="1"/>
  <c r="CS53" i="47" s="1"/>
  <c r="CT53" i="47" s="1"/>
  <c r="CU53" i="47" s="1"/>
  <c r="CV53" i="47" s="1"/>
  <c r="CW53" i="47" s="1"/>
  <c r="CX53" i="47" s="1"/>
  <c r="CY53" i="47" s="1"/>
  <c r="CZ53" i="47" s="1"/>
  <c r="DA53" i="47" s="1"/>
  <c r="DB53" i="47" s="1"/>
  <c r="DC53" i="47" s="1"/>
  <c r="DD53" i="47" s="1"/>
  <c r="DF53" i="47" s="1"/>
  <c r="DG53" i="47" s="1"/>
  <c r="DH53" i="47" s="1"/>
  <c r="DI53" i="47" s="1"/>
  <c r="DJ53" i="47" s="1"/>
  <c r="DK53" i="47" s="1"/>
  <c r="DL53" i="47" s="1"/>
  <c r="DM53" i="47" s="1"/>
  <c r="DN53" i="47" s="1"/>
  <c r="DO53" i="47" s="1"/>
  <c r="DP53" i="47" s="1"/>
  <c r="DQ53" i="47" s="1"/>
  <c r="I71" i="47"/>
  <c r="J71" i="47" s="1"/>
  <c r="K71" i="47" s="1"/>
  <c r="L71" i="47" s="1"/>
  <c r="M71" i="47" s="1"/>
  <c r="N71" i="47" s="1"/>
  <c r="O71" i="47" s="1"/>
  <c r="P71" i="47" s="1"/>
  <c r="Q71" i="47" s="1"/>
  <c r="S71" i="47" s="1"/>
  <c r="T71" i="47" s="1"/>
  <c r="U71" i="47" s="1"/>
  <c r="V71" i="47" s="1"/>
  <c r="W71" i="47" s="1"/>
  <c r="X71" i="47" s="1"/>
  <c r="Y71" i="47" s="1"/>
  <c r="Z71" i="47" s="1"/>
  <c r="AA71" i="47" s="1"/>
  <c r="AB71" i="47" s="1"/>
  <c r="AC71" i="47" s="1"/>
  <c r="AD71" i="47" s="1"/>
  <c r="AF71" i="47" s="1"/>
  <c r="AG71" i="47" s="1"/>
  <c r="AH71" i="47" s="1"/>
  <c r="AI71" i="47" s="1"/>
  <c r="AJ71" i="47" s="1"/>
  <c r="AK71" i="47" s="1"/>
  <c r="AL71" i="47" s="1"/>
  <c r="AM71" i="47" s="1"/>
  <c r="AN71" i="47" s="1"/>
  <c r="AO71" i="47" s="1"/>
  <c r="AP71" i="47" s="1"/>
  <c r="AQ71" i="47" s="1"/>
  <c r="AS71" i="47" s="1"/>
  <c r="AT71" i="47" s="1"/>
  <c r="AU71" i="47" s="1"/>
  <c r="AV71" i="47" s="1"/>
  <c r="AW71" i="47" s="1"/>
  <c r="AX71" i="47" s="1"/>
  <c r="AY71" i="47" s="1"/>
  <c r="AZ71" i="47" s="1"/>
  <c r="BA71" i="47" s="1"/>
  <c r="BB71" i="47" s="1"/>
  <c r="BC71" i="47" s="1"/>
  <c r="BD71" i="47" s="1"/>
  <c r="BF71" i="47" s="1"/>
  <c r="BG71" i="47" s="1"/>
  <c r="BH71" i="47" s="1"/>
  <c r="BI71" i="47" s="1"/>
  <c r="BJ71" i="47" s="1"/>
  <c r="BK71" i="47" s="1"/>
  <c r="BL71" i="47" s="1"/>
  <c r="BM71" i="47" s="1"/>
  <c r="BN71" i="47" s="1"/>
  <c r="BO71" i="47" s="1"/>
  <c r="BP71" i="47" s="1"/>
  <c r="BQ71" i="47" s="1"/>
  <c r="BS71" i="47" s="1"/>
  <c r="BT71" i="47" s="1"/>
  <c r="BU71" i="47" s="1"/>
  <c r="BV71" i="47" s="1"/>
  <c r="BW71" i="47" s="1"/>
  <c r="BX71" i="47" s="1"/>
  <c r="BY71" i="47" s="1"/>
  <c r="BZ71" i="47" s="1"/>
  <c r="CA71" i="47" s="1"/>
  <c r="CB71" i="47" s="1"/>
  <c r="CC71" i="47" s="1"/>
  <c r="CD71" i="47" s="1"/>
  <c r="CF71" i="47" s="1"/>
  <c r="CG71" i="47" s="1"/>
  <c r="CH71" i="47" s="1"/>
  <c r="CI71" i="47" s="1"/>
  <c r="CJ71" i="47" s="1"/>
  <c r="CK71" i="47" s="1"/>
  <c r="CL71" i="47" s="1"/>
  <c r="CM71" i="47" s="1"/>
  <c r="CN71" i="47" s="1"/>
  <c r="CO71" i="47" s="1"/>
  <c r="CP71" i="47" s="1"/>
  <c r="CQ71" i="47" s="1"/>
  <c r="CS71" i="47" s="1"/>
  <c r="CT71" i="47" s="1"/>
  <c r="CU71" i="47" s="1"/>
  <c r="CV71" i="47" s="1"/>
  <c r="CW71" i="47" s="1"/>
  <c r="CX71" i="47" s="1"/>
  <c r="CY71" i="47" s="1"/>
  <c r="CZ71" i="47" s="1"/>
  <c r="DA71" i="47" s="1"/>
  <c r="DB71" i="47" s="1"/>
  <c r="DC71" i="47" s="1"/>
  <c r="DD71" i="47" s="1"/>
  <c r="DF71" i="47" s="1"/>
  <c r="DG71" i="47" s="1"/>
  <c r="DH71" i="47" s="1"/>
  <c r="DI71" i="47" s="1"/>
  <c r="DJ71" i="47" s="1"/>
  <c r="DK71" i="47" s="1"/>
  <c r="DL71" i="47" s="1"/>
  <c r="DM71" i="47" s="1"/>
  <c r="DN71" i="47" s="1"/>
  <c r="DO71" i="47" s="1"/>
  <c r="DP71" i="47" s="1"/>
  <c r="DQ71" i="47" s="1"/>
  <c r="H74" i="47"/>
  <c r="I74" i="47" s="1"/>
  <c r="J74" i="47" s="1"/>
  <c r="K74" i="47" s="1"/>
  <c r="L74" i="47" s="1"/>
  <c r="M74" i="47" s="1"/>
  <c r="N74" i="47" s="1"/>
  <c r="O74" i="47" s="1"/>
  <c r="P74" i="47" s="1"/>
  <c r="Q74" i="47" s="1"/>
  <c r="S74" i="47" s="1"/>
  <c r="T74" i="47" s="1"/>
  <c r="U74" i="47" s="1"/>
  <c r="V74" i="47" s="1"/>
  <c r="W74" i="47" s="1"/>
  <c r="X74" i="47" s="1"/>
  <c r="Y74" i="47" s="1"/>
  <c r="Z74" i="47" s="1"/>
  <c r="AA74" i="47" s="1"/>
  <c r="AB74" i="47" s="1"/>
  <c r="AC74" i="47" s="1"/>
  <c r="AD74" i="47" s="1"/>
  <c r="AF74" i="47" s="1"/>
  <c r="AG74" i="47" s="1"/>
  <c r="AH74" i="47" s="1"/>
  <c r="AI74" i="47" s="1"/>
  <c r="AJ74" i="47" s="1"/>
  <c r="AK74" i="47" s="1"/>
  <c r="AL74" i="47" s="1"/>
  <c r="AM74" i="47" s="1"/>
  <c r="AN74" i="47" s="1"/>
  <c r="AO74" i="47" s="1"/>
  <c r="AP74" i="47" s="1"/>
  <c r="AQ74" i="47" s="1"/>
  <c r="AS74" i="47" s="1"/>
  <c r="AT74" i="47" s="1"/>
  <c r="AU74" i="47" s="1"/>
  <c r="AV74" i="47" s="1"/>
  <c r="AW74" i="47" s="1"/>
  <c r="AX74" i="47" s="1"/>
  <c r="AY74" i="47" s="1"/>
  <c r="AZ74" i="47" s="1"/>
  <c r="BA74" i="47" s="1"/>
  <c r="BB74" i="47" s="1"/>
  <c r="BC74" i="47" s="1"/>
  <c r="BD74" i="47" s="1"/>
  <c r="BF74" i="47" s="1"/>
  <c r="BG74" i="47" s="1"/>
  <c r="BH74" i="47" s="1"/>
  <c r="BI74" i="47" s="1"/>
  <c r="BJ74" i="47" s="1"/>
  <c r="BK74" i="47" s="1"/>
  <c r="BL74" i="47" s="1"/>
  <c r="BM74" i="47" s="1"/>
  <c r="BN74" i="47" s="1"/>
  <c r="BO74" i="47" s="1"/>
  <c r="BP74" i="47" s="1"/>
  <c r="BQ74" i="47" s="1"/>
  <c r="BS74" i="47" s="1"/>
  <c r="BT74" i="47" s="1"/>
  <c r="BU74" i="47" s="1"/>
  <c r="BV74" i="47" s="1"/>
  <c r="BW74" i="47" s="1"/>
  <c r="BX74" i="47" s="1"/>
  <c r="BY74" i="47" s="1"/>
  <c r="BZ74" i="47" s="1"/>
  <c r="CA74" i="47" s="1"/>
  <c r="CB74" i="47" s="1"/>
  <c r="CC74" i="47" s="1"/>
  <c r="CD74" i="47" s="1"/>
  <c r="CF74" i="47" s="1"/>
  <c r="CG74" i="47" s="1"/>
  <c r="CH74" i="47" s="1"/>
  <c r="CI74" i="47" s="1"/>
  <c r="CJ74" i="47" s="1"/>
  <c r="CK74" i="47" s="1"/>
  <c r="CL74" i="47" s="1"/>
  <c r="CM74" i="47" s="1"/>
  <c r="CN74" i="47" s="1"/>
  <c r="CO74" i="47" s="1"/>
  <c r="CP74" i="47" s="1"/>
  <c r="CQ74" i="47" s="1"/>
  <c r="CS74" i="47" s="1"/>
  <c r="CT74" i="47" s="1"/>
  <c r="CU74" i="47" s="1"/>
  <c r="CV74" i="47" s="1"/>
  <c r="CW74" i="47" s="1"/>
  <c r="CX74" i="47" s="1"/>
  <c r="CY74" i="47" s="1"/>
  <c r="CZ74" i="47" s="1"/>
  <c r="DA74" i="47" s="1"/>
  <c r="DB74" i="47" s="1"/>
  <c r="DC74" i="47" s="1"/>
  <c r="DD74" i="47" s="1"/>
  <c r="DF74" i="47" s="1"/>
  <c r="DG74" i="47" s="1"/>
  <c r="DH74" i="47" s="1"/>
  <c r="DI74" i="47" s="1"/>
  <c r="DJ74" i="47" s="1"/>
  <c r="DK74" i="47" s="1"/>
  <c r="DL74" i="47" s="1"/>
  <c r="DM74" i="47" s="1"/>
  <c r="DN74" i="47" s="1"/>
  <c r="DO74" i="47" s="1"/>
  <c r="DP74" i="47" s="1"/>
  <c r="DQ74" i="47" s="1"/>
  <c r="DS77" i="47"/>
  <c r="I82" i="47"/>
  <c r="J82" i="47" s="1"/>
  <c r="K82" i="47" s="1"/>
  <c r="L82" i="47" s="1"/>
  <c r="M82" i="47" s="1"/>
  <c r="N82" i="47" s="1"/>
  <c r="O82" i="47" s="1"/>
  <c r="P82" i="47" s="1"/>
  <c r="Q82" i="47" s="1"/>
  <c r="S82" i="47" s="1"/>
  <c r="T82" i="47" s="1"/>
  <c r="U82" i="47" s="1"/>
  <c r="V82" i="47" s="1"/>
  <c r="W82" i="47" s="1"/>
  <c r="X82" i="47" s="1"/>
  <c r="Y82" i="47" s="1"/>
  <c r="Z82" i="47" s="1"/>
  <c r="AA82" i="47" s="1"/>
  <c r="AB82" i="47" s="1"/>
  <c r="AC82" i="47" s="1"/>
  <c r="AD82" i="47" s="1"/>
  <c r="AF82" i="47" s="1"/>
  <c r="AG82" i="47" s="1"/>
  <c r="AH82" i="47" s="1"/>
  <c r="AI82" i="47" s="1"/>
  <c r="AJ82" i="47" s="1"/>
  <c r="AK82" i="47" s="1"/>
  <c r="AL82" i="47" s="1"/>
  <c r="AM82" i="47" s="1"/>
  <c r="AN82" i="47" s="1"/>
  <c r="AO82" i="47" s="1"/>
  <c r="AP82" i="47" s="1"/>
  <c r="AQ82" i="47" s="1"/>
  <c r="AS82" i="47" s="1"/>
  <c r="AT82" i="47" s="1"/>
  <c r="AU82" i="47" s="1"/>
  <c r="AV82" i="47" s="1"/>
  <c r="AW82" i="47" s="1"/>
  <c r="AX82" i="47" s="1"/>
  <c r="AY82" i="47" s="1"/>
  <c r="AZ82" i="47" s="1"/>
  <c r="BA82" i="47" s="1"/>
  <c r="BB82" i="47" s="1"/>
  <c r="BC82" i="47" s="1"/>
  <c r="BD82" i="47" s="1"/>
  <c r="BF82" i="47" s="1"/>
  <c r="BG82" i="47" s="1"/>
  <c r="BH82" i="47" s="1"/>
  <c r="BI82" i="47" s="1"/>
  <c r="BJ82" i="47" s="1"/>
  <c r="BK82" i="47" s="1"/>
  <c r="BL82" i="47" s="1"/>
  <c r="BM82" i="47" s="1"/>
  <c r="BN82" i="47" s="1"/>
  <c r="BO82" i="47" s="1"/>
  <c r="BP82" i="47" s="1"/>
  <c r="BQ82" i="47" s="1"/>
  <c r="BS82" i="47" s="1"/>
  <c r="BT82" i="47" s="1"/>
  <c r="BU82" i="47" s="1"/>
  <c r="BV82" i="47" s="1"/>
  <c r="BW82" i="47" s="1"/>
  <c r="BX82" i="47" s="1"/>
  <c r="BY82" i="47" s="1"/>
  <c r="BZ82" i="47" s="1"/>
  <c r="CA82" i="47" s="1"/>
  <c r="CB82" i="47" s="1"/>
  <c r="CC82" i="47" s="1"/>
  <c r="CD82" i="47" s="1"/>
  <c r="CF82" i="47" s="1"/>
  <c r="CG82" i="47" s="1"/>
  <c r="CH82" i="47" s="1"/>
  <c r="CI82" i="47" s="1"/>
  <c r="CJ82" i="47" s="1"/>
  <c r="CK82" i="47" s="1"/>
  <c r="CL82" i="47" s="1"/>
  <c r="CM82" i="47" s="1"/>
  <c r="CN82" i="47" s="1"/>
  <c r="CO82" i="47" s="1"/>
  <c r="CP82" i="47" s="1"/>
  <c r="CQ82" i="47" s="1"/>
  <c r="CS82" i="47" s="1"/>
  <c r="CT82" i="47" s="1"/>
  <c r="CU82" i="47" s="1"/>
  <c r="CV82" i="47" s="1"/>
  <c r="CW82" i="47" s="1"/>
  <c r="CX82" i="47" s="1"/>
  <c r="CY82" i="47" s="1"/>
  <c r="CZ82" i="47" s="1"/>
  <c r="DA82" i="47" s="1"/>
  <c r="DB82" i="47" s="1"/>
  <c r="DC82" i="47" s="1"/>
  <c r="DD82" i="47" s="1"/>
  <c r="DF82" i="47" s="1"/>
  <c r="DG82" i="47" s="1"/>
  <c r="DH82" i="47" s="1"/>
  <c r="DI82" i="47" s="1"/>
  <c r="DJ82" i="47" s="1"/>
  <c r="DK82" i="47" s="1"/>
  <c r="DL82" i="47" s="1"/>
  <c r="DM82" i="47" s="1"/>
  <c r="DN82" i="47" s="1"/>
  <c r="DO82" i="47" s="1"/>
  <c r="DP82" i="47" s="1"/>
  <c r="DQ82" i="47" s="1"/>
  <c r="H135" i="47"/>
  <c r="V145" i="47"/>
  <c r="W145" i="47" s="1"/>
  <c r="X145" i="47" s="1"/>
  <c r="Y145" i="47" s="1"/>
  <c r="Z145" i="47" s="1"/>
  <c r="AA145" i="47" s="1"/>
  <c r="AB145" i="47" s="1"/>
  <c r="AC145" i="47" s="1"/>
  <c r="AD145" i="47" s="1"/>
  <c r="AF145" i="47" s="1"/>
  <c r="G115" i="47"/>
  <c r="G170" i="47" s="1"/>
  <c r="G123" i="47"/>
  <c r="G178" i="47" s="1"/>
  <c r="H19" i="47"/>
  <c r="G127" i="47"/>
  <c r="G182" i="47" s="1"/>
  <c r="H23" i="47"/>
  <c r="I26" i="47"/>
  <c r="H136" i="47"/>
  <c r="H191" i="47" s="1"/>
  <c r="DS67" i="47"/>
  <c r="I69" i="47"/>
  <c r="J69" i="47" s="1"/>
  <c r="K69" i="47" s="1"/>
  <c r="L69" i="47" s="1"/>
  <c r="M69" i="47" s="1"/>
  <c r="N69" i="47" s="1"/>
  <c r="O69" i="47" s="1"/>
  <c r="P69" i="47" s="1"/>
  <c r="Q69" i="47" s="1"/>
  <c r="S69" i="47" s="1"/>
  <c r="T69" i="47" s="1"/>
  <c r="U69" i="47" s="1"/>
  <c r="V69" i="47" s="1"/>
  <c r="W69" i="47" s="1"/>
  <c r="X69" i="47" s="1"/>
  <c r="Y69" i="47" s="1"/>
  <c r="Z69" i="47" s="1"/>
  <c r="AA69" i="47" s="1"/>
  <c r="AB69" i="47" s="1"/>
  <c r="AC69" i="47" s="1"/>
  <c r="AD69" i="47" s="1"/>
  <c r="AF69" i="47" s="1"/>
  <c r="AG69" i="47" s="1"/>
  <c r="AH69" i="47" s="1"/>
  <c r="AI69" i="47" s="1"/>
  <c r="AJ69" i="47" s="1"/>
  <c r="AK69" i="47" s="1"/>
  <c r="AL69" i="47" s="1"/>
  <c r="AM69" i="47" s="1"/>
  <c r="AN69" i="47" s="1"/>
  <c r="AO69" i="47" s="1"/>
  <c r="AP69" i="47" s="1"/>
  <c r="AQ69" i="47" s="1"/>
  <c r="AS69" i="47" s="1"/>
  <c r="AT69" i="47" s="1"/>
  <c r="AU69" i="47" s="1"/>
  <c r="AV69" i="47" s="1"/>
  <c r="AW69" i="47" s="1"/>
  <c r="AX69" i="47" s="1"/>
  <c r="AY69" i="47" s="1"/>
  <c r="AZ69" i="47" s="1"/>
  <c r="BA69" i="47" s="1"/>
  <c r="BB69" i="47" s="1"/>
  <c r="BC69" i="47" s="1"/>
  <c r="BD69" i="47" s="1"/>
  <c r="BF69" i="47" s="1"/>
  <c r="BG69" i="47" s="1"/>
  <c r="BH69" i="47" s="1"/>
  <c r="BI69" i="47" s="1"/>
  <c r="BJ69" i="47" s="1"/>
  <c r="BK69" i="47" s="1"/>
  <c r="BL69" i="47" s="1"/>
  <c r="BM69" i="47" s="1"/>
  <c r="BN69" i="47" s="1"/>
  <c r="BO69" i="47" s="1"/>
  <c r="BP69" i="47" s="1"/>
  <c r="BQ69" i="47" s="1"/>
  <c r="BS69" i="47" s="1"/>
  <c r="BT69" i="47" s="1"/>
  <c r="BU69" i="47" s="1"/>
  <c r="BV69" i="47" s="1"/>
  <c r="BW69" i="47" s="1"/>
  <c r="BX69" i="47" s="1"/>
  <c r="BY69" i="47" s="1"/>
  <c r="BZ69" i="47" s="1"/>
  <c r="CA69" i="47" s="1"/>
  <c r="CB69" i="47" s="1"/>
  <c r="CC69" i="47" s="1"/>
  <c r="CD69" i="47" s="1"/>
  <c r="CF69" i="47" s="1"/>
  <c r="CG69" i="47" s="1"/>
  <c r="CH69" i="47" s="1"/>
  <c r="CI69" i="47" s="1"/>
  <c r="CJ69" i="47" s="1"/>
  <c r="CK69" i="47" s="1"/>
  <c r="CL69" i="47" s="1"/>
  <c r="CM69" i="47" s="1"/>
  <c r="CN69" i="47" s="1"/>
  <c r="CO69" i="47" s="1"/>
  <c r="CP69" i="47" s="1"/>
  <c r="CQ69" i="47" s="1"/>
  <c r="CS69" i="47" s="1"/>
  <c r="CT69" i="47" s="1"/>
  <c r="CU69" i="47" s="1"/>
  <c r="CV69" i="47" s="1"/>
  <c r="CW69" i="47" s="1"/>
  <c r="CX69" i="47" s="1"/>
  <c r="CY69" i="47" s="1"/>
  <c r="CZ69" i="47" s="1"/>
  <c r="DA69" i="47" s="1"/>
  <c r="DB69" i="47" s="1"/>
  <c r="DC69" i="47" s="1"/>
  <c r="DD69" i="47" s="1"/>
  <c r="DF69" i="47" s="1"/>
  <c r="DG69" i="47" s="1"/>
  <c r="DH69" i="47" s="1"/>
  <c r="DI69" i="47" s="1"/>
  <c r="DJ69" i="47" s="1"/>
  <c r="DK69" i="47" s="1"/>
  <c r="DL69" i="47" s="1"/>
  <c r="DM69" i="47" s="1"/>
  <c r="DN69" i="47" s="1"/>
  <c r="DO69" i="47" s="1"/>
  <c r="DP69" i="47" s="1"/>
  <c r="DQ69" i="47" s="1"/>
  <c r="DS75" i="47"/>
  <c r="H80" i="47"/>
  <c r="I80" i="47" s="1"/>
  <c r="J80" i="47" s="1"/>
  <c r="K80" i="47" s="1"/>
  <c r="L80" i="47" s="1"/>
  <c r="M80" i="47" s="1"/>
  <c r="N80" i="47" s="1"/>
  <c r="O80" i="47" s="1"/>
  <c r="P80" i="47" s="1"/>
  <c r="Q80" i="47" s="1"/>
  <c r="S80" i="47" s="1"/>
  <c r="T80" i="47" s="1"/>
  <c r="U80" i="47" s="1"/>
  <c r="V80" i="47" s="1"/>
  <c r="W80" i="47" s="1"/>
  <c r="X80" i="47" s="1"/>
  <c r="Y80" i="47" s="1"/>
  <c r="Z80" i="47" s="1"/>
  <c r="AA80" i="47" s="1"/>
  <c r="AB80" i="47" s="1"/>
  <c r="AC80" i="47" s="1"/>
  <c r="AD80" i="47" s="1"/>
  <c r="AF80" i="47" s="1"/>
  <c r="AG80" i="47" s="1"/>
  <c r="AH80" i="47" s="1"/>
  <c r="AI80" i="47" s="1"/>
  <c r="AJ80" i="47" s="1"/>
  <c r="AK80" i="47" s="1"/>
  <c r="AL80" i="47" s="1"/>
  <c r="AM80" i="47" s="1"/>
  <c r="AN80" i="47" s="1"/>
  <c r="AO80" i="47" s="1"/>
  <c r="AP80" i="47" s="1"/>
  <c r="AQ80" i="47" s="1"/>
  <c r="AS80" i="47" s="1"/>
  <c r="AT80" i="47" s="1"/>
  <c r="AU80" i="47" s="1"/>
  <c r="AV80" i="47" s="1"/>
  <c r="AW80" i="47" s="1"/>
  <c r="AX80" i="47" s="1"/>
  <c r="AY80" i="47" s="1"/>
  <c r="AZ80" i="47" s="1"/>
  <c r="BA80" i="47" s="1"/>
  <c r="BB80" i="47" s="1"/>
  <c r="BC80" i="47" s="1"/>
  <c r="BD80" i="47" s="1"/>
  <c r="BF80" i="47" s="1"/>
  <c r="BG80" i="47" s="1"/>
  <c r="BH80" i="47" s="1"/>
  <c r="BI80" i="47" s="1"/>
  <c r="BJ80" i="47" s="1"/>
  <c r="BK80" i="47" s="1"/>
  <c r="BL80" i="47" s="1"/>
  <c r="BM80" i="47" s="1"/>
  <c r="BN80" i="47" s="1"/>
  <c r="BO80" i="47" s="1"/>
  <c r="BP80" i="47" s="1"/>
  <c r="BQ80" i="47" s="1"/>
  <c r="BS80" i="47" s="1"/>
  <c r="BT80" i="47" s="1"/>
  <c r="BU80" i="47" s="1"/>
  <c r="BV80" i="47" s="1"/>
  <c r="BW80" i="47" s="1"/>
  <c r="BX80" i="47" s="1"/>
  <c r="BY80" i="47" s="1"/>
  <c r="BZ80" i="47" s="1"/>
  <c r="CA80" i="47" s="1"/>
  <c r="CB80" i="47" s="1"/>
  <c r="CC80" i="47" s="1"/>
  <c r="CD80" i="47" s="1"/>
  <c r="CF80" i="47" s="1"/>
  <c r="CG80" i="47" s="1"/>
  <c r="CH80" i="47" s="1"/>
  <c r="CI80" i="47" s="1"/>
  <c r="CJ80" i="47" s="1"/>
  <c r="CK80" i="47" s="1"/>
  <c r="CL80" i="47" s="1"/>
  <c r="CM80" i="47" s="1"/>
  <c r="CN80" i="47" s="1"/>
  <c r="CO80" i="47" s="1"/>
  <c r="CP80" i="47" s="1"/>
  <c r="CQ80" i="47" s="1"/>
  <c r="CS80" i="47" s="1"/>
  <c r="CT80" i="47" s="1"/>
  <c r="CU80" i="47" s="1"/>
  <c r="CV80" i="47" s="1"/>
  <c r="CW80" i="47" s="1"/>
  <c r="CX80" i="47" s="1"/>
  <c r="CY80" i="47" s="1"/>
  <c r="CZ80" i="47" s="1"/>
  <c r="DA80" i="47" s="1"/>
  <c r="DB80" i="47" s="1"/>
  <c r="DC80" i="47" s="1"/>
  <c r="DD80" i="47" s="1"/>
  <c r="DF80" i="47" s="1"/>
  <c r="DG80" i="47" s="1"/>
  <c r="DH80" i="47" s="1"/>
  <c r="DI80" i="47" s="1"/>
  <c r="DJ80" i="47" s="1"/>
  <c r="DK80" i="47" s="1"/>
  <c r="DL80" i="47" s="1"/>
  <c r="DM80" i="47" s="1"/>
  <c r="DN80" i="47" s="1"/>
  <c r="DO80" i="47" s="1"/>
  <c r="DP80" i="47" s="1"/>
  <c r="DQ80" i="47" s="1"/>
  <c r="F181" i="47"/>
  <c r="G180" i="47"/>
  <c r="G133" i="47"/>
  <c r="G188" i="47" s="1"/>
  <c r="H28" i="47"/>
  <c r="J29" i="47"/>
  <c r="J30" i="47"/>
  <c r="G58" i="47"/>
  <c r="H35" i="47"/>
  <c r="H114" i="47" s="1"/>
  <c r="H169" i="47" s="1"/>
  <c r="DS79" i="47"/>
  <c r="I88" i="47"/>
  <c r="J88" i="47" s="1"/>
  <c r="K88" i="47" s="1"/>
  <c r="L88" i="47" s="1"/>
  <c r="M88" i="47" s="1"/>
  <c r="N88" i="47" s="1"/>
  <c r="O88" i="47" s="1"/>
  <c r="P88" i="47" s="1"/>
  <c r="Q88" i="47" s="1"/>
  <c r="S88" i="47" s="1"/>
  <c r="T88" i="47" s="1"/>
  <c r="U88" i="47" s="1"/>
  <c r="V88" i="47" s="1"/>
  <c r="W88" i="47" s="1"/>
  <c r="X88" i="47" s="1"/>
  <c r="Y88" i="47" s="1"/>
  <c r="Z88" i="47" s="1"/>
  <c r="AA88" i="47" s="1"/>
  <c r="AB88" i="47" s="1"/>
  <c r="AC88" i="47" s="1"/>
  <c r="AD88" i="47" s="1"/>
  <c r="AF88" i="47" s="1"/>
  <c r="AG88" i="47" s="1"/>
  <c r="AH88" i="47" s="1"/>
  <c r="AI88" i="47" s="1"/>
  <c r="AJ88" i="47" s="1"/>
  <c r="AK88" i="47" s="1"/>
  <c r="AL88" i="47" s="1"/>
  <c r="AM88" i="47" s="1"/>
  <c r="AN88" i="47" s="1"/>
  <c r="AO88" i="47" s="1"/>
  <c r="AP88" i="47" s="1"/>
  <c r="AQ88" i="47" s="1"/>
  <c r="AS88" i="47" s="1"/>
  <c r="AT88" i="47" s="1"/>
  <c r="AU88" i="47" s="1"/>
  <c r="AV88" i="47" s="1"/>
  <c r="AW88" i="47" s="1"/>
  <c r="AX88" i="47" s="1"/>
  <c r="AY88" i="47" s="1"/>
  <c r="AZ88" i="47" s="1"/>
  <c r="BA88" i="47" s="1"/>
  <c r="BB88" i="47" s="1"/>
  <c r="BC88" i="47" s="1"/>
  <c r="BD88" i="47" s="1"/>
  <c r="BF88" i="47" s="1"/>
  <c r="BG88" i="47" s="1"/>
  <c r="BH88" i="47" s="1"/>
  <c r="BI88" i="47" s="1"/>
  <c r="BJ88" i="47" s="1"/>
  <c r="BK88" i="47" s="1"/>
  <c r="BL88" i="47" s="1"/>
  <c r="BM88" i="47" s="1"/>
  <c r="BN88" i="47" s="1"/>
  <c r="BO88" i="47" s="1"/>
  <c r="BP88" i="47" s="1"/>
  <c r="BQ88" i="47" s="1"/>
  <c r="BS88" i="47" s="1"/>
  <c r="BT88" i="47" s="1"/>
  <c r="BU88" i="47" s="1"/>
  <c r="BV88" i="47" s="1"/>
  <c r="BW88" i="47" s="1"/>
  <c r="BX88" i="47" s="1"/>
  <c r="BY88" i="47" s="1"/>
  <c r="BZ88" i="47" s="1"/>
  <c r="CA88" i="47" s="1"/>
  <c r="CB88" i="47" s="1"/>
  <c r="CC88" i="47" s="1"/>
  <c r="CD88" i="47" s="1"/>
  <c r="CF88" i="47" s="1"/>
  <c r="CG88" i="47" s="1"/>
  <c r="CH88" i="47" s="1"/>
  <c r="CI88" i="47" s="1"/>
  <c r="CJ88" i="47" s="1"/>
  <c r="CK88" i="47" s="1"/>
  <c r="CL88" i="47" s="1"/>
  <c r="CM88" i="47" s="1"/>
  <c r="CN88" i="47" s="1"/>
  <c r="CO88" i="47" s="1"/>
  <c r="CP88" i="47" s="1"/>
  <c r="CQ88" i="47" s="1"/>
  <c r="CS88" i="47" s="1"/>
  <c r="CT88" i="47" s="1"/>
  <c r="CU88" i="47" s="1"/>
  <c r="CV88" i="47" s="1"/>
  <c r="CW88" i="47" s="1"/>
  <c r="CX88" i="47" s="1"/>
  <c r="CY88" i="47" s="1"/>
  <c r="CZ88" i="47" s="1"/>
  <c r="DA88" i="47" s="1"/>
  <c r="DB88" i="47" s="1"/>
  <c r="DC88" i="47" s="1"/>
  <c r="DD88" i="47" s="1"/>
  <c r="DF88" i="47" s="1"/>
  <c r="DG88" i="47" s="1"/>
  <c r="DH88" i="47" s="1"/>
  <c r="DI88" i="47" s="1"/>
  <c r="DJ88" i="47" s="1"/>
  <c r="DK88" i="47" s="1"/>
  <c r="DL88" i="47" s="1"/>
  <c r="DM88" i="47" s="1"/>
  <c r="DN88" i="47" s="1"/>
  <c r="DO88" i="47" s="1"/>
  <c r="DP88" i="47" s="1"/>
  <c r="DQ88" i="47" s="1"/>
  <c r="H89" i="47"/>
  <c r="I89" i="47" s="1"/>
  <c r="J89" i="47" s="1"/>
  <c r="K89" i="47" s="1"/>
  <c r="L89" i="47" s="1"/>
  <c r="M89" i="47" s="1"/>
  <c r="N89" i="47" s="1"/>
  <c r="O89" i="47" s="1"/>
  <c r="P89" i="47" s="1"/>
  <c r="Q89" i="47" s="1"/>
  <c r="S89" i="47" s="1"/>
  <c r="T89" i="47" s="1"/>
  <c r="U89" i="47" s="1"/>
  <c r="V89" i="47" s="1"/>
  <c r="W89" i="47" s="1"/>
  <c r="X89" i="47" s="1"/>
  <c r="Y89" i="47" s="1"/>
  <c r="Z89" i="47" s="1"/>
  <c r="AA89" i="47" s="1"/>
  <c r="AB89" i="47" s="1"/>
  <c r="AC89" i="47" s="1"/>
  <c r="AD89" i="47" s="1"/>
  <c r="AF89" i="47" s="1"/>
  <c r="AG89" i="47" s="1"/>
  <c r="AH89" i="47" s="1"/>
  <c r="AI89" i="47" s="1"/>
  <c r="AJ89" i="47" s="1"/>
  <c r="AK89" i="47" s="1"/>
  <c r="AL89" i="47" s="1"/>
  <c r="AM89" i="47" s="1"/>
  <c r="AN89" i="47" s="1"/>
  <c r="AO89" i="47" s="1"/>
  <c r="AP89" i="47" s="1"/>
  <c r="AQ89" i="47" s="1"/>
  <c r="AS89" i="47" s="1"/>
  <c r="AT89" i="47" s="1"/>
  <c r="AU89" i="47" s="1"/>
  <c r="AV89" i="47" s="1"/>
  <c r="AW89" i="47" s="1"/>
  <c r="AX89" i="47" s="1"/>
  <c r="AY89" i="47" s="1"/>
  <c r="AZ89" i="47" s="1"/>
  <c r="BA89" i="47" s="1"/>
  <c r="BB89" i="47" s="1"/>
  <c r="BC89" i="47" s="1"/>
  <c r="BD89" i="47" s="1"/>
  <c r="BF89" i="47" s="1"/>
  <c r="BG89" i="47" s="1"/>
  <c r="BH89" i="47" s="1"/>
  <c r="BI89" i="47" s="1"/>
  <c r="BJ89" i="47" s="1"/>
  <c r="BK89" i="47" s="1"/>
  <c r="BL89" i="47" s="1"/>
  <c r="BM89" i="47" s="1"/>
  <c r="BN89" i="47" s="1"/>
  <c r="BO89" i="47" s="1"/>
  <c r="BP89" i="47" s="1"/>
  <c r="BQ89" i="47" s="1"/>
  <c r="BS89" i="47" s="1"/>
  <c r="BT89" i="47" s="1"/>
  <c r="BU89" i="47" s="1"/>
  <c r="BV89" i="47" s="1"/>
  <c r="BW89" i="47" s="1"/>
  <c r="BX89" i="47" s="1"/>
  <c r="BY89" i="47" s="1"/>
  <c r="BZ89" i="47" s="1"/>
  <c r="CA89" i="47" s="1"/>
  <c r="CB89" i="47" s="1"/>
  <c r="CC89" i="47" s="1"/>
  <c r="CD89" i="47" s="1"/>
  <c r="CF89" i="47" s="1"/>
  <c r="CG89" i="47" s="1"/>
  <c r="CH89" i="47" s="1"/>
  <c r="CI89" i="47" s="1"/>
  <c r="CJ89" i="47" s="1"/>
  <c r="CK89" i="47" s="1"/>
  <c r="CL89" i="47" s="1"/>
  <c r="CM89" i="47" s="1"/>
  <c r="CN89" i="47" s="1"/>
  <c r="CO89" i="47" s="1"/>
  <c r="CP89" i="47" s="1"/>
  <c r="CQ89" i="47" s="1"/>
  <c r="CS89" i="47" s="1"/>
  <c r="CT89" i="47" s="1"/>
  <c r="CU89" i="47" s="1"/>
  <c r="CV89" i="47" s="1"/>
  <c r="CW89" i="47" s="1"/>
  <c r="CX89" i="47" s="1"/>
  <c r="CY89" i="47" s="1"/>
  <c r="CZ89" i="47" s="1"/>
  <c r="DA89" i="47" s="1"/>
  <c r="DB89" i="47" s="1"/>
  <c r="DC89" i="47" s="1"/>
  <c r="DD89" i="47" s="1"/>
  <c r="DF89" i="47" s="1"/>
  <c r="DG89" i="47" s="1"/>
  <c r="DH89" i="47" s="1"/>
  <c r="DI89" i="47" s="1"/>
  <c r="DJ89" i="47" s="1"/>
  <c r="DK89" i="47" s="1"/>
  <c r="DL89" i="47" s="1"/>
  <c r="DM89" i="47" s="1"/>
  <c r="DN89" i="47" s="1"/>
  <c r="DO89" i="47" s="1"/>
  <c r="DP89" i="47" s="1"/>
  <c r="DQ89" i="47" s="1"/>
  <c r="H90" i="47"/>
  <c r="I90" i="47" s="1"/>
  <c r="J90" i="47" s="1"/>
  <c r="K90" i="47" s="1"/>
  <c r="L90" i="47" s="1"/>
  <c r="M90" i="47" s="1"/>
  <c r="N90" i="47" s="1"/>
  <c r="O90" i="47" s="1"/>
  <c r="P90" i="47" s="1"/>
  <c r="Q90" i="47" s="1"/>
  <c r="S90" i="47" s="1"/>
  <c r="T90" i="47" s="1"/>
  <c r="U90" i="47" s="1"/>
  <c r="V90" i="47" s="1"/>
  <c r="W90" i="47" s="1"/>
  <c r="X90" i="47" s="1"/>
  <c r="Y90" i="47" s="1"/>
  <c r="Z90" i="47" s="1"/>
  <c r="AA90" i="47" s="1"/>
  <c r="AB90" i="47" s="1"/>
  <c r="AC90" i="47" s="1"/>
  <c r="AD90" i="47" s="1"/>
  <c r="AF90" i="47" s="1"/>
  <c r="AG90" i="47" s="1"/>
  <c r="AH90" i="47" s="1"/>
  <c r="AI90" i="47" s="1"/>
  <c r="AJ90" i="47" s="1"/>
  <c r="AK90" i="47" s="1"/>
  <c r="AL90" i="47" s="1"/>
  <c r="AM90" i="47" s="1"/>
  <c r="AN90" i="47" s="1"/>
  <c r="AO90" i="47" s="1"/>
  <c r="AP90" i="47" s="1"/>
  <c r="AQ90" i="47" s="1"/>
  <c r="AS90" i="47" s="1"/>
  <c r="AT90" i="47" s="1"/>
  <c r="AU90" i="47" s="1"/>
  <c r="AV90" i="47" s="1"/>
  <c r="AW90" i="47" s="1"/>
  <c r="AX90" i="47" s="1"/>
  <c r="AY90" i="47" s="1"/>
  <c r="AZ90" i="47" s="1"/>
  <c r="BA90" i="47" s="1"/>
  <c r="BB90" i="47" s="1"/>
  <c r="BC90" i="47" s="1"/>
  <c r="BD90" i="47" s="1"/>
  <c r="BF90" i="47" s="1"/>
  <c r="BG90" i="47" s="1"/>
  <c r="BH90" i="47" s="1"/>
  <c r="BI90" i="47" s="1"/>
  <c r="BJ90" i="47" s="1"/>
  <c r="BK90" i="47" s="1"/>
  <c r="BL90" i="47" s="1"/>
  <c r="BM90" i="47" s="1"/>
  <c r="BN90" i="47" s="1"/>
  <c r="BO90" i="47" s="1"/>
  <c r="BP90" i="47" s="1"/>
  <c r="BQ90" i="47" s="1"/>
  <c r="BS90" i="47" s="1"/>
  <c r="BT90" i="47" s="1"/>
  <c r="BU90" i="47" s="1"/>
  <c r="BV90" i="47" s="1"/>
  <c r="BW90" i="47" s="1"/>
  <c r="BX90" i="47" s="1"/>
  <c r="BY90" i="47" s="1"/>
  <c r="BZ90" i="47" s="1"/>
  <c r="CA90" i="47" s="1"/>
  <c r="CB90" i="47" s="1"/>
  <c r="CC90" i="47" s="1"/>
  <c r="CD90" i="47" s="1"/>
  <c r="CF90" i="47" s="1"/>
  <c r="CG90" i="47" s="1"/>
  <c r="CH90" i="47" s="1"/>
  <c r="CI90" i="47" s="1"/>
  <c r="CJ90" i="47" s="1"/>
  <c r="CK90" i="47" s="1"/>
  <c r="CL90" i="47" s="1"/>
  <c r="CM90" i="47" s="1"/>
  <c r="CN90" i="47" s="1"/>
  <c r="CO90" i="47" s="1"/>
  <c r="CP90" i="47" s="1"/>
  <c r="CQ90" i="47" s="1"/>
  <c r="CS90" i="47" s="1"/>
  <c r="CT90" i="47" s="1"/>
  <c r="CU90" i="47" s="1"/>
  <c r="CV90" i="47" s="1"/>
  <c r="CW90" i="47" s="1"/>
  <c r="CX90" i="47" s="1"/>
  <c r="CY90" i="47" s="1"/>
  <c r="CZ90" i="47" s="1"/>
  <c r="DA90" i="47" s="1"/>
  <c r="DB90" i="47" s="1"/>
  <c r="DC90" i="47" s="1"/>
  <c r="DD90" i="47" s="1"/>
  <c r="DF90" i="47" s="1"/>
  <c r="DG90" i="47" s="1"/>
  <c r="DH90" i="47" s="1"/>
  <c r="DI90" i="47" s="1"/>
  <c r="DJ90" i="47" s="1"/>
  <c r="DK90" i="47" s="1"/>
  <c r="DL90" i="47" s="1"/>
  <c r="DM90" i="47" s="1"/>
  <c r="DN90" i="47" s="1"/>
  <c r="DO90" i="47" s="1"/>
  <c r="DP90" i="47" s="1"/>
  <c r="DQ90" i="47" s="1"/>
  <c r="H91" i="47"/>
  <c r="I91" i="47" s="1"/>
  <c r="J91" i="47" s="1"/>
  <c r="K91" i="47" s="1"/>
  <c r="L91" i="47" s="1"/>
  <c r="M91" i="47" s="1"/>
  <c r="N91" i="47" s="1"/>
  <c r="O91" i="47" s="1"/>
  <c r="P91" i="47" s="1"/>
  <c r="Q91" i="47" s="1"/>
  <c r="S91" i="47" s="1"/>
  <c r="T91" i="47" s="1"/>
  <c r="U91" i="47" s="1"/>
  <c r="V91" i="47" s="1"/>
  <c r="W91" i="47" s="1"/>
  <c r="X91" i="47" s="1"/>
  <c r="Y91" i="47" s="1"/>
  <c r="Z91" i="47" s="1"/>
  <c r="AA91" i="47" s="1"/>
  <c r="AB91" i="47" s="1"/>
  <c r="AC91" i="47" s="1"/>
  <c r="AD91" i="47" s="1"/>
  <c r="AF91" i="47" s="1"/>
  <c r="AG91" i="47" s="1"/>
  <c r="AH91" i="47" s="1"/>
  <c r="AI91" i="47" s="1"/>
  <c r="AJ91" i="47" s="1"/>
  <c r="AK91" i="47" s="1"/>
  <c r="AL91" i="47" s="1"/>
  <c r="AM91" i="47" s="1"/>
  <c r="AN91" i="47" s="1"/>
  <c r="AO91" i="47" s="1"/>
  <c r="AP91" i="47" s="1"/>
  <c r="AQ91" i="47" s="1"/>
  <c r="AS91" i="47" s="1"/>
  <c r="AT91" i="47" s="1"/>
  <c r="AU91" i="47" s="1"/>
  <c r="AV91" i="47" s="1"/>
  <c r="AW91" i="47" s="1"/>
  <c r="AX91" i="47" s="1"/>
  <c r="AY91" i="47" s="1"/>
  <c r="AZ91" i="47" s="1"/>
  <c r="BA91" i="47" s="1"/>
  <c r="BB91" i="47" s="1"/>
  <c r="BC91" i="47" s="1"/>
  <c r="BD91" i="47" s="1"/>
  <c r="BF91" i="47" s="1"/>
  <c r="BG91" i="47" s="1"/>
  <c r="BH91" i="47" s="1"/>
  <c r="BI91" i="47" s="1"/>
  <c r="BJ91" i="47" s="1"/>
  <c r="BK91" i="47" s="1"/>
  <c r="BL91" i="47" s="1"/>
  <c r="BM91" i="47" s="1"/>
  <c r="BN91" i="47" s="1"/>
  <c r="BO91" i="47" s="1"/>
  <c r="BP91" i="47" s="1"/>
  <c r="BQ91" i="47" s="1"/>
  <c r="BS91" i="47" s="1"/>
  <c r="BT91" i="47" s="1"/>
  <c r="BU91" i="47" s="1"/>
  <c r="BV91" i="47" s="1"/>
  <c r="BW91" i="47" s="1"/>
  <c r="BX91" i="47" s="1"/>
  <c r="BY91" i="47" s="1"/>
  <c r="BZ91" i="47" s="1"/>
  <c r="CA91" i="47" s="1"/>
  <c r="CB91" i="47" s="1"/>
  <c r="CC91" i="47" s="1"/>
  <c r="CD91" i="47" s="1"/>
  <c r="CF91" i="47" s="1"/>
  <c r="CG91" i="47" s="1"/>
  <c r="CH91" i="47" s="1"/>
  <c r="CI91" i="47" s="1"/>
  <c r="CJ91" i="47" s="1"/>
  <c r="CK91" i="47" s="1"/>
  <c r="CL91" i="47" s="1"/>
  <c r="CM91" i="47" s="1"/>
  <c r="CN91" i="47" s="1"/>
  <c r="CO91" i="47" s="1"/>
  <c r="CP91" i="47" s="1"/>
  <c r="CQ91" i="47" s="1"/>
  <c r="CS91" i="47" s="1"/>
  <c r="CT91" i="47" s="1"/>
  <c r="CU91" i="47" s="1"/>
  <c r="CV91" i="47" s="1"/>
  <c r="CW91" i="47" s="1"/>
  <c r="CX91" i="47" s="1"/>
  <c r="CY91" i="47" s="1"/>
  <c r="CZ91" i="47" s="1"/>
  <c r="DA91" i="47" s="1"/>
  <c r="DB91" i="47" s="1"/>
  <c r="DC91" i="47" s="1"/>
  <c r="DD91" i="47" s="1"/>
  <c r="DF91" i="47" s="1"/>
  <c r="DG91" i="47" s="1"/>
  <c r="DH91" i="47" s="1"/>
  <c r="DI91" i="47" s="1"/>
  <c r="DJ91" i="47" s="1"/>
  <c r="DK91" i="47" s="1"/>
  <c r="DL91" i="47" s="1"/>
  <c r="DM91" i="47" s="1"/>
  <c r="DN91" i="47" s="1"/>
  <c r="DO91" i="47" s="1"/>
  <c r="DP91" i="47" s="1"/>
  <c r="DQ91" i="47" s="1"/>
  <c r="I96" i="47"/>
  <c r="J96" i="47" s="1"/>
  <c r="K96" i="47" s="1"/>
  <c r="L96" i="47" s="1"/>
  <c r="M96" i="47" s="1"/>
  <c r="N96" i="47" s="1"/>
  <c r="O96" i="47" s="1"/>
  <c r="P96" i="47" s="1"/>
  <c r="Q96" i="47" s="1"/>
  <c r="S96" i="47" s="1"/>
  <c r="T96" i="47" s="1"/>
  <c r="U96" i="47" s="1"/>
  <c r="V96" i="47" s="1"/>
  <c r="W96" i="47" s="1"/>
  <c r="X96" i="47" s="1"/>
  <c r="Y96" i="47" s="1"/>
  <c r="Z96" i="47" s="1"/>
  <c r="AA96" i="47" s="1"/>
  <c r="AB96" i="47" s="1"/>
  <c r="AC96" i="47" s="1"/>
  <c r="AD96" i="47" s="1"/>
  <c r="AF96" i="47" s="1"/>
  <c r="AG96" i="47" s="1"/>
  <c r="AH96" i="47" s="1"/>
  <c r="AI96" i="47" s="1"/>
  <c r="AJ96" i="47" s="1"/>
  <c r="AK96" i="47" s="1"/>
  <c r="AL96" i="47" s="1"/>
  <c r="AM96" i="47" s="1"/>
  <c r="AN96" i="47" s="1"/>
  <c r="AO96" i="47" s="1"/>
  <c r="AP96" i="47" s="1"/>
  <c r="AQ96" i="47" s="1"/>
  <c r="AS96" i="47" s="1"/>
  <c r="AT96" i="47" s="1"/>
  <c r="AU96" i="47" s="1"/>
  <c r="AV96" i="47" s="1"/>
  <c r="AW96" i="47" s="1"/>
  <c r="AX96" i="47" s="1"/>
  <c r="AY96" i="47" s="1"/>
  <c r="AZ96" i="47" s="1"/>
  <c r="BA96" i="47" s="1"/>
  <c r="BB96" i="47" s="1"/>
  <c r="BC96" i="47" s="1"/>
  <c r="BD96" i="47" s="1"/>
  <c r="BF96" i="47" s="1"/>
  <c r="BG96" i="47" s="1"/>
  <c r="BH96" i="47" s="1"/>
  <c r="BI96" i="47" s="1"/>
  <c r="BJ96" i="47" s="1"/>
  <c r="BK96" i="47" s="1"/>
  <c r="BL96" i="47" s="1"/>
  <c r="BM96" i="47" s="1"/>
  <c r="BN96" i="47" s="1"/>
  <c r="BO96" i="47" s="1"/>
  <c r="BP96" i="47" s="1"/>
  <c r="BQ96" i="47" s="1"/>
  <c r="BS96" i="47" s="1"/>
  <c r="BT96" i="47" s="1"/>
  <c r="BU96" i="47" s="1"/>
  <c r="BV96" i="47" s="1"/>
  <c r="BW96" i="47" s="1"/>
  <c r="BX96" i="47" s="1"/>
  <c r="BY96" i="47" s="1"/>
  <c r="BZ96" i="47" s="1"/>
  <c r="CA96" i="47" s="1"/>
  <c r="CB96" i="47" s="1"/>
  <c r="CC96" i="47" s="1"/>
  <c r="CD96" i="47" s="1"/>
  <c r="CF96" i="47" s="1"/>
  <c r="CG96" i="47" s="1"/>
  <c r="CH96" i="47" s="1"/>
  <c r="CI96" i="47" s="1"/>
  <c r="CJ96" i="47" s="1"/>
  <c r="CK96" i="47" s="1"/>
  <c r="CL96" i="47" s="1"/>
  <c r="CM96" i="47" s="1"/>
  <c r="CN96" i="47" s="1"/>
  <c r="CO96" i="47" s="1"/>
  <c r="CP96" i="47" s="1"/>
  <c r="CQ96" i="47" s="1"/>
  <c r="CS96" i="47" s="1"/>
  <c r="CT96" i="47" s="1"/>
  <c r="CU96" i="47" s="1"/>
  <c r="CV96" i="47" s="1"/>
  <c r="CW96" i="47" s="1"/>
  <c r="CX96" i="47" s="1"/>
  <c r="CY96" i="47" s="1"/>
  <c r="CZ96" i="47" s="1"/>
  <c r="DA96" i="47" s="1"/>
  <c r="DB96" i="47" s="1"/>
  <c r="DC96" i="47" s="1"/>
  <c r="DD96" i="47" s="1"/>
  <c r="DF96" i="47" s="1"/>
  <c r="DG96" i="47" s="1"/>
  <c r="DH96" i="47" s="1"/>
  <c r="DI96" i="47" s="1"/>
  <c r="DJ96" i="47" s="1"/>
  <c r="DK96" i="47" s="1"/>
  <c r="DL96" i="47" s="1"/>
  <c r="DM96" i="47" s="1"/>
  <c r="DN96" i="47" s="1"/>
  <c r="DO96" i="47" s="1"/>
  <c r="DP96" i="47" s="1"/>
  <c r="DQ96" i="47" s="1"/>
  <c r="DT137" i="47"/>
  <c r="DT170" i="47"/>
  <c r="DT192" i="47" s="1"/>
  <c r="F177" i="47"/>
  <c r="H7" i="47"/>
  <c r="G116" i="47"/>
  <c r="G171" i="47" s="1"/>
  <c r="H12" i="47"/>
  <c r="I17" i="47"/>
  <c r="H20" i="47"/>
  <c r="I21" i="47"/>
  <c r="I25" i="47"/>
  <c r="I39" i="47"/>
  <c r="J39" i="47" s="1"/>
  <c r="K39" i="47" s="1"/>
  <c r="L39" i="47" s="1"/>
  <c r="M39" i="47" s="1"/>
  <c r="N39" i="47" s="1"/>
  <c r="O39" i="47" s="1"/>
  <c r="P39" i="47" s="1"/>
  <c r="Q39" i="47" s="1"/>
  <c r="I45" i="47"/>
  <c r="J45" i="47" s="1"/>
  <c r="K45" i="47" s="1"/>
  <c r="L45" i="47" s="1"/>
  <c r="M45" i="47" s="1"/>
  <c r="N45" i="47" s="1"/>
  <c r="O45" i="47" s="1"/>
  <c r="P45" i="47" s="1"/>
  <c r="Q45" i="47" s="1"/>
  <c r="S45" i="47" s="1"/>
  <c r="T45" i="47" s="1"/>
  <c r="U45" i="47" s="1"/>
  <c r="V45" i="47" s="1"/>
  <c r="W45" i="47" s="1"/>
  <c r="X45" i="47" s="1"/>
  <c r="Y45" i="47" s="1"/>
  <c r="Z45" i="47" s="1"/>
  <c r="AA45" i="47" s="1"/>
  <c r="AB45" i="47" s="1"/>
  <c r="AC45" i="47" s="1"/>
  <c r="AD45" i="47" s="1"/>
  <c r="AF45" i="47" s="1"/>
  <c r="AG45" i="47" s="1"/>
  <c r="AH45" i="47" s="1"/>
  <c r="AI45" i="47" s="1"/>
  <c r="AJ45" i="47" s="1"/>
  <c r="AK45" i="47" s="1"/>
  <c r="AL45" i="47" s="1"/>
  <c r="AM45" i="47" s="1"/>
  <c r="AN45" i="47" s="1"/>
  <c r="AO45" i="47" s="1"/>
  <c r="AP45" i="47" s="1"/>
  <c r="AQ45" i="47" s="1"/>
  <c r="AS45" i="47" s="1"/>
  <c r="AT45" i="47" s="1"/>
  <c r="AU45" i="47" s="1"/>
  <c r="AV45" i="47" s="1"/>
  <c r="AW45" i="47" s="1"/>
  <c r="AX45" i="47" s="1"/>
  <c r="AY45" i="47" s="1"/>
  <c r="AZ45" i="47" s="1"/>
  <c r="BA45" i="47" s="1"/>
  <c r="BB45" i="47" s="1"/>
  <c r="BC45" i="47" s="1"/>
  <c r="BD45" i="47" s="1"/>
  <c r="BF45" i="47" s="1"/>
  <c r="BG45" i="47" s="1"/>
  <c r="BH45" i="47" s="1"/>
  <c r="BI45" i="47" s="1"/>
  <c r="BJ45" i="47" s="1"/>
  <c r="BK45" i="47" s="1"/>
  <c r="BL45" i="47" s="1"/>
  <c r="BM45" i="47" s="1"/>
  <c r="BN45" i="47" s="1"/>
  <c r="BO45" i="47" s="1"/>
  <c r="BP45" i="47" s="1"/>
  <c r="BQ45" i="47" s="1"/>
  <c r="BS45" i="47" s="1"/>
  <c r="BT45" i="47" s="1"/>
  <c r="BU45" i="47" s="1"/>
  <c r="BV45" i="47" s="1"/>
  <c r="BW45" i="47" s="1"/>
  <c r="BX45" i="47" s="1"/>
  <c r="BY45" i="47" s="1"/>
  <c r="BZ45" i="47" s="1"/>
  <c r="CA45" i="47" s="1"/>
  <c r="CB45" i="47" s="1"/>
  <c r="CC45" i="47" s="1"/>
  <c r="CD45" i="47" s="1"/>
  <c r="CF45" i="47" s="1"/>
  <c r="CG45" i="47" s="1"/>
  <c r="CH45" i="47" s="1"/>
  <c r="CI45" i="47" s="1"/>
  <c r="CJ45" i="47" s="1"/>
  <c r="CK45" i="47" s="1"/>
  <c r="CL45" i="47" s="1"/>
  <c r="CM45" i="47" s="1"/>
  <c r="CN45" i="47" s="1"/>
  <c r="CO45" i="47" s="1"/>
  <c r="CP45" i="47" s="1"/>
  <c r="CQ45" i="47" s="1"/>
  <c r="CS45" i="47" s="1"/>
  <c r="CT45" i="47" s="1"/>
  <c r="CU45" i="47" s="1"/>
  <c r="CV45" i="47" s="1"/>
  <c r="CW45" i="47" s="1"/>
  <c r="CX45" i="47" s="1"/>
  <c r="CY45" i="47" s="1"/>
  <c r="CZ45" i="47" s="1"/>
  <c r="DA45" i="47" s="1"/>
  <c r="DB45" i="47" s="1"/>
  <c r="DC45" i="47" s="1"/>
  <c r="DD45" i="47" s="1"/>
  <c r="DF45" i="47" s="1"/>
  <c r="DG45" i="47" s="1"/>
  <c r="DH45" i="47" s="1"/>
  <c r="DI45" i="47" s="1"/>
  <c r="DJ45" i="47" s="1"/>
  <c r="DK45" i="47" s="1"/>
  <c r="DL45" i="47" s="1"/>
  <c r="DM45" i="47" s="1"/>
  <c r="DN45" i="47" s="1"/>
  <c r="DO45" i="47" s="1"/>
  <c r="DP45" i="47" s="1"/>
  <c r="DQ45" i="47" s="1"/>
  <c r="I49" i="47"/>
  <c r="J49" i="47" s="1"/>
  <c r="K49" i="47" s="1"/>
  <c r="L49" i="47" s="1"/>
  <c r="M49" i="47" s="1"/>
  <c r="N49" i="47" s="1"/>
  <c r="O49" i="47" s="1"/>
  <c r="P49" i="47" s="1"/>
  <c r="Q49" i="47" s="1"/>
  <c r="S49" i="47" s="1"/>
  <c r="T49" i="47" s="1"/>
  <c r="U49" i="47" s="1"/>
  <c r="V49" i="47" s="1"/>
  <c r="W49" i="47" s="1"/>
  <c r="X49" i="47" s="1"/>
  <c r="Y49" i="47" s="1"/>
  <c r="Z49" i="47" s="1"/>
  <c r="AA49" i="47" s="1"/>
  <c r="AB49" i="47" s="1"/>
  <c r="AC49" i="47" s="1"/>
  <c r="AD49" i="47" s="1"/>
  <c r="AF49" i="47" s="1"/>
  <c r="AG49" i="47" s="1"/>
  <c r="AH49" i="47" s="1"/>
  <c r="AI49" i="47" s="1"/>
  <c r="AJ49" i="47" s="1"/>
  <c r="AK49" i="47" s="1"/>
  <c r="AL49" i="47" s="1"/>
  <c r="AM49" i="47" s="1"/>
  <c r="AN49" i="47" s="1"/>
  <c r="AO49" i="47" s="1"/>
  <c r="AP49" i="47" s="1"/>
  <c r="AQ49" i="47" s="1"/>
  <c r="AS49" i="47" s="1"/>
  <c r="AT49" i="47" s="1"/>
  <c r="AU49" i="47" s="1"/>
  <c r="AV49" i="47" s="1"/>
  <c r="AW49" i="47" s="1"/>
  <c r="AX49" i="47" s="1"/>
  <c r="AY49" i="47" s="1"/>
  <c r="AZ49" i="47" s="1"/>
  <c r="BA49" i="47" s="1"/>
  <c r="BB49" i="47" s="1"/>
  <c r="BC49" i="47" s="1"/>
  <c r="BD49" i="47" s="1"/>
  <c r="BF49" i="47" s="1"/>
  <c r="BG49" i="47" s="1"/>
  <c r="BH49" i="47" s="1"/>
  <c r="BI49" i="47" s="1"/>
  <c r="BJ49" i="47" s="1"/>
  <c r="BK49" i="47" s="1"/>
  <c r="BL49" i="47" s="1"/>
  <c r="BM49" i="47" s="1"/>
  <c r="BN49" i="47" s="1"/>
  <c r="BO49" i="47" s="1"/>
  <c r="BP49" i="47" s="1"/>
  <c r="BQ49" i="47" s="1"/>
  <c r="BS49" i="47" s="1"/>
  <c r="BT49" i="47" s="1"/>
  <c r="BU49" i="47" s="1"/>
  <c r="BV49" i="47" s="1"/>
  <c r="BW49" i="47" s="1"/>
  <c r="BX49" i="47" s="1"/>
  <c r="BY49" i="47" s="1"/>
  <c r="BZ49" i="47" s="1"/>
  <c r="CA49" i="47" s="1"/>
  <c r="CB49" i="47" s="1"/>
  <c r="CC49" i="47" s="1"/>
  <c r="CD49" i="47" s="1"/>
  <c r="CF49" i="47" s="1"/>
  <c r="CG49" i="47" s="1"/>
  <c r="CH49" i="47" s="1"/>
  <c r="CI49" i="47" s="1"/>
  <c r="CJ49" i="47" s="1"/>
  <c r="CK49" i="47" s="1"/>
  <c r="CL49" i="47" s="1"/>
  <c r="CM49" i="47" s="1"/>
  <c r="CN49" i="47" s="1"/>
  <c r="CO49" i="47" s="1"/>
  <c r="CP49" i="47" s="1"/>
  <c r="CQ49" i="47" s="1"/>
  <c r="CS49" i="47" s="1"/>
  <c r="CT49" i="47" s="1"/>
  <c r="CU49" i="47" s="1"/>
  <c r="CV49" i="47" s="1"/>
  <c r="CW49" i="47" s="1"/>
  <c r="CX49" i="47" s="1"/>
  <c r="CY49" i="47" s="1"/>
  <c r="CZ49" i="47" s="1"/>
  <c r="DA49" i="47" s="1"/>
  <c r="DB49" i="47" s="1"/>
  <c r="DC49" i="47" s="1"/>
  <c r="DD49" i="47" s="1"/>
  <c r="DF49" i="47" s="1"/>
  <c r="DG49" i="47" s="1"/>
  <c r="DH49" i="47" s="1"/>
  <c r="DI49" i="47" s="1"/>
  <c r="DJ49" i="47" s="1"/>
  <c r="DK49" i="47" s="1"/>
  <c r="DL49" i="47" s="1"/>
  <c r="DM49" i="47" s="1"/>
  <c r="DN49" i="47" s="1"/>
  <c r="DO49" i="47" s="1"/>
  <c r="DP49" i="47" s="1"/>
  <c r="DQ49" i="47" s="1"/>
  <c r="H66" i="47"/>
  <c r="I66" i="47" s="1"/>
  <c r="J66" i="47" s="1"/>
  <c r="K66" i="47" s="1"/>
  <c r="L66" i="47" s="1"/>
  <c r="M66" i="47" s="1"/>
  <c r="N66" i="47" s="1"/>
  <c r="O66" i="47" s="1"/>
  <c r="P66" i="47" s="1"/>
  <c r="Q66" i="47" s="1"/>
  <c r="S66" i="47" s="1"/>
  <c r="DS72" i="47"/>
  <c r="G110" i="47"/>
  <c r="AE137" i="47"/>
  <c r="AE168" i="47"/>
  <c r="G119" i="47"/>
  <c r="G174" i="47" s="1"/>
  <c r="H15" i="47"/>
  <c r="G114" i="47"/>
  <c r="H10" i="47"/>
  <c r="G118" i="47"/>
  <c r="G173" i="47" s="1"/>
  <c r="H14" i="47"/>
  <c r="G122" i="47"/>
  <c r="G177" i="47" s="1"/>
  <c r="H18" i="47"/>
  <c r="G126" i="47"/>
  <c r="G181" i="47" s="1"/>
  <c r="H22" i="47"/>
  <c r="G130" i="47"/>
  <c r="G134" i="47"/>
  <c r="G135" i="47"/>
  <c r="G190" i="47" s="1"/>
  <c r="I31" i="47"/>
  <c r="H62" i="47"/>
  <c r="I62" i="47" s="1"/>
  <c r="J62" i="47" s="1"/>
  <c r="K62" i="47" s="1"/>
  <c r="L62" i="47" s="1"/>
  <c r="M62" i="47" s="1"/>
  <c r="N62" i="47" s="1"/>
  <c r="O62" i="47" s="1"/>
  <c r="P62" i="47" s="1"/>
  <c r="Q62" i="47" s="1"/>
  <c r="DS68" i="47"/>
  <c r="H70" i="47"/>
  <c r="I70" i="47" s="1"/>
  <c r="J70" i="47" s="1"/>
  <c r="K70" i="47" s="1"/>
  <c r="L70" i="47" s="1"/>
  <c r="M70" i="47" s="1"/>
  <c r="N70" i="47" s="1"/>
  <c r="O70" i="47" s="1"/>
  <c r="P70" i="47" s="1"/>
  <c r="Q70" i="47" s="1"/>
  <c r="S70" i="47" s="1"/>
  <c r="T70" i="47" s="1"/>
  <c r="U70" i="47" s="1"/>
  <c r="V70" i="47" s="1"/>
  <c r="W70" i="47" s="1"/>
  <c r="X70" i="47" s="1"/>
  <c r="Y70" i="47" s="1"/>
  <c r="Z70" i="47" s="1"/>
  <c r="AA70" i="47" s="1"/>
  <c r="AB70" i="47" s="1"/>
  <c r="AC70" i="47" s="1"/>
  <c r="AD70" i="47" s="1"/>
  <c r="AF70" i="47" s="1"/>
  <c r="AG70" i="47" s="1"/>
  <c r="AH70" i="47" s="1"/>
  <c r="AI70" i="47" s="1"/>
  <c r="AJ70" i="47" s="1"/>
  <c r="AK70" i="47" s="1"/>
  <c r="AL70" i="47" s="1"/>
  <c r="AM70" i="47" s="1"/>
  <c r="AN70" i="47" s="1"/>
  <c r="AO70" i="47" s="1"/>
  <c r="AP70" i="47" s="1"/>
  <c r="AQ70" i="47" s="1"/>
  <c r="AS70" i="47" s="1"/>
  <c r="AT70" i="47" s="1"/>
  <c r="AU70" i="47" s="1"/>
  <c r="AV70" i="47" s="1"/>
  <c r="AW70" i="47" s="1"/>
  <c r="AX70" i="47" s="1"/>
  <c r="AY70" i="47" s="1"/>
  <c r="AZ70" i="47" s="1"/>
  <c r="BA70" i="47" s="1"/>
  <c r="BB70" i="47" s="1"/>
  <c r="BC70" i="47" s="1"/>
  <c r="BD70" i="47" s="1"/>
  <c r="BF70" i="47" s="1"/>
  <c r="BG70" i="47" s="1"/>
  <c r="BH70" i="47" s="1"/>
  <c r="BI70" i="47" s="1"/>
  <c r="BJ70" i="47" s="1"/>
  <c r="BK70" i="47" s="1"/>
  <c r="BL70" i="47" s="1"/>
  <c r="BM70" i="47" s="1"/>
  <c r="BN70" i="47" s="1"/>
  <c r="BO70" i="47" s="1"/>
  <c r="BP70" i="47" s="1"/>
  <c r="BQ70" i="47" s="1"/>
  <c r="BS70" i="47" s="1"/>
  <c r="BT70" i="47" s="1"/>
  <c r="BU70" i="47" s="1"/>
  <c r="BV70" i="47" s="1"/>
  <c r="BW70" i="47" s="1"/>
  <c r="BX70" i="47" s="1"/>
  <c r="BY70" i="47" s="1"/>
  <c r="BZ70" i="47" s="1"/>
  <c r="CA70" i="47" s="1"/>
  <c r="CB70" i="47" s="1"/>
  <c r="CC70" i="47" s="1"/>
  <c r="CD70" i="47" s="1"/>
  <c r="CF70" i="47" s="1"/>
  <c r="CG70" i="47" s="1"/>
  <c r="CH70" i="47" s="1"/>
  <c r="CI70" i="47" s="1"/>
  <c r="CJ70" i="47" s="1"/>
  <c r="CK70" i="47" s="1"/>
  <c r="CL70" i="47" s="1"/>
  <c r="CM70" i="47" s="1"/>
  <c r="CN70" i="47" s="1"/>
  <c r="CO70" i="47" s="1"/>
  <c r="CP70" i="47" s="1"/>
  <c r="CQ70" i="47" s="1"/>
  <c r="CS70" i="47" s="1"/>
  <c r="CT70" i="47" s="1"/>
  <c r="CU70" i="47" s="1"/>
  <c r="CV70" i="47" s="1"/>
  <c r="CW70" i="47" s="1"/>
  <c r="CX70" i="47" s="1"/>
  <c r="CY70" i="47" s="1"/>
  <c r="CZ70" i="47" s="1"/>
  <c r="DA70" i="47" s="1"/>
  <c r="DB70" i="47" s="1"/>
  <c r="DC70" i="47" s="1"/>
  <c r="DD70" i="47" s="1"/>
  <c r="DF70" i="47" s="1"/>
  <c r="DG70" i="47" s="1"/>
  <c r="DH70" i="47" s="1"/>
  <c r="DI70" i="47" s="1"/>
  <c r="DJ70" i="47" s="1"/>
  <c r="DK70" i="47" s="1"/>
  <c r="DL70" i="47" s="1"/>
  <c r="DM70" i="47" s="1"/>
  <c r="DN70" i="47" s="1"/>
  <c r="DO70" i="47" s="1"/>
  <c r="DP70" i="47" s="1"/>
  <c r="DQ70" i="47" s="1"/>
  <c r="DS76" i="47"/>
  <c r="H78" i="47"/>
  <c r="I78" i="47" s="1"/>
  <c r="J78" i="47" s="1"/>
  <c r="K78" i="47" s="1"/>
  <c r="L78" i="47" s="1"/>
  <c r="M78" i="47" s="1"/>
  <c r="N78" i="47" s="1"/>
  <c r="O78" i="47" s="1"/>
  <c r="P78" i="47" s="1"/>
  <c r="Q78" i="47" s="1"/>
  <c r="S78" i="47" s="1"/>
  <c r="T78" i="47" s="1"/>
  <c r="U78" i="47" s="1"/>
  <c r="V78" i="47" s="1"/>
  <c r="W78" i="47" s="1"/>
  <c r="X78" i="47" s="1"/>
  <c r="Y78" i="47" s="1"/>
  <c r="Z78" i="47" s="1"/>
  <c r="AA78" i="47" s="1"/>
  <c r="AB78" i="47" s="1"/>
  <c r="AC78" i="47" s="1"/>
  <c r="AD78" i="47" s="1"/>
  <c r="AF78" i="47" s="1"/>
  <c r="AG78" i="47" s="1"/>
  <c r="AH78" i="47" s="1"/>
  <c r="AI78" i="47" s="1"/>
  <c r="AJ78" i="47" s="1"/>
  <c r="AK78" i="47" s="1"/>
  <c r="AL78" i="47" s="1"/>
  <c r="AM78" i="47" s="1"/>
  <c r="AN78" i="47" s="1"/>
  <c r="AO78" i="47" s="1"/>
  <c r="AP78" i="47" s="1"/>
  <c r="AQ78" i="47" s="1"/>
  <c r="AS78" i="47" s="1"/>
  <c r="AT78" i="47" s="1"/>
  <c r="AU78" i="47" s="1"/>
  <c r="AV78" i="47" s="1"/>
  <c r="AW78" i="47" s="1"/>
  <c r="AX78" i="47" s="1"/>
  <c r="AY78" i="47" s="1"/>
  <c r="AZ78" i="47" s="1"/>
  <c r="BA78" i="47" s="1"/>
  <c r="BB78" i="47" s="1"/>
  <c r="BC78" i="47" s="1"/>
  <c r="BD78" i="47" s="1"/>
  <c r="BF78" i="47" s="1"/>
  <c r="BG78" i="47" s="1"/>
  <c r="BH78" i="47" s="1"/>
  <c r="BI78" i="47" s="1"/>
  <c r="BJ78" i="47" s="1"/>
  <c r="BK78" i="47" s="1"/>
  <c r="BL78" i="47" s="1"/>
  <c r="BM78" i="47" s="1"/>
  <c r="BN78" i="47" s="1"/>
  <c r="BO78" i="47" s="1"/>
  <c r="BP78" i="47" s="1"/>
  <c r="BQ78" i="47" s="1"/>
  <c r="BS78" i="47" s="1"/>
  <c r="BT78" i="47" s="1"/>
  <c r="BU78" i="47" s="1"/>
  <c r="BV78" i="47" s="1"/>
  <c r="BW78" i="47" s="1"/>
  <c r="BX78" i="47" s="1"/>
  <c r="BY78" i="47" s="1"/>
  <c r="BZ78" i="47" s="1"/>
  <c r="CA78" i="47" s="1"/>
  <c r="CB78" i="47" s="1"/>
  <c r="CC78" i="47" s="1"/>
  <c r="CD78" i="47" s="1"/>
  <c r="CF78" i="47" s="1"/>
  <c r="CG78" i="47" s="1"/>
  <c r="CH78" i="47" s="1"/>
  <c r="CI78" i="47" s="1"/>
  <c r="CJ78" i="47" s="1"/>
  <c r="CK78" i="47" s="1"/>
  <c r="CL78" i="47" s="1"/>
  <c r="CM78" i="47" s="1"/>
  <c r="CN78" i="47" s="1"/>
  <c r="CO78" i="47" s="1"/>
  <c r="CP78" i="47" s="1"/>
  <c r="CQ78" i="47" s="1"/>
  <c r="CS78" i="47" s="1"/>
  <c r="CT78" i="47" s="1"/>
  <c r="CU78" i="47" s="1"/>
  <c r="CV78" i="47" s="1"/>
  <c r="CW78" i="47" s="1"/>
  <c r="CX78" i="47" s="1"/>
  <c r="CY78" i="47" s="1"/>
  <c r="CZ78" i="47" s="1"/>
  <c r="DA78" i="47" s="1"/>
  <c r="DB78" i="47" s="1"/>
  <c r="DC78" i="47" s="1"/>
  <c r="DD78" i="47" s="1"/>
  <c r="DF78" i="47" s="1"/>
  <c r="DG78" i="47" s="1"/>
  <c r="DH78" i="47" s="1"/>
  <c r="DI78" i="47" s="1"/>
  <c r="DJ78" i="47" s="1"/>
  <c r="DK78" i="47" s="1"/>
  <c r="DL78" i="47" s="1"/>
  <c r="DM78" i="47" s="1"/>
  <c r="DN78" i="47" s="1"/>
  <c r="DO78" i="47" s="1"/>
  <c r="DP78" i="47" s="1"/>
  <c r="DQ78" i="47" s="1"/>
  <c r="I102" i="47"/>
  <c r="J102" i="47" s="1"/>
  <c r="K102" i="47" s="1"/>
  <c r="L102" i="47" s="1"/>
  <c r="M102" i="47" s="1"/>
  <c r="N102" i="47" s="1"/>
  <c r="O102" i="47" s="1"/>
  <c r="P102" i="47" s="1"/>
  <c r="Q102" i="47" s="1"/>
  <c r="S102" i="47" s="1"/>
  <c r="T102" i="47" s="1"/>
  <c r="U102" i="47" s="1"/>
  <c r="V102" i="47" s="1"/>
  <c r="W102" i="47" s="1"/>
  <c r="X102" i="47" s="1"/>
  <c r="Y102" i="47" s="1"/>
  <c r="Z102" i="47" s="1"/>
  <c r="AA102" i="47" s="1"/>
  <c r="AB102" i="47" s="1"/>
  <c r="AC102" i="47" s="1"/>
  <c r="AD102" i="47" s="1"/>
  <c r="AF102" i="47" s="1"/>
  <c r="AG102" i="47" s="1"/>
  <c r="AH102" i="47" s="1"/>
  <c r="AI102" i="47" s="1"/>
  <c r="AJ102" i="47" s="1"/>
  <c r="AK102" i="47" s="1"/>
  <c r="AL102" i="47" s="1"/>
  <c r="AM102" i="47" s="1"/>
  <c r="AN102" i="47" s="1"/>
  <c r="AO102" i="47" s="1"/>
  <c r="AP102" i="47" s="1"/>
  <c r="AQ102" i="47" s="1"/>
  <c r="AS102" i="47" s="1"/>
  <c r="AT102" i="47" s="1"/>
  <c r="AU102" i="47" s="1"/>
  <c r="AV102" i="47" s="1"/>
  <c r="AW102" i="47" s="1"/>
  <c r="AX102" i="47" s="1"/>
  <c r="AY102" i="47" s="1"/>
  <c r="AZ102" i="47" s="1"/>
  <c r="BA102" i="47" s="1"/>
  <c r="BB102" i="47" s="1"/>
  <c r="BC102" i="47" s="1"/>
  <c r="BD102" i="47" s="1"/>
  <c r="BF102" i="47" s="1"/>
  <c r="BG102" i="47" s="1"/>
  <c r="BH102" i="47" s="1"/>
  <c r="BI102" i="47" s="1"/>
  <c r="BJ102" i="47" s="1"/>
  <c r="BK102" i="47" s="1"/>
  <c r="BL102" i="47" s="1"/>
  <c r="BM102" i="47" s="1"/>
  <c r="BN102" i="47" s="1"/>
  <c r="BO102" i="47" s="1"/>
  <c r="BP102" i="47" s="1"/>
  <c r="BQ102" i="47" s="1"/>
  <c r="BS102" i="47" s="1"/>
  <c r="BT102" i="47" s="1"/>
  <c r="BU102" i="47" s="1"/>
  <c r="BV102" i="47" s="1"/>
  <c r="BW102" i="47" s="1"/>
  <c r="BX102" i="47" s="1"/>
  <c r="BY102" i="47" s="1"/>
  <c r="BZ102" i="47" s="1"/>
  <c r="CA102" i="47" s="1"/>
  <c r="CB102" i="47" s="1"/>
  <c r="CC102" i="47" s="1"/>
  <c r="CD102" i="47" s="1"/>
  <c r="CF102" i="47" s="1"/>
  <c r="CG102" i="47" s="1"/>
  <c r="CH102" i="47" s="1"/>
  <c r="CI102" i="47" s="1"/>
  <c r="CJ102" i="47" s="1"/>
  <c r="CK102" i="47" s="1"/>
  <c r="CL102" i="47" s="1"/>
  <c r="CM102" i="47" s="1"/>
  <c r="CN102" i="47" s="1"/>
  <c r="CO102" i="47" s="1"/>
  <c r="CP102" i="47" s="1"/>
  <c r="CQ102" i="47" s="1"/>
  <c r="CS102" i="47" s="1"/>
  <c r="CT102" i="47" s="1"/>
  <c r="CU102" i="47" s="1"/>
  <c r="CV102" i="47" s="1"/>
  <c r="CW102" i="47" s="1"/>
  <c r="CX102" i="47" s="1"/>
  <c r="CY102" i="47" s="1"/>
  <c r="CZ102" i="47" s="1"/>
  <c r="DA102" i="47" s="1"/>
  <c r="DB102" i="47" s="1"/>
  <c r="DC102" i="47" s="1"/>
  <c r="DD102" i="47" s="1"/>
  <c r="DF102" i="47" s="1"/>
  <c r="DG102" i="47" s="1"/>
  <c r="DH102" i="47" s="1"/>
  <c r="DI102" i="47" s="1"/>
  <c r="DJ102" i="47" s="1"/>
  <c r="DK102" i="47" s="1"/>
  <c r="DL102" i="47" s="1"/>
  <c r="DM102" i="47" s="1"/>
  <c r="DN102" i="47" s="1"/>
  <c r="DO102" i="47" s="1"/>
  <c r="DP102" i="47" s="1"/>
  <c r="DQ102" i="47" s="1"/>
  <c r="BE168" i="47"/>
  <c r="F175" i="47"/>
  <c r="G136" i="47"/>
  <c r="G191" i="47" s="1"/>
  <c r="I104" i="47"/>
  <c r="J104" i="47" s="1"/>
  <c r="K104" i="47" s="1"/>
  <c r="L104" i="47" s="1"/>
  <c r="M104" i="47" s="1"/>
  <c r="N104" i="47" s="1"/>
  <c r="O104" i="47" s="1"/>
  <c r="P104" i="47" s="1"/>
  <c r="Q104" i="47" s="1"/>
  <c r="S104" i="47" s="1"/>
  <c r="T104" i="47" s="1"/>
  <c r="U104" i="47" s="1"/>
  <c r="V104" i="47" s="1"/>
  <c r="W104" i="47" s="1"/>
  <c r="X104" i="47" s="1"/>
  <c r="Y104" i="47" s="1"/>
  <c r="Z104" i="47" s="1"/>
  <c r="AA104" i="47" s="1"/>
  <c r="AB104" i="47" s="1"/>
  <c r="AC104" i="47" s="1"/>
  <c r="AD104" i="47" s="1"/>
  <c r="AF104" i="47" s="1"/>
  <c r="AG104" i="47" s="1"/>
  <c r="AH104" i="47" s="1"/>
  <c r="AI104" i="47" s="1"/>
  <c r="AJ104" i="47" s="1"/>
  <c r="AK104" i="47" s="1"/>
  <c r="AL104" i="47" s="1"/>
  <c r="AM104" i="47" s="1"/>
  <c r="AN104" i="47" s="1"/>
  <c r="AO104" i="47" s="1"/>
  <c r="AP104" i="47" s="1"/>
  <c r="AQ104" i="47" s="1"/>
  <c r="AS104" i="47" s="1"/>
  <c r="AT104" i="47" s="1"/>
  <c r="AU104" i="47" s="1"/>
  <c r="AV104" i="47" s="1"/>
  <c r="AW104" i="47" s="1"/>
  <c r="AX104" i="47" s="1"/>
  <c r="AY104" i="47" s="1"/>
  <c r="AZ104" i="47" s="1"/>
  <c r="BA104" i="47" s="1"/>
  <c r="BB104" i="47" s="1"/>
  <c r="BC104" i="47" s="1"/>
  <c r="BD104" i="47" s="1"/>
  <c r="BF104" i="47" s="1"/>
  <c r="BG104" i="47" s="1"/>
  <c r="BH104" i="47" s="1"/>
  <c r="BI104" i="47" s="1"/>
  <c r="BJ104" i="47" s="1"/>
  <c r="BK104" i="47" s="1"/>
  <c r="BL104" i="47" s="1"/>
  <c r="BM104" i="47" s="1"/>
  <c r="BN104" i="47" s="1"/>
  <c r="BO104" i="47" s="1"/>
  <c r="BP104" i="47" s="1"/>
  <c r="BQ104" i="47" s="1"/>
  <c r="BS104" i="47" s="1"/>
  <c r="BT104" i="47" s="1"/>
  <c r="BU104" i="47" s="1"/>
  <c r="BV104" i="47" s="1"/>
  <c r="BW104" i="47" s="1"/>
  <c r="BX104" i="47" s="1"/>
  <c r="BY104" i="47" s="1"/>
  <c r="BZ104" i="47" s="1"/>
  <c r="CA104" i="47" s="1"/>
  <c r="CB104" i="47" s="1"/>
  <c r="CC104" i="47" s="1"/>
  <c r="CD104" i="47" s="1"/>
  <c r="CF104" i="47" s="1"/>
  <c r="CG104" i="47" s="1"/>
  <c r="CH104" i="47" s="1"/>
  <c r="CI104" i="47" s="1"/>
  <c r="CJ104" i="47" s="1"/>
  <c r="CK104" i="47" s="1"/>
  <c r="CL104" i="47" s="1"/>
  <c r="CM104" i="47" s="1"/>
  <c r="CN104" i="47" s="1"/>
  <c r="CO104" i="47" s="1"/>
  <c r="CP104" i="47" s="1"/>
  <c r="CQ104" i="47" s="1"/>
  <c r="CS104" i="47" s="1"/>
  <c r="CT104" i="47" s="1"/>
  <c r="CU104" i="47" s="1"/>
  <c r="CV104" i="47" s="1"/>
  <c r="CW104" i="47" s="1"/>
  <c r="CX104" i="47" s="1"/>
  <c r="CY104" i="47" s="1"/>
  <c r="CZ104" i="47" s="1"/>
  <c r="DA104" i="47" s="1"/>
  <c r="DB104" i="47" s="1"/>
  <c r="DC104" i="47" s="1"/>
  <c r="DD104" i="47" s="1"/>
  <c r="DF104" i="47" s="1"/>
  <c r="DG104" i="47" s="1"/>
  <c r="DH104" i="47" s="1"/>
  <c r="DI104" i="47" s="1"/>
  <c r="DJ104" i="47" s="1"/>
  <c r="DK104" i="47" s="1"/>
  <c r="DL104" i="47" s="1"/>
  <c r="DM104" i="47" s="1"/>
  <c r="DN104" i="47" s="1"/>
  <c r="DO104" i="47" s="1"/>
  <c r="DP104" i="47" s="1"/>
  <c r="DQ104" i="47" s="1"/>
  <c r="H105" i="47"/>
  <c r="I105" i="47" s="1"/>
  <c r="J105" i="47" s="1"/>
  <c r="K105" i="47" s="1"/>
  <c r="L105" i="47" s="1"/>
  <c r="M105" i="47" s="1"/>
  <c r="N105" i="47" s="1"/>
  <c r="O105" i="47" s="1"/>
  <c r="P105" i="47" s="1"/>
  <c r="Q105" i="47" s="1"/>
  <c r="S105" i="47" s="1"/>
  <c r="T105" i="47" s="1"/>
  <c r="U105" i="47" s="1"/>
  <c r="V105" i="47" s="1"/>
  <c r="W105" i="47" s="1"/>
  <c r="X105" i="47" s="1"/>
  <c r="Y105" i="47" s="1"/>
  <c r="Z105" i="47" s="1"/>
  <c r="AA105" i="47" s="1"/>
  <c r="AB105" i="47" s="1"/>
  <c r="AC105" i="47" s="1"/>
  <c r="AD105" i="47" s="1"/>
  <c r="AF105" i="47" s="1"/>
  <c r="AG105" i="47" s="1"/>
  <c r="AH105" i="47" s="1"/>
  <c r="AI105" i="47" s="1"/>
  <c r="AJ105" i="47" s="1"/>
  <c r="AK105" i="47" s="1"/>
  <c r="AL105" i="47" s="1"/>
  <c r="AM105" i="47" s="1"/>
  <c r="AN105" i="47" s="1"/>
  <c r="AO105" i="47" s="1"/>
  <c r="AP105" i="47" s="1"/>
  <c r="AQ105" i="47" s="1"/>
  <c r="AS105" i="47" s="1"/>
  <c r="AT105" i="47" s="1"/>
  <c r="AU105" i="47" s="1"/>
  <c r="AV105" i="47" s="1"/>
  <c r="AW105" i="47" s="1"/>
  <c r="AX105" i="47" s="1"/>
  <c r="AY105" i="47" s="1"/>
  <c r="AZ105" i="47" s="1"/>
  <c r="BA105" i="47" s="1"/>
  <c r="BB105" i="47" s="1"/>
  <c r="BC105" i="47" s="1"/>
  <c r="BD105" i="47" s="1"/>
  <c r="BF105" i="47" s="1"/>
  <c r="BG105" i="47" s="1"/>
  <c r="BH105" i="47" s="1"/>
  <c r="BI105" i="47" s="1"/>
  <c r="BJ105" i="47" s="1"/>
  <c r="BK105" i="47" s="1"/>
  <c r="BL105" i="47" s="1"/>
  <c r="BM105" i="47" s="1"/>
  <c r="BN105" i="47" s="1"/>
  <c r="BO105" i="47" s="1"/>
  <c r="BP105" i="47" s="1"/>
  <c r="BQ105" i="47" s="1"/>
  <c r="BS105" i="47" s="1"/>
  <c r="BT105" i="47" s="1"/>
  <c r="BU105" i="47" s="1"/>
  <c r="BV105" i="47" s="1"/>
  <c r="BW105" i="47" s="1"/>
  <c r="BX105" i="47" s="1"/>
  <c r="BY105" i="47" s="1"/>
  <c r="BZ105" i="47" s="1"/>
  <c r="CA105" i="47" s="1"/>
  <c r="CB105" i="47" s="1"/>
  <c r="CC105" i="47" s="1"/>
  <c r="CD105" i="47" s="1"/>
  <c r="CF105" i="47" s="1"/>
  <c r="CG105" i="47" s="1"/>
  <c r="CH105" i="47" s="1"/>
  <c r="CI105" i="47" s="1"/>
  <c r="CJ105" i="47" s="1"/>
  <c r="CK105" i="47" s="1"/>
  <c r="CL105" i="47" s="1"/>
  <c r="CM105" i="47" s="1"/>
  <c r="CN105" i="47" s="1"/>
  <c r="CO105" i="47" s="1"/>
  <c r="CP105" i="47" s="1"/>
  <c r="CQ105" i="47" s="1"/>
  <c r="CS105" i="47" s="1"/>
  <c r="CT105" i="47" s="1"/>
  <c r="CU105" i="47" s="1"/>
  <c r="CV105" i="47" s="1"/>
  <c r="CW105" i="47" s="1"/>
  <c r="CX105" i="47" s="1"/>
  <c r="CY105" i="47" s="1"/>
  <c r="CZ105" i="47" s="1"/>
  <c r="DA105" i="47" s="1"/>
  <c r="DB105" i="47" s="1"/>
  <c r="DC105" i="47" s="1"/>
  <c r="DD105" i="47" s="1"/>
  <c r="DF105" i="47" s="1"/>
  <c r="DG105" i="47" s="1"/>
  <c r="DH105" i="47" s="1"/>
  <c r="DI105" i="47" s="1"/>
  <c r="DJ105" i="47" s="1"/>
  <c r="DK105" i="47" s="1"/>
  <c r="DL105" i="47" s="1"/>
  <c r="DM105" i="47" s="1"/>
  <c r="DN105" i="47" s="1"/>
  <c r="DO105" i="47" s="1"/>
  <c r="DP105" i="47" s="1"/>
  <c r="DQ105" i="47" s="1"/>
  <c r="H106" i="47"/>
  <c r="I106" i="47" s="1"/>
  <c r="J106" i="47" s="1"/>
  <c r="K106" i="47" s="1"/>
  <c r="L106" i="47" s="1"/>
  <c r="M106" i="47" s="1"/>
  <c r="N106" i="47" s="1"/>
  <c r="O106" i="47" s="1"/>
  <c r="P106" i="47" s="1"/>
  <c r="Q106" i="47" s="1"/>
  <c r="S106" i="47" s="1"/>
  <c r="T106" i="47" s="1"/>
  <c r="U106" i="47" s="1"/>
  <c r="V106" i="47" s="1"/>
  <c r="W106" i="47" s="1"/>
  <c r="X106" i="47" s="1"/>
  <c r="Y106" i="47" s="1"/>
  <c r="Z106" i="47" s="1"/>
  <c r="AA106" i="47" s="1"/>
  <c r="AB106" i="47" s="1"/>
  <c r="AC106" i="47" s="1"/>
  <c r="AD106" i="47" s="1"/>
  <c r="AF106" i="47" s="1"/>
  <c r="AG106" i="47" s="1"/>
  <c r="AH106" i="47" s="1"/>
  <c r="AI106" i="47" s="1"/>
  <c r="AJ106" i="47" s="1"/>
  <c r="AK106" i="47" s="1"/>
  <c r="AL106" i="47" s="1"/>
  <c r="AM106" i="47" s="1"/>
  <c r="AN106" i="47" s="1"/>
  <c r="AO106" i="47" s="1"/>
  <c r="AP106" i="47" s="1"/>
  <c r="AQ106" i="47" s="1"/>
  <c r="AS106" i="47" s="1"/>
  <c r="AT106" i="47" s="1"/>
  <c r="AU106" i="47" s="1"/>
  <c r="AV106" i="47" s="1"/>
  <c r="AW106" i="47" s="1"/>
  <c r="AX106" i="47" s="1"/>
  <c r="AY106" i="47" s="1"/>
  <c r="AZ106" i="47" s="1"/>
  <c r="BA106" i="47" s="1"/>
  <c r="BB106" i="47" s="1"/>
  <c r="BC106" i="47" s="1"/>
  <c r="BD106" i="47" s="1"/>
  <c r="BF106" i="47" s="1"/>
  <c r="BG106" i="47" s="1"/>
  <c r="BH106" i="47" s="1"/>
  <c r="BI106" i="47" s="1"/>
  <c r="BJ106" i="47" s="1"/>
  <c r="BK106" i="47" s="1"/>
  <c r="BL106" i="47" s="1"/>
  <c r="BM106" i="47" s="1"/>
  <c r="BN106" i="47" s="1"/>
  <c r="BO106" i="47" s="1"/>
  <c r="BP106" i="47" s="1"/>
  <c r="BQ106" i="47" s="1"/>
  <c r="BS106" i="47" s="1"/>
  <c r="BT106" i="47" s="1"/>
  <c r="BU106" i="47" s="1"/>
  <c r="BV106" i="47" s="1"/>
  <c r="BW106" i="47" s="1"/>
  <c r="BX106" i="47" s="1"/>
  <c r="BY106" i="47" s="1"/>
  <c r="BZ106" i="47" s="1"/>
  <c r="CA106" i="47" s="1"/>
  <c r="CB106" i="47" s="1"/>
  <c r="CC106" i="47" s="1"/>
  <c r="CD106" i="47" s="1"/>
  <c r="CF106" i="47" s="1"/>
  <c r="CG106" i="47" s="1"/>
  <c r="CH106" i="47" s="1"/>
  <c r="CI106" i="47" s="1"/>
  <c r="CJ106" i="47" s="1"/>
  <c r="CK106" i="47" s="1"/>
  <c r="CL106" i="47" s="1"/>
  <c r="CM106" i="47" s="1"/>
  <c r="CN106" i="47" s="1"/>
  <c r="CO106" i="47" s="1"/>
  <c r="CP106" i="47" s="1"/>
  <c r="CQ106" i="47" s="1"/>
  <c r="CS106" i="47" s="1"/>
  <c r="CT106" i="47" s="1"/>
  <c r="CU106" i="47" s="1"/>
  <c r="CV106" i="47" s="1"/>
  <c r="CW106" i="47" s="1"/>
  <c r="CX106" i="47" s="1"/>
  <c r="CY106" i="47" s="1"/>
  <c r="CZ106" i="47" s="1"/>
  <c r="DA106" i="47" s="1"/>
  <c r="DB106" i="47" s="1"/>
  <c r="DC106" i="47" s="1"/>
  <c r="DD106" i="47" s="1"/>
  <c r="DF106" i="47" s="1"/>
  <c r="DG106" i="47" s="1"/>
  <c r="DH106" i="47" s="1"/>
  <c r="DI106" i="47" s="1"/>
  <c r="DJ106" i="47" s="1"/>
  <c r="DK106" i="47" s="1"/>
  <c r="DL106" i="47" s="1"/>
  <c r="DM106" i="47" s="1"/>
  <c r="DN106" i="47" s="1"/>
  <c r="DO106" i="47" s="1"/>
  <c r="DP106" i="47" s="1"/>
  <c r="DQ106" i="47" s="1"/>
  <c r="H107" i="47"/>
  <c r="I107" i="47" s="1"/>
  <c r="J107" i="47" s="1"/>
  <c r="K107" i="47" s="1"/>
  <c r="L107" i="47" s="1"/>
  <c r="M107" i="47" s="1"/>
  <c r="N107" i="47" s="1"/>
  <c r="O107" i="47" s="1"/>
  <c r="P107" i="47" s="1"/>
  <c r="Q107" i="47" s="1"/>
  <c r="S107" i="47" s="1"/>
  <c r="T107" i="47" s="1"/>
  <c r="U107" i="47" s="1"/>
  <c r="V107" i="47" s="1"/>
  <c r="W107" i="47" s="1"/>
  <c r="X107" i="47" s="1"/>
  <c r="Y107" i="47" s="1"/>
  <c r="Z107" i="47" s="1"/>
  <c r="AA107" i="47" s="1"/>
  <c r="AB107" i="47" s="1"/>
  <c r="AC107" i="47" s="1"/>
  <c r="AD107" i="47" s="1"/>
  <c r="AF107" i="47" s="1"/>
  <c r="AG107" i="47" s="1"/>
  <c r="AH107" i="47" s="1"/>
  <c r="AI107" i="47" s="1"/>
  <c r="AJ107" i="47" s="1"/>
  <c r="AK107" i="47" s="1"/>
  <c r="AL107" i="47" s="1"/>
  <c r="AM107" i="47" s="1"/>
  <c r="AN107" i="47" s="1"/>
  <c r="AO107" i="47" s="1"/>
  <c r="AP107" i="47" s="1"/>
  <c r="AQ107" i="47" s="1"/>
  <c r="AS107" i="47" s="1"/>
  <c r="AT107" i="47" s="1"/>
  <c r="AU107" i="47" s="1"/>
  <c r="AV107" i="47" s="1"/>
  <c r="AW107" i="47" s="1"/>
  <c r="AX107" i="47" s="1"/>
  <c r="AY107" i="47" s="1"/>
  <c r="AZ107" i="47" s="1"/>
  <c r="BA107" i="47" s="1"/>
  <c r="BB107" i="47" s="1"/>
  <c r="BC107" i="47" s="1"/>
  <c r="BD107" i="47" s="1"/>
  <c r="BF107" i="47" s="1"/>
  <c r="BG107" i="47" s="1"/>
  <c r="BH107" i="47" s="1"/>
  <c r="BI107" i="47" s="1"/>
  <c r="BJ107" i="47" s="1"/>
  <c r="BK107" i="47" s="1"/>
  <c r="BL107" i="47" s="1"/>
  <c r="BM107" i="47" s="1"/>
  <c r="BN107" i="47" s="1"/>
  <c r="BO107" i="47" s="1"/>
  <c r="BP107" i="47" s="1"/>
  <c r="BQ107" i="47" s="1"/>
  <c r="BS107" i="47" s="1"/>
  <c r="BT107" i="47" s="1"/>
  <c r="BU107" i="47" s="1"/>
  <c r="BV107" i="47" s="1"/>
  <c r="BW107" i="47" s="1"/>
  <c r="BX107" i="47" s="1"/>
  <c r="BY107" i="47" s="1"/>
  <c r="BZ107" i="47" s="1"/>
  <c r="CA107" i="47" s="1"/>
  <c r="CB107" i="47" s="1"/>
  <c r="CC107" i="47" s="1"/>
  <c r="CD107" i="47" s="1"/>
  <c r="CF107" i="47" s="1"/>
  <c r="CG107" i="47" s="1"/>
  <c r="CH107" i="47" s="1"/>
  <c r="CI107" i="47" s="1"/>
  <c r="CJ107" i="47" s="1"/>
  <c r="CK107" i="47" s="1"/>
  <c r="CL107" i="47" s="1"/>
  <c r="CM107" i="47" s="1"/>
  <c r="CN107" i="47" s="1"/>
  <c r="CO107" i="47" s="1"/>
  <c r="CP107" i="47" s="1"/>
  <c r="CQ107" i="47" s="1"/>
  <c r="CS107" i="47" s="1"/>
  <c r="CT107" i="47" s="1"/>
  <c r="CU107" i="47" s="1"/>
  <c r="CV107" i="47" s="1"/>
  <c r="CW107" i="47" s="1"/>
  <c r="CX107" i="47" s="1"/>
  <c r="CY107" i="47" s="1"/>
  <c r="CZ107" i="47" s="1"/>
  <c r="DA107" i="47" s="1"/>
  <c r="DB107" i="47" s="1"/>
  <c r="DC107" i="47" s="1"/>
  <c r="DD107" i="47" s="1"/>
  <c r="DF107" i="47" s="1"/>
  <c r="DG107" i="47" s="1"/>
  <c r="DH107" i="47" s="1"/>
  <c r="DI107" i="47" s="1"/>
  <c r="DJ107" i="47" s="1"/>
  <c r="DK107" i="47" s="1"/>
  <c r="DL107" i="47" s="1"/>
  <c r="DM107" i="47" s="1"/>
  <c r="DN107" i="47" s="1"/>
  <c r="DO107" i="47" s="1"/>
  <c r="DP107" i="47" s="1"/>
  <c r="DQ107" i="47" s="1"/>
  <c r="DS108" i="47"/>
  <c r="F171" i="47"/>
  <c r="F173" i="47"/>
  <c r="G131" i="47"/>
  <c r="G186" i="47" s="1"/>
  <c r="H27" i="47"/>
  <c r="U61" i="47"/>
  <c r="H98" i="47"/>
  <c r="I98" i="47" s="1"/>
  <c r="J98" i="47" s="1"/>
  <c r="K98" i="47" s="1"/>
  <c r="L98" i="47" s="1"/>
  <c r="M98" i="47" s="1"/>
  <c r="N98" i="47" s="1"/>
  <c r="O98" i="47" s="1"/>
  <c r="P98" i="47" s="1"/>
  <c r="Q98" i="47" s="1"/>
  <c r="S98" i="47" s="1"/>
  <c r="T98" i="47" s="1"/>
  <c r="U98" i="47" s="1"/>
  <c r="V98" i="47" s="1"/>
  <c r="W98" i="47" s="1"/>
  <c r="X98" i="47" s="1"/>
  <c r="Y98" i="47" s="1"/>
  <c r="Z98" i="47" s="1"/>
  <c r="AA98" i="47" s="1"/>
  <c r="AB98" i="47" s="1"/>
  <c r="AC98" i="47" s="1"/>
  <c r="AD98" i="47" s="1"/>
  <c r="AF98" i="47" s="1"/>
  <c r="AG98" i="47" s="1"/>
  <c r="AH98" i="47" s="1"/>
  <c r="AI98" i="47" s="1"/>
  <c r="AJ98" i="47" s="1"/>
  <c r="AK98" i="47" s="1"/>
  <c r="AL98" i="47" s="1"/>
  <c r="AM98" i="47" s="1"/>
  <c r="AN98" i="47" s="1"/>
  <c r="AO98" i="47" s="1"/>
  <c r="AP98" i="47" s="1"/>
  <c r="AQ98" i="47" s="1"/>
  <c r="AS98" i="47" s="1"/>
  <c r="AT98" i="47" s="1"/>
  <c r="AU98" i="47" s="1"/>
  <c r="AV98" i="47" s="1"/>
  <c r="AW98" i="47" s="1"/>
  <c r="AX98" i="47" s="1"/>
  <c r="AY98" i="47" s="1"/>
  <c r="AZ98" i="47" s="1"/>
  <c r="BA98" i="47" s="1"/>
  <c r="BB98" i="47" s="1"/>
  <c r="BC98" i="47" s="1"/>
  <c r="BD98" i="47" s="1"/>
  <c r="BF98" i="47" s="1"/>
  <c r="BG98" i="47" s="1"/>
  <c r="BH98" i="47" s="1"/>
  <c r="BI98" i="47" s="1"/>
  <c r="BJ98" i="47" s="1"/>
  <c r="BK98" i="47" s="1"/>
  <c r="BL98" i="47" s="1"/>
  <c r="BM98" i="47" s="1"/>
  <c r="BN98" i="47" s="1"/>
  <c r="BO98" i="47" s="1"/>
  <c r="BP98" i="47" s="1"/>
  <c r="BQ98" i="47" s="1"/>
  <c r="BS98" i="47" s="1"/>
  <c r="BT98" i="47" s="1"/>
  <c r="BU98" i="47" s="1"/>
  <c r="BV98" i="47" s="1"/>
  <c r="BW98" i="47" s="1"/>
  <c r="BX98" i="47" s="1"/>
  <c r="BY98" i="47" s="1"/>
  <c r="BZ98" i="47" s="1"/>
  <c r="CA98" i="47" s="1"/>
  <c r="CB98" i="47" s="1"/>
  <c r="CC98" i="47" s="1"/>
  <c r="CD98" i="47" s="1"/>
  <c r="CF98" i="47" s="1"/>
  <c r="CG98" i="47" s="1"/>
  <c r="CH98" i="47" s="1"/>
  <c r="CI98" i="47" s="1"/>
  <c r="CJ98" i="47" s="1"/>
  <c r="CK98" i="47" s="1"/>
  <c r="CL98" i="47" s="1"/>
  <c r="CM98" i="47" s="1"/>
  <c r="CN98" i="47" s="1"/>
  <c r="CO98" i="47" s="1"/>
  <c r="CP98" i="47" s="1"/>
  <c r="CQ98" i="47" s="1"/>
  <c r="CS98" i="47" s="1"/>
  <c r="CT98" i="47" s="1"/>
  <c r="CU98" i="47" s="1"/>
  <c r="CV98" i="47" s="1"/>
  <c r="CW98" i="47" s="1"/>
  <c r="CX98" i="47" s="1"/>
  <c r="CY98" i="47" s="1"/>
  <c r="CZ98" i="47" s="1"/>
  <c r="DA98" i="47" s="1"/>
  <c r="DB98" i="47" s="1"/>
  <c r="DC98" i="47" s="1"/>
  <c r="DD98" i="47" s="1"/>
  <c r="DF98" i="47" s="1"/>
  <c r="DG98" i="47" s="1"/>
  <c r="DH98" i="47" s="1"/>
  <c r="DI98" i="47" s="1"/>
  <c r="DJ98" i="47" s="1"/>
  <c r="DK98" i="47" s="1"/>
  <c r="DL98" i="47" s="1"/>
  <c r="DM98" i="47" s="1"/>
  <c r="DN98" i="47" s="1"/>
  <c r="DO98" i="47" s="1"/>
  <c r="DP98" i="47" s="1"/>
  <c r="DQ98" i="47" s="1"/>
  <c r="H99" i="47"/>
  <c r="I99" i="47" s="1"/>
  <c r="J99" i="47" s="1"/>
  <c r="K99" i="47" s="1"/>
  <c r="L99" i="47" s="1"/>
  <c r="M99" i="47" s="1"/>
  <c r="N99" i="47" s="1"/>
  <c r="O99" i="47" s="1"/>
  <c r="P99" i="47" s="1"/>
  <c r="Q99" i="47" s="1"/>
  <c r="S99" i="47" s="1"/>
  <c r="T99" i="47" s="1"/>
  <c r="U99" i="47" s="1"/>
  <c r="V99" i="47" s="1"/>
  <c r="W99" i="47" s="1"/>
  <c r="X99" i="47" s="1"/>
  <c r="Y99" i="47" s="1"/>
  <c r="Z99" i="47" s="1"/>
  <c r="AA99" i="47" s="1"/>
  <c r="AB99" i="47" s="1"/>
  <c r="AC99" i="47" s="1"/>
  <c r="AD99" i="47" s="1"/>
  <c r="AF99" i="47" s="1"/>
  <c r="AG99" i="47" s="1"/>
  <c r="AH99" i="47" s="1"/>
  <c r="AI99" i="47" s="1"/>
  <c r="AJ99" i="47" s="1"/>
  <c r="AK99" i="47" s="1"/>
  <c r="AL99" i="47" s="1"/>
  <c r="AM99" i="47" s="1"/>
  <c r="AN99" i="47" s="1"/>
  <c r="AO99" i="47" s="1"/>
  <c r="AP99" i="47" s="1"/>
  <c r="AQ99" i="47" s="1"/>
  <c r="AS99" i="47" s="1"/>
  <c r="AT99" i="47" s="1"/>
  <c r="AU99" i="47" s="1"/>
  <c r="AV99" i="47" s="1"/>
  <c r="AW99" i="47" s="1"/>
  <c r="AX99" i="47" s="1"/>
  <c r="AY99" i="47" s="1"/>
  <c r="AZ99" i="47" s="1"/>
  <c r="BA99" i="47" s="1"/>
  <c r="BB99" i="47" s="1"/>
  <c r="BC99" i="47" s="1"/>
  <c r="BD99" i="47" s="1"/>
  <c r="BF99" i="47" s="1"/>
  <c r="BG99" i="47" s="1"/>
  <c r="BH99" i="47" s="1"/>
  <c r="BI99" i="47" s="1"/>
  <c r="BJ99" i="47" s="1"/>
  <c r="BK99" i="47" s="1"/>
  <c r="BL99" i="47" s="1"/>
  <c r="BM99" i="47" s="1"/>
  <c r="BN99" i="47" s="1"/>
  <c r="BO99" i="47" s="1"/>
  <c r="BP99" i="47" s="1"/>
  <c r="BQ99" i="47" s="1"/>
  <c r="BS99" i="47" s="1"/>
  <c r="BT99" i="47" s="1"/>
  <c r="BU99" i="47" s="1"/>
  <c r="BV99" i="47" s="1"/>
  <c r="BW99" i="47" s="1"/>
  <c r="BX99" i="47" s="1"/>
  <c r="BY99" i="47" s="1"/>
  <c r="BZ99" i="47" s="1"/>
  <c r="CA99" i="47" s="1"/>
  <c r="CB99" i="47" s="1"/>
  <c r="CC99" i="47" s="1"/>
  <c r="CD99" i="47" s="1"/>
  <c r="CF99" i="47" s="1"/>
  <c r="CG99" i="47" s="1"/>
  <c r="CH99" i="47" s="1"/>
  <c r="CI99" i="47" s="1"/>
  <c r="CJ99" i="47" s="1"/>
  <c r="CK99" i="47" s="1"/>
  <c r="CL99" i="47" s="1"/>
  <c r="CM99" i="47" s="1"/>
  <c r="CN99" i="47" s="1"/>
  <c r="CO99" i="47" s="1"/>
  <c r="CP99" i="47" s="1"/>
  <c r="CQ99" i="47" s="1"/>
  <c r="CS99" i="47" s="1"/>
  <c r="CT99" i="47" s="1"/>
  <c r="CU99" i="47" s="1"/>
  <c r="CV99" i="47" s="1"/>
  <c r="CW99" i="47" s="1"/>
  <c r="CX99" i="47" s="1"/>
  <c r="CY99" i="47" s="1"/>
  <c r="CZ99" i="47" s="1"/>
  <c r="DA99" i="47" s="1"/>
  <c r="DB99" i="47" s="1"/>
  <c r="DC99" i="47" s="1"/>
  <c r="DD99" i="47" s="1"/>
  <c r="DF99" i="47" s="1"/>
  <c r="DG99" i="47" s="1"/>
  <c r="DH99" i="47" s="1"/>
  <c r="DI99" i="47" s="1"/>
  <c r="DJ99" i="47" s="1"/>
  <c r="DK99" i="47" s="1"/>
  <c r="DL99" i="47" s="1"/>
  <c r="DM99" i="47" s="1"/>
  <c r="DN99" i="47" s="1"/>
  <c r="DO99" i="47" s="1"/>
  <c r="DP99" i="47" s="1"/>
  <c r="DQ99" i="47" s="1"/>
  <c r="F168" i="47"/>
  <c r="F137" i="47"/>
  <c r="BR168" i="47"/>
  <c r="F179" i="47"/>
  <c r="F184" i="47"/>
  <c r="R137" i="47"/>
  <c r="H140" i="47"/>
  <c r="G164" i="47"/>
  <c r="H152" i="47"/>
  <c r="I152" i="47" s="1"/>
  <c r="J152" i="47" s="1"/>
  <c r="K152" i="47" s="1"/>
  <c r="L152" i="47" s="1"/>
  <c r="M152" i="47" s="1"/>
  <c r="N152" i="47" s="1"/>
  <c r="O152" i="47" s="1"/>
  <c r="P152" i="47" s="1"/>
  <c r="Q152" i="47" s="1"/>
  <c r="S152" i="47" s="1"/>
  <c r="H162" i="47"/>
  <c r="I162" i="47" s="1"/>
  <c r="J162" i="47" s="1"/>
  <c r="K162" i="47" s="1"/>
  <c r="L162" i="47" s="1"/>
  <c r="M162" i="47" s="1"/>
  <c r="N162" i="47" s="1"/>
  <c r="O162" i="47" s="1"/>
  <c r="P162" i="47" s="1"/>
  <c r="Q162" i="47" s="1"/>
  <c r="S162" i="47" s="1"/>
  <c r="T162" i="47" s="1"/>
  <c r="U162" i="47" s="1"/>
  <c r="V162" i="47" s="1"/>
  <c r="W162" i="47" s="1"/>
  <c r="X162" i="47" s="1"/>
  <c r="Y162" i="47" s="1"/>
  <c r="Z162" i="47" s="1"/>
  <c r="AA162" i="47" s="1"/>
  <c r="AB162" i="47" s="1"/>
  <c r="AC162" i="47" s="1"/>
  <c r="AD162" i="47" s="1"/>
  <c r="AF162" i="47" s="1"/>
  <c r="AG162" i="47" s="1"/>
  <c r="AH162" i="47" s="1"/>
  <c r="AI162" i="47" s="1"/>
  <c r="AJ162" i="47" s="1"/>
  <c r="AK162" i="47" s="1"/>
  <c r="AL162" i="47" s="1"/>
  <c r="AM162" i="47" s="1"/>
  <c r="AN162" i="47" s="1"/>
  <c r="AO162" i="47" s="1"/>
  <c r="AP162" i="47" s="1"/>
  <c r="AQ162" i="47" s="1"/>
  <c r="AS162" i="47" s="1"/>
  <c r="AT162" i="47" s="1"/>
  <c r="AU162" i="47" s="1"/>
  <c r="AV162" i="47" s="1"/>
  <c r="AW162" i="47" s="1"/>
  <c r="AX162" i="47" s="1"/>
  <c r="AY162" i="47" s="1"/>
  <c r="AZ162" i="47" s="1"/>
  <c r="BA162" i="47" s="1"/>
  <c r="BB162" i="47" s="1"/>
  <c r="BC162" i="47" s="1"/>
  <c r="BD162" i="47" s="1"/>
  <c r="BF162" i="47" s="1"/>
  <c r="BG162" i="47" s="1"/>
  <c r="BH162" i="47" s="1"/>
  <c r="BI162" i="47" s="1"/>
  <c r="BJ162" i="47" s="1"/>
  <c r="BK162" i="47" s="1"/>
  <c r="BL162" i="47" s="1"/>
  <c r="BM162" i="47" s="1"/>
  <c r="BN162" i="47" s="1"/>
  <c r="BO162" i="47" s="1"/>
  <c r="BP162" i="47" s="1"/>
  <c r="BQ162" i="47" s="1"/>
  <c r="BS162" i="47" s="1"/>
  <c r="BT162" i="47" s="1"/>
  <c r="BU162" i="47" s="1"/>
  <c r="BV162" i="47" s="1"/>
  <c r="BW162" i="47" s="1"/>
  <c r="BX162" i="47" s="1"/>
  <c r="BY162" i="47" s="1"/>
  <c r="BZ162" i="47" s="1"/>
  <c r="CA162" i="47" s="1"/>
  <c r="CB162" i="47" s="1"/>
  <c r="CC162" i="47" s="1"/>
  <c r="CD162" i="47" s="1"/>
  <c r="CF162" i="47" s="1"/>
  <c r="CG162" i="47" s="1"/>
  <c r="CH162" i="47" s="1"/>
  <c r="CI162" i="47" s="1"/>
  <c r="CJ162" i="47" s="1"/>
  <c r="CK162" i="47" s="1"/>
  <c r="CL162" i="47" s="1"/>
  <c r="CM162" i="47" s="1"/>
  <c r="CN162" i="47" s="1"/>
  <c r="CO162" i="47" s="1"/>
  <c r="CP162" i="47" s="1"/>
  <c r="CQ162" i="47" s="1"/>
  <c r="CS162" i="47" s="1"/>
  <c r="CT162" i="47" s="1"/>
  <c r="CU162" i="47" s="1"/>
  <c r="CV162" i="47" s="1"/>
  <c r="CW162" i="47" s="1"/>
  <c r="CX162" i="47" s="1"/>
  <c r="CY162" i="47" s="1"/>
  <c r="CZ162" i="47" s="1"/>
  <c r="DA162" i="47" s="1"/>
  <c r="DB162" i="47" s="1"/>
  <c r="DC162" i="47" s="1"/>
  <c r="DD162" i="47" s="1"/>
  <c r="DF162" i="47" s="1"/>
  <c r="DG162" i="47" s="1"/>
  <c r="DH162" i="47" s="1"/>
  <c r="DI162" i="47" s="1"/>
  <c r="DJ162" i="47" s="1"/>
  <c r="DK162" i="47" s="1"/>
  <c r="DL162" i="47" s="1"/>
  <c r="DM162" i="47" s="1"/>
  <c r="DN162" i="47" s="1"/>
  <c r="DO162" i="47" s="1"/>
  <c r="DP162" i="47" s="1"/>
  <c r="DQ162" i="47" s="1"/>
  <c r="BE163" i="47"/>
  <c r="AR164" i="47"/>
  <c r="F188" i="47"/>
  <c r="J161" i="47"/>
  <c r="H146" i="47"/>
  <c r="I146" i="47" s="1"/>
  <c r="J146" i="47" s="1"/>
  <c r="K146" i="47" s="1"/>
  <c r="L146" i="47" s="1"/>
  <c r="M146" i="47" s="1"/>
  <c r="N146" i="47" s="1"/>
  <c r="O146" i="47" s="1"/>
  <c r="P146" i="47" s="1"/>
  <c r="Q146" i="47" s="1"/>
  <c r="S146" i="47" s="1"/>
  <c r="H148" i="47"/>
  <c r="I148" i="47" s="1"/>
  <c r="J148" i="47" s="1"/>
  <c r="K148" i="47" s="1"/>
  <c r="L148" i="47" s="1"/>
  <c r="M148" i="47" s="1"/>
  <c r="N148" i="47" s="1"/>
  <c r="O148" i="47" s="1"/>
  <c r="P148" i="47" s="1"/>
  <c r="Q148" i="47" s="1"/>
  <c r="S148" i="47" s="1"/>
  <c r="I157" i="47"/>
  <c r="I155" i="47"/>
  <c r="J155" i="47" s="1"/>
  <c r="K155" i="47" s="1"/>
  <c r="L155" i="47" s="1"/>
  <c r="M155" i="47" s="1"/>
  <c r="N155" i="47" s="1"/>
  <c r="O155" i="47" s="1"/>
  <c r="P155" i="47" s="1"/>
  <c r="Q155" i="47" s="1"/>
  <c r="S155" i="47" s="1"/>
  <c r="BR196" i="47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T46" i="45"/>
  <c r="T45" i="45"/>
  <c r="T44" i="45"/>
  <c r="T43" i="45"/>
  <c r="T42" i="45"/>
  <c r="T41" i="45"/>
  <c r="T40" i="45"/>
  <c r="DR108" i="47" l="1"/>
  <c r="DS162" i="47"/>
  <c r="I25" i="45"/>
  <c r="I28" i="45"/>
  <c r="I34" i="45"/>
  <c r="I26" i="45"/>
  <c r="DS74" i="47"/>
  <c r="I27" i="45"/>
  <c r="I23" i="45"/>
  <c r="T151" i="47"/>
  <c r="U151" i="47" s="1"/>
  <c r="V151" i="47" s="1"/>
  <c r="W151" i="47" s="1"/>
  <c r="X151" i="47" s="1"/>
  <c r="Y151" i="47" s="1"/>
  <c r="Z151" i="47" s="1"/>
  <c r="AA151" i="47" s="1"/>
  <c r="AB151" i="47" s="1"/>
  <c r="AC151" i="47" s="1"/>
  <c r="AD151" i="47" s="1"/>
  <c r="AF151" i="47" s="1"/>
  <c r="AG145" i="47"/>
  <c r="AH145" i="47" s="1"/>
  <c r="AI145" i="47" s="1"/>
  <c r="AJ145" i="47" s="1"/>
  <c r="AK145" i="47" s="1"/>
  <c r="AL145" i="47" s="1"/>
  <c r="AM145" i="47" s="1"/>
  <c r="AN145" i="47" s="1"/>
  <c r="AO145" i="47" s="1"/>
  <c r="AP145" i="47" s="1"/>
  <c r="AQ145" i="47" s="1"/>
  <c r="AS145" i="47" s="1"/>
  <c r="I24" i="45"/>
  <c r="AG142" i="47"/>
  <c r="AH142" i="47" s="1"/>
  <c r="AI142" i="47" s="1"/>
  <c r="AJ142" i="47" s="1"/>
  <c r="AK142" i="47" s="1"/>
  <c r="AL142" i="47" s="1"/>
  <c r="AM142" i="47" s="1"/>
  <c r="AN142" i="47" s="1"/>
  <c r="AO142" i="47" s="1"/>
  <c r="AP142" i="47" s="1"/>
  <c r="AQ142" i="47" s="1"/>
  <c r="AS142" i="47" s="1"/>
  <c r="J157" i="47"/>
  <c r="K157" i="47" s="1"/>
  <c r="L157" i="47" s="1"/>
  <c r="M157" i="47" s="1"/>
  <c r="N157" i="47" s="1"/>
  <c r="O157" i="47" s="1"/>
  <c r="P157" i="47" s="1"/>
  <c r="Q157" i="47" s="1"/>
  <c r="S157" i="47" s="1"/>
  <c r="T153" i="47"/>
  <c r="U153" i="47" s="1"/>
  <c r="V153" i="47" s="1"/>
  <c r="W153" i="47" s="1"/>
  <c r="X153" i="47" s="1"/>
  <c r="Y153" i="47" s="1"/>
  <c r="Z153" i="47" s="1"/>
  <c r="AA153" i="47" s="1"/>
  <c r="AB153" i="47" s="1"/>
  <c r="AC153" i="47" s="1"/>
  <c r="AD153" i="47" s="1"/>
  <c r="AF153" i="47" s="1"/>
  <c r="DS78" i="47"/>
  <c r="I32" i="45"/>
  <c r="I31" i="45"/>
  <c r="T150" i="47"/>
  <c r="I30" i="45"/>
  <c r="H177" i="47"/>
  <c r="AT159" i="47"/>
  <c r="I36" i="45"/>
  <c r="T154" i="47"/>
  <c r="U154" i="47" s="1"/>
  <c r="V154" i="47" s="1"/>
  <c r="W154" i="47" s="1"/>
  <c r="X154" i="47" s="1"/>
  <c r="Y154" i="47" s="1"/>
  <c r="Z154" i="47" s="1"/>
  <c r="AA154" i="47" s="1"/>
  <c r="AB154" i="47" s="1"/>
  <c r="AC154" i="47" s="1"/>
  <c r="AD154" i="47" s="1"/>
  <c r="AF154" i="47" s="1"/>
  <c r="T152" i="47"/>
  <c r="U152" i="47" s="1"/>
  <c r="V152" i="47" s="1"/>
  <c r="W152" i="47" s="1"/>
  <c r="X152" i="47" s="1"/>
  <c r="Y152" i="47" s="1"/>
  <c r="Z152" i="47" s="1"/>
  <c r="AA152" i="47" s="1"/>
  <c r="AB152" i="47" s="1"/>
  <c r="AC152" i="47" s="1"/>
  <c r="AD152" i="47" s="1"/>
  <c r="AF152" i="47" s="1"/>
  <c r="AG160" i="47"/>
  <c r="AT144" i="47"/>
  <c r="AU144" i="47" s="1"/>
  <c r="AV144" i="47" s="1"/>
  <c r="AW144" i="47" s="1"/>
  <c r="AX144" i="47" s="1"/>
  <c r="AY144" i="47" s="1"/>
  <c r="AZ144" i="47" s="1"/>
  <c r="BA144" i="47" s="1"/>
  <c r="BB144" i="47" s="1"/>
  <c r="BC144" i="47" s="1"/>
  <c r="BD144" i="47" s="1"/>
  <c r="BF144" i="47" s="1"/>
  <c r="I29" i="45"/>
  <c r="AF5" i="47"/>
  <c r="AG5" i="47" s="1"/>
  <c r="AH5" i="47" s="1"/>
  <c r="AI5" i="47" s="1"/>
  <c r="AJ5" i="47" s="1"/>
  <c r="AK5" i="47" s="1"/>
  <c r="AL5" i="47" s="1"/>
  <c r="AM5" i="47" s="1"/>
  <c r="AN5" i="47" s="1"/>
  <c r="AO5" i="47" s="1"/>
  <c r="AP5" i="47" s="1"/>
  <c r="AQ5" i="47" s="1"/>
  <c r="AR5" i="47" s="1"/>
  <c r="J15" i="45"/>
  <c r="T155" i="47"/>
  <c r="U155" i="47" s="1"/>
  <c r="V155" i="47" s="1"/>
  <c r="W155" i="47" s="1"/>
  <c r="X155" i="47" s="1"/>
  <c r="Y155" i="47" s="1"/>
  <c r="Z155" i="47" s="1"/>
  <c r="AA155" i="47" s="1"/>
  <c r="AB155" i="47" s="1"/>
  <c r="AC155" i="47" s="1"/>
  <c r="AD155" i="47" s="1"/>
  <c r="AF155" i="47" s="1"/>
  <c r="T146" i="47"/>
  <c r="U146" i="47" s="1"/>
  <c r="V146" i="47" s="1"/>
  <c r="W146" i="47" s="1"/>
  <c r="X146" i="47" s="1"/>
  <c r="Y146" i="47" s="1"/>
  <c r="Z146" i="47" s="1"/>
  <c r="AA146" i="47" s="1"/>
  <c r="AB146" i="47" s="1"/>
  <c r="AC146" i="47" s="1"/>
  <c r="AD146" i="47" s="1"/>
  <c r="AF146" i="47" s="1"/>
  <c r="T147" i="47"/>
  <c r="U147" i="47" s="1"/>
  <c r="V147" i="47" s="1"/>
  <c r="W147" i="47" s="1"/>
  <c r="X147" i="47" s="1"/>
  <c r="Y147" i="47" s="1"/>
  <c r="Z147" i="47" s="1"/>
  <c r="AA147" i="47" s="1"/>
  <c r="AB147" i="47" s="1"/>
  <c r="AC147" i="47" s="1"/>
  <c r="AD147" i="47" s="1"/>
  <c r="AF147" i="47" s="1"/>
  <c r="T148" i="47"/>
  <c r="K161" i="47"/>
  <c r="H131" i="47"/>
  <c r="H186" i="47" s="1"/>
  <c r="K38" i="45"/>
  <c r="T149" i="47"/>
  <c r="T156" i="47"/>
  <c r="M22" i="45"/>
  <c r="K23" i="45"/>
  <c r="I33" i="45"/>
  <c r="T158" i="47"/>
  <c r="AG143" i="47"/>
  <c r="K21" i="45"/>
  <c r="K19" i="45"/>
  <c r="AG141" i="47"/>
  <c r="G185" i="47"/>
  <c r="H119" i="47"/>
  <c r="I14" i="47"/>
  <c r="G169" i="47"/>
  <c r="H84" i="47"/>
  <c r="I134" i="47"/>
  <c r="I189" i="47" s="1"/>
  <c r="BE164" i="47"/>
  <c r="BR163" i="47"/>
  <c r="V61" i="47"/>
  <c r="I136" i="47"/>
  <c r="I191" i="47" s="1"/>
  <c r="J31" i="47"/>
  <c r="H127" i="47"/>
  <c r="I22" i="47"/>
  <c r="H120" i="47"/>
  <c r="I15" i="47"/>
  <c r="S84" i="47"/>
  <c r="T66" i="47"/>
  <c r="I130" i="47"/>
  <c r="I185" i="47" s="1"/>
  <c r="J25" i="47"/>
  <c r="H117" i="47"/>
  <c r="I12" i="47"/>
  <c r="I135" i="47"/>
  <c r="I190" i="47" s="1"/>
  <c r="H118" i="47"/>
  <c r="DS70" i="47"/>
  <c r="H124" i="47"/>
  <c r="I19" i="47"/>
  <c r="H121" i="47"/>
  <c r="I16" i="47"/>
  <c r="G168" i="47"/>
  <c r="G137" i="47"/>
  <c r="H110" i="47"/>
  <c r="K61" i="47"/>
  <c r="J84" i="47"/>
  <c r="BR83" i="47"/>
  <c r="BE84" i="47"/>
  <c r="BR57" i="47"/>
  <c r="BE58" i="47"/>
  <c r="H132" i="47"/>
  <c r="I27" i="47"/>
  <c r="H115" i="47"/>
  <c r="I10" i="47"/>
  <c r="I126" i="47"/>
  <c r="I181" i="47" s="1"/>
  <c r="J21" i="47"/>
  <c r="H58" i="47"/>
  <c r="I35" i="47"/>
  <c r="I114" i="47" s="1"/>
  <c r="J134" i="47"/>
  <c r="J189" i="47" s="1"/>
  <c r="K29" i="47"/>
  <c r="H126" i="47"/>
  <c r="I131" i="47"/>
  <c r="I186" i="47" s="1"/>
  <c r="J26" i="47"/>
  <c r="I118" i="47"/>
  <c r="I173" i="47" s="1"/>
  <c r="J13" i="47"/>
  <c r="DS64" i="47"/>
  <c r="AG135" i="47"/>
  <c r="AG190" i="47" s="1"/>
  <c r="AH56" i="47"/>
  <c r="H125" i="47"/>
  <c r="I20" i="47"/>
  <c r="H113" i="47"/>
  <c r="I7" i="47"/>
  <c r="H32" i="47"/>
  <c r="H134" i="47"/>
  <c r="H189" i="47" s="1"/>
  <c r="H128" i="47"/>
  <c r="I23" i="47"/>
  <c r="J9" i="47"/>
  <c r="BE110" i="47"/>
  <c r="BR109" i="47"/>
  <c r="AF135" i="47"/>
  <c r="AF190" i="47" s="1"/>
  <c r="DS82" i="47"/>
  <c r="I116" i="47"/>
  <c r="I171" i="47" s="1"/>
  <c r="J11" i="47"/>
  <c r="H164" i="47"/>
  <c r="I140" i="47"/>
  <c r="F192" i="47"/>
  <c r="F194" i="47" s="1"/>
  <c r="F196" i="47" s="1"/>
  <c r="G189" i="47"/>
  <c r="H123" i="47"/>
  <c r="I18" i="47"/>
  <c r="I122" i="47"/>
  <c r="I177" i="47" s="1"/>
  <c r="J17" i="47"/>
  <c r="J135" i="47"/>
  <c r="J190" i="47" s="1"/>
  <c r="K30" i="47"/>
  <c r="H133" i="47"/>
  <c r="H188" i="47" s="1"/>
  <c r="I28" i="47"/>
  <c r="DS62" i="47"/>
  <c r="H190" i="47"/>
  <c r="DS80" i="47"/>
  <c r="H129" i="47"/>
  <c r="I24" i="47"/>
  <c r="DS63" i="47"/>
  <c r="I110" i="47"/>
  <c r="J87" i="47"/>
  <c r="DS69" i="47"/>
  <c r="I84" i="47"/>
  <c r="DS71" i="47"/>
  <c r="H116" i="47"/>
  <c r="M94" i="11"/>
  <c r="G90" i="11"/>
  <c r="M90" i="11" s="1"/>
  <c r="M93" i="11"/>
  <c r="G89" i="11"/>
  <c r="M89" i="11" s="1"/>
  <c r="M86" i="11"/>
  <c r="M85" i="11"/>
  <c r="K31" i="45" l="1"/>
  <c r="K24" i="45"/>
  <c r="K25" i="45"/>
  <c r="O22" i="45"/>
  <c r="K32" i="45"/>
  <c r="M23" i="45"/>
  <c r="T157" i="47"/>
  <c r="AT142" i="47"/>
  <c r="AU142" i="47" s="1"/>
  <c r="AV142" i="47" s="1"/>
  <c r="AW142" i="47" s="1"/>
  <c r="AX142" i="47" s="1"/>
  <c r="AY142" i="47" s="1"/>
  <c r="AZ142" i="47" s="1"/>
  <c r="BA142" i="47" s="1"/>
  <c r="BB142" i="47" s="1"/>
  <c r="BC142" i="47" s="1"/>
  <c r="BD142" i="47" s="1"/>
  <c r="BF142" i="47" s="1"/>
  <c r="L161" i="47"/>
  <c r="AG146" i="47"/>
  <c r="AH146" i="47" s="1"/>
  <c r="AI146" i="47" s="1"/>
  <c r="AJ146" i="47" s="1"/>
  <c r="AK146" i="47" s="1"/>
  <c r="AL146" i="47" s="1"/>
  <c r="AM146" i="47" s="1"/>
  <c r="AN146" i="47" s="1"/>
  <c r="AO146" i="47" s="1"/>
  <c r="AP146" i="47" s="1"/>
  <c r="AQ146" i="47" s="1"/>
  <c r="AS146" i="47" s="1"/>
  <c r="AU159" i="47"/>
  <c r="AT145" i="47"/>
  <c r="AU145" i="47" s="1"/>
  <c r="AV145" i="47" s="1"/>
  <c r="AW145" i="47" s="1"/>
  <c r="AX145" i="47" s="1"/>
  <c r="AY145" i="47" s="1"/>
  <c r="AZ145" i="47" s="1"/>
  <c r="BA145" i="47" s="1"/>
  <c r="BB145" i="47" s="1"/>
  <c r="BC145" i="47" s="1"/>
  <c r="BD145" i="47" s="1"/>
  <c r="BF145" i="47" s="1"/>
  <c r="U149" i="47"/>
  <c r="K33" i="45"/>
  <c r="AS5" i="47"/>
  <c r="AT5" i="47" s="1"/>
  <c r="AU5" i="47" s="1"/>
  <c r="AV5" i="47" s="1"/>
  <c r="AW5" i="47" s="1"/>
  <c r="AX5" i="47" s="1"/>
  <c r="AY5" i="47" s="1"/>
  <c r="AZ5" i="47" s="1"/>
  <c r="BA5" i="47" s="1"/>
  <c r="BB5" i="47" s="1"/>
  <c r="BC5" i="47" s="1"/>
  <c r="BD5" i="47" s="1"/>
  <c r="BE5" i="47" s="1"/>
  <c r="L15" i="45"/>
  <c r="AH160" i="47"/>
  <c r="AG154" i="47"/>
  <c r="AG153" i="47"/>
  <c r="H173" i="47"/>
  <c r="U158" i="47"/>
  <c r="V158" i="47" s="1"/>
  <c r="W158" i="47" s="1"/>
  <c r="X158" i="47" s="1"/>
  <c r="Y158" i="47" s="1"/>
  <c r="Z158" i="47" s="1"/>
  <c r="AA158" i="47" s="1"/>
  <c r="AB158" i="47" s="1"/>
  <c r="AC158" i="47" s="1"/>
  <c r="AD158" i="47" s="1"/>
  <c r="AF158" i="47" s="1"/>
  <c r="U156" i="47"/>
  <c r="V156" i="47" s="1"/>
  <c r="W156" i="47" s="1"/>
  <c r="X156" i="47" s="1"/>
  <c r="Y156" i="47" s="1"/>
  <c r="Z156" i="47" s="1"/>
  <c r="AA156" i="47" s="1"/>
  <c r="AB156" i="47" s="1"/>
  <c r="AC156" i="47" s="1"/>
  <c r="AD156" i="47" s="1"/>
  <c r="AF156" i="47" s="1"/>
  <c r="AG152" i="47"/>
  <c r="AH152" i="47" s="1"/>
  <c r="AI152" i="47" s="1"/>
  <c r="AJ152" i="47" s="1"/>
  <c r="AK152" i="47" s="1"/>
  <c r="AL152" i="47" s="1"/>
  <c r="AM152" i="47" s="1"/>
  <c r="AN152" i="47" s="1"/>
  <c r="AO152" i="47" s="1"/>
  <c r="AP152" i="47" s="1"/>
  <c r="AQ152" i="47" s="1"/>
  <c r="AS152" i="47" s="1"/>
  <c r="AG151" i="47"/>
  <c r="AH151" i="47" s="1"/>
  <c r="AI151" i="47" s="1"/>
  <c r="AJ151" i="47" s="1"/>
  <c r="AK151" i="47" s="1"/>
  <c r="AL151" i="47" s="1"/>
  <c r="AM151" i="47" s="1"/>
  <c r="AN151" i="47" s="1"/>
  <c r="AO151" i="47" s="1"/>
  <c r="AP151" i="47" s="1"/>
  <c r="AQ151" i="47" s="1"/>
  <c r="AS151" i="47" s="1"/>
  <c r="AG147" i="47"/>
  <c r="AH147" i="47" s="1"/>
  <c r="AI147" i="47" s="1"/>
  <c r="AJ147" i="47" s="1"/>
  <c r="AK147" i="47" s="1"/>
  <c r="AL147" i="47" s="1"/>
  <c r="AM147" i="47" s="1"/>
  <c r="AN147" i="47" s="1"/>
  <c r="AO147" i="47" s="1"/>
  <c r="AP147" i="47" s="1"/>
  <c r="AQ147" i="47" s="1"/>
  <c r="AS147" i="47" s="1"/>
  <c r="BG144" i="47"/>
  <c r="U148" i="47"/>
  <c r="V148" i="47" s="1"/>
  <c r="W148" i="47" s="1"/>
  <c r="X148" i="47" s="1"/>
  <c r="Y148" i="47" s="1"/>
  <c r="Z148" i="47" s="1"/>
  <c r="AA148" i="47" s="1"/>
  <c r="AB148" i="47" s="1"/>
  <c r="AC148" i="47" s="1"/>
  <c r="AD148" i="47" s="1"/>
  <c r="AF148" i="47" s="1"/>
  <c r="AG155" i="47"/>
  <c r="K30" i="45"/>
  <c r="U150" i="47"/>
  <c r="V150" i="47" s="1"/>
  <c r="W150" i="47" s="1"/>
  <c r="X150" i="47" s="1"/>
  <c r="Y150" i="47" s="1"/>
  <c r="Z150" i="47" s="1"/>
  <c r="AA150" i="47" s="1"/>
  <c r="AB150" i="47" s="1"/>
  <c r="AC150" i="47" s="1"/>
  <c r="AD150" i="47" s="1"/>
  <c r="AF150" i="47" s="1"/>
  <c r="I35" i="45"/>
  <c r="M20" i="45"/>
  <c r="K29" i="45"/>
  <c r="AH143" i="47"/>
  <c r="AH141" i="47"/>
  <c r="AI141" i="47" s="1"/>
  <c r="AJ141" i="47" s="1"/>
  <c r="AK141" i="47" s="1"/>
  <c r="AL141" i="47" s="1"/>
  <c r="AM141" i="47" s="1"/>
  <c r="AN141" i="47" s="1"/>
  <c r="AO141" i="47" s="1"/>
  <c r="AP141" i="47" s="1"/>
  <c r="AQ141" i="47" s="1"/>
  <c r="AS141" i="47" s="1"/>
  <c r="I169" i="47"/>
  <c r="H183" i="47"/>
  <c r="H170" i="47"/>
  <c r="H187" i="47"/>
  <c r="H176" i="47"/>
  <c r="I117" i="47"/>
  <c r="I172" i="47" s="1"/>
  <c r="J12" i="47"/>
  <c r="U66" i="47"/>
  <c r="T84" i="47"/>
  <c r="H175" i="47"/>
  <c r="J136" i="47"/>
  <c r="J191" i="47" s="1"/>
  <c r="K31" i="47"/>
  <c r="W61" i="47"/>
  <c r="K135" i="47"/>
  <c r="K190" i="47" s="1"/>
  <c r="L30" i="47"/>
  <c r="K17" i="47"/>
  <c r="J122" i="47"/>
  <c r="J177" i="47" s="1"/>
  <c r="I123" i="47"/>
  <c r="I178" i="47" s="1"/>
  <c r="J18" i="47"/>
  <c r="J20" i="47"/>
  <c r="I125" i="47"/>
  <c r="I180" i="47" s="1"/>
  <c r="AH135" i="47"/>
  <c r="AH190" i="47" s="1"/>
  <c r="AI56" i="47"/>
  <c r="I58" i="47"/>
  <c r="J35" i="47"/>
  <c r="CE83" i="47"/>
  <c r="BR84" i="47"/>
  <c r="H172" i="47"/>
  <c r="I127" i="47"/>
  <c r="I182" i="47" s="1"/>
  <c r="J22" i="47"/>
  <c r="CE163" i="47"/>
  <c r="CR163" i="47" s="1"/>
  <c r="BR164" i="47"/>
  <c r="I119" i="47"/>
  <c r="I174" i="47" s="1"/>
  <c r="J14" i="47"/>
  <c r="H171" i="47"/>
  <c r="I129" i="47"/>
  <c r="I184" i="47" s="1"/>
  <c r="J24" i="47"/>
  <c r="H178" i="47"/>
  <c r="J116" i="47"/>
  <c r="J171" i="47" s="1"/>
  <c r="K11" i="47"/>
  <c r="CE109" i="47"/>
  <c r="BR110" i="47"/>
  <c r="H180" i="47"/>
  <c r="J118" i="47"/>
  <c r="K13" i="47"/>
  <c r="J131" i="47"/>
  <c r="J186" i="47" s="1"/>
  <c r="K26" i="47"/>
  <c r="H181" i="47"/>
  <c r="I115" i="47"/>
  <c r="I170" i="47" s="1"/>
  <c r="J10" i="47"/>
  <c r="I132" i="47"/>
  <c r="I187" i="47" s="1"/>
  <c r="J27" i="47"/>
  <c r="CE57" i="47"/>
  <c r="CR57" i="47" s="1"/>
  <c r="BR58" i="47"/>
  <c r="G192" i="47"/>
  <c r="G194" i="47" s="1"/>
  <c r="G196" i="47" s="1"/>
  <c r="I124" i="47"/>
  <c r="I179" i="47" s="1"/>
  <c r="J19" i="47"/>
  <c r="J130" i="47"/>
  <c r="J185" i="47" s="1"/>
  <c r="K25" i="47"/>
  <c r="H174" i="47"/>
  <c r="J110" i="47"/>
  <c r="K87" i="47"/>
  <c r="H184" i="47"/>
  <c r="I133" i="47"/>
  <c r="J28" i="47"/>
  <c r="I164" i="47"/>
  <c r="J140" i="47"/>
  <c r="I128" i="47"/>
  <c r="I183" i="47" s="1"/>
  <c r="J23" i="47"/>
  <c r="I113" i="47"/>
  <c r="J7" i="47"/>
  <c r="I32" i="47"/>
  <c r="K134" i="47"/>
  <c r="K189" i="47" s="1"/>
  <c r="L29" i="47"/>
  <c r="J126" i="47"/>
  <c r="J181" i="47" s="1"/>
  <c r="K21" i="47"/>
  <c r="K84" i="47"/>
  <c r="L61" i="47"/>
  <c r="I121" i="47"/>
  <c r="I176" i="47" s="1"/>
  <c r="J16" i="47"/>
  <c r="H179" i="47"/>
  <c r="I120" i="47"/>
  <c r="I175" i="47" s="1"/>
  <c r="J15" i="47"/>
  <c r="H182" i="47"/>
  <c r="K9" i="47"/>
  <c r="H168" i="47"/>
  <c r="H137" i="47"/>
  <c r="M9" i="11"/>
  <c r="C13" i="45"/>
  <c r="C12" i="45"/>
  <c r="CE84" i="47" l="1"/>
  <c r="CR83" i="47"/>
  <c r="CR164" i="47"/>
  <c r="DE163" i="47"/>
  <c r="CR191" i="47"/>
  <c r="CR135" i="47"/>
  <c r="DE57" i="47"/>
  <c r="CR58" i="47"/>
  <c r="CE110" i="47"/>
  <c r="CR109" i="47"/>
  <c r="M25" i="45"/>
  <c r="K34" i="45"/>
  <c r="K36" i="45"/>
  <c r="O23" i="45"/>
  <c r="M29" i="45"/>
  <c r="M24" i="45"/>
  <c r="AG148" i="47"/>
  <c r="AH148" i="47" s="1"/>
  <c r="AI148" i="47" s="1"/>
  <c r="AJ148" i="47" s="1"/>
  <c r="AK148" i="47" s="1"/>
  <c r="AL148" i="47" s="1"/>
  <c r="AM148" i="47" s="1"/>
  <c r="AN148" i="47" s="1"/>
  <c r="AO148" i="47" s="1"/>
  <c r="AP148" i="47" s="1"/>
  <c r="AQ148" i="47" s="1"/>
  <c r="AS148" i="47" s="1"/>
  <c r="BH144" i="47"/>
  <c r="BI144" i="47" s="1"/>
  <c r="BJ144" i="47" s="1"/>
  <c r="BK144" i="47" s="1"/>
  <c r="BL144" i="47" s="1"/>
  <c r="BM144" i="47" s="1"/>
  <c r="BN144" i="47" s="1"/>
  <c r="BO144" i="47" s="1"/>
  <c r="BP144" i="47" s="1"/>
  <c r="BQ144" i="47" s="1"/>
  <c r="BS144" i="47" s="1"/>
  <c r="AI160" i="47"/>
  <c r="AJ160" i="47" s="1"/>
  <c r="AK160" i="47" s="1"/>
  <c r="AL160" i="47" s="1"/>
  <c r="AM160" i="47" s="1"/>
  <c r="AN160" i="47" s="1"/>
  <c r="AO160" i="47" s="1"/>
  <c r="AP160" i="47" s="1"/>
  <c r="AQ160" i="47" s="1"/>
  <c r="AS160" i="47" s="1"/>
  <c r="BG142" i="47"/>
  <c r="BH142" i="47" s="1"/>
  <c r="BI142" i="47" s="1"/>
  <c r="BJ142" i="47" s="1"/>
  <c r="BK142" i="47" s="1"/>
  <c r="BL142" i="47" s="1"/>
  <c r="BM142" i="47" s="1"/>
  <c r="BN142" i="47" s="1"/>
  <c r="BO142" i="47" s="1"/>
  <c r="BP142" i="47" s="1"/>
  <c r="BQ142" i="47" s="1"/>
  <c r="BS142" i="47" s="1"/>
  <c r="K26" i="45"/>
  <c r="AT151" i="47"/>
  <c r="M161" i="47"/>
  <c r="AH155" i="47"/>
  <c r="AT147" i="47"/>
  <c r="M30" i="45"/>
  <c r="AH154" i="47"/>
  <c r="BF5" i="47"/>
  <c r="BG5" i="47" s="1"/>
  <c r="BH5" i="47" s="1"/>
  <c r="BI5" i="47" s="1"/>
  <c r="BJ5" i="47" s="1"/>
  <c r="BK5" i="47" s="1"/>
  <c r="BL5" i="47" s="1"/>
  <c r="BM5" i="47" s="1"/>
  <c r="BN5" i="47" s="1"/>
  <c r="BO5" i="47" s="1"/>
  <c r="BP5" i="47" s="1"/>
  <c r="BQ5" i="47" s="1"/>
  <c r="BR5" i="47" s="1"/>
  <c r="N15" i="45"/>
  <c r="U157" i="47"/>
  <c r="I188" i="47"/>
  <c r="AG150" i="47"/>
  <c r="AG156" i="47"/>
  <c r="AV159" i="47"/>
  <c r="AT152" i="47"/>
  <c r="AG158" i="47"/>
  <c r="AH153" i="47"/>
  <c r="V149" i="47"/>
  <c r="BG145" i="47"/>
  <c r="AT146" i="47"/>
  <c r="O20" i="45"/>
  <c r="K28" i="45"/>
  <c r="AI143" i="47"/>
  <c r="AT141" i="47"/>
  <c r="AU141" i="47" s="1"/>
  <c r="AV141" i="47" s="1"/>
  <c r="AW141" i="47" s="1"/>
  <c r="AX141" i="47" s="1"/>
  <c r="AY141" i="47" s="1"/>
  <c r="AZ141" i="47" s="1"/>
  <c r="BA141" i="47" s="1"/>
  <c r="BB141" i="47" s="1"/>
  <c r="BC141" i="47" s="1"/>
  <c r="BD141" i="47" s="1"/>
  <c r="BF141" i="47" s="1"/>
  <c r="M19" i="45"/>
  <c r="L84" i="47"/>
  <c r="M61" i="47"/>
  <c r="J32" i="47"/>
  <c r="J113" i="47"/>
  <c r="K7" i="47"/>
  <c r="K140" i="47"/>
  <c r="J164" i="47"/>
  <c r="J133" i="47"/>
  <c r="J188" i="47" s="1"/>
  <c r="K28" i="47"/>
  <c r="J115" i="47"/>
  <c r="J170" i="47" s="1"/>
  <c r="K10" i="47"/>
  <c r="K131" i="47"/>
  <c r="K186" i="47" s="1"/>
  <c r="L26" i="47"/>
  <c r="L11" i="47"/>
  <c r="K116" i="47"/>
  <c r="K171" i="47" s="1"/>
  <c r="CE164" i="47"/>
  <c r="CE191" i="47"/>
  <c r="K35" i="47"/>
  <c r="K114" i="47" s="1"/>
  <c r="K169" i="47" s="1"/>
  <c r="J58" i="47"/>
  <c r="AI135" i="47"/>
  <c r="AI190" i="47" s="1"/>
  <c r="AJ56" i="47"/>
  <c r="J125" i="47"/>
  <c r="K20" i="47"/>
  <c r="K136" i="47"/>
  <c r="K191" i="47" s="1"/>
  <c r="L31" i="47"/>
  <c r="H192" i="47"/>
  <c r="H194" i="47" s="1"/>
  <c r="H196" i="47" s="1"/>
  <c r="K15" i="47"/>
  <c r="J120" i="47"/>
  <c r="J175" i="47" s="1"/>
  <c r="L134" i="47"/>
  <c r="L189" i="47" s="1"/>
  <c r="M29" i="47"/>
  <c r="I168" i="47"/>
  <c r="I137" i="47"/>
  <c r="K110" i="47"/>
  <c r="L87" i="47"/>
  <c r="J124" i="47"/>
  <c r="K19" i="47"/>
  <c r="CE58" i="47"/>
  <c r="CE135" i="47"/>
  <c r="J129" i="47"/>
  <c r="K24" i="47"/>
  <c r="J119" i="47"/>
  <c r="J174" i="47" s="1"/>
  <c r="K14" i="47"/>
  <c r="J127" i="47"/>
  <c r="J182" i="47" s="1"/>
  <c r="K22" i="47"/>
  <c r="J123" i="47"/>
  <c r="K18" i="47"/>
  <c r="K122" i="47"/>
  <c r="K177" i="47" s="1"/>
  <c r="L17" i="47"/>
  <c r="V66" i="47"/>
  <c r="U84" i="47"/>
  <c r="L9" i="47"/>
  <c r="J121" i="47"/>
  <c r="K16" i="47"/>
  <c r="K126" i="47"/>
  <c r="L21" i="47"/>
  <c r="J128" i="47"/>
  <c r="K23" i="47"/>
  <c r="J132" i="47"/>
  <c r="J187" i="47" s="1"/>
  <c r="K27" i="47"/>
  <c r="K118" i="47"/>
  <c r="L13" i="47"/>
  <c r="L135" i="47"/>
  <c r="L190" i="47" s="1"/>
  <c r="M30" i="47"/>
  <c r="X61" i="47"/>
  <c r="J114" i="47"/>
  <c r="K130" i="47"/>
  <c r="L25" i="47"/>
  <c r="J173" i="47"/>
  <c r="J117" i="47"/>
  <c r="K12" i="47"/>
  <c r="T51" i="45"/>
  <c r="T52" i="45" s="1"/>
  <c r="DR57" i="47" l="1"/>
  <c r="DE58" i="47"/>
  <c r="DE109" i="47"/>
  <c r="CR110" i="47"/>
  <c r="CR137" i="47"/>
  <c r="CR190" i="47"/>
  <c r="DE83" i="47"/>
  <c r="CR84" i="47"/>
  <c r="DR163" i="47"/>
  <c r="DE164" i="47"/>
  <c r="DE191" i="47"/>
  <c r="I192" i="47"/>
  <c r="I194" i="47" s="1"/>
  <c r="I196" i="47" s="1"/>
  <c r="Q22" i="45"/>
  <c r="M38" i="45"/>
  <c r="M26" i="45"/>
  <c r="BH145" i="47"/>
  <c r="BI145" i="47" s="1"/>
  <c r="BJ145" i="47" s="1"/>
  <c r="BK145" i="47" s="1"/>
  <c r="BL145" i="47" s="1"/>
  <c r="BM145" i="47" s="1"/>
  <c r="BN145" i="47" s="1"/>
  <c r="BO145" i="47" s="1"/>
  <c r="BP145" i="47" s="1"/>
  <c r="BQ145" i="47" s="1"/>
  <c r="BS145" i="47" s="1"/>
  <c r="AH156" i="47"/>
  <c r="AI156" i="47" s="1"/>
  <c r="AJ156" i="47" s="1"/>
  <c r="AK156" i="47" s="1"/>
  <c r="AL156" i="47" s="1"/>
  <c r="AM156" i="47" s="1"/>
  <c r="AN156" i="47" s="1"/>
  <c r="AO156" i="47" s="1"/>
  <c r="AP156" i="47" s="1"/>
  <c r="AQ156" i="47" s="1"/>
  <c r="AS156" i="47" s="1"/>
  <c r="AI154" i="47"/>
  <c r="AJ154" i="47" s="1"/>
  <c r="AK154" i="47" s="1"/>
  <c r="AL154" i="47" s="1"/>
  <c r="AM154" i="47" s="1"/>
  <c r="AN154" i="47" s="1"/>
  <c r="AO154" i="47" s="1"/>
  <c r="AP154" i="47" s="1"/>
  <c r="AQ154" i="47" s="1"/>
  <c r="AS154" i="47" s="1"/>
  <c r="BT144" i="47"/>
  <c r="BU144" i="47" s="1"/>
  <c r="BV144" i="47" s="1"/>
  <c r="BW144" i="47" s="1"/>
  <c r="BX144" i="47" s="1"/>
  <c r="BY144" i="47" s="1"/>
  <c r="BZ144" i="47" s="1"/>
  <c r="CA144" i="47" s="1"/>
  <c r="CB144" i="47" s="1"/>
  <c r="CC144" i="47" s="1"/>
  <c r="CD144" i="47" s="1"/>
  <c r="CF144" i="47" s="1"/>
  <c r="CG144" i="47" s="1"/>
  <c r="CH144" i="47" s="1"/>
  <c r="CI144" i="47" s="1"/>
  <c r="CJ144" i="47" s="1"/>
  <c r="CK144" i="47" s="1"/>
  <c r="CL144" i="47" s="1"/>
  <c r="CM144" i="47" s="1"/>
  <c r="CN144" i="47" s="1"/>
  <c r="CO144" i="47" s="1"/>
  <c r="CP144" i="47" s="1"/>
  <c r="CQ144" i="47" s="1"/>
  <c r="CS144" i="47" s="1"/>
  <c r="CT144" i="47" s="1"/>
  <c r="CU144" i="47" s="1"/>
  <c r="CV144" i="47" s="1"/>
  <c r="CW144" i="47" s="1"/>
  <c r="CX144" i="47" s="1"/>
  <c r="CY144" i="47" s="1"/>
  <c r="CZ144" i="47" s="1"/>
  <c r="DA144" i="47" s="1"/>
  <c r="DB144" i="47" s="1"/>
  <c r="DC144" i="47" s="1"/>
  <c r="DD144" i="47" s="1"/>
  <c r="DF144" i="47" s="1"/>
  <c r="DG144" i="47" s="1"/>
  <c r="DH144" i="47" s="1"/>
  <c r="DI144" i="47" s="1"/>
  <c r="DJ144" i="47" s="1"/>
  <c r="DK144" i="47" s="1"/>
  <c r="DL144" i="47" s="1"/>
  <c r="DM144" i="47" s="1"/>
  <c r="DN144" i="47" s="1"/>
  <c r="DO144" i="47" s="1"/>
  <c r="DP144" i="47" s="1"/>
  <c r="DQ144" i="47" s="1"/>
  <c r="S22" i="45"/>
  <c r="AI153" i="47"/>
  <c r="AW159" i="47"/>
  <c r="AU151" i="47"/>
  <c r="J172" i="47"/>
  <c r="AU146" i="47"/>
  <c r="W149" i="47"/>
  <c r="AU152" i="47"/>
  <c r="AH150" i="47"/>
  <c r="BS5" i="47"/>
  <c r="BT5" i="47" s="1"/>
  <c r="BU5" i="47" s="1"/>
  <c r="BV5" i="47" s="1"/>
  <c r="BW5" i="47" s="1"/>
  <c r="BX5" i="47" s="1"/>
  <c r="BY5" i="47" s="1"/>
  <c r="BZ5" i="47" s="1"/>
  <c r="CA5" i="47" s="1"/>
  <c r="CB5" i="47" s="1"/>
  <c r="CC5" i="47" s="1"/>
  <c r="CD5" i="47" s="1"/>
  <c r="CE5" i="47" s="1"/>
  <c r="P15" i="45"/>
  <c r="N161" i="47"/>
  <c r="Q20" i="45"/>
  <c r="AT160" i="47"/>
  <c r="AT148" i="47"/>
  <c r="AH158" i="47"/>
  <c r="AI158" i="47" s="1"/>
  <c r="AJ158" i="47" s="1"/>
  <c r="AK158" i="47" s="1"/>
  <c r="AL158" i="47" s="1"/>
  <c r="AM158" i="47" s="1"/>
  <c r="AN158" i="47" s="1"/>
  <c r="AO158" i="47" s="1"/>
  <c r="AP158" i="47" s="1"/>
  <c r="AQ158" i="47" s="1"/>
  <c r="AS158" i="47" s="1"/>
  <c r="AU147" i="47"/>
  <c r="AV147" i="47" s="1"/>
  <c r="AW147" i="47" s="1"/>
  <c r="AX147" i="47" s="1"/>
  <c r="AY147" i="47" s="1"/>
  <c r="AZ147" i="47" s="1"/>
  <c r="BA147" i="47" s="1"/>
  <c r="BB147" i="47" s="1"/>
  <c r="BC147" i="47" s="1"/>
  <c r="BD147" i="47" s="1"/>
  <c r="BF147" i="47" s="1"/>
  <c r="K173" i="47"/>
  <c r="J183" i="47"/>
  <c r="M34" i="45"/>
  <c r="V157" i="47"/>
  <c r="W157" i="47" s="1"/>
  <c r="X157" i="47" s="1"/>
  <c r="Y157" i="47" s="1"/>
  <c r="Z157" i="47" s="1"/>
  <c r="AA157" i="47" s="1"/>
  <c r="AB157" i="47" s="1"/>
  <c r="AC157" i="47" s="1"/>
  <c r="AD157" i="47" s="1"/>
  <c r="AF157" i="47" s="1"/>
  <c r="AI155" i="47"/>
  <c r="AJ155" i="47" s="1"/>
  <c r="AK155" i="47" s="1"/>
  <c r="AL155" i="47" s="1"/>
  <c r="AM155" i="47" s="1"/>
  <c r="AN155" i="47" s="1"/>
  <c r="AO155" i="47" s="1"/>
  <c r="AP155" i="47" s="1"/>
  <c r="AQ155" i="47" s="1"/>
  <c r="AS155" i="47" s="1"/>
  <c r="BT142" i="47"/>
  <c r="AJ143" i="47"/>
  <c r="O19" i="45"/>
  <c r="BG141" i="47"/>
  <c r="BH141" i="47" s="1"/>
  <c r="BI141" i="47" s="1"/>
  <c r="BJ141" i="47" s="1"/>
  <c r="BK141" i="47" s="1"/>
  <c r="BL141" i="47" s="1"/>
  <c r="BM141" i="47" s="1"/>
  <c r="BN141" i="47" s="1"/>
  <c r="BO141" i="47" s="1"/>
  <c r="BP141" i="47" s="1"/>
  <c r="BQ141" i="47" s="1"/>
  <c r="BS141" i="47" s="1"/>
  <c r="L130" i="47"/>
  <c r="L185" i="47" s="1"/>
  <c r="M25" i="47"/>
  <c r="J169" i="47"/>
  <c r="Y61" i="47"/>
  <c r="L126" i="47"/>
  <c r="L181" i="47" s="1"/>
  <c r="M21" i="47"/>
  <c r="K121" i="47"/>
  <c r="K176" i="47" s="1"/>
  <c r="L16" i="47"/>
  <c r="K123" i="47"/>
  <c r="K178" i="47" s="1"/>
  <c r="L18" i="47"/>
  <c r="J184" i="47"/>
  <c r="M87" i="47"/>
  <c r="L110" i="47"/>
  <c r="M134" i="47"/>
  <c r="N29" i="47"/>
  <c r="K125" i="47"/>
  <c r="K180" i="47" s="1"/>
  <c r="L20" i="47"/>
  <c r="L116" i="47"/>
  <c r="M11" i="47"/>
  <c r="K115" i="47"/>
  <c r="L10" i="47"/>
  <c r="K185" i="47"/>
  <c r="K132" i="47"/>
  <c r="L27" i="47"/>
  <c r="K181" i="47"/>
  <c r="J176" i="47"/>
  <c r="L122" i="47"/>
  <c r="M17" i="47"/>
  <c r="J178" i="47"/>
  <c r="K119" i="47"/>
  <c r="L14" i="47"/>
  <c r="K120" i="47"/>
  <c r="K175" i="47" s="1"/>
  <c r="L15" i="47"/>
  <c r="J180" i="47"/>
  <c r="K58" i="47"/>
  <c r="L35" i="47"/>
  <c r="K32" i="47"/>
  <c r="L7" i="47"/>
  <c r="K113" i="47"/>
  <c r="N61" i="47"/>
  <c r="M84" i="47"/>
  <c r="M135" i="47"/>
  <c r="M190" i="47" s="1"/>
  <c r="N30" i="47"/>
  <c r="K128" i="47"/>
  <c r="L23" i="47"/>
  <c r="K127" i="47"/>
  <c r="L22" i="47"/>
  <c r="K124" i="47"/>
  <c r="K179" i="47" s="1"/>
  <c r="L19" i="47"/>
  <c r="L136" i="47"/>
  <c r="L191" i="47" s="1"/>
  <c r="M31" i="47"/>
  <c r="AJ135" i="47"/>
  <c r="AJ190" i="47" s="1"/>
  <c r="AK56" i="47"/>
  <c r="L131" i="47"/>
  <c r="M26" i="47"/>
  <c r="J168" i="47"/>
  <c r="J137" i="47"/>
  <c r="K117" i="47"/>
  <c r="K172" i="47" s="1"/>
  <c r="L12" i="47"/>
  <c r="M13" i="47"/>
  <c r="L118" i="47"/>
  <c r="M9" i="47"/>
  <c r="W66" i="47"/>
  <c r="V84" i="47"/>
  <c r="L24" i="47"/>
  <c r="K129" i="47"/>
  <c r="K184" i="47" s="1"/>
  <c r="CE190" i="47"/>
  <c r="CE137" i="47"/>
  <c r="J179" i="47"/>
  <c r="L28" i="47"/>
  <c r="K133" i="47"/>
  <c r="K188" i="47" s="1"/>
  <c r="L140" i="47"/>
  <c r="K164" i="47"/>
  <c r="M88" i="11"/>
  <c r="DR109" i="47" l="1"/>
  <c r="DR110" i="47" s="1"/>
  <c r="DE110" i="47"/>
  <c r="DR83" i="47"/>
  <c r="DR84" i="47" s="1"/>
  <c r="DE84" i="47"/>
  <c r="DR191" i="47"/>
  <c r="DR164" i="47"/>
  <c r="DR135" i="47"/>
  <c r="DR58" i="47"/>
  <c r="R15" i="45"/>
  <c r="CF5" i="47"/>
  <c r="CG5" i="47" s="1"/>
  <c r="CH5" i="47" s="1"/>
  <c r="CI5" i="47" s="1"/>
  <c r="CJ5" i="47" s="1"/>
  <c r="CK5" i="47" s="1"/>
  <c r="CL5" i="47" s="1"/>
  <c r="CM5" i="47" s="1"/>
  <c r="CN5" i="47" s="1"/>
  <c r="CO5" i="47" s="1"/>
  <c r="CP5" i="47" s="1"/>
  <c r="CQ5" i="47" s="1"/>
  <c r="CR5" i="47" s="1"/>
  <c r="CS5" i="47" s="1"/>
  <c r="CT5" i="47" s="1"/>
  <c r="CU5" i="47" s="1"/>
  <c r="CV5" i="47" s="1"/>
  <c r="CW5" i="47" s="1"/>
  <c r="CX5" i="47" s="1"/>
  <c r="CY5" i="47" s="1"/>
  <c r="CZ5" i="47" s="1"/>
  <c r="DA5" i="47" s="1"/>
  <c r="DB5" i="47" s="1"/>
  <c r="DC5" i="47" s="1"/>
  <c r="DD5" i="47" s="1"/>
  <c r="DE5" i="47" s="1"/>
  <c r="DF5" i="47" s="1"/>
  <c r="DG5" i="47" s="1"/>
  <c r="DH5" i="47" s="1"/>
  <c r="DI5" i="47" s="1"/>
  <c r="DJ5" i="47" s="1"/>
  <c r="DK5" i="47" s="1"/>
  <c r="DL5" i="47" s="1"/>
  <c r="DM5" i="47" s="1"/>
  <c r="DN5" i="47" s="1"/>
  <c r="DO5" i="47" s="1"/>
  <c r="DP5" i="47" s="1"/>
  <c r="DQ5" i="47" s="1"/>
  <c r="DR5" i="47" s="1"/>
  <c r="DE135" i="47"/>
  <c r="M33" i="45"/>
  <c r="M36" i="45"/>
  <c r="HQ9" i="46"/>
  <c r="K35" i="45"/>
  <c r="BU142" i="47"/>
  <c r="BV142" i="47" s="1"/>
  <c r="BW142" i="47" s="1"/>
  <c r="BX142" i="47" s="1"/>
  <c r="BY142" i="47" s="1"/>
  <c r="BZ142" i="47" s="1"/>
  <c r="CA142" i="47" s="1"/>
  <c r="CB142" i="47" s="1"/>
  <c r="CC142" i="47" s="1"/>
  <c r="CD142" i="47" s="1"/>
  <c r="CF142" i="47" s="1"/>
  <c r="CG142" i="47" s="1"/>
  <c r="CH142" i="47" s="1"/>
  <c r="CI142" i="47" s="1"/>
  <c r="CJ142" i="47" s="1"/>
  <c r="CK142" i="47" s="1"/>
  <c r="CL142" i="47" s="1"/>
  <c r="CM142" i="47" s="1"/>
  <c r="CN142" i="47" s="1"/>
  <c r="CO142" i="47" s="1"/>
  <c r="CP142" i="47" s="1"/>
  <c r="CQ142" i="47" s="1"/>
  <c r="CS142" i="47" s="1"/>
  <c r="CT142" i="47" s="1"/>
  <c r="CU142" i="47" s="1"/>
  <c r="CV142" i="47" s="1"/>
  <c r="CW142" i="47" s="1"/>
  <c r="CX142" i="47" s="1"/>
  <c r="CY142" i="47" s="1"/>
  <c r="CZ142" i="47" s="1"/>
  <c r="DA142" i="47" s="1"/>
  <c r="DB142" i="47" s="1"/>
  <c r="DC142" i="47" s="1"/>
  <c r="DD142" i="47" s="1"/>
  <c r="DF142" i="47" s="1"/>
  <c r="DG142" i="47" s="1"/>
  <c r="DH142" i="47" s="1"/>
  <c r="DI142" i="47" s="1"/>
  <c r="DJ142" i="47" s="1"/>
  <c r="DK142" i="47" s="1"/>
  <c r="DL142" i="47" s="1"/>
  <c r="DM142" i="47" s="1"/>
  <c r="DN142" i="47" s="1"/>
  <c r="DO142" i="47" s="1"/>
  <c r="DP142" i="47" s="1"/>
  <c r="DQ142" i="47" s="1"/>
  <c r="AV152" i="47"/>
  <c r="AW152" i="47" s="1"/>
  <c r="AX152" i="47" s="1"/>
  <c r="AY152" i="47" s="1"/>
  <c r="AZ152" i="47" s="1"/>
  <c r="BA152" i="47" s="1"/>
  <c r="BB152" i="47" s="1"/>
  <c r="BC152" i="47" s="1"/>
  <c r="BD152" i="47" s="1"/>
  <c r="BF152" i="47" s="1"/>
  <c r="AV146" i="47"/>
  <c r="AW146" i="47" s="1"/>
  <c r="AX146" i="47" s="1"/>
  <c r="AY146" i="47" s="1"/>
  <c r="AZ146" i="47" s="1"/>
  <c r="BA146" i="47" s="1"/>
  <c r="BB146" i="47" s="1"/>
  <c r="BC146" i="47" s="1"/>
  <c r="BD146" i="47" s="1"/>
  <c r="BF146" i="47" s="1"/>
  <c r="AV151" i="47"/>
  <c r="AW151" i="47" s="1"/>
  <c r="AX151" i="47" s="1"/>
  <c r="AY151" i="47" s="1"/>
  <c r="AZ151" i="47" s="1"/>
  <c r="BA151" i="47" s="1"/>
  <c r="BB151" i="47" s="1"/>
  <c r="BC151" i="47" s="1"/>
  <c r="BD151" i="47" s="1"/>
  <c r="BF151" i="47" s="1"/>
  <c r="AJ153" i="47"/>
  <c r="AK153" i="47" s="1"/>
  <c r="AL153" i="47" s="1"/>
  <c r="AM153" i="47" s="1"/>
  <c r="AN153" i="47" s="1"/>
  <c r="AO153" i="47" s="1"/>
  <c r="AP153" i="47" s="1"/>
  <c r="AQ153" i="47" s="1"/>
  <c r="AS153" i="47" s="1"/>
  <c r="AT154" i="47"/>
  <c r="BG147" i="47"/>
  <c r="AU148" i="47"/>
  <c r="BT145" i="47"/>
  <c r="AT155" i="47"/>
  <c r="AU155" i="47" s="1"/>
  <c r="AV155" i="47" s="1"/>
  <c r="AW155" i="47" s="1"/>
  <c r="AX155" i="47" s="1"/>
  <c r="AY155" i="47" s="1"/>
  <c r="AZ155" i="47" s="1"/>
  <c r="BA155" i="47" s="1"/>
  <c r="BB155" i="47" s="1"/>
  <c r="BC155" i="47" s="1"/>
  <c r="BD155" i="47" s="1"/>
  <c r="BF155" i="47" s="1"/>
  <c r="AG157" i="47"/>
  <c r="AH157" i="47" s="1"/>
  <c r="AI157" i="47" s="1"/>
  <c r="AJ157" i="47" s="1"/>
  <c r="AK157" i="47" s="1"/>
  <c r="AL157" i="47" s="1"/>
  <c r="AM157" i="47" s="1"/>
  <c r="AN157" i="47" s="1"/>
  <c r="AO157" i="47" s="1"/>
  <c r="AP157" i="47" s="1"/>
  <c r="AQ157" i="47" s="1"/>
  <c r="AS157" i="47" s="1"/>
  <c r="Q23" i="45"/>
  <c r="O161" i="47"/>
  <c r="AI150" i="47"/>
  <c r="X149" i="47"/>
  <c r="AX159" i="47"/>
  <c r="AT156" i="47"/>
  <c r="O25" i="45"/>
  <c r="AT158" i="47"/>
  <c r="AU160" i="47"/>
  <c r="M32" i="45"/>
  <c r="AK143" i="47"/>
  <c r="Q19" i="45"/>
  <c r="BT141" i="47"/>
  <c r="BU141" i="47" s="1"/>
  <c r="BV141" i="47" s="1"/>
  <c r="BW141" i="47" s="1"/>
  <c r="BX141" i="47" s="1"/>
  <c r="BY141" i="47" s="1"/>
  <c r="BZ141" i="47" s="1"/>
  <c r="CA141" i="47" s="1"/>
  <c r="CB141" i="47" s="1"/>
  <c r="CC141" i="47" s="1"/>
  <c r="CD141" i="47" s="1"/>
  <c r="CF141" i="47" s="1"/>
  <c r="CG141" i="47" s="1"/>
  <c r="CH141" i="47" s="1"/>
  <c r="CI141" i="47" s="1"/>
  <c r="CJ141" i="47" s="1"/>
  <c r="CK141" i="47" s="1"/>
  <c r="CL141" i="47" s="1"/>
  <c r="CM141" i="47" s="1"/>
  <c r="CN141" i="47" s="1"/>
  <c r="CO141" i="47" s="1"/>
  <c r="CP141" i="47" s="1"/>
  <c r="CQ141" i="47" s="1"/>
  <c r="CS141" i="47" s="1"/>
  <c r="CT141" i="47" s="1"/>
  <c r="CU141" i="47" s="1"/>
  <c r="CV141" i="47" s="1"/>
  <c r="CW141" i="47" s="1"/>
  <c r="CX141" i="47" s="1"/>
  <c r="CY141" i="47" s="1"/>
  <c r="CZ141" i="47" s="1"/>
  <c r="DA141" i="47" s="1"/>
  <c r="DB141" i="47" s="1"/>
  <c r="DC141" i="47" s="1"/>
  <c r="DD141" i="47" s="1"/>
  <c r="DF141" i="47" s="1"/>
  <c r="DG141" i="47" s="1"/>
  <c r="DH141" i="47" s="1"/>
  <c r="DI141" i="47" s="1"/>
  <c r="DJ141" i="47" s="1"/>
  <c r="DK141" i="47" s="1"/>
  <c r="DL141" i="47" s="1"/>
  <c r="DM141" i="47" s="1"/>
  <c r="DN141" i="47" s="1"/>
  <c r="DO141" i="47" s="1"/>
  <c r="DP141" i="47" s="1"/>
  <c r="DQ141" i="47" s="1"/>
  <c r="L164" i="47"/>
  <c r="M140" i="47"/>
  <c r="K182" i="47"/>
  <c r="N135" i="47"/>
  <c r="N190" i="47" s="1"/>
  <c r="O30" i="47"/>
  <c r="O61" i="47"/>
  <c r="N84" i="47"/>
  <c r="L58" i="47"/>
  <c r="M35" i="47"/>
  <c r="M114" i="47" s="1"/>
  <c r="M169" i="47" s="1"/>
  <c r="L120" i="47"/>
  <c r="M15" i="47"/>
  <c r="K174" i="47"/>
  <c r="L177" i="47"/>
  <c r="L115" i="47"/>
  <c r="L170" i="47" s="1"/>
  <c r="M10" i="47"/>
  <c r="L125" i="47"/>
  <c r="L180" i="47" s="1"/>
  <c r="M20" i="47"/>
  <c r="M189" i="47"/>
  <c r="L121" i="47"/>
  <c r="M16" i="47"/>
  <c r="X66" i="47"/>
  <c r="W84" i="47"/>
  <c r="L117" i="47"/>
  <c r="L172" i="47" s="1"/>
  <c r="M12" i="47"/>
  <c r="J192" i="47"/>
  <c r="J194" i="47" s="1"/>
  <c r="J196" i="47" s="1"/>
  <c r="AK135" i="47"/>
  <c r="AK190" i="47" s="1"/>
  <c r="AL56" i="47"/>
  <c r="L124" i="47"/>
  <c r="M19" i="47"/>
  <c r="K137" i="47"/>
  <c r="K168" i="47"/>
  <c r="L132" i="47"/>
  <c r="L187" i="47" s="1"/>
  <c r="M27" i="47"/>
  <c r="K170" i="47"/>
  <c r="Z61" i="47"/>
  <c r="M130" i="47"/>
  <c r="M185" i="47" s="1"/>
  <c r="N25" i="47"/>
  <c r="L133" i="47"/>
  <c r="L188" i="47" s="1"/>
  <c r="M28" i="47"/>
  <c r="L129" i="47"/>
  <c r="M24" i="47"/>
  <c r="N9" i="47"/>
  <c r="L173" i="47"/>
  <c r="M131" i="47"/>
  <c r="M186" i="47" s="1"/>
  <c r="N26" i="47"/>
  <c r="L128" i="47"/>
  <c r="L183" i="47" s="1"/>
  <c r="M23" i="47"/>
  <c r="L113" i="47"/>
  <c r="L32" i="47"/>
  <c r="M7" i="47"/>
  <c r="K187" i="47"/>
  <c r="M116" i="47"/>
  <c r="M171" i="47" s="1"/>
  <c r="N11" i="47"/>
  <c r="M18" i="47"/>
  <c r="L123" i="47"/>
  <c r="L114" i="47"/>
  <c r="N13" i="47"/>
  <c r="M118" i="47"/>
  <c r="L186" i="47"/>
  <c r="M136" i="47"/>
  <c r="M191" i="47" s="1"/>
  <c r="N31" i="47"/>
  <c r="M22" i="47"/>
  <c r="L127" i="47"/>
  <c r="L182" i="47" s="1"/>
  <c r="K183" i="47"/>
  <c r="L119" i="47"/>
  <c r="L174" i="47" s="1"/>
  <c r="M14" i="47"/>
  <c r="M122" i="47"/>
  <c r="M177" i="47" s="1"/>
  <c r="N17" i="47"/>
  <c r="L171" i="47"/>
  <c r="O29" i="47"/>
  <c r="N134" i="47"/>
  <c r="N189" i="47" s="1"/>
  <c r="M110" i="47"/>
  <c r="N87" i="47"/>
  <c r="M126" i="47"/>
  <c r="M181" i="47" s="1"/>
  <c r="N21" i="47"/>
  <c r="DE137" i="47" l="1"/>
  <c r="DE190" i="47"/>
  <c r="DR137" i="47"/>
  <c r="DR190" i="47"/>
  <c r="O24" i="45"/>
  <c r="X22" i="45"/>
  <c r="M35" i="45"/>
  <c r="M31" i="45"/>
  <c r="O33" i="45"/>
  <c r="O29" i="45"/>
  <c r="O30" i="45"/>
  <c r="AU156" i="47"/>
  <c r="AV156" i="47" s="1"/>
  <c r="AW156" i="47" s="1"/>
  <c r="AX156" i="47" s="1"/>
  <c r="AY156" i="47" s="1"/>
  <c r="AZ156" i="47" s="1"/>
  <c r="BA156" i="47" s="1"/>
  <c r="BB156" i="47" s="1"/>
  <c r="BC156" i="47" s="1"/>
  <c r="BD156" i="47" s="1"/>
  <c r="BF156" i="47" s="1"/>
  <c r="AV160" i="47"/>
  <c r="S20" i="45"/>
  <c r="BG155" i="47"/>
  <c r="AV148" i="47"/>
  <c r="AU154" i="47"/>
  <c r="BG151" i="47"/>
  <c r="BG152" i="47"/>
  <c r="BH152" i="47" s="1"/>
  <c r="BI152" i="47" s="1"/>
  <c r="BJ152" i="47" s="1"/>
  <c r="BK152" i="47" s="1"/>
  <c r="BL152" i="47" s="1"/>
  <c r="BM152" i="47" s="1"/>
  <c r="BN152" i="47" s="1"/>
  <c r="BO152" i="47" s="1"/>
  <c r="BP152" i="47" s="1"/>
  <c r="BQ152" i="47" s="1"/>
  <c r="BS152" i="47" s="1"/>
  <c r="P161" i="47"/>
  <c r="Q161" i="47" s="1"/>
  <c r="S161" i="47" s="1"/>
  <c r="M173" i="47"/>
  <c r="Y149" i="47"/>
  <c r="Z149" i="47" s="1"/>
  <c r="AA149" i="47" s="1"/>
  <c r="AB149" i="47" s="1"/>
  <c r="AC149" i="47" s="1"/>
  <c r="AD149" i="47" s="1"/>
  <c r="AF149" i="47" s="1"/>
  <c r="AY159" i="47"/>
  <c r="AZ159" i="47" s="1"/>
  <c r="BA159" i="47" s="1"/>
  <c r="BB159" i="47" s="1"/>
  <c r="BC159" i="47" s="1"/>
  <c r="BD159" i="47" s="1"/>
  <c r="BF159" i="47" s="1"/>
  <c r="AJ150" i="47"/>
  <c r="AK150" i="47" s="1"/>
  <c r="AL150" i="47" s="1"/>
  <c r="AM150" i="47" s="1"/>
  <c r="AN150" i="47" s="1"/>
  <c r="AO150" i="47" s="1"/>
  <c r="AP150" i="47" s="1"/>
  <c r="AQ150" i="47" s="1"/>
  <c r="AS150" i="47" s="1"/>
  <c r="AU158" i="47"/>
  <c r="AT157" i="47"/>
  <c r="BU145" i="47"/>
  <c r="BH147" i="47"/>
  <c r="AT153" i="47"/>
  <c r="BG146" i="47"/>
  <c r="HQ7" i="46"/>
  <c r="AL143" i="47"/>
  <c r="HQ6" i="46"/>
  <c r="S19" i="45"/>
  <c r="O134" i="47"/>
  <c r="P29" i="47"/>
  <c r="N136" i="47"/>
  <c r="N191" i="47" s="1"/>
  <c r="O31" i="47"/>
  <c r="L169" i="47"/>
  <c r="M123" i="47"/>
  <c r="M178" i="47" s="1"/>
  <c r="N18" i="47"/>
  <c r="L168" i="47"/>
  <c r="L137" i="47"/>
  <c r="M129" i="47"/>
  <c r="M184" i="47" s="1"/>
  <c r="N24" i="47"/>
  <c r="AL135" i="47"/>
  <c r="AL190" i="47" s="1"/>
  <c r="AM56" i="47"/>
  <c r="M117" i="47"/>
  <c r="M172" i="47" s="1"/>
  <c r="N12" i="47"/>
  <c r="M120" i="47"/>
  <c r="M175" i="47" s="1"/>
  <c r="N15" i="47"/>
  <c r="O135" i="47"/>
  <c r="O190" i="47" s="1"/>
  <c r="P30" i="47"/>
  <c r="O87" i="47"/>
  <c r="N110" i="47"/>
  <c r="M119" i="47"/>
  <c r="M174" i="47" s="1"/>
  <c r="N14" i="47"/>
  <c r="N116" i="47"/>
  <c r="O11" i="47"/>
  <c r="N131" i="47"/>
  <c r="N186" i="47" s="1"/>
  <c r="O26" i="47"/>
  <c r="L184" i="47"/>
  <c r="N130" i="47"/>
  <c r="O25" i="47"/>
  <c r="M132" i="47"/>
  <c r="N27" i="47"/>
  <c r="N10" i="47"/>
  <c r="M115" i="47"/>
  <c r="L175" i="47"/>
  <c r="M164" i="47"/>
  <c r="N140" i="47"/>
  <c r="N122" i="47"/>
  <c r="N177" i="47" s="1"/>
  <c r="O17" i="47"/>
  <c r="M113" i="47"/>
  <c r="N7" i="47"/>
  <c r="M32" i="47"/>
  <c r="M128" i="47"/>
  <c r="N23" i="47"/>
  <c r="M124" i="47"/>
  <c r="M179" i="47" s="1"/>
  <c r="N19" i="47"/>
  <c r="N16" i="47"/>
  <c r="M121" i="47"/>
  <c r="M176" i="47" s="1"/>
  <c r="N126" i="47"/>
  <c r="N181" i="47" s="1"/>
  <c r="O21" i="47"/>
  <c r="M127" i="47"/>
  <c r="M182" i="47" s="1"/>
  <c r="N22" i="47"/>
  <c r="N118" i="47"/>
  <c r="O13" i="47"/>
  <c r="L178" i="47"/>
  <c r="O9" i="47"/>
  <c r="M133" i="47"/>
  <c r="M188" i="47" s="1"/>
  <c r="N28" i="47"/>
  <c r="AA61" i="47"/>
  <c r="K192" i="47"/>
  <c r="K194" i="47" s="1"/>
  <c r="K196" i="47" s="1"/>
  <c r="L179" i="47"/>
  <c r="Y66" i="47"/>
  <c r="X84" i="47"/>
  <c r="L176" i="47"/>
  <c r="M125" i="47"/>
  <c r="N20" i="47"/>
  <c r="N35" i="47"/>
  <c r="N114" i="47" s="1"/>
  <c r="N169" i="47" s="1"/>
  <c r="M58" i="47"/>
  <c r="O84" i="47"/>
  <c r="P61" i="47"/>
  <c r="I39" i="45" l="1"/>
  <c r="K27" i="45"/>
  <c r="O34" i="45"/>
  <c r="O37" i="45"/>
  <c r="X19" i="45"/>
  <c r="BT152" i="47"/>
  <c r="BU152" i="47" s="1"/>
  <c r="BV152" i="47" s="1"/>
  <c r="BW152" i="47" s="1"/>
  <c r="BX152" i="47" s="1"/>
  <c r="BY152" i="47" s="1"/>
  <c r="BZ152" i="47" s="1"/>
  <c r="CA152" i="47" s="1"/>
  <c r="CB152" i="47" s="1"/>
  <c r="CC152" i="47" s="1"/>
  <c r="CD152" i="47" s="1"/>
  <c r="CF152" i="47" s="1"/>
  <c r="CG152" i="47" s="1"/>
  <c r="CH152" i="47" s="1"/>
  <c r="CI152" i="47" s="1"/>
  <c r="CJ152" i="47" s="1"/>
  <c r="CK152" i="47" s="1"/>
  <c r="CL152" i="47" s="1"/>
  <c r="CM152" i="47" s="1"/>
  <c r="CN152" i="47" s="1"/>
  <c r="CO152" i="47" s="1"/>
  <c r="CP152" i="47" s="1"/>
  <c r="CQ152" i="47" s="1"/>
  <c r="CS152" i="47" s="1"/>
  <c r="CT152" i="47" s="1"/>
  <c r="CU152" i="47" s="1"/>
  <c r="CV152" i="47" s="1"/>
  <c r="CW152" i="47" s="1"/>
  <c r="CX152" i="47" s="1"/>
  <c r="CY152" i="47" s="1"/>
  <c r="CZ152" i="47" s="1"/>
  <c r="DA152" i="47" s="1"/>
  <c r="DB152" i="47" s="1"/>
  <c r="DC152" i="47" s="1"/>
  <c r="DD152" i="47" s="1"/>
  <c r="DF152" i="47" s="1"/>
  <c r="DG152" i="47" s="1"/>
  <c r="DH152" i="47" s="1"/>
  <c r="DI152" i="47" s="1"/>
  <c r="DJ152" i="47" s="1"/>
  <c r="DK152" i="47" s="1"/>
  <c r="DL152" i="47" s="1"/>
  <c r="DM152" i="47" s="1"/>
  <c r="DN152" i="47" s="1"/>
  <c r="DO152" i="47" s="1"/>
  <c r="DP152" i="47" s="1"/>
  <c r="DQ152" i="47" s="1"/>
  <c r="AV154" i="47"/>
  <c r="AW154" i="47" s="1"/>
  <c r="AX154" i="47" s="1"/>
  <c r="AY154" i="47" s="1"/>
  <c r="AZ154" i="47" s="1"/>
  <c r="BA154" i="47" s="1"/>
  <c r="BB154" i="47" s="1"/>
  <c r="BC154" i="47" s="1"/>
  <c r="BD154" i="47" s="1"/>
  <c r="BF154" i="47" s="1"/>
  <c r="BH155" i="47"/>
  <c r="BI155" i="47" s="1"/>
  <c r="BJ155" i="47" s="1"/>
  <c r="BK155" i="47" s="1"/>
  <c r="BL155" i="47" s="1"/>
  <c r="BM155" i="47" s="1"/>
  <c r="BN155" i="47" s="1"/>
  <c r="BO155" i="47" s="1"/>
  <c r="BP155" i="47" s="1"/>
  <c r="BQ155" i="47" s="1"/>
  <c r="BS155" i="47" s="1"/>
  <c r="AW160" i="47"/>
  <c r="AX160" i="47" s="1"/>
  <c r="AY160" i="47" s="1"/>
  <c r="AZ160" i="47" s="1"/>
  <c r="BA160" i="47" s="1"/>
  <c r="BB160" i="47" s="1"/>
  <c r="BC160" i="47" s="1"/>
  <c r="BD160" i="47" s="1"/>
  <c r="BF160" i="47" s="1"/>
  <c r="BH146" i="47"/>
  <c r="BI147" i="47"/>
  <c r="BJ147" i="47" s="1"/>
  <c r="BK147" i="47" s="1"/>
  <c r="BL147" i="47" s="1"/>
  <c r="BM147" i="47" s="1"/>
  <c r="BN147" i="47" s="1"/>
  <c r="BO147" i="47" s="1"/>
  <c r="BP147" i="47" s="1"/>
  <c r="BQ147" i="47" s="1"/>
  <c r="AU157" i="47"/>
  <c r="BG159" i="47"/>
  <c r="AG149" i="47"/>
  <c r="AV158" i="47"/>
  <c r="AW158" i="47" s="1"/>
  <c r="AX158" i="47" s="1"/>
  <c r="AY158" i="47" s="1"/>
  <c r="AZ158" i="47" s="1"/>
  <c r="BA158" i="47" s="1"/>
  <c r="BB158" i="47" s="1"/>
  <c r="BC158" i="47" s="1"/>
  <c r="BD158" i="47" s="1"/>
  <c r="BF158" i="47" s="1"/>
  <c r="T161" i="47"/>
  <c r="U161" i="47" s="1"/>
  <c r="V161" i="47" s="1"/>
  <c r="W161" i="47" s="1"/>
  <c r="X161" i="47" s="1"/>
  <c r="Y161" i="47" s="1"/>
  <c r="Z161" i="47" s="1"/>
  <c r="AA161" i="47" s="1"/>
  <c r="AB161" i="47" s="1"/>
  <c r="AC161" i="47" s="1"/>
  <c r="AD161" i="47" s="1"/>
  <c r="AF161" i="47" s="1"/>
  <c r="BH151" i="47"/>
  <c r="BI151" i="47" s="1"/>
  <c r="BJ151" i="47" s="1"/>
  <c r="BK151" i="47" s="1"/>
  <c r="BL151" i="47" s="1"/>
  <c r="BM151" i="47" s="1"/>
  <c r="BN151" i="47" s="1"/>
  <c r="BO151" i="47" s="1"/>
  <c r="BP151" i="47" s="1"/>
  <c r="BQ151" i="47" s="1"/>
  <c r="BS151" i="47" s="1"/>
  <c r="AW148" i="47"/>
  <c r="AX148" i="47" s="1"/>
  <c r="AY148" i="47" s="1"/>
  <c r="AZ148" i="47" s="1"/>
  <c r="BA148" i="47" s="1"/>
  <c r="BB148" i="47" s="1"/>
  <c r="BC148" i="47" s="1"/>
  <c r="BD148" i="47" s="1"/>
  <c r="BF148" i="47" s="1"/>
  <c r="X20" i="45"/>
  <c r="M28" i="45"/>
  <c r="AU153" i="47"/>
  <c r="BV145" i="47"/>
  <c r="AT150" i="47"/>
  <c r="Q30" i="45"/>
  <c r="BG156" i="47"/>
  <c r="AM143" i="47"/>
  <c r="AN143" i="47" s="1"/>
  <c r="AO143" i="47" s="1"/>
  <c r="AP143" i="47" s="1"/>
  <c r="AQ143" i="47" s="1"/>
  <c r="AS143" i="47" s="1"/>
  <c r="M180" i="47"/>
  <c r="Z66" i="47"/>
  <c r="Y84" i="47"/>
  <c r="N113" i="47"/>
  <c r="N32" i="47"/>
  <c r="O7" i="47"/>
  <c r="O122" i="47"/>
  <c r="O177" i="47" s="1"/>
  <c r="P17" i="47"/>
  <c r="N115" i="47"/>
  <c r="N170" i="47" s="1"/>
  <c r="O10" i="47"/>
  <c r="N185" i="47"/>
  <c r="P135" i="47"/>
  <c r="P190" i="47" s="1"/>
  <c r="Q30" i="47"/>
  <c r="O118" i="47"/>
  <c r="O173" i="47" s="1"/>
  <c r="P13" i="47"/>
  <c r="N127" i="47"/>
  <c r="N182" i="47" s="1"/>
  <c r="O22" i="47"/>
  <c r="O126" i="47"/>
  <c r="O181" i="47" s="1"/>
  <c r="P21" i="47"/>
  <c r="O23" i="47"/>
  <c r="N128" i="47"/>
  <c r="N183" i="47" s="1"/>
  <c r="M168" i="47"/>
  <c r="M137" i="47"/>
  <c r="O27" i="47"/>
  <c r="N132" i="47"/>
  <c r="N187" i="47" s="1"/>
  <c r="O12" i="47"/>
  <c r="N117" i="47"/>
  <c r="N172" i="47" s="1"/>
  <c r="L192" i="47"/>
  <c r="L194" i="47" s="1"/>
  <c r="L196" i="47" s="1"/>
  <c r="P134" i="47"/>
  <c r="P189" i="47" s="1"/>
  <c r="Q29" i="47"/>
  <c r="O35" i="47"/>
  <c r="O114" i="47" s="1"/>
  <c r="N58" i="47"/>
  <c r="AB61" i="47"/>
  <c r="P9" i="47"/>
  <c r="N173" i="47"/>
  <c r="N121" i="47"/>
  <c r="O16" i="47"/>
  <c r="M183" i="47"/>
  <c r="M187" i="47"/>
  <c r="O116" i="47"/>
  <c r="O171" i="47" s="1"/>
  <c r="P11" i="47"/>
  <c r="N119" i="47"/>
  <c r="N174" i="47" s="1"/>
  <c r="O14" i="47"/>
  <c r="N120" i="47"/>
  <c r="N175" i="47" s="1"/>
  <c r="O15" i="47"/>
  <c r="N129" i="47"/>
  <c r="O24" i="47"/>
  <c r="N123" i="47"/>
  <c r="N178" i="47" s="1"/>
  <c r="O18" i="47"/>
  <c r="O136" i="47"/>
  <c r="O191" i="47" s="1"/>
  <c r="P31" i="47"/>
  <c r="O189" i="47"/>
  <c r="P84" i="47"/>
  <c r="Q61" i="47"/>
  <c r="Q84" i="47" s="1"/>
  <c r="N125" i="47"/>
  <c r="N180" i="47" s="1"/>
  <c r="O20" i="47"/>
  <c r="N133" i="47"/>
  <c r="N188" i="47" s="1"/>
  <c r="O28" i="47"/>
  <c r="N124" i="47"/>
  <c r="N179" i="47" s="1"/>
  <c r="O19" i="47"/>
  <c r="N164" i="47"/>
  <c r="O140" i="47"/>
  <c r="M170" i="47"/>
  <c r="O130" i="47"/>
  <c r="O185" i="47" s="1"/>
  <c r="P25" i="47"/>
  <c r="O131" i="47"/>
  <c r="O186" i="47" s="1"/>
  <c r="P26" i="47"/>
  <c r="N171" i="47"/>
  <c r="O110" i="47"/>
  <c r="P87" i="47"/>
  <c r="AN56" i="47"/>
  <c r="AM135" i="47"/>
  <c r="AM190" i="47" s="1"/>
  <c r="F6" i="46"/>
  <c r="F7" i="46"/>
  <c r="O32" i="45" l="1"/>
  <c r="HQ17" i="46"/>
  <c r="O38" i="45"/>
  <c r="S30" i="45"/>
  <c r="Q33" i="45"/>
  <c r="BH156" i="47"/>
  <c r="BI156" i="47" s="1"/>
  <c r="BJ156" i="47" s="1"/>
  <c r="BK156" i="47" s="1"/>
  <c r="BL156" i="47" s="1"/>
  <c r="BM156" i="47" s="1"/>
  <c r="BN156" i="47" s="1"/>
  <c r="BO156" i="47" s="1"/>
  <c r="BP156" i="47" s="1"/>
  <c r="BQ156" i="47" s="1"/>
  <c r="BS156" i="47" s="1"/>
  <c r="AV153" i="47"/>
  <c r="AW153" i="47" s="1"/>
  <c r="AX153" i="47" s="1"/>
  <c r="AY153" i="47" s="1"/>
  <c r="AZ153" i="47" s="1"/>
  <c r="BA153" i="47" s="1"/>
  <c r="BB153" i="47" s="1"/>
  <c r="BC153" i="47" s="1"/>
  <c r="BD153" i="47" s="1"/>
  <c r="BF153" i="47" s="1"/>
  <c r="BG148" i="47"/>
  <c r="BH148" i="47" s="1"/>
  <c r="BI148" i="47" s="1"/>
  <c r="BJ148" i="47" s="1"/>
  <c r="BK148" i="47" s="1"/>
  <c r="BL148" i="47" s="1"/>
  <c r="BM148" i="47" s="1"/>
  <c r="BN148" i="47" s="1"/>
  <c r="BO148" i="47" s="1"/>
  <c r="BP148" i="47" s="1"/>
  <c r="BQ148" i="47" s="1"/>
  <c r="BS148" i="47" s="1"/>
  <c r="BH159" i="47"/>
  <c r="BI159" i="47" s="1"/>
  <c r="BJ159" i="47" s="1"/>
  <c r="BK159" i="47" s="1"/>
  <c r="BL159" i="47" s="1"/>
  <c r="BM159" i="47" s="1"/>
  <c r="BN159" i="47" s="1"/>
  <c r="BO159" i="47" s="1"/>
  <c r="BP159" i="47" s="1"/>
  <c r="BQ159" i="47" s="1"/>
  <c r="BS159" i="47" s="1"/>
  <c r="M21" i="45"/>
  <c r="O36" i="45"/>
  <c r="BG160" i="47"/>
  <c r="BG154" i="47"/>
  <c r="BH154" i="47" s="1"/>
  <c r="BI154" i="47" s="1"/>
  <c r="BJ154" i="47" s="1"/>
  <c r="BK154" i="47" s="1"/>
  <c r="BL154" i="47" s="1"/>
  <c r="BM154" i="47" s="1"/>
  <c r="BN154" i="47" s="1"/>
  <c r="BO154" i="47" s="1"/>
  <c r="BP154" i="47" s="1"/>
  <c r="BQ154" i="47" s="1"/>
  <c r="O26" i="45"/>
  <c r="C10" i="47"/>
  <c r="C36" i="47" s="1"/>
  <c r="C62" i="47" s="1"/>
  <c r="C88" i="47" s="1"/>
  <c r="C115" i="47" s="1"/>
  <c r="AU150" i="47"/>
  <c r="AV150" i="47" s="1"/>
  <c r="AW150" i="47" s="1"/>
  <c r="AX150" i="47" s="1"/>
  <c r="AY150" i="47" s="1"/>
  <c r="AZ150" i="47" s="1"/>
  <c r="BA150" i="47" s="1"/>
  <c r="BB150" i="47" s="1"/>
  <c r="BC150" i="47" s="1"/>
  <c r="BD150" i="47" s="1"/>
  <c r="BF150" i="47" s="1"/>
  <c r="BW145" i="47"/>
  <c r="BX145" i="47" s="1"/>
  <c r="BY145" i="47" s="1"/>
  <c r="BZ145" i="47" s="1"/>
  <c r="CA145" i="47" s="1"/>
  <c r="CB145" i="47" s="1"/>
  <c r="CC145" i="47" s="1"/>
  <c r="CD145" i="47" s="1"/>
  <c r="CF145" i="47" s="1"/>
  <c r="CG145" i="47" s="1"/>
  <c r="CH145" i="47" s="1"/>
  <c r="CI145" i="47" s="1"/>
  <c r="CJ145" i="47" s="1"/>
  <c r="CK145" i="47" s="1"/>
  <c r="CL145" i="47" s="1"/>
  <c r="CM145" i="47" s="1"/>
  <c r="CN145" i="47" s="1"/>
  <c r="CO145" i="47" s="1"/>
  <c r="CP145" i="47" s="1"/>
  <c r="CQ145" i="47" s="1"/>
  <c r="CS145" i="47" s="1"/>
  <c r="CT145" i="47" s="1"/>
  <c r="CU145" i="47" s="1"/>
  <c r="CV145" i="47" s="1"/>
  <c r="CW145" i="47" s="1"/>
  <c r="CX145" i="47" s="1"/>
  <c r="CY145" i="47" s="1"/>
  <c r="CZ145" i="47" s="1"/>
  <c r="DA145" i="47" s="1"/>
  <c r="DB145" i="47" s="1"/>
  <c r="DC145" i="47" s="1"/>
  <c r="DD145" i="47" s="1"/>
  <c r="DF145" i="47" s="1"/>
  <c r="DG145" i="47" s="1"/>
  <c r="DH145" i="47" s="1"/>
  <c r="DI145" i="47" s="1"/>
  <c r="DJ145" i="47" s="1"/>
  <c r="DK145" i="47" s="1"/>
  <c r="DL145" i="47" s="1"/>
  <c r="DM145" i="47" s="1"/>
  <c r="DN145" i="47" s="1"/>
  <c r="DO145" i="47" s="1"/>
  <c r="DP145" i="47" s="1"/>
  <c r="DQ145" i="47" s="1"/>
  <c r="BT151" i="47"/>
  <c r="BU151" i="47" s="1"/>
  <c r="BV151" i="47" s="1"/>
  <c r="BW151" i="47" s="1"/>
  <c r="BX151" i="47" s="1"/>
  <c r="BY151" i="47" s="1"/>
  <c r="BZ151" i="47" s="1"/>
  <c r="CA151" i="47" s="1"/>
  <c r="CB151" i="47" s="1"/>
  <c r="CC151" i="47" s="1"/>
  <c r="CD151" i="47" s="1"/>
  <c r="BG158" i="47"/>
  <c r="BH158" i="47" s="1"/>
  <c r="BI158" i="47" s="1"/>
  <c r="BJ158" i="47" s="1"/>
  <c r="BK158" i="47" s="1"/>
  <c r="BL158" i="47" s="1"/>
  <c r="BM158" i="47" s="1"/>
  <c r="BN158" i="47" s="1"/>
  <c r="BO158" i="47" s="1"/>
  <c r="BP158" i="47" s="1"/>
  <c r="BQ158" i="47" s="1"/>
  <c r="BS158" i="47" s="1"/>
  <c r="AH149" i="47"/>
  <c r="AI149" i="47" s="1"/>
  <c r="AJ149" i="47" s="1"/>
  <c r="AK149" i="47" s="1"/>
  <c r="AL149" i="47" s="1"/>
  <c r="AM149" i="47" s="1"/>
  <c r="AN149" i="47" s="1"/>
  <c r="AO149" i="47" s="1"/>
  <c r="AP149" i="47" s="1"/>
  <c r="AQ149" i="47" s="1"/>
  <c r="AS149" i="47" s="1"/>
  <c r="AV157" i="47"/>
  <c r="AW157" i="47" s="1"/>
  <c r="AX157" i="47" s="1"/>
  <c r="AY157" i="47" s="1"/>
  <c r="AZ157" i="47" s="1"/>
  <c r="BA157" i="47" s="1"/>
  <c r="BB157" i="47" s="1"/>
  <c r="BC157" i="47" s="1"/>
  <c r="BD157" i="47" s="1"/>
  <c r="BI146" i="47"/>
  <c r="BJ146" i="47" s="1"/>
  <c r="BK146" i="47" s="1"/>
  <c r="BL146" i="47" s="1"/>
  <c r="BM146" i="47" s="1"/>
  <c r="BN146" i="47" s="1"/>
  <c r="BO146" i="47" s="1"/>
  <c r="BP146" i="47" s="1"/>
  <c r="BQ146" i="47" s="1"/>
  <c r="AG161" i="47"/>
  <c r="AH161" i="47" s="1"/>
  <c r="AI161" i="47" s="1"/>
  <c r="AJ161" i="47" s="1"/>
  <c r="AK161" i="47" s="1"/>
  <c r="AL161" i="47" s="1"/>
  <c r="AM161" i="47" s="1"/>
  <c r="AN161" i="47" s="1"/>
  <c r="AO161" i="47" s="1"/>
  <c r="AP161" i="47" s="1"/>
  <c r="AQ161" i="47" s="1"/>
  <c r="AS161" i="47" s="1"/>
  <c r="BS147" i="47"/>
  <c r="C9" i="47"/>
  <c r="C35" i="47" s="1"/>
  <c r="C61" i="47" s="1"/>
  <c r="C87" i="47" s="1"/>
  <c r="C114" i="47" s="1"/>
  <c r="Q34" i="45"/>
  <c r="K39" i="45"/>
  <c r="Q37" i="45"/>
  <c r="Q25" i="45"/>
  <c r="BT155" i="47"/>
  <c r="BU155" i="47" s="1"/>
  <c r="BV155" i="47" s="1"/>
  <c r="BW155" i="47" s="1"/>
  <c r="BX155" i="47" s="1"/>
  <c r="BY155" i="47" s="1"/>
  <c r="BZ155" i="47" s="1"/>
  <c r="CA155" i="47" s="1"/>
  <c r="CB155" i="47" s="1"/>
  <c r="CC155" i="47" s="1"/>
  <c r="CD155" i="47" s="1"/>
  <c r="Q29" i="45"/>
  <c r="AT143" i="47"/>
  <c r="AU143" i="47" s="1"/>
  <c r="AV143" i="47" s="1"/>
  <c r="AW143" i="47" s="1"/>
  <c r="AX143" i="47" s="1"/>
  <c r="AY143" i="47" s="1"/>
  <c r="AZ143" i="47" s="1"/>
  <c r="BA143" i="47" s="1"/>
  <c r="BB143" i="47" s="1"/>
  <c r="BC143" i="47" s="1"/>
  <c r="BD143" i="47" s="1"/>
  <c r="P131" i="47"/>
  <c r="P186" i="47" s="1"/>
  <c r="Q26" i="47"/>
  <c r="O133" i="47"/>
  <c r="O188" i="47" s="1"/>
  <c r="P28" i="47"/>
  <c r="O123" i="47"/>
  <c r="O178" i="47" s="1"/>
  <c r="P18" i="47"/>
  <c r="O120" i="47"/>
  <c r="O175" i="47" s="1"/>
  <c r="P15" i="47"/>
  <c r="N176" i="47"/>
  <c r="O169" i="47"/>
  <c r="M192" i="47"/>
  <c r="M194" i="47" s="1"/>
  <c r="M196" i="47" s="1"/>
  <c r="P126" i="47"/>
  <c r="P181" i="47" s="1"/>
  <c r="Q21" i="47"/>
  <c r="P118" i="47"/>
  <c r="P173" i="47" s="1"/>
  <c r="Q13" i="47"/>
  <c r="O32" i="47"/>
  <c r="O113" i="47"/>
  <c r="P7" i="47"/>
  <c r="AA66" i="47"/>
  <c r="Z84" i="47"/>
  <c r="O124" i="47"/>
  <c r="O179" i="47" s="1"/>
  <c r="P19" i="47"/>
  <c r="P116" i="47"/>
  <c r="P171" i="47" s="1"/>
  <c r="Q11" i="47"/>
  <c r="AC61" i="47"/>
  <c r="O58" i="47"/>
  <c r="P35" i="47"/>
  <c r="P122" i="47"/>
  <c r="P177" i="47" s="1"/>
  <c r="Q17" i="47"/>
  <c r="AN135" i="47"/>
  <c r="AN190" i="47" s="1"/>
  <c r="AO56" i="47"/>
  <c r="Q25" i="47"/>
  <c r="P130" i="47"/>
  <c r="P185" i="47" s="1"/>
  <c r="P140" i="47"/>
  <c r="O164" i="47"/>
  <c r="P136" i="47"/>
  <c r="P191" i="47" s="1"/>
  <c r="Q31" i="47"/>
  <c r="O129" i="47"/>
  <c r="O184" i="47" s="1"/>
  <c r="P24" i="47"/>
  <c r="Q134" i="47"/>
  <c r="H39" i="45" s="1"/>
  <c r="S29" i="47"/>
  <c r="O132" i="47"/>
  <c r="O187" i="47" s="1"/>
  <c r="P27" i="47"/>
  <c r="O127" i="47"/>
  <c r="O182" i="47" s="1"/>
  <c r="P22" i="47"/>
  <c r="N168" i="47"/>
  <c r="N137" i="47"/>
  <c r="P110" i="47"/>
  <c r="Q87" i="47"/>
  <c r="O125" i="47"/>
  <c r="O180" i="47" s="1"/>
  <c r="P20" i="47"/>
  <c r="N184" i="47"/>
  <c r="O119" i="47"/>
  <c r="O174" i="47" s="1"/>
  <c r="P14" i="47"/>
  <c r="O121" i="47"/>
  <c r="O176" i="47" s="1"/>
  <c r="P16" i="47"/>
  <c r="Q9" i="47"/>
  <c r="O117" i="47"/>
  <c r="O172" i="47" s="1"/>
  <c r="P12" i="47"/>
  <c r="O128" i="47"/>
  <c r="O183" i="47" s="1"/>
  <c r="P23" i="47"/>
  <c r="Q135" i="47"/>
  <c r="Q190" i="47" s="1"/>
  <c r="S30" i="47"/>
  <c r="O115" i="47"/>
  <c r="O170" i="47" s="1"/>
  <c r="P10" i="47"/>
  <c r="G82" i="11"/>
  <c r="G83" i="11"/>
  <c r="HQ20" i="46" l="1"/>
  <c r="CF155" i="47"/>
  <c r="CG155" i="47" s="1"/>
  <c r="CH155" i="47" s="1"/>
  <c r="CI155" i="47" s="1"/>
  <c r="CJ155" i="47" s="1"/>
  <c r="CK155" i="47" s="1"/>
  <c r="CL155" i="47" s="1"/>
  <c r="CM155" i="47" s="1"/>
  <c r="CN155" i="47" s="1"/>
  <c r="CO155" i="47" s="1"/>
  <c r="CP155" i="47" s="1"/>
  <c r="CQ155" i="47" s="1"/>
  <c r="CS155" i="47" s="1"/>
  <c r="CT155" i="47" s="1"/>
  <c r="CU155" i="47" s="1"/>
  <c r="CV155" i="47" s="1"/>
  <c r="CW155" i="47" s="1"/>
  <c r="CX155" i="47" s="1"/>
  <c r="CY155" i="47" s="1"/>
  <c r="CZ155" i="47" s="1"/>
  <c r="DA155" i="47" s="1"/>
  <c r="DB155" i="47" s="1"/>
  <c r="DC155" i="47" s="1"/>
  <c r="DD155" i="47" s="1"/>
  <c r="DF155" i="47" s="1"/>
  <c r="DG155" i="47" s="1"/>
  <c r="DH155" i="47" s="1"/>
  <c r="DI155" i="47" s="1"/>
  <c r="DJ155" i="47" s="1"/>
  <c r="DK155" i="47" s="1"/>
  <c r="DL155" i="47" s="1"/>
  <c r="DM155" i="47" s="1"/>
  <c r="DN155" i="47" s="1"/>
  <c r="DO155" i="47" s="1"/>
  <c r="DP155" i="47" s="1"/>
  <c r="DQ155" i="47" s="1"/>
  <c r="S29" i="45"/>
  <c r="CF151" i="47"/>
  <c r="CG151" i="47" s="1"/>
  <c r="CH151" i="47" s="1"/>
  <c r="CI151" i="47" s="1"/>
  <c r="CJ151" i="47" s="1"/>
  <c r="CK151" i="47" s="1"/>
  <c r="CL151" i="47" s="1"/>
  <c r="CM151" i="47" s="1"/>
  <c r="CN151" i="47" s="1"/>
  <c r="CO151" i="47" s="1"/>
  <c r="CP151" i="47" s="1"/>
  <c r="CQ151" i="47" s="1"/>
  <c r="CS151" i="47" s="1"/>
  <c r="CT151" i="47" s="1"/>
  <c r="CU151" i="47" s="1"/>
  <c r="CV151" i="47" s="1"/>
  <c r="CW151" i="47" s="1"/>
  <c r="CX151" i="47" s="1"/>
  <c r="CY151" i="47" s="1"/>
  <c r="CZ151" i="47" s="1"/>
  <c r="DA151" i="47" s="1"/>
  <c r="DB151" i="47" s="1"/>
  <c r="DC151" i="47" s="1"/>
  <c r="DD151" i="47" s="1"/>
  <c r="DF151" i="47" s="1"/>
  <c r="DG151" i="47" s="1"/>
  <c r="DH151" i="47" s="1"/>
  <c r="DI151" i="47" s="1"/>
  <c r="DJ151" i="47" s="1"/>
  <c r="DK151" i="47" s="1"/>
  <c r="DL151" i="47" s="1"/>
  <c r="DM151" i="47" s="1"/>
  <c r="DN151" i="47" s="1"/>
  <c r="DO151" i="47" s="1"/>
  <c r="DP151" i="47" s="1"/>
  <c r="DQ151" i="47" s="1"/>
  <c r="X30" i="45"/>
  <c r="Q32" i="45"/>
  <c r="Q24" i="45"/>
  <c r="BT148" i="47"/>
  <c r="BU148" i="47" s="1"/>
  <c r="BV148" i="47" s="1"/>
  <c r="BW148" i="47" s="1"/>
  <c r="BX148" i="47" s="1"/>
  <c r="BY148" i="47" s="1"/>
  <c r="BZ148" i="47" s="1"/>
  <c r="CA148" i="47" s="1"/>
  <c r="CB148" i="47" s="1"/>
  <c r="CC148" i="47" s="1"/>
  <c r="CD148" i="47" s="1"/>
  <c r="CF148" i="47" s="1"/>
  <c r="CG148" i="47" s="1"/>
  <c r="CH148" i="47" s="1"/>
  <c r="CI148" i="47" s="1"/>
  <c r="CJ148" i="47" s="1"/>
  <c r="CK148" i="47" s="1"/>
  <c r="CL148" i="47" s="1"/>
  <c r="CM148" i="47" s="1"/>
  <c r="CN148" i="47" s="1"/>
  <c r="CO148" i="47" s="1"/>
  <c r="CP148" i="47" s="1"/>
  <c r="CQ148" i="47" s="1"/>
  <c r="CS148" i="47" s="1"/>
  <c r="CT148" i="47" s="1"/>
  <c r="CU148" i="47" s="1"/>
  <c r="CV148" i="47" s="1"/>
  <c r="CW148" i="47" s="1"/>
  <c r="CX148" i="47" s="1"/>
  <c r="CY148" i="47" s="1"/>
  <c r="CZ148" i="47" s="1"/>
  <c r="DA148" i="47" s="1"/>
  <c r="DB148" i="47" s="1"/>
  <c r="DC148" i="47" s="1"/>
  <c r="DD148" i="47" s="1"/>
  <c r="DF148" i="47" s="1"/>
  <c r="DG148" i="47" s="1"/>
  <c r="DH148" i="47" s="1"/>
  <c r="DI148" i="47" s="1"/>
  <c r="DJ148" i="47" s="1"/>
  <c r="DK148" i="47" s="1"/>
  <c r="DL148" i="47" s="1"/>
  <c r="DM148" i="47" s="1"/>
  <c r="DN148" i="47" s="1"/>
  <c r="DO148" i="47" s="1"/>
  <c r="DP148" i="47" s="1"/>
  <c r="DQ148" i="47" s="1"/>
  <c r="BT156" i="47"/>
  <c r="BU156" i="47" s="1"/>
  <c r="BV156" i="47" s="1"/>
  <c r="BW156" i="47" s="1"/>
  <c r="BX156" i="47" s="1"/>
  <c r="BY156" i="47" s="1"/>
  <c r="BZ156" i="47" s="1"/>
  <c r="CA156" i="47" s="1"/>
  <c r="CB156" i="47" s="1"/>
  <c r="CC156" i="47" s="1"/>
  <c r="CD156" i="47" s="1"/>
  <c r="CF156" i="47" s="1"/>
  <c r="CG156" i="47" s="1"/>
  <c r="CH156" i="47" s="1"/>
  <c r="CI156" i="47" s="1"/>
  <c r="CJ156" i="47" s="1"/>
  <c r="CK156" i="47" s="1"/>
  <c r="CL156" i="47" s="1"/>
  <c r="CM156" i="47" s="1"/>
  <c r="CN156" i="47" s="1"/>
  <c r="CO156" i="47" s="1"/>
  <c r="CP156" i="47" s="1"/>
  <c r="CQ156" i="47" s="1"/>
  <c r="CS156" i="47" s="1"/>
  <c r="CT156" i="47" s="1"/>
  <c r="CU156" i="47" s="1"/>
  <c r="CV156" i="47" s="1"/>
  <c r="CW156" i="47" s="1"/>
  <c r="CX156" i="47" s="1"/>
  <c r="CY156" i="47" s="1"/>
  <c r="CZ156" i="47" s="1"/>
  <c r="DA156" i="47" s="1"/>
  <c r="DB156" i="47" s="1"/>
  <c r="DC156" i="47" s="1"/>
  <c r="DD156" i="47" s="1"/>
  <c r="DF156" i="47" s="1"/>
  <c r="DG156" i="47" s="1"/>
  <c r="DH156" i="47" s="1"/>
  <c r="DI156" i="47" s="1"/>
  <c r="DJ156" i="47" s="1"/>
  <c r="DK156" i="47" s="1"/>
  <c r="DL156" i="47" s="1"/>
  <c r="DM156" i="47" s="1"/>
  <c r="DN156" i="47" s="1"/>
  <c r="DO156" i="47" s="1"/>
  <c r="DP156" i="47" s="1"/>
  <c r="DQ156" i="47" s="1"/>
  <c r="S33" i="45"/>
  <c r="X33" i="45" s="1"/>
  <c r="C141" i="47"/>
  <c r="C169" i="47" s="1"/>
  <c r="B19" i="45"/>
  <c r="M39" i="45"/>
  <c r="BS146" i="47"/>
  <c r="AT149" i="47"/>
  <c r="BG150" i="47"/>
  <c r="BH160" i="47"/>
  <c r="BT159" i="47"/>
  <c r="O31" i="45"/>
  <c r="O28" i="45"/>
  <c r="AT161" i="47"/>
  <c r="AU161" i="47" s="1"/>
  <c r="AV161" i="47" s="1"/>
  <c r="AW161" i="47" s="1"/>
  <c r="AX161" i="47" s="1"/>
  <c r="AY161" i="47" s="1"/>
  <c r="AZ161" i="47" s="1"/>
  <c r="BA161" i="47" s="1"/>
  <c r="BB161" i="47" s="1"/>
  <c r="BC161" i="47" s="1"/>
  <c r="BD161" i="47" s="1"/>
  <c r="BF161" i="47" s="1"/>
  <c r="O35" i="45"/>
  <c r="Q36" i="45"/>
  <c r="HQ10" i="46"/>
  <c r="BG153" i="47"/>
  <c r="M27" i="45"/>
  <c r="BT147" i="47"/>
  <c r="BU147" i="47" s="1"/>
  <c r="BV147" i="47" s="1"/>
  <c r="BW147" i="47" s="1"/>
  <c r="BX147" i="47" s="1"/>
  <c r="BY147" i="47" s="1"/>
  <c r="BZ147" i="47" s="1"/>
  <c r="CA147" i="47" s="1"/>
  <c r="CB147" i="47" s="1"/>
  <c r="CC147" i="47" s="1"/>
  <c r="CD147" i="47" s="1"/>
  <c r="CF147" i="47" s="1"/>
  <c r="CG147" i="47" s="1"/>
  <c r="CH147" i="47" s="1"/>
  <c r="CI147" i="47" s="1"/>
  <c r="CJ147" i="47" s="1"/>
  <c r="CK147" i="47" s="1"/>
  <c r="CL147" i="47" s="1"/>
  <c r="CM147" i="47" s="1"/>
  <c r="CN147" i="47" s="1"/>
  <c r="CO147" i="47" s="1"/>
  <c r="CP147" i="47" s="1"/>
  <c r="CQ147" i="47" s="1"/>
  <c r="CS147" i="47" s="1"/>
  <c r="CT147" i="47" s="1"/>
  <c r="CU147" i="47" s="1"/>
  <c r="CV147" i="47" s="1"/>
  <c r="CW147" i="47" s="1"/>
  <c r="CX147" i="47" s="1"/>
  <c r="CY147" i="47" s="1"/>
  <c r="CZ147" i="47" s="1"/>
  <c r="DA147" i="47" s="1"/>
  <c r="DB147" i="47" s="1"/>
  <c r="DC147" i="47" s="1"/>
  <c r="DD147" i="47" s="1"/>
  <c r="DF147" i="47" s="1"/>
  <c r="DG147" i="47" s="1"/>
  <c r="DH147" i="47" s="1"/>
  <c r="DI147" i="47" s="1"/>
  <c r="DJ147" i="47" s="1"/>
  <c r="DK147" i="47" s="1"/>
  <c r="DL147" i="47" s="1"/>
  <c r="DM147" i="47" s="1"/>
  <c r="DN147" i="47" s="1"/>
  <c r="DO147" i="47" s="1"/>
  <c r="DP147" i="47" s="1"/>
  <c r="DQ147" i="47" s="1"/>
  <c r="BF157" i="47"/>
  <c r="BT158" i="47"/>
  <c r="C142" i="47"/>
  <c r="C170" i="47" s="1"/>
  <c r="B20" i="45"/>
  <c r="BS154" i="47"/>
  <c r="HQ16" i="46"/>
  <c r="Q26" i="45"/>
  <c r="S23" i="45"/>
  <c r="BF143" i="47"/>
  <c r="O21" i="45"/>
  <c r="P117" i="47"/>
  <c r="P172" i="47" s="1"/>
  <c r="Q12" i="47"/>
  <c r="P121" i="47"/>
  <c r="P176" i="47" s="1"/>
  <c r="Q16" i="47"/>
  <c r="N192" i="47"/>
  <c r="N194" i="47" s="1"/>
  <c r="N196" i="47" s="1"/>
  <c r="Q130" i="47"/>
  <c r="H35" i="45" s="1"/>
  <c r="S25" i="47"/>
  <c r="O137" i="47"/>
  <c r="O168" i="47"/>
  <c r="O192" i="47" s="1"/>
  <c r="O194" i="47" s="1"/>
  <c r="O196" i="47" s="1"/>
  <c r="Q126" i="47"/>
  <c r="H31" i="45" s="1"/>
  <c r="S21" i="47"/>
  <c r="P115" i="47"/>
  <c r="P170" i="47" s="1"/>
  <c r="Q10" i="47"/>
  <c r="P128" i="47"/>
  <c r="P183" i="47" s="1"/>
  <c r="Q23" i="47"/>
  <c r="Q110" i="47"/>
  <c r="S87" i="47"/>
  <c r="P127" i="47"/>
  <c r="P182" i="47" s="1"/>
  <c r="Q22" i="47"/>
  <c r="P129" i="47"/>
  <c r="P184" i="47" s="1"/>
  <c r="Q24" i="47"/>
  <c r="AO135" i="47"/>
  <c r="AO190" i="47" s="1"/>
  <c r="AP56" i="47"/>
  <c r="P58" i="47"/>
  <c r="Q35" i="47"/>
  <c r="Q114" i="47" s="1"/>
  <c r="Q116" i="47"/>
  <c r="H21" i="45" s="1"/>
  <c r="S11" i="47"/>
  <c r="P123" i="47"/>
  <c r="P178" i="47" s="1"/>
  <c r="Q18" i="47"/>
  <c r="Q131" i="47"/>
  <c r="H36" i="45" s="1"/>
  <c r="S26" i="47"/>
  <c r="S9" i="47"/>
  <c r="P119" i="47"/>
  <c r="P174" i="47" s="1"/>
  <c r="Q14" i="47"/>
  <c r="P125" i="47"/>
  <c r="P180" i="47" s="1"/>
  <c r="Q20" i="47"/>
  <c r="S134" i="47"/>
  <c r="T29" i="47"/>
  <c r="Q140" i="47"/>
  <c r="I18" i="45" s="1"/>
  <c r="P164" i="47"/>
  <c r="AB66" i="47"/>
  <c r="AA84" i="47"/>
  <c r="Q118" i="47"/>
  <c r="H23" i="45" s="1"/>
  <c r="S13" i="47"/>
  <c r="S135" i="47"/>
  <c r="S190" i="47" s="1"/>
  <c r="T30" i="47"/>
  <c r="P114" i="47"/>
  <c r="P169" i="47" s="1"/>
  <c r="P132" i="47"/>
  <c r="P187" i="47" s="1"/>
  <c r="Q27" i="47"/>
  <c r="Q189" i="47"/>
  <c r="Q136" i="47"/>
  <c r="Q191" i="47" s="1"/>
  <c r="S31" i="47"/>
  <c r="Q122" i="47"/>
  <c r="H27" i="45" s="1"/>
  <c r="S17" i="47"/>
  <c r="AD61" i="47"/>
  <c r="Q19" i="47"/>
  <c r="P124" i="47"/>
  <c r="P179" i="47" s="1"/>
  <c r="P113" i="47"/>
  <c r="Q7" i="47"/>
  <c r="P32" i="47"/>
  <c r="Q15" i="47"/>
  <c r="P120" i="47"/>
  <c r="P175" i="47" s="1"/>
  <c r="P133" i="47"/>
  <c r="P188" i="47" s="1"/>
  <c r="Q28" i="47"/>
  <c r="M58" i="11"/>
  <c r="HQ21" i="46" l="1"/>
  <c r="HQ12" i="46"/>
  <c r="S25" i="45"/>
  <c r="HQ13" i="46"/>
  <c r="S34" i="45"/>
  <c r="X34" i="45" s="1"/>
  <c r="S26" i="45"/>
  <c r="BH150" i="47"/>
  <c r="BI150" i="47" s="1"/>
  <c r="BJ150" i="47" s="1"/>
  <c r="BK150" i="47" s="1"/>
  <c r="BL150" i="47" s="1"/>
  <c r="BM150" i="47" s="1"/>
  <c r="BN150" i="47" s="1"/>
  <c r="BO150" i="47" s="1"/>
  <c r="BP150" i="47" s="1"/>
  <c r="BQ150" i="47" s="1"/>
  <c r="BS150" i="47" s="1"/>
  <c r="BT146" i="47"/>
  <c r="BU146" i="47" s="1"/>
  <c r="BV146" i="47" s="1"/>
  <c r="BW146" i="47" s="1"/>
  <c r="BX146" i="47" s="1"/>
  <c r="BY146" i="47" s="1"/>
  <c r="BZ146" i="47" s="1"/>
  <c r="CA146" i="47" s="1"/>
  <c r="CB146" i="47" s="1"/>
  <c r="CC146" i="47" s="1"/>
  <c r="CD146" i="47" s="1"/>
  <c r="CF146" i="47" s="1"/>
  <c r="CG146" i="47" s="1"/>
  <c r="CH146" i="47" s="1"/>
  <c r="CI146" i="47" s="1"/>
  <c r="CJ146" i="47" s="1"/>
  <c r="CK146" i="47" s="1"/>
  <c r="CL146" i="47" s="1"/>
  <c r="CM146" i="47" s="1"/>
  <c r="CN146" i="47" s="1"/>
  <c r="CO146" i="47" s="1"/>
  <c r="CP146" i="47" s="1"/>
  <c r="CQ146" i="47" s="1"/>
  <c r="CS146" i="47" s="1"/>
  <c r="CT146" i="47" s="1"/>
  <c r="CU146" i="47" s="1"/>
  <c r="CV146" i="47" s="1"/>
  <c r="CW146" i="47" s="1"/>
  <c r="CX146" i="47" s="1"/>
  <c r="CY146" i="47" s="1"/>
  <c r="CZ146" i="47" s="1"/>
  <c r="DA146" i="47" s="1"/>
  <c r="DB146" i="47" s="1"/>
  <c r="DC146" i="47" s="1"/>
  <c r="DD146" i="47" s="1"/>
  <c r="DF146" i="47" s="1"/>
  <c r="DG146" i="47" s="1"/>
  <c r="DH146" i="47" s="1"/>
  <c r="DI146" i="47" s="1"/>
  <c r="DJ146" i="47" s="1"/>
  <c r="DK146" i="47" s="1"/>
  <c r="DL146" i="47" s="1"/>
  <c r="DM146" i="47" s="1"/>
  <c r="DN146" i="47" s="1"/>
  <c r="DO146" i="47" s="1"/>
  <c r="DP146" i="47" s="1"/>
  <c r="DQ146" i="47" s="1"/>
  <c r="X23" i="45"/>
  <c r="BH153" i="47"/>
  <c r="BI160" i="47"/>
  <c r="BJ160" i="47" s="1"/>
  <c r="BK160" i="47" s="1"/>
  <c r="BL160" i="47" s="1"/>
  <c r="BM160" i="47" s="1"/>
  <c r="BN160" i="47" s="1"/>
  <c r="BO160" i="47" s="1"/>
  <c r="BP160" i="47" s="1"/>
  <c r="BQ160" i="47" s="1"/>
  <c r="BG157" i="47"/>
  <c r="BH157" i="47" s="1"/>
  <c r="BI157" i="47" s="1"/>
  <c r="BJ157" i="47" s="1"/>
  <c r="BK157" i="47" s="1"/>
  <c r="BL157" i="47" s="1"/>
  <c r="BM157" i="47" s="1"/>
  <c r="BN157" i="47" s="1"/>
  <c r="BO157" i="47" s="1"/>
  <c r="BP157" i="47" s="1"/>
  <c r="BQ157" i="47" s="1"/>
  <c r="BS157" i="47" s="1"/>
  <c r="BG161" i="47"/>
  <c r="BH161" i="47" s="1"/>
  <c r="BI161" i="47" s="1"/>
  <c r="BJ161" i="47" s="1"/>
  <c r="BK161" i="47" s="1"/>
  <c r="BL161" i="47" s="1"/>
  <c r="BM161" i="47" s="1"/>
  <c r="BN161" i="47" s="1"/>
  <c r="BO161" i="47" s="1"/>
  <c r="BP161" i="47" s="1"/>
  <c r="BQ161" i="47" s="1"/>
  <c r="BS161" i="47" s="1"/>
  <c r="S189" i="47"/>
  <c r="BT154" i="47"/>
  <c r="BU158" i="47"/>
  <c r="AU149" i="47"/>
  <c r="AV149" i="47" s="1"/>
  <c r="AW149" i="47" s="1"/>
  <c r="AX149" i="47" s="1"/>
  <c r="AY149" i="47" s="1"/>
  <c r="AZ149" i="47" s="1"/>
  <c r="BA149" i="47" s="1"/>
  <c r="BB149" i="47" s="1"/>
  <c r="BC149" i="47" s="1"/>
  <c r="BD149" i="47" s="1"/>
  <c r="BF149" i="47" s="1"/>
  <c r="O39" i="45"/>
  <c r="X29" i="45"/>
  <c r="BU159" i="47"/>
  <c r="BV159" i="47" s="1"/>
  <c r="BW159" i="47" s="1"/>
  <c r="BX159" i="47" s="1"/>
  <c r="BY159" i="47" s="1"/>
  <c r="BZ159" i="47" s="1"/>
  <c r="CA159" i="47" s="1"/>
  <c r="CB159" i="47" s="1"/>
  <c r="CC159" i="47" s="1"/>
  <c r="CD159" i="47" s="1"/>
  <c r="CF159" i="47" s="1"/>
  <c r="CG159" i="47" s="1"/>
  <c r="CH159" i="47" s="1"/>
  <c r="CI159" i="47" s="1"/>
  <c r="CJ159" i="47" s="1"/>
  <c r="CK159" i="47" s="1"/>
  <c r="CL159" i="47" s="1"/>
  <c r="CM159" i="47" s="1"/>
  <c r="CN159" i="47" s="1"/>
  <c r="CO159" i="47" s="1"/>
  <c r="CP159" i="47" s="1"/>
  <c r="CQ159" i="47" s="1"/>
  <c r="CS159" i="47" s="1"/>
  <c r="CT159" i="47" s="1"/>
  <c r="CU159" i="47" s="1"/>
  <c r="CV159" i="47" s="1"/>
  <c r="CW159" i="47" s="1"/>
  <c r="CX159" i="47" s="1"/>
  <c r="CY159" i="47" s="1"/>
  <c r="CZ159" i="47" s="1"/>
  <c r="DA159" i="47" s="1"/>
  <c r="DB159" i="47" s="1"/>
  <c r="DC159" i="47" s="1"/>
  <c r="DD159" i="47" s="1"/>
  <c r="DF159" i="47" s="1"/>
  <c r="DG159" i="47" s="1"/>
  <c r="DH159" i="47" s="1"/>
  <c r="DI159" i="47" s="1"/>
  <c r="DJ159" i="47" s="1"/>
  <c r="DK159" i="47" s="1"/>
  <c r="DL159" i="47" s="1"/>
  <c r="DM159" i="47" s="1"/>
  <c r="DN159" i="47" s="1"/>
  <c r="DO159" i="47" s="1"/>
  <c r="DP159" i="47" s="1"/>
  <c r="DQ159" i="47" s="1"/>
  <c r="BG143" i="47"/>
  <c r="H19" i="45"/>
  <c r="Q133" i="47"/>
  <c r="H38" i="45" s="1"/>
  <c r="S28" i="47"/>
  <c r="AC66" i="47"/>
  <c r="AB84" i="47"/>
  <c r="Q119" i="47"/>
  <c r="H24" i="45" s="1"/>
  <c r="S14" i="47"/>
  <c r="Q169" i="47"/>
  <c r="Q123" i="47"/>
  <c r="H28" i="45" s="1"/>
  <c r="S18" i="47"/>
  <c r="Q171" i="47"/>
  <c r="Q128" i="47"/>
  <c r="H33" i="45" s="1"/>
  <c r="S23" i="47"/>
  <c r="Q117" i="47"/>
  <c r="H22" i="45" s="1"/>
  <c r="S12" i="47"/>
  <c r="Q113" i="47"/>
  <c r="H18" i="45" s="1"/>
  <c r="S7" i="47"/>
  <c r="Q32" i="47"/>
  <c r="Q124" i="47"/>
  <c r="H29" i="45" s="1"/>
  <c r="S19" i="47"/>
  <c r="S122" i="47"/>
  <c r="T17" i="47"/>
  <c r="S118" i="47"/>
  <c r="T13" i="47"/>
  <c r="Q125" i="47"/>
  <c r="H30" i="45" s="1"/>
  <c r="S20" i="47"/>
  <c r="Q58" i="47"/>
  <c r="S35" i="47"/>
  <c r="S114" i="47" s="1"/>
  <c r="Q129" i="47"/>
  <c r="H34" i="45" s="1"/>
  <c r="S24" i="47"/>
  <c r="S110" i="47"/>
  <c r="T87" i="47"/>
  <c r="S126" i="47"/>
  <c r="T21" i="47"/>
  <c r="P168" i="47"/>
  <c r="P192" i="47" s="1"/>
  <c r="P194" i="47" s="1"/>
  <c r="P196" i="47" s="1"/>
  <c r="P137" i="47"/>
  <c r="AF61" i="47"/>
  <c r="Q177" i="47"/>
  <c r="T135" i="47"/>
  <c r="T190" i="47" s="1"/>
  <c r="U30" i="47"/>
  <c r="Q173" i="47"/>
  <c r="Q164" i="47"/>
  <c r="S140" i="47"/>
  <c r="S131" i="47"/>
  <c r="T26" i="47"/>
  <c r="Q115" i="47"/>
  <c r="H20" i="45" s="1"/>
  <c r="S10" i="47"/>
  <c r="Q181" i="47"/>
  <c r="S130" i="47"/>
  <c r="T25" i="47"/>
  <c r="Q121" i="47"/>
  <c r="H26" i="45" s="1"/>
  <c r="S16" i="47"/>
  <c r="Q120" i="47"/>
  <c r="H25" i="45" s="1"/>
  <c r="S15" i="47"/>
  <c r="S136" i="47"/>
  <c r="S191" i="47" s="1"/>
  <c r="T31" i="47"/>
  <c r="Q132" i="47"/>
  <c r="H37" i="45" s="1"/>
  <c r="S27" i="47"/>
  <c r="T134" i="47"/>
  <c r="T189" i="47" s="1"/>
  <c r="U29" i="47"/>
  <c r="T9" i="47"/>
  <c r="Q186" i="47"/>
  <c r="S116" i="47"/>
  <c r="T11" i="47"/>
  <c r="AP135" i="47"/>
  <c r="AP190" i="47" s="1"/>
  <c r="AQ56" i="47"/>
  <c r="Q127" i="47"/>
  <c r="H32" i="45" s="1"/>
  <c r="S22" i="47"/>
  <c r="Q185" i="47"/>
  <c r="HY3" i="46"/>
  <c r="M82" i="11"/>
  <c r="HS2" i="46"/>
  <c r="HS3" i="46" s="1"/>
  <c r="HR2" i="46"/>
  <c r="HR3" i="46" s="1"/>
  <c r="BC131" i="11"/>
  <c r="BB131" i="11"/>
  <c r="AQ131" i="11"/>
  <c r="AP131" i="11"/>
  <c r="L131" i="11"/>
  <c r="D131" i="11"/>
  <c r="Q28" i="45" l="1"/>
  <c r="X25" i="45"/>
  <c r="Q38" i="45"/>
  <c r="X26" i="45"/>
  <c r="HQ24" i="46"/>
  <c r="Q39" i="45"/>
  <c r="Q35" i="45"/>
  <c r="S186" i="47"/>
  <c r="BG149" i="47"/>
  <c r="BH149" i="47" s="1"/>
  <c r="BI149" i="47" s="1"/>
  <c r="BJ149" i="47" s="1"/>
  <c r="BK149" i="47" s="1"/>
  <c r="BL149" i="47" s="1"/>
  <c r="BM149" i="47" s="1"/>
  <c r="BN149" i="47" s="1"/>
  <c r="BO149" i="47" s="1"/>
  <c r="BP149" i="47" s="1"/>
  <c r="BQ149" i="47" s="1"/>
  <c r="BV158" i="47"/>
  <c r="BT157" i="47"/>
  <c r="S37" i="45"/>
  <c r="S173" i="47"/>
  <c r="HQ11" i="46"/>
  <c r="BI153" i="47"/>
  <c r="BJ153" i="47" s="1"/>
  <c r="BK153" i="47" s="1"/>
  <c r="BL153" i="47" s="1"/>
  <c r="BM153" i="47" s="1"/>
  <c r="BN153" i="47" s="1"/>
  <c r="BO153" i="47" s="1"/>
  <c r="BP153" i="47" s="1"/>
  <c r="BQ153" i="47" s="1"/>
  <c r="BT150" i="47"/>
  <c r="BU150" i="47" s="1"/>
  <c r="BV150" i="47" s="1"/>
  <c r="BW150" i="47" s="1"/>
  <c r="BX150" i="47" s="1"/>
  <c r="BY150" i="47" s="1"/>
  <c r="BZ150" i="47" s="1"/>
  <c r="CA150" i="47" s="1"/>
  <c r="CB150" i="47" s="1"/>
  <c r="CC150" i="47" s="1"/>
  <c r="CD150" i="47" s="1"/>
  <c r="CF150" i="47" s="1"/>
  <c r="CG150" i="47" s="1"/>
  <c r="CH150" i="47" s="1"/>
  <c r="CI150" i="47" s="1"/>
  <c r="CJ150" i="47" s="1"/>
  <c r="CK150" i="47" s="1"/>
  <c r="CL150" i="47" s="1"/>
  <c r="CM150" i="47" s="1"/>
  <c r="CN150" i="47" s="1"/>
  <c r="CO150" i="47" s="1"/>
  <c r="CP150" i="47" s="1"/>
  <c r="CQ150" i="47" s="1"/>
  <c r="CS150" i="47" s="1"/>
  <c r="CT150" i="47" s="1"/>
  <c r="CU150" i="47" s="1"/>
  <c r="CV150" i="47" s="1"/>
  <c r="CW150" i="47" s="1"/>
  <c r="CX150" i="47" s="1"/>
  <c r="CY150" i="47" s="1"/>
  <c r="CZ150" i="47" s="1"/>
  <c r="DA150" i="47" s="1"/>
  <c r="DB150" i="47" s="1"/>
  <c r="DC150" i="47" s="1"/>
  <c r="DD150" i="47" s="1"/>
  <c r="DF150" i="47" s="1"/>
  <c r="DG150" i="47" s="1"/>
  <c r="DH150" i="47" s="1"/>
  <c r="DI150" i="47" s="1"/>
  <c r="DJ150" i="47" s="1"/>
  <c r="DK150" i="47" s="1"/>
  <c r="DL150" i="47" s="1"/>
  <c r="DM150" i="47" s="1"/>
  <c r="DN150" i="47" s="1"/>
  <c r="DO150" i="47" s="1"/>
  <c r="DP150" i="47" s="1"/>
  <c r="DQ150" i="47" s="1"/>
  <c r="O27" i="45"/>
  <c r="S185" i="47"/>
  <c r="S181" i="47"/>
  <c r="S177" i="47"/>
  <c r="BU154" i="47"/>
  <c r="BT161" i="47"/>
  <c r="BS160" i="47"/>
  <c r="S24" i="45"/>
  <c r="BH143" i="47"/>
  <c r="BI143" i="47" s="1"/>
  <c r="BJ143" i="47" s="1"/>
  <c r="BK143" i="47" s="1"/>
  <c r="BL143" i="47" s="1"/>
  <c r="BM143" i="47" s="1"/>
  <c r="BN143" i="47" s="1"/>
  <c r="BO143" i="47" s="1"/>
  <c r="BP143" i="47" s="1"/>
  <c r="BQ143" i="47" s="1"/>
  <c r="BS143" i="47" s="1"/>
  <c r="S169" i="47"/>
  <c r="S171" i="47"/>
  <c r="AQ135" i="47"/>
  <c r="AQ190" i="47" s="1"/>
  <c r="AS56" i="47"/>
  <c r="T27" i="47"/>
  <c r="S132" i="47"/>
  <c r="S115" i="47"/>
  <c r="T10" i="47"/>
  <c r="S129" i="47"/>
  <c r="T24" i="47"/>
  <c r="T118" i="47"/>
  <c r="T173" i="47" s="1"/>
  <c r="U13" i="47"/>
  <c r="S117" i="47"/>
  <c r="T12" i="47"/>
  <c r="Q178" i="47"/>
  <c r="Q174" i="47"/>
  <c r="U134" i="47"/>
  <c r="V29" i="47"/>
  <c r="Q187" i="47"/>
  <c r="S121" i="47"/>
  <c r="T16" i="47"/>
  <c r="Q170" i="47"/>
  <c r="S164" i="47"/>
  <c r="T140" i="47"/>
  <c r="U135" i="47"/>
  <c r="U190" i="47" s="1"/>
  <c r="V30" i="47"/>
  <c r="T110" i="47"/>
  <c r="U87" i="47"/>
  <c r="Q184" i="47"/>
  <c r="S124" i="47"/>
  <c r="T19" i="47"/>
  <c r="S113" i="47"/>
  <c r="S32" i="47"/>
  <c r="T7" i="47"/>
  <c r="Q172" i="47"/>
  <c r="S133" i="47"/>
  <c r="T28" i="47"/>
  <c r="S127" i="47"/>
  <c r="T22" i="47"/>
  <c r="T116" i="47"/>
  <c r="U11" i="47"/>
  <c r="U9" i="47"/>
  <c r="T136" i="47"/>
  <c r="T191" i="47" s="1"/>
  <c r="U31" i="47"/>
  <c r="S120" i="47"/>
  <c r="T15" i="47"/>
  <c r="Q176" i="47"/>
  <c r="T131" i="47"/>
  <c r="U26" i="47"/>
  <c r="S125" i="47"/>
  <c r="T20" i="47"/>
  <c r="Q179" i="47"/>
  <c r="Q168" i="47"/>
  <c r="Q137" i="47"/>
  <c r="S128" i="47"/>
  <c r="T23" i="47"/>
  <c r="AD66" i="47"/>
  <c r="AC84" i="47"/>
  <c r="Q188" i="47"/>
  <c r="Q182" i="47"/>
  <c r="Q175" i="47"/>
  <c r="T130" i="47"/>
  <c r="T185" i="47" s="1"/>
  <c r="U25" i="47"/>
  <c r="AG61" i="47"/>
  <c r="T126" i="47"/>
  <c r="T181" i="47" s="1"/>
  <c r="U21" i="47"/>
  <c r="S58" i="47"/>
  <c r="T35" i="47"/>
  <c r="T114" i="47" s="1"/>
  <c r="Q180" i="47"/>
  <c r="T122" i="47"/>
  <c r="U17" i="47"/>
  <c r="Q183" i="47"/>
  <c r="S123" i="47"/>
  <c r="T18" i="47"/>
  <c r="S119" i="47"/>
  <c r="T14" i="47"/>
  <c r="W131" i="11"/>
  <c r="Y131" i="11" s="1"/>
  <c r="BN131" i="11"/>
  <c r="HX3" i="46"/>
  <c r="BO131" i="11"/>
  <c r="M83" i="11"/>
  <c r="X37" i="45" l="1"/>
  <c r="X24" i="45"/>
  <c r="Q31" i="45"/>
  <c r="S28" i="45"/>
  <c r="S188" i="47"/>
  <c r="S180" i="47"/>
  <c r="S170" i="47"/>
  <c r="BU161" i="47"/>
  <c r="S183" i="47"/>
  <c r="BU157" i="47"/>
  <c r="BV157" i="47" s="1"/>
  <c r="BW157" i="47" s="1"/>
  <c r="BX157" i="47" s="1"/>
  <c r="BY157" i="47" s="1"/>
  <c r="BZ157" i="47" s="1"/>
  <c r="CA157" i="47" s="1"/>
  <c r="CB157" i="47" s="1"/>
  <c r="CC157" i="47" s="1"/>
  <c r="CD157" i="47" s="1"/>
  <c r="CF157" i="47" s="1"/>
  <c r="CG157" i="47" s="1"/>
  <c r="CH157" i="47" s="1"/>
  <c r="CI157" i="47" s="1"/>
  <c r="CJ157" i="47" s="1"/>
  <c r="CK157" i="47" s="1"/>
  <c r="CL157" i="47" s="1"/>
  <c r="CM157" i="47" s="1"/>
  <c r="CN157" i="47" s="1"/>
  <c r="CO157" i="47" s="1"/>
  <c r="CP157" i="47" s="1"/>
  <c r="CQ157" i="47" s="1"/>
  <c r="CS157" i="47" s="1"/>
  <c r="CT157" i="47" s="1"/>
  <c r="CU157" i="47" s="1"/>
  <c r="CV157" i="47" s="1"/>
  <c r="CW157" i="47" s="1"/>
  <c r="CX157" i="47" s="1"/>
  <c r="CY157" i="47" s="1"/>
  <c r="CZ157" i="47" s="1"/>
  <c r="DA157" i="47" s="1"/>
  <c r="DB157" i="47" s="1"/>
  <c r="DC157" i="47" s="1"/>
  <c r="DD157" i="47" s="1"/>
  <c r="DF157" i="47" s="1"/>
  <c r="DG157" i="47" s="1"/>
  <c r="DH157" i="47" s="1"/>
  <c r="DI157" i="47" s="1"/>
  <c r="DJ157" i="47" s="1"/>
  <c r="DK157" i="47" s="1"/>
  <c r="DL157" i="47" s="1"/>
  <c r="DM157" i="47" s="1"/>
  <c r="DN157" i="47" s="1"/>
  <c r="DO157" i="47" s="1"/>
  <c r="DP157" i="47" s="1"/>
  <c r="DQ157" i="47" s="1"/>
  <c r="S182" i="47"/>
  <c r="S179" i="47"/>
  <c r="S187" i="47"/>
  <c r="HQ15" i="46"/>
  <c r="BW158" i="47"/>
  <c r="BX158" i="47" s="1"/>
  <c r="BY158" i="47" s="1"/>
  <c r="BZ158" i="47" s="1"/>
  <c r="CA158" i="47" s="1"/>
  <c r="CB158" i="47" s="1"/>
  <c r="CC158" i="47" s="1"/>
  <c r="CD158" i="47" s="1"/>
  <c r="CF158" i="47" s="1"/>
  <c r="CG158" i="47" s="1"/>
  <c r="CH158" i="47" s="1"/>
  <c r="CI158" i="47" s="1"/>
  <c r="CJ158" i="47" s="1"/>
  <c r="CK158" i="47" s="1"/>
  <c r="CL158" i="47" s="1"/>
  <c r="CM158" i="47" s="1"/>
  <c r="CN158" i="47" s="1"/>
  <c r="CO158" i="47" s="1"/>
  <c r="CP158" i="47" s="1"/>
  <c r="CQ158" i="47" s="1"/>
  <c r="CS158" i="47" s="1"/>
  <c r="CT158" i="47" s="1"/>
  <c r="CU158" i="47" s="1"/>
  <c r="CV158" i="47" s="1"/>
  <c r="CW158" i="47" s="1"/>
  <c r="CX158" i="47" s="1"/>
  <c r="CY158" i="47" s="1"/>
  <c r="CZ158" i="47" s="1"/>
  <c r="DA158" i="47" s="1"/>
  <c r="DB158" i="47" s="1"/>
  <c r="DC158" i="47" s="1"/>
  <c r="DD158" i="47" s="1"/>
  <c r="DF158" i="47" s="1"/>
  <c r="DG158" i="47" s="1"/>
  <c r="DH158" i="47" s="1"/>
  <c r="DI158" i="47" s="1"/>
  <c r="DJ158" i="47" s="1"/>
  <c r="DK158" i="47" s="1"/>
  <c r="DL158" i="47" s="1"/>
  <c r="DM158" i="47" s="1"/>
  <c r="DN158" i="47" s="1"/>
  <c r="DO158" i="47" s="1"/>
  <c r="DP158" i="47" s="1"/>
  <c r="DQ158" i="47" s="1"/>
  <c r="S174" i="47"/>
  <c r="S176" i="47"/>
  <c r="BS149" i="47"/>
  <c r="S178" i="47"/>
  <c r="S175" i="47"/>
  <c r="U189" i="47"/>
  <c r="S172" i="47"/>
  <c r="S184" i="47"/>
  <c r="BT160" i="47"/>
  <c r="BV154" i="47"/>
  <c r="BS153" i="47"/>
  <c r="Q27" i="45"/>
  <c r="BT143" i="47"/>
  <c r="Q21" i="45"/>
  <c r="T123" i="47"/>
  <c r="U18" i="47"/>
  <c r="T177" i="47"/>
  <c r="T186" i="47"/>
  <c r="T120" i="47"/>
  <c r="U15" i="47"/>
  <c r="U116" i="47"/>
  <c r="U171" i="47" s="1"/>
  <c r="V11" i="47"/>
  <c r="S137" i="47"/>
  <c r="S168" i="47"/>
  <c r="V135" i="47"/>
  <c r="V190" i="47" s="1"/>
  <c r="W30" i="47"/>
  <c r="AH61" i="47"/>
  <c r="AF66" i="47"/>
  <c r="AD84" i="47"/>
  <c r="V9" i="47"/>
  <c r="T171" i="47"/>
  <c r="T133" i="47"/>
  <c r="U28" i="47"/>
  <c r="T124" i="47"/>
  <c r="U19" i="47"/>
  <c r="U110" i="47"/>
  <c r="V87" i="47"/>
  <c r="U118" i="47"/>
  <c r="U173" i="47" s="1"/>
  <c r="V13" i="47"/>
  <c r="T132" i="47"/>
  <c r="T187" i="47" s="1"/>
  <c r="U27" i="47"/>
  <c r="T119" i="47"/>
  <c r="U14" i="47"/>
  <c r="U130" i="47"/>
  <c r="V25" i="47"/>
  <c r="U136" i="47"/>
  <c r="U191" i="47" s="1"/>
  <c r="V31" i="47"/>
  <c r="T169" i="47"/>
  <c r="T127" i="47"/>
  <c r="U22" i="47"/>
  <c r="T113" i="47"/>
  <c r="U7" i="47"/>
  <c r="T32" i="47"/>
  <c r="U140" i="47"/>
  <c r="T164" i="47"/>
  <c r="T117" i="47"/>
  <c r="U12" i="47"/>
  <c r="T115" i="47"/>
  <c r="U10" i="47"/>
  <c r="U122" i="47"/>
  <c r="U177" i="47" s="1"/>
  <c r="V17" i="47"/>
  <c r="T58" i="47"/>
  <c r="U35" i="47"/>
  <c r="U114" i="47" s="1"/>
  <c r="U169" i="47" s="1"/>
  <c r="U126" i="47"/>
  <c r="U181" i="47" s="1"/>
  <c r="V21" i="47"/>
  <c r="T128" i="47"/>
  <c r="T183" i="47" s="1"/>
  <c r="U23" i="47"/>
  <c r="Q192" i="47"/>
  <c r="Q194" i="47" s="1"/>
  <c r="Q196" i="47" s="1"/>
  <c r="T125" i="47"/>
  <c r="T180" i="47" s="1"/>
  <c r="U20" i="47"/>
  <c r="V26" i="47"/>
  <c r="U131" i="47"/>
  <c r="T121" i="47"/>
  <c r="T176" i="47" s="1"/>
  <c r="U16" i="47"/>
  <c r="V134" i="47"/>
  <c r="V189" i="47" s="1"/>
  <c r="W29" i="47"/>
  <c r="T129" i="47"/>
  <c r="T184" i="47" s="1"/>
  <c r="U24" i="47"/>
  <c r="AS135" i="47"/>
  <c r="AS190" i="47" s="1"/>
  <c r="AT56" i="47"/>
  <c r="B131" i="11"/>
  <c r="U186" i="47" l="1"/>
  <c r="S192" i="47"/>
  <c r="S194" i="47" s="1"/>
  <c r="S196" i="47" s="1"/>
  <c r="BT153" i="47"/>
  <c r="BW154" i="47"/>
  <c r="HQ23" i="46"/>
  <c r="BV161" i="47"/>
  <c r="S36" i="45"/>
  <c r="X36" i="45" s="1"/>
  <c r="S35" i="45"/>
  <c r="X28" i="45"/>
  <c r="BU160" i="47"/>
  <c r="BT149" i="47"/>
  <c r="HQ22" i="46"/>
  <c r="BU143" i="47"/>
  <c r="W134" i="47"/>
  <c r="X29" i="47"/>
  <c r="U128" i="47"/>
  <c r="U183" i="47" s="1"/>
  <c r="V23" i="47"/>
  <c r="V126" i="47"/>
  <c r="V181" i="47" s="1"/>
  <c r="W21" i="47"/>
  <c r="U115" i="47"/>
  <c r="U170" i="47" s="1"/>
  <c r="V10" i="47"/>
  <c r="U164" i="47"/>
  <c r="V140" i="47"/>
  <c r="T174" i="47"/>
  <c r="V110" i="47"/>
  <c r="W87" i="47"/>
  <c r="T179" i="47"/>
  <c r="T188" i="47"/>
  <c r="V116" i="47"/>
  <c r="W11" i="47"/>
  <c r="T175" i="47"/>
  <c r="T178" i="47"/>
  <c r="U129" i="47"/>
  <c r="V24" i="47"/>
  <c r="V131" i="47"/>
  <c r="V186" i="47" s="1"/>
  <c r="W26" i="47"/>
  <c r="V122" i="47"/>
  <c r="W17" i="47"/>
  <c r="T170" i="47"/>
  <c r="U127" i="47"/>
  <c r="U182" i="47" s="1"/>
  <c r="V22" i="47"/>
  <c r="V136" i="47"/>
  <c r="V191" i="47" s="1"/>
  <c r="W31" i="47"/>
  <c r="U132" i="47"/>
  <c r="U187" i="47" s="1"/>
  <c r="V27" i="47"/>
  <c r="AG66" i="47"/>
  <c r="AF84" i="47"/>
  <c r="AI61" i="47"/>
  <c r="U117" i="47"/>
  <c r="U172" i="47" s="1"/>
  <c r="V12" i="47"/>
  <c r="U113" i="47"/>
  <c r="U32" i="47"/>
  <c r="V7" i="47"/>
  <c r="T182" i="47"/>
  <c r="V130" i="47"/>
  <c r="V185" i="47" s="1"/>
  <c r="W25" i="47"/>
  <c r="AT135" i="47"/>
  <c r="AT190" i="47" s="1"/>
  <c r="AU56" i="47"/>
  <c r="U121" i="47"/>
  <c r="U176" i="47" s="1"/>
  <c r="V16" i="47"/>
  <c r="U125" i="47"/>
  <c r="U180" i="47" s="1"/>
  <c r="V20" i="47"/>
  <c r="V35" i="47"/>
  <c r="U58" i="47"/>
  <c r="T172" i="47"/>
  <c r="T168" i="47"/>
  <c r="T137" i="47"/>
  <c r="U185" i="47"/>
  <c r="U119" i="47"/>
  <c r="U174" i="47" s="1"/>
  <c r="V14" i="47"/>
  <c r="V118" i="47"/>
  <c r="V173" i="47" s="1"/>
  <c r="W13" i="47"/>
  <c r="U124" i="47"/>
  <c r="U179" i="47" s="1"/>
  <c r="V19" i="47"/>
  <c r="U133" i="47"/>
  <c r="U188" i="47" s="1"/>
  <c r="V28" i="47"/>
  <c r="W9" i="47"/>
  <c r="X30" i="47"/>
  <c r="W135" i="47"/>
  <c r="W190" i="47" s="1"/>
  <c r="V15" i="47"/>
  <c r="U120" i="47"/>
  <c r="U175" i="47" s="1"/>
  <c r="U123" i="47"/>
  <c r="V18" i="47"/>
  <c r="M75" i="11"/>
  <c r="M49" i="11"/>
  <c r="M47" i="11"/>
  <c r="BU149" i="47" l="1"/>
  <c r="BV149" i="47" s="1"/>
  <c r="BW149" i="47" s="1"/>
  <c r="BX149" i="47" s="1"/>
  <c r="BY149" i="47" s="1"/>
  <c r="BZ149" i="47" s="1"/>
  <c r="CA149" i="47" s="1"/>
  <c r="CB149" i="47" s="1"/>
  <c r="CC149" i="47" s="1"/>
  <c r="CD149" i="47" s="1"/>
  <c r="CF149" i="47" s="1"/>
  <c r="CG149" i="47" s="1"/>
  <c r="CH149" i="47" s="1"/>
  <c r="CI149" i="47" s="1"/>
  <c r="CJ149" i="47" s="1"/>
  <c r="CK149" i="47" s="1"/>
  <c r="CL149" i="47" s="1"/>
  <c r="CM149" i="47" s="1"/>
  <c r="CN149" i="47" s="1"/>
  <c r="CO149" i="47" s="1"/>
  <c r="CP149" i="47" s="1"/>
  <c r="CQ149" i="47" s="1"/>
  <c r="CS149" i="47" s="1"/>
  <c r="CT149" i="47" s="1"/>
  <c r="CU149" i="47" s="1"/>
  <c r="CV149" i="47" s="1"/>
  <c r="CW149" i="47" s="1"/>
  <c r="CX149" i="47" s="1"/>
  <c r="CY149" i="47" s="1"/>
  <c r="CZ149" i="47" s="1"/>
  <c r="DA149" i="47" s="1"/>
  <c r="DB149" i="47" s="1"/>
  <c r="DC149" i="47" s="1"/>
  <c r="DD149" i="47" s="1"/>
  <c r="DF149" i="47" s="1"/>
  <c r="DG149" i="47" s="1"/>
  <c r="DH149" i="47" s="1"/>
  <c r="DI149" i="47" s="1"/>
  <c r="DJ149" i="47" s="1"/>
  <c r="DK149" i="47" s="1"/>
  <c r="DL149" i="47" s="1"/>
  <c r="DM149" i="47" s="1"/>
  <c r="DN149" i="47" s="1"/>
  <c r="DO149" i="47" s="1"/>
  <c r="DP149" i="47" s="1"/>
  <c r="DQ149" i="47" s="1"/>
  <c r="BU153" i="47"/>
  <c r="BV160" i="47"/>
  <c r="BW160" i="47" s="1"/>
  <c r="BX160" i="47" s="1"/>
  <c r="BY160" i="47" s="1"/>
  <c r="BZ160" i="47" s="1"/>
  <c r="CA160" i="47" s="1"/>
  <c r="CB160" i="47" s="1"/>
  <c r="CC160" i="47" s="1"/>
  <c r="CD160" i="47" s="1"/>
  <c r="CF160" i="47" s="1"/>
  <c r="CG160" i="47" s="1"/>
  <c r="CH160" i="47" s="1"/>
  <c r="CI160" i="47" s="1"/>
  <c r="CJ160" i="47" s="1"/>
  <c r="CK160" i="47" s="1"/>
  <c r="CL160" i="47" s="1"/>
  <c r="CM160" i="47" s="1"/>
  <c r="CN160" i="47" s="1"/>
  <c r="CO160" i="47" s="1"/>
  <c r="CP160" i="47" s="1"/>
  <c r="CQ160" i="47" s="1"/>
  <c r="CS160" i="47" s="1"/>
  <c r="CT160" i="47" s="1"/>
  <c r="CU160" i="47" s="1"/>
  <c r="CV160" i="47" s="1"/>
  <c r="CW160" i="47" s="1"/>
  <c r="CX160" i="47" s="1"/>
  <c r="CY160" i="47" s="1"/>
  <c r="CZ160" i="47" s="1"/>
  <c r="DA160" i="47" s="1"/>
  <c r="DB160" i="47" s="1"/>
  <c r="DC160" i="47" s="1"/>
  <c r="DD160" i="47" s="1"/>
  <c r="DF160" i="47" s="1"/>
  <c r="DG160" i="47" s="1"/>
  <c r="DH160" i="47" s="1"/>
  <c r="DI160" i="47" s="1"/>
  <c r="DJ160" i="47" s="1"/>
  <c r="DK160" i="47" s="1"/>
  <c r="DL160" i="47" s="1"/>
  <c r="DM160" i="47" s="1"/>
  <c r="DN160" i="47" s="1"/>
  <c r="DO160" i="47" s="1"/>
  <c r="DP160" i="47" s="1"/>
  <c r="DQ160" i="47" s="1"/>
  <c r="BW161" i="47"/>
  <c r="BX161" i="47" s="1"/>
  <c r="BY161" i="47" s="1"/>
  <c r="BZ161" i="47" s="1"/>
  <c r="CA161" i="47" s="1"/>
  <c r="CB161" i="47" s="1"/>
  <c r="CC161" i="47" s="1"/>
  <c r="CD161" i="47" s="1"/>
  <c r="CF161" i="47" s="1"/>
  <c r="CG161" i="47" s="1"/>
  <c r="CH161" i="47" s="1"/>
  <c r="CI161" i="47" s="1"/>
  <c r="CJ161" i="47" s="1"/>
  <c r="CK161" i="47" s="1"/>
  <c r="CL161" i="47" s="1"/>
  <c r="CM161" i="47" s="1"/>
  <c r="CN161" i="47" s="1"/>
  <c r="CO161" i="47" s="1"/>
  <c r="CP161" i="47" s="1"/>
  <c r="CQ161" i="47" s="1"/>
  <c r="CS161" i="47" s="1"/>
  <c r="CT161" i="47" s="1"/>
  <c r="CU161" i="47" s="1"/>
  <c r="CV161" i="47" s="1"/>
  <c r="CW161" i="47" s="1"/>
  <c r="CX161" i="47" s="1"/>
  <c r="CY161" i="47" s="1"/>
  <c r="CZ161" i="47" s="1"/>
  <c r="DA161" i="47" s="1"/>
  <c r="DB161" i="47" s="1"/>
  <c r="DC161" i="47" s="1"/>
  <c r="DD161" i="47" s="1"/>
  <c r="DF161" i="47" s="1"/>
  <c r="DG161" i="47" s="1"/>
  <c r="DH161" i="47" s="1"/>
  <c r="DI161" i="47" s="1"/>
  <c r="DJ161" i="47" s="1"/>
  <c r="DK161" i="47" s="1"/>
  <c r="DL161" i="47" s="1"/>
  <c r="DM161" i="47" s="1"/>
  <c r="DN161" i="47" s="1"/>
  <c r="DO161" i="47" s="1"/>
  <c r="DP161" i="47" s="1"/>
  <c r="DQ161" i="47" s="1"/>
  <c r="U178" i="47"/>
  <c r="X35" i="45"/>
  <c r="BX154" i="47"/>
  <c r="BV143" i="47"/>
  <c r="V123" i="47"/>
  <c r="V178" i="47" s="1"/>
  <c r="W18" i="47"/>
  <c r="X9" i="47"/>
  <c r="V124" i="47"/>
  <c r="V179" i="47" s="1"/>
  <c r="W19" i="47"/>
  <c r="T192" i="47"/>
  <c r="T194" i="47" s="1"/>
  <c r="T196" i="47" s="1"/>
  <c r="W35" i="47"/>
  <c r="V58" i="47"/>
  <c r="AU135" i="47"/>
  <c r="AU190" i="47" s="1"/>
  <c r="AV56" i="47"/>
  <c r="V127" i="47"/>
  <c r="V182" i="47" s="1"/>
  <c r="W22" i="47"/>
  <c r="V129" i="47"/>
  <c r="V184" i="47" s="1"/>
  <c r="W24" i="47"/>
  <c r="X135" i="47"/>
  <c r="X190" i="47" s="1"/>
  <c r="Y30" i="47"/>
  <c r="V114" i="47"/>
  <c r="V119" i="47"/>
  <c r="W14" i="47"/>
  <c r="V121" i="47"/>
  <c r="W16" i="47"/>
  <c r="V113" i="47"/>
  <c r="V32" i="47"/>
  <c r="W7" i="47"/>
  <c r="W131" i="47"/>
  <c r="X26" i="47"/>
  <c r="U184" i="47"/>
  <c r="X87" i="47"/>
  <c r="W110" i="47"/>
  <c r="W126" i="47"/>
  <c r="X21" i="47"/>
  <c r="X134" i="47"/>
  <c r="X189" i="47" s="1"/>
  <c r="Y29" i="47"/>
  <c r="V133" i="47"/>
  <c r="W28" i="47"/>
  <c r="V117" i="47"/>
  <c r="W12" i="47"/>
  <c r="AH66" i="47"/>
  <c r="AG84" i="47"/>
  <c r="W136" i="47"/>
  <c r="W191" i="47" s="1"/>
  <c r="X31" i="47"/>
  <c r="W122" i="47"/>
  <c r="W177" i="47" s="1"/>
  <c r="X17" i="47"/>
  <c r="X11" i="47"/>
  <c r="W116" i="47"/>
  <c r="W171" i="47" s="1"/>
  <c r="V115" i="47"/>
  <c r="W10" i="47"/>
  <c r="W189" i="47"/>
  <c r="V120" i="47"/>
  <c r="W15" i="47"/>
  <c r="W118" i="47"/>
  <c r="X13" i="47"/>
  <c r="V125" i="47"/>
  <c r="V180" i="47" s="1"/>
  <c r="W20" i="47"/>
  <c r="W130" i="47"/>
  <c r="W185" i="47" s="1"/>
  <c r="X25" i="47"/>
  <c r="U168" i="47"/>
  <c r="U137" i="47"/>
  <c r="AJ61" i="47"/>
  <c r="V132" i="47"/>
  <c r="W27" i="47"/>
  <c r="V177" i="47"/>
  <c r="V171" i="47"/>
  <c r="V164" i="47"/>
  <c r="W140" i="47"/>
  <c r="V128" i="47"/>
  <c r="V183" i="47" s="1"/>
  <c r="W23" i="47"/>
  <c r="S944" i="46"/>
  <c r="Q944" i="46"/>
  <c r="O944" i="46"/>
  <c r="R944" i="46" s="1"/>
  <c r="S943" i="46"/>
  <c r="Q943" i="46"/>
  <c r="O943" i="46"/>
  <c r="R943" i="46" s="1"/>
  <c r="S942" i="46"/>
  <c r="Q942" i="46"/>
  <c r="O942" i="46"/>
  <c r="R942" i="46" s="1"/>
  <c r="B942" i="46"/>
  <c r="S941" i="46"/>
  <c r="Q941" i="46"/>
  <c r="O941" i="46"/>
  <c r="R941" i="46" s="1"/>
  <c r="B941" i="46"/>
  <c r="S940" i="46"/>
  <c r="Q940" i="46"/>
  <c r="O940" i="46"/>
  <c r="R940" i="46" s="1"/>
  <c r="B940" i="46"/>
  <c r="S939" i="46"/>
  <c r="Q939" i="46"/>
  <c r="O939" i="46"/>
  <c r="R939" i="46" s="1"/>
  <c r="B939" i="46"/>
  <c r="S938" i="46"/>
  <c r="Q938" i="46"/>
  <c r="O938" i="46"/>
  <c r="R938" i="46" s="1"/>
  <c r="B938" i="46"/>
  <c r="S937" i="46"/>
  <c r="Q937" i="46"/>
  <c r="O937" i="46"/>
  <c r="R937" i="46" s="1"/>
  <c r="B937" i="46"/>
  <c r="S936" i="46"/>
  <c r="Q936" i="46"/>
  <c r="O936" i="46"/>
  <c r="R936" i="46" s="1"/>
  <c r="B936" i="46"/>
  <c r="S935" i="46"/>
  <c r="Q935" i="46"/>
  <c r="O935" i="46"/>
  <c r="R935" i="46" s="1"/>
  <c r="B935" i="46"/>
  <c r="S934" i="46"/>
  <c r="Q934" i="46"/>
  <c r="O934" i="46"/>
  <c r="R934" i="46" s="1"/>
  <c r="B934" i="46"/>
  <c r="S933" i="46"/>
  <c r="Q933" i="46"/>
  <c r="O933" i="46"/>
  <c r="R933" i="46" s="1"/>
  <c r="B933" i="46"/>
  <c r="S932" i="46"/>
  <c r="Q932" i="46"/>
  <c r="O932" i="46"/>
  <c r="R932" i="46" s="1"/>
  <c r="B932" i="46"/>
  <c r="S931" i="46"/>
  <c r="Q931" i="46"/>
  <c r="O931" i="46"/>
  <c r="R931" i="46" s="1"/>
  <c r="B931" i="46"/>
  <c r="S930" i="46"/>
  <c r="Q930" i="46"/>
  <c r="O930" i="46"/>
  <c r="R930" i="46" s="1"/>
  <c r="B930" i="46"/>
  <c r="S929" i="46"/>
  <c r="Q929" i="46"/>
  <c r="O929" i="46"/>
  <c r="R929" i="46" s="1"/>
  <c r="B929" i="46"/>
  <c r="S928" i="46"/>
  <c r="Q928" i="46"/>
  <c r="O928" i="46"/>
  <c r="R928" i="46" s="1"/>
  <c r="B928" i="46"/>
  <c r="S927" i="46"/>
  <c r="Q927" i="46"/>
  <c r="O927" i="46"/>
  <c r="R927" i="46" s="1"/>
  <c r="B927" i="46"/>
  <c r="S926" i="46"/>
  <c r="Q926" i="46"/>
  <c r="O926" i="46"/>
  <c r="R926" i="46" s="1"/>
  <c r="B926" i="46"/>
  <c r="S925" i="46"/>
  <c r="Q925" i="46"/>
  <c r="O925" i="46"/>
  <c r="R925" i="46" s="1"/>
  <c r="B925" i="46"/>
  <c r="S924" i="46"/>
  <c r="Q924" i="46"/>
  <c r="O924" i="46"/>
  <c r="R924" i="46" s="1"/>
  <c r="B924" i="46"/>
  <c r="S923" i="46"/>
  <c r="Q923" i="46"/>
  <c r="O923" i="46"/>
  <c r="R923" i="46" s="1"/>
  <c r="B923" i="46"/>
  <c r="S922" i="46"/>
  <c r="Q922" i="46"/>
  <c r="O922" i="46"/>
  <c r="R922" i="46" s="1"/>
  <c r="B922" i="46"/>
  <c r="S921" i="46"/>
  <c r="Q921" i="46"/>
  <c r="O921" i="46"/>
  <c r="R921" i="46" s="1"/>
  <c r="B921" i="46"/>
  <c r="S920" i="46"/>
  <c r="Q920" i="46"/>
  <c r="O920" i="46"/>
  <c r="R920" i="46" s="1"/>
  <c r="B920" i="46"/>
  <c r="S919" i="46"/>
  <c r="Q919" i="46"/>
  <c r="O919" i="46"/>
  <c r="R919" i="46" s="1"/>
  <c r="B919" i="46"/>
  <c r="S918" i="46"/>
  <c r="Q918" i="46"/>
  <c r="O918" i="46"/>
  <c r="R918" i="46" s="1"/>
  <c r="B918" i="46"/>
  <c r="S917" i="46"/>
  <c r="Q917" i="46"/>
  <c r="O917" i="46"/>
  <c r="R917" i="46" s="1"/>
  <c r="B917" i="46"/>
  <c r="S916" i="46"/>
  <c r="Q916" i="46"/>
  <c r="O916" i="46"/>
  <c r="R916" i="46" s="1"/>
  <c r="B916" i="46"/>
  <c r="S915" i="46"/>
  <c r="Q915" i="46"/>
  <c r="O915" i="46"/>
  <c r="R915" i="46" s="1"/>
  <c r="B915" i="46"/>
  <c r="S914" i="46"/>
  <c r="Q914" i="46"/>
  <c r="O914" i="46"/>
  <c r="R914" i="46" s="1"/>
  <c r="B914" i="46"/>
  <c r="S913" i="46"/>
  <c r="Q913" i="46"/>
  <c r="O913" i="46"/>
  <c r="R913" i="46" s="1"/>
  <c r="B913" i="46"/>
  <c r="S912" i="46"/>
  <c r="Q912" i="46"/>
  <c r="O912" i="46"/>
  <c r="R912" i="46" s="1"/>
  <c r="B912" i="46"/>
  <c r="S911" i="46"/>
  <c r="Q911" i="46"/>
  <c r="O911" i="46"/>
  <c r="R911" i="46" s="1"/>
  <c r="B911" i="46"/>
  <c r="S910" i="46"/>
  <c r="Q910" i="46"/>
  <c r="O910" i="46"/>
  <c r="R910" i="46" s="1"/>
  <c r="B910" i="46"/>
  <c r="S909" i="46"/>
  <c r="Q909" i="46"/>
  <c r="O909" i="46"/>
  <c r="R909" i="46" s="1"/>
  <c r="B909" i="46"/>
  <c r="S908" i="46"/>
  <c r="Q908" i="46"/>
  <c r="O908" i="46"/>
  <c r="R908" i="46" s="1"/>
  <c r="B908" i="46"/>
  <c r="S907" i="46"/>
  <c r="Q907" i="46"/>
  <c r="O907" i="46"/>
  <c r="R907" i="46" s="1"/>
  <c r="B907" i="46"/>
  <c r="S906" i="46"/>
  <c r="Q906" i="46"/>
  <c r="O906" i="46"/>
  <c r="R906" i="46" s="1"/>
  <c r="B906" i="46"/>
  <c r="S905" i="46"/>
  <c r="Q905" i="46"/>
  <c r="O905" i="46"/>
  <c r="R905" i="46" s="1"/>
  <c r="B905" i="46"/>
  <c r="S904" i="46"/>
  <c r="Q904" i="46"/>
  <c r="O904" i="46"/>
  <c r="R904" i="46" s="1"/>
  <c r="B904" i="46"/>
  <c r="S903" i="46"/>
  <c r="Q903" i="46"/>
  <c r="O903" i="46"/>
  <c r="R903" i="46" s="1"/>
  <c r="B903" i="46"/>
  <c r="S902" i="46"/>
  <c r="Q902" i="46"/>
  <c r="O902" i="46"/>
  <c r="R902" i="46" s="1"/>
  <c r="B902" i="46"/>
  <c r="S901" i="46"/>
  <c r="Q901" i="46"/>
  <c r="O901" i="46"/>
  <c r="R901" i="46" s="1"/>
  <c r="B901" i="46"/>
  <c r="S900" i="46"/>
  <c r="Q900" i="46"/>
  <c r="O900" i="46"/>
  <c r="R900" i="46" s="1"/>
  <c r="B900" i="46"/>
  <c r="S899" i="46"/>
  <c r="Q899" i="46"/>
  <c r="O899" i="46"/>
  <c r="R899" i="46" s="1"/>
  <c r="B899" i="46"/>
  <c r="S898" i="46"/>
  <c r="Q898" i="46"/>
  <c r="O898" i="46"/>
  <c r="R898" i="46" s="1"/>
  <c r="B898" i="46"/>
  <c r="S897" i="46"/>
  <c r="Q897" i="46"/>
  <c r="O897" i="46"/>
  <c r="R897" i="46" s="1"/>
  <c r="B897" i="46"/>
  <c r="S896" i="46"/>
  <c r="Q896" i="46"/>
  <c r="O896" i="46"/>
  <c r="R896" i="46" s="1"/>
  <c r="B896" i="46"/>
  <c r="S895" i="46"/>
  <c r="Q895" i="46"/>
  <c r="O895" i="46"/>
  <c r="R895" i="46" s="1"/>
  <c r="B895" i="46"/>
  <c r="S894" i="46"/>
  <c r="Q894" i="46"/>
  <c r="O894" i="46"/>
  <c r="R894" i="46" s="1"/>
  <c r="B894" i="46"/>
  <c r="S893" i="46"/>
  <c r="Q893" i="46"/>
  <c r="O893" i="46"/>
  <c r="R893" i="46" s="1"/>
  <c r="B893" i="46"/>
  <c r="S892" i="46"/>
  <c r="Q892" i="46"/>
  <c r="O892" i="46"/>
  <c r="R892" i="46" s="1"/>
  <c r="B892" i="46"/>
  <c r="S891" i="46"/>
  <c r="Q891" i="46"/>
  <c r="O891" i="46"/>
  <c r="R891" i="46" s="1"/>
  <c r="B891" i="46"/>
  <c r="S890" i="46"/>
  <c r="Q890" i="46"/>
  <c r="O890" i="46"/>
  <c r="R890" i="46" s="1"/>
  <c r="D890" i="46"/>
  <c r="B890" i="46" s="1"/>
  <c r="S889" i="46"/>
  <c r="Q889" i="46"/>
  <c r="O889" i="46"/>
  <c r="R889" i="46" s="1"/>
  <c r="D889" i="46"/>
  <c r="B889" i="46" s="1"/>
  <c r="S888" i="46"/>
  <c r="Q888" i="46"/>
  <c r="O888" i="46"/>
  <c r="R888" i="46" s="1"/>
  <c r="D888" i="46"/>
  <c r="B888" i="46" s="1"/>
  <c r="S887" i="46"/>
  <c r="Q887" i="46"/>
  <c r="O887" i="46"/>
  <c r="R887" i="46" s="1"/>
  <c r="D887" i="46"/>
  <c r="B887" i="46" s="1"/>
  <c r="S886" i="46"/>
  <c r="Q886" i="46"/>
  <c r="O886" i="46"/>
  <c r="R886" i="46" s="1"/>
  <c r="D886" i="46"/>
  <c r="B886" i="46" s="1"/>
  <c r="S885" i="46"/>
  <c r="Q885" i="46"/>
  <c r="O885" i="46"/>
  <c r="R885" i="46" s="1"/>
  <c r="D885" i="46"/>
  <c r="B885" i="46" s="1"/>
  <c r="S884" i="46"/>
  <c r="Q884" i="46"/>
  <c r="O884" i="46"/>
  <c r="R884" i="46" s="1"/>
  <c r="D884" i="46"/>
  <c r="B884" i="46" s="1"/>
  <c r="S883" i="46"/>
  <c r="R883" i="46"/>
  <c r="Q883" i="46"/>
  <c r="O883" i="46"/>
  <c r="D883" i="46"/>
  <c r="B883" i="46" s="1"/>
  <c r="S882" i="46"/>
  <c r="Q882" i="46"/>
  <c r="O882" i="46"/>
  <c r="R882" i="46" s="1"/>
  <c r="D882" i="46"/>
  <c r="B882" i="46" s="1"/>
  <c r="S881" i="46"/>
  <c r="Q881" i="46"/>
  <c r="O881" i="46"/>
  <c r="R881" i="46" s="1"/>
  <c r="D881" i="46"/>
  <c r="B881" i="46" s="1"/>
  <c r="S880" i="46"/>
  <c r="Q880" i="46"/>
  <c r="O880" i="46"/>
  <c r="R880" i="46" s="1"/>
  <c r="D880" i="46"/>
  <c r="B880" i="46" s="1"/>
  <c r="S879" i="46"/>
  <c r="Q879" i="46"/>
  <c r="O879" i="46"/>
  <c r="R879" i="46" s="1"/>
  <c r="D879" i="46"/>
  <c r="B879" i="46" s="1"/>
  <c r="S878" i="46"/>
  <c r="Q878" i="46"/>
  <c r="O878" i="46"/>
  <c r="R878" i="46" s="1"/>
  <c r="D878" i="46"/>
  <c r="B878" i="46" s="1"/>
  <c r="S877" i="46"/>
  <c r="Q877" i="46"/>
  <c r="O877" i="46"/>
  <c r="R877" i="46" s="1"/>
  <c r="D877" i="46"/>
  <c r="B877" i="46" s="1"/>
  <c r="S876" i="46"/>
  <c r="Q876" i="46"/>
  <c r="O876" i="46"/>
  <c r="R876" i="46" s="1"/>
  <c r="D876" i="46"/>
  <c r="B876" i="46" s="1"/>
  <c r="S875" i="46"/>
  <c r="Q875" i="46"/>
  <c r="O875" i="46"/>
  <c r="R875" i="46" s="1"/>
  <c r="D875" i="46"/>
  <c r="B875" i="46" s="1"/>
  <c r="S874" i="46"/>
  <c r="Q874" i="46"/>
  <c r="O874" i="46"/>
  <c r="R874" i="46" s="1"/>
  <c r="D874" i="46"/>
  <c r="B874" i="46" s="1"/>
  <c r="S873" i="46"/>
  <c r="Q873" i="46"/>
  <c r="O873" i="46"/>
  <c r="R873" i="46" s="1"/>
  <c r="D873" i="46"/>
  <c r="B873" i="46" s="1"/>
  <c r="S872" i="46"/>
  <c r="Q872" i="46"/>
  <c r="O872" i="46"/>
  <c r="R872" i="46" s="1"/>
  <c r="D872" i="46"/>
  <c r="B872" i="46" s="1"/>
  <c r="S871" i="46"/>
  <c r="Q871" i="46"/>
  <c r="O871" i="46"/>
  <c r="R871" i="46" s="1"/>
  <c r="D871" i="46"/>
  <c r="B871" i="46" s="1"/>
  <c r="S870" i="46"/>
  <c r="Q870" i="46"/>
  <c r="O870" i="46"/>
  <c r="R870" i="46" s="1"/>
  <c r="D870" i="46"/>
  <c r="B870" i="46" s="1"/>
  <c r="S869" i="46"/>
  <c r="Q869" i="46"/>
  <c r="O869" i="46"/>
  <c r="R869" i="46" s="1"/>
  <c r="D869" i="46"/>
  <c r="B869" i="46" s="1"/>
  <c r="S868" i="46"/>
  <c r="Q868" i="46"/>
  <c r="O868" i="46"/>
  <c r="R868" i="46" s="1"/>
  <c r="D868" i="46"/>
  <c r="B868" i="46" s="1"/>
  <c r="S867" i="46"/>
  <c r="Q867" i="46"/>
  <c r="O867" i="46"/>
  <c r="R867" i="46" s="1"/>
  <c r="D867" i="46"/>
  <c r="B867" i="46" s="1"/>
  <c r="S866" i="46"/>
  <c r="Q866" i="46"/>
  <c r="O866" i="46"/>
  <c r="R866" i="46" s="1"/>
  <c r="D866" i="46"/>
  <c r="B866" i="46" s="1"/>
  <c r="S865" i="46"/>
  <c r="Q865" i="46"/>
  <c r="O865" i="46"/>
  <c r="R865" i="46" s="1"/>
  <c r="D865" i="46"/>
  <c r="B865" i="46" s="1"/>
  <c r="S864" i="46"/>
  <c r="Q864" i="46"/>
  <c r="O864" i="46"/>
  <c r="R864" i="46" s="1"/>
  <c r="D864" i="46"/>
  <c r="B864" i="46" s="1"/>
  <c r="S863" i="46"/>
  <c r="Q863" i="46"/>
  <c r="O863" i="46"/>
  <c r="R863" i="46" s="1"/>
  <c r="D863" i="46"/>
  <c r="B863" i="46" s="1"/>
  <c r="S862" i="46"/>
  <c r="Q862" i="46"/>
  <c r="O862" i="46"/>
  <c r="R862" i="46" s="1"/>
  <c r="D862" i="46"/>
  <c r="B862" i="46" s="1"/>
  <c r="S861" i="46"/>
  <c r="Q861" i="46"/>
  <c r="O861" i="46"/>
  <c r="R861" i="46" s="1"/>
  <c r="D861" i="46"/>
  <c r="B861" i="46" s="1"/>
  <c r="S860" i="46"/>
  <c r="Q860" i="46"/>
  <c r="O860" i="46"/>
  <c r="R860" i="46" s="1"/>
  <c r="D860" i="46"/>
  <c r="B860" i="46" s="1"/>
  <c r="S859" i="46"/>
  <c r="Q859" i="46"/>
  <c r="O859" i="46"/>
  <c r="R859" i="46" s="1"/>
  <c r="D859" i="46"/>
  <c r="B859" i="46" s="1"/>
  <c r="S858" i="46"/>
  <c r="Q858" i="46"/>
  <c r="O858" i="46"/>
  <c r="R858" i="46" s="1"/>
  <c r="D858" i="46"/>
  <c r="B858" i="46" s="1"/>
  <c r="S857" i="46"/>
  <c r="Q857" i="46"/>
  <c r="O857" i="46"/>
  <c r="R857" i="46" s="1"/>
  <c r="D857" i="46"/>
  <c r="B857" i="46" s="1"/>
  <c r="S856" i="46"/>
  <c r="Q856" i="46"/>
  <c r="O856" i="46"/>
  <c r="R856" i="46" s="1"/>
  <c r="D856" i="46"/>
  <c r="B856" i="46" s="1"/>
  <c r="S855" i="46"/>
  <c r="Q855" i="46"/>
  <c r="O855" i="46"/>
  <c r="R855" i="46" s="1"/>
  <c r="D855" i="46"/>
  <c r="B855" i="46" s="1"/>
  <c r="S854" i="46"/>
  <c r="Q854" i="46"/>
  <c r="O854" i="46"/>
  <c r="R854" i="46" s="1"/>
  <c r="D854" i="46"/>
  <c r="B854" i="46" s="1"/>
  <c r="S853" i="46"/>
  <c r="Q853" i="46"/>
  <c r="O853" i="46"/>
  <c r="R853" i="46" s="1"/>
  <c r="D853" i="46"/>
  <c r="B853" i="46" s="1"/>
  <c r="A853" i="46"/>
  <c r="A854" i="46" s="1"/>
  <c r="A855" i="46" s="1"/>
  <c r="A856" i="46" s="1"/>
  <c r="A857" i="46" s="1"/>
  <c r="A858" i="46" s="1"/>
  <c r="A859" i="46" s="1"/>
  <c r="A860" i="46" s="1"/>
  <c r="A861" i="46" s="1"/>
  <c r="A862" i="46" s="1"/>
  <c r="A863" i="46" s="1"/>
  <c r="A864" i="46" s="1"/>
  <c r="A865" i="46" s="1"/>
  <c r="A866" i="46" s="1"/>
  <c r="A867" i="46" s="1"/>
  <c r="A868" i="46" s="1"/>
  <c r="A869" i="46" s="1"/>
  <c r="A870" i="46" s="1"/>
  <c r="A871" i="46" s="1"/>
  <c r="A872" i="46" s="1"/>
  <c r="A873" i="46" s="1"/>
  <c r="A874" i="46" s="1"/>
  <c r="A875" i="46" s="1"/>
  <c r="A876" i="46" s="1"/>
  <c r="A877" i="46" s="1"/>
  <c r="A878" i="46" s="1"/>
  <c r="A879" i="46" s="1"/>
  <c r="A880" i="46" s="1"/>
  <c r="A881" i="46" s="1"/>
  <c r="A882" i="46" s="1"/>
  <c r="A883" i="46" s="1"/>
  <c r="A884" i="46" s="1"/>
  <c r="A885" i="46" s="1"/>
  <c r="A886" i="46" s="1"/>
  <c r="A887" i="46" s="1"/>
  <c r="A888" i="46" s="1"/>
  <c r="A889" i="46" s="1"/>
  <c r="A890" i="46" s="1"/>
  <c r="A891" i="46" s="1"/>
  <c r="A892" i="46" s="1"/>
  <c r="A893" i="46" s="1"/>
  <c r="A894" i="46" s="1"/>
  <c r="A895" i="46" s="1"/>
  <c r="A896" i="46" s="1"/>
  <c r="A897" i="46" s="1"/>
  <c r="A898" i="46" s="1"/>
  <c r="A899" i="46" s="1"/>
  <c r="A900" i="46" s="1"/>
  <c r="A901" i="46" s="1"/>
  <c r="A902" i="46" s="1"/>
  <c r="A903" i="46" s="1"/>
  <c r="A904" i="46" s="1"/>
  <c r="A905" i="46" s="1"/>
  <c r="A906" i="46" s="1"/>
  <c r="A907" i="46" s="1"/>
  <c r="A908" i="46" s="1"/>
  <c r="A909" i="46" s="1"/>
  <c r="A910" i="46" s="1"/>
  <c r="A911" i="46" s="1"/>
  <c r="A912" i="46" s="1"/>
  <c r="A913" i="46" s="1"/>
  <c r="A914" i="46" s="1"/>
  <c r="A915" i="46" s="1"/>
  <c r="A916" i="46" s="1"/>
  <c r="A917" i="46" s="1"/>
  <c r="A918" i="46" s="1"/>
  <c r="A919" i="46" s="1"/>
  <c r="A920" i="46" s="1"/>
  <c r="A921" i="46" s="1"/>
  <c r="A922" i="46" s="1"/>
  <c r="A923" i="46" s="1"/>
  <c r="A924" i="46" s="1"/>
  <c r="A925" i="46" s="1"/>
  <c r="A926" i="46" s="1"/>
  <c r="A927" i="46" s="1"/>
  <c r="A928" i="46" s="1"/>
  <c r="A929" i="46" s="1"/>
  <c r="A930" i="46" s="1"/>
  <c r="A931" i="46" s="1"/>
  <c r="A932" i="46" s="1"/>
  <c r="A933" i="46" s="1"/>
  <c r="A934" i="46" s="1"/>
  <c r="A935" i="46" s="1"/>
  <c r="A936" i="46" s="1"/>
  <c r="A937" i="46" s="1"/>
  <c r="A938" i="46" s="1"/>
  <c r="A939" i="46" s="1"/>
  <c r="A940" i="46" s="1"/>
  <c r="A941" i="46" s="1"/>
  <c r="A942" i="46" s="1"/>
  <c r="V852" i="46"/>
  <c r="X852" i="46" s="1"/>
  <c r="U852" i="46"/>
  <c r="W852" i="46" s="1"/>
  <c r="S852" i="46"/>
  <c r="Q852" i="46"/>
  <c r="O852" i="46"/>
  <c r="R852" i="46" s="1"/>
  <c r="D852" i="46"/>
  <c r="V851" i="46"/>
  <c r="X851" i="46" s="1"/>
  <c r="U851" i="46"/>
  <c r="W851" i="46" s="1"/>
  <c r="S851" i="46"/>
  <c r="Q851" i="46"/>
  <c r="O851" i="46"/>
  <c r="R851" i="46" s="1"/>
  <c r="D851" i="46"/>
  <c r="V850" i="46"/>
  <c r="X850" i="46" s="1"/>
  <c r="U850" i="46"/>
  <c r="W850" i="46" s="1"/>
  <c r="S850" i="46"/>
  <c r="Q850" i="46"/>
  <c r="O850" i="46"/>
  <c r="R850" i="46" s="1"/>
  <c r="D850" i="46"/>
  <c r="V849" i="46"/>
  <c r="X849" i="46" s="1"/>
  <c r="U849" i="46"/>
  <c r="W849" i="46" s="1"/>
  <c r="S849" i="46"/>
  <c r="Q849" i="46"/>
  <c r="O849" i="46"/>
  <c r="R849" i="46" s="1"/>
  <c r="D849" i="46"/>
  <c r="V848" i="46"/>
  <c r="X848" i="46" s="1"/>
  <c r="U848" i="46"/>
  <c r="W848" i="46" s="1"/>
  <c r="S848" i="46"/>
  <c r="Q848" i="46"/>
  <c r="O848" i="46"/>
  <c r="R848" i="46" s="1"/>
  <c r="D848" i="46"/>
  <c r="V847" i="46"/>
  <c r="X847" i="46" s="1"/>
  <c r="U847" i="46"/>
  <c r="W847" i="46" s="1"/>
  <c r="S847" i="46"/>
  <c r="Q847" i="46"/>
  <c r="O847" i="46"/>
  <c r="R847" i="46" s="1"/>
  <c r="D847" i="46"/>
  <c r="V846" i="46"/>
  <c r="X846" i="46" s="1"/>
  <c r="U846" i="46"/>
  <c r="W846" i="46" s="1"/>
  <c r="S846" i="46"/>
  <c r="Q846" i="46"/>
  <c r="O846" i="46"/>
  <c r="R846" i="46" s="1"/>
  <c r="D846" i="46"/>
  <c r="V845" i="46"/>
  <c r="X845" i="46" s="1"/>
  <c r="U845" i="46"/>
  <c r="W845" i="46" s="1"/>
  <c r="S845" i="46"/>
  <c r="Q845" i="46"/>
  <c r="O845" i="46"/>
  <c r="R845" i="46" s="1"/>
  <c r="D845" i="46"/>
  <c r="V844" i="46"/>
  <c r="X844" i="46" s="1"/>
  <c r="U844" i="46"/>
  <c r="W844" i="46" s="1"/>
  <c r="S844" i="46"/>
  <c r="Q844" i="46"/>
  <c r="O844" i="46"/>
  <c r="R844" i="46" s="1"/>
  <c r="D844" i="46"/>
  <c r="V843" i="46"/>
  <c r="X843" i="46" s="1"/>
  <c r="U843" i="46"/>
  <c r="W843" i="46" s="1"/>
  <c r="S843" i="46"/>
  <c r="Q843" i="46"/>
  <c r="O843" i="46"/>
  <c r="R843" i="46" s="1"/>
  <c r="D843" i="46"/>
  <c r="V842" i="46"/>
  <c r="X842" i="46" s="1"/>
  <c r="U842" i="46"/>
  <c r="W842" i="46" s="1"/>
  <c r="S842" i="46"/>
  <c r="Q842" i="46"/>
  <c r="O842" i="46"/>
  <c r="R842" i="46" s="1"/>
  <c r="D842" i="46"/>
  <c r="V841" i="46"/>
  <c r="X841" i="46" s="1"/>
  <c r="U841" i="46"/>
  <c r="W841" i="46" s="1"/>
  <c r="S841" i="46"/>
  <c r="Q841" i="46"/>
  <c r="O841" i="46"/>
  <c r="R841" i="46" s="1"/>
  <c r="D841" i="46"/>
  <c r="V840" i="46"/>
  <c r="X840" i="46" s="1"/>
  <c r="U840" i="46"/>
  <c r="W840" i="46" s="1"/>
  <c r="S840" i="46"/>
  <c r="Q840" i="46"/>
  <c r="O840" i="46"/>
  <c r="R840" i="46" s="1"/>
  <c r="D840" i="46"/>
  <c r="V839" i="46"/>
  <c r="X839" i="46" s="1"/>
  <c r="U839" i="46"/>
  <c r="W839" i="46" s="1"/>
  <c r="S839" i="46"/>
  <c r="Q839" i="46"/>
  <c r="O839" i="46"/>
  <c r="R839" i="46" s="1"/>
  <c r="D839" i="46"/>
  <c r="V838" i="46"/>
  <c r="X838" i="46" s="1"/>
  <c r="U838" i="46"/>
  <c r="W838" i="46" s="1"/>
  <c r="S838" i="46"/>
  <c r="Q838" i="46"/>
  <c r="O838" i="46"/>
  <c r="R838" i="46" s="1"/>
  <c r="D838" i="46"/>
  <c r="V837" i="46"/>
  <c r="X837" i="46" s="1"/>
  <c r="U837" i="46"/>
  <c r="W837" i="46" s="1"/>
  <c r="S837" i="46"/>
  <c r="Q837" i="46"/>
  <c r="O837" i="46"/>
  <c r="R837" i="46" s="1"/>
  <c r="D837" i="46"/>
  <c r="V836" i="46"/>
  <c r="X836" i="46" s="1"/>
  <c r="U836" i="46"/>
  <c r="W836" i="46" s="1"/>
  <c r="S836" i="46"/>
  <c r="Q836" i="46"/>
  <c r="O836" i="46"/>
  <c r="R836" i="46" s="1"/>
  <c r="D836" i="46"/>
  <c r="V835" i="46"/>
  <c r="X835" i="46" s="1"/>
  <c r="U835" i="46"/>
  <c r="W835" i="46" s="1"/>
  <c r="S835" i="46"/>
  <c r="Q835" i="46"/>
  <c r="O835" i="46"/>
  <c r="R835" i="46" s="1"/>
  <c r="D835" i="46"/>
  <c r="V834" i="46"/>
  <c r="X834" i="46" s="1"/>
  <c r="U834" i="46"/>
  <c r="W834" i="46" s="1"/>
  <c r="S834" i="46"/>
  <c r="Q834" i="46"/>
  <c r="O834" i="46"/>
  <c r="R834" i="46" s="1"/>
  <c r="D834" i="46"/>
  <c r="V833" i="46"/>
  <c r="X833" i="46" s="1"/>
  <c r="U833" i="46"/>
  <c r="W833" i="46" s="1"/>
  <c r="S833" i="46"/>
  <c r="Q833" i="46"/>
  <c r="O833" i="46"/>
  <c r="R833" i="46" s="1"/>
  <c r="D833" i="46"/>
  <c r="V832" i="46"/>
  <c r="X832" i="46" s="1"/>
  <c r="U832" i="46"/>
  <c r="W832" i="46" s="1"/>
  <c r="S832" i="46"/>
  <c r="Q832" i="46"/>
  <c r="O832" i="46"/>
  <c r="R832" i="46" s="1"/>
  <c r="D832" i="46"/>
  <c r="V831" i="46"/>
  <c r="X831" i="46" s="1"/>
  <c r="U831" i="46"/>
  <c r="W831" i="46" s="1"/>
  <c r="S831" i="46"/>
  <c r="Q831" i="46"/>
  <c r="O831" i="46"/>
  <c r="R831" i="46" s="1"/>
  <c r="D831" i="46"/>
  <c r="V830" i="46"/>
  <c r="X830" i="46" s="1"/>
  <c r="U830" i="46"/>
  <c r="W830" i="46" s="1"/>
  <c r="S830" i="46"/>
  <c r="Q830" i="46"/>
  <c r="O830" i="46"/>
  <c r="R830" i="46" s="1"/>
  <c r="D830" i="46"/>
  <c r="V829" i="46"/>
  <c r="X829" i="46" s="1"/>
  <c r="U829" i="46"/>
  <c r="W829" i="46" s="1"/>
  <c r="S829" i="46"/>
  <c r="Q829" i="46"/>
  <c r="O829" i="46"/>
  <c r="R829" i="46" s="1"/>
  <c r="D829" i="46"/>
  <c r="V828" i="46"/>
  <c r="X828" i="46" s="1"/>
  <c r="U828" i="46"/>
  <c r="W828" i="46" s="1"/>
  <c r="S828" i="46"/>
  <c r="Q828" i="46"/>
  <c r="O828" i="46"/>
  <c r="R828" i="46" s="1"/>
  <c r="D828" i="46"/>
  <c r="V827" i="46"/>
  <c r="X827" i="46" s="1"/>
  <c r="U827" i="46"/>
  <c r="W827" i="46" s="1"/>
  <c r="S827" i="46"/>
  <c r="Q827" i="46"/>
  <c r="O827" i="46"/>
  <c r="R827" i="46" s="1"/>
  <c r="D827" i="46"/>
  <c r="V826" i="46"/>
  <c r="X826" i="46" s="1"/>
  <c r="U826" i="46"/>
  <c r="W826" i="46" s="1"/>
  <c r="S826" i="46"/>
  <c r="Q826" i="46"/>
  <c r="O826" i="46"/>
  <c r="R826" i="46" s="1"/>
  <c r="D826" i="46"/>
  <c r="V825" i="46"/>
  <c r="X825" i="46" s="1"/>
  <c r="U825" i="46"/>
  <c r="W825" i="46" s="1"/>
  <c r="S825" i="46"/>
  <c r="Q825" i="46"/>
  <c r="O825" i="46"/>
  <c r="R825" i="46" s="1"/>
  <c r="D825" i="46"/>
  <c r="V824" i="46"/>
  <c r="X824" i="46" s="1"/>
  <c r="U824" i="46"/>
  <c r="W824" i="46" s="1"/>
  <c r="S824" i="46"/>
  <c r="Q824" i="46"/>
  <c r="O824" i="46"/>
  <c r="R824" i="46" s="1"/>
  <c r="D824" i="46"/>
  <c r="V823" i="46"/>
  <c r="X823" i="46" s="1"/>
  <c r="U823" i="46"/>
  <c r="W823" i="46" s="1"/>
  <c r="S823" i="46"/>
  <c r="Q823" i="46"/>
  <c r="O823" i="46"/>
  <c r="R823" i="46" s="1"/>
  <c r="D823" i="46"/>
  <c r="V822" i="46"/>
  <c r="X822" i="46" s="1"/>
  <c r="U822" i="46"/>
  <c r="W822" i="46" s="1"/>
  <c r="S822" i="46"/>
  <c r="Q822" i="46"/>
  <c r="O822" i="46"/>
  <c r="R822" i="46" s="1"/>
  <c r="D822" i="46"/>
  <c r="V821" i="46"/>
  <c r="X821" i="46" s="1"/>
  <c r="U821" i="46"/>
  <c r="W821" i="46" s="1"/>
  <c r="S821" i="46"/>
  <c r="Q821" i="46"/>
  <c r="O821" i="46"/>
  <c r="R821" i="46" s="1"/>
  <c r="D821" i="46"/>
  <c r="V820" i="46"/>
  <c r="X820" i="46" s="1"/>
  <c r="U820" i="46"/>
  <c r="W820" i="46" s="1"/>
  <c r="S820" i="46"/>
  <c r="Q820" i="46"/>
  <c r="O820" i="46"/>
  <c r="R820" i="46" s="1"/>
  <c r="D820" i="46"/>
  <c r="V819" i="46"/>
  <c r="X819" i="46" s="1"/>
  <c r="U819" i="46"/>
  <c r="W819" i="46" s="1"/>
  <c r="S819" i="46"/>
  <c r="Q819" i="46"/>
  <c r="O819" i="46"/>
  <c r="R819" i="46" s="1"/>
  <c r="D819" i="46"/>
  <c r="V818" i="46"/>
  <c r="X818" i="46" s="1"/>
  <c r="U818" i="46"/>
  <c r="W818" i="46" s="1"/>
  <c r="S818" i="46"/>
  <c r="Q818" i="46"/>
  <c r="O818" i="46"/>
  <c r="R818" i="46" s="1"/>
  <c r="D818" i="46"/>
  <c r="V817" i="46"/>
  <c r="X817" i="46" s="1"/>
  <c r="U817" i="46"/>
  <c r="W817" i="46" s="1"/>
  <c r="S817" i="46"/>
  <c r="Q817" i="46"/>
  <c r="O817" i="46"/>
  <c r="R817" i="46" s="1"/>
  <c r="D817" i="46"/>
  <c r="V816" i="46"/>
  <c r="X816" i="46" s="1"/>
  <c r="U816" i="46"/>
  <c r="W816" i="46" s="1"/>
  <c r="S816" i="46"/>
  <c r="Q816" i="46"/>
  <c r="O816" i="46"/>
  <c r="R816" i="46" s="1"/>
  <c r="D816" i="46"/>
  <c r="V815" i="46"/>
  <c r="X815" i="46" s="1"/>
  <c r="U815" i="46"/>
  <c r="W815" i="46" s="1"/>
  <c r="S815" i="46"/>
  <c r="Q815" i="46"/>
  <c r="O815" i="46"/>
  <c r="R815" i="46" s="1"/>
  <c r="D815" i="46"/>
  <c r="V814" i="46"/>
  <c r="X814" i="46" s="1"/>
  <c r="U814" i="46"/>
  <c r="W814" i="46" s="1"/>
  <c r="S814" i="46"/>
  <c r="Q814" i="46"/>
  <c r="O814" i="46"/>
  <c r="R814" i="46" s="1"/>
  <c r="D814" i="46"/>
  <c r="V813" i="46"/>
  <c r="X813" i="46" s="1"/>
  <c r="U813" i="46"/>
  <c r="W813" i="46" s="1"/>
  <c r="S813" i="46"/>
  <c r="Q813" i="46"/>
  <c r="O813" i="46"/>
  <c r="R813" i="46" s="1"/>
  <c r="D813" i="46"/>
  <c r="V812" i="46"/>
  <c r="X812" i="46" s="1"/>
  <c r="U812" i="46"/>
  <c r="W812" i="46" s="1"/>
  <c r="S812" i="46"/>
  <c r="Q812" i="46"/>
  <c r="O812" i="46"/>
  <c r="R812" i="46" s="1"/>
  <c r="D812" i="46"/>
  <c r="V811" i="46"/>
  <c r="X811" i="46" s="1"/>
  <c r="U811" i="46"/>
  <c r="W811" i="46" s="1"/>
  <c r="S811" i="46"/>
  <c r="Q811" i="46"/>
  <c r="O811" i="46"/>
  <c r="R811" i="46" s="1"/>
  <c r="D811" i="46"/>
  <c r="V810" i="46"/>
  <c r="X810" i="46" s="1"/>
  <c r="U810" i="46"/>
  <c r="W810" i="46" s="1"/>
  <c r="S810" i="46"/>
  <c r="Q810" i="46"/>
  <c r="O810" i="46"/>
  <c r="R810" i="46" s="1"/>
  <c r="D810" i="46"/>
  <c r="V809" i="46"/>
  <c r="X809" i="46" s="1"/>
  <c r="U809" i="46"/>
  <c r="W809" i="46" s="1"/>
  <c r="S809" i="46"/>
  <c r="Q809" i="46"/>
  <c r="O809" i="46"/>
  <c r="R809" i="46" s="1"/>
  <c r="D809" i="46"/>
  <c r="V808" i="46"/>
  <c r="X808" i="46" s="1"/>
  <c r="U808" i="46"/>
  <c r="W808" i="46" s="1"/>
  <c r="S808" i="46"/>
  <c r="Q808" i="46"/>
  <c r="O808" i="46"/>
  <c r="R808" i="46" s="1"/>
  <c r="D808" i="46"/>
  <c r="V807" i="46"/>
  <c r="X807" i="46" s="1"/>
  <c r="U807" i="46"/>
  <c r="W807" i="46" s="1"/>
  <c r="S807" i="46"/>
  <c r="Q807" i="46"/>
  <c r="O807" i="46"/>
  <c r="R807" i="46" s="1"/>
  <c r="D807" i="46"/>
  <c r="V806" i="46"/>
  <c r="X806" i="46" s="1"/>
  <c r="U806" i="46"/>
  <c r="W806" i="46" s="1"/>
  <c r="S806" i="46"/>
  <c r="Q806" i="46"/>
  <c r="O806" i="46"/>
  <c r="R806" i="46" s="1"/>
  <c r="D806" i="46"/>
  <c r="V805" i="46"/>
  <c r="X805" i="46" s="1"/>
  <c r="U805" i="46"/>
  <c r="W805" i="46" s="1"/>
  <c r="S805" i="46"/>
  <c r="Q805" i="46"/>
  <c r="O805" i="46"/>
  <c r="R805" i="46" s="1"/>
  <c r="D805" i="46"/>
  <c r="V804" i="46"/>
  <c r="X804" i="46" s="1"/>
  <c r="U804" i="46"/>
  <c r="W804" i="46" s="1"/>
  <c r="S804" i="46"/>
  <c r="Q804" i="46"/>
  <c r="O804" i="46"/>
  <c r="R804" i="46" s="1"/>
  <c r="D804" i="46"/>
  <c r="V803" i="46"/>
  <c r="X803" i="46" s="1"/>
  <c r="U803" i="46"/>
  <c r="W803" i="46" s="1"/>
  <c r="S803" i="46"/>
  <c r="Q803" i="46"/>
  <c r="O803" i="46"/>
  <c r="R803" i="46" s="1"/>
  <c r="D803" i="46"/>
  <c r="V802" i="46"/>
  <c r="X802" i="46" s="1"/>
  <c r="U802" i="46"/>
  <c r="W802" i="46" s="1"/>
  <c r="S802" i="46"/>
  <c r="Q802" i="46"/>
  <c r="O802" i="46"/>
  <c r="R802" i="46" s="1"/>
  <c r="D802" i="46"/>
  <c r="V801" i="46"/>
  <c r="X801" i="46" s="1"/>
  <c r="U801" i="46"/>
  <c r="W801" i="46" s="1"/>
  <c r="S801" i="46"/>
  <c r="Q801" i="46"/>
  <c r="O801" i="46"/>
  <c r="R801" i="46" s="1"/>
  <c r="D801" i="46"/>
  <c r="V800" i="46"/>
  <c r="X800" i="46" s="1"/>
  <c r="U800" i="46"/>
  <c r="W800" i="46" s="1"/>
  <c r="S800" i="46"/>
  <c r="Q800" i="46"/>
  <c r="O800" i="46"/>
  <c r="R800" i="46" s="1"/>
  <c r="D800" i="46"/>
  <c r="V799" i="46"/>
  <c r="X799" i="46" s="1"/>
  <c r="U799" i="46"/>
  <c r="W799" i="46" s="1"/>
  <c r="S799" i="46"/>
  <c r="Q799" i="46"/>
  <c r="O799" i="46"/>
  <c r="R799" i="46" s="1"/>
  <c r="D799" i="46"/>
  <c r="V798" i="46"/>
  <c r="X798" i="46" s="1"/>
  <c r="U798" i="46"/>
  <c r="W798" i="46" s="1"/>
  <c r="S798" i="46"/>
  <c r="Q798" i="46"/>
  <c r="O798" i="46"/>
  <c r="R798" i="46" s="1"/>
  <c r="D798" i="46"/>
  <c r="V797" i="46"/>
  <c r="X797" i="46" s="1"/>
  <c r="U797" i="46"/>
  <c r="W797" i="46" s="1"/>
  <c r="S797" i="46"/>
  <c r="Q797" i="46"/>
  <c r="O797" i="46"/>
  <c r="R797" i="46" s="1"/>
  <c r="D797" i="46"/>
  <c r="V796" i="46"/>
  <c r="X796" i="46" s="1"/>
  <c r="U796" i="46"/>
  <c r="W796" i="46" s="1"/>
  <c r="S796" i="46"/>
  <c r="Q796" i="46"/>
  <c r="O796" i="46"/>
  <c r="R796" i="46" s="1"/>
  <c r="D796" i="46"/>
  <c r="V795" i="46"/>
  <c r="X795" i="46" s="1"/>
  <c r="U795" i="46"/>
  <c r="W795" i="46" s="1"/>
  <c r="S795" i="46"/>
  <c r="Q795" i="46"/>
  <c r="O795" i="46"/>
  <c r="R795" i="46" s="1"/>
  <c r="D795" i="46"/>
  <c r="V794" i="46"/>
  <c r="X794" i="46" s="1"/>
  <c r="U794" i="46"/>
  <c r="W794" i="46" s="1"/>
  <c r="S794" i="46"/>
  <c r="Q794" i="46"/>
  <c r="O794" i="46"/>
  <c r="R794" i="46" s="1"/>
  <c r="D794" i="46"/>
  <c r="V793" i="46"/>
  <c r="X793" i="46" s="1"/>
  <c r="U793" i="46"/>
  <c r="W793" i="46" s="1"/>
  <c r="S793" i="46"/>
  <c r="Q793" i="46"/>
  <c r="O793" i="46"/>
  <c r="R793" i="46" s="1"/>
  <c r="D793" i="46"/>
  <c r="V792" i="46"/>
  <c r="X792" i="46" s="1"/>
  <c r="U792" i="46"/>
  <c r="W792" i="46" s="1"/>
  <c r="S792" i="46"/>
  <c r="Q792" i="46"/>
  <c r="O792" i="46"/>
  <c r="R792" i="46" s="1"/>
  <c r="D792" i="46"/>
  <c r="V791" i="46"/>
  <c r="X791" i="46" s="1"/>
  <c r="U791" i="46"/>
  <c r="W791" i="46" s="1"/>
  <c r="S791" i="46"/>
  <c r="Q791" i="46"/>
  <c r="O791" i="46"/>
  <c r="R791" i="46" s="1"/>
  <c r="D791" i="46"/>
  <c r="V790" i="46"/>
  <c r="X790" i="46" s="1"/>
  <c r="U790" i="46"/>
  <c r="W790" i="46" s="1"/>
  <c r="S790" i="46"/>
  <c r="Q790" i="46"/>
  <c r="O790" i="46"/>
  <c r="R790" i="46" s="1"/>
  <c r="D790" i="46"/>
  <c r="V789" i="46"/>
  <c r="X789" i="46" s="1"/>
  <c r="U789" i="46"/>
  <c r="W789" i="46" s="1"/>
  <c r="S789" i="46"/>
  <c r="Q789" i="46"/>
  <c r="O789" i="46"/>
  <c r="R789" i="46" s="1"/>
  <c r="D789" i="46"/>
  <c r="V788" i="46"/>
  <c r="X788" i="46" s="1"/>
  <c r="U788" i="46"/>
  <c r="W788" i="46" s="1"/>
  <c r="S788" i="46"/>
  <c r="Q788" i="46"/>
  <c r="O788" i="46"/>
  <c r="R788" i="46" s="1"/>
  <c r="D788" i="46"/>
  <c r="V787" i="46"/>
  <c r="X787" i="46" s="1"/>
  <c r="U787" i="46"/>
  <c r="W787" i="46" s="1"/>
  <c r="S787" i="46"/>
  <c r="Q787" i="46"/>
  <c r="O787" i="46"/>
  <c r="R787" i="46" s="1"/>
  <c r="D787" i="46"/>
  <c r="V786" i="46"/>
  <c r="X786" i="46" s="1"/>
  <c r="U786" i="46"/>
  <c r="W786" i="46" s="1"/>
  <c r="S786" i="46"/>
  <c r="Q786" i="46"/>
  <c r="O786" i="46"/>
  <c r="R786" i="46" s="1"/>
  <c r="D786" i="46"/>
  <c r="V785" i="46"/>
  <c r="X785" i="46" s="1"/>
  <c r="U785" i="46"/>
  <c r="W785" i="46" s="1"/>
  <c r="S785" i="46"/>
  <c r="Q785" i="46"/>
  <c r="O785" i="46"/>
  <c r="R785" i="46" s="1"/>
  <c r="D785" i="46"/>
  <c r="V784" i="46"/>
  <c r="X784" i="46" s="1"/>
  <c r="U784" i="46"/>
  <c r="W784" i="46" s="1"/>
  <c r="S784" i="46"/>
  <c r="Q784" i="46"/>
  <c r="O784" i="46"/>
  <c r="R784" i="46" s="1"/>
  <c r="D784" i="46"/>
  <c r="V783" i="46"/>
  <c r="X783" i="46" s="1"/>
  <c r="U783" i="46"/>
  <c r="W783" i="46" s="1"/>
  <c r="S783" i="46"/>
  <c r="Q783" i="46"/>
  <c r="O783" i="46"/>
  <c r="R783" i="46" s="1"/>
  <c r="D783" i="46"/>
  <c r="V782" i="46"/>
  <c r="X782" i="46" s="1"/>
  <c r="U782" i="46"/>
  <c r="W782" i="46" s="1"/>
  <c r="S782" i="46"/>
  <c r="Q782" i="46"/>
  <c r="O782" i="46"/>
  <c r="R782" i="46" s="1"/>
  <c r="D782" i="46"/>
  <c r="V781" i="46"/>
  <c r="X781" i="46" s="1"/>
  <c r="U781" i="46"/>
  <c r="W781" i="46" s="1"/>
  <c r="S781" i="46"/>
  <c r="Q781" i="46"/>
  <c r="O781" i="46"/>
  <c r="R781" i="46" s="1"/>
  <c r="D781" i="46"/>
  <c r="V780" i="46"/>
  <c r="X780" i="46" s="1"/>
  <c r="U780" i="46"/>
  <c r="W780" i="46" s="1"/>
  <c r="S780" i="46"/>
  <c r="Q780" i="46"/>
  <c r="O780" i="46"/>
  <c r="R780" i="46" s="1"/>
  <c r="D780" i="46"/>
  <c r="V779" i="46"/>
  <c r="X779" i="46" s="1"/>
  <c r="U779" i="46"/>
  <c r="W779" i="46" s="1"/>
  <c r="S779" i="46"/>
  <c r="Q779" i="46"/>
  <c r="O779" i="46"/>
  <c r="R779" i="46" s="1"/>
  <c r="D779" i="46"/>
  <c r="V778" i="46"/>
  <c r="X778" i="46" s="1"/>
  <c r="U778" i="46"/>
  <c r="W778" i="46" s="1"/>
  <c r="S778" i="46"/>
  <c r="Q778" i="46"/>
  <c r="O778" i="46"/>
  <c r="R778" i="46" s="1"/>
  <c r="D778" i="46"/>
  <c r="V777" i="46"/>
  <c r="X777" i="46" s="1"/>
  <c r="U777" i="46"/>
  <c r="W777" i="46" s="1"/>
  <c r="S777" i="46"/>
  <c r="Q777" i="46"/>
  <c r="O777" i="46"/>
  <c r="R777" i="46" s="1"/>
  <c r="D777" i="46"/>
  <c r="V776" i="46"/>
  <c r="X776" i="46" s="1"/>
  <c r="U776" i="46"/>
  <c r="W776" i="46" s="1"/>
  <c r="S776" i="46"/>
  <c r="Q776" i="46"/>
  <c r="O776" i="46"/>
  <c r="R776" i="46" s="1"/>
  <c r="D776" i="46"/>
  <c r="V775" i="46"/>
  <c r="X775" i="46" s="1"/>
  <c r="U775" i="46"/>
  <c r="W775" i="46" s="1"/>
  <c r="S775" i="46"/>
  <c r="Q775" i="46"/>
  <c r="O775" i="46"/>
  <c r="R775" i="46" s="1"/>
  <c r="D775" i="46"/>
  <c r="V774" i="46"/>
  <c r="X774" i="46" s="1"/>
  <c r="U774" i="46"/>
  <c r="W774" i="46" s="1"/>
  <c r="S774" i="46"/>
  <c r="Q774" i="46"/>
  <c r="O774" i="46"/>
  <c r="R774" i="46" s="1"/>
  <c r="D774" i="46"/>
  <c r="V773" i="46"/>
  <c r="X773" i="46" s="1"/>
  <c r="U773" i="46"/>
  <c r="W773" i="46" s="1"/>
  <c r="S773" i="46"/>
  <c r="Q773" i="46"/>
  <c r="O773" i="46"/>
  <c r="R773" i="46" s="1"/>
  <c r="D773" i="46"/>
  <c r="V772" i="46"/>
  <c r="X772" i="46" s="1"/>
  <c r="U772" i="46"/>
  <c r="W772" i="46" s="1"/>
  <c r="S772" i="46"/>
  <c r="Q772" i="46"/>
  <c r="O772" i="46"/>
  <c r="R772" i="46" s="1"/>
  <c r="D772" i="46"/>
  <c r="V771" i="46"/>
  <c r="X771" i="46" s="1"/>
  <c r="U771" i="46"/>
  <c r="W771" i="46" s="1"/>
  <c r="S771" i="46"/>
  <c r="Q771" i="46"/>
  <c r="O771" i="46"/>
  <c r="R771" i="46" s="1"/>
  <c r="D771" i="46"/>
  <c r="V770" i="46"/>
  <c r="X770" i="46" s="1"/>
  <c r="U770" i="46"/>
  <c r="W770" i="46" s="1"/>
  <c r="S770" i="46"/>
  <c r="Q770" i="46"/>
  <c r="O770" i="46"/>
  <c r="R770" i="46" s="1"/>
  <c r="D770" i="46"/>
  <c r="V769" i="46"/>
  <c r="X769" i="46" s="1"/>
  <c r="U769" i="46"/>
  <c r="W769" i="46" s="1"/>
  <c r="S769" i="46"/>
  <c r="Q769" i="46"/>
  <c r="O769" i="46"/>
  <c r="R769" i="46" s="1"/>
  <c r="D769" i="46"/>
  <c r="V768" i="46"/>
  <c r="X768" i="46" s="1"/>
  <c r="U768" i="46"/>
  <c r="W768" i="46" s="1"/>
  <c r="S768" i="46"/>
  <c r="Q768" i="46"/>
  <c r="O768" i="46"/>
  <c r="R768" i="46" s="1"/>
  <c r="D768" i="46"/>
  <c r="V767" i="46"/>
  <c r="X767" i="46" s="1"/>
  <c r="U767" i="46"/>
  <c r="W767" i="46" s="1"/>
  <c r="S767" i="46"/>
  <c r="Q767" i="46"/>
  <c r="O767" i="46"/>
  <c r="R767" i="46" s="1"/>
  <c r="D767" i="46"/>
  <c r="V766" i="46"/>
  <c r="X766" i="46" s="1"/>
  <c r="U766" i="46"/>
  <c r="W766" i="46" s="1"/>
  <c r="S766" i="46"/>
  <c r="Q766" i="46"/>
  <c r="O766" i="46"/>
  <c r="R766" i="46" s="1"/>
  <c r="D766" i="46"/>
  <c r="V765" i="46"/>
  <c r="X765" i="46" s="1"/>
  <c r="U765" i="46"/>
  <c r="W765" i="46" s="1"/>
  <c r="S765" i="46"/>
  <c r="Q765" i="46"/>
  <c r="O765" i="46"/>
  <c r="R765" i="46" s="1"/>
  <c r="D765" i="46"/>
  <c r="V764" i="46"/>
  <c r="X764" i="46" s="1"/>
  <c r="U764" i="46"/>
  <c r="W764" i="46" s="1"/>
  <c r="S764" i="46"/>
  <c r="Q764" i="46"/>
  <c r="O764" i="46"/>
  <c r="R764" i="46" s="1"/>
  <c r="D764" i="46"/>
  <c r="V763" i="46"/>
  <c r="X763" i="46" s="1"/>
  <c r="U763" i="46"/>
  <c r="W763" i="46" s="1"/>
  <c r="S763" i="46"/>
  <c r="Q763" i="46"/>
  <c r="O763" i="46"/>
  <c r="R763" i="46" s="1"/>
  <c r="D763" i="46"/>
  <c r="V762" i="46"/>
  <c r="X762" i="46" s="1"/>
  <c r="U762" i="46"/>
  <c r="W762" i="46" s="1"/>
  <c r="S762" i="46"/>
  <c r="Q762" i="46"/>
  <c r="O762" i="46"/>
  <c r="R762" i="46" s="1"/>
  <c r="D762" i="46"/>
  <c r="V761" i="46"/>
  <c r="X761" i="46" s="1"/>
  <c r="U761" i="46"/>
  <c r="W761" i="46" s="1"/>
  <c r="S761" i="46"/>
  <c r="Q761" i="46"/>
  <c r="O761" i="46"/>
  <c r="R761" i="46" s="1"/>
  <c r="D761" i="46"/>
  <c r="V760" i="46"/>
  <c r="X760" i="46" s="1"/>
  <c r="U760" i="46"/>
  <c r="W760" i="46" s="1"/>
  <c r="S760" i="46"/>
  <c r="Q760" i="46"/>
  <c r="O760" i="46"/>
  <c r="R760" i="46" s="1"/>
  <c r="D760" i="46"/>
  <c r="V759" i="46"/>
  <c r="X759" i="46" s="1"/>
  <c r="U759" i="46"/>
  <c r="W759" i="46" s="1"/>
  <c r="S759" i="46"/>
  <c r="Q759" i="46"/>
  <c r="O759" i="46"/>
  <c r="R759" i="46" s="1"/>
  <c r="D759" i="46"/>
  <c r="V758" i="46"/>
  <c r="X758" i="46" s="1"/>
  <c r="U758" i="46"/>
  <c r="W758" i="46" s="1"/>
  <c r="S758" i="46"/>
  <c r="Q758" i="46"/>
  <c r="O758" i="46"/>
  <c r="R758" i="46" s="1"/>
  <c r="D758" i="46"/>
  <c r="V757" i="46"/>
  <c r="X757" i="46" s="1"/>
  <c r="U757" i="46"/>
  <c r="W757" i="46" s="1"/>
  <c r="S757" i="46"/>
  <c r="Q757" i="46"/>
  <c r="O757" i="46"/>
  <c r="R757" i="46" s="1"/>
  <c r="D757" i="46"/>
  <c r="V756" i="46"/>
  <c r="X756" i="46" s="1"/>
  <c r="U756" i="46"/>
  <c r="W756" i="46" s="1"/>
  <c r="S756" i="46"/>
  <c r="Q756" i="46"/>
  <c r="O756" i="46"/>
  <c r="R756" i="46" s="1"/>
  <c r="D756" i="46"/>
  <c r="V755" i="46"/>
  <c r="X755" i="46" s="1"/>
  <c r="U755" i="46"/>
  <c r="W755" i="46" s="1"/>
  <c r="S755" i="46"/>
  <c r="Q755" i="46"/>
  <c r="O755" i="46"/>
  <c r="R755" i="46" s="1"/>
  <c r="D755" i="46"/>
  <c r="V754" i="46"/>
  <c r="X754" i="46" s="1"/>
  <c r="U754" i="46"/>
  <c r="W754" i="46" s="1"/>
  <c r="S754" i="46"/>
  <c r="Q754" i="46"/>
  <c r="O754" i="46"/>
  <c r="R754" i="46" s="1"/>
  <c r="D754" i="46"/>
  <c r="V753" i="46"/>
  <c r="X753" i="46" s="1"/>
  <c r="U753" i="46"/>
  <c r="W753" i="46" s="1"/>
  <c r="S753" i="46"/>
  <c r="Q753" i="46"/>
  <c r="O753" i="46"/>
  <c r="R753" i="46" s="1"/>
  <c r="D753" i="46"/>
  <c r="V752" i="46"/>
  <c r="X752" i="46" s="1"/>
  <c r="U752" i="46"/>
  <c r="W752" i="46" s="1"/>
  <c r="S752" i="46"/>
  <c r="Q752" i="46"/>
  <c r="O752" i="46"/>
  <c r="R752" i="46" s="1"/>
  <c r="D752" i="46"/>
  <c r="V751" i="46"/>
  <c r="X751" i="46" s="1"/>
  <c r="U751" i="46"/>
  <c r="W751" i="46" s="1"/>
  <c r="S751" i="46"/>
  <c r="Q751" i="46"/>
  <c r="O751" i="46"/>
  <c r="R751" i="46" s="1"/>
  <c r="D751" i="46"/>
  <c r="V750" i="46"/>
  <c r="X750" i="46" s="1"/>
  <c r="U750" i="46"/>
  <c r="W750" i="46" s="1"/>
  <c r="S750" i="46"/>
  <c r="Q750" i="46"/>
  <c r="O750" i="46"/>
  <c r="R750" i="46" s="1"/>
  <c r="D750" i="46"/>
  <c r="V749" i="46"/>
  <c r="X749" i="46" s="1"/>
  <c r="U749" i="46"/>
  <c r="W749" i="46" s="1"/>
  <c r="S749" i="46"/>
  <c r="Q749" i="46"/>
  <c r="O749" i="46"/>
  <c r="R749" i="46" s="1"/>
  <c r="D749" i="46"/>
  <c r="V748" i="46"/>
  <c r="X748" i="46" s="1"/>
  <c r="U748" i="46"/>
  <c r="W748" i="46" s="1"/>
  <c r="S748" i="46"/>
  <c r="Q748" i="46"/>
  <c r="O748" i="46"/>
  <c r="R748" i="46" s="1"/>
  <c r="D748" i="46"/>
  <c r="V747" i="46"/>
  <c r="X747" i="46" s="1"/>
  <c r="U747" i="46"/>
  <c r="W747" i="46" s="1"/>
  <c r="S747" i="46"/>
  <c r="Q747" i="46"/>
  <c r="O747" i="46"/>
  <c r="R747" i="46" s="1"/>
  <c r="D747" i="46"/>
  <c r="V746" i="46"/>
  <c r="X746" i="46" s="1"/>
  <c r="U746" i="46"/>
  <c r="W746" i="46" s="1"/>
  <c r="S746" i="46"/>
  <c r="Q746" i="46"/>
  <c r="O746" i="46"/>
  <c r="R746" i="46" s="1"/>
  <c r="D746" i="46"/>
  <c r="V745" i="46"/>
  <c r="X745" i="46" s="1"/>
  <c r="U745" i="46"/>
  <c r="W745" i="46" s="1"/>
  <c r="S745" i="46"/>
  <c r="Q745" i="46"/>
  <c r="O745" i="46"/>
  <c r="R745" i="46" s="1"/>
  <c r="D745" i="46"/>
  <c r="V744" i="46"/>
  <c r="X744" i="46" s="1"/>
  <c r="U744" i="46"/>
  <c r="W744" i="46" s="1"/>
  <c r="S744" i="46"/>
  <c r="Q744" i="46"/>
  <c r="O744" i="46"/>
  <c r="R744" i="46" s="1"/>
  <c r="D744" i="46"/>
  <c r="V743" i="46"/>
  <c r="X743" i="46" s="1"/>
  <c r="U743" i="46"/>
  <c r="W743" i="46" s="1"/>
  <c r="S743" i="46"/>
  <c r="Q743" i="46"/>
  <c r="O743" i="46"/>
  <c r="R743" i="46" s="1"/>
  <c r="D743" i="46"/>
  <c r="V742" i="46"/>
  <c r="X742" i="46" s="1"/>
  <c r="U742" i="46"/>
  <c r="W742" i="46" s="1"/>
  <c r="S742" i="46"/>
  <c r="Q742" i="46"/>
  <c r="O742" i="46"/>
  <c r="R742" i="46" s="1"/>
  <c r="D742" i="46"/>
  <c r="V741" i="46"/>
  <c r="X741" i="46" s="1"/>
  <c r="U741" i="46"/>
  <c r="W741" i="46" s="1"/>
  <c r="S741" i="46"/>
  <c r="Q741" i="46"/>
  <c r="O741" i="46"/>
  <c r="R741" i="46" s="1"/>
  <c r="D741" i="46"/>
  <c r="V740" i="46"/>
  <c r="X740" i="46" s="1"/>
  <c r="U740" i="46"/>
  <c r="W740" i="46" s="1"/>
  <c r="S740" i="46"/>
  <c r="Q740" i="46"/>
  <c r="O740" i="46"/>
  <c r="R740" i="46" s="1"/>
  <c r="D740" i="46"/>
  <c r="V739" i="46"/>
  <c r="X739" i="46" s="1"/>
  <c r="U739" i="46"/>
  <c r="W739" i="46" s="1"/>
  <c r="S739" i="46"/>
  <c r="Q739" i="46"/>
  <c r="O739" i="46"/>
  <c r="R739" i="46" s="1"/>
  <c r="D739" i="46"/>
  <c r="V738" i="46"/>
  <c r="X738" i="46" s="1"/>
  <c r="U738" i="46"/>
  <c r="W738" i="46" s="1"/>
  <c r="S738" i="46"/>
  <c r="Q738" i="46"/>
  <c r="O738" i="46"/>
  <c r="R738" i="46" s="1"/>
  <c r="D738" i="46"/>
  <c r="V737" i="46"/>
  <c r="X737" i="46" s="1"/>
  <c r="U737" i="46"/>
  <c r="W737" i="46" s="1"/>
  <c r="S737" i="46"/>
  <c r="Q737" i="46"/>
  <c r="O737" i="46"/>
  <c r="R737" i="46" s="1"/>
  <c r="D737" i="46"/>
  <c r="V736" i="46"/>
  <c r="X736" i="46" s="1"/>
  <c r="U736" i="46"/>
  <c r="W736" i="46" s="1"/>
  <c r="S736" i="46"/>
  <c r="Q736" i="46"/>
  <c r="O736" i="46"/>
  <c r="R736" i="46" s="1"/>
  <c r="D736" i="46"/>
  <c r="V735" i="46"/>
  <c r="X735" i="46" s="1"/>
  <c r="U735" i="46"/>
  <c r="W735" i="46" s="1"/>
  <c r="S735" i="46"/>
  <c r="Q735" i="46"/>
  <c r="O735" i="46"/>
  <c r="R735" i="46" s="1"/>
  <c r="D735" i="46"/>
  <c r="V734" i="46"/>
  <c r="X734" i="46" s="1"/>
  <c r="U734" i="46"/>
  <c r="W734" i="46" s="1"/>
  <c r="S734" i="46"/>
  <c r="Q734" i="46"/>
  <c r="O734" i="46"/>
  <c r="R734" i="46" s="1"/>
  <c r="D734" i="46"/>
  <c r="V733" i="46"/>
  <c r="X733" i="46" s="1"/>
  <c r="U733" i="46"/>
  <c r="W733" i="46" s="1"/>
  <c r="S733" i="46"/>
  <c r="Q733" i="46"/>
  <c r="O733" i="46"/>
  <c r="R733" i="46" s="1"/>
  <c r="D733" i="46"/>
  <c r="V732" i="46"/>
  <c r="X732" i="46" s="1"/>
  <c r="U732" i="46"/>
  <c r="W732" i="46" s="1"/>
  <c r="S732" i="46"/>
  <c r="Q732" i="46"/>
  <c r="O732" i="46"/>
  <c r="R732" i="46" s="1"/>
  <c r="D732" i="46"/>
  <c r="V731" i="46"/>
  <c r="X731" i="46" s="1"/>
  <c r="U731" i="46"/>
  <c r="W731" i="46" s="1"/>
  <c r="S731" i="46"/>
  <c r="Q731" i="46"/>
  <c r="O731" i="46"/>
  <c r="R731" i="46" s="1"/>
  <c r="D731" i="46"/>
  <c r="V730" i="46"/>
  <c r="X730" i="46" s="1"/>
  <c r="U730" i="46"/>
  <c r="W730" i="46" s="1"/>
  <c r="S730" i="46"/>
  <c r="Q730" i="46"/>
  <c r="O730" i="46"/>
  <c r="R730" i="46" s="1"/>
  <c r="D730" i="46"/>
  <c r="V729" i="46"/>
  <c r="X729" i="46" s="1"/>
  <c r="U729" i="46"/>
  <c r="W729" i="46" s="1"/>
  <c r="S729" i="46"/>
  <c r="Q729" i="46"/>
  <c r="O729" i="46"/>
  <c r="R729" i="46" s="1"/>
  <c r="D729" i="46"/>
  <c r="V728" i="46"/>
  <c r="X728" i="46" s="1"/>
  <c r="U728" i="46"/>
  <c r="W728" i="46" s="1"/>
  <c r="S728" i="46"/>
  <c r="Q728" i="46"/>
  <c r="O728" i="46"/>
  <c r="R728" i="46" s="1"/>
  <c r="D728" i="46"/>
  <c r="V727" i="46"/>
  <c r="X727" i="46" s="1"/>
  <c r="U727" i="46"/>
  <c r="W727" i="46" s="1"/>
  <c r="S727" i="46"/>
  <c r="Q727" i="46"/>
  <c r="O727" i="46"/>
  <c r="R727" i="46" s="1"/>
  <c r="D727" i="46"/>
  <c r="V726" i="46"/>
  <c r="X726" i="46" s="1"/>
  <c r="U726" i="46"/>
  <c r="W726" i="46" s="1"/>
  <c r="S726" i="46"/>
  <c r="Q726" i="46"/>
  <c r="O726" i="46"/>
  <c r="R726" i="46" s="1"/>
  <c r="D726" i="46"/>
  <c r="V725" i="46"/>
  <c r="X725" i="46" s="1"/>
  <c r="U725" i="46"/>
  <c r="W725" i="46" s="1"/>
  <c r="S725" i="46"/>
  <c r="Q725" i="46"/>
  <c r="O725" i="46"/>
  <c r="R725" i="46" s="1"/>
  <c r="D725" i="46"/>
  <c r="V724" i="46"/>
  <c r="X724" i="46" s="1"/>
  <c r="U724" i="46"/>
  <c r="W724" i="46" s="1"/>
  <c r="S724" i="46"/>
  <c r="Q724" i="46"/>
  <c r="O724" i="46"/>
  <c r="R724" i="46" s="1"/>
  <c r="D724" i="46"/>
  <c r="V723" i="46"/>
  <c r="X723" i="46" s="1"/>
  <c r="U723" i="46"/>
  <c r="W723" i="46" s="1"/>
  <c r="S723" i="46"/>
  <c r="Q723" i="46"/>
  <c r="O723" i="46"/>
  <c r="R723" i="46" s="1"/>
  <c r="D723" i="46"/>
  <c r="V722" i="46"/>
  <c r="X722" i="46" s="1"/>
  <c r="U722" i="46"/>
  <c r="W722" i="46" s="1"/>
  <c r="S722" i="46"/>
  <c r="Q722" i="46"/>
  <c r="O722" i="46"/>
  <c r="R722" i="46" s="1"/>
  <c r="D722" i="46"/>
  <c r="V721" i="46"/>
  <c r="X721" i="46" s="1"/>
  <c r="U721" i="46"/>
  <c r="W721" i="46" s="1"/>
  <c r="S721" i="46"/>
  <c r="Q721" i="46"/>
  <c r="O721" i="46"/>
  <c r="R721" i="46" s="1"/>
  <c r="D721" i="46"/>
  <c r="V720" i="46"/>
  <c r="X720" i="46" s="1"/>
  <c r="U720" i="46"/>
  <c r="W720" i="46" s="1"/>
  <c r="S720" i="46"/>
  <c r="Q720" i="46"/>
  <c r="O720" i="46"/>
  <c r="R720" i="46" s="1"/>
  <c r="D720" i="46"/>
  <c r="V719" i="46"/>
  <c r="X719" i="46" s="1"/>
  <c r="U719" i="46"/>
  <c r="W719" i="46" s="1"/>
  <c r="S719" i="46"/>
  <c r="Q719" i="46"/>
  <c r="O719" i="46"/>
  <c r="R719" i="46" s="1"/>
  <c r="D719" i="46"/>
  <c r="V718" i="46"/>
  <c r="X718" i="46" s="1"/>
  <c r="U718" i="46"/>
  <c r="W718" i="46" s="1"/>
  <c r="S718" i="46"/>
  <c r="Q718" i="46"/>
  <c r="O718" i="46"/>
  <c r="R718" i="46" s="1"/>
  <c r="D718" i="46"/>
  <c r="V717" i="46"/>
  <c r="X717" i="46" s="1"/>
  <c r="U717" i="46"/>
  <c r="W717" i="46" s="1"/>
  <c r="S717" i="46"/>
  <c r="Q717" i="46"/>
  <c r="O717" i="46"/>
  <c r="R717" i="46" s="1"/>
  <c r="D717" i="46"/>
  <c r="V716" i="46"/>
  <c r="X716" i="46" s="1"/>
  <c r="U716" i="46"/>
  <c r="W716" i="46" s="1"/>
  <c r="S716" i="46"/>
  <c r="Q716" i="46"/>
  <c r="O716" i="46"/>
  <c r="R716" i="46" s="1"/>
  <c r="D716" i="46"/>
  <c r="V715" i="46"/>
  <c r="X715" i="46" s="1"/>
  <c r="U715" i="46"/>
  <c r="W715" i="46" s="1"/>
  <c r="S715" i="46"/>
  <c r="Q715" i="46"/>
  <c r="O715" i="46"/>
  <c r="R715" i="46" s="1"/>
  <c r="D715" i="46"/>
  <c r="V714" i="46"/>
  <c r="X714" i="46" s="1"/>
  <c r="U714" i="46"/>
  <c r="W714" i="46" s="1"/>
  <c r="S714" i="46"/>
  <c r="Q714" i="46"/>
  <c r="O714" i="46"/>
  <c r="R714" i="46" s="1"/>
  <c r="D714" i="46"/>
  <c r="V713" i="46"/>
  <c r="X713" i="46" s="1"/>
  <c r="U713" i="46"/>
  <c r="W713" i="46" s="1"/>
  <c r="S713" i="46"/>
  <c r="Q713" i="46"/>
  <c r="O713" i="46"/>
  <c r="R713" i="46" s="1"/>
  <c r="D713" i="46"/>
  <c r="V712" i="46"/>
  <c r="X712" i="46" s="1"/>
  <c r="U712" i="46"/>
  <c r="W712" i="46" s="1"/>
  <c r="S712" i="46"/>
  <c r="Q712" i="46"/>
  <c r="O712" i="46"/>
  <c r="R712" i="46" s="1"/>
  <c r="D712" i="46"/>
  <c r="V711" i="46"/>
  <c r="X711" i="46" s="1"/>
  <c r="U711" i="46"/>
  <c r="W711" i="46" s="1"/>
  <c r="S711" i="46"/>
  <c r="Q711" i="46"/>
  <c r="O711" i="46"/>
  <c r="R711" i="46" s="1"/>
  <c r="D711" i="46"/>
  <c r="V710" i="46"/>
  <c r="X710" i="46" s="1"/>
  <c r="U710" i="46"/>
  <c r="W710" i="46" s="1"/>
  <c r="S710" i="46"/>
  <c r="Q710" i="46"/>
  <c r="O710" i="46"/>
  <c r="R710" i="46" s="1"/>
  <c r="D710" i="46"/>
  <c r="V709" i="46"/>
  <c r="X709" i="46" s="1"/>
  <c r="U709" i="46"/>
  <c r="W709" i="46" s="1"/>
  <c r="S709" i="46"/>
  <c r="Q709" i="46"/>
  <c r="O709" i="46"/>
  <c r="R709" i="46" s="1"/>
  <c r="D709" i="46"/>
  <c r="V708" i="46"/>
  <c r="X708" i="46" s="1"/>
  <c r="U708" i="46"/>
  <c r="W708" i="46" s="1"/>
  <c r="S708" i="46"/>
  <c r="Q708" i="46"/>
  <c r="O708" i="46"/>
  <c r="R708" i="46" s="1"/>
  <c r="D708" i="46"/>
  <c r="V707" i="46"/>
  <c r="X707" i="46" s="1"/>
  <c r="U707" i="46"/>
  <c r="W707" i="46" s="1"/>
  <c r="S707" i="46"/>
  <c r="Q707" i="46"/>
  <c r="O707" i="46"/>
  <c r="R707" i="46" s="1"/>
  <c r="D707" i="46"/>
  <c r="V706" i="46"/>
  <c r="X706" i="46" s="1"/>
  <c r="U706" i="46"/>
  <c r="W706" i="46" s="1"/>
  <c r="S706" i="46"/>
  <c r="Q706" i="46"/>
  <c r="O706" i="46"/>
  <c r="R706" i="46" s="1"/>
  <c r="D706" i="46"/>
  <c r="V705" i="46"/>
  <c r="X705" i="46" s="1"/>
  <c r="U705" i="46"/>
  <c r="W705" i="46" s="1"/>
  <c r="S705" i="46"/>
  <c r="Q705" i="46"/>
  <c r="O705" i="46"/>
  <c r="R705" i="46" s="1"/>
  <c r="D705" i="46"/>
  <c r="V704" i="46"/>
  <c r="X704" i="46" s="1"/>
  <c r="U704" i="46"/>
  <c r="W704" i="46" s="1"/>
  <c r="S704" i="46"/>
  <c r="Q704" i="46"/>
  <c r="O704" i="46"/>
  <c r="R704" i="46" s="1"/>
  <c r="D704" i="46"/>
  <c r="V703" i="46"/>
  <c r="X703" i="46" s="1"/>
  <c r="U703" i="46"/>
  <c r="W703" i="46" s="1"/>
  <c r="S703" i="46"/>
  <c r="Q703" i="46"/>
  <c r="O703" i="46"/>
  <c r="R703" i="46" s="1"/>
  <c r="D703" i="46"/>
  <c r="V702" i="46"/>
  <c r="X702" i="46" s="1"/>
  <c r="U702" i="46"/>
  <c r="W702" i="46" s="1"/>
  <c r="S702" i="46"/>
  <c r="Q702" i="46"/>
  <c r="O702" i="46"/>
  <c r="R702" i="46" s="1"/>
  <c r="D702" i="46"/>
  <c r="V701" i="46"/>
  <c r="X701" i="46" s="1"/>
  <c r="U701" i="46"/>
  <c r="W701" i="46" s="1"/>
  <c r="S701" i="46"/>
  <c r="Q701" i="46"/>
  <c r="O701" i="46"/>
  <c r="R701" i="46" s="1"/>
  <c r="D701" i="46"/>
  <c r="V700" i="46"/>
  <c r="X700" i="46" s="1"/>
  <c r="U700" i="46"/>
  <c r="W700" i="46" s="1"/>
  <c r="S700" i="46"/>
  <c r="Q700" i="46"/>
  <c r="O700" i="46"/>
  <c r="R700" i="46" s="1"/>
  <c r="D700" i="46"/>
  <c r="V699" i="46"/>
  <c r="X699" i="46" s="1"/>
  <c r="U699" i="46"/>
  <c r="W699" i="46" s="1"/>
  <c r="S699" i="46"/>
  <c r="Q699" i="46"/>
  <c r="O699" i="46"/>
  <c r="R699" i="46" s="1"/>
  <c r="D699" i="46"/>
  <c r="V698" i="46"/>
  <c r="X698" i="46" s="1"/>
  <c r="U698" i="46"/>
  <c r="W698" i="46" s="1"/>
  <c r="S698" i="46"/>
  <c r="Q698" i="46"/>
  <c r="O698" i="46"/>
  <c r="R698" i="46" s="1"/>
  <c r="D698" i="46"/>
  <c r="V697" i="46"/>
  <c r="X697" i="46" s="1"/>
  <c r="U697" i="46"/>
  <c r="W697" i="46" s="1"/>
  <c r="S697" i="46"/>
  <c r="Q697" i="46"/>
  <c r="O697" i="46"/>
  <c r="R697" i="46" s="1"/>
  <c r="D697" i="46"/>
  <c r="V696" i="46"/>
  <c r="X696" i="46" s="1"/>
  <c r="U696" i="46"/>
  <c r="W696" i="46" s="1"/>
  <c r="S696" i="46"/>
  <c r="Q696" i="46"/>
  <c r="O696" i="46"/>
  <c r="R696" i="46" s="1"/>
  <c r="D696" i="46"/>
  <c r="V695" i="46"/>
  <c r="X695" i="46" s="1"/>
  <c r="U695" i="46"/>
  <c r="W695" i="46" s="1"/>
  <c r="S695" i="46"/>
  <c r="Q695" i="46"/>
  <c r="O695" i="46"/>
  <c r="R695" i="46" s="1"/>
  <c r="D695" i="46"/>
  <c r="V694" i="46"/>
  <c r="X694" i="46" s="1"/>
  <c r="U694" i="46"/>
  <c r="W694" i="46" s="1"/>
  <c r="S694" i="46"/>
  <c r="Q694" i="46"/>
  <c r="O694" i="46"/>
  <c r="R694" i="46" s="1"/>
  <c r="D694" i="46"/>
  <c r="V693" i="46"/>
  <c r="X693" i="46" s="1"/>
  <c r="U693" i="46"/>
  <c r="W693" i="46" s="1"/>
  <c r="S693" i="46"/>
  <c r="Q693" i="46"/>
  <c r="O693" i="46"/>
  <c r="R693" i="46" s="1"/>
  <c r="D693" i="46"/>
  <c r="V692" i="46"/>
  <c r="X692" i="46" s="1"/>
  <c r="U692" i="46"/>
  <c r="W692" i="46" s="1"/>
  <c r="S692" i="46"/>
  <c r="Q692" i="46"/>
  <c r="O692" i="46"/>
  <c r="R692" i="46" s="1"/>
  <c r="D692" i="46"/>
  <c r="V691" i="46"/>
  <c r="X691" i="46" s="1"/>
  <c r="U691" i="46"/>
  <c r="W691" i="46" s="1"/>
  <c r="S691" i="46"/>
  <c r="Q691" i="46"/>
  <c r="O691" i="46"/>
  <c r="R691" i="46" s="1"/>
  <c r="D691" i="46"/>
  <c r="V690" i="46"/>
  <c r="X690" i="46" s="1"/>
  <c r="U690" i="46"/>
  <c r="W690" i="46" s="1"/>
  <c r="S690" i="46"/>
  <c r="Q690" i="46"/>
  <c r="O690" i="46"/>
  <c r="R690" i="46" s="1"/>
  <c r="D690" i="46"/>
  <c r="V689" i="46"/>
  <c r="X689" i="46" s="1"/>
  <c r="U689" i="46"/>
  <c r="W689" i="46" s="1"/>
  <c r="S689" i="46"/>
  <c r="Q689" i="46"/>
  <c r="O689" i="46"/>
  <c r="R689" i="46" s="1"/>
  <c r="D689" i="46"/>
  <c r="V688" i="46"/>
  <c r="X688" i="46" s="1"/>
  <c r="U688" i="46"/>
  <c r="W688" i="46" s="1"/>
  <c r="S688" i="46"/>
  <c r="Q688" i="46"/>
  <c r="O688" i="46"/>
  <c r="R688" i="46" s="1"/>
  <c r="D688" i="46"/>
  <c r="V687" i="46"/>
  <c r="X687" i="46" s="1"/>
  <c r="U687" i="46"/>
  <c r="W687" i="46" s="1"/>
  <c r="S687" i="46"/>
  <c r="Q687" i="46"/>
  <c r="O687" i="46"/>
  <c r="R687" i="46" s="1"/>
  <c r="D687" i="46"/>
  <c r="V686" i="46"/>
  <c r="X686" i="46" s="1"/>
  <c r="U686" i="46"/>
  <c r="W686" i="46" s="1"/>
  <c r="S686" i="46"/>
  <c r="Q686" i="46"/>
  <c r="O686" i="46"/>
  <c r="R686" i="46" s="1"/>
  <c r="D686" i="46"/>
  <c r="V685" i="46"/>
  <c r="X685" i="46" s="1"/>
  <c r="U685" i="46"/>
  <c r="W685" i="46" s="1"/>
  <c r="S685" i="46"/>
  <c r="Q685" i="46"/>
  <c r="O685" i="46"/>
  <c r="R685" i="46" s="1"/>
  <c r="D685" i="46"/>
  <c r="V684" i="46"/>
  <c r="X684" i="46" s="1"/>
  <c r="U684" i="46"/>
  <c r="W684" i="46" s="1"/>
  <c r="S684" i="46"/>
  <c r="Q684" i="46"/>
  <c r="O684" i="46"/>
  <c r="R684" i="46" s="1"/>
  <c r="D684" i="46"/>
  <c r="V683" i="46"/>
  <c r="X683" i="46" s="1"/>
  <c r="U683" i="46"/>
  <c r="W683" i="46" s="1"/>
  <c r="S683" i="46"/>
  <c r="Q683" i="46"/>
  <c r="O683" i="46"/>
  <c r="R683" i="46" s="1"/>
  <c r="D683" i="46"/>
  <c r="V682" i="46"/>
  <c r="X682" i="46" s="1"/>
  <c r="U682" i="46"/>
  <c r="W682" i="46" s="1"/>
  <c r="S682" i="46"/>
  <c r="Q682" i="46"/>
  <c r="O682" i="46"/>
  <c r="R682" i="46" s="1"/>
  <c r="D682" i="46"/>
  <c r="V681" i="46"/>
  <c r="X681" i="46" s="1"/>
  <c r="U681" i="46"/>
  <c r="W681" i="46" s="1"/>
  <c r="S681" i="46"/>
  <c r="Q681" i="46"/>
  <c r="O681" i="46"/>
  <c r="R681" i="46" s="1"/>
  <c r="D681" i="46"/>
  <c r="V680" i="46"/>
  <c r="X680" i="46" s="1"/>
  <c r="U680" i="46"/>
  <c r="W680" i="46" s="1"/>
  <c r="S680" i="46"/>
  <c r="Q680" i="46"/>
  <c r="O680" i="46"/>
  <c r="R680" i="46" s="1"/>
  <c r="D680" i="46"/>
  <c r="V679" i="46"/>
  <c r="X679" i="46" s="1"/>
  <c r="U679" i="46"/>
  <c r="W679" i="46" s="1"/>
  <c r="S679" i="46"/>
  <c r="Q679" i="46"/>
  <c r="O679" i="46"/>
  <c r="R679" i="46" s="1"/>
  <c r="D679" i="46"/>
  <c r="V678" i="46"/>
  <c r="X678" i="46" s="1"/>
  <c r="U678" i="46"/>
  <c r="W678" i="46" s="1"/>
  <c r="S678" i="46"/>
  <c r="Q678" i="46"/>
  <c r="O678" i="46"/>
  <c r="R678" i="46" s="1"/>
  <c r="D678" i="46"/>
  <c r="V677" i="46"/>
  <c r="X677" i="46" s="1"/>
  <c r="U677" i="46"/>
  <c r="W677" i="46" s="1"/>
  <c r="S677" i="46"/>
  <c r="Q677" i="46"/>
  <c r="O677" i="46"/>
  <c r="R677" i="46" s="1"/>
  <c r="D677" i="46"/>
  <c r="V676" i="46"/>
  <c r="X676" i="46" s="1"/>
  <c r="U676" i="46"/>
  <c r="W676" i="46" s="1"/>
  <c r="S676" i="46"/>
  <c r="Q676" i="46"/>
  <c r="O676" i="46"/>
  <c r="R676" i="46" s="1"/>
  <c r="D676" i="46"/>
  <c r="V675" i="46"/>
  <c r="X675" i="46" s="1"/>
  <c r="U675" i="46"/>
  <c r="W675" i="46" s="1"/>
  <c r="S675" i="46"/>
  <c r="Q675" i="46"/>
  <c r="O675" i="46"/>
  <c r="R675" i="46" s="1"/>
  <c r="D675" i="46"/>
  <c r="V674" i="46"/>
  <c r="X674" i="46" s="1"/>
  <c r="U674" i="46"/>
  <c r="W674" i="46" s="1"/>
  <c r="S674" i="46"/>
  <c r="Q674" i="46"/>
  <c r="O674" i="46"/>
  <c r="R674" i="46" s="1"/>
  <c r="D674" i="46"/>
  <c r="V673" i="46"/>
  <c r="X673" i="46" s="1"/>
  <c r="U673" i="46"/>
  <c r="W673" i="46" s="1"/>
  <c r="S673" i="46"/>
  <c r="Q673" i="46"/>
  <c r="O673" i="46"/>
  <c r="R673" i="46" s="1"/>
  <c r="D673" i="46"/>
  <c r="V672" i="46"/>
  <c r="X672" i="46" s="1"/>
  <c r="U672" i="46"/>
  <c r="W672" i="46" s="1"/>
  <c r="S672" i="46"/>
  <c r="Q672" i="46"/>
  <c r="O672" i="46"/>
  <c r="R672" i="46" s="1"/>
  <c r="D672" i="46"/>
  <c r="V671" i="46"/>
  <c r="X671" i="46" s="1"/>
  <c r="U671" i="46"/>
  <c r="W671" i="46" s="1"/>
  <c r="S671" i="46"/>
  <c r="Q671" i="46"/>
  <c r="O671" i="46"/>
  <c r="R671" i="46" s="1"/>
  <c r="D671" i="46"/>
  <c r="V670" i="46"/>
  <c r="X670" i="46" s="1"/>
  <c r="U670" i="46"/>
  <c r="W670" i="46" s="1"/>
  <c r="S670" i="46"/>
  <c r="Q670" i="46"/>
  <c r="O670" i="46"/>
  <c r="R670" i="46" s="1"/>
  <c r="D670" i="46"/>
  <c r="V669" i="46"/>
  <c r="X669" i="46" s="1"/>
  <c r="U669" i="46"/>
  <c r="W669" i="46" s="1"/>
  <c r="S669" i="46"/>
  <c r="Q669" i="46"/>
  <c r="O669" i="46"/>
  <c r="R669" i="46" s="1"/>
  <c r="D669" i="46"/>
  <c r="V668" i="46"/>
  <c r="X668" i="46" s="1"/>
  <c r="U668" i="46"/>
  <c r="W668" i="46" s="1"/>
  <c r="S668" i="46"/>
  <c r="Q668" i="46"/>
  <c r="O668" i="46"/>
  <c r="R668" i="46" s="1"/>
  <c r="D668" i="46"/>
  <c r="V667" i="46"/>
  <c r="X667" i="46" s="1"/>
  <c r="U667" i="46"/>
  <c r="W667" i="46" s="1"/>
  <c r="S667" i="46"/>
  <c r="Q667" i="46"/>
  <c r="O667" i="46"/>
  <c r="R667" i="46" s="1"/>
  <c r="D667" i="46"/>
  <c r="V666" i="46"/>
  <c r="X666" i="46" s="1"/>
  <c r="U666" i="46"/>
  <c r="W666" i="46" s="1"/>
  <c r="S666" i="46"/>
  <c r="Q666" i="46"/>
  <c r="O666" i="46"/>
  <c r="R666" i="46" s="1"/>
  <c r="D666" i="46"/>
  <c r="V665" i="46"/>
  <c r="X665" i="46" s="1"/>
  <c r="U665" i="46"/>
  <c r="W665" i="46" s="1"/>
  <c r="S665" i="46"/>
  <c r="Q665" i="46"/>
  <c r="O665" i="46"/>
  <c r="R665" i="46" s="1"/>
  <c r="D665" i="46"/>
  <c r="V664" i="46"/>
  <c r="X664" i="46" s="1"/>
  <c r="U664" i="46"/>
  <c r="W664" i="46" s="1"/>
  <c r="S664" i="46"/>
  <c r="Q664" i="46"/>
  <c r="O664" i="46"/>
  <c r="R664" i="46" s="1"/>
  <c r="D664" i="46"/>
  <c r="V663" i="46"/>
  <c r="X663" i="46" s="1"/>
  <c r="U663" i="46"/>
  <c r="W663" i="46" s="1"/>
  <c r="S663" i="46"/>
  <c r="Q663" i="46"/>
  <c r="O663" i="46"/>
  <c r="R663" i="46" s="1"/>
  <c r="D663" i="46"/>
  <c r="V662" i="46"/>
  <c r="X662" i="46" s="1"/>
  <c r="U662" i="46"/>
  <c r="W662" i="46" s="1"/>
  <c r="S662" i="46"/>
  <c r="Q662" i="46"/>
  <c r="O662" i="46"/>
  <c r="R662" i="46" s="1"/>
  <c r="D662" i="46"/>
  <c r="V661" i="46"/>
  <c r="X661" i="46" s="1"/>
  <c r="U661" i="46"/>
  <c r="W661" i="46" s="1"/>
  <c r="S661" i="46"/>
  <c r="Q661" i="46"/>
  <c r="O661" i="46"/>
  <c r="R661" i="46" s="1"/>
  <c r="D661" i="46"/>
  <c r="V660" i="46"/>
  <c r="X660" i="46" s="1"/>
  <c r="U660" i="46"/>
  <c r="W660" i="46" s="1"/>
  <c r="S660" i="46"/>
  <c r="Q660" i="46"/>
  <c r="O660" i="46"/>
  <c r="R660" i="46" s="1"/>
  <c r="D660" i="46"/>
  <c r="V659" i="46"/>
  <c r="X659" i="46" s="1"/>
  <c r="U659" i="46"/>
  <c r="W659" i="46" s="1"/>
  <c r="S659" i="46"/>
  <c r="Q659" i="46"/>
  <c r="O659" i="46"/>
  <c r="R659" i="46" s="1"/>
  <c r="D659" i="46"/>
  <c r="V658" i="46"/>
  <c r="X658" i="46" s="1"/>
  <c r="U658" i="46"/>
  <c r="W658" i="46" s="1"/>
  <c r="S658" i="46"/>
  <c r="Q658" i="46"/>
  <c r="O658" i="46"/>
  <c r="R658" i="46" s="1"/>
  <c r="D658" i="46"/>
  <c r="V657" i="46"/>
  <c r="X657" i="46" s="1"/>
  <c r="U657" i="46"/>
  <c r="W657" i="46" s="1"/>
  <c r="S657" i="46"/>
  <c r="Q657" i="46"/>
  <c r="O657" i="46"/>
  <c r="R657" i="46" s="1"/>
  <c r="D657" i="46"/>
  <c r="V656" i="46"/>
  <c r="X656" i="46" s="1"/>
  <c r="U656" i="46"/>
  <c r="W656" i="46" s="1"/>
  <c r="S656" i="46"/>
  <c r="Q656" i="46"/>
  <c r="O656" i="46"/>
  <c r="R656" i="46" s="1"/>
  <c r="D656" i="46"/>
  <c r="V655" i="46"/>
  <c r="X655" i="46" s="1"/>
  <c r="U655" i="46"/>
  <c r="W655" i="46" s="1"/>
  <c r="S655" i="46"/>
  <c r="Q655" i="46"/>
  <c r="O655" i="46"/>
  <c r="R655" i="46" s="1"/>
  <c r="D655" i="46"/>
  <c r="V654" i="46"/>
  <c r="X654" i="46" s="1"/>
  <c r="U654" i="46"/>
  <c r="W654" i="46" s="1"/>
  <c r="S654" i="46"/>
  <c r="Q654" i="46"/>
  <c r="O654" i="46"/>
  <c r="R654" i="46" s="1"/>
  <c r="D654" i="46"/>
  <c r="V653" i="46"/>
  <c r="X653" i="46" s="1"/>
  <c r="U653" i="46"/>
  <c r="W653" i="46" s="1"/>
  <c r="S653" i="46"/>
  <c r="Q653" i="46"/>
  <c r="O653" i="46"/>
  <c r="R653" i="46" s="1"/>
  <c r="D653" i="46"/>
  <c r="V652" i="46"/>
  <c r="X652" i="46" s="1"/>
  <c r="U652" i="46"/>
  <c r="W652" i="46" s="1"/>
  <c r="S652" i="46"/>
  <c r="Q652" i="46"/>
  <c r="O652" i="46"/>
  <c r="R652" i="46" s="1"/>
  <c r="D652" i="46"/>
  <c r="V651" i="46"/>
  <c r="X651" i="46" s="1"/>
  <c r="U651" i="46"/>
  <c r="W651" i="46" s="1"/>
  <c r="S651" i="46"/>
  <c r="Q651" i="46"/>
  <c r="O651" i="46"/>
  <c r="R651" i="46" s="1"/>
  <c r="D651" i="46"/>
  <c r="V650" i="46"/>
  <c r="X650" i="46" s="1"/>
  <c r="U650" i="46"/>
  <c r="W650" i="46" s="1"/>
  <c r="S650" i="46"/>
  <c r="Q650" i="46"/>
  <c r="O650" i="46"/>
  <c r="R650" i="46" s="1"/>
  <c r="D650" i="46"/>
  <c r="V649" i="46"/>
  <c r="X649" i="46" s="1"/>
  <c r="U649" i="46"/>
  <c r="W649" i="46" s="1"/>
  <c r="S649" i="46"/>
  <c r="Q649" i="46"/>
  <c r="O649" i="46"/>
  <c r="R649" i="46" s="1"/>
  <c r="D649" i="46"/>
  <c r="V648" i="46"/>
  <c r="X648" i="46" s="1"/>
  <c r="U648" i="46"/>
  <c r="W648" i="46" s="1"/>
  <c r="S648" i="46"/>
  <c r="Q648" i="46"/>
  <c r="O648" i="46"/>
  <c r="R648" i="46" s="1"/>
  <c r="D648" i="46"/>
  <c r="V647" i="46"/>
  <c r="X647" i="46" s="1"/>
  <c r="U647" i="46"/>
  <c r="W647" i="46" s="1"/>
  <c r="S647" i="46"/>
  <c r="Q647" i="46"/>
  <c r="O647" i="46"/>
  <c r="R647" i="46" s="1"/>
  <c r="D647" i="46"/>
  <c r="V646" i="46"/>
  <c r="X646" i="46" s="1"/>
  <c r="U646" i="46"/>
  <c r="W646" i="46" s="1"/>
  <c r="S646" i="46"/>
  <c r="Q646" i="46"/>
  <c r="O646" i="46"/>
  <c r="R646" i="46" s="1"/>
  <c r="D646" i="46"/>
  <c r="V645" i="46"/>
  <c r="X645" i="46" s="1"/>
  <c r="U645" i="46"/>
  <c r="W645" i="46" s="1"/>
  <c r="S645" i="46"/>
  <c r="Q645" i="46"/>
  <c r="O645" i="46"/>
  <c r="R645" i="46" s="1"/>
  <c r="D645" i="46"/>
  <c r="V644" i="46"/>
  <c r="X644" i="46" s="1"/>
  <c r="U644" i="46"/>
  <c r="W644" i="46" s="1"/>
  <c r="S644" i="46"/>
  <c r="Q644" i="46"/>
  <c r="O644" i="46"/>
  <c r="R644" i="46" s="1"/>
  <c r="D644" i="46"/>
  <c r="V643" i="46"/>
  <c r="X643" i="46" s="1"/>
  <c r="U643" i="46"/>
  <c r="W643" i="46" s="1"/>
  <c r="S643" i="46"/>
  <c r="Q643" i="46"/>
  <c r="O643" i="46"/>
  <c r="R643" i="46" s="1"/>
  <c r="D643" i="46"/>
  <c r="V642" i="46"/>
  <c r="X642" i="46" s="1"/>
  <c r="U642" i="46"/>
  <c r="W642" i="46" s="1"/>
  <c r="S642" i="46"/>
  <c r="Q642" i="46"/>
  <c r="O642" i="46"/>
  <c r="R642" i="46" s="1"/>
  <c r="D642" i="46"/>
  <c r="V641" i="46"/>
  <c r="X641" i="46" s="1"/>
  <c r="U641" i="46"/>
  <c r="W641" i="46" s="1"/>
  <c r="S641" i="46"/>
  <c r="Q641" i="46"/>
  <c r="O641" i="46"/>
  <c r="R641" i="46" s="1"/>
  <c r="D641" i="46"/>
  <c r="V640" i="46"/>
  <c r="X640" i="46" s="1"/>
  <c r="U640" i="46"/>
  <c r="W640" i="46" s="1"/>
  <c r="S640" i="46"/>
  <c r="Q640" i="46"/>
  <c r="O640" i="46"/>
  <c r="R640" i="46" s="1"/>
  <c r="D640" i="46"/>
  <c r="V639" i="46"/>
  <c r="X639" i="46" s="1"/>
  <c r="U639" i="46"/>
  <c r="W639" i="46" s="1"/>
  <c r="S639" i="46"/>
  <c r="Q639" i="46"/>
  <c r="O639" i="46"/>
  <c r="R639" i="46" s="1"/>
  <c r="D639" i="46"/>
  <c r="V638" i="46"/>
  <c r="X638" i="46" s="1"/>
  <c r="U638" i="46"/>
  <c r="W638" i="46" s="1"/>
  <c r="S638" i="46"/>
  <c r="Q638" i="46"/>
  <c r="O638" i="46"/>
  <c r="R638" i="46" s="1"/>
  <c r="D638" i="46"/>
  <c r="V637" i="46"/>
  <c r="X637" i="46" s="1"/>
  <c r="U637" i="46"/>
  <c r="W637" i="46" s="1"/>
  <c r="S637" i="46"/>
  <c r="Q637" i="46"/>
  <c r="O637" i="46"/>
  <c r="R637" i="46" s="1"/>
  <c r="D637" i="46"/>
  <c r="V636" i="46"/>
  <c r="X636" i="46" s="1"/>
  <c r="U636" i="46"/>
  <c r="W636" i="46" s="1"/>
  <c r="S636" i="46"/>
  <c r="Q636" i="46"/>
  <c r="O636" i="46"/>
  <c r="R636" i="46" s="1"/>
  <c r="D636" i="46"/>
  <c r="V635" i="46"/>
  <c r="X635" i="46" s="1"/>
  <c r="U635" i="46"/>
  <c r="W635" i="46" s="1"/>
  <c r="S635" i="46"/>
  <c r="Q635" i="46"/>
  <c r="O635" i="46"/>
  <c r="R635" i="46" s="1"/>
  <c r="D635" i="46"/>
  <c r="V634" i="46"/>
  <c r="X634" i="46" s="1"/>
  <c r="U634" i="46"/>
  <c r="W634" i="46" s="1"/>
  <c r="S634" i="46"/>
  <c r="Q634" i="46"/>
  <c r="O634" i="46"/>
  <c r="R634" i="46" s="1"/>
  <c r="D634" i="46"/>
  <c r="V633" i="46"/>
  <c r="X633" i="46" s="1"/>
  <c r="U633" i="46"/>
  <c r="W633" i="46" s="1"/>
  <c r="S633" i="46"/>
  <c r="Q633" i="46"/>
  <c r="O633" i="46"/>
  <c r="R633" i="46" s="1"/>
  <c r="D633" i="46"/>
  <c r="V632" i="46"/>
  <c r="X632" i="46" s="1"/>
  <c r="U632" i="46"/>
  <c r="W632" i="46" s="1"/>
  <c r="S632" i="46"/>
  <c r="Q632" i="46"/>
  <c r="O632" i="46"/>
  <c r="R632" i="46" s="1"/>
  <c r="D632" i="46"/>
  <c r="V631" i="46"/>
  <c r="X631" i="46" s="1"/>
  <c r="U631" i="46"/>
  <c r="W631" i="46" s="1"/>
  <c r="S631" i="46"/>
  <c r="Q631" i="46"/>
  <c r="O631" i="46"/>
  <c r="R631" i="46" s="1"/>
  <c r="D631" i="46"/>
  <c r="V630" i="46"/>
  <c r="X630" i="46" s="1"/>
  <c r="U630" i="46"/>
  <c r="W630" i="46" s="1"/>
  <c r="S630" i="46"/>
  <c r="Q630" i="46"/>
  <c r="O630" i="46"/>
  <c r="R630" i="46" s="1"/>
  <c r="D630" i="46"/>
  <c r="V629" i="46"/>
  <c r="X629" i="46" s="1"/>
  <c r="U629" i="46"/>
  <c r="W629" i="46" s="1"/>
  <c r="S629" i="46"/>
  <c r="Q629" i="46"/>
  <c r="O629" i="46"/>
  <c r="R629" i="46" s="1"/>
  <c r="D629" i="46"/>
  <c r="V628" i="46"/>
  <c r="X628" i="46" s="1"/>
  <c r="U628" i="46"/>
  <c r="W628" i="46" s="1"/>
  <c r="S628" i="46"/>
  <c r="Q628" i="46"/>
  <c r="O628" i="46"/>
  <c r="R628" i="46" s="1"/>
  <c r="D628" i="46"/>
  <c r="V627" i="46"/>
  <c r="X627" i="46" s="1"/>
  <c r="U627" i="46"/>
  <c r="W627" i="46" s="1"/>
  <c r="S627" i="46"/>
  <c r="Q627" i="46"/>
  <c r="O627" i="46"/>
  <c r="R627" i="46" s="1"/>
  <c r="D627" i="46"/>
  <c r="V626" i="46"/>
  <c r="X626" i="46" s="1"/>
  <c r="U626" i="46"/>
  <c r="W626" i="46" s="1"/>
  <c r="S626" i="46"/>
  <c r="Q626" i="46"/>
  <c r="O626" i="46"/>
  <c r="R626" i="46" s="1"/>
  <c r="D626" i="46"/>
  <c r="V625" i="46"/>
  <c r="X625" i="46" s="1"/>
  <c r="U625" i="46"/>
  <c r="W625" i="46" s="1"/>
  <c r="S625" i="46"/>
  <c r="Q625" i="46"/>
  <c r="O625" i="46"/>
  <c r="R625" i="46" s="1"/>
  <c r="D625" i="46"/>
  <c r="V624" i="46"/>
  <c r="X624" i="46" s="1"/>
  <c r="U624" i="46"/>
  <c r="W624" i="46" s="1"/>
  <c r="S624" i="46"/>
  <c r="Q624" i="46"/>
  <c r="O624" i="46"/>
  <c r="R624" i="46" s="1"/>
  <c r="D624" i="46"/>
  <c r="V623" i="46"/>
  <c r="X623" i="46" s="1"/>
  <c r="U623" i="46"/>
  <c r="W623" i="46" s="1"/>
  <c r="S623" i="46"/>
  <c r="Q623" i="46"/>
  <c r="O623" i="46"/>
  <c r="R623" i="46" s="1"/>
  <c r="D623" i="46"/>
  <c r="V622" i="46"/>
  <c r="X622" i="46" s="1"/>
  <c r="U622" i="46"/>
  <c r="W622" i="46" s="1"/>
  <c r="S622" i="46"/>
  <c r="Q622" i="46"/>
  <c r="O622" i="46"/>
  <c r="R622" i="46" s="1"/>
  <c r="D622" i="46"/>
  <c r="V621" i="46"/>
  <c r="X621" i="46" s="1"/>
  <c r="U621" i="46"/>
  <c r="W621" i="46" s="1"/>
  <c r="S621" i="46"/>
  <c r="Q621" i="46"/>
  <c r="O621" i="46"/>
  <c r="R621" i="46" s="1"/>
  <c r="D621" i="46"/>
  <c r="V620" i="46"/>
  <c r="X620" i="46" s="1"/>
  <c r="U620" i="46"/>
  <c r="W620" i="46" s="1"/>
  <c r="S620" i="46"/>
  <c r="Q620" i="46"/>
  <c r="O620" i="46"/>
  <c r="R620" i="46" s="1"/>
  <c r="D620" i="46"/>
  <c r="V619" i="46"/>
  <c r="X619" i="46" s="1"/>
  <c r="U619" i="46"/>
  <c r="W619" i="46" s="1"/>
  <c r="S619" i="46"/>
  <c r="Q619" i="46"/>
  <c r="O619" i="46"/>
  <c r="R619" i="46" s="1"/>
  <c r="D619" i="46"/>
  <c r="V618" i="46"/>
  <c r="X618" i="46" s="1"/>
  <c r="U618" i="46"/>
  <c r="W618" i="46" s="1"/>
  <c r="S618" i="46"/>
  <c r="Q618" i="46"/>
  <c r="O618" i="46"/>
  <c r="R618" i="46" s="1"/>
  <c r="D618" i="46"/>
  <c r="V617" i="46"/>
  <c r="X617" i="46" s="1"/>
  <c r="U617" i="46"/>
  <c r="W617" i="46" s="1"/>
  <c r="S617" i="46"/>
  <c r="Q617" i="46"/>
  <c r="O617" i="46"/>
  <c r="R617" i="46" s="1"/>
  <c r="D617" i="46"/>
  <c r="V616" i="46"/>
  <c r="X616" i="46" s="1"/>
  <c r="U616" i="46"/>
  <c r="W616" i="46" s="1"/>
  <c r="S616" i="46"/>
  <c r="Q616" i="46"/>
  <c r="O616" i="46"/>
  <c r="R616" i="46" s="1"/>
  <c r="D616" i="46"/>
  <c r="V615" i="46"/>
  <c r="X615" i="46" s="1"/>
  <c r="U615" i="46"/>
  <c r="W615" i="46" s="1"/>
  <c r="S615" i="46"/>
  <c r="Q615" i="46"/>
  <c r="O615" i="46"/>
  <c r="R615" i="46" s="1"/>
  <c r="D615" i="46"/>
  <c r="V614" i="46"/>
  <c r="X614" i="46" s="1"/>
  <c r="U614" i="46"/>
  <c r="W614" i="46" s="1"/>
  <c r="S614" i="46"/>
  <c r="Q614" i="46"/>
  <c r="O614" i="46"/>
  <c r="R614" i="46" s="1"/>
  <c r="D614" i="46"/>
  <c r="V613" i="46"/>
  <c r="X613" i="46" s="1"/>
  <c r="U613" i="46"/>
  <c r="W613" i="46" s="1"/>
  <c r="S613" i="46"/>
  <c r="Q613" i="46"/>
  <c r="O613" i="46"/>
  <c r="R613" i="46" s="1"/>
  <c r="D613" i="46"/>
  <c r="V612" i="46"/>
  <c r="X612" i="46" s="1"/>
  <c r="U612" i="46"/>
  <c r="W612" i="46" s="1"/>
  <c r="S612" i="46"/>
  <c r="Q612" i="46"/>
  <c r="O612" i="46"/>
  <c r="R612" i="46" s="1"/>
  <c r="D612" i="46"/>
  <c r="V611" i="46"/>
  <c r="X611" i="46" s="1"/>
  <c r="U611" i="46"/>
  <c r="W611" i="46" s="1"/>
  <c r="S611" i="46"/>
  <c r="Q611" i="46"/>
  <c r="O611" i="46"/>
  <c r="R611" i="46" s="1"/>
  <c r="D611" i="46"/>
  <c r="V610" i="46"/>
  <c r="X610" i="46" s="1"/>
  <c r="U610" i="46"/>
  <c r="W610" i="46" s="1"/>
  <c r="S610" i="46"/>
  <c r="Q610" i="46"/>
  <c r="O610" i="46"/>
  <c r="R610" i="46" s="1"/>
  <c r="D610" i="46"/>
  <c r="V609" i="46"/>
  <c r="X609" i="46" s="1"/>
  <c r="U609" i="46"/>
  <c r="W609" i="46" s="1"/>
  <c r="S609" i="46"/>
  <c r="Q609" i="46"/>
  <c r="O609" i="46"/>
  <c r="R609" i="46" s="1"/>
  <c r="D609" i="46"/>
  <c r="V608" i="46"/>
  <c r="X608" i="46" s="1"/>
  <c r="U608" i="46"/>
  <c r="W608" i="46" s="1"/>
  <c r="S608" i="46"/>
  <c r="Q608" i="46"/>
  <c r="O608" i="46"/>
  <c r="R608" i="46" s="1"/>
  <c r="D608" i="46"/>
  <c r="V607" i="46"/>
  <c r="X607" i="46" s="1"/>
  <c r="U607" i="46"/>
  <c r="W607" i="46" s="1"/>
  <c r="S607" i="46"/>
  <c r="Q607" i="46"/>
  <c r="O607" i="46"/>
  <c r="R607" i="46" s="1"/>
  <c r="D607" i="46"/>
  <c r="V606" i="46"/>
  <c r="X606" i="46" s="1"/>
  <c r="U606" i="46"/>
  <c r="W606" i="46" s="1"/>
  <c r="S606" i="46"/>
  <c r="Q606" i="46"/>
  <c r="O606" i="46"/>
  <c r="R606" i="46" s="1"/>
  <c r="D606" i="46"/>
  <c r="V605" i="46"/>
  <c r="X605" i="46" s="1"/>
  <c r="U605" i="46"/>
  <c r="W605" i="46" s="1"/>
  <c r="S605" i="46"/>
  <c r="Q605" i="46"/>
  <c r="O605" i="46"/>
  <c r="R605" i="46" s="1"/>
  <c r="D605" i="46"/>
  <c r="V604" i="46"/>
  <c r="X604" i="46" s="1"/>
  <c r="U604" i="46"/>
  <c r="W604" i="46" s="1"/>
  <c r="S604" i="46"/>
  <c r="Q604" i="46"/>
  <c r="O604" i="46"/>
  <c r="R604" i="46" s="1"/>
  <c r="D604" i="46"/>
  <c r="V603" i="46"/>
  <c r="X603" i="46" s="1"/>
  <c r="U603" i="46"/>
  <c r="W603" i="46" s="1"/>
  <c r="S603" i="46"/>
  <c r="Q603" i="46"/>
  <c r="O603" i="46"/>
  <c r="R603" i="46" s="1"/>
  <c r="D603" i="46"/>
  <c r="V602" i="46"/>
  <c r="X602" i="46" s="1"/>
  <c r="U602" i="46"/>
  <c r="W602" i="46" s="1"/>
  <c r="S602" i="46"/>
  <c r="Q602" i="46"/>
  <c r="O602" i="46"/>
  <c r="R602" i="46" s="1"/>
  <c r="D602" i="46"/>
  <c r="V601" i="46"/>
  <c r="X601" i="46" s="1"/>
  <c r="U601" i="46"/>
  <c r="W601" i="46" s="1"/>
  <c r="S601" i="46"/>
  <c r="Q601" i="46"/>
  <c r="O601" i="46"/>
  <c r="R601" i="46" s="1"/>
  <c r="D601" i="46"/>
  <c r="V600" i="46"/>
  <c r="X600" i="46" s="1"/>
  <c r="U600" i="46"/>
  <c r="W600" i="46" s="1"/>
  <c r="S600" i="46"/>
  <c r="Q600" i="46"/>
  <c r="O600" i="46"/>
  <c r="R600" i="46" s="1"/>
  <c r="D600" i="46"/>
  <c r="V599" i="46"/>
  <c r="X599" i="46" s="1"/>
  <c r="U599" i="46"/>
  <c r="W599" i="46" s="1"/>
  <c r="S599" i="46"/>
  <c r="Q599" i="46"/>
  <c r="O599" i="46"/>
  <c r="R599" i="46" s="1"/>
  <c r="D599" i="46"/>
  <c r="V598" i="46"/>
  <c r="X598" i="46" s="1"/>
  <c r="U598" i="46"/>
  <c r="W598" i="46" s="1"/>
  <c r="S598" i="46"/>
  <c r="Q598" i="46"/>
  <c r="O598" i="46"/>
  <c r="R598" i="46" s="1"/>
  <c r="D598" i="46"/>
  <c r="V597" i="46"/>
  <c r="X597" i="46" s="1"/>
  <c r="U597" i="46"/>
  <c r="W597" i="46" s="1"/>
  <c r="S597" i="46"/>
  <c r="Q597" i="46"/>
  <c r="O597" i="46"/>
  <c r="R597" i="46" s="1"/>
  <c r="D597" i="46"/>
  <c r="V596" i="46"/>
  <c r="X596" i="46" s="1"/>
  <c r="U596" i="46"/>
  <c r="W596" i="46" s="1"/>
  <c r="S596" i="46"/>
  <c r="Q596" i="46"/>
  <c r="O596" i="46"/>
  <c r="R596" i="46" s="1"/>
  <c r="D596" i="46"/>
  <c r="V595" i="46"/>
  <c r="X595" i="46" s="1"/>
  <c r="U595" i="46"/>
  <c r="W595" i="46" s="1"/>
  <c r="S595" i="46"/>
  <c r="Q595" i="46"/>
  <c r="O595" i="46"/>
  <c r="R595" i="46" s="1"/>
  <c r="D595" i="46"/>
  <c r="V594" i="46"/>
  <c r="X594" i="46" s="1"/>
  <c r="U594" i="46"/>
  <c r="W594" i="46" s="1"/>
  <c r="S594" i="46"/>
  <c r="Q594" i="46"/>
  <c r="O594" i="46"/>
  <c r="R594" i="46" s="1"/>
  <c r="D594" i="46"/>
  <c r="V593" i="46"/>
  <c r="X593" i="46" s="1"/>
  <c r="U593" i="46"/>
  <c r="W593" i="46" s="1"/>
  <c r="S593" i="46"/>
  <c r="Q593" i="46"/>
  <c r="O593" i="46"/>
  <c r="R593" i="46" s="1"/>
  <c r="D593" i="46"/>
  <c r="V592" i="46"/>
  <c r="X592" i="46" s="1"/>
  <c r="U592" i="46"/>
  <c r="W592" i="46" s="1"/>
  <c r="S592" i="46"/>
  <c r="Q592" i="46"/>
  <c r="O592" i="46"/>
  <c r="R592" i="46" s="1"/>
  <c r="D592" i="46"/>
  <c r="V591" i="46"/>
  <c r="X591" i="46" s="1"/>
  <c r="U591" i="46"/>
  <c r="W591" i="46" s="1"/>
  <c r="S591" i="46"/>
  <c r="Q591" i="46"/>
  <c r="O591" i="46"/>
  <c r="R591" i="46" s="1"/>
  <c r="D591" i="46"/>
  <c r="V590" i="46"/>
  <c r="X590" i="46" s="1"/>
  <c r="U590" i="46"/>
  <c r="W590" i="46" s="1"/>
  <c r="S590" i="46"/>
  <c r="Q590" i="46"/>
  <c r="O590" i="46"/>
  <c r="R590" i="46" s="1"/>
  <c r="D590" i="46"/>
  <c r="V589" i="46"/>
  <c r="X589" i="46" s="1"/>
  <c r="U589" i="46"/>
  <c r="W589" i="46" s="1"/>
  <c r="S589" i="46"/>
  <c r="Q589" i="46"/>
  <c r="O589" i="46"/>
  <c r="R589" i="46" s="1"/>
  <c r="D589" i="46"/>
  <c r="V588" i="46"/>
  <c r="X588" i="46" s="1"/>
  <c r="U588" i="46"/>
  <c r="W588" i="46" s="1"/>
  <c r="S588" i="46"/>
  <c r="Q588" i="46"/>
  <c r="O588" i="46"/>
  <c r="R588" i="46" s="1"/>
  <c r="D588" i="46"/>
  <c r="V587" i="46"/>
  <c r="X587" i="46" s="1"/>
  <c r="U587" i="46"/>
  <c r="W587" i="46" s="1"/>
  <c r="S587" i="46"/>
  <c r="Q587" i="46"/>
  <c r="O587" i="46"/>
  <c r="R587" i="46" s="1"/>
  <c r="D587" i="46"/>
  <c r="V586" i="46"/>
  <c r="X586" i="46" s="1"/>
  <c r="U586" i="46"/>
  <c r="W586" i="46" s="1"/>
  <c r="S586" i="46"/>
  <c r="Q586" i="46"/>
  <c r="O586" i="46"/>
  <c r="R586" i="46" s="1"/>
  <c r="D586" i="46"/>
  <c r="V585" i="46"/>
  <c r="X585" i="46" s="1"/>
  <c r="U585" i="46"/>
  <c r="W585" i="46" s="1"/>
  <c r="S585" i="46"/>
  <c r="Q585" i="46"/>
  <c r="O585" i="46"/>
  <c r="R585" i="46" s="1"/>
  <c r="D585" i="46"/>
  <c r="V584" i="46"/>
  <c r="X584" i="46" s="1"/>
  <c r="U584" i="46"/>
  <c r="W584" i="46" s="1"/>
  <c r="S584" i="46"/>
  <c r="Q584" i="46"/>
  <c r="O584" i="46"/>
  <c r="R584" i="46" s="1"/>
  <c r="D584" i="46"/>
  <c r="V583" i="46"/>
  <c r="X583" i="46" s="1"/>
  <c r="U583" i="46"/>
  <c r="W583" i="46" s="1"/>
  <c r="S583" i="46"/>
  <c r="Q583" i="46"/>
  <c r="O583" i="46"/>
  <c r="R583" i="46" s="1"/>
  <c r="D583" i="46"/>
  <c r="V582" i="46"/>
  <c r="X582" i="46" s="1"/>
  <c r="U582" i="46"/>
  <c r="W582" i="46" s="1"/>
  <c r="S582" i="46"/>
  <c r="Q582" i="46"/>
  <c r="O582" i="46"/>
  <c r="R582" i="46" s="1"/>
  <c r="D582" i="46"/>
  <c r="V581" i="46"/>
  <c r="X581" i="46" s="1"/>
  <c r="U581" i="46"/>
  <c r="W581" i="46" s="1"/>
  <c r="S581" i="46"/>
  <c r="Q581" i="46"/>
  <c r="O581" i="46"/>
  <c r="R581" i="46" s="1"/>
  <c r="D581" i="46"/>
  <c r="V580" i="46"/>
  <c r="X580" i="46" s="1"/>
  <c r="U580" i="46"/>
  <c r="W580" i="46" s="1"/>
  <c r="S580" i="46"/>
  <c r="Q580" i="46"/>
  <c r="O580" i="46"/>
  <c r="R580" i="46" s="1"/>
  <c r="D580" i="46"/>
  <c r="V579" i="46"/>
  <c r="X579" i="46" s="1"/>
  <c r="U579" i="46"/>
  <c r="W579" i="46" s="1"/>
  <c r="S579" i="46"/>
  <c r="Q579" i="46"/>
  <c r="O579" i="46"/>
  <c r="R579" i="46" s="1"/>
  <c r="D579" i="46"/>
  <c r="V578" i="46"/>
  <c r="X578" i="46" s="1"/>
  <c r="U578" i="46"/>
  <c r="W578" i="46" s="1"/>
  <c r="S578" i="46"/>
  <c r="Q578" i="46"/>
  <c r="O578" i="46"/>
  <c r="R578" i="46" s="1"/>
  <c r="D578" i="46"/>
  <c r="V577" i="46"/>
  <c r="X577" i="46" s="1"/>
  <c r="U577" i="46"/>
  <c r="W577" i="46" s="1"/>
  <c r="S577" i="46"/>
  <c r="Q577" i="46"/>
  <c r="O577" i="46"/>
  <c r="R577" i="46" s="1"/>
  <c r="D577" i="46"/>
  <c r="V576" i="46"/>
  <c r="X576" i="46" s="1"/>
  <c r="U576" i="46"/>
  <c r="W576" i="46" s="1"/>
  <c r="S576" i="46"/>
  <c r="Q576" i="46"/>
  <c r="O576" i="46"/>
  <c r="R576" i="46" s="1"/>
  <c r="D576" i="46"/>
  <c r="V575" i="46"/>
  <c r="X575" i="46" s="1"/>
  <c r="U575" i="46"/>
  <c r="W575" i="46" s="1"/>
  <c r="S575" i="46"/>
  <c r="Q575" i="46"/>
  <c r="O575" i="46"/>
  <c r="R575" i="46" s="1"/>
  <c r="D575" i="46"/>
  <c r="V574" i="46"/>
  <c r="X574" i="46" s="1"/>
  <c r="U574" i="46"/>
  <c r="W574" i="46" s="1"/>
  <c r="S574" i="46"/>
  <c r="Q574" i="46"/>
  <c r="O574" i="46"/>
  <c r="R574" i="46" s="1"/>
  <c r="D574" i="46"/>
  <c r="V573" i="46"/>
  <c r="X573" i="46" s="1"/>
  <c r="U573" i="46"/>
  <c r="W573" i="46" s="1"/>
  <c r="S573" i="46"/>
  <c r="Q573" i="46"/>
  <c r="O573" i="46"/>
  <c r="R573" i="46" s="1"/>
  <c r="D573" i="46"/>
  <c r="V572" i="46"/>
  <c r="X572" i="46" s="1"/>
  <c r="U572" i="46"/>
  <c r="W572" i="46" s="1"/>
  <c r="S572" i="46"/>
  <c r="Q572" i="46"/>
  <c r="O572" i="46"/>
  <c r="R572" i="46" s="1"/>
  <c r="D572" i="46"/>
  <c r="V571" i="46"/>
  <c r="X571" i="46" s="1"/>
  <c r="U571" i="46"/>
  <c r="W571" i="46" s="1"/>
  <c r="S571" i="46"/>
  <c r="Q571" i="46"/>
  <c r="O571" i="46"/>
  <c r="R571" i="46" s="1"/>
  <c r="D571" i="46"/>
  <c r="V570" i="46"/>
  <c r="X570" i="46" s="1"/>
  <c r="U570" i="46"/>
  <c r="W570" i="46" s="1"/>
  <c r="S570" i="46"/>
  <c r="Q570" i="46"/>
  <c r="O570" i="46"/>
  <c r="R570" i="46" s="1"/>
  <c r="D570" i="46"/>
  <c r="V569" i="46"/>
  <c r="X569" i="46" s="1"/>
  <c r="U569" i="46"/>
  <c r="W569" i="46" s="1"/>
  <c r="S569" i="46"/>
  <c r="Q569" i="46"/>
  <c r="O569" i="46"/>
  <c r="R569" i="46" s="1"/>
  <c r="D569" i="46"/>
  <c r="V568" i="46"/>
  <c r="X568" i="46" s="1"/>
  <c r="U568" i="46"/>
  <c r="W568" i="46" s="1"/>
  <c r="S568" i="46"/>
  <c r="Q568" i="46"/>
  <c r="O568" i="46"/>
  <c r="R568" i="46" s="1"/>
  <c r="D568" i="46"/>
  <c r="V567" i="46"/>
  <c r="X567" i="46" s="1"/>
  <c r="U567" i="46"/>
  <c r="W567" i="46" s="1"/>
  <c r="S567" i="46"/>
  <c r="Q567" i="46"/>
  <c r="O567" i="46"/>
  <c r="R567" i="46" s="1"/>
  <c r="D567" i="46"/>
  <c r="V566" i="46"/>
  <c r="X566" i="46" s="1"/>
  <c r="U566" i="46"/>
  <c r="W566" i="46" s="1"/>
  <c r="S566" i="46"/>
  <c r="Q566" i="46"/>
  <c r="O566" i="46"/>
  <c r="R566" i="46" s="1"/>
  <c r="D566" i="46"/>
  <c r="V565" i="46"/>
  <c r="X565" i="46" s="1"/>
  <c r="U565" i="46"/>
  <c r="W565" i="46" s="1"/>
  <c r="S565" i="46"/>
  <c r="Q565" i="46"/>
  <c r="O565" i="46"/>
  <c r="R565" i="46" s="1"/>
  <c r="D565" i="46"/>
  <c r="V564" i="46"/>
  <c r="X564" i="46" s="1"/>
  <c r="U564" i="46"/>
  <c r="W564" i="46" s="1"/>
  <c r="S564" i="46"/>
  <c r="Q564" i="46"/>
  <c r="O564" i="46"/>
  <c r="R564" i="46" s="1"/>
  <c r="D564" i="46"/>
  <c r="V563" i="46"/>
  <c r="X563" i="46" s="1"/>
  <c r="U563" i="46"/>
  <c r="W563" i="46" s="1"/>
  <c r="S563" i="46"/>
  <c r="Q563" i="46"/>
  <c r="O563" i="46"/>
  <c r="R563" i="46" s="1"/>
  <c r="D563" i="46"/>
  <c r="V562" i="46"/>
  <c r="X562" i="46" s="1"/>
  <c r="U562" i="46"/>
  <c r="W562" i="46" s="1"/>
  <c r="S562" i="46"/>
  <c r="Q562" i="46"/>
  <c r="O562" i="46"/>
  <c r="R562" i="46" s="1"/>
  <c r="D562" i="46"/>
  <c r="V561" i="46"/>
  <c r="X561" i="46" s="1"/>
  <c r="U561" i="46"/>
  <c r="W561" i="46" s="1"/>
  <c r="S561" i="46"/>
  <c r="Q561" i="46"/>
  <c r="O561" i="46"/>
  <c r="R561" i="46" s="1"/>
  <c r="D561" i="46"/>
  <c r="V560" i="46"/>
  <c r="X560" i="46" s="1"/>
  <c r="U560" i="46"/>
  <c r="W560" i="46" s="1"/>
  <c r="S560" i="46"/>
  <c r="Q560" i="46"/>
  <c r="O560" i="46"/>
  <c r="R560" i="46" s="1"/>
  <c r="D560" i="46"/>
  <c r="V559" i="46"/>
  <c r="X559" i="46" s="1"/>
  <c r="U559" i="46"/>
  <c r="W559" i="46" s="1"/>
  <c r="S559" i="46"/>
  <c r="Q559" i="46"/>
  <c r="O559" i="46"/>
  <c r="R559" i="46" s="1"/>
  <c r="D559" i="46"/>
  <c r="V558" i="46"/>
  <c r="X558" i="46" s="1"/>
  <c r="U558" i="46"/>
  <c r="W558" i="46" s="1"/>
  <c r="S558" i="46"/>
  <c r="Q558" i="46"/>
  <c r="O558" i="46"/>
  <c r="R558" i="46" s="1"/>
  <c r="D558" i="46"/>
  <c r="V557" i="46"/>
  <c r="X557" i="46" s="1"/>
  <c r="U557" i="46"/>
  <c r="W557" i="46" s="1"/>
  <c r="S557" i="46"/>
  <c r="Q557" i="46"/>
  <c r="O557" i="46"/>
  <c r="R557" i="46" s="1"/>
  <c r="D557" i="46"/>
  <c r="V556" i="46"/>
  <c r="X556" i="46" s="1"/>
  <c r="U556" i="46"/>
  <c r="W556" i="46" s="1"/>
  <c r="S556" i="46"/>
  <c r="Q556" i="46"/>
  <c r="O556" i="46"/>
  <c r="R556" i="46" s="1"/>
  <c r="D556" i="46"/>
  <c r="V555" i="46"/>
  <c r="X555" i="46" s="1"/>
  <c r="U555" i="46"/>
  <c r="W555" i="46" s="1"/>
  <c r="S555" i="46"/>
  <c r="Q555" i="46"/>
  <c r="O555" i="46"/>
  <c r="R555" i="46" s="1"/>
  <c r="D555" i="46"/>
  <c r="V554" i="46"/>
  <c r="X554" i="46" s="1"/>
  <c r="U554" i="46"/>
  <c r="W554" i="46" s="1"/>
  <c r="S554" i="46"/>
  <c r="Q554" i="46"/>
  <c r="O554" i="46"/>
  <c r="R554" i="46" s="1"/>
  <c r="D554" i="46"/>
  <c r="V553" i="46"/>
  <c r="X553" i="46" s="1"/>
  <c r="U553" i="46"/>
  <c r="W553" i="46" s="1"/>
  <c r="S553" i="46"/>
  <c r="Q553" i="46"/>
  <c r="O553" i="46"/>
  <c r="R553" i="46" s="1"/>
  <c r="D553" i="46"/>
  <c r="V552" i="46"/>
  <c r="X552" i="46" s="1"/>
  <c r="U552" i="46"/>
  <c r="W552" i="46" s="1"/>
  <c r="S552" i="46"/>
  <c r="Q552" i="46"/>
  <c r="O552" i="46"/>
  <c r="R552" i="46" s="1"/>
  <c r="D552" i="46"/>
  <c r="V551" i="46"/>
  <c r="X551" i="46" s="1"/>
  <c r="U551" i="46"/>
  <c r="W551" i="46" s="1"/>
  <c r="S551" i="46"/>
  <c r="Q551" i="46"/>
  <c r="O551" i="46"/>
  <c r="R551" i="46" s="1"/>
  <c r="D551" i="46"/>
  <c r="V550" i="46"/>
  <c r="X550" i="46" s="1"/>
  <c r="U550" i="46"/>
  <c r="W550" i="46" s="1"/>
  <c r="S550" i="46"/>
  <c r="Q550" i="46"/>
  <c r="O550" i="46"/>
  <c r="R550" i="46" s="1"/>
  <c r="D550" i="46"/>
  <c r="V549" i="46"/>
  <c r="X549" i="46" s="1"/>
  <c r="U549" i="46"/>
  <c r="W549" i="46" s="1"/>
  <c r="S549" i="46"/>
  <c r="Q549" i="46"/>
  <c r="O549" i="46"/>
  <c r="R549" i="46" s="1"/>
  <c r="D549" i="46"/>
  <c r="V548" i="46"/>
  <c r="X548" i="46" s="1"/>
  <c r="U548" i="46"/>
  <c r="W548" i="46" s="1"/>
  <c r="S548" i="46"/>
  <c r="Q548" i="46"/>
  <c r="O548" i="46"/>
  <c r="R548" i="46" s="1"/>
  <c r="D548" i="46"/>
  <c r="V547" i="46"/>
  <c r="X547" i="46" s="1"/>
  <c r="U547" i="46"/>
  <c r="W547" i="46" s="1"/>
  <c r="S547" i="46"/>
  <c r="Q547" i="46"/>
  <c r="O547" i="46"/>
  <c r="R547" i="46" s="1"/>
  <c r="D547" i="46"/>
  <c r="V546" i="46"/>
  <c r="X546" i="46" s="1"/>
  <c r="U546" i="46"/>
  <c r="W546" i="46" s="1"/>
  <c r="S546" i="46"/>
  <c r="Q546" i="46"/>
  <c r="O546" i="46"/>
  <c r="R546" i="46" s="1"/>
  <c r="D546" i="46"/>
  <c r="V545" i="46"/>
  <c r="X545" i="46" s="1"/>
  <c r="U545" i="46"/>
  <c r="W545" i="46" s="1"/>
  <c r="S545" i="46"/>
  <c r="Q545" i="46"/>
  <c r="O545" i="46"/>
  <c r="R545" i="46" s="1"/>
  <c r="D545" i="46"/>
  <c r="V544" i="46"/>
  <c r="X544" i="46" s="1"/>
  <c r="U544" i="46"/>
  <c r="W544" i="46" s="1"/>
  <c r="S544" i="46"/>
  <c r="Q544" i="46"/>
  <c r="O544" i="46"/>
  <c r="R544" i="46" s="1"/>
  <c r="D544" i="46"/>
  <c r="V543" i="46"/>
  <c r="X543" i="46" s="1"/>
  <c r="U543" i="46"/>
  <c r="W543" i="46" s="1"/>
  <c r="S543" i="46"/>
  <c r="Q543" i="46"/>
  <c r="O543" i="46"/>
  <c r="R543" i="46" s="1"/>
  <c r="D543" i="46"/>
  <c r="V542" i="46"/>
  <c r="X542" i="46" s="1"/>
  <c r="U542" i="46"/>
  <c r="W542" i="46" s="1"/>
  <c r="S542" i="46"/>
  <c r="Q542" i="46"/>
  <c r="O542" i="46"/>
  <c r="R542" i="46" s="1"/>
  <c r="D542" i="46"/>
  <c r="V541" i="46"/>
  <c r="X541" i="46" s="1"/>
  <c r="U541" i="46"/>
  <c r="W541" i="46" s="1"/>
  <c r="S541" i="46"/>
  <c r="Q541" i="46"/>
  <c r="O541" i="46"/>
  <c r="R541" i="46" s="1"/>
  <c r="D541" i="46"/>
  <c r="V540" i="46"/>
  <c r="X540" i="46" s="1"/>
  <c r="U540" i="46"/>
  <c r="W540" i="46" s="1"/>
  <c r="S540" i="46"/>
  <c r="Q540" i="46"/>
  <c r="O540" i="46"/>
  <c r="R540" i="46" s="1"/>
  <c r="D540" i="46"/>
  <c r="V539" i="46"/>
  <c r="X539" i="46" s="1"/>
  <c r="U539" i="46"/>
  <c r="W539" i="46" s="1"/>
  <c r="S539" i="46"/>
  <c r="Q539" i="46"/>
  <c r="O539" i="46"/>
  <c r="R539" i="46" s="1"/>
  <c r="D539" i="46"/>
  <c r="V538" i="46"/>
  <c r="X538" i="46" s="1"/>
  <c r="U538" i="46"/>
  <c r="W538" i="46" s="1"/>
  <c r="S538" i="46"/>
  <c r="Q538" i="46"/>
  <c r="O538" i="46"/>
  <c r="R538" i="46" s="1"/>
  <c r="D538" i="46"/>
  <c r="V537" i="46"/>
  <c r="X537" i="46" s="1"/>
  <c r="U537" i="46"/>
  <c r="W537" i="46" s="1"/>
  <c r="S537" i="46"/>
  <c r="Q537" i="46"/>
  <c r="O537" i="46"/>
  <c r="R537" i="46" s="1"/>
  <c r="D537" i="46"/>
  <c r="V536" i="46"/>
  <c r="X536" i="46" s="1"/>
  <c r="U536" i="46"/>
  <c r="W536" i="46" s="1"/>
  <c r="S536" i="46"/>
  <c r="Q536" i="46"/>
  <c r="O536" i="46"/>
  <c r="R536" i="46" s="1"/>
  <c r="D536" i="46"/>
  <c r="V535" i="46"/>
  <c r="X535" i="46" s="1"/>
  <c r="U535" i="46"/>
  <c r="W535" i="46" s="1"/>
  <c r="S535" i="46"/>
  <c r="Q535" i="46"/>
  <c r="O535" i="46"/>
  <c r="R535" i="46" s="1"/>
  <c r="D535" i="46"/>
  <c r="V534" i="46"/>
  <c r="X534" i="46" s="1"/>
  <c r="U534" i="46"/>
  <c r="W534" i="46" s="1"/>
  <c r="S534" i="46"/>
  <c r="Q534" i="46"/>
  <c r="O534" i="46"/>
  <c r="R534" i="46" s="1"/>
  <c r="D534" i="46"/>
  <c r="V533" i="46"/>
  <c r="X533" i="46" s="1"/>
  <c r="U533" i="46"/>
  <c r="W533" i="46" s="1"/>
  <c r="S533" i="46"/>
  <c r="Q533" i="46"/>
  <c r="O533" i="46"/>
  <c r="R533" i="46" s="1"/>
  <c r="D533" i="46"/>
  <c r="V532" i="46"/>
  <c r="X532" i="46" s="1"/>
  <c r="U532" i="46"/>
  <c r="W532" i="46" s="1"/>
  <c r="S532" i="46"/>
  <c r="Q532" i="46"/>
  <c r="O532" i="46"/>
  <c r="R532" i="46" s="1"/>
  <c r="D532" i="46"/>
  <c r="V531" i="46"/>
  <c r="X531" i="46" s="1"/>
  <c r="U531" i="46"/>
  <c r="W531" i="46" s="1"/>
  <c r="S531" i="46"/>
  <c r="Q531" i="46"/>
  <c r="O531" i="46"/>
  <c r="R531" i="46" s="1"/>
  <c r="D531" i="46"/>
  <c r="V530" i="46"/>
  <c r="X530" i="46" s="1"/>
  <c r="U530" i="46"/>
  <c r="W530" i="46" s="1"/>
  <c r="S530" i="46"/>
  <c r="Q530" i="46"/>
  <c r="O530" i="46"/>
  <c r="R530" i="46" s="1"/>
  <c r="D530" i="46"/>
  <c r="V529" i="46"/>
  <c r="X529" i="46" s="1"/>
  <c r="U529" i="46"/>
  <c r="W529" i="46" s="1"/>
  <c r="S529" i="46"/>
  <c r="Q529" i="46"/>
  <c r="O529" i="46"/>
  <c r="R529" i="46" s="1"/>
  <c r="D529" i="46"/>
  <c r="V528" i="46"/>
  <c r="X528" i="46" s="1"/>
  <c r="U528" i="46"/>
  <c r="W528" i="46" s="1"/>
  <c r="S528" i="46"/>
  <c r="Q528" i="46"/>
  <c r="O528" i="46"/>
  <c r="R528" i="46" s="1"/>
  <c r="D528" i="46"/>
  <c r="V527" i="46"/>
  <c r="X527" i="46" s="1"/>
  <c r="U527" i="46"/>
  <c r="W527" i="46" s="1"/>
  <c r="S527" i="46"/>
  <c r="Q527" i="46"/>
  <c r="O527" i="46"/>
  <c r="R527" i="46" s="1"/>
  <c r="D527" i="46"/>
  <c r="V526" i="46"/>
  <c r="X526" i="46" s="1"/>
  <c r="U526" i="46"/>
  <c r="W526" i="46" s="1"/>
  <c r="S526" i="46"/>
  <c r="Q526" i="46"/>
  <c r="O526" i="46"/>
  <c r="R526" i="46" s="1"/>
  <c r="D526" i="46"/>
  <c r="V525" i="46"/>
  <c r="X525" i="46" s="1"/>
  <c r="U525" i="46"/>
  <c r="W525" i="46" s="1"/>
  <c r="S525" i="46"/>
  <c r="Q525" i="46"/>
  <c r="O525" i="46"/>
  <c r="R525" i="46" s="1"/>
  <c r="D525" i="46"/>
  <c r="V524" i="46"/>
  <c r="X524" i="46" s="1"/>
  <c r="U524" i="46"/>
  <c r="W524" i="46" s="1"/>
  <c r="S524" i="46"/>
  <c r="Q524" i="46"/>
  <c r="O524" i="46"/>
  <c r="R524" i="46" s="1"/>
  <c r="D524" i="46"/>
  <c r="V523" i="46"/>
  <c r="X523" i="46" s="1"/>
  <c r="U523" i="46"/>
  <c r="W523" i="46" s="1"/>
  <c r="S523" i="46"/>
  <c r="Q523" i="46"/>
  <c r="O523" i="46"/>
  <c r="R523" i="46" s="1"/>
  <c r="D523" i="46"/>
  <c r="V522" i="46"/>
  <c r="X522" i="46" s="1"/>
  <c r="U522" i="46"/>
  <c r="W522" i="46" s="1"/>
  <c r="S522" i="46"/>
  <c r="Q522" i="46"/>
  <c r="O522" i="46"/>
  <c r="R522" i="46" s="1"/>
  <c r="D522" i="46"/>
  <c r="V521" i="46"/>
  <c r="X521" i="46" s="1"/>
  <c r="U521" i="46"/>
  <c r="W521" i="46" s="1"/>
  <c r="S521" i="46"/>
  <c r="Q521" i="46"/>
  <c r="O521" i="46"/>
  <c r="R521" i="46" s="1"/>
  <c r="D521" i="46"/>
  <c r="V520" i="46"/>
  <c r="X520" i="46" s="1"/>
  <c r="U520" i="46"/>
  <c r="W520" i="46" s="1"/>
  <c r="S520" i="46"/>
  <c r="Q520" i="46"/>
  <c r="O520" i="46"/>
  <c r="R520" i="46" s="1"/>
  <c r="D520" i="46"/>
  <c r="V519" i="46"/>
  <c r="X519" i="46" s="1"/>
  <c r="U519" i="46"/>
  <c r="W519" i="46" s="1"/>
  <c r="S519" i="46"/>
  <c r="Q519" i="46"/>
  <c r="O519" i="46"/>
  <c r="R519" i="46" s="1"/>
  <c r="D519" i="46"/>
  <c r="V518" i="46"/>
  <c r="X518" i="46" s="1"/>
  <c r="U518" i="46"/>
  <c r="W518" i="46" s="1"/>
  <c r="S518" i="46"/>
  <c r="Q518" i="46"/>
  <c r="O518" i="46"/>
  <c r="R518" i="46" s="1"/>
  <c r="D518" i="46"/>
  <c r="V517" i="46"/>
  <c r="X517" i="46" s="1"/>
  <c r="U517" i="46"/>
  <c r="W517" i="46" s="1"/>
  <c r="S517" i="46"/>
  <c r="Q517" i="46"/>
  <c r="O517" i="46"/>
  <c r="R517" i="46" s="1"/>
  <c r="D517" i="46"/>
  <c r="V516" i="46"/>
  <c r="X516" i="46" s="1"/>
  <c r="U516" i="46"/>
  <c r="W516" i="46" s="1"/>
  <c r="S516" i="46"/>
  <c r="Q516" i="46"/>
  <c r="O516" i="46"/>
  <c r="R516" i="46" s="1"/>
  <c r="D516" i="46"/>
  <c r="V515" i="46"/>
  <c r="X515" i="46" s="1"/>
  <c r="U515" i="46"/>
  <c r="W515" i="46" s="1"/>
  <c r="S515" i="46"/>
  <c r="Q515" i="46"/>
  <c r="O515" i="46"/>
  <c r="R515" i="46" s="1"/>
  <c r="D515" i="46"/>
  <c r="V514" i="46"/>
  <c r="X514" i="46" s="1"/>
  <c r="U514" i="46"/>
  <c r="W514" i="46" s="1"/>
  <c r="S514" i="46"/>
  <c r="Q514" i="46"/>
  <c r="O514" i="46"/>
  <c r="R514" i="46" s="1"/>
  <c r="D514" i="46"/>
  <c r="V513" i="46"/>
  <c r="X513" i="46" s="1"/>
  <c r="U513" i="46"/>
  <c r="W513" i="46" s="1"/>
  <c r="S513" i="46"/>
  <c r="Q513" i="46"/>
  <c r="O513" i="46"/>
  <c r="R513" i="46" s="1"/>
  <c r="D513" i="46"/>
  <c r="V512" i="46"/>
  <c r="X512" i="46" s="1"/>
  <c r="U512" i="46"/>
  <c r="W512" i="46" s="1"/>
  <c r="S512" i="46"/>
  <c r="Q512" i="46"/>
  <c r="O512" i="46"/>
  <c r="R512" i="46" s="1"/>
  <c r="D512" i="46"/>
  <c r="V511" i="46"/>
  <c r="X511" i="46" s="1"/>
  <c r="U511" i="46"/>
  <c r="W511" i="46" s="1"/>
  <c r="S511" i="46"/>
  <c r="Q511" i="46"/>
  <c r="O511" i="46"/>
  <c r="R511" i="46" s="1"/>
  <c r="D511" i="46"/>
  <c r="V510" i="46"/>
  <c r="X510" i="46" s="1"/>
  <c r="U510" i="46"/>
  <c r="W510" i="46" s="1"/>
  <c r="S510" i="46"/>
  <c r="Q510" i="46"/>
  <c r="O510" i="46"/>
  <c r="R510" i="46" s="1"/>
  <c r="D510" i="46"/>
  <c r="V509" i="46"/>
  <c r="X509" i="46" s="1"/>
  <c r="U509" i="46"/>
  <c r="W509" i="46" s="1"/>
  <c r="S509" i="46"/>
  <c r="Q509" i="46"/>
  <c r="O509" i="46"/>
  <c r="R509" i="46" s="1"/>
  <c r="D509" i="46"/>
  <c r="V508" i="46"/>
  <c r="X508" i="46" s="1"/>
  <c r="U508" i="46"/>
  <c r="W508" i="46" s="1"/>
  <c r="S508" i="46"/>
  <c r="Q508" i="46"/>
  <c r="O508" i="46"/>
  <c r="R508" i="46" s="1"/>
  <c r="D508" i="46"/>
  <c r="V507" i="46"/>
  <c r="X507" i="46" s="1"/>
  <c r="U507" i="46"/>
  <c r="W507" i="46" s="1"/>
  <c r="S507" i="46"/>
  <c r="Q507" i="46"/>
  <c r="O507" i="46"/>
  <c r="R507" i="46" s="1"/>
  <c r="D507" i="46"/>
  <c r="V506" i="46"/>
  <c r="X506" i="46" s="1"/>
  <c r="U506" i="46"/>
  <c r="W506" i="46" s="1"/>
  <c r="S506" i="46"/>
  <c r="Q506" i="46"/>
  <c r="O506" i="46"/>
  <c r="R506" i="46" s="1"/>
  <c r="D506" i="46"/>
  <c r="V505" i="46"/>
  <c r="X505" i="46" s="1"/>
  <c r="U505" i="46"/>
  <c r="W505" i="46" s="1"/>
  <c r="S505" i="46"/>
  <c r="Q505" i="46"/>
  <c r="O505" i="46"/>
  <c r="R505" i="46" s="1"/>
  <c r="D505" i="46"/>
  <c r="F180" i="46"/>
  <c r="F179" i="46"/>
  <c r="F178" i="46"/>
  <c r="F177" i="46"/>
  <c r="F176" i="46"/>
  <c r="F175" i="46"/>
  <c r="F174" i="46"/>
  <c r="F173" i="46"/>
  <c r="F172" i="46"/>
  <c r="F171" i="46"/>
  <c r="F170" i="46"/>
  <c r="F169" i="46"/>
  <c r="F168" i="46"/>
  <c r="F167" i="46"/>
  <c r="F166" i="46"/>
  <c r="F165" i="46"/>
  <c r="F164" i="46"/>
  <c r="F163" i="46"/>
  <c r="F162" i="46"/>
  <c r="F161" i="46"/>
  <c r="F160" i="46"/>
  <c r="F159" i="46"/>
  <c r="F158" i="46"/>
  <c r="F157" i="46"/>
  <c r="F156" i="46"/>
  <c r="F155" i="46"/>
  <c r="F154" i="46"/>
  <c r="F153" i="46"/>
  <c r="F152" i="46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F121" i="46"/>
  <c r="F120" i="46"/>
  <c r="F119" i="46"/>
  <c r="F118" i="46"/>
  <c r="F117" i="46"/>
  <c r="F116" i="46"/>
  <c r="F115" i="46"/>
  <c r="F114" i="46"/>
  <c r="F113" i="46"/>
  <c r="F112" i="46"/>
  <c r="F111" i="46"/>
  <c r="F110" i="46"/>
  <c r="F109" i="46"/>
  <c r="F108" i="46"/>
  <c r="F107" i="46"/>
  <c r="F106" i="46"/>
  <c r="F105" i="46"/>
  <c r="F104" i="46"/>
  <c r="F103" i="46"/>
  <c r="F102" i="46"/>
  <c r="F101" i="46"/>
  <c r="F100" i="46"/>
  <c r="F99" i="46"/>
  <c r="F98" i="46"/>
  <c r="F97" i="46"/>
  <c r="F96" i="46"/>
  <c r="F95" i="46"/>
  <c r="F94" i="46"/>
  <c r="F93" i="46"/>
  <c r="F92" i="46"/>
  <c r="F91" i="46"/>
  <c r="F90" i="46"/>
  <c r="F89" i="46"/>
  <c r="F88" i="46"/>
  <c r="F87" i="46"/>
  <c r="F86" i="46"/>
  <c r="F85" i="46"/>
  <c r="F84" i="46"/>
  <c r="F83" i="46"/>
  <c r="F82" i="46"/>
  <c r="F81" i="46"/>
  <c r="F80" i="46"/>
  <c r="F79" i="46"/>
  <c r="F78" i="46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C29" i="47" s="1"/>
  <c r="C55" i="47" s="1"/>
  <c r="C81" i="47" s="1"/>
  <c r="C107" i="47" s="1"/>
  <c r="C134" i="47" s="1"/>
  <c r="F25" i="46"/>
  <c r="C28" i="47" s="1"/>
  <c r="C54" i="47" s="1"/>
  <c r="C80" i="47" s="1"/>
  <c r="C106" i="47" s="1"/>
  <c r="C133" i="47" s="1"/>
  <c r="F24" i="46"/>
  <c r="C27" i="47" s="1"/>
  <c r="C53" i="47" s="1"/>
  <c r="C79" i="47" s="1"/>
  <c r="C105" i="47" s="1"/>
  <c r="C132" i="47" s="1"/>
  <c r="F23" i="46"/>
  <c r="C26" i="47" s="1"/>
  <c r="C52" i="47" s="1"/>
  <c r="C78" i="47" s="1"/>
  <c r="C104" i="47" s="1"/>
  <c r="C131" i="47" s="1"/>
  <c r="F22" i="46"/>
  <c r="C25" i="47" s="1"/>
  <c r="C51" i="47" s="1"/>
  <c r="C77" i="47" s="1"/>
  <c r="C103" i="47" s="1"/>
  <c r="C130" i="47" s="1"/>
  <c r="F21" i="46"/>
  <c r="C24" i="47" s="1"/>
  <c r="C50" i="47" s="1"/>
  <c r="C76" i="47" s="1"/>
  <c r="C102" i="47" s="1"/>
  <c r="C129" i="47" s="1"/>
  <c r="F20" i="46"/>
  <c r="C23" i="47" s="1"/>
  <c r="C49" i="47" s="1"/>
  <c r="C75" i="47" s="1"/>
  <c r="C101" i="47" s="1"/>
  <c r="C128" i="47" s="1"/>
  <c r="F19" i="46"/>
  <c r="C22" i="47" s="1"/>
  <c r="C48" i="47" s="1"/>
  <c r="C74" i="47" s="1"/>
  <c r="C100" i="47" s="1"/>
  <c r="C127" i="47" s="1"/>
  <c r="F18" i="46"/>
  <c r="C21" i="47" s="1"/>
  <c r="C47" i="47" s="1"/>
  <c r="C73" i="47" s="1"/>
  <c r="C99" i="47" s="1"/>
  <c r="C126" i="47" s="1"/>
  <c r="F17" i="46"/>
  <c r="C20" i="47" s="1"/>
  <c r="C46" i="47" s="1"/>
  <c r="C72" i="47" s="1"/>
  <c r="C98" i="47" s="1"/>
  <c r="C125" i="47" s="1"/>
  <c r="F16" i="46"/>
  <c r="C19" i="47" s="1"/>
  <c r="C45" i="47" s="1"/>
  <c r="C71" i="47" s="1"/>
  <c r="C97" i="47" s="1"/>
  <c r="C124" i="47" s="1"/>
  <c r="F15" i="46"/>
  <c r="C18" i="47" s="1"/>
  <c r="C44" i="47" s="1"/>
  <c r="C70" i="47" s="1"/>
  <c r="C96" i="47" s="1"/>
  <c r="C123" i="47" s="1"/>
  <c r="F14" i="46"/>
  <c r="C17" i="47" s="1"/>
  <c r="C43" i="47" s="1"/>
  <c r="C69" i="47" s="1"/>
  <c r="C95" i="47" s="1"/>
  <c r="C122" i="47" s="1"/>
  <c r="F13" i="46"/>
  <c r="C16" i="47" s="1"/>
  <c r="C42" i="47" s="1"/>
  <c r="C68" i="47" s="1"/>
  <c r="C94" i="47" s="1"/>
  <c r="C121" i="47" s="1"/>
  <c r="F12" i="46"/>
  <c r="C15" i="47" s="1"/>
  <c r="C41" i="47" s="1"/>
  <c r="C67" i="47" s="1"/>
  <c r="C93" i="47" s="1"/>
  <c r="C120" i="47" s="1"/>
  <c r="F11" i="46"/>
  <c r="C14" i="47" s="1"/>
  <c r="C40" i="47" s="1"/>
  <c r="C66" i="47" s="1"/>
  <c r="C92" i="47" s="1"/>
  <c r="C119" i="47" s="1"/>
  <c r="F10" i="46"/>
  <c r="C13" i="47" s="1"/>
  <c r="C39" i="47" s="1"/>
  <c r="C65" i="47" s="1"/>
  <c r="C91" i="47" s="1"/>
  <c r="C118" i="47" s="1"/>
  <c r="F9" i="46"/>
  <c r="C12" i="47" s="1"/>
  <c r="C38" i="47" s="1"/>
  <c r="C64" i="47" s="1"/>
  <c r="C90" i="47" s="1"/>
  <c r="C117" i="47" s="1"/>
  <c r="F8" i="46"/>
  <c r="C11" i="47" s="1"/>
  <c r="A7" i="46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S27" i="45" l="1"/>
  <c r="HQ14" i="46"/>
  <c r="HQ26" i="46"/>
  <c r="S38" i="45"/>
  <c r="C148" i="47"/>
  <c r="C176" i="47" s="1"/>
  <c r="B26" i="45"/>
  <c r="BY154" i="47"/>
  <c r="BZ154" i="47" s="1"/>
  <c r="CA154" i="47" s="1"/>
  <c r="CB154" i="47" s="1"/>
  <c r="CC154" i="47" s="1"/>
  <c r="CD154" i="47" s="1"/>
  <c r="CF154" i="47" s="1"/>
  <c r="CG154" i="47" s="1"/>
  <c r="CH154" i="47" s="1"/>
  <c r="CI154" i="47" s="1"/>
  <c r="CJ154" i="47" s="1"/>
  <c r="CK154" i="47" s="1"/>
  <c r="CL154" i="47" s="1"/>
  <c r="CM154" i="47" s="1"/>
  <c r="CN154" i="47" s="1"/>
  <c r="CO154" i="47" s="1"/>
  <c r="CP154" i="47" s="1"/>
  <c r="CQ154" i="47" s="1"/>
  <c r="CS154" i="47" s="1"/>
  <c r="CT154" i="47" s="1"/>
  <c r="CU154" i="47" s="1"/>
  <c r="CV154" i="47" s="1"/>
  <c r="CW154" i="47" s="1"/>
  <c r="CX154" i="47" s="1"/>
  <c r="CY154" i="47" s="1"/>
  <c r="CZ154" i="47" s="1"/>
  <c r="DA154" i="47" s="1"/>
  <c r="DB154" i="47" s="1"/>
  <c r="DC154" i="47" s="1"/>
  <c r="DD154" i="47" s="1"/>
  <c r="DF154" i="47" s="1"/>
  <c r="DG154" i="47" s="1"/>
  <c r="DH154" i="47" s="1"/>
  <c r="DI154" i="47" s="1"/>
  <c r="DJ154" i="47" s="1"/>
  <c r="DK154" i="47" s="1"/>
  <c r="DL154" i="47" s="1"/>
  <c r="DM154" i="47" s="1"/>
  <c r="DN154" i="47" s="1"/>
  <c r="DO154" i="47" s="1"/>
  <c r="DP154" i="47" s="1"/>
  <c r="DQ154" i="47" s="1"/>
  <c r="C156" i="47"/>
  <c r="C184" i="47" s="1"/>
  <c r="B34" i="45"/>
  <c r="C145" i="47"/>
  <c r="C173" i="47" s="1"/>
  <c r="B23" i="45"/>
  <c r="C149" i="47"/>
  <c r="C177" i="47" s="1"/>
  <c r="B27" i="45"/>
  <c r="C153" i="47"/>
  <c r="C181" i="47" s="1"/>
  <c r="B31" i="45"/>
  <c r="C157" i="47"/>
  <c r="C185" i="47" s="1"/>
  <c r="B35" i="45"/>
  <c r="C161" i="47"/>
  <c r="C189" i="47" s="1"/>
  <c r="B39" i="45"/>
  <c r="B30" i="45"/>
  <c r="C152" i="47"/>
  <c r="C180" i="47" s="1"/>
  <c r="C146" i="47"/>
  <c r="C174" i="47" s="1"/>
  <c r="B24" i="45"/>
  <c r="C150" i="47"/>
  <c r="C178" i="47" s="1"/>
  <c r="B28" i="45"/>
  <c r="C154" i="47"/>
  <c r="C182" i="47" s="1"/>
  <c r="B32" i="45"/>
  <c r="C158" i="47"/>
  <c r="C186" i="47" s="1"/>
  <c r="B36" i="45"/>
  <c r="G6" i="46"/>
  <c r="H6" i="46" s="1"/>
  <c r="E9" i="47" s="1"/>
  <c r="E35" i="47" s="1"/>
  <c r="E61" i="47" s="1"/>
  <c r="E87" i="47" s="1"/>
  <c r="E114" i="47" s="1"/>
  <c r="G7" i="46"/>
  <c r="H7" i="46" s="1"/>
  <c r="E10" i="47" s="1"/>
  <c r="E36" i="47" s="1"/>
  <c r="E62" i="47" s="1"/>
  <c r="E88" i="47" s="1"/>
  <c r="E115" i="47" s="1"/>
  <c r="V187" i="47"/>
  <c r="S39" i="45"/>
  <c r="B22" i="45"/>
  <c r="C144" i="47"/>
  <c r="C172" i="47" s="1"/>
  <c r="C160" i="47"/>
  <c r="C188" i="47" s="1"/>
  <c r="B38" i="45"/>
  <c r="B25" i="45"/>
  <c r="C147" i="47"/>
  <c r="C175" i="47" s="1"/>
  <c r="C151" i="47"/>
  <c r="C179" i="47" s="1"/>
  <c r="B29" i="45"/>
  <c r="C155" i="47"/>
  <c r="C183" i="47" s="1"/>
  <c r="B33" i="45"/>
  <c r="B37" i="45"/>
  <c r="C159" i="47"/>
  <c r="C187" i="47" s="1"/>
  <c r="G160" i="46"/>
  <c r="H160" i="46" s="1"/>
  <c r="W173" i="47"/>
  <c r="S32" i="45"/>
  <c r="BV153" i="47"/>
  <c r="HQ25" i="46"/>
  <c r="BW143" i="47"/>
  <c r="C37" i="47"/>
  <c r="C63" i="47" s="1"/>
  <c r="C89" i="47" s="1"/>
  <c r="C116" i="47" s="1"/>
  <c r="V188" i="47"/>
  <c r="W181" i="47"/>
  <c r="W186" i="47"/>
  <c r="V137" i="47"/>
  <c r="V168" i="47"/>
  <c r="V176" i="47"/>
  <c r="V174" i="47"/>
  <c r="AV135" i="47"/>
  <c r="AV190" i="47" s="1"/>
  <c r="AW56" i="47"/>
  <c r="W58" i="47"/>
  <c r="X35" i="47"/>
  <c r="W114" i="47"/>
  <c r="W169" i="47" s="1"/>
  <c r="W128" i="47"/>
  <c r="X23" i="47"/>
  <c r="W132" i="47"/>
  <c r="X27" i="47"/>
  <c r="X130" i="47"/>
  <c r="Y25" i="47"/>
  <c r="X118" i="47"/>
  <c r="X173" i="47" s="1"/>
  <c r="Y13" i="47"/>
  <c r="W120" i="47"/>
  <c r="X15" i="47"/>
  <c r="W115" i="47"/>
  <c r="W170" i="47" s="1"/>
  <c r="X10" i="47"/>
  <c r="Y11" i="47"/>
  <c r="X116" i="47"/>
  <c r="X171" i="47" s="1"/>
  <c r="X136" i="47"/>
  <c r="X191" i="47" s="1"/>
  <c r="Y31" i="47"/>
  <c r="AI66" i="47"/>
  <c r="AH84" i="47"/>
  <c r="Y134" i="47"/>
  <c r="Y189" i="47" s="1"/>
  <c r="Z29" i="47"/>
  <c r="V169" i="47"/>
  <c r="W129" i="47"/>
  <c r="X24" i="47"/>
  <c r="W127" i="47"/>
  <c r="X22" i="47"/>
  <c r="W124" i="47"/>
  <c r="X19" i="47"/>
  <c r="W125" i="47"/>
  <c r="X20" i="47"/>
  <c r="V175" i="47"/>
  <c r="V170" i="47"/>
  <c r="W117" i="47"/>
  <c r="W172" i="47" s="1"/>
  <c r="X12" i="47"/>
  <c r="W113" i="47"/>
  <c r="W32" i="47"/>
  <c r="X7" i="47"/>
  <c r="Y135" i="47"/>
  <c r="Y190" i="47" s="1"/>
  <c r="Z30" i="47"/>
  <c r="W123" i="47"/>
  <c r="X18" i="47"/>
  <c r="W164" i="47"/>
  <c r="X140" i="47"/>
  <c r="AK61" i="47"/>
  <c r="U192" i="47"/>
  <c r="U194" i="47" s="1"/>
  <c r="U196" i="47" s="1"/>
  <c r="X122" i="47"/>
  <c r="X177" i="47" s="1"/>
  <c r="Y17" i="47"/>
  <c r="V172" i="47"/>
  <c r="W133" i="47"/>
  <c r="W188" i="47" s="1"/>
  <c r="X28" i="47"/>
  <c r="X126" i="47"/>
  <c r="X181" i="47" s="1"/>
  <c r="Y21" i="47"/>
  <c r="X110" i="47"/>
  <c r="Y87" i="47"/>
  <c r="X131" i="47"/>
  <c r="Y26" i="47"/>
  <c r="W121" i="47"/>
  <c r="W176" i="47" s="1"/>
  <c r="X16" i="47"/>
  <c r="W119" i="47"/>
  <c r="W174" i="47" s="1"/>
  <c r="X14" i="47"/>
  <c r="Y9" i="47"/>
  <c r="G66" i="46"/>
  <c r="H66" i="46" s="1"/>
  <c r="G157" i="46"/>
  <c r="H157" i="46" s="1"/>
  <c r="G59" i="46"/>
  <c r="H59" i="46" s="1"/>
  <c r="G63" i="46"/>
  <c r="H63" i="46" s="1"/>
  <c r="G70" i="46"/>
  <c r="H70" i="46" s="1"/>
  <c r="G74" i="46"/>
  <c r="H74" i="46" s="1"/>
  <c r="G82" i="46"/>
  <c r="H82" i="46" s="1"/>
  <c r="G98" i="46"/>
  <c r="H98" i="46" s="1"/>
  <c r="G130" i="46"/>
  <c r="H130" i="46" s="1"/>
  <c r="G122" i="46"/>
  <c r="H122" i="46" s="1"/>
  <c r="G44" i="46"/>
  <c r="H44" i="46" s="1"/>
  <c r="G48" i="46"/>
  <c r="H48" i="46" s="1"/>
  <c r="G52" i="46"/>
  <c r="H52" i="46" s="1"/>
  <c r="G56" i="46"/>
  <c r="H56" i="46" s="1"/>
  <c r="G123" i="46"/>
  <c r="H123" i="46" s="1"/>
  <c r="G127" i="46"/>
  <c r="H127" i="46" s="1"/>
  <c r="G134" i="46"/>
  <c r="H134" i="46" s="1"/>
  <c r="G138" i="46"/>
  <c r="H138" i="46" s="1"/>
  <c r="G146" i="46"/>
  <c r="H146" i="46" s="1"/>
  <c r="G164" i="46"/>
  <c r="H164" i="46" s="1"/>
  <c r="G168" i="46"/>
  <c r="H168" i="46" s="1"/>
  <c r="G176" i="46"/>
  <c r="H176" i="46" s="1"/>
  <c r="G41" i="46"/>
  <c r="H41" i="46" s="1"/>
  <c r="G116" i="46"/>
  <c r="H116" i="46" s="1"/>
  <c r="G173" i="46"/>
  <c r="H173" i="46" s="1"/>
  <c r="G90" i="46"/>
  <c r="H90" i="46" s="1"/>
  <c r="G37" i="46"/>
  <c r="H37" i="46" s="1"/>
  <c r="G108" i="46"/>
  <c r="H108" i="46" s="1"/>
  <c r="G112" i="46"/>
  <c r="H112" i="46" s="1"/>
  <c r="G120" i="46"/>
  <c r="H120" i="46" s="1"/>
  <c r="G30" i="46"/>
  <c r="H30" i="46" s="1"/>
  <c r="G34" i="46"/>
  <c r="H34" i="46" s="1"/>
  <c r="G42" i="46"/>
  <c r="H42" i="46" s="1"/>
  <c r="G15" i="46"/>
  <c r="H15" i="46" s="1"/>
  <c r="E18" i="47" s="1"/>
  <c r="E44" i="47" s="1"/>
  <c r="E70" i="47" s="1"/>
  <c r="E96" i="47" s="1"/>
  <c r="E123" i="47" s="1"/>
  <c r="G23" i="46"/>
  <c r="H23" i="46" s="1"/>
  <c r="E26" i="47" s="1"/>
  <c r="E52" i="47" s="1"/>
  <c r="E78" i="47" s="1"/>
  <c r="E104" i="47" s="1"/>
  <c r="E131" i="47" s="1"/>
  <c r="G31" i="46"/>
  <c r="H31" i="46" s="1"/>
  <c r="G45" i="46"/>
  <c r="H45" i="46" s="1"/>
  <c r="G53" i="46"/>
  <c r="H53" i="46" s="1"/>
  <c r="G87" i="46"/>
  <c r="H87" i="46" s="1"/>
  <c r="G94" i="46"/>
  <c r="H94" i="46" s="1"/>
  <c r="G105" i="46"/>
  <c r="H105" i="46" s="1"/>
  <c r="G113" i="46"/>
  <c r="H113" i="46" s="1"/>
  <c r="G165" i="46"/>
  <c r="H165" i="46" s="1"/>
  <c r="G8" i="46"/>
  <c r="H8" i="46" s="1"/>
  <c r="E11" i="47" s="1"/>
  <c r="G12" i="46"/>
  <c r="H12" i="46" s="1"/>
  <c r="E15" i="47" s="1"/>
  <c r="E41" i="47" s="1"/>
  <c r="E67" i="47" s="1"/>
  <c r="E93" i="47" s="1"/>
  <c r="E120" i="47" s="1"/>
  <c r="G16" i="46"/>
  <c r="H16" i="46" s="1"/>
  <c r="E19" i="47" s="1"/>
  <c r="E45" i="47" s="1"/>
  <c r="E71" i="47" s="1"/>
  <c r="E97" i="47" s="1"/>
  <c r="E124" i="47" s="1"/>
  <c r="G20" i="46"/>
  <c r="H20" i="46" s="1"/>
  <c r="E23" i="47" s="1"/>
  <c r="E49" i="47" s="1"/>
  <c r="E75" i="47" s="1"/>
  <c r="E101" i="47" s="1"/>
  <c r="E128" i="47" s="1"/>
  <c r="G24" i="46"/>
  <c r="H24" i="46" s="1"/>
  <c r="E27" i="47" s="1"/>
  <c r="E53" i="47" s="1"/>
  <c r="E79" i="47" s="1"/>
  <c r="E105" i="47" s="1"/>
  <c r="E132" i="47" s="1"/>
  <c r="G28" i="46"/>
  <c r="H28" i="46" s="1"/>
  <c r="G32" i="46"/>
  <c r="H32" i="46" s="1"/>
  <c r="G35" i="46"/>
  <c r="H35" i="46" s="1"/>
  <c r="G39" i="46"/>
  <c r="H39" i="46" s="1"/>
  <c r="G46" i="46"/>
  <c r="H46" i="46" s="1"/>
  <c r="G50" i="46"/>
  <c r="H50" i="46" s="1"/>
  <c r="G76" i="46"/>
  <c r="H76" i="46" s="1"/>
  <c r="G80" i="46"/>
  <c r="H80" i="46" s="1"/>
  <c r="G84" i="46"/>
  <c r="H84" i="46" s="1"/>
  <c r="G88" i="46"/>
  <c r="H88" i="46" s="1"/>
  <c r="G91" i="46"/>
  <c r="H91" i="46" s="1"/>
  <c r="G95" i="46"/>
  <c r="H95" i="46" s="1"/>
  <c r="G102" i="46"/>
  <c r="H102" i="46" s="1"/>
  <c r="G106" i="46"/>
  <c r="H106" i="46" s="1"/>
  <c r="G114" i="46"/>
  <c r="H114" i="46" s="1"/>
  <c r="G140" i="46"/>
  <c r="H140" i="46" s="1"/>
  <c r="G144" i="46"/>
  <c r="H144" i="46" s="1"/>
  <c r="G148" i="46"/>
  <c r="H148" i="46" s="1"/>
  <c r="G152" i="46"/>
  <c r="H152" i="46" s="1"/>
  <c r="G180" i="46"/>
  <c r="H180" i="46" s="1"/>
  <c r="G10" i="46"/>
  <c r="H10" i="46" s="1"/>
  <c r="E13" i="47" s="1"/>
  <c r="E39" i="47" s="1"/>
  <c r="E65" i="47" s="1"/>
  <c r="E91" i="47" s="1"/>
  <c r="E118" i="47" s="1"/>
  <c r="G14" i="46"/>
  <c r="H14" i="46" s="1"/>
  <c r="E17" i="47" s="1"/>
  <c r="E43" i="47" s="1"/>
  <c r="E69" i="47" s="1"/>
  <c r="E95" i="47" s="1"/>
  <c r="E122" i="47" s="1"/>
  <c r="G18" i="46"/>
  <c r="H18" i="46" s="1"/>
  <c r="E21" i="47" s="1"/>
  <c r="E47" i="47" s="1"/>
  <c r="E73" i="47" s="1"/>
  <c r="E99" i="47" s="1"/>
  <c r="E126" i="47" s="1"/>
  <c r="G22" i="46"/>
  <c r="H22" i="46" s="1"/>
  <c r="E25" i="47" s="1"/>
  <c r="E51" i="47" s="1"/>
  <c r="E77" i="47" s="1"/>
  <c r="E103" i="47" s="1"/>
  <c r="E130" i="47" s="1"/>
  <c r="G26" i="46"/>
  <c r="H26" i="46" s="1"/>
  <c r="E29" i="47" s="1"/>
  <c r="E55" i="47" s="1"/>
  <c r="E81" i="47" s="1"/>
  <c r="E107" i="47" s="1"/>
  <c r="E134" i="47" s="1"/>
  <c r="G11" i="46"/>
  <c r="H11" i="46" s="1"/>
  <c r="E14" i="47" s="1"/>
  <c r="E40" i="47" s="1"/>
  <c r="E66" i="47" s="1"/>
  <c r="E92" i="47" s="1"/>
  <c r="E119" i="47" s="1"/>
  <c r="G19" i="46"/>
  <c r="H19" i="46" s="1"/>
  <c r="E22" i="47" s="1"/>
  <c r="E48" i="47" s="1"/>
  <c r="E74" i="47" s="1"/>
  <c r="E100" i="47" s="1"/>
  <c r="E127" i="47" s="1"/>
  <c r="G27" i="46"/>
  <c r="H27" i="46" s="1"/>
  <c r="G38" i="46"/>
  <c r="H38" i="46" s="1"/>
  <c r="G49" i="46"/>
  <c r="H49" i="46" s="1"/>
  <c r="G83" i="46"/>
  <c r="H83" i="46" s="1"/>
  <c r="G101" i="46"/>
  <c r="H101" i="46" s="1"/>
  <c r="G109" i="46"/>
  <c r="H109" i="46" s="1"/>
  <c r="G147" i="46"/>
  <c r="H147" i="46" s="1"/>
  <c r="G169" i="46"/>
  <c r="H169" i="46" s="1"/>
  <c r="G51" i="46"/>
  <c r="H51" i="46" s="1"/>
  <c r="G55" i="46"/>
  <c r="H55" i="46" s="1"/>
  <c r="G58" i="46"/>
  <c r="H58" i="46" s="1"/>
  <c r="G62" i="46"/>
  <c r="H62" i="46" s="1"/>
  <c r="G69" i="46"/>
  <c r="H69" i="46" s="1"/>
  <c r="G73" i="46"/>
  <c r="H73" i="46" s="1"/>
  <c r="G77" i="46"/>
  <c r="H77" i="46" s="1"/>
  <c r="G81" i="46"/>
  <c r="H81" i="46" s="1"/>
  <c r="G115" i="46"/>
  <c r="H115" i="46" s="1"/>
  <c r="G119" i="46"/>
  <c r="H119" i="46" s="1"/>
  <c r="G126" i="46"/>
  <c r="H126" i="46" s="1"/>
  <c r="G133" i="46"/>
  <c r="H133" i="46" s="1"/>
  <c r="G137" i="46"/>
  <c r="H137" i="46" s="1"/>
  <c r="G141" i="46"/>
  <c r="H141" i="46" s="1"/>
  <c r="G145" i="46"/>
  <c r="H145" i="46" s="1"/>
  <c r="G149" i="46"/>
  <c r="H149" i="46" s="1"/>
  <c r="G153" i="46"/>
  <c r="H153" i="46" s="1"/>
  <c r="G60" i="46"/>
  <c r="H60" i="46" s="1"/>
  <c r="G67" i="46"/>
  <c r="H67" i="46" s="1"/>
  <c r="G78" i="46"/>
  <c r="H78" i="46" s="1"/>
  <c r="G89" i="46"/>
  <c r="H89" i="46" s="1"/>
  <c r="G96" i="46"/>
  <c r="H96" i="46" s="1"/>
  <c r="G103" i="46"/>
  <c r="H103" i="46" s="1"/>
  <c r="G121" i="46"/>
  <c r="H121" i="46" s="1"/>
  <c r="G128" i="46"/>
  <c r="H128" i="46" s="1"/>
  <c r="G135" i="46"/>
  <c r="H135" i="46" s="1"/>
  <c r="G177" i="46"/>
  <c r="H177" i="46" s="1"/>
  <c r="G57" i="46"/>
  <c r="H57" i="46" s="1"/>
  <c r="G64" i="46"/>
  <c r="H64" i="46" s="1"/>
  <c r="G71" i="46"/>
  <c r="H71" i="46" s="1"/>
  <c r="G85" i="46"/>
  <c r="H85" i="46" s="1"/>
  <c r="G92" i="46"/>
  <c r="H92" i="46" s="1"/>
  <c r="G99" i="46"/>
  <c r="H99" i="46" s="1"/>
  <c r="G110" i="46"/>
  <c r="H110" i="46" s="1"/>
  <c r="G117" i="46"/>
  <c r="H117" i="46" s="1"/>
  <c r="G124" i="46"/>
  <c r="H124" i="46" s="1"/>
  <c r="G131" i="46"/>
  <c r="H131" i="46" s="1"/>
  <c r="G142" i="46"/>
  <c r="H142" i="46" s="1"/>
  <c r="G161" i="46"/>
  <c r="H161" i="46" s="1"/>
  <c r="G9" i="46"/>
  <c r="H9" i="46" s="1"/>
  <c r="E12" i="47" s="1"/>
  <c r="E38" i="47" s="1"/>
  <c r="E64" i="47" s="1"/>
  <c r="E90" i="47" s="1"/>
  <c r="E117" i="47" s="1"/>
  <c r="G13" i="46"/>
  <c r="H13" i="46" s="1"/>
  <c r="E16" i="47" s="1"/>
  <c r="E42" i="47" s="1"/>
  <c r="E68" i="47" s="1"/>
  <c r="E94" i="47" s="1"/>
  <c r="E121" i="47" s="1"/>
  <c r="G17" i="46"/>
  <c r="H17" i="46" s="1"/>
  <c r="E20" i="47" s="1"/>
  <c r="E46" i="47" s="1"/>
  <c r="E72" i="47" s="1"/>
  <c r="E98" i="47" s="1"/>
  <c r="E125" i="47" s="1"/>
  <c r="G21" i="46"/>
  <c r="H21" i="46" s="1"/>
  <c r="E24" i="47" s="1"/>
  <c r="E50" i="47" s="1"/>
  <c r="E76" i="47" s="1"/>
  <c r="E102" i="47" s="1"/>
  <c r="E129" i="47" s="1"/>
  <c r="G25" i="46"/>
  <c r="H25" i="46" s="1"/>
  <c r="E28" i="47" s="1"/>
  <c r="E54" i="47" s="1"/>
  <c r="E80" i="47" s="1"/>
  <c r="E106" i="47" s="1"/>
  <c r="E133" i="47" s="1"/>
  <c r="G29" i="46"/>
  <c r="H29" i="46" s="1"/>
  <c r="G33" i="46"/>
  <c r="H33" i="46" s="1"/>
  <c r="G36" i="46"/>
  <c r="H36" i="46" s="1"/>
  <c r="G40" i="46"/>
  <c r="H40" i="46" s="1"/>
  <c r="G43" i="46"/>
  <c r="H43" i="46" s="1"/>
  <c r="G47" i="46"/>
  <c r="H47" i="46" s="1"/>
  <c r="G54" i="46"/>
  <c r="H54" i="46" s="1"/>
  <c r="G61" i="46"/>
  <c r="H61" i="46" s="1"/>
  <c r="G65" i="46"/>
  <c r="H65" i="46" s="1"/>
  <c r="G68" i="46"/>
  <c r="H68" i="46" s="1"/>
  <c r="G72" i="46"/>
  <c r="H72" i="46" s="1"/>
  <c r="G75" i="46"/>
  <c r="H75" i="46" s="1"/>
  <c r="G79" i="46"/>
  <c r="H79" i="46" s="1"/>
  <c r="G86" i="46"/>
  <c r="H86" i="46" s="1"/>
  <c r="G93" i="46"/>
  <c r="H93" i="46" s="1"/>
  <c r="G97" i="46"/>
  <c r="H97" i="46" s="1"/>
  <c r="G100" i="46"/>
  <c r="H100" i="46" s="1"/>
  <c r="G104" i="46"/>
  <c r="H104" i="46" s="1"/>
  <c r="G107" i="46"/>
  <c r="H107" i="46" s="1"/>
  <c r="G111" i="46"/>
  <c r="H111" i="46" s="1"/>
  <c r="G118" i="46"/>
  <c r="H118" i="46" s="1"/>
  <c r="G125" i="46"/>
  <c r="H125" i="46" s="1"/>
  <c r="G129" i="46"/>
  <c r="H129" i="46" s="1"/>
  <c r="G132" i="46"/>
  <c r="H132" i="46" s="1"/>
  <c r="G136" i="46"/>
  <c r="H136" i="46" s="1"/>
  <c r="G139" i="46"/>
  <c r="H139" i="46" s="1"/>
  <c r="G143" i="46"/>
  <c r="H143" i="46" s="1"/>
  <c r="G156" i="46"/>
  <c r="H156" i="46" s="1"/>
  <c r="G172" i="46"/>
  <c r="H172" i="46" s="1"/>
  <c r="G174" i="46"/>
  <c r="H174" i="46" s="1"/>
  <c r="G170" i="46"/>
  <c r="H170" i="46" s="1"/>
  <c r="G159" i="46"/>
  <c r="H159" i="46" s="1"/>
  <c r="G167" i="46"/>
  <c r="H167" i="46" s="1"/>
  <c r="G178" i="46"/>
  <c r="H178" i="46" s="1"/>
  <c r="G151" i="46"/>
  <c r="H151" i="46" s="1"/>
  <c r="G154" i="46"/>
  <c r="H154" i="46" s="1"/>
  <c r="G162" i="46"/>
  <c r="H162" i="46" s="1"/>
  <c r="G175" i="46"/>
  <c r="H175" i="46" s="1"/>
  <c r="G150" i="46"/>
  <c r="H150" i="46" s="1"/>
  <c r="G155" i="46"/>
  <c r="H155" i="46" s="1"/>
  <c r="G158" i="46"/>
  <c r="H158" i="46" s="1"/>
  <c r="G163" i="46"/>
  <c r="H163" i="46" s="1"/>
  <c r="G166" i="46"/>
  <c r="H166" i="46" s="1"/>
  <c r="G171" i="46"/>
  <c r="H171" i="46" s="1"/>
  <c r="G179" i="46"/>
  <c r="H179" i="46" s="1"/>
  <c r="A41" i="44"/>
  <c r="X27" i="45" l="1"/>
  <c r="HQ19" i="46"/>
  <c r="X39" i="45"/>
  <c r="BW153" i="47"/>
  <c r="BX153" i="47" s="1"/>
  <c r="BY153" i="47" s="1"/>
  <c r="BZ153" i="47" s="1"/>
  <c r="CA153" i="47" s="1"/>
  <c r="CB153" i="47" s="1"/>
  <c r="CC153" i="47" s="1"/>
  <c r="CD153" i="47" s="1"/>
  <c r="CF153" i="47" s="1"/>
  <c r="CG153" i="47" s="1"/>
  <c r="CH153" i="47" s="1"/>
  <c r="CI153" i="47" s="1"/>
  <c r="CJ153" i="47" s="1"/>
  <c r="CK153" i="47" s="1"/>
  <c r="CL153" i="47" s="1"/>
  <c r="CM153" i="47" s="1"/>
  <c r="CN153" i="47" s="1"/>
  <c r="CO153" i="47" s="1"/>
  <c r="CP153" i="47" s="1"/>
  <c r="CQ153" i="47" s="1"/>
  <c r="CS153" i="47" s="1"/>
  <c r="CT153" i="47" s="1"/>
  <c r="CU153" i="47" s="1"/>
  <c r="CV153" i="47" s="1"/>
  <c r="CW153" i="47" s="1"/>
  <c r="CX153" i="47" s="1"/>
  <c r="CY153" i="47" s="1"/>
  <c r="CZ153" i="47" s="1"/>
  <c r="DA153" i="47" s="1"/>
  <c r="DB153" i="47" s="1"/>
  <c r="DC153" i="47" s="1"/>
  <c r="DD153" i="47" s="1"/>
  <c r="DF153" i="47" s="1"/>
  <c r="DG153" i="47" s="1"/>
  <c r="DH153" i="47" s="1"/>
  <c r="DI153" i="47" s="1"/>
  <c r="DJ153" i="47" s="1"/>
  <c r="DK153" i="47" s="1"/>
  <c r="DL153" i="47" s="1"/>
  <c r="DM153" i="47" s="1"/>
  <c r="DN153" i="47" s="1"/>
  <c r="DO153" i="47" s="1"/>
  <c r="DP153" i="47" s="1"/>
  <c r="DQ153" i="47" s="1"/>
  <c r="C20" i="45"/>
  <c r="E142" i="47"/>
  <c r="E170" i="47" s="1"/>
  <c r="X38" i="45"/>
  <c r="E141" i="47"/>
  <c r="E169" i="47" s="1"/>
  <c r="C19" i="45"/>
  <c r="X186" i="47"/>
  <c r="W175" i="47"/>
  <c r="C30" i="45"/>
  <c r="E152" i="47"/>
  <c r="E180" i="47" s="1"/>
  <c r="E161" i="47"/>
  <c r="E189" i="47" s="1"/>
  <c r="C39" i="45"/>
  <c r="E147" i="47"/>
  <c r="E175" i="47" s="1"/>
  <c r="C25" i="45"/>
  <c r="C22" i="45"/>
  <c r="E144" i="47"/>
  <c r="E172" i="47" s="1"/>
  <c r="E156" i="47"/>
  <c r="E184" i="47" s="1"/>
  <c r="C34" i="45"/>
  <c r="E146" i="47"/>
  <c r="E174" i="47" s="1"/>
  <c r="C24" i="45"/>
  <c r="E149" i="47"/>
  <c r="E177" i="47" s="1"/>
  <c r="C27" i="45"/>
  <c r="E151" i="47"/>
  <c r="E179" i="47" s="1"/>
  <c r="C29" i="45"/>
  <c r="E150" i="47"/>
  <c r="E178" i="47" s="1"/>
  <c r="C28" i="45"/>
  <c r="E145" i="47"/>
  <c r="E173" i="47" s="1"/>
  <c r="C23" i="45"/>
  <c r="E148" i="47"/>
  <c r="E176" i="47" s="1"/>
  <c r="C26" i="45"/>
  <c r="C35" i="45"/>
  <c r="E157" i="47"/>
  <c r="E185" i="47" s="1"/>
  <c r="E159" i="47"/>
  <c r="E187" i="47" s="1"/>
  <c r="C37" i="45"/>
  <c r="E160" i="47"/>
  <c r="E188" i="47" s="1"/>
  <c r="C38" i="45"/>
  <c r="C32" i="45"/>
  <c r="E154" i="47"/>
  <c r="E182" i="47" s="1"/>
  <c r="E153" i="47"/>
  <c r="E181" i="47" s="1"/>
  <c r="C31" i="45"/>
  <c r="E155" i="47"/>
  <c r="E183" i="47" s="1"/>
  <c r="C33" i="45"/>
  <c r="C36" i="45"/>
  <c r="E158" i="47"/>
  <c r="E186" i="47" s="1"/>
  <c r="BX143" i="47"/>
  <c r="C143" i="47"/>
  <c r="C171" i="47" s="1"/>
  <c r="B21" i="45"/>
  <c r="E37" i="47"/>
  <c r="E63" i="47" s="1"/>
  <c r="E89" i="47" s="1"/>
  <c r="E116" i="47" s="1"/>
  <c r="X119" i="47"/>
  <c r="X174" i="47" s="1"/>
  <c r="Y14" i="47"/>
  <c r="X133" i="47"/>
  <c r="X188" i="47" s="1"/>
  <c r="Y28" i="47"/>
  <c r="Z135" i="47"/>
  <c r="Z190" i="47" s="1"/>
  <c r="AA30" i="47"/>
  <c r="X117" i="47"/>
  <c r="X172" i="47" s="1"/>
  <c r="Y12" i="47"/>
  <c r="X127" i="47"/>
  <c r="X182" i="47" s="1"/>
  <c r="Y22" i="47"/>
  <c r="X115" i="47"/>
  <c r="X170" i="47" s="1"/>
  <c r="Y10" i="47"/>
  <c r="Y130" i="47"/>
  <c r="Y185" i="47" s="1"/>
  <c r="Z25" i="47"/>
  <c r="W187" i="47"/>
  <c r="Y131" i="47"/>
  <c r="Y186" i="47" s="1"/>
  <c r="Z26" i="47"/>
  <c r="X123" i="47"/>
  <c r="X178" i="47" s="1"/>
  <c r="Y18" i="47"/>
  <c r="W168" i="47"/>
  <c r="W137" i="47"/>
  <c r="W182" i="47"/>
  <c r="AJ66" i="47"/>
  <c r="AI84" i="47"/>
  <c r="Z13" i="47"/>
  <c r="Y118" i="47"/>
  <c r="Y173" i="47" s="1"/>
  <c r="X185" i="47"/>
  <c r="X58" i="47"/>
  <c r="Y35" i="47"/>
  <c r="Y114" i="47" s="1"/>
  <c r="Y169" i="47" s="1"/>
  <c r="V192" i="47"/>
  <c r="V194" i="47" s="1"/>
  <c r="V196" i="47" s="1"/>
  <c r="Z9" i="47"/>
  <c r="X121" i="47"/>
  <c r="X176" i="47" s="1"/>
  <c r="Y16" i="47"/>
  <c r="Y126" i="47"/>
  <c r="Y181" i="47" s="1"/>
  <c r="Z21" i="47"/>
  <c r="Y122" i="47"/>
  <c r="Z17" i="47"/>
  <c r="AL61" i="47"/>
  <c r="W178" i="47"/>
  <c r="X125" i="47"/>
  <c r="X180" i="47" s="1"/>
  <c r="Y20" i="47"/>
  <c r="X124" i="47"/>
  <c r="X179" i="47" s="1"/>
  <c r="Y19" i="47"/>
  <c r="X129" i="47"/>
  <c r="X184" i="47" s="1"/>
  <c r="Y24" i="47"/>
  <c r="Z134" i="47"/>
  <c r="Z189" i="47" s="1"/>
  <c r="AA29" i="47"/>
  <c r="Y136" i="47"/>
  <c r="Y191" i="47" s="1"/>
  <c r="Z31" i="47"/>
  <c r="Y116" i="47"/>
  <c r="Z11" i="47"/>
  <c r="X120" i="47"/>
  <c r="Y15" i="47"/>
  <c r="X128" i="47"/>
  <c r="X183" i="47" s="1"/>
  <c r="Y23" i="47"/>
  <c r="X114" i="47"/>
  <c r="Y110" i="47"/>
  <c r="Z87" i="47"/>
  <c r="X164" i="47"/>
  <c r="Y140" i="47"/>
  <c r="X113" i="47"/>
  <c r="Y7" i="47"/>
  <c r="X32" i="47"/>
  <c r="W180" i="47"/>
  <c r="W179" i="47"/>
  <c r="W184" i="47"/>
  <c r="X132" i="47"/>
  <c r="X187" i="47" s="1"/>
  <c r="Y27" i="47"/>
  <c r="W183" i="47"/>
  <c r="AW135" i="47"/>
  <c r="AW190" i="47" s="1"/>
  <c r="AX56" i="47"/>
  <c r="S31" i="45" l="1"/>
  <c r="HQ18" i="46"/>
  <c r="X32" i="45"/>
  <c r="BY143" i="47"/>
  <c r="E143" i="47"/>
  <c r="C21" i="45"/>
  <c r="Y113" i="47"/>
  <c r="Y32" i="47"/>
  <c r="Z7" i="47"/>
  <c r="X169" i="47"/>
  <c r="Z116" i="47"/>
  <c r="Z171" i="47" s="1"/>
  <c r="AA11" i="47"/>
  <c r="AA134" i="47"/>
  <c r="AA189" i="47" s="1"/>
  <c r="AB29" i="47"/>
  <c r="Z122" i="47"/>
  <c r="Z177" i="47" s="1"/>
  <c r="AA17" i="47"/>
  <c r="Z10" i="47"/>
  <c r="Y115" i="47"/>
  <c r="Y170" i="47" s="1"/>
  <c r="X168" i="47"/>
  <c r="X137" i="47"/>
  <c r="Y171" i="47"/>
  <c r="Y125" i="47"/>
  <c r="Y180" i="47" s="1"/>
  <c r="Z20" i="47"/>
  <c r="Y177" i="47"/>
  <c r="AK66" i="47"/>
  <c r="AJ84" i="47"/>
  <c r="Y123" i="47"/>
  <c r="Z18" i="47"/>
  <c r="Y117" i="47"/>
  <c r="Z12" i="47"/>
  <c r="Y119" i="47"/>
  <c r="Z14" i="47"/>
  <c r="AX135" i="47"/>
  <c r="AX190" i="47" s="1"/>
  <c r="AY56" i="47"/>
  <c r="Z110" i="47"/>
  <c r="AA87" i="47"/>
  <c r="Y128" i="47"/>
  <c r="Y183" i="47" s="1"/>
  <c r="Z23" i="47"/>
  <c r="Y120" i="47"/>
  <c r="Y175" i="47" s="1"/>
  <c r="Z15" i="47"/>
  <c r="Z136" i="47"/>
  <c r="Z191" i="47" s="1"/>
  <c r="AA31" i="47"/>
  <c r="Y124" i="47"/>
  <c r="Z19" i="47"/>
  <c r="Y121" i="47"/>
  <c r="Y176" i="47" s="1"/>
  <c r="Z16" i="47"/>
  <c r="AA9" i="47"/>
  <c r="Z35" i="47"/>
  <c r="Y58" i="47"/>
  <c r="AA25" i="47"/>
  <c r="Z130" i="47"/>
  <c r="Z185" i="47" s="1"/>
  <c r="Y133" i="47"/>
  <c r="Z28" i="47"/>
  <c r="Y132" i="47"/>
  <c r="Y187" i="47" s="1"/>
  <c r="Z27" i="47"/>
  <c r="Y164" i="47"/>
  <c r="Z140" i="47"/>
  <c r="X175" i="47"/>
  <c r="Y129" i="47"/>
  <c r="Y184" i="47" s="1"/>
  <c r="Z24" i="47"/>
  <c r="AM61" i="47"/>
  <c r="Z126" i="47"/>
  <c r="Z181" i="47" s="1"/>
  <c r="AA21" i="47"/>
  <c r="Z118" i="47"/>
  <c r="Z173" i="47" s="1"/>
  <c r="AA13" i="47"/>
  <c r="W192" i="47"/>
  <c r="W194" i="47" s="1"/>
  <c r="W196" i="47" s="1"/>
  <c r="Z131" i="47"/>
  <c r="Z186" i="47" s="1"/>
  <c r="AA26" i="47"/>
  <c r="Y127" i="47"/>
  <c r="Y182" i="47" s="1"/>
  <c r="Z22" i="47"/>
  <c r="AA135" i="47"/>
  <c r="AA190" i="47" s="1"/>
  <c r="AB30" i="47"/>
  <c r="X31" i="45" l="1"/>
  <c r="BZ143" i="47"/>
  <c r="CA143" i="47" s="1"/>
  <c r="CB143" i="47" s="1"/>
  <c r="CC143" i="47" s="1"/>
  <c r="CD143" i="47" s="1"/>
  <c r="E171" i="47"/>
  <c r="B6" i="44"/>
  <c r="B7" i="44"/>
  <c r="AA131" i="47"/>
  <c r="AA186" i="47" s="1"/>
  <c r="AB26" i="47"/>
  <c r="AA126" i="47"/>
  <c r="AA181" i="47" s="1"/>
  <c r="AB21" i="47"/>
  <c r="Z133" i="47"/>
  <c r="Z188" i="47" s="1"/>
  <c r="AA28" i="47"/>
  <c r="Z121" i="47"/>
  <c r="Z176" i="47" s="1"/>
  <c r="AA16" i="47"/>
  <c r="AB31" i="47"/>
  <c r="AA136" i="47"/>
  <c r="AA191" i="47" s="1"/>
  <c r="Z119" i="47"/>
  <c r="Z174" i="47" s="1"/>
  <c r="AA14" i="47"/>
  <c r="Z123" i="47"/>
  <c r="Z178" i="47" s="1"/>
  <c r="AA18" i="47"/>
  <c r="AL66" i="47"/>
  <c r="AK84" i="47"/>
  <c r="Z125" i="47"/>
  <c r="Z180" i="47" s="1"/>
  <c r="AA20" i="47"/>
  <c r="AB134" i="47"/>
  <c r="AB189" i="47" s="1"/>
  <c r="AC29" i="47"/>
  <c r="Z127" i="47"/>
  <c r="Z182" i="47" s="1"/>
  <c r="AA22" i="47"/>
  <c r="AA118" i="47"/>
  <c r="AA173" i="47" s="1"/>
  <c r="AB13" i="47"/>
  <c r="Y188" i="47"/>
  <c r="AA35" i="47"/>
  <c r="AA114" i="47" s="1"/>
  <c r="AA169" i="47" s="1"/>
  <c r="Z58" i="47"/>
  <c r="Z128" i="47"/>
  <c r="Z183" i="47" s="1"/>
  <c r="AA23" i="47"/>
  <c r="Y174" i="47"/>
  <c r="Y178" i="47"/>
  <c r="X192" i="47"/>
  <c r="X194" i="47" s="1"/>
  <c r="X196" i="47" s="1"/>
  <c r="Y168" i="47"/>
  <c r="Y137" i="47"/>
  <c r="Z129" i="47"/>
  <c r="Z184" i="47" s="1"/>
  <c r="AA24" i="47"/>
  <c r="Z132" i="47"/>
  <c r="Z187" i="47" s="1"/>
  <c r="AA27" i="47"/>
  <c r="AB9" i="47"/>
  <c r="Z124" i="47"/>
  <c r="Z179" i="47" s="1"/>
  <c r="AA19" i="47"/>
  <c r="Z120" i="47"/>
  <c r="AA15" i="47"/>
  <c r="AY135" i="47"/>
  <c r="AY190" i="47" s="1"/>
  <c r="AZ56" i="47"/>
  <c r="AA12" i="47"/>
  <c r="Z117" i="47"/>
  <c r="Z172" i="47" s="1"/>
  <c r="AA122" i="47"/>
  <c r="AA177" i="47" s="1"/>
  <c r="AB17" i="47"/>
  <c r="AA116" i="47"/>
  <c r="AA171" i="47" s="1"/>
  <c r="AB11" i="47"/>
  <c r="AB135" i="47"/>
  <c r="AB190" i="47" s="1"/>
  <c r="AC30" i="47"/>
  <c r="AN61" i="47"/>
  <c r="Z164" i="47"/>
  <c r="AA140" i="47"/>
  <c r="AA130" i="47"/>
  <c r="AA185" i="47" s="1"/>
  <c r="AB25" i="47"/>
  <c r="Z114" i="47"/>
  <c r="Z169" i="47" s="1"/>
  <c r="Y179" i="47"/>
  <c r="AA110" i="47"/>
  <c r="AB87" i="47"/>
  <c r="Y172" i="47"/>
  <c r="Z115" i="47"/>
  <c r="Z170" i="47" s="1"/>
  <c r="AA10" i="47"/>
  <c r="Z113" i="47"/>
  <c r="Z32" i="47"/>
  <c r="AA7" i="47"/>
  <c r="HQ8" i="46" l="1"/>
  <c r="CF143" i="47"/>
  <c r="CG143" i="47" s="1"/>
  <c r="CH143" i="47" s="1"/>
  <c r="CI143" i="47" s="1"/>
  <c r="CJ143" i="47" s="1"/>
  <c r="CK143" i="47" s="1"/>
  <c r="CL143" i="47" s="1"/>
  <c r="CM143" i="47" s="1"/>
  <c r="CN143" i="47" s="1"/>
  <c r="CO143" i="47" s="1"/>
  <c r="CP143" i="47" s="1"/>
  <c r="CQ143" i="47" s="1"/>
  <c r="CS143" i="47" s="1"/>
  <c r="CT143" i="47" s="1"/>
  <c r="CU143" i="47" s="1"/>
  <c r="CV143" i="47" s="1"/>
  <c r="CW143" i="47" s="1"/>
  <c r="CX143" i="47" s="1"/>
  <c r="CY143" i="47" s="1"/>
  <c r="CZ143" i="47" s="1"/>
  <c r="DA143" i="47" s="1"/>
  <c r="DB143" i="47" s="1"/>
  <c r="DC143" i="47" s="1"/>
  <c r="DD143" i="47" s="1"/>
  <c r="DF143" i="47" s="1"/>
  <c r="DG143" i="47" s="1"/>
  <c r="DH143" i="47" s="1"/>
  <c r="DI143" i="47" s="1"/>
  <c r="DJ143" i="47" s="1"/>
  <c r="DK143" i="47" s="1"/>
  <c r="DL143" i="47" s="1"/>
  <c r="DM143" i="47" s="1"/>
  <c r="DN143" i="47" s="1"/>
  <c r="DO143" i="47" s="1"/>
  <c r="DP143" i="47" s="1"/>
  <c r="DQ143" i="47" s="1"/>
  <c r="S21" i="45"/>
  <c r="X21" i="45" s="1"/>
  <c r="Y192" i="47"/>
  <c r="Y194" i="47" s="1"/>
  <c r="Y196" i="47" s="1"/>
  <c r="AA115" i="47"/>
  <c r="AA170" i="47" s="1"/>
  <c r="AB10" i="47"/>
  <c r="AB110" i="47"/>
  <c r="AC87" i="47"/>
  <c r="AA120" i="47"/>
  <c r="AA175" i="47" s="1"/>
  <c r="AB15" i="47"/>
  <c r="AA127" i="47"/>
  <c r="AA182" i="47" s="1"/>
  <c r="AB22" i="47"/>
  <c r="AM66" i="47"/>
  <c r="AL84" i="47"/>
  <c r="AC31" i="47"/>
  <c r="AB136" i="47"/>
  <c r="AB191" i="47" s="1"/>
  <c r="AA32" i="47"/>
  <c r="AB7" i="47"/>
  <c r="AA113" i="47"/>
  <c r="AB130" i="47"/>
  <c r="AB185" i="47" s="1"/>
  <c r="AC25" i="47"/>
  <c r="AO61" i="47"/>
  <c r="AB116" i="47"/>
  <c r="AB171" i="47" s="1"/>
  <c r="AC11" i="47"/>
  <c r="AZ135" i="47"/>
  <c r="AZ190" i="47" s="1"/>
  <c r="BA56" i="47"/>
  <c r="Z175" i="47"/>
  <c r="AC9" i="47"/>
  <c r="AA129" i="47"/>
  <c r="AA184" i="47" s="1"/>
  <c r="AB24" i="47"/>
  <c r="AB118" i="47"/>
  <c r="AB173" i="47" s="1"/>
  <c r="AC13" i="47"/>
  <c r="AA125" i="47"/>
  <c r="AA180" i="47" s="1"/>
  <c r="AB20" i="47"/>
  <c r="AA119" i="47"/>
  <c r="AA174" i="47" s="1"/>
  <c r="AB14" i="47"/>
  <c r="AA133" i="47"/>
  <c r="AA188" i="47" s="1"/>
  <c r="AB28" i="47"/>
  <c r="AB131" i="47"/>
  <c r="AB186" i="47" s="1"/>
  <c r="AC26" i="47"/>
  <c r="AA58" i="47"/>
  <c r="AB35" i="47"/>
  <c r="AC134" i="47"/>
  <c r="AC189" i="47" s="1"/>
  <c r="AD29" i="47"/>
  <c r="AA123" i="47"/>
  <c r="AA178" i="47" s="1"/>
  <c r="AB18" i="47"/>
  <c r="AA121" i="47"/>
  <c r="AA176" i="47" s="1"/>
  <c r="AB16" i="47"/>
  <c r="Z168" i="47"/>
  <c r="Z137" i="47"/>
  <c r="AB140" i="47"/>
  <c r="AA164" i="47"/>
  <c r="AC135" i="47"/>
  <c r="AC190" i="47" s="1"/>
  <c r="AD30" i="47"/>
  <c r="AB122" i="47"/>
  <c r="AB177" i="47" s="1"/>
  <c r="AC17" i="47"/>
  <c r="AA117" i="47"/>
  <c r="AA172" i="47" s="1"/>
  <c r="AB12" i="47"/>
  <c r="AA124" i="47"/>
  <c r="AA179" i="47" s="1"/>
  <c r="AB19" i="47"/>
  <c r="AA132" i="47"/>
  <c r="AA187" i="47" s="1"/>
  <c r="AB27" i="47"/>
  <c r="AB23" i="47"/>
  <c r="AA128" i="47"/>
  <c r="AA183" i="47" s="1"/>
  <c r="AB126" i="47"/>
  <c r="AB181" i="47" s="1"/>
  <c r="AC21" i="47"/>
  <c r="M24" i="11"/>
  <c r="Z192" i="47" l="1"/>
  <c r="Z194" i="47" s="1"/>
  <c r="Z196" i="47" s="1"/>
  <c r="AB128" i="47"/>
  <c r="AB183" i="47" s="1"/>
  <c r="AC23" i="47"/>
  <c r="AC140" i="47"/>
  <c r="AB164" i="47"/>
  <c r="AD9" i="47"/>
  <c r="BA135" i="47"/>
  <c r="BA190" i="47" s="1"/>
  <c r="BB56" i="47"/>
  <c r="AP61" i="47"/>
  <c r="AA137" i="47"/>
  <c r="AA168" i="47"/>
  <c r="AA192" i="47" s="1"/>
  <c r="AA194" i="47" s="1"/>
  <c r="AA196" i="47" s="1"/>
  <c r="AC136" i="47"/>
  <c r="AC191" i="47" s="1"/>
  <c r="AD31" i="47"/>
  <c r="AD21" i="47"/>
  <c r="AC126" i="47"/>
  <c r="AC181" i="47" s="1"/>
  <c r="AB132" i="47"/>
  <c r="AB187" i="47" s="1"/>
  <c r="AC27" i="47"/>
  <c r="AB117" i="47"/>
  <c r="AB172" i="47" s="1"/>
  <c r="AC12" i="47"/>
  <c r="AR30" i="47"/>
  <c r="AD135" i="47"/>
  <c r="AD190" i="47" s="1"/>
  <c r="AC18" i="47"/>
  <c r="AB123" i="47"/>
  <c r="AB178" i="47" s="1"/>
  <c r="AB58" i="47"/>
  <c r="AC35" i="47"/>
  <c r="AB133" i="47"/>
  <c r="AB188" i="47" s="1"/>
  <c r="AC28" i="47"/>
  <c r="AB125" i="47"/>
  <c r="AB180" i="47" s="1"/>
  <c r="AC20" i="47"/>
  <c r="AB114" i="47"/>
  <c r="AB169" i="47" s="1"/>
  <c r="AB113" i="47"/>
  <c r="AC7" i="47"/>
  <c r="AB32" i="47"/>
  <c r="AB120" i="47"/>
  <c r="AB175" i="47" s="1"/>
  <c r="AC15" i="47"/>
  <c r="AB115" i="47"/>
  <c r="AB170" i="47" s="1"/>
  <c r="AC10" i="47"/>
  <c r="AB129" i="47"/>
  <c r="AB184" i="47" s="1"/>
  <c r="AC24" i="47"/>
  <c r="AC116" i="47"/>
  <c r="AC171" i="47" s="1"/>
  <c r="AD11" i="47"/>
  <c r="AC130" i="47"/>
  <c r="AC185" i="47" s="1"/>
  <c r="AD25" i="47"/>
  <c r="AN66" i="47"/>
  <c r="AM84" i="47"/>
  <c r="AB124" i="47"/>
  <c r="AB179" i="47" s="1"/>
  <c r="AC19" i="47"/>
  <c r="AD17" i="47"/>
  <c r="AC122" i="47"/>
  <c r="AC177" i="47" s="1"/>
  <c r="AB121" i="47"/>
  <c r="AB176" i="47" s="1"/>
  <c r="AC16" i="47"/>
  <c r="AF29" i="47"/>
  <c r="AD134" i="47"/>
  <c r="J39" i="45" s="1"/>
  <c r="AC131" i="47"/>
  <c r="AC186" i="47" s="1"/>
  <c r="AD26" i="47"/>
  <c r="AB119" i="47"/>
  <c r="AB174" i="47" s="1"/>
  <c r="AC14" i="47"/>
  <c r="AC118" i="47"/>
  <c r="AC173" i="47" s="1"/>
  <c r="AD13" i="47"/>
  <c r="AB127" i="47"/>
  <c r="AB182" i="47" s="1"/>
  <c r="AC22" i="47"/>
  <c r="AC110" i="47"/>
  <c r="AD87" i="47"/>
  <c r="F39" i="42"/>
  <c r="F38" i="42"/>
  <c r="F37" i="42"/>
  <c r="F36" i="42"/>
  <c r="F33" i="42"/>
  <c r="F32" i="42"/>
  <c r="F31" i="42"/>
  <c r="F30" i="42"/>
  <c r="F19" i="42"/>
  <c r="F17" i="42"/>
  <c r="F16" i="42"/>
  <c r="F15" i="42"/>
  <c r="F13" i="42"/>
  <c r="F12" i="42"/>
  <c r="F11" i="42"/>
  <c r="AC127" i="47" l="1"/>
  <c r="AC182" i="47" s="1"/>
  <c r="AD22" i="47"/>
  <c r="AC119" i="47"/>
  <c r="AC174" i="47" s="1"/>
  <c r="AD14" i="47"/>
  <c r="AC123" i="47"/>
  <c r="AC178" i="47" s="1"/>
  <c r="AD18" i="47"/>
  <c r="AD126" i="47"/>
  <c r="J31" i="45" s="1"/>
  <c r="AF21" i="47"/>
  <c r="AC164" i="47"/>
  <c r="AD140" i="47"/>
  <c r="K18" i="45" s="1"/>
  <c r="AD189" i="47"/>
  <c r="AD116" i="47"/>
  <c r="J21" i="45" s="1"/>
  <c r="AF11" i="47"/>
  <c r="AC115" i="47"/>
  <c r="AC170" i="47" s="1"/>
  <c r="AD10" i="47"/>
  <c r="AC125" i="47"/>
  <c r="AC180" i="47" s="1"/>
  <c r="AD20" i="47"/>
  <c r="AD35" i="47"/>
  <c r="AC58" i="47"/>
  <c r="AC132" i="47"/>
  <c r="AC187" i="47" s="1"/>
  <c r="AD27" i="47"/>
  <c r="AD136" i="47"/>
  <c r="AD191" i="47" s="1"/>
  <c r="DS191" i="47" s="1"/>
  <c r="AR31" i="47"/>
  <c r="AF9" i="47"/>
  <c r="AC128" i="47"/>
  <c r="AC183" i="47" s="1"/>
  <c r="AD23" i="47"/>
  <c r="AD110" i="47"/>
  <c r="AF87" i="47"/>
  <c r="AD118" i="47"/>
  <c r="J23" i="45" s="1"/>
  <c r="AF13" i="47"/>
  <c r="AD131" i="47"/>
  <c r="J36" i="45" s="1"/>
  <c r="AF26" i="47"/>
  <c r="AF134" i="47"/>
  <c r="AG29" i="47"/>
  <c r="AD122" i="47"/>
  <c r="J27" i="45" s="1"/>
  <c r="AF17" i="47"/>
  <c r="AO66" i="47"/>
  <c r="AN84" i="47"/>
  <c r="AC113" i="47"/>
  <c r="AD7" i="47"/>
  <c r="AC32" i="47"/>
  <c r="AR135" i="47"/>
  <c r="BE30" i="47"/>
  <c r="AQ61" i="47"/>
  <c r="AC114" i="47"/>
  <c r="AC169" i="47" s="1"/>
  <c r="AC121" i="47"/>
  <c r="AC176" i="47" s="1"/>
  <c r="AD16" i="47"/>
  <c r="AC124" i="47"/>
  <c r="AC179" i="47" s="1"/>
  <c r="AD19" i="47"/>
  <c r="AD130" i="47"/>
  <c r="J35" i="45" s="1"/>
  <c r="AF25" i="47"/>
  <c r="AC129" i="47"/>
  <c r="AC184" i="47" s="1"/>
  <c r="AD24" i="47"/>
  <c r="AC120" i="47"/>
  <c r="AC175" i="47" s="1"/>
  <c r="AD15" i="47"/>
  <c r="AB168" i="47"/>
  <c r="AB192" i="47" s="1"/>
  <c r="AB194" i="47" s="1"/>
  <c r="AB196" i="47" s="1"/>
  <c r="AB137" i="47"/>
  <c r="AC133" i="47"/>
  <c r="AC188" i="47" s="1"/>
  <c r="AD28" i="47"/>
  <c r="AC117" i="47"/>
  <c r="AC172" i="47" s="1"/>
  <c r="AD12" i="47"/>
  <c r="BB135" i="47"/>
  <c r="BB190" i="47" s="1"/>
  <c r="BC56" i="47"/>
  <c r="F42" i="42"/>
  <c r="G36" i="11" s="1"/>
  <c r="AF189" i="47" l="1"/>
  <c r="AF130" i="47"/>
  <c r="AG25" i="47"/>
  <c r="AD121" i="47"/>
  <c r="J26" i="45" s="1"/>
  <c r="AF16" i="47"/>
  <c r="AP66" i="47"/>
  <c r="AO84" i="47"/>
  <c r="AG134" i="47"/>
  <c r="AG189" i="47" s="1"/>
  <c r="AH29" i="47"/>
  <c r="AD186" i="47"/>
  <c r="AR136" i="47"/>
  <c r="AR191" i="47" s="1"/>
  <c r="BE31" i="47"/>
  <c r="AF116" i="47"/>
  <c r="AG11" i="47"/>
  <c r="AD164" i="47"/>
  <c r="AF140" i="47"/>
  <c r="AD181" i="47"/>
  <c r="AD117" i="47"/>
  <c r="J22" i="45" s="1"/>
  <c r="AF12" i="47"/>
  <c r="AD129" i="47"/>
  <c r="J34" i="45" s="1"/>
  <c r="AF24" i="47"/>
  <c r="AD185" i="47"/>
  <c r="AR32" i="47"/>
  <c r="AD113" i="47"/>
  <c r="J18" i="45" s="1"/>
  <c r="AD32" i="47"/>
  <c r="AF7" i="47"/>
  <c r="AF110" i="47"/>
  <c r="AG87" i="47"/>
  <c r="AD115" i="47"/>
  <c r="J20" i="45" s="1"/>
  <c r="AF10" i="47"/>
  <c r="AD171" i="47"/>
  <c r="AD123" i="47"/>
  <c r="J28" i="45" s="1"/>
  <c r="AF18" i="47"/>
  <c r="AD127" i="47"/>
  <c r="J32" i="45" s="1"/>
  <c r="AF22" i="47"/>
  <c r="AD124" i="47"/>
  <c r="J29" i="45" s="1"/>
  <c r="AF19" i="47"/>
  <c r="BE135" i="47"/>
  <c r="BR30" i="47"/>
  <c r="AC168" i="47"/>
  <c r="AC192" i="47" s="1"/>
  <c r="AC194" i="47" s="1"/>
  <c r="AC196" i="47" s="1"/>
  <c r="AC137" i="47"/>
  <c r="AF122" i="47"/>
  <c r="AG17" i="47"/>
  <c r="AF118" i="47"/>
  <c r="AG13" i="47"/>
  <c r="AG9" i="47"/>
  <c r="AD132" i="47"/>
  <c r="J37" i="45" s="1"/>
  <c r="AF27" i="47"/>
  <c r="AF35" i="47"/>
  <c r="AD58" i="47"/>
  <c r="BC135" i="47"/>
  <c r="BC190" i="47" s="1"/>
  <c r="BD56" i="47"/>
  <c r="AD133" i="47"/>
  <c r="J38" i="45" s="1"/>
  <c r="AF28" i="47"/>
  <c r="AD120" i="47"/>
  <c r="J25" i="45" s="1"/>
  <c r="AF15" i="47"/>
  <c r="AS61" i="47"/>
  <c r="AR190" i="47"/>
  <c r="AR137" i="47"/>
  <c r="AD177" i="47"/>
  <c r="AG26" i="47"/>
  <c r="AF131" i="47"/>
  <c r="AD173" i="47"/>
  <c r="AD128" i="47"/>
  <c r="J33" i="45" s="1"/>
  <c r="AF23" i="47"/>
  <c r="AD114" i="47"/>
  <c r="J19" i="45" s="1"/>
  <c r="AD125" i="47"/>
  <c r="J30" i="45" s="1"/>
  <c r="AF20" i="47"/>
  <c r="AF126" i="47"/>
  <c r="AG21" i="47"/>
  <c r="AD119" i="47"/>
  <c r="J24" i="45" s="1"/>
  <c r="AF14" i="47"/>
  <c r="M22" i="11"/>
  <c r="AF177" i="47" l="1"/>
  <c r="AF185" i="47"/>
  <c r="AF181" i="47"/>
  <c r="AF186" i="47"/>
  <c r="AF173" i="47"/>
  <c r="AF171" i="47"/>
  <c r="AF125" i="47"/>
  <c r="AG20" i="47"/>
  <c r="AF128" i="47"/>
  <c r="AG23" i="47"/>
  <c r="AD175" i="47"/>
  <c r="BD135" i="47"/>
  <c r="BD190" i="47" s="1"/>
  <c r="BF56" i="47"/>
  <c r="AD187" i="47"/>
  <c r="AF127" i="47"/>
  <c r="AG22" i="47"/>
  <c r="AD178" i="47"/>
  <c r="AF115" i="47"/>
  <c r="AG10" i="47"/>
  <c r="AF129" i="47"/>
  <c r="AG24" i="47"/>
  <c r="AD172" i="47"/>
  <c r="AF164" i="47"/>
  <c r="AG140" i="47"/>
  <c r="BE136" i="47"/>
  <c r="BE191" i="47" s="1"/>
  <c r="BR31" i="47"/>
  <c r="BR32" i="47" s="1"/>
  <c r="AQ66" i="47"/>
  <c r="AP84" i="47"/>
  <c r="AG130" i="47"/>
  <c r="AH25" i="47"/>
  <c r="AF119" i="47"/>
  <c r="AG14" i="47"/>
  <c r="AD180" i="47"/>
  <c r="AD183" i="47"/>
  <c r="AG131" i="47"/>
  <c r="AG186" i="47" s="1"/>
  <c r="AH26" i="47"/>
  <c r="AF58" i="47"/>
  <c r="AG35" i="47"/>
  <c r="AG114" i="47" s="1"/>
  <c r="AG169" i="47" s="1"/>
  <c r="AH9" i="47"/>
  <c r="AG122" i="47"/>
  <c r="AH17" i="47"/>
  <c r="BR135" i="47"/>
  <c r="CE30" i="47"/>
  <c r="CR30" i="47" s="1"/>
  <c r="AF124" i="47"/>
  <c r="AG19" i="47"/>
  <c r="AD182" i="47"/>
  <c r="AD170" i="47"/>
  <c r="AF113" i="47"/>
  <c r="AF32" i="47"/>
  <c r="AG7" i="47"/>
  <c r="AD184" i="47"/>
  <c r="AH134" i="47"/>
  <c r="AI29" i="47"/>
  <c r="AD174" i="47"/>
  <c r="AD169" i="47"/>
  <c r="AF133" i="47"/>
  <c r="AG28" i="47"/>
  <c r="AF114" i="47"/>
  <c r="BE32" i="47"/>
  <c r="AD179" i="47"/>
  <c r="AG110" i="47"/>
  <c r="AH87" i="47"/>
  <c r="AG116" i="47"/>
  <c r="AH11" i="47"/>
  <c r="AF121" i="47"/>
  <c r="AG16" i="47"/>
  <c r="AG126" i="47"/>
  <c r="AG181" i="47" s="1"/>
  <c r="AH21" i="47"/>
  <c r="AT61" i="47"/>
  <c r="AF120" i="47"/>
  <c r="AG15" i="47"/>
  <c r="AD188" i="47"/>
  <c r="AF132" i="47"/>
  <c r="AG27" i="47"/>
  <c r="AG118" i="47"/>
  <c r="AG173" i="47" s="1"/>
  <c r="AH13" i="47"/>
  <c r="BE190" i="47"/>
  <c r="AF123" i="47"/>
  <c r="AG18" i="47"/>
  <c r="AD168" i="47"/>
  <c r="AD137" i="47"/>
  <c r="AF117" i="47"/>
  <c r="AG12" i="47"/>
  <c r="AD176" i="47"/>
  <c r="DE30" i="47" l="1"/>
  <c r="AF178" i="47"/>
  <c r="AF182" i="47"/>
  <c r="AF188" i="47"/>
  <c r="AF179" i="47"/>
  <c r="AF170" i="47"/>
  <c r="AF175" i="47"/>
  <c r="AF187" i="47"/>
  <c r="AF176" i="47"/>
  <c r="AF180" i="47"/>
  <c r="AF183" i="47"/>
  <c r="AF172" i="47"/>
  <c r="AF184" i="47"/>
  <c r="AF174" i="47"/>
  <c r="AF169" i="47"/>
  <c r="AG123" i="47"/>
  <c r="AG178" i="47" s="1"/>
  <c r="AH18" i="47"/>
  <c r="AG132" i="47"/>
  <c r="AG187" i="47" s="1"/>
  <c r="AH27" i="47"/>
  <c r="AU61" i="47"/>
  <c r="AG121" i="47"/>
  <c r="AH16" i="47"/>
  <c r="AG171" i="47"/>
  <c r="AI87" i="47"/>
  <c r="AH110" i="47"/>
  <c r="AH122" i="47"/>
  <c r="AH177" i="47" s="1"/>
  <c r="AI17" i="47"/>
  <c r="AS66" i="47"/>
  <c r="AQ84" i="47"/>
  <c r="AG125" i="47"/>
  <c r="AH20" i="47"/>
  <c r="AG117" i="47"/>
  <c r="AH12" i="47"/>
  <c r="AG120" i="47"/>
  <c r="AH15" i="47"/>
  <c r="AF168" i="47"/>
  <c r="AF137" i="47"/>
  <c r="AG177" i="47"/>
  <c r="AH35" i="47"/>
  <c r="AG58" i="47"/>
  <c r="AH131" i="47"/>
  <c r="AI26" i="47"/>
  <c r="AH130" i="47"/>
  <c r="AH185" i="47" s="1"/>
  <c r="AI25" i="47"/>
  <c r="BR136" i="47"/>
  <c r="BR191" i="47" s="1"/>
  <c r="CE31" i="47"/>
  <c r="AG115" i="47"/>
  <c r="AH10" i="47"/>
  <c r="AG127" i="47"/>
  <c r="AH22" i="47"/>
  <c r="AD192" i="47"/>
  <c r="AD194" i="47" s="1"/>
  <c r="AD196" i="47" s="1"/>
  <c r="AI13" i="47"/>
  <c r="AH118" i="47"/>
  <c r="AH126" i="47"/>
  <c r="AI21" i="47"/>
  <c r="AI134" i="47"/>
  <c r="AJ29" i="47"/>
  <c r="AG124" i="47"/>
  <c r="AH19" i="47"/>
  <c r="BR190" i="47"/>
  <c r="AG185" i="47"/>
  <c r="BF135" i="47"/>
  <c r="BF190" i="47" s="1"/>
  <c r="BG56" i="47"/>
  <c r="AG128" i="47"/>
  <c r="AH23" i="47"/>
  <c r="BE137" i="47"/>
  <c r="AH116" i="47"/>
  <c r="AI11" i="47"/>
  <c r="AG133" i="47"/>
  <c r="AG188" i="47" s="1"/>
  <c r="AH28" i="47"/>
  <c r="AH189" i="47"/>
  <c r="AG113" i="47"/>
  <c r="AH7" i="47"/>
  <c r="AG32" i="47"/>
  <c r="AH114" i="47"/>
  <c r="AH169" i="47" s="1"/>
  <c r="AI9" i="47"/>
  <c r="AH14" i="47"/>
  <c r="AG119" i="47"/>
  <c r="AG164" i="47"/>
  <c r="AH140" i="47"/>
  <c r="AG129" i="47"/>
  <c r="AG184" i="47" s="1"/>
  <c r="AH24" i="47"/>
  <c r="M72" i="11"/>
  <c r="CE32" i="47" l="1"/>
  <c r="CR31" i="47"/>
  <c r="DR30" i="47"/>
  <c r="BR137" i="47"/>
  <c r="AI189" i="47"/>
  <c r="AF192" i="47"/>
  <c r="AF194" i="47" s="1"/>
  <c r="AF196" i="47" s="1"/>
  <c r="AH171" i="47"/>
  <c r="AI140" i="47"/>
  <c r="AH164" i="47"/>
  <c r="AH119" i="47"/>
  <c r="AH174" i="47" s="1"/>
  <c r="AI14" i="47"/>
  <c r="AH113" i="47"/>
  <c r="AH32" i="47"/>
  <c r="AI7" i="47"/>
  <c r="AH128" i="47"/>
  <c r="AH183" i="47" s="1"/>
  <c r="AI23" i="47"/>
  <c r="AG179" i="47"/>
  <c r="AH127" i="47"/>
  <c r="AH182" i="47" s="1"/>
  <c r="AI22" i="47"/>
  <c r="AI131" i="47"/>
  <c r="AI186" i="47" s="1"/>
  <c r="AJ26" i="47"/>
  <c r="AH120" i="47"/>
  <c r="AH175" i="47" s="1"/>
  <c r="AI15" i="47"/>
  <c r="AG172" i="47"/>
  <c r="AH123" i="47"/>
  <c r="AI18" i="47"/>
  <c r="AG168" i="47"/>
  <c r="AG137" i="47"/>
  <c r="AG183" i="47"/>
  <c r="AH173" i="47"/>
  <c r="AG182" i="47"/>
  <c r="AH186" i="47"/>
  <c r="AG175" i="47"/>
  <c r="AH125" i="47"/>
  <c r="AI20" i="47"/>
  <c r="AI122" i="47"/>
  <c r="AJ17" i="47"/>
  <c r="AH132" i="47"/>
  <c r="AI27" i="47"/>
  <c r="AI24" i="47"/>
  <c r="AH129" i="47"/>
  <c r="AJ9" i="47"/>
  <c r="AH133" i="47"/>
  <c r="AI28" i="47"/>
  <c r="AI116" i="47"/>
  <c r="AI171" i="47" s="1"/>
  <c r="AJ11" i="47"/>
  <c r="BG135" i="47"/>
  <c r="BG190" i="47" s="1"/>
  <c r="BH56" i="47"/>
  <c r="AI126" i="47"/>
  <c r="AI181" i="47" s="1"/>
  <c r="AJ21" i="47"/>
  <c r="AI118" i="47"/>
  <c r="AI173" i="47" s="1"/>
  <c r="AJ13" i="47"/>
  <c r="AH115" i="47"/>
  <c r="AI10" i="47"/>
  <c r="AI130" i="47"/>
  <c r="AJ25" i="47"/>
  <c r="AG180" i="47"/>
  <c r="AJ87" i="47"/>
  <c r="AI110" i="47"/>
  <c r="AH121" i="47"/>
  <c r="AH176" i="47" s="1"/>
  <c r="AI16" i="47"/>
  <c r="AV61" i="47"/>
  <c r="AG174" i="47"/>
  <c r="AH124" i="47"/>
  <c r="AH179" i="47" s="1"/>
  <c r="AI19" i="47"/>
  <c r="AJ134" i="47"/>
  <c r="AJ189" i="47" s="1"/>
  <c r="AK29" i="47"/>
  <c r="AH181" i="47"/>
  <c r="AG170" i="47"/>
  <c r="AI35" i="47"/>
  <c r="AH58" i="47"/>
  <c r="AH117" i="47"/>
  <c r="AH172" i="47" s="1"/>
  <c r="AI12" i="47"/>
  <c r="AT66" i="47"/>
  <c r="AS84" i="47"/>
  <c r="AG176" i="47"/>
  <c r="AD119" i="40"/>
  <c r="Q119" i="40"/>
  <c r="CD118" i="40"/>
  <c r="BQ118" i="40"/>
  <c r="BD118" i="40"/>
  <c r="AQ118" i="40"/>
  <c r="CD117" i="40"/>
  <c r="CD119" i="40" s="1"/>
  <c r="BQ117" i="40"/>
  <c r="BD117" i="40"/>
  <c r="BD119" i="40" s="1"/>
  <c r="AQ117" i="40"/>
  <c r="AQ119" i="40" s="1"/>
  <c r="C114" i="40"/>
  <c r="CD112" i="40"/>
  <c r="Q112" i="40"/>
  <c r="CD111" i="40"/>
  <c r="Q111" i="40"/>
  <c r="CD110" i="40"/>
  <c r="Q110" i="40"/>
  <c r="CD109" i="40"/>
  <c r="Q109" i="40"/>
  <c r="CD108" i="40"/>
  <c r="Q108" i="40"/>
  <c r="CD107" i="40"/>
  <c r="Q107" i="40"/>
  <c r="CD106" i="40"/>
  <c r="Q106" i="40"/>
  <c r="CD105" i="40"/>
  <c r="Q105" i="40"/>
  <c r="CD104" i="40"/>
  <c r="Q104" i="40"/>
  <c r="CD103" i="40"/>
  <c r="Q103" i="40"/>
  <c r="CD102" i="40"/>
  <c r="C102" i="40"/>
  <c r="CF98" i="40"/>
  <c r="AD98" i="40"/>
  <c r="Q98" i="40"/>
  <c r="E98" i="40"/>
  <c r="F97" i="40"/>
  <c r="G97" i="40" s="1"/>
  <c r="H97" i="40" s="1"/>
  <c r="I97" i="40" s="1"/>
  <c r="J97" i="40" s="1"/>
  <c r="K97" i="40" s="1"/>
  <c r="L97" i="40" s="1"/>
  <c r="M97" i="40" s="1"/>
  <c r="N97" i="40" s="1"/>
  <c r="O97" i="40" s="1"/>
  <c r="P97" i="40" s="1"/>
  <c r="R97" i="40" s="1"/>
  <c r="S97" i="40" s="1"/>
  <c r="T97" i="40" s="1"/>
  <c r="U97" i="40" s="1"/>
  <c r="V97" i="40" s="1"/>
  <c r="W97" i="40" s="1"/>
  <c r="X97" i="40" s="1"/>
  <c r="Y97" i="40" s="1"/>
  <c r="Z97" i="40" s="1"/>
  <c r="AA97" i="40" s="1"/>
  <c r="AB97" i="40" s="1"/>
  <c r="AC97" i="40" s="1"/>
  <c r="AQ97" i="40" s="1"/>
  <c r="F96" i="40"/>
  <c r="C96" i="40"/>
  <c r="C113" i="40" s="1"/>
  <c r="F95" i="40"/>
  <c r="F94" i="40"/>
  <c r="F93" i="40"/>
  <c r="F92" i="40"/>
  <c r="F91" i="40"/>
  <c r="G91" i="40" s="1"/>
  <c r="H91" i="40" s="1"/>
  <c r="I91" i="40" s="1"/>
  <c r="J91" i="40" s="1"/>
  <c r="K91" i="40" s="1"/>
  <c r="L91" i="40" s="1"/>
  <c r="M91" i="40" s="1"/>
  <c r="N91" i="40" s="1"/>
  <c r="O91" i="40" s="1"/>
  <c r="P91" i="40" s="1"/>
  <c r="R91" i="40" s="1"/>
  <c r="S91" i="40" s="1"/>
  <c r="T91" i="40" s="1"/>
  <c r="U91" i="40" s="1"/>
  <c r="V91" i="40" s="1"/>
  <c r="W91" i="40" s="1"/>
  <c r="X91" i="40" s="1"/>
  <c r="Y91" i="40" s="1"/>
  <c r="Z91" i="40" s="1"/>
  <c r="AA91" i="40" s="1"/>
  <c r="AB91" i="40" s="1"/>
  <c r="AC91" i="40" s="1"/>
  <c r="AE91" i="40" s="1"/>
  <c r="AF91" i="40" s="1"/>
  <c r="AG91" i="40" s="1"/>
  <c r="AH91" i="40" s="1"/>
  <c r="AI91" i="40" s="1"/>
  <c r="AJ91" i="40" s="1"/>
  <c r="AK91" i="40" s="1"/>
  <c r="AL91" i="40" s="1"/>
  <c r="AM91" i="40" s="1"/>
  <c r="AN91" i="40" s="1"/>
  <c r="AO91" i="40" s="1"/>
  <c r="AP91" i="40" s="1"/>
  <c r="AR91" i="40" s="1"/>
  <c r="AS91" i="40" s="1"/>
  <c r="AT91" i="40" s="1"/>
  <c r="AU91" i="40" s="1"/>
  <c r="AV91" i="40" s="1"/>
  <c r="AW91" i="40" s="1"/>
  <c r="AX91" i="40" s="1"/>
  <c r="AY91" i="40" s="1"/>
  <c r="AZ91" i="40" s="1"/>
  <c r="BA91" i="40" s="1"/>
  <c r="BB91" i="40" s="1"/>
  <c r="BC91" i="40" s="1"/>
  <c r="BE91" i="40" s="1"/>
  <c r="BF91" i="40" s="1"/>
  <c r="BG91" i="40" s="1"/>
  <c r="BH91" i="40" s="1"/>
  <c r="BI91" i="40" s="1"/>
  <c r="BJ91" i="40" s="1"/>
  <c r="BK91" i="40" s="1"/>
  <c r="BL91" i="40" s="1"/>
  <c r="BM91" i="40" s="1"/>
  <c r="BN91" i="40" s="1"/>
  <c r="BO91" i="40" s="1"/>
  <c r="BP91" i="40" s="1"/>
  <c r="BR91" i="40" s="1"/>
  <c r="BS91" i="40" s="1"/>
  <c r="BT91" i="40" s="1"/>
  <c r="BU91" i="40" s="1"/>
  <c r="BV91" i="40" s="1"/>
  <c r="BW91" i="40" s="1"/>
  <c r="BX91" i="40" s="1"/>
  <c r="BY91" i="40" s="1"/>
  <c r="BZ91" i="40" s="1"/>
  <c r="CA91" i="40" s="1"/>
  <c r="CB91" i="40" s="1"/>
  <c r="CC91" i="40" s="1"/>
  <c r="F90" i="40"/>
  <c r="F89" i="40"/>
  <c r="F88" i="40"/>
  <c r="G88" i="40" s="1"/>
  <c r="H88" i="40" s="1"/>
  <c r="I88" i="40" s="1"/>
  <c r="J88" i="40" s="1"/>
  <c r="K88" i="40" s="1"/>
  <c r="L88" i="40" s="1"/>
  <c r="M88" i="40" s="1"/>
  <c r="N88" i="40" s="1"/>
  <c r="O88" i="40" s="1"/>
  <c r="P88" i="40" s="1"/>
  <c r="R88" i="40" s="1"/>
  <c r="S88" i="40" s="1"/>
  <c r="T88" i="40" s="1"/>
  <c r="U88" i="40" s="1"/>
  <c r="V88" i="40" s="1"/>
  <c r="W88" i="40" s="1"/>
  <c r="X88" i="40" s="1"/>
  <c r="Y88" i="40" s="1"/>
  <c r="Z88" i="40" s="1"/>
  <c r="AA88" i="40" s="1"/>
  <c r="AB88" i="40" s="1"/>
  <c r="AC88" i="40" s="1"/>
  <c r="AE88" i="40" s="1"/>
  <c r="AF88" i="40" s="1"/>
  <c r="AG88" i="40" s="1"/>
  <c r="AH88" i="40" s="1"/>
  <c r="AI88" i="40" s="1"/>
  <c r="AJ88" i="40" s="1"/>
  <c r="AK88" i="40" s="1"/>
  <c r="AL88" i="40" s="1"/>
  <c r="AM88" i="40" s="1"/>
  <c r="AN88" i="40" s="1"/>
  <c r="AO88" i="40" s="1"/>
  <c r="AP88" i="40" s="1"/>
  <c r="AR88" i="40" s="1"/>
  <c r="AS88" i="40" s="1"/>
  <c r="AT88" i="40" s="1"/>
  <c r="AU88" i="40" s="1"/>
  <c r="AV88" i="40" s="1"/>
  <c r="AW88" i="40" s="1"/>
  <c r="AX88" i="40" s="1"/>
  <c r="AY88" i="40" s="1"/>
  <c r="AZ88" i="40" s="1"/>
  <c r="BA88" i="40" s="1"/>
  <c r="BB88" i="40" s="1"/>
  <c r="BC88" i="40" s="1"/>
  <c r="BE88" i="40" s="1"/>
  <c r="BF88" i="40" s="1"/>
  <c r="BG88" i="40" s="1"/>
  <c r="BH88" i="40" s="1"/>
  <c r="BI88" i="40" s="1"/>
  <c r="BJ88" i="40" s="1"/>
  <c r="BK88" i="40" s="1"/>
  <c r="BL88" i="40" s="1"/>
  <c r="BM88" i="40" s="1"/>
  <c r="BN88" i="40" s="1"/>
  <c r="BO88" i="40" s="1"/>
  <c r="BP88" i="40" s="1"/>
  <c r="BR88" i="40" s="1"/>
  <c r="BS88" i="40" s="1"/>
  <c r="BT88" i="40" s="1"/>
  <c r="BU88" i="40" s="1"/>
  <c r="BV88" i="40" s="1"/>
  <c r="BW88" i="40" s="1"/>
  <c r="BX88" i="40" s="1"/>
  <c r="BY88" i="40" s="1"/>
  <c r="BZ88" i="40" s="1"/>
  <c r="CA88" i="40" s="1"/>
  <c r="CB88" i="40" s="1"/>
  <c r="CC88" i="40" s="1"/>
  <c r="F87" i="40"/>
  <c r="G87" i="40" s="1"/>
  <c r="H87" i="40" s="1"/>
  <c r="I87" i="40" s="1"/>
  <c r="J87" i="40" s="1"/>
  <c r="K87" i="40" s="1"/>
  <c r="L87" i="40" s="1"/>
  <c r="M87" i="40" s="1"/>
  <c r="N87" i="40" s="1"/>
  <c r="O87" i="40" s="1"/>
  <c r="P87" i="40" s="1"/>
  <c r="R87" i="40" s="1"/>
  <c r="S87" i="40" s="1"/>
  <c r="T87" i="40" s="1"/>
  <c r="U87" i="40" s="1"/>
  <c r="V87" i="40" s="1"/>
  <c r="W87" i="40" s="1"/>
  <c r="X87" i="40" s="1"/>
  <c r="Y87" i="40" s="1"/>
  <c r="Z87" i="40" s="1"/>
  <c r="AA87" i="40" s="1"/>
  <c r="AB87" i="40" s="1"/>
  <c r="AC87" i="40" s="1"/>
  <c r="AE87" i="40" s="1"/>
  <c r="AF87" i="40" s="1"/>
  <c r="AG87" i="40" s="1"/>
  <c r="AH87" i="40" s="1"/>
  <c r="AI87" i="40" s="1"/>
  <c r="AJ87" i="40" s="1"/>
  <c r="AK87" i="40" s="1"/>
  <c r="AL87" i="40" s="1"/>
  <c r="AM87" i="40" s="1"/>
  <c r="AN87" i="40" s="1"/>
  <c r="AO87" i="40" s="1"/>
  <c r="AP87" i="40" s="1"/>
  <c r="AR87" i="40" s="1"/>
  <c r="AS87" i="40" s="1"/>
  <c r="AT87" i="40" s="1"/>
  <c r="AU87" i="40" s="1"/>
  <c r="AV87" i="40" s="1"/>
  <c r="AW87" i="40" s="1"/>
  <c r="AX87" i="40" s="1"/>
  <c r="AY87" i="40" s="1"/>
  <c r="AZ87" i="40" s="1"/>
  <c r="BA87" i="40" s="1"/>
  <c r="BB87" i="40" s="1"/>
  <c r="BC87" i="40" s="1"/>
  <c r="BE87" i="40" s="1"/>
  <c r="BF87" i="40" s="1"/>
  <c r="BG87" i="40" s="1"/>
  <c r="BH87" i="40" s="1"/>
  <c r="BI87" i="40" s="1"/>
  <c r="BJ87" i="40" s="1"/>
  <c r="BK87" i="40" s="1"/>
  <c r="BL87" i="40" s="1"/>
  <c r="BM87" i="40" s="1"/>
  <c r="BN87" i="40" s="1"/>
  <c r="BO87" i="40" s="1"/>
  <c r="BP87" i="40" s="1"/>
  <c r="BR87" i="40" s="1"/>
  <c r="BS87" i="40" s="1"/>
  <c r="BT87" i="40" s="1"/>
  <c r="BU87" i="40" s="1"/>
  <c r="BV87" i="40" s="1"/>
  <c r="BW87" i="40" s="1"/>
  <c r="BX87" i="40" s="1"/>
  <c r="BY87" i="40" s="1"/>
  <c r="BZ87" i="40" s="1"/>
  <c r="CA87" i="40" s="1"/>
  <c r="CB87" i="40" s="1"/>
  <c r="CC87" i="40" s="1"/>
  <c r="F86" i="40"/>
  <c r="F85" i="40"/>
  <c r="D85" i="40"/>
  <c r="D102" i="40" s="1"/>
  <c r="CF81" i="40"/>
  <c r="CF114" i="40" s="1"/>
  <c r="CC81" i="40"/>
  <c r="CC114" i="40" s="1"/>
  <c r="CB81" i="40"/>
  <c r="CB114" i="40" s="1"/>
  <c r="CA81" i="40"/>
  <c r="CA114" i="40" s="1"/>
  <c r="BZ81" i="40"/>
  <c r="BZ114" i="40" s="1"/>
  <c r="BY81" i="40"/>
  <c r="BY114" i="40" s="1"/>
  <c r="BX81" i="40"/>
  <c r="BX114" i="40" s="1"/>
  <c r="BW81" i="40"/>
  <c r="BW114" i="40" s="1"/>
  <c r="BV81" i="40"/>
  <c r="BV114" i="40" s="1"/>
  <c r="BU81" i="40"/>
  <c r="BU114" i="40" s="1"/>
  <c r="BT81" i="40"/>
  <c r="BT114" i="40" s="1"/>
  <c r="BS81" i="40"/>
  <c r="BS114" i="40" s="1"/>
  <c r="BR81" i="40"/>
  <c r="BR114" i="40" s="1"/>
  <c r="BP81" i="40"/>
  <c r="BP114" i="40" s="1"/>
  <c r="BO81" i="40"/>
  <c r="BO114" i="40" s="1"/>
  <c r="BN81" i="40"/>
  <c r="BN114" i="40" s="1"/>
  <c r="BM81" i="40"/>
  <c r="BM114" i="40" s="1"/>
  <c r="BL81" i="40"/>
  <c r="BL114" i="40" s="1"/>
  <c r="BK81" i="40"/>
  <c r="BK114" i="40" s="1"/>
  <c r="BJ81" i="40"/>
  <c r="BJ114" i="40" s="1"/>
  <c r="BI81" i="40"/>
  <c r="BI114" i="40" s="1"/>
  <c r="BH81" i="40"/>
  <c r="BH114" i="40" s="1"/>
  <c r="BG81" i="40"/>
  <c r="BG114" i="40" s="1"/>
  <c r="BF81" i="40"/>
  <c r="BF114" i="40" s="1"/>
  <c r="BE81" i="40"/>
  <c r="BE114" i="40" s="1"/>
  <c r="BC81" i="40"/>
  <c r="BC114" i="40" s="1"/>
  <c r="BB81" i="40"/>
  <c r="BB114" i="40" s="1"/>
  <c r="BA81" i="40"/>
  <c r="BA114" i="40" s="1"/>
  <c r="AZ81" i="40"/>
  <c r="AZ114" i="40" s="1"/>
  <c r="AY81" i="40"/>
  <c r="AY114" i="40" s="1"/>
  <c r="AX81" i="40"/>
  <c r="AX114" i="40" s="1"/>
  <c r="AW81" i="40"/>
  <c r="AW114" i="40" s="1"/>
  <c r="AV81" i="40"/>
  <c r="AV114" i="40" s="1"/>
  <c r="AU81" i="40"/>
  <c r="AU114" i="40" s="1"/>
  <c r="AT81" i="40"/>
  <c r="AT114" i="40" s="1"/>
  <c r="AS81" i="40"/>
  <c r="AS114" i="40" s="1"/>
  <c r="AR81" i="40"/>
  <c r="AR114" i="40" s="1"/>
  <c r="AP81" i="40"/>
  <c r="AP114" i="40" s="1"/>
  <c r="AO81" i="40"/>
  <c r="AO114" i="40" s="1"/>
  <c r="AN81" i="40"/>
  <c r="AN114" i="40" s="1"/>
  <c r="AM81" i="40"/>
  <c r="AM114" i="40" s="1"/>
  <c r="AL81" i="40"/>
  <c r="AL114" i="40" s="1"/>
  <c r="AK81" i="40"/>
  <c r="AK114" i="40" s="1"/>
  <c r="AJ81" i="40"/>
  <c r="AJ114" i="40" s="1"/>
  <c r="AI81" i="40"/>
  <c r="AI114" i="40" s="1"/>
  <c r="AH81" i="40"/>
  <c r="AH114" i="40" s="1"/>
  <c r="AG81" i="40"/>
  <c r="AG114" i="40" s="1"/>
  <c r="AF81" i="40"/>
  <c r="AF114" i="40" s="1"/>
  <c r="AE81" i="40"/>
  <c r="AE114" i="40" s="1"/>
  <c r="AD81" i="40"/>
  <c r="AD114" i="40" s="1"/>
  <c r="Q81" i="40"/>
  <c r="Q114" i="40" s="1"/>
  <c r="E81" i="40"/>
  <c r="E114" i="40" s="1"/>
  <c r="C81" i="40"/>
  <c r="C97" i="40" s="1"/>
  <c r="CF80" i="40"/>
  <c r="CF113" i="40" s="1"/>
  <c r="AD80" i="40"/>
  <c r="AD113" i="40" s="1"/>
  <c r="Q80" i="40"/>
  <c r="Q113" i="40" s="1"/>
  <c r="E80" i="40"/>
  <c r="E113" i="40" s="1"/>
  <c r="CF79" i="40"/>
  <c r="CF112" i="40" s="1"/>
  <c r="BQ79" i="40"/>
  <c r="BQ112" i="40" s="1"/>
  <c r="BD79" i="40"/>
  <c r="BD112" i="40" s="1"/>
  <c r="AQ79" i="40"/>
  <c r="AQ112" i="40" s="1"/>
  <c r="AD79" i="40"/>
  <c r="AD112" i="40" s="1"/>
  <c r="E79" i="40"/>
  <c r="E112" i="40" s="1"/>
  <c r="CF78" i="40"/>
  <c r="CF111" i="40" s="1"/>
  <c r="BQ78" i="40"/>
  <c r="BQ111" i="40" s="1"/>
  <c r="BD78" i="40"/>
  <c r="BD111" i="40" s="1"/>
  <c r="AQ78" i="40"/>
  <c r="AQ111" i="40" s="1"/>
  <c r="AD78" i="40"/>
  <c r="AD111" i="40" s="1"/>
  <c r="E78" i="40"/>
  <c r="E111" i="40" s="1"/>
  <c r="CF77" i="40"/>
  <c r="CF110" i="40" s="1"/>
  <c r="BQ77" i="40"/>
  <c r="BQ110" i="40" s="1"/>
  <c r="BD77" i="40"/>
  <c r="BD110" i="40" s="1"/>
  <c r="AQ77" i="40"/>
  <c r="AQ110" i="40" s="1"/>
  <c r="AD77" i="40"/>
  <c r="AD110" i="40" s="1"/>
  <c r="E77" i="40"/>
  <c r="E110" i="40" s="1"/>
  <c r="CF76" i="40"/>
  <c r="CF109" i="40" s="1"/>
  <c r="BQ76" i="40"/>
  <c r="BQ109" i="40" s="1"/>
  <c r="BD76" i="40"/>
  <c r="BD109" i="40" s="1"/>
  <c r="AQ76" i="40"/>
  <c r="AQ109" i="40" s="1"/>
  <c r="AD76" i="40"/>
  <c r="AD109" i="40" s="1"/>
  <c r="E76" i="40"/>
  <c r="E109" i="40" s="1"/>
  <c r="CF75" i="40"/>
  <c r="CF108" i="40" s="1"/>
  <c r="BQ75" i="40"/>
  <c r="BQ108" i="40" s="1"/>
  <c r="BD75" i="40"/>
  <c r="BD108" i="40" s="1"/>
  <c r="AQ75" i="40"/>
  <c r="AQ108" i="40" s="1"/>
  <c r="AD75" i="40"/>
  <c r="AD108" i="40" s="1"/>
  <c r="E75" i="40"/>
  <c r="E108" i="40" s="1"/>
  <c r="CF74" i="40"/>
  <c r="CF107" i="40" s="1"/>
  <c r="BQ74" i="40"/>
  <c r="BQ107" i="40" s="1"/>
  <c r="BD74" i="40"/>
  <c r="BD107" i="40" s="1"/>
  <c r="AQ74" i="40"/>
  <c r="AQ107" i="40" s="1"/>
  <c r="AD74" i="40"/>
  <c r="AD107" i="40" s="1"/>
  <c r="E74" i="40"/>
  <c r="CF73" i="40"/>
  <c r="CF106" i="40" s="1"/>
  <c r="BQ73" i="40"/>
  <c r="BQ106" i="40" s="1"/>
  <c r="BD73" i="40"/>
  <c r="BD106" i="40" s="1"/>
  <c r="AQ73" i="40"/>
  <c r="AQ106" i="40" s="1"/>
  <c r="AD73" i="40"/>
  <c r="AD106" i="40" s="1"/>
  <c r="E73" i="40"/>
  <c r="E106" i="40" s="1"/>
  <c r="CF72" i="40"/>
  <c r="CF105" i="40" s="1"/>
  <c r="BQ72" i="40"/>
  <c r="BQ105" i="40" s="1"/>
  <c r="BD72" i="40"/>
  <c r="BD105" i="40" s="1"/>
  <c r="AQ72" i="40"/>
  <c r="AQ105" i="40" s="1"/>
  <c r="AD72" i="40"/>
  <c r="AD105" i="40" s="1"/>
  <c r="E72" i="40"/>
  <c r="E105" i="40" s="1"/>
  <c r="CF71" i="40"/>
  <c r="CF104" i="40" s="1"/>
  <c r="BQ71" i="40"/>
  <c r="BQ104" i="40" s="1"/>
  <c r="BD71" i="40"/>
  <c r="BD104" i="40" s="1"/>
  <c r="AQ71" i="40"/>
  <c r="AQ104" i="40" s="1"/>
  <c r="AD71" i="40"/>
  <c r="AD104" i="40" s="1"/>
  <c r="E71" i="40"/>
  <c r="E104" i="40" s="1"/>
  <c r="CF70" i="40"/>
  <c r="BQ70" i="40"/>
  <c r="BQ103" i="40" s="1"/>
  <c r="BD70" i="40"/>
  <c r="BD103" i="40" s="1"/>
  <c r="AQ70" i="40"/>
  <c r="AQ103" i="40" s="1"/>
  <c r="AD70" i="40"/>
  <c r="AD103" i="40" s="1"/>
  <c r="E70" i="40"/>
  <c r="E103" i="40" s="1"/>
  <c r="BQ69" i="40"/>
  <c r="BD69" i="40"/>
  <c r="AQ69" i="40"/>
  <c r="AD69" i="40"/>
  <c r="Q69" i="40"/>
  <c r="E69" i="40"/>
  <c r="C69" i="40"/>
  <c r="C85" i="40" s="1"/>
  <c r="CF66" i="40"/>
  <c r="AD66" i="40"/>
  <c r="Q66" i="40"/>
  <c r="E66" i="40"/>
  <c r="F65" i="40"/>
  <c r="G65" i="40" s="1"/>
  <c r="H65" i="40" s="1"/>
  <c r="I65" i="40" s="1"/>
  <c r="J65" i="40" s="1"/>
  <c r="K65" i="40" s="1"/>
  <c r="L65" i="40" s="1"/>
  <c r="M65" i="40" s="1"/>
  <c r="N65" i="40" s="1"/>
  <c r="O65" i="40" s="1"/>
  <c r="P65" i="40" s="1"/>
  <c r="R65" i="40" s="1"/>
  <c r="S65" i="40" s="1"/>
  <c r="T65" i="40" s="1"/>
  <c r="U65" i="40" s="1"/>
  <c r="V65" i="40" s="1"/>
  <c r="W65" i="40" s="1"/>
  <c r="X65" i="40" s="1"/>
  <c r="Y65" i="40" s="1"/>
  <c r="Z65" i="40" s="1"/>
  <c r="AA65" i="40" s="1"/>
  <c r="AB65" i="40" s="1"/>
  <c r="AC65" i="40" s="1"/>
  <c r="AQ65" i="40" s="1"/>
  <c r="CD64" i="40"/>
  <c r="F64" i="40"/>
  <c r="F63" i="40"/>
  <c r="F62" i="40"/>
  <c r="F61" i="40"/>
  <c r="F60" i="40"/>
  <c r="F59" i="40"/>
  <c r="F58" i="40"/>
  <c r="F57" i="40"/>
  <c r="F56" i="40"/>
  <c r="F55" i="40"/>
  <c r="F54" i="40"/>
  <c r="CF51" i="40"/>
  <c r="AD51" i="40"/>
  <c r="Q51" i="40"/>
  <c r="E51" i="40"/>
  <c r="F50" i="40"/>
  <c r="G50" i="40" s="1"/>
  <c r="H50" i="40" s="1"/>
  <c r="I50" i="40" s="1"/>
  <c r="J50" i="40" s="1"/>
  <c r="K50" i="40" s="1"/>
  <c r="L50" i="40" s="1"/>
  <c r="M50" i="40" s="1"/>
  <c r="N50" i="40" s="1"/>
  <c r="O50" i="40" s="1"/>
  <c r="P50" i="40" s="1"/>
  <c r="R50" i="40" s="1"/>
  <c r="S50" i="40" s="1"/>
  <c r="T50" i="40" s="1"/>
  <c r="U50" i="40" s="1"/>
  <c r="V50" i="40" s="1"/>
  <c r="W50" i="40" s="1"/>
  <c r="X50" i="40" s="1"/>
  <c r="Y50" i="40" s="1"/>
  <c r="Z50" i="40" s="1"/>
  <c r="AA50" i="40" s="1"/>
  <c r="AB50" i="40" s="1"/>
  <c r="AC50" i="40" s="1"/>
  <c r="AQ50" i="40" s="1"/>
  <c r="F49" i="40"/>
  <c r="G49" i="40" s="1"/>
  <c r="F48" i="40"/>
  <c r="G48" i="40" s="1"/>
  <c r="F47" i="40"/>
  <c r="G47" i="40" s="1"/>
  <c r="F46" i="40"/>
  <c r="G46" i="40" s="1"/>
  <c r="F45" i="40"/>
  <c r="G45" i="40" s="1"/>
  <c r="F44" i="40"/>
  <c r="G44" i="40" s="1"/>
  <c r="F43" i="40"/>
  <c r="G43" i="40" s="1"/>
  <c r="F42" i="40"/>
  <c r="G42" i="40" s="1"/>
  <c r="F41" i="40"/>
  <c r="G41" i="40" s="1"/>
  <c r="F40" i="40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E40" i="40" s="1"/>
  <c r="AF40" i="40" s="1"/>
  <c r="AG40" i="40" s="1"/>
  <c r="AH40" i="40" s="1"/>
  <c r="AI40" i="40" s="1"/>
  <c r="AJ40" i="40" s="1"/>
  <c r="AK40" i="40" s="1"/>
  <c r="AL40" i="40" s="1"/>
  <c r="AM40" i="40" s="1"/>
  <c r="AN40" i="40" s="1"/>
  <c r="AO40" i="40" s="1"/>
  <c r="AP40" i="40" s="1"/>
  <c r="AR40" i="40" s="1"/>
  <c r="AS40" i="40" s="1"/>
  <c r="AT40" i="40" s="1"/>
  <c r="AU40" i="40" s="1"/>
  <c r="AV40" i="40" s="1"/>
  <c r="AW40" i="40" s="1"/>
  <c r="AX40" i="40" s="1"/>
  <c r="AY40" i="40" s="1"/>
  <c r="AZ40" i="40" s="1"/>
  <c r="BA40" i="40" s="1"/>
  <c r="BB40" i="40" s="1"/>
  <c r="BC40" i="40" s="1"/>
  <c r="BE40" i="40" s="1"/>
  <c r="BF40" i="40" s="1"/>
  <c r="BG40" i="40" s="1"/>
  <c r="BH40" i="40" s="1"/>
  <c r="BI40" i="40" s="1"/>
  <c r="BJ40" i="40" s="1"/>
  <c r="BK40" i="40" s="1"/>
  <c r="BL40" i="40" s="1"/>
  <c r="BM40" i="40" s="1"/>
  <c r="BN40" i="40" s="1"/>
  <c r="BO40" i="40" s="1"/>
  <c r="BP40" i="40" s="1"/>
  <c r="BR40" i="40" s="1"/>
  <c r="BS40" i="40" s="1"/>
  <c r="BT40" i="40" s="1"/>
  <c r="BU40" i="40" s="1"/>
  <c r="BV40" i="40" s="1"/>
  <c r="BW40" i="40" s="1"/>
  <c r="BX40" i="40" s="1"/>
  <c r="BY40" i="40" s="1"/>
  <c r="BZ40" i="40" s="1"/>
  <c r="CA40" i="40" s="1"/>
  <c r="CB40" i="40" s="1"/>
  <c r="CC40" i="40" s="1"/>
  <c r="F39" i="40"/>
  <c r="CF36" i="40"/>
  <c r="AD36" i="40"/>
  <c r="Q36" i="40"/>
  <c r="E36" i="40"/>
  <c r="C36" i="40"/>
  <c r="F35" i="40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Q35" i="40" s="1"/>
  <c r="F34" i="40"/>
  <c r="F33" i="40"/>
  <c r="D33" i="40"/>
  <c r="D48" i="40" s="1"/>
  <c r="D63" i="40" s="1"/>
  <c r="D79" i="40" s="1"/>
  <c r="D95" i="40" s="1"/>
  <c r="D112" i="40" s="1"/>
  <c r="C33" i="40"/>
  <c r="C48" i="40" s="1"/>
  <c r="C63" i="40" s="1"/>
  <c r="C79" i="40" s="1"/>
  <c r="C95" i="40" s="1"/>
  <c r="C112" i="40" s="1"/>
  <c r="F32" i="40"/>
  <c r="D32" i="40"/>
  <c r="D47" i="40" s="1"/>
  <c r="D62" i="40" s="1"/>
  <c r="D78" i="40" s="1"/>
  <c r="D94" i="40" s="1"/>
  <c r="D111" i="40" s="1"/>
  <c r="C32" i="40"/>
  <c r="C47" i="40" s="1"/>
  <c r="C62" i="40" s="1"/>
  <c r="C78" i="40" s="1"/>
  <c r="C94" i="40" s="1"/>
  <c r="C111" i="40" s="1"/>
  <c r="F31" i="40"/>
  <c r="D31" i="40"/>
  <c r="D46" i="40" s="1"/>
  <c r="D61" i="40" s="1"/>
  <c r="D77" i="40" s="1"/>
  <c r="D93" i="40" s="1"/>
  <c r="D110" i="40" s="1"/>
  <c r="C31" i="40"/>
  <c r="C46" i="40" s="1"/>
  <c r="C61" i="40" s="1"/>
  <c r="C77" i="40" s="1"/>
  <c r="C93" i="40" s="1"/>
  <c r="C110" i="40" s="1"/>
  <c r="F30" i="40"/>
  <c r="D30" i="40"/>
  <c r="D45" i="40" s="1"/>
  <c r="D60" i="40" s="1"/>
  <c r="D76" i="40" s="1"/>
  <c r="D92" i="40" s="1"/>
  <c r="D109" i="40" s="1"/>
  <c r="C30" i="40"/>
  <c r="C45" i="40" s="1"/>
  <c r="C60" i="40" s="1"/>
  <c r="C76" i="40" s="1"/>
  <c r="C92" i="40" s="1"/>
  <c r="C109" i="40" s="1"/>
  <c r="F29" i="40"/>
  <c r="D29" i="40"/>
  <c r="D44" i="40" s="1"/>
  <c r="D59" i="40" s="1"/>
  <c r="D75" i="40" s="1"/>
  <c r="D91" i="40" s="1"/>
  <c r="D108" i="40" s="1"/>
  <c r="C29" i="40"/>
  <c r="C44" i="40" s="1"/>
  <c r="C59" i="40" s="1"/>
  <c r="C75" i="40" s="1"/>
  <c r="C91" i="40" s="1"/>
  <c r="C108" i="40" s="1"/>
  <c r="F28" i="40"/>
  <c r="D28" i="40"/>
  <c r="D43" i="40" s="1"/>
  <c r="D58" i="40" s="1"/>
  <c r="D74" i="40" s="1"/>
  <c r="D90" i="40" s="1"/>
  <c r="D107" i="40" s="1"/>
  <c r="C28" i="40"/>
  <c r="C43" i="40" s="1"/>
  <c r="C58" i="40" s="1"/>
  <c r="C74" i="40" s="1"/>
  <c r="C90" i="40" s="1"/>
  <c r="C107" i="40" s="1"/>
  <c r="F27" i="40"/>
  <c r="D27" i="40"/>
  <c r="D42" i="40" s="1"/>
  <c r="D57" i="40" s="1"/>
  <c r="D73" i="40" s="1"/>
  <c r="D89" i="40" s="1"/>
  <c r="D106" i="40" s="1"/>
  <c r="C27" i="40"/>
  <c r="C42" i="40" s="1"/>
  <c r="C57" i="40" s="1"/>
  <c r="C73" i="40" s="1"/>
  <c r="C89" i="40" s="1"/>
  <c r="C106" i="40" s="1"/>
  <c r="F26" i="40"/>
  <c r="D26" i="40"/>
  <c r="D41" i="40" s="1"/>
  <c r="D56" i="40" s="1"/>
  <c r="D72" i="40" s="1"/>
  <c r="D88" i="40" s="1"/>
  <c r="D105" i="40" s="1"/>
  <c r="C26" i="40"/>
  <c r="C41" i="40" s="1"/>
  <c r="C56" i="40" s="1"/>
  <c r="C72" i="40" s="1"/>
  <c r="C88" i="40" s="1"/>
  <c r="C105" i="40" s="1"/>
  <c r="F25" i="40"/>
  <c r="D25" i="40"/>
  <c r="D40" i="40" s="1"/>
  <c r="D55" i="40" s="1"/>
  <c r="D71" i="40" s="1"/>
  <c r="D87" i="40" s="1"/>
  <c r="D104" i="40" s="1"/>
  <c r="C25" i="40"/>
  <c r="C40" i="40" s="1"/>
  <c r="C55" i="40" s="1"/>
  <c r="C71" i="40" s="1"/>
  <c r="C87" i="40" s="1"/>
  <c r="C104" i="40" s="1"/>
  <c r="F24" i="40"/>
  <c r="D24" i="40"/>
  <c r="D39" i="40" s="1"/>
  <c r="D54" i="40" s="1"/>
  <c r="D70" i="40" s="1"/>
  <c r="D86" i="40" s="1"/>
  <c r="D103" i="40" s="1"/>
  <c r="C24" i="40"/>
  <c r="C39" i="40" s="1"/>
  <c r="C54" i="40" s="1"/>
  <c r="C70" i="40" s="1"/>
  <c r="C86" i="40" s="1"/>
  <c r="C103" i="40" s="1"/>
  <c r="CF21" i="40"/>
  <c r="AD21" i="40"/>
  <c r="Q21" i="40"/>
  <c r="E21" i="40"/>
  <c r="F20" i="40"/>
  <c r="F19" i="40"/>
  <c r="F80" i="40" s="1"/>
  <c r="F113" i="40" s="1"/>
  <c r="F18" i="40"/>
  <c r="F17" i="40"/>
  <c r="F16" i="40"/>
  <c r="F15" i="40"/>
  <c r="F14" i="40"/>
  <c r="F13" i="40"/>
  <c r="F12" i="40"/>
  <c r="F11" i="40"/>
  <c r="F10" i="40"/>
  <c r="F9" i="40"/>
  <c r="F7" i="40"/>
  <c r="F69" i="40" s="1"/>
  <c r="F5" i="40"/>
  <c r="G5" i="40" s="1"/>
  <c r="H5" i="40" s="1"/>
  <c r="I5" i="40" s="1"/>
  <c r="J5" i="40" s="1"/>
  <c r="K5" i="40" s="1"/>
  <c r="L5" i="40" s="1"/>
  <c r="M5" i="40" s="1"/>
  <c r="N5" i="40" s="1"/>
  <c r="O5" i="40" s="1"/>
  <c r="P5" i="40" s="1"/>
  <c r="Q5" i="40" s="1"/>
  <c r="R5" i="40" s="1"/>
  <c r="S5" i="40" s="1"/>
  <c r="T5" i="40" s="1"/>
  <c r="U5" i="40" s="1"/>
  <c r="V5" i="40" s="1"/>
  <c r="W5" i="40" s="1"/>
  <c r="X5" i="40" s="1"/>
  <c r="Y5" i="40" s="1"/>
  <c r="Z5" i="40" s="1"/>
  <c r="AA5" i="40" s="1"/>
  <c r="AB5" i="40" s="1"/>
  <c r="AC5" i="40" s="1"/>
  <c r="AD5" i="40" s="1"/>
  <c r="AE5" i="40" s="1"/>
  <c r="AF5" i="40" s="1"/>
  <c r="AG5" i="40" s="1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BZ5" i="40" s="1"/>
  <c r="CA5" i="40" s="1"/>
  <c r="CB5" i="40" s="1"/>
  <c r="CC5" i="40" s="1"/>
  <c r="CD5" i="40" s="1"/>
  <c r="G13" i="11"/>
  <c r="DE31" i="47" l="1"/>
  <c r="CR32" i="47"/>
  <c r="BQ119" i="40"/>
  <c r="AH170" i="47"/>
  <c r="AH180" i="47"/>
  <c r="AI132" i="47"/>
  <c r="AI187" i="47" s="1"/>
  <c r="AJ27" i="47"/>
  <c r="AG192" i="47"/>
  <c r="AG194" i="47" s="1"/>
  <c r="AG196" i="47" s="1"/>
  <c r="AI119" i="47"/>
  <c r="AI174" i="47" s="1"/>
  <c r="AJ14" i="47"/>
  <c r="AI164" i="47"/>
  <c r="AJ140" i="47"/>
  <c r="AK134" i="47"/>
  <c r="AK189" i="47" s="1"/>
  <c r="AL29" i="47"/>
  <c r="AW61" i="47"/>
  <c r="AJ130" i="47"/>
  <c r="AJ185" i="47" s="1"/>
  <c r="AK25" i="47"/>
  <c r="AJ126" i="47"/>
  <c r="AJ181" i="47" s="1"/>
  <c r="AK21" i="47"/>
  <c r="BI56" i="47"/>
  <c r="BH135" i="47"/>
  <c r="BH190" i="47" s="1"/>
  <c r="AI133" i="47"/>
  <c r="AI188" i="47" s="1"/>
  <c r="AJ28" i="47"/>
  <c r="AH187" i="47"/>
  <c r="AI125" i="47"/>
  <c r="AI180" i="47" s="1"/>
  <c r="AJ20" i="47"/>
  <c r="AI123" i="47"/>
  <c r="AI178" i="47" s="1"/>
  <c r="AJ18" i="47"/>
  <c r="AJ131" i="47"/>
  <c r="AK26" i="47"/>
  <c r="AI113" i="47"/>
  <c r="AI32" i="47"/>
  <c r="AJ7" i="47"/>
  <c r="AU66" i="47"/>
  <c r="AT84" i="47"/>
  <c r="AJ110" i="47"/>
  <c r="AK87" i="47"/>
  <c r="AI185" i="47"/>
  <c r="AJ118" i="47"/>
  <c r="AK13" i="47"/>
  <c r="AH188" i="47"/>
  <c r="AK9" i="47"/>
  <c r="AH184" i="47"/>
  <c r="AJ122" i="47"/>
  <c r="AJ177" i="47" s="1"/>
  <c r="AK17" i="47"/>
  <c r="AH178" i="47"/>
  <c r="AI120" i="47"/>
  <c r="AJ15" i="47"/>
  <c r="AI117" i="47"/>
  <c r="AJ12" i="47"/>
  <c r="AI58" i="47"/>
  <c r="AJ35" i="47"/>
  <c r="AJ114" i="47" s="1"/>
  <c r="AJ169" i="47" s="1"/>
  <c r="AI124" i="47"/>
  <c r="AI179" i="47" s="1"/>
  <c r="AJ19" i="47"/>
  <c r="AJ16" i="47"/>
  <c r="AI121" i="47"/>
  <c r="AI176" i="47" s="1"/>
  <c r="AI115" i="47"/>
  <c r="AJ10" i="47"/>
  <c r="AJ116" i="47"/>
  <c r="AK11" i="47"/>
  <c r="AI114" i="47"/>
  <c r="AI129" i="47"/>
  <c r="AI184" i="47" s="1"/>
  <c r="AJ24" i="47"/>
  <c r="AI177" i="47"/>
  <c r="AI127" i="47"/>
  <c r="AJ22" i="47"/>
  <c r="AI128" i="47"/>
  <c r="AJ23" i="47"/>
  <c r="AH168" i="47"/>
  <c r="AH137" i="47"/>
  <c r="F36" i="40"/>
  <c r="F73" i="40"/>
  <c r="F106" i="40" s="1"/>
  <c r="F77" i="40"/>
  <c r="F110" i="40" s="1"/>
  <c r="F81" i="40"/>
  <c r="F114" i="40" s="1"/>
  <c r="F98" i="40"/>
  <c r="F78" i="40"/>
  <c r="F111" i="40" s="1"/>
  <c r="F71" i="40"/>
  <c r="F75" i="40"/>
  <c r="F108" i="40" s="1"/>
  <c r="F79" i="40"/>
  <c r="F112" i="40" s="1"/>
  <c r="F70" i="40"/>
  <c r="F103" i="40" s="1"/>
  <c r="F72" i="40"/>
  <c r="F105" i="40" s="1"/>
  <c r="F74" i="40"/>
  <c r="F107" i="40" s="1"/>
  <c r="F76" i="40"/>
  <c r="F109" i="40" s="1"/>
  <c r="G20" i="40"/>
  <c r="H20" i="40" s="1"/>
  <c r="H81" i="40" s="1"/>
  <c r="H114" i="40" s="1"/>
  <c r="F51" i="40"/>
  <c r="F66" i="40"/>
  <c r="AQ36" i="40"/>
  <c r="BD35" i="40"/>
  <c r="H41" i="40"/>
  <c r="I41" i="40" s="1"/>
  <c r="J41" i="40" s="1"/>
  <c r="K41" i="40" s="1"/>
  <c r="L41" i="40" s="1"/>
  <c r="M41" i="40" s="1"/>
  <c r="N41" i="40" s="1"/>
  <c r="O41" i="40" s="1"/>
  <c r="P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G7" i="40"/>
  <c r="G9" i="40"/>
  <c r="G10" i="40"/>
  <c r="G11" i="40"/>
  <c r="G12" i="40"/>
  <c r="G13" i="40"/>
  <c r="G14" i="40"/>
  <c r="G15" i="40"/>
  <c r="G16" i="40"/>
  <c r="G17" i="40"/>
  <c r="G18" i="40"/>
  <c r="G19" i="40"/>
  <c r="F21" i="40"/>
  <c r="G24" i="40"/>
  <c r="G25" i="40"/>
  <c r="H25" i="40" s="1"/>
  <c r="I25" i="40" s="1"/>
  <c r="J25" i="40" s="1"/>
  <c r="K25" i="40" s="1"/>
  <c r="L25" i="40" s="1"/>
  <c r="M25" i="40" s="1"/>
  <c r="N25" i="40" s="1"/>
  <c r="O25" i="40" s="1"/>
  <c r="P25" i="40" s="1"/>
  <c r="R25" i="40" s="1"/>
  <c r="S25" i="40" s="1"/>
  <c r="T25" i="40" s="1"/>
  <c r="U25" i="40" s="1"/>
  <c r="V25" i="40" s="1"/>
  <c r="W25" i="40" s="1"/>
  <c r="X25" i="40" s="1"/>
  <c r="Y25" i="40" s="1"/>
  <c r="Z25" i="40" s="1"/>
  <c r="AA25" i="40" s="1"/>
  <c r="AB25" i="40" s="1"/>
  <c r="AC25" i="40" s="1"/>
  <c r="AE25" i="40" s="1"/>
  <c r="AF25" i="40" s="1"/>
  <c r="AG25" i="40" s="1"/>
  <c r="AH25" i="40" s="1"/>
  <c r="AI25" i="40" s="1"/>
  <c r="AJ25" i="40" s="1"/>
  <c r="AK25" i="40" s="1"/>
  <c r="AL25" i="40" s="1"/>
  <c r="AM25" i="40" s="1"/>
  <c r="AN25" i="40" s="1"/>
  <c r="AO25" i="40" s="1"/>
  <c r="AP25" i="40" s="1"/>
  <c r="AR25" i="40" s="1"/>
  <c r="AS25" i="40" s="1"/>
  <c r="AT25" i="40" s="1"/>
  <c r="AU25" i="40" s="1"/>
  <c r="AV25" i="40" s="1"/>
  <c r="AW25" i="40" s="1"/>
  <c r="AX25" i="40" s="1"/>
  <c r="AY25" i="40" s="1"/>
  <c r="AZ25" i="40" s="1"/>
  <c r="BA25" i="40" s="1"/>
  <c r="BB25" i="40" s="1"/>
  <c r="BC25" i="40" s="1"/>
  <c r="BE25" i="40" s="1"/>
  <c r="BF25" i="40" s="1"/>
  <c r="BG25" i="40" s="1"/>
  <c r="BH25" i="40" s="1"/>
  <c r="BI25" i="40" s="1"/>
  <c r="BJ25" i="40" s="1"/>
  <c r="BK25" i="40" s="1"/>
  <c r="BL25" i="40" s="1"/>
  <c r="BM25" i="40" s="1"/>
  <c r="BN25" i="40" s="1"/>
  <c r="BO25" i="40" s="1"/>
  <c r="BP25" i="40" s="1"/>
  <c r="BR25" i="40" s="1"/>
  <c r="BS25" i="40" s="1"/>
  <c r="BT25" i="40" s="1"/>
  <c r="BU25" i="40" s="1"/>
  <c r="BV25" i="40" s="1"/>
  <c r="BW25" i="40" s="1"/>
  <c r="BX25" i="40" s="1"/>
  <c r="BY25" i="40" s="1"/>
  <c r="BZ25" i="40" s="1"/>
  <c r="CA25" i="40" s="1"/>
  <c r="CB25" i="40" s="1"/>
  <c r="CC25" i="40" s="1"/>
  <c r="G26" i="40"/>
  <c r="H26" i="40" s="1"/>
  <c r="I26" i="40" s="1"/>
  <c r="J26" i="40" s="1"/>
  <c r="K26" i="40" s="1"/>
  <c r="L26" i="40" s="1"/>
  <c r="M26" i="40" s="1"/>
  <c r="N26" i="40" s="1"/>
  <c r="O26" i="40" s="1"/>
  <c r="P26" i="40" s="1"/>
  <c r="R26" i="40" s="1"/>
  <c r="S26" i="40" s="1"/>
  <c r="T26" i="40" s="1"/>
  <c r="U26" i="40" s="1"/>
  <c r="V26" i="40" s="1"/>
  <c r="W26" i="40" s="1"/>
  <c r="X26" i="40" s="1"/>
  <c r="Y26" i="40" s="1"/>
  <c r="Z26" i="40" s="1"/>
  <c r="AA26" i="40" s="1"/>
  <c r="AB26" i="40" s="1"/>
  <c r="AC26" i="40" s="1"/>
  <c r="AE26" i="40" s="1"/>
  <c r="AF26" i="40" s="1"/>
  <c r="AG26" i="40" s="1"/>
  <c r="AH26" i="40" s="1"/>
  <c r="AI26" i="40" s="1"/>
  <c r="AJ26" i="40" s="1"/>
  <c r="AK26" i="40" s="1"/>
  <c r="AL26" i="40" s="1"/>
  <c r="AM26" i="40" s="1"/>
  <c r="AN26" i="40" s="1"/>
  <c r="AO26" i="40" s="1"/>
  <c r="AP26" i="40" s="1"/>
  <c r="AR26" i="40" s="1"/>
  <c r="AS26" i="40" s="1"/>
  <c r="AT26" i="40" s="1"/>
  <c r="AU26" i="40" s="1"/>
  <c r="AV26" i="40" s="1"/>
  <c r="AW26" i="40" s="1"/>
  <c r="AX26" i="40" s="1"/>
  <c r="AY26" i="40" s="1"/>
  <c r="AZ26" i="40" s="1"/>
  <c r="BA26" i="40" s="1"/>
  <c r="BB26" i="40" s="1"/>
  <c r="BC26" i="40" s="1"/>
  <c r="BE26" i="40" s="1"/>
  <c r="BF26" i="40" s="1"/>
  <c r="BG26" i="40" s="1"/>
  <c r="BH26" i="40" s="1"/>
  <c r="BI26" i="40" s="1"/>
  <c r="BJ26" i="40" s="1"/>
  <c r="BK26" i="40" s="1"/>
  <c r="BL26" i="40" s="1"/>
  <c r="BM26" i="40" s="1"/>
  <c r="BN26" i="40" s="1"/>
  <c r="BO26" i="40" s="1"/>
  <c r="BP26" i="40" s="1"/>
  <c r="BR26" i="40" s="1"/>
  <c r="BS26" i="40" s="1"/>
  <c r="BT26" i="40" s="1"/>
  <c r="BU26" i="40" s="1"/>
  <c r="BV26" i="40" s="1"/>
  <c r="BW26" i="40" s="1"/>
  <c r="BX26" i="40" s="1"/>
  <c r="BY26" i="40" s="1"/>
  <c r="BZ26" i="40" s="1"/>
  <c r="CA26" i="40" s="1"/>
  <c r="CB26" i="40" s="1"/>
  <c r="CC26" i="40" s="1"/>
  <c r="G27" i="40"/>
  <c r="H27" i="40" s="1"/>
  <c r="I27" i="40" s="1"/>
  <c r="J27" i="40" s="1"/>
  <c r="K27" i="40" s="1"/>
  <c r="L27" i="40" s="1"/>
  <c r="M27" i="40" s="1"/>
  <c r="N27" i="40" s="1"/>
  <c r="O27" i="40" s="1"/>
  <c r="P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R27" i="40" s="1"/>
  <c r="AS27" i="40" s="1"/>
  <c r="AT27" i="40" s="1"/>
  <c r="AU27" i="40" s="1"/>
  <c r="AV27" i="40" s="1"/>
  <c r="AW27" i="40" s="1"/>
  <c r="AX27" i="40" s="1"/>
  <c r="AY27" i="40" s="1"/>
  <c r="AZ27" i="40" s="1"/>
  <c r="BA27" i="40" s="1"/>
  <c r="BB27" i="40" s="1"/>
  <c r="BC27" i="40" s="1"/>
  <c r="BE27" i="40" s="1"/>
  <c r="BF27" i="40" s="1"/>
  <c r="BG27" i="40" s="1"/>
  <c r="BH27" i="40" s="1"/>
  <c r="BI27" i="40" s="1"/>
  <c r="BJ27" i="40" s="1"/>
  <c r="BK27" i="40" s="1"/>
  <c r="BL27" i="40" s="1"/>
  <c r="BM27" i="40" s="1"/>
  <c r="BN27" i="40" s="1"/>
  <c r="BO27" i="40" s="1"/>
  <c r="BP27" i="40" s="1"/>
  <c r="BR27" i="40" s="1"/>
  <c r="BS27" i="40" s="1"/>
  <c r="BT27" i="40" s="1"/>
  <c r="BU27" i="40" s="1"/>
  <c r="BV27" i="40" s="1"/>
  <c r="BW27" i="40" s="1"/>
  <c r="BX27" i="40" s="1"/>
  <c r="BY27" i="40" s="1"/>
  <c r="BZ27" i="40" s="1"/>
  <c r="CA27" i="40" s="1"/>
  <c r="CB27" i="40" s="1"/>
  <c r="CC27" i="40" s="1"/>
  <c r="G28" i="40"/>
  <c r="H28" i="40" s="1"/>
  <c r="I28" i="40" s="1"/>
  <c r="J28" i="40" s="1"/>
  <c r="K28" i="40" s="1"/>
  <c r="L28" i="40" s="1"/>
  <c r="M28" i="40" s="1"/>
  <c r="N28" i="40" s="1"/>
  <c r="O28" i="40" s="1"/>
  <c r="P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E28" i="40" s="1"/>
  <c r="AF28" i="40" s="1"/>
  <c r="AG28" i="40" s="1"/>
  <c r="AH28" i="40" s="1"/>
  <c r="AI28" i="40" s="1"/>
  <c r="AJ28" i="40" s="1"/>
  <c r="AK28" i="40" s="1"/>
  <c r="AL28" i="40" s="1"/>
  <c r="AM28" i="40" s="1"/>
  <c r="AN28" i="40" s="1"/>
  <c r="AO28" i="40" s="1"/>
  <c r="AP28" i="40" s="1"/>
  <c r="AR28" i="40" s="1"/>
  <c r="AS28" i="40" s="1"/>
  <c r="AT28" i="40" s="1"/>
  <c r="AU28" i="40" s="1"/>
  <c r="AV28" i="40" s="1"/>
  <c r="AW28" i="40" s="1"/>
  <c r="AX28" i="40" s="1"/>
  <c r="AY28" i="40" s="1"/>
  <c r="AZ28" i="40" s="1"/>
  <c r="BA28" i="40" s="1"/>
  <c r="BB28" i="40" s="1"/>
  <c r="BC28" i="40" s="1"/>
  <c r="BE28" i="40" s="1"/>
  <c r="BF28" i="40" s="1"/>
  <c r="BG28" i="40" s="1"/>
  <c r="BH28" i="40" s="1"/>
  <c r="BI28" i="40" s="1"/>
  <c r="BJ28" i="40" s="1"/>
  <c r="BK28" i="40" s="1"/>
  <c r="BL28" i="40" s="1"/>
  <c r="BM28" i="40" s="1"/>
  <c r="BN28" i="40" s="1"/>
  <c r="BO28" i="40" s="1"/>
  <c r="BP28" i="40" s="1"/>
  <c r="BR28" i="40" s="1"/>
  <c r="BS28" i="40" s="1"/>
  <c r="BT28" i="40" s="1"/>
  <c r="BU28" i="40" s="1"/>
  <c r="BV28" i="40" s="1"/>
  <c r="BW28" i="40" s="1"/>
  <c r="BX28" i="40" s="1"/>
  <c r="BY28" i="40" s="1"/>
  <c r="BZ28" i="40" s="1"/>
  <c r="CA28" i="40" s="1"/>
  <c r="CB28" i="40" s="1"/>
  <c r="CC28" i="40" s="1"/>
  <c r="G29" i="40"/>
  <c r="H29" i="40" s="1"/>
  <c r="I29" i="40" s="1"/>
  <c r="J29" i="40" s="1"/>
  <c r="K29" i="40" s="1"/>
  <c r="L29" i="40" s="1"/>
  <c r="M29" i="40" s="1"/>
  <c r="N29" i="40" s="1"/>
  <c r="O29" i="40" s="1"/>
  <c r="P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G30" i="40"/>
  <c r="H30" i="40" s="1"/>
  <c r="I30" i="40" s="1"/>
  <c r="J30" i="40" s="1"/>
  <c r="K30" i="40" s="1"/>
  <c r="L30" i="40" s="1"/>
  <c r="M30" i="40" s="1"/>
  <c r="N30" i="40" s="1"/>
  <c r="O30" i="40" s="1"/>
  <c r="P30" i="40" s="1"/>
  <c r="R30" i="40" s="1"/>
  <c r="S30" i="40" s="1"/>
  <c r="T30" i="40" s="1"/>
  <c r="U30" i="40" s="1"/>
  <c r="V30" i="40" s="1"/>
  <c r="W30" i="40" s="1"/>
  <c r="X30" i="40" s="1"/>
  <c r="Y30" i="40" s="1"/>
  <c r="Z30" i="40" s="1"/>
  <c r="AA30" i="40" s="1"/>
  <c r="AB30" i="40" s="1"/>
  <c r="AC30" i="40" s="1"/>
  <c r="AE30" i="40" s="1"/>
  <c r="AF30" i="40" s="1"/>
  <c r="AG30" i="40" s="1"/>
  <c r="AH30" i="40" s="1"/>
  <c r="AI30" i="40" s="1"/>
  <c r="AJ30" i="40" s="1"/>
  <c r="AK30" i="40" s="1"/>
  <c r="AL30" i="40" s="1"/>
  <c r="AM30" i="40" s="1"/>
  <c r="AN30" i="40" s="1"/>
  <c r="AO30" i="40" s="1"/>
  <c r="AP30" i="40" s="1"/>
  <c r="AR30" i="40" s="1"/>
  <c r="AS30" i="40" s="1"/>
  <c r="AT30" i="40" s="1"/>
  <c r="AU30" i="40" s="1"/>
  <c r="AV30" i="40" s="1"/>
  <c r="AW30" i="40" s="1"/>
  <c r="AX30" i="40" s="1"/>
  <c r="AY30" i="40" s="1"/>
  <c r="AZ30" i="40" s="1"/>
  <c r="BA30" i="40" s="1"/>
  <c r="BB30" i="40" s="1"/>
  <c r="BC30" i="40" s="1"/>
  <c r="BE30" i="40" s="1"/>
  <c r="BF30" i="40" s="1"/>
  <c r="BG30" i="40" s="1"/>
  <c r="BH30" i="40" s="1"/>
  <c r="BI30" i="40" s="1"/>
  <c r="BJ30" i="40" s="1"/>
  <c r="BK30" i="40" s="1"/>
  <c r="BL30" i="40" s="1"/>
  <c r="BM30" i="40" s="1"/>
  <c r="BN30" i="40" s="1"/>
  <c r="BO30" i="40" s="1"/>
  <c r="BP30" i="40" s="1"/>
  <c r="BR30" i="40" s="1"/>
  <c r="BS30" i="40" s="1"/>
  <c r="BT30" i="40" s="1"/>
  <c r="BU30" i="40" s="1"/>
  <c r="BV30" i="40" s="1"/>
  <c r="BW30" i="40" s="1"/>
  <c r="BX30" i="40" s="1"/>
  <c r="BY30" i="40" s="1"/>
  <c r="BZ30" i="40" s="1"/>
  <c r="CA30" i="40" s="1"/>
  <c r="CB30" i="40" s="1"/>
  <c r="CC30" i="40" s="1"/>
  <c r="G31" i="40"/>
  <c r="H31" i="40" s="1"/>
  <c r="I31" i="40" s="1"/>
  <c r="J31" i="40" s="1"/>
  <c r="K31" i="40" s="1"/>
  <c r="L31" i="40" s="1"/>
  <c r="M31" i="40" s="1"/>
  <c r="N31" i="40" s="1"/>
  <c r="O31" i="40" s="1"/>
  <c r="P31" i="40" s="1"/>
  <c r="R31" i="40" s="1"/>
  <c r="S31" i="40" s="1"/>
  <c r="T31" i="40" s="1"/>
  <c r="U31" i="40" s="1"/>
  <c r="V31" i="40" s="1"/>
  <c r="W31" i="40" s="1"/>
  <c r="X31" i="40" s="1"/>
  <c r="Y31" i="40" s="1"/>
  <c r="Z31" i="40" s="1"/>
  <c r="AA31" i="40" s="1"/>
  <c r="AB31" i="40" s="1"/>
  <c r="AC31" i="40" s="1"/>
  <c r="AE31" i="40" s="1"/>
  <c r="AF31" i="40" s="1"/>
  <c r="AG31" i="40" s="1"/>
  <c r="AH31" i="40" s="1"/>
  <c r="AI31" i="40" s="1"/>
  <c r="AJ31" i="40" s="1"/>
  <c r="AK31" i="40" s="1"/>
  <c r="AL31" i="40" s="1"/>
  <c r="AM31" i="40" s="1"/>
  <c r="AN31" i="40" s="1"/>
  <c r="AO31" i="40" s="1"/>
  <c r="AP31" i="40" s="1"/>
  <c r="AR31" i="40" s="1"/>
  <c r="AS31" i="40" s="1"/>
  <c r="AT31" i="40" s="1"/>
  <c r="AU31" i="40" s="1"/>
  <c r="AV31" i="40" s="1"/>
  <c r="AW31" i="40" s="1"/>
  <c r="AX31" i="40" s="1"/>
  <c r="AY31" i="40" s="1"/>
  <c r="AZ31" i="40" s="1"/>
  <c r="BA31" i="40" s="1"/>
  <c r="BB31" i="40" s="1"/>
  <c r="BC31" i="40" s="1"/>
  <c r="BE31" i="40" s="1"/>
  <c r="BF31" i="40" s="1"/>
  <c r="BG31" i="40" s="1"/>
  <c r="BH31" i="40" s="1"/>
  <c r="BI31" i="40" s="1"/>
  <c r="BJ31" i="40" s="1"/>
  <c r="BK31" i="40" s="1"/>
  <c r="BL31" i="40" s="1"/>
  <c r="BM31" i="40" s="1"/>
  <c r="BN31" i="40" s="1"/>
  <c r="BO31" i="40" s="1"/>
  <c r="BP31" i="40" s="1"/>
  <c r="BR31" i="40" s="1"/>
  <c r="BS31" i="40" s="1"/>
  <c r="BT31" i="40" s="1"/>
  <c r="BU31" i="40" s="1"/>
  <c r="BV31" i="40" s="1"/>
  <c r="BW31" i="40" s="1"/>
  <c r="BX31" i="40" s="1"/>
  <c r="BY31" i="40" s="1"/>
  <c r="BZ31" i="40" s="1"/>
  <c r="CA31" i="40" s="1"/>
  <c r="CB31" i="40" s="1"/>
  <c r="CC31" i="40" s="1"/>
  <c r="G32" i="40"/>
  <c r="H32" i="40" s="1"/>
  <c r="I32" i="40" s="1"/>
  <c r="J32" i="40" s="1"/>
  <c r="K32" i="40" s="1"/>
  <c r="L32" i="40" s="1"/>
  <c r="M32" i="40" s="1"/>
  <c r="N32" i="40" s="1"/>
  <c r="O32" i="40" s="1"/>
  <c r="P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R32" i="40" s="1"/>
  <c r="AS32" i="40" s="1"/>
  <c r="AT32" i="40" s="1"/>
  <c r="AU32" i="40" s="1"/>
  <c r="AV32" i="40" s="1"/>
  <c r="AW32" i="40" s="1"/>
  <c r="AX32" i="40" s="1"/>
  <c r="AY32" i="40" s="1"/>
  <c r="AZ32" i="40" s="1"/>
  <c r="BA32" i="40" s="1"/>
  <c r="BB32" i="40" s="1"/>
  <c r="BC32" i="40" s="1"/>
  <c r="BE32" i="40" s="1"/>
  <c r="BF32" i="40" s="1"/>
  <c r="BG32" i="40" s="1"/>
  <c r="BH32" i="40" s="1"/>
  <c r="BI32" i="40" s="1"/>
  <c r="BJ32" i="40" s="1"/>
  <c r="BK32" i="40" s="1"/>
  <c r="BL32" i="40" s="1"/>
  <c r="BM32" i="40" s="1"/>
  <c r="BN32" i="40" s="1"/>
  <c r="BO32" i="40" s="1"/>
  <c r="BP32" i="40" s="1"/>
  <c r="BR32" i="40" s="1"/>
  <c r="BS32" i="40" s="1"/>
  <c r="BT32" i="40" s="1"/>
  <c r="BU32" i="40" s="1"/>
  <c r="BV32" i="40" s="1"/>
  <c r="BW32" i="40" s="1"/>
  <c r="BX32" i="40" s="1"/>
  <c r="BY32" i="40" s="1"/>
  <c r="BZ32" i="40" s="1"/>
  <c r="CA32" i="40" s="1"/>
  <c r="CB32" i="40" s="1"/>
  <c r="CC32" i="40" s="1"/>
  <c r="G33" i="40"/>
  <c r="H33" i="40" s="1"/>
  <c r="I33" i="40" s="1"/>
  <c r="J33" i="40" s="1"/>
  <c r="K33" i="40" s="1"/>
  <c r="L33" i="40" s="1"/>
  <c r="M33" i="40" s="1"/>
  <c r="N33" i="40" s="1"/>
  <c r="O33" i="40" s="1"/>
  <c r="P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R33" i="40" s="1"/>
  <c r="AS33" i="40" s="1"/>
  <c r="AT33" i="40" s="1"/>
  <c r="AU33" i="40" s="1"/>
  <c r="AV33" i="40" s="1"/>
  <c r="AW33" i="40" s="1"/>
  <c r="AX33" i="40" s="1"/>
  <c r="AY33" i="40" s="1"/>
  <c r="AZ33" i="40" s="1"/>
  <c r="BA33" i="40" s="1"/>
  <c r="BB33" i="40" s="1"/>
  <c r="BC33" i="40" s="1"/>
  <c r="BE33" i="40" s="1"/>
  <c r="BF33" i="40" s="1"/>
  <c r="BG33" i="40" s="1"/>
  <c r="BH33" i="40" s="1"/>
  <c r="BI33" i="40" s="1"/>
  <c r="BJ33" i="40" s="1"/>
  <c r="BK33" i="40" s="1"/>
  <c r="BL33" i="40" s="1"/>
  <c r="BM33" i="40" s="1"/>
  <c r="BN33" i="40" s="1"/>
  <c r="BO33" i="40" s="1"/>
  <c r="BP33" i="40" s="1"/>
  <c r="BR33" i="40" s="1"/>
  <c r="BS33" i="40" s="1"/>
  <c r="BT33" i="40" s="1"/>
  <c r="BU33" i="40" s="1"/>
  <c r="BV33" i="40" s="1"/>
  <c r="BW33" i="40" s="1"/>
  <c r="BX33" i="40" s="1"/>
  <c r="BY33" i="40" s="1"/>
  <c r="BZ33" i="40" s="1"/>
  <c r="CA33" i="40" s="1"/>
  <c r="CB33" i="40" s="1"/>
  <c r="CC33" i="40" s="1"/>
  <c r="G34" i="40"/>
  <c r="H34" i="40" s="1"/>
  <c r="I34" i="40" s="1"/>
  <c r="J34" i="40" s="1"/>
  <c r="K34" i="40" s="1"/>
  <c r="L34" i="40" s="1"/>
  <c r="M34" i="40" s="1"/>
  <c r="N34" i="40" s="1"/>
  <c r="O34" i="40" s="1"/>
  <c r="P34" i="40" s="1"/>
  <c r="R34" i="40" s="1"/>
  <c r="S34" i="40" s="1"/>
  <c r="T34" i="40" s="1"/>
  <c r="U34" i="40" s="1"/>
  <c r="V34" i="40" s="1"/>
  <c r="W34" i="40" s="1"/>
  <c r="X34" i="40" s="1"/>
  <c r="Y34" i="40" s="1"/>
  <c r="Z34" i="40" s="1"/>
  <c r="AA34" i="40" s="1"/>
  <c r="AB34" i="40" s="1"/>
  <c r="AC34" i="40" s="1"/>
  <c r="AE34" i="40" s="1"/>
  <c r="G39" i="40"/>
  <c r="F102" i="40"/>
  <c r="AQ51" i="40"/>
  <c r="BD50" i="40"/>
  <c r="AQ66" i="40"/>
  <c r="BD65" i="40"/>
  <c r="G81" i="40"/>
  <c r="G114" i="40" s="1"/>
  <c r="CE40" i="40"/>
  <c r="E102" i="40"/>
  <c r="E82" i="40"/>
  <c r="Q102" i="40"/>
  <c r="Q82" i="40"/>
  <c r="AQ102" i="40"/>
  <c r="BQ102" i="40"/>
  <c r="E107" i="40"/>
  <c r="H42" i="40"/>
  <c r="I42" i="40" s="1"/>
  <c r="J42" i="40" s="1"/>
  <c r="K42" i="40" s="1"/>
  <c r="L42" i="40" s="1"/>
  <c r="M42" i="40" s="1"/>
  <c r="N42" i="40" s="1"/>
  <c r="O42" i="40" s="1"/>
  <c r="P42" i="40" s="1"/>
  <c r="R42" i="40" s="1"/>
  <c r="S42" i="40" s="1"/>
  <c r="T42" i="40" s="1"/>
  <c r="U42" i="40" s="1"/>
  <c r="V42" i="40" s="1"/>
  <c r="W42" i="40" s="1"/>
  <c r="X42" i="40" s="1"/>
  <c r="Y42" i="40" s="1"/>
  <c r="Z42" i="40" s="1"/>
  <c r="AA42" i="40" s="1"/>
  <c r="AB42" i="40" s="1"/>
  <c r="AC42" i="40" s="1"/>
  <c r="AE42" i="40" s="1"/>
  <c r="AF42" i="40" s="1"/>
  <c r="AG42" i="40" s="1"/>
  <c r="AH42" i="40" s="1"/>
  <c r="AI42" i="40" s="1"/>
  <c r="AJ42" i="40" s="1"/>
  <c r="AK42" i="40" s="1"/>
  <c r="AL42" i="40" s="1"/>
  <c r="AM42" i="40" s="1"/>
  <c r="AN42" i="40" s="1"/>
  <c r="AO42" i="40" s="1"/>
  <c r="AP42" i="40" s="1"/>
  <c r="AR42" i="40" s="1"/>
  <c r="AS42" i="40" s="1"/>
  <c r="AT42" i="40" s="1"/>
  <c r="AU42" i="40" s="1"/>
  <c r="AV42" i="40" s="1"/>
  <c r="AW42" i="40" s="1"/>
  <c r="AX42" i="40" s="1"/>
  <c r="AY42" i="40" s="1"/>
  <c r="AZ42" i="40" s="1"/>
  <c r="BA42" i="40" s="1"/>
  <c r="BB42" i="40" s="1"/>
  <c r="BC42" i="40" s="1"/>
  <c r="BE42" i="40" s="1"/>
  <c r="BF42" i="40" s="1"/>
  <c r="BG42" i="40" s="1"/>
  <c r="BH42" i="40" s="1"/>
  <c r="BI42" i="40" s="1"/>
  <c r="BJ42" i="40" s="1"/>
  <c r="BK42" i="40" s="1"/>
  <c r="BL42" i="40" s="1"/>
  <c r="BM42" i="40" s="1"/>
  <c r="BN42" i="40" s="1"/>
  <c r="BO42" i="40" s="1"/>
  <c r="BP42" i="40" s="1"/>
  <c r="BR42" i="40" s="1"/>
  <c r="BS42" i="40" s="1"/>
  <c r="BT42" i="40" s="1"/>
  <c r="BU42" i="40" s="1"/>
  <c r="BV42" i="40" s="1"/>
  <c r="BW42" i="40" s="1"/>
  <c r="BX42" i="40" s="1"/>
  <c r="BY42" i="40" s="1"/>
  <c r="BZ42" i="40" s="1"/>
  <c r="CA42" i="40" s="1"/>
  <c r="CB42" i="40" s="1"/>
  <c r="CC42" i="40" s="1"/>
  <c r="H43" i="40"/>
  <c r="I43" i="40" s="1"/>
  <c r="J43" i="40" s="1"/>
  <c r="K43" i="40" s="1"/>
  <c r="L43" i="40" s="1"/>
  <c r="M43" i="40" s="1"/>
  <c r="N43" i="40" s="1"/>
  <c r="O43" i="40" s="1"/>
  <c r="P43" i="40" s="1"/>
  <c r="R43" i="40" s="1"/>
  <c r="S43" i="40" s="1"/>
  <c r="T43" i="40" s="1"/>
  <c r="U43" i="40" s="1"/>
  <c r="V43" i="40" s="1"/>
  <c r="W43" i="40" s="1"/>
  <c r="X43" i="40" s="1"/>
  <c r="Y43" i="40" s="1"/>
  <c r="Z43" i="40" s="1"/>
  <c r="AA43" i="40" s="1"/>
  <c r="AB43" i="40" s="1"/>
  <c r="AC43" i="40" s="1"/>
  <c r="AE43" i="40" s="1"/>
  <c r="AF43" i="40" s="1"/>
  <c r="AG43" i="40" s="1"/>
  <c r="AH43" i="40" s="1"/>
  <c r="AI43" i="40" s="1"/>
  <c r="AJ43" i="40" s="1"/>
  <c r="AK43" i="40" s="1"/>
  <c r="AL43" i="40" s="1"/>
  <c r="AM43" i="40" s="1"/>
  <c r="AN43" i="40" s="1"/>
  <c r="AO43" i="40" s="1"/>
  <c r="AP43" i="40" s="1"/>
  <c r="AR43" i="40" s="1"/>
  <c r="AS43" i="40" s="1"/>
  <c r="AT43" i="40" s="1"/>
  <c r="AU43" i="40" s="1"/>
  <c r="AV43" i="40" s="1"/>
  <c r="AW43" i="40" s="1"/>
  <c r="AX43" i="40" s="1"/>
  <c r="AY43" i="40" s="1"/>
  <c r="AZ43" i="40" s="1"/>
  <c r="BA43" i="40" s="1"/>
  <c r="BB43" i="40" s="1"/>
  <c r="BC43" i="40" s="1"/>
  <c r="BE43" i="40" s="1"/>
  <c r="BF43" i="40" s="1"/>
  <c r="BG43" i="40" s="1"/>
  <c r="BH43" i="40" s="1"/>
  <c r="BI43" i="40" s="1"/>
  <c r="BJ43" i="40" s="1"/>
  <c r="BK43" i="40" s="1"/>
  <c r="BL43" i="40" s="1"/>
  <c r="BM43" i="40" s="1"/>
  <c r="BN43" i="40" s="1"/>
  <c r="BO43" i="40" s="1"/>
  <c r="BP43" i="40" s="1"/>
  <c r="BR43" i="40" s="1"/>
  <c r="BS43" i="40" s="1"/>
  <c r="BT43" i="40" s="1"/>
  <c r="BU43" i="40" s="1"/>
  <c r="BV43" i="40" s="1"/>
  <c r="BW43" i="40" s="1"/>
  <c r="BX43" i="40" s="1"/>
  <c r="BY43" i="40" s="1"/>
  <c r="BZ43" i="40" s="1"/>
  <c r="CA43" i="40" s="1"/>
  <c r="CB43" i="40" s="1"/>
  <c r="CC43" i="40" s="1"/>
  <c r="H44" i="40"/>
  <c r="I44" i="40" s="1"/>
  <c r="J44" i="40" s="1"/>
  <c r="K44" i="40" s="1"/>
  <c r="L44" i="40" s="1"/>
  <c r="M44" i="40" s="1"/>
  <c r="N44" i="40" s="1"/>
  <c r="O44" i="40" s="1"/>
  <c r="P44" i="40" s="1"/>
  <c r="R44" i="40" s="1"/>
  <c r="S44" i="40" s="1"/>
  <c r="T44" i="40" s="1"/>
  <c r="U44" i="40" s="1"/>
  <c r="V44" i="40" s="1"/>
  <c r="W44" i="40" s="1"/>
  <c r="X44" i="40" s="1"/>
  <c r="Y44" i="40" s="1"/>
  <c r="Z44" i="40" s="1"/>
  <c r="AA44" i="40" s="1"/>
  <c r="AB44" i="40" s="1"/>
  <c r="AC44" i="40" s="1"/>
  <c r="AE44" i="40" s="1"/>
  <c r="AF44" i="40" s="1"/>
  <c r="AG44" i="40" s="1"/>
  <c r="AH44" i="40" s="1"/>
  <c r="AI44" i="40" s="1"/>
  <c r="AJ44" i="40" s="1"/>
  <c r="AK44" i="40" s="1"/>
  <c r="AL44" i="40" s="1"/>
  <c r="AM44" i="40" s="1"/>
  <c r="AN44" i="40" s="1"/>
  <c r="AO44" i="40" s="1"/>
  <c r="AP44" i="40" s="1"/>
  <c r="AR44" i="40" s="1"/>
  <c r="AS44" i="40" s="1"/>
  <c r="AT44" i="40" s="1"/>
  <c r="AU44" i="40" s="1"/>
  <c r="AV44" i="40" s="1"/>
  <c r="AW44" i="40" s="1"/>
  <c r="AX44" i="40" s="1"/>
  <c r="AY44" i="40" s="1"/>
  <c r="AZ44" i="40" s="1"/>
  <c r="BA44" i="40" s="1"/>
  <c r="BB44" i="40" s="1"/>
  <c r="BC44" i="40" s="1"/>
  <c r="BE44" i="40" s="1"/>
  <c r="BF44" i="40" s="1"/>
  <c r="BG44" i="40" s="1"/>
  <c r="BH44" i="40" s="1"/>
  <c r="BI44" i="40" s="1"/>
  <c r="BJ44" i="40" s="1"/>
  <c r="BK44" i="40" s="1"/>
  <c r="BL44" i="40" s="1"/>
  <c r="BM44" i="40" s="1"/>
  <c r="BN44" i="40" s="1"/>
  <c r="BO44" i="40" s="1"/>
  <c r="BP44" i="40" s="1"/>
  <c r="BR44" i="40" s="1"/>
  <c r="BS44" i="40" s="1"/>
  <c r="BT44" i="40" s="1"/>
  <c r="BU44" i="40" s="1"/>
  <c r="BV44" i="40" s="1"/>
  <c r="BW44" i="40" s="1"/>
  <c r="BX44" i="40" s="1"/>
  <c r="BY44" i="40" s="1"/>
  <c r="BZ44" i="40" s="1"/>
  <c r="CA44" i="40" s="1"/>
  <c r="CB44" i="40" s="1"/>
  <c r="CC44" i="40" s="1"/>
  <c r="H45" i="40"/>
  <c r="I45" i="40" s="1"/>
  <c r="J45" i="40" s="1"/>
  <c r="K45" i="40" s="1"/>
  <c r="L45" i="40" s="1"/>
  <c r="M45" i="40" s="1"/>
  <c r="N45" i="40" s="1"/>
  <c r="O45" i="40" s="1"/>
  <c r="P45" i="40" s="1"/>
  <c r="R45" i="40" s="1"/>
  <c r="S45" i="40" s="1"/>
  <c r="T45" i="40" s="1"/>
  <c r="U45" i="40" s="1"/>
  <c r="V45" i="40" s="1"/>
  <c r="W45" i="40" s="1"/>
  <c r="X45" i="40" s="1"/>
  <c r="Y45" i="40" s="1"/>
  <c r="Z45" i="40" s="1"/>
  <c r="AA45" i="40" s="1"/>
  <c r="AB45" i="40" s="1"/>
  <c r="AC45" i="40" s="1"/>
  <c r="AE45" i="40" s="1"/>
  <c r="AF45" i="40" s="1"/>
  <c r="AG45" i="40" s="1"/>
  <c r="AH45" i="40" s="1"/>
  <c r="AI45" i="40" s="1"/>
  <c r="AJ45" i="40" s="1"/>
  <c r="AK45" i="40" s="1"/>
  <c r="AL45" i="40" s="1"/>
  <c r="AM45" i="40" s="1"/>
  <c r="AN45" i="40" s="1"/>
  <c r="AO45" i="40" s="1"/>
  <c r="AP45" i="40" s="1"/>
  <c r="AR45" i="40" s="1"/>
  <c r="AS45" i="40" s="1"/>
  <c r="AT45" i="40" s="1"/>
  <c r="AU45" i="40" s="1"/>
  <c r="AV45" i="40" s="1"/>
  <c r="AW45" i="40" s="1"/>
  <c r="AX45" i="40" s="1"/>
  <c r="AY45" i="40" s="1"/>
  <c r="AZ45" i="40" s="1"/>
  <c r="BA45" i="40" s="1"/>
  <c r="BB45" i="40" s="1"/>
  <c r="BC45" i="40" s="1"/>
  <c r="BE45" i="40" s="1"/>
  <c r="BF45" i="40" s="1"/>
  <c r="BG45" i="40" s="1"/>
  <c r="BH45" i="40" s="1"/>
  <c r="BI45" i="40" s="1"/>
  <c r="BJ45" i="40" s="1"/>
  <c r="BK45" i="40" s="1"/>
  <c r="BL45" i="40" s="1"/>
  <c r="BM45" i="40" s="1"/>
  <c r="BN45" i="40" s="1"/>
  <c r="BO45" i="40" s="1"/>
  <c r="BP45" i="40" s="1"/>
  <c r="BR45" i="40" s="1"/>
  <c r="BS45" i="40" s="1"/>
  <c r="BT45" i="40" s="1"/>
  <c r="BU45" i="40" s="1"/>
  <c r="BV45" i="40" s="1"/>
  <c r="BW45" i="40" s="1"/>
  <c r="BX45" i="40" s="1"/>
  <c r="BY45" i="40" s="1"/>
  <c r="BZ45" i="40" s="1"/>
  <c r="CA45" i="40" s="1"/>
  <c r="CB45" i="40" s="1"/>
  <c r="CC45" i="40" s="1"/>
  <c r="H46" i="40"/>
  <c r="I46" i="40" s="1"/>
  <c r="J46" i="40" s="1"/>
  <c r="K46" i="40" s="1"/>
  <c r="L46" i="40" s="1"/>
  <c r="M46" i="40" s="1"/>
  <c r="N46" i="40" s="1"/>
  <c r="O46" i="40" s="1"/>
  <c r="P46" i="40" s="1"/>
  <c r="R46" i="40" s="1"/>
  <c r="S46" i="40" s="1"/>
  <c r="T46" i="40" s="1"/>
  <c r="U46" i="40" s="1"/>
  <c r="V46" i="40" s="1"/>
  <c r="W46" i="40" s="1"/>
  <c r="X46" i="40" s="1"/>
  <c r="Y46" i="40" s="1"/>
  <c r="Z46" i="40" s="1"/>
  <c r="AA46" i="40" s="1"/>
  <c r="AB46" i="40" s="1"/>
  <c r="AC46" i="40" s="1"/>
  <c r="AE46" i="40" s="1"/>
  <c r="AF46" i="40" s="1"/>
  <c r="AG46" i="40" s="1"/>
  <c r="AH46" i="40" s="1"/>
  <c r="AI46" i="40" s="1"/>
  <c r="AJ46" i="40" s="1"/>
  <c r="AK46" i="40" s="1"/>
  <c r="AL46" i="40" s="1"/>
  <c r="AM46" i="40" s="1"/>
  <c r="AN46" i="40" s="1"/>
  <c r="AO46" i="40" s="1"/>
  <c r="AP46" i="40" s="1"/>
  <c r="AR46" i="40" s="1"/>
  <c r="AS46" i="40" s="1"/>
  <c r="AT46" i="40" s="1"/>
  <c r="AU46" i="40" s="1"/>
  <c r="AV46" i="40" s="1"/>
  <c r="AW46" i="40" s="1"/>
  <c r="AX46" i="40" s="1"/>
  <c r="AY46" i="40" s="1"/>
  <c r="AZ46" i="40" s="1"/>
  <c r="BA46" i="40" s="1"/>
  <c r="BB46" i="40" s="1"/>
  <c r="BC46" i="40" s="1"/>
  <c r="BE46" i="40" s="1"/>
  <c r="BF46" i="40" s="1"/>
  <c r="BG46" i="40" s="1"/>
  <c r="BH46" i="40" s="1"/>
  <c r="BI46" i="40" s="1"/>
  <c r="BJ46" i="40" s="1"/>
  <c r="BK46" i="40" s="1"/>
  <c r="BL46" i="40" s="1"/>
  <c r="BM46" i="40" s="1"/>
  <c r="BN46" i="40" s="1"/>
  <c r="BO46" i="40" s="1"/>
  <c r="BP46" i="40" s="1"/>
  <c r="BR46" i="40" s="1"/>
  <c r="BS46" i="40" s="1"/>
  <c r="BT46" i="40" s="1"/>
  <c r="BU46" i="40" s="1"/>
  <c r="BV46" i="40" s="1"/>
  <c r="BW46" i="40" s="1"/>
  <c r="BX46" i="40" s="1"/>
  <c r="BY46" i="40" s="1"/>
  <c r="BZ46" i="40" s="1"/>
  <c r="CA46" i="40" s="1"/>
  <c r="CB46" i="40" s="1"/>
  <c r="CC46" i="40" s="1"/>
  <c r="H47" i="40"/>
  <c r="I47" i="40" s="1"/>
  <c r="J47" i="40" s="1"/>
  <c r="K47" i="40" s="1"/>
  <c r="L47" i="40" s="1"/>
  <c r="M47" i="40" s="1"/>
  <c r="N47" i="40" s="1"/>
  <c r="O47" i="40" s="1"/>
  <c r="P47" i="40" s="1"/>
  <c r="R47" i="40" s="1"/>
  <c r="S47" i="40" s="1"/>
  <c r="T47" i="40" s="1"/>
  <c r="U47" i="40" s="1"/>
  <c r="V47" i="40" s="1"/>
  <c r="W47" i="40" s="1"/>
  <c r="X47" i="40" s="1"/>
  <c r="Y47" i="40" s="1"/>
  <c r="Z47" i="40" s="1"/>
  <c r="AA47" i="40" s="1"/>
  <c r="AB47" i="40" s="1"/>
  <c r="AC47" i="40" s="1"/>
  <c r="AE47" i="40" s="1"/>
  <c r="AF47" i="40" s="1"/>
  <c r="AG47" i="40" s="1"/>
  <c r="AH47" i="40" s="1"/>
  <c r="AI47" i="40" s="1"/>
  <c r="AJ47" i="40" s="1"/>
  <c r="AK47" i="40" s="1"/>
  <c r="AL47" i="40" s="1"/>
  <c r="AM47" i="40" s="1"/>
  <c r="AN47" i="40" s="1"/>
  <c r="AO47" i="40" s="1"/>
  <c r="AP47" i="40" s="1"/>
  <c r="AR47" i="40" s="1"/>
  <c r="AS47" i="40" s="1"/>
  <c r="AT47" i="40" s="1"/>
  <c r="AU47" i="40" s="1"/>
  <c r="AV47" i="40" s="1"/>
  <c r="AW47" i="40" s="1"/>
  <c r="AX47" i="40" s="1"/>
  <c r="AY47" i="40" s="1"/>
  <c r="AZ47" i="40" s="1"/>
  <c r="BA47" i="40" s="1"/>
  <c r="BB47" i="40" s="1"/>
  <c r="BC47" i="40" s="1"/>
  <c r="BE47" i="40" s="1"/>
  <c r="BF47" i="40" s="1"/>
  <c r="BG47" i="40" s="1"/>
  <c r="BH47" i="40" s="1"/>
  <c r="BI47" i="40" s="1"/>
  <c r="BJ47" i="40" s="1"/>
  <c r="BK47" i="40" s="1"/>
  <c r="BL47" i="40" s="1"/>
  <c r="BM47" i="40" s="1"/>
  <c r="BN47" i="40" s="1"/>
  <c r="BO47" i="40" s="1"/>
  <c r="BP47" i="40" s="1"/>
  <c r="BR47" i="40" s="1"/>
  <c r="BS47" i="40" s="1"/>
  <c r="BT47" i="40" s="1"/>
  <c r="BU47" i="40" s="1"/>
  <c r="BV47" i="40" s="1"/>
  <c r="BW47" i="40" s="1"/>
  <c r="BX47" i="40" s="1"/>
  <c r="BY47" i="40" s="1"/>
  <c r="BZ47" i="40" s="1"/>
  <c r="CA47" i="40" s="1"/>
  <c r="CB47" i="40" s="1"/>
  <c r="CC47" i="40" s="1"/>
  <c r="H48" i="40"/>
  <c r="I48" i="40" s="1"/>
  <c r="J48" i="40" s="1"/>
  <c r="K48" i="40" s="1"/>
  <c r="L48" i="40" s="1"/>
  <c r="M48" i="40" s="1"/>
  <c r="N48" i="40" s="1"/>
  <c r="O48" i="40" s="1"/>
  <c r="P48" i="40" s="1"/>
  <c r="R48" i="40" s="1"/>
  <c r="S48" i="40" s="1"/>
  <c r="T48" i="40" s="1"/>
  <c r="U48" i="40" s="1"/>
  <c r="V48" i="40" s="1"/>
  <c r="W48" i="40" s="1"/>
  <c r="X48" i="40" s="1"/>
  <c r="Y48" i="40" s="1"/>
  <c r="Z48" i="40" s="1"/>
  <c r="AA48" i="40" s="1"/>
  <c r="AB48" i="40" s="1"/>
  <c r="AC48" i="40" s="1"/>
  <c r="AE48" i="40" s="1"/>
  <c r="AF48" i="40" s="1"/>
  <c r="AG48" i="40" s="1"/>
  <c r="AH48" i="40" s="1"/>
  <c r="AI48" i="40" s="1"/>
  <c r="AJ48" i="40" s="1"/>
  <c r="AK48" i="40" s="1"/>
  <c r="AL48" i="40" s="1"/>
  <c r="AM48" i="40" s="1"/>
  <c r="AN48" i="40" s="1"/>
  <c r="AO48" i="40" s="1"/>
  <c r="AP48" i="40" s="1"/>
  <c r="AR48" i="40" s="1"/>
  <c r="AS48" i="40" s="1"/>
  <c r="AT48" i="40" s="1"/>
  <c r="AU48" i="40" s="1"/>
  <c r="AV48" i="40" s="1"/>
  <c r="AW48" i="40" s="1"/>
  <c r="AX48" i="40" s="1"/>
  <c r="AY48" i="40" s="1"/>
  <c r="AZ48" i="40" s="1"/>
  <c r="BA48" i="40" s="1"/>
  <c r="BB48" i="40" s="1"/>
  <c r="BC48" i="40" s="1"/>
  <c r="BE48" i="40" s="1"/>
  <c r="BF48" i="40" s="1"/>
  <c r="BG48" i="40" s="1"/>
  <c r="BH48" i="40" s="1"/>
  <c r="BI48" i="40" s="1"/>
  <c r="BJ48" i="40" s="1"/>
  <c r="BK48" i="40" s="1"/>
  <c r="BL48" i="40" s="1"/>
  <c r="BM48" i="40" s="1"/>
  <c r="BN48" i="40" s="1"/>
  <c r="BO48" i="40" s="1"/>
  <c r="BP48" i="40" s="1"/>
  <c r="BR48" i="40" s="1"/>
  <c r="BS48" i="40" s="1"/>
  <c r="BT48" i="40" s="1"/>
  <c r="BU48" i="40" s="1"/>
  <c r="BV48" i="40" s="1"/>
  <c r="BW48" i="40" s="1"/>
  <c r="BX48" i="40" s="1"/>
  <c r="BY48" i="40" s="1"/>
  <c r="BZ48" i="40" s="1"/>
  <c r="CA48" i="40" s="1"/>
  <c r="CB48" i="40" s="1"/>
  <c r="CC48" i="40" s="1"/>
  <c r="H49" i="40"/>
  <c r="I49" i="40" s="1"/>
  <c r="J49" i="40" s="1"/>
  <c r="K49" i="40" s="1"/>
  <c r="L49" i="40" s="1"/>
  <c r="M49" i="40" s="1"/>
  <c r="N49" i="40" s="1"/>
  <c r="O49" i="40" s="1"/>
  <c r="P49" i="40" s="1"/>
  <c r="R49" i="40" s="1"/>
  <c r="S49" i="40" s="1"/>
  <c r="T49" i="40" s="1"/>
  <c r="U49" i="40" s="1"/>
  <c r="V49" i="40" s="1"/>
  <c r="W49" i="40" s="1"/>
  <c r="X49" i="40" s="1"/>
  <c r="Y49" i="40" s="1"/>
  <c r="Z49" i="40" s="1"/>
  <c r="AA49" i="40" s="1"/>
  <c r="AB49" i="40" s="1"/>
  <c r="AC49" i="40" s="1"/>
  <c r="AE49" i="40" s="1"/>
  <c r="AF49" i="40" s="1"/>
  <c r="AG49" i="40" s="1"/>
  <c r="AH49" i="40" s="1"/>
  <c r="AI49" i="40" s="1"/>
  <c r="AJ49" i="40" s="1"/>
  <c r="AK49" i="40" s="1"/>
  <c r="AL49" i="40" s="1"/>
  <c r="AM49" i="40" s="1"/>
  <c r="AN49" i="40" s="1"/>
  <c r="AO49" i="40" s="1"/>
  <c r="AP49" i="40" s="1"/>
  <c r="AR49" i="40" s="1"/>
  <c r="AS49" i="40" s="1"/>
  <c r="AT49" i="40" s="1"/>
  <c r="AU49" i="40" s="1"/>
  <c r="AV49" i="40" s="1"/>
  <c r="AW49" i="40" s="1"/>
  <c r="AX49" i="40" s="1"/>
  <c r="AY49" i="40" s="1"/>
  <c r="AZ49" i="40" s="1"/>
  <c r="BA49" i="40" s="1"/>
  <c r="BB49" i="40" s="1"/>
  <c r="BC49" i="40" s="1"/>
  <c r="BE49" i="40" s="1"/>
  <c r="BF49" i="40" s="1"/>
  <c r="BG49" i="40" s="1"/>
  <c r="BH49" i="40" s="1"/>
  <c r="BI49" i="40" s="1"/>
  <c r="BJ49" i="40" s="1"/>
  <c r="BK49" i="40" s="1"/>
  <c r="BL49" i="40" s="1"/>
  <c r="BM49" i="40" s="1"/>
  <c r="BN49" i="40" s="1"/>
  <c r="BO49" i="40" s="1"/>
  <c r="BP49" i="40" s="1"/>
  <c r="BR49" i="40" s="1"/>
  <c r="BS49" i="40" s="1"/>
  <c r="BT49" i="40" s="1"/>
  <c r="BU49" i="40" s="1"/>
  <c r="BV49" i="40" s="1"/>
  <c r="BW49" i="40" s="1"/>
  <c r="BX49" i="40" s="1"/>
  <c r="BY49" i="40" s="1"/>
  <c r="BZ49" i="40" s="1"/>
  <c r="CA49" i="40" s="1"/>
  <c r="CB49" i="40" s="1"/>
  <c r="CC49" i="40" s="1"/>
  <c r="G54" i="40"/>
  <c r="G55" i="40"/>
  <c r="H55" i="40" s="1"/>
  <c r="I55" i="40" s="1"/>
  <c r="J55" i="40" s="1"/>
  <c r="K55" i="40" s="1"/>
  <c r="L55" i="40" s="1"/>
  <c r="M55" i="40" s="1"/>
  <c r="N55" i="40" s="1"/>
  <c r="O55" i="40" s="1"/>
  <c r="P55" i="40" s="1"/>
  <c r="R55" i="40" s="1"/>
  <c r="S55" i="40" s="1"/>
  <c r="T55" i="40" s="1"/>
  <c r="U55" i="40" s="1"/>
  <c r="V55" i="40" s="1"/>
  <c r="W55" i="40" s="1"/>
  <c r="X55" i="40" s="1"/>
  <c r="Y55" i="40" s="1"/>
  <c r="Z55" i="40" s="1"/>
  <c r="AA55" i="40" s="1"/>
  <c r="AB55" i="40" s="1"/>
  <c r="AC55" i="40" s="1"/>
  <c r="AE55" i="40" s="1"/>
  <c r="AF55" i="40" s="1"/>
  <c r="AG55" i="40" s="1"/>
  <c r="AH55" i="40" s="1"/>
  <c r="AI55" i="40" s="1"/>
  <c r="AJ55" i="40" s="1"/>
  <c r="AK55" i="40" s="1"/>
  <c r="AL55" i="40" s="1"/>
  <c r="AM55" i="40" s="1"/>
  <c r="AN55" i="40" s="1"/>
  <c r="AO55" i="40" s="1"/>
  <c r="AP55" i="40" s="1"/>
  <c r="AR55" i="40" s="1"/>
  <c r="AS55" i="40" s="1"/>
  <c r="AT55" i="40" s="1"/>
  <c r="AU55" i="40" s="1"/>
  <c r="AV55" i="40" s="1"/>
  <c r="AW55" i="40" s="1"/>
  <c r="AX55" i="40" s="1"/>
  <c r="AY55" i="40" s="1"/>
  <c r="AZ55" i="40" s="1"/>
  <c r="BA55" i="40" s="1"/>
  <c r="BB55" i="40" s="1"/>
  <c r="BC55" i="40" s="1"/>
  <c r="BE55" i="40" s="1"/>
  <c r="BF55" i="40" s="1"/>
  <c r="BG55" i="40" s="1"/>
  <c r="BH55" i="40" s="1"/>
  <c r="BI55" i="40" s="1"/>
  <c r="BJ55" i="40" s="1"/>
  <c r="BK55" i="40" s="1"/>
  <c r="BL55" i="40" s="1"/>
  <c r="BM55" i="40" s="1"/>
  <c r="BN55" i="40" s="1"/>
  <c r="BO55" i="40" s="1"/>
  <c r="BP55" i="40" s="1"/>
  <c r="BR55" i="40" s="1"/>
  <c r="BS55" i="40" s="1"/>
  <c r="BT55" i="40" s="1"/>
  <c r="BU55" i="40" s="1"/>
  <c r="BV55" i="40" s="1"/>
  <c r="BW55" i="40" s="1"/>
  <c r="BX55" i="40" s="1"/>
  <c r="BY55" i="40" s="1"/>
  <c r="BZ55" i="40" s="1"/>
  <c r="CA55" i="40" s="1"/>
  <c r="CB55" i="40" s="1"/>
  <c r="CC55" i="40" s="1"/>
  <c r="G56" i="40"/>
  <c r="H56" i="40" s="1"/>
  <c r="I56" i="40" s="1"/>
  <c r="J56" i="40" s="1"/>
  <c r="K56" i="40" s="1"/>
  <c r="L56" i="40" s="1"/>
  <c r="M56" i="40" s="1"/>
  <c r="N56" i="40" s="1"/>
  <c r="O56" i="40" s="1"/>
  <c r="P56" i="40" s="1"/>
  <c r="R56" i="40" s="1"/>
  <c r="S56" i="40" s="1"/>
  <c r="T56" i="40" s="1"/>
  <c r="U56" i="40" s="1"/>
  <c r="V56" i="40" s="1"/>
  <c r="W56" i="40" s="1"/>
  <c r="X56" i="40" s="1"/>
  <c r="Y56" i="40" s="1"/>
  <c r="Z56" i="40" s="1"/>
  <c r="AA56" i="40" s="1"/>
  <c r="AB56" i="40" s="1"/>
  <c r="AC56" i="40" s="1"/>
  <c r="AE56" i="40" s="1"/>
  <c r="AF56" i="40" s="1"/>
  <c r="AG56" i="40" s="1"/>
  <c r="AH56" i="40" s="1"/>
  <c r="AI56" i="40" s="1"/>
  <c r="AJ56" i="40" s="1"/>
  <c r="AK56" i="40" s="1"/>
  <c r="AL56" i="40" s="1"/>
  <c r="AM56" i="40" s="1"/>
  <c r="AN56" i="40" s="1"/>
  <c r="AO56" i="40" s="1"/>
  <c r="AP56" i="40" s="1"/>
  <c r="AR56" i="40" s="1"/>
  <c r="AS56" i="40" s="1"/>
  <c r="AT56" i="40" s="1"/>
  <c r="AU56" i="40" s="1"/>
  <c r="AV56" i="40" s="1"/>
  <c r="AW56" i="40" s="1"/>
  <c r="AX56" i="40" s="1"/>
  <c r="AY56" i="40" s="1"/>
  <c r="AZ56" i="40" s="1"/>
  <c r="BA56" i="40" s="1"/>
  <c r="BB56" i="40" s="1"/>
  <c r="BC56" i="40" s="1"/>
  <c r="BE56" i="40" s="1"/>
  <c r="BF56" i="40" s="1"/>
  <c r="BG56" i="40" s="1"/>
  <c r="BH56" i="40" s="1"/>
  <c r="BI56" i="40" s="1"/>
  <c r="BJ56" i="40" s="1"/>
  <c r="BK56" i="40" s="1"/>
  <c r="BL56" i="40" s="1"/>
  <c r="BM56" i="40" s="1"/>
  <c r="BN56" i="40" s="1"/>
  <c r="BO56" i="40" s="1"/>
  <c r="BP56" i="40" s="1"/>
  <c r="BR56" i="40" s="1"/>
  <c r="BS56" i="40" s="1"/>
  <c r="BT56" i="40" s="1"/>
  <c r="BU56" i="40" s="1"/>
  <c r="BV56" i="40" s="1"/>
  <c r="BW56" i="40" s="1"/>
  <c r="BX56" i="40" s="1"/>
  <c r="BY56" i="40" s="1"/>
  <c r="BZ56" i="40" s="1"/>
  <c r="CA56" i="40" s="1"/>
  <c r="CB56" i="40" s="1"/>
  <c r="CC56" i="40" s="1"/>
  <c r="G57" i="40"/>
  <c r="H57" i="40" s="1"/>
  <c r="I57" i="40" s="1"/>
  <c r="J57" i="40" s="1"/>
  <c r="K57" i="40" s="1"/>
  <c r="L57" i="40" s="1"/>
  <c r="M57" i="40" s="1"/>
  <c r="N57" i="40" s="1"/>
  <c r="O57" i="40" s="1"/>
  <c r="P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A57" i="40" s="1"/>
  <c r="AB57" i="40" s="1"/>
  <c r="AC57" i="40" s="1"/>
  <c r="AE57" i="40" s="1"/>
  <c r="AF57" i="40" s="1"/>
  <c r="AG57" i="40" s="1"/>
  <c r="AH57" i="40" s="1"/>
  <c r="AI57" i="40" s="1"/>
  <c r="AJ57" i="40" s="1"/>
  <c r="AK57" i="40" s="1"/>
  <c r="AL57" i="40" s="1"/>
  <c r="AM57" i="40" s="1"/>
  <c r="AN57" i="40" s="1"/>
  <c r="AO57" i="40" s="1"/>
  <c r="AP57" i="40" s="1"/>
  <c r="AR57" i="40" s="1"/>
  <c r="AS57" i="40" s="1"/>
  <c r="AT57" i="40" s="1"/>
  <c r="AU57" i="40" s="1"/>
  <c r="AV57" i="40" s="1"/>
  <c r="AW57" i="40" s="1"/>
  <c r="AX57" i="40" s="1"/>
  <c r="AY57" i="40" s="1"/>
  <c r="AZ57" i="40" s="1"/>
  <c r="BA57" i="40" s="1"/>
  <c r="BB57" i="40" s="1"/>
  <c r="BC57" i="40" s="1"/>
  <c r="BE57" i="40" s="1"/>
  <c r="BF57" i="40" s="1"/>
  <c r="BG57" i="40" s="1"/>
  <c r="BH57" i="40" s="1"/>
  <c r="BI57" i="40" s="1"/>
  <c r="BJ57" i="40" s="1"/>
  <c r="BK57" i="40" s="1"/>
  <c r="BL57" i="40" s="1"/>
  <c r="BM57" i="40" s="1"/>
  <c r="BN57" i="40" s="1"/>
  <c r="BO57" i="40" s="1"/>
  <c r="BP57" i="40" s="1"/>
  <c r="BR57" i="40" s="1"/>
  <c r="BS57" i="40" s="1"/>
  <c r="BT57" i="40" s="1"/>
  <c r="BU57" i="40" s="1"/>
  <c r="BV57" i="40" s="1"/>
  <c r="BW57" i="40" s="1"/>
  <c r="BX57" i="40" s="1"/>
  <c r="BY57" i="40" s="1"/>
  <c r="BZ57" i="40" s="1"/>
  <c r="CA57" i="40" s="1"/>
  <c r="CB57" i="40" s="1"/>
  <c r="CC57" i="40" s="1"/>
  <c r="G58" i="40"/>
  <c r="H58" i="40" s="1"/>
  <c r="I58" i="40" s="1"/>
  <c r="J58" i="40" s="1"/>
  <c r="K58" i="40" s="1"/>
  <c r="L58" i="40" s="1"/>
  <c r="M58" i="40" s="1"/>
  <c r="N58" i="40" s="1"/>
  <c r="O58" i="40" s="1"/>
  <c r="P58" i="40" s="1"/>
  <c r="R58" i="40" s="1"/>
  <c r="S58" i="40" s="1"/>
  <c r="T58" i="40" s="1"/>
  <c r="U58" i="40" s="1"/>
  <c r="V58" i="40" s="1"/>
  <c r="W58" i="40" s="1"/>
  <c r="X58" i="40" s="1"/>
  <c r="Y58" i="40" s="1"/>
  <c r="Z58" i="40" s="1"/>
  <c r="AA58" i="40" s="1"/>
  <c r="AB58" i="40" s="1"/>
  <c r="AC58" i="40" s="1"/>
  <c r="AE58" i="40" s="1"/>
  <c r="AF58" i="40" s="1"/>
  <c r="AG58" i="40" s="1"/>
  <c r="AH58" i="40" s="1"/>
  <c r="AI58" i="40" s="1"/>
  <c r="AJ58" i="40" s="1"/>
  <c r="AK58" i="40" s="1"/>
  <c r="AL58" i="40" s="1"/>
  <c r="AM58" i="40" s="1"/>
  <c r="AN58" i="40" s="1"/>
  <c r="AO58" i="40" s="1"/>
  <c r="AP58" i="40" s="1"/>
  <c r="AR58" i="40" s="1"/>
  <c r="AS58" i="40" s="1"/>
  <c r="AT58" i="40" s="1"/>
  <c r="AU58" i="40" s="1"/>
  <c r="AV58" i="40" s="1"/>
  <c r="AW58" i="40" s="1"/>
  <c r="AX58" i="40" s="1"/>
  <c r="AY58" i="40" s="1"/>
  <c r="AZ58" i="40" s="1"/>
  <c r="BA58" i="40" s="1"/>
  <c r="BB58" i="40" s="1"/>
  <c r="BC58" i="40" s="1"/>
  <c r="BE58" i="40" s="1"/>
  <c r="BF58" i="40" s="1"/>
  <c r="BG58" i="40" s="1"/>
  <c r="BH58" i="40" s="1"/>
  <c r="BI58" i="40" s="1"/>
  <c r="BJ58" i="40" s="1"/>
  <c r="BK58" i="40" s="1"/>
  <c r="BL58" i="40" s="1"/>
  <c r="BM58" i="40" s="1"/>
  <c r="BN58" i="40" s="1"/>
  <c r="BO58" i="40" s="1"/>
  <c r="BP58" i="40" s="1"/>
  <c r="BR58" i="40" s="1"/>
  <c r="BS58" i="40" s="1"/>
  <c r="BT58" i="40" s="1"/>
  <c r="BU58" i="40" s="1"/>
  <c r="BV58" i="40" s="1"/>
  <c r="BW58" i="40" s="1"/>
  <c r="BX58" i="40" s="1"/>
  <c r="BY58" i="40" s="1"/>
  <c r="BZ58" i="40" s="1"/>
  <c r="CA58" i="40" s="1"/>
  <c r="CB58" i="40" s="1"/>
  <c r="CC58" i="40" s="1"/>
  <c r="G59" i="40"/>
  <c r="H59" i="40" s="1"/>
  <c r="I59" i="40" s="1"/>
  <c r="J59" i="40" s="1"/>
  <c r="K59" i="40" s="1"/>
  <c r="L59" i="40" s="1"/>
  <c r="M59" i="40" s="1"/>
  <c r="N59" i="40" s="1"/>
  <c r="O59" i="40" s="1"/>
  <c r="P59" i="40" s="1"/>
  <c r="R59" i="40" s="1"/>
  <c r="S59" i="40" s="1"/>
  <c r="T59" i="40" s="1"/>
  <c r="U59" i="40" s="1"/>
  <c r="V59" i="40" s="1"/>
  <c r="W59" i="40" s="1"/>
  <c r="X59" i="40" s="1"/>
  <c r="Y59" i="40" s="1"/>
  <c r="Z59" i="40" s="1"/>
  <c r="AA59" i="40" s="1"/>
  <c r="AB59" i="40" s="1"/>
  <c r="AC59" i="40" s="1"/>
  <c r="AE59" i="40" s="1"/>
  <c r="AF59" i="40" s="1"/>
  <c r="AG59" i="40" s="1"/>
  <c r="AH59" i="40" s="1"/>
  <c r="AI59" i="40" s="1"/>
  <c r="AJ59" i="40" s="1"/>
  <c r="AK59" i="40" s="1"/>
  <c r="AL59" i="40" s="1"/>
  <c r="AM59" i="40" s="1"/>
  <c r="AN59" i="40" s="1"/>
  <c r="AO59" i="40" s="1"/>
  <c r="AP59" i="40" s="1"/>
  <c r="AR59" i="40" s="1"/>
  <c r="AS59" i="40" s="1"/>
  <c r="AT59" i="40" s="1"/>
  <c r="AU59" i="40" s="1"/>
  <c r="AV59" i="40" s="1"/>
  <c r="AW59" i="40" s="1"/>
  <c r="AX59" i="40" s="1"/>
  <c r="AY59" i="40" s="1"/>
  <c r="AZ59" i="40" s="1"/>
  <c r="BA59" i="40" s="1"/>
  <c r="BB59" i="40" s="1"/>
  <c r="BC59" i="40" s="1"/>
  <c r="BE59" i="40" s="1"/>
  <c r="BF59" i="40" s="1"/>
  <c r="BG59" i="40" s="1"/>
  <c r="BH59" i="40" s="1"/>
  <c r="BI59" i="40" s="1"/>
  <c r="BJ59" i="40" s="1"/>
  <c r="BK59" i="40" s="1"/>
  <c r="BL59" i="40" s="1"/>
  <c r="BM59" i="40" s="1"/>
  <c r="BN59" i="40" s="1"/>
  <c r="BO59" i="40" s="1"/>
  <c r="BP59" i="40" s="1"/>
  <c r="BR59" i="40" s="1"/>
  <c r="BS59" i="40" s="1"/>
  <c r="BT59" i="40" s="1"/>
  <c r="BU59" i="40" s="1"/>
  <c r="BV59" i="40" s="1"/>
  <c r="BW59" i="40" s="1"/>
  <c r="BX59" i="40" s="1"/>
  <c r="BY59" i="40" s="1"/>
  <c r="BZ59" i="40" s="1"/>
  <c r="CA59" i="40" s="1"/>
  <c r="CB59" i="40" s="1"/>
  <c r="CC59" i="40" s="1"/>
  <c r="G60" i="40"/>
  <c r="H60" i="40" s="1"/>
  <c r="I60" i="40" s="1"/>
  <c r="J60" i="40" s="1"/>
  <c r="K60" i="40" s="1"/>
  <c r="L60" i="40" s="1"/>
  <c r="M60" i="40" s="1"/>
  <c r="N60" i="40" s="1"/>
  <c r="O60" i="40" s="1"/>
  <c r="P60" i="40" s="1"/>
  <c r="R60" i="40" s="1"/>
  <c r="S60" i="40" s="1"/>
  <c r="T60" i="40" s="1"/>
  <c r="U60" i="40" s="1"/>
  <c r="V60" i="40" s="1"/>
  <c r="W60" i="40" s="1"/>
  <c r="X60" i="40" s="1"/>
  <c r="Y60" i="40" s="1"/>
  <c r="Z60" i="40" s="1"/>
  <c r="AA60" i="40" s="1"/>
  <c r="AB60" i="40" s="1"/>
  <c r="AC60" i="40" s="1"/>
  <c r="AE60" i="40" s="1"/>
  <c r="AF60" i="40" s="1"/>
  <c r="AG60" i="40" s="1"/>
  <c r="AH60" i="40" s="1"/>
  <c r="AI60" i="40" s="1"/>
  <c r="AJ60" i="40" s="1"/>
  <c r="AK60" i="40" s="1"/>
  <c r="AL60" i="40" s="1"/>
  <c r="AM60" i="40" s="1"/>
  <c r="AN60" i="40" s="1"/>
  <c r="AO60" i="40" s="1"/>
  <c r="AP60" i="40" s="1"/>
  <c r="AR60" i="40" s="1"/>
  <c r="AS60" i="40" s="1"/>
  <c r="AT60" i="40" s="1"/>
  <c r="AU60" i="40" s="1"/>
  <c r="AV60" i="40" s="1"/>
  <c r="AW60" i="40" s="1"/>
  <c r="AX60" i="40" s="1"/>
  <c r="AY60" i="40" s="1"/>
  <c r="AZ60" i="40" s="1"/>
  <c r="BA60" i="40" s="1"/>
  <c r="BB60" i="40" s="1"/>
  <c r="BC60" i="40" s="1"/>
  <c r="BE60" i="40" s="1"/>
  <c r="BF60" i="40" s="1"/>
  <c r="BG60" i="40" s="1"/>
  <c r="BH60" i="40" s="1"/>
  <c r="BI60" i="40" s="1"/>
  <c r="BJ60" i="40" s="1"/>
  <c r="BK60" i="40" s="1"/>
  <c r="BL60" i="40" s="1"/>
  <c r="BM60" i="40" s="1"/>
  <c r="BN60" i="40" s="1"/>
  <c r="BO60" i="40" s="1"/>
  <c r="BP60" i="40" s="1"/>
  <c r="BR60" i="40" s="1"/>
  <c r="BS60" i="40" s="1"/>
  <c r="BT60" i="40" s="1"/>
  <c r="BU60" i="40" s="1"/>
  <c r="BV60" i="40" s="1"/>
  <c r="BW60" i="40" s="1"/>
  <c r="BX60" i="40" s="1"/>
  <c r="BY60" i="40" s="1"/>
  <c r="BZ60" i="40" s="1"/>
  <c r="CA60" i="40" s="1"/>
  <c r="CB60" i="40" s="1"/>
  <c r="CC60" i="40" s="1"/>
  <c r="G61" i="40"/>
  <c r="H61" i="40" s="1"/>
  <c r="I61" i="40" s="1"/>
  <c r="J61" i="40" s="1"/>
  <c r="K61" i="40" s="1"/>
  <c r="L61" i="40" s="1"/>
  <c r="M61" i="40" s="1"/>
  <c r="N61" i="40" s="1"/>
  <c r="O61" i="40" s="1"/>
  <c r="P61" i="40" s="1"/>
  <c r="R61" i="40" s="1"/>
  <c r="S61" i="40" s="1"/>
  <c r="T61" i="40" s="1"/>
  <c r="U61" i="40" s="1"/>
  <c r="V61" i="40" s="1"/>
  <c r="W61" i="40" s="1"/>
  <c r="X61" i="40" s="1"/>
  <c r="Y61" i="40" s="1"/>
  <c r="Z61" i="40" s="1"/>
  <c r="AA61" i="40" s="1"/>
  <c r="AB61" i="40" s="1"/>
  <c r="AC61" i="40" s="1"/>
  <c r="AE61" i="40" s="1"/>
  <c r="AF61" i="40" s="1"/>
  <c r="AG61" i="40" s="1"/>
  <c r="AH61" i="40" s="1"/>
  <c r="AI61" i="40" s="1"/>
  <c r="AJ61" i="40" s="1"/>
  <c r="AK61" i="40" s="1"/>
  <c r="AL61" i="40" s="1"/>
  <c r="AM61" i="40" s="1"/>
  <c r="AN61" i="40" s="1"/>
  <c r="AO61" i="40" s="1"/>
  <c r="AP61" i="40" s="1"/>
  <c r="AR61" i="40" s="1"/>
  <c r="AS61" i="40" s="1"/>
  <c r="AT61" i="40" s="1"/>
  <c r="AU61" i="40" s="1"/>
  <c r="AV61" i="40" s="1"/>
  <c r="AW61" i="40" s="1"/>
  <c r="AX61" i="40" s="1"/>
  <c r="AY61" i="40" s="1"/>
  <c r="AZ61" i="40" s="1"/>
  <c r="BA61" i="40" s="1"/>
  <c r="BB61" i="40" s="1"/>
  <c r="BC61" i="40" s="1"/>
  <c r="BE61" i="40" s="1"/>
  <c r="BF61" i="40" s="1"/>
  <c r="BG61" i="40" s="1"/>
  <c r="BH61" i="40" s="1"/>
  <c r="BI61" i="40" s="1"/>
  <c r="BJ61" i="40" s="1"/>
  <c r="BK61" i="40" s="1"/>
  <c r="BL61" i="40" s="1"/>
  <c r="BM61" i="40" s="1"/>
  <c r="BN61" i="40" s="1"/>
  <c r="BO61" i="40" s="1"/>
  <c r="BP61" i="40" s="1"/>
  <c r="BR61" i="40" s="1"/>
  <c r="BS61" i="40" s="1"/>
  <c r="BT61" i="40" s="1"/>
  <c r="BU61" i="40" s="1"/>
  <c r="BV61" i="40" s="1"/>
  <c r="BW61" i="40" s="1"/>
  <c r="BX61" i="40" s="1"/>
  <c r="BY61" i="40" s="1"/>
  <c r="BZ61" i="40" s="1"/>
  <c r="CA61" i="40" s="1"/>
  <c r="CB61" i="40" s="1"/>
  <c r="CC61" i="40" s="1"/>
  <c r="G62" i="40"/>
  <c r="H62" i="40" s="1"/>
  <c r="I62" i="40" s="1"/>
  <c r="J62" i="40" s="1"/>
  <c r="K62" i="40" s="1"/>
  <c r="L62" i="40" s="1"/>
  <c r="M62" i="40" s="1"/>
  <c r="N62" i="40" s="1"/>
  <c r="O62" i="40" s="1"/>
  <c r="P62" i="40" s="1"/>
  <c r="R62" i="40" s="1"/>
  <c r="S62" i="40" s="1"/>
  <c r="T62" i="40" s="1"/>
  <c r="U62" i="40" s="1"/>
  <c r="V62" i="40" s="1"/>
  <c r="W62" i="40" s="1"/>
  <c r="X62" i="40" s="1"/>
  <c r="Y62" i="40" s="1"/>
  <c r="Z62" i="40" s="1"/>
  <c r="AA62" i="40" s="1"/>
  <c r="AB62" i="40" s="1"/>
  <c r="AC62" i="40" s="1"/>
  <c r="AE62" i="40" s="1"/>
  <c r="AF62" i="40" s="1"/>
  <c r="AG62" i="40" s="1"/>
  <c r="AH62" i="40" s="1"/>
  <c r="AI62" i="40" s="1"/>
  <c r="AJ62" i="40" s="1"/>
  <c r="AK62" i="40" s="1"/>
  <c r="AL62" i="40" s="1"/>
  <c r="AM62" i="40" s="1"/>
  <c r="AN62" i="40" s="1"/>
  <c r="AO62" i="40" s="1"/>
  <c r="AP62" i="40" s="1"/>
  <c r="AR62" i="40" s="1"/>
  <c r="AS62" i="40" s="1"/>
  <c r="AT62" i="40" s="1"/>
  <c r="AU62" i="40" s="1"/>
  <c r="AV62" i="40" s="1"/>
  <c r="AW62" i="40" s="1"/>
  <c r="AX62" i="40" s="1"/>
  <c r="AY62" i="40" s="1"/>
  <c r="AZ62" i="40" s="1"/>
  <c r="BA62" i="40" s="1"/>
  <c r="BB62" i="40" s="1"/>
  <c r="BC62" i="40" s="1"/>
  <c r="BE62" i="40" s="1"/>
  <c r="BF62" i="40" s="1"/>
  <c r="BG62" i="40" s="1"/>
  <c r="BH62" i="40" s="1"/>
  <c r="BI62" i="40" s="1"/>
  <c r="BJ62" i="40" s="1"/>
  <c r="BK62" i="40" s="1"/>
  <c r="BL62" i="40" s="1"/>
  <c r="BM62" i="40" s="1"/>
  <c r="BN62" i="40" s="1"/>
  <c r="BO62" i="40" s="1"/>
  <c r="BP62" i="40" s="1"/>
  <c r="BR62" i="40" s="1"/>
  <c r="BS62" i="40" s="1"/>
  <c r="BT62" i="40" s="1"/>
  <c r="BU62" i="40" s="1"/>
  <c r="BV62" i="40" s="1"/>
  <c r="BW62" i="40" s="1"/>
  <c r="BX62" i="40" s="1"/>
  <c r="BY62" i="40" s="1"/>
  <c r="BZ62" i="40" s="1"/>
  <c r="CA62" i="40" s="1"/>
  <c r="CB62" i="40" s="1"/>
  <c r="CC62" i="40" s="1"/>
  <c r="G63" i="40"/>
  <c r="H63" i="40" s="1"/>
  <c r="I63" i="40" s="1"/>
  <c r="J63" i="40" s="1"/>
  <c r="K63" i="40" s="1"/>
  <c r="L63" i="40" s="1"/>
  <c r="M63" i="40" s="1"/>
  <c r="N63" i="40" s="1"/>
  <c r="O63" i="40" s="1"/>
  <c r="P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E63" i="40" s="1"/>
  <c r="AF63" i="40" s="1"/>
  <c r="AG63" i="40" s="1"/>
  <c r="AH63" i="40" s="1"/>
  <c r="AI63" i="40" s="1"/>
  <c r="AJ63" i="40" s="1"/>
  <c r="AK63" i="40" s="1"/>
  <c r="AL63" i="40" s="1"/>
  <c r="AM63" i="40" s="1"/>
  <c r="AN63" i="40" s="1"/>
  <c r="AO63" i="40" s="1"/>
  <c r="AP63" i="40" s="1"/>
  <c r="AR63" i="40" s="1"/>
  <c r="AS63" i="40" s="1"/>
  <c r="AT63" i="40" s="1"/>
  <c r="AU63" i="40" s="1"/>
  <c r="AV63" i="40" s="1"/>
  <c r="AW63" i="40" s="1"/>
  <c r="AX63" i="40" s="1"/>
  <c r="AY63" i="40" s="1"/>
  <c r="AZ63" i="40" s="1"/>
  <c r="BA63" i="40" s="1"/>
  <c r="BB63" i="40" s="1"/>
  <c r="BC63" i="40" s="1"/>
  <c r="BE63" i="40" s="1"/>
  <c r="BF63" i="40" s="1"/>
  <c r="BG63" i="40" s="1"/>
  <c r="BH63" i="40" s="1"/>
  <c r="BI63" i="40" s="1"/>
  <c r="BJ63" i="40" s="1"/>
  <c r="BK63" i="40" s="1"/>
  <c r="BL63" i="40" s="1"/>
  <c r="BM63" i="40" s="1"/>
  <c r="BN63" i="40" s="1"/>
  <c r="BO63" i="40" s="1"/>
  <c r="BP63" i="40" s="1"/>
  <c r="BR63" i="40" s="1"/>
  <c r="BS63" i="40" s="1"/>
  <c r="BT63" i="40" s="1"/>
  <c r="BU63" i="40" s="1"/>
  <c r="BV63" i="40" s="1"/>
  <c r="BW63" i="40" s="1"/>
  <c r="BX63" i="40" s="1"/>
  <c r="BY63" i="40" s="1"/>
  <c r="BZ63" i="40" s="1"/>
  <c r="CA63" i="40" s="1"/>
  <c r="CB63" i="40" s="1"/>
  <c r="CC63" i="40" s="1"/>
  <c r="G64" i="40"/>
  <c r="H64" i="40" s="1"/>
  <c r="I64" i="40" s="1"/>
  <c r="J64" i="40" s="1"/>
  <c r="K64" i="40" s="1"/>
  <c r="L64" i="40" s="1"/>
  <c r="M64" i="40" s="1"/>
  <c r="N64" i="40" s="1"/>
  <c r="O64" i="40" s="1"/>
  <c r="P64" i="40" s="1"/>
  <c r="R64" i="40" s="1"/>
  <c r="S64" i="40" s="1"/>
  <c r="T64" i="40" s="1"/>
  <c r="U64" i="40" s="1"/>
  <c r="V64" i="40" s="1"/>
  <c r="W64" i="40" s="1"/>
  <c r="X64" i="40" s="1"/>
  <c r="Y64" i="40" s="1"/>
  <c r="Z64" i="40" s="1"/>
  <c r="AA64" i="40" s="1"/>
  <c r="AB64" i="40" s="1"/>
  <c r="AC64" i="40" s="1"/>
  <c r="AE64" i="40" s="1"/>
  <c r="AF64" i="40" s="1"/>
  <c r="AG64" i="40" s="1"/>
  <c r="AH64" i="40" s="1"/>
  <c r="AI64" i="40" s="1"/>
  <c r="AJ64" i="40" s="1"/>
  <c r="AK64" i="40" s="1"/>
  <c r="AL64" i="40" s="1"/>
  <c r="AM64" i="40" s="1"/>
  <c r="AN64" i="40" s="1"/>
  <c r="AO64" i="40" s="1"/>
  <c r="AP64" i="40" s="1"/>
  <c r="AR64" i="40" s="1"/>
  <c r="AS64" i="40" s="1"/>
  <c r="AT64" i="40" s="1"/>
  <c r="AU64" i="40" s="1"/>
  <c r="AV64" i="40" s="1"/>
  <c r="AW64" i="40" s="1"/>
  <c r="AX64" i="40" s="1"/>
  <c r="AY64" i="40" s="1"/>
  <c r="AZ64" i="40" s="1"/>
  <c r="BA64" i="40" s="1"/>
  <c r="BB64" i="40" s="1"/>
  <c r="BC64" i="40" s="1"/>
  <c r="BE64" i="40" s="1"/>
  <c r="BF64" i="40" s="1"/>
  <c r="BG64" i="40" s="1"/>
  <c r="BH64" i="40" s="1"/>
  <c r="BI64" i="40" s="1"/>
  <c r="BJ64" i="40" s="1"/>
  <c r="BK64" i="40" s="1"/>
  <c r="BL64" i="40" s="1"/>
  <c r="BM64" i="40" s="1"/>
  <c r="BN64" i="40" s="1"/>
  <c r="BO64" i="40" s="1"/>
  <c r="BP64" i="40" s="1"/>
  <c r="BR64" i="40" s="1"/>
  <c r="BS64" i="40" s="1"/>
  <c r="BT64" i="40" s="1"/>
  <c r="BU64" i="40" s="1"/>
  <c r="BV64" i="40" s="1"/>
  <c r="BW64" i="40" s="1"/>
  <c r="BX64" i="40" s="1"/>
  <c r="BY64" i="40" s="1"/>
  <c r="BZ64" i="40" s="1"/>
  <c r="CA64" i="40" s="1"/>
  <c r="CB64" i="40" s="1"/>
  <c r="CC64" i="40" s="1"/>
  <c r="AD102" i="40"/>
  <c r="AD82" i="40"/>
  <c r="BD102" i="40"/>
  <c r="CF103" i="40"/>
  <c r="CF115" i="40" s="1"/>
  <c r="CF82" i="40"/>
  <c r="G85" i="40"/>
  <c r="G86" i="40"/>
  <c r="H86" i="40" s="1"/>
  <c r="I86" i="40" s="1"/>
  <c r="J86" i="40" s="1"/>
  <c r="K86" i="40" s="1"/>
  <c r="L86" i="40" s="1"/>
  <c r="M86" i="40" s="1"/>
  <c r="N86" i="40" s="1"/>
  <c r="O86" i="40" s="1"/>
  <c r="P86" i="40" s="1"/>
  <c r="R86" i="40" s="1"/>
  <c r="S86" i="40" s="1"/>
  <c r="T86" i="40" s="1"/>
  <c r="U86" i="40" s="1"/>
  <c r="V86" i="40" s="1"/>
  <c r="W86" i="40" s="1"/>
  <c r="X86" i="40" s="1"/>
  <c r="Y86" i="40" s="1"/>
  <c r="Z86" i="40" s="1"/>
  <c r="AA86" i="40" s="1"/>
  <c r="AB86" i="40" s="1"/>
  <c r="AC86" i="40" s="1"/>
  <c r="AE86" i="40" s="1"/>
  <c r="AF86" i="40" s="1"/>
  <c r="AG86" i="40" s="1"/>
  <c r="AH86" i="40" s="1"/>
  <c r="AI86" i="40" s="1"/>
  <c r="AJ86" i="40" s="1"/>
  <c r="AK86" i="40" s="1"/>
  <c r="AL86" i="40" s="1"/>
  <c r="AM86" i="40" s="1"/>
  <c r="AN86" i="40" s="1"/>
  <c r="AO86" i="40" s="1"/>
  <c r="AP86" i="40" s="1"/>
  <c r="AR86" i="40" s="1"/>
  <c r="AS86" i="40" s="1"/>
  <c r="AT86" i="40" s="1"/>
  <c r="AU86" i="40" s="1"/>
  <c r="AV86" i="40" s="1"/>
  <c r="AW86" i="40" s="1"/>
  <c r="AX86" i="40" s="1"/>
  <c r="AY86" i="40" s="1"/>
  <c r="AZ86" i="40" s="1"/>
  <c r="BA86" i="40" s="1"/>
  <c r="BB86" i="40" s="1"/>
  <c r="BC86" i="40" s="1"/>
  <c r="BE86" i="40" s="1"/>
  <c r="BF86" i="40" s="1"/>
  <c r="BG86" i="40" s="1"/>
  <c r="BH86" i="40" s="1"/>
  <c r="BI86" i="40" s="1"/>
  <c r="BJ86" i="40" s="1"/>
  <c r="BK86" i="40" s="1"/>
  <c r="BL86" i="40" s="1"/>
  <c r="BM86" i="40" s="1"/>
  <c r="BN86" i="40" s="1"/>
  <c r="BO86" i="40" s="1"/>
  <c r="BP86" i="40" s="1"/>
  <c r="BR86" i="40" s="1"/>
  <c r="BS86" i="40" s="1"/>
  <c r="BT86" i="40" s="1"/>
  <c r="BU86" i="40" s="1"/>
  <c r="BV86" i="40" s="1"/>
  <c r="BW86" i="40" s="1"/>
  <c r="BX86" i="40" s="1"/>
  <c r="BY86" i="40" s="1"/>
  <c r="BZ86" i="40" s="1"/>
  <c r="CA86" i="40" s="1"/>
  <c r="CB86" i="40" s="1"/>
  <c r="CC86" i="40" s="1"/>
  <c r="CE88" i="40"/>
  <c r="CE91" i="40"/>
  <c r="AQ98" i="40"/>
  <c r="BD97" i="40"/>
  <c r="CE87" i="40"/>
  <c r="G96" i="40"/>
  <c r="H96" i="40" s="1"/>
  <c r="I96" i="40" s="1"/>
  <c r="J96" i="40" s="1"/>
  <c r="K96" i="40" s="1"/>
  <c r="L96" i="40" s="1"/>
  <c r="M96" i="40" s="1"/>
  <c r="N96" i="40" s="1"/>
  <c r="O96" i="40" s="1"/>
  <c r="P96" i="40" s="1"/>
  <c r="R96" i="40" s="1"/>
  <c r="S96" i="40" s="1"/>
  <c r="T96" i="40" s="1"/>
  <c r="U96" i="40" s="1"/>
  <c r="V96" i="40" s="1"/>
  <c r="W96" i="40" s="1"/>
  <c r="X96" i="40" s="1"/>
  <c r="Y96" i="40" s="1"/>
  <c r="Z96" i="40" s="1"/>
  <c r="AA96" i="40" s="1"/>
  <c r="AB96" i="40" s="1"/>
  <c r="AC96" i="40" s="1"/>
  <c r="AE96" i="40" s="1"/>
  <c r="AF96" i="40" s="1"/>
  <c r="AG96" i="40" s="1"/>
  <c r="AH96" i="40" s="1"/>
  <c r="AI96" i="40" s="1"/>
  <c r="AJ96" i="40" s="1"/>
  <c r="AK96" i="40" s="1"/>
  <c r="AL96" i="40" s="1"/>
  <c r="AM96" i="40" s="1"/>
  <c r="AN96" i="40" s="1"/>
  <c r="AO96" i="40" s="1"/>
  <c r="AP96" i="40" s="1"/>
  <c r="AR96" i="40" s="1"/>
  <c r="AS96" i="40" s="1"/>
  <c r="AT96" i="40" s="1"/>
  <c r="AU96" i="40" s="1"/>
  <c r="AV96" i="40" s="1"/>
  <c r="AW96" i="40" s="1"/>
  <c r="AX96" i="40" s="1"/>
  <c r="AY96" i="40" s="1"/>
  <c r="AZ96" i="40" s="1"/>
  <c r="BA96" i="40" s="1"/>
  <c r="BB96" i="40" s="1"/>
  <c r="BC96" i="40" s="1"/>
  <c r="BE96" i="40" s="1"/>
  <c r="BF96" i="40" s="1"/>
  <c r="BG96" i="40" s="1"/>
  <c r="BH96" i="40" s="1"/>
  <c r="BI96" i="40" s="1"/>
  <c r="BJ96" i="40" s="1"/>
  <c r="BK96" i="40" s="1"/>
  <c r="BL96" i="40" s="1"/>
  <c r="BM96" i="40" s="1"/>
  <c r="BN96" i="40" s="1"/>
  <c r="BO96" i="40" s="1"/>
  <c r="BP96" i="40" s="1"/>
  <c r="BR96" i="40" s="1"/>
  <c r="BS96" i="40" s="1"/>
  <c r="BT96" i="40" s="1"/>
  <c r="BU96" i="40" s="1"/>
  <c r="BV96" i="40" s="1"/>
  <c r="BW96" i="40" s="1"/>
  <c r="BX96" i="40" s="1"/>
  <c r="BY96" i="40" s="1"/>
  <c r="BZ96" i="40" s="1"/>
  <c r="CA96" i="40" s="1"/>
  <c r="CB96" i="40" s="1"/>
  <c r="CC96" i="40" s="1"/>
  <c r="G89" i="40"/>
  <c r="H89" i="40" s="1"/>
  <c r="I89" i="40" s="1"/>
  <c r="J89" i="40" s="1"/>
  <c r="K89" i="40" s="1"/>
  <c r="L89" i="40" s="1"/>
  <c r="M89" i="40" s="1"/>
  <c r="N89" i="40" s="1"/>
  <c r="O89" i="40" s="1"/>
  <c r="P89" i="40" s="1"/>
  <c r="R89" i="40" s="1"/>
  <c r="S89" i="40" s="1"/>
  <c r="T89" i="40" s="1"/>
  <c r="U89" i="40" s="1"/>
  <c r="V89" i="40" s="1"/>
  <c r="W89" i="40" s="1"/>
  <c r="X89" i="40" s="1"/>
  <c r="Y89" i="40" s="1"/>
  <c r="Z89" i="40" s="1"/>
  <c r="AA89" i="40" s="1"/>
  <c r="AB89" i="40" s="1"/>
  <c r="AC89" i="40" s="1"/>
  <c r="AE89" i="40" s="1"/>
  <c r="AF89" i="40" s="1"/>
  <c r="AG89" i="40" s="1"/>
  <c r="AH89" i="40" s="1"/>
  <c r="AI89" i="40" s="1"/>
  <c r="AJ89" i="40" s="1"/>
  <c r="AK89" i="40" s="1"/>
  <c r="AL89" i="40" s="1"/>
  <c r="AM89" i="40" s="1"/>
  <c r="AN89" i="40" s="1"/>
  <c r="AO89" i="40" s="1"/>
  <c r="AP89" i="40" s="1"/>
  <c r="AR89" i="40" s="1"/>
  <c r="AS89" i="40" s="1"/>
  <c r="AT89" i="40" s="1"/>
  <c r="AU89" i="40" s="1"/>
  <c r="AV89" i="40" s="1"/>
  <c r="AW89" i="40" s="1"/>
  <c r="AX89" i="40" s="1"/>
  <c r="AY89" i="40" s="1"/>
  <c r="AZ89" i="40" s="1"/>
  <c r="BA89" i="40" s="1"/>
  <c r="BB89" i="40" s="1"/>
  <c r="BC89" i="40" s="1"/>
  <c r="BE89" i="40" s="1"/>
  <c r="BF89" i="40" s="1"/>
  <c r="BG89" i="40" s="1"/>
  <c r="BH89" i="40" s="1"/>
  <c r="BI89" i="40" s="1"/>
  <c r="BJ89" i="40" s="1"/>
  <c r="BK89" i="40" s="1"/>
  <c r="BL89" i="40" s="1"/>
  <c r="BM89" i="40" s="1"/>
  <c r="BN89" i="40" s="1"/>
  <c r="BO89" i="40" s="1"/>
  <c r="BP89" i="40" s="1"/>
  <c r="BR89" i="40" s="1"/>
  <c r="BS89" i="40" s="1"/>
  <c r="BT89" i="40" s="1"/>
  <c r="BU89" i="40" s="1"/>
  <c r="BV89" i="40" s="1"/>
  <c r="BW89" i="40" s="1"/>
  <c r="BX89" i="40" s="1"/>
  <c r="BY89" i="40" s="1"/>
  <c r="BZ89" i="40" s="1"/>
  <c r="CA89" i="40" s="1"/>
  <c r="CB89" i="40" s="1"/>
  <c r="CC89" i="40" s="1"/>
  <c r="G90" i="40"/>
  <c r="H90" i="40" s="1"/>
  <c r="I90" i="40" s="1"/>
  <c r="J90" i="40" s="1"/>
  <c r="K90" i="40" s="1"/>
  <c r="L90" i="40" s="1"/>
  <c r="M90" i="40" s="1"/>
  <c r="N90" i="40" s="1"/>
  <c r="O90" i="40" s="1"/>
  <c r="P90" i="40" s="1"/>
  <c r="R90" i="40" s="1"/>
  <c r="S90" i="40" s="1"/>
  <c r="T90" i="40" s="1"/>
  <c r="U90" i="40" s="1"/>
  <c r="V90" i="40" s="1"/>
  <c r="W90" i="40" s="1"/>
  <c r="X90" i="40" s="1"/>
  <c r="Y90" i="40" s="1"/>
  <c r="Z90" i="40" s="1"/>
  <c r="AA90" i="40" s="1"/>
  <c r="AB90" i="40" s="1"/>
  <c r="AC90" i="40" s="1"/>
  <c r="AE90" i="40" s="1"/>
  <c r="AF90" i="40" s="1"/>
  <c r="AG90" i="40" s="1"/>
  <c r="AH90" i="40" s="1"/>
  <c r="AI90" i="40" s="1"/>
  <c r="AJ90" i="40" s="1"/>
  <c r="AK90" i="40" s="1"/>
  <c r="AL90" i="40" s="1"/>
  <c r="AM90" i="40" s="1"/>
  <c r="AN90" i="40" s="1"/>
  <c r="AO90" i="40" s="1"/>
  <c r="AP90" i="40" s="1"/>
  <c r="AR90" i="40" s="1"/>
  <c r="AS90" i="40" s="1"/>
  <c r="AT90" i="40" s="1"/>
  <c r="AU90" i="40" s="1"/>
  <c r="AV90" i="40" s="1"/>
  <c r="AW90" i="40" s="1"/>
  <c r="AX90" i="40" s="1"/>
  <c r="AY90" i="40" s="1"/>
  <c r="AZ90" i="40" s="1"/>
  <c r="BA90" i="40" s="1"/>
  <c r="BB90" i="40" s="1"/>
  <c r="BC90" i="40" s="1"/>
  <c r="BE90" i="40" s="1"/>
  <c r="BF90" i="40" s="1"/>
  <c r="BG90" i="40" s="1"/>
  <c r="BH90" i="40" s="1"/>
  <c r="BI90" i="40" s="1"/>
  <c r="BJ90" i="40" s="1"/>
  <c r="BK90" i="40" s="1"/>
  <c r="BL90" i="40" s="1"/>
  <c r="BM90" i="40" s="1"/>
  <c r="BN90" i="40" s="1"/>
  <c r="BO90" i="40" s="1"/>
  <c r="BP90" i="40" s="1"/>
  <c r="BR90" i="40" s="1"/>
  <c r="BS90" i="40" s="1"/>
  <c r="BT90" i="40" s="1"/>
  <c r="BU90" i="40" s="1"/>
  <c r="BV90" i="40" s="1"/>
  <c r="BW90" i="40" s="1"/>
  <c r="BX90" i="40" s="1"/>
  <c r="BY90" i="40" s="1"/>
  <c r="BZ90" i="40" s="1"/>
  <c r="CA90" i="40" s="1"/>
  <c r="CB90" i="40" s="1"/>
  <c r="CC90" i="40" s="1"/>
  <c r="G92" i="40"/>
  <c r="H92" i="40" s="1"/>
  <c r="I92" i="40" s="1"/>
  <c r="J92" i="40" s="1"/>
  <c r="K92" i="40" s="1"/>
  <c r="L92" i="40" s="1"/>
  <c r="M92" i="40" s="1"/>
  <c r="N92" i="40" s="1"/>
  <c r="O92" i="40" s="1"/>
  <c r="P92" i="40" s="1"/>
  <c r="R92" i="40" s="1"/>
  <c r="S92" i="40" s="1"/>
  <c r="T92" i="40" s="1"/>
  <c r="U92" i="40" s="1"/>
  <c r="V92" i="40" s="1"/>
  <c r="W92" i="40" s="1"/>
  <c r="X92" i="40" s="1"/>
  <c r="Y92" i="40" s="1"/>
  <c r="Z92" i="40" s="1"/>
  <c r="AA92" i="40" s="1"/>
  <c r="AB92" i="40" s="1"/>
  <c r="AC92" i="40" s="1"/>
  <c r="AE92" i="40" s="1"/>
  <c r="AF92" i="40" s="1"/>
  <c r="AG92" i="40" s="1"/>
  <c r="AH92" i="40" s="1"/>
  <c r="AI92" i="40" s="1"/>
  <c r="AJ92" i="40" s="1"/>
  <c r="AK92" i="40" s="1"/>
  <c r="AL92" i="40" s="1"/>
  <c r="AM92" i="40" s="1"/>
  <c r="AN92" i="40" s="1"/>
  <c r="AO92" i="40" s="1"/>
  <c r="AP92" i="40" s="1"/>
  <c r="AR92" i="40" s="1"/>
  <c r="AS92" i="40" s="1"/>
  <c r="AT92" i="40" s="1"/>
  <c r="AU92" i="40" s="1"/>
  <c r="AV92" i="40" s="1"/>
  <c r="AW92" i="40" s="1"/>
  <c r="AX92" i="40" s="1"/>
  <c r="AY92" i="40" s="1"/>
  <c r="AZ92" i="40" s="1"/>
  <c r="BA92" i="40" s="1"/>
  <c r="BB92" i="40" s="1"/>
  <c r="BC92" i="40" s="1"/>
  <c r="BE92" i="40" s="1"/>
  <c r="BF92" i="40" s="1"/>
  <c r="BG92" i="40" s="1"/>
  <c r="BH92" i="40" s="1"/>
  <c r="BI92" i="40" s="1"/>
  <c r="BJ92" i="40" s="1"/>
  <c r="BK92" i="40" s="1"/>
  <c r="BL92" i="40" s="1"/>
  <c r="BM92" i="40" s="1"/>
  <c r="BN92" i="40" s="1"/>
  <c r="BO92" i="40" s="1"/>
  <c r="BP92" i="40" s="1"/>
  <c r="BR92" i="40" s="1"/>
  <c r="BS92" i="40" s="1"/>
  <c r="BT92" i="40" s="1"/>
  <c r="BU92" i="40" s="1"/>
  <c r="BV92" i="40" s="1"/>
  <c r="BW92" i="40" s="1"/>
  <c r="BX92" i="40" s="1"/>
  <c r="BY92" i="40" s="1"/>
  <c r="BZ92" i="40" s="1"/>
  <c r="CA92" i="40" s="1"/>
  <c r="CB92" i="40" s="1"/>
  <c r="CC92" i="40" s="1"/>
  <c r="G93" i="40"/>
  <c r="H93" i="40" s="1"/>
  <c r="I93" i="40" s="1"/>
  <c r="J93" i="40" s="1"/>
  <c r="K93" i="40" s="1"/>
  <c r="L93" i="40" s="1"/>
  <c r="M93" i="40" s="1"/>
  <c r="N93" i="40" s="1"/>
  <c r="O93" i="40" s="1"/>
  <c r="P93" i="40" s="1"/>
  <c r="R93" i="40" s="1"/>
  <c r="S93" i="40" s="1"/>
  <c r="T93" i="40" s="1"/>
  <c r="U93" i="40" s="1"/>
  <c r="V93" i="40" s="1"/>
  <c r="W93" i="40" s="1"/>
  <c r="X93" i="40" s="1"/>
  <c r="Y93" i="40" s="1"/>
  <c r="Z93" i="40" s="1"/>
  <c r="AA93" i="40" s="1"/>
  <c r="AB93" i="40" s="1"/>
  <c r="AC93" i="40" s="1"/>
  <c r="AE93" i="40" s="1"/>
  <c r="AF93" i="40" s="1"/>
  <c r="AG93" i="40" s="1"/>
  <c r="AH93" i="40" s="1"/>
  <c r="AI93" i="40" s="1"/>
  <c r="AJ93" i="40" s="1"/>
  <c r="AK93" i="40" s="1"/>
  <c r="AL93" i="40" s="1"/>
  <c r="AM93" i="40" s="1"/>
  <c r="AN93" i="40" s="1"/>
  <c r="AO93" i="40" s="1"/>
  <c r="AP93" i="40" s="1"/>
  <c r="AR93" i="40" s="1"/>
  <c r="AS93" i="40" s="1"/>
  <c r="AT93" i="40" s="1"/>
  <c r="AU93" i="40" s="1"/>
  <c r="AV93" i="40" s="1"/>
  <c r="AW93" i="40" s="1"/>
  <c r="AX93" i="40" s="1"/>
  <c r="AY93" i="40" s="1"/>
  <c r="AZ93" i="40" s="1"/>
  <c r="BA93" i="40" s="1"/>
  <c r="BB93" i="40" s="1"/>
  <c r="BC93" i="40" s="1"/>
  <c r="BE93" i="40" s="1"/>
  <c r="BF93" i="40" s="1"/>
  <c r="BG93" i="40" s="1"/>
  <c r="BH93" i="40" s="1"/>
  <c r="BI93" i="40" s="1"/>
  <c r="BJ93" i="40" s="1"/>
  <c r="BK93" i="40" s="1"/>
  <c r="BL93" i="40" s="1"/>
  <c r="BM93" i="40" s="1"/>
  <c r="BN93" i="40" s="1"/>
  <c r="BO93" i="40" s="1"/>
  <c r="BP93" i="40" s="1"/>
  <c r="BR93" i="40" s="1"/>
  <c r="BS93" i="40" s="1"/>
  <c r="BT93" i="40" s="1"/>
  <c r="BU93" i="40" s="1"/>
  <c r="BV93" i="40" s="1"/>
  <c r="BW93" i="40" s="1"/>
  <c r="BX93" i="40" s="1"/>
  <c r="BY93" i="40" s="1"/>
  <c r="BZ93" i="40" s="1"/>
  <c r="CA93" i="40" s="1"/>
  <c r="CB93" i="40" s="1"/>
  <c r="CC93" i="40" s="1"/>
  <c r="G94" i="40"/>
  <c r="H94" i="40" s="1"/>
  <c r="I94" i="40" s="1"/>
  <c r="J94" i="40" s="1"/>
  <c r="K94" i="40" s="1"/>
  <c r="L94" i="40" s="1"/>
  <c r="M94" i="40" s="1"/>
  <c r="N94" i="40" s="1"/>
  <c r="O94" i="40" s="1"/>
  <c r="P94" i="40" s="1"/>
  <c r="R94" i="40" s="1"/>
  <c r="S94" i="40" s="1"/>
  <c r="T94" i="40" s="1"/>
  <c r="U94" i="40" s="1"/>
  <c r="V94" i="40" s="1"/>
  <c r="W94" i="40" s="1"/>
  <c r="X94" i="40" s="1"/>
  <c r="Y94" i="40" s="1"/>
  <c r="Z94" i="40" s="1"/>
  <c r="AA94" i="40" s="1"/>
  <c r="AB94" i="40" s="1"/>
  <c r="AC94" i="40" s="1"/>
  <c r="AE94" i="40" s="1"/>
  <c r="AF94" i="40" s="1"/>
  <c r="AG94" i="40" s="1"/>
  <c r="AH94" i="40" s="1"/>
  <c r="AI94" i="40" s="1"/>
  <c r="AJ94" i="40" s="1"/>
  <c r="AK94" i="40" s="1"/>
  <c r="AL94" i="40" s="1"/>
  <c r="AM94" i="40" s="1"/>
  <c r="AN94" i="40" s="1"/>
  <c r="AO94" i="40" s="1"/>
  <c r="AP94" i="40" s="1"/>
  <c r="AR94" i="40" s="1"/>
  <c r="AS94" i="40" s="1"/>
  <c r="AT94" i="40" s="1"/>
  <c r="AU94" i="40" s="1"/>
  <c r="AV94" i="40" s="1"/>
  <c r="AW94" i="40" s="1"/>
  <c r="AX94" i="40" s="1"/>
  <c r="AY94" i="40" s="1"/>
  <c r="AZ94" i="40" s="1"/>
  <c r="BA94" i="40" s="1"/>
  <c r="BB94" i="40" s="1"/>
  <c r="BC94" i="40" s="1"/>
  <c r="BE94" i="40" s="1"/>
  <c r="BF94" i="40" s="1"/>
  <c r="BG94" i="40" s="1"/>
  <c r="BH94" i="40" s="1"/>
  <c r="BI94" i="40" s="1"/>
  <c r="BJ94" i="40" s="1"/>
  <c r="BK94" i="40" s="1"/>
  <c r="BL94" i="40" s="1"/>
  <c r="BM94" i="40" s="1"/>
  <c r="BN94" i="40" s="1"/>
  <c r="BO94" i="40" s="1"/>
  <c r="BP94" i="40" s="1"/>
  <c r="BR94" i="40" s="1"/>
  <c r="BS94" i="40" s="1"/>
  <c r="BT94" i="40" s="1"/>
  <c r="BU94" i="40" s="1"/>
  <c r="BV94" i="40" s="1"/>
  <c r="BW94" i="40" s="1"/>
  <c r="BX94" i="40" s="1"/>
  <c r="BY94" i="40" s="1"/>
  <c r="BZ94" i="40" s="1"/>
  <c r="CA94" i="40" s="1"/>
  <c r="CB94" i="40" s="1"/>
  <c r="CC94" i="40" s="1"/>
  <c r="G95" i="40"/>
  <c r="H95" i="40" s="1"/>
  <c r="I95" i="40" s="1"/>
  <c r="J95" i="40" s="1"/>
  <c r="K95" i="40" s="1"/>
  <c r="L95" i="40" s="1"/>
  <c r="M95" i="40" s="1"/>
  <c r="N95" i="40" s="1"/>
  <c r="O95" i="40" s="1"/>
  <c r="P95" i="40" s="1"/>
  <c r="R95" i="40" s="1"/>
  <c r="S95" i="40" s="1"/>
  <c r="T95" i="40" s="1"/>
  <c r="U95" i="40" s="1"/>
  <c r="V95" i="40" s="1"/>
  <c r="W95" i="40" s="1"/>
  <c r="X95" i="40" s="1"/>
  <c r="Y95" i="40" s="1"/>
  <c r="Z95" i="40" s="1"/>
  <c r="AA95" i="40" s="1"/>
  <c r="AB95" i="40" s="1"/>
  <c r="AC95" i="40" s="1"/>
  <c r="AE95" i="40" s="1"/>
  <c r="AF95" i="40" s="1"/>
  <c r="AG95" i="40" s="1"/>
  <c r="AH95" i="40" s="1"/>
  <c r="AI95" i="40" s="1"/>
  <c r="AJ95" i="40" s="1"/>
  <c r="AK95" i="40" s="1"/>
  <c r="AL95" i="40" s="1"/>
  <c r="AM95" i="40" s="1"/>
  <c r="AN95" i="40" s="1"/>
  <c r="AO95" i="40" s="1"/>
  <c r="AP95" i="40" s="1"/>
  <c r="AR95" i="40" s="1"/>
  <c r="AS95" i="40" s="1"/>
  <c r="AT95" i="40" s="1"/>
  <c r="AU95" i="40" s="1"/>
  <c r="AV95" i="40" s="1"/>
  <c r="AW95" i="40" s="1"/>
  <c r="AX95" i="40" s="1"/>
  <c r="AY95" i="40" s="1"/>
  <c r="AZ95" i="40" s="1"/>
  <c r="BA95" i="40" s="1"/>
  <c r="BB95" i="40" s="1"/>
  <c r="BC95" i="40" s="1"/>
  <c r="BE95" i="40" s="1"/>
  <c r="BF95" i="40" s="1"/>
  <c r="BG95" i="40" s="1"/>
  <c r="BH95" i="40" s="1"/>
  <c r="BI95" i="40" s="1"/>
  <c r="BJ95" i="40" s="1"/>
  <c r="BK95" i="40" s="1"/>
  <c r="BL95" i="40" s="1"/>
  <c r="BM95" i="40" s="1"/>
  <c r="BN95" i="40" s="1"/>
  <c r="BO95" i="40" s="1"/>
  <c r="BP95" i="40" s="1"/>
  <c r="BR95" i="40" s="1"/>
  <c r="BS95" i="40" s="1"/>
  <c r="BT95" i="40" s="1"/>
  <c r="BU95" i="40" s="1"/>
  <c r="BV95" i="40" s="1"/>
  <c r="BW95" i="40" s="1"/>
  <c r="BX95" i="40" s="1"/>
  <c r="BY95" i="40" s="1"/>
  <c r="BZ95" i="40" s="1"/>
  <c r="CA95" i="40" s="1"/>
  <c r="CB95" i="40" s="1"/>
  <c r="CC95" i="40" s="1"/>
  <c r="DR31" i="47" l="1"/>
  <c r="DR32" i="47" s="1"/>
  <c r="DE32" i="47"/>
  <c r="AI172" i="47"/>
  <c r="AJ128" i="47"/>
  <c r="AJ183" i="47" s="1"/>
  <c r="AK23" i="47"/>
  <c r="AJ129" i="47"/>
  <c r="AK24" i="47"/>
  <c r="AI170" i="47"/>
  <c r="AK16" i="47"/>
  <c r="AJ121" i="47"/>
  <c r="AI175" i="47"/>
  <c r="AK122" i="47"/>
  <c r="AK177" i="47" s="1"/>
  <c r="AL17" i="47"/>
  <c r="AL9" i="47"/>
  <c r="AK118" i="47"/>
  <c r="AK173" i="47" s="1"/>
  <c r="AL13" i="47"/>
  <c r="AJ186" i="47"/>
  <c r="AL134" i="47"/>
  <c r="AL189" i="47" s="1"/>
  <c r="AM29" i="47"/>
  <c r="AK27" i="47"/>
  <c r="AJ132" i="47"/>
  <c r="AI183" i="47"/>
  <c r="AK116" i="47"/>
  <c r="AK171" i="47" s="1"/>
  <c r="AL11" i="47"/>
  <c r="AJ173" i="47"/>
  <c r="AK110" i="47"/>
  <c r="AL87" i="47"/>
  <c r="AV66" i="47"/>
  <c r="AU84" i="47"/>
  <c r="AI137" i="47"/>
  <c r="AI168" i="47"/>
  <c r="AX61" i="47"/>
  <c r="AJ119" i="47"/>
  <c r="AK14" i="47"/>
  <c r="AH192" i="47"/>
  <c r="AH194" i="47" s="1"/>
  <c r="AH196" i="47" s="1"/>
  <c r="AJ127" i="47"/>
  <c r="AJ182" i="47" s="1"/>
  <c r="AK22" i="47"/>
  <c r="AI169" i="47"/>
  <c r="AJ171" i="47"/>
  <c r="AJ117" i="47"/>
  <c r="AJ172" i="47" s="1"/>
  <c r="AK12" i="47"/>
  <c r="AJ123" i="47"/>
  <c r="AK18" i="47"/>
  <c r="AJ125" i="47"/>
  <c r="AK20" i="47"/>
  <c r="BI135" i="47"/>
  <c r="BI190" i="47" s="1"/>
  <c r="BJ56" i="47"/>
  <c r="AL25" i="47"/>
  <c r="AK130" i="47"/>
  <c r="AI182" i="47"/>
  <c r="AJ115" i="47"/>
  <c r="AJ170" i="47" s="1"/>
  <c r="AK10" i="47"/>
  <c r="AJ124" i="47"/>
  <c r="AJ179" i="47" s="1"/>
  <c r="AK19" i="47"/>
  <c r="AJ58" i="47"/>
  <c r="AK35" i="47"/>
  <c r="AJ120" i="47"/>
  <c r="AJ175" i="47" s="1"/>
  <c r="AK15" i="47"/>
  <c r="AJ113" i="47"/>
  <c r="AK7" i="47"/>
  <c r="AJ32" i="47"/>
  <c r="AK131" i="47"/>
  <c r="AK186" i="47" s="1"/>
  <c r="AL26" i="47"/>
  <c r="AJ133" i="47"/>
  <c r="AJ188" i="47" s="1"/>
  <c r="AK28" i="47"/>
  <c r="AK126" i="47"/>
  <c r="AK181" i="47" s="1"/>
  <c r="AL21" i="47"/>
  <c r="AJ164" i="47"/>
  <c r="AK140" i="47"/>
  <c r="F82" i="40"/>
  <c r="F104" i="40"/>
  <c r="F115" i="40" s="1"/>
  <c r="F117" i="40" s="1"/>
  <c r="F119" i="40" s="1"/>
  <c r="I20" i="40"/>
  <c r="J20" i="40" s="1"/>
  <c r="CE96" i="40"/>
  <c r="CE41" i="40"/>
  <c r="G98" i="40"/>
  <c r="H85" i="40"/>
  <c r="G51" i="40"/>
  <c r="H39" i="40"/>
  <c r="G36" i="40"/>
  <c r="H24" i="40"/>
  <c r="G80" i="40"/>
  <c r="G113" i="40" s="1"/>
  <c r="H19" i="40"/>
  <c r="G79" i="40"/>
  <c r="H18" i="40"/>
  <c r="G78" i="40"/>
  <c r="H17" i="40"/>
  <c r="G77" i="40"/>
  <c r="H16" i="40"/>
  <c r="G76" i="40"/>
  <c r="H15" i="40"/>
  <c r="G75" i="40"/>
  <c r="H14" i="40"/>
  <c r="G74" i="40"/>
  <c r="H13" i="40"/>
  <c r="G73" i="40"/>
  <c r="H12" i="40"/>
  <c r="G72" i="40"/>
  <c r="H11" i="40"/>
  <c r="G71" i="40"/>
  <c r="H10" i="40"/>
  <c r="G70" i="40"/>
  <c r="H9" i="40"/>
  <c r="G69" i="40"/>
  <c r="G21" i="40"/>
  <c r="H7" i="40"/>
  <c r="CE93" i="40"/>
  <c r="CE92" i="40"/>
  <c r="CE89" i="40"/>
  <c r="CE86" i="40"/>
  <c r="CE61" i="40"/>
  <c r="CE57" i="40"/>
  <c r="CE49" i="40"/>
  <c r="CE47" i="40"/>
  <c r="CE45" i="40"/>
  <c r="CE43" i="40"/>
  <c r="CE62" i="40"/>
  <c r="CE58" i="40"/>
  <c r="CE32" i="40"/>
  <c r="CE28" i="40"/>
  <c r="CE33" i="40"/>
  <c r="CE29" i="40"/>
  <c r="CE25" i="40"/>
  <c r="BQ97" i="40"/>
  <c r="BD98" i="40"/>
  <c r="G66" i="40"/>
  <c r="H54" i="40"/>
  <c r="E115" i="40"/>
  <c r="E117" i="40" s="1"/>
  <c r="E119" i="40" s="1"/>
  <c r="BQ65" i="40"/>
  <c r="BD66" i="40"/>
  <c r="BQ50" i="40"/>
  <c r="BD51" i="40"/>
  <c r="AE80" i="40"/>
  <c r="AE113" i="40" s="1"/>
  <c r="AF34" i="40"/>
  <c r="BD36" i="40"/>
  <c r="BQ35" i="40"/>
  <c r="I81" i="40"/>
  <c r="I114" i="40" s="1"/>
  <c r="CE95" i="40"/>
  <c r="CE90" i="40"/>
  <c r="CE94" i="40"/>
  <c r="CE63" i="40"/>
  <c r="CE59" i="40"/>
  <c r="CE55" i="40"/>
  <c r="CE48" i="40"/>
  <c r="CE46" i="40"/>
  <c r="CE44" i="40"/>
  <c r="CE42" i="40"/>
  <c r="CE64" i="40"/>
  <c r="CE60" i="40"/>
  <c r="CE56" i="40"/>
  <c r="CE30" i="40"/>
  <c r="CE26" i="40"/>
  <c r="CE31" i="40"/>
  <c r="CE27" i="40"/>
  <c r="AJ184" i="47" l="1"/>
  <c r="AL131" i="47"/>
  <c r="AL186" i="47" s="1"/>
  <c r="AM26" i="47"/>
  <c r="AK113" i="47"/>
  <c r="AK32" i="47"/>
  <c r="AL7" i="47"/>
  <c r="AK185" i="47"/>
  <c r="AK127" i="47"/>
  <c r="AL22" i="47"/>
  <c r="AK119" i="47"/>
  <c r="AK174" i="47" s="1"/>
  <c r="AL14" i="47"/>
  <c r="AK132" i="47"/>
  <c r="AK187" i="47" s="1"/>
  <c r="AL27" i="47"/>
  <c r="AK121" i="47"/>
  <c r="AK176" i="47" s="1"/>
  <c r="AL16" i="47"/>
  <c r="AK129" i="47"/>
  <c r="AL24" i="47"/>
  <c r="AK133" i="47"/>
  <c r="AL28" i="47"/>
  <c r="AJ168" i="47"/>
  <c r="AJ137" i="47"/>
  <c r="AL35" i="47"/>
  <c r="AK58" i="47"/>
  <c r="AL130" i="47"/>
  <c r="AL185" i="47" s="1"/>
  <c r="AM25" i="47"/>
  <c r="AK123" i="47"/>
  <c r="AK178" i="47" s="1"/>
  <c r="AL18" i="47"/>
  <c r="AJ174" i="47"/>
  <c r="AW66" i="47"/>
  <c r="AV84" i="47"/>
  <c r="AM134" i="47"/>
  <c r="AM189" i="47" s="1"/>
  <c r="AN29" i="47"/>
  <c r="AK114" i="47"/>
  <c r="AK115" i="47"/>
  <c r="AL10" i="47"/>
  <c r="AK125" i="47"/>
  <c r="AK180" i="47" s="1"/>
  <c r="AL20" i="47"/>
  <c r="AJ178" i="47"/>
  <c r="AI192" i="47"/>
  <c r="AI194" i="47" s="1"/>
  <c r="AI196" i="47" s="1"/>
  <c r="AL110" i="47"/>
  <c r="AM87" i="47"/>
  <c r="AL118" i="47"/>
  <c r="AM13" i="47"/>
  <c r="AM9" i="47"/>
  <c r="AK128" i="47"/>
  <c r="AL23" i="47"/>
  <c r="AK164" i="47"/>
  <c r="AL140" i="47"/>
  <c r="AL126" i="47"/>
  <c r="AL181" i="47" s="1"/>
  <c r="AM21" i="47"/>
  <c r="AL15" i="47"/>
  <c r="AK120" i="47"/>
  <c r="AK175" i="47" s="1"/>
  <c r="AK124" i="47"/>
  <c r="AK179" i="47" s="1"/>
  <c r="AL19" i="47"/>
  <c r="BJ135" i="47"/>
  <c r="BJ190" i="47" s="1"/>
  <c r="BK56" i="47"/>
  <c r="AJ180" i="47"/>
  <c r="AK117" i="47"/>
  <c r="AL12" i="47"/>
  <c r="AY61" i="47"/>
  <c r="AL116" i="47"/>
  <c r="AL171" i="47" s="1"/>
  <c r="AM11" i="47"/>
  <c r="AJ187" i="47"/>
  <c r="AM17" i="47"/>
  <c r="AL122" i="47"/>
  <c r="AL177" i="47" s="1"/>
  <c r="AJ176" i="47"/>
  <c r="J81" i="40"/>
  <c r="J114" i="40" s="1"/>
  <c r="K20" i="40"/>
  <c r="BQ36" i="40"/>
  <c r="CD35" i="40"/>
  <c r="AF80" i="40"/>
  <c r="AF113" i="40" s="1"/>
  <c r="AG34" i="40"/>
  <c r="H66" i="40"/>
  <c r="I54" i="40"/>
  <c r="H69" i="40"/>
  <c r="H21" i="40"/>
  <c r="I7" i="40"/>
  <c r="G102" i="40"/>
  <c r="G82" i="40"/>
  <c r="G103" i="40"/>
  <c r="G104" i="40"/>
  <c r="G105" i="40"/>
  <c r="G106" i="40"/>
  <c r="G107" i="40"/>
  <c r="G108" i="40"/>
  <c r="G109" i="40"/>
  <c r="G110" i="40"/>
  <c r="G111" i="40"/>
  <c r="G112" i="40"/>
  <c r="BQ51" i="40"/>
  <c r="CD50" i="40"/>
  <c r="CD51" i="40" s="1"/>
  <c r="BQ66" i="40"/>
  <c r="CD65" i="40"/>
  <c r="CD66" i="40" s="1"/>
  <c r="BQ98" i="40"/>
  <c r="CD97" i="40"/>
  <c r="H70" i="40"/>
  <c r="H103" i="40" s="1"/>
  <c r="I9" i="40"/>
  <c r="H71" i="40"/>
  <c r="H104" i="40" s="1"/>
  <c r="I10" i="40"/>
  <c r="H72" i="40"/>
  <c r="H105" i="40" s="1"/>
  <c r="I11" i="40"/>
  <c r="H73" i="40"/>
  <c r="H106" i="40" s="1"/>
  <c r="I12" i="40"/>
  <c r="H74" i="40"/>
  <c r="H107" i="40" s="1"/>
  <c r="I13" i="40"/>
  <c r="H75" i="40"/>
  <c r="H108" i="40" s="1"/>
  <c r="I14" i="40"/>
  <c r="H76" i="40"/>
  <c r="H109" i="40" s="1"/>
  <c r="I15" i="40"/>
  <c r="H77" i="40"/>
  <c r="H110" i="40" s="1"/>
  <c r="I16" i="40"/>
  <c r="H78" i="40"/>
  <c r="H111" i="40" s="1"/>
  <c r="I17" i="40"/>
  <c r="H79" i="40"/>
  <c r="H112" i="40" s="1"/>
  <c r="I18" i="40"/>
  <c r="H80" i="40"/>
  <c r="H113" i="40" s="1"/>
  <c r="I19" i="40"/>
  <c r="H36" i="40"/>
  <c r="I24" i="40"/>
  <c r="H51" i="40"/>
  <c r="I39" i="40"/>
  <c r="H98" i="40"/>
  <c r="I85" i="40"/>
  <c r="AK172" i="47" l="1"/>
  <c r="AM122" i="47"/>
  <c r="AM177" i="47" s="1"/>
  <c r="AN17" i="47"/>
  <c r="AM12" i="47"/>
  <c r="AL117" i="47"/>
  <c r="AL172" i="47" s="1"/>
  <c r="AL124" i="47"/>
  <c r="AL179" i="47" s="1"/>
  <c r="AM19" i="47"/>
  <c r="AL164" i="47"/>
  <c r="AM140" i="47"/>
  <c r="AM118" i="47"/>
  <c r="AM173" i="47" s="1"/>
  <c r="AN13" i="47"/>
  <c r="AM110" i="47"/>
  <c r="AN87" i="47"/>
  <c r="AL125" i="47"/>
  <c r="AL180" i="47" s="1"/>
  <c r="AM20" i="47"/>
  <c r="AK170" i="47"/>
  <c r="AK169" i="47"/>
  <c r="AL123" i="47"/>
  <c r="AL178" i="47" s="1"/>
  <c r="AM18" i="47"/>
  <c r="AJ192" i="47"/>
  <c r="AJ194" i="47" s="1"/>
  <c r="AJ196" i="47" s="1"/>
  <c r="AK168" i="47"/>
  <c r="AK137" i="47"/>
  <c r="AM116" i="47"/>
  <c r="AM171" i="47" s="1"/>
  <c r="AN11" i="47"/>
  <c r="AZ61" i="47"/>
  <c r="BK135" i="47"/>
  <c r="BK190" i="47" s="1"/>
  <c r="BL56" i="47"/>
  <c r="AM126" i="47"/>
  <c r="AM181" i="47" s="1"/>
  <c r="AN21" i="47"/>
  <c r="AL173" i="47"/>
  <c r="AN134" i="47"/>
  <c r="AN189" i="47" s="1"/>
  <c r="AO29" i="47"/>
  <c r="AL129" i="47"/>
  <c r="AL184" i="47" s="1"/>
  <c r="AM24" i="47"/>
  <c r="AL132" i="47"/>
  <c r="AM27" i="47"/>
  <c r="AL127" i="47"/>
  <c r="AL182" i="47" s="1"/>
  <c r="AM22" i="47"/>
  <c r="AM131" i="47"/>
  <c r="AM186" i="47" s="1"/>
  <c r="AN26" i="47"/>
  <c r="AL128" i="47"/>
  <c r="AL183" i="47" s="1"/>
  <c r="AM23" i="47"/>
  <c r="AN9" i="47"/>
  <c r="AX66" i="47"/>
  <c r="AW84" i="47"/>
  <c r="AM130" i="47"/>
  <c r="AN25" i="47"/>
  <c r="AM35" i="47"/>
  <c r="AL58" i="47"/>
  <c r="AL133" i="47"/>
  <c r="AL188" i="47" s="1"/>
  <c r="AM28" i="47"/>
  <c r="AK184" i="47"/>
  <c r="AK182" i="47"/>
  <c r="AL32" i="47"/>
  <c r="AL113" i="47"/>
  <c r="AM7" i="47"/>
  <c r="AL120" i="47"/>
  <c r="AL175" i="47" s="1"/>
  <c r="AM15" i="47"/>
  <c r="AK183" i="47"/>
  <c r="AL114" i="47"/>
  <c r="AL169" i="47" s="1"/>
  <c r="AL115" i="47"/>
  <c r="AL170" i="47" s="1"/>
  <c r="AM10" i="47"/>
  <c r="AK188" i="47"/>
  <c r="AL121" i="47"/>
  <c r="AL176" i="47" s="1"/>
  <c r="AM16" i="47"/>
  <c r="AL119" i="47"/>
  <c r="AM14" i="47"/>
  <c r="I98" i="40"/>
  <c r="J85" i="40"/>
  <c r="I36" i="40"/>
  <c r="J24" i="40"/>
  <c r="I51" i="40"/>
  <c r="J39" i="40"/>
  <c r="I79" i="40"/>
  <c r="I112" i="40" s="1"/>
  <c r="J18" i="40"/>
  <c r="I77" i="40"/>
  <c r="I110" i="40" s="1"/>
  <c r="J16" i="40"/>
  <c r="G115" i="40"/>
  <c r="G117" i="40" s="1"/>
  <c r="G119" i="40" s="1"/>
  <c r="I80" i="40"/>
  <c r="I113" i="40" s="1"/>
  <c r="J19" i="40"/>
  <c r="I78" i="40"/>
  <c r="I111" i="40" s="1"/>
  <c r="J17" i="40"/>
  <c r="I76" i="40"/>
  <c r="I109" i="40" s="1"/>
  <c r="J15" i="40"/>
  <c r="I75" i="40"/>
  <c r="I108" i="40" s="1"/>
  <c r="J14" i="40"/>
  <c r="I74" i="40"/>
  <c r="I107" i="40" s="1"/>
  <c r="J13" i="40"/>
  <c r="I73" i="40"/>
  <c r="I106" i="40" s="1"/>
  <c r="J12" i="40"/>
  <c r="I72" i="40"/>
  <c r="I105" i="40" s="1"/>
  <c r="J11" i="40"/>
  <c r="I71" i="40"/>
  <c r="I104" i="40" s="1"/>
  <c r="J10" i="40"/>
  <c r="I70" i="40"/>
  <c r="I103" i="40" s="1"/>
  <c r="J9" i="40"/>
  <c r="CD114" i="40"/>
  <c r="CD98" i="40"/>
  <c r="I69" i="40"/>
  <c r="I21" i="40"/>
  <c r="J7" i="40"/>
  <c r="H102" i="40"/>
  <c r="H115" i="40" s="1"/>
  <c r="H117" i="40" s="1"/>
  <c r="H119" i="40" s="1"/>
  <c r="H82" i="40"/>
  <c r="I66" i="40"/>
  <c r="J54" i="40"/>
  <c r="AG80" i="40"/>
  <c r="AG113" i="40" s="1"/>
  <c r="AH34" i="40"/>
  <c r="CD80" i="40"/>
  <c r="CD36" i="40"/>
  <c r="K81" i="40"/>
  <c r="K114" i="40" s="1"/>
  <c r="L20" i="40"/>
  <c r="AM120" i="47" l="1"/>
  <c r="AM175" i="47" s="1"/>
  <c r="AN15" i="47"/>
  <c r="AM58" i="47"/>
  <c r="AN35" i="47"/>
  <c r="AN114" i="47" s="1"/>
  <c r="AN169" i="47" s="1"/>
  <c r="AY66" i="47"/>
  <c r="AX84" i="47"/>
  <c r="AO9" i="47"/>
  <c r="AM123" i="47"/>
  <c r="AM178" i="47" s="1"/>
  <c r="AN18" i="47"/>
  <c r="AN118" i="47"/>
  <c r="AN173" i="47" s="1"/>
  <c r="AO13" i="47"/>
  <c r="AM124" i="47"/>
  <c r="AM179" i="47" s="1"/>
  <c r="AN19" i="47"/>
  <c r="AM117" i="47"/>
  <c r="AM172" i="47" s="1"/>
  <c r="AN12" i="47"/>
  <c r="AM119" i="47"/>
  <c r="AM174" i="47" s="1"/>
  <c r="AN14" i="47"/>
  <c r="AM115" i="47"/>
  <c r="AN10" i="47"/>
  <c r="AM133" i="47"/>
  <c r="AM188" i="47" s="1"/>
  <c r="AN28" i="47"/>
  <c r="AN130" i="47"/>
  <c r="AN185" i="47" s="1"/>
  <c r="AO25" i="47"/>
  <c r="AM114" i="47"/>
  <c r="AM169" i="47" s="1"/>
  <c r="AN131" i="47"/>
  <c r="AN186" i="47" s="1"/>
  <c r="AO26" i="47"/>
  <c r="AM132" i="47"/>
  <c r="AM187" i="47" s="1"/>
  <c r="AN27" i="47"/>
  <c r="AO134" i="47"/>
  <c r="AO189" i="47" s="1"/>
  <c r="AP29" i="47"/>
  <c r="BL135" i="47"/>
  <c r="BL190" i="47" s="1"/>
  <c r="BM56" i="47"/>
  <c r="AO11" i="47"/>
  <c r="AN116" i="47"/>
  <c r="AN171" i="47" s="1"/>
  <c r="AK192" i="47"/>
  <c r="AK194" i="47" s="1"/>
  <c r="AK196" i="47" s="1"/>
  <c r="AO87" i="47"/>
  <c r="AN110" i="47"/>
  <c r="AN122" i="47"/>
  <c r="AN177" i="47" s="1"/>
  <c r="AO17" i="47"/>
  <c r="AL174" i="47"/>
  <c r="AM113" i="47"/>
  <c r="AM32" i="47"/>
  <c r="AN7" i="47"/>
  <c r="AM185" i="47"/>
  <c r="AM128" i="47"/>
  <c r="AN23" i="47"/>
  <c r="AL187" i="47"/>
  <c r="AN126" i="47"/>
  <c r="AN181" i="47" s="1"/>
  <c r="AO21" i="47"/>
  <c r="AN140" i="47"/>
  <c r="AM164" i="47"/>
  <c r="AM121" i="47"/>
  <c r="AM176" i="47" s="1"/>
  <c r="AN16" i="47"/>
  <c r="AL168" i="47"/>
  <c r="AL137" i="47"/>
  <c r="AM127" i="47"/>
  <c r="AM182" i="47" s="1"/>
  <c r="AN22" i="47"/>
  <c r="AM129" i="47"/>
  <c r="AM184" i="47" s="1"/>
  <c r="AN24" i="47"/>
  <c r="BA61" i="47"/>
  <c r="AM125" i="47"/>
  <c r="AM180" i="47" s="1"/>
  <c r="AN20" i="47"/>
  <c r="AH80" i="40"/>
  <c r="AH113" i="40" s="1"/>
  <c r="AI34" i="40"/>
  <c r="J66" i="40"/>
  <c r="K54" i="40"/>
  <c r="J75" i="40"/>
  <c r="J108" i="40" s="1"/>
  <c r="K14" i="40"/>
  <c r="J78" i="40"/>
  <c r="K17" i="40"/>
  <c r="J80" i="40"/>
  <c r="J113" i="40" s="1"/>
  <c r="K19" i="40"/>
  <c r="J98" i="40"/>
  <c r="K85" i="40"/>
  <c r="CD113" i="40"/>
  <c r="CD82" i="40"/>
  <c r="J71" i="40"/>
  <c r="J104" i="40" s="1"/>
  <c r="K10" i="40"/>
  <c r="J73" i="40"/>
  <c r="J106" i="40" s="1"/>
  <c r="K12" i="40"/>
  <c r="J76" i="40"/>
  <c r="K15" i="40"/>
  <c r="L81" i="40"/>
  <c r="L114" i="40" s="1"/>
  <c r="M20" i="40"/>
  <c r="J69" i="40"/>
  <c r="J21" i="40"/>
  <c r="K7" i="40"/>
  <c r="I102" i="40"/>
  <c r="I115" i="40" s="1"/>
  <c r="I117" i="40" s="1"/>
  <c r="I119" i="40" s="1"/>
  <c r="I82" i="40"/>
  <c r="J70" i="40"/>
  <c r="J103" i="40" s="1"/>
  <c r="K9" i="40"/>
  <c r="J72" i="40"/>
  <c r="J105" i="40" s="1"/>
  <c r="K11" i="40"/>
  <c r="J74" i="40"/>
  <c r="J107" i="40" s="1"/>
  <c r="K13" i="40"/>
  <c r="J77" i="40"/>
  <c r="J110" i="40" s="1"/>
  <c r="K16" i="40"/>
  <c r="J79" i="40"/>
  <c r="J112" i="40" s="1"/>
  <c r="K18" i="40"/>
  <c r="J51" i="40"/>
  <c r="K39" i="40"/>
  <c r="J36" i="40"/>
  <c r="K24" i="40"/>
  <c r="BB61" i="47" l="1"/>
  <c r="AN127" i="47"/>
  <c r="AN182" i="47" s="1"/>
  <c r="AO22" i="47"/>
  <c r="AN121" i="47"/>
  <c r="AN176" i="47" s="1"/>
  <c r="AO16" i="47"/>
  <c r="AM168" i="47"/>
  <c r="AM137" i="47"/>
  <c r="AP134" i="47"/>
  <c r="AP189" i="47" s="1"/>
  <c r="AQ29" i="47"/>
  <c r="AP26" i="47"/>
  <c r="AO131" i="47"/>
  <c r="AO186" i="47" s="1"/>
  <c r="AN125" i="47"/>
  <c r="AN180" i="47" s="1"/>
  <c r="AO20" i="47"/>
  <c r="AO126" i="47"/>
  <c r="AO181" i="47" s="1"/>
  <c r="AP21" i="47"/>
  <c r="AN128" i="47"/>
  <c r="AN183" i="47" s="1"/>
  <c r="AO23" i="47"/>
  <c r="AO116" i="47"/>
  <c r="AO171" i="47" s="1"/>
  <c r="AP11" i="47"/>
  <c r="AN115" i="47"/>
  <c r="AN170" i="47" s="1"/>
  <c r="AO10" i="47"/>
  <c r="AN117" i="47"/>
  <c r="AN172" i="47" s="1"/>
  <c r="AO12" i="47"/>
  <c r="AO118" i="47"/>
  <c r="AO173" i="47" s="1"/>
  <c r="AP13" i="47"/>
  <c r="AP9" i="47"/>
  <c r="AZ66" i="47"/>
  <c r="AY84" i="47"/>
  <c r="AN120" i="47"/>
  <c r="AN175" i="47" s="1"/>
  <c r="AO15" i="47"/>
  <c r="AN129" i="47"/>
  <c r="AN184" i="47" s="1"/>
  <c r="AO24" i="47"/>
  <c r="AM183" i="47"/>
  <c r="AN113" i="47"/>
  <c r="AN32" i="47"/>
  <c r="AO7" i="47"/>
  <c r="AO110" i="47"/>
  <c r="AP87" i="47"/>
  <c r="BM135" i="47"/>
  <c r="BM190" i="47" s="1"/>
  <c r="BN56" i="47"/>
  <c r="AN132" i="47"/>
  <c r="AN187" i="47" s="1"/>
  <c r="AO27" i="47"/>
  <c r="AN133" i="47"/>
  <c r="AN188" i="47" s="1"/>
  <c r="AO28" i="47"/>
  <c r="AM170" i="47"/>
  <c r="AN58" i="47"/>
  <c r="AO35" i="47"/>
  <c r="AO114" i="47" s="1"/>
  <c r="AO169" i="47" s="1"/>
  <c r="AL192" i="47"/>
  <c r="AL194" i="47" s="1"/>
  <c r="AL196" i="47" s="1"/>
  <c r="AN164" i="47"/>
  <c r="AO140" i="47"/>
  <c r="AO122" i="47"/>
  <c r="AO177" i="47" s="1"/>
  <c r="AP17" i="47"/>
  <c r="AO130" i="47"/>
  <c r="AO185" i="47" s="1"/>
  <c r="AP25" i="47"/>
  <c r="AN119" i="47"/>
  <c r="AN174" i="47" s="1"/>
  <c r="AO14" i="47"/>
  <c r="AN124" i="47"/>
  <c r="AN179" i="47" s="1"/>
  <c r="AO19" i="47"/>
  <c r="AN123" i="47"/>
  <c r="AN178" i="47" s="1"/>
  <c r="AO18" i="47"/>
  <c r="K51" i="40"/>
  <c r="L39" i="40"/>
  <c r="K77" i="40"/>
  <c r="L16" i="40"/>
  <c r="K74" i="40"/>
  <c r="L13" i="40"/>
  <c r="K72" i="40"/>
  <c r="K105" i="40" s="1"/>
  <c r="L11" i="40"/>
  <c r="K70" i="40"/>
  <c r="L9" i="40"/>
  <c r="K76" i="40"/>
  <c r="K109" i="40" s="1"/>
  <c r="L15" i="40"/>
  <c r="K71" i="40"/>
  <c r="L10" i="40"/>
  <c r="J111" i="40"/>
  <c r="K66" i="40"/>
  <c r="L54" i="40"/>
  <c r="AI80" i="40"/>
  <c r="AI113" i="40" s="1"/>
  <c r="AJ34" i="40"/>
  <c r="M81" i="40"/>
  <c r="M114" i="40" s="1"/>
  <c r="N20" i="40"/>
  <c r="K73" i="40"/>
  <c r="L12" i="40"/>
  <c r="K36" i="40"/>
  <c r="L24" i="40"/>
  <c r="K79" i="40"/>
  <c r="L18" i="40"/>
  <c r="K69" i="40"/>
  <c r="K21" i="40"/>
  <c r="L7" i="40"/>
  <c r="J102" i="40"/>
  <c r="J82" i="40"/>
  <c r="J109" i="40"/>
  <c r="K98" i="40"/>
  <c r="L85" i="40"/>
  <c r="K80" i="40"/>
  <c r="K113" i="40" s="1"/>
  <c r="L19" i="40"/>
  <c r="K78" i="40"/>
  <c r="K111" i="40" s="1"/>
  <c r="L17" i="40"/>
  <c r="K75" i="40"/>
  <c r="L14" i="40"/>
  <c r="AO124" i="47" l="1"/>
  <c r="AO179" i="47" s="1"/>
  <c r="AP19" i="47"/>
  <c r="AP130" i="47"/>
  <c r="AP185" i="47" s="1"/>
  <c r="AQ25" i="47"/>
  <c r="AO164" i="47"/>
  <c r="AP140" i="47"/>
  <c r="BN135" i="47"/>
  <c r="BN190" i="47" s="1"/>
  <c r="BO56" i="47"/>
  <c r="AO113" i="47"/>
  <c r="AP7" i="47"/>
  <c r="AO32" i="47"/>
  <c r="AP131" i="47"/>
  <c r="AP186" i="47" s="1"/>
  <c r="AQ26" i="47"/>
  <c r="AM192" i="47"/>
  <c r="AM194" i="47" s="1"/>
  <c r="AM196" i="47" s="1"/>
  <c r="AO132" i="47"/>
  <c r="AO187" i="47" s="1"/>
  <c r="AP27" i="47"/>
  <c r="AO129" i="47"/>
  <c r="AO184" i="47" s="1"/>
  <c r="AP24" i="47"/>
  <c r="AP118" i="47"/>
  <c r="AP173" i="47" s="1"/>
  <c r="AQ13" i="47"/>
  <c r="AO115" i="47"/>
  <c r="AO170" i="47" s="1"/>
  <c r="AP10" i="47"/>
  <c r="AO128" i="47"/>
  <c r="AO183" i="47" s="1"/>
  <c r="AP23" i="47"/>
  <c r="AO125" i="47"/>
  <c r="AO180" i="47" s="1"/>
  <c r="AP20" i="47"/>
  <c r="AQ134" i="47"/>
  <c r="L39" i="45" s="1"/>
  <c r="AS29" i="47"/>
  <c r="AO121" i="47"/>
  <c r="AO176" i="47" s="1"/>
  <c r="AP16" i="47"/>
  <c r="AO123" i="47"/>
  <c r="AO178" i="47" s="1"/>
  <c r="AP18" i="47"/>
  <c r="AO119" i="47"/>
  <c r="AO174" i="47" s="1"/>
  <c r="AP14" i="47"/>
  <c r="AP122" i="47"/>
  <c r="AP177" i="47" s="1"/>
  <c r="AQ17" i="47"/>
  <c r="AP110" i="47"/>
  <c r="AQ87" i="47"/>
  <c r="AN168" i="47"/>
  <c r="AN192" i="47" s="1"/>
  <c r="AN194" i="47" s="1"/>
  <c r="AN196" i="47" s="1"/>
  <c r="AN137" i="47"/>
  <c r="BA66" i="47"/>
  <c r="AZ84" i="47"/>
  <c r="BC61" i="47"/>
  <c r="AP35" i="47"/>
  <c r="AO58" i="47"/>
  <c r="AO133" i="47"/>
  <c r="AO188" i="47" s="1"/>
  <c r="AP28" i="47"/>
  <c r="AO120" i="47"/>
  <c r="AO175" i="47" s="1"/>
  <c r="AP15" i="47"/>
  <c r="AQ9" i="47"/>
  <c r="AO117" i="47"/>
  <c r="AO172" i="47" s="1"/>
  <c r="AP12" i="47"/>
  <c r="AP116" i="47"/>
  <c r="AP171" i="47" s="1"/>
  <c r="AQ11" i="47"/>
  <c r="AP126" i="47"/>
  <c r="AP181" i="47" s="1"/>
  <c r="AQ21" i="47"/>
  <c r="AO127" i="47"/>
  <c r="AO182" i="47" s="1"/>
  <c r="AP22" i="47"/>
  <c r="K108" i="40"/>
  <c r="L69" i="40"/>
  <c r="L21" i="40"/>
  <c r="M7" i="40"/>
  <c r="K102" i="40"/>
  <c r="K82" i="40"/>
  <c r="K112" i="40"/>
  <c r="L36" i="40"/>
  <c r="M24" i="40"/>
  <c r="L73" i="40"/>
  <c r="L106" i="40" s="1"/>
  <c r="M12" i="40"/>
  <c r="N81" i="40"/>
  <c r="N114" i="40" s="1"/>
  <c r="O20" i="40"/>
  <c r="AJ80" i="40"/>
  <c r="AJ113" i="40" s="1"/>
  <c r="AK34" i="40"/>
  <c r="L66" i="40"/>
  <c r="M54" i="40"/>
  <c r="L71" i="40"/>
  <c r="L104" i="40" s="1"/>
  <c r="M10" i="40"/>
  <c r="L76" i="40"/>
  <c r="M15" i="40"/>
  <c r="K103" i="40"/>
  <c r="L72" i="40"/>
  <c r="L105" i="40" s="1"/>
  <c r="M11" i="40"/>
  <c r="K107" i="40"/>
  <c r="K110" i="40"/>
  <c r="J115" i="40"/>
  <c r="J117" i="40" s="1"/>
  <c r="J119" i="40" s="1"/>
  <c r="L75" i="40"/>
  <c r="L108" i="40" s="1"/>
  <c r="M14" i="40"/>
  <c r="L78" i="40"/>
  <c r="L111" i="40" s="1"/>
  <c r="M17" i="40"/>
  <c r="L80" i="40"/>
  <c r="L113" i="40" s="1"/>
  <c r="M19" i="40"/>
  <c r="L98" i="40"/>
  <c r="M85" i="40"/>
  <c r="L79" i="40"/>
  <c r="L112" i="40" s="1"/>
  <c r="M18" i="40"/>
  <c r="K106" i="40"/>
  <c r="K104" i="40"/>
  <c r="L70" i="40"/>
  <c r="L103" i="40" s="1"/>
  <c r="M9" i="40"/>
  <c r="L74" i="40"/>
  <c r="L107" i="40" s="1"/>
  <c r="M13" i="40"/>
  <c r="L77" i="40"/>
  <c r="L110" i="40" s="1"/>
  <c r="M16" i="40"/>
  <c r="L51" i="40"/>
  <c r="M39" i="40"/>
  <c r="AQ35" i="47" l="1"/>
  <c r="AP58" i="47"/>
  <c r="AQ110" i="47"/>
  <c r="AS87" i="47"/>
  <c r="AP119" i="47"/>
  <c r="AP174" i="47" s="1"/>
  <c r="AQ14" i="47"/>
  <c r="AP121" i="47"/>
  <c r="AP176" i="47" s="1"/>
  <c r="AQ16" i="47"/>
  <c r="AQ189" i="47"/>
  <c r="AP127" i="47"/>
  <c r="AP182" i="47" s="1"/>
  <c r="AQ22" i="47"/>
  <c r="AQ116" i="47"/>
  <c r="L21" i="45" s="1"/>
  <c r="AS11" i="47"/>
  <c r="AQ114" i="47"/>
  <c r="AS9" i="47"/>
  <c r="AP133" i="47"/>
  <c r="AP188" i="47" s="1"/>
  <c r="AQ28" i="47"/>
  <c r="BB66" i="47"/>
  <c r="BA84" i="47"/>
  <c r="AP125" i="47"/>
  <c r="AP180" i="47" s="1"/>
  <c r="AQ20" i="47"/>
  <c r="AP115" i="47"/>
  <c r="AP170" i="47" s="1"/>
  <c r="AQ10" i="47"/>
  <c r="AP129" i="47"/>
  <c r="AP184" i="47" s="1"/>
  <c r="AQ24" i="47"/>
  <c r="AP32" i="47"/>
  <c r="AP113" i="47"/>
  <c r="AQ7" i="47"/>
  <c r="AP164" i="47"/>
  <c r="AQ140" i="47"/>
  <c r="M18" i="45" s="1"/>
  <c r="AP124" i="47"/>
  <c r="AP179" i="47" s="1"/>
  <c r="AQ19" i="47"/>
  <c r="AP114" i="47"/>
  <c r="AP169" i="47" s="1"/>
  <c r="BD61" i="47"/>
  <c r="AQ122" i="47"/>
  <c r="L27" i="45" s="1"/>
  <c r="AS17" i="47"/>
  <c r="AP123" i="47"/>
  <c r="AP178" i="47" s="1"/>
  <c r="AQ18" i="47"/>
  <c r="AQ131" i="47"/>
  <c r="L36" i="45" s="1"/>
  <c r="AS26" i="47"/>
  <c r="AO168" i="47"/>
  <c r="AO192" i="47" s="1"/>
  <c r="AO194" i="47" s="1"/>
  <c r="AO196" i="47" s="1"/>
  <c r="AO137" i="47"/>
  <c r="AQ126" i="47"/>
  <c r="L31" i="45" s="1"/>
  <c r="AS21" i="47"/>
  <c r="AP117" i="47"/>
  <c r="AP172" i="47" s="1"/>
  <c r="AQ12" i="47"/>
  <c r="AP120" i="47"/>
  <c r="AP175" i="47" s="1"/>
  <c r="AQ15" i="47"/>
  <c r="AT29" i="47"/>
  <c r="AS134" i="47"/>
  <c r="AP128" i="47"/>
  <c r="AP183" i="47" s="1"/>
  <c r="AQ23" i="47"/>
  <c r="AQ118" i="47"/>
  <c r="L23" i="45" s="1"/>
  <c r="AS13" i="47"/>
  <c r="AP132" i="47"/>
  <c r="AP187" i="47" s="1"/>
  <c r="AQ27" i="47"/>
  <c r="BO135" i="47"/>
  <c r="BO190" i="47" s="1"/>
  <c r="BP56" i="47"/>
  <c r="AQ130" i="47"/>
  <c r="L35" i="45" s="1"/>
  <c r="AS25" i="47"/>
  <c r="M51" i="40"/>
  <c r="N39" i="40"/>
  <c r="M77" i="40"/>
  <c r="M110" i="40" s="1"/>
  <c r="N16" i="40"/>
  <c r="M74" i="40"/>
  <c r="M107" i="40" s="1"/>
  <c r="N13" i="40"/>
  <c r="M70" i="40"/>
  <c r="M103" i="40" s="1"/>
  <c r="N9" i="40"/>
  <c r="M98" i="40"/>
  <c r="N85" i="40"/>
  <c r="M80" i="40"/>
  <c r="M113" i="40" s="1"/>
  <c r="N19" i="40"/>
  <c r="M78" i="40"/>
  <c r="M111" i="40" s="1"/>
  <c r="N17" i="40"/>
  <c r="M72" i="40"/>
  <c r="M105" i="40" s="1"/>
  <c r="N11" i="40"/>
  <c r="M76" i="40"/>
  <c r="M109" i="40" s="1"/>
  <c r="N15" i="40"/>
  <c r="M71" i="40"/>
  <c r="M104" i="40" s="1"/>
  <c r="N10" i="40"/>
  <c r="M66" i="40"/>
  <c r="N54" i="40"/>
  <c r="AK80" i="40"/>
  <c r="AK113" i="40" s="1"/>
  <c r="AL34" i="40"/>
  <c r="O81" i="40"/>
  <c r="O114" i="40" s="1"/>
  <c r="P20" i="40"/>
  <c r="M69" i="40"/>
  <c r="M21" i="40"/>
  <c r="N7" i="40"/>
  <c r="L102" i="40"/>
  <c r="L82" i="40"/>
  <c r="M79" i="40"/>
  <c r="M112" i="40" s="1"/>
  <c r="N18" i="40"/>
  <c r="M75" i="40"/>
  <c r="M108" i="40" s="1"/>
  <c r="N14" i="40"/>
  <c r="L109" i="40"/>
  <c r="M73" i="40"/>
  <c r="M106" i="40" s="1"/>
  <c r="N12" i="40"/>
  <c r="M36" i="40"/>
  <c r="N24" i="40"/>
  <c r="K115" i="40"/>
  <c r="K117" i="40" s="1"/>
  <c r="K119" i="40" s="1"/>
  <c r="AS189" i="47" l="1"/>
  <c r="L19" i="45"/>
  <c r="BP135" i="47"/>
  <c r="BP190" i="47" s="1"/>
  <c r="BQ56" i="47"/>
  <c r="AS126" i="47"/>
  <c r="AT21" i="47"/>
  <c r="BF61" i="47"/>
  <c r="AP137" i="47"/>
  <c r="AP168" i="47"/>
  <c r="AP192" i="47" s="1"/>
  <c r="AP194" i="47" s="1"/>
  <c r="AP196" i="47" s="1"/>
  <c r="AQ115" i="47"/>
  <c r="L20" i="45" s="1"/>
  <c r="AS10" i="47"/>
  <c r="AS116" i="47"/>
  <c r="AT11" i="47"/>
  <c r="AQ119" i="47"/>
  <c r="L24" i="45" s="1"/>
  <c r="AS14" i="47"/>
  <c r="AS118" i="47"/>
  <c r="AT13" i="47"/>
  <c r="AQ117" i="47"/>
  <c r="L22" i="45" s="1"/>
  <c r="AS12" i="47"/>
  <c r="AQ181" i="47"/>
  <c r="AS131" i="47"/>
  <c r="AT26" i="47"/>
  <c r="AQ164" i="47"/>
  <c r="AS140" i="47"/>
  <c r="BC66" i="47"/>
  <c r="BB84" i="47"/>
  <c r="AT9" i="47"/>
  <c r="AQ171" i="47"/>
  <c r="AS130" i="47"/>
  <c r="AT25" i="47"/>
  <c r="AQ132" i="47"/>
  <c r="L37" i="45" s="1"/>
  <c r="AS27" i="47"/>
  <c r="AQ173" i="47"/>
  <c r="AT134" i="47"/>
  <c r="AU29" i="47"/>
  <c r="AQ186" i="47"/>
  <c r="AS122" i="47"/>
  <c r="AT17" i="47"/>
  <c r="AQ129" i="47"/>
  <c r="L34" i="45" s="1"/>
  <c r="AS24" i="47"/>
  <c r="AQ125" i="47"/>
  <c r="L30" i="45" s="1"/>
  <c r="AS20" i="47"/>
  <c r="AQ133" i="47"/>
  <c r="L38" i="45" s="1"/>
  <c r="AS28" i="47"/>
  <c r="AQ169" i="47"/>
  <c r="AQ127" i="47"/>
  <c r="L32" i="45" s="1"/>
  <c r="AS22" i="47"/>
  <c r="AQ121" i="47"/>
  <c r="L26" i="45" s="1"/>
  <c r="AS16" i="47"/>
  <c r="AQ58" i="47"/>
  <c r="AS35" i="47"/>
  <c r="AQ185" i="47"/>
  <c r="AQ128" i="47"/>
  <c r="L33" i="45" s="1"/>
  <c r="AS23" i="47"/>
  <c r="AQ120" i="47"/>
  <c r="L25" i="45" s="1"/>
  <c r="AS15" i="47"/>
  <c r="AQ123" i="47"/>
  <c r="L28" i="45" s="1"/>
  <c r="AS18" i="47"/>
  <c r="AQ177" i="47"/>
  <c r="AQ124" i="47"/>
  <c r="L29" i="45" s="1"/>
  <c r="AS19" i="47"/>
  <c r="AQ32" i="47"/>
  <c r="AQ113" i="47"/>
  <c r="L18" i="45" s="1"/>
  <c r="AS7" i="47"/>
  <c r="AS110" i="47"/>
  <c r="AT87" i="47"/>
  <c r="N36" i="40"/>
  <c r="O24" i="40"/>
  <c r="N73" i="40"/>
  <c r="N106" i="40" s="1"/>
  <c r="O12" i="40"/>
  <c r="N75" i="40"/>
  <c r="N108" i="40" s="1"/>
  <c r="O14" i="40"/>
  <c r="N79" i="40"/>
  <c r="N112" i="40" s="1"/>
  <c r="O18" i="40"/>
  <c r="P81" i="40"/>
  <c r="P114" i="40" s="1"/>
  <c r="R20" i="40"/>
  <c r="AL80" i="40"/>
  <c r="AL113" i="40" s="1"/>
  <c r="AM34" i="40"/>
  <c r="N70" i="40"/>
  <c r="N103" i="40" s="1"/>
  <c r="O9" i="40"/>
  <c r="N77" i="40"/>
  <c r="N110" i="40" s="1"/>
  <c r="O16" i="40"/>
  <c r="N69" i="40"/>
  <c r="N21" i="40"/>
  <c r="O7" i="40"/>
  <c r="M102" i="40"/>
  <c r="M115" i="40" s="1"/>
  <c r="M117" i="40" s="1"/>
  <c r="M119" i="40" s="1"/>
  <c r="M82" i="40"/>
  <c r="N66" i="40"/>
  <c r="O54" i="40"/>
  <c r="N71" i="40"/>
  <c r="N104" i="40" s="1"/>
  <c r="O10" i="40"/>
  <c r="N76" i="40"/>
  <c r="N109" i="40" s="1"/>
  <c r="O15" i="40"/>
  <c r="N72" i="40"/>
  <c r="N105" i="40" s="1"/>
  <c r="O11" i="40"/>
  <c r="N78" i="40"/>
  <c r="N111" i="40" s="1"/>
  <c r="O17" i="40"/>
  <c r="N80" i="40"/>
  <c r="N113" i="40" s="1"/>
  <c r="O19" i="40"/>
  <c r="N98" i="40"/>
  <c r="O85" i="40"/>
  <c r="N74" i="40"/>
  <c r="N107" i="40" s="1"/>
  <c r="O13" i="40"/>
  <c r="N51" i="40"/>
  <c r="O39" i="40"/>
  <c r="L115" i="40"/>
  <c r="L117" i="40" s="1"/>
  <c r="L119" i="40" s="1"/>
  <c r="AS177" i="47" l="1"/>
  <c r="AS185" i="47"/>
  <c r="AS186" i="47"/>
  <c r="AS181" i="47"/>
  <c r="AS173" i="47"/>
  <c r="AS171" i="47"/>
  <c r="AS127" i="47"/>
  <c r="AT22" i="47"/>
  <c r="AS125" i="47"/>
  <c r="AT20" i="47"/>
  <c r="AQ184" i="47"/>
  <c r="AQ187" i="47"/>
  <c r="AT118" i="47"/>
  <c r="AU13" i="47"/>
  <c r="AQ174" i="47"/>
  <c r="AS115" i="47"/>
  <c r="AT10" i="47"/>
  <c r="AT110" i="47"/>
  <c r="AU87" i="47"/>
  <c r="AS113" i="47"/>
  <c r="AS32" i="47"/>
  <c r="AT7" i="47"/>
  <c r="AS124" i="47"/>
  <c r="AT19" i="47"/>
  <c r="AS128" i="47"/>
  <c r="AT23" i="47"/>
  <c r="AS121" i="47"/>
  <c r="AT16" i="47"/>
  <c r="AQ182" i="47"/>
  <c r="AS133" i="47"/>
  <c r="AT28" i="47"/>
  <c r="AQ180" i="47"/>
  <c r="AT122" i="47"/>
  <c r="AT177" i="47" s="1"/>
  <c r="AU17" i="47"/>
  <c r="AU25" i="47"/>
  <c r="AT130" i="47"/>
  <c r="AT185" i="47" s="1"/>
  <c r="BD66" i="47"/>
  <c r="BC84" i="47"/>
  <c r="AT131" i="47"/>
  <c r="AT186" i="47" s="1"/>
  <c r="AU26" i="47"/>
  <c r="AT116" i="47"/>
  <c r="AU11" i="47"/>
  <c r="AQ170" i="47"/>
  <c r="BG61" i="47"/>
  <c r="BQ135" i="47"/>
  <c r="BQ190" i="47" s="1"/>
  <c r="BS56" i="47"/>
  <c r="AQ137" i="47"/>
  <c r="AQ168" i="47"/>
  <c r="AQ179" i="47"/>
  <c r="AS123" i="47"/>
  <c r="AT18" i="47"/>
  <c r="AS120" i="47"/>
  <c r="AT15" i="47"/>
  <c r="AQ183" i="47"/>
  <c r="AS58" i="47"/>
  <c r="AT35" i="47"/>
  <c r="AT114" i="47" s="1"/>
  <c r="AT169" i="47" s="1"/>
  <c r="AQ176" i="47"/>
  <c r="AQ188" i="47"/>
  <c r="AU134" i="47"/>
  <c r="AU189" i="47" s="1"/>
  <c r="AV29" i="47"/>
  <c r="AS114" i="47"/>
  <c r="AS117" i="47"/>
  <c r="AT12" i="47"/>
  <c r="AQ178" i="47"/>
  <c r="AQ175" i="47"/>
  <c r="AS129" i="47"/>
  <c r="AT24" i="47"/>
  <c r="AT189" i="47"/>
  <c r="AT27" i="47"/>
  <c r="AS132" i="47"/>
  <c r="AU9" i="47"/>
  <c r="AS164" i="47"/>
  <c r="AT140" i="47"/>
  <c r="AQ172" i="47"/>
  <c r="AS119" i="47"/>
  <c r="AT14" i="47"/>
  <c r="AT126" i="47"/>
  <c r="AT181" i="47" s="1"/>
  <c r="AU21" i="47"/>
  <c r="O51" i="40"/>
  <c r="P39" i="40"/>
  <c r="O74" i="40"/>
  <c r="O107" i="40" s="1"/>
  <c r="P13" i="40"/>
  <c r="O98" i="40"/>
  <c r="P85" i="40"/>
  <c r="O80" i="40"/>
  <c r="O113" i="40" s="1"/>
  <c r="P19" i="40"/>
  <c r="O78" i="40"/>
  <c r="O111" i="40" s="1"/>
  <c r="P17" i="40"/>
  <c r="O72" i="40"/>
  <c r="O105" i="40" s="1"/>
  <c r="P11" i="40"/>
  <c r="O76" i="40"/>
  <c r="O109" i="40" s="1"/>
  <c r="P15" i="40"/>
  <c r="O71" i="40"/>
  <c r="O104" i="40" s="1"/>
  <c r="P10" i="40"/>
  <c r="O66" i="40"/>
  <c r="P54" i="40"/>
  <c r="O77" i="40"/>
  <c r="O110" i="40" s="1"/>
  <c r="P16" i="40"/>
  <c r="O70" i="40"/>
  <c r="O103" i="40" s="1"/>
  <c r="P9" i="40"/>
  <c r="AM80" i="40"/>
  <c r="AM113" i="40" s="1"/>
  <c r="AN34" i="40"/>
  <c r="R81" i="40"/>
  <c r="R114" i="40" s="1"/>
  <c r="S20" i="40"/>
  <c r="O69" i="40"/>
  <c r="O21" i="40"/>
  <c r="P7" i="40"/>
  <c r="N102" i="40"/>
  <c r="N115" i="40" s="1"/>
  <c r="N117" i="40" s="1"/>
  <c r="N119" i="40" s="1"/>
  <c r="N82" i="40"/>
  <c r="O79" i="40"/>
  <c r="O112" i="40" s="1"/>
  <c r="P18" i="40"/>
  <c r="O75" i="40"/>
  <c r="O108" i="40" s="1"/>
  <c r="P14" i="40"/>
  <c r="O73" i="40"/>
  <c r="O106" i="40" s="1"/>
  <c r="P12" i="40"/>
  <c r="O36" i="40"/>
  <c r="P24" i="40"/>
  <c r="AS174" i="47" l="1"/>
  <c r="AS179" i="47"/>
  <c r="AS187" i="47"/>
  <c r="AS184" i="47"/>
  <c r="AS172" i="47"/>
  <c r="AS178" i="47"/>
  <c r="AS188" i="47"/>
  <c r="AS183" i="47"/>
  <c r="AS180" i="47"/>
  <c r="AS175" i="47"/>
  <c r="AS170" i="47"/>
  <c r="AS176" i="47"/>
  <c r="AS182" i="47"/>
  <c r="AU126" i="47"/>
  <c r="AU181" i="47" s="1"/>
  <c r="AV21" i="47"/>
  <c r="AT164" i="47"/>
  <c r="AU140" i="47"/>
  <c r="AS169" i="47"/>
  <c r="BH61" i="47"/>
  <c r="AT171" i="47"/>
  <c r="AV17" i="47"/>
  <c r="AU122" i="47"/>
  <c r="AT133" i="47"/>
  <c r="AT188" i="47" s="1"/>
  <c r="AU28" i="47"/>
  <c r="AU16" i="47"/>
  <c r="AT121" i="47"/>
  <c r="AT124" i="47"/>
  <c r="AT179" i="47" s="1"/>
  <c r="AU19" i="47"/>
  <c r="AS168" i="47"/>
  <c r="AS137" i="47"/>
  <c r="AT115" i="47"/>
  <c r="AU10" i="47"/>
  <c r="AV134" i="47"/>
  <c r="AV189" i="47" s="1"/>
  <c r="AW29" i="47"/>
  <c r="AT123" i="47"/>
  <c r="AU18" i="47"/>
  <c r="BS135" i="47"/>
  <c r="BS190" i="47" s="1"/>
  <c r="BT56" i="47"/>
  <c r="BF66" i="47"/>
  <c r="BD84" i="47"/>
  <c r="AU130" i="47"/>
  <c r="AU185" i="47" s="1"/>
  <c r="AV25" i="47"/>
  <c r="AU118" i="47"/>
  <c r="AU173" i="47" s="1"/>
  <c r="AV13" i="47"/>
  <c r="AT125" i="47"/>
  <c r="AU20" i="47"/>
  <c r="AT132" i="47"/>
  <c r="AU27" i="47"/>
  <c r="AT129" i="47"/>
  <c r="AT184" i="47" s="1"/>
  <c r="AU24" i="47"/>
  <c r="AT117" i="47"/>
  <c r="AU12" i="47"/>
  <c r="AQ192" i="47"/>
  <c r="AQ194" i="47" s="1"/>
  <c r="AQ196" i="47" s="1"/>
  <c r="AU131" i="47"/>
  <c r="AV26" i="47"/>
  <c r="AT128" i="47"/>
  <c r="AU23" i="47"/>
  <c r="AT32" i="47"/>
  <c r="AT113" i="47"/>
  <c r="AU7" i="47"/>
  <c r="AU110" i="47"/>
  <c r="AV87" i="47"/>
  <c r="AT173" i="47"/>
  <c r="AT119" i="47"/>
  <c r="AT174" i="47" s="1"/>
  <c r="AU14" i="47"/>
  <c r="AV9" i="47"/>
  <c r="AU35" i="47"/>
  <c r="AU114" i="47" s="1"/>
  <c r="AT58" i="47"/>
  <c r="AT120" i="47"/>
  <c r="AU15" i="47"/>
  <c r="AU116" i="47"/>
  <c r="AV11" i="47"/>
  <c r="AT127" i="47"/>
  <c r="AT182" i="47" s="1"/>
  <c r="AU22" i="47"/>
  <c r="P36" i="40"/>
  <c r="R24" i="40"/>
  <c r="P73" i="40"/>
  <c r="R12" i="40"/>
  <c r="P75" i="40"/>
  <c r="R14" i="40"/>
  <c r="P79" i="40"/>
  <c r="R18" i="40"/>
  <c r="P69" i="40"/>
  <c r="P21" i="40"/>
  <c r="R7" i="40"/>
  <c r="O102" i="40"/>
  <c r="O115" i="40" s="1"/>
  <c r="O117" i="40" s="1"/>
  <c r="O119" i="40" s="1"/>
  <c r="O82" i="40"/>
  <c r="S81" i="40"/>
  <c r="S114" i="40" s="1"/>
  <c r="T20" i="40"/>
  <c r="AN80" i="40"/>
  <c r="AN113" i="40" s="1"/>
  <c r="AO34" i="40"/>
  <c r="P70" i="40"/>
  <c r="R9" i="40"/>
  <c r="P77" i="40"/>
  <c r="R16" i="40"/>
  <c r="P66" i="40"/>
  <c r="R54" i="40"/>
  <c r="P71" i="40"/>
  <c r="R10" i="40"/>
  <c r="P76" i="40"/>
  <c r="R15" i="40"/>
  <c r="P72" i="40"/>
  <c r="R11" i="40"/>
  <c r="P78" i="40"/>
  <c r="R17" i="40"/>
  <c r="P80" i="40"/>
  <c r="P113" i="40" s="1"/>
  <c r="R19" i="40"/>
  <c r="P98" i="40"/>
  <c r="R85" i="40"/>
  <c r="P74" i="40"/>
  <c r="R13" i="40"/>
  <c r="P51" i="40"/>
  <c r="R39" i="40"/>
  <c r="AS192" i="47" l="1"/>
  <c r="AS194" i="47" s="1"/>
  <c r="AS196" i="47" s="1"/>
  <c r="AU171" i="47"/>
  <c r="AU169" i="47"/>
  <c r="BI61" i="47"/>
  <c r="AT175" i="47"/>
  <c r="AW9" i="47"/>
  <c r="AU119" i="47"/>
  <c r="AV14" i="47"/>
  <c r="AU32" i="47"/>
  <c r="AV7" i="47"/>
  <c r="AU113" i="47"/>
  <c r="AV23" i="47"/>
  <c r="AU128" i="47"/>
  <c r="AU183" i="47" s="1"/>
  <c r="AU186" i="47"/>
  <c r="AV12" i="47"/>
  <c r="AU117" i="47"/>
  <c r="AU172" i="47" s="1"/>
  <c r="BT135" i="47"/>
  <c r="BT190" i="47" s="1"/>
  <c r="BU56" i="47"/>
  <c r="AU123" i="47"/>
  <c r="AU178" i="47" s="1"/>
  <c r="AV18" i="47"/>
  <c r="AT170" i="47"/>
  <c r="AU124" i="47"/>
  <c r="AV19" i="47"/>
  <c r="AU121" i="47"/>
  <c r="AU176" i="47" s="1"/>
  <c r="AV16" i="47"/>
  <c r="AU177" i="47"/>
  <c r="AV126" i="47"/>
  <c r="AW21" i="47"/>
  <c r="AV110" i="47"/>
  <c r="AW87" i="47"/>
  <c r="AT168" i="47"/>
  <c r="AT137" i="47"/>
  <c r="AT183" i="47"/>
  <c r="AT172" i="47"/>
  <c r="AV118" i="47"/>
  <c r="AW13" i="47"/>
  <c r="AT178" i="47"/>
  <c r="AV122" i="47"/>
  <c r="AV177" i="47" s="1"/>
  <c r="AW17" i="47"/>
  <c r="AU164" i="47"/>
  <c r="AV140" i="47"/>
  <c r="AV27" i="47"/>
  <c r="AU132" i="47"/>
  <c r="AU187" i="47" s="1"/>
  <c r="AU125" i="47"/>
  <c r="AU180" i="47" s="1"/>
  <c r="AV20" i="47"/>
  <c r="AU133" i="47"/>
  <c r="AU188" i="47" s="1"/>
  <c r="AV28" i="47"/>
  <c r="AU127" i="47"/>
  <c r="AV22" i="47"/>
  <c r="AV116" i="47"/>
  <c r="AW11" i="47"/>
  <c r="AU120" i="47"/>
  <c r="AU175" i="47" s="1"/>
  <c r="AV15" i="47"/>
  <c r="AV35" i="47"/>
  <c r="AU58" i="47"/>
  <c r="AV131" i="47"/>
  <c r="AV186" i="47" s="1"/>
  <c r="AW26" i="47"/>
  <c r="AU129" i="47"/>
  <c r="AU184" i="47" s="1"/>
  <c r="AV24" i="47"/>
  <c r="AT187" i="47"/>
  <c r="AT180" i="47"/>
  <c r="AV130" i="47"/>
  <c r="AW25" i="47"/>
  <c r="BG66" i="47"/>
  <c r="BF84" i="47"/>
  <c r="AW134" i="47"/>
  <c r="AX29" i="47"/>
  <c r="AU115" i="47"/>
  <c r="AV10" i="47"/>
  <c r="AT176" i="47"/>
  <c r="R51" i="40"/>
  <c r="S39" i="40"/>
  <c r="P107" i="40"/>
  <c r="R98" i="40"/>
  <c r="S85" i="40"/>
  <c r="R80" i="40"/>
  <c r="R113" i="40" s="1"/>
  <c r="S19" i="40"/>
  <c r="P111" i="40"/>
  <c r="R72" i="40"/>
  <c r="R105" i="40" s="1"/>
  <c r="S11" i="40"/>
  <c r="P109" i="40"/>
  <c r="R71" i="40"/>
  <c r="R104" i="40" s="1"/>
  <c r="S10" i="40"/>
  <c r="R77" i="40"/>
  <c r="R110" i="40" s="1"/>
  <c r="S16" i="40"/>
  <c r="P103" i="40"/>
  <c r="R69" i="40"/>
  <c r="S7" i="40"/>
  <c r="R21" i="40"/>
  <c r="P102" i="40"/>
  <c r="P82" i="40"/>
  <c r="R79" i="40"/>
  <c r="R112" i="40" s="1"/>
  <c r="S18" i="40"/>
  <c r="P108" i="40"/>
  <c r="R73" i="40"/>
  <c r="R106" i="40" s="1"/>
  <c r="S12" i="40"/>
  <c r="R74" i="40"/>
  <c r="R107" i="40" s="1"/>
  <c r="S13" i="40"/>
  <c r="R78" i="40"/>
  <c r="R111" i="40" s="1"/>
  <c r="S17" i="40"/>
  <c r="P105" i="40"/>
  <c r="R76" i="40"/>
  <c r="R109" i="40" s="1"/>
  <c r="S15" i="40"/>
  <c r="P104" i="40"/>
  <c r="S54" i="40"/>
  <c r="R66" i="40"/>
  <c r="P110" i="40"/>
  <c r="R70" i="40"/>
  <c r="R103" i="40" s="1"/>
  <c r="S9" i="40"/>
  <c r="AO80" i="40"/>
  <c r="AO113" i="40" s="1"/>
  <c r="AP34" i="40"/>
  <c r="T81" i="40"/>
  <c r="T114" i="40" s="1"/>
  <c r="U20" i="40"/>
  <c r="P112" i="40"/>
  <c r="R75" i="40"/>
  <c r="R108" i="40" s="1"/>
  <c r="S14" i="40"/>
  <c r="P106" i="40"/>
  <c r="S24" i="40"/>
  <c r="R36" i="40"/>
  <c r="AU170" i="47" l="1"/>
  <c r="BH66" i="47"/>
  <c r="BG84" i="47"/>
  <c r="AV127" i="47"/>
  <c r="AV182" i="47" s="1"/>
  <c r="AW22" i="47"/>
  <c r="AX17" i="47"/>
  <c r="AW122" i="47"/>
  <c r="AW177" i="47" s="1"/>
  <c r="AT192" i="47"/>
  <c r="AT194" i="47" s="1"/>
  <c r="AT196" i="47" s="1"/>
  <c r="AU137" i="47"/>
  <c r="AU168" i="47"/>
  <c r="AU174" i="47"/>
  <c r="AX134" i="47"/>
  <c r="AX189" i="47" s="1"/>
  <c r="AY29" i="47"/>
  <c r="AW130" i="47"/>
  <c r="AW185" i="47" s="1"/>
  <c r="AX25" i="47"/>
  <c r="AV58" i="47"/>
  <c r="AW35" i="47"/>
  <c r="AW116" i="47"/>
  <c r="AW171" i="47" s="1"/>
  <c r="AX11" i="47"/>
  <c r="AU182" i="47"/>
  <c r="AV132" i="47"/>
  <c r="AV187" i="47" s="1"/>
  <c r="AW27" i="47"/>
  <c r="AW118" i="47"/>
  <c r="AW173" i="47" s="1"/>
  <c r="AX13" i="47"/>
  <c r="AV124" i="47"/>
  <c r="AV179" i="47" s="1"/>
  <c r="AW19" i="47"/>
  <c r="AV123" i="47"/>
  <c r="AW18" i="47"/>
  <c r="AV113" i="47"/>
  <c r="AV32" i="47"/>
  <c r="AW7" i="47"/>
  <c r="BJ61" i="47"/>
  <c r="AW189" i="47"/>
  <c r="AV185" i="47"/>
  <c r="AW131" i="47"/>
  <c r="AX26" i="47"/>
  <c r="AV120" i="47"/>
  <c r="AW15" i="47"/>
  <c r="AV171" i="47"/>
  <c r="AV125" i="47"/>
  <c r="AW20" i="47"/>
  <c r="AV164" i="47"/>
  <c r="AW140" i="47"/>
  <c r="AV173" i="47"/>
  <c r="AW110" i="47"/>
  <c r="AX87" i="47"/>
  <c r="AW126" i="47"/>
  <c r="AW181" i="47" s="1"/>
  <c r="AX21" i="47"/>
  <c r="AU179" i="47"/>
  <c r="AX9" i="47"/>
  <c r="AV115" i="47"/>
  <c r="AV170" i="47" s="1"/>
  <c r="AW10" i="47"/>
  <c r="AV129" i="47"/>
  <c r="AV184" i="47" s="1"/>
  <c r="AW24" i="47"/>
  <c r="AV133" i="47"/>
  <c r="AV188" i="47" s="1"/>
  <c r="AW28" i="47"/>
  <c r="AV181" i="47"/>
  <c r="AV121" i="47"/>
  <c r="AV176" i="47" s="1"/>
  <c r="AW16" i="47"/>
  <c r="AV117" i="47"/>
  <c r="AV172" i="47" s="1"/>
  <c r="AW12" i="47"/>
  <c r="AV128" i="47"/>
  <c r="AW23" i="47"/>
  <c r="AV119" i="47"/>
  <c r="AV174" i="47" s="1"/>
  <c r="AW14" i="47"/>
  <c r="AV114" i="47"/>
  <c r="BU135" i="47"/>
  <c r="BU190" i="47" s="1"/>
  <c r="BV56" i="47"/>
  <c r="S75" i="40"/>
  <c r="S108" i="40" s="1"/>
  <c r="T14" i="40"/>
  <c r="U81" i="40"/>
  <c r="U114" i="40" s="1"/>
  <c r="V20" i="40"/>
  <c r="AP80" i="40"/>
  <c r="AP113" i="40" s="1"/>
  <c r="AR34" i="40"/>
  <c r="S70" i="40"/>
  <c r="S103" i="40" s="1"/>
  <c r="T9" i="40"/>
  <c r="S76" i="40"/>
  <c r="S109" i="40" s="1"/>
  <c r="T15" i="40"/>
  <c r="S78" i="40"/>
  <c r="S111" i="40" s="1"/>
  <c r="T17" i="40"/>
  <c r="S74" i="40"/>
  <c r="S107" i="40" s="1"/>
  <c r="T13" i="40"/>
  <c r="R102" i="40"/>
  <c r="R115" i="40" s="1"/>
  <c r="R117" i="40" s="1"/>
  <c r="R119" i="40" s="1"/>
  <c r="R82" i="40"/>
  <c r="S36" i="40"/>
  <c r="T24" i="40"/>
  <c r="S66" i="40"/>
  <c r="T54" i="40"/>
  <c r="S73" i="40"/>
  <c r="T12" i="40"/>
  <c r="S79" i="40"/>
  <c r="T18" i="40"/>
  <c r="P115" i="40"/>
  <c r="P117" i="40" s="1"/>
  <c r="P119" i="40" s="1"/>
  <c r="S69" i="40"/>
  <c r="S21" i="40"/>
  <c r="T7" i="40"/>
  <c r="S77" i="40"/>
  <c r="T16" i="40"/>
  <c r="S71" i="40"/>
  <c r="T10" i="40"/>
  <c r="S72" i="40"/>
  <c r="T11" i="40"/>
  <c r="S80" i="40"/>
  <c r="S113" i="40" s="1"/>
  <c r="T19" i="40"/>
  <c r="S98" i="40"/>
  <c r="T85" i="40"/>
  <c r="S51" i="40"/>
  <c r="T39" i="40"/>
  <c r="AV183" i="47" l="1"/>
  <c r="BK61" i="47"/>
  <c r="AW128" i="47"/>
  <c r="AX23" i="47"/>
  <c r="AX126" i="47"/>
  <c r="AY21" i="47"/>
  <c r="AW164" i="47"/>
  <c r="AX140" i="47"/>
  <c r="AV175" i="47"/>
  <c r="AW113" i="47"/>
  <c r="AW32" i="47"/>
  <c r="AX7" i="47"/>
  <c r="AY134" i="47"/>
  <c r="AY189" i="47" s="1"/>
  <c r="AZ29" i="47"/>
  <c r="BI66" i="47"/>
  <c r="BH84" i="47"/>
  <c r="AW133" i="47"/>
  <c r="AW188" i="47" s="1"/>
  <c r="AX28" i="47"/>
  <c r="AW129" i="47"/>
  <c r="AW184" i="47" s="1"/>
  <c r="AX24" i="47"/>
  <c r="AW124" i="47"/>
  <c r="AX19" i="47"/>
  <c r="AX118" i="47"/>
  <c r="AY13" i="47"/>
  <c r="AY9" i="47"/>
  <c r="AX110" i="47"/>
  <c r="AY87" i="47"/>
  <c r="AW125" i="47"/>
  <c r="AW180" i="47" s="1"/>
  <c r="AX20" i="47"/>
  <c r="AW186" i="47"/>
  <c r="AV137" i="47"/>
  <c r="AV168" i="47"/>
  <c r="AW123" i="47"/>
  <c r="AW178" i="47" s="1"/>
  <c r="AX18" i="47"/>
  <c r="AX122" i="47"/>
  <c r="AX177" i="47" s="1"/>
  <c r="AY17" i="47"/>
  <c r="AW119" i="47"/>
  <c r="AX14" i="47"/>
  <c r="AX131" i="47"/>
  <c r="AX186" i="47" s="1"/>
  <c r="AY26" i="47"/>
  <c r="AW58" i="47"/>
  <c r="AX35" i="47"/>
  <c r="AX130" i="47"/>
  <c r="AY25" i="47"/>
  <c r="BV135" i="47"/>
  <c r="BV190" i="47" s="1"/>
  <c r="BW56" i="47"/>
  <c r="AV169" i="47"/>
  <c r="AW117" i="47"/>
  <c r="AW172" i="47" s="1"/>
  <c r="AX12" i="47"/>
  <c r="AW121" i="47"/>
  <c r="AX16" i="47"/>
  <c r="AW115" i="47"/>
  <c r="AX10" i="47"/>
  <c r="AW114" i="47"/>
  <c r="AW169" i="47" s="1"/>
  <c r="AV180" i="47"/>
  <c r="AW120" i="47"/>
  <c r="AW175" i="47" s="1"/>
  <c r="AX15" i="47"/>
  <c r="AV178" i="47"/>
  <c r="AW132" i="47"/>
  <c r="AW187" i="47" s="1"/>
  <c r="AX27" i="47"/>
  <c r="AX116" i="47"/>
  <c r="AY11" i="47"/>
  <c r="AU192" i="47"/>
  <c r="AU194" i="47" s="1"/>
  <c r="AU196" i="47" s="1"/>
  <c r="AW127" i="47"/>
  <c r="AX22" i="47"/>
  <c r="S105" i="40"/>
  <c r="S104" i="40"/>
  <c r="S110" i="40"/>
  <c r="T79" i="40"/>
  <c r="T112" i="40" s="1"/>
  <c r="U18" i="40"/>
  <c r="T73" i="40"/>
  <c r="T106" i="40" s="1"/>
  <c r="U12" i="40"/>
  <c r="U24" i="40"/>
  <c r="T36" i="40"/>
  <c r="T74" i="40"/>
  <c r="U13" i="40"/>
  <c r="T76" i="40"/>
  <c r="U15" i="40"/>
  <c r="AR80" i="40"/>
  <c r="AR113" i="40" s="1"/>
  <c r="AS34" i="40"/>
  <c r="V81" i="40"/>
  <c r="V114" i="40" s="1"/>
  <c r="W20" i="40"/>
  <c r="T51" i="40"/>
  <c r="U39" i="40"/>
  <c r="T98" i="40"/>
  <c r="U85" i="40"/>
  <c r="T80" i="40"/>
  <c r="T113" i="40" s="1"/>
  <c r="U19" i="40"/>
  <c r="T72" i="40"/>
  <c r="T105" i="40" s="1"/>
  <c r="U11" i="40"/>
  <c r="T71" i="40"/>
  <c r="T104" i="40" s="1"/>
  <c r="U10" i="40"/>
  <c r="T77" i="40"/>
  <c r="T110" i="40" s="1"/>
  <c r="U16" i="40"/>
  <c r="T69" i="40"/>
  <c r="U7" i="40"/>
  <c r="T21" i="40"/>
  <c r="S102" i="40"/>
  <c r="S82" i="40"/>
  <c r="S112" i="40"/>
  <c r="S106" i="40"/>
  <c r="U54" i="40"/>
  <c r="T66" i="40"/>
  <c r="T78" i="40"/>
  <c r="U17" i="40"/>
  <c r="T70" i="40"/>
  <c r="U9" i="40"/>
  <c r="T75" i="40"/>
  <c r="U14" i="40"/>
  <c r="AW176" i="47" l="1"/>
  <c r="AW174" i="47"/>
  <c r="AW183" i="47"/>
  <c r="AX132" i="47"/>
  <c r="AY27" i="47"/>
  <c r="AW182" i="47"/>
  <c r="AX120" i="47"/>
  <c r="AX175" i="47" s="1"/>
  <c r="AY15" i="47"/>
  <c r="AW170" i="47"/>
  <c r="AX117" i="47"/>
  <c r="AY12" i="47"/>
  <c r="AX185" i="47"/>
  <c r="AY14" i="47"/>
  <c r="AX119" i="47"/>
  <c r="AX174" i="47" s="1"/>
  <c r="AX124" i="47"/>
  <c r="AX179" i="47" s="1"/>
  <c r="AY19" i="47"/>
  <c r="BJ66" i="47"/>
  <c r="BI84" i="47"/>
  <c r="AY126" i="47"/>
  <c r="AY181" i="47" s="1"/>
  <c r="AZ21" i="47"/>
  <c r="AY131" i="47"/>
  <c r="AY186" i="47" s="1"/>
  <c r="AZ26" i="47"/>
  <c r="AV192" i="47"/>
  <c r="AV194" i="47" s="1"/>
  <c r="AV196" i="47" s="1"/>
  <c r="AW179" i="47"/>
  <c r="AY28" i="47"/>
  <c r="AX133" i="47"/>
  <c r="AX188" i="47" s="1"/>
  <c r="AX113" i="47"/>
  <c r="AX32" i="47"/>
  <c r="AY7" i="47"/>
  <c r="AX181" i="47"/>
  <c r="AZ11" i="47"/>
  <c r="AY116" i="47"/>
  <c r="AY171" i="47" s="1"/>
  <c r="AX121" i="47"/>
  <c r="AY16" i="47"/>
  <c r="AY35" i="47"/>
  <c r="AX58" i="47"/>
  <c r="AY122" i="47"/>
  <c r="AY177" i="47" s="1"/>
  <c r="AZ17" i="47"/>
  <c r="AZ9" i="47"/>
  <c r="AY118" i="47"/>
  <c r="AY173" i="47" s="1"/>
  <c r="AZ13" i="47"/>
  <c r="AX129" i="47"/>
  <c r="AX184" i="47" s="1"/>
  <c r="AY24" i="47"/>
  <c r="AZ134" i="47"/>
  <c r="AZ189" i="47" s="1"/>
  <c r="BA29" i="47"/>
  <c r="AY140" i="47"/>
  <c r="AX164" i="47"/>
  <c r="AX128" i="47"/>
  <c r="AX183" i="47" s="1"/>
  <c r="AY23" i="47"/>
  <c r="BW135" i="47"/>
  <c r="BW190" i="47" s="1"/>
  <c r="BX56" i="47"/>
  <c r="AX127" i="47"/>
  <c r="AX182" i="47" s="1"/>
  <c r="AY22" i="47"/>
  <c r="AX171" i="47"/>
  <c r="AX115" i="47"/>
  <c r="AX170" i="47" s="1"/>
  <c r="AY10" i="47"/>
  <c r="AY130" i="47"/>
  <c r="AY185" i="47" s="1"/>
  <c r="AZ25" i="47"/>
  <c r="AX123" i="47"/>
  <c r="AY18" i="47"/>
  <c r="AX125" i="47"/>
  <c r="AY20" i="47"/>
  <c r="AZ87" i="47"/>
  <c r="AY110" i="47"/>
  <c r="AX114" i="47"/>
  <c r="AX169" i="47" s="1"/>
  <c r="AX173" i="47"/>
  <c r="AW168" i="47"/>
  <c r="AW137" i="47"/>
  <c r="BL61" i="47"/>
  <c r="HY22" i="46"/>
  <c r="HS22" i="46"/>
  <c r="HU22" i="46" s="1"/>
  <c r="T108" i="40"/>
  <c r="T103" i="40"/>
  <c r="T111" i="40"/>
  <c r="U66" i="40"/>
  <c r="V54" i="40"/>
  <c r="S115" i="40"/>
  <c r="S117" i="40" s="1"/>
  <c r="S119" i="40" s="1"/>
  <c r="T102" i="40"/>
  <c r="T82" i="40"/>
  <c r="U77" i="40"/>
  <c r="U110" i="40" s="1"/>
  <c r="V16" i="40"/>
  <c r="U72" i="40"/>
  <c r="U105" i="40" s="1"/>
  <c r="V11" i="40"/>
  <c r="U80" i="40"/>
  <c r="U113" i="40" s="1"/>
  <c r="V19" i="40"/>
  <c r="U51" i="40"/>
  <c r="V39" i="40"/>
  <c r="T109" i="40"/>
  <c r="T107" i="40"/>
  <c r="U36" i="40"/>
  <c r="V24" i="40"/>
  <c r="U73" i="40"/>
  <c r="V12" i="40"/>
  <c r="U75" i="40"/>
  <c r="U108" i="40" s="1"/>
  <c r="V14" i="40"/>
  <c r="U70" i="40"/>
  <c r="U103" i="40" s="1"/>
  <c r="V9" i="40"/>
  <c r="U78" i="40"/>
  <c r="U111" i="40" s="1"/>
  <c r="V17" i="40"/>
  <c r="U69" i="40"/>
  <c r="U21" i="40"/>
  <c r="V7" i="40"/>
  <c r="U71" i="40"/>
  <c r="U104" i="40" s="1"/>
  <c r="V10" i="40"/>
  <c r="U98" i="40"/>
  <c r="V85" i="40"/>
  <c r="W81" i="40"/>
  <c r="W114" i="40" s="1"/>
  <c r="X20" i="40"/>
  <c r="AS80" i="40"/>
  <c r="AS113" i="40" s="1"/>
  <c r="AT34" i="40"/>
  <c r="U76" i="40"/>
  <c r="U109" i="40" s="1"/>
  <c r="V15" i="40"/>
  <c r="U74" i="40"/>
  <c r="U107" i="40" s="1"/>
  <c r="V13" i="40"/>
  <c r="U79" i="40"/>
  <c r="V18" i="40"/>
  <c r="BX135" i="47" l="1"/>
  <c r="BX190" i="47" s="1"/>
  <c r="BY56" i="47"/>
  <c r="AY128" i="47"/>
  <c r="AY183" i="47" s="1"/>
  <c r="AZ23" i="47"/>
  <c r="BA134" i="47"/>
  <c r="BA189" i="47" s="1"/>
  <c r="BB29" i="47"/>
  <c r="AZ118" i="47"/>
  <c r="BA13" i="47"/>
  <c r="AZ35" i="47"/>
  <c r="AY58" i="47"/>
  <c r="AW192" i="47"/>
  <c r="AW194" i="47" s="1"/>
  <c r="AW196" i="47" s="1"/>
  <c r="AX180" i="47"/>
  <c r="AZ130" i="47"/>
  <c r="AZ185" i="47" s="1"/>
  <c r="BA25" i="47"/>
  <c r="AY164" i="47"/>
  <c r="AZ140" i="47"/>
  <c r="AZ114" i="47"/>
  <c r="AZ169" i="47" s="1"/>
  <c r="BA9" i="47"/>
  <c r="AX176" i="47"/>
  <c r="AZ116" i="47"/>
  <c r="BA11" i="47"/>
  <c r="AZ131" i="47"/>
  <c r="AZ186" i="47" s="1"/>
  <c r="BA26" i="47"/>
  <c r="AY124" i="47"/>
  <c r="AY179" i="47" s="1"/>
  <c r="AZ19" i="47"/>
  <c r="AY119" i="47"/>
  <c r="AY174" i="47" s="1"/>
  <c r="AZ14" i="47"/>
  <c r="AY117" i="47"/>
  <c r="AY172" i="47" s="1"/>
  <c r="AZ12" i="47"/>
  <c r="AX168" i="47"/>
  <c r="AX137" i="47"/>
  <c r="BM61" i="47"/>
  <c r="AZ110" i="47"/>
  <c r="BA87" i="47"/>
  <c r="AY123" i="47"/>
  <c r="AY178" i="47" s="1"/>
  <c r="AZ18" i="47"/>
  <c r="AZ122" i="47"/>
  <c r="AZ177" i="47" s="1"/>
  <c r="BA17" i="47"/>
  <c r="AZ126" i="47"/>
  <c r="AZ181" i="47" s="1"/>
  <c r="BA21" i="47"/>
  <c r="AY132" i="47"/>
  <c r="AY187" i="47" s="1"/>
  <c r="AZ27" i="47"/>
  <c r="AY127" i="47"/>
  <c r="AY182" i="47" s="1"/>
  <c r="AZ22" i="47"/>
  <c r="AX172" i="47"/>
  <c r="AY120" i="47"/>
  <c r="AZ15" i="47"/>
  <c r="AY125" i="47"/>
  <c r="AY180" i="47" s="1"/>
  <c r="AZ20" i="47"/>
  <c r="AX178" i="47"/>
  <c r="AY115" i="47"/>
  <c r="AY170" i="47" s="1"/>
  <c r="AZ10" i="47"/>
  <c r="AZ24" i="47"/>
  <c r="AY129" i="47"/>
  <c r="AY184" i="47" s="1"/>
  <c r="AY114" i="47"/>
  <c r="AY169" i="47" s="1"/>
  <c r="AY121" i="47"/>
  <c r="AY176" i="47" s="1"/>
  <c r="AZ16" i="47"/>
  <c r="AY32" i="47"/>
  <c r="AY113" i="47"/>
  <c r="AZ7" i="47"/>
  <c r="AY133" i="47"/>
  <c r="AY188" i="47" s="1"/>
  <c r="AZ28" i="47"/>
  <c r="BK66" i="47"/>
  <c r="BJ84" i="47"/>
  <c r="AX187" i="47"/>
  <c r="HY25" i="46"/>
  <c r="HS25" i="46"/>
  <c r="HU25" i="46" s="1"/>
  <c r="HS13" i="46"/>
  <c r="HU13" i="46" s="1"/>
  <c r="HY13" i="46"/>
  <c r="U112" i="40"/>
  <c r="V74" i="40"/>
  <c r="V107" i="40" s="1"/>
  <c r="W13" i="40"/>
  <c r="AT80" i="40"/>
  <c r="AT113" i="40" s="1"/>
  <c r="AU34" i="40"/>
  <c r="X81" i="40"/>
  <c r="X114" i="40" s="1"/>
  <c r="Y20" i="40"/>
  <c r="V98" i="40"/>
  <c r="W85" i="40"/>
  <c r="V71" i="40"/>
  <c r="W10" i="40"/>
  <c r="V69" i="40"/>
  <c r="W7" i="40"/>
  <c r="V21" i="40"/>
  <c r="U102" i="40"/>
  <c r="U82" i="40"/>
  <c r="V78" i="40"/>
  <c r="V111" i="40" s="1"/>
  <c r="W17" i="40"/>
  <c r="V75" i="40"/>
  <c r="V108" i="40" s="1"/>
  <c r="W14" i="40"/>
  <c r="U106" i="40"/>
  <c r="V79" i="40"/>
  <c r="V112" i="40" s="1"/>
  <c r="W18" i="40"/>
  <c r="V76" i="40"/>
  <c r="V109" i="40" s="1"/>
  <c r="W15" i="40"/>
  <c r="V70" i="40"/>
  <c r="V103" i="40" s="1"/>
  <c r="W9" i="40"/>
  <c r="V73" i="40"/>
  <c r="V106" i="40" s="1"/>
  <c r="W12" i="40"/>
  <c r="W24" i="40"/>
  <c r="V36" i="40"/>
  <c r="V51" i="40"/>
  <c r="W39" i="40"/>
  <c r="V80" i="40"/>
  <c r="V113" i="40" s="1"/>
  <c r="W19" i="40"/>
  <c r="V72" i="40"/>
  <c r="W11" i="40"/>
  <c r="V77" i="40"/>
  <c r="W16" i="40"/>
  <c r="W54" i="40"/>
  <c r="V66" i="40"/>
  <c r="T115" i="40"/>
  <c r="T117" i="40" s="1"/>
  <c r="T119" i="40" s="1"/>
  <c r="AZ113" i="47" l="1"/>
  <c r="BA7" i="47"/>
  <c r="AZ32" i="47"/>
  <c r="AZ115" i="47"/>
  <c r="AZ170" i="47" s="1"/>
  <c r="BA10" i="47"/>
  <c r="AZ125" i="47"/>
  <c r="AZ180" i="47" s="1"/>
  <c r="BA20" i="47"/>
  <c r="BA126" i="47"/>
  <c r="BA181" i="47" s="1"/>
  <c r="BB21" i="47"/>
  <c r="AZ117" i="47"/>
  <c r="AZ172" i="47" s="1"/>
  <c r="BA12" i="47"/>
  <c r="AZ124" i="47"/>
  <c r="AZ179" i="47" s="1"/>
  <c r="BA19" i="47"/>
  <c r="BA130" i="47"/>
  <c r="BA185" i="47" s="1"/>
  <c r="BB25" i="47"/>
  <c r="BY135" i="47"/>
  <c r="BY190" i="47" s="1"/>
  <c r="BZ56" i="47"/>
  <c r="BA116" i="47"/>
  <c r="BA171" i="47" s="1"/>
  <c r="BB11" i="47"/>
  <c r="AZ133" i="47"/>
  <c r="AZ188" i="47" s="1"/>
  <c r="BA28" i="47"/>
  <c r="AX192" i="47"/>
  <c r="AX194" i="47" s="1"/>
  <c r="AX196" i="47" s="1"/>
  <c r="AZ119" i="47"/>
  <c r="AZ174" i="47" s="1"/>
  <c r="BA14" i="47"/>
  <c r="AZ171" i="47"/>
  <c r="BB9" i="47"/>
  <c r="AZ173" i="47"/>
  <c r="AZ128" i="47"/>
  <c r="AZ183" i="47" s="1"/>
  <c r="BA23" i="47"/>
  <c r="BL66" i="47"/>
  <c r="BK84" i="47"/>
  <c r="AY137" i="47"/>
  <c r="AY168" i="47"/>
  <c r="AZ132" i="47"/>
  <c r="AZ187" i="47" s="1"/>
  <c r="BA27" i="47"/>
  <c r="AZ123" i="47"/>
  <c r="BA18" i="47"/>
  <c r="AZ164" i="47"/>
  <c r="BA140" i="47"/>
  <c r="BA118" i="47"/>
  <c r="BA173" i="47" s="1"/>
  <c r="BB13" i="47"/>
  <c r="AZ120" i="47"/>
  <c r="AZ175" i="47" s="1"/>
  <c r="BA15" i="47"/>
  <c r="BN61" i="47"/>
  <c r="BA131" i="47"/>
  <c r="BA186" i="47" s="1"/>
  <c r="BB26" i="47"/>
  <c r="BA16" i="47"/>
  <c r="AZ121" i="47"/>
  <c r="AZ176" i="47" s="1"/>
  <c r="AZ129" i="47"/>
  <c r="AZ184" i="47" s="1"/>
  <c r="BA24" i="47"/>
  <c r="AY175" i="47"/>
  <c r="AZ127" i="47"/>
  <c r="AZ182" i="47" s="1"/>
  <c r="BA22" i="47"/>
  <c r="BA122" i="47"/>
  <c r="BA177" i="47" s="1"/>
  <c r="BB17" i="47"/>
  <c r="BA110" i="47"/>
  <c r="BB87" i="47"/>
  <c r="AZ58" i="47"/>
  <c r="BA35" i="47"/>
  <c r="BB134" i="47"/>
  <c r="BB189" i="47" s="1"/>
  <c r="BC29" i="47"/>
  <c r="HS7" i="46"/>
  <c r="HU7" i="46" s="1"/>
  <c r="HY7" i="46"/>
  <c r="W77" i="40"/>
  <c r="W110" i="40" s="1"/>
  <c r="X16" i="40"/>
  <c r="W72" i="40"/>
  <c r="W105" i="40" s="1"/>
  <c r="X11" i="40"/>
  <c r="W80" i="40"/>
  <c r="W113" i="40" s="1"/>
  <c r="X19" i="40"/>
  <c r="W51" i="40"/>
  <c r="X39" i="40"/>
  <c r="W36" i="40"/>
  <c r="X24" i="40"/>
  <c r="W79" i="40"/>
  <c r="W112" i="40" s="1"/>
  <c r="X18" i="40"/>
  <c r="W75" i="40"/>
  <c r="X14" i="40"/>
  <c r="W78" i="40"/>
  <c r="X17" i="40"/>
  <c r="W69" i="40"/>
  <c r="W21" i="40"/>
  <c r="X7" i="40"/>
  <c r="V104" i="40"/>
  <c r="W98" i="40"/>
  <c r="X85" i="40"/>
  <c r="Y81" i="40"/>
  <c r="Y114" i="40" s="1"/>
  <c r="Z20" i="40"/>
  <c r="AU80" i="40"/>
  <c r="AU113" i="40" s="1"/>
  <c r="AV34" i="40"/>
  <c r="W74" i="40"/>
  <c r="X13" i="40"/>
  <c r="W66" i="40"/>
  <c r="X54" i="40"/>
  <c r="V110" i="40"/>
  <c r="V105" i="40"/>
  <c r="W73" i="40"/>
  <c r="W106" i="40" s="1"/>
  <c r="X12" i="40"/>
  <c r="W70" i="40"/>
  <c r="X9" i="40"/>
  <c r="W76" i="40"/>
  <c r="X15" i="40"/>
  <c r="V102" i="40"/>
  <c r="V82" i="40"/>
  <c r="W71" i="40"/>
  <c r="W104" i="40" s="1"/>
  <c r="X10" i="40"/>
  <c r="U115" i="40"/>
  <c r="U117" i="40" s="1"/>
  <c r="U119" i="40" s="1"/>
  <c r="BB122" i="47" l="1"/>
  <c r="BB177" i="47" s="1"/>
  <c r="BC17" i="47"/>
  <c r="BO61" i="47"/>
  <c r="BB118" i="47"/>
  <c r="BB173" i="47" s="1"/>
  <c r="BC13" i="47"/>
  <c r="BB116" i="47"/>
  <c r="BB171" i="47" s="1"/>
  <c r="BC11" i="47"/>
  <c r="BB130" i="47"/>
  <c r="BB185" i="47" s="1"/>
  <c r="BC25" i="47"/>
  <c r="BA121" i="47"/>
  <c r="BA176" i="47" s="1"/>
  <c r="BB16" i="47"/>
  <c r="BA123" i="47"/>
  <c r="BA178" i="47" s="1"/>
  <c r="BB18" i="47"/>
  <c r="AY192" i="47"/>
  <c r="AY194" i="47" s="1"/>
  <c r="AY196" i="47" s="1"/>
  <c r="BM66" i="47"/>
  <c r="BL84" i="47"/>
  <c r="BC134" i="47"/>
  <c r="BC189" i="47" s="1"/>
  <c r="BD29" i="47"/>
  <c r="BB110" i="47"/>
  <c r="BC87" i="47"/>
  <c r="BA127" i="47"/>
  <c r="BA182" i="47" s="1"/>
  <c r="BB22" i="47"/>
  <c r="BA129" i="47"/>
  <c r="BA184" i="47" s="1"/>
  <c r="BB24" i="47"/>
  <c r="BB131" i="47"/>
  <c r="BB186" i="47" s="1"/>
  <c r="BC26" i="47"/>
  <c r="BA120" i="47"/>
  <c r="BA175" i="47" s="1"/>
  <c r="BB15" i="47"/>
  <c r="BA164" i="47"/>
  <c r="BB140" i="47"/>
  <c r="AZ178" i="47"/>
  <c r="BA128" i="47"/>
  <c r="BA183" i="47" s="1"/>
  <c r="BB23" i="47"/>
  <c r="BA133" i="47"/>
  <c r="BA188" i="47" s="1"/>
  <c r="BB28" i="47"/>
  <c r="BZ135" i="47"/>
  <c r="BZ190" i="47" s="1"/>
  <c r="CA56" i="47"/>
  <c r="BA124" i="47"/>
  <c r="BA179" i="47" s="1"/>
  <c r="BB19" i="47"/>
  <c r="BA113" i="47"/>
  <c r="BB7" i="47"/>
  <c r="BA32" i="47"/>
  <c r="BA58" i="47"/>
  <c r="BB35" i="47"/>
  <c r="BB114" i="47" s="1"/>
  <c r="BB169" i="47" s="1"/>
  <c r="BA114" i="47"/>
  <c r="BA169" i="47" s="1"/>
  <c r="BA117" i="47"/>
  <c r="BA172" i="47" s="1"/>
  <c r="BB12" i="47"/>
  <c r="BA125" i="47"/>
  <c r="BA180" i="47" s="1"/>
  <c r="BB20" i="47"/>
  <c r="BA132" i="47"/>
  <c r="BA187" i="47" s="1"/>
  <c r="BB27" i="47"/>
  <c r="BC9" i="47"/>
  <c r="BA119" i="47"/>
  <c r="BA174" i="47" s="1"/>
  <c r="BB14" i="47"/>
  <c r="BB126" i="47"/>
  <c r="BB181" i="47" s="1"/>
  <c r="BC21" i="47"/>
  <c r="BA115" i="47"/>
  <c r="BA170" i="47" s="1"/>
  <c r="BB10" i="47"/>
  <c r="AZ168" i="47"/>
  <c r="AZ137" i="47"/>
  <c r="HS15" i="46"/>
  <c r="HU15" i="46" s="1"/>
  <c r="HY15" i="46"/>
  <c r="HY26" i="46"/>
  <c r="HS26" i="46"/>
  <c r="HU26" i="46" s="1"/>
  <c r="HS19" i="46"/>
  <c r="HU19" i="46" s="1"/>
  <c r="HY19" i="46"/>
  <c r="HY17" i="46"/>
  <c r="HS17" i="46"/>
  <c r="HU17" i="46" s="1"/>
  <c r="V115" i="40"/>
  <c r="V117" i="40" s="1"/>
  <c r="V119" i="40" s="1"/>
  <c r="X71" i="40"/>
  <c r="X104" i="40" s="1"/>
  <c r="Y10" i="40"/>
  <c r="X76" i="40"/>
  <c r="X109" i="40" s="1"/>
  <c r="Y15" i="40"/>
  <c r="W103" i="40"/>
  <c r="X73" i="40"/>
  <c r="Y12" i="40"/>
  <c r="X74" i="40"/>
  <c r="X107" i="40" s="1"/>
  <c r="Y13" i="40"/>
  <c r="X78" i="40"/>
  <c r="X111" i="40" s="1"/>
  <c r="Y17" i="40"/>
  <c r="X75" i="40"/>
  <c r="X108" i="40" s="1"/>
  <c r="Y14" i="40"/>
  <c r="X79" i="40"/>
  <c r="Y18" i="40"/>
  <c r="Y24" i="40"/>
  <c r="X36" i="40"/>
  <c r="X72" i="40"/>
  <c r="Y11" i="40"/>
  <c r="W109" i="40"/>
  <c r="X70" i="40"/>
  <c r="X103" i="40" s="1"/>
  <c r="Y9" i="40"/>
  <c r="Y54" i="40"/>
  <c r="X66" i="40"/>
  <c r="W107" i="40"/>
  <c r="AV80" i="40"/>
  <c r="AV113" i="40" s="1"/>
  <c r="AW34" i="40"/>
  <c r="Z81" i="40"/>
  <c r="Z114" i="40" s="1"/>
  <c r="AA20" i="40"/>
  <c r="X98" i="40"/>
  <c r="Y85" i="40"/>
  <c r="X69" i="40"/>
  <c r="Y7" i="40"/>
  <c r="X21" i="40"/>
  <c r="W102" i="40"/>
  <c r="W82" i="40"/>
  <c r="W111" i="40"/>
  <c r="W108" i="40"/>
  <c r="X51" i="40"/>
  <c r="Y39" i="40"/>
  <c r="X80" i="40"/>
  <c r="X113" i="40" s="1"/>
  <c r="Y19" i="40"/>
  <c r="X77" i="40"/>
  <c r="Y16" i="40"/>
  <c r="BC116" i="47" l="1"/>
  <c r="BC171" i="47" s="1"/>
  <c r="BD11" i="47"/>
  <c r="AZ192" i="47"/>
  <c r="AZ194" i="47" s="1"/>
  <c r="AZ196" i="47" s="1"/>
  <c r="BB113" i="47"/>
  <c r="BB32" i="47"/>
  <c r="BC7" i="47"/>
  <c r="CA135" i="47"/>
  <c r="CA190" i="47" s="1"/>
  <c r="CB56" i="47"/>
  <c r="BB128" i="47"/>
  <c r="BB183" i="47" s="1"/>
  <c r="BC23" i="47"/>
  <c r="BC140" i="47"/>
  <c r="BB164" i="47"/>
  <c r="BC131" i="47"/>
  <c r="BC186" i="47" s="1"/>
  <c r="BD26" i="47"/>
  <c r="BB127" i="47"/>
  <c r="BB182" i="47" s="1"/>
  <c r="BC22" i="47"/>
  <c r="BD134" i="47"/>
  <c r="N39" i="45" s="1"/>
  <c r="BF29" i="47"/>
  <c r="BC126" i="47"/>
  <c r="BC181" i="47" s="1"/>
  <c r="BD21" i="47"/>
  <c r="BD9" i="47"/>
  <c r="BN66" i="47"/>
  <c r="BM84" i="47"/>
  <c r="BB121" i="47"/>
  <c r="BB176" i="47" s="1"/>
  <c r="BC16" i="47"/>
  <c r="BB125" i="47"/>
  <c r="BB180" i="47" s="1"/>
  <c r="BC20" i="47"/>
  <c r="BP61" i="47"/>
  <c r="BB115" i="47"/>
  <c r="BB170" i="47" s="1"/>
  <c r="BC10" i="47"/>
  <c r="BC14" i="47"/>
  <c r="BB119" i="47"/>
  <c r="BB174" i="47" s="1"/>
  <c r="BC35" i="47"/>
  <c r="BC114" i="47" s="1"/>
  <c r="BC169" i="47" s="1"/>
  <c r="BB58" i="47"/>
  <c r="BA168" i="47"/>
  <c r="BA192" i="47" s="1"/>
  <c r="BA194" i="47" s="1"/>
  <c r="BA196" i="47" s="1"/>
  <c r="BA137" i="47"/>
  <c r="BB123" i="47"/>
  <c r="BB178" i="47" s="1"/>
  <c r="BC18" i="47"/>
  <c r="BC130" i="47"/>
  <c r="BC185" i="47" s="1"/>
  <c r="BD25" i="47"/>
  <c r="BC118" i="47"/>
  <c r="BC173" i="47" s="1"/>
  <c r="BD13" i="47"/>
  <c r="BC122" i="47"/>
  <c r="BC177" i="47" s="1"/>
  <c r="BD17" i="47"/>
  <c r="BB132" i="47"/>
  <c r="BB187" i="47" s="1"/>
  <c r="BC27" i="47"/>
  <c r="BB117" i="47"/>
  <c r="BB172" i="47" s="1"/>
  <c r="BC12" i="47"/>
  <c r="BB124" i="47"/>
  <c r="BB179" i="47" s="1"/>
  <c r="BC19" i="47"/>
  <c r="BB133" i="47"/>
  <c r="BB188" i="47" s="1"/>
  <c r="BC28" i="47"/>
  <c r="BB120" i="47"/>
  <c r="BB175" i="47" s="1"/>
  <c r="BC15" i="47"/>
  <c r="BB129" i="47"/>
  <c r="BB184" i="47" s="1"/>
  <c r="BC24" i="47"/>
  <c r="BD87" i="47"/>
  <c r="BC110" i="47"/>
  <c r="HS21" i="46"/>
  <c r="HU21" i="46" s="1"/>
  <c r="HY21" i="46"/>
  <c r="HS12" i="46"/>
  <c r="HU12" i="46" s="1"/>
  <c r="HY12" i="46"/>
  <c r="Y69" i="40"/>
  <c r="Y21" i="40"/>
  <c r="Z7" i="40"/>
  <c r="Y66" i="40"/>
  <c r="Z54" i="40"/>
  <c r="X105" i="40"/>
  <c r="X112" i="40"/>
  <c r="Y75" i="40"/>
  <c r="Y108" i="40" s="1"/>
  <c r="Z14" i="40"/>
  <c r="X106" i="40"/>
  <c r="X110" i="40"/>
  <c r="Y77" i="40"/>
  <c r="Y110" i="40" s="1"/>
  <c r="Z16" i="40"/>
  <c r="Y80" i="40"/>
  <c r="Y113" i="40" s="1"/>
  <c r="Z19" i="40"/>
  <c r="Y51" i="40"/>
  <c r="Z39" i="40"/>
  <c r="X102" i="40"/>
  <c r="X82" i="40"/>
  <c r="Y98" i="40"/>
  <c r="Z85" i="40"/>
  <c r="AA81" i="40"/>
  <c r="AA114" i="40" s="1"/>
  <c r="AB20" i="40"/>
  <c r="AW80" i="40"/>
  <c r="AW113" i="40" s="1"/>
  <c r="AX34" i="40"/>
  <c r="Y70" i="40"/>
  <c r="Y103" i="40" s="1"/>
  <c r="Z9" i="40"/>
  <c r="Y72" i="40"/>
  <c r="Y105" i="40" s="1"/>
  <c r="Z11" i="40"/>
  <c r="Y36" i="40"/>
  <c r="Z24" i="40"/>
  <c r="Y79" i="40"/>
  <c r="Y112" i="40" s="1"/>
  <c r="Z18" i="40"/>
  <c r="Y78" i="40"/>
  <c r="Y111" i="40" s="1"/>
  <c r="Z17" i="40"/>
  <c r="Y74" i="40"/>
  <c r="Y107" i="40" s="1"/>
  <c r="Z13" i="40"/>
  <c r="Y73" i="40"/>
  <c r="Y106" i="40" s="1"/>
  <c r="Z12" i="40"/>
  <c r="Y76" i="40"/>
  <c r="Y109" i="40" s="1"/>
  <c r="Z15" i="40"/>
  <c r="Y71" i="40"/>
  <c r="Y104" i="40" s="1"/>
  <c r="Z10" i="40"/>
  <c r="W115" i="40"/>
  <c r="W117" i="40" s="1"/>
  <c r="W119" i="40" s="1"/>
  <c r="BF87" i="47" l="1"/>
  <c r="BD110" i="47"/>
  <c r="BC127" i="47"/>
  <c r="BC182" i="47" s="1"/>
  <c r="BD22" i="47"/>
  <c r="BB168" i="47"/>
  <c r="BB192" i="47" s="1"/>
  <c r="BB194" i="47" s="1"/>
  <c r="BB196" i="47" s="1"/>
  <c r="BB137" i="47"/>
  <c r="BD24" i="47"/>
  <c r="BC129" i="47"/>
  <c r="BC184" i="47" s="1"/>
  <c r="BC133" i="47"/>
  <c r="BC188" i="47" s="1"/>
  <c r="BD28" i="47"/>
  <c r="BC117" i="47"/>
  <c r="BC172" i="47" s="1"/>
  <c r="BD12" i="47"/>
  <c r="BD122" i="47"/>
  <c r="N27" i="45" s="1"/>
  <c r="BF17" i="47"/>
  <c r="BD130" i="47"/>
  <c r="N35" i="45" s="1"/>
  <c r="BF25" i="47"/>
  <c r="BC121" i="47"/>
  <c r="BC176" i="47" s="1"/>
  <c r="BD16" i="47"/>
  <c r="BC164" i="47"/>
  <c r="BD140" i="47"/>
  <c r="O18" i="45" s="1"/>
  <c r="BO66" i="47"/>
  <c r="BN84" i="47"/>
  <c r="CB135" i="47"/>
  <c r="CB190" i="47" s="1"/>
  <c r="CC56" i="47"/>
  <c r="BC119" i="47"/>
  <c r="BC174" i="47" s="1"/>
  <c r="BD14" i="47"/>
  <c r="BQ61" i="47"/>
  <c r="BF9" i="47"/>
  <c r="BF134" i="47"/>
  <c r="BG29" i="47"/>
  <c r="BD131" i="47"/>
  <c r="N36" i="45" s="1"/>
  <c r="BF26" i="47"/>
  <c r="BC128" i="47"/>
  <c r="BC183" i="47" s="1"/>
  <c r="BD23" i="47"/>
  <c r="BC113" i="47"/>
  <c r="BC32" i="47"/>
  <c r="BD7" i="47"/>
  <c r="BD116" i="47"/>
  <c r="N21" i="45" s="1"/>
  <c r="BF11" i="47"/>
  <c r="BD35" i="47"/>
  <c r="BC58" i="47"/>
  <c r="BC120" i="47"/>
  <c r="BC175" i="47" s="1"/>
  <c r="BD15" i="47"/>
  <c r="BC124" i="47"/>
  <c r="BC179" i="47" s="1"/>
  <c r="BD19" i="47"/>
  <c r="BC132" i="47"/>
  <c r="BC187" i="47" s="1"/>
  <c r="BD27" i="47"/>
  <c r="BD118" i="47"/>
  <c r="N23" i="45" s="1"/>
  <c r="BF13" i="47"/>
  <c r="BC123" i="47"/>
  <c r="BC178" i="47" s="1"/>
  <c r="BD18" i="47"/>
  <c r="BC115" i="47"/>
  <c r="BC170" i="47" s="1"/>
  <c r="BD10" i="47"/>
  <c r="BC125" i="47"/>
  <c r="BC180" i="47" s="1"/>
  <c r="BD20" i="47"/>
  <c r="BD126" i="47"/>
  <c r="N31" i="45" s="1"/>
  <c r="BF21" i="47"/>
  <c r="BD189" i="47"/>
  <c r="HY8" i="46"/>
  <c r="HS8" i="46"/>
  <c r="HU8" i="46" s="1"/>
  <c r="HY24" i="46"/>
  <c r="HS24" i="46"/>
  <c r="HU24" i="46" s="1"/>
  <c r="X115" i="40"/>
  <c r="X117" i="40" s="1"/>
  <c r="X119" i="40" s="1"/>
  <c r="Z70" i="40"/>
  <c r="Z103" i="40" s="1"/>
  <c r="AA9" i="40"/>
  <c r="AA54" i="40"/>
  <c r="Z66" i="40"/>
  <c r="Z69" i="40"/>
  <c r="AA7" i="40"/>
  <c r="Z21" i="40"/>
  <c r="Y102" i="40"/>
  <c r="Y115" i="40" s="1"/>
  <c r="Y117" i="40" s="1"/>
  <c r="Y119" i="40" s="1"/>
  <c r="Y82" i="40"/>
  <c r="Z71" i="40"/>
  <c r="Z104" i="40" s="1"/>
  <c r="AA10" i="40"/>
  <c r="Z76" i="40"/>
  <c r="Z109" i="40" s="1"/>
  <c r="AA15" i="40"/>
  <c r="Z73" i="40"/>
  <c r="Z106" i="40" s="1"/>
  <c r="AA12" i="40"/>
  <c r="Z74" i="40"/>
  <c r="Z107" i="40" s="1"/>
  <c r="AA13" i="40"/>
  <c r="Z78" i="40"/>
  <c r="Z111" i="40" s="1"/>
  <c r="AA17" i="40"/>
  <c r="Z79" i="40"/>
  <c r="Z112" i="40" s="1"/>
  <c r="AA18" i="40"/>
  <c r="AA24" i="40"/>
  <c r="Z36" i="40"/>
  <c r="Z72" i="40"/>
  <c r="Z105" i="40" s="1"/>
  <c r="AA11" i="40"/>
  <c r="AX80" i="40"/>
  <c r="AX113" i="40" s="1"/>
  <c r="AY34" i="40"/>
  <c r="AB81" i="40"/>
  <c r="AB114" i="40" s="1"/>
  <c r="AC20" i="40"/>
  <c r="Z98" i="40"/>
  <c r="AA85" i="40"/>
  <c r="Z51" i="40"/>
  <c r="AA39" i="40"/>
  <c r="Z80" i="40"/>
  <c r="Z113" i="40" s="1"/>
  <c r="AA19" i="40"/>
  <c r="Z77" i="40"/>
  <c r="Z110" i="40" s="1"/>
  <c r="AA16" i="40"/>
  <c r="Z75" i="40"/>
  <c r="Z108" i="40" s="1"/>
  <c r="AA14" i="40"/>
  <c r="BF189" i="47" l="1"/>
  <c r="BD125" i="47"/>
  <c r="N30" i="45" s="1"/>
  <c r="BF20" i="47"/>
  <c r="BD173" i="47"/>
  <c r="BD58" i="47"/>
  <c r="BF35" i="47"/>
  <c r="BD113" i="47"/>
  <c r="N18" i="45" s="1"/>
  <c r="BD32" i="47"/>
  <c r="BF7" i="47"/>
  <c r="BG134" i="47"/>
  <c r="BH29" i="47"/>
  <c r="BD114" i="47"/>
  <c r="N19" i="45" s="1"/>
  <c r="BP66" i="47"/>
  <c r="BO84" i="47"/>
  <c r="BD132" i="47"/>
  <c r="N37" i="45" s="1"/>
  <c r="BF27" i="47"/>
  <c r="BD120" i="47"/>
  <c r="N25" i="45" s="1"/>
  <c r="BF15" i="47"/>
  <c r="BS61" i="47"/>
  <c r="CC135" i="47"/>
  <c r="CC190" i="47" s="1"/>
  <c r="CD56" i="47"/>
  <c r="CF56" i="47" s="1"/>
  <c r="BD164" i="47"/>
  <c r="BF140" i="47"/>
  <c r="BG17" i="47"/>
  <c r="BF122" i="47"/>
  <c r="BD133" i="47"/>
  <c r="N38" i="45" s="1"/>
  <c r="BF28" i="47"/>
  <c r="BF126" i="47"/>
  <c r="BG21" i="47"/>
  <c r="BF10" i="47"/>
  <c r="BD115" i="47"/>
  <c r="N20" i="45" s="1"/>
  <c r="BF116" i="47"/>
  <c r="BG11" i="47"/>
  <c r="BC168" i="47"/>
  <c r="BC192" i="47" s="1"/>
  <c r="BC194" i="47" s="1"/>
  <c r="BC196" i="47" s="1"/>
  <c r="BC137" i="47"/>
  <c r="BF131" i="47"/>
  <c r="BG26" i="47"/>
  <c r="BF130" i="47"/>
  <c r="BG25" i="47"/>
  <c r="BD177" i="47"/>
  <c r="BD123" i="47"/>
  <c r="N28" i="45" s="1"/>
  <c r="BF18" i="47"/>
  <c r="BD129" i="47"/>
  <c r="N34" i="45" s="1"/>
  <c r="BF24" i="47"/>
  <c r="BD181" i="47"/>
  <c r="BF118" i="47"/>
  <c r="BG13" i="47"/>
  <c r="BD124" i="47"/>
  <c r="N29" i="45" s="1"/>
  <c r="BF19" i="47"/>
  <c r="BD171" i="47"/>
  <c r="BD128" i="47"/>
  <c r="N33" i="45" s="1"/>
  <c r="BF23" i="47"/>
  <c r="BD186" i="47"/>
  <c r="BG9" i="47"/>
  <c r="BD119" i="47"/>
  <c r="N24" i="45" s="1"/>
  <c r="BF14" i="47"/>
  <c r="BF16" i="47"/>
  <c r="BD121" i="47"/>
  <c r="N26" i="45" s="1"/>
  <c r="BD185" i="47"/>
  <c r="BD117" i="47"/>
  <c r="N22" i="45" s="1"/>
  <c r="BF12" i="47"/>
  <c r="BD127" i="47"/>
  <c r="N32" i="45" s="1"/>
  <c r="BF22" i="47"/>
  <c r="BF110" i="47"/>
  <c r="BG87" i="47"/>
  <c r="HY10" i="46"/>
  <c r="HS10" i="46"/>
  <c r="HU10" i="46" s="1"/>
  <c r="AA75" i="40"/>
  <c r="AA108" i="40" s="1"/>
  <c r="AB14" i="40"/>
  <c r="AA77" i="40"/>
  <c r="AA110" i="40" s="1"/>
  <c r="AB16" i="40"/>
  <c r="AA80" i="40"/>
  <c r="AA113" i="40" s="1"/>
  <c r="AB19" i="40"/>
  <c r="AA51" i="40"/>
  <c r="AB39" i="40"/>
  <c r="AA98" i="40"/>
  <c r="AB85" i="40"/>
  <c r="AC81" i="40"/>
  <c r="AC114" i="40" s="1"/>
  <c r="CE114" i="40" s="1"/>
  <c r="AQ20" i="40"/>
  <c r="AY80" i="40"/>
  <c r="AY113" i="40" s="1"/>
  <c r="AZ34" i="40"/>
  <c r="AA72" i="40"/>
  <c r="AA105" i="40" s="1"/>
  <c r="AB11" i="40"/>
  <c r="AA79" i="40"/>
  <c r="AA112" i="40" s="1"/>
  <c r="AB18" i="40"/>
  <c r="AA78" i="40"/>
  <c r="AA111" i="40" s="1"/>
  <c r="AB17" i="40"/>
  <c r="AA74" i="40"/>
  <c r="AA107" i="40" s="1"/>
  <c r="AB13" i="40"/>
  <c r="AA73" i="40"/>
  <c r="AA106" i="40" s="1"/>
  <c r="AB12" i="40"/>
  <c r="AA76" i="40"/>
  <c r="AA109" i="40" s="1"/>
  <c r="AB15" i="40"/>
  <c r="AA71" i="40"/>
  <c r="AA104" i="40" s="1"/>
  <c r="AB10" i="40"/>
  <c r="Z102" i="40"/>
  <c r="Z115" i="40" s="1"/>
  <c r="Z117" i="40" s="1"/>
  <c r="Z119" i="40" s="1"/>
  <c r="Z82" i="40"/>
  <c r="AA66" i="40"/>
  <c r="AB54" i="40"/>
  <c r="AA36" i="40"/>
  <c r="AB24" i="40"/>
  <c r="AA69" i="40"/>
  <c r="AA21" i="40"/>
  <c r="AB7" i="40"/>
  <c r="AA70" i="40"/>
  <c r="AA103" i="40" s="1"/>
  <c r="AB9" i="40"/>
  <c r="CF135" i="47" l="1"/>
  <c r="CF190" i="47" s="1"/>
  <c r="CG56" i="47"/>
  <c r="BF186" i="47"/>
  <c r="BF181" i="47"/>
  <c r="BF173" i="47"/>
  <c r="BF185" i="47"/>
  <c r="BF177" i="47"/>
  <c r="BF171" i="47"/>
  <c r="BD172" i="47"/>
  <c r="BD179" i="47"/>
  <c r="BG126" i="47"/>
  <c r="BH21" i="47"/>
  <c r="BD188" i="47"/>
  <c r="BF164" i="47"/>
  <c r="BG140" i="47"/>
  <c r="BF120" i="47"/>
  <c r="BG15" i="47"/>
  <c r="BD187" i="47"/>
  <c r="BF32" i="47"/>
  <c r="BF113" i="47"/>
  <c r="BG7" i="47"/>
  <c r="BF58" i="47"/>
  <c r="BG35" i="47"/>
  <c r="BG114" i="47" s="1"/>
  <c r="BG169" i="47" s="1"/>
  <c r="BG110" i="47"/>
  <c r="BH87" i="47"/>
  <c r="BD182" i="47"/>
  <c r="BF121" i="47"/>
  <c r="BG16" i="47"/>
  <c r="BH9" i="47"/>
  <c r="BG118" i="47"/>
  <c r="BG173" i="47" s="1"/>
  <c r="BH13" i="47"/>
  <c r="BF123" i="47"/>
  <c r="BG18" i="47"/>
  <c r="BG130" i="47"/>
  <c r="BH25" i="47"/>
  <c r="BT61" i="47"/>
  <c r="BD175" i="47"/>
  <c r="BH134" i="47"/>
  <c r="BH189" i="47" s="1"/>
  <c r="BI29" i="47"/>
  <c r="BF125" i="47"/>
  <c r="BG20" i="47"/>
  <c r="BF114" i="47"/>
  <c r="BF128" i="47"/>
  <c r="BG23" i="47"/>
  <c r="BF129" i="47"/>
  <c r="BG24" i="47"/>
  <c r="BD178" i="47"/>
  <c r="BD170" i="47"/>
  <c r="BG122" i="47"/>
  <c r="BH17" i="47"/>
  <c r="CD135" i="47"/>
  <c r="CD190" i="47" s="1"/>
  <c r="DS190" i="47" s="1"/>
  <c r="DS56" i="47"/>
  <c r="BQ66" i="47"/>
  <c r="BP84" i="47"/>
  <c r="BG189" i="47"/>
  <c r="BD168" i="47"/>
  <c r="BD137" i="47"/>
  <c r="BD180" i="47"/>
  <c r="BF127" i="47"/>
  <c r="BG22" i="47"/>
  <c r="BD176" i="47"/>
  <c r="BD174" i="47"/>
  <c r="BF117" i="47"/>
  <c r="BG12" i="47"/>
  <c r="BF119" i="47"/>
  <c r="BG14" i="47"/>
  <c r="BD183" i="47"/>
  <c r="BF124" i="47"/>
  <c r="BG19" i="47"/>
  <c r="BD184" i="47"/>
  <c r="BG131" i="47"/>
  <c r="BG186" i="47" s="1"/>
  <c r="BH26" i="47"/>
  <c r="BG116" i="47"/>
  <c r="BH11" i="47"/>
  <c r="BF115" i="47"/>
  <c r="BG10" i="47"/>
  <c r="BG28" i="47"/>
  <c r="BF133" i="47"/>
  <c r="BF132" i="47"/>
  <c r="BG27" i="47"/>
  <c r="BD169" i="47"/>
  <c r="HS11" i="46"/>
  <c r="HU11" i="46" s="1"/>
  <c r="HY11" i="46"/>
  <c r="AC24" i="40"/>
  <c r="AB36" i="40"/>
  <c r="AC54" i="40"/>
  <c r="AB66" i="40"/>
  <c r="AB71" i="40"/>
  <c r="AB104" i="40" s="1"/>
  <c r="AC10" i="40"/>
  <c r="AB76" i="40"/>
  <c r="AB109" i="40" s="1"/>
  <c r="AC15" i="40"/>
  <c r="AB73" i="40"/>
  <c r="AB106" i="40" s="1"/>
  <c r="AC12" i="40"/>
  <c r="AB74" i="40"/>
  <c r="AB107" i="40" s="1"/>
  <c r="AC13" i="40"/>
  <c r="AB78" i="40"/>
  <c r="AB111" i="40" s="1"/>
  <c r="AC17" i="40"/>
  <c r="AB79" i="40"/>
  <c r="AB112" i="40" s="1"/>
  <c r="AC18" i="40"/>
  <c r="AB72" i="40"/>
  <c r="AB105" i="40" s="1"/>
  <c r="AC11" i="40"/>
  <c r="AB70" i="40"/>
  <c r="AB103" i="40" s="1"/>
  <c r="AC9" i="40"/>
  <c r="AB69" i="40"/>
  <c r="AC7" i="40"/>
  <c r="AB21" i="40"/>
  <c r="AA102" i="40"/>
  <c r="AA115" i="40" s="1"/>
  <c r="AA117" i="40" s="1"/>
  <c r="AA119" i="40" s="1"/>
  <c r="AA82" i="40"/>
  <c r="AZ80" i="40"/>
  <c r="AZ113" i="40" s="1"/>
  <c r="BA34" i="40"/>
  <c r="AQ81" i="40"/>
  <c r="AQ114" i="40" s="1"/>
  <c r="BD20" i="40"/>
  <c r="AB98" i="40"/>
  <c r="AC85" i="40"/>
  <c r="AB51" i="40"/>
  <c r="AC39" i="40"/>
  <c r="AB80" i="40"/>
  <c r="AB113" i="40" s="1"/>
  <c r="AC19" i="40"/>
  <c r="AB77" i="40"/>
  <c r="AB110" i="40" s="1"/>
  <c r="AC16" i="40"/>
  <c r="AB75" i="40"/>
  <c r="AB108" i="40" s="1"/>
  <c r="AC14" i="40"/>
  <c r="CH56" i="47" l="1"/>
  <c r="CG135" i="47"/>
  <c r="CG190" i="47" s="1"/>
  <c r="BF170" i="47"/>
  <c r="BF172" i="47"/>
  <c r="BF182" i="47"/>
  <c r="BF183" i="47"/>
  <c r="BF176" i="47"/>
  <c r="BF188" i="47"/>
  <c r="BF187" i="47"/>
  <c r="BF174" i="47"/>
  <c r="BF184" i="47"/>
  <c r="BF179" i="47"/>
  <c r="BF180" i="47"/>
  <c r="BF178" i="47"/>
  <c r="BF175" i="47"/>
  <c r="BF169" i="47"/>
  <c r="BG115" i="47"/>
  <c r="BH10" i="47"/>
  <c r="BH131" i="47"/>
  <c r="BI26" i="47"/>
  <c r="BG124" i="47"/>
  <c r="BG179" i="47" s="1"/>
  <c r="BH19" i="47"/>
  <c r="BH130" i="47"/>
  <c r="BH185" i="47" s="1"/>
  <c r="BI25" i="47"/>
  <c r="BH110" i="47"/>
  <c r="BI87" i="47"/>
  <c r="BH140" i="47"/>
  <c r="BG164" i="47"/>
  <c r="BG119" i="47"/>
  <c r="BG174" i="47" s="1"/>
  <c r="BH14" i="47"/>
  <c r="BG185" i="47"/>
  <c r="BH118" i="47"/>
  <c r="BI13" i="47"/>
  <c r="BI9" i="47"/>
  <c r="BG113" i="47"/>
  <c r="BG32" i="47"/>
  <c r="BH7" i="47"/>
  <c r="BG181" i="47"/>
  <c r="BG129" i="47"/>
  <c r="BH24" i="47"/>
  <c r="BG125" i="47"/>
  <c r="BH20" i="47"/>
  <c r="BH126" i="47"/>
  <c r="BH181" i="47" s="1"/>
  <c r="BI21" i="47"/>
  <c r="BG132" i="47"/>
  <c r="BH27" i="47"/>
  <c r="BI11" i="47"/>
  <c r="BH116" i="47"/>
  <c r="BH171" i="47" s="1"/>
  <c r="BG127" i="47"/>
  <c r="BG182" i="47" s="1"/>
  <c r="BH22" i="47"/>
  <c r="BD192" i="47"/>
  <c r="BD194" i="47" s="1"/>
  <c r="BD196" i="47" s="1"/>
  <c r="BS66" i="47"/>
  <c r="BQ84" i="47"/>
  <c r="BH122" i="47"/>
  <c r="BH177" i="47" s="1"/>
  <c r="BI17" i="47"/>
  <c r="BG128" i="47"/>
  <c r="BH23" i="47"/>
  <c r="BI134" i="47"/>
  <c r="BJ29" i="47"/>
  <c r="BU61" i="47"/>
  <c r="BG123" i="47"/>
  <c r="BH18" i="47"/>
  <c r="BF137" i="47"/>
  <c r="BF168" i="47"/>
  <c r="BG120" i="47"/>
  <c r="BH15" i="47"/>
  <c r="BH28" i="47"/>
  <c r="BG133" i="47"/>
  <c r="BG188" i="47" s="1"/>
  <c r="BG171" i="47"/>
  <c r="BG117" i="47"/>
  <c r="BG172" i="47" s="1"/>
  <c r="BH12" i="47"/>
  <c r="BG177" i="47"/>
  <c r="BG121" i="47"/>
  <c r="BH16" i="47"/>
  <c r="BG58" i="47"/>
  <c r="BH35" i="47"/>
  <c r="BH114" i="47" s="1"/>
  <c r="HS14" i="46"/>
  <c r="HU14" i="46" s="1"/>
  <c r="HY14" i="46"/>
  <c r="HS18" i="46"/>
  <c r="HU18" i="46" s="1"/>
  <c r="HY18" i="46"/>
  <c r="AC75" i="40"/>
  <c r="AE14" i="40"/>
  <c r="AC77" i="40"/>
  <c r="AE16" i="40"/>
  <c r="AC80" i="40"/>
  <c r="AC113" i="40" s="1"/>
  <c r="AQ19" i="40"/>
  <c r="AC51" i="40"/>
  <c r="AE39" i="40"/>
  <c r="AC98" i="40"/>
  <c r="AE85" i="40"/>
  <c r="BD81" i="40"/>
  <c r="BD114" i="40" s="1"/>
  <c r="BQ20" i="40"/>
  <c r="BA80" i="40"/>
  <c r="BA113" i="40" s="1"/>
  <c r="BB34" i="40"/>
  <c r="AB102" i="40"/>
  <c r="AB115" i="40" s="1"/>
  <c r="AB117" i="40" s="1"/>
  <c r="AB119" i="40" s="1"/>
  <c r="AB82" i="40"/>
  <c r="AC66" i="40"/>
  <c r="AE54" i="40"/>
  <c r="AC36" i="40"/>
  <c r="AE24" i="40"/>
  <c r="AC69" i="40"/>
  <c r="AC21" i="40"/>
  <c r="AE7" i="40"/>
  <c r="AC70" i="40"/>
  <c r="AE9" i="40"/>
  <c r="AC72" i="40"/>
  <c r="AE11" i="40"/>
  <c r="AC79" i="40"/>
  <c r="AE18" i="40"/>
  <c r="AC78" i="40"/>
  <c r="AE17" i="40"/>
  <c r="AC74" i="40"/>
  <c r="AE13" i="40"/>
  <c r="AC73" i="40"/>
  <c r="AE12" i="40"/>
  <c r="AC76" i="40"/>
  <c r="AE15" i="40"/>
  <c r="AC71" i="40"/>
  <c r="AE10" i="40"/>
  <c r="CI56" i="47" l="1"/>
  <c r="CH135" i="47"/>
  <c r="CH190" i="47" s="1"/>
  <c r="BF192" i="47"/>
  <c r="BF194" i="47" s="1"/>
  <c r="BF196" i="47" s="1"/>
  <c r="BH117" i="47"/>
  <c r="BI12" i="47"/>
  <c r="BH128" i="47"/>
  <c r="BH183" i="47" s="1"/>
  <c r="BI23" i="47"/>
  <c r="BG187" i="47"/>
  <c r="BI20" i="47"/>
  <c r="BH125" i="47"/>
  <c r="BH180" i="47" s="1"/>
  <c r="BH113" i="47"/>
  <c r="BI7" i="47"/>
  <c r="BH32" i="47"/>
  <c r="BJ9" i="47"/>
  <c r="BH120" i="47"/>
  <c r="BH175" i="47" s="1"/>
  <c r="BI15" i="47"/>
  <c r="BI126" i="47"/>
  <c r="BJ21" i="47"/>
  <c r="BG180" i="47"/>
  <c r="BG170" i="47"/>
  <c r="BH58" i="47"/>
  <c r="BI35" i="47"/>
  <c r="BI114" i="47" s="1"/>
  <c r="BH121" i="47"/>
  <c r="BH176" i="47" s="1"/>
  <c r="BI16" i="47"/>
  <c r="BG175" i="47"/>
  <c r="BJ134" i="47"/>
  <c r="BJ189" i="47" s="1"/>
  <c r="BK29" i="47"/>
  <c r="BI122" i="47"/>
  <c r="BJ17" i="47"/>
  <c r="BT66" i="47"/>
  <c r="BS84" i="47"/>
  <c r="BH127" i="47"/>
  <c r="BH182" i="47" s="1"/>
  <c r="BI22" i="47"/>
  <c r="BJ11" i="47"/>
  <c r="BI116" i="47"/>
  <c r="BI24" i="47"/>
  <c r="BH129" i="47"/>
  <c r="BH184" i="47" s="1"/>
  <c r="BG137" i="47"/>
  <c r="BG168" i="47"/>
  <c r="BI118" i="47"/>
  <c r="BI173" i="47" s="1"/>
  <c r="BJ13" i="47"/>
  <c r="BI130" i="47"/>
  <c r="BJ25" i="47"/>
  <c r="BI131" i="47"/>
  <c r="BI186" i="47" s="1"/>
  <c r="BJ26" i="47"/>
  <c r="BH123" i="47"/>
  <c r="BH178" i="47" s="1"/>
  <c r="BI18" i="47"/>
  <c r="BI110" i="47"/>
  <c r="BJ87" i="47"/>
  <c r="BH124" i="47"/>
  <c r="BI19" i="47"/>
  <c r="BH115" i="47"/>
  <c r="BH170" i="47" s="1"/>
  <c r="BI10" i="47"/>
  <c r="BG178" i="47"/>
  <c r="BG183" i="47"/>
  <c r="BH169" i="47"/>
  <c r="BH119" i="47"/>
  <c r="BI14" i="47"/>
  <c r="BG176" i="47"/>
  <c r="BH133" i="47"/>
  <c r="BI28" i="47"/>
  <c r="BV61" i="47"/>
  <c r="BI189" i="47"/>
  <c r="BH132" i="47"/>
  <c r="BH187" i="47" s="1"/>
  <c r="BI27" i="47"/>
  <c r="BG184" i="47"/>
  <c r="BH173" i="47"/>
  <c r="BH164" i="47"/>
  <c r="BI140" i="47"/>
  <c r="BH186" i="47"/>
  <c r="AE71" i="40"/>
  <c r="AE104" i="40" s="1"/>
  <c r="AF10" i="40"/>
  <c r="AC109" i="40"/>
  <c r="AE73" i="40"/>
  <c r="AE106" i="40" s="1"/>
  <c r="AF12" i="40"/>
  <c r="AC107" i="40"/>
  <c r="AE78" i="40"/>
  <c r="AE111" i="40" s="1"/>
  <c r="AF17" i="40"/>
  <c r="AC112" i="40"/>
  <c r="AE72" i="40"/>
  <c r="AE105" i="40" s="1"/>
  <c r="AF11" i="40"/>
  <c r="AC103" i="40"/>
  <c r="AE69" i="40"/>
  <c r="AE21" i="40"/>
  <c r="AF7" i="40"/>
  <c r="AC102" i="40"/>
  <c r="AC82" i="40"/>
  <c r="AE36" i="40"/>
  <c r="AF24" i="40"/>
  <c r="AE98" i="40"/>
  <c r="AF85" i="40"/>
  <c r="AE77" i="40"/>
  <c r="AE110" i="40" s="1"/>
  <c r="AF16" i="40"/>
  <c r="AC108" i="40"/>
  <c r="AC104" i="40"/>
  <c r="AE76" i="40"/>
  <c r="AE109" i="40" s="1"/>
  <c r="AF15" i="40"/>
  <c r="AC106" i="40"/>
  <c r="AE74" i="40"/>
  <c r="AE107" i="40" s="1"/>
  <c r="AF13" i="40"/>
  <c r="AC111" i="40"/>
  <c r="AE79" i="40"/>
  <c r="AE112" i="40" s="1"/>
  <c r="AF18" i="40"/>
  <c r="AC105" i="40"/>
  <c r="AE70" i="40"/>
  <c r="AE103" i="40" s="1"/>
  <c r="AF9" i="40"/>
  <c r="AE66" i="40"/>
  <c r="AF54" i="40"/>
  <c r="BB80" i="40"/>
  <c r="BB113" i="40" s="1"/>
  <c r="BC34" i="40"/>
  <c r="BQ81" i="40"/>
  <c r="BQ114" i="40" s="1"/>
  <c r="CD20" i="40"/>
  <c r="AE51" i="40"/>
  <c r="AF39" i="40"/>
  <c r="AQ80" i="40"/>
  <c r="AQ21" i="40"/>
  <c r="BD19" i="40"/>
  <c r="AC110" i="40"/>
  <c r="AE75" i="40"/>
  <c r="AE108" i="40" s="1"/>
  <c r="AF14" i="40"/>
  <c r="CI135" i="47" l="1"/>
  <c r="CI190" i="47" s="1"/>
  <c r="CJ56" i="47"/>
  <c r="BG192" i="47"/>
  <c r="BG194" i="47" s="1"/>
  <c r="BG196" i="47" s="1"/>
  <c r="BI169" i="47"/>
  <c r="BI129" i="47"/>
  <c r="BJ24" i="47"/>
  <c r="BJ126" i="47"/>
  <c r="BJ181" i="47" s="1"/>
  <c r="BK21" i="47"/>
  <c r="BI128" i="47"/>
  <c r="BJ23" i="47"/>
  <c r="BI164" i="47"/>
  <c r="BJ140" i="47"/>
  <c r="BI132" i="47"/>
  <c r="BI187" i="47" s="1"/>
  <c r="BJ27" i="47"/>
  <c r="BI133" i="47"/>
  <c r="BI188" i="47" s="1"/>
  <c r="BJ28" i="47"/>
  <c r="BK26" i="47"/>
  <c r="BJ131" i="47"/>
  <c r="BJ186" i="47" s="1"/>
  <c r="BI185" i="47"/>
  <c r="BI127" i="47"/>
  <c r="BI182" i="47" s="1"/>
  <c r="BJ22" i="47"/>
  <c r="BJ122" i="47"/>
  <c r="BK17" i="47"/>
  <c r="BI120" i="47"/>
  <c r="BI175" i="47" s="1"/>
  <c r="BJ15" i="47"/>
  <c r="BH168" i="47"/>
  <c r="BH137" i="47"/>
  <c r="BH172" i="47"/>
  <c r="BW61" i="47"/>
  <c r="BH174" i="47"/>
  <c r="BH179" i="47"/>
  <c r="BJ118" i="47"/>
  <c r="BK13" i="47"/>
  <c r="BI171" i="47"/>
  <c r="BK134" i="47"/>
  <c r="BL29" i="47"/>
  <c r="BJ35" i="47"/>
  <c r="BJ114" i="47" s="1"/>
  <c r="BJ169" i="47" s="1"/>
  <c r="BI58" i="47"/>
  <c r="BI181" i="47"/>
  <c r="BI125" i="47"/>
  <c r="BI180" i="47" s="1"/>
  <c r="BJ20" i="47"/>
  <c r="BH188" i="47"/>
  <c r="BI119" i="47"/>
  <c r="BI174" i="47" s="1"/>
  <c r="BJ14" i="47"/>
  <c r="BI124" i="47"/>
  <c r="BI179" i="47" s="1"/>
  <c r="BJ19" i="47"/>
  <c r="BI123" i="47"/>
  <c r="BJ18" i="47"/>
  <c r="BI177" i="47"/>
  <c r="BI115" i="47"/>
  <c r="BJ10" i="47"/>
  <c r="BK87" i="47"/>
  <c r="BJ110" i="47"/>
  <c r="BJ130" i="47"/>
  <c r="BJ185" i="47" s="1"/>
  <c r="BK25" i="47"/>
  <c r="BJ116" i="47"/>
  <c r="BJ171" i="47" s="1"/>
  <c r="BK11" i="47"/>
  <c r="BU66" i="47"/>
  <c r="BT84" i="47"/>
  <c r="BI121" i="47"/>
  <c r="BJ16" i="47"/>
  <c r="BK9" i="47"/>
  <c r="BI113" i="47"/>
  <c r="BJ7" i="47"/>
  <c r="BI32" i="47"/>
  <c r="BI117" i="47"/>
  <c r="BJ12" i="47"/>
  <c r="HS23" i="46"/>
  <c r="HU23" i="46" s="1"/>
  <c r="HY23" i="46"/>
  <c r="AF51" i="40"/>
  <c r="AG39" i="40"/>
  <c r="BC80" i="40"/>
  <c r="BC113" i="40" s="1"/>
  <c r="BE34" i="40"/>
  <c r="AF66" i="40"/>
  <c r="AG54" i="40"/>
  <c r="AF70" i="40"/>
  <c r="AF103" i="40" s="1"/>
  <c r="AG9" i="40"/>
  <c r="AF79" i="40"/>
  <c r="AF112" i="40" s="1"/>
  <c r="AG18" i="40"/>
  <c r="AF74" i="40"/>
  <c r="AF107" i="40" s="1"/>
  <c r="AG13" i="40"/>
  <c r="AF76" i="40"/>
  <c r="AF109" i="40" s="1"/>
  <c r="AG15" i="40"/>
  <c r="AF69" i="40"/>
  <c r="AF21" i="40"/>
  <c r="AG7" i="40"/>
  <c r="AE102" i="40"/>
  <c r="AE115" i="40" s="1"/>
  <c r="AE117" i="40" s="1"/>
  <c r="AE119" i="40" s="1"/>
  <c r="AE82" i="40"/>
  <c r="AF75" i="40"/>
  <c r="AF108" i="40" s="1"/>
  <c r="AG14" i="40"/>
  <c r="BD80" i="40"/>
  <c r="BD21" i="40"/>
  <c r="BQ19" i="40"/>
  <c r="AQ113" i="40"/>
  <c r="AQ82" i="40"/>
  <c r="AF77" i="40"/>
  <c r="AG16" i="40"/>
  <c r="AF98" i="40"/>
  <c r="AG85" i="40"/>
  <c r="AF36" i="40"/>
  <c r="AG24" i="40"/>
  <c r="AC115" i="40"/>
  <c r="AC117" i="40" s="1"/>
  <c r="AC119" i="40" s="1"/>
  <c r="AF72" i="40"/>
  <c r="AG11" i="40"/>
  <c r="AF78" i="40"/>
  <c r="AG17" i="40"/>
  <c r="AF73" i="40"/>
  <c r="AG12" i="40"/>
  <c r="AF71" i="40"/>
  <c r="AG10" i="40"/>
  <c r="CJ135" i="47" l="1"/>
  <c r="CJ190" i="47" s="1"/>
  <c r="CK56" i="47"/>
  <c r="BI172" i="47"/>
  <c r="BI170" i="47"/>
  <c r="BJ177" i="47"/>
  <c r="BJ115" i="47"/>
  <c r="BJ170" i="47" s="1"/>
  <c r="BK10" i="47"/>
  <c r="BJ124" i="47"/>
  <c r="BK19" i="47"/>
  <c r="BJ120" i="47"/>
  <c r="BK15" i="47"/>
  <c r="BJ132" i="47"/>
  <c r="BK27" i="47"/>
  <c r="BJ164" i="47"/>
  <c r="BK140" i="47"/>
  <c r="BK126" i="47"/>
  <c r="BL21" i="47"/>
  <c r="BI168" i="47"/>
  <c r="BI137" i="47"/>
  <c r="BK130" i="47"/>
  <c r="BK185" i="47" s="1"/>
  <c r="BL25" i="47"/>
  <c r="BK110" i="47"/>
  <c r="BL87" i="47"/>
  <c r="BI178" i="47"/>
  <c r="BJ119" i="47"/>
  <c r="BJ174" i="47" s="1"/>
  <c r="BK14" i="47"/>
  <c r="BJ125" i="47"/>
  <c r="BJ180" i="47" s="1"/>
  <c r="BK20" i="47"/>
  <c r="BK189" i="47"/>
  <c r="BJ173" i="47"/>
  <c r="BH192" i="47"/>
  <c r="BH194" i="47" s="1"/>
  <c r="BH196" i="47" s="1"/>
  <c r="BI183" i="47"/>
  <c r="BI184" i="47"/>
  <c r="BJ58" i="47"/>
  <c r="BK35" i="47"/>
  <c r="BK114" i="47" s="1"/>
  <c r="BK169" i="47" s="1"/>
  <c r="BJ133" i="47"/>
  <c r="BK28" i="47"/>
  <c r="BL9" i="47"/>
  <c r="BI176" i="47"/>
  <c r="BK116" i="47"/>
  <c r="BL11" i="47"/>
  <c r="BK131" i="47"/>
  <c r="BK186" i="47" s="1"/>
  <c r="BL26" i="47"/>
  <c r="BJ121" i="47"/>
  <c r="BJ176" i="47" s="1"/>
  <c r="BK16" i="47"/>
  <c r="BV66" i="47"/>
  <c r="BU84" i="47"/>
  <c r="BJ127" i="47"/>
  <c r="BK22" i="47"/>
  <c r="BJ117" i="47"/>
  <c r="BJ172" i="47" s="1"/>
  <c r="BK12" i="47"/>
  <c r="BJ113" i="47"/>
  <c r="BJ32" i="47"/>
  <c r="BK7" i="47"/>
  <c r="BJ123" i="47"/>
  <c r="BJ178" i="47" s="1"/>
  <c r="BK18" i="47"/>
  <c r="BL134" i="47"/>
  <c r="BL189" i="47" s="1"/>
  <c r="BM29" i="47"/>
  <c r="BK118" i="47"/>
  <c r="BK173" i="47" s="1"/>
  <c r="BL13" i="47"/>
  <c r="BX61" i="47"/>
  <c r="BK122" i="47"/>
  <c r="BL17" i="47"/>
  <c r="BJ128" i="47"/>
  <c r="BJ183" i="47" s="1"/>
  <c r="BK23" i="47"/>
  <c r="BJ129" i="47"/>
  <c r="BJ184" i="47" s="1"/>
  <c r="BK24" i="47"/>
  <c r="AG71" i="40"/>
  <c r="AG104" i="40" s="1"/>
  <c r="AH10" i="40"/>
  <c r="AG73" i="40"/>
  <c r="AG106" i="40" s="1"/>
  <c r="AH12" i="40"/>
  <c r="AG78" i="40"/>
  <c r="AG111" i="40" s="1"/>
  <c r="AH17" i="40"/>
  <c r="AG72" i="40"/>
  <c r="AG105" i="40" s="1"/>
  <c r="AH11" i="40"/>
  <c r="AG36" i="40"/>
  <c r="AH24" i="40"/>
  <c r="AG98" i="40"/>
  <c r="AH85" i="40"/>
  <c r="AG77" i="40"/>
  <c r="AG110" i="40" s="1"/>
  <c r="AH16" i="40"/>
  <c r="BQ80" i="40"/>
  <c r="BQ21" i="40"/>
  <c r="CD19" i="40"/>
  <c r="CD21" i="40" s="1"/>
  <c r="BD113" i="40"/>
  <c r="BD82" i="40"/>
  <c r="AG75" i="40"/>
  <c r="AH14" i="40"/>
  <c r="AG69" i="40"/>
  <c r="AG21" i="40"/>
  <c r="AH7" i="40"/>
  <c r="AF102" i="40"/>
  <c r="AF82" i="40"/>
  <c r="AG76" i="40"/>
  <c r="AH15" i="40"/>
  <c r="AG79" i="40"/>
  <c r="AH18" i="40"/>
  <c r="AG66" i="40"/>
  <c r="AH54" i="40"/>
  <c r="AG51" i="40"/>
  <c r="AH39" i="40"/>
  <c r="AF104" i="40"/>
  <c r="AF106" i="40"/>
  <c r="AF111" i="40"/>
  <c r="AF105" i="40"/>
  <c r="AF110" i="40"/>
  <c r="AG74" i="40"/>
  <c r="AH13" i="40"/>
  <c r="AG70" i="40"/>
  <c r="AH9" i="40"/>
  <c r="BE80" i="40"/>
  <c r="BE113" i="40" s="1"/>
  <c r="BF34" i="40"/>
  <c r="CL56" i="47" l="1"/>
  <c r="CK135" i="47"/>
  <c r="CK190" i="47" s="1"/>
  <c r="BJ168" i="47"/>
  <c r="BJ137" i="47"/>
  <c r="BK171" i="47"/>
  <c r="BK132" i="47"/>
  <c r="BK187" i="47" s="1"/>
  <c r="BL27" i="47"/>
  <c r="BK129" i="47"/>
  <c r="BL24" i="47"/>
  <c r="BY61" i="47"/>
  <c r="BK117" i="47"/>
  <c r="BL12" i="47"/>
  <c r="BK133" i="47"/>
  <c r="BK188" i="47" s="1"/>
  <c r="BL28" i="47"/>
  <c r="BK58" i="47"/>
  <c r="BL35" i="47"/>
  <c r="BL114" i="47" s="1"/>
  <c r="BL169" i="47" s="1"/>
  <c r="BK119" i="47"/>
  <c r="BL14" i="47"/>
  <c r="BL110" i="47"/>
  <c r="BM87" i="47"/>
  <c r="BK181" i="47"/>
  <c r="BJ187" i="47"/>
  <c r="BL118" i="47"/>
  <c r="BL173" i="47" s="1"/>
  <c r="BM13" i="47"/>
  <c r="BL126" i="47"/>
  <c r="BL181" i="47" s="1"/>
  <c r="BM21" i="47"/>
  <c r="BK115" i="47"/>
  <c r="BL10" i="47"/>
  <c r="BL122" i="47"/>
  <c r="BL177" i="47" s="1"/>
  <c r="BM17" i="47"/>
  <c r="BM134" i="47"/>
  <c r="BN29" i="47"/>
  <c r="BK123" i="47"/>
  <c r="BK178" i="47" s="1"/>
  <c r="BL18" i="47"/>
  <c r="BK113" i="47"/>
  <c r="BK32" i="47"/>
  <c r="BL7" i="47"/>
  <c r="BW66" i="47"/>
  <c r="BV84" i="47"/>
  <c r="BL131" i="47"/>
  <c r="BL186" i="47" s="1"/>
  <c r="BM26" i="47"/>
  <c r="BJ188" i="47"/>
  <c r="BL140" i="47"/>
  <c r="BK164" i="47"/>
  <c r="BK124" i="47"/>
  <c r="BK179" i="47" s="1"/>
  <c r="BL19" i="47"/>
  <c r="BJ182" i="47"/>
  <c r="BJ175" i="47"/>
  <c r="BK128" i="47"/>
  <c r="BK183" i="47" s="1"/>
  <c r="BL23" i="47"/>
  <c r="BK177" i="47"/>
  <c r="BK127" i="47"/>
  <c r="BK182" i="47" s="1"/>
  <c r="BL22" i="47"/>
  <c r="BK121" i="47"/>
  <c r="BK176" i="47" s="1"/>
  <c r="BL16" i="47"/>
  <c r="BL116" i="47"/>
  <c r="BL171" i="47" s="1"/>
  <c r="BM11" i="47"/>
  <c r="BM9" i="47"/>
  <c r="BK125" i="47"/>
  <c r="BL20" i="47"/>
  <c r="BL130" i="47"/>
  <c r="BL185" i="47" s="1"/>
  <c r="BM25" i="47"/>
  <c r="BI192" i="47"/>
  <c r="BI194" i="47" s="1"/>
  <c r="BI196" i="47" s="1"/>
  <c r="BK120" i="47"/>
  <c r="BK175" i="47" s="1"/>
  <c r="BL15" i="47"/>
  <c r="BJ179" i="47"/>
  <c r="BF80" i="40"/>
  <c r="BF113" i="40" s="1"/>
  <c r="BG34" i="40"/>
  <c r="AH70" i="40"/>
  <c r="AH103" i="40" s="1"/>
  <c r="AI9" i="40"/>
  <c r="AH74" i="40"/>
  <c r="AH107" i="40" s="1"/>
  <c r="AI13" i="40"/>
  <c r="AH51" i="40"/>
  <c r="AI39" i="40"/>
  <c r="AH66" i="40"/>
  <c r="AI54" i="40"/>
  <c r="AH79" i="40"/>
  <c r="AH112" i="40" s="1"/>
  <c r="AI18" i="40"/>
  <c r="AH76" i="40"/>
  <c r="AH109" i="40" s="1"/>
  <c r="AI15" i="40"/>
  <c r="AF115" i="40"/>
  <c r="AF117" i="40" s="1"/>
  <c r="AF119" i="40" s="1"/>
  <c r="AH69" i="40"/>
  <c r="AH21" i="40"/>
  <c r="AI7" i="40"/>
  <c r="AG102" i="40"/>
  <c r="AG82" i="40"/>
  <c r="AG108" i="40"/>
  <c r="AH98" i="40"/>
  <c r="AI85" i="40"/>
  <c r="AH72" i="40"/>
  <c r="AI11" i="40"/>
  <c r="AH73" i="40"/>
  <c r="AI12" i="40"/>
  <c r="AG103" i="40"/>
  <c r="AG107" i="40"/>
  <c r="AG112" i="40"/>
  <c r="AG109" i="40"/>
  <c r="AH75" i="40"/>
  <c r="AH108" i="40" s="1"/>
  <c r="AI14" i="40"/>
  <c r="BQ113" i="40"/>
  <c r="BQ82" i="40"/>
  <c r="AH77" i="40"/>
  <c r="AI16" i="40"/>
  <c r="AH36" i="40"/>
  <c r="AI24" i="40"/>
  <c r="AH78" i="40"/>
  <c r="AI17" i="40"/>
  <c r="AH71" i="40"/>
  <c r="AI10" i="40"/>
  <c r="CL135" i="47" l="1"/>
  <c r="CL190" i="47" s="1"/>
  <c r="CM56" i="47"/>
  <c r="BK137" i="47"/>
  <c r="BK168" i="47"/>
  <c r="BK170" i="47"/>
  <c r="BM118" i="47"/>
  <c r="BM173" i="47" s="1"/>
  <c r="BN13" i="47"/>
  <c r="BL128" i="47"/>
  <c r="BM23" i="47"/>
  <c r="BM131" i="47"/>
  <c r="BM186" i="47" s="1"/>
  <c r="BN26" i="47"/>
  <c r="BL113" i="47"/>
  <c r="BL32" i="47"/>
  <c r="BM7" i="47"/>
  <c r="BL58" i="47"/>
  <c r="BM35" i="47"/>
  <c r="BM114" i="47" s="1"/>
  <c r="BM169" i="47" s="1"/>
  <c r="BZ61" i="47"/>
  <c r="BK184" i="47"/>
  <c r="BK180" i="47"/>
  <c r="BL164" i="47"/>
  <c r="BM140" i="47"/>
  <c r="BM189" i="47"/>
  <c r="BL125" i="47"/>
  <c r="BL180" i="47" s="1"/>
  <c r="BM20" i="47"/>
  <c r="BN9" i="47"/>
  <c r="BL121" i="47"/>
  <c r="BL176" i="47" s="1"/>
  <c r="BM16" i="47"/>
  <c r="BN134" i="47"/>
  <c r="BN189" i="47" s="1"/>
  <c r="BO29" i="47"/>
  <c r="BL115" i="47"/>
  <c r="BL170" i="47" s="1"/>
  <c r="BM10" i="47"/>
  <c r="BL119" i="47"/>
  <c r="BL174" i="47" s="1"/>
  <c r="BM14" i="47"/>
  <c r="BL132" i="47"/>
  <c r="BL187" i="47" s="1"/>
  <c r="BM27" i="47"/>
  <c r="BL120" i="47"/>
  <c r="BM15" i="47"/>
  <c r="BM130" i="47"/>
  <c r="BM185" i="47" s="1"/>
  <c r="BN25" i="47"/>
  <c r="BK174" i="47"/>
  <c r="BL133" i="47"/>
  <c r="BM28" i="47"/>
  <c r="BL117" i="47"/>
  <c r="BL172" i="47" s="1"/>
  <c r="BM12" i="47"/>
  <c r="BJ192" i="47"/>
  <c r="BJ194" i="47" s="1"/>
  <c r="BJ196" i="47" s="1"/>
  <c r="BM116" i="47"/>
  <c r="BM171" i="47" s="1"/>
  <c r="BN11" i="47"/>
  <c r="BL127" i="47"/>
  <c r="BL182" i="47" s="1"/>
  <c r="BM22" i="47"/>
  <c r="BM19" i="47"/>
  <c r="BL124" i="47"/>
  <c r="BX66" i="47"/>
  <c r="BW84" i="47"/>
  <c r="BL123" i="47"/>
  <c r="BM18" i="47"/>
  <c r="BM122" i="47"/>
  <c r="BN17" i="47"/>
  <c r="BM126" i="47"/>
  <c r="BN21" i="47"/>
  <c r="BM110" i="47"/>
  <c r="BN87" i="47"/>
  <c r="BK172" i="47"/>
  <c r="BL129" i="47"/>
  <c r="BL184" i="47" s="1"/>
  <c r="BM24" i="47"/>
  <c r="AI71" i="40"/>
  <c r="AI104" i="40" s="1"/>
  <c r="AJ10" i="40"/>
  <c r="AI78" i="40"/>
  <c r="AI111" i="40" s="1"/>
  <c r="AJ17" i="40"/>
  <c r="AI36" i="40"/>
  <c r="AJ24" i="40"/>
  <c r="AI77" i="40"/>
  <c r="AI110" i="40" s="1"/>
  <c r="AJ16" i="40"/>
  <c r="AH106" i="40"/>
  <c r="AH105" i="40"/>
  <c r="AI76" i="40"/>
  <c r="AJ15" i="40"/>
  <c r="AI79" i="40"/>
  <c r="AJ18" i="40"/>
  <c r="AI66" i="40"/>
  <c r="AJ54" i="40"/>
  <c r="AI51" i="40"/>
  <c r="AJ39" i="40"/>
  <c r="AI70" i="40"/>
  <c r="AJ9" i="40"/>
  <c r="AG115" i="40"/>
  <c r="AG117" i="40" s="1"/>
  <c r="AG119" i="40" s="1"/>
  <c r="AH104" i="40"/>
  <c r="AH111" i="40"/>
  <c r="AH110" i="40"/>
  <c r="AI75" i="40"/>
  <c r="AI108" i="40" s="1"/>
  <c r="AJ14" i="40"/>
  <c r="AI73" i="40"/>
  <c r="AI106" i="40" s="1"/>
  <c r="AJ12" i="40"/>
  <c r="AI72" i="40"/>
  <c r="AI105" i="40" s="1"/>
  <c r="AJ11" i="40"/>
  <c r="AI98" i="40"/>
  <c r="AJ85" i="40"/>
  <c r="AI69" i="40"/>
  <c r="AI21" i="40"/>
  <c r="AJ7" i="40"/>
  <c r="AH102" i="40"/>
  <c r="AH82" i="40"/>
  <c r="AI74" i="40"/>
  <c r="AJ13" i="40"/>
  <c r="BG80" i="40"/>
  <c r="BG113" i="40" s="1"/>
  <c r="BH34" i="40"/>
  <c r="CM135" i="47" l="1"/>
  <c r="CM190" i="47" s="1"/>
  <c r="CN56" i="47"/>
  <c r="BM133" i="47"/>
  <c r="BM188" i="47" s="1"/>
  <c r="BN28" i="47"/>
  <c r="BN126" i="47"/>
  <c r="BN181" i="47" s="1"/>
  <c r="BO21" i="47"/>
  <c r="BM123" i="47"/>
  <c r="BM178" i="47" s="1"/>
  <c r="BN18" i="47"/>
  <c r="BL179" i="47"/>
  <c r="BM117" i="47"/>
  <c r="BM172" i="47" s="1"/>
  <c r="BN12" i="47"/>
  <c r="BN130" i="47"/>
  <c r="BN185" i="47" s="1"/>
  <c r="BO25" i="47"/>
  <c r="BL175" i="47"/>
  <c r="BM121" i="47"/>
  <c r="BM176" i="47" s="1"/>
  <c r="BN16" i="47"/>
  <c r="CA61" i="47"/>
  <c r="BN35" i="47"/>
  <c r="BN114" i="47" s="1"/>
  <c r="BN169" i="47" s="1"/>
  <c r="BM58" i="47"/>
  <c r="BL137" i="47"/>
  <c r="BL168" i="47"/>
  <c r="BL183" i="47"/>
  <c r="BM129" i="47"/>
  <c r="BN24" i="47"/>
  <c r="BM113" i="47"/>
  <c r="BN7" i="47"/>
  <c r="BM32" i="47"/>
  <c r="BM177" i="47"/>
  <c r="BY66" i="47"/>
  <c r="BX84" i="47"/>
  <c r="BM127" i="47"/>
  <c r="BM182" i="47" s="1"/>
  <c r="BN22" i="47"/>
  <c r="BM181" i="47"/>
  <c r="BL178" i="47"/>
  <c r="BM124" i="47"/>
  <c r="BM179" i="47" s="1"/>
  <c r="BN19" i="47"/>
  <c r="BN116" i="47"/>
  <c r="BN171" i="47" s="1"/>
  <c r="BO11" i="47"/>
  <c r="BM132" i="47"/>
  <c r="BM187" i="47" s="1"/>
  <c r="BN27" i="47"/>
  <c r="BO134" i="47"/>
  <c r="BO189" i="47" s="1"/>
  <c r="BP29" i="47"/>
  <c r="BM125" i="47"/>
  <c r="BM180" i="47" s="1"/>
  <c r="BN20" i="47"/>
  <c r="BN131" i="47"/>
  <c r="BN186" i="47" s="1"/>
  <c r="BO26" i="47"/>
  <c r="BN118" i="47"/>
  <c r="BN173" i="47" s="1"/>
  <c r="BO13" i="47"/>
  <c r="BK192" i="47"/>
  <c r="BK194" i="47" s="1"/>
  <c r="BK196" i="47" s="1"/>
  <c r="BN110" i="47"/>
  <c r="BO87" i="47"/>
  <c r="BN122" i="47"/>
  <c r="BN177" i="47" s="1"/>
  <c r="BO17" i="47"/>
  <c r="BO9" i="47"/>
  <c r="BM164" i="47"/>
  <c r="BN140" i="47"/>
  <c r="BL188" i="47"/>
  <c r="BN15" i="47"/>
  <c r="BM120" i="47"/>
  <c r="BM175" i="47" s="1"/>
  <c r="BM119" i="47"/>
  <c r="BM174" i="47" s="1"/>
  <c r="BN14" i="47"/>
  <c r="BM115" i="47"/>
  <c r="BM170" i="47" s="1"/>
  <c r="BN10" i="47"/>
  <c r="BM128" i="47"/>
  <c r="BM183" i="47" s="1"/>
  <c r="BN23" i="47"/>
  <c r="HS9" i="46"/>
  <c r="HU9" i="46" s="1"/>
  <c r="HY9" i="46"/>
  <c r="AH115" i="40"/>
  <c r="AH117" i="40" s="1"/>
  <c r="AH119" i="40" s="1"/>
  <c r="BH80" i="40"/>
  <c r="BH113" i="40" s="1"/>
  <c r="BI34" i="40"/>
  <c r="AJ74" i="40"/>
  <c r="AJ107" i="40" s="1"/>
  <c r="AK13" i="40"/>
  <c r="AJ98" i="40"/>
  <c r="AK85" i="40"/>
  <c r="AJ72" i="40"/>
  <c r="AJ105" i="40" s="1"/>
  <c r="AK11" i="40"/>
  <c r="AJ73" i="40"/>
  <c r="AJ106" i="40" s="1"/>
  <c r="AK12" i="40"/>
  <c r="AJ75" i="40"/>
  <c r="AK14" i="40"/>
  <c r="AI103" i="40"/>
  <c r="AJ51" i="40"/>
  <c r="AK39" i="40"/>
  <c r="AJ79" i="40"/>
  <c r="AJ112" i="40" s="1"/>
  <c r="AK18" i="40"/>
  <c r="AI109" i="40"/>
  <c r="AJ77" i="40"/>
  <c r="AK16" i="40"/>
  <c r="AJ78" i="40"/>
  <c r="AK17" i="40"/>
  <c r="AI107" i="40"/>
  <c r="AJ69" i="40"/>
  <c r="AJ21" i="40"/>
  <c r="AK7" i="40"/>
  <c r="AI102" i="40"/>
  <c r="AI82" i="40"/>
  <c r="AJ70" i="40"/>
  <c r="AJ103" i="40" s="1"/>
  <c r="AK9" i="40"/>
  <c r="AJ66" i="40"/>
  <c r="AK54" i="40"/>
  <c r="AI112" i="40"/>
  <c r="AJ76" i="40"/>
  <c r="AJ109" i="40" s="1"/>
  <c r="AK15" i="40"/>
  <c r="AJ36" i="40"/>
  <c r="AK24" i="40"/>
  <c r="AJ71" i="40"/>
  <c r="AK10" i="40"/>
  <c r="CN135" i="47" l="1"/>
  <c r="CN190" i="47" s="1"/>
  <c r="CO56" i="47"/>
  <c r="BN120" i="47"/>
  <c r="BN175" i="47" s="1"/>
  <c r="BO15" i="47"/>
  <c r="BN123" i="47"/>
  <c r="BN178" i="47" s="1"/>
  <c r="BO18" i="47"/>
  <c r="BP9" i="47"/>
  <c r="BO131" i="47"/>
  <c r="BO186" i="47" s="1"/>
  <c r="BP26" i="47"/>
  <c r="BP134" i="47"/>
  <c r="BP189" i="47" s="1"/>
  <c r="BQ29" i="47"/>
  <c r="BZ66" i="47"/>
  <c r="BY84" i="47"/>
  <c r="BN113" i="47"/>
  <c r="BN32" i="47"/>
  <c r="BO7" i="47"/>
  <c r="BO16" i="47"/>
  <c r="BN121" i="47"/>
  <c r="BN176" i="47" s="1"/>
  <c r="BO130" i="47"/>
  <c r="BO185" i="47" s="1"/>
  <c r="BP25" i="47"/>
  <c r="BO126" i="47"/>
  <c r="BO181" i="47" s="1"/>
  <c r="BP21" i="47"/>
  <c r="BO118" i="47"/>
  <c r="BO173" i="47" s="1"/>
  <c r="BP13" i="47"/>
  <c r="BN132" i="47"/>
  <c r="BN187" i="47" s="1"/>
  <c r="BO27" i="47"/>
  <c r="BN129" i="47"/>
  <c r="BN184" i="47" s="1"/>
  <c r="BO24" i="47"/>
  <c r="BN117" i="47"/>
  <c r="BN172" i="47" s="1"/>
  <c r="BO12" i="47"/>
  <c r="BN115" i="47"/>
  <c r="BN170" i="47" s="1"/>
  <c r="BO10" i="47"/>
  <c r="BN164" i="47"/>
  <c r="BO140" i="47"/>
  <c r="BO122" i="47"/>
  <c r="BO177" i="47" s="1"/>
  <c r="BP17" i="47"/>
  <c r="BO116" i="47"/>
  <c r="BO171" i="47" s="1"/>
  <c r="BP11" i="47"/>
  <c r="BN127" i="47"/>
  <c r="BN182" i="47" s="1"/>
  <c r="BO22" i="47"/>
  <c r="BM168" i="47"/>
  <c r="BM137" i="47"/>
  <c r="BN58" i="47"/>
  <c r="BO35" i="47"/>
  <c r="BN125" i="47"/>
  <c r="BN180" i="47" s="1"/>
  <c r="BO20" i="47"/>
  <c r="BL192" i="47"/>
  <c r="BL194" i="47" s="1"/>
  <c r="BL196" i="47" s="1"/>
  <c r="BN133" i="47"/>
  <c r="BN188" i="47" s="1"/>
  <c r="BO28" i="47"/>
  <c r="BN128" i="47"/>
  <c r="BN183" i="47" s="1"/>
  <c r="BO23" i="47"/>
  <c r="BN119" i="47"/>
  <c r="BN174" i="47" s="1"/>
  <c r="BO14" i="47"/>
  <c r="BO110" i="47"/>
  <c r="BP87" i="47"/>
  <c r="BN124" i="47"/>
  <c r="BN179" i="47" s="1"/>
  <c r="BO19" i="47"/>
  <c r="BM184" i="47"/>
  <c r="CB61" i="47"/>
  <c r="AK71" i="40"/>
  <c r="AK104" i="40" s="1"/>
  <c r="AL10" i="40"/>
  <c r="AK36" i="40"/>
  <c r="AL24" i="40"/>
  <c r="AK76" i="40"/>
  <c r="AK109" i="40" s="1"/>
  <c r="AL15" i="40"/>
  <c r="AK66" i="40"/>
  <c r="AL54" i="40"/>
  <c r="AK70" i="40"/>
  <c r="AK103" i="40" s="1"/>
  <c r="AL9" i="40"/>
  <c r="AJ111" i="40"/>
  <c r="AJ110" i="40"/>
  <c r="AK75" i="40"/>
  <c r="AK108" i="40" s="1"/>
  <c r="AL14" i="40"/>
  <c r="AK72" i="40"/>
  <c r="AL11" i="40"/>
  <c r="AK74" i="40"/>
  <c r="AL13" i="40"/>
  <c r="AJ104" i="40"/>
  <c r="AK69" i="40"/>
  <c r="AK21" i="40"/>
  <c r="AL7" i="40"/>
  <c r="AJ102" i="40"/>
  <c r="AJ82" i="40"/>
  <c r="AK78" i="40"/>
  <c r="AK111" i="40" s="1"/>
  <c r="AL17" i="40"/>
  <c r="AK77" i="40"/>
  <c r="AK110" i="40" s="1"/>
  <c r="AL16" i="40"/>
  <c r="AK79" i="40"/>
  <c r="AL18" i="40"/>
  <c r="AK51" i="40"/>
  <c r="AL39" i="40"/>
  <c r="AJ108" i="40"/>
  <c r="AK73" i="40"/>
  <c r="AL12" i="40"/>
  <c r="AK98" i="40"/>
  <c r="AL85" i="40"/>
  <c r="BI80" i="40"/>
  <c r="BI113" i="40" s="1"/>
  <c r="BJ34" i="40"/>
  <c r="AI115" i="40"/>
  <c r="AI117" i="40" s="1"/>
  <c r="AI119" i="40" s="1"/>
  <c r="CP56" i="47" l="1"/>
  <c r="CO135" i="47"/>
  <c r="CO190" i="47" s="1"/>
  <c r="BO128" i="47"/>
  <c r="BO183" i="47" s="1"/>
  <c r="BP23" i="47"/>
  <c r="BQ134" i="47"/>
  <c r="P39" i="45" s="1"/>
  <c r="BS29" i="47"/>
  <c r="CC61" i="47"/>
  <c r="BO124" i="47"/>
  <c r="BO179" i="47" s="1"/>
  <c r="BP19" i="47"/>
  <c r="BO119" i="47"/>
  <c r="BO174" i="47" s="1"/>
  <c r="BP14" i="47"/>
  <c r="BO133" i="47"/>
  <c r="BO188" i="47" s="1"/>
  <c r="BP28" i="47"/>
  <c r="BM192" i="47"/>
  <c r="BM194" i="47" s="1"/>
  <c r="BM196" i="47" s="1"/>
  <c r="BO121" i="47"/>
  <c r="BO176" i="47" s="1"/>
  <c r="BP16" i="47"/>
  <c r="BP131" i="47"/>
  <c r="BP186" i="47" s="1"/>
  <c r="BQ26" i="47"/>
  <c r="BO123" i="47"/>
  <c r="BO178" i="47" s="1"/>
  <c r="BP18" i="47"/>
  <c r="BO120" i="47"/>
  <c r="BO175" i="47" s="1"/>
  <c r="BP15" i="47"/>
  <c r="BO58" i="47"/>
  <c r="BP35" i="47"/>
  <c r="BO127" i="47"/>
  <c r="BO182" i="47" s="1"/>
  <c r="BP22" i="47"/>
  <c r="BP122" i="47"/>
  <c r="BP177" i="47" s="1"/>
  <c r="BQ17" i="47"/>
  <c r="BO115" i="47"/>
  <c r="BO170" i="47" s="1"/>
  <c r="BP10" i="47"/>
  <c r="BO129" i="47"/>
  <c r="BO184" i="47" s="1"/>
  <c r="BP24" i="47"/>
  <c r="BP118" i="47"/>
  <c r="BP173" i="47" s="1"/>
  <c r="BQ13" i="47"/>
  <c r="BP130" i="47"/>
  <c r="BP185" i="47" s="1"/>
  <c r="BQ25" i="47"/>
  <c r="BO32" i="47"/>
  <c r="BO113" i="47"/>
  <c r="BP7" i="47"/>
  <c r="CA66" i="47"/>
  <c r="BZ84" i="47"/>
  <c r="BP110" i="47"/>
  <c r="BQ87" i="47"/>
  <c r="BP114" i="47"/>
  <c r="BP169" i="47" s="1"/>
  <c r="BQ9" i="47"/>
  <c r="BO125" i="47"/>
  <c r="BO180" i="47" s="1"/>
  <c r="BP20" i="47"/>
  <c r="BP116" i="47"/>
  <c r="BP171" i="47" s="1"/>
  <c r="BQ11" i="47"/>
  <c r="BO164" i="47"/>
  <c r="BP140" i="47"/>
  <c r="BP12" i="47"/>
  <c r="BO117" i="47"/>
  <c r="BO172" i="47" s="1"/>
  <c r="BP27" i="47"/>
  <c r="BO132" i="47"/>
  <c r="BO187" i="47" s="1"/>
  <c r="BP126" i="47"/>
  <c r="BP181" i="47" s="1"/>
  <c r="BQ21" i="47"/>
  <c r="BN168" i="47"/>
  <c r="BN192" i="47" s="1"/>
  <c r="BN194" i="47" s="1"/>
  <c r="BN196" i="47" s="1"/>
  <c r="BN137" i="47"/>
  <c r="BO114" i="47"/>
  <c r="BO169" i="47" s="1"/>
  <c r="HY16" i="46"/>
  <c r="HS16" i="46"/>
  <c r="HU16" i="46" s="1"/>
  <c r="BJ80" i="40"/>
  <c r="BJ113" i="40" s="1"/>
  <c r="BK34" i="40"/>
  <c r="AL98" i="40"/>
  <c r="AM85" i="40"/>
  <c r="AL73" i="40"/>
  <c r="AL106" i="40" s="1"/>
  <c r="AM12" i="40"/>
  <c r="AL51" i="40"/>
  <c r="AM39" i="40"/>
  <c r="AL79" i="40"/>
  <c r="AL112" i="40" s="1"/>
  <c r="AM18" i="40"/>
  <c r="AL77" i="40"/>
  <c r="AL110" i="40" s="1"/>
  <c r="AM16" i="40"/>
  <c r="AL78" i="40"/>
  <c r="AL111" i="40" s="1"/>
  <c r="AM17" i="40"/>
  <c r="AJ115" i="40"/>
  <c r="AJ117" i="40" s="1"/>
  <c r="AJ119" i="40" s="1"/>
  <c r="AL74" i="40"/>
  <c r="AL107" i="40" s="1"/>
  <c r="AM13" i="40"/>
  <c r="AL72" i="40"/>
  <c r="AL105" i="40" s="1"/>
  <c r="AM11" i="40"/>
  <c r="AL75" i="40"/>
  <c r="AL108" i="40" s="1"/>
  <c r="AM14" i="40"/>
  <c r="AL66" i="40"/>
  <c r="AM54" i="40"/>
  <c r="AL36" i="40"/>
  <c r="AM24" i="40"/>
  <c r="AK106" i="40"/>
  <c r="AK112" i="40"/>
  <c r="AL69" i="40"/>
  <c r="AL21" i="40"/>
  <c r="AM7" i="40"/>
  <c r="AK102" i="40"/>
  <c r="AK82" i="40"/>
  <c r="AK107" i="40"/>
  <c r="AK105" i="40"/>
  <c r="AL70" i="40"/>
  <c r="AL103" i="40" s="1"/>
  <c r="AM9" i="40"/>
  <c r="AL76" i="40"/>
  <c r="AL109" i="40" s="1"/>
  <c r="AM15" i="40"/>
  <c r="AL71" i="40"/>
  <c r="AM10" i="40"/>
  <c r="CP135" i="47" l="1"/>
  <c r="CP190" i="47" s="1"/>
  <c r="CQ56" i="47"/>
  <c r="BQ23" i="47"/>
  <c r="BP128" i="47"/>
  <c r="BP183" i="47" s="1"/>
  <c r="BP117" i="47"/>
  <c r="BP172" i="47" s="1"/>
  <c r="BQ12" i="47"/>
  <c r="CB66" i="47"/>
  <c r="CA84" i="47"/>
  <c r="BQ130" i="47"/>
  <c r="P35" i="45" s="1"/>
  <c r="BS25" i="47"/>
  <c r="BP129" i="47"/>
  <c r="BP184" i="47" s="1"/>
  <c r="BQ24" i="47"/>
  <c r="BQ122" i="47"/>
  <c r="P27" i="45" s="1"/>
  <c r="BS17" i="47"/>
  <c r="BP58" i="47"/>
  <c r="BQ35" i="47"/>
  <c r="BQ114" i="47" s="1"/>
  <c r="P19" i="45" s="1"/>
  <c r="BP123" i="47"/>
  <c r="BP178" i="47" s="1"/>
  <c r="BQ18" i="47"/>
  <c r="BP121" i="47"/>
  <c r="BP176" i="47" s="1"/>
  <c r="BQ16" i="47"/>
  <c r="BS134" i="47"/>
  <c r="BT29" i="47"/>
  <c r="BQ118" i="47"/>
  <c r="P23" i="45" s="1"/>
  <c r="BS13" i="47"/>
  <c r="BP115" i="47"/>
  <c r="BP170" i="47" s="1"/>
  <c r="BQ10" i="47"/>
  <c r="BP120" i="47"/>
  <c r="BP175" i="47" s="1"/>
  <c r="BQ15" i="47"/>
  <c r="BQ140" i="47"/>
  <c r="Q18" i="45" s="1"/>
  <c r="BP164" i="47"/>
  <c r="BP125" i="47"/>
  <c r="BP180" i="47" s="1"/>
  <c r="BQ20" i="47"/>
  <c r="BQ110" i="47"/>
  <c r="BS87" i="47"/>
  <c r="BP113" i="47"/>
  <c r="BQ7" i="47"/>
  <c r="BP32" i="47"/>
  <c r="BP119" i="47"/>
  <c r="BP174" i="47" s="1"/>
  <c r="BQ14" i="47"/>
  <c r="CD61" i="47"/>
  <c r="CF61" i="47" s="1"/>
  <c r="BQ189" i="47"/>
  <c r="BP132" i="47"/>
  <c r="BP187" i="47" s="1"/>
  <c r="BQ27" i="47"/>
  <c r="BO137" i="47"/>
  <c r="BO168" i="47"/>
  <c r="BO192" i="47" s="1"/>
  <c r="BO194" i="47" s="1"/>
  <c r="BO196" i="47" s="1"/>
  <c r="BP127" i="47"/>
  <c r="BP182" i="47" s="1"/>
  <c r="BQ22" i="47"/>
  <c r="BS26" i="47"/>
  <c r="BQ131" i="47"/>
  <c r="P36" i="45" s="1"/>
  <c r="BQ126" i="47"/>
  <c r="P31" i="45" s="1"/>
  <c r="BS21" i="47"/>
  <c r="BQ116" i="47"/>
  <c r="P21" i="45" s="1"/>
  <c r="BS11" i="47"/>
  <c r="BS9" i="47"/>
  <c r="BQ28" i="47"/>
  <c r="BP133" i="47"/>
  <c r="BP188" i="47" s="1"/>
  <c r="BP124" i="47"/>
  <c r="BP179" i="47" s="1"/>
  <c r="BQ19" i="47"/>
  <c r="AL104" i="40"/>
  <c r="AM36" i="40"/>
  <c r="AN24" i="40"/>
  <c r="AM66" i="40"/>
  <c r="AN54" i="40"/>
  <c r="AM75" i="40"/>
  <c r="AM108" i="40" s="1"/>
  <c r="AN14" i="40"/>
  <c r="AM72" i="40"/>
  <c r="AM105" i="40" s="1"/>
  <c r="AN11" i="40"/>
  <c r="AM74" i="40"/>
  <c r="AM107" i="40" s="1"/>
  <c r="AN13" i="40"/>
  <c r="AM78" i="40"/>
  <c r="AM111" i="40" s="1"/>
  <c r="AN17" i="40"/>
  <c r="AM77" i="40"/>
  <c r="AM110" i="40" s="1"/>
  <c r="AN16" i="40"/>
  <c r="AM79" i="40"/>
  <c r="AM112" i="40" s="1"/>
  <c r="AN18" i="40"/>
  <c r="AM51" i="40"/>
  <c r="AN39" i="40"/>
  <c r="AM73" i="40"/>
  <c r="AM106" i="40" s="1"/>
  <c r="AN12" i="40"/>
  <c r="AM98" i="40"/>
  <c r="AN85" i="40"/>
  <c r="AK115" i="40"/>
  <c r="AK117" i="40" s="1"/>
  <c r="AK119" i="40" s="1"/>
  <c r="AM71" i="40"/>
  <c r="AM104" i="40" s="1"/>
  <c r="AN10" i="40"/>
  <c r="AM76" i="40"/>
  <c r="AM109" i="40" s="1"/>
  <c r="AN15" i="40"/>
  <c r="AM70" i="40"/>
  <c r="AM103" i="40" s="1"/>
  <c r="AN9" i="40"/>
  <c r="AM69" i="40"/>
  <c r="AM21" i="40"/>
  <c r="AN7" i="40"/>
  <c r="AL102" i="40"/>
  <c r="AL82" i="40"/>
  <c r="BK80" i="40"/>
  <c r="BK113" i="40" s="1"/>
  <c r="BL34" i="40"/>
  <c r="CG61" i="47" l="1"/>
  <c r="CQ135" i="47"/>
  <c r="CQ190" i="47" s="1"/>
  <c r="CS56" i="47"/>
  <c r="BS189" i="47"/>
  <c r="BS7" i="47"/>
  <c r="BQ113" i="47"/>
  <c r="P18" i="45" s="1"/>
  <c r="BQ32" i="47"/>
  <c r="BQ164" i="47"/>
  <c r="BS140" i="47"/>
  <c r="BT134" i="47"/>
  <c r="BU29" i="47"/>
  <c r="BQ133" i="47"/>
  <c r="P38" i="45" s="1"/>
  <c r="BS28" i="47"/>
  <c r="BS126" i="47"/>
  <c r="BT21" i="47"/>
  <c r="BS131" i="47"/>
  <c r="BT26" i="47"/>
  <c r="BS118" i="47"/>
  <c r="BT13" i="47"/>
  <c r="BQ121" i="47"/>
  <c r="P26" i="45" s="1"/>
  <c r="BS16" i="47"/>
  <c r="BS35" i="47"/>
  <c r="BS114" i="47" s="1"/>
  <c r="BQ58" i="47"/>
  <c r="BQ177" i="47"/>
  <c r="BS130" i="47"/>
  <c r="BT25" i="47"/>
  <c r="BQ117" i="47"/>
  <c r="P22" i="45" s="1"/>
  <c r="BS12" i="47"/>
  <c r="BT9" i="47"/>
  <c r="BQ171" i="47"/>
  <c r="BQ123" i="47"/>
  <c r="P28" i="45" s="1"/>
  <c r="BS18" i="47"/>
  <c r="BQ124" i="47"/>
  <c r="P29" i="45" s="1"/>
  <c r="BS19" i="47"/>
  <c r="BS116" i="47"/>
  <c r="BT11" i="47"/>
  <c r="BQ181" i="47"/>
  <c r="BQ127" i="47"/>
  <c r="P32" i="45" s="1"/>
  <c r="BS22" i="47"/>
  <c r="BQ132" i="47"/>
  <c r="P37" i="45" s="1"/>
  <c r="BS27" i="47"/>
  <c r="DS61" i="47"/>
  <c r="BS110" i="47"/>
  <c r="BT87" i="47"/>
  <c r="BQ115" i="47"/>
  <c r="P20" i="45" s="1"/>
  <c r="BS10" i="47"/>
  <c r="BQ173" i="47"/>
  <c r="BQ129" i="47"/>
  <c r="P34" i="45" s="1"/>
  <c r="BS24" i="47"/>
  <c r="BQ185" i="47"/>
  <c r="BQ169" i="47"/>
  <c r="BQ186" i="47"/>
  <c r="BQ119" i="47"/>
  <c r="P24" i="45" s="1"/>
  <c r="BS14" i="47"/>
  <c r="BP168" i="47"/>
  <c r="BP192" i="47" s="1"/>
  <c r="BP194" i="47" s="1"/>
  <c r="BP196" i="47" s="1"/>
  <c r="BP137" i="47"/>
  <c r="BQ125" i="47"/>
  <c r="P30" i="45" s="1"/>
  <c r="BS20" i="47"/>
  <c r="BQ120" i="47"/>
  <c r="P25" i="45" s="1"/>
  <c r="BS15" i="47"/>
  <c r="BS122" i="47"/>
  <c r="BT17" i="47"/>
  <c r="CC66" i="47"/>
  <c r="CB84" i="47"/>
  <c r="BQ128" i="47"/>
  <c r="P33" i="45" s="1"/>
  <c r="BS23" i="47"/>
  <c r="AL115" i="40"/>
  <c r="AL117" i="40" s="1"/>
  <c r="AL119" i="40" s="1"/>
  <c r="AN70" i="40"/>
  <c r="AN103" i="40" s="1"/>
  <c r="AO9" i="40"/>
  <c r="AN76" i="40"/>
  <c r="AN109" i="40" s="1"/>
  <c r="AO15" i="40"/>
  <c r="AN71" i="40"/>
  <c r="AN104" i="40" s="1"/>
  <c r="AO10" i="40"/>
  <c r="BL80" i="40"/>
  <c r="BL113" i="40" s="1"/>
  <c r="BM34" i="40"/>
  <c r="AN69" i="40"/>
  <c r="AN21" i="40"/>
  <c r="AO7" i="40"/>
  <c r="AM102" i="40"/>
  <c r="AM115" i="40" s="1"/>
  <c r="AM117" i="40" s="1"/>
  <c r="AM119" i="40" s="1"/>
  <c r="AM82" i="40"/>
  <c r="AN98" i="40"/>
  <c r="AO85" i="40"/>
  <c r="AN73" i="40"/>
  <c r="AN106" i="40" s="1"/>
  <c r="AO12" i="40"/>
  <c r="AN51" i="40"/>
  <c r="AO39" i="40"/>
  <c r="AN79" i="40"/>
  <c r="AN112" i="40" s="1"/>
  <c r="AO18" i="40"/>
  <c r="AN77" i="40"/>
  <c r="AN110" i="40" s="1"/>
  <c r="AO16" i="40"/>
  <c r="AN78" i="40"/>
  <c r="AN111" i="40" s="1"/>
  <c r="AO17" i="40"/>
  <c r="AN74" i="40"/>
  <c r="AN107" i="40" s="1"/>
  <c r="AO13" i="40"/>
  <c r="AN72" i="40"/>
  <c r="AN105" i="40" s="1"/>
  <c r="AO11" i="40"/>
  <c r="AN75" i="40"/>
  <c r="AN108" i="40" s="1"/>
  <c r="AO14" i="40"/>
  <c r="AN66" i="40"/>
  <c r="AO54" i="40"/>
  <c r="AN36" i="40"/>
  <c r="AO24" i="40"/>
  <c r="CS135" i="47" l="1"/>
  <c r="CS190" i="47" s="1"/>
  <c r="CT56" i="47"/>
  <c r="CH61" i="47"/>
  <c r="BS173" i="47"/>
  <c r="BS181" i="47"/>
  <c r="BS185" i="47"/>
  <c r="BS177" i="47"/>
  <c r="BS186" i="47"/>
  <c r="BS169" i="47"/>
  <c r="BS171" i="47"/>
  <c r="BQ183" i="47"/>
  <c r="BQ184" i="47"/>
  <c r="BS115" i="47"/>
  <c r="BT10" i="47"/>
  <c r="BQ187" i="47"/>
  <c r="BS117" i="47"/>
  <c r="BT12" i="47"/>
  <c r="BS58" i="47"/>
  <c r="BT35" i="47"/>
  <c r="BT118" i="47"/>
  <c r="BU13" i="47"/>
  <c r="BS133" i="47"/>
  <c r="BT28" i="47"/>
  <c r="BT189" i="47"/>
  <c r="CD66" i="47"/>
  <c r="CF66" i="47" s="1"/>
  <c r="CC84" i="47"/>
  <c r="BS120" i="47"/>
  <c r="BT15" i="47"/>
  <c r="BQ180" i="47"/>
  <c r="BS119" i="47"/>
  <c r="BT14" i="47"/>
  <c r="BT110" i="47"/>
  <c r="BU87" i="47"/>
  <c r="BS127" i="47"/>
  <c r="BT22" i="47"/>
  <c r="BS125" i="47"/>
  <c r="BT20" i="47"/>
  <c r="BQ170" i="47"/>
  <c r="BS123" i="47"/>
  <c r="BT18" i="47"/>
  <c r="BU9" i="47"/>
  <c r="BQ172" i="47"/>
  <c r="BT126" i="47"/>
  <c r="BT181" i="47" s="1"/>
  <c r="BU21" i="47"/>
  <c r="BQ188" i="47"/>
  <c r="BT116" i="47"/>
  <c r="BT171" i="47" s="1"/>
  <c r="BU11" i="47"/>
  <c r="BS124" i="47"/>
  <c r="BT19" i="47"/>
  <c r="BQ178" i="47"/>
  <c r="BT130" i="47"/>
  <c r="BU25" i="47"/>
  <c r="BS121" i="47"/>
  <c r="BT16" i="47"/>
  <c r="BS164" i="47"/>
  <c r="BT140" i="47"/>
  <c r="BQ168" i="47"/>
  <c r="BQ137" i="47"/>
  <c r="BS128" i="47"/>
  <c r="BT23" i="47"/>
  <c r="BT122" i="47"/>
  <c r="BT177" i="47" s="1"/>
  <c r="BU17" i="47"/>
  <c r="BQ175" i="47"/>
  <c r="BQ174" i="47"/>
  <c r="BS129" i="47"/>
  <c r="BT24" i="47"/>
  <c r="BS132" i="47"/>
  <c r="BT27" i="47"/>
  <c r="BQ182" i="47"/>
  <c r="BQ179" i="47"/>
  <c r="BQ176" i="47"/>
  <c r="BT131" i="47"/>
  <c r="BU26" i="47"/>
  <c r="BV29" i="47"/>
  <c r="BU134" i="47"/>
  <c r="BU189" i="47" s="1"/>
  <c r="BS113" i="47"/>
  <c r="BS32" i="47"/>
  <c r="BT7" i="47"/>
  <c r="AO36" i="40"/>
  <c r="AP24" i="40"/>
  <c r="AO66" i="40"/>
  <c r="AP54" i="40"/>
  <c r="AO75" i="40"/>
  <c r="AO108" i="40" s="1"/>
  <c r="AP14" i="40"/>
  <c r="AO72" i="40"/>
  <c r="AO105" i="40" s="1"/>
  <c r="AP11" i="40"/>
  <c r="AO74" i="40"/>
  <c r="AO107" i="40" s="1"/>
  <c r="AP13" i="40"/>
  <c r="AO78" i="40"/>
  <c r="AO111" i="40" s="1"/>
  <c r="AP17" i="40"/>
  <c r="AO77" i="40"/>
  <c r="AO110" i="40" s="1"/>
  <c r="AP16" i="40"/>
  <c r="AO79" i="40"/>
  <c r="AO112" i="40" s="1"/>
  <c r="AP18" i="40"/>
  <c r="AO51" i="40"/>
  <c r="AP39" i="40"/>
  <c r="AO73" i="40"/>
  <c r="AO106" i="40" s="1"/>
  <c r="AP12" i="40"/>
  <c r="AO98" i="40"/>
  <c r="AP85" i="40"/>
  <c r="AO69" i="40"/>
  <c r="AO21" i="40"/>
  <c r="AP7" i="40"/>
  <c r="AN102" i="40"/>
  <c r="AN115" i="40" s="1"/>
  <c r="AN117" i="40" s="1"/>
  <c r="AN119" i="40" s="1"/>
  <c r="AN82" i="40"/>
  <c r="BM80" i="40"/>
  <c r="BM113" i="40" s="1"/>
  <c r="BN34" i="40"/>
  <c r="AO71" i="40"/>
  <c r="AO104" i="40" s="1"/>
  <c r="AP10" i="40"/>
  <c r="AO76" i="40"/>
  <c r="AO109" i="40" s="1"/>
  <c r="AP15" i="40"/>
  <c r="AO70" i="40"/>
  <c r="AO103" i="40" s="1"/>
  <c r="AP9" i="40"/>
  <c r="CG66" i="47" l="1"/>
  <c r="CF84" i="47"/>
  <c r="CT135" i="47"/>
  <c r="CT190" i="47" s="1"/>
  <c r="CU56" i="47"/>
  <c r="CI61" i="47"/>
  <c r="BS174" i="47"/>
  <c r="BS184" i="47"/>
  <c r="BS176" i="47"/>
  <c r="BS170" i="47"/>
  <c r="BS179" i="47"/>
  <c r="BS180" i="47"/>
  <c r="BS172" i="47"/>
  <c r="BS187" i="47"/>
  <c r="BS183" i="47"/>
  <c r="BS178" i="47"/>
  <c r="BS175" i="47"/>
  <c r="BS182" i="47"/>
  <c r="BS188" i="47"/>
  <c r="BT129" i="47"/>
  <c r="BU24" i="47"/>
  <c r="BU122" i="47"/>
  <c r="BV17" i="47"/>
  <c r="BT125" i="47"/>
  <c r="BT180" i="47" s="1"/>
  <c r="BU20" i="47"/>
  <c r="BT164" i="47"/>
  <c r="BU140" i="47"/>
  <c r="BU116" i="47"/>
  <c r="BV11" i="47"/>
  <c r="BU18" i="47"/>
  <c r="BT123" i="47"/>
  <c r="BT178" i="47" s="1"/>
  <c r="BT127" i="47"/>
  <c r="BT182" i="47" s="1"/>
  <c r="BU22" i="47"/>
  <c r="BT133" i="47"/>
  <c r="BT188" i="47" s="1"/>
  <c r="BU28" i="47"/>
  <c r="BT173" i="47"/>
  <c r="BT117" i="47"/>
  <c r="BT172" i="47" s="1"/>
  <c r="BU12" i="47"/>
  <c r="BU130" i="47"/>
  <c r="BU185" i="47" s="1"/>
  <c r="BV25" i="47"/>
  <c r="BT124" i="47"/>
  <c r="BU19" i="47"/>
  <c r="BU126" i="47"/>
  <c r="BU181" i="47" s="1"/>
  <c r="BV21" i="47"/>
  <c r="BT186" i="47"/>
  <c r="BT132" i="47"/>
  <c r="BT187" i="47" s="1"/>
  <c r="BU27" i="47"/>
  <c r="BU16" i="47"/>
  <c r="BT121" i="47"/>
  <c r="BT185" i="47"/>
  <c r="BV9" i="47"/>
  <c r="BT119" i="47"/>
  <c r="BU14" i="47"/>
  <c r="BT120" i="47"/>
  <c r="BU15" i="47"/>
  <c r="BS168" i="47"/>
  <c r="BS137" i="47"/>
  <c r="BU131" i="47"/>
  <c r="BU186" i="47" s="1"/>
  <c r="BV26" i="47"/>
  <c r="DS66" i="47"/>
  <c r="DS84" i="47" s="1"/>
  <c r="CD84" i="47"/>
  <c r="BT58" i="47"/>
  <c r="BU35" i="47"/>
  <c r="BU114" i="47" s="1"/>
  <c r="BU169" i="47" s="1"/>
  <c r="BT113" i="47"/>
  <c r="BT32" i="47"/>
  <c r="BU7" i="47"/>
  <c r="BV134" i="47"/>
  <c r="BV189" i="47" s="1"/>
  <c r="BW29" i="47"/>
  <c r="BT128" i="47"/>
  <c r="BT183" i="47" s="1"/>
  <c r="BU23" i="47"/>
  <c r="BQ192" i="47"/>
  <c r="BQ194" i="47" s="1"/>
  <c r="BQ196" i="47" s="1"/>
  <c r="BT114" i="47"/>
  <c r="BU110" i="47"/>
  <c r="BV87" i="47"/>
  <c r="BU118" i="47"/>
  <c r="BU173" i="47" s="1"/>
  <c r="BV13" i="47"/>
  <c r="BU10" i="47"/>
  <c r="BT115" i="47"/>
  <c r="AP70" i="40"/>
  <c r="AR9" i="40"/>
  <c r="AP76" i="40"/>
  <c r="AR15" i="40"/>
  <c r="AP71" i="40"/>
  <c r="AR10" i="40"/>
  <c r="BN80" i="40"/>
  <c r="BN113" i="40" s="1"/>
  <c r="BO34" i="40"/>
  <c r="AP69" i="40"/>
  <c r="AP21" i="40"/>
  <c r="AR7" i="40"/>
  <c r="AO102" i="40"/>
  <c r="AO115" i="40" s="1"/>
  <c r="AO117" i="40" s="1"/>
  <c r="AO119" i="40" s="1"/>
  <c r="AO82" i="40"/>
  <c r="AP98" i="40"/>
  <c r="AR85" i="40"/>
  <c r="AP73" i="40"/>
  <c r="AR12" i="40"/>
  <c r="AP51" i="40"/>
  <c r="AR39" i="40"/>
  <c r="AP79" i="40"/>
  <c r="AR18" i="40"/>
  <c r="AP77" i="40"/>
  <c r="AR16" i="40"/>
  <c r="AP78" i="40"/>
  <c r="AR17" i="40"/>
  <c r="AP74" i="40"/>
  <c r="AR13" i="40"/>
  <c r="AP72" i="40"/>
  <c r="AR11" i="40"/>
  <c r="AP75" i="40"/>
  <c r="AR14" i="40"/>
  <c r="AP66" i="40"/>
  <c r="AR54" i="40"/>
  <c r="AP36" i="40"/>
  <c r="AR24" i="40"/>
  <c r="CU135" i="47" l="1"/>
  <c r="CU190" i="47" s="1"/>
  <c r="CV56" i="47"/>
  <c r="CJ61" i="47"/>
  <c r="CH66" i="47"/>
  <c r="CG84" i="47"/>
  <c r="BS192" i="47"/>
  <c r="BS194" i="47" s="1"/>
  <c r="BS196" i="47" s="1"/>
  <c r="BU177" i="47"/>
  <c r="BV10" i="47"/>
  <c r="BU115" i="47"/>
  <c r="BU170" i="47" s="1"/>
  <c r="BT169" i="47"/>
  <c r="BT168" i="47"/>
  <c r="BT137" i="47"/>
  <c r="BU164" i="47"/>
  <c r="BV140" i="47"/>
  <c r="BT170" i="47"/>
  <c r="BV118" i="47"/>
  <c r="BV173" i="47" s="1"/>
  <c r="BW13" i="47"/>
  <c r="BW134" i="47"/>
  <c r="BW189" i="47" s="1"/>
  <c r="BX29" i="47"/>
  <c r="BT174" i="47"/>
  <c r="BU121" i="47"/>
  <c r="BV16" i="47"/>
  <c r="BV19" i="47"/>
  <c r="BU124" i="47"/>
  <c r="BU117" i="47"/>
  <c r="BV12" i="47"/>
  <c r="BU127" i="47"/>
  <c r="BU182" i="47" s="1"/>
  <c r="BV22" i="47"/>
  <c r="BU123" i="47"/>
  <c r="BV18" i="47"/>
  <c r="BU125" i="47"/>
  <c r="BU180" i="47" s="1"/>
  <c r="BV20" i="47"/>
  <c r="BU120" i="47"/>
  <c r="BV15" i="47"/>
  <c r="BV131" i="47"/>
  <c r="BW26" i="47"/>
  <c r="BT175" i="47"/>
  <c r="BU132" i="47"/>
  <c r="BU187" i="47" s="1"/>
  <c r="BV27" i="47"/>
  <c r="BV126" i="47"/>
  <c r="BW21" i="47"/>
  <c r="BV130" i="47"/>
  <c r="BW25" i="47"/>
  <c r="BV116" i="47"/>
  <c r="BV171" i="47" s="1"/>
  <c r="BW11" i="47"/>
  <c r="BU129" i="47"/>
  <c r="BU184" i="47" s="1"/>
  <c r="BV24" i="47"/>
  <c r="BT179" i="47"/>
  <c r="BU133" i="47"/>
  <c r="BV28" i="47"/>
  <c r="BW87" i="47"/>
  <c r="BV110" i="47"/>
  <c r="BV23" i="47"/>
  <c r="BU128" i="47"/>
  <c r="BU113" i="47"/>
  <c r="BV7" i="47"/>
  <c r="BU32" i="47"/>
  <c r="BV35" i="47"/>
  <c r="BU58" i="47"/>
  <c r="BU119" i="47"/>
  <c r="BU174" i="47" s="1"/>
  <c r="BV14" i="47"/>
  <c r="BW9" i="47"/>
  <c r="BT176" i="47"/>
  <c r="BU171" i="47"/>
  <c r="BV122" i="47"/>
  <c r="BW17" i="47"/>
  <c r="BT184" i="47"/>
  <c r="AS24" i="40"/>
  <c r="AR36" i="40"/>
  <c r="AR75" i="40"/>
  <c r="AR108" i="40" s="1"/>
  <c r="AS14" i="40"/>
  <c r="AP105" i="40"/>
  <c r="AR74" i="40"/>
  <c r="AR107" i="40" s="1"/>
  <c r="AS13" i="40"/>
  <c r="AP111" i="40"/>
  <c r="AR77" i="40"/>
  <c r="AR110" i="40" s="1"/>
  <c r="AS16" i="40"/>
  <c r="AP112" i="40"/>
  <c r="AR51" i="40"/>
  <c r="AS39" i="40"/>
  <c r="AP106" i="40"/>
  <c r="AR98" i="40"/>
  <c r="AS85" i="40"/>
  <c r="BO80" i="40"/>
  <c r="BO113" i="40" s="1"/>
  <c r="BP34" i="40"/>
  <c r="AP104" i="40"/>
  <c r="AR76" i="40"/>
  <c r="AR109" i="40" s="1"/>
  <c r="AS15" i="40"/>
  <c r="AP103" i="40"/>
  <c r="AS54" i="40"/>
  <c r="AR66" i="40"/>
  <c r="AP108" i="40"/>
  <c r="AR72" i="40"/>
  <c r="AR105" i="40" s="1"/>
  <c r="AS11" i="40"/>
  <c r="AP107" i="40"/>
  <c r="AR78" i="40"/>
  <c r="AR111" i="40" s="1"/>
  <c r="AS17" i="40"/>
  <c r="AP110" i="40"/>
  <c r="AR79" i="40"/>
  <c r="AR112" i="40" s="1"/>
  <c r="AS18" i="40"/>
  <c r="AR73" i="40"/>
  <c r="AR106" i="40" s="1"/>
  <c r="AS12" i="40"/>
  <c r="AR69" i="40"/>
  <c r="AS7" i="40"/>
  <c r="AR21" i="40"/>
  <c r="AP102" i="40"/>
  <c r="AP82" i="40"/>
  <c r="AR71" i="40"/>
  <c r="AR104" i="40" s="1"/>
  <c r="AS10" i="40"/>
  <c r="AP109" i="40"/>
  <c r="AR70" i="40"/>
  <c r="AR103" i="40" s="1"/>
  <c r="AS9" i="40"/>
  <c r="CK61" i="47" l="1"/>
  <c r="CW56" i="47"/>
  <c r="CV135" i="47"/>
  <c r="CV190" i="47" s="1"/>
  <c r="CI66" i="47"/>
  <c r="CH84" i="47"/>
  <c r="BV186" i="47"/>
  <c r="BU175" i="47"/>
  <c r="BU176" i="47"/>
  <c r="BU179" i="47"/>
  <c r="BW35" i="47"/>
  <c r="BW114" i="47" s="1"/>
  <c r="BW169" i="47" s="1"/>
  <c r="BV58" i="47"/>
  <c r="BX134" i="47"/>
  <c r="BX189" i="47" s="1"/>
  <c r="BY29" i="47"/>
  <c r="BV177" i="47"/>
  <c r="BV114" i="47"/>
  <c r="BU168" i="47"/>
  <c r="BU137" i="47"/>
  <c r="BV129" i="47"/>
  <c r="BW24" i="47"/>
  <c r="BV185" i="47"/>
  <c r="BW131" i="47"/>
  <c r="BW186" i="47" s="1"/>
  <c r="BX26" i="47"/>
  <c r="BV120" i="47"/>
  <c r="BV175" i="47" s="1"/>
  <c r="BW15" i="47"/>
  <c r="BU172" i="47"/>
  <c r="BV121" i="47"/>
  <c r="BW16" i="47"/>
  <c r="BW118" i="47"/>
  <c r="BX13" i="47"/>
  <c r="BT192" i="47"/>
  <c r="BT194" i="47" s="1"/>
  <c r="BT196" i="47" s="1"/>
  <c r="BU183" i="47"/>
  <c r="BW110" i="47"/>
  <c r="BX87" i="47"/>
  <c r="BX21" i="47"/>
  <c r="BW126" i="47"/>
  <c r="BW181" i="47" s="1"/>
  <c r="BV119" i="47"/>
  <c r="BV174" i="47" s="1"/>
  <c r="BW14" i="47"/>
  <c r="BV128" i="47"/>
  <c r="BV183" i="47" s="1"/>
  <c r="BW23" i="47"/>
  <c r="BV133" i="47"/>
  <c r="BV188" i="47" s="1"/>
  <c r="BW28" i="47"/>
  <c r="BV181" i="47"/>
  <c r="BV123" i="47"/>
  <c r="BV178" i="47" s="1"/>
  <c r="BW18" i="47"/>
  <c r="BV124" i="47"/>
  <c r="BV179" i="47" s="1"/>
  <c r="BW19" i="47"/>
  <c r="BV127" i="47"/>
  <c r="BW22" i="47"/>
  <c r="BW140" i="47"/>
  <c r="BV164" i="47"/>
  <c r="BV115" i="47"/>
  <c r="BW10" i="47"/>
  <c r="BX17" i="47"/>
  <c r="BW122" i="47"/>
  <c r="BW177" i="47" s="1"/>
  <c r="BX9" i="47"/>
  <c r="BV32" i="47"/>
  <c r="BW7" i="47"/>
  <c r="BV113" i="47"/>
  <c r="BU188" i="47"/>
  <c r="BW116" i="47"/>
  <c r="BX11" i="47"/>
  <c r="BW130" i="47"/>
  <c r="BW185" i="47" s="1"/>
  <c r="BX25" i="47"/>
  <c r="BV132" i="47"/>
  <c r="BW27" i="47"/>
  <c r="BV125" i="47"/>
  <c r="BW20" i="47"/>
  <c r="BU178" i="47"/>
  <c r="BW12" i="47"/>
  <c r="BV117" i="47"/>
  <c r="BV172" i="47" s="1"/>
  <c r="AS70" i="40"/>
  <c r="AS103" i="40" s="1"/>
  <c r="AT9" i="40"/>
  <c r="AS71" i="40"/>
  <c r="AS104" i="40" s="1"/>
  <c r="AT10" i="40"/>
  <c r="AP115" i="40"/>
  <c r="AP117" i="40" s="1"/>
  <c r="AP119" i="40" s="1"/>
  <c r="AS69" i="40"/>
  <c r="AS21" i="40"/>
  <c r="AT7" i="40"/>
  <c r="AS73" i="40"/>
  <c r="AS106" i="40" s="1"/>
  <c r="AT12" i="40"/>
  <c r="AS79" i="40"/>
  <c r="AS112" i="40" s="1"/>
  <c r="AT18" i="40"/>
  <c r="AS78" i="40"/>
  <c r="AS111" i="40" s="1"/>
  <c r="AT17" i="40"/>
  <c r="AS72" i="40"/>
  <c r="AS105" i="40" s="1"/>
  <c r="AT11" i="40"/>
  <c r="AS76" i="40"/>
  <c r="AT15" i="40"/>
  <c r="BP80" i="40"/>
  <c r="BP113" i="40" s="1"/>
  <c r="BR34" i="40"/>
  <c r="AS98" i="40"/>
  <c r="AT85" i="40"/>
  <c r="AS51" i="40"/>
  <c r="AT39" i="40"/>
  <c r="AS77" i="40"/>
  <c r="AT16" i="40"/>
  <c r="AS74" i="40"/>
  <c r="AT13" i="40"/>
  <c r="AS75" i="40"/>
  <c r="AT14" i="40"/>
  <c r="AR102" i="40"/>
  <c r="AR115" i="40" s="1"/>
  <c r="AR117" i="40" s="1"/>
  <c r="AR119" i="40" s="1"/>
  <c r="AR82" i="40"/>
  <c r="AS66" i="40"/>
  <c r="AT54" i="40"/>
  <c r="AS36" i="40"/>
  <c r="AT24" i="40"/>
  <c r="CW135" i="47" l="1"/>
  <c r="CW190" i="47" s="1"/>
  <c r="CX56" i="47"/>
  <c r="CL61" i="47"/>
  <c r="CJ66" i="47"/>
  <c r="CI84" i="47"/>
  <c r="BX130" i="47"/>
  <c r="BX185" i="47" s="1"/>
  <c r="BY25" i="47"/>
  <c r="BV180" i="47"/>
  <c r="BV187" i="47"/>
  <c r="BW171" i="47"/>
  <c r="BV137" i="47"/>
  <c r="BV168" i="47"/>
  <c r="BY9" i="47"/>
  <c r="BX122" i="47"/>
  <c r="BY17" i="47"/>
  <c r="BW164" i="47"/>
  <c r="BX140" i="47"/>
  <c r="BW128" i="47"/>
  <c r="BW183" i="47" s="1"/>
  <c r="BX23" i="47"/>
  <c r="BW173" i="47"/>
  <c r="BV176" i="47"/>
  <c r="BV184" i="47"/>
  <c r="BV169" i="47"/>
  <c r="BZ29" i="47"/>
  <c r="BY134" i="47"/>
  <c r="BY189" i="47" s="1"/>
  <c r="BX126" i="47"/>
  <c r="BY21" i="47"/>
  <c r="BV170" i="47"/>
  <c r="BV182" i="47"/>
  <c r="BW123" i="47"/>
  <c r="BX18" i="47"/>
  <c r="BW119" i="47"/>
  <c r="BX14" i="47"/>
  <c r="BX110" i="47"/>
  <c r="BY87" i="47"/>
  <c r="BX131" i="47"/>
  <c r="BY26" i="47"/>
  <c r="BW113" i="47"/>
  <c r="BW32" i="47"/>
  <c r="BX7" i="47"/>
  <c r="BW115" i="47"/>
  <c r="BW170" i="47" s="1"/>
  <c r="BX10" i="47"/>
  <c r="BW127" i="47"/>
  <c r="BW182" i="47" s="1"/>
  <c r="BX22" i="47"/>
  <c r="BW133" i="47"/>
  <c r="BX28" i="47"/>
  <c r="BW117" i="47"/>
  <c r="BX12" i="47"/>
  <c r="BW125" i="47"/>
  <c r="BW180" i="47" s="1"/>
  <c r="BX20" i="47"/>
  <c r="BW132" i="47"/>
  <c r="BW187" i="47" s="1"/>
  <c r="BX27" i="47"/>
  <c r="BX116" i="47"/>
  <c r="BX171" i="47" s="1"/>
  <c r="BY11" i="47"/>
  <c r="BW124" i="47"/>
  <c r="BX19" i="47"/>
  <c r="BX118" i="47"/>
  <c r="BX173" i="47" s="1"/>
  <c r="BY13" i="47"/>
  <c r="BW121" i="47"/>
  <c r="BW176" i="47" s="1"/>
  <c r="BX16" i="47"/>
  <c r="BW120" i="47"/>
  <c r="BX15" i="47"/>
  <c r="BW129" i="47"/>
  <c r="BW184" i="47" s="1"/>
  <c r="BX24" i="47"/>
  <c r="BU192" i="47"/>
  <c r="BU194" i="47" s="1"/>
  <c r="BU196" i="47" s="1"/>
  <c r="BW58" i="47"/>
  <c r="BX35" i="47"/>
  <c r="BX114" i="47" s="1"/>
  <c r="HS20" i="46"/>
  <c r="HU20" i="46" s="1"/>
  <c r="HY20" i="46"/>
  <c r="AT75" i="40"/>
  <c r="AT108" i="40" s="1"/>
  <c r="AU14" i="40"/>
  <c r="AS107" i="40"/>
  <c r="AT77" i="40"/>
  <c r="AT110" i="40" s="1"/>
  <c r="AU16" i="40"/>
  <c r="AT98" i="40"/>
  <c r="AU85" i="40"/>
  <c r="AS109" i="40"/>
  <c r="AT69" i="40"/>
  <c r="AU7" i="40"/>
  <c r="AT21" i="40"/>
  <c r="AS102" i="40"/>
  <c r="AS82" i="40"/>
  <c r="AT71" i="40"/>
  <c r="AU10" i="40"/>
  <c r="AU24" i="40"/>
  <c r="AT36" i="40"/>
  <c r="AU54" i="40"/>
  <c r="AT66" i="40"/>
  <c r="AS108" i="40"/>
  <c r="AT74" i="40"/>
  <c r="AT107" i="40" s="1"/>
  <c r="AU13" i="40"/>
  <c r="AS110" i="40"/>
  <c r="AT51" i="40"/>
  <c r="AU39" i="40"/>
  <c r="BR80" i="40"/>
  <c r="BR113" i="40" s="1"/>
  <c r="BS34" i="40"/>
  <c r="AT76" i="40"/>
  <c r="AT109" i="40" s="1"/>
  <c r="AU15" i="40"/>
  <c r="AT72" i="40"/>
  <c r="AU11" i="40"/>
  <c r="AT78" i="40"/>
  <c r="AU17" i="40"/>
  <c r="AT79" i="40"/>
  <c r="AU18" i="40"/>
  <c r="AT73" i="40"/>
  <c r="AU12" i="40"/>
  <c r="AT70" i="40"/>
  <c r="AU9" i="40"/>
  <c r="CX135" i="47" l="1"/>
  <c r="CX190" i="47" s="1"/>
  <c r="CY56" i="47"/>
  <c r="CM61" i="47"/>
  <c r="CK66" i="47"/>
  <c r="CJ84" i="47"/>
  <c r="BX169" i="47"/>
  <c r="BW172" i="47"/>
  <c r="BX127" i="47"/>
  <c r="BY22" i="47"/>
  <c r="BX113" i="47"/>
  <c r="BX32" i="47"/>
  <c r="BY7" i="47"/>
  <c r="BY131" i="47"/>
  <c r="BY186" i="47" s="1"/>
  <c r="BZ26" i="47"/>
  <c r="BX123" i="47"/>
  <c r="BX178" i="47" s="1"/>
  <c r="BY18" i="47"/>
  <c r="BX181" i="47"/>
  <c r="BY140" i="47"/>
  <c r="BX164" i="47"/>
  <c r="BZ9" i="47"/>
  <c r="BW175" i="47"/>
  <c r="BX121" i="47"/>
  <c r="BX176" i="47" s="1"/>
  <c r="BY16" i="47"/>
  <c r="BX124" i="47"/>
  <c r="BX179" i="47" s="1"/>
  <c r="BY19" i="47"/>
  <c r="BY27" i="47"/>
  <c r="BX132" i="47"/>
  <c r="BX187" i="47" s="1"/>
  <c r="BX117" i="47"/>
  <c r="BX172" i="47" s="1"/>
  <c r="BY12" i="47"/>
  <c r="BW188" i="47"/>
  <c r="BY110" i="47"/>
  <c r="BZ87" i="47"/>
  <c r="BW174" i="47"/>
  <c r="BY126" i="47"/>
  <c r="BY181" i="47" s="1"/>
  <c r="BZ21" i="47"/>
  <c r="BX177" i="47"/>
  <c r="BW179" i="47"/>
  <c r="BY130" i="47"/>
  <c r="BZ25" i="47"/>
  <c r="BX120" i="47"/>
  <c r="BX175" i="47" s="1"/>
  <c r="BY15" i="47"/>
  <c r="BY118" i="47"/>
  <c r="BY173" i="47" s="1"/>
  <c r="BZ13" i="47"/>
  <c r="BY116" i="47"/>
  <c r="BZ11" i="47"/>
  <c r="BX125" i="47"/>
  <c r="BY20" i="47"/>
  <c r="BX186" i="47"/>
  <c r="BW178" i="47"/>
  <c r="BX128" i="47"/>
  <c r="BY23" i="47"/>
  <c r="BX58" i="47"/>
  <c r="BY35" i="47"/>
  <c r="BY114" i="47" s="1"/>
  <c r="BX129" i="47"/>
  <c r="BX184" i="47" s="1"/>
  <c r="BY24" i="47"/>
  <c r="BX133" i="47"/>
  <c r="BX188" i="47" s="1"/>
  <c r="BY28" i="47"/>
  <c r="BX115" i="47"/>
  <c r="BY10" i="47"/>
  <c r="BW137" i="47"/>
  <c r="BW168" i="47"/>
  <c r="BX119" i="47"/>
  <c r="BX174" i="47" s="1"/>
  <c r="BY14" i="47"/>
  <c r="BZ134" i="47"/>
  <c r="BZ189" i="47" s="1"/>
  <c r="CA29" i="47"/>
  <c r="BY122" i="47"/>
  <c r="BY177" i="47" s="1"/>
  <c r="BZ17" i="47"/>
  <c r="BV192" i="47"/>
  <c r="BV194" i="47" s="1"/>
  <c r="BV196" i="47" s="1"/>
  <c r="AU70" i="40"/>
  <c r="AU103" i="40" s="1"/>
  <c r="AV9" i="40"/>
  <c r="AU73" i="40"/>
  <c r="AU106" i="40" s="1"/>
  <c r="AV12" i="40"/>
  <c r="AU79" i="40"/>
  <c r="AU112" i="40" s="1"/>
  <c r="AV18" i="40"/>
  <c r="AU78" i="40"/>
  <c r="AU111" i="40" s="1"/>
  <c r="AV17" i="40"/>
  <c r="AU72" i="40"/>
  <c r="AU105" i="40" s="1"/>
  <c r="AV11" i="40"/>
  <c r="AU66" i="40"/>
  <c r="AV54" i="40"/>
  <c r="AU36" i="40"/>
  <c r="AV24" i="40"/>
  <c r="AU71" i="40"/>
  <c r="AU104" i="40" s="1"/>
  <c r="AV10" i="40"/>
  <c r="AT102" i="40"/>
  <c r="AT82" i="40"/>
  <c r="AT103" i="40"/>
  <c r="AT106" i="40"/>
  <c r="AT112" i="40"/>
  <c r="AT111" i="40"/>
  <c r="AT105" i="40"/>
  <c r="AU76" i="40"/>
  <c r="AU109" i="40" s="1"/>
  <c r="AV15" i="40"/>
  <c r="BS80" i="40"/>
  <c r="BS113" i="40" s="1"/>
  <c r="BT34" i="40"/>
  <c r="AU51" i="40"/>
  <c r="AV39" i="40"/>
  <c r="AU74" i="40"/>
  <c r="AU107" i="40" s="1"/>
  <c r="AV13" i="40"/>
  <c r="AT104" i="40"/>
  <c r="AU69" i="40"/>
  <c r="AU21" i="40"/>
  <c r="AV7" i="40"/>
  <c r="AU98" i="40"/>
  <c r="AV85" i="40"/>
  <c r="AU77" i="40"/>
  <c r="AV16" i="40"/>
  <c r="AU75" i="40"/>
  <c r="AV14" i="40"/>
  <c r="AS115" i="40"/>
  <c r="AS117" i="40" s="1"/>
  <c r="AS119" i="40" s="1"/>
  <c r="CN61" i="47" l="1"/>
  <c r="CY135" i="47"/>
  <c r="CY190" i="47" s="1"/>
  <c r="CZ56" i="47"/>
  <c r="CL66" i="47"/>
  <c r="CK84" i="47"/>
  <c r="BY169" i="47"/>
  <c r="BZ122" i="47"/>
  <c r="BZ177" i="47" s="1"/>
  <c r="CA17" i="47"/>
  <c r="BY171" i="47"/>
  <c r="CA87" i="47"/>
  <c r="BZ110" i="47"/>
  <c r="BY121" i="47"/>
  <c r="BY176" i="47" s="1"/>
  <c r="BZ16" i="47"/>
  <c r="BY164" i="47"/>
  <c r="BZ140" i="47"/>
  <c r="BY127" i="47"/>
  <c r="BY182" i="47" s="1"/>
  <c r="BZ22" i="47"/>
  <c r="CA134" i="47"/>
  <c r="CA189" i="47" s="1"/>
  <c r="CB29" i="47"/>
  <c r="BW192" i="47"/>
  <c r="BW194" i="47" s="1"/>
  <c r="BW196" i="47" s="1"/>
  <c r="BX170" i="47"/>
  <c r="BY125" i="47"/>
  <c r="BY180" i="47" s="1"/>
  <c r="BZ20" i="47"/>
  <c r="BZ118" i="47"/>
  <c r="BZ173" i="47" s="1"/>
  <c r="CA13" i="47"/>
  <c r="BZ130" i="47"/>
  <c r="BZ185" i="47" s="1"/>
  <c r="CA25" i="47"/>
  <c r="BY117" i="47"/>
  <c r="BY172" i="47" s="1"/>
  <c r="BZ12" i="47"/>
  <c r="BY132" i="47"/>
  <c r="BY187" i="47" s="1"/>
  <c r="BZ27" i="47"/>
  <c r="CA9" i="47"/>
  <c r="BY123" i="47"/>
  <c r="BZ18" i="47"/>
  <c r="BY113" i="47"/>
  <c r="BY32" i="47"/>
  <c r="BZ7" i="47"/>
  <c r="BX182" i="47"/>
  <c r="BY133" i="47"/>
  <c r="BY188" i="47" s="1"/>
  <c r="BZ28" i="47"/>
  <c r="BX180" i="47"/>
  <c r="BY185" i="47"/>
  <c r="BY124" i="47"/>
  <c r="BZ19" i="47"/>
  <c r="BY115" i="47"/>
  <c r="BY170" i="47" s="1"/>
  <c r="BZ10" i="47"/>
  <c r="BY129" i="47"/>
  <c r="BZ24" i="47"/>
  <c r="BX183" i="47"/>
  <c r="BY119" i="47"/>
  <c r="BY174" i="47" s="1"/>
  <c r="BZ14" i="47"/>
  <c r="BZ35" i="47"/>
  <c r="BY58" i="47"/>
  <c r="BY128" i="47"/>
  <c r="BY183" i="47" s="1"/>
  <c r="BZ23" i="47"/>
  <c r="BZ116" i="47"/>
  <c r="BZ171" i="47" s="1"/>
  <c r="CA11" i="47"/>
  <c r="BY120" i="47"/>
  <c r="BY175" i="47" s="1"/>
  <c r="BZ15" i="47"/>
  <c r="BZ126" i="47"/>
  <c r="BZ181" i="47" s="1"/>
  <c r="CA21" i="47"/>
  <c r="BZ131" i="47"/>
  <c r="BZ186" i="47" s="1"/>
  <c r="CA26" i="47"/>
  <c r="BX168" i="47"/>
  <c r="BX137" i="47"/>
  <c r="AV75" i="40"/>
  <c r="AV108" i="40" s="1"/>
  <c r="AW14" i="40"/>
  <c r="AV77" i="40"/>
  <c r="AV110" i="40" s="1"/>
  <c r="AW16" i="40"/>
  <c r="AV98" i="40"/>
  <c r="AW85" i="40"/>
  <c r="AV69" i="40"/>
  <c r="AW7" i="40"/>
  <c r="AV21" i="40"/>
  <c r="AU102" i="40"/>
  <c r="AU82" i="40"/>
  <c r="AV74" i="40"/>
  <c r="AW13" i="40"/>
  <c r="BT80" i="40"/>
  <c r="BT113" i="40" s="1"/>
  <c r="BU34" i="40"/>
  <c r="AV76" i="40"/>
  <c r="AW15" i="40"/>
  <c r="AV71" i="40"/>
  <c r="AW10" i="40"/>
  <c r="AV72" i="40"/>
  <c r="AW11" i="40"/>
  <c r="AV79" i="40"/>
  <c r="AW18" i="40"/>
  <c r="AV70" i="40"/>
  <c r="AW9" i="40"/>
  <c r="AU108" i="40"/>
  <c r="AU110" i="40"/>
  <c r="AV51" i="40"/>
  <c r="AW39" i="40"/>
  <c r="AT115" i="40"/>
  <c r="AT117" i="40" s="1"/>
  <c r="AT119" i="40" s="1"/>
  <c r="AW24" i="40"/>
  <c r="AV36" i="40"/>
  <c r="AW54" i="40"/>
  <c r="AV66" i="40"/>
  <c r="AV78" i="40"/>
  <c r="AW17" i="40"/>
  <c r="AV73" i="40"/>
  <c r="AW12" i="40"/>
  <c r="CZ135" i="47" l="1"/>
  <c r="CZ190" i="47" s="1"/>
  <c r="DA56" i="47"/>
  <c r="CO61" i="47"/>
  <c r="CM66" i="47"/>
  <c r="CL84" i="47"/>
  <c r="CA116" i="47"/>
  <c r="CA171" i="47" s="1"/>
  <c r="CB11" i="47"/>
  <c r="BZ115" i="47"/>
  <c r="BZ170" i="47" s="1"/>
  <c r="CA10" i="47"/>
  <c r="BZ124" i="47"/>
  <c r="BZ179" i="47" s="1"/>
  <c r="CA19" i="47"/>
  <c r="BZ133" i="47"/>
  <c r="BZ188" i="47" s="1"/>
  <c r="CA28" i="47"/>
  <c r="BZ32" i="47"/>
  <c r="CA7" i="47"/>
  <c r="BZ113" i="47"/>
  <c r="BY178" i="47"/>
  <c r="BZ132" i="47"/>
  <c r="BZ187" i="47" s="1"/>
  <c r="CA27" i="47"/>
  <c r="CA110" i="47"/>
  <c r="CB87" i="47"/>
  <c r="CB17" i="47"/>
  <c r="CA122" i="47"/>
  <c r="CA177" i="47" s="1"/>
  <c r="CA130" i="47"/>
  <c r="CA185" i="47" s="1"/>
  <c r="CB25" i="47"/>
  <c r="BZ125" i="47"/>
  <c r="BZ180" i="47" s="1"/>
  <c r="CA20" i="47"/>
  <c r="BZ121" i="47"/>
  <c r="BZ176" i="47" s="1"/>
  <c r="CA16" i="47"/>
  <c r="BZ128" i="47"/>
  <c r="BZ183" i="47" s="1"/>
  <c r="CA23" i="47"/>
  <c r="BZ119" i="47"/>
  <c r="BZ174" i="47" s="1"/>
  <c r="CA14" i="47"/>
  <c r="BZ129" i="47"/>
  <c r="BZ184" i="47" s="1"/>
  <c r="CA24" i="47"/>
  <c r="BY168" i="47"/>
  <c r="BY137" i="47"/>
  <c r="BZ117" i="47"/>
  <c r="BZ172" i="47" s="1"/>
  <c r="CA12" i="47"/>
  <c r="BZ58" i="47"/>
  <c r="CA35" i="47"/>
  <c r="CA114" i="47" s="1"/>
  <c r="CA169" i="47" s="1"/>
  <c r="BY179" i="47"/>
  <c r="BZ127" i="47"/>
  <c r="BZ182" i="47" s="1"/>
  <c r="CA22" i="47"/>
  <c r="BX192" i="47"/>
  <c r="BX194" i="47" s="1"/>
  <c r="BX196" i="47" s="1"/>
  <c r="BZ120" i="47"/>
  <c r="BZ175" i="47" s="1"/>
  <c r="CA15" i="47"/>
  <c r="CB9" i="47"/>
  <c r="CA131" i="47"/>
  <c r="CA186" i="47" s="1"/>
  <c r="CB26" i="47"/>
  <c r="CA126" i="47"/>
  <c r="CA181" i="47" s="1"/>
  <c r="CB21" i="47"/>
  <c r="BY184" i="47"/>
  <c r="BZ123" i="47"/>
  <c r="BZ178" i="47" s="1"/>
  <c r="CA18" i="47"/>
  <c r="BZ114" i="47"/>
  <c r="BZ169" i="47" s="1"/>
  <c r="CA118" i="47"/>
  <c r="CA173" i="47" s="1"/>
  <c r="CB13" i="47"/>
  <c r="CB134" i="47"/>
  <c r="CB189" i="47" s="1"/>
  <c r="CC29" i="47"/>
  <c r="BZ164" i="47"/>
  <c r="CA140" i="47"/>
  <c r="AV106" i="40"/>
  <c r="AV111" i="40"/>
  <c r="AW66" i="40"/>
  <c r="AX54" i="40"/>
  <c r="AW36" i="40"/>
  <c r="AX24" i="40"/>
  <c r="AW70" i="40"/>
  <c r="AW103" i="40" s="1"/>
  <c r="AX9" i="40"/>
  <c r="AW79" i="40"/>
  <c r="AW112" i="40" s="1"/>
  <c r="AX18" i="40"/>
  <c r="AW72" i="40"/>
  <c r="AW105" i="40" s="1"/>
  <c r="AX11" i="40"/>
  <c r="AV104" i="40"/>
  <c r="AW76" i="40"/>
  <c r="AW109" i="40" s="1"/>
  <c r="AX15" i="40"/>
  <c r="BU80" i="40"/>
  <c r="BU113" i="40" s="1"/>
  <c r="BV34" i="40"/>
  <c r="AW74" i="40"/>
  <c r="AW107" i="40" s="1"/>
  <c r="AX13" i="40"/>
  <c r="AV102" i="40"/>
  <c r="AV82" i="40"/>
  <c r="AW98" i="40"/>
  <c r="AX85" i="40"/>
  <c r="AW75" i="40"/>
  <c r="AX14" i="40"/>
  <c r="AU115" i="40"/>
  <c r="AU117" i="40" s="1"/>
  <c r="AU119" i="40" s="1"/>
  <c r="AW73" i="40"/>
  <c r="AW106" i="40" s="1"/>
  <c r="AX12" i="40"/>
  <c r="AW78" i="40"/>
  <c r="AW111" i="40" s="1"/>
  <c r="AX17" i="40"/>
  <c r="AW51" i="40"/>
  <c r="AX39" i="40"/>
  <c r="AV103" i="40"/>
  <c r="AV112" i="40"/>
  <c r="AV105" i="40"/>
  <c r="AW71" i="40"/>
  <c r="AW104" i="40" s="1"/>
  <c r="AX10" i="40"/>
  <c r="AV109" i="40"/>
  <c r="AV107" i="40"/>
  <c r="AW69" i="40"/>
  <c r="AW21" i="40"/>
  <c r="AX7" i="40"/>
  <c r="AW77" i="40"/>
  <c r="AX16" i="40"/>
  <c r="CP61" i="47" l="1"/>
  <c r="DB56" i="47"/>
  <c r="DA135" i="47"/>
  <c r="DA190" i="47" s="1"/>
  <c r="CN66" i="47"/>
  <c r="CM84" i="47"/>
  <c r="CA120" i="47"/>
  <c r="CA175" i="47" s="1"/>
  <c r="CB15" i="47"/>
  <c r="CA125" i="47"/>
  <c r="CA180" i="47" s="1"/>
  <c r="CB20" i="47"/>
  <c r="CA133" i="47"/>
  <c r="CA188" i="47" s="1"/>
  <c r="CB28" i="47"/>
  <c r="CA164" i="47"/>
  <c r="CB140" i="47"/>
  <c r="BY192" i="47"/>
  <c r="BY194" i="47" s="1"/>
  <c r="BY196" i="47" s="1"/>
  <c r="CA121" i="47"/>
  <c r="CA176" i="47" s="1"/>
  <c r="CB16" i="47"/>
  <c r="CB122" i="47"/>
  <c r="CB177" i="47" s="1"/>
  <c r="CC17" i="47"/>
  <c r="CA132" i="47"/>
  <c r="CA187" i="47" s="1"/>
  <c r="CB27" i="47"/>
  <c r="BZ168" i="47"/>
  <c r="BZ192" i="47" s="1"/>
  <c r="BZ194" i="47" s="1"/>
  <c r="BZ196" i="47" s="1"/>
  <c r="BZ137" i="47"/>
  <c r="CC26" i="47"/>
  <c r="CB131" i="47"/>
  <c r="CB186" i="47" s="1"/>
  <c r="CA115" i="47"/>
  <c r="CA170" i="47" s="1"/>
  <c r="CB10" i="47"/>
  <c r="CB118" i="47"/>
  <c r="CB173" i="47" s="1"/>
  <c r="CC13" i="47"/>
  <c r="CA123" i="47"/>
  <c r="CA178" i="47" s="1"/>
  <c r="CB18" i="47"/>
  <c r="CB126" i="47"/>
  <c r="CB181" i="47" s="1"/>
  <c r="CC21" i="47"/>
  <c r="CC9" i="47"/>
  <c r="CA117" i="47"/>
  <c r="CA172" i="47" s="1"/>
  <c r="CB12" i="47"/>
  <c r="CA129" i="47"/>
  <c r="CA184" i="47" s="1"/>
  <c r="CB24" i="47"/>
  <c r="CB130" i="47"/>
  <c r="CB185" i="47" s="1"/>
  <c r="CC25" i="47"/>
  <c r="CB110" i="47"/>
  <c r="CC87" i="47"/>
  <c r="CA32" i="47"/>
  <c r="CA113" i="47"/>
  <c r="CB7" i="47"/>
  <c r="CA124" i="47"/>
  <c r="CA179" i="47" s="1"/>
  <c r="CB19" i="47"/>
  <c r="CC11" i="47"/>
  <c r="CB116" i="47"/>
  <c r="CB171" i="47" s="1"/>
  <c r="CA119" i="47"/>
  <c r="CA174" i="47" s="1"/>
  <c r="CB14" i="47"/>
  <c r="CC134" i="47"/>
  <c r="CC189" i="47" s="1"/>
  <c r="CD29" i="47"/>
  <c r="CF29" i="47" s="1"/>
  <c r="CA127" i="47"/>
  <c r="CA182" i="47" s="1"/>
  <c r="CB22" i="47"/>
  <c r="CA58" i="47"/>
  <c r="CB35" i="47"/>
  <c r="CA128" i="47"/>
  <c r="CA183" i="47" s="1"/>
  <c r="CB23" i="47"/>
  <c r="AX77" i="40"/>
  <c r="AX110" i="40" s="1"/>
  <c r="AY16" i="40"/>
  <c r="AX69" i="40"/>
  <c r="AY7" i="40"/>
  <c r="AX21" i="40"/>
  <c r="AX51" i="40"/>
  <c r="AY39" i="40"/>
  <c r="AX78" i="40"/>
  <c r="AX111" i="40" s="1"/>
  <c r="AY17" i="40"/>
  <c r="AX73" i="40"/>
  <c r="AX106" i="40" s="1"/>
  <c r="AY12" i="40"/>
  <c r="AW108" i="40"/>
  <c r="AV115" i="40"/>
  <c r="AV117" i="40" s="1"/>
  <c r="AV119" i="40" s="1"/>
  <c r="AY24" i="40"/>
  <c r="AX36" i="40"/>
  <c r="AY54" i="40"/>
  <c r="AX66" i="40"/>
  <c r="AW102" i="40"/>
  <c r="AW82" i="40"/>
  <c r="AW110" i="40"/>
  <c r="AX71" i="40"/>
  <c r="AX104" i="40" s="1"/>
  <c r="AY10" i="40"/>
  <c r="AX75" i="40"/>
  <c r="AX108" i="40" s="1"/>
  <c r="AY14" i="40"/>
  <c r="AX98" i="40"/>
  <c r="AY85" i="40"/>
  <c r="AX74" i="40"/>
  <c r="AY13" i="40"/>
  <c r="BV80" i="40"/>
  <c r="BV113" i="40" s="1"/>
  <c r="BW34" i="40"/>
  <c r="AX76" i="40"/>
  <c r="AY15" i="40"/>
  <c r="AX72" i="40"/>
  <c r="AY11" i="40"/>
  <c r="AX79" i="40"/>
  <c r="AY18" i="40"/>
  <c r="AX70" i="40"/>
  <c r="AY9" i="40"/>
  <c r="DB135" i="47" l="1"/>
  <c r="DB190" i="47" s="1"/>
  <c r="DC56" i="47"/>
  <c r="CF134" i="47"/>
  <c r="CF189" i="47" s="1"/>
  <c r="CG29" i="47"/>
  <c r="CO66" i="47"/>
  <c r="CN84" i="47"/>
  <c r="CQ61" i="47"/>
  <c r="CD11" i="47"/>
  <c r="CF11" i="47" s="1"/>
  <c r="CC116" i="47"/>
  <c r="CC171" i="47" s="1"/>
  <c r="CC130" i="47"/>
  <c r="CC185" i="47" s="1"/>
  <c r="CD25" i="47"/>
  <c r="CF25" i="47" s="1"/>
  <c r="CB121" i="47"/>
  <c r="CB176" i="47" s="1"/>
  <c r="CC16" i="47"/>
  <c r="CB125" i="47"/>
  <c r="CB180" i="47" s="1"/>
  <c r="CC20" i="47"/>
  <c r="CB128" i="47"/>
  <c r="CB183" i="47" s="1"/>
  <c r="CC23" i="47"/>
  <c r="CC22" i="47"/>
  <c r="CB127" i="47"/>
  <c r="CB182" i="47" s="1"/>
  <c r="CB119" i="47"/>
  <c r="CB174" i="47" s="1"/>
  <c r="CC14" i="47"/>
  <c r="CB124" i="47"/>
  <c r="CB179" i="47" s="1"/>
  <c r="CC19" i="47"/>
  <c r="CC131" i="47"/>
  <c r="CC186" i="47" s="1"/>
  <c r="CD26" i="47"/>
  <c r="CF26" i="47" s="1"/>
  <c r="CA137" i="47"/>
  <c r="CA168" i="47"/>
  <c r="CA192" i="47" s="1"/>
  <c r="CA194" i="47" s="1"/>
  <c r="CA196" i="47" s="1"/>
  <c r="CB117" i="47"/>
  <c r="CB172" i="47" s="1"/>
  <c r="CC12" i="47"/>
  <c r="CC126" i="47"/>
  <c r="CC181" i="47" s="1"/>
  <c r="CD21" i="47"/>
  <c r="CF21" i="47" s="1"/>
  <c r="CD13" i="47"/>
  <c r="CF13" i="47" s="1"/>
  <c r="CC118" i="47"/>
  <c r="CC173" i="47" s="1"/>
  <c r="CB132" i="47"/>
  <c r="CB187" i="47" s="1"/>
  <c r="CC27" i="47"/>
  <c r="CC140" i="47"/>
  <c r="CB164" i="47"/>
  <c r="CC110" i="47"/>
  <c r="CD87" i="47"/>
  <c r="CF87" i="47" s="1"/>
  <c r="CB129" i="47"/>
  <c r="CB184" i="47" s="1"/>
  <c r="CC24" i="47"/>
  <c r="CD9" i="47"/>
  <c r="CF9" i="47" s="1"/>
  <c r="CB123" i="47"/>
  <c r="CB178" i="47" s="1"/>
  <c r="CC18" i="47"/>
  <c r="CB115" i="47"/>
  <c r="CB170" i="47" s="1"/>
  <c r="CC10" i="47"/>
  <c r="CC122" i="47"/>
  <c r="CC177" i="47" s="1"/>
  <c r="CD17" i="47"/>
  <c r="CF17" i="47" s="1"/>
  <c r="CC28" i="47"/>
  <c r="CB133" i="47"/>
  <c r="CB188" i="47" s="1"/>
  <c r="CB120" i="47"/>
  <c r="CB175" i="47" s="1"/>
  <c r="CC15" i="47"/>
  <c r="CB58" i="47"/>
  <c r="CC35" i="47"/>
  <c r="CC114" i="47" s="1"/>
  <c r="CC169" i="47" s="1"/>
  <c r="CD134" i="47"/>
  <c r="R39" i="45" s="1"/>
  <c r="CB113" i="47"/>
  <c r="CB32" i="47"/>
  <c r="CC7" i="47"/>
  <c r="CB114" i="47"/>
  <c r="CB169" i="47" s="1"/>
  <c r="AX103" i="40"/>
  <c r="AX112" i="40"/>
  <c r="AX105" i="40"/>
  <c r="AY76" i="40"/>
  <c r="AY109" i="40" s="1"/>
  <c r="AZ15" i="40"/>
  <c r="AY74" i="40"/>
  <c r="AY107" i="40" s="1"/>
  <c r="AZ13" i="40"/>
  <c r="AY75" i="40"/>
  <c r="AY108" i="40" s="1"/>
  <c r="AZ14" i="40"/>
  <c r="AY71" i="40"/>
  <c r="AY104" i="40" s="1"/>
  <c r="AZ10" i="40"/>
  <c r="AY73" i="40"/>
  <c r="AY106" i="40" s="1"/>
  <c r="AZ12" i="40"/>
  <c r="AY78" i="40"/>
  <c r="AY111" i="40" s="1"/>
  <c r="AZ17" i="40"/>
  <c r="AY51" i="40"/>
  <c r="AZ39" i="40"/>
  <c r="AY69" i="40"/>
  <c r="AY21" i="40"/>
  <c r="AZ7" i="40"/>
  <c r="AY70" i="40"/>
  <c r="AY103" i="40" s="1"/>
  <c r="AZ9" i="40"/>
  <c r="AY79" i="40"/>
  <c r="AY112" i="40" s="1"/>
  <c r="AZ18" i="40"/>
  <c r="AY72" i="40"/>
  <c r="AY105" i="40" s="1"/>
  <c r="AZ11" i="40"/>
  <c r="AX109" i="40"/>
  <c r="BW80" i="40"/>
  <c r="BW113" i="40" s="1"/>
  <c r="BX34" i="40"/>
  <c r="AX107" i="40"/>
  <c r="AY98" i="40"/>
  <c r="AZ85" i="40"/>
  <c r="AY66" i="40"/>
  <c r="AZ54" i="40"/>
  <c r="AY36" i="40"/>
  <c r="AZ24" i="40"/>
  <c r="AX102" i="40"/>
  <c r="AX82" i="40"/>
  <c r="AY77" i="40"/>
  <c r="AZ16" i="40"/>
  <c r="AW115" i="40"/>
  <c r="AW117" i="40" s="1"/>
  <c r="AW119" i="40" s="1"/>
  <c r="CH29" i="47" l="1"/>
  <c r="CG134" i="47"/>
  <c r="CG189" i="47" s="1"/>
  <c r="CG9" i="47"/>
  <c r="CH9" i="47" s="1"/>
  <c r="CF110" i="47"/>
  <c r="CG87" i="47"/>
  <c r="CF126" i="47"/>
  <c r="CF181" i="47" s="1"/>
  <c r="CG21" i="47"/>
  <c r="CS61" i="47"/>
  <c r="CF131" i="47"/>
  <c r="CF186" i="47" s="1"/>
  <c r="CG26" i="47"/>
  <c r="DD56" i="47"/>
  <c r="DC135" i="47"/>
  <c r="DC190" i="47" s="1"/>
  <c r="CF130" i="47"/>
  <c r="CF185" i="47" s="1"/>
  <c r="CG25" i="47"/>
  <c r="CF122" i="47"/>
  <c r="CF177" i="47" s="1"/>
  <c r="CG17" i="47"/>
  <c r="CF118" i="47"/>
  <c r="CF173" i="47" s="1"/>
  <c r="CG13" i="47"/>
  <c r="CF116" i="47"/>
  <c r="CF171" i="47" s="1"/>
  <c r="CG11" i="47"/>
  <c r="CP66" i="47"/>
  <c r="CO84" i="47"/>
  <c r="T39" i="45"/>
  <c r="CC125" i="47"/>
  <c r="CC180" i="47" s="1"/>
  <c r="CD20" i="47"/>
  <c r="CF20" i="47" s="1"/>
  <c r="CB137" i="47"/>
  <c r="CB168" i="47"/>
  <c r="CB192" i="47" s="1"/>
  <c r="CB194" i="47" s="1"/>
  <c r="CB196" i="47" s="1"/>
  <c r="CC133" i="47"/>
  <c r="CC188" i="47" s="1"/>
  <c r="CD28" i="47"/>
  <c r="CF28" i="47" s="1"/>
  <c r="CC127" i="47"/>
  <c r="CC182" i="47" s="1"/>
  <c r="CD22" i="47"/>
  <c r="CF22" i="47" s="1"/>
  <c r="CD110" i="47"/>
  <c r="DS110" i="47"/>
  <c r="CD126" i="47"/>
  <c r="R31" i="45" s="1"/>
  <c r="CC124" i="47"/>
  <c r="CC179" i="47" s="1"/>
  <c r="CD19" i="47"/>
  <c r="CF19" i="47" s="1"/>
  <c r="CD130" i="47"/>
  <c r="R35" i="45" s="1"/>
  <c r="CC120" i="47"/>
  <c r="CC175" i="47" s="1"/>
  <c r="CD15" i="47"/>
  <c r="CF15" i="47" s="1"/>
  <c r="CD122" i="47"/>
  <c r="R27" i="45" s="1"/>
  <c r="CC123" i="47"/>
  <c r="CC178" i="47" s="1"/>
  <c r="CD18" i="47"/>
  <c r="CF18" i="47" s="1"/>
  <c r="CC129" i="47"/>
  <c r="CC184" i="47" s="1"/>
  <c r="CD24" i="47"/>
  <c r="CF24" i="47" s="1"/>
  <c r="CC117" i="47"/>
  <c r="CC172" i="47" s="1"/>
  <c r="CD12" i="47"/>
  <c r="CF12" i="47" s="1"/>
  <c r="CD131" i="47"/>
  <c r="R36" i="45" s="1"/>
  <c r="CC119" i="47"/>
  <c r="CC174" i="47" s="1"/>
  <c r="CD14" i="47"/>
  <c r="CF14" i="47" s="1"/>
  <c r="CC128" i="47"/>
  <c r="CC183" i="47" s="1"/>
  <c r="CD23" i="47"/>
  <c r="CF23" i="47" s="1"/>
  <c r="CC121" i="47"/>
  <c r="CC176" i="47" s="1"/>
  <c r="CD16" i="47"/>
  <c r="CF16" i="47" s="1"/>
  <c r="CD35" i="47"/>
  <c r="CF35" i="47" s="1"/>
  <c r="CF114" i="47" s="1"/>
  <c r="CF169" i="47" s="1"/>
  <c r="CC58" i="47"/>
  <c r="CC115" i="47"/>
  <c r="CC170" i="47" s="1"/>
  <c r="CD10" i="47"/>
  <c r="CF10" i="47" s="1"/>
  <c r="CC132" i="47"/>
  <c r="CC187" i="47" s="1"/>
  <c r="CD27" i="47"/>
  <c r="CF27" i="47" s="1"/>
  <c r="CC113" i="47"/>
  <c r="CC32" i="47"/>
  <c r="CD7" i="47"/>
  <c r="CF7" i="47" s="1"/>
  <c r="CD189" i="47"/>
  <c r="HP26" i="46"/>
  <c r="CC164" i="47"/>
  <c r="CD140" i="47"/>
  <c r="CD118" i="47"/>
  <c r="R23" i="45" s="1"/>
  <c r="CD116" i="47"/>
  <c r="R21" i="45" s="1"/>
  <c r="AX115" i="40"/>
  <c r="AX117" i="40" s="1"/>
  <c r="AX119" i="40" s="1"/>
  <c r="AZ77" i="40"/>
  <c r="AZ110" i="40" s="1"/>
  <c r="BA16" i="40"/>
  <c r="BA24" i="40"/>
  <c r="AZ36" i="40"/>
  <c r="BA54" i="40"/>
  <c r="AZ66" i="40"/>
  <c r="AZ98" i="40"/>
  <c r="BA85" i="40"/>
  <c r="BX80" i="40"/>
  <c r="BX113" i="40" s="1"/>
  <c r="BY34" i="40"/>
  <c r="AZ72" i="40"/>
  <c r="AZ105" i="40" s="1"/>
  <c r="BA11" i="40"/>
  <c r="AZ79" i="40"/>
  <c r="AZ112" i="40" s="1"/>
  <c r="BA18" i="40"/>
  <c r="AZ70" i="40"/>
  <c r="AZ103" i="40" s="1"/>
  <c r="BA9" i="40"/>
  <c r="AZ51" i="40"/>
  <c r="BA39" i="40"/>
  <c r="AZ78" i="40"/>
  <c r="AZ111" i="40" s="1"/>
  <c r="BA17" i="40"/>
  <c r="AZ73" i="40"/>
  <c r="AZ106" i="40" s="1"/>
  <c r="BA12" i="40"/>
  <c r="AZ71" i="40"/>
  <c r="AZ104" i="40" s="1"/>
  <c r="BA10" i="40"/>
  <c r="AZ75" i="40"/>
  <c r="AZ108" i="40" s="1"/>
  <c r="BA14" i="40"/>
  <c r="AZ74" i="40"/>
  <c r="AZ107" i="40" s="1"/>
  <c r="BA13" i="40"/>
  <c r="AZ76" i="40"/>
  <c r="AZ109" i="40" s="1"/>
  <c r="BA15" i="40"/>
  <c r="AY110" i="40"/>
  <c r="AZ69" i="40"/>
  <c r="BA7" i="40"/>
  <c r="AZ21" i="40"/>
  <c r="AY102" i="40"/>
  <c r="AY115" i="40" s="1"/>
  <c r="AY117" i="40" s="1"/>
  <c r="AY119" i="40" s="1"/>
  <c r="AY82" i="40"/>
  <c r="CG118" i="47" l="1"/>
  <c r="CG173" i="47" s="1"/>
  <c r="CH13" i="47"/>
  <c r="CH25" i="47"/>
  <c r="CG130" i="47"/>
  <c r="CG185" i="47" s="1"/>
  <c r="CG131" i="47"/>
  <c r="CG186" i="47" s="1"/>
  <c r="CH26" i="47"/>
  <c r="CH21" i="47"/>
  <c r="CG126" i="47"/>
  <c r="CG181" i="47" s="1"/>
  <c r="CI9" i="47"/>
  <c r="CF133" i="47"/>
  <c r="CF188" i="47" s="1"/>
  <c r="CG28" i="47"/>
  <c r="CF125" i="47"/>
  <c r="CF180" i="47" s="1"/>
  <c r="CG20" i="47"/>
  <c r="CQ66" i="47"/>
  <c r="CP84" i="47"/>
  <c r="CF115" i="47"/>
  <c r="CF170" i="47" s="1"/>
  <c r="CG10" i="47"/>
  <c r="CF121" i="47"/>
  <c r="CF176" i="47" s="1"/>
  <c r="CG16" i="47"/>
  <c r="CF119" i="47"/>
  <c r="CF174" i="47" s="1"/>
  <c r="CG14" i="47"/>
  <c r="CF117" i="47"/>
  <c r="CF172" i="47" s="1"/>
  <c r="CG12" i="47"/>
  <c r="CF123" i="47"/>
  <c r="CF178" i="47" s="1"/>
  <c r="CG18" i="47"/>
  <c r="CF120" i="47"/>
  <c r="CF175" i="47" s="1"/>
  <c r="CG15" i="47"/>
  <c r="CF124" i="47"/>
  <c r="CF179" i="47" s="1"/>
  <c r="CG19" i="47"/>
  <c r="CF132" i="47"/>
  <c r="CF187" i="47" s="1"/>
  <c r="CG27" i="47"/>
  <c r="CF128" i="47"/>
  <c r="CF183" i="47" s="1"/>
  <c r="CG23" i="47"/>
  <c r="CF129" i="47"/>
  <c r="CF184" i="47" s="1"/>
  <c r="CG24" i="47"/>
  <c r="CG116" i="47"/>
  <c r="CG171" i="47" s="1"/>
  <c r="CH11" i="47"/>
  <c r="CG122" i="47"/>
  <c r="CG177" i="47" s="1"/>
  <c r="CH17" i="47"/>
  <c r="CT61" i="47"/>
  <c r="CG110" i="47"/>
  <c r="CH87" i="47"/>
  <c r="S18" i="45"/>
  <c r="CF140" i="47"/>
  <c r="CG7" i="47"/>
  <c r="CF32" i="47"/>
  <c r="CF113" i="47"/>
  <c r="CG35" i="47"/>
  <c r="CF58" i="47"/>
  <c r="CF127" i="47"/>
  <c r="CF182" i="47" s="1"/>
  <c r="CG22" i="47"/>
  <c r="DD135" i="47"/>
  <c r="DD190" i="47" s="1"/>
  <c r="DF56" i="47"/>
  <c r="CH134" i="47"/>
  <c r="CH189" i="47" s="1"/>
  <c r="CI29" i="47"/>
  <c r="T36" i="45"/>
  <c r="T35" i="45"/>
  <c r="T27" i="45"/>
  <c r="T23" i="45"/>
  <c r="T31" i="45"/>
  <c r="W39" i="45"/>
  <c r="T21" i="45"/>
  <c r="CD164" i="47"/>
  <c r="DS164" i="47"/>
  <c r="B8" i="44" s="1"/>
  <c r="CD113" i="47"/>
  <c r="R18" i="45" s="1"/>
  <c r="CD32" i="47"/>
  <c r="CD58" i="47"/>
  <c r="DS58" i="47"/>
  <c r="CD186" i="47"/>
  <c r="HP23" i="46"/>
  <c r="CD177" i="47"/>
  <c r="HP14" i="46"/>
  <c r="CD185" i="47"/>
  <c r="HP22" i="46"/>
  <c r="CD181" i="47"/>
  <c r="HP18" i="46"/>
  <c r="CD114" i="47"/>
  <c r="R19" i="45" s="1"/>
  <c r="CD171" i="47"/>
  <c r="CD115" i="47"/>
  <c r="R20" i="45" s="1"/>
  <c r="CD121" i="47"/>
  <c r="R26" i="45" s="1"/>
  <c r="CD119" i="47"/>
  <c r="R24" i="45" s="1"/>
  <c r="CD117" i="47"/>
  <c r="R22" i="45" s="1"/>
  <c r="CD123" i="47"/>
  <c r="R28" i="45" s="1"/>
  <c r="CD120" i="47"/>
  <c r="R25" i="45" s="1"/>
  <c r="CD124" i="47"/>
  <c r="R29" i="45" s="1"/>
  <c r="CD127" i="47"/>
  <c r="R32" i="45" s="1"/>
  <c r="CC168" i="47"/>
  <c r="CC192" i="47" s="1"/>
  <c r="CC194" i="47" s="1"/>
  <c r="CC196" i="47" s="1"/>
  <c r="CC137" i="47"/>
  <c r="CD173" i="47"/>
  <c r="HP10" i="46"/>
  <c r="CD132" i="47"/>
  <c r="R37" i="45" s="1"/>
  <c r="CD128" i="47"/>
  <c r="R33" i="45" s="1"/>
  <c r="CD129" i="47"/>
  <c r="R34" i="45" s="1"/>
  <c r="CD133" i="47"/>
  <c r="R38" i="45" s="1"/>
  <c r="CD125" i="47"/>
  <c r="R30" i="45" s="1"/>
  <c r="BA69" i="40"/>
  <c r="BA21" i="40"/>
  <c r="BB7" i="40"/>
  <c r="BA76" i="40"/>
  <c r="BA109" i="40" s="1"/>
  <c r="BB15" i="40"/>
  <c r="BA74" i="40"/>
  <c r="BA107" i="40" s="1"/>
  <c r="BB13" i="40"/>
  <c r="BA75" i="40"/>
  <c r="BA108" i="40" s="1"/>
  <c r="BB14" i="40"/>
  <c r="BA71" i="40"/>
  <c r="BA104" i="40" s="1"/>
  <c r="BB10" i="40"/>
  <c r="BA73" i="40"/>
  <c r="BA106" i="40" s="1"/>
  <c r="BB12" i="40"/>
  <c r="BA78" i="40"/>
  <c r="BA111" i="40" s="1"/>
  <c r="BB17" i="40"/>
  <c r="BA51" i="40"/>
  <c r="BB39" i="40"/>
  <c r="BA70" i="40"/>
  <c r="BA103" i="40" s="1"/>
  <c r="BB9" i="40"/>
  <c r="BA79" i="40"/>
  <c r="BA112" i="40" s="1"/>
  <c r="BB18" i="40"/>
  <c r="BA72" i="40"/>
  <c r="BA105" i="40" s="1"/>
  <c r="BB11" i="40"/>
  <c r="BA66" i="40"/>
  <c r="BB54" i="40"/>
  <c r="BA36" i="40"/>
  <c r="BB24" i="40"/>
  <c r="AZ102" i="40"/>
  <c r="AZ115" i="40" s="1"/>
  <c r="AZ117" i="40" s="1"/>
  <c r="AZ119" i="40" s="1"/>
  <c r="AZ82" i="40"/>
  <c r="BY80" i="40"/>
  <c r="BY113" i="40" s="1"/>
  <c r="BZ34" i="40"/>
  <c r="BA98" i="40"/>
  <c r="BB85" i="40"/>
  <c r="BA77" i="40"/>
  <c r="BA110" i="40" s="1"/>
  <c r="BB16" i="40"/>
  <c r="CG129" i="47" l="1"/>
  <c r="CG184" i="47" s="1"/>
  <c r="CH24" i="47"/>
  <c r="CG120" i="47"/>
  <c r="CG175" i="47" s="1"/>
  <c r="CH15" i="47"/>
  <c r="CH28" i="47"/>
  <c r="CG133" i="47"/>
  <c r="CG188" i="47" s="1"/>
  <c r="DF135" i="47"/>
  <c r="DF190" i="47" s="1"/>
  <c r="DG56" i="47"/>
  <c r="CG113" i="47"/>
  <c r="CH7" i="47"/>
  <c r="CG32" i="47"/>
  <c r="CS66" i="47"/>
  <c r="CQ84" i="47"/>
  <c r="CH126" i="47"/>
  <c r="CH181" i="47" s="1"/>
  <c r="CI21" i="47"/>
  <c r="CI25" i="47"/>
  <c r="CH130" i="47"/>
  <c r="CH185" i="47" s="1"/>
  <c r="CH122" i="47"/>
  <c r="CH177" i="47" s="1"/>
  <c r="CI17" i="47"/>
  <c r="CG114" i="47"/>
  <c r="CG169" i="47" s="1"/>
  <c r="CG58" i="47"/>
  <c r="CH35" i="47"/>
  <c r="CF164" i="47"/>
  <c r="CG140" i="47"/>
  <c r="CU61" i="47"/>
  <c r="CH116" i="47"/>
  <c r="CH171" i="47" s="1"/>
  <c r="CI11" i="47"/>
  <c r="CH23" i="47"/>
  <c r="CG128" i="47"/>
  <c r="CG183" i="47" s="1"/>
  <c r="CG124" i="47"/>
  <c r="CG179" i="47" s="1"/>
  <c r="CH19" i="47"/>
  <c r="CG123" i="47"/>
  <c r="CG178" i="47" s="1"/>
  <c r="CH18" i="47"/>
  <c r="CG119" i="47"/>
  <c r="CG174" i="47" s="1"/>
  <c r="CH14" i="47"/>
  <c r="CG115" i="47"/>
  <c r="CG170" i="47" s="1"/>
  <c r="CH10" i="47"/>
  <c r="CG125" i="47"/>
  <c r="CG180" i="47" s="1"/>
  <c r="CH20" i="47"/>
  <c r="CH131" i="47"/>
  <c r="CH186" i="47" s="1"/>
  <c r="CI26" i="47"/>
  <c r="CI13" i="47"/>
  <c r="CH118" i="47"/>
  <c r="CH173" i="47" s="1"/>
  <c r="CH110" i="47"/>
  <c r="CI87" i="47"/>
  <c r="CG132" i="47"/>
  <c r="CG187" i="47" s="1"/>
  <c r="CH27" i="47"/>
  <c r="CG117" i="47"/>
  <c r="CG172" i="47" s="1"/>
  <c r="CH12" i="47"/>
  <c r="CG121" i="47"/>
  <c r="CG176" i="47" s="1"/>
  <c r="CH16" i="47"/>
  <c r="CJ29" i="47"/>
  <c r="CI134" i="47"/>
  <c r="CI189" i="47" s="1"/>
  <c r="CG127" i="47"/>
  <c r="CG182" i="47" s="1"/>
  <c r="CH22" i="47"/>
  <c r="CF168" i="47"/>
  <c r="CF192" i="47" s="1"/>
  <c r="CF194" i="47" s="1"/>
  <c r="CF196" i="47" s="1"/>
  <c r="CF137" i="47"/>
  <c r="CJ9" i="47"/>
  <c r="CK9" i="47" s="1"/>
  <c r="T30" i="45"/>
  <c r="T34" i="45"/>
  <c r="T37" i="45"/>
  <c r="T29" i="45"/>
  <c r="T28" i="45"/>
  <c r="T24" i="45"/>
  <c r="T20" i="45"/>
  <c r="T18" i="45"/>
  <c r="W23" i="45"/>
  <c r="W35" i="45"/>
  <c r="T38" i="45"/>
  <c r="T33" i="45"/>
  <c r="T32" i="45"/>
  <c r="T25" i="45"/>
  <c r="T22" i="45"/>
  <c r="T26" i="45"/>
  <c r="W31" i="45"/>
  <c r="W27" i="45"/>
  <c r="X18" i="45"/>
  <c r="W36" i="45"/>
  <c r="W21" i="45"/>
  <c r="HP8" i="46"/>
  <c r="CD169" i="47"/>
  <c r="CD180" i="47"/>
  <c r="HP17" i="46"/>
  <c r="CD184" i="47"/>
  <c r="HP21" i="46"/>
  <c r="CD187" i="47"/>
  <c r="HP24" i="46"/>
  <c r="CD179" i="47"/>
  <c r="HP16" i="46"/>
  <c r="CD178" i="47"/>
  <c r="HP15" i="46"/>
  <c r="CD174" i="47"/>
  <c r="HP11" i="46"/>
  <c r="CD170" i="47"/>
  <c r="HP7" i="46"/>
  <c r="CD168" i="47"/>
  <c r="CD137" i="47"/>
  <c r="W18" i="45"/>
  <c r="CD188" i="47"/>
  <c r="HP25" i="46"/>
  <c r="CD183" i="47"/>
  <c r="HP20" i="46"/>
  <c r="CD182" i="47"/>
  <c r="HP19" i="46"/>
  <c r="CD175" i="47"/>
  <c r="HP12" i="46"/>
  <c r="CD172" i="47"/>
  <c r="HP9" i="46"/>
  <c r="CD176" i="47"/>
  <c r="HP13" i="46"/>
  <c r="DS32" i="47"/>
  <c r="BB77" i="40"/>
  <c r="BB110" i="40" s="1"/>
  <c r="BC16" i="40"/>
  <c r="BB98" i="40"/>
  <c r="BC85" i="40"/>
  <c r="BZ80" i="40"/>
  <c r="BZ113" i="40" s="1"/>
  <c r="CA34" i="40"/>
  <c r="BC24" i="40"/>
  <c r="BB36" i="40"/>
  <c r="BC54" i="40"/>
  <c r="BB66" i="40"/>
  <c r="BB72" i="40"/>
  <c r="BB105" i="40" s="1"/>
  <c r="BC11" i="40"/>
  <c r="BB79" i="40"/>
  <c r="BB112" i="40" s="1"/>
  <c r="BC18" i="40"/>
  <c r="BB70" i="40"/>
  <c r="BB103" i="40" s="1"/>
  <c r="BC9" i="40"/>
  <c r="BB51" i="40"/>
  <c r="BC39" i="40"/>
  <c r="BB78" i="40"/>
  <c r="BB111" i="40" s="1"/>
  <c r="BC17" i="40"/>
  <c r="BB73" i="40"/>
  <c r="BB106" i="40" s="1"/>
  <c r="BC12" i="40"/>
  <c r="BB71" i="40"/>
  <c r="BB104" i="40" s="1"/>
  <c r="BC10" i="40"/>
  <c r="BB75" i="40"/>
  <c r="BB108" i="40" s="1"/>
  <c r="BC14" i="40"/>
  <c r="BB74" i="40"/>
  <c r="BB107" i="40" s="1"/>
  <c r="BC13" i="40"/>
  <c r="BB76" i="40"/>
  <c r="BB109" i="40" s="1"/>
  <c r="BC15" i="40"/>
  <c r="BB69" i="40"/>
  <c r="BC7" i="40"/>
  <c r="BB21" i="40"/>
  <c r="BA102" i="40"/>
  <c r="BA115" i="40" s="1"/>
  <c r="BA117" i="40" s="1"/>
  <c r="BA119" i="40" s="1"/>
  <c r="BA82" i="40"/>
  <c r="CH121" i="47" l="1"/>
  <c r="CH176" i="47" s="1"/>
  <c r="CI16" i="47"/>
  <c r="CH124" i="47"/>
  <c r="CH179" i="47" s="1"/>
  <c r="CI19" i="47"/>
  <c r="DG135" i="47"/>
  <c r="DG190" i="47" s="1"/>
  <c r="DH56" i="47"/>
  <c r="CL9" i="47"/>
  <c r="CI118" i="47"/>
  <c r="CI173" i="47" s="1"/>
  <c r="CJ13" i="47"/>
  <c r="CI122" i="47"/>
  <c r="CI177" i="47" s="1"/>
  <c r="CJ17" i="47"/>
  <c r="CI126" i="47"/>
  <c r="CI181" i="47" s="1"/>
  <c r="CJ21" i="47"/>
  <c r="CH119" i="47"/>
  <c r="CH174" i="47" s="1"/>
  <c r="CI14" i="47"/>
  <c r="CI116" i="47"/>
  <c r="CI171" i="47" s="1"/>
  <c r="CJ11" i="47"/>
  <c r="CH140" i="47"/>
  <c r="CG164" i="47"/>
  <c r="CT66" i="47"/>
  <c r="CS84" i="47"/>
  <c r="CI12" i="47"/>
  <c r="CH117" i="47"/>
  <c r="CH172" i="47" s="1"/>
  <c r="CJ87" i="47"/>
  <c r="CI110" i="47"/>
  <c r="CI131" i="47"/>
  <c r="CI186" i="47" s="1"/>
  <c r="CJ26" i="47"/>
  <c r="CH115" i="47"/>
  <c r="CH170" i="47" s="1"/>
  <c r="CI10" i="47"/>
  <c r="CH123" i="47"/>
  <c r="CH178" i="47" s="1"/>
  <c r="CI18" i="47"/>
  <c r="CH58" i="47"/>
  <c r="CI35" i="47"/>
  <c r="CH114" i="47"/>
  <c r="CH169" i="47" s="1"/>
  <c r="CH113" i="47"/>
  <c r="CI7" i="47"/>
  <c r="CH129" i="47"/>
  <c r="CH184" i="47" s="1"/>
  <c r="CI24" i="47"/>
  <c r="CI22" i="47"/>
  <c r="CH127" i="47"/>
  <c r="CH182" i="47" s="1"/>
  <c r="CH132" i="47"/>
  <c r="CH187" i="47" s="1"/>
  <c r="CI27" i="47"/>
  <c r="CI20" i="47"/>
  <c r="CH125" i="47"/>
  <c r="CH180" i="47" s="1"/>
  <c r="CI130" i="47"/>
  <c r="CI185" i="47" s="1"/>
  <c r="CJ25" i="47"/>
  <c r="CI15" i="47"/>
  <c r="CH120" i="47"/>
  <c r="CH175" i="47" s="1"/>
  <c r="CJ134" i="47"/>
  <c r="CJ189" i="47" s="1"/>
  <c r="CK29" i="47"/>
  <c r="CH32" i="47"/>
  <c r="CI23" i="47"/>
  <c r="CH128" i="47"/>
  <c r="CH183" i="47" s="1"/>
  <c r="CV61" i="47"/>
  <c r="CG168" i="47"/>
  <c r="CG192" i="47" s="1"/>
  <c r="CG194" i="47" s="1"/>
  <c r="CG196" i="47" s="1"/>
  <c r="CG137" i="47"/>
  <c r="CH133" i="47"/>
  <c r="CH188" i="47" s="1"/>
  <c r="CI28" i="47"/>
  <c r="W22" i="45"/>
  <c r="W32" i="45"/>
  <c r="W24" i="45"/>
  <c r="W38" i="45"/>
  <c r="W29" i="45"/>
  <c r="W34" i="45"/>
  <c r="W20" i="45"/>
  <c r="W37" i="45"/>
  <c r="W26" i="45"/>
  <c r="W25" i="45"/>
  <c r="W33" i="45"/>
  <c r="W28" i="45"/>
  <c r="W30" i="45"/>
  <c r="W19" i="45"/>
  <c r="HP6" i="46"/>
  <c r="DS137" i="47"/>
  <c r="CD192" i="47"/>
  <c r="CD194" i="47" s="1"/>
  <c r="CD196" i="47" s="1"/>
  <c r="DS192" i="47"/>
  <c r="BB102" i="40"/>
  <c r="BB115" i="40" s="1"/>
  <c r="BB117" i="40" s="1"/>
  <c r="BB119" i="40" s="1"/>
  <c r="BB82" i="40"/>
  <c r="BC66" i="40"/>
  <c r="BE54" i="40"/>
  <c r="BC36" i="40"/>
  <c r="BE24" i="40"/>
  <c r="BC69" i="40"/>
  <c r="BC21" i="40"/>
  <c r="BE7" i="40"/>
  <c r="BC76" i="40"/>
  <c r="BE15" i="40"/>
  <c r="BC74" i="40"/>
  <c r="BE13" i="40"/>
  <c r="BC75" i="40"/>
  <c r="BE14" i="40"/>
  <c r="BC71" i="40"/>
  <c r="BE10" i="40"/>
  <c r="BC73" i="40"/>
  <c r="BE12" i="40"/>
  <c r="BC78" i="40"/>
  <c r="BE17" i="40"/>
  <c r="BC51" i="40"/>
  <c r="BE39" i="40"/>
  <c r="BC70" i="40"/>
  <c r="BE9" i="40"/>
  <c r="BC79" i="40"/>
  <c r="BE18" i="40"/>
  <c r="BC72" i="40"/>
  <c r="BE11" i="40"/>
  <c r="CA80" i="40"/>
  <c r="CA113" i="40" s="1"/>
  <c r="CB34" i="40"/>
  <c r="BC98" i="40"/>
  <c r="BE85" i="40"/>
  <c r="BC77" i="40"/>
  <c r="BE16" i="40"/>
  <c r="CW61" i="47" l="1"/>
  <c r="CJ15" i="47"/>
  <c r="CI120" i="47"/>
  <c r="CI175" i="47" s="1"/>
  <c r="CJ20" i="47"/>
  <c r="CI125" i="47"/>
  <c r="CI180" i="47" s="1"/>
  <c r="CH168" i="47"/>
  <c r="CH192" i="47" s="1"/>
  <c r="CH194" i="47" s="1"/>
  <c r="CH196" i="47" s="1"/>
  <c r="CH137" i="47"/>
  <c r="CI123" i="47"/>
  <c r="CI178" i="47" s="1"/>
  <c r="CJ18" i="47"/>
  <c r="CK26" i="47"/>
  <c r="CJ131" i="47"/>
  <c r="CJ186" i="47" s="1"/>
  <c r="CI119" i="47"/>
  <c r="CI174" i="47" s="1"/>
  <c r="CJ14" i="47"/>
  <c r="CJ122" i="47"/>
  <c r="CJ177" i="47" s="1"/>
  <c r="CK17" i="47"/>
  <c r="CM9" i="47"/>
  <c r="CN9" i="47" s="1"/>
  <c r="CJ19" i="47"/>
  <c r="CI124" i="47"/>
  <c r="CI179" i="47" s="1"/>
  <c r="CL29" i="47"/>
  <c r="CK134" i="47"/>
  <c r="CK189" i="47" s="1"/>
  <c r="CJ130" i="47"/>
  <c r="CJ185" i="47" s="1"/>
  <c r="CK25" i="47"/>
  <c r="CI132" i="47"/>
  <c r="CI187" i="47" s="1"/>
  <c r="CJ27" i="47"/>
  <c r="CI129" i="47"/>
  <c r="CI184" i="47" s="1"/>
  <c r="CJ24" i="47"/>
  <c r="CI117" i="47"/>
  <c r="CI172" i="47" s="1"/>
  <c r="CJ12" i="47"/>
  <c r="CI140" i="47"/>
  <c r="CH164" i="47"/>
  <c r="CI133" i="47"/>
  <c r="CI188" i="47" s="1"/>
  <c r="CJ28" i="47"/>
  <c r="CJ22" i="47"/>
  <c r="CI127" i="47"/>
  <c r="CI182" i="47" s="1"/>
  <c r="CJ35" i="47"/>
  <c r="CI58" i="47"/>
  <c r="CI114" i="47"/>
  <c r="CI169" i="47" s="1"/>
  <c r="CI115" i="47"/>
  <c r="CI170" i="47" s="1"/>
  <c r="CJ10" i="47"/>
  <c r="CJ116" i="47"/>
  <c r="CJ171" i="47" s="1"/>
  <c r="CK11" i="47"/>
  <c r="CJ126" i="47"/>
  <c r="CJ181" i="47" s="1"/>
  <c r="CK21" i="47"/>
  <c r="CJ118" i="47"/>
  <c r="CJ173" i="47" s="1"/>
  <c r="CK13" i="47"/>
  <c r="DH135" i="47"/>
  <c r="DH190" i="47" s="1"/>
  <c r="DI56" i="47"/>
  <c r="CJ16" i="47"/>
  <c r="CI121" i="47"/>
  <c r="CI176" i="47" s="1"/>
  <c r="CI128" i="47"/>
  <c r="CI183" i="47" s="1"/>
  <c r="CJ23" i="47"/>
  <c r="CJ7" i="47"/>
  <c r="CI32" i="47"/>
  <c r="CI113" i="47"/>
  <c r="CJ110" i="47"/>
  <c r="CK87" i="47"/>
  <c r="CU66" i="47"/>
  <c r="CT84" i="47"/>
  <c r="BE77" i="40"/>
  <c r="BE110" i="40" s="1"/>
  <c r="BF16" i="40"/>
  <c r="BE72" i="40"/>
  <c r="BE105" i="40" s="1"/>
  <c r="BF11" i="40"/>
  <c r="BC112" i="40"/>
  <c r="BE70" i="40"/>
  <c r="BE103" i="40" s="1"/>
  <c r="BF9" i="40"/>
  <c r="BE78" i="40"/>
  <c r="BE111" i="40" s="1"/>
  <c r="BF17" i="40"/>
  <c r="BC106" i="40"/>
  <c r="BE71" i="40"/>
  <c r="BE104" i="40" s="1"/>
  <c r="BF10" i="40"/>
  <c r="BC108" i="40"/>
  <c r="BE74" i="40"/>
  <c r="BE107" i="40" s="1"/>
  <c r="BF13" i="40"/>
  <c r="BC109" i="40"/>
  <c r="BE69" i="40"/>
  <c r="BE21" i="40"/>
  <c r="BF7" i="40"/>
  <c r="BC102" i="40"/>
  <c r="BC82" i="40"/>
  <c r="BE36" i="40"/>
  <c r="BF24" i="40"/>
  <c r="BC110" i="40"/>
  <c r="BE98" i="40"/>
  <c r="BF85" i="40"/>
  <c r="CB80" i="40"/>
  <c r="CB113" i="40" s="1"/>
  <c r="CC34" i="40"/>
  <c r="BC105" i="40"/>
  <c r="BE79" i="40"/>
  <c r="BE112" i="40" s="1"/>
  <c r="BF18" i="40"/>
  <c r="BC103" i="40"/>
  <c r="BE51" i="40"/>
  <c r="BF39" i="40"/>
  <c r="BC111" i="40"/>
  <c r="BE73" i="40"/>
  <c r="BE106" i="40" s="1"/>
  <c r="BF12" i="40"/>
  <c r="BC104" i="40"/>
  <c r="BE75" i="40"/>
  <c r="BE108" i="40" s="1"/>
  <c r="BF14" i="40"/>
  <c r="BC107" i="40"/>
  <c r="BE76" i="40"/>
  <c r="BE109" i="40" s="1"/>
  <c r="BF15" i="40"/>
  <c r="BE66" i="40"/>
  <c r="BF54" i="40"/>
  <c r="AF131" i="11"/>
  <c r="CI168" i="47" l="1"/>
  <c r="CI192" i="47" s="1"/>
  <c r="CI194" i="47" s="1"/>
  <c r="CI196" i="47" s="1"/>
  <c r="CI137" i="47"/>
  <c r="CK130" i="47"/>
  <c r="CK185" i="47" s="1"/>
  <c r="CL25" i="47"/>
  <c r="CK122" i="47"/>
  <c r="CK177" i="47" s="1"/>
  <c r="CL17" i="47"/>
  <c r="CK116" i="47"/>
  <c r="CK171" i="47" s="1"/>
  <c r="CL11" i="47"/>
  <c r="CL26" i="47"/>
  <c r="CK131" i="47"/>
  <c r="CK186" i="47" s="1"/>
  <c r="CJ120" i="47"/>
  <c r="CJ175" i="47" s="1"/>
  <c r="CK15" i="47"/>
  <c r="CK118" i="47"/>
  <c r="CK173" i="47" s="1"/>
  <c r="CL13" i="47"/>
  <c r="CJ140" i="47"/>
  <c r="CI164" i="47"/>
  <c r="CL87" i="47"/>
  <c r="CK110" i="47"/>
  <c r="CJ121" i="47"/>
  <c r="CJ176" i="47" s="1"/>
  <c r="CK16" i="47"/>
  <c r="CJ133" i="47"/>
  <c r="CJ188" i="47" s="1"/>
  <c r="CK28" i="47"/>
  <c r="CJ117" i="47"/>
  <c r="CJ172" i="47" s="1"/>
  <c r="CK12" i="47"/>
  <c r="CJ132" i="47"/>
  <c r="CJ187" i="47" s="1"/>
  <c r="CK27" i="47"/>
  <c r="CK14" i="47"/>
  <c r="CJ119" i="47"/>
  <c r="CJ174" i="47" s="1"/>
  <c r="CJ123" i="47"/>
  <c r="CJ178" i="47" s="1"/>
  <c r="CK18" i="47"/>
  <c r="CX61" i="47"/>
  <c r="CK24" i="47"/>
  <c r="CJ129" i="47"/>
  <c r="CJ184" i="47" s="1"/>
  <c r="CV66" i="47"/>
  <c r="CU84" i="47"/>
  <c r="CK22" i="47"/>
  <c r="CJ127" i="47"/>
  <c r="CJ182" i="47" s="1"/>
  <c r="CK19" i="47"/>
  <c r="CJ124" i="47"/>
  <c r="CJ179" i="47" s="1"/>
  <c r="CK7" i="47"/>
  <c r="CJ113" i="47"/>
  <c r="CJ32" i="47"/>
  <c r="CJ128" i="47"/>
  <c r="CJ183" i="47" s="1"/>
  <c r="CK23" i="47"/>
  <c r="DI135" i="47"/>
  <c r="DI190" i="47" s="1"/>
  <c r="DJ56" i="47"/>
  <c r="CK126" i="47"/>
  <c r="CK181" i="47" s="1"/>
  <c r="CL21" i="47"/>
  <c r="CK10" i="47"/>
  <c r="CJ115" i="47"/>
  <c r="CJ170" i="47" s="1"/>
  <c r="CJ114" i="47"/>
  <c r="CJ169" i="47" s="1"/>
  <c r="CJ58" i="47"/>
  <c r="CK35" i="47"/>
  <c r="CM29" i="47"/>
  <c r="CL134" i="47"/>
  <c r="CL189" i="47" s="1"/>
  <c r="CO9" i="47"/>
  <c r="CJ125" i="47"/>
  <c r="CJ180" i="47" s="1"/>
  <c r="CK20" i="47"/>
  <c r="BF69" i="40"/>
  <c r="BF21" i="40"/>
  <c r="BG7" i="40"/>
  <c r="BE102" i="40"/>
  <c r="BE115" i="40" s="1"/>
  <c r="BE117" i="40" s="1"/>
  <c r="BE119" i="40" s="1"/>
  <c r="BE82" i="40"/>
  <c r="BF66" i="40"/>
  <c r="BG54" i="40"/>
  <c r="BF76" i="40"/>
  <c r="BF109" i="40" s="1"/>
  <c r="BG15" i="40"/>
  <c r="BF75" i="40"/>
  <c r="BF108" i="40" s="1"/>
  <c r="BG14" i="40"/>
  <c r="BF73" i="40"/>
  <c r="BF106" i="40" s="1"/>
  <c r="BG12" i="40"/>
  <c r="BF51" i="40"/>
  <c r="BG39" i="40"/>
  <c r="BF79" i="40"/>
  <c r="BF112" i="40" s="1"/>
  <c r="BG18" i="40"/>
  <c r="CC80" i="40"/>
  <c r="CC113" i="40" s="1"/>
  <c r="CE113" i="40" s="1"/>
  <c r="CE34" i="40"/>
  <c r="BF98" i="40"/>
  <c r="BG85" i="40"/>
  <c r="BF36" i="40"/>
  <c r="BG24" i="40"/>
  <c r="BC115" i="40"/>
  <c r="BC117" i="40" s="1"/>
  <c r="BC119" i="40" s="1"/>
  <c r="BF74" i="40"/>
  <c r="BG13" i="40"/>
  <c r="BF71" i="40"/>
  <c r="BG10" i="40"/>
  <c r="BF78" i="40"/>
  <c r="BG17" i="40"/>
  <c r="BF70" i="40"/>
  <c r="BG9" i="40"/>
  <c r="BF72" i="40"/>
  <c r="BG11" i="40"/>
  <c r="BF77" i="40"/>
  <c r="BG16" i="40"/>
  <c r="M56" i="11"/>
  <c r="M55" i="11"/>
  <c r="M54" i="11"/>
  <c r="M53" i="11"/>
  <c r="M52" i="11"/>
  <c r="M45" i="11"/>
  <c r="M44" i="11"/>
  <c r="M43" i="11"/>
  <c r="M41" i="11"/>
  <c r="M40" i="11"/>
  <c r="M38" i="11"/>
  <c r="M36" i="11"/>
  <c r="M34" i="11"/>
  <c r="M32" i="11"/>
  <c r="M31" i="11"/>
  <c r="M30" i="11"/>
  <c r="M28" i="11"/>
  <c r="M20" i="11"/>
  <c r="M19" i="11"/>
  <c r="M18" i="11"/>
  <c r="M8" i="11"/>
  <c r="M7" i="11"/>
  <c r="M6" i="11"/>
  <c r="M5" i="11"/>
  <c r="CK117" i="47" l="1"/>
  <c r="CK172" i="47" s="1"/>
  <c r="CL12" i="47"/>
  <c r="CL16" i="47"/>
  <c r="CK121" i="47"/>
  <c r="CK176" i="47" s="1"/>
  <c r="CK120" i="47"/>
  <c r="CK175" i="47" s="1"/>
  <c r="CL15" i="47"/>
  <c r="CM134" i="47"/>
  <c r="CM189" i="47" s="1"/>
  <c r="CN29" i="47"/>
  <c r="DJ135" i="47"/>
  <c r="DJ190" i="47" s="1"/>
  <c r="DK56" i="47"/>
  <c r="CL19" i="47"/>
  <c r="CK124" i="47"/>
  <c r="CK179" i="47" s="1"/>
  <c r="CW66" i="47"/>
  <c r="CV84" i="47"/>
  <c r="CK119" i="47"/>
  <c r="CK174" i="47" s="1"/>
  <c r="CL14" i="47"/>
  <c r="CK140" i="47"/>
  <c r="CJ164" i="47"/>
  <c r="CK125" i="47"/>
  <c r="CK180" i="47" s="1"/>
  <c r="CL20" i="47"/>
  <c r="CY61" i="47"/>
  <c r="CM25" i="47"/>
  <c r="CL130" i="47"/>
  <c r="CL185" i="47" s="1"/>
  <c r="CL35" i="47"/>
  <c r="CK58" i="47"/>
  <c r="CK114" i="47"/>
  <c r="CK169" i="47" s="1"/>
  <c r="CL10" i="47"/>
  <c r="CK115" i="47"/>
  <c r="CK170" i="47" s="1"/>
  <c r="CJ168" i="47"/>
  <c r="CJ192" i="47" s="1"/>
  <c r="CJ194" i="47" s="1"/>
  <c r="CJ196" i="47" s="1"/>
  <c r="CJ137" i="47"/>
  <c r="CL18" i="47"/>
  <c r="CK123" i="47"/>
  <c r="CK178" i="47" s="1"/>
  <c r="CK132" i="47"/>
  <c r="CK187" i="47" s="1"/>
  <c r="CL27" i="47"/>
  <c r="CL28" i="47"/>
  <c r="CK133" i="47"/>
  <c r="CK188" i="47" s="1"/>
  <c r="CM13" i="47"/>
  <c r="CL118" i="47"/>
  <c r="CL173" i="47" s="1"/>
  <c r="CM17" i="47"/>
  <c r="CL122" i="47"/>
  <c r="CL177" i="47" s="1"/>
  <c r="CL116" i="47"/>
  <c r="CL171" i="47" s="1"/>
  <c r="CM11" i="47"/>
  <c r="CP9" i="47"/>
  <c r="CL126" i="47"/>
  <c r="CL181" i="47" s="1"/>
  <c r="CM21" i="47"/>
  <c r="CL23" i="47"/>
  <c r="CK128" i="47"/>
  <c r="CK183" i="47" s="1"/>
  <c r="CK113" i="47"/>
  <c r="CL7" i="47"/>
  <c r="CK127" i="47"/>
  <c r="CK182" i="47" s="1"/>
  <c r="CL22" i="47"/>
  <c r="CK32" i="47"/>
  <c r="CK129" i="47"/>
  <c r="CK184" i="47" s="1"/>
  <c r="CL24" i="47"/>
  <c r="CM87" i="47"/>
  <c r="CL110" i="47"/>
  <c r="CL131" i="47"/>
  <c r="CL186" i="47" s="1"/>
  <c r="CM26" i="47"/>
  <c r="HY6" i="46"/>
  <c r="HY181" i="46" s="1"/>
  <c r="BT131" i="11" s="1"/>
  <c r="HS6" i="46"/>
  <c r="HU6" i="46" s="1"/>
  <c r="HU181" i="46" s="1"/>
  <c r="BH131" i="11" s="1"/>
  <c r="BF110" i="40"/>
  <c r="BF105" i="40"/>
  <c r="BF103" i="40"/>
  <c r="BF111" i="40"/>
  <c r="BF104" i="40"/>
  <c r="BF107" i="40"/>
  <c r="BG98" i="40"/>
  <c r="BH85" i="40"/>
  <c r="BG51" i="40"/>
  <c r="BH39" i="40"/>
  <c r="BG75" i="40"/>
  <c r="BH14" i="40"/>
  <c r="BG66" i="40"/>
  <c r="BH54" i="40"/>
  <c r="BG69" i="40"/>
  <c r="BG21" i="40"/>
  <c r="BH7" i="40"/>
  <c r="BF102" i="40"/>
  <c r="BF82" i="40"/>
  <c r="BG77" i="40"/>
  <c r="BG110" i="40" s="1"/>
  <c r="BH16" i="40"/>
  <c r="BG72" i="40"/>
  <c r="BG105" i="40" s="1"/>
  <c r="BH11" i="40"/>
  <c r="BG70" i="40"/>
  <c r="BG103" i="40" s="1"/>
  <c r="BH9" i="40"/>
  <c r="BG78" i="40"/>
  <c r="BG111" i="40" s="1"/>
  <c r="BH17" i="40"/>
  <c r="BG71" i="40"/>
  <c r="BG104" i="40" s="1"/>
  <c r="BH10" i="40"/>
  <c r="BG74" i="40"/>
  <c r="BG107" i="40" s="1"/>
  <c r="BH13" i="40"/>
  <c r="BG36" i="40"/>
  <c r="BH24" i="40"/>
  <c r="BG79" i="40"/>
  <c r="BH18" i="40"/>
  <c r="BG73" i="40"/>
  <c r="BH12" i="40"/>
  <c r="BG76" i="40"/>
  <c r="BH15" i="40"/>
  <c r="CM131" i="47" l="1"/>
  <c r="CM186" i="47" s="1"/>
  <c r="CN26" i="47"/>
  <c r="CL129" i="47"/>
  <c r="CL184" i="47" s="1"/>
  <c r="CM24" i="47"/>
  <c r="CL128" i="47"/>
  <c r="CL183" i="47" s="1"/>
  <c r="CM23" i="47"/>
  <c r="CQ9" i="47"/>
  <c r="CN17" i="47"/>
  <c r="CM122" i="47"/>
  <c r="CM177" i="47" s="1"/>
  <c r="CL133" i="47"/>
  <c r="CL188" i="47" s="1"/>
  <c r="CM28" i="47"/>
  <c r="CL123" i="47"/>
  <c r="CL178" i="47" s="1"/>
  <c r="CM18" i="47"/>
  <c r="CL125" i="47"/>
  <c r="CL180" i="47" s="1"/>
  <c r="CM20" i="47"/>
  <c r="CM14" i="47"/>
  <c r="CL119" i="47"/>
  <c r="CL174" i="47" s="1"/>
  <c r="CN134" i="47"/>
  <c r="CN189" i="47" s="1"/>
  <c r="CO29" i="47"/>
  <c r="CL113" i="47"/>
  <c r="CM7" i="47"/>
  <c r="CL32" i="47"/>
  <c r="CN21" i="47"/>
  <c r="CM126" i="47"/>
  <c r="CM181" i="47" s="1"/>
  <c r="CN11" i="47"/>
  <c r="CM116" i="47"/>
  <c r="CM171" i="47" s="1"/>
  <c r="CL132" i="47"/>
  <c r="CL187" i="47" s="1"/>
  <c r="CM27" i="47"/>
  <c r="CM130" i="47"/>
  <c r="CM185" i="47" s="1"/>
  <c r="CN25" i="47"/>
  <c r="CM19" i="47"/>
  <c r="CL124" i="47"/>
  <c r="CL179" i="47" s="1"/>
  <c r="CL121" i="47"/>
  <c r="CL176" i="47" s="1"/>
  <c r="CM16" i="47"/>
  <c r="CK168" i="47"/>
  <c r="CK192" i="47" s="1"/>
  <c r="CK194" i="47" s="1"/>
  <c r="CK196" i="47" s="1"/>
  <c r="CK137" i="47"/>
  <c r="CM118" i="47"/>
  <c r="CM173" i="47" s="1"/>
  <c r="CN13" i="47"/>
  <c r="CZ61" i="47"/>
  <c r="DK135" i="47"/>
  <c r="DK190" i="47" s="1"/>
  <c r="DL56" i="47"/>
  <c r="CL120" i="47"/>
  <c r="CL175" i="47" s="1"/>
  <c r="CM15" i="47"/>
  <c r="CL117" i="47"/>
  <c r="CL172" i="47" s="1"/>
  <c r="CM12" i="47"/>
  <c r="CL115" i="47"/>
  <c r="CL170" i="47" s="1"/>
  <c r="CM10" i="47"/>
  <c r="CN87" i="47"/>
  <c r="CM110" i="47"/>
  <c r="CL127" i="47"/>
  <c r="CL182" i="47" s="1"/>
  <c r="CM22" i="47"/>
  <c r="CM35" i="47"/>
  <c r="CL58" i="47"/>
  <c r="CL114" i="47"/>
  <c r="CL169" i="47" s="1"/>
  <c r="CL140" i="47"/>
  <c r="CK164" i="47"/>
  <c r="CX66" i="47"/>
  <c r="CW84" i="47"/>
  <c r="BH76" i="40"/>
  <c r="BH109" i="40" s="1"/>
  <c r="BI15" i="40"/>
  <c r="BH73" i="40"/>
  <c r="BH106" i="40" s="1"/>
  <c r="BI12" i="40"/>
  <c r="BH79" i="40"/>
  <c r="BH112" i="40" s="1"/>
  <c r="BI18" i="40"/>
  <c r="BH74" i="40"/>
  <c r="BH107" i="40" s="1"/>
  <c r="BI13" i="40"/>
  <c r="BH78" i="40"/>
  <c r="BH111" i="40" s="1"/>
  <c r="BI17" i="40"/>
  <c r="BH72" i="40"/>
  <c r="BH105" i="40" s="1"/>
  <c r="BI11" i="40"/>
  <c r="BF115" i="40"/>
  <c r="BF117" i="40" s="1"/>
  <c r="BF119" i="40" s="1"/>
  <c r="BH69" i="40"/>
  <c r="BH21" i="40"/>
  <c r="BI7" i="40"/>
  <c r="BG102" i="40"/>
  <c r="BG82" i="40"/>
  <c r="BG108" i="40"/>
  <c r="BG109" i="40"/>
  <c r="BG106" i="40"/>
  <c r="BG112" i="40"/>
  <c r="BH36" i="40"/>
  <c r="BI24" i="40"/>
  <c r="BH71" i="40"/>
  <c r="BH104" i="40" s="1"/>
  <c r="BI10" i="40"/>
  <c r="BH70" i="40"/>
  <c r="BH103" i="40" s="1"/>
  <c r="BI9" i="40"/>
  <c r="BH77" i="40"/>
  <c r="BH110" i="40" s="1"/>
  <c r="BI16" i="40"/>
  <c r="BH66" i="40"/>
  <c r="BI54" i="40"/>
  <c r="BH75" i="40"/>
  <c r="BH108" i="40" s="1"/>
  <c r="BI14" i="40"/>
  <c r="BH51" i="40"/>
  <c r="BI39" i="40"/>
  <c r="BH98" i="40"/>
  <c r="BI85" i="40"/>
  <c r="CS9" i="47" l="1"/>
  <c r="DA61" i="47"/>
  <c r="CP29" i="47"/>
  <c r="CO134" i="47"/>
  <c r="CO189" i="47" s="1"/>
  <c r="CM133" i="47"/>
  <c r="CM188" i="47" s="1"/>
  <c r="CN28" i="47"/>
  <c r="CM129" i="47"/>
  <c r="CM184" i="47" s="1"/>
  <c r="CN24" i="47"/>
  <c r="DL135" i="47"/>
  <c r="DL190" i="47" s="1"/>
  <c r="DM56" i="47"/>
  <c r="CN118" i="47"/>
  <c r="CN173" i="47" s="1"/>
  <c r="CO13" i="47"/>
  <c r="CM121" i="47"/>
  <c r="CM176" i="47" s="1"/>
  <c r="CN16" i="47"/>
  <c r="CN130" i="47"/>
  <c r="CN185" i="47" s="1"/>
  <c r="CO25" i="47"/>
  <c r="CM114" i="47"/>
  <c r="CM169" i="47" s="1"/>
  <c r="CM58" i="47"/>
  <c r="CN35" i="47"/>
  <c r="CN110" i="47"/>
  <c r="CO87" i="47"/>
  <c r="CN116" i="47"/>
  <c r="CN171" i="47" s="1"/>
  <c r="CO11" i="47"/>
  <c r="CM113" i="47"/>
  <c r="CN7" i="47"/>
  <c r="CM123" i="47"/>
  <c r="CM178" i="47" s="1"/>
  <c r="CN18" i="47"/>
  <c r="CN23" i="47"/>
  <c r="CM128" i="47"/>
  <c r="CM183" i="47" s="1"/>
  <c r="CN131" i="47"/>
  <c r="CN186" i="47" s="1"/>
  <c r="CO26" i="47"/>
  <c r="CN19" i="47"/>
  <c r="CM124" i="47"/>
  <c r="CM179" i="47" s="1"/>
  <c r="CN126" i="47"/>
  <c r="CN181" i="47" s="1"/>
  <c r="CO21" i="47"/>
  <c r="CM32" i="47"/>
  <c r="CM125" i="47"/>
  <c r="CM180" i="47" s="1"/>
  <c r="CN20" i="47"/>
  <c r="CY66" i="47"/>
  <c r="CX84" i="47"/>
  <c r="CN12" i="47"/>
  <c r="CM117" i="47"/>
  <c r="CM172" i="47" s="1"/>
  <c r="CM140" i="47"/>
  <c r="CL164" i="47"/>
  <c r="CM127" i="47"/>
  <c r="CM182" i="47" s="1"/>
  <c r="CN22" i="47"/>
  <c r="CN10" i="47"/>
  <c r="CM115" i="47"/>
  <c r="CM170" i="47" s="1"/>
  <c r="CN15" i="47"/>
  <c r="CM120" i="47"/>
  <c r="CM175" i="47" s="1"/>
  <c r="CM132" i="47"/>
  <c r="CM187" i="47" s="1"/>
  <c r="CN27" i="47"/>
  <c r="CL137" i="47"/>
  <c r="CL168" i="47"/>
  <c r="CL192" i="47" s="1"/>
  <c r="CL194" i="47" s="1"/>
  <c r="CL196" i="47" s="1"/>
  <c r="CM119" i="47"/>
  <c r="CM174" i="47" s="1"/>
  <c r="CN14" i="47"/>
  <c r="CO17" i="47"/>
  <c r="CN122" i="47"/>
  <c r="CN177" i="47" s="1"/>
  <c r="BI98" i="40"/>
  <c r="BJ85" i="40"/>
  <c r="BI75" i="40"/>
  <c r="BI108" i="40" s="1"/>
  <c r="BJ14" i="40"/>
  <c r="BI69" i="40"/>
  <c r="BI21" i="40"/>
  <c r="BJ7" i="40"/>
  <c r="BH102" i="40"/>
  <c r="BH115" i="40" s="1"/>
  <c r="BH117" i="40" s="1"/>
  <c r="BH119" i="40" s="1"/>
  <c r="BH82" i="40"/>
  <c r="BI51" i="40"/>
  <c r="BJ39" i="40"/>
  <c r="BI66" i="40"/>
  <c r="BJ54" i="40"/>
  <c r="BI77" i="40"/>
  <c r="BJ16" i="40"/>
  <c r="BI70" i="40"/>
  <c r="BJ9" i="40"/>
  <c r="BI71" i="40"/>
  <c r="BJ10" i="40"/>
  <c r="BI36" i="40"/>
  <c r="BJ24" i="40"/>
  <c r="BI72" i="40"/>
  <c r="BJ11" i="40"/>
  <c r="BI78" i="40"/>
  <c r="BJ17" i="40"/>
  <c r="BI74" i="40"/>
  <c r="BJ13" i="40"/>
  <c r="BI79" i="40"/>
  <c r="BJ18" i="40"/>
  <c r="BI73" i="40"/>
  <c r="BJ12" i="40"/>
  <c r="BI76" i="40"/>
  <c r="BJ15" i="40"/>
  <c r="BG115" i="40"/>
  <c r="BG117" i="40" s="1"/>
  <c r="BG119" i="40" s="1"/>
  <c r="CN32" i="47" l="1"/>
  <c r="CO20" i="47"/>
  <c r="CN125" i="47"/>
  <c r="CN180" i="47" s="1"/>
  <c r="CO122" i="47"/>
  <c r="CO177" i="47" s="1"/>
  <c r="CP17" i="47"/>
  <c r="CO12" i="47"/>
  <c r="CN117" i="47"/>
  <c r="CN172" i="47" s="1"/>
  <c r="CP87" i="47"/>
  <c r="CO110" i="47"/>
  <c r="CN124" i="47"/>
  <c r="CN179" i="47" s="1"/>
  <c r="CO19" i="47"/>
  <c r="CO23" i="47"/>
  <c r="CN128" i="47"/>
  <c r="CN183" i="47" s="1"/>
  <c r="CM168" i="47"/>
  <c r="CM192" i="47" s="1"/>
  <c r="CM194" i="47" s="1"/>
  <c r="CM196" i="47" s="1"/>
  <c r="CM137" i="47"/>
  <c r="CP25" i="47"/>
  <c r="CO130" i="47"/>
  <c r="CO185" i="47" s="1"/>
  <c r="CP13" i="47"/>
  <c r="CO118" i="47"/>
  <c r="CO173" i="47" s="1"/>
  <c r="CO24" i="47"/>
  <c r="CN129" i="47"/>
  <c r="CN184" i="47" s="1"/>
  <c r="CN127" i="47"/>
  <c r="CN182" i="47" s="1"/>
  <c r="CO22" i="47"/>
  <c r="CN121" i="47"/>
  <c r="CN176" i="47" s="1"/>
  <c r="CO16" i="47"/>
  <c r="DM135" i="47"/>
  <c r="DM190" i="47" s="1"/>
  <c r="DN56" i="47"/>
  <c r="CO28" i="47"/>
  <c r="CN133" i="47"/>
  <c r="CN188" i="47" s="1"/>
  <c r="CO15" i="47"/>
  <c r="CN120" i="47"/>
  <c r="CN175" i="47" s="1"/>
  <c r="CO7" i="47"/>
  <c r="CN113" i="47"/>
  <c r="DB61" i="47"/>
  <c r="CO14" i="47"/>
  <c r="CN119" i="47"/>
  <c r="CN174" i="47" s="1"/>
  <c r="CN132" i="47"/>
  <c r="CN187" i="47" s="1"/>
  <c r="CO27" i="47"/>
  <c r="CO10" i="47"/>
  <c r="CN115" i="47"/>
  <c r="CN170" i="47" s="1"/>
  <c r="CM164" i="47"/>
  <c r="CN140" i="47"/>
  <c r="CZ66" i="47"/>
  <c r="CY84" i="47"/>
  <c r="CO126" i="47"/>
  <c r="CO181" i="47" s="1"/>
  <c r="CP21" i="47"/>
  <c r="CO131" i="47"/>
  <c r="CO186" i="47" s="1"/>
  <c r="CP26" i="47"/>
  <c r="CO18" i="47"/>
  <c r="CN123" i="47"/>
  <c r="CN178" i="47" s="1"/>
  <c r="CP11" i="47"/>
  <c r="CO116" i="47"/>
  <c r="CO171" i="47" s="1"/>
  <c r="CO35" i="47"/>
  <c r="CN58" i="47"/>
  <c r="CN114" i="47"/>
  <c r="CN169" i="47" s="1"/>
  <c r="CQ29" i="47"/>
  <c r="CP134" i="47"/>
  <c r="CP189" i="47" s="1"/>
  <c r="CT9" i="47"/>
  <c r="BI109" i="40"/>
  <c r="BI106" i="40"/>
  <c r="BI112" i="40"/>
  <c r="BI107" i="40"/>
  <c r="BI111" i="40"/>
  <c r="BI105" i="40"/>
  <c r="BJ36" i="40"/>
  <c r="BK24" i="40"/>
  <c r="BI104" i="40"/>
  <c r="BJ70" i="40"/>
  <c r="BJ103" i="40" s="1"/>
  <c r="BK9" i="40"/>
  <c r="BI110" i="40"/>
  <c r="BJ75" i="40"/>
  <c r="BK14" i="40"/>
  <c r="BJ98" i="40"/>
  <c r="BK85" i="40"/>
  <c r="BJ76" i="40"/>
  <c r="BJ109" i="40" s="1"/>
  <c r="BK15" i="40"/>
  <c r="BJ73" i="40"/>
  <c r="BJ106" i="40" s="1"/>
  <c r="BK12" i="40"/>
  <c r="BJ79" i="40"/>
  <c r="BJ112" i="40" s="1"/>
  <c r="BK18" i="40"/>
  <c r="BJ74" i="40"/>
  <c r="BJ107" i="40" s="1"/>
  <c r="BK13" i="40"/>
  <c r="BJ78" i="40"/>
  <c r="BJ111" i="40" s="1"/>
  <c r="BK17" i="40"/>
  <c r="BJ72" i="40"/>
  <c r="BJ105" i="40" s="1"/>
  <c r="BK11" i="40"/>
  <c r="BJ71" i="40"/>
  <c r="BJ104" i="40" s="1"/>
  <c r="BK10" i="40"/>
  <c r="BI103" i="40"/>
  <c r="BJ77" i="40"/>
  <c r="BJ110" i="40" s="1"/>
  <c r="BK16" i="40"/>
  <c r="BJ66" i="40"/>
  <c r="BK54" i="40"/>
  <c r="BJ51" i="40"/>
  <c r="BK39" i="40"/>
  <c r="BJ69" i="40"/>
  <c r="BJ21" i="40"/>
  <c r="BK7" i="40"/>
  <c r="BI102" i="40"/>
  <c r="BI82" i="40"/>
  <c r="CU9" i="47" l="1"/>
  <c r="CO115" i="47"/>
  <c r="CO170" i="47" s="1"/>
  <c r="CP10" i="47"/>
  <c r="CP130" i="47"/>
  <c r="CP185" i="47" s="1"/>
  <c r="CQ25" i="47"/>
  <c r="CO128" i="47"/>
  <c r="CO183" i="47" s="1"/>
  <c r="CP23" i="47"/>
  <c r="CQ87" i="47"/>
  <c r="CP110" i="47"/>
  <c r="CQ21" i="47"/>
  <c r="CP126" i="47"/>
  <c r="CP181" i="47" s="1"/>
  <c r="CO132" i="47"/>
  <c r="CO187" i="47" s="1"/>
  <c r="CP27" i="47"/>
  <c r="DC61" i="47"/>
  <c r="DN135" i="47"/>
  <c r="DN190" i="47" s="1"/>
  <c r="DO56" i="47"/>
  <c r="CP118" i="47"/>
  <c r="CP173" i="47" s="1"/>
  <c r="CQ13" i="47"/>
  <c r="CQ11" i="47"/>
  <c r="CP116" i="47"/>
  <c r="CP171" i="47" s="1"/>
  <c r="DA66" i="47"/>
  <c r="CZ84" i="47"/>
  <c r="CP14" i="47"/>
  <c r="CO119" i="47"/>
  <c r="CO174" i="47" s="1"/>
  <c r="CP7" i="47"/>
  <c r="CO113" i="47"/>
  <c r="CO32" i="47"/>
  <c r="CO133" i="47"/>
  <c r="CO188" i="47" s="1"/>
  <c r="CP28" i="47"/>
  <c r="CO129" i="47"/>
  <c r="CO184" i="47" s="1"/>
  <c r="CP24" i="47"/>
  <c r="CN164" i="47"/>
  <c r="CO140" i="47"/>
  <c r="CO127" i="47"/>
  <c r="CO182" i="47" s="1"/>
  <c r="CP22" i="47"/>
  <c r="CP19" i="47"/>
  <c r="CO124" i="47"/>
  <c r="CO179" i="47" s="1"/>
  <c r="CO58" i="47"/>
  <c r="CP35" i="47"/>
  <c r="CO114" i="47"/>
  <c r="CO169" i="47" s="1"/>
  <c r="CO123" i="47"/>
  <c r="CO178" i="47" s="1"/>
  <c r="CP18" i="47"/>
  <c r="CP15" i="47"/>
  <c r="CO120" i="47"/>
  <c r="CO175" i="47" s="1"/>
  <c r="CP12" i="47"/>
  <c r="CO117" i="47"/>
  <c r="CO172" i="47" s="1"/>
  <c r="CO125" i="47"/>
  <c r="CO180" i="47" s="1"/>
  <c r="CP20" i="47"/>
  <c r="CQ134" i="47"/>
  <c r="CQ189" i="47" s="1"/>
  <c r="CS29" i="47"/>
  <c r="CP131" i="47"/>
  <c r="CP186" i="47" s="1"/>
  <c r="CQ26" i="47"/>
  <c r="CN168" i="47"/>
  <c r="CN192" i="47" s="1"/>
  <c r="CN194" i="47" s="1"/>
  <c r="CN196" i="47" s="1"/>
  <c r="CN137" i="47"/>
  <c r="CO121" i="47"/>
  <c r="CO176" i="47" s="1"/>
  <c r="CP16" i="47"/>
  <c r="CP122" i="47"/>
  <c r="CP177" i="47" s="1"/>
  <c r="CQ17" i="47"/>
  <c r="BK66" i="40"/>
  <c r="BL54" i="40"/>
  <c r="BK77" i="40"/>
  <c r="BK110" i="40" s="1"/>
  <c r="BL16" i="40"/>
  <c r="BK71" i="40"/>
  <c r="BK104" i="40" s="1"/>
  <c r="BL10" i="40"/>
  <c r="BK78" i="40"/>
  <c r="BK111" i="40" s="1"/>
  <c r="BL17" i="40"/>
  <c r="BJ108" i="40"/>
  <c r="BI115" i="40"/>
  <c r="BI117" i="40" s="1"/>
  <c r="BI119" i="40" s="1"/>
  <c r="BK69" i="40"/>
  <c r="BK21" i="40"/>
  <c r="BL7" i="40"/>
  <c r="BJ102" i="40"/>
  <c r="BJ82" i="40"/>
  <c r="BK51" i="40"/>
  <c r="BL39" i="40"/>
  <c r="BK72" i="40"/>
  <c r="BK105" i="40" s="1"/>
  <c r="BL11" i="40"/>
  <c r="BK74" i="40"/>
  <c r="BK107" i="40" s="1"/>
  <c r="BL13" i="40"/>
  <c r="BK79" i="40"/>
  <c r="BK112" i="40" s="1"/>
  <c r="BL18" i="40"/>
  <c r="BK73" i="40"/>
  <c r="BK106" i="40" s="1"/>
  <c r="BL12" i="40"/>
  <c r="BK76" i="40"/>
  <c r="BK109" i="40" s="1"/>
  <c r="BL15" i="40"/>
  <c r="BK98" i="40"/>
  <c r="BL85" i="40"/>
  <c r="BK75" i="40"/>
  <c r="BK108" i="40" s="1"/>
  <c r="BL14" i="40"/>
  <c r="BK70" i="40"/>
  <c r="BL9" i="40"/>
  <c r="BK36" i="40"/>
  <c r="BL24" i="40"/>
  <c r="CQ12" i="47" l="1"/>
  <c r="CP117" i="47"/>
  <c r="CP172" i="47" s="1"/>
  <c r="CQ7" i="47"/>
  <c r="CP113" i="47"/>
  <c r="CP32" i="47"/>
  <c r="CQ126" i="47"/>
  <c r="CQ181" i="47" s="1"/>
  <c r="CS21" i="47"/>
  <c r="CQ131" i="47"/>
  <c r="CQ186" i="47" s="1"/>
  <c r="CS26" i="47"/>
  <c r="DO135" i="47"/>
  <c r="DO190" i="47" s="1"/>
  <c r="DP56" i="47"/>
  <c r="CQ27" i="47"/>
  <c r="CP132" i="47"/>
  <c r="CP187" i="47" s="1"/>
  <c r="CV9" i="47"/>
  <c r="CP120" i="47"/>
  <c r="CP175" i="47" s="1"/>
  <c r="CQ15" i="47"/>
  <c r="CQ35" i="47"/>
  <c r="CP58" i="47"/>
  <c r="CP114" i="47"/>
  <c r="CP169" i="47" s="1"/>
  <c r="CQ22" i="47"/>
  <c r="CP127" i="47"/>
  <c r="CP182" i="47" s="1"/>
  <c r="CP129" i="47"/>
  <c r="CP184" i="47" s="1"/>
  <c r="CQ24" i="47"/>
  <c r="CQ14" i="47"/>
  <c r="CP119" i="47"/>
  <c r="CP174" i="47" s="1"/>
  <c r="CQ116" i="47"/>
  <c r="CQ171" i="47" s="1"/>
  <c r="CS11" i="47"/>
  <c r="CQ110" i="47"/>
  <c r="CS87" i="47"/>
  <c r="CP140" i="47"/>
  <c r="CO164" i="47"/>
  <c r="CQ28" i="47"/>
  <c r="CP133" i="47"/>
  <c r="CP188" i="47" s="1"/>
  <c r="DB66" i="47"/>
  <c r="DA84" i="47"/>
  <c r="CP121" i="47"/>
  <c r="CP176" i="47" s="1"/>
  <c r="CQ16" i="47"/>
  <c r="CQ20" i="47"/>
  <c r="CP125" i="47"/>
  <c r="CP180" i="47" s="1"/>
  <c r="CP124" i="47"/>
  <c r="CP179" i="47" s="1"/>
  <c r="CQ19" i="47"/>
  <c r="CQ130" i="47"/>
  <c r="CQ185" i="47" s="1"/>
  <c r="CS25" i="47"/>
  <c r="CQ122" i="47"/>
  <c r="CQ177" i="47" s="1"/>
  <c r="CS17" i="47"/>
  <c r="CS134" i="47"/>
  <c r="CS189" i="47" s="1"/>
  <c r="CT29" i="47"/>
  <c r="CQ18" i="47"/>
  <c r="CP123" i="47"/>
  <c r="CP178" i="47" s="1"/>
  <c r="CO168" i="47"/>
  <c r="CO192" i="47" s="1"/>
  <c r="CO194" i="47" s="1"/>
  <c r="CO196" i="47" s="1"/>
  <c r="CO137" i="47"/>
  <c r="CQ118" i="47"/>
  <c r="CQ173" i="47" s="1"/>
  <c r="CS13" i="47"/>
  <c r="DD61" i="47"/>
  <c r="CP128" i="47"/>
  <c r="CP183" i="47" s="1"/>
  <c r="CQ23" i="47"/>
  <c r="CQ10" i="47"/>
  <c r="CP115" i="47"/>
  <c r="CP170" i="47" s="1"/>
  <c r="BJ115" i="40"/>
  <c r="BJ117" i="40" s="1"/>
  <c r="BJ119" i="40" s="1"/>
  <c r="BK103" i="40"/>
  <c r="BL75" i="40"/>
  <c r="BL108" i="40" s="1"/>
  <c r="BM14" i="40"/>
  <c r="BL69" i="40"/>
  <c r="BL21" i="40"/>
  <c r="BM7" i="40"/>
  <c r="BK102" i="40"/>
  <c r="BK82" i="40"/>
  <c r="BL71" i="40"/>
  <c r="BL104" i="40" s="1"/>
  <c r="BM10" i="40"/>
  <c r="BL36" i="40"/>
  <c r="BM24" i="40"/>
  <c r="BL70" i="40"/>
  <c r="BL103" i="40" s="1"/>
  <c r="BM9" i="40"/>
  <c r="BL98" i="40"/>
  <c r="BM85" i="40"/>
  <c r="BL76" i="40"/>
  <c r="BL109" i="40" s="1"/>
  <c r="BM15" i="40"/>
  <c r="BL73" i="40"/>
  <c r="BL106" i="40" s="1"/>
  <c r="BM12" i="40"/>
  <c r="BL79" i="40"/>
  <c r="BL112" i="40" s="1"/>
  <c r="BM18" i="40"/>
  <c r="BL74" i="40"/>
  <c r="BL107" i="40" s="1"/>
  <c r="BM13" i="40"/>
  <c r="BL72" i="40"/>
  <c r="BL105" i="40" s="1"/>
  <c r="BM11" i="40"/>
  <c r="BL51" i="40"/>
  <c r="BM39" i="40"/>
  <c r="BL78" i="40"/>
  <c r="BL111" i="40" s="1"/>
  <c r="BM17" i="40"/>
  <c r="BL77" i="40"/>
  <c r="BL110" i="40" s="1"/>
  <c r="BM16" i="40"/>
  <c r="BL66" i="40"/>
  <c r="BM54" i="40"/>
  <c r="CQ125" i="47" l="1"/>
  <c r="CQ180" i="47" s="1"/>
  <c r="CS20" i="47"/>
  <c r="DC66" i="47"/>
  <c r="DB84" i="47"/>
  <c r="CQ140" i="47"/>
  <c r="CP164" i="47"/>
  <c r="CW9" i="47"/>
  <c r="DQ56" i="47"/>
  <c r="DQ135" i="47" s="1"/>
  <c r="DQ190" i="47" s="1"/>
  <c r="DP135" i="47"/>
  <c r="DP190" i="47" s="1"/>
  <c r="CS126" i="47"/>
  <c r="CS181" i="47" s="1"/>
  <c r="CT21" i="47"/>
  <c r="CS7" i="47"/>
  <c r="CQ113" i="47"/>
  <c r="CQ32" i="47"/>
  <c r="CS130" i="47"/>
  <c r="CS185" i="47" s="1"/>
  <c r="CT25" i="47"/>
  <c r="CT11" i="47"/>
  <c r="CS116" i="47"/>
  <c r="CS171" i="47" s="1"/>
  <c r="CQ129" i="47"/>
  <c r="CQ184" i="47" s="1"/>
  <c r="CS24" i="47"/>
  <c r="CQ132" i="47"/>
  <c r="CQ187" i="47" s="1"/>
  <c r="CS27" i="47"/>
  <c r="CP168" i="47"/>
  <c r="CP192" i="47" s="1"/>
  <c r="CP194" i="47" s="1"/>
  <c r="CP196" i="47" s="1"/>
  <c r="CP137" i="47"/>
  <c r="CQ115" i="47"/>
  <c r="CQ170" i="47" s="1"/>
  <c r="CS10" i="47"/>
  <c r="DF61" i="47"/>
  <c r="CQ128" i="47"/>
  <c r="CQ183" i="47" s="1"/>
  <c r="CS23" i="47"/>
  <c r="CS118" i="47"/>
  <c r="CS173" i="47" s="1"/>
  <c r="CT13" i="47"/>
  <c r="CS122" i="47"/>
  <c r="CS177" i="47" s="1"/>
  <c r="CT17" i="47"/>
  <c r="CQ124" i="47"/>
  <c r="CQ179" i="47" s="1"/>
  <c r="CS19" i="47"/>
  <c r="CQ121" i="47"/>
  <c r="CQ176" i="47" s="1"/>
  <c r="CS16" i="47"/>
  <c r="CS110" i="47"/>
  <c r="CT87" i="47"/>
  <c r="CS35" i="47"/>
  <c r="CQ58" i="47"/>
  <c r="CQ114" i="47"/>
  <c r="CQ169" i="47" s="1"/>
  <c r="CU29" i="47"/>
  <c r="CT134" i="47"/>
  <c r="CT189" i="47" s="1"/>
  <c r="CQ123" i="47"/>
  <c r="CQ178" i="47" s="1"/>
  <c r="CS18" i="47"/>
  <c r="CQ133" i="47"/>
  <c r="CQ188" i="47" s="1"/>
  <c r="CS28" i="47"/>
  <c r="CQ119" i="47"/>
  <c r="CQ174" i="47" s="1"/>
  <c r="CS14" i="47"/>
  <c r="CQ127" i="47"/>
  <c r="CQ182" i="47" s="1"/>
  <c r="CS22" i="47"/>
  <c r="CQ120" i="47"/>
  <c r="CQ175" i="47" s="1"/>
  <c r="CS15" i="47"/>
  <c r="CS131" i="47"/>
  <c r="CS186" i="47" s="1"/>
  <c r="CT26" i="47"/>
  <c r="CQ117" i="47"/>
  <c r="CQ172" i="47" s="1"/>
  <c r="CS12" i="47"/>
  <c r="BK115" i="40"/>
  <c r="BK117" i="40" s="1"/>
  <c r="BK119" i="40" s="1"/>
  <c r="BM51" i="40"/>
  <c r="BN39" i="40"/>
  <c r="BM72" i="40"/>
  <c r="BM105" i="40" s="1"/>
  <c r="BN11" i="40"/>
  <c r="BM74" i="40"/>
  <c r="BM107" i="40" s="1"/>
  <c r="BN13" i="40"/>
  <c r="BM79" i="40"/>
  <c r="BM112" i="40" s="1"/>
  <c r="BN18" i="40"/>
  <c r="BM73" i="40"/>
  <c r="BM106" i="40" s="1"/>
  <c r="BN12" i="40"/>
  <c r="BM76" i="40"/>
  <c r="BM109" i="40" s="1"/>
  <c r="BN15" i="40"/>
  <c r="BM98" i="40"/>
  <c r="BN85" i="40"/>
  <c r="BM70" i="40"/>
  <c r="BM103" i="40" s="1"/>
  <c r="BN9" i="40"/>
  <c r="BM36" i="40"/>
  <c r="BN24" i="40"/>
  <c r="BM71" i="40"/>
  <c r="BM104" i="40" s="1"/>
  <c r="BN10" i="40"/>
  <c r="BM69" i="40"/>
  <c r="BM21" i="40"/>
  <c r="BN7" i="40"/>
  <c r="BL102" i="40"/>
  <c r="BL115" i="40" s="1"/>
  <c r="BL117" i="40" s="1"/>
  <c r="BL119" i="40" s="1"/>
  <c r="BL82" i="40"/>
  <c r="BM66" i="40"/>
  <c r="BN54" i="40"/>
  <c r="BM77" i="40"/>
  <c r="BM110" i="40" s="1"/>
  <c r="BN16" i="40"/>
  <c r="BM78" i="40"/>
  <c r="BM111" i="40" s="1"/>
  <c r="BN17" i="40"/>
  <c r="BM75" i="40"/>
  <c r="BM108" i="40" s="1"/>
  <c r="BN14" i="40"/>
  <c r="CS117" i="47" l="1"/>
  <c r="CS172" i="47" s="1"/>
  <c r="CT12" i="47"/>
  <c r="CS120" i="47"/>
  <c r="CS175" i="47" s="1"/>
  <c r="CT15" i="47"/>
  <c r="CS119" i="47"/>
  <c r="CS174" i="47" s="1"/>
  <c r="CT14" i="47"/>
  <c r="CS123" i="47"/>
  <c r="CS178" i="47" s="1"/>
  <c r="CT18" i="47"/>
  <c r="CU21" i="47"/>
  <c r="CT126" i="47"/>
  <c r="CT181" i="47" s="1"/>
  <c r="CS121" i="47"/>
  <c r="CS176" i="47" s="1"/>
  <c r="CT16" i="47"/>
  <c r="CT122" i="47"/>
  <c r="CT177" i="47" s="1"/>
  <c r="CU17" i="47"/>
  <c r="CS128" i="47"/>
  <c r="CS183" i="47" s="1"/>
  <c r="CT23" i="47"/>
  <c r="CT10" i="47"/>
  <c r="CS115" i="47"/>
  <c r="CS170" i="47" s="1"/>
  <c r="CS132" i="47"/>
  <c r="CS187" i="47" s="1"/>
  <c r="CT27" i="47"/>
  <c r="CX9" i="47"/>
  <c r="DD66" i="47"/>
  <c r="DC84" i="47"/>
  <c r="CT131" i="47"/>
  <c r="CT186" i="47" s="1"/>
  <c r="CU26" i="47"/>
  <c r="CS127" i="47"/>
  <c r="CS182" i="47" s="1"/>
  <c r="CT22" i="47"/>
  <c r="CS133" i="47"/>
  <c r="CS188" i="47" s="1"/>
  <c r="CT28" i="47"/>
  <c r="CS58" i="47"/>
  <c r="CT35" i="47"/>
  <c r="CS114" i="47"/>
  <c r="CS169" i="47" s="1"/>
  <c r="CU11" i="47"/>
  <c r="CT116" i="47"/>
  <c r="CT171" i="47" s="1"/>
  <c r="CQ168" i="47"/>
  <c r="CQ192" i="47" s="1"/>
  <c r="CQ194" i="47" s="1"/>
  <c r="CQ196" i="47" s="1"/>
  <c r="CQ137" i="47"/>
  <c r="CS125" i="47"/>
  <c r="CS180" i="47" s="1"/>
  <c r="CT20" i="47"/>
  <c r="CV29" i="47"/>
  <c r="CU134" i="47"/>
  <c r="CU189" i="47" s="1"/>
  <c r="CT110" i="47"/>
  <c r="CU87" i="47"/>
  <c r="CS124" i="47"/>
  <c r="CS179" i="47" s="1"/>
  <c r="CT19" i="47"/>
  <c r="CU13" i="47"/>
  <c r="CT118" i="47"/>
  <c r="CT173" i="47" s="1"/>
  <c r="DG61" i="47"/>
  <c r="CS129" i="47"/>
  <c r="CS184" i="47" s="1"/>
  <c r="CT24" i="47"/>
  <c r="CU25" i="47"/>
  <c r="CT130" i="47"/>
  <c r="CT185" i="47" s="1"/>
  <c r="CT7" i="47"/>
  <c r="CS32" i="47"/>
  <c r="CS113" i="47"/>
  <c r="CQ164" i="47"/>
  <c r="CS140" i="47"/>
  <c r="BN75" i="40"/>
  <c r="BN108" i="40" s="1"/>
  <c r="BO14" i="40"/>
  <c r="BN78" i="40"/>
  <c r="BN111" i="40" s="1"/>
  <c r="BO17" i="40"/>
  <c r="BN77" i="40"/>
  <c r="BN110" i="40" s="1"/>
  <c r="BO16" i="40"/>
  <c r="BN66" i="40"/>
  <c r="BO54" i="40"/>
  <c r="BN69" i="40"/>
  <c r="BN21" i="40"/>
  <c r="BO7" i="40"/>
  <c r="BM102" i="40"/>
  <c r="BM115" i="40" s="1"/>
  <c r="BM117" i="40" s="1"/>
  <c r="BM119" i="40" s="1"/>
  <c r="BM82" i="40"/>
  <c r="BN71" i="40"/>
  <c r="BN104" i="40" s="1"/>
  <c r="BO10" i="40"/>
  <c r="BN36" i="40"/>
  <c r="BO24" i="40"/>
  <c r="BN70" i="40"/>
  <c r="BN103" i="40" s="1"/>
  <c r="BO9" i="40"/>
  <c r="BN98" i="40"/>
  <c r="BO85" i="40"/>
  <c r="BN76" i="40"/>
  <c r="BN109" i="40" s="1"/>
  <c r="BO15" i="40"/>
  <c r="BN73" i="40"/>
  <c r="BN106" i="40" s="1"/>
  <c r="BO12" i="40"/>
  <c r="BN79" i="40"/>
  <c r="BN112" i="40" s="1"/>
  <c r="BO18" i="40"/>
  <c r="BN74" i="40"/>
  <c r="BN107" i="40" s="1"/>
  <c r="BO13" i="40"/>
  <c r="BN72" i="40"/>
  <c r="BN105" i="40" s="1"/>
  <c r="BO11" i="40"/>
  <c r="BN51" i="40"/>
  <c r="BO39" i="40"/>
  <c r="CV134" i="47" l="1"/>
  <c r="CV189" i="47" s="1"/>
  <c r="CW29" i="47"/>
  <c r="DF66" i="47"/>
  <c r="DD84" i="47"/>
  <c r="CS168" i="47"/>
  <c r="CS192" i="47" s="1"/>
  <c r="CS194" i="47" s="1"/>
  <c r="CS196" i="47" s="1"/>
  <c r="CS137" i="47"/>
  <c r="CU130" i="47"/>
  <c r="CU185" i="47" s="1"/>
  <c r="CV25" i="47"/>
  <c r="CU23" i="47"/>
  <c r="CT128" i="47"/>
  <c r="CT183" i="47" s="1"/>
  <c r="CT120" i="47"/>
  <c r="CT175" i="47" s="1"/>
  <c r="CU15" i="47"/>
  <c r="CT129" i="47"/>
  <c r="CT184" i="47" s="1"/>
  <c r="CU24" i="47"/>
  <c r="CV87" i="47"/>
  <c r="CU110" i="47"/>
  <c r="CT125" i="47"/>
  <c r="CT180" i="47" s="1"/>
  <c r="CU20" i="47"/>
  <c r="CS164" i="47"/>
  <c r="CT140" i="47"/>
  <c r="CU7" i="47"/>
  <c r="CT113" i="47"/>
  <c r="CT32" i="47"/>
  <c r="CU118" i="47"/>
  <c r="CU173" i="47" s="1"/>
  <c r="CV13" i="47"/>
  <c r="CU116" i="47"/>
  <c r="CU171" i="47" s="1"/>
  <c r="CV11" i="47"/>
  <c r="CT133" i="47"/>
  <c r="CT188" i="47" s="1"/>
  <c r="CU28" i="47"/>
  <c r="CU131" i="47"/>
  <c r="CU186" i="47" s="1"/>
  <c r="CV26" i="47"/>
  <c r="CY9" i="47"/>
  <c r="CV17" i="47"/>
  <c r="CU122" i="47"/>
  <c r="CU177" i="47" s="1"/>
  <c r="CT119" i="47"/>
  <c r="CT174" i="47" s="1"/>
  <c r="CU14" i="47"/>
  <c r="CT117" i="47"/>
  <c r="CT172" i="47" s="1"/>
  <c r="CU12" i="47"/>
  <c r="CT58" i="47"/>
  <c r="CU35" i="47"/>
  <c r="CT114" i="47"/>
  <c r="CT169" i="47" s="1"/>
  <c r="CT127" i="47"/>
  <c r="CT182" i="47" s="1"/>
  <c r="CU22" i="47"/>
  <c r="CU27" i="47"/>
  <c r="CT132" i="47"/>
  <c r="CT187" i="47" s="1"/>
  <c r="CU16" i="47"/>
  <c r="CT121" i="47"/>
  <c r="CT176" i="47" s="1"/>
  <c r="CU18" i="47"/>
  <c r="CT123" i="47"/>
  <c r="CT178" i="47" s="1"/>
  <c r="DH61" i="47"/>
  <c r="CT124" i="47"/>
  <c r="CT179" i="47" s="1"/>
  <c r="CU19" i="47"/>
  <c r="CT115" i="47"/>
  <c r="CT170" i="47" s="1"/>
  <c r="CU10" i="47"/>
  <c r="CU126" i="47"/>
  <c r="CU181" i="47" s="1"/>
  <c r="CV21" i="47"/>
  <c r="BO51" i="40"/>
  <c r="BP39" i="40"/>
  <c r="BO72" i="40"/>
  <c r="BO105" i="40" s="1"/>
  <c r="BP11" i="40"/>
  <c r="BO74" i="40"/>
  <c r="BO107" i="40" s="1"/>
  <c r="BP13" i="40"/>
  <c r="BO79" i="40"/>
  <c r="BO112" i="40" s="1"/>
  <c r="BP18" i="40"/>
  <c r="BO73" i="40"/>
  <c r="BO106" i="40" s="1"/>
  <c r="BP12" i="40"/>
  <c r="BO76" i="40"/>
  <c r="BO109" i="40" s="1"/>
  <c r="BP15" i="40"/>
  <c r="BO98" i="40"/>
  <c r="BP85" i="40"/>
  <c r="BO70" i="40"/>
  <c r="BO103" i="40" s="1"/>
  <c r="BP9" i="40"/>
  <c r="BO36" i="40"/>
  <c r="BP24" i="40"/>
  <c r="BO71" i="40"/>
  <c r="BO104" i="40" s="1"/>
  <c r="BP10" i="40"/>
  <c r="BO69" i="40"/>
  <c r="BO21" i="40"/>
  <c r="BP7" i="40"/>
  <c r="BN102" i="40"/>
  <c r="BN115" i="40" s="1"/>
  <c r="BN117" i="40" s="1"/>
  <c r="BN119" i="40" s="1"/>
  <c r="BN82" i="40"/>
  <c r="BO66" i="40"/>
  <c r="BP54" i="40"/>
  <c r="BO77" i="40"/>
  <c r="BO110" i="40" s="1"/>
  <c r="BP16" i="40"/>
  <c r="BO78" i="40"/>
  <c r="BO111" i="40" s="1"/>
  <c r="BP17" i="40"/>
  <c r="BO75" i="40"/>
  <c r="BO108" i="40" s="1"/>
  <c r="BP14" i="40"/>
  <c r="CV12" i="47" l="1"/>
  <c r="CU117" i="47"/>
  <c r="CU172" i="47" s="1"/>
  <c r="CV110" i="47"/>
  <c r="CW87" i="47"/>
  <c r="CV122" i="47"/>
  <c r="CV177" i="47" s="1"/>
  <c r="CW17" i="47"/>
  <c r="CT168" i="47"/>
  <c r="CT192" i="47" s="1"/>
  <c r="CT194" i="47" s="1"/>
  <c r="CT196" i="47" s="1"/>
  <c r="CT137" i="47"/>
  <c r="CU125" i="47"/>
  <c r="CU180" i="47" s="1"/>
  <c r="CV20" i="47"/>
  <c r="CU129" i="47"/>
  <c r="CU184" i="47" s="1"/>
  <c r="CV24" i="47"/>
  <c r="CX29" i="47"/>
  <c r="CW134" i="47"/>
  <c r="CW189" i="47" s="1"/>
  <c r="CU115" i="47"/>
  <c r="CU170" i="47" s="1"/>
  <c r="CV10" i="47"/>
  <c r="DI61" i="47"/>
  <c r="CV22" i="47"/>
  <c r="CU127" i="47"/>
  <c r="CU182" i="47" s="1"/>
  <c r="CT164" i="47"/>
  <c r="CU140" i="47"/>
  <c r="CU120" i="47"/>
  <c r="CU175" i="47" s="1"/>
  <c r="CV15" i="47"/>
  <c r="CW25" i="47"/>
  <c r="CV130" i="47"/>
  <c r="CV185" i="47" s="1"/>
  <c r="CV16" i="47"/>
  <c r="CU121" i="47"/>
  <c r="CU176" i="47" s="1"/>
  <c r="CV131" i="47"/>
  <c r="CV186" i="47" s="1"/>
  <c r="CW26" i="47"/>
  <c r="CW11" i="47"/>
  <c r="CV116" i="47"/>
  <c r="CV171" i="47" s="1"/>
  <c r="DG66" i="47"/>
  <c r="DF84" i="47"/>
  <c r="CV126" i="47"/>
  <c r="CV181" i="47" s="1"/>
  <c r="CW21" i="47"/>
  <c r="CU124" i="47"/>
  <c r="CU179" i="47" s="1"/>
  <c r="CV19" i="47"/>
  <c r="CV18" i="47"/>
  <c r="CU123" i="47"/>
  <c r="CU178" i="47" s="1"/>
  <c r="CU132" i="47"/>
  <c r="CU187" i="47" s="1"/>
  <c r="CV27" i="47"/>
  <c r="CU58" i="47"/>
  <c r="CV35" i="47"/>
  <c r="CU114" i="47"/>
  <c r="CU169" i="47" s="1"/>
  <c r="CV14" i="47"/>
  <c r="CU119" i="47"/>
  <c r="CU174" i="47" s="1"/>
  <c r="CZ9" i="47"/>
  <c r="CU133" i="47"/>
  <c r="CU188" i="47" s="1"/>
  <c r="CV28" i="47"/>
  <c r="CV118" i="47"/>
  <c r="CV173" i="47" s="1"/>
  <c r="CW13" i="47"/>
  <c r="CU113" i="47"/>
  <c r="CV7" i="47"/>
  <c r="CU32" i="47"/>
  <c r="CV23" i="47"/>
  <c r="CU128" i="47"/>
  <c r="CU183" i="47" s="1"/>
  <c r="BP75" i="40"/>
  <c r="BR14" i="40"/>
  <c r="BP78" i="40"/>
  <c r="BR17" i="40"/>
  <c r="BP77" i="40"/>
  <c r="BR16" i="40"/>
  <c r="BP66" i="40"/>
  <c r="BR54" i="40"/>
  <c r="BP69" i="40"/>
  <c r="BP21" i="40"/>
  <c r="BR7" i="40"/>
  <c r="BO102" i="40"/>
  <c r="BO115" i="40" s="1"/>
  <c r="BO117" i="40" s="1"/>
  <c r="BO119" i="40" s="1"/>
  <c r="BO82" i="40"/>
  <c r="BP71" i="40"/>
  <c r="BR10" i="40"/>
  <c r="BP36" i="40"/>
  <c r="BR24" i="40"/>
  <c r="BP70" i="40"/>
  <c r="BR9" i="40"/>
  <c r="BP98" i="40"/>
  <c r="BR85" i="40"/>
  <c r="BP76" i="40"/>
  <c r="BR15" i="40"/>
  <c r="BP73" i="40"/>
  <c r="BR12" i="40"/>
  <c r="BP79" i="40"/>
  <c r="BR18" i="40"/>
  <c r="BP74" i="40"/>
  <c r="BR13" i="40"/>
  <c r="BP72" i="40"/>
  <c r="BR11" i="40"/>
  <c r="BP51" i="40"/>
  <c r="BR39" i="40"/>
  <c r="CW23" i="47" l="1"/>
  <c r="CV128" i="47"/>
  <c r="CV183" i="47" s="1"/>
  <c r="CW118" i="47"/>
  <c r="CW173" i="47" s="1"/>
  <c r="CX13" i="47"/>
  <c r="CV58" i="47"/>
  <c r="CW35" i="47"/>
  <c r="CV114" i="47"/>
  <c r="CV169" i="47" s="1"/>
  <c r="CX21" i="47"/>
  <c r="CW126" i="47"/>
  <c r="CW181" i="47" s="1"/>
  <c r="CV120" i="47"/>
  <c r="CV175" i="47" s="1"/>
  <c r="CW15" i="47"/>
  <c r="CV115" i="47"/>
  <c r="CV170" i="47" s="1"/>
  <c r="CW10" i="47"/>
  <c r="CV129" i="47"/>
  <c r="CV184" i="47" s="1"/>
  <c r="CW24" i="47"/>
  <c r="CW110" i="47"/>
  <c r="CX87" i="47"/>
  <c r="CW7" i="47"/>
  <c r="CV32" i="47"/>
  <c r="CV113" i="47"/>
  <c r="CV133" i="47"/>
  <c r="CV188" i="47" s="1"/>
  <c r="CW28" i="47"/>
  <c r="CW18" i="47"/>
  <c r="CV123" i="47"/>
  <c r="CV178" i="47" s="1"/>
  <c r="CX11" i="47"/>
  <c r="CW116" i="47"/>
  <c r="CW171" i="47" s="1"/>
  <c r="CV121" i="47"/>
  <c r="CV176" i="47" s="1"/>
  <c r="CW16" i="47"/>
  <c r="CV127" i="47"/>
  <c r="CV182" i="47" s="1"/>
  <c r="CW22" i="47"/>
  <c r="CU168" i="47"/>
  <c r="CU192" i="47" s="1"/>
  <c r="CU194" i="47" s="1"/>
  <c r="CU196" i="47" s="1"/>
  <c r="CU137" i="47"/>
  <c r="CV119" i="47"/>
  <c r="CV174" i="47" s="1"/>
  <c r="CW14" i="47"/>
  <c r="CW27" i="47"/>
  <c r="CV132" i="47"/>
  <c r="CV187" i="47" s="1"/>
  <c r="CV124" i="47"/>
  <c r="CV179" i="47" s="1"/>
  <c r="CW19" i="47"/>
  <c r="CW131" i="47"/>
  <c r="CW186" i="47" s="1"/>
  <c r="CX26" i="47"/>
  <c r="CV140" i="47"/>
  <c r="CU164" i="47"/>
  <c r="CV125" i="47"/>
  <c r="CV180" i="47" s="1"/>
  <c r="CW20" i="47"/>
  <c r="CW122" i="47"/>
  <c r="CW177" i="47" s="1"/>
  <c r="CX17" i="47"/>
  <c r="DA9" i="47"/>
  <c r="DH66" i="47"/>
  <c r="DG84" i="47"/>
  <c r="CW130" i="47"/>
  <c r="CW185" i="47" s="1"/>
  <c r="CX25" i="47"/>
  <c r="DJ61" i="47"/>
  <c r="CY29" i="47"/>
  <c r="CX134" i="47"/>
  <c r="CX189" i="47" s="1"/>
  <c r="CW12" i="47"/>
  <c r="CV117" i="47"/>
  <c r="CV172" i="47" s="1"/>
  <c r="BR51" i="40"/>
  <c r="BS39" i="40"/>
  <c r="BP105" i="40"/>
  <c r="BR74" i="40"/>
  <c r="BR107" i="40" s="1"/>
  <c r="BS13" i="40"/>
  <c r="BP112" i="40"/>
  <c r="BR73" i="40"/>
  <c r="BR106" i="40" s="1"/>
  <c r="BS12" i="40"/>
  <c r="BP109" i="40"/>
  <c r="BR98" i="40"/>
  <c r="BS85" i="40"/>
  <c r="BP103" i="40"/>
  <c r="BS24" i="40"/>
  <c r="BR36" i="40"/>
  <c r="BP104" i="40"/>
  <c r="BR69" i="40"/>
  <c r="BS7" i="40"/>
  <c r="BR21" i="40"/>
  <c r="BP102" i="40"/>
  <c r="BP82" i="40"/>
  <c r="BS54" i="40"/>
  <c r="BR66" i="40"/>
  <c r="BP110" i="40"/>
  <c r="BR78" i="40"/>
  <c r="BR111" i="40" s="1"/>
  <c r="BS17" i="40"/>
  <c r="BP108" i="40"/>
  <c r="BR72" i="40"/>
  <c r="BR105" i="40" s="1"/>
  <c r="BS11" i="40"/>
  <c r="BP107" i="40"/>
  <c r="BR79" i="40"/>
  <c r="BR112" i="40" s="1"/>
  <c r="BS18" i="40"/>
  <c r="BP106" i="40"/>
  <c r="BR76" i="40"/>
  <c r="BR109" i="40" s="1"/>
  <c r="BS15" i="40"/>
  <c r="BR70" i="40"/>
  <c r="BR103" i="40" s="1"/>
  <c r="BS9" i="40"/>
  <c r="BR71" i="40"/>
  <c r="BR104" i="40" s="1"/>
  <c r="BS10" i="40"/>
  <c r="BR77" i="40"/>
  <c r="BR110" i="40" s="1"/>
  <c r="BS16" i="40"/>
  <c r="BP111" i="40"/>
  <c r="BR75" i="40"/>
  <c r="BR108" i="40" s="1"/>
  <c r="BS14" i="40"/>
  <c r="CX130" i="47" l="1"/>
  <c r="CX185" i="47" s="1"/>
  <c r="CY25" i="47"/>
  <c r="CX131" i="47"/>
  <c r="CX186" i="47" s="1"/>
  <c r="CY26" i="47"/>
  <c r="CX20" i="47"/>
  <c r="CW125" i="47"/>
  <c r="CW180" i="47" s="1"/>
  <c r="CX16" i="47"/>
  <c r="CW121" i="47"/>
  <c r="CW176" i="47" s="1"/>
  <c r="CV137" i="47"/>
  <c r="CV168" i="47"/>
  <c r="CV192" i="47" s="1"/>
  <c r="CV194" i="47" s="1"/>
  <c r="CV196" i="47" s="1"/>
  <c r="CY21" i="47"/>
  <c r="CX126" i="47"/>
  <c r="CX181" i="47" s="1"/>
  <c r="CY13" i="47"/>
  <c r="CX118" i="47"/>
  <c r="CX173" i="47" s="1"/>
  <c r="CY134" i="47"/>
  <c r="CY189" i="47" s="1"/>
  <c r="CZ29" i="47"/>
  <c r="DB9" i="47"/>
  <c r="CW132" i="47"/>
  <c r="CW187" i="47" s="1"/>
  <c r="CX27" i="47"/>
  <c r="CX18" i="47"/>
  <c r="CW123" i="47"/>
  <c r="CW178" i="47" s="1"/>
  <c r="CW129" i="47"/>
  <c r="CW184" i="47" s="1"/>
  <c r="CX24" i="47"/>
  <c r="CW120" i="47"/>
  <c r="CW175" i="47" s="1"/>
  <c r="CX15" i="47"/>
  <c r="DK61" i="47"/>
  <c r="CX122" i="47"/>
  <c r="CX177" i="47" s="1"/>
  <c r="CY17" i="47"/>
  <c r="CW124" i="47"/>
  <c r="CW179" i="47" s="1"/>
  <c r="CX19" i="47"/>
  <c r="CW119" i="47"/>
  <c r="CW174" i="47" s="1"/>
  <c r="CX14" i="47"/>
  <c r="CW127" i="47"/>
  <c r="CW182" i="47" s="1"/>
  <c r="CX22" i="47"/>
  <c r="CW133" i="47"/>
  <c r="CW188" i="47" s="1"/>
  <c r="CX28" i="47"/>
  <c r="CX7" i="47"/>
  <c r="CW113" i="47"/>
  <c r="CW32" i="47"/>
  <c r="CX35" i="47"/>
  <c r="CW58" i="47"/>
  <c r="CW114" i="47"/>
  <c r="CW169" i="47" s="1"/>
  <c r="CW117" i="47"/>
  <c r="CW172" i="47" s="1"/>
  <c r="CX12" i="47"/>
  <c r="DI66" i="47"/>
  <c r="DH84" i="47"/>
  <c r="CV164" i="47"/>
  <c r="CW140" i="47"/>
  <c r="CY11" i="47"/>
  <c r="CX116" i="47"/>
  <c r="CX171" i="47" s="1"/>
  <c r="CY87" i="47"/>
  <c r="CX110" i="47"/>
  <c r="CX10" i="47"/>
  <c r="CW115" i="47"/>
  <c r="CW170" i="47" s="1"/>
  <c r="CW128" i="47"/>
  <c r="CW183" i="47" s="1"/>
  <c r="CX23" i="47"/>
  <c r="BS66" i="40"/>
  <c r="BT54" i="40"/>
  <c r="BR102" i="40"/>
  <c r="BR115" i="40" s="1"/>
  <c r="BR117" i="40" s="1"/>
  <c r="BR119" i="40" s="1"/>
  <c r="BR82" i="40"/>
  <c r="BS36" i="40"/>
  <c r="BT24" i="40"/>
  <c r="BS75" i="40"/>
  <c r="BS108" i="40" s="1"/>
  <c r="BT14" i="40"/>
  <c r="BS77" i="40"/>
  <c r="BS110" i="40" s="1"/>
  <c r="BT16" i="40"/>
  <c r="BS71" i="40"/>
  <c r="BS104" i="40" s="1"/>
  <c r="BT10" i="40"/>
  <c r="BS70" i="40"/>
  <c r="BS103" i="40" s="1"/>
  <c r="BT9" i="40"/>
  <c r="BS76" i="40"/>
  <c r="BS109" i="40" s="1"/>
  <c r="BT15" i="40"/>
  <c r="BS79" i="40"/>
  <c r="BS112" i="40" s="1"/>
  <c r="BT18" i="40"/>
  <c r="BS72" i="40"/>
  <c r="BS105" i="40" s="1"/>
  <c r="BT11" i="40"/>
  <c r="BS78" i="40"/>
  <c r="BT17" i="40"/>
  <c r="BP115" i="40"/>
  <c r="BP117" i="40" s="1"/>
  <c r="BP119" i="40" s="1"/>
  <c r="BS69" i="40"/>
  <c r="BS21" i="40"/>
  <c r="BT7" i="40"/>
  <c r="BS98" i="40"/>
  <c r="BT85" i="40"/>
  <c r="BS73" i="40"/>
  <c r="BT12" i="40"/>
  <c r="BS74" i="40"/>
  <c r="BT13" i="40"/>
  <c r="BS51" i="40"/>
  <c r="BT39" i="40"/>
  <c r="CX124" i="47" l="1"/>
  <c r="CX179" i="47" s="1"/>
  <c r="CY19" i="47"/>
  <c r="CZ134" i="47"/>
  <c r="CZ189" i="47" s="1"/>
  <c r="DA29" i="47"/>
  <c r="CX115" i="47"/>
  <c r="CX170" i="47" s="1"/>
  <c r="CY10" i="47"/>
  <c r="CX127" i="47"/>
  <c r="CX182" i="47" s="1"/>
  <c r="CY22" i="47"/>
  <c r="CX129" i="47"/>
  <c r="CX184" i="47" s="1"/>
  <c r="CY24" i="47"/>
  <c r="CZ26" i="47"/>
  <c r="CY131" i="47"/>
  <c r="CY186" i="47" s="1"/>
  <c r="DJ66" i="47"/>
  <c r="DI84" i="47"/>
  <c r="CY130" i="47"/>
  <c r="CY185" i="47" s="1"/>
  <c r="CZ25" i="47"/>
  <c r="CW168" i="47"/>
  <c r="CW192" i="47" s="1"/>
  <c r="CW194" i="47" s="1"/>
  <c r="CW196" i="47" s="1"/>
  <c r="CW137" i="47"/>
  <c r="DL61" i="47"/>
  <c r="CX132" i="47"/>
  <c r="CX187" i="47" s="1"/>
  <c r="CY27" i="47"/>
  <c r="CZ11" i="47"/>
  <c r="CY116" i="47"/>
  <c r="CY171" i="47" s="1"/>
  <c r="CX113" i="47"/>
  <c r="CY7" i="47"/>
  <c r="CX32" i="47"/>
  <c r="CZ21" i="47"/>
  <c r="CY126" i="47"/>
  <c r="CY181" i="47" s="1"/>
  <c r="CX121" i="47"/>
  <c r="CX176" i="47" s="1"/>
  <c r="CY16" i="47"/>
  <c r="CY23" i="47"/>
  <c r="CX128" i="47"/>
  <c r="CX183" i="47" s="1"/>
  <c r="CW164" i="47"/>
  <c r="CX140" i="47"/>
  <c r="CY12" i="47"/>
  <c r="CX117" i="47"/>
  <c r="CX172" i="47" s="1"/>
  <c r="CY35" i="47"/>
  <c r="CX58" i="47"/>
  <c r="CX114" i="47"/>
  <c r="CX169" i="47" s="1"/>
  <c r="CX133" i="47"/>
  <c r="CX188" i="47" s="1"/>
  <c r="CY28" i="47"/>
  <c r="CY14" i="47"/>
  <c r="CX119" i="47"/>
  <c r="CX174" i="47" s="1"/>
  <c r="CZ17" i="47"/>
  <c r="CY122" i="47"/>
  <c r="CY177" i="47" s="1"/>
  <c r="CX120" i="47"/>
  <c r="CX175" i="47" s="1"/>
  <c r="CY15" i="47"/>
  <c r="CY110" i="47"/>
  <c r="CZ87" i="47"/>
  <c r="CY18" i="47"/>
  <c r="CX123" i="47"/>
  <c r="CX178" i="47" s="1"/>
  <c r="DC9" i="47"/>
  <c r="CZ13" i="47"/>
  <c r="CY118" i="47"/>
  <c r="CY173" i="47" s="1"/>
  <c r="CX125" i="47"/>
  <c r="CX180" i="47" s="1"/>
  <c r="CY20" i="47"/>
  <c r="BT51" i="40"/>
  <c r="BU39" i="40"/>
  <c r="BT74" i="40"/>
  <c r="BT107" i="40" s="1"/>
  <c r="BU13" i="40"/>
  <c r="BT73" i="40"/>
  <c r="BT106" i="40" s="1"/>
  <c r="BU12" i="40"/>
  <c r="BT98" i="40"/>
  <c r="BU85" i="40"/>
  <c r="BT78" i="40"/>
  <c r="BT111" i="40" s="1"/>
  <c r="BU17" i="40"/>
  <c r="BT79" i="40"/>
  <c r="BU18" i="40"/>
  <c r="BT70" i="40"/>
  <c r="BU9" i="40"/>
  <c r="BT77" i="40"/>
  <c r="BU16" i="40"/>
  <c r="BS107" i="40"/>
  <c r="BS106" i="40"/>
  <c r="BT69" i="40"/>
  <c r="BU7" i="40"/>
  <c r="BT21" i="40"/>
  <c r="BS102" i="40"/>
  <c r="BS82" i="40"/>
  <c r="BS111" i="40"/>
  <c r="BT72" i="40"/>
  <c r="BU11" i="40"/>
  <c r="BT76" i="40"/>
  <c r="BU15" i="40"/>
  <c r="BT71" i="40"/>
  <c r="BU10" i="40"/>
  <c r="BT75" i="40"/>
  <c r="BU14" i="40"/>
  <c r="BU24" i="40"/>
  <c r="BT36" i="40"/>
  <c r="BU54" i="40"/>
  <c r="BT66" i="40"/>
  <c r="CZ126" i="47" l="1"/>
  <c r="CZ181" i="47" s="1"/>
  <c r="DA21" i="47"/>
  <c r="CZ130" i="47"/>
  <c r="CZ185" i="47" s="1"/>
  <c r="DA25" i="47"/>
  <c r="CY119" i="47"/>
  <c r="CY174" i="47" s="1"/>
  <c r="CZ14" i="47"/>
  <c r="CX164" i="47"/>
  <c r="CY140" i="47"/>
  <c r="CY121" i="47"/>
  <c r="CY176" i="47" s="1"/>
  <c r="CZ16" i="47"/>
  <c r="CZ116" i="47"/>
  <c r="CZ171" i="47" s="1"/>
  <c r="DA11" i="47"/>
  <c r="CZ131" i="47"/>
  <c r="CZ186" i="47" s="1"/>
  <c r="DA26" i="47"/>
  <c r="CY120" i="47"/>
  <c r="CY175" i="47" s="1"/>
  <c r="CZ15" i="47"/>
  <c r="CY117" i="47"/>
  <c r="CY172" i="47" s="1"/>
  <c r="CZ12" i="47"/>
  <c r="CY128" i="47"/>
  <c r="CY183" i="47" s="1"/>
  <c r="CZ23" i="47"/>
  <c r="DM61" i="47"/>
  <c r="CZ22" i="47"/>
  <c r="CY127" i="47"/>
  <c r="CY182" i="47" s="1"/>
  <c r="DB29" i="47"/>
  <c r="DA134" i="47"/>
  <c r="DA189" i="47" s="1"/>
  <c r="CZ118" i="47"/>
  <c r="CZ173" i="47" s="1"/>
  <c r="DA13" i="47"/>
  <c r="CY123" i="47"/>
  <c r="CY178" i="47" s="1"/>
  <c r="CZ18" i="47"/>
  <c r="CY125" i="47"/>
  <c r="CY180" i="47" s="1"/>
  <c r="CZ20" i="47"/>
  <c r="DD9" i="47"/>
  <c r="DA87" i="47"/>
  <c r="CZ110" i="47"/>
  <c r="CZ28" i="47"/>
  <c r="CY133" i="47"/>
  <c r="CY188" i="47" s="1"/>
  <c r="CY58" i="47"/>
  <c r="CZ35" i="47"/>
  <c r="CY114" i="47"/>
  <c r="CY169" i="47" s="1"/>
  <c r="CY113" i="47"/>
  <c r="CY32" i="47"/>
  <c r="CZ7" i="47"/>
  <c r="CZ27" i="47"/>
  <c r="CY132" i="47"/>
  <c r="CY187" i="47" s="1"/>
  <c r="CY129" i="47"/>
  <c r="CY184" i="47" s="1"/>
  <c r="CZ24" i="47"/>
  <c r="CZ10" i="47"/>
  <c r="CY115" i="47"/>
  <c r="CY170" i="47" s="1"/>
  <c r="CZ19" i="47"/>
  <c r="CY124" i="47"/>
  <c r="CY179" i="47" s="1"/>
  <c r="CZ122" i="47"/>
  <c r="CZ177" i="47" s="1"/>
  <c r="DA17" i="47"/>
  <c r="CX168" i="47"/>
  <c r="CX192" i="47" s="1"/>
  <c r="CX194" i="47" s="1"/>
  <c r="CX196" i="47" s="1"/>
  <c r="CX137" i="47"/>
  <c r="DK66" i="47"/>
  <c r="DJ84" i="47"/>
  <c r="BU36" i="40"/>
  <c r="BV24" i="40"/>
  <c r="BT108" i="40"/>
  <c r="BT104" i="40"/>
  <c r="BT109" i="40"/>
  <c r="BT105" i="40"/>
  <c r="BS115" i="40"/>
  <c r="BS117" i="40" s="1"/>
  <c r="BS119" i="40" s="1"/>
  <c r="BU69" i="40"/>
  <c r="BU21" i="40"/>
  <c r="BV7" i="40"/>
  <c r="BU77" i="40"/>
  <c r="BU110" i="40" s="1"/>
  <c r="BV16" i="40"/>
  <c r="BU70" i="40"/>
  <c r="BU103" i="40" s="1"/>
  <c r="BV9" i="40"/>
  <c r="BU79" i="40"/>
  <c r="BU112" i="40" s="1"/>
  <c r="BV18" i="40"/>
  <c r="BU98" i="40"/>
  <c r="BV85" i="40"/>
  <c r="BU74" i="40"/>
  <c r="BV13" i="40"/>
  <c r="BU66" i="40"/>
  <c r="BV54" i="40"/>
  <c r="BU75" i="40"/>
  <c r="BU108" i="40" s="1"/>
  <c r="BV14" i="40"/>
  <c r="BU71" i="40"/>
  <c r="BU104" i="40" s="1"/>
  <c r="BV10" i="40"/>
  <c r="BU76" i="40"/>
  <c r="BU109" i="40" s="1"/>
  <c r="BV15" i="40"/>
  <c r="BU72" i="40"/>
  <c r="BU105" i="40" s="1"/>
  <c r="BV11" i="40"/>
  <c r="BT102" i="40"/>
  <c r="BT82" i="40"/>
  <c r="BT110" i="40"/>
  <c r="BT103" i="40"/>
  <c r="BT112" i="40"/>
  <c r="BU78" i="40"/>
  <c r="BV17" i="40"/>
  <c r="BU73" i="40"/>
  <c r="BV12" i="40"/>
  <c r="BU51" i="40"/>
  <c r="BV39" i="40"/>
  <c r="DA24" i="47" l="1"/>
  <c r="CZ129" i="47"/>
  <c r="CZ184" i="47" s="1"/>
  <c r="CZ113" i="47"/>
  <c r="DA7" i="47"/>
  <c r="CZ32" i="47"/>
  <c r="CZ58" i="47"/>
  <c r="DA35" i="47"/>
  <c r="CZ114" i="47"/>
  <c r="CZ169" i="47" s="1"/>
  <c r="CZ125" i="47"/>
  <c r="CZ180" i="47" s="1"/>
  <c r="DA20" i="47"/>
  <c r="DB13" i="47"/>
  <c r="DA118" i="47"/>
  <c r="DA173" i="47" s="1"/>
  <c r="CZ128" i="47"/>
  <c r="CZ183" i="47" s="1"/>
  <c r="DA23" i="47"/>
  <c r="CZ120" i="47"/>
  <c r="CZ175" i="47" s="1"/>
  <c r="DA15" i="47"/>
  <c r="DA116" i="47"/>
  <c r="DA171" i="47" s="1"/>
  <c r="DB11" i="47"/>
  <c r="CZ140" i="47"/>
  <c r="CY164" i="47"/>
  <c r="DA130" i="47"/>
  <c r="DA185" i="47" s="1"/>
  <c r="DB25" i="47"/>
  <c r="DB17" i="47"/>
  <c r="DA122" i="47"/>
  <c r="DA177" i="47" s="1"/>
  <c r="CY168" i="47"/>
  <c r="CY192" i="47" s="1"/>
  <c r="CY194" i="47" s="1"/>
  <c r="CY196" i="47" s="1"/>
  <c r="CY137" i="47"/>
  <c r="DF9" i="47"/>
  <c r="DA18" i="47"/>
  <c r="CZ123" i="47"/>
  <c r="CZ178" i="47" s="1"/>
  <c r="DN61" i="47"/>
  <c r="CZ117" i="47"/>
  <c r="CZ172" i="47" s="1"/>
  <c r="DA12" i="47"/>
  <c r="DA131" i="47"/>
  <c r="DA186" i="47" s="1"/>
  <c r="DB26" i="47"/>
  <c r="CZ121" i="47"/>
  <c r="CZ176" i="47" s="1"/>
  <c r="DA16" i="47"/>
  <c r="DA14" i="47"/>
  <c r="CZ119" i="47"/>
  <c r="CZ174" i="47" s="1"/>
  <c r="DB21" i="47"/>
  <c r="DA126" i="47"/>
  <c r="DA181" i="47" s="1"/>
  <c r="DA19" i="47"/>
  <c r="CZ124" i="47"/>
  <c r="CZ179" i="47" s="1"/>
  <c r="DB87" i="47"/>
  <c r="DA110" i="47"/>
  <c r="DA22" i="47"/>
  <c r="CZ127" i="47"/>
  <c r="CZ182" i="47" s="1"/>
  <c r="DL66" i="47"/>
  <c r="DK84" i="47"/>
  <c r="CZ115" i="47"/>
  <c r="CZ170" i="47" s="1"/>
  <c r="DA10" i="47"/>
  <c r="DA27" i="47"/>
  <c r="CZ132" i="47"/>
  <c r="CZ187" i="47" s="1"/>
  <c r="DA28" i="47"/>
  <c r="CZ133" i="47"/>
  <c r="CZ188" i="47" s="1"/>
  <c r="DC29" i="47"/>
  <c r="DB134" i="47"/>
  <c r="DB189" i="47" s="1"/>
  <c r="BU106" i="40"/>
  <c r="BU111" i="40"/>
  <c r="BV76" i="40"/>
  <c r="BV109" i="40" s="1"/>
  <c r="BW15" i="40"/>
  <c r="BV75" i="40"/>
  <c r="BV108" i="40" s="1"/>
  <c r="BW14" i="40"/>
  <c r="BW54" i="40"/>
  <c r="BV66" i="40"/>
  <c r="BU107" i="40"/>
  <c r="BV69" i="40"/>
  <c r="BW7" i="40"/>
  <c r="BV21" i="40"/>
  <c r="BU102" i="40"/>
  <c r="BU82" i="40"/>
  <c r="BV51" i="40"/>
  <c r="BW39" i="40"/>
  <c r="BV73" i="40"/>
  <c r="BV106" i="40" s="1"/>
  <c r="BW12" i="40"/>
  <c r="BV78" i="40"/>
  <c r="BV111" i="40" s="1"/>
  <c r="BW17" i="40"/>
  <c r="BV72" i="40"/>
  <c r="BV105" i="40" s="1"/>
  <c r="BW11" i="40"/>
  <c r="BV71" i="40"/>
  <c r="BV104" i="40" s="1"/>
  <c r="BW10" i="40"/>
  <c r="BV74" i="40"/>
  <c r="BV107" i="40" s="1"/>
  <c r="BW13" i="40"/>
  <c r="BV98" i="40"/>
  <c r="BW85" i="40"/>
  <c r="BV79" i="40"/>
  <c r="BW18" i="40"/>
  <c r="BV70" i="40"/>
  <c r="BW9" i="40"/>
  <c r="BV77" i="40"/>
  <c r="BW16" i="40"/>
  <c r="BW24" i="40"/>
  <c r="BV36" i="40"/>
  <c r="BT115" i="40"/>
  <c r="BT117" i="40" s="1"/>
  <c r="BT119" i="40" s="1"/>
  <c r="DA132" i="47" l="1"/>
  <c r="DA187" i="47" s="1"/>
  <c r="DB27" i="47"/>
  <c r="DA115" i="47"/>
  <c r="DA170" i="47" s="1"/>
  <c r="DB10" i="47"/>
  <c r="DB131" i="47"/>
  <c r="DB186" i="47" s="1"/>
  <c r="DC26" i="47"/>
  <c r="DG9" i="47"/>
  <c r="DH9" i="47" s="1"/>
  <c r="DI9" i="47" s="1"/>
  <c r="DA120" i="47"/>
  <c r="DA175" i="47" s="1"/>
  <c r="DB15" i="47"/>
  <c r="DA32" i="47"/>
  <c r="DA113" i="47"/>
  <c r="DB7" i="47"/>
  <c r="DB28" i="47"/>
  <c r="DA133" i="47"/>
  <c r="DA188" i="47" s="1"/>
  <c r="DA127" i="47"/>
  <c r="DA182" i="47" s="1"/>
  <c r="DB22" i="47"/>
  <c r="DA124" i="47"/>
  <c r="DA179" i="47" s="1"/>
  <c r="DB19" i="47"/>
  <c r="DB14" i="47"/>
  <c r="DA119" i="47"/>
  <c r="DA174" i="47" s="1"/>
  <c r="DO61" i="47"/>
  <c r="DB122" i="47"/>
  <c r="DB177" i="47" s="1"/>
  <c r="DC17" i="47"/>
  <c r="CZ164" i="47"/>
  <c r="DA140" i="47"/>
  <c r="DB118" i="47"/>
  <c r="DB173" i="47" s="1"/>
  <c r="DC13" i="47"/>
  <c r="DB35" i="47"/>
  <c r="DA58" i="47"/>
  <c r="DA114" i="47"/>
  <c r="DA169" i="47" s="1"/>
  <c r="CZ168" i="47"/>
  <c r="CZ192" i="47" s="1"/>
  <c r="CZ194" i="47" s="1"/>
  <c r="CZ196" i="47" s="1"/>
  <c r="CZ137" i="47"/>
  <c r="DB130" i="47"/>
  <c r="DB185" i="47" s="1"/>
  <c r="DC25" i="47"/>
  <c r="DB116" i="47"/>
  <c r="DB171" i="47" s="1"/>
  <c r="DC11" i="47"/>
  <c r="DA128" i="47"/>
  <c r="DA183" i="47" s="1"/>
  <c r="DB23" i="47"/>
  <c r="DB20" i="47"/>
  <c r="DA125" i="47"/>
  <c r="DA180" i="47" s="1"/>
  <c r="DA121" i="47"/>
  <c r="DA176" i="47" s="1"/>
  <c r="DB16" i="47"/>
  <c r="DA117" i="47"/>
  <c r="DA172" i="47" s="1"/>
  <c r="DB12" i="47"/>
  <c r="DD29" i="47"/>
  <c r="DC134" i="47"/>
  <c r="DC189" i="47" s="1"/>
  <c r="DM66" i="47"/>
  <c r="DL84" i="47"/>
  <c r="DC87" i="47"/>
  <c r="DB110" i="47"/>
  <c r="DC21" i="47"/>
  <c r="DB126" i="47"/>
  <c r="DB181" i="47" s="1"/>
  <c r="DA123" i="47"/>
  <c r="DA178" i="47" s="1"/>
  <c r="DB18" i="47"/>
  <c r="DB24" i="47"/>
  <c r="DA129" i="47"/>
  <c r="DA184" i="47" s="1"/>
  <c r="BU115" i="40"/>
  <c r="BU117" i="40" s="1"/>
  <c r="BU119" i="40" s="1"/>
  <c r="BV110" i="40"/>
  <c r="BW70" i="40"/>
  <c r="BW103" i="40" s="1"/>
  <c r="BX9" i="40"/>
  <c r="BV112" i="40"/>
  <c r="BW98" i="40"/>
  <c r="BX85" i="40"/>
  <c r="BW78" i="40"/>
  <c r="BW111" i="40" s="1"/>
  <c r="BX17" i="40"/>
  <c r="BW51" i="40"/>
  <c r="BX39" i="40"/>
  <c r="BW69" i="40"/>
  <c r="BW21" i="40"/>
  <c r="BX7" i="40"/>
  <c r="BW66" i="40"/>
  <c r="BX54" i="40"/>
  <c r="BW36" i="40"/>
  <c r="BX24" i="40"/>
  <c r="BW77" i="40"/>
  <c r="BW110" i="40" s="1"/>
  <c r="BX16" i="40"/>
  <c r="BV103" i="40"/>
  <c r="BW79" i="40"/>
  <c r="BW112" i="40" s="1"/>
  <c r="BX18" i="40"/>
  <c r="BW74" i="40"/>
  <c r="BW107" i="40" s="1"/>
  <c r="BX13" i="40"/>
  <c r="BW71" i="40"/>
  <c r="BX10" i="40"/>
  <c r="BW72" i="40"/>
  <c r="BX11" i="40"/>
  <c r="BW73" i="40"/>
  <c r="BW106" i="40" s="1"/>
  <c r="BX12" i="40"/>
  <c r="BV102" i="40"/>
  <c r="BV82" i="40"/>
  <c r="BW75" i="40"/>
  <c r="BX14" i="40"/>
  <c r="BW76" i="40"/>
  <c r="BX15" i="40"/>
  <c r="DC18" i="47" l="1"/>
  <c r="DB123" i="47"/>
  <c r="DB178" i="47" s="1"/>
  <c r="DB121" i="47"/>
  <c r="DB176" i="47" s="1"/>
  <c r="DC16" i="47"/>
  <c r="DC14" i="47"/>
  <c r="DB119" i="47"/>
  <c r="DB174" i="47" s="1"/>
  <c r="DB140" i="47"/>
  <c r="DA164" i="47"/>
  <c r="DC19" i="47"/>
  <c r="DB124" i="47"/>
  <c r="DB179" i="47" s="1"/>
  <c r="DC130" i="47"/>
  <c r="DC185" i="47" s="1"/>
  <c r="DD25" i="47"/>
  <c r="DJ9" i="47"/>
  <c r="DK9" i="47" s="1"/>
  <c r="DC110" i="47"/>
  <c r="DD87" i="47"/>
  <c r="DD134" i="47"/>
  <c r="DD189" i="47" s="1"/>
  <c r="DF29" i="47"/>
  <c r="DB117" i="47"/>
  <c r="DB172" i="47" s="1"/>
  <c r="DC12" i="47"/>
  <c r="DC116" i="47"/>
  <c r="DC171" i="47" s="1"/>
  <c r="DD11" i="47"/>
  <c r="DC35" i="47"/>
  <c r="DB58" i="47"/>
  <c r="DB114" i="47"/>
  <c r="DB169" i="47" s="1"/>
  <c r="DP61" i="47"/>
  <c r="DB133" i="47"/>
  <c r="DB188" i="47" s="1"/>
  <c r="DC28" i="47"/>
  <c r="DC15" i="47"/>
  <c r="DB120" i="47"/>
  <c r="DB175" i="47" s="1"/>
  <c r="DD26" i="47"/>
  <c r="DC131" i="47"/>
  <c r="DC186" i="47" s="1"/>
  <c r="DB132" i="47"/>
  <c r="DB187" i="47" s="1"/>
  <c r="DC27" i="47"/>
  <c r="DB128" i="47"/>
  <c r="DB183" i="47" s="1"/>
  <c r="DC23" i="47"/>
  <c r="DA168" i="47"/>
  <c r="DA192" i="47" s="1"/>
  <c r="DA194" i="47" s="1"/>
  <c r="DA196" i="47" s="1"/>
  <c r="DA137" i="47"/>
  <c r="DB115" i="47"/>
  <c r="DB170" i="47" s="1"/>
  <c r="DC10" i="47"/>
  <c r="DB129" i="47"/>
  <c r="DB184" i="47" s="1"/>
  <c r="DC24" i="47"/>
  <c r="DD21" i="47"/>
  <c r="DC126" i="47"/>
  <c r="DC181" i="47" s="1"/>
  <c r="DN66" i="47"/>
  <c r="DM84" i="47"/>
  <c r="DB125" i="47"/>
  <c r="DB180" i="47" s="1"/>
  <c r="DC20" i="47"/>
  <c r="DC118" i="47"/>
  <c r="DC173" i="47" s="1"/>
  <c r="DD13" i="47"/>
  <c r="DC122" i="47"/>
  <c r="DC177" i="47" s="1"/>
  <c r="DD17" i="47"/>
  <c r="DC22" i="47"/>
  <c r="DB127" i="47"/>
  <c r="DB182" i="47" s="1"/>
  <c r="DB113" i="47"/>
  <c r="DB32" i="47"/>
  <c r="DC7" i="47"/>
  <c r="BW109" i="40"/>
  <c r="BW108" i="40"/>
  <c r="BX73" i="40"/>
  <c r="BY12" i="40"/>
  <c r="BW105" i="40"/>
  <c r="BX71" i="40"/>
  <c r="BX104" i="40" s="1"/>
  <c r="BY10" i="40"/>
  <c r="BX74" i="40"/>
  <c r="BX107" i="40" s="1"/>
  <c r="BY13" i="40"/>
  <c r="BX79" i="40"/>
  <c r="BX112" i="40" s="1"/>
  <c r="BY18" i="40"/>
  <c r="BX77" i="40"/>
  <c r="BX110" i="40" s="1"/>
  <c r="BY16" i="40"/>
  <c r="BY24" i="40"/>
  <c r="BX36" i="40"/>
  <c r="BX69" i="40"/>
  <c r="BY7" i="40"/>
  <c r="BX21" i="40"/>
  <c r="BW102" i="40"/>
  <c r="BW82" i="40"/>
  <c r="BX76" i="40"/>
  <c r="BX109" i="40" s="1"/>
  <c r="BY15" i="40"/>
  <c r="BX75" i="40"/>
  <c r="BX108" i="40" s="1"/>
  <c r="BY14" i="40"/>
  <c r="BV115" i="40"/>
  <c r="BV117" i="40" s="1"/>
  <c r="BV119" i="40" s="1"/>
  <c r="BX72" i="40"/>
  <c r="BX105" i="40" s="1"/>
  <c r="BY11" i="40"/>
  <c r="BW104" i="40"/>
  <c r="BY54" i="40"/>
  <c r="BX66" i="40"/>
  <c r="BX51" i="40"/>
  <c r="BY39" i="40"/>
  <c r="BX78" i="40"/>
  <c r="BY17" i="40"/>
  <c r="BX98" i="40"/>
  <c r="BY85" i="40"/>
  <c r="BX70" i="40"/>
  <c r="BY9" i="40"/>
  <c r="DB168" i="47" l="1"/>
  <c r="DB192" i="47" s="1"/>
  <c r="DB194" i="47" s="1"/>
  <c r="DB196" i="47" s="1"/>
  <c r="DB137" i="47"/>
  <c r="DD24" i="47"/>
  <c r="DC129" i="47"/>
  <c r="DC184" i="47" s="1"/>
  <c r="DC58" i="47"/>
  <c r="DD35" i="47"/>
  <c r="DC114" i="47"/>
  <c r="DC169" i="47" s="1"/>
  <c r="DD12" i="47"/>
  <c r="DC117" i="47"/>
  <c r="DC172" i="47" s="1"/>
  <c r="DC120" i="47"/>
  <c r="DC175" i="47" s="1"/>
  <c r="DD15" i="47"/>
  <c r="DD116" i="47"/>
  <c r="DD171" i="47" s="1"/>
  <c r="DF11" i="47"/>
  <c r="DF134" i="47"/>
  <c r="DF189" i="47" s="1"/>
  <c r="DG29" i="47"/>
  <c r="DD126" i="47"/>
  <c r="DD181" i="47" s="1"/>
  <c r="DF21" i="47"/>
  <c r="DD131" i="47"/>
  <c r="DD186" i="47" s="1"/>
  <c r="DF26" i="47"/>
  <c r="DD110" i="47"/>
  <c r="DF87" i="47"/>
  <c r="DD130" i="47"/>
  <c r="DD185" i="47" s="1"/>
  <c r="DF25" i="47"/>
  <c r="DD16" i="47"/>
  <c r="DC121" i="47"/>
  <c r="DC176" i="47" s="1"/>
  <c r="DD118" i="47"/>
  <c r="DD173" i="47" s="1"/>
  <c r="DF13" i="47"/>
  <c r="DC132" i="47"/>
  <c r="DC187" i="47" s="1"/>
  <c r="DD27" i="47"/>
  <c r="DQ61" i="47"/>
  <c r="DB164" i="47"/>
  <c r="DC140" i="47"/>
  <c r="DC32" i="47"/>
  <c r="DC113" i="47"/>
  <c r="DD7" i="47"/>
  <c r="DD22" i="47"/>
  <c r="DC127" i="47"/>
  <c r="DC182" i="47" s="1"/>
  <c r="DO66" i="47"/>
  <c r="DN84" i="47"/>
  <c r="DD122" i="47"/>
  <c r="DD177" i="47" s="1"/>
  <c r="DF17" i="47"/>
  <c r="DD20" i="47"/>
  <c r="DC125" i="47"/>
  <c r="DC180" i="47" s="1"/>
  <c r="DC115" i="47"/>
  <c r="DC170" i="47" s="1"/>
  <c r="DD10" i="47"/>
  <c r="DC128" i="47"/>
  <c r="DC183" i="47" s="1"/>
  <c r="DD23" i="47"/>
  <c r="DC133" i="47"/>
  <c r="DC188" i="47" s="1"/>
  <c r="DD28" i="47"/>
  <c r="DL9" i="47"/>
  <c r="DM9" i="47" s="1"/>
  <c r="DC124" i="47"/>
  <c r="DC179" i="47" s="1"/>
  <c r="DD19" i="47"/>
  <c r="DD14" i="47"/>
  <c r="DC119" i="47"/>
  <c r="DC174" i="47" s="1"/>
  <c r="DC123" i="47"/>
  <c r="DC178" i="47" s="1"/>
  <c r="DD18" i="47"/>
  <c r="BY70" i="40"/>
  <c r="BY103" i="40" s="1"/>
  <c r="BZ9" i="40"/>
  <c r="BY98" i="40"/>
  <c r="BZ85" i="40"/>
  <c r="BY78" i="40"/>
  <c r="BY111" i="40" s="1"/>
  <c r="BZ17" i="40"/>
  <c r="BY51" i="40"/>
  <c r="BZ39" i="40"/>
  <c r="BY66" i="40"/>
  <c r="BZ54" i="40"/>
  <c r="BY75" i="40"/>
  <c r="BY108" i="40" s="1"/>
  <c r="BZ14" i="40"/>
  <c r="BY69" i="40"/>
  <c r="BY21" i="40"/>
  <c r="BZ7" i="40"/>
  <c r="BY36" i="40"/>
  <c r="BZ24" i="40"/>
  <c r="BY77" i="40"/>
  <c r="BY110" i="40" s="1"/>
  <c r="BZ16" i="40"/>
  <c r="BY74" i="40"/>
  <c r="BY107" i="40" s="1"/>
  <c r="BZ13" i="40"/>
  <c r="BY71" i="40"/>
  <c r="BY104" i="40" s="1"/>
  <c r="BZ10" i="40"/>
  <c r="BX106" i="40"/>
  <c r="BW115" i="40"/>
  <c r="BW117" i="40" s="1"/>
  <c r="BW119" i="40" s="1"/>
  <c r="BX103" i="40"/>
  <c r="BX111" i="40"/>
  <c r="BY72" i="40"/>
  <c r="BY105" i="40" s="1"/>
  <c r="BZ11" i="40"/>
  <c r="BY76" i="40"/>
  <c r="BY109" i="40" s="1"/>
  <c r="BZ15" i="40"/>
  <c r="BX102" i="40"/>
  <c r="BX82" i="40"/>
  <c r="BY79" i="40"/>
  <c r="BY112" i="40" s="1"/>
  <c r="BZ18" i="40"/>
  <c r="BY73" i="40"/>
  <c r="BY106" i="40" s="1"/>
  <c r="BZ12" i="40"/>
  <c r="DD128" i="47" l="1"/>
  <c r="DD183" i="47" s="1"/>
  <c r="DF23" i="47"/>
  <c r="DD119" i="47"/>
  <c r="DD174" i="47" s="1"/>
  <c r="DF14" i="47"/>
  <c r="DN9" i="47"/>
  <c r="DD125" i="47"/>
  <c r="DD180" i="47" s="1"/>
  <c r="DF20" i="47"/>
  <c r="DP66" i="47"/>
  <c r="DO84" i="47"/>
  <c r="DC168" i="47"/>
  <c r="DC192" i="47" s="1"/>
  <c r="DC194" i="47" s="1"/>
  <c r="DC196" i="47" s="1"/>
  <c r="DC137" i="47"/>
  <c r="DF118" i="47"/>
  <c r="DF173" i="47" s="1"/>
  <c r="DG13" i="47"/>
  <c r="DF130" i="47"/>
  <c r="DF185" i="47" s="1"/>
  <c r="DG25" i="47"/>
  <c r="DF131" i="47"/>
  <c r="DF186" i="47" s="1"/>
  <c r="DG26" i="47"/>
  <c r="DG134" i="47"/>
  <c r="DG189" i="47" s="1"/>
  <c r="DH29" i="47"/>
  <c r="DD120" i="47"/>
  <c r="DD175" i="47" s="1"/>
  <c r="DF15" i="47"/>
  <c r="DD129" i="47"/>
  <c r="DD184" i="47" s="1"/>
  <c r="DF24" i="47"/>
  <c r="DD121" i="47"/>
  <c r="DD176" i="47" s="1"/>
  <c r="DF16" i="47"/>
  <c r="DD117" i="47"/>
  <c r="DD172" i="47" s="1"/>
  <c r="DF12" i="47"/>
  <c r="DD123" i="47"/>
  <c r="DD178" i="47" s="1"/>
  <c r="DF18" i="47"/>
  <c r="DD124" i="47"/>
  <c r="DD179" i="47" s="1"/>
  <c r="DF19" i="47"/>
  <c r="DD133" i="47"/>
  <c r="DD188" i="47" s="1"/>
  <c r="DF28" i="47"/>
  <c r="DD115" i="47"/>
  <c r="DD170" i="47" s="1"/>
  <c r="DF10" i="47"/>
  <c r="DF122" i="47"/>
  <c r="DF177" i="47" s="1"/>
  <c r="DG17" i="47"/>
  <c r="DF35" i="47"/>
  <c r="DD58" i="47"/>
  <c r="DD114" i="47"/>
  <c r="DD169" i="47" s="1"/>
  <c r="DF7" i="47"/>
  <c r="DD113" i="47"/>
  <c r="DD32" i="47"/>
  <c r="DD127" i="47"/>
  <c r="DD182" i="47" s="1"/>
  <c r="DF22" i="47"/>
  <c r="DD140" i="47"/>
  <c r="DC164" i="47"/>
  <c r="DD132" i="47"/>
  <c r="DD187" i="47" s="1"/>
  <c r="DF27" i="47"/>
  <c r="DG87" i="47"/>
  <c r="DF110" i="47"/>
  <c r="DF126" i="47"/>
  <c r="DF181" i="47" s="1"/>
  <c r="DG21" i="47"/>
  <c r="DF116" i="47"/>
  <c r="DF171" i="47" s="1"/>
  <c r="DG11" i="47"/>
  <c r="BZ76" i="40"/>
  <c r="BZ109" i="40" s="1"/>
  <c r="CA15" i="40"/>
  <c r="BZ71" i="40"/>
  <c r="BZ104" i="40" s="1"/>
  <c r="CA10" i="40"/>
  <c r="BZ74" i="40"/>
  <c r="BZ107" i="40" s="1"/>
  <c r="CA13" i="40"/>
  <c r="BZ77" i="40"/>
  <c r="BZ110" i="40" s="1"/>
  <c r="CA16" i="40"/>
  <c r="CA24" i="40"/>
  <c r="BZ36" i="40"/>
  <c r="BZ69" i="40"/>
  <c r="CA7" i="40"/>
  <c r="BZ21" i="40"/>
  <c r="BY102" i="40"/>
  <c r="BY115" i="40" s="1"/>
  <c r="BY117" i="40" s="1"/>
  <c r="BY119" i="40" s="1"/>
  <c r="BY82" i="40"/>
  <c r="BZ73" i="40"/>
  <c r="BZ106" i="40" s="1"/>
  <c r="CA12" i="40"/>
  <c r="BZ79" i="40"/>
  <c r="BZ112" i="40" s="1"/>
  <c r="CA18" i="40"/>
  <c r="BX115" i="40"/>
  <c r="BX117" i="40" s="1"/>
  <c r="BX119" i="40" s="1"/>
  <c r="BZ72" i="40"/>
  <c r="BZ105" i="40" s="1"/>
  <c r="CA11" i="40"/>
  <c r="BZ75" i="40"/>
  <c r="BZ108" i="40" s="1"/>
  <c r="CA14" i="40"/>
  <c r="CA54" i="40"/>
  <c r="BZ66" i="40"/>
  <c r="BZ51" i="40"/>
  <c r="CA39" i="40"/>
  <c r="BZ78" i="40"/>
  <c r="BZ111" i="40" s="1"/>
  <c r="CA17" i="40"/>
  <c r="BZ98" i="40"/>
  <c r="CA85" i="40"/>
  <c r="BZ70" i="40"/>
  <c r="BZ103" i="40" s="1"/>
  <c r="CA9" i="40"/>
  <c r="DG110" i="47" l="1"/>
  <c r="DH87" i="47"/>
  <c r="DD137" i="47"/>
  <c r="DD168" i="47"/>
  <c r="DD192" i="47" s="1"/>
  <c r="DD194" i="47" s="1"/>
  <c r="DD196" i="47" s="1"/>
  <c r="DF124" i="47"/>
  <c r="DF179" i="47" s="1"/>
  <c r="DG19" i="47"/>
  <c r="DG7" i="47"/>
  <c r="DF113" i="47"/>
  <c r="DF32" i="47"/>
  <c r="DF58" i="47"/>
  <c r="DG35" i="47"/>
  <c r="DF114" i="47"/>
  <c r="DF169" i="47" s="1"/>
  <c r="DF115" i="47"/>
  <c r="DF170" i="47" s="1"/>
  <c r="DG10" i="47"/>
  <c r="DF129" i="47"/>
  <c r="DF184" i="47" s="1"/>
  <c r="DG24" i="47"/>
  <c r="DI29" i="47"/>
  <c r="DH134" i="47"/>
  <c r="DH189" i="47" s="1"/>
  <c r="DG130" i="47"/>
  <c r="DG185" i="47" s="1"/>
  <c r="DH25" i="47"/>
  <c r="DF125" i="47"/>
  <c r="DF180" i="47" s="1"/>
  <c r="DG20" i="47"/>
  <c r="DF132" i="47"/>
  <c r="DF187" i="47" s="1"/>
  <c r="DG27" i="47"/>
  <c r="DG122" i="47"/>
  <c r="DG177" i="47" s="1"/>
  <c r="DH17" i="47"/>
  <c r="DF133" i="47"/>
  <c r="DF188" i="47" s="1"/>
  <c r="DG28" i="47"/>
  <c r="DF123" i="47"/>
  <c r="DF178" i="47" s="1"/>
  <c r="DG18" i="47"/>
  <c r="DF121" i="47"/>
  <c r="DF176" i="47" s="1"/>
  <c r="DG16" i="47"/>
  <c r="DF120" i="47"/>
  <c r="DF175" i="47" s="1"/>
  <c r="DG15" i="47"/>
  <c r="DG131" i="47"/>
  <c r="DG186" i="47" s="1"/>
  <c r="DH26" i="47"/>
  <c r="DG118" i="47"/>
  <c r="DG173" i="47" s="1"/>
  <c r="DH13" i="47"/>
  <c r="DF128" i="47"/>
  <c r="DF183" i="47" s="1"/>
  <c r="DG23" i="47"/>
  <c r="DD164" i="47"/>
  <c r="DF140" i="47"/>
  <c r="DF117" i="47"/>
  <c r="DF172" i="47" s="1"/>
  <c r="DG12" i="47"/>
  <c r="DF119" i="47"/>
  <c r="DF174" i="47" s="1"/>
  <c r="DG14" i="47"/>
  <c r="DH21" i="47"/>
  <c r="DG126" i="47"/>
  <c r="DG181" i="47" s="1"/>
  <c r="DF127" i="47"/>
  <c r="DF182" i="47" s="1"/>
  <c r="DG22" i="47"/>
  <c r="DG116" i="47"/>
  <c r="DG171" i="47" s="1"/>
  <c r="DH11" i="47"/>
  <c r="DQ66" i="47"/>
  <c r="DQ84" i="47" s="1"/>
  <c r="DP84" i="47"/>
  <c r="DO9" i="47"/>
  <c r="CA70" i="40"/>
  <c r="CA103" i="40" s="1"/>
  <c r="CB9" i="40"/>
  <c r="CA98" i="40"/>
  <c r="CB85" i="40"/>
  <c r="CA78" i="40"/>
  <c r="CA111" i="40" s="1"/>
  <c r="CB17" i="40"/>
  <c r="CA51" i="40"/>
  <c r="CB39" i="40"/>
  <c r="CA75" i="40"/>
  <c r="CA108" i="40" s="1"/>
  <c r="CB14" i="40"/>
  <c r="CA72" i="40"/>
  <c r="CA105" i="40" s="1"/>
  <c r="CB11" i="40"/>
  <c r="CA79" i="40"/>
  <c r="CA112" i="40" s="1"/>
  <c r="CB18" i="40"/>
  <c r="CA73" i="40"/>
  <c r="CA106" i="40" s="1"/>
  <c r="CB12" i="40"/>
  <c r="BZ102" i="40"/>
  <c r="BZ115" i="40" s="1"/>
  <c r="BZ117" i="40" s="1"/>
  <c r="BZ119" i="40" s="1"/>
  <c r="BZ82" i="40"/>
  <c r="CA36" i="40"/>
  <c r="CB24" i="40"/>
  <c r="CA66" i="40"/>
  <c r="CB54" i="40"/>
  <c r="CA69" i="40"/>
  <c r="CA21" i="40"/>
  <c r="CB7" i="40"/>
  <c r="CA77" i="40"/>
  <c r="CA110" i="40" s="1"/>
  <c r="CB16" i="40"/>
  <c r="CA74" i="40"/>
  <c r="CA107" i="40" s="1"/>
  <c r="CB13" i="40"/>
  <c r="CA71" i="40"/>
  <c r="CA104" i="40" s="1"/>
  <c r="CB10" i="40"/>
  <c r="CA76" i="40"/>
  <c r="CA109" i="40" s="1"/>
  <c r="CB15" i="40"/>
  <c r="DG128" i="47" l="1"/>
  <c r="DG183" i="47" s="1"/>
  <c r="DH23" i="47"/>
  <c r="DG133" i="47"/>
  <c r="DG188" i="47" s="1"/>
  <c r="DH28" i="47"/>
  <c r="DH116" i="47"/>
  <c r="DH171" i="47" s="1"/>
  <c r="DI11" i="47"/>
  <c r="DG117" i="47"/>
  <c r="DG172" i="47" s="1"/>
  <c r="DH12" i="47"/>
  <c r="DH131" i="47"/>
  <c r="DH186" i="47" s="1"/>
  <c r="DI26" i="47"/>
  <c r="DH16" i="47"/>
  <c r="DG121" i="47"/>
  <c r="DG176" i="47" s="1"/>
  <c r="DG132" i="47"/>
  <c r="DG187" i="47" s="1"/>
  <c r="DH27" i="47"/>
  <c r="DH130" i="47"/>
  <c r="DH185" i="47" s="1"/>
  <c r="DI25" i="47"/>
  <c r="DG129" i="47"/>
  <c r="DG184" i="47" s="1"/>
  <c r="DH24" i="47"/>
  <c r="DF137" i="47"/>
  <c r="DF168" i="47"/>
  <c r="DF192" i="47" s="1"/>
  <c r="DF194" i="47" s="1"/>
  <c r="DF196" i="47" s="1"/>
  <c r="DG114" i="47"/>
  <c r="DG169" i="47" s="1"/>
  <c r="DH35" i="47"/>
  <c r="DG58" i="47"/>
  <c r="DH22" i="47"/>
  <c r="DG127" i="47"/>
  <c r="DG182" i="47" s="1"/>
  <c r="DG119" i="47"/>
  <c r="DG174" i="47" s="1"/>
  <c r="DH14" i="47"/>
  <c r="DF164" i="47"/>
  <c r="DG140" i="47"/>
  <c r="DI13" i="47"/>
  <c r="DH118" i="47"/>
  <c r="DH173" i="47" s="1"/>
  <c r="DG120" i="47"/>
  <c r="DG175" i="47" s="1"/>
  <c r="DH15" i="47"/>
  <c r="DG123" i="47"/>
  <c r="DG178" i="47" s="1"/>
  <c r="DH18" i="47"/>
  <c r="DI17" i="47"/>
  <c r="DH122" i="47"/>
  <c r="DH177" i="47" s="1"/>
  <c r="DG125" i="47"/>
  <c r="DG180" i="47" s="1"/>
  <c r="DH20" i="47"/>
  <c r="DG115" i="47"/>
  <c r="DG170" i="47" s="1"/>
  <c r="DH10" i="47"/>
  <c r="DG124" i="47"/>
  <c r="DG179" i="47" s="1"/>
  <c r="DH19" i="47"/>
  <c r="DI87" i="47"/>
  <c r="DH110" i="47"/>
  <c r="DP9" i="47"/>
  <c r="DQ9" i="47" s="1"/>
  <c r="DH126" i="47"/>
  <c r="DH181" i="47" s="1"/>
  <c r="DI21" i="47"/>
  <c r="DG113" i="47"/>
  <c r="DH7" i="47"/>
  <c r="DG32" i="47"/>
  <c r="DJ29" i="47"/>
  <c r="DI134" i="47"/>
  <c r="DI189" i="47" s="1"/>
  <c r="CB76" i="40"/>
  <c r="CB109" i="40" s="1"/>
  <c r="CC15" i="40"/>
  <c r="CB71" i="40"/>
  <c r="CB104" i="40" s="1"/>
  <c r="CC10" i="40"/>
  <c r="CB77" i="40"/>
  <c r="CB110" i="40" s="1"/>
  <c r="CC16" i="40"/>
  <c r="CA102" i="40"/>
  <c r="CA115" i="40" s="1"/>
  <c r="CA117" i="40" s="1"/>
  <c r="CA119" i="40" s="1"/>
  <c r="CA82" i="40"/>
  <c r="CB74" i="40"/>
  <c r="CB107" i="40" s="1"/>
  <c r="CC13" i="40"/>
  <c r="CB69" i="40"/>
  <c r="CC7" i="40"/>
  <c r="CB21" i="40"/>
  <c r="CC54" i="40"/>
  <c r="CB66" i="40"/>
  <c r="CC24" i="40"/>
  <c r="CB36" i="40"/>
  <c r="CB73" i="40"/>
  <c r="CB106" i="40" s="1"/>
  <c r="CC12" i="40"/>
  <c r="CB79" i="40"/>
  <c r="CB112" i="40" s="1"/>
  <c r="CC18" i="40"/>
  <c r="CB72" i="40"/>
  <c r="CB105" i="40" s="1"/>
  <c r="CC11" i="40"/>
  <c r="CB75" i="40"/>
  <c r="CB108" i="40" s="1"/>
  <c r="CC14" i="40"/>
  <c r="CB51" i="40"/>
  <c r="CC39" i="40"/>
  <c r="CB78" i="40"/>
  <c r="CB111" i="40" s="1"/>
  <c r="CC17" i="40"/>
  <c r="CB98" i="40"/>
  <c r="CC85" i="40"/>
  <c r="CB70" i="40"/>
  <c r="CB103" i="40" s="1"/>
  <c r="CC9" i="40"/>
  <c r="DI22" i="47" l="1"/>
  <c r="DH127" i="47"/>
  <c r="DH182" i="47" s="1"/>
  <c r="DH113" i="47"/>
  <c r="DI7" i="47"/>
  <c r="DH32" i="47"/>
  <c r="DI18" i="47"/>
  <c r="DH123" i="47"/>
  <c r="DH178" i="47" s="1"/>
  <c r="DH119" i="47"/>
  <c r="DH174" i="47" s="1"/>
  <c r="DI14" i="47"/>
  <c r="DI16" i="47"/>
  <c r="DH121" i="47"/>
  <c r="DH176" i="47" s="1"/>
  <c r="DI110" i="47"/>
  <c r="DJ87" i="47"/>
  <c r="DJ17" i="47"/>
  <c r="DI122" i="47"/>
  <c r="DI177" i="47" s="1"/>
  <c r="DG168" i="47"/>
  <c r="DG192" i="47" s="1"/>
  <c r="DG194" i="47" s="1"/>
  <c r="DG196" i="47" s="1"/>
  <c r="DG137" i="47"/>
  <c r="DJ13" i="47"/>
  <c r="DI118" i="47"/>
  <c r="DI173" i="47" s="1"/>
  <c r="DH114" i="47"/>
  <c r="DH169" i="47" s="1"/>
  <c r="DI35" i="47"/>
  <c r="DH58" i="47"/>
  <c r="DI24" i="47"/>
  <c r="DH129" i="47"/>
  <c r="DH184" i="47" s="1"/>
  <c r="DH132" i="47"/>
  <c r="DH187" i="47" s="1"/>
  <c r="DI27" i="47"/>
  <c r="DI131" i="47"/>
  <c r="DI186" i="47" s="1"/>
  <c r="DJ26" i="47"/>
  <c r="DI116" i="47"/>
  <c r="DI171" i="47" s="1"/>
  <c r="DJ11" i="47"/>
  <c r="DI23" i="47"/>
  <c r="DH128" i="47"/>
  <c r="DH183" i="47" s="1"/>
  <c r="DJ25" i="47"/>
  <c r="DI130" i="47"/>
  <c r="DI185" i="47" s="1"/>
  <c r="DI12" i="47"/>
  <c r="DH117" i="47"/>
  <c r="DH172" i="47" s="1"/>
  <c r="DH133" i="47"/>
  <c r="DH188" i="47" s="1"/>
  <c r="DI28" i="47"/>
  <c r="DH124" i="47"/>
  <c r="DH179" i="47" s="1"/>
  <c r="DI19" i="47"/>
  <c r="DH125" i="47"/>
  <c r="DH180" i="47" s="1"/>
  <c r="DI20" i="47"/>
  <c r="DK29" i="47"/>
  <c r="DJ134" i="47"/>
  <c r="DJ189" i="47" s="1"/>
  <c r="DI126" i="47"/>
  <c r="DI181" i="47" s="1"/>
  <c r="DJ21" i="47"/>
  <c r="DI10" i="47"/>
  <c r="DH115" i="47"/>
  <c r="DH170" i="47" s="1"/>
  <c r="DH120" i="47"/>
  <c r="DH175" i="47" s="1"/>
  <c r="DI15" i="47"/>
  <c r="DH140" i="47"/>
  <c r="DG164" i="47"/>
  <c r="CC70" i="40"/>
  <c r="CE9" i="40"/>
  <c r="CC98" i="40"/>
  <c r="CE85" i="40"/>
  <c r="CE98" i="40" s="1"/>
  <c r="CC78" i="40"/>
  <c r="CE17" i="40"/>
  <c r="CC51" i="40"/>
  <c r="CE39" i="40"/>
  <c r="CE51" i="40" s="1"/>
  <c r="CC75" i="40"/>
  <c r="CE14" i="40"/>
  <c r="CC72" i="40"/>
  <c r="CE11" i="40"/>
  <c r="CC79" i="40"/>
  <c r="CE18" i="40"/>
  <c r="CC73" i="40"/>
  <c r="CE12" i="40"/>
  <c r="CB102" i="40"/>
  <c r="CB115" i="40" s="1"/>
  <c r="CB117" i="40" s="1"/>
  <c r="CB119" i="40" s="1"/>
  <c r="CB82" i="40"/>
  <c r="CC36" i="40"/>
  <c r="CE24" i="40"/>
  <c r="CE36" i="40" s="1"/>
  <c r="CC66" i="40"/>
  <c r="CE54" i="40"/>
  <c r="CE66" i="40" s="1"/>
  <c r="CC69" i="40"/>
  <c r="CC21" i="40"/>
  <c r="CE7" i="40"/>
  <c r="CC74" i="40"/>
  <c r="CE13" i="40"/>
  <c r="CC77" i="40"/>
  <c r="CE16" i="40"/>
  <c r="CC71" i="40"/>
  <c r="CE10" i="40"/>
  <c r="CC76" i="40"/>
  <c r="CE15" i="40"/>
  <c r="DI140" i="47" l="1"/>
  <c r="DH164" i="47"/>
  <c r="DJ12" i="47"/>
  <c r="DI117" i="47"/>
  <c r="DI172" i="47" s="1"/>
  <c r="DI128" i="47"/>
  <c r="DI183" i="47" s="1"/>
  <c r="DJ23" i="47"/>
  <c r="DI113" i="47"/>
  <c r="DJ7" i="47"/>
  <c r="DJ32" i="47" s="1"/>
  <c r="DI32" i="47"/>
  <c r="DJ15" i="47"/>
  <c r="DI120" i="47"/>
  <c r="DI175" i="47" s="1"/>
  <c r="DJ126" i="47"/>
  <c r="DJ181" i="47" s="1"/>
  <c r="DK21" i="47"/>
  <c r="DJ20" i="47"/>
  <c r="DI125" i="47"/>
  <c r="DI180" i="47" s="1"/>
  <c r="DI133" i="47"/>
  <c r="DI188" i="47" s="1"/>
  <c r="DJ28" i="47"/>
  <c r="DJ116" i="47"/>
  <c r="DJ171" i="47" s="1"/>
  <c r="DK11" i="47"/>
  <c r="DJ27" i="47"/>
  <c r="DI132" i="47"/>
  <c r="DI187" i="47" s="1"/>
  <c r="DJ118" i="47"/>
  <c r="DJ173" i="47" s="1"/>
  <c r="DK13" i="47"/>
  <c r="DH168" i="47"/>
  <c r="DH192" i="47" s="1"/>
  <c r="DH194" i="47" s="1"/>
  <c r="DH196" i="47" s="1"/>
  <c r="DH137" i="47"/>
  <c r="DI115" i="47"/>
  <c r="DI170" i="47" s="1"/>
  <c r="DJ10" i="47"/>
  <c r="DK134" i="47"/>
  <c r="DK189" i="47" s="1"/>
  <c r="DL29" i="47"/>
  <c r="DI129" i="47"/>
  <c r="DI184" i="47" s="1"/>
  <c r="DJ24" i="47"/>
  <c r="DK25" i="47"/>
  <c r="DJ130" i="47"/>
  <c r="DJ185" i="47" s="1"/>
  <c r="DI58" i="47"/>
  <c r="DJ35" i="47"/>
  <c r="DI114" i="47"/>
  <c r="DI169" i="47" s="1"/>
  <c r="DJ122" i="47"/>
  <c r="DJ177" i="47" s="1"/>
  <c r="DK17" i="47"/>
  <c r="DI121" i="47"/>
  <c r="DI176" i="47" s="1"/>
  <c r="DJ16" i="47"/>
  <c r="DI123" i="47"/>
  <c r="DI178" i="47" s="1"/>
  <c r="DJ18" i="47"/>
  <c r="DJ19" i="47"/>
  <c r="DI124" i="47"/>
  <c r="DI179" i="47" s="1"/>
  <c r="DK26" i="47"/>
  <c r="DJ131" i="47"/>
  <c r="DJ186" i="47" s="1"/>
  <c r="DK87" i="47"/>
  <c r="DJ110" i="47"/>
  <c r="DI119" i="47"/>
  <c r="DI174" i="47" s="1"/>
  <c r="DJ14" i="47"/>
  <c r="DJ22" i="47"/>
  <c r="DI127" i="47"/>
  <c r="DI182" i="47" s="1"/>
  <c r="CC109" i="40"/>
  <c r="CE109" i="40" s="1"/>
  <c r="CE76" i="40"/>
  <c r="CC110" i="40"/>
  <c r="CE110" i="40" s="1"/>
  <c r="CE77" i="40"/>
  <c r="CC102" i="40"/>
  <c r="CC82" i="40"/>
  <c r="CE69" i="40"/>
  <c r="CC106" i="40"/>
  <c r="CE106" i="40" s="1"/>
  <c r="CE73" i="40"/>
  <c r="CC112" i="40"/>
  <c r="CE112" i="40" s="1"/>
  <c r="CE79" i="40"/>
  <c r="CC105" i="40"/>
  <c r="CE105" i="40" s="1"/>
  <c r="CE72" i="40"/>
  <c r="CC108" i="40"/>
  <c r="CE108" i="40" s="1"/>
  <c r="CE75" i="40"/>
  <c r="CC111" i="40"/>
  <c r="CE111" i="40" s="1"/>
  <c r="CE78" i="40"/>
  <c r="CC103" i="40"/>
  <c r="CE103" i="40" s="1"/>
  <c r="CE70" i="40"/>
  <c r="CE21" i="40"/>
  <c r="CC104" i="40"/>
  <c r="CE104" i="40" s="1"/>
  <c r="CE71" i="40"/>
  <c r="CC107" i="40"/>
  <c r="CE107" i="40" s="1"/>
  <c r="CE74" i="40"/>
  <c r="DJ127" i="47" l="1"/>
  <c r="DJ182" i="47" s="1"/>
  <c r="DK22" i="47"/>
  <c r="DJ124" i="47"/>
  <c r="DJ179" i="47" s="1"/>
  <c r="DK19" i="47"/>
  <c r="DJ114" i="47"/>
  <c r="DJ169" i="47" s="1"/>
  <c r="DJ58" i="47"/>
  <c r="DK35" i="47"/>
  <c r="DK10" i="47"/>
  <c r="DJ115" i="47"/>
  <c r="DJ170" i="47" s="1"/>
  <c r="DK116" i="47"/>
  <c r="DK171" i="47" s="1"/>
  <c r="DL11" i="47"/>
  <c r="DJ119" i="47"/>
  <c r="DJ174" i="47" s="1"/>
  <c r="DK14" i="47"/>
  <c r="DJ123" i="47"/>
  <c r="DJ178" i="47" s="1"/>
  <c r="DK18" i="47"/>
  <c r="DL17" i="47"/>
  <c r="DK122" i="47"/>
  <c r="DK177" i="47" s="1"/>
  <c r="DI168" i="47"/>
  <c r="DI192" i="47" s="1"/>
  <c r="DI194" i="47" s="1"/>
  <c r="DI196" i="47" s="1"/>
  <c r="DI137" i="47"/>
  <c r="DJ117" i="47"/>
  <c r="DJ172" i="47" s="1"/>
  <c r="DK12" i="47"/>
  <c r="DJ129" i="47"/>
  <c r="DJ184" i="47" s="1"/>
  <c r="DK24" i="47"/>
  <c r="DK118" i="47"/>
  <c r="DK173" i="47" s="1"/>
  <c r="DL13" i="47"/>
  <c r="DK131" i="47"/>
  <c r="DK186" i="47" s="1"/>
  <c r="DL26" i="47"/>
  <c r="DL134" i="47"/>
  <c r="DL189" i="47" s="1"/>
  <c r="DM29" i="47"/>
  <c r="DJ125" i="47"/>
  <c r="DJ180" i="47" s="1"/>
  <c r="DK20" i="47"/>
  <c r="DJ120" i="47"/>
  <c r="DJ175" i="47" s="1"/>
  <c r="DK15" i="47"/>
  <c r="DJ128" i="47"/>
  <c r="DJ183" i="47" s="1"/>
  <c r="DK23" i="47"/>
  <c r="DK110" i="47"/>
  <c r="DL87" i="47"/>
  <c r="DJ113" i="47"/>
  <c r="DK7" i="47"/>
  <c r="DJ121" i="47"/>
  <c r="DJ176" i="47" s="1"/>
  <c r="DK16" i="47"/>
  <c r="DK130" i="47"/>
  <c r="DK185" i="47" s="1"/>
  <c r="DL25" i="47"/>
  <c r="DJ132" i="47"/>
  <c r="DJ187" i="47" s="1"/>
  <c r="DK27" i="47"/>
  <c r="DK28" i="47"/>
  <c r="DJ133" i="47"/>
  <c r="DJ188" i="47" s="1"/>
  <c r="DK126" i="47"/>
  <c r="DK181" i="47" s="1"/>
  <c r="DL21" i="47"/>
  <c r="DJ140" i="47"/>
  <c r="DI164" i="47"/>
  <c r="CC115" i="40"/>
  <c r="CC117" i="40" s="1"/>
  <c r="CC119" i="40" s="1"/>
  <c r="CE102" i="40"/>
  <c r="CE115" i="40" s="1"/>
  <c r="CE82" i="40"/>
  <c r="DM25" i="47" l="1"/>
  <c r="DL130" i="47"/>
  <c r="DL185" i="47" s="1"/>
  <c r="DK113" i="47"/>
  <c r="DL7" i="47"/>
  <c r="DK32" i="47"/>
  <c r="DK128" i="47"/>
  <c r="DK183" i="47" s="1"/>
  <c r="DL23" i="47"/>
  <c r="DK125" i="47"/>
  <c r="DK180" i="47" s="1"/>
  <c r="DL20" i="47"/>
  <c r="DL131" i="47"/>
  <c r="DL186" i="47" s="1"/>
  <c r="DM26" i="47"/>
  <c r="DL24" i="47"/>
  <c r="DK129" i="47"/>
  <c r="DK184" i="47" s="1"/>
  <c r="DK123" i="47"/>
  <c r="DK178" i="47" s="1"/>
  <c r="DL18" i="47"/>
  <c r="DL116" i="47"/>
  <c r="DL171" i="47" s="1"/>
  <c r="DM11" i="47"/>
  <c r="DK58" i="47"/>
  <c r="DL35" i="47"/>
  <c r="DK114" i="47"/>
  <c r="DK169" i="47" s="1"/>
  <c r="DK124" i="47"/>
  <c r="DK179" i="47" s="1"/>
  <c r="DL19" i="47"/>
  <c r="DJ168" i="47"/>
  <c r="DJ192" i="47" s="1"/>
  <c r="DJ194" i="47" s="1"/>
  <c r="DJ196" i="47" s="1"/>
  <c r="DJ137" i="47"/>
  <c r="DK127" i="47"/>
  <c r="DK182" i="47" s="1"/>
  <c r="DL22" i="47"/>
  <c r="DL122" i="47"/>
  <c r="DL177" i="47" s="1"/>
  <c r="DM17" i="47"/>
  <c r="DK115" i="47"/>
  <c r="DK170" i="47" s="1"/>
  <c r="DL10" i="47"/>
  <c r="DJ164" i="47"/>
  <c r="DK140" i="47"/>
  <c r="DK133" i="47"/>
  <c r="DK188" i="47" s="1"/>
  <c r="DL28" i="47"/>
  <c r="DL126" i="47"/>
  <c r="DL181" i="47" s="1"/>
  <c r="DM21" i="47"/>
  <c r="DL27" i="47"/>
  <c r="DK132" i="47"/>
  <c r="DK187" i="47" s="1"/>
  <c r="DL16" i="47"/>
  <c r="DK121" i="47"/>
  <c r="DK176" i="47" s="1"/>
  <c r="DM87" i="47"/>
  <c r="DL110" i="47"/>
  <c r="DL15" i="47"/>
  <c r="DK120" i="47"/>
  <c r="DK175" i="47" s="1"/>
  <c r="DM134" i="47"/>
  <c r="DM189" i="47" s="1"/>
  <c r="DN29" i="47"/>
  <c r="DL118" i="47"/>
  <c r="DL173" i="47" s="1"/>
  <c r="DM13" i="47"/>
  <c r="DK117" i="47"/>
  <c r="DK172" i="47" s="1"/>
  <c r="DL12" i="47"/>
  <c r="DL14" i="47"/>
  <c r="DK119" i="47"/>
  <c r="DK174" i="47" s="1"/>
  <c r="HR20" i="46"/>
  <c r="HT20" i="46" s="1"/>
  <c r="HV20" i="46" s="1"/>
  <c r="HX20" i="46"/>
  <c r="HZ20" i="46" s="1"/>
  <c r="DM12" i="47" l="1"/>
  <c r="DL117" i="47"/>
  <c r="DL172" i="47" s="1"/>
  <c r="DN134" i="47"/>
  <c r="DN189" i="47" s="1"/>
  <c r="DO29" i="47"/>
  <c r="DL133" i="47"/>
  <c r="DL188" i="47" s="1"/>
  <c r="DM28" i="47"/>
  <c r="DL115" i="47"/>
  <c r="DL170" i="47" s="1"/>
  <c r="DM10" i="47"/>
  <c r="DL127" i="47"/>
  <c r="DL182" i="47" s="1"/>
  <c r="DM22" i="47"/>
  <c r="DL124" i="47"/>
  <c r="DL179" i="47" s="1"/>
  <c r="DM19" i="47"/>
  <c r="DL123" i="47"/>
  <c r="DL178" i="47" s="1"/>
  <c r="DM18" i="47"/>
  <c r="DM131" i="47"/>
  <c r="DM186" i="47" s="1"/>
  <c r="DN26" i="47"/>
  <c r="DM23" i="47"/>
  <c r="DL128" i="47"/>
  <c r="DL183" i="47" s="1"/>
  <c r="DK168" i="47"/>
  <c r="DK192" i="47" s="1"/>
  <c r="DK194" i="47" s="1"/>
  <c r="DK196" i="47" s="1"/>
  <c r="DK137" i="47"/>
  <c r="DM14" i="47"/>
  <c r="DL119" i="47"/>
  <c r="DL174" i="47" s="1"/>
  <c r="DM15" i="47"/>
  <c r="DL120" i="47"/>
  <c r="DL175" i="47" s="1"/>
  <c r="DM110" i="47"/>
  <c r="DN87" i="47"/>
  <c r="DL132" i="47"/>
  <c r="DL187" i="47" s="1"/>
  <c r="DM27" i="47"/>
  <c r="DN11" i="47"/>
  <c r="DM116" i="47"/>
  <c r="DM171" i="47" s="1"/>
  <c r="DM16" i="47"/>
  <c r="DL121" i="47"/>
  <c r="DL176" i="47" s="1"/>
  <c r="DL114" i="47"/>
  <c r="DL169" i="47" s="1"/>
  <c r="DM35" i="47"/>
  <c r="DL58" i="47"/>
  <c r="DL32" i="47"/>
  <c r="DM24" i="47"/>
  <c r="DL129" i="47"/>
  <c r="DL184" i="47" s="1"/>
  <c r="DL113" i="47"/>
  <c r="DM7" i="47"/>
  <c r="DM118" i="47"/>
  <c r="DM173" i="47" s="1"/>
  <c r="DN13" i="47"/>
  <c r="DM126" i="47"/>
  <c r="DM181" i="47" s="1"/>
  <c r="DN21" i="47"/>
  <c r="DK164" i="47"/>
  <c r="DL140" i="47"/>
  <c r="DN17" i="47"/>
  <c r="DM122" i="47"/>
  <c r="DM177" i="47" s="1"/>
  <c r="DL125" i="47"/>
  <c r="DL180" i="47" s="1"/>
  <c r="DM20" i="47"/>
  <c r="DM130" i="47"/>
  <c r="DM185" i="47" s="1"/>
  <c r="DN25" i="47"/>
  <c r="HR21" i="46"/>
  <c r="HT21" i="46" s="1"/>
  <c r="HV21" i="46" s="1"/>
  <c r="HX21" i="46"/>
  <c r="HZ21" i="46" s="1"/>
  <c r="HR14" i="46"/>
  <c r="HT14" i="46" s="1"/>
  <c r="HV14" i="46" s="1"/>
  <c r="HX14" i="46"/>
  <c r="HZ14" i="46" s="1"/>
  <c r="HR12" i="46"/>
  <c r="HT12" i="46" s="1"/>
  <c r="HV12" i="46" s="1"/>
  <c r="HX12" i="46"/>
  <c r="HZ12" i="46" s="1"/>
  <c r="HR7" i="46"/>
  <c r="HT7" i="46" s="1"/>
  <c r="HV7" i="46" s="1"/>
  <c r="HX7" i="46"/>
  <c r="HZ7" i="46" s="1"/>
  <c r="HR15" i="46"/>
  <c r="HT15" i="46" s="1"/>
  <c r="HV15" i="46" s="1"/>
  <c r="HX15" i="46"/>
  <c r="HZ15" i="46" s="1"/>
  <c r="HR11" i="46"/>
  <c r="HT11" i="46" s="1"/>
  <c r="HV11" i="46" s="1"/>
  <c r="HX11" i="46"/>
  <c r="HZ11" i="46" s="1"/>
  <c r="HR13" i="46"/>
  <c r="HT13" i="46" s="1"/>
  <c r="HV13" i="46" s="1"/>
  <c r="HX13" i="46"/>
  <c r="HZ13" i="46" s="1"/>
  <c r="HR23" i="46"/>
  <c r="HT23" i="46" s="1"/>
  <c r="HV23" i="46" s="1"/>
  <c r="HX23" i="46"/>
  <c r="HZ23" i="46" s="1"/>
  <c r="HR16" i="46"/>
  <c r="HT16" i="46" s="1"/>
  <c r="HV16" i="46" s="1"/>
  <c r="HX16" i="46"/>
  <c r="HZ16" i="46" s="1"/>
  <c r="HR17" i="46"/>
  <c r="HT17" i="46" s="1"/>
  <c r="HV17" i="46" s="1"/>
  <c r="HX17" i="46"/>
  <c r="HZ17" i="46" s="1"/>
  <c r="HR22" i="46"/>
  <c r="HT22" i="46" s="1"/>
  <c r="HV22" i="46" s="1"/>
  <c r="HX22" i="46"/>
  <c r="HZ22" i="46" s="1"/>
  <c r="HR18" i="46"/>
  <c r="HT18" i="46" s="1"/>
  <c r="HV18" i="46" s="1"/>
  <c r="HX18" i="46"/>
  <c r="HZ18" i="46" s="1"/>
  <c r="HR10" i="46"/>
  <c r="HT10" i="46" s="1"/>
  <c r="HV10" i="46" s="1"/>
  <c r="HX10" i="46"/>
  <c r="HZ10" i="46" s="1"/>
  <c r="HR24" i="46"/>
  <c r="HT24" i="46" s="1"/>
  <c r="HV24" i="46" s="1"/>
  <c r="HX24" i="46"/>
  <c r="HZ24" i="46" s="1"/>
  <c r="DN27" i="47" l="1"/>
  <c r="DM132" i="47"/>
  <c r="DM187" i="47" s="1"/>
  <c r="DN122" i="47"/>
  <c r="DN177" i="47" s="1"/>
  <c r="DO17" i="47"/>
  <c r="DM113" i="47"/>
  <c r="DN7" i="47"/>
  <c r="DM58" i="47"/>
  <c r="DN35" i="47"/>
  <c r="DM114" i="47"/>
  <c r="DM169" i="47" s="1"/>
  <c r="DO87" i="47"/>
  <c r="DN110" i="47"/>
  <c r="DM123" i="47"/>
  <c r="DM178" i="47" s="1"/>
  <c r="DN18" i="47"/>
  <c r="DM127" i="47"/>
  <c r="DM182" i="47" s="1"/>
  <c r="DN22" i="47"/>
  <c r="DM133" i="47"/>
  <c r="DM188" i="47" s="1"/>
  <c r="DN28" i="47"/>
  <c r="DO26" i="47"/>
  <c r="DN131" i="47"/>
  <c r="DN186" i="47" s="1"/>
  <c r="DM124" i="47"/>
  <c r="DM179" i="47" s="1"/>
  <c r="DN19" i="47"/>
  <c r="DM115" i="47"/>
  <c r="DM170" i="47" s="1"/>
  <c r="DN10" i="47"/>
  <c r="DO134" i="47"/>
  <c r="DO189" i="47" s="1"/>
  <c r="DP29" i="47"/>
  <c r="DN20" i="47"/>
  <c r="DM125" i="47"/>
  <c r="DM180" i="47" s="1"/>
  <c r="DL164" i="47"/>
  <c r="DM140" i="47"/>
  <c r="DN118" i="47"/>
  <c r="DN173" i="47" s="1"/>
  <c r="DO13" i="47"/>
  <c r="DL168" i="47"/>
  <c r="DL192" i="47" s="1"/>
  <c r="DL194" i="47" s="1"/>
  <c r="DL196" i="47" s="1"/>
  <c r="DL137" i="47"/>
  <c r="DM121" i="47"/>
  <c r="DM176" i="47" s="1"/>
  <c r="DN16" i="47"/>
  <c r="DM120" i="47"/>
  <c r="DM175" i="47" s="1"/>
  <c r="DN15" i="47"/>
  <c r="DO25" i="47"/>
  <c r="DN130" i="47"/>
  <c r="DN185" i="47" s="1"/>
  <c r="DO21" i="47"/>
  <c r="DN126" i="47"/>
  <c r="DN181" i="47" s="1"/>
  <c r="DM32" i="47"/>
  <c r="DN24" i="47"/>
  <c r="DM129" i="47"/>
  <c r="DM184" i="47" s="1"/>
  <c r="DN116" i="47"/>
  <c r="DN171" i="47" s="1"/>
  <c r="DO11" i="47"/>
  <c r="DM119" i="47"/>
  <c r="DM174" i="47" s="1"/>
  <c r="DN14" i="47"/>
  <c r="DM128" i="47"/>
  <c r="DM183" i="47" s="1"/>
  <c r="DN23" i="47"/>
  <c r="DM117" i="47"/>
  <c r="DM172" i="47" s="1"/>
  <c r="DN12" i="47"/>
  <c r="HR25" i="46"/>
  <c r="HT25" i="46" s="1"/>
  <c r="HV25" i="46" s="1"/>
  <c r="HX25" i="46"/>
  <c r="HZ25" i="46" s="1"/>
  <c r="HR9" i="46"/>
  <c r="HT9" i="46" s="1"/>
  <c r="HV9" i="46" s="1"/>
  <c r="HX9" i="46"/>
  <c r="HZ9" i="46" s="1"/>
  <c r="HR19" i="46"/>
  <c r="HT19" i="46" s="1"/>
  <c r="HV19" i="46" s="1"/>
  <c r="HX19" i="46"/>
  <c r="HZ19" i="46" s="1"/>
  <c r="HR26" i="46"/>
  <c r="HT26" i="46" s="1"/>
  <c r="HV26" i="46" s="1"/>
  <c r="HX26" i="46"/>
  <c r="HZ26" i="46" s="1"/>
  <c r="HR8" i="46"/>
  <c r="HT8" i="46" s="1"/>
  <c r="HV8" i="46" s="1"/>
  <c r="HX8" i="46"/>
  <c r="HZ8" i="46" s="1"/>
  <c r="DP21" i="47" l="1"/>
  <c r="DO126" i="47"/>
  <c r="DO181" i="47" s="1"/>
  <c r="DO35" i="47"/>
  <c r="DN58" i="47"/>
  <c r="DN114" i="47"/>
  <c r="DN169" i="47" s="1"/>
  <c r="DO122" i="47"/>
  <c r="DO177" i="47" s="1"/>
  <c r="DP17" i="47"/>
  <c r="DO23" i="47"/>
  <c r="DN128" i="47"/>
  <c r="DN183" i="47" s="1"/>
  <c r="DP11" i="47"/>
  <c r="DO116" i="47"/>
  <c r="DO171" i="47" s="1"/>
  <c r="DO24" i="47"/>
  <c r="DN129" i="47"/>
  <c r="DN184" i="47" s="1"/>
  <c r="DN121" i="47"/>
  <c r="DN176" i="47" s="1"/>
  <c r="DO16" i="47"/>
  <c r="DO118" i="47"/>
  <c r="DO173" i="47" s="1"/>
  <c r="DP13" i="47"/>
  <c r="DN115" i="47"/>
  <c r="DN170" i="47" s="1"/>
  <c r="DO10" i="47"/>
  <c r="DN127" i="47"/>
  <c r="DN182" i="47" s="1"/>
  <c r="DO22" i="47"/>
  <c r="DO130" i="47"/>
  <c r="DO185" i="47" s="1"/>
  <c r="DP25" i="47"/>
  <c r="DN125" i="47"/>
  <c r="DN180" i="47" s="1"/>
  <c r="DO20" i="47"/>
  <c r="DP26" i="47"/>
  <c r="DO131" i="47"/>
  <c r="DO186" i="47" s="1"/>
  <c r="DP87" i="47"/>
  <c r="DO110" i="47"/>
  <c r="DN113" i="47"/>
  <c r="DO7" i="47"/>
  <c r="DN117" i="47"/>
  <c r="DN172" i="47" s="1"/>
  <c r="DO12" i="47"/>
  <c r="DO14" i="47"/>
  <c r="DN119" i="47"/>
  <c r="DN174" i="47" s="1"/>
  <c r="DN32" i="47"/>
  <c r="DO15" i="47"/>
  <c r="DN120" i="47"/>
  <c r="DN175" i="47" s="1"/>
  <c r="DM164" i="47"/>
  <c r="DN140" i="47"/>
  <c r="DP134" i="47"/>
  <c r="DP189" i="47" s="1"/>
  <c r="DQ29" i="47"/>
  <c r="DQ134" i="47" s="1"/>
  <c r="DQ189" i="47" s="1"/>
  <c r="DN124" i="47"/>
  <c r="DN179" i="47" s="1"/>
  <c r="DO19" i="47"/>
  <c r="DN133" i="47"/>
  <c r="DN188" i="47" s="1"/>
  <c r="DO28" i="47"/>
  <c r="DN123" i="47"/>
  <c r="DN178" i="47" s="1"/>
  <c r="DO18" i="47"/>
  <c r="DM168" i="47"/>
  <c r="DM192" i="47" s="1"/>
  <c r="DM194" i="47" s="1"/>
  <c r="DM196" i="47" s="1"/>
  <c r="DM137" i="47"/>
  <c r="DN132" i="47"/>
  <c r="DN187" i="47" s="1"/>
  <c r="DO27" i="47"/>
  <c r="AN131" i="11"/>
  <c r="AE131" i="11"/>
  <c r="DO123" i="47" l="1"/>
  <c r="DO178" i="47" s="1"/>
  <c r="DP18" i="47"/>
  <c r="DO124" i="47"/>
  <c r="DO179" i="47" s="1"/>
  <c r="DP19" i="47"/>
  <c r="DN164" i="47"/>
  <c r="DO140" i="47"/>
  <c r="DP110" i="47"/>
  <c r="DQ87" i="47"/>
  <c r="DQ110" i="47" s="1"/>
  <c r="DP24" i="47"/>
  <c r="DO129" i="47"/>
  <c r="DO184" i="47" s="1"/>
  <c r="DP23" i="47"/>
  <c r="DO128" i="47"/>
  <c r="DO183" i="47" s="1"/>
  <c r="DO113" i="47"/>
  <c r="DP7" i="47"/>
  <c r="DO32" i="47"/>
  <c r="DP130" i="47"/>
  <c r="DP185" i="47" s="1"/>
  <c r="DQ25" i="47"/>
  <c r="DQ130" i="47" s="1"/>
  <c r="DQ185" i="47" s="1"/>
  <c r="DO115" i="47"/>
  <c r="DO170" i="47" s="1"/>
  <c r="DP10" i="47"/>
  <c r="DP16" i="47"/>
  <c r="DO121" i="47"/>
  <c r="DO176" i="47" s="1"/>
  <c r="DQ17" i="47"/>
  <c r="DQ122" i="47" s="1"/>
  <c r="DQ177" i="47" s="1"/>
  <c r="DP122" i="47"/>
  <c r="DP177" i="47" s="1"/>
  <c r="DO58" i="47"/>
  <c r="DP35" i="47"/>
  <c r="DO114" i="47"/>
  <c r="DO169" i="47" s="1"/>
  <c r="DP14" i="47"/>
  <c r="DO119" i="47"/>
  <c r="DO174" i="47" s="1"/>
  <c r="DN168" i="47"/>
  <c r="DN192" i="47" s="1"/>
  <c r="DN194" i="47" s="1"/>
  <c r="DN196" i="47" s="1"/>
  <c r="DN137" i="47"/>
  <c r="DQ26" i="47"/>
  <c r="DQ131" i="47" s="1"/>
  <c r="DQ186" i="47" s="1"/>
  <c r="DP131" i="47"/>
  <c r="DP186" i="47" s="1"/>
  <c r="DP116" i="47"/>
  <c r="DP171" i="47" s="1"/>
  <c r="DQ11" i="47"/>
  <c r="DQ116" i="47" s="1"/>
  <c r="DQ171" i="47" s="1"/>
  <c r="DO132" i="47"/>
  <c r="DO187" i="47" s="1"/>
  <c r="DP27" i="47"/>
  <c r="DO133" i="47"/>
  <c r="DO188" i="47" s="1"/>
  <c r="DP28" i="47"/>
  <c r="DO120" i="47"/>
  <c r="DO175" i="47" s="1"/>
  <c r="DP15" i="47"/>
  <c r="DP12" i="47"/>
  <c r="DO117" i="47"/>
  <c r="DO172" i="47" s="1"/>
  <c r="DO125" i="47"/>
  <c r="DO180" i="47" s="1"/>
  <c r="DP20" i="47"/>
  <c r="DP22" i="47"/>
  <c r="DO127" i="47"/>
  <c r="DO182" i="47" s="1"/>
  <c r="DP118" i="47"/>
  <c r="DP173" i="47" s="1"/>
  <c r="DQ13" i="47"/>
  <c r="DQ118" i="47" s="1"/>
  <c r="DQ173" i="47" s="1"/>
  <c r="DQ21" i="47"/>
  <c r="DQ126" i="47" s="1"/>
  <c r="DQ181" i="47" s="1"/>
  <c r="DP126" i="47"/>
  <c r="DP181" i="47" s="1"/>
  <c r="B42" i="44"/>
  <c r="G74" i="11" s="1"/>
  <c r="DP121" i="47" l="1"/>
  <c r="DP176" i="47" s="1"/>
  <c r="DQ16" i="47"/>
  <c r="DQ121" i="47" s="1"/>
  <c r="DQ176" i="47" s="1"/>
  <c r="DQ28" i="47"/>
  <c r="DQ133" i="47" s="1"/>
  <c r="DQ188" i="47" s="1"/>
  <c r="DP133" i="47"/>
  <c r="DP188" i="47" s="1"/>
  <c r="DP119" i="47"/>
  <c r="DP174" i="47" s="1"/>
  <c r="DQ14" i="47"/>
  <c r="DQ119" i="47" s="1"/>
  <c r="DQ174" i="47" s="1"/>
  <c r="DQ10" i="47"/>
  <c r="DQ115" i="47" s="1"/>
  <c r="DQ170" i="47" s="1"/>
  <c r="DP115" i="47"/>
  <c r="DP170" i="47" s="1"/>
  <c r="DP128" i="47"/>
  <c r="DP183" i="47" s="1"/>
  <c r="DQ23" i="47"/>
  <c r="DQ128" i="47" s="1"/>
  <c r="DQ183" i="47" s="1"/>
  <c r="DQ19" i="47"/>
  <c r="DQ124" i="47" s="1"/>
  <c r="DQ179" i="47" s="1"/>
  <c r="DP124" i="47"/>
  <c r="DP179" i="47" s="1"/>
  <c r="DP127" i="47"/>
  <c r="DP182" i="47" s="1"/>
  <c r="DQ22" i="47"/>
  <c r="DQ127" i="47" s="1"/>
  <c r="DQ182" i="47" s="1"/>
  <c r="DQ12" i="47"/>
  <c r="DQ117" i="47" s="1"/>
  <c r="DQ172" i="47" s="1"/>
  <c r="DP117" i="47"/>
  <c r="DP172" i="47" s="1"/>
  <c r="DQ7" i="47"/>
  <c r="DP113" i="47"/>
  <c r="DO164" i="47"/>
  <c r="DP140" i="47"/>
  <c r="DP123" i="47"/>
  <c r="DP178" i="47" s="1"/>
  <c r="DQ18" i="47"/>
  <c r="DQ123" i="47" s="1"/>
  <c r="DQ178" i="47" s="1"/>
  <c r="DQ20" i="47"/>
  <c r="DQ125" i="47" s="1"/>
  <c r="DQ180" i="47" s="1"/>
  <c r="DP125" i="47"/>
  <c r="DP180" i="47" s="1"/>
  <c r="DQ15" i="47"/>
  <c r="DQ120" i="47" s="1"/>
  <c r="DQ175" i="47" s="1"/>
  <c r="DP120" i="47"/>
  <c r="DP175" i="47" s="1"/>
  <c r="DP132" i="47"/>
  <c r="DP187" i="47" s="1"/>
  <c r="DQ27" i="47"/>
  <c r="DQ132" i="47" s="1"/>
  <c r="DQ187" i="47" s="1"/>
  <c r="DP32" i="47"/>
  <c r="DP114" i="47"/>
  <c r="DP169" i="47" s="1"/>
  <c r="DQ35" i="47"/>
  <c r="DP58" i="47"/>
  <c r="DO137" i="47"/>
  <c r="DO168" i="47"/>
  <c r="DO192" i="47" s="1"/>
  <c r="DO194" i="47" s="1"/>
  <c r="DO196" i="47" s="1"/>
  <c r="DQ24" i="47"/>
  <c r="DQ129" i="47" s="1"/>
  <c r="DQ184" i="47" s="1"/>
  <c r="DP129" i="47"/>
  <c r="DP184" i="47" s="1"/>
  <c r="T19" i="45"/>
  <c r="T49" i="45" s="1"/>
  <c r="T53" i="45" s="1"/>
  <c r="M73" i="11"/>
  <c r="M74" i="11"/>
  <c r="HR6" i="46"/>
  <c r="HT6" i="46" s="1"/>
  <c r="HX6" i="46"/>
  <c r="DP164" i="47" l="1"/>
  <c r="DQ140" i="47"/>
  <c r="DQ164" i="47" s="1"/>
  <c r="DP168" i="47"/>
  <c r="DP192" i="47" s="1"/>
  <c r="DP194" i="47" s="1"/>
  <c r="DP196" i="47" s="1"/>
  <c r="DP137" i="47"/>
  <c r="DQ58" i="47"/>
  <c r="DQ114" i="47"/>
  <c r="DQ169" i="47" s="1"/>
  <c r="DQ113" i="47"/>
  <c r="DQ32" i="47"/>
  <c r="P18" i="11"/>
  <c r="HZ6" i="46"/>
  <c r="HZ181" i="46" s="1"/>
  <c r="HX181" i="46"/>
  <c r="BS131" i="11" s="1"/>
  <c r="BU131" i="11" s="1"/>
  <c r="BV131" i="11" s="1"/>
  <c r="HV6" i="46"/>
  <c r="HV181" i="46" s="1"/>
  <c r="HT181" i="46"/>
  <c r="BG131" i="11" s="1"/>
  <c r="DQ168" i="47" l="1"/>
  <c r="DQ192" i="47" s="1"/>
  <c r="DQ194" i="47" s="1"/>
  <c r="DQ196" i="47" s="1"/>
  <c r="DQ137" i="47"/>
  <c r="E5" i="47"/>
  <c r="D5" i="40" s="1"/>
  <c r="E4" i="47"/>
  <c r="D4" i="40" s="1"/>
  <c r="E3" i="47"/>
  <c r="D3" i="40" s="1"/>
  <c r="A3" i="11"/>
  <c r="AC131" i="11"/>
  <c r="AB131" i="11"/>
  <c r="BI131" i="11"/>
  <c r="BJ131" i="11" s="1"/>
  <c r="BP131" i="11" l="1"/>
  <c r="BD131" i="11"/>
  <c r="AD131" i="11"/>
  <c r="BM131" i="11"/>
  <c r="BE131" i="11" l="1"/>
  <c r="BF131" i="11" s="1"/>
  <c r="BQ131" i="11"/>
  <c r="BR131" i="11" s="1"/>
  <c r="AG131" i="11"/>
  <c r="AI131" i="11" s="1"/>
</calcChain>
</file>

<file path=xl/sharedStrings.xml><?xml version="1.0" encoding="utf-8"?>
<sst xmlns="http://schemas.openxmlformats.org/spreadsheetml/2006/main" count="6433" uniqueCount="1417">
  <si>
    <t>Offshore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</si>
  <si>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</si>
  <si>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</si>
  <si>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</si>
  <si>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</si>
  <si>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</si>
  <si>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</si>
  <si>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</si>
  <si>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</si>
  <si>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</si>
  <si>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</si>
  <si>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</si>
  <si>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</si>
  <si>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B5 (min 8 yrs)</t>
  </si>
  <si>
    <t>B4 PM1 (9 to 12 yrs)</t>
  </si>
  <si>
    <t>B3 PL3 (7 to 10 yrs)</t>
  </si>
  <si>
    <t>B3 PL2 (6 to 8 yrs)</t>
  </si>
  <si>
    <t>B3 PL1 (5 to 7 yrs)</t>
  </si>
  <si>
    <t>B2 AP3 (3 to 5 yrs)</t>
  </si>
  <si>
    <t>B2 AP2 (0.6 to 3 yrs)</t>
  </si>
  <si>
    <t>B2 AP1</t>
  </si>
  <si>
    <t>Total Offshore</t>
  </si>
  <si>
    <t>Domestic</t>
  </si>
  <si>
    <t>Deputed</t>
  </si>
  <si>
    <t>Total</t>
  </si>
  <si>
    <t>Others</t>
  </si>
  <si>
    <t>Open</t>
  </si>
  <si>
    <t>Subtotal</t>
  </si>
  <si>
    <t>Total Onsite</t>
  </si>
  <si>
    <t>Total Staffing</t>
  </si>
  <si>
    <t>SOG</t>
  </si>
  <si>
    <t>Role</t>
  </si>
  <si>
    <t>HeadA</t>
  </si>
  <si>
    <t>SubHeadA</t>
  </si>
  <si>
    <t>STAFFING DETAILS</t>
  </si>
  <si>
    <t>Total SOG</t>
  </si>
  <si>
    <t>Onsite - Original L1</t>
  </si>
  <si>
    <t>Onsite - H1 / Extended L1</t>
  </si>
  <si>
    <t>Onsite - Business Visa (B1)</t>
  </si>
  <si>
    <r>
      <t>Onsite - Local</t>
    </r>
    <r>
      <rPr>
        <b/>
        <sz val="8"/>
        <rFont val="Trebuchet MS"/>
        <family val="2"/>
      </rPr>
      <t xml:space="preserve"> (Contractor)</t>
    </r>
  </si>
  <si>
    <r>
      <t>Onsite - Local</t>
    </r>
    <r>
      <rPr>
        <b/>
        <sz val="8"/>
        <rFont val="Trebuchet MS"/>
        <family val="2"/>
      </rPr>
      <t xml:space="preserve"> (Syntel, Inc)</t>
    </r>
  </si>
  <si>
    <t>B4 PM3 (12 to 15 yrs)</t>
  </si>
  <si>
    <t>B4 PM2 (10 to 14 yrs)</t>
  </si>
  <si>
    <t>Other</t>
  </si>
  <si>
    <t>Select</t>
  </si>
  <si>
    <t>Client facility</t>
  </si>
  <si>
    <t>Pune -GDC</t>
  </si>
  <si>
    <t>YES</t>
  </si>
  <si>
    <t>Syntel facility</t>
  </si>
  <si>
    <t>Pune Other</t>
  </si>
  <si>
    <t>NO</t>
  </si>
  <si>
    <t>Not Applicable</t>
  </si>
  <si>
    <t>Mumbai</t>
  </si>
  <si>
    <t>Client Name:</t>
  </si>
  <si>
    <t>Chennai</t>
  </si>
  <si>
    <t>Names of Solution &amp; Sales SPOC:</t>
  </si>
  <si>
    <t>Delhi</t>
  </si>
  <si>
    <t xml:space="preserve">Contact numbers:                                                                                                                                 </t>
  </si>
  <si>
    <t>Hyderabad</t>
  </si>
  <si>
    <t>1. What is the Technology involved ?</t>
  </si>
  <si>
    <t>1 (a). Generic Technology Skill % (as per staffing plan)</t>
  </si>
  <si>
    <t>1 (b). SOG / Niche Technology Skill % (as per staffing plan)</t>
  </si>
  <si>
    <t>1 (b) i. Provide names &amp; employee ids of SOG / Niche resources if identified (as per staffing plan)</t>
  </si>
  <si>
    <t xml:space="preserve">             Name with visa status</t>
  </si>
  <si>
    <t xml:space="preserve">             Employee id</t>
  </si>
  <si>
    <t xml:space="preserve">     Onsite Facility: </t>
  </si>
  <si>
    <t xml:space="preserve">     Offshore location:</t>
  </si>
  <si>
    <t xml:space="preserve">      Name</t>
  </si>
  <si>
    <t xml:space="preserve">      Employee id</t>
  </si>
  <si>
    <t xml:space="preserve">      Cost/Hr</t>
  </si>
  <si>
    <t xml:space="preserve">      Bill rate/Hr</t>
  </si>
  <si>
    <t>None</t>
  </si>
  <si>
    <t>Generic</t>
  </si>
  <si>
    <t>Role Code</t>
  </si>
  <si>
    <t>Category</t>
  </si>
  <si>
    <t>Practice</t>
  </si>
  <si>
    <t>Proficiency Level</t>
  </si>
  <si>
    <t>Years of Experience</t>
  </si>
  <si>
    <t>IMS</t>
  </si>
  <si>
    <t>SAP</t>
  </si>
  <si>
    <t>Testing</t>
  </si>
  <si>
    <t>Cloud</t>
  </si>
  <si>
    <t>Consulting</t>
  </si>
  <si>
    <t>Architect</t>
  </si>
  <si>
    <t>Junior</t>
  </si>
  <si>
    <t>ASG</t>
  </si>
  <si>
    <t>Servers/Storage/Ent Tools/Database/Network</t>
  </si>
  <si>
    <t>ECM</t>
  </si>
  <si>
    <t>Administrator</t>
  </si>
  <si>
    <t>Automation</t>
  </si>
  <si>
    <t>Functional Automation Testing Tools</t>
  </si>
  <si>
    <t>Senior</t>
  </si>
  <si>
    <t>Developer</t>
  </si>
  <si>
    <t>BIDW</t>
  </si>
  <si>
    <t>Functional Testing</t>
  </si>
  <si>
    <t>Salesforce/ Azure</t>
  </si>
  <si>
    <t>Actuate/Crystal</t>
  </si>
  <si>
    <t>IT</t>
  </si>
  <si>
    <t>ADS</t>
  </si>
  <si>
    <t>Domain</t>
  </si>
  <si>
    <t>Domain Testing</t>
  </si>
  <si>
    <t>Desktop</t>
  </si>
  <si>
    <t>PC Support / Patch / Desk side</t>
  </si>
  <si>
    <t>Manual Testing</t>
  </si>
  <si>
    <t>Exchange</t>
  </si>
  <si>
    <t>Performance</t>
  </si>
  <si>
    <t>Non-Functional Performace Testing Tools</t>
  </si>
  <si>
    <t>ITSM</t>
  </si>
  <si>
    <t>Cognos</t>
  </si>
  <si>
    <t>Mainframe</t>
  </si>
  <si>
    <t>Weblogic/Websphere/Jboss/Middleware</t>
  </si>
  <si>
    <t>Network/Telecom</t>
  </si>
  <si>
    <t>Informatica</t>
  </si>
  <si>
    <t>Strategic Test Management</t>
  </si>
  <si>
    <t>Test Process Consulting</t>
  </si>
  <si>
    <t>Security</t>
  </si>
  <si>
    <t>Storage</t>
  </si>
  <si>
    <t xml:space="preserve">Storage &amp; Backup </t>
  </si>
  <si>
    <t>EAI</t>
  </si>
  <si>
    <t>EIS</t>
  </si>
  <si>
    <t>VMWare/SCCM/Citrix</t>
  </si>
  <si>
    <t>Telecom</t>
  </si>
  <si>
    <t>Vermillion</t>
  </si>
  <si>
    <t>ITIL</t>
  </si>
  <si>
    <t>WebMethods</t>
  </si>
  <si>
    <t>Lotus Notes</t>
  </si>
  <si>
    <t>Configurator</t>
  </si>
  <si>
    <t>Remedy</t>
  </si>
  <si>
    <t>EDI</t>
  </si>
  <si>
    <t>Oracle</t>
  </si>
  <si>
    <t>TumbleWeed</t>
  </si>
  <si>
    <t>Peoplesoft</t>
  </si>
  <si>
    <t>Usability Specialist</t>
  </si>
  <si>
    <t>Varicent</t>
  </si>
  <si>
    <t>Ref.</t>
  </si>
  <si>
    <t>Sub - Practice</t>
  </si>
  <si>
    <t>Skills</t>
  </si>
  <si>
    <t>Skills Category</t>
  </si>
  <si>
    <t>Premium</t>
  </si>
  <si>
    <t>14+</t>
  </si>
  <si>
    <t>Skillbay/Contract Hires-Onsite</t>
  </si>
  <si>
    <t>SR.NO</t>
  </si>
  <si>
    <t>Band Grade Mapping 1</t>
  </si>
  <si>
    <t>Band Grade Mapping 2</t>
  </si>
  <si>
    <t>Band Grade Mapping 3</t>
  </si>
  <si>
    <t xml:space="preserve">5 - 7 </t>
  </si>
  <si>
    <t>SharePoint</t>
  </si>
  <si>
    <t>7 - 9</t>
  </si>
  <si>
    <t>9 - 12</t>
  </si>
  <si>
    <t>12 - 14</t>
  </si>
  <si>
    <t xml:space="preserve">0 - 3 </t>
  </si>
  <si>
    <t xml:space="preserve">3 - 5 </t>
  </si>
  <si>
    <t xml:space="preserve">1 - 5 </t>
  </si>
  <si>
    <t>3 - 5</t>
  </si>
  <si>
    <t>Management</t>
  </si>
  <si>
    <t>Middleware</t>
  </si>
  <si>
    <t>Network</t>
  </si>
  <si>
    <t>NOC/Helpdesk/Batch Ops/HW-</t>
  </si>
  <si>
    <t>Systems</t>
  </si>
  <si>
    <t>Solaris/Linux/Windows Server &amp; Systems/AIX</t>
  </si>
  <si>
    <t>MS SQL/Oracle</t>
  </si>
  <si>
    <t>Sybase</t>
  </si>
  <si>
    <t>Technician</t>
  </si>
  <si>
    <t>Intergration</t>
  </si>
  <si>
    <t>Web Architect</t>
  </si>
  <si>
    <t>DB2 / IMS / Z/OS</t>
  </si>
  <si>
    <t xml:space="preserve">14+ </t>
  </si>
  <si>
    <t>Operation</t>
  </si>
  <si>
    <t>Amdocs</t>
  </si>
  <si>
    <t>SQL</t>
  </si>
  <si>
    <t xml:space="preserve">9 - 12 </t>
  </si>
  <si>
    <t>ETL</t>
  </si>
  <si>
    <t>Reporting</t>
  </si>
  <si>
    <t xml:space="preserve">Abinitio / Informatica / Datastage </t>
  </si>
  <si>
    <t>Microstrategy / Abinitio / Teradata</t>
  </si>
  <si>
    <t>Cognos / BO</t>
  </si>
  <si>
    <t>Business Rules</t>
  </si>
  <si>
    <t>TIBCO</t>
  </si>
  <si>
    <t>Process</t>
  </si>
  <si>
    <t>Mercator/MQ</t>
  </si>
  <si>
    <t xml:space="preserve">Web Application Integration - Middleware Infrastructure </t>
  </si>
  <si>
    <t xml:space="preserve">Oracle Apps </t>
  </si>
  <si>
    <t>Product Testing (GoldenSource, Latent Zero, TLM Recon, Guidewire/Duck Creek BPTR)</t>
  </si>
  <si>
    <t>Mobility</t>
  </si>
  <si>
    <t xml:space="preserve">8 - 10 </t>
  </si>
  <si>
    <t>10 - 12</t>
  </si>
  <si>
    <t xml:space="preserve">12 - 14 </t>
  </si>
  <si>
    <t xml:space="preserve">IBM WebSphere Process Server </t>
  </si>
  <si>
    <t xml:space="preserve">IBM WebSphere Message Broker </t>
  </si>
  <si>
    <t>Tibco</t>
  </si>
  <si>
    <t>Combination of Band &amp; Grade</t>
  </si>
  <si>
    <t>MobilityE</t>
  </si>
  <si>
    <t>ConsultantCloud</t>
  </si>
  <si>
    <t>MidLevel</t>
  </si>
  <si>
    <t>PvtPubCloud</t>
  </si>
  <si>
    <t>TechnicalLead</t>
  </si>
  <si>
    <t>AdministratorSharepoint</t>
  </si>
  <si>
    <t>ArchitectSharepoint</t>
  </si>
  <si>
    <t>DeveloperSharepoint</t>
  </si>
  <si>
    <t>TechnicalLeadSharepoint</t>
  </si>
  <si>
    <t>TestLeadShaerpoint</t>
  </si>
  <si>
    <t>TesterSharepoint</t>
  </si>
  <si>
    <t>ArchitectIMS</t>
  </si>
  <si>
    <t>IMSArchitect</t>
  </si>
  <si>
    <t>BuildandReleaseManagement</t>
  </si>
  <si>
    <t>BuildManager</t>
  </si>
  <si>
    <t>InfoSecurity</t>
  </si>
  <si>
    <t>ConsultantInfoSec</t>
  </si>
  <si>
    <t>ConsultantITSM</t>
  </si>
  <si>
    <t>ProgramManagerManagement</t>
  </si>
  <si>
    <t>ProjectManagerManagement</t>
  </si>
  <si>
    <t>AdministratorMiddleware</t>
  </si>
  <si>
    <t>AdministratorNetwork</t>
  </si>
  <si>
    <t>AdministratorSecurity</t>
  </si>
  <si>
    <t>AdministratorStorage</t>
  </si>
  <si>
    <t>AdministratorSystemsSolaris</t>
  </si>
  <si>
    <t>AdministratorSystemsVMWareSCCMCitrix</t>
  </si>
  <si>
    <t>AdministratorSystemsMSSQLOracle</t>
  </si>
  <si>
    <t>AdministratorSystemsSybase</t>
  </si>
  <si>
    <t>AdministratorSystems</t>
  </si>
  <si>
    <t>DataCentre</t>
  </si>
  <si>
    <t xml:space="preserve">DataCenterOperations </t>
  </si>
  <si>
    <t>DesktopEngineer</t>
  </si>
  <si>
    <t>HelpDesk</t>
  </si>
  <si>
    <t>HelpDeskAnalyst</t>
  </si>
  <si>
    <t>MailSetup</t>
  </si>
  <si>
    <t>NOCDesktop</t>
  </si>
  <si>
    <t>OpsSupport</t>
  </si>
  <si>
    <t>BusinessSystemsAnalyst</t>
  </si>
  <si>
    <t>BusinessAnalyst</t>
  </si>
  <si>
    <t>DuckCreek</t>
  </si>
  <si>
    <t>ArchitectDuckCreek</t>
  </si>
  <si>
    <t>ProjectManagerDuckCreek</t>
  </si>
  <si>
    <t>DeveloperGoldenSource</t>
  </si>
  <si>
    <t>JavaNet</t>
  </si>
  <si>
    <t>ArchitectJavaNet</t>
  </si>
  <si>
    <t>JavaNetColdFusion</t>
  </si>
  <si>
    <t>DeveloperJavaNetColdFusion</t>
  </si>
  <si>
    <t>DeveloperLotusNotes</t>
  </si>
  <si>
    <t>DeveloperMainframe</t>
  </si>
  <si>
    <t>ManagementIT</t>
  </si>
  <si>
    <t>ProjectManagerIT</t>
  </si>
  <si>
    <t>TechnicalWriter</t>
  </si>
  <si>
    <t>DeveloperTumbleWeed</t>
  </si>
  <si>
    <t>DeveloperVermillion</t>
  </si>
  <si>
    <t>DeveloperAmdocs</t>
  </si>
  <si>
    <t>ProjectManagerAmdocs</t>
  </si>
  <si>
    <t>JavaNetColdFusionIT</t>
  </si>
  <si>
    <t>TechnicalLeadJavaNetColdFusion</t>
  </si>
  <si>
    <t>DeveloperRemedy</t>
  </si>
  <si>
    <t>DeveloperSQL</t>
  </si>
  <si>
    <t>LatentZero</t>
  </si>
  <si>
    <t>DeveloperLatentZero</t>
  </si>
  <si>
    <t>DomainIT</t>
  </si>
  <si>
    <t>ConsultantDomain</t>
  </si>
  <si>
    <t>ArchitectMobility</t>
  </si>
  <si>
    <t>DeveloperMobility</t>
  </si>
  <si>
    <t>TechnicalLeadMobility</t>
  </si>
  <si>
    <t>TechnicalABAP</t>
  </si>
  <si>
    <t>TechnicalBasis</t>
  </si>
  <si>
    <t>FunctionalDomain</t>
  </si>
  <si>
    <t>ArchitectASG</t>
  </si>
  <si>
    <t>AdministratorBIDW</t>
  </si>
  <si>
    <t>ArchitectBIDW</t>
  </si>
  <si>
    <t>DeveloperBIDWCognos</t>
  </si>
  <si>
    <t>DeveloperBIDW</t>
  </si>
  <si>
    <t>DeveloperBIDWETL</t>
  </si>
  <si>
    <t>DeveloperBIDWInformatica</t>
  </si>
  <si>
    <t>DeveloperBIDWReporting</t>
  </si>
  <si>
    <t>ProjectManagerBIDW</t>
  </si>
  <si>
    <t xml:space="preserve">TechnicalLeadAbinitioInformaticaDatastage </t>
  </si>
  <si>
    <t>TechnicalLeadActuateCrystal</t>
  </si>
  <si>
    <t>TechnicalLeadMicrostrategyAbinitioTeradata</t>
  </si>
  <si>
    <t>TechnicalLeadCognosBO</t>
  </si>
  <si>
    <t>TechnicalLeadReporting</t>
  </si>
  <si>
    <t>TesterBIDW</t>
  </si>
  <si>
    <t>AnalystBusinessRules</t>
  </si>
  <si>
    <t>ArchitectTIBCO</t>
  </si>
  <si>
    <t>ArchitectEAI</t>
  </si>
  <si>
    <t>ArchitectBusinessRules</t>
  </si>
  <si>
    <t>ArchitectProcess</t>
  </si>
  <si>
    <t>ConfiguratorMercatorMQ</t>
  </si>
  <si>
    <t>ConsultantTIBCO</t>
  </si>
  <si>
    <t>DeveloperEAI</t>
  </si>
  <si>
    <t xml:space="preserve">DeveloperIBMWebSphereProcessServer </t>
  </si>
  <si>
    <t xml:space="preserve">DeveloperIBMWebSphereMessageBroker </t>
  </si>
  <si>
    <t>DeveloperTibco</t>
  </si>
  <si>
    <t xml:space="preserve">DeveloperWebApplicationIntegrationMiddlewareInfrastructure </t>
  </si>
  <si>
    <t>DeveloperWebMethods</t>
  </si>
  <si>
    <t>DeveloperBusinessRules</t>
  </si>
  <si>
    <t>ProjectManagerEAI</t>
  </si>
  <si>
    <t>TechnicalLeadEAI</t>
  </si>
  <si>
    <t>DatabaseAdministratorOracle</t>
  </si>
  <si>
    <t>DeveloperOracle</t>
  </si>
  <si>
    <t>FunctionalOracle</t>
  </si>
  <si>
    <t>ProjectManagerOracle</t>
  </si>
  <si>
    <t>TechnicalOracle</t>
  </si>
  <si>
    <t>FunctionalPeoplesoft</t>
  </si>
  <si>
    <t>ProjectManagerPeoplesoft</t>
  </si>
  <si>
    <t>TechnicalPeoplesoft</t>
  </si>
  <si>
    <t>ConsultantPeoplesoft</t>
  </si>
  <si>
    <t>DeveloperVaricent</t>
  </si>
  <si>
    <t>DomainTesting</t>
  </si>
  <si>
    <t>ManualTesting</t>
  </si>
  <si>
    <t>TestingTwo</t>
  </si>
  <si>
    <t>ProductBased</t>
  </si>
  <si>
    <t>AutomationTester</t>
  </si>
  <si>
    <t>AutomationTestLead</t>
  </si>
  <si>
    <t>AutomationTestManager</t>
  </si>
  <si>
    <t>DomainTestBusinessAnalyst</t>
  </si>
  <si>
    <t>ManualTestingTester</t>
  </si>
  <si>
    <t>ManualTestingTestLead</t>
  </si>
  <si>
    <t>ManualTestingTestManager</t>
  </si>
  <si>
    <t>PerformanceTester</t>
  </si>
  <si>
    <t>PerformanceTestLead</t>
  </si>
  <si>
    <t>PerformanceTestManager</t>
  </si>
  <si>
    <t>ProductBasedTester</t>
  </si>
  <si>
    <t>ProductBasedTestLead</t>
  </si>
  <si>
    <t>ProductBasedTestManager</t>
  </si>
  <si>
    <t>ContentEntryAnalyst</t>
  </si>
  <si>
    <t>IntegrationEngineer</t>
  </si>
  <si>
    <t xml:space="preserve">EngagementManagerAccount ManagerProject DirectorProgramController </t>
  </si>
  <si>
    <t>OperationsAnalyst</t>
  </si>
  <si>
    <t>GraphicsDesigner</t>
  </si>
  <si>
    <t>ConsultantUsabilitySpecialist</t>
  </si>
  <si>
    <t>TestingTestDirector</t>
  </si>
  <si>
    <t>IntegrationSpecialist</t>
  </si>
  <si>
    <t>ProcessLeader</t>
  </si>
  <si>
    <t>DataAdministratorProcess AnalystSOG</t>
  </si>
  <si>
    <t>TestingTestProcessConsultant</t>
  </si>
  <si>
    <t>DCNETIntegrator</t>
  </si>
  <si>
    <t xml:space="preserve">InterfaceDesigner  </t>
  </si>
  <si>
    <t>TemplateDeveloper</t>
  </si>
  <si>
    <t>DataModelerBIDW</t>
  </si>
  <si>
    <t>GoldenSource</t>
  </si>
  <si>
    <t>DeliveryManagerEIS</t>
  </si>
  <si>
    <t>LotusNotes</t>
  </si>
  <si>
    <t>ModelerBusinessRules</t>
  </si>
  <si>
    <t>ProcessLeadModeler</t>
  </si>
  <si>
    <t>ProgramManagerEIS</t>
  </si>
  <si>
    <t>Combination of Role</t>
  </si>
  <si>
    <t>Master Data :-</t>
  </si>
  <si>
    <t>DesktopEngineerNOC</t>
  </si>
  <si>
    <t>ConsultantITIL</t>
  </si>
  <si>
    <t>SOGTWO</t>
  </si>
  <si>
    <t>ApplicationArchitect</t>
  </si>
  <si>
    <t>SolutionArchitect</t>
  </si>
  <si>
    <t>ProgramLeadManagement</t>
  </si>
  <si>
    <t>EnterpriseArchitect</t>
  </si>
  <si>
    <t>DeveloperEDI</t>
  </si>
  <si>
    <t>Cloud_1 - Consulting/ConsultantCloud//Junior</t>
  </si>
  <si>
    <t>Cloud_11 - Consulting/ConsultantCloud//MidLevel</t>
  </si>
  <si>
    <t>Cloud_2 - Consulting/ConsultantCloud//Senior</t>
  </si>
  <si>
    <t>Cloud_15 - PvtPubCloud/Administrator/Salesforce/ Azure/Junior</t>
  </si>
  <si>
    <t>Cloud_16 - PvtPubCloud/Administrator/Salesforce/ Azure/MidLevel</t>
  </si>
  <si>
    <t>Cloud_17 - PvtPubCloud/Administrator/Salesforce/ Azure/Senior</t>
  </si>
  <si>
    <t>Cloud_4 - PvtPubCloud/Architect/Salesforce/ Azure/Junior</t>
  </si>
  <si>
    <t>Cloud_12 - PvtPubCloud/Architect/Salesforce/ Azure/MidLevel</t>
  </si>
  <si>
    <t>Cloud_5 - PvtPubCloud/Architect/Salesforce/ Azure/Senior</t>
  </si>
  <si>
    <t>Cloud_8 - PvtPubCloud/Developer/Salesforce/ Azure/Junior</t>
  </si>
  <si>
    <t>Cloud_9 - PvtPubCloud/Developer/Salesforce/ Azure/MidLevel</t>
  </si>
  <si>
    <t>Cloud_10 - PvtPubCloud/Developer/Salesforce/ Azure/Senior</t>
  </si>
  <si>
    <t>Cloud_13 - PvtPubCloud/TechnicalLead/Salesforce/ Azure/Junior</t>
  </si>
  <si>
    <t>Cloud_14 - PvtPubCloud/TechnicalLead/Salesforce/ Azure/Senior</t>
  </si>
  <si>
    <t>ECM_1 - SharePoint/AdministratorSharepoint//Junior</t>
  </si>
  <si>
    <t>ECM_20 - SharePoint/AdministratorSharepoint//MidLevel</t>
  </si>
  <si>
    <t>ECM_2 - SharePoint/AdministratorSharepoint//Senior</t>
  </si>
  <si>
    <t>ECM_3 - SharePoint/ArchitectSharepoint//Junior</t>
  </si>
  <si>
    <t>ECM_4 - SharePoint/ArchitectSharepoint//MidLevel</t>
  </si>
  <si>
    <t>ECM_5 - SharePoint/ArchitectSharepoint//Senior</t>
  </si>
  <si>
    <t>ECM_7 - SharePoint/DeveloperSharepoint//Junior</t>
  </si>
  <si>
    <t>ECM_8 - SharePoint/DeveloperSharepoint//MidLevel</t>
  </si>
  <si>
    <t>ECM_9 - SharePoint/DeveloperSharepoint//Senior</t>
  </si>
  <si>
    <t>ECM_10 - SharePoint/TechnicalLeadSharepoint//Junior</t>
  </si>
  <si>
    <t>ECM_12 - SharePoint/TechnicalLeadSharepoint//Senior</t>
  </si>
  <si>
    <t>ECM_18 - SharePoint/TestLeadShaerpoint/Functional Testing/Junior</t>
  </si>
  <si>
    <t>ECM_19 - SharePoint/TestLeadShaerpoint/Functional Testing/Senior</t>
  </si>
  <si>
    <t>ECM_15 - SharePoint/TesterSharepoint/Functional Testing/Junior</t>
  </si>
  <si>
    <t>ECM_17 - SharePoint/TesterSharepoint/Functional Testing/Senior</t>
  </si>
  <si>
    <t>IMS_1 - ArchitectIMS/IMSArchitect/Servers/Storage/Ent Tools/Database/Network/Junior</t>
  </si>
  <si>
    <t>IMS_2 - ArchitectIMS/IMSArchitect/Servers/Storage/Ent Tools/Database/Network/MidLevel</t>
  </si>
  <si>
    <t>IMS_3 - ArchitectIMS/IMSArchitect/Servers/Storage/Ent Tools/Database/Network/Senior</t>
  </si>
  <si>
    <t>IMS_4 - BuildandReleaseManagement/BuildManager//Junior</t>
  </si>
  <si>
    <t>IMS_5 - BuildandReleaseManagement/BuildManager//MidLevel</t>
  </si>
  <si>
    <t>IMS_6 - BuildandReleaseManagement/BuildManager//Senior</t>
  </si>
  <si>
    <t>IMS_7 - DataCentre/DataCenterOperations //Junior</t>
  </si>
  <si>
    <t>IMS_8 - DataCentre/DataCenterOperations //MidLevel</t>
  </si>
  <si>
    <t>IMS_9 - DataCentre/DataCenterOperations //Senior</t>
  </si>
  <si>
    <t>IMS_10 - Desktop/DesktopEngineer/PC Support / Patch / Desk side/Junior</t>
  </si>
  <si>
    <t>IMS_11 - Desktop/DesktopEngineer/PC Support / Patch / Desk side/MidLevel</t>
  </si>
  <si>
    <t>IMS_12 - Desktop/DesktopEngineer/PC Support / Patch / Desk side/Senior</t>
  </si>
  <si>
    <t>IMS_13 - HelpDesk/HelpDeskAnalyst//Junior</t>
  </si>
  <si>
    <t>IMS_14 - HelpDesk/HelpDeskAnalyst//Senior</t>
  </si>
  <si>
    <t>IMS_15 - ITSM/ConsultantITSM//Junior</t>
  </si>
  <si>
    <t>IMS_16 - ITSM/ConsultantITSM//MidLevel</t>
  </si>
  <si>
    <t>IMS_17 - ITSM/ConsultantITSM//Senior</t>
  </si>
  <si>
    <t>IMS_18 - MailSetup/Configurator/Exchange/Junior</t>
  </si>
  <si>
    <t>IMS_19 - MailSetup/Configurator/Exchange/MidLevel</t>
  </si>
  <si>
    <t>IMS_20 - MailSetup/Configurator/Exchange/Senior</t>
  </si>
  <si>
    <t>IMS_21 - Management/ProgramManagerManagement//Junior</t>
  </si>
  <si>
    <t>IMS_22 - Management/ProgramManagerManagement//MidLevel</t>
  </si>
  <si>
    <t>IMS_23 - Management/ProgramManagerManagement//Senior</t>
  </si>
  <si>
    <t>IMS_24 - Management/ProjectManagerManagement//Junior</t>
  </si>
  <si>
    <t>IMS_25 - Management/ProjectManagerManagement//MidLevel</t>
  </si>
  <si>
    <t>IMS_26 - Management/ProjectManagerManagement//Senior</t>
  </si>
  <si>
    <t>IMS_27 - Middleware/AdministratorMiddleware/Weblogic/Websphere/Jboss/Middleware/Junior</t>
  </si>
  <si>
    <t>IMS_28 - Middleware/AdministratorMiddleware/Weblogic/Websphere/Jboss/Middleware/MidLevel</t>
  </si>
  <si>
    <t>IMS_29 - Middleware/AdministratorMiddleware/Weblogic/Websphere/Jboss/Middleware/Senior</t>
  </si>
  <si>
    <t>IMS_30 - Network/AdministratorNetwork/Network/Telecom/Junior</t>
  </si>
  <si>
    <t>IMS_31 - Network/AdministratorNetwork/Network/Telecom/MidLevel</t>
  </si>
  <si>
    <t>IMS_32 - Network/AdministratorNetwork/Network/Telecom/Senior</t>
  </si>
  <si>
    <t>IMS_33 - NOCDesktop/DesktopEngineerNOC/NOC/Helpdesk/Batch Ops/HW-/Junior</t>
  </si>
  <si>
    <t>IMS_34 - NOCDesktop/DesktopEngineerNOC/NOC/Helpdesk/Batch Ops/HW-/MidLevel</t>
  </si>
  <si>
    <t>IMS_35 - NOCDesktop/DesktopEngineerNOC/NOC/Helpdesk/Batch Ops/HW-/Senior</t>
  </si>
  <si>
    <t>IMS_65 - OpsSupport/OpnSupportIMSTWO//Junior</t>
  </si>
  <si>
    <t>IMS_66 - OpsSupport/OpnSupportIMSTWO//Senior</t>
  </si>
  <si>
    <t>IMS_37 - Security/AdministratorSecurity//Junior</t>
  </si>
  <si>
    <t>IMS_38 - Security/AdministratorSecurity//MidLevel</t>
  </si>
  <si>
    <t>IMS_39 - Security/AdministratorSecurity//Senior</t>
  </si>
  <si>
    <t>IMS_40 - Storage/AdministratorStorage/Storage &amp; Backup /Junior</t>
  </si>
  <si>
    <t>IMS_41 - Storage/AdministratorStorage/Storage &amp; Backup /MidLevel</t>
  </si>
  <si>
    <t>IMS_42 - Storage/AdministratorStorage/Storage &amp; Backup /Senior</t>
  </si>
  <si>
    <t>IMS_43 - Systems/AdministratorSystemsSolaris/Solaris/Linux/Windows Server &amp; Systems/AIX/Junior</t>
  </si>
  <si>
    <t>IMS_44 - Systems/AdministratorSystemsSolaris/Solaris/Linux/Windows Server &amp; Systems/AIX/MidLevel</t>
  </si>
  <si>
    <t>IMS_45 - Systems/AdministratorSystemsSolaris/Solaris/Linux/Windows Server &amp; Systems/AIX/Senior</t>
  </si>
  <si>
    <t>IMS_46 - Systems/AdministratorSystemsVMWareSCCMCitrix/VMWare/SCCM/Citrix/Junior</t>
  </si>
  <si>
    <t>IMS_47 - Systems/AdministratorSystemsVMWareSCCMCitrix/VMWare/SCCM/Citrix/MidLevel</t>
  </si>
  <si>
    <t>IMS_48 - Systems/AdministratorSystemsVMWareSCCMCitrix/VMWare/SCCM/Citrix/Senior</t>
  </si>
  <si>
    <t>IMS_49 - Systems/AdministratorSystemsMSSQLOracle/MS SQL/Oracle/Junior</t>
  </si>
  <si>
    <t>IMS_50 - Systems/AdministratorSystemsMSSQLOracle/MS SQL/Oracle/MidLevel</t>
  </si>
  <si>
    <t>IMS_51 - Systems/AdministratorSystemsMSSQLOracle/MS SQL/Oracle/Senior</t>
  </si>
  <si>
    <t>IMS_52 - Systems/AdministratorSystemsSybase/Sybase/Junior</t>
  </si>
  <si>
    <t>IMS_53 - Systems/AdministratorSystemsSybase/Sybase/MidLevel</t>
  </si>
  <si>
    <t>IMS_54 - Systems/AdministratorSystemsSybase/Sybase/Senior</t>
  </si>
  <si>
    <t>IMS_55 - Systems/AdministratorSystems//Junior</t>
  </si>
  <si>
    <t>IMS_56 - Systems/AdministratorSystems//MidLevel</t>
  </si>
  <si>
    <t>IMS_57 - Systems/AdministratorSystems//Senior</t>
  </si>
  <si>
    <t>IMS_58 - Telecom/Technician//Junior</t>
  </si>
  <si>
    <t>IMS_59 - Telecom/Technician//MidLevel</t>
  </si>
  <si>
    <t>IMS_60 - Telecom/Technician//Senior</t>
  </si>
  <si>
    <t>IMS_61 - Management/ProgramLeadManagement//</t>
  </si>
  <si>
    <t>IMS_62 - InfoSecurity/ConsultantInfoSec//Junior</t>
  </si>
  <si>
    <t>IMS_63 - InfoSecurity/ConsultantInfoSec//MidLevel</t>
  </si>
  <si>
    <t>IMS_64 - InfoSecurity/ConsultantInfoSec//Senior</t>
  </si>
  <si>
    <t>IT_1 - ADS/BusinessSystemsAnalyst//Junior</t>
  </si>
  <si>
    <t>IT_2 - ADS/BusinessSystemsAnalyst//MidLevel</t>
  </si>
  <si>
    <t>IT_3 - ADS/BusinessSystemsAnalyst//Senior</t>
  </si>
  <si>
    <t>IT_4 - Domain/BusinessAnalyst//Junior</t>
  </si>
  <si>
    <t>IT_5 - Domain/BusinessAnalyst//MidLevel</t>
  </si>
  <si>
    <t>IT_6 - Domain/BusinessAnalyst//Senior</t>
  </si>
  <si>
    <t>IT_70 - DuckCreek/ArchitectDuckCreek//Junior</t>
  </si>
  <si>
    <t>IT_71 - DuckCreek/ArchitectDuckCreek//MidLevel</t>
  </si>
  <si>
    <t>IT_72 - DuckCreek/ArchitectDuckCreek//Senior</t>
  </si>
  <si>
    <t>IT_8 - DuckCreek/Configurator//</t>
  </si>
  <si>
    <t>IT_9 - DuckCreek/DCNETIntegrator//</t>
  </si>
  <si>
    <t>IT_73 - DuckCreek/ProjectManagerDuckCreek//Junior</t>
  </si>
  <si>
    <t>IT_74 - DuckCreek/ProjectManagerDuckCreek//MidLevel</t>
  </si>
  <si>
    <t>IT_75 - DuckCreek/ProjectManagerDuckCreek//Senior</t>
  </si>
  <si>
    <t>IT_11 - Generic/ContentEntryAnalyst//</t>
  </si>
  <si>
    <t>IT_12 - Generic/DatabaseAdministratorGeneric//Junior</t>
  </si>
  <si>
    <t>IT_13 - Generic/DatabaseAdministratorGeneric//MidLevel</t>
  </si>
  <si>
    <t>IT_14 - Generic/DatabaseAdministratorGeneric//Senior</t>
  </si>
  <si>
    <t>IT_61 - GoldenSource/DeveloperGoldenSource//Junior</t>
  </si>
  <si>
    <t>IT_62 - GoldenSource/DeveloperGoldenSource//MidLevel</t>
  </si>
  <si>
    <t>IT_63 - GoldenSource/DeveloperGoldenSource//Senior</t>
  </si>
  <si>
    <t>IT_16 - Intergration/IntegrationEngineer//</t>
  </si>
  <si>
    <t>IT_17 - Intergration/IntegrationSpecialist//</t>
  </si>
  <si>
    <t>IT_18 - Intergration/InterfaceDesigner  //</t>
  </si>
  <si>
    <t>IT_19 - ITIL/ConsultantITIL//Junior</t>
  </si>
  <si>
    <t>IT_20 - ITIL/ConsultantITIL//MidLevel</t>
  </si>
  <si>
    <t>IT_21 - ITIL/ConsultantITIL//Senior</t>
  </si>
  <si>
    <t>IT_76 - JavaNet/ArchitectJavaNet/Web Architect/Junior</t>
  </si>
  <si>
    <t>IT_77 - JavaNet/ArchitectJavaNet/Web Architect/MidLevel</t>
  </si>
  <si>
    <t>IT_78 - JavaNet/ArchitectJavaNet/Web Architect/Senior</t>
  </si>
  <si>
    <t>IT_23 - JavaNetColdFusion IT/DeveloperJavaNetColdFusion//Junior</t>
  </si>
  <si>
    <t>IT_24 - JavaNetColdFusion IT/DeveloperJavaNetColdFusion//MidLevel</t>
  </si>
  <si>
    <t>IT_25 - JavaNetColdFusion IT/DeveloperJavaNetColdFusion//Senior</t>
  </si>
  <si>
    <t>IT_26 - LotusNotes/DeveloperLotusNotes//Junior</t>
  </si>
  <si>
    <t>IT_27 - LotusNotes/DeveloperLotusNotes//MidLevel</t>
  </si>
  <si>
    <t>IT_28 - LotusNotes/DeveloperLotusNotes//Senior</t>
  </si>
  <si>
    <t>IT_29 - Mainframe/DeveloperMainframe/DB2 / IMS / Z/OS/Junior</t>
  </si>
  <si>
    <t>IT_30 - Mainframe/DeveloperMainframe/DB2 / IMS / Z/OS/MidLevel</t>
  </si>
  <si>
    <t>IT_31 - Mainframe/DeveloperMainframe/DB2 / IMS / Z/OS/Senior</t>
  </si>
  <si>
    <t>IT_32 - ManagementIT/EngagementManagerAccount ManagerProject DirectorProgramController //</t>
  </si>
  <si>
    <t>IT_33 - ManagementIT/ProjectManagerIT//Junior</t>
  </si>
  <si>
    <t>IT_34 - ManagementIT/ProjectManagerIT//MidLevel</t>
  </si>
  <si>
    <t>IT_35 - ManagementIT/ProjectManagerIT//Senior</t>
  </si>
  <si>
    <t>IT_36 - Operation/OperationsAnalyst//</t>
  </si>
  <si>
    <t>IT_37 - Operation/ProcessLeader//</t>
  </si>
  <si>
    <t>IT_38 - Others/GraphicsDesigner//</t>
  </si>
  <si>
    <t>IT_39 - Others/TechnicalWriter//Junior</t>
  </si>
  <si>
    <t>IT_40 - Others/TechnicalWriter//MidLevel</t>
  </si>
  <si>
    <t>IT_41 - Others/TechnicalWriter//Senior</t>
  </si>
  <si>
    <t>IT_42 - Others/TemplateDeveloper//</t>
  </si>
  <si>
    <t>IT_43 - TumbleWeed/DeveloperTumbleWeed//Junior</t>
  </si>
  <si>
    <t>IT_44 - TumbleWeed/DeveloperTumbleWeed//MidLevel</t>
  </si>
  <si>
    <t>IT_45 - TumbleWeed/DeveloperTumbleWeed//Senior</t>
  </si>
  <si>
    <t>IT_46 - Vermillion/DeveloperVermillion//Junior</t>
  </si>
  <si>
    <t>IT_47 - Vermillion/DeveloperVermillion//MidLevel</t>
  </si>
  <si>
    <t>IT_48 - Vermillion/DeveloperVermillion//Senior</t>
  </si>
  <si>
    <t>IT_49 - Amdocs/DeveloperAmdocs//Junior</t>
  </si>
  <si>
    <t>IT_50 - Amdocs/DeveloperAmdocs//MidLevel</t>
  </si>
  <si>
    <t>IT_51 - Amdocs/DeveloperAmdocs//Senior</t>
  </si>
  <si>
    <t>IT_79 - Amdocs/ProjectManagerAmdocs//Junior</t>
  </si>
  <si>
    <t>IT_80 - Amdocs/ProjectManagerAmdocs//MidLevel</t>
  </si>
  <si>
    <t>IT_81 - Amdocs/ProjectManagerAmdocs//Senior</t>
  </si>
  <si>
    <t>IT_82 - JavaNetColdFusion IT/TechnicalLeadJavaNetColdFusion//Junior</t>
  </si>
  <si>
    <t>IT_83 - JavaNetColdFusion IT/TechnicalLeadJavaNetColdFusion//Senior</t>
  </si>
  <si>
    <t>IT_54 - Remedy/DeveloperRemedy//Junior</t>
  </si>
  <si>
    <t>IT_55 - Remedy/DeveloperRemedy//MidLevel</t>
  </si>
  <si>
    <t>IT_56 - Remedy/DeveloperRemedy//Senior</t>
  </si>
  <si>
    <t>IT_64 - SQL/DeveloperSQL//Junior</t>
  </si>
  <si>
    <t>IT_65 - SQL/DeveloperSQL//MidLevel</t>
  </si>
  <si>
    <t>IT_66 - SQL/DeveloperSQL//Senior</t>
  </si>
  <si>
    <t>IT_67 - LatentZero/DeveloperLatentZero//Junior</t>
  </si>
  <si>
    <t>IT_68 - LatentZero/DeveloperLatentZero//MidLevel</t>
  </si>
  <si>
    <t>IT_69 - LatentZero/DeveloperLatentZero//Senior</t>
  </si>
  <si>
    <t>IT_59 - DomainIT/ConsultantDomain//Junior</t>
  </si>
  <si>
    <t>IT_84 - DomainIT/ConsultantDomain//MidLevel</t>
  </si>
  <si>
    <t>IT_60 - DomainIT/ConsultantDomain//Senior</t>
  </si>
  <si>
    <t>SAP_1 - ABAP/TechnicalABAP//Junior</t>
  </si>
  <si>
    <t>SAP_2 - ABAP/TechnicalABAP//MidLevel</t>
  </si>
  <si>
    <t>SAP_3 - ABAP/TechnicalABAP//Senior</t>
  </si>
  <si>
    <t>SAP_4 - Basis/TechnicalBasis//Junior</t>
  </si>
  <si>
    <t>SAP_5 - Basis/TechnicalBasis//MidLevel</t>
  </si>
  <si>
    <t>SAP_6 - Basis/TechnicalBasis//Senior</t>
  </si>
  <si>
    <t>SAP_7 - DomainSAP/FunctionalDomain//Junior</t>
  </si>
  <si>
    <t>SAP_8 - DomainSAP/FunctionalDomain//MidLevel</t>
  </si>
  <si>
    <t>SAP_9 - DomainSAP/FunctionalDomain//Senior</t>
  </si>
  <si>
    <t>SAP_10 - ManagementSAP/ProjectManagerManagement//Junior</t>
  </si>
  <si>
    <t>SAP_11 - ManagementSAP/ProjectManagerManagement//MidLevel</t>
  </si>
  <si>
    <t>SAP_12 - ManagementSAP/ProjectManagerManagement//Senior</t>
  </si>
  <si>
    <t>SOG_1 - ASG/ApplicationArchitect/ApplicationArchitectasg/</t>
  </si>
  <si>
    <t>ApplicationArchitectasg</t>
  </si>
  <si>
    <t>SOG_2 - ASG/SolutionArchitect/SolutionArchitectasg/</t>
  </si>
  <si>
    <t>SolutionArchitectasg</t>
  </si>
  <si>
    <t>SOG_3 - ASG/EnterpriseArchitect/EnterpriseArchitectasg/</t>
  </si>
  <si>
    <t>EnterpriseArchitectasg</t>
  </si>
  <si>
    <t>SOG_129 - BIDW/AdministratorBIDW//Junior</t>
  </si>
  <si>
    <t>SOG_130 - BIDW/AdministratorBIDW//MidLevel</t>
  </si>
  <si>
    <t>SOG_131 - BIDW/AdministratorBIDW//Senior</t>
  </si>
  <si>
    <t>SOG_5 - BIDW/ArchitectBIDW//Junior</t>
  </si>
  <si>
    <t>SOG_6 - BIDW/ArchitectBIDW//MidLevel</t>
  </si>
  <si>
    <t>SOG_7 - BIDW/ArchitectBIDW//Senior</t>
  </si>
  <si>
    <t>SOG_8 - BIDW/DataModelerBIDW//</t>
  </si>
  <si>
    <t>SOG_10 - BIDW/DeveloperBIDWCognos/Cognos/Junior</t>
  </si>
  <si>
    <t>SOG_11 - BIDW/DeveloperBIDWCognos/Cognos/MidLevel</t>
  </si>
  <si>
    <t>SOG_12 - BIDW/DeveloperBIDWCognos/Cognos/Senior</t>
  </si>
  <si>
    <t>SOG_13 - BIDW/DeveloperBIDW//Junior</t>
  </si>
  <si>
    <t>SOG_14 - BIDW/DeveloperBIDW//MidLevel</t>
  </si>
  <si>
    <t>SOG_15 - BIDW/DeveloperBIDW//Senior</t>
  </si>
  <si>
    <t>SOG_16 - BIDW/DeveloperBIDWETL/ETL/Junior</t>
  </si>
  <si>
    <t>SOG_17 - BIDW/DeveloperBIDWETL/ETL/MidLevel</t>
  </si>
  <si>
    <t>SOG_18 - BIDW/DeveloperBIDWETL/ETL/Senior</t>
  </si>
  <si>
    <t>SOG_19 - BIDW/DeveloperBIDWInformatica/Informatica/Junior</t>
  </si>
  <si>
    <t>SOG_20 - BIDW/DeveloperBIDWInformatica/Informatica/MidLevel</t>
  </si>
  <si>
    <t>SOG_21 - BIDW/DeveloperBIDWInformatica/Informatica/Senior</t>
  </si>
  <si>
    <t>SOG_23 - BIDW/DeveloperBIDWReporting/Reporting/Junior</t>
  </si>
  <si>
    <t>SOG_122 - BIDW/DeveloperBIDWReporting/Reporting/MidLevel</t>
  </si>
  <si>
    <t>SOG_24 - BIDW/DeveloperBIDWReporting/Reporting/Senior</t>
  </si>
  <si>
    <t>SOG_25 - BIDW/ProjectManagerBIDW//Junior</t>
  </si>
  <si>
    <t>SOG_26 - BIDW/ProjectManagerBIDW//MidLevel</t>
  </si>
  <si>
    <t>SOG_27 - BIDW/ProjectManagerBIDW//Senior</t>
  </si>
  <si>
    <t>SOG_28 - BIDW/TechnicalLeadAbinitioInformaticaDatastage /Abinitio / Informatica / Datastage /Junior</t>
  </si>
  <si>
    <t>SOG_30 - BIDW/TechnicalLeadAbinitioInformaticaDatastage /Abinitio / Informatica / Datastage /Senior</t>
  </si>
  <si>
    <t>SOG_34 - BIDW/TechnicalLeadActuateCrystal/Actuate/Crystal/Junior</t>
  </si>
  <si>
    <t>SOG_36 - BIDW/TechnicalLeadActuateCrystal/Actuate/Crystal/Senior</t>
  </si>
  <si>
    <t>SOG_134 - BIDW/TechnicalLeadMicrostrategyAbinitioTeradata/Microstrategy / Abinitio / Teradata/Junior</t>
  </si>
  <si>
    <t>SOG_135 - BIDW/TechnicalLeadMicrostrategyAbinitioTeradata/Microstrategy / Abinitio / Teradata/Senior</t>
  </si>
  <si>
    <t>SOG_38 - BIDW/TechnicalLeadCognosBO/Cognos / BO/Junior</t>
  </si>
  <si>
    <t>SOG_40 - BIDW/TechnicalLeadCognosBO/Cognos / BO/Senior</t>
  </si>
  <si>
    <t>SOG_136 - BIDW/TechnicalLeadReporting/Reporting/Junior</t>
  </si>
  <si>
    <t>SOG_137 - BIDW/TechnicalLeadReporting/Reporting/Senior</t>
  </si>
  <si>
    <t>SOG_42 - BIDW/TesterBIDW//Junior</t>
  </si>
  <si>
    <t>SOG_44 - BIDW/TesterBIDW//Senior</t>
  </si>
  <si>
    <t>SOG_126 - EAI/AnalystBusinessRules/Business Rules/Junior</t>
  </si>
  <si>
    <t>SOG_127 - EAI/AnalystBusinessRules/Business Rules/MidLevel</t>
  </si>
  <si>
    <t>SOG_128 - EAI/AnalystBusinessRules/Business Rules/Senior</t>
  </si>
  <si>
    <t>SOG_145 - EAI/ArchitectTIBCO/TIBCO/Junior</t>
  </si>
  <si>
    <t>SOG_146 - EAI/ArchitectTIBCO/TIBCO/MidLevel</t>
  </si>
  <si>
    <t>SOG_147. - EAI/ArchitectTIBCO/TIBCO/Senior</t>
  </si>
  <si>
    <t>SOG_47 - EAI/ArchitectEAI//Junior</t>
  </si>
  <si>
    <t>SOG_138 - EAI/ArchitectEAI//MidLevel</t>
  </si>
  <si>
    <t>SOG_48 - EAI/ArchitectEAI//Senior</t>
  </si>
  <si>
    <t>SOG_148 - EAI/ArchitectBusinessRules/Business Rules/Junior</t>
  </si>
  <si>
    <t>SOG_149 - EAI/ArchitectBusinessRules/Business Rules/MidLevel</t>
  </si>
  <si>
    <t>SOG_150 - EAI/ArchitectBusinessRules/Business Rules/Senior</t>
  </si>
  <si>
    <t>SOG_142 - EAI/ArchitectProcess/Process/Junior</t>
  </si>
  <si>
    <t>SOG_143 - EAI/ArchitectProcess/Process/MidLevel</t>
  </si>
  <si>
    <t>SOG_144 - EAI/ArchitectProcess/Process/Senior</t>
  </si>
  <si>
    <t>SOG_132 - EAI/ConfiguratorMercatorMQ/Mercator/MQ/Junior</t>
  </si>
  <si>
    <t>SOG_52 - EAI/ConfiguratorMercatorMQ/Mercator/MQ/MidLevel</t>
  </si>
  <si>
    <t>SOG_53 - EAI/ConfiguratorMercatorMQ/Mercator/MQ/Senior</t>
  </si>
  <si>
    <t>SOG_139 - EAI/ConsultantTIBCO/TIBCO/Junior</t>
  </si>
  <si>
    <t>SOG_140 - EAI/ConsultantTIBCO/TIBCO/MidLevel</t>
  </si>
  <si>
    <t>SOG_141 - EAI/ConsultantTIBCO/TIBCO/Senior</t>
  </si>
  <si>
    <t>SOG_55 - EAI/DeliveryManagerEIS/EIS/</t>
  </si>
  <si>
    <t>SOG_57 - EAI/DeveloperIBMWebSphereProcessServer /IBM WebSphere Process Server /Junior</t>
  </si>
  <si>
    <t>SOG_123 - EAI/DeveloperIBMWebSphereProcessServer /IBM WebSphere Process Server /MidLevel</t>
  </si>
  <si>
    <t>SOG_58 - EAI/DeveloperIBMWebSphereProcessServer /IBM WebSphere Process Server /Senior</t>
  </si>
  <si>
    <t>SOG_59 - EAI/DeveloperIBMWebSphereMessageBroker /IBM WebSphere Message Broker /Junior</t>
  </si>
  <si>
    <t>SOG_124 - EAI/DeveloperIBMWebSphereMessageBroker /IBM WebSphere Message Broker /MidLevel</t>
  </si>
  <si>
    <t>SOG_60 - EAI/DeveloperIBMWebSphereMessageBroker /IBM WebSphere Message Broker /Senior</t>
  </si>
  <si>
    <t>SOG_61 - EAI/DeveloperTibco/Tibco/Junior</t>
  </si>
  <si>
    <t>SOG_62 - EAI/DeveloperTibco/Tibco/MidLevel</t>
  </si>
  <si>
    <t>SOG_63 - EAI/DeveloperTibco/Tibco/Senior</t>
  </si>
  <si>
    <t>SOG_64 - EAI/DeveloperWebApplicationIntegrationMiddlewareInfrastructure /Web Application Integration - Middleware Infrastructure /Junior</t>
  </si>
  <si>
    <t>SOG_65 - EAI/DeveloperWebApplicationIntegrationMiddlewareInfrastructure /Web Application Integration - Middleware Infrastructure /MidLevel</t>
  </si>
  <si>
    <t>SOG_66 - EAI/DeveloperWebApplicationIntegrationMiddlewareInfrastructure /Web Application Integration - Middleware Infrastructure /Senior</t>
  </si>
  <si>
    <t>SOG_67 - EAI/DeveloperWebMethods/WebMethods/Junior</t>
  </si>
  <si>
    <t>SOG_68 - EAI/DeveloperWebMethods/WebMethods/MidLevel</t>
  </si>
  <si>
    <t>SOG_69 - EAI/DeveloperWebMethods/WebMethods/Senior</t>
  </si>
  <si>
    <t>SOG_72 - EAI/DeveloperBusinessRules/Business Rules/Junior</t>
  </si>
  <si>
    <t>SOG_125 - EAI/DeveloperBusinessRules/Business Rules/MidLevel</t>
  </si>
  <si>
    <t>SOG_73 - EAI/DeveloperBusinessRules/Business Rules/Senior</t>
  </si>
  <si>
    <t>SOG_74 - EAI/ModelerBusinessRules/Business Rules/</t>
  </si>
  <si>
    <t>SOG_75 - EAI/ProcessLeadModeler//</t>
  </si>
  <si>
    <t>SOG_76 - EAI/ProgramManagerEIS/EIS/</t>
  </si>
  <si>
    <t>SOG_77 - EAI/ProjectManagerEAI//Junior</t>
  </si>
  <si>
    <t>SOG_78 - EAI/ProjectManagerEAI//MidLevel</t>
  </si>
  <si>
    <t>SOG_79 - EAI/ProjectManagerEAI//Senior</t>
  </si>
  <si>
    <t>SOG_151 - EAI/TechnicalLeadEAI//Junior</t>
  </si>
  <si>
    <t>SOG_152 - EAI/TechnicalLeadEAI//Senior</t>
  </si>
  <si>
    <t>SOG_82 - EDI/DeveloperEDI//Junior</t>
  </si>
  <si>
    <t>SOG_83 - EDI/DeveloperEDI//MidLevel</t>
  </si>
  <si>
    <t>SOG_84 - EDI/DeveloperEDI//Senior</t>
  </si>
  <si>
    <t>SOG_85 - Oracle/DatabaseAdministratorOracle/Oracle Apps /Junior</t>
  </si>
  <si>
    <t>SOG_86 - Oracle/DatabaseAdministratorOracle/Oracle Apps /MidLevel</t>
  </si>
  <si>
    <t>SOG_87 - Oracle/DatabaseAdministratorOracle/Oracle Apps /Senior</t>
  </si>
  <si>
    <t>SOG_89 - Oracle/DeveloperOracle/Oracle Apps /Junior</t>
  </si>
  <si>
    <t>SOG_90 - Oracle/DeveloperOracle/Oracle Apps /MidLevel</t>
  </si>
  <si>
    <t>SOG_91 - Oracle/DeveloperOracle/Oracle Apps /Senior</t>
  </si>
  <si>
    <t>SOG_93 - Oracle/FunctionalOracle/Oracle Apps /Junior</t>
  </si>
  <si>
    <t>SOG_94 - Oracle/FunctionalOracle/Oracle Apps /MidLevel</t>
  </si>
  <si>
    <t>SOG_95 - Oracle/FunctionalOracle/Oracle Apps /Senior</t>
  </si>
  <si>
    <t>SOG_96 - Oracle/ProjectManagerOracle/Oracle Apps /Junior</t>
  </si>
  <si>
    <t>SOG_97 - Oracle/ProjectManagerOracle/Oracle Apps /MidLevel</t>
  </si>
  <si>
    <t>SOG_98 - Oracle/ProjectManagerOracle/Oracle Apps /Senior</t>
  </si>
  <si>
    <t>SOG_99 - Oracle/TechnicalOracle/Oracle Apps /Junior</t>
  </si>
  <si>
    <t>SOG_100 - Oracle/TechnicalOracle/Oracle Apps /MidLevel</t>
  </si>
  <si>
    <t>SOG_101 - Oracle/TechnicalOracle/Oracle Apps /Senior</t>
  </si>
  <si>
    <t>SOG_102 - Peoplesoft/DatabaseAdministratorPeoplesoft//Junior</t>
  </si>
  <si>
    <t>DatabaseAdministratorPeoplesoft</t>
  </si>
  <si>
    <t>SOG_103 - Peoplesoft/DatabaseAdministratorPeoplesoft//MidLevel</t>
  </si>
  <si>
    <t>SOG_104 - Peoplesoft/DatabaseAdministratorPeoplesoft//Senior</t>
  </si>
  <si>
    <t>SOG_105 - Peoplesoft/FunctionalPeoplesoft//Junior</t>
  </si>
  <si>
    <t>SOG_106 - Peoplesoft/FunctionalPeoplesoft//MidLevel</t>
  </si>
  <si>
    <t>SOG_107 - Peoplesoft/FunctionalPeoplesoft//Senior</t>
  </si>
  <si>
    <t>SOG_108 - Peoplesoft/ProjectManagerPeoplesoft//Junior</t>
  </si>
  <si>
    <t>SOG_109 - Peoplesoft/ProjectManagerPeoplesoft//MidLevel</t>
  </si>
  <si>
    <t>SOG_110 - Peoplesoft/ProjectManagerPeoplesoft//Senior</t>
  </si>
  <si>
    <t>SOG_111 - Peoplesoft/TechnicalPeoplesoft//Junior</t>
  </si>
  <si>
    <t>SOG_112 - Peoplesoft/TechnicalPeoplesoft//MidLevel</t>
  </si>
  <si>
    <t>SOG_113 - Peoplesoft/TechnicalPeoplesoft//Senior</t>
  </si>
  <si>
    <t>SOG_114 - Peoplesoft/ConsultantPeoplesoft//Junior</t>
  </si>
  <si>
    <t>SOG_133 - Peoplesoft/ConsultantPeoplesoft//MidLevel</t>
  </si>
  <si>
    <t>SOG_115 - Peoplesoft/ConsultantPeoplesoft//Senior</t>
  </si>
  <si>
    <t>SOG_116 - SOGTWO/ConsultantUsabilitySpecialist/Usability Specialist/</t>
  </si>
  <si>
    <t>SOG_117 - SOGTWO/DataAdministratorProcess AnalystSOG//</t>
  </si>
  <si>
    <t>SOG_118 - Varicent/DeveloperVaricent/Varicent/Junior</t>
  </si>
  <si>
    <t>SOG_119 - Varicent/DeveloperVaricent/Varicent/MidLevel</t>
  </si>
  <si>
    <t>SOG_120 - Varicent/DeveloperVaricent/Varicent/Senior</t>
  </si>
  <si>
    <t>Testing_1 - Automation/AutomationTester/Functional Automation Testing Tools/Junior</t>
  </si>
  <si>
    <t>Testing_2 - Automation/AutomationTester/Functional Automation Testing Tools/Senior</t>
  </si>
  <si>
    <t>Testing_3 - Automation/AutomationTestLead/Functional Automation Testing Tools/Junior</t>
  </si>
  <si>
    <t>Testing_4 - Automation/AutomationTestLead/Functional Automation Testing Tools/Senior</t>
  </si>
  <si>
    <t>Testing_5 - Automation/AutomationTestManager/Functional Automation Testing Tools/Junior</t>
  </si>
  <si>
    <t>Testing_6 - Automation/AutomationTestManager/Functional Automation Testing Tools/MidLevel</t>
  </si>
  <si>
    <t>Testing_7 - Automation/AutomationTestManager/Functional Automation Testing Tools/Senior</t>
  </si>
  <si>
    <t>Testing_13 - DomainTesting/DomainTestBusinessAnalyst/Domain Testing/Junior</t>
  </si>
  <si>
    <t>Testing_15 - DomainTesting/DomainTestBusinessAnalyst/Domain Testing/Senior</t>
  </si>
  <si>
    <t>Testing_17 - ManualTesting/ManualTestingTester/Manual Testing/Junior</t>
  </si>
  <si>
    <t>Testing_18 - ManualTesting/ManualTestingTester/Manual Testing/Senior</t>
  </si>
  <si>
    <t>Testing_19 - ManualTesting/ManualTestingTestLead/Manual Testing/Junior</t>
  </si>
  <si>
    <t>Testing_20 - ManualTesting/ManualTestingTestLead/Manual Testing/Senior</t>
  </si>
  <si>
    <t>Testing_21 - ManualTesting/ManualTestingTestManager/Manual Testing/Junior</t>
  </si>
  <si>
    <t>Testing_22 - ManualTesting/ManualTestingTestManager/Manual Testing/MidLevel</t>
  </si>
  <si>
    <t>Testing_23 - ManualTesting/ManualTestingTestManager/Manual Testing/Senior</t>
  </si>
  <si>
    <t>Testing_24 - Performance/PerformanceTester/Non-Functional Performace Testing Tools/Junior</t>
  </si>
  <si>
    <t>Testing_25 - Performance/PerformanceTester/Non-Functional Performace Testing Tools/Senior</t>
  </si>
  <si>
    <t>Testing_26 - Performance/PerformanceTestLead/Non-Functional Performace Testing Tools/Junior</t>
  </si>
  <si>
    <t>Testing_27 - Performance/PerformanceTestLead/Non-Functional Performace Testing Tools/Senior</t>
  </si>
  <si>
    <t>Testing_28 - Performance/PerformanceTestManager/Non-Functional Performace Testing Tools/Junior</t>
  </si>
  <si>
    <t>Testing_29 - Performance/PerformanceTestManager/Non-Functional Performace Testing Tools/MidLevel</t>
  </si>
  <si>
    <t>Testing_30 - Performance/PerformanceTestManager/Non-Functional Performace Testing Tools/Senior</t>
  </si>
  <si>
    <t>Testing_43 - ProductBased/ProductBasedTester/Product Testing (GoldenSource, Latent Zero, TLM Recon, Guidewire/Duck Creek BPTR)/Junior</t>
  </si>
  <si>
    <t>Testing_36 - ProductBased/ProductBasedTester/Product Testing (GoldenSource, Latent Zero, TLM Recon, Guidewire/Duck Creek BPTR)/Senior</t>
  </si>
  <si>
    <t>Testing_37 - ProductBased/ProductBasedTestLead/Product Testing (GoldenSource, Latent Zero, TLM Recon, Guidewire/Duck Creek BPTR)/Junior</t>
  </si>
  <si>
    <t>Testing_38 - ProductBased/ProductBasedTestLead/Product Testing (GoldenSource, Latent Zero, TLM Recon, Guidewire/Duck Creek BPTR)/Senior</t>
  </si>
  <si>
    <t>Testing_39 - ProductBased/ProductBasedTestManager/Product Testing (GoldenSource, Latent Zero, TLM Recon, Guidewire/Duck Creek BPTR)/Junior</t>
  </si>
  <si>
    <t>Testing_44 - ProductBased/ProductBasedTestManager/Product Testing (GoldenSource, Latent Zero, TLM Recon, Guidewire/Duck Creek BPTR)/MidLevel</t>
  </si>
  <si>
    <t>Testing_40 - ProductBased/ProductBasedTestManager/Product Testing (GoldenSource, Latent Zero, TLM Recon, Guidewire/Duck Creek BPTR)/Senior</t>
  </si>
  <si>
    <t>Testing_41 - TestingTwo/TestingTestDirector/Strategic Test Management/</t>
  </si>
  <si>
    <t>Testing_42 - TestingTwo/TestingTestProcessConsultant/Test Process Consulting/</t>
  </si>
  <si>
    <t>Mobility_9 - MobilityE/ArchitectMobility//Junior</t>
  </si>
  <si>
    <t>Mobility_10 - MobilityE/ArchitectMobility//MidLevel</t>
  </si>
  <si>
    <t>Mobility_11 - MobilityE/ArchitectMobility//Senior</t>
  </si>
  <si>
    <t>Mobility_4 - MobilityE/DeveloperMobility//Junior</t>
  </si>
  <si>
    <t>Mobility_5 - MobilityE/DeveloperMobility//MidLevel</t>
  </si>
  <si>
    <t>Mobility_6 - MobilityE/DeveloperMobility//Senior</t>
  </si>
  <si>
    <t>Mobility_7 - MobilityE/TechnicalLeadMobility//Junior</t>
  </si>
  <si>
    <t>Mobility_8 - MobilityE/TechnicalLeadMobility//Senior</t>
  </si>
  <si>
    <t>Midlevel</t>
  </si>
  <si>
    <t>Skillbay/Contract Hires</t>
  </si>
  <si>
    <t>Sr. No.</t>
  </si>
  <si>
    <t>NA</t>
  </si>
  <si>
    <t>Instructions:</t>
  </si>
  <si>
    <t xml:space="preserve"> Practice</t>
  </si>
  <si>
    <t>PLM</t>
  </si>
  <si>
    <t>PLMDeveloper</t>
  </si>
  <si>
    <t>EnggServices</t>
  </si>
  <si>
    <t>EnggServicesAnalyst</t>
  </si>
  <si>
    <t>SAPone</t>
  </si>
  <si>
    <t>SAPArchitect</t>
  </si>
  <si>
    <t>PLMTechnicalLead</t>
  </si>
  <si>
    <t>PLMAdministrator</t>
  </si>
  <si>
    <t>PLMDesigner</t>
  </si>
  <si>
    <t>PLMProjectManager</t>
  </si>
  <si>
    <t>EnggServicesProject Lead</t>
  </si>
  <si>
    <t>EnggServicesDeveloper</t>
  </si>
  <si>
    <t>EnggServicesDesigner</t>
  </si>
  <si>
    <t>EnggServicesProjectManager</t>
  </si>
  <si>
    <t>4 - 6</t>
  </si>
  <si>
    <t>5 - 8</t>
  </si>
  <si>
    <t>7 - 10</t>
  </si>
  <si>
    <t>SAPOne</t>
  </si>
  <si>
    <t xml:space="preserve">      Offshore Hours/Day</t>
  </si>
  <si>
    <t>Account Manager</t>
  </si>
  <si>
    <t>Sr Project Manager</t>
  </si>
  <si>
    <t>Project Manager</t>
  </si>
  <si>
    <t>Jr Project Manager</t>
  </si>
  <si>
    <t>Sr Project Leader</t>
  </si>
  <si>
    <t>Project Leader</t>
  </si>
  <si>
    <t>Jr Project Leader</t>
  </si>
  <si>
    <t>Sr Developer</t>
  </si>
  <si>
    <t>Jr Developer</t>
  </si>
  <si>
    <t>Trainees</t>
  </si>
  <si>
    <t>Total Offsite</t>
  </si>
  <si>
    <t>1.  Onsite location:</t>
  </si>
  <si>
    <t>Skillbay/Contract Hires-</t>
  </si>
  <si>
    <t>EnggServicesProjectLead</t>
  </si>
  <si>
    <t>PLMEnggServices</t>
  </si>
  <si>
    <t>IMSBASIC</t>
  </si>
  <si>
    <t>OpnSupportIMSBASIC</t>
  </si>
  <si>
    <t>SAPABAP</t>
  </si>
  <si>
    <t>SAPBasis</t>
  </si>
  <si>
    <t>SAPDomain</t>
  </si>
  <si>
    <t>SAPManagement</t>
  </si>
  <si>
    <t>ProjectManagerSAPManagement</t>
  </si>
  <si>
    <t>IMSGeneric</t>
  </si>
  <si>
    <t>DatabaseAdministratorIMSGeneric</t>
  </si>
  <si>
    <t>Time &amp; Material</t>
  </si>
  <si>
    <t>Skill</t>
  </si>
  <si>
    <t>Yrs of Experience</t>
  </si>
  <si>
    <t>Integrator</t>
  </si>
  <si>
    <t>Band &amp; Grade</t>
  </si>
  <si>
    <t>2. Is the staffing for a New deal / Renewal / Change Request (Scope Increase / Extension) ?</t>
  </si>
  <si>
    <t>Fixed Price - Development</t>
  </si>
  <si>
    <t>Fixed Price - Maintenance</t>
  </si>
  <si>
    <t>Managed T &amp; M</t>
  </si>
  <si>
    <t>Project Specific HW/SW Cost - please input in cells coloured as:</t>
  </si>
  <si>
    <t>Particulars</t>
  </si>
  <si>
    <t>Qty</t>
  </si>
  <si>
    <t>Rate</t>
  </si>
  <si>
    <t>Months</t>
  </si>
  <si>
    <t xml:space="preserve">1) Laptops </t>
  </si>
  <si>
    <t xml:space="preserve">2) Data Cards: </t>
  </si>
  <si>
    <t>6) Connectivity cost -Telecom link 1- T1 MPLS (one time)</t>
  </si>
  <si>
    <t>-(Pls Specify)</t>
  </si>
  <si>
    <t>-(Pls Specify)-Monthly Recurring</t>
  </si>
  <si>
    <t>TOTAL</t>
  </si>
  <si>
    <t>Project Specific HW/SW Cost Details</t>
  </si>
  <si>
    <t>3) Data Card monthly Recurring</t>
  </si>
  <si>
    <t>#Rate provided is for Standard configured Laptop. If they are of different configuration, pls provide details.</t>
  </si>
  <si>
    <t xml:space="preserve">4) Mobile Phones </t>
  </si>
  <si>
    <t xml:space="preserve">5) Mobile Phones monthly Recurring </t>
  </si>
  <si>
    <t>Client Roles</t>
  </si>
  <si>
    <t>Business Justification
(Compulsory Field)</t>
  </si>
  <si>
    <t>Collaboration</t>
  </si>
  <si>
    <t>Collaboration_TechnicalArchitect</t>
  </si>
  <si>
    <t>Customer_Communication_Management</t>
  </si>
  <si>
    <t>Customer_Communication_Management_TechnicalArchitect</t>
  </si>
  <si>
    <t>Document_Management</t>
  </si>
  <si>
    <t>Document_Management_Developer</t>
  </si>
  <si>
    <t>Customer_Communication_Management_TechnicalLead</t>
  </si>
  <si>
    <t>Customer_Communication_Management_Developer</t>
  </si>
  <si>
    <t>Imaging_and_Scanning</t>
  </si>
  <si>
    <t>Web_Content_Management</t>
  </si>
  <si>
    <t>Web_Content_Management_TechnicalArchitect</t>
  </si>
  <si>
    <t>Web_Content_Management_TechnicalLead</t>
  </si>
  <si>
    <t>Web_Content_Management_Developer</t>
  </si>
  <si>
    <t>Document_Management_TechnicalArchitect</t>
  </si>
  <si>
    <t>Document_Management_TechnicalLead</t>
  </si>
  <si>
    <t>Imaging_and_Scanning_TechnicalArchitect</t>
  </si>
  <si>
    <t>Imaging_and_Scanning_TechnicalLead</t>
  </si>
  <si>
    <t>Imaging_and_Scanning_Developer</t>
  </si>
  <si>
    <t>Collaboration_TechnicalLead</t>
  </si>
  <si>
    <t>Collaboration_Developer</t>
  </si>
  <si>
    <t>*</t>
  </si>
  <si>
    <t>7) Certification Cost</t>
  </si>
  <si>
    <t>8) Any other software:</t>
  </si>
  <si>
    <t>9) Any other Hardware:</t>
  </si>
  <si>
    <t>Campus Hires %</t>
  </si>
  <si>
    <t>Trainee% of Total Offshore staffing.</t>
  </si>
  <si>
    <t>B2 AP1 / B2 AP2 (0.6 to 3 yrs)</t>
  </si>
  <si>
    <t>B2 AP2 (0.6 to 3 yrs) / None</t>
  </si>
  <si>
    <t>Trainee Band/Grade</t>
  </si>
  <si>
    <t>Efforts</t>
  </si>
  <si>
    <t>Threshold%</t>
  </si>
  <si>
    <t>Deal Type</t>
  </si>
  <si>
    <t>1. Please go by the following path for Role Selection: Practice --&gt; Sub-Practice --&gt; Role --&gt; Proficiency Level. If you wish to make any changes to the selected role, please follow the same path mentioned above.</t>
  </si>
  <si>
    <t>2. When selecting roles, please ensure that usage of roles with campus hires (B2 AP1) at offshore is at least 8% of the total offshore utlization</t>
  </si>
  <si>
    <t>PEGA</t>
  </si>
  <si>
    <t>PEGAEAI</t>
  </si>
  <si>
    <t>PEGADeveloper</t>
  </si>
  <si>
    <t>PEGALeadSystemArchitect</t>
  </si>
  <si>
    <t>PEGAProjectManager</t>
  </si>
  <si>
    <t>PEGASeniorArchitect</t>
  </si>
  <si>
    <t>PEGAArchitect</t>
  </si>
  <si>
    <t>Cloud_1</t>
  </si>
  <si>
    <t>Cloud_11</t>
  </si>
  <si>
    <t>Cloud_2</t>
  </si>
  <si>
    <t>Cloud_15</t>
  </si>
  <si>
    <t>Cloud_16</t>
  </si>
  <si>
    <t>Cloud_17</t>
  </si>
  <si>
    <t>Cloud_4</t>
  </si>
  <si>
    <t>Cloud_12</t>
  </si>
  <si>
    <t>Cloud_5</t>
  </si>
  <si>
    <t>Cloud_8</t>
  </si>
  <si>
    <t>Cloud_9</t>
  </si>
  <si>
    <t>Cloud_10</t>
  </si>
  <si>
    <t>Cloud_13</t>
  </si>
  <si>
    <t>Cloud_14</t>
  </si>
  <si>
    <t>ECM_1</t>
  </si>
  <si>
    <t>ECM_20</t>
  </si>
  <si>
    <t>ECM_2</t>
  </si>
  <si>
    <t>ECM_3</t>
  </si>
  <si>
    <t>ECM_4</t>
  </si>
  <si>
    <t>ECM_5</t>
  </si>
  <si>
    <t>ECM_7</t>
  </si>
  <si>
    <t>ECM_8</t>
  </si>
  <si>
    <t>ECM_9</t>
  </si>
  <si>
    <t>ECM_10</t>
  </si>
  <si>
    <t>ECM_12</t>
  </si>
  <si>
    <t>ECM_18</t>
  </si>
  <si>
    <t>ECM_19</t>
  </si>
  <si>
    <t>ECM_15</t>
  </si>
  <si>
    <t>ECM_17</t>
  </si>
  <si>
    <t>IMS_1</t>
  </si>
  <si>
    <t>IMS_2</t>
  </si>
  <si>
    <t>IMS_3</t>
  </si>
  <si>
    <t>IMS_4</t>
  </si>
  <si>
    <t>IMS_5</t>
  </si>
  <si>
    <t>IMS_6</t>
  </si>
  <si>
    <t>IMS_7</t>
  </si>
  <si>
    <t>IMS_8</t>
  </si>
  <si>
    <t>IMS_9</t>
  </si>
  <si>
    <t>IMS_10</t>
  </si>
  <si>
    <t>IMS_11</t>
  </si>
  <si>
    <t>IMS_12</t>
  </si>
  <si>
    <t>IMS_13</t>
  </si>
  <si>
    <t>IMS_14</t>
  </si>
  <si>
    <t>IMS_15</t>
  </si>
  <si>
    <t>IMS_16</t>
  </si>
  <si>
    <t>IMS_17</t>
  </si>
  <si>
    <t>IMS_18</t>
  </si>
  <si>
    <t>IMS_19</t>
  </si>
  <si>
    <t>IMS_20</t>
  </si>
  <si>
    <t>IMS_21</t>
  </si>
  <si>
    <t>IMS_22</t>
  </si>
  <si>
    <t>IMS_23</t>
  </si>
  <si>
    <t>IMS_24</t>
  </si>
  <si>
    <t>IMS_25</t>
  </si>
  <si>
    <t>IMS_26</t>
  </si>
  <si>
    <t>IMS_27</t>
  </si>
  <si>
    <t>IMS_28</t>
  </si>
  <si>
    <t>IMS_29</t>
  </si>
  <si>
    <t>IMS_30</t>
  </si>
  <si>
    <t>IMS_31</t>
  </si>
  <si>
    <t>IMS_32</t>
  </si>
  <si>
    <t>IMS_33</t>
  </si>
  <si>
    <t>IMS_34</t>
  </si>
  <si>
    <t>IMS_35</t>
  </si>
  <si>
    <t>IMS_65</t>
  </si>
  <si>
    <t>IMS_66</t>
  </si>
  <si>
    <t>IMS_37</t>
  </si>
  <si>
    <t>IMS_38</t>
  </si>
  <si>
    <t>IMS_39</t>
  </si>
  <si>
    <t>IMS_40</t>
  </si>
  <si>
    <t>IMS_41</t>
  </si>
  <si>
    <t>IMS_42</t>
  </si>
  <si>
    <t>IMS_43</t>
  </si>
  <si>
    <t>IMS_44</t>
  </si>
  <si>
    <t>IMS_45</t>
  </si>
  <si>
    <t>IMS_46</t>
  </si>
  <si>
    <t>IMS_47</t>
  </si>
  <si>
    <t>IMS_48</t>
  </si>
  <si>
    <t>IMS_49</t>
  </si>
  <si>
    <t>IMS_50</t>
  </si>
  <si>
    <t>IMS_51</t>
  </si>
  <si>
    <t>IMS_52</t>
  </si>
  <si>
    <t>IMS_53</t>
  </si>
  <si>
    <t>IMS_54</t>
  </si>
  <si>
    <t>IMS_55</t>
  </si>
  <si>
    <t>IMS_56</t>
  </si>
  <si>
    <t>IMS_57</t>
  </si>
  <si>
    <t>IMS_58</t>
  </si>
  <si>
    <t>IMS_59</t>
  </si>
  <si>
    <t>IMS_60</t>
  </si>
  <si>
    <t>IMS_61</t>
  </si>
  <si>
    <t>IMS_62</t>
  </si>
  <si>
    <t>IMS_63</t>
  </si>
  <si>
    <t>IMS_64</t>
  </si>
  <si>
    <t>IT_1</t>
  </si>
  <si>
    <t>IT_2</t>
  </si>
  <si>
    <t>IT_3</t>
  </si>
  <si>
    <t>IT_4</t>
  </si>
  <si>
    <t>IT_5</t>
  </si>
  <si>
    <t>IT_6</t>
  </si>
  <si>
    <t>IT_70</t>
  </si>
  <si>
    <t>IT_71</t>
  </si>
  <si>
    <t>IT_72</t>
  </si>
  <si>
    <t>IT_8</t>
  </si>
  <si>
    <t>IT_9</t>
  </si>
  <si>
    <t>IT_73</t>
  </si>
  <si>
    <t>IT_74</t>
  </si>
  <si>
    <t>IT_75</t>
  </si>
  <si>
    <t>IT_11</t>
  </si>
  <si>
    <t>IMS_67</t>
  </si>
  <si>
    <t>IMS_68</t>
  </si>
  <si>
    <t>IMS_69</t>
  </si>
  <si>
    <t>IT_61</t>
  </si>
  <si>
    <t>IT_62</t>
  </si>
  <si>
    <t>IT_63</t>
  </si>
  <si>
    <t>SOG_153</t>
  </si>
  <si>
    <t>SOG_154</t>
  </si>
  <si>
    <t>SOG_155</t>
  </si>
  <si>
    <t>IT_19</t>
  </si>
  <si>
    <t>IT_20</t>
  </si>
  <si>
    <t>IT_21</t>
  </si>
  <si>
    <t>IT_76</t>
  </si>
  <si>
    <t>IT_77</t>
  </si>
  <si>
    <t>IT_78</t>
  </si>
  <si>
    <t>IT_23</t>
  </si>
  <si>
    <t>IT_24</t>
  </si>
  <si>
    <t>IT_25</t>
  </si>
  <si>
    <t>IT_26</t>
  </si>
  <si>
    <t>IT_27</t>
  </si>
  <si>
    <t>IT_28</t>
  </si>
  <si>
    <t>IT_29</t>
  </si>
  <si>
    <t>IT_30</t>
  </si>
  <si>
    <t>IT_31</t>
  </si>
  <si>
    <t>IT_32</t>
  </si>
  <si>
    <t>IT_33</t>
  </si>
  <si>
    <t>IT_34</t>
  </si>
  <si>
    <t>IT_35</t>
  </si>
  <si>
    <t>IT_36</t>
  </si>
  <si>
    <t>IT_37</t>
  </si>
  <si>
    <t>IT_38</t>
  </si>
  <si>
    <t>IT_39</t>
  </si>
  <si>
    <t>IT_40</t>
  </si>
  <si>
    <t>IT_41</t>
  </si>
  <si>
    <t>IT_42</t>
  </si>
  <si>
    <t>IT_43</t>
  </si>
  <si>
    <t>IT_44</t>
  </si>
  <si>
    <t>IT_45</t>
  </si>
  <si>
    <t>IT_46</t>
  </si>
  <si>
    <t>IT_47</t>
  </si>
  <si>
    <t>IT_48</t>
  </si>
  <si>
    <t>IT_49</t>
  </si>
  <si>
    <t>IT_50</t>
  </si>
  <si>
    <t>IT_51</t>
  </si>
  <si>
    <t>IT_79</t>
  </si>
  <si>
    <t>IT_80</t>
  </si>
  <si>
    <t>IT_81</t>
  </si>
  <si>
    <t>IT_82</t>
  </si>
  <si>
    <t>IT_83</t>
  </si>
  <si>
    <t>IT_54</t>
  </si>
  <si>
    <t>IT_55</t>
  </si>
  <si>
    <t>IT_56</t>
  </si>
  <si>
    <t>IT_64</t>
  </si>
  <si>
    <t>IT_65</t>
  </si>
  <si>
    <t>IT_66</t>
  </si>
  <si>
    <t>IT_67</t>
  </si>
  <si>
    <t>IT_68</t>
  </si>
  <si>
    <t>IT_69</t>
  </si>
  <si>
    <t>IT_59</t>
  </si>
  <si>
    <t>IT_84</t>
  </si>
  <si>
    <t>IT_60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</si>
  <si>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</si>
  <si>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</si>
  <si>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</si>
  <si>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</si>
  <si>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</si>
  <si>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</si>
  <si>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</si>
  <si>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</si>
  <si>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</si>
  <si>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</si>
  <si>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</si>
  <si>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</si>
  <si>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SOG_1</t>
  </si>
  <si>
    <t>SOG_2</t>
  </si>
  <si>
    <t>SOG_3</t>
  </si>
  <si>
    <t>SOG_129</t>
  </si>
  <si>
    <t>SOG_130</t>
  </si>
  <si>
    <t>SOG_131</t>
  </si>
  <si>
    <t>SOG_5</t>
  </si>
  <si>
    <t>SOG_6</t>
  </si>
  <si>
    <t>SOG_7</t>
  </si>
  <si>
    <t>SOG_8</t>
  </si>
  <si>
    <t>SOG_10</t>
  </si>
  <si>
    <t>SOG_11</t>
  </si>
  <si>
    <t>SOG_12</t>
  </si>
  <si>
    <t>SOG_13</t>
  </si>
  <si>
    <t>SOG_14</t>
  </si>
  <si>
    <t>SOG_15</t>
  </si>
  <si>
    <t>SOG_16</t>
  </si>
  <si>
    <t>SOG_17</t>
  </si>
  <si>
    <t>SOG_18</t>
  </si>
  <si>
    <t>SOG_19</t>
  </si>
  <si>
    <t>SOG_20</t>
  </si>
  <si>
    <t>SOG_21</t>
  </si>
  <si>
    <t>SOG_23</t>
  </si>
  <si>
    <t>SOG_122</t>
  </si>
  <si>
    <t>SOG_24</t>
  </si>
  <si>
    <t>SOG_25</t>
  </si>
  <si>
    <t>SOG_26</t>
  </si>
  <si>
    <t>SOG_27</t>
  </si>
  <si>
    <t>SOG_28</t>
  </si>
  <si>
    <t>SOG_30</t>
  </si>
  <si>
    <t>SOG_34</t>
  </si>
  <si>
    <t>SOG_36</t>
  </si>
  <si>
    <t>SOG_134</t>
  </si>
  <si>
    <t>SOG_135</t>
  </si>
  <si>
    <t>SOG_38</t>
  </si>
  <si>
    <t>SOG_40</t>
  </si>
  <si>
    <t>SOG_136</t>
  </si>
  <si>
    <t>SOG_137</t>
  </si>
  <si>
    <t>SOG_42</t>
  </si>
  <si>
    <t>SOG_44</t>
  </si>
  <si>
    <t>SOG_126</t>
  </si>
  <si>
    <t>SOG_127</t>
  </si>
  <si>
    <t>SOG_128</t>
  </si>
  <si>
    <t>SOG_145</t>
  </si>
  <si>
    <t>SOG_146</t>
  </si>
  <si>
    <t>SOG_147</t>
  </si>
  <si>
    <t>SOG_47</t>
  </si>
  <si>
    <t>SOG_138</t>
  </si>
  <si>
    <t>SOG_48</t>
  </si>
  <si>
    <t>SOG_148</t>
  </si>
  <si>
    <t>SOG_149</t>
  </si>
  <si>
    <t>SOG_150</t>
  </si>
  <si>
    <t>SOG_142</t>
  </si>
  <si>
    <t>SOG_143</t>
  </si>
  <si>
    <t>SOG_144</t>
  </si>
  <si>
    <t>SOG_132</t>
  </si>
  <si>
    <t>SOG_52</t>
  </si>
  <si>
    <t>SOG_53</t>
  </si>
  <si>
    <t>SOG_139</t>
  </si>
  <si>
    <t>SOG_140</t>
  </si>
  <si>
    <t>SOG_141</t>
  </si>
  <si>
    <t>SOG_55</t>
  </si>
  <si>
    <t>SOG_57</t>
  </si>
  <si>
    <t>SOG_123</t>
  </si>
  <si>
    <t>SOG_58</t>
  </si>
  <si>
    <t>SOG_59</t>
  </si>
  <si>
    <t>SOG_124</t>
  </si>
  <si>
    <t>SOG_60</t>
  </si>
  <si>
    <t>SOG_61</t>
  </si>
  <si>
    <t>SOG_62</t>
  </si>
  <si>
    <t>SOG_63</t>
  </si>
  <si>
    <t>SOG_64</t>
  </si>
  <si>
    <t>SOG_65</t>
  </si>
  <si>
    <t>SOG_66</t>
  </si>
  <si>
    <t>SOG_67</t>
  </si>
  <si>
    <t>SOG_68</t>
  </si>
  <si>
    <t>SOG_69</t>
  </si>
  <si>
    <t>SOG_72</t>
  </si>
  <si>
    <t>SOG_125</t>
  </si>
  <si>
    <t>SOG_73</t>
  </si>
  <si>
    <t>SOG_74</t>
  </si>
  <si>
    <t>SOG_75</t>
  </si>
  <si>
    <t>SOG_76</t>
  </si>
  <si>
    <t>SOG_77</t>
  </si>
  <si>
    <t>SOG_78</t>
  </si>
  <si>
    <t>SOG_79</t>
  </si>
  <si>
    <t>SOG_151</t>
  </si>
  <si>
    <t>SOG_152</t>
  </si>
  <si>
    <t>SOG_82</t>
  </si>
  <si>
    <t>SOG_83</t>
  </si>
  <si>
    <t>SOG_84</t>
  </si>
  <si>
    <t>SOG_85</t>
  </si>
  <si>
    <t>SOG_86</t>
  </si>
  <si>
    <t>SOG_87</t>
  </si>
  <si>
    <t>SOG_89</t>
  </si>
  <si>
    <t>SOG_90</t>
  </si>
  <si>
    <t>SOG_91</t>
  </si>
  <si>
    <t>SOG_93</t>
  </si>
  <si>
    <t>SOG_94</t>
  </si>
  <si>
    <t>SOG_95</t>
  </si>
  <si>
    <t>SOG_96</t>
  </si>
  <si>
    <t>SOG_97</t>
  </si>
  <si>
    <t>SOG_98</t>
  </si>
  <si>
    <t>SOG_99</t>
  </si>
  <si>
    <t>SOG_100</t>
  </si>
  <si>
    <t>SOG_101</t>
  </si>
  <si>
    <t>SOG_102</t>
  </si>
  <si>
    <t>SOG_103</t>
  </si>
  <si>
    <t>SOG_104</t>
  </si>
  <si>
    <t>SOG_105</t>
  </si>
  <si>
    <t>SOG_106</t>
  </si>
  <si>
    <t>SOG_107</t>
  </si>
  <si>
    <t>SOG_108</t>
  </si>
  <si>
    <t>SOG_109</t>
  </si>
  <si>
    <t>SOG_110</t>
  </si>
  <si>
    <t>SOG_111</t>
  </si>
  <si>
    <t>SOG_112</t>
  </si>
  <si>
    <t>SOG_113</t>
  </si>
  <si>
    <t>SOG_114</t>
  </si>
  <si>
    <t>SOG_133</t>
  </si>
  <si>
    <t>SOG_115</t>
  </si>
  <si>
    <t>SOG_116</t>
  </si>
  <si>
    <t>SOG_117</t>
  </si>
  <si>
    <t>IT_85</t>
  </si>
  <si>
    <t>IT_86</t>
  </si>
  <si>
    <t>IT_87</t>
  </si>
  <si>
    <t>Testing_1</t>
  </si>
  <si>
    <t>Testing_2</t>
  </si>
  <si>
    <t>Testing_3</t>
  </si>
  <si>
    <t>Testing_4</t>
  </si>
  <si>
    <t>Testing_5</t>
  </si>
  <si>
    <t>Testing_6</t>
  </si>
  <si>
    <t>Testing_7</t>
  </si>
  <si>
    <t>Testing_13</t>
  </si>
  <si>
    <t>Testing_15</t>
  </si>
  <si>
    <t>Testing_17</t>
  </si>
  <si>
    <t>Testing_18</t>
  </si>
  <si>
    <t>Testing_19</t>
  </si>
  <si>
    <t>Testing_20</t>
  </si>
  <si>
    <t>Testing_21</t>
  </si>
  <si>
    <t>Testing_22</t>
  </si>
  <si>
    <t>Testing_23</t>
  </si>
  <si>
    <t>Testing_24</t>
  </si>
  <si>
    <t>Testing_25</t>
  </si>
  <si>
    <t>Testing_26</t>
  </si>
  <si>
    <t>Testing_27</t>
  </si>
  <si>
    <t>Testing_28</t>
  </si>
  <si>
    <t>Testing_29</t>
  </si>
  <si>
    <t>Testing_30</t>
  </si>
  <si>
    <t>Testing_43</t>
  </si>
  <si>
    <t>Testing_36</t>
  </si>
  <si>
    <t>Testing_37</t>
  </si>
  <si>
    <t>Testing_38</t>
  </si>
  <si>
    <t>Testing_39</t>
  </si>
  <si>
    <t>Testing_44</t>
  </si>
  <si>
    <t>Testing_40</t>
  </si>
  <si>
    <t>Testing_41</t>
  </si>
  <si>
    <t>Testing_42</t>
  </si>
  <si>
    <t>Mobility_9</t>
  </si>
  <si>
    <t>Mobility_10</t>
  </si>
  <si>
    <t>Mobility_11</t>
  </si>
  <si>
    <t>Mobility_4</t>
  </si>
  <si>
    <t>Mobility_5</t>
  </si>
  <si>
    <t>Mobility_6</t>
  </si>
  <si>
    <t>Mobility_7</t>
  </si>
  <si>
    <t>Mobility_8</t>
  </si>
  <si>
    <t>Testing_45</t>
  </si>
  <si>
    <t>Testing_46</t>
  </si>
  <si>
    <t>Testing_47</t>
  </si>
  <si>
    <t>PLM_1</t>
  </si>
  <si>
    <t>PLM_2</t>
  </si>
  <si>
    <t>PLM_3</t>
  </si>
  <si>
    <t>PLM_4</t>
  </si>
  <si>
    <t>PLM_5</t>
  </si>
  <si>
    <t>PLM_6</t>
  </si>
  <si>
    <t>PLM_7</t>
  </si>
  <si>
    <t>PLM_8</t>
  </si>
  <si>
    <t>PLM_9</t>
  </si>
  <si>
    <t>PLM_10</t>
  </si>
  <si>
    <t>PLM_11</t>
  </si>
  <si>
    <t>PLM_12</t>
  </si>
  <si>
    <t>PLM_13</t>
  </si>
  <si>
    <t>ES_1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</si>
  <si>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</si>
  <si>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</si>
  <si>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</si>
  <si>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</si>
  <si>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</si>
  <si>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</si>
  <si>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</si>
  <si>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</si>
  <si>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</si>
  <si>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</si>
  <si>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</si>
  <si>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</si>
  <si>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SAP_13</t>
  </si>
  <si>
    <t>SAP_14</t>
  </si>
  <si>
    <t>SAP_15</t>
  </si>
  <si>
    <t>IT_88</t>
  </si>
  <si>
    <t>IT_89</t>
  </si>
  <si>
    <t>IT_90</t>
  </si>
  <si>
    <t>IT_91</t>
  </si>
  <si>
    <t>IT_92</t>
  </si>
  <si>
    <t>IT_93</t>
  </si>
  <si>
    <t>ECM_21</t>
  </si>
  <si>
    <t>ECM_22</t>
  </si>
  <si>
    <t>ECM_23</t>
  </si>
  <si>
    <t>ECM_24</t>
  </si>
  <si>
    <t>ECM_25</t>
  </si>
  <si>
    <t>ECM_26</t>
  </si>
  <si>
    <t>ECM_27</t>
  </si>
  <si>
    <t>ECM_28</t>
  </si>
  <si>
    <t>ECM_29</t>
  </si>
  <si>
    <t>ECM_30</t>
  </si>
  <si>
    <t>ECM_31</t>
  </si>
  <si>
    <t>ECM_32</t>
  </si>
  <si>
    <t>ECM_33</t>
  </si>
  <si>
    <t>ECM_34</t>
  </si>
  <si>
    <t>ECM_35</t>
  </si>
  <si>
    <t>ECM_36</t>
  </si>
  <si>
    <t>ECM_37</t>
  </si>
  <si>
    <t>ECM_38</t>
  </si>
  <si>
    <t>ECM_39</t>
  </si>
  <si>
    <t>ECM_40</t>
  </si>
  <si>
    <t>ECM_41</t>
  </si>
  <si>
    <t>ECM_42</t>
  </si>
  <si>
    <t>ECM_43</t>
  </si>
  <si>
    <t>ECM_44</t>
  </si>
  <si>
    <t>ECM_45</t>
  </si>
  <si>
    <t>ECM_46</t>
  </si>
  <si>
    <t>ECM_47</t>
  </si>
  <si>
    <t>ECM_48</t>
  </si>
  <si>
    <t>ECM_49</t>
  </si>
  <si>
    <t>ECM_50</t>
  </si>
  <si>
    <t>ECM_51</t>
  </si>
  <si>
    <t>ECM_52</t>
  </si>
  <si>
    <t>ECM_53</t>
  </si>
  <si>
    <t>ECM_54</t>
  </si>
  <si>
    <t>ECM_55</t>
  </si>
  <si>
    <t>ECM_56</t>
  </si>
  <si>
    <t>ECM_57</t>
  </si>
  <si>
    <t>ECM_58</t>
  </si>
  <si>
    <t>ECM_59</t>
  </si>
  <si>
    <t>ECM_60</t>
  </si>
  <si>
    <t>PEGA_1</t>
  </si>
  <si>
    <t>12-15</t>
  </si>
  <si>
    <t>PEGA_2</t>
  </si>
  <si>
    <t>PEGA_3</t>
  </si>
  <si>
    <t>10 - 14</t>
  </si>
  <si>
    <t>PEGA_4</t>
  </si>
  <si>
    <t>PEGA_5</t>
  </si>
  <si>
    <t>PEGA_6</t>
  </si>
  <si>
    <t>6 - 8</t>
  </si>
  <si>
    <t>PEGA_7</t>
  </si>
  <si>
    <t>5 - 7</t>
  </si>
  <si>
    <t>PEGA_8</t>
  </si>
  <si>
    <t>PEGA_9</t>
  </si>
  <si>
    <t xml:space="preserve">0.6 - 3 </t>
  </si>
  <si>
    <t>PEGA_10</t>
  </si>
  <si>
    <t>0.6 - 2</t>
  </si>
  <si>
    <t>Customer</t>
  </si>
  <si>
    <t>Finance TCV Calclation</t>
  </si>
  <si>
    <t>Calculation as per MSA</t>
  </si>
  <si>
    <t>Date</t>
  </si>
  <si>
    <t>Project Description</t>
  </si>
  <si>
    <t>Opp. ID</t>
  </si>
  <si>
    <t>Plan ID</t>
  </si>
  <si>
    <t>Proj.Type</t>
  </si>
  <si>
    <t>Curr</t>
  </si>
  <si>
    <t xml:space="preserve">Rev </t>
  </si>
  <si>
    <t xml:space="preserve">Cost </t>
  </si>
  <si>
    <t>GM % (Gross)</t>
  </si>
  <si>
    <t>Net GM %</t>
  </si>
  <si>
    <t>Start Dt</t>
  </si>
  <si>
    <t>End Dt</t>
  </si>
  <si>
    <t>Local HC</t>
  </si>
  <si>
    <t>Deputed HC</t>
  </si>
  <si>
    <t>Offshore HC</t>
  </si>
  <si>
    <t>Total HC</t>
  </si>
  <si>
    <t>L1 Efforts</t>
  </si>
  <si>
    <t>Onsite %</t>
  </si>
  <si>
    <t>On B2</t>
  </si>
  <si>
    <t>On B2 %</t>
  </si>
  <si>
    <t xml:space="preserve"> B2 %</t>
  </si>
  <si>
    <t>New L1%</t>
  </si>
  <si>
    <t>New/
Renewal</t>
  </si>
  <si>
    <t>Old 
Deal ID</t>
  </si>
  <si>
    <t>Old 
PID</t>
  </si>
  <si>
    <t>Old sold margin</t>
  </si>
  <si>
    <t>Achieved margin</t>
  </si>
  <si>
    <t>Operating metrics</t>
  </si>
  <si>
    <t>Status</t>
  </si>
  <si>
    <t>Remarks</t>
  </si>
  <si>
    <t>Reason for approval</t>
  </si>
  <si>
    <t>Rate as per Rate card</t>
  </si>
  <si>
    <t>Offsite</t>
  </si>
  <si>
    <t>Offsite Premium</t>
  </si>
  <si>
    <t>On Hrs per month</t>
  </si>
  <si>
    <t>Off Hrs per month</t>
  </si>
  <si>
    <t>Onsite Hrs</t>
  </si>
  <si>
    <t>Off Hrs</t>
  </si>
  <si>
    <t>Total Hrs</t>
  </si>
  <si>
    <t>Onsite TCV</t>
  </si>
  <si>
    <t>Off TCV</t>
  </si>
  <si>
    <t>Total TCV</t>
  </si>
  <si>
    <t>Addn (Discount)/
Premium</t>
  </si>
  <si>
    <t>Requestor Name</t>
  </si>
  <si>
    <t>DU Owner</t>
  </si>
  <si>
    <t>As per Finance</t>
  </si>
  <si>
    <t>Total Hrs_MSA</t>
  </si>
  <si>
    <t>Total TCV_MSA</t>
  </si>
  <si>
    <t>USD</t>
  </si>
  <si>
    <t>Offshore Rates</t>
  </si>
  <si>
    <t>Onsite Rates</t>
  </si>
  <si>
    <t>Onsite</t>
  </si>
  <si>
    <t>Total Efforts</t>
  </si>
  <si>
    <t>Total TCV as per Finance</t>
  </si>
  <si>
    <t>Total TCV as per MSA</t>
  </si>
  <si>
    <t xml:space="preserve">      Offshore Hours/Months</t>
  </si>
  <si>
    <t>As Per MSA</t>
  </si>
  <si>
    <t>As Per Project</t>
  </si>
  <si>
    <t>Pls enter monthly hrs below</t>
  </si>
  <si>
    <t>Hrs as per Finance</t>
  </si>
  <si>
    <t>Volume Discount</t>
  </si>
  <si>
    <t>Off B2%</t>
  </si>
  <si>
    <t>Ap1/AP2%</t>
  </si>
  <si>
    <t>Skillbay Onsite</t>
  </si>
  <si>
    <t>Skillbay Offshore</t>
  </si>
  <si>
    <t>11 (a). Deal Type?</t>
  </si>
  <si>
    <t>11 (b). Is there any target price that we are looking to quote ?</t>
  </si>
  <si>
    <t>12. FP Scope?</t>
  </si>
  <si>
    <t xml:space="preserve">13. Who controls the Staffing, On/Off Mix, Role Mix? </t>
  </si>
  <si>
    <t>14.  Details of contractor’s resources involved (Onsite), if any.</t>
  </si>
  <si>
    <t>15.  Details of contractor’s resources involved (Offshore), if any.</t>
  </si>
  <si>
    <t>17. Does this Staffing Plan include Transition efforts?</t>
  </si>
  <si>
    <t xml:space="preserve">20. Is this staffing plan/ project Agile based?  </t>
  </si>
  <si>
    <t>18. If the staffing includes transition, please mention the Total Transition efforts (in person months)</t>
  </si>
  <si>
    <t>19. If the staffing includes any Warranty efforts, please mention the Total Warranty efforts (in person months)</t>
  </si>
  <si>
    <t>Instructions for filling in the "Staffing-Roles" tab:</t>
  </si>
  <si>
    <t>B) If SyntBots is deployed in the Project</t>
  </si>
  <si>
    <t>A) If SyntBots is NOT deployed in the Project</t>
  </si>
  <si>
    <t>i) Fill in the "Staffing-Roles" tab with the number of resources required for delivering on the project</t>
  </si>
  <si>
    <t>i) Fill in the "Staffing-Roles" tab with the net number of resources required for delivering on the project considering efficienicies from SyntBots</t>
  </si>
  <si>
    <t>iii) In Rows 139 and 171, please fill in the savings in FTE efforts as a result of using SyntBots in the project</t>
  </si>
  <si>
    <t>The following table is for use by the Pricing &amp; Costing team only:</t>
  </si>
  <si>
    <t>ii) Please leave the SyntBots rows (rows 139 and 171) blank for both Onsite and Offshore sections in the "Staffing-Roles" tab</t>
  </si>
  <si>
    <t>ii) Resources required for implementing SyntBots should be considered in staffing in B(i) above</t>
  </si>
  <si>
    <t xml:space="preserve">Example for point B above :  Consider a scenario where Syntbots is deployed in the project and the net estimated resources are 8 onsite and 20 offshore with savings of 3 onsite and 7 offshore FTEs because of use of Syntbots. There are 1 onsite and 3 offshore FTE's required to implement Syntbots. Hence the staffing for point B above is to done as 1) net staffing of 9 (8+1) onsite and 23 (20+3) Offshore including FTEs for Syntbots implementation. 2) in rows 139 and 171 the savings in FTEs will be 3 and 7 resp. </t>
  </si>
  <si>
    <t>21. Reason for not complying with threshold campus hires.</t>
  </si>
  <si>
    <t>22. Onsite Hours/Day</t>
  </si>
  <si>
    <t>23. Onsite Hours/Months</t>
  </si>
  <si>
    <r>
      <t xml:space="preserve">      (</t>
    </r>
    <r>
      <rPr>
        <i/>
        <sz val="10"/>
        <rFont val="Verdana"/>
        <family val="2"/>
      </rPr>
      <t>The expectation is that staffing, On/Off Mix, Role Mix for FP should be controlled by Syntel)</t>
    </r>
  </si>
  <si>
    <t>Opportunity ID in CRM:</t>
  </si>
  <si>
    <t>Staffing Plan ID in CRM:</t>
  </si>
  <si>
    <t>Added</t>
  </si>
  <si>
    <t xml:space="preserve">       No. of offshore resources working in night shift &amp; their duration</t>
  </si>
  <si>
    <t>11 (c). Target price?</t>
  </si>
  <si>
    <t>3. If the answer to above question is other than 'New Deal', pls provide the Original Deal id?</t>
  </si>
  <si>
    <t>4. If the staffing is for Renewal / Change Request (Scope Increase / Extension), please provide Old PID</t>
  </si>
  <si>
    <t>7.  Will there be any additional travel /rotation and if so the number of trips and duration of each trip ?</t>
  </si>
  <si>
    <t>8.  Is there any additional HW/SW/Connectivity/other costs specifically for this project ? If yes, pls fill in the details in Hardware Software Cost tab.</t>
  </si>
  <si>
    <t>9.  Will there be any specialized training required for the project and if so what is the cost of training ?</t>
  </si>
  <si>
    <t>10.  No. of Offshore resources working in second shift &amp; their duration</t>
  </si>
  <si>
    <t>16.  If use of Sub-Contractor, why? What plans of rotation?</t>
  </si>
  <si>
    <t>25. Whether Syntbots deployed on the project?</t>
  </si>
  <si>
    <t xml:space="preserve">      If not, why?</t>
  </si>
  <si>
    <t>Customer Name</t>
  </si>
  <si>
    <t>CRM Deal ID</t>
  </si>
  <si>
    <t>YoY Rate Increase</t>
  </si>
  <si>
    <t>Current Bill rate</t>
  </si>
  <si>
    <t>FTE Manmonth Yr1</t>
  </si>
  <si>
    <t>FTE Manmonth Yr2</t>
  </si>
  <si>
    <t>FTE Manmonth Yr3</t>
  </si>
  <si>
    <t>FTE Manmonth Yr4</t>
  </si>
  <si>
    <t>FTE Manmonth Yr5</t>
  </si>
  <si>
    <t>Skill Mix - As per Staffing Tab</t>
  </si>
  <si>
    <t>Band Grade - As per Staffing TAB</t>
  </si>
  <si>
    <t>Customer Role</t>
  </si>
  <si>
    <t>Offsh</t>
  </si>
  <si>
    <t>UOM</t>
  </si>
  <si>
    <t>Pricing</t>
  </si>
  <si>
    <t>Non-Std cost</t>
  </si>
  <si>
    <t>Recommended Price</t>
  </si>
  <si>
    <t>Discount/Premium $</t>
  </si>
  <si>
    <t>In absence of customer ratecard, please use GRC recommended rates.</t>
  </si>
  <si>
    <t>INSTRUCTIONS:</t>
  </si>
  <si>
    <t xml:space="preserve">      If yes, why? Who approved?</t>
  </si>
  <si>
    <t>26. Is the Deal TCV signed / confirmed to the customer?</t>
  </si>
  <si>
    <t>27. Any other information relating to the staffing plan / project.</t>
  </si>
  <si>
    <t>24. Has the T&amp;M TCV Calculation tab been updated?</t>
  </si>
  <si>
    <t>Add:</t>
  </si>
  <si>
    <t>Proposed Price (A)</t>
  </si>
  <si>
    <t>TOTAL PROPOSED PRICE (A + B)</t>
  </si>
  <si>
    <t>Syntel's share of the estimated reduction of TCO, to be added to Syntel's price, if SyntBots deployed on project (B)</t>
  </si>
  <si>
    <t xml:space="preserve">      Syntel's share of the estimated reduction of TCO, that will be added to Syntel's price (amount)</t>
  </si>
  <si>
    <t>(Please refer #25 in Checklist tab)</t>
  </si>
  <si>
    <t>RC ID</t>
  </si>
  <si>
    <t xml:space="preserve">      If yes, estimated TCO reduction % for customer, attributed to SyntBots</t>
  </si>
  <si>
    <t>FTE Manmonth Yr6</t>
  </si>
  <si>
    <t>check</t>
  </si>
  <si>
    <t>Column H to S " FTE Manmonth" are linked with Staffing-Roles Tab with staffing submitted for costing for each year.</t>
  </si>
  <si>
    <t>Column B &amp; C " Skill Mix &amp; Band Grades" are linked with "Staffing-Roles" tab.</t>
  </si>
  <si>
    <t xml:space="preserve">Please update RC ID used for T&amp;M rates update in cell C11. </t>
  </si>
  <si>
    <t>28. If Role Selection tab does not have the role you are looking for, please add them below. Add rows, if needed.</t>
  </si>
  <si>
    <t>Checklist for Costing &amp; Pricing of Other Countries Projects</t>
  </si>
  <si>
    <t>5.   If there are employees onsite (Local resources), how many of them will be relocated ?</t>
  </si>
  <si>
    <t>6.  Onsite travels : No. of Long Term deputed travels</t>
  </si>
  <si>
    <t xml:space="preserve">                              No. of Short Term deputed travels</t>
  </si>
  <si>
    <r>
      <t>Onsite - Local</t>
    </r>
    <r>
      <rPr>
        <b/>
        <sz val="8"/>
        <rFont val="Trebuchet MS"/>
        <family val="2"/>
      </rPr>
      <t xml:space="preserve"> </t>
    </r>
  </si>
  <si>
    <t>Onsite Deputed Short term (&lt;= 3 months)</t>
  </si>
  <si>
    <t>Onsite Deputed Long term (&gt; 3 months)</t>
  </si>
  <si>
    <t xml:space="preserve">      (please refer cell T51 in T&amp;M TCV Calculation tab)</t>
  </si>
  <si>
    <t>28. Have you updated Onsite,Offshore rates and Client roles columns (I, J and HO) in "Role Selection" tab.</t>
  </si>
  <si>
    <t>Update "T48" with non-Std cost ( includes non std SW, non std travel etc..) which are not part of std costing assumtions</t>
  </si>
  <si>
    <t>Update " T50" with proposed price.</t>
  </si>
  <si>
    <t>3. In absence of customer ratecard, please use GRC recommended rates in columns I and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</si>
</sst>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yy"/>
    <numFmt numFmtId="165" formatCode="&quot;$&quot;#,##0"/>
    <numFmt numFmtId="166" formatCode="&quot;$&quot;#,##0.00"/>
    <numFmt numFmtId="167" formatCode="_-* #,##0.00_-;\-* #,##0.00_-;_-* &quot;-&quot;??_-;_-@_-"/>
    <numFmt numFmtId="168" formatCode="0.0"/>
    <numFmt numFmtId="169" formatCode="0.0%"/>
    <numFmt numFmtId="170" formatCode="_(* #,##0_);_(* \(#,##0\);_(* &quot;-&quot;??_);_(@_)"/>
    <numFmt numFmtId="171" formatCode="_(* #,##0.0000_);_(* \(#,##0.0000\);_(* &quot;-&quot;??_);_(@_)"/>
  </numFmts>
  <fonts count="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10"/>
      <name val="Trebuchet MS"/>
      <family val="2"/>
    </font>
    <font>
      <u/>
      <sz val="10"/>
      <name val="Trebuchet MS"/>
      <family val="2"/>
    </font>
    <font>
      <b/>
      <sz val="8"/>
      <name val="Trebuchet MS"/>
      <family val="2"/>
    </font>
    <font>
      <b/>
      <u/>
      <sz val="10"/>
      <name val="Trebuchet MS"/>
      <family val="2"/>
    </font>
    <font>
      <u/>
      <sz val="10"/>
      <color indexed="10"/>
      <name val="Trebuchet MS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theme="3"/>
      <name val="Trebuchet MS"/>
      <family val="2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indexed="10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b/>
      <sz val="10"/>
      <color rgb="FF002060"/>
      <name val="Verdana"/>
      <family val="2"/>
    </font>
    <font>
      <sz val="10"/>
      <name val="Arial"/>
      <family val="2"/>
    </font>
    <font>
      <b/>
      <sz val="10"/>
      <color rgb="FFFF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rgb="FFFF0000"/>
      <name val="Verdana"/>
      <family val="2"/>
    </font>
    <font>
      <sz val="10"/>
      <color theme="0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u/>
      <sz val="10"/>
      <name val="Arial"/>
      <family val="2"/>
    </font>
    <font>
      <i/>
      <sz val="10"/>
      <name val="Verdana"/>
      <family val="2"/>
    </font>
    <font>
      <b/>
      <sz val="10"/>
      <color indexed="10"/>
      <name val="Verdan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b/>
      <sz val="10"/>
      <color theme="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FDCB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9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8778">
    <xf numFmtId="0" fontId="0" fillId="0" borderId="0"/>
    <xf numFmtId="0" fontId="11" fillId="0" borderId="0"/>
    <xf numFmtId="0" fontId="13" fillId="0" borderId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0" fillId="0" borderId="0"/>
    <xf numFmtId="0" fontId="9" fillId="0" borderId="0"/>
    <xf numFmtId="0" fontId="2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541">
    <xf numFmtId="0" fontId="0" fillId="0" borderId="0" xfId="0"/>
    <xf numFmtId="0" fontId="13" fillId="0" borderId="0" xfId="0" applyFont="1" applyProtection="1">
      <protection hidden="1"/>
    </xf>
    <xf numFmtId="0" fontId="13" fillId="0" borderId="0" xfId="0" applyFont="1" applyAlignment="1" applyProtection="1">
      <alignment horizontal="centerContinuous"/>
      <protection hidden="1"/>
    </xf>
    <xf numFmtId="0" fontId="13" fillId="0" borderId="0" xfId="0" applyFont="1" applyAlignment="1" applyProtection="1">
      <alignment horizont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16" fillId="0" borderId="0" xfId="0" applyFont="1" applyProtection="1">
      <protection hidden="1"/>
    </xf>
    <xf numFmtId="0" fontId="19" fillId="0" borderId="0" xfId="0" applyFont="1" applyAlignment="1" applyProtection="1">
      <alignment horizontal="center"/>
      <protection hidden="1"/>
    </xf>
    <xf numFmtId="2" fontId="13" fillId="0" borderId="0" xfId="0" applyNumberFormat="1" applyFont="1" applyAlignment="1" applyProtection="1">
      <alignment horizontal="center"/>
      <protection hidden="1"/>
    </xf>
    <xf numFmtId="1" fontId="13" fillId="0" borderId="0" xfId="0" applyNumberFormat="1" applyFont="1" applyProtection="1">
      <protection hidden="1"/>
    </xf>
    <xf numFmtId="2" fontId="13" fillId="0" borderId="0" xfId="0" applyNumberFormat="1" applyFont="1" applyProtection="1">
      <protection hidden="1"/>
    </xf>
    <xf numFmtId="2" fontId="15" fillId="0" borderId="0" xfId="0" applyNumberFormat="1" applyFont="1" applyProtection="1">
      <protection hidden="1"/>
    </xf>
    <xf numFmtId="2" fontId="16" fillId="0" borderId="0" xfId="0" applyNumberFormat="1" applyFont="1" applyAlignment="1" applyProtection="1">
      <alignment horizontal="center"/>
      <protection hidden="1"/>
    </xf>
    <xf numFmtId="2" fontId="13" fillId="0" borderId="1" xfId="0" applyNumberFormat="1" applyFont="1" applyBorder="1" applyProtection="1">
      <protection hidden="1"/>
    </xf>
    <xf numFmtId="2" fontId="13" fillId="0" borderId="0" xfId="0" applyNumberFormat="1" applyFont="1" applyBorder="1" applyProtection="1">
      <protection hidden="1"/>
    </xf>
    <xf numFmtId="1" fontId="13" fillId="0" borderId="0" xfId="0" applyNumberFormat="1" applyFont="1" applyAlignment="1" applyProtection="1">
      <alignment horizontal="center"/>
      <protection hidden="1"/>
    </xf>
    <xf numFmtId="164" fontId="13" fillId="0" borderId="0" xfId="0" applyNumberFormat="1" applyFont="1" applyProtection="1">
      <protection hidden="1"/>
    </xf>
    <xf numFmtId="164" fontId="13" fillId="0" borderId="0" xfId="0" applyNumberFormat="1" applyFont="1" applyAlignment="1" applyProtection="1">
      <alignment horizontal="center"/>
      <protection hidden="1"/>
    </xf>
    <xf numFmtId="1" fontId="13" fillId="0" borderId="0" xfId="0" quotePrefix="1" applyNumberFormat="1" applyFont="1" applyProtection="1">
      <protection hidden="1"/>
    </xf>
    <xf numFmtId="9" fontId="13" fillId="0" borderId="0" xfId="0" applyNumberFormat="1" applyFont="1" applyProtection="1">
      <protection hidden="1"/>
    </xf>
    <xf numFmtId="2" fontId="13" fillId="0" borderId="0" xfId="0" applyNumberFormat="1" applyFont="1" applyProtection="1">
      <protection locked="0" hidden="1"/>
    </xf>
    <xf numFmtId="0" fontId="14" fillId="0" borderId="16" xfId="0" applyFont="1" applyBorder="1" applyAlignment="1" applyProtection="1">
      <alignment horizontal="centerContinuous"/>
      <protection hidden="1"/>
    </xf>
    <xf numFmtId="0" fontId="14" fillId="0" borderId="1" xfId="0" applyFont="1" applyBorder="1" applyAlignment="1" applyProtection="1">
      <alignment horizontal="centerContinuous"/>
      <protection hidden="1"/>
    </xf>
    <xf numFmtId="0" fontId="13" fillId="0" borderId="1" xfId="0" applyFont="1" applyBorder="1" applyAlignment="1" applyProtection="1">
      <alignment horizontal="centerContinuous"/>
      <protection hidden="1"/>
    </xf>
    <xf numFmtId="0" fontId="13" fillId="0" borderId="17" xfId="0" applyFont="1" applyBorder="1" applyAlignment="1" applyProtection="1">
      <alignment horizontal="centerContinuous"/>
      <protection hidden="1"/>
    </xf>
    <xf numFmtId="0" fontId="13" fillId="0" borderId="9" xfId="0" applyFont="1" applyBorder="1" applyAlignment="1" applyProtection="1">
      <alignment horizontal="centerContinuous"/>
      <protection hidden="1"/>
    </xf>
    <xf numFmtId="0" fontId="14" fillId="0" borderId="7" xfId="0" applyFont="1" applyBorder="1" applyAlignment="1" applyProtection="1">
      <alignment horizontal="centerContinuous"/>
      <protection hidden="1"/>
    </xf>
    <xf numFmtId="0" fontId="14" fillId="0" borderId="0" xfId="0" applyFont="1" applyBorder="1" applyAlignment="1" applyProtection="1">
      <alignment horizontal="centerContinuous"/>
      <protection hidden="1"/>
    </xf>
    <xf numFmtId="0" fontId="13" fillId="0" borderId="4" xfId="0" applyFont="1" applyBorder="1" applyAlignment="1" applyProtection="1">
      <alignment horizontal="centerContinuous"/>
      <protection hidden="1"/>
    </xf>
    <xf numFmtId="0" fontId="13" fillId="0" borderId="5" xfId="0" applyFont="1" applyBorder="1" applyAlignment="1" applyProtection="1">
      <alignment horizontal="center"/>
      <protection hidden="1"/>
    </xf>
    <xf numFmtId="1" fontId="13" fillId="7" borderId="0" xfId="0" applyNumberFormat="1" applyFont="1" applyFill="1" applyBorder="1" applyProtection="1">
      <protection hidden="1"/>
    </xf>
    <xf numFmtId="2" fontId="13" fillId="0" borderId="15" xfId="0" applyNumberFormat="1" applyFont="1" applyBorder="1" applyProtection="1">
      <protection hidden="1"/>
    </xf>
    <xf numFmtId="2" fontId="13" fillId="0" borderId="5" xfId="0" applyNumberFormat="1" applyFont="1" applyBorder="1" applyProtection="1">
      <protection hidden="1"/>
    </xf>
    <xf numFmtId="1" fontId="13" fillId="7" borderId="5" xfId="0" applyNumberFormat="1" applyFont="1" applyFill="1" applyBorder="1" applyProtection="1">
      <protection hidden="1"/>
    </xf>
    <xf numFmtId="164" fontId="13" fillId="7" borderId="0" xfId="0" applyNumberFormat="1" applyFont="1" applyFill="1" applyBorder="1" applyProtection="1">
      <protection hidden="1"/>
    </xf>
    <xf numFmtId="164" fontId="13" fillId="7" borderId="5" xfId="0" applyNumberFormat="1" applyFont="1" applyFill="1" applyBorder="1" applyProtection="1">
      <protection hidden="1"/>
    </xf>
    <xf numFmtId="1" fontId="13" fillId="7" borderId="2" xfId="0" applyNumberFormat="1" applyFont="1" applyFill="1" applyBorder="1" applyProtection="1">
      <protection hidden="1"/>
    </xf>
    <xf numFmtId="1" fontId="13" fillId="7" borderId="3" xfId="0" applyNumberFormat="1" applyFont="1" applyFill="1" applyBorder="1" applyProtection="1">
      <protection hidden="1"/>
    </xf>
    <xf numFmtId="1" fontId="13" fillId="7" borderId="22" xfId="0" applyNumberFormat="1" applyFont="1" applyFill="1" applyBorder="1" applyProtection="1">
      <protection hidden="1"/>
    </xf>
    <xf numFmtId="1" fontId="13" fillId="7" borderId="7" xfId="0" applyNumberFormat="1" applyFont="1" applyFill="1" applyBorder="1" applyProtection="1">
      <protection hidden="1"/>
    </xf>
    <xf numFmtId="164" fontId="13" fillId="7" borderId="22" xfId="0" applyNumberFormat="1" applyFont="1" applyFill="1" applyBorder="1" applyProtection="1">
      <protection hidden="1"/>
    </xf>
    <xf numFmtId="164" fontId="13" fillId="7" borderId="7" xfId="0" applyNumberFormat="1" applyFont="1" applyFill="1" applyBorder="1" applyProtection="1">
      <protection hidden="1"/>
    </xf>
    <xf numFmtId="1" fontId="13" fillId="7" borderId="21" xfId="0" quotePrefix="1" applyNumberFormat="1" applyFont="1" applyFill="1" applyBorder="1" applyProtection="1">
      <protection hidden="1"/>
    </xf>
    <xf numFmtId="1" fontId="13" fillId="7" borderId="23" xfId="0" quotePrefix="1" applyNumberFormat="1" applyFont="1" applyFill="1" applyBorder="1" applyProtection="1">
      <protection hidden="1"/>
    </xf>
    <xf numFmtId="2" fontId="24" fillId="0" borderId="0" xfId="0" applyNumberFormat="1" applyFont="1" applyBorder="1" applyProtection="1">
      <protection hidden="1"/>
    </xf>
    <xf numFmtId="1" fontId="24" fillId="0" borderId="0" xfId="0" applyNumberFormat="1" applyFont="1" applyProtection="1">
      <protection hidden="1"/>
    </xf>
    <xf numFmtId="2" fontId="24" fillId="0" borderId="0" xfId="0" applyNumberFormat="1" applyFont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1" fontId="13" fillId="6" borderId="2" xfId="0" applyNumberFormat="1" applyFont="1" applyFill="1" applyBorder="1" applyProtection="1">
      <protection hidden="1"/>
    </xf>
    <xf numFmtId="1" fontId="13" fillId="6" borderId="3" xfId="0" applyNumberFormat="1" applyFont="1" applyFill="1" applyBorder="1" applyProtection="1">
      <protection hidden="1"/>
    </xf>
    <xf numFmtId="0" fontId="13" fillId="6" borderId="12" xfId="0" applyFont="1" applyFill="1" applyBorder="1" applyProtection="1">
      <protection hidden="1"/>
    </xf>
    <xf numFmtId="0" fontId="13" fillId="6" borderId="30" xfId="0" applyFont="1" applyFill="1" applyBorder="1" applyProtection="1">
      <protection hidden="1"/>
    </xf>
    <xf numFmtId="1" fontId="13" fillId="6" borderId="10" xfId="0" applyNumberFormat="1" applyFont="1" applyFill="1" applyBorder="1" applyProtection="1">
      <protection hidden="1"/>
    </xf>
    <xf numFmtId="1" fontId="13" fillId="6" borderId="11" xfId="0" applyNumberFormat="1" applyFont="1" applyFill="1" applyBorder="1" applyProtection="1">
      <protection hidden="1"/>
    </xf>
    <xf numFmtId="0" fontId="13" fillId="6" borderId="27" xfId="0" applyFont="1" applyFill="1" applyBorder="1" applyProtection="1">
      <protection hidden="1"/>
    </xf>
    <xf numFmtId="0" fontId="13" fillId="6" borderId="25" xfId="0" applyFont="1" applyFill="1" applyBorder="1" applyProtection="1">
      <protection hidden="1"/>
    </xf>
    <xf numFmtId="0" fontId="13" fillId="6" borderId="26" xfId="0" applyFont="1" applyFill="1" applyBorder="1" applyProtection="1">
      <protection hidden="1"/>
    </xf>
    <xf numFmtId="0" fontId="18" fillId="6" borderId="27" xfId="0" applyFont="1" applyFill="1" applyBorder="1" applyProtection="1">
      <protection hidden="1"/>
    </xf>
    <xf numFmtId="1" fontId="13" fillId="6" borderId="25" xfId="0" applyNumberFormat="1" applyFont="1" applyFill="1" applyBorder="1" applyProtection="1">
      <protection hidden="1"/>
    </xf>
    <xf numFmtId="0" fontId="18" fillId="6" borderId="25" xfId="0" applyFont="1" applyFill="1" applyBorder="1" applyProtection="1">
      <protection hidden="1"/>
    </xf>
    <xf numFmtId="1" fontId="18" fillId="6" borderId="25" xfId="0" applyNumberFormat="1" applyFont="1" applyFill="1" applyBorder="1" applyProtection="1">
      <protection hidden="1"/>
    </xf>
    <xf numFmtId="2" fontId="13" fillId="6" borderId="33" xfId="0" applyNumberFormat="1" applyFont="1" applyFill="1" applyBorder="1" applyAlignment="1" applyProtection="1">
      <alignment horizontal="right"/>
      <protection hidden="1"/>
    </xf>
    <xf numFmtId="2" fontId="13" fillId="6" borderId="34" xfId="0" applyNumberFormat="1" applyFont="1" applyFill="1" applyBorder="1" applyAlignment="1" applyProtection="1">
      <alignment horizontal="right"/>
      <protection hidden="1"/>
    </xf>
    <xf numFmtId="1" fontId="13" fillId="6" borderId="34" xfId="0" applyNumberFormat="1" applyFont="1" applyFill="1" applyBorder="1" applyProtection="1">
      <protection hidden="1"/>
    </xf>
    <xf numFmtId="1" fontId="16" fillId="6" borderId="34" xfId="0" applyNumberFormat="1" applyFont="1" applyFill="1" applyBorder="1" applyProtection="1">
      <protection hidden="1"/>
    </xf>
    <xf numFmtId="1" fontId="13" fillId="6" borderId="35" xfId="0" applyNumberFormat="1" applyFont="1" applyFill="1" applyBorder="1" applyProtection="1">
      <protection hidden="1"/>
    </xf>
    <xf numFmtId="0" fontId="16" fillId="6" borderId="36" xfId="0" applyFont="1" applyFill="1" applyBorder="1" applyProtection="1">
      <protection hidden="1"/>
    </xf>
    <xf numFmtId="2" fontId="13" fillId="6" borderId="35" xfId="0" applyNumberFormat="1" applyFont="1" applyFill="1" applyBorder="1" applyAlignment="1" applyProtection="1">
      <alignment horizontal="right"/>
      <protection hidden="1"/>
    </xf>
    <xf numFmtId="0" fontId="13" fillId="6" borderId="37" xfId="0" applyFont="1" applyFill="1" applyBorder="1" applyProtection="1">
      <protection hidden="1"/>
    </xf>
    <xf numFmtId="0" fontId="13" fillId="6" borderId="31" xfId="0" applyFont="1" applyFill="1" applyBorder="1" applyProtection="1">
      <protection hidden="1"/>
    </xf>
    <xf numFmtId="0" fontId="13" fillId="6" borderId="24" xfId="0" applyFont="1" applyFill="1" applyBorder="1" applyAlignment="1" applyProtection="1">
      <alignment horizontal="center"/>
      <protection hidden="1"/>
    </xf>
    <xf numFmtId="0" fontId="13" fillId="6" borderId="12" xfId="0" applyFont="1" applyFill="1" applyBorder="1" applyAlignment="1" applyProtection="1">
      <alignment horizontal="center"/>
      <protection hidden="1"/>
    </xf>
    <xf numFmtId="0" fontId="15" fillId="6" borderId="12" xfId="0" applyFont="1" applyFill="1" applyBorder="1" applyProtection="1">
      <protection hidden="1"/>
    </xf>
    <xf numFmtId="0" fontId="13" fillId="6" borderId="28" xfId="0" applyFont="1" applyFill="1" applyBorder="1" applyProtection="1">
      <protection hidden="1"/>
    </xf>
    <xf numFmtId="0" fontId="16" fillId="6" borderId="32" xfId="0" applyFont="1" applyFill="1" applyBorder="1" applyAlignment="1" applyProtection="1">
      <alignment horizontal="center"/>
      <protection hidden="1"/>
    </xf>
    <xf numFmtId="0" fontId="16" fillId="6" borderId="38" xfId="0" applyFont="1" applyFill="1" applyBorder="1" applyAlignment="1" applyProtection="1">
      <alignment horizontal="center"/>
      <protection hidden="1"/>
    </xf>
    <xf numFmtId="0" fontId="13" fillId="6" borderId="29" xfId="0" applyFont="1" applyFill="1" applyBorder="1" applyAlignment="1" applyProtection="1">
      <alignment horizontal="center"/>
      <protection hidden="1"/>
    </xf>
    <xf numFmtId="1" fontId="24" fillId="6" borderId="33" xfId="0" applyNumberFormat="1" applyFont="1" applyFill="1" applyBorder="1" applyProtection="1">
      <protection hidden="1"/>
    </xf>
    <xf numFmtId="0" fontId="26" fillId="10" borderId="13" xfId="69" applyFont="1" applyFill="1" applyBorder="1" applyAlignment="1">
      <alignment horizontal="left" vertical="center" wrapText="1"/>
    </xf>
    <xf numFmtId="0" fontId="10" fillId="5" borderId="0" xfId="1239" applyFont="1" applyFill="1"/>
    <xf numFmtId="0" fontId="9" fillId="5" borderId="0" xfId="1239" applyFill="1"/>
    <xf numFmtId="0" fontId="9" fillId="5" borderId="0" xfId="1239" applyFont="1" applyFill="1"/>
    <xf numFmtId="0" fontId="26" fillId="10" borderId="13" xfId="1239" applyFont="1" applyFill="1" applyBorder="1" applyAlignment="1">
      <alignment horizontal="left" vertical="center" wrapText="1"/>
    </xf>
    <xf numFmtId="0" fontId="9" fillId="5" borderId="40" xfId="1239" applyFont="1" applyFill="1" applyBorder="1"/>
    <xf numFmtId="0" fontId="9" fillId="5" borderId="42" xfId="1239" applyFont="1" applyFill="1" applyBorder="1"/>
    <xf numFmtId="0" fontId="9" fillId="5" borderId="39" xfId="1239" applyFill="1" applyBorder="1"/>
    <xf numFmtId="0" fontId="10" fillId="5" borderId="44" xfId="1239" applyFont="1" applyFill="1" applyBorder="1"/>
    <xf numFmtId="0" fontId="22" fillId="5" borderId="45" xfId="1239" applyFont="1" applyFill="1" applyBorder="1"/>
    <xf numFmtId="0" fontId="10" fillId="5" borderId="45" xfId="1239" applyFont="1" applyFill="1" applyBorder="1"/>
    <xf numFmtId="0" fontId="9" fillId="8" borderId="47" xfId="1239" applyFill="1" applyBorder="1" applyAlignment="1">
      <alignment horizontal="center"/>
    </xf>
    <xf numFmtId="0" fontId="9" fillId="8" borderId="6" xfId="1239" applyFill="1" applyBorder="1" applyAlignment="1">
      <alignment horizontal="center"/>
    </xf>
    <xf numFmtId="0" fontId="25" fillId="9" borderId="6" xfId="1239" applyFont="1" applyFill="1" applyBorder="1" applyAlignment="1">
      <alignment horizontal="center" wrapText="1"/>
    </xf>
    <xf numFmtId="0" fontId="21" fillId="8" borderId="6" xfId="1239" applyFont="1" applyFill="1" applyBorder="1" applyAlignment="1">
      <alignment horizontal="center" wrapText="1"/>
    </xf>
    <xf numFmtId="0" fontId="9" fillId="8" borderId="0" xfId="1239" applyFill="1" applyAlignment="1">
      <alignment horizontal="center"/>
    </xf>
    <xf numFmtId="0" fontId="23" fillId="5" borderId="47" xfId="1239" applyFont="1" applyFill="1" applyBorder="1"/>
    <xf numFmtId="0" fontId="23" fillId="5" borderId="6" xfId="1239" applyFont="1" applyFill="1" applyBorder="1"/>
    <xf numFmtId="0" fontId="22" fillId="5" borderId="47" xfId="1239" applyFont="1" applyFill="1" applyBorder="1"/>
    <xf numFmtId="0" fontId="22" fillId="5" borderId="6" xfId="1239" applyFont="1" applyFill="1" applyBorder="1"/>
    <xf numFmtId="0" fontId="27" fillId="2" borderId="1" xfId="0" applyFont="1" applyFill="1" applyBorder="1" applyProtection="1">
      <protection hidden="1"/>
    </xf>
    <xf numFmtId="0" fontId="27" fillId="0" borderId="1" xfId="0" applyFont="1" applyBorder="1" applyProtection="1">
      <protection hidden="1"/>
    </xf>
    <xf numFmtId="0" fontId="27" fillId="0" borderId="17" xfId="0" applyFont="1" applyBorder="1" applyProtection="1">
      <protection hidden="1"/>
    </xf>
    <xf numFmtId="0" fontId="27" fillId="2" borderId="0" xfId="0" applyFont="1" applyFill="1" applyBorder="1" applyProtection="1">
      <protection hidden="1"/>
    </xf>
    <xf numFmtId="0" fontId="27" fillId="0" borderId="0" xfId="0" applyFont="1" applyBorder="1" applyProtection="1">
      <protection hidden="1"/>
    </xf>
    <xf numFmtId="0" fontId="27" fillId="0" borderId="4" xfId="0" applyFont="1" applyBorder="1" applyProtection="1">
      <protection hidden="1"/>
    </xf>
    <xf numFmtId="0" fontId="28" fillId="0" borderId="7" xfId="0" applyFont="1" applyBorder="1" applyProtection="1">
      <protection hidden="1"/>
    </xf>
    <xf numFmtId="0" fontId="27" fillId="2" borderId="0" xfId="0" applyFont="1" applyFill="1" applyBorder="1" applyAlignment="1" applyProtection="1">
      <alignment horizontal="center"/>
      <protection locked="0" hidden="1"/>
    </xf>
    <xf numFmtId="0" fontId="28" fillId="0" borderId="0" xfId="0" applyFont="1" applyBorder="1" applyProtection="1">
      <protection hidden="1"/>
    </xf>
    <xf numFmtId="0" fontId="27" fillId="2" borderId="4" xfId="0" applyFont="1" applyFill="1" applyBorder="1" applyAlignment="1" applyProtection="1">
      <alignment horizontal="center"/>
      <protection locked="0" hidden="1"/>
    </xf>
    <xf numFmtId="0" fontId="27" fillId="0" borderId="9" xfId="0" applyFont="1" applyBorder="1" applyProtection="1">
      <protection hidden="1"/>
    </xf>
    <xf numFmtId="0" fontId="27" fillId="0" borderId="14" xfId="0" applyFont="1" applyBorder="1" applyProtection="1">
      <protection hidden="1"/>
    </xf>
    <xf numFmtId="0" fontId="28" fillId="2" borderId="7" xfId="0" applyFont="1" applyFill="1" applyBorder="1" applyProtection="1">
      <protection hidden="1"/>
    </xf>
    <xf numFmtId="0" fontId="31" fillId="2" borderId="7" xfId="2" applyFont="1" applyFill="1" applyBorder="1" applyProtection="1">
      <protection hidden="1"/>
    </xf>
    <xf numFmtId="0" fontId="31" fillId="2" borderId="8" xfId="2" applyFont="1" applyFill="1" applyBorder="1" applyProtection="1">
      <protection hidden="1"/>
    </xf>
    <xf numFmtId="0" fontId="28" fillId="5" borderId="7" xfId="84" applyFont="1" applyFill="1" applyBorder="1"/>
    <xf numFmtId="0" fontId="27" fillId="5" borderId="0" xfId="84" applyFont="1" applyFill="1" applyBorder="1"/>
    <xf numFmtId="0" fontId="27" fillId="5" borderId="4" xfId="84" applyFont="1" applyFill="1" applyBorder="1"/>
    <xf numFmtId="0" fontId="27" fillId="5" borderId="7" xfId="84" applyFont="1" applyFill="1" applyBorder="1"/>
    <xf numFmtId="0" fontId="32" fillId="5" borderId="0" xfId="84" applyFont="1" applyFill="1" applyBorder="1"/>
    <xf numFmtId="0" fontId="28" fillId="5" borderId="7" xfId="0" applyFont="1" applyFill="1" applyBorder="1"/>
    <xf numFmtId="0" fontId="14" fillId="0" borderId="8" xfId="0" applyFont="1" applyBorder="1" applyAlignment="1" applyProtection="1">
      <alignment horizontal="centerContinuous"/>
      <protection hidden="1"/>
    </xf>
    <xf numFmtId="0" fontId="14" fillId="0" borderId="9" xfId="0" applyFont="1" applyBorder="1" applyAlignment="1" applyProtection="1">
      <alignment horizontal="centerContinuous"/>
      <protection hidden="1"/>
    </xf>
    <xf numFmtId="0" fontId="13" fillId="0" borderId="14" xfId="0" applyFont="1" applyBorder="1" applyAlignment="1" applyProtection="1">
      <alignment horizontal="centerContinuous"/>
      <protection hidden="1"/>
    </xf>
    <xf numFmtId="0" fontId="15" fillId="0" borderId="0" xfId="0" applyFont="1" applyProtection="1">
      <protection hidden="1"/>
    </xf>
    <xf numFmtId="0" fontId="18" fillId="0" borderId="0" xfId="0" applyFont="1" applyProtection="1">
      <protection hidden="1"/>
    </xf>
    <xf numFmtId="1" fontId="13" fillId="0" borderId="0" xfId="0" applyNumberFormat="1" applyFont="1" applyFill="1" applyProtection="1">
      <protection hidden="1"/>
    </xf>
    <xf numFmtId="2" fontId="15" fillId="0" borderId="0" xfId="2446" applyNumberFormat="1" applyFont="1" applyProtection="1">
      <protection locked="0" hidden="1"/>
    </xf>
    <xf numFmtId="2" fontId="15" fillId="0" borderId="0" xfId="2446" applyNumberFormat="1" applyFont="1" applyProtection="1">
      <protection hidden="1"/>
    </xf>
    <xf numFmtId="2" fontId="15" fillId="0" borderId="0" xfId="0" applyNumberFormat="1" applyFont="1" applyProtection="1">
      <protection locked="0" hidden="1"/>
    </xf>
    <xf numFmtId="2" fontId="13" fillId="0" borderId="0" xfId="2446" applyNumberFormat="1" applyFont="1" applyProtection="1">
      <protection locked="0" hidden="1"/>
    </xf>
    <xf numFmtId="1" fontId="18" fillId="0" borderId="0" xfId="0" applyNumberFormat="1" applyFont="1" applyProtection="1">
      <protection hidden="1"/>
    </xf>
    <xf numFmtId="1" fontId="16" fillId="0" borderId="0" xfId="0" applyNumberFormat="1" applyFont="1" applyProtection="1">
      <protection hidden="1"/>
    </xf>
    <xf numFmtId="1" fontId="18" fillId="0" borderId="0" xfId="0" applyNumberFormat="1" applyFont="1" applyFill="1" applyProtection="1">
      <protection hidden="1"/>
    </xf>
    <xf numFmtId="9" fontId="15" fillId="0" borderId="0" xfId="2447" applyFont="1" applyProtection="1">
      <protection hidden="1"/>
    </xf>
    <xf numFmtId="9" fontId="13" fillId="0" borderId="0" xfId="2447" applyFont="1" applyProtection="1">
      <protection hidden="1"/>
    </xf>
    <xf numFmtId="2" fontId="13" fillId="11" borderId="0" xfId="0" applyNumberFormat="1" applyFont="1" applyFill="1" applyAlignment="1" applyProtection="1">
      <alignment horizontal="right"/>
      <protection hidden="1"/>
    </xf>
    <xf numFmtId="0" fontId="13" fillId="11" borderId="0" xfId="0" applyFont="1" applyFill="1" applyProtection="1">
      <protection hidden="1"/>
    </xf>
    <xf numFmtId="0" fontId="28" fillId="2" borderId="16" xfId="0" applyFont="1" applyFill="1" applyBorder="1" applyProtection="1">
      <protection hidden="1"/>
    </xf>
    <xf numFmtId="0" fontId="27" fillId="5" borderId="9" xfId="84" applyFont="1" applyFill="1" applyBorder="1"/>
    <xf numFmtId="0" fontId="27" fillId="5" borderId="14" xfId="84" applyFont="1" applyFill="1" applyBorder="1"/>
    <xf numFmtId="0" fontId="27" fillId="5" borderId="6" xfId="84" applyFont="1" applyFill="1" applyBorder="1"/>
    <xf numFmtId="0" fontId="27" fillId="5" borderId="50" xfId="84" applyFont="1" applyFill="1" applyBorder="1"/>
    <xf numFmtId="0" fontId="27" fillId="2" borderId="9" xfId="0" applyFont="1" applyFill="1" applyBorder="1" applyProtection="1">
      <protection hidden="1"/>
    </xf>
    <xf numFmtId="0" fontId="28" fillId="2" borderId="1" xfId="0" applyFont="1" applyFill="1" applyBorder="1" applyProtection="1">
      <protection hidden="1"/>
    </xf>
    <xf numFmtId="0" fontId="28" fillId="2" borderId="0" xfId="0" applyFont="1" applyFill="1" applyBorder="1" applyProtection="1">
      <protection hidden="1"/>
    </xf>
    <xf numFmtId="0" fontId="31" fillId="2" borderId="0" xfId="2" applyFont="1" applyFill="1" applyBorder="1" applyProtection="1">
      <protection hidden="1"/>
    </xf>
    <xf numFmtId="0" fontId="31" fillId="2" borderId="9" xfId="2" applyFont="1" applyFill="1" applyBorder="1" applyProtection="1">
      <protection hidden="1"/>
    </xf>
    <xf numFmtId="0" fontId="28" fillId="5" borderId="0" xfId="84" applyFont="1" applyFill="1" applyBorder="1"/>
    <xf numFmtId="0" fontId="28" fillId="5" borderId="0" xfId="69" applyFont="1" applyFill="1" applyBorder="1"/>
    <xf numFmtId="0" fontId="28" fillId="5" borderId="0" xfId="0" applyFont="1" applyFill="1" applyBorder="1"/>
    <xf numFmtId="0" fontId="27" fillId="2" borderId="17" xfId="0" applyFont="1" applyFill="1" applyBorder="1" applyProtection="1">
      <protection hidden="1"/>
    </xf>
    <xf numFmtId="0" fontId="27" fillId="2" borderId="4" xfId="0" applyFont="1" applyFill="1" applyBorder="1" applyProtection="1">
      <protection hidden="1"/>
    </xf>
    <xf numFmtId="0" fontId="28" fillId="0" borderId="4" xfId="0" applyFont="1" applyBorder="1" applyAlignment="1" applyProtection="1">
      <alignment horizontal="left"/>
      <protection hidden="1"/>
    </xf>
    <xf numFmtId="10" fontId="29" fillId="4" borderId="4" xfId="0" applyNumberFormat="1" applyFont="1" applyFill="1" applyBorder="1" applyAlignment="1" applyProtection="1">
      <alignment horizontal="left"/>
      <protection locked="0" hidden="1"/>
    </xf>
    <xf numFmtId="10" fontId="29" fillId="4" borderId="4" xfId="0" applyNumberFormat="1" applyFont="1" applyFill="1" applyBorder="1" applyAlignment="1" applyProtection="1">
      <alignment horizontal="left"/>
      <protection hidden="1"/>
    </xf>
    <xf numFmtId="0" fontId="29" fillId="4" borderId="4" xfId="0" applyFont="1" applyFill="1" applyBorder="1" applyAlignment="1" applyProtection="1">
      <alignment horizontal="left"/>
      <protection locked="0" hidden="1"/>
    </xf>
    <xf numFmtId="165" fontId="29" fillId="4" borderId="4" xfId="0" applyNumberFormat="1" applyFont="1" applyFill="1" applyBorder="1" applyAlignment="1" applyProtection="1">
      <alignment horizontal="left"/>
      <protection locked="0" hidden="1"/>
    </xf>
    <xf numFmtId="166" fontId="29" fillId="4" borderId="4" xfId="0" applyNumberFormat="1" applyFont="1" applyFill="1" applyBorder="1" applyAlignment="1" applyProtection="1">
      <alignment horizontal="left"/>
      <protection locked="0" hidden="1"/>
    </xf>
    <xf numFmtId="0" fontId="32" fillId="5" borderId="4" xfId="84" applyFont="1" applyFill="1" applyBorder="1"/>
    <xf numFmtId="1" fontId="18" fillId="6" borderId="33" xfId="0" applyNumberFormat="1" applyFont="1" applyFill="1" applyBorder="1" applyProtection="1">
      <protection hidden="1"/>
    </xf>
    <xf numFmtId="4" fontId="29" fillId="4" borderId="4" xfId="0" applyNumberFormat="1" applyFont="1" applyFill="1" applyBorder="1" applyAlignment="1" applyProtection="1">
      <alignment horizontal="left"/>
      <protection locked="0" hidden="1"/>
    </xf>
    <xf numFmtId="0" fontId="23" fillId="11" borderId="6" xfId="1239" applyFont="1" applyFill="1" applyBorder="1"/>
    <xf numFmtId="0" fontId="23" fillId="12" borderId="6" xfId="1239" applyFont="1" applyFill="1" applyBorder="1"/>
    <xf numFmtId="0" fontId="23" fillId="13" borderId="6" xfId="1239" applyFont="1" applyFill="1" applyBorder="1"/>
    <xf numFmtId="0" fontId="23" fillId="14" borderId="6" xfId="1239" applyFont="1" applyFill="1" applyBorder="1"/>
    <xf numFmtId="2" fontId="14" fillId="6" borderId="20" xfId="0" applyNumberFormat="1" applyFont="1" applyFill="1" applyBorder="1" applyProtection="1">
      <protection hidden="1"/>
    </xf>
    <xf numFmtId="0" fontId="13" fillId="6" borderId="51" xfId="0" applyFont="1" applyFill="1" applyBorder="1" applyProtection="1">
      <protection hidden="1"/>
    </xf>
    <xf numFmtId="0" fontId="13" fillId="6" borderId="52" xfId="0" applyFont="1" applyFill="1" applyBorder="1" applyProtection="1">
      <protection hidden="1"/>
    </xf>
    <xf numFmtId="0" fontId="13" fillId="6" borderId="53" xfId="0" applyFont="1" applyFill="1" applyBorder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8" fillId="0" borderId="0" xfId="0" applyFont="1" applyProtection="1">
      <protection hidden="1"/>
    </xf>
    <xf numFmtId="0" fontId="27" fillId="2" borderId="19" xfId="0" applyFont="1" applyFill="1" applyBorder="1" applyProtection="1">
      <protection hidden="1"/>
    </xf>
    <xf numFmtId="0" fontId="28" fillId="2" borderId="19" xfId="0" applyFont="1" applyFill="1" applyBorder="1" applyProtection="1">
      <protection hidden="1"/>
    </xf>
    <xf numFmtId="0" fontId="28" fillId="2" borderId="0" xfId="0" applyFont="1" applyFill="1" applyBorder="1" applyAlignment="1" applyProtection="1">
      <alignment horizontal="center"/>
      <protection locked="0" hidden="1"/>
    </xf>
    <xf numFmtId="0" fontId="27" fillId="5" borderId="0" xfId="84" applyFont="1" applyFill="1"/>
    <xf numFmtId="168" fontId="35" fillId="4" borderId="4" xfId="0" applyNumberFormat="1" applyFont="1" applyFill="1" applyBorder="1" applyAlignment="1" applyProtection="1">
      <alignment horizontal="center"/>
      <protection locked="0" hidden="1"/>
    </xf>
    <xf numFmtId="4" fontId="29" fillId="0" borderId="4" xfId="0" applyNumberFormat="1" applyFont="1" applyFill="1" applyBorder="1" applyAlignment="1" applyProtection="1">
      <alignment horizontal="left"/>
      <protection locked="0" hidden="1"/>
    </xf>
    <xf numFmtId="0" fontId="36" fillId="5" borderId="45" xfId="0" applyFont="1" applyFill="1" applyBorder="1" applyAlignment="1">
      <alignment horizontal="center"/>
    </xf>
    <xf numFmtId="0" fontId="36" fillId="5" borderId="46" xfId="0" applyFont="1" applyFill="1" applyBorder="1" applyAlignment="1">
      <alignment horizontal="center"/>
    </xf>
    <xf numFmtId="0" fontId="37" fillId="5" borderId="56" xfId="0" applyFont="1" applyFill="1" applyBorder="1"/>
    <xf numFmtId="0" fontId="37" fillId="5" borderId="57" xfId="0" applyFont="1" applyFill="1" applyBorder="1"/>
    <xf numFmtId="0" fontId="36" fillId="0" borderId="47" xfId="0" applyFont="1" applyBorder="1"/>
    <xf numFmtId="0" fontId="38" fillId="15" borderId="6" xfId="0" applyFont="1" applyFill="1" applyBorder="1" applyAlignment="1">
      <alignment horizontal="center"/>
    </xf>
    <xf numFmtId="166" fontId="38" fillId="15" borderId="6" xfId="0" applyNumberFormat="1" applyFont="1" applyFill="1" applyBorder="1" applyAlignment="1">
      <alignment horizontal="center"/>
    </xf>
    <xf numFmtId="0" fontId="36" fillId="5" borderId="6" xfId="0" applyFont="1" applyFill="1" applyBorder="1"/>
    <xf numFmtId="166" fontId="37" fillId="5" borderId="48" xfId="0" applyNumberFormat="1" applyFont="1" applyFill="1" applyBorder="1"/>
    <xf numFmtId="0" fontId="38" fillId="5" borderId="6" xfId="0" applyFont="1" applyFill="1" applyBorder="1" applyAlignment="1">
      <alignment horizontal="center"/>
    </xf>
    <xf numFmtId="166" fontId="38" fillId="5" borderId="6" xfId="0" applyNumberFormat="1" applyFont="1" applyFill="1" applyBorder="1" applyAlignment="1">
      <alignment horizontal="center"/>
    </xf>
    <xf numFmtId="166" fontId="37" fillId="5" borderId="58" xfId="0" applyNumberFormat="1" applyFont="1" applyFill="1" applyBorder="1"/>
    <xf numFmtId="0" fontId="36" fillId="0" borderId="59" xfId="0" applyFont="1" applyBorder="1" applyAlignment="1">
      <alignment wrapText="1"/>
    </xf>
    <xf numFmtId="0" fontId="38" fillId="15" borderId="50" xfId="0" applyFont="1" applyFill="1" applyBorder="1" applyAlignment="1">
      <alignment horizontal="center"/>
    </xf>
    <xf numFmtId="166" fontId="38" fillId="15" borderId="50" xfId="0" applyNumberFormat="1" applyFont="1" applyFill="1" applyBorder="1" applyAlignment="1">
      <alignment horizontal="center"/>
    </xf>
    <xf numFmtId="166" fontId="38" fillId="15" borderId="48" xfId="0" applyNumberFormat="1" applyFont="1" applyFill="1" applyBorder="1" applyAlignment="1">
      <alignment horizontal="right"/>
    </xf>
    <xf numFmtId="0" fontId="36" fillId="0" borderId="47" xfId="0" applyFont="1" applyFill="1" applyBorder="1"/>
    <xf numFmtId="166" fontId="37" fillId="0" borderId="48" xfId="0" applyNumberFormat="1" applyFont="1" applyFill="1" applyBorder="1"/>
    <xf numFmtId="0" fontId="36" fillId="0" borderId="47" xfId="0" quotePrefix="1" applyFont="1" applyBorder="1"/>
    <xf numFmtId="0" fontId="37" fillId="0" borderId="60" xfId="0" applyFont="1" applyBorder="1"/>
    <xf numFmtId="0" fontId="36" fillId="6" borderId="61" xfId="0" applyFont="1" applyFill="1" applyBorder="1"/>
    <xf numFmtId="0" fontId="37" fillId="6" borderId="2" xfId="0" applyFont="1" applyFill="1" applyBorder="1"/>
    <xf numFmtId="166" fontId="36" fillId="6" borderId="62" xfId="0" applyNumberFormat="1" applyFont="1" applyFill="1" applyBorder="1"/>
    <xf numFmtId="165" fontId="28" fillId="4" borderId="4" xfId="0" applyNumberFormat="1" applyFont="1" applyFill="1" applyBorder="1" applyAlignment="1" applyProtection="1">
      <alignment horizontal="center"/>
      <protection locked="0" hidden="1"/>
    </xf>
    <xf numFmtId="0" fontId="40" fillId="0" borderId="0" xfId="21816"/>
    <xf numFmtId="0" fontId="36" fillId="0" borderId="47" xfId="21816" applyFont="1" applyBorder="1"/>
    <xf numFmtId="0" fontId="38" fillId="15" borderId="6" xfId="21816" applyFont="1" applyFill="1" applyBorder="1" applyAlignment="1">
      <alignment horizontal="center"/>
    </xf>
    <xf numFmtId="166" fontId="36" fillId="15" borderId="6" xfId="21816" applyNumberFormat="1" applyFont="1" applyFill="1" applyBorder="1" applyAlignment="1">
      <alignment horizontal="center"/>
    </xf>
    <xf numFmtId="0" fontId="38" fillId="5" borderId="6" xfId="21816" applyFont="1" applyFill="1" applyBorder="1" applyAlignment="1">
      <alignment horizontal="center"/>
    </xf>
    <xf numFmtId="166" fontId="38" fillId="5" borderId="6" xfId="21816" applyNumberFormat="1" applyFont="1" applyFill="1" applyBorder="1" applyAlignment="1">
      <alignment horizontal="center"/>
    </xf>
    <xf numFmtId="166" fontId="38" fillId="15" borderId="6" xfId="21816" applyNumberFormat="1" applyFont="1" applyFill="1" applyBorder="1" applyAlignment="1">
      <alignment horizontal="center"/>
    </xf>
    <xf numFmtId="0" fontId="18" fillId="6" borderId="63" xfId="0" applyFont="1" applyFill="1" applyBorder="1" applyProtection="1">
      <protection hidden="1"/>
    </xf>
    <xf numFmtId="1" fontId="13" fillId="7" borderId="2" xfId="0" quotePrefix="1" applyNumberFormat="1" applyFont="1" applyFill="1" applyBorder="1" applyProtection="1">
      <protection hidden="1"/>
    </xf>
    <xf numFmtId="0" fontId="37" fillId="6" borderId="64" xfId="0" applyFont="1" applyFill="1" applyBorder="1"/>
    <xf numFmtId="0" fontId="37" fillId="6" borderId="0" xfId="0" applyFont="1" applyFill="1" applyBorder="1"/>
    <xf numFmtId="166" fontId="37" fillId="6" borderId="65" xfId="0" applyNumberFormat="1" applyFont="1" applyFill="1" applyBorder="1"/>
    <xf numFmtId="0" fontId="36" fillId="0" borderId="44" xfId="0" applyFont="1" applyBorder="1" applyAlignment="1">
      <alignment horizontal="center"/>
    </xf>
    <xf numFmtId="0" fontId="37" fillId="0" borderId="15" xfId="0" applyFont="1" applyBorder="1"/>
    <xf numFmtId="0" fontId="36" fillId="0" borderId="67" xfId="0" applyFont="1" applyBorder="1"/>
    <xf numFmtId="0" fontId="36" fillId="0" borderId="68" xfId="0" applyFont="1" applyBorder="1" applyAlignment="1">
      <alignment wrapText="1"/>
    </xf>
    <xf numFmtId="0" fontId="36" fillId="0" borderId="67" xfId="21816" applyFont="1" applyBorder="1"/>
    <xf numFmtId="0" fontId="36" fillId="0" borderId="67" xfId="0" applyFont="1" applyFill="1" applyBorder="1"/>
    <xf numFmtId="0" fontId="36" fillId="0" borderId="67" xfId="0" quotePrefix="1" applyFont="1" applyBorder="1"/>
    <xf numFmtId="0" fontId="37" fillId="0" borderId="69" xfId="0" applyFont="1" applyBorder="1"/>
    <xf numFmtId="0" fontId="37" fillId="5" borderId="18" xfId="0" applyFont="1" applyFill="1" applyBorder="1"/>
    <xf numFmtId="166" fontId="37" fillId="5" borderId="49" xfId="0" applyNumberFormat="1" applyFont="1" applyFill="1" applyBorder="1"/>
    <xf numFmtId="0" fontId="37" fillId="0" borderId="70" xfId="0" applyFont="1" applyBorder="1"/>
    <xf numFmtId="0" fontId="36" fillId="0" borderId="66" xfId="0" applyFont="1" applyBorder="1" applyAlignment="1">
      <alignment horizontal="center" wrapText="1"/>
    </xf>
    <xf numFmtId="2" fontId="15" fillId="0" borderId="0" xfId="80" applyNumberFormat="1" applyFont="1" applyProtection="1">
      <protection locked="0" hidden="1"/>
    </xf>
    <xf numFmtId="2" fontId="13" fillId="0" borderId="0" xfId="80" applyNumberFormat="1" applyFont="1" applyProtection="1">
      <protection locked="0" hidden="1"/>
    </xf>
    <xf numFmtId="49" fontId="41" fillId="4" borderId="17" xfId="0" applyNumberFormat="1" applyFont="1" applyFill="1" applyBorder="1" applyAlignment="1" applyProtection="1">
      <alignment horizontal="left"/>
      <protection locked="0" hidden="1"/>
    </xf>
    <xf numFmtId="49" fontId="41" fillId="4" borderId="4" xfId="0" applyNumberFormat="1" applyFont="1" applyFill="1" applyBorder="1" applyAlignment="1" applyProtection="1">
      <alignment horizontal="left"/>
      <protection locked="0" hidden="1"/>
    </xf>
    <xf numFmtId="0" fontId="26" fillId="10" borderId="13" xfId="1239" applyFont="1" applyFill="1" applyBorder="1" applyAlignment="1">
      <alignment horizontal="center" vertical="center" wrapText="1"/>
    </xf>
    <xf numFmtId="0" fontId="9" fillId="5" borderId="55" xfId="1239" applyFill="1" applyBorder="1"/>
    <xf numFmtId="0" fontId="42" fillId="5" borderId="55" xfId="1239" applyFont="1" applyFill="1" applyBorder="1"/>
    <xf numFmtId="0" fontId="9" fillId="5" borderId="55" xfId="1239" applyFont="1" applyFill="1" applyBorder="1"/>
    <xf numFmtId="0" fontId="9" fillId="5" borderId="41" xfId="1239" applyFont="1" applyFill="1" applyBorder="1"/>
    <xf numFmtId="0" fontId="9" fillId="5" borderId="71" xfId="1239" applyFont="1" applyFill="1" applyBorder="1"/>
    <xf numFmtId="0" fontId="9" fillId="5" borderId="72" xfId="1239" applyFont="1" applyFill="1" applyBorder="1" applyProtection="1">
      <protection hidden="1"/>
    </xf>
    <xf numFmtId="0" fontId="9" fillId="16" borderId="11" xfId="1239" applyFont="1" applyFill="1" applyBorder="1"/>
    <xf numFmtId="0" fontId="42" fillId="16" borderId="11" xfId="1239" applyFont="1" applyFill="1" applyBorder="1"/>
    <xf numFmtId="0" fontId="9" fillId="16" borderId="11" xfId="1239" applyFill="1" applyBorder="1"/>
    <xf numFmtId="0" fontId="9" fillId="16" borderId="73" xfId="1239" applyFont="1" applyFill="1" applyBorder="1"/>
    <xf numFmtId="0" fontId="9" fillId="5" borderId="39" xfId="1239" applyFont="1" applyFill="1" applyBorder="1"/>
    <xf numFmtId="0" fontId="9" fillId="5" borderId="74" xfId="1239" applyFont="1" applyFill="1" applyBorder="1"/>
    <xf numFmtId="0" fontId="9" fillId="5" borderId="75" xfId="1239" applyFont="1" applyFill="1" applyBorder="1" applyProtection="1">
      <protection hidden="1"/>
    </xf>
    <xf numFmtId="0" fontId="9" fillId="16" borderId="12" xfId="1239" applyFont="1" applyFill="1" applyBorder="1"/>
    <xf numFmtId="0" fontId="9" fillId="16" borderId="12" xfId="1239" applyFill="1" applyBorder="1"/>
    <xf numFmtId="0" fontId="9" fillId="16" borderId="28" xfId="1239" applyFont="1" applyFill="1" applyBorder="1"/>
    <xf numFmtId="0" fontId="43" fillId="16" borderId="12" xfId="1239" applyFont="1" applyFill="1" applyBorder="1"/>
    <xf numFmtId="0" fontId="44" fillId="16" borderId="12" xfId="1239" applyFont="1" applyFill="1" applyBorder="1" applyAlignment="1">
      <alignment horizontal="left" wrapText="1"/>
    </xf>
    <xf numFmtId="0" fontId="22" fillId="16" borderId="12" xfId="1239" applyFont="1" applyFill="1" applyBorder="1"/>
    <xf numFmtId="0" fontId="23" fillId="16" borderId="12" xfId="1239" applyFont="1" applyFill="1" applyBorder="1"/>
    <xf numFmtId="0" fontId="45" fillId="16" borderId="12" xfId="1239" applyFont="1" applyFill="1" applyBorder="1" applyAlignment="1">
      <alignment horizontal="left" wrapText="1"/>
    </xf>
    <xf numFmtId="0" fontId="9" fillId="5" borderId="74" xfId="1239" applyFill="1" applyBorder="1"/>
    <xf numFmtId="0" fontId="9" fillId="16" borderId="12" xfId="84" applyFill="1" applyBorder="1"/>
    <xf numFmtId="0" fontId="9" fillId="0" borderId="0" xfId="84"/>
    <xf numFmtId="0" fontId="9" fillId="5" borderId="45" xfId="1239" applyFill="1" applyBorder="1"/>
    <xf numFmtId="0" fontId="9" fillId="0" borderId="45" xfId="84" applyBorder="1"/>
    <xf numFmtId="0" fontId="9" fillId="0" borderId="46" xfId="84" applyBorder="1"/>
    <xf numFmtId="0" fontId="10" fillId="8" borderId="6" xfId="1239" applyFont="1" applyFill="1" applyBorder="1"/>
    <xf numFmtId="0" fontId="25" fillId="9" borderId="6" xfId="1239" applyFont="1" applyFill="1" applyBorder="1" applyAlignment="1">
      <alignment horizontal="left" vertical="center" wrapText="1"/>
    </xf>
    <xf numFmtId="0" fontId="10" fillId="8" borderId="6" xfId="1239" applyFont="1" applyFill="1" applyBorder="1" applyAlignment="1">
      <alignment horizontal="center"/>
    </xf>
    <xf numFmtId="0" fontId="9" fillId="8" borderId="48" xfId="1239" applyFill="1" applyBorder="1" applyAlignment="1">
      <alignment horizontal="center"/>
    </xf>
    <xf numFmtId="0" fontId="9" fillId="0" borderId="6" xfId="84" applyFont="1" applyBorder="1"/>
    <xf numFmtId="0" fontId="9" fillId="5" borderId="6" xfId="1239" applyFill="1" applyBorder="1"/>
    <xf numFmtId="0" fontId="47" fillId="5" borderId="6" xfId="1239" applyFont="1" applyFill="1" applyBorder="1"/>
    <xf numFmtId="0" fontId="42" fillId="5" borderId="48" xfId="1239" applyFont="1" applyFill="1" applyBorder="1"/>
    <xf numFmtId="0" fontId="42" fillId="5" borderId="0" xfId="1239" applyFont="1" applyFill="1"/>
    <xf numFmtId="0" fontId="10" fillId="0" borderId="6" xfId="84" applyFont="1" applyBorder="1"/>
    <xf numFmtId="0" fontId="10" fillId="5" borderId="6" xfId="1239" applyFont="1" applyFill="1" applyBorder="1"/>
    <xf numFmtId="0" fontId="49" fillId="5" borderId="6" xfId="1239" applyFont="1" applyFill="1" applyBorder="1"/>
    <xf numFmtId="0" fontId="50" fillId="5" borderId="48" xfId="1239" applyFont="1" applyFill="1" applyBorder="1"/>
    <xf numFmtId="0" fontId="50" fillId="5" borderId="0" xfId="1239" applyFont="1" applyFill="1"/>
    <xf numFmtId="0" fontId="9" fillId="5" borderId="48" xfId="1239" applyFill="1" applyBorder="1"/>
    <xf numFmtId="0" fontId="10" fillId="5" borderId="48" xfId="1239" applyFont="1" applyFill="1" applyBorder="1"/>
    <xf numFmtId="0" fontId="9" fillId="5" borderId="39" xfId="1239" applyFill="1" applyBorder="1" applyProtection="1"/>
    <xf numFmtId="0" fontId="28" fillId="5" borderId="4" xfId="0" applyFont="1" applyFill="1" applyBorder="1"/>
    <xf numFmtId="0" fontId="28" fillId="5" borderId="0" xfId="0" applyFont="1" applyFill="1" applyBorder="1" applyAlignment="1">
      <alignment horizontal="left"/>
    </xf>
    <xf numFmtId="0" fontId="31" fillId="2" borderId="16" xfId="2" applyFont="1" applyFill="1" applyBorder="1" applyProtection="1">
      <protection hidden="1"/>
    </xf>
    <xf numFmtId="0" fontId="31" fillId="2" borderId="1" xfId="2" applyFont="1" applyFill="1" applyBorder="1" applyProtection="1">
      <protection hidden="1"/>
    </xf>
    <xf numFmtId="49" fontId="41" fillId="4" borderId="14" xfId="0" applyNumberFormat="1" applyFont="1" applyFill="1" applyBorder="1" applyAlignment="1" applyProtection="1">
      <alignment horizontal="left"/>
      <protection locked="0" hidden="1"/>
    </xf>
    <xf numFmtId="169" fontId="0" fillId="0" borderId="0" xfId="2447" applyNumberFormat="1" applyFont="1"/>
    <xf numFmtId="0" fontId="10" fillId="17" borderId="13" xfId="0" applyFont="1" applyFill="1" applyBorder="1"/>
    <xf numFmtId="0" fontId="0" fillId="0" borderId="0" xfId="0" applyBorder="1"/>
    <xf numFmtId="0" fontId="10" fillId="17" borderId="54" xfId="0" applyFont="1" applyFill="1" applyBorder="1"/>
    <xf numFmtId="0" fontId="9" fillId="0" borderId="77" xfId="0" applyFont="1" applyBorder="1"/>
    <xf numFmtId="0" fontId="9" fillId="0" borderId="67" xfId="0" applyFont="1" applyBorder="1"/>
    <xf numFmtId="0" fontId="14" fillId="0" borderId="70" xfId="0" applyFont="1" applyBorder="1" applyProtection="1">
      <protection hidden="1"/>
    </xf>
    <xf numFmtId="0" fontId="0" fillId="0" borderId="77" xfId="0" applyBorder="1"/>
    <xf numFmtId="0" fontId="0" fillId="0" borderId="67" xfId="0" applyBorder="1"/>
    <xf numFmtId="10" fontId="0" fillId="0" borderId="70" xfId="21054" applyNumberFormat="1" applyFont="1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9" fontId="0" fillId="0" borderId="68" xfId="0" applyNumberFormat="1" applyBorder="1"/>
    <xf numFmtId="9" fontId="0" fillId="0" borderId="67" xfId="0" applyNumberFormat="1" applyBorder="1"/>
    <xf numFmtId="9" fontId="0" fillId="0" borderId="70" xfId="0" applyNumberFormat="1" applyBorder="1"/>
    <xf numFmtId="9" fontId="0" fillId="0" borderId="0" xfId="0" applyNumberFormat="1" applyBorder="1"/>
    <xf numFmtId="0" fontId="10" fillId="17" borderId="76" xfId="0" applyFont="1" applyFill="1" applyBorder="1"/>
    <xf numFmtId="0" fontId="46" fillId="0" borderId="6" xfId="38777" applyFont="1" applyFill="1" applyBorder="1" applyAlignment="1">
      <alignment horizontal="left" wrapText="1"/>
    </xf>
    <xf numFmtId="0" fontId="48" fillId="0" borderId="6" xfId="38777" applyFont="1" applyFill="1" applyBorder="1" applyAlignment="1">
      <alignment horizontal="left" wrapText="1"/>
    </xf>
    <xf numFmtId="0" fontId="28" fillId="0" borderId="0" xfId="0" applyFont="1" applyAlignment="1" applyProtection="1">
      <alignment wrapText="1"/>
      <protection hidden="1"/>
    </xf>
    <xf numFmtId="0" fontId="27" fillId="0" borderId="0" xfId="0" applyFont="1" applyAlignment="1" applyProtection="1">
      <alignment wrapText="1"/>
      <protection hidden="1"/>
    </xf>
    <xf numFmtId="0" fontId="52" fillId="19" borderId="56" xfId="0" applyFont="1" applyFill="1" applyBorder="1" applyAlignment="1">
      <alignment horizontal="center" vertical="center" wrapText="1"/>
    </xf>
    <xf numFmtId="10" fontId="52" fillId="19" borderId="56" xfId="21054" applyNumberFormat="1" applyFont="1" applyFill="1" applyBorder="1" applyAlignment="1">
      <alignment horizontal="center" vertical="center" wrapText="1"/>
    </xf>
    <xf numFmtId="43" fontId="52" fillId="19" borderId="56" xfId="80" applyFont="1" applyFill="1" applyBorder="1" applyAlignment="1">
      <alignment horizontal="center" vertical="center" wrapText="1"/>
    </xf>
    <xf numFmtId="9" fontId="52" fillId="19" borderId="56" xfId="21054" applyFont="1" applyFill="1" applyBorder="1" applyAlignment="1">
      <alignment horizontal="center" vertical="center" wrapText="1"/>
    </xf>
    <xf numFmtId="0" fontId="52" fillId="19" borderId="81" xfId="21054" applyNumberFormat="1" applyFont="1" applyFill="1" applyBorder="1" applyAlignment="1">
      <alignment horizontal="center" vertical="center" wrapText="1"/>
    </xf>
    <xf numFmtId="9" fontId="52" fillId="19" borderId="82" xfId="21054" applyFont="1" applyFill="1" applyBorder="1" applyAlignment="1">
      <alignment horizontal="center" vertical="center" wrapText="1"/>
    </xf>
    <xf numFmtId="9" fontId="52" fillId="19" borderId="81" xfId="21054" applyFont="1" applyFill="1" applyBorder="1" applyAlignment="1">
      <alignment horizontal="center" vertical="center" wrapText="1"/>
    </xf>
    <xf numFmtId="43" fontId="52" fillId="19" borderId="56" xfId="80" applyNumberFormat="1" applyFont="1" applyFill="1" applyBorder="1" applyAlignment="1">
      <alignment horizontal="center" vertical="center" wrapText="1"/>
    </xf>
    <xf numFmtId="170" fontId="52" fillId="19" borderId="56" xfId="80" applyNumberFormat="1" applyFont="1" applyFill="1" applyBorder="1" applyAlignment="1">
      <alignment horizontal="center" vertical="center" wrapText="1"/>
    </xf>
    <xf numFmtId="43" fontId="52" fillId="20" borderId="56" xfId="80" applyNumberFormat="1" applyFont="1" applyFill="1" applyBorder="1" applyAlignment="1">
      <alignment horizontal="center" vertical="center" wrapText="1"/>
    </xf>
    <xf numFmtId="170" fontId="52" fillId="20" borderId="56" xfId="80" applyNumberFormat="1" applyFont="1" applyFill="1" applyBorder="1" applyAlignment="1">
      <alignment horizontal="center" vertical="center" wrapText="1"/>
    </xf>
    <xf numFmtId="10" fontId="52" fillId="20" borderId="56" xfId="21054" applyNumberFormat="1" applyFont="1" applyFill="1" applyBorder="1" applyAlignment="1">
      <alignment horizontal="center" vertical="center" wrapText="1"/>
    </xf>
    <xf numFmtId="0" fontId="28" fillId="0" borderId="6" xfId="0" applyFont="1" applyBorder="1" applyProtection="1">
      <protection hidden="1"/>
    </xf>
    <xf numFmtId="49" fontId="28" fillId="0" borderId="6" xfId="0" applyNumberFormat="1" applyFont="1" applyBorder="1" applyProtection="1">
      <protection hidden="1"/>
    </xf>
    <xf numFmtId="0" fontId="27" fillId="0" borderId="6" xfId="0" applyFont="1" applyBorder="1" applyProtection="1">
      <protection hidden="1"/>
    </xf>
    <xf numFmtId="165" fontId="28" fillId="0" borderId="6" xfId="0" applyNumberFormat="1" applyFont="1" applyBorder="1" applyProtection="1">
      <protection hidden="1"/>
    </xf>
    <xf numFmtId="0" fontId="28" fillId="11" borderId="6" xfId="0" applyFont="1" applyFill="1" applyBorder="1" applyProtection="1">
      <protection hidden="1"/>
    </xf>
    <xf numFmtId="0" fontId="27" fillId="11" borderId="6" xfId="0" applyFont="1" applyFill="1" applyBorder="1" applyProtection="1">
      <protection hidden="1"/>
    </xf>
    <xf numFmtId="2" fontId="28" fillId="0" borderId="6" xfId="0" applyNumberFormat="1" applyFont="1" applyBorder="1" applyProtection="1">
      <protection hidden="1"/>
    </xf>
    <xf numFmtId="0" fontId="9" fillId="5" borderId="6" xfId="1239" applyFont="1" applyFill="1" applyBorder="1"/>
    <xf numFmtId="2" fontId="9" fillId="5" borderId="50" xfId="1239" applyNumberFormat="1" applyFont="1" applyFill="1" applyBorder="1"/>
    <xf numFmtId="0" fontId="9" fillId="5" borderId="50" xfId="1239" applyFont="1" applyFill="1" applyBorder="1"/>
    <xf numFmtId="2" fontId="9" fillId="5" borderId="59" xfId="1239" applyNumberFormat="1" applyFont="1" applyFill="1" applyBorder="1"/>
    <xf numFmtId="0" fontId="9" fillId="5" borderId="18" xfId="1239" applyFont="1" applyFill="1" applyBorder="1"/>
    <xf numFmtId="0" fontId="9" fillId="7" borderId="44" xfId="1239" applyFill="1" applyBorder="1"/>
    <xf numFmtId="0" fontId="9" fillId="7" borderId="46" xfId="1239" applyFill="1" applyBorder="1"/>
    <xf numFmtId="0" fontId="9" fillId="7" borderId="69" xfId="1239" applyFill="1" applyBorder="1"/>
    <xf numFmtId="0" fontId="53" fillId="5" borderId="43" xfId="1239" applyFont="1" applyFill="1" applyBorder="1"/>
    <xf numFmtId="0" fontId="10" fillId="5" borderId="13" xfId="1239" applyFont="1" applyFill="1" applyBorder="1"/>
    <xf numFmtId="0" fontId="30" fillId="5" borderId="7" xfId="69" applyFont="1" applyFill="1" applyBorder="1"/>
    <xf numFmtId="165" fontId="9" fillId="5" borderId="50" xfId="1239" applyNumberFormat="1" applyFont="1" applyFill="1" applyBorder="1"/>
    <xf numFmtId="165" fontId="9" fillId="5" borderId="58" xfId="1239" applyNumberFormat="1" applyFont="1" applyFill="1" applyBorder="1"/>
    <xf numFmtId="165" fontId="9" fillId="5" borderId="6" xfId="1239" applyNumberFormat="1" applyFont="1" applyFill="1" applyBorder="1"/>
    <xf numFmtId="165" fontId="9" fillId="5" borderId="48" xfId="1239" applyNumberFormat="1" applyFont="1" applyFill="1" applyBorder="1"/>
    <xf numFmtId="165" fontId="9" fillId="5" borderId="18" xfId="1239" applyNumberFormat="1" applyFont="1" applyFill="1" applyBorder="1"/>
    <xf numFmtId="165" fontId="9" fillId="5" borderId="49" xfId="1239" applyNumberFormat="1" applyFont="1" applyFill="1" applyBorder="1"/>
    <xf numFmtId="0" fontId="10" fillId="5" borderId="76" xfId="1239" applyFont="1" applyFill="1" applyBorder="1"/>
    <xf numFmtId="0" fontId="53" fillId="5" borderId="20" xfId="1239" applyFont="1" applyFill="1" applyBorder="1"/>
    <xf numFmtId="165" fontId="9" fillId="5" borderId="44" xfId="1239" applyNumberFormat="1" applyFont="1" applyFill="1" applyBorder="1"/>
    <xf numFmtId="165" fontId="9" fillId="5" borderId="45" xfId="1239" applyNumberFormat="1" applyFont="1" applyFill="1" applyBorder="1"/>
    <xf numFmtId="165" fontId="9" fillId="5" borderId="46" xfId="1239" applyNumberFormat="1" applyFont="1" applyFill="1" applyBorder="1"/>
    <xf numFmtId="165" fontId="9" fillId="5" borderId="47" xfId="1239" applyNumberFormat="1" applyFont="1" applyFill="1" applyBorder="1"/>
    <xf numFmtId="165" fontId="9" fillId="5" borderId="69" xfId="1239" applyNumberFormat="1" applyFont="1" applyFill="1" applyBorder="1"/>
    <xf numFmtId="165" fontId="9" fillId="11" borderId="13" xfId="1239" applyNumberFormat="1" applyFill="1" applyBorder="1"/>
    <xf numFmtId="2" fontId="9" fillId="7" borderId="69" xfId="1239" applyNumberFormat="1" applyFill="1" applyBorder="1"/>
    <xf numFmtId="2" fontId="9" fillId="7" borderId="49" xfId="1239" applyNumberFormat="1" applyFill="1" applyBorder="1"/>
    <xf numFmtId="10" fontId="28" fillId="0" borderId="6" xfId="2447" applyNumberFormat="1" applyFont="1" applyBorder="1" applyProtection="1">
      <protection hidden="1"/>
    </xf>
    <xf numFmtId="10" fontId="28" fillId="0" borderId="6" xfId="0" applyNumberFormat="1" applyFont="1" applyBorder="1" applyProtection="1">
      <protection hidden="1"/>
    </xf>
    <xf numFmtId="170" fontId="52" fillId="19" borderId="81" xfId="8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2" fontId="28" fillId="0" borderId="6" xfId="0" applyNumberFormat="1" applyFont="1" applyFill="1" applyBorder="1" applyProtection="1">
      <protection hidden="1"/>
    </xf>
    <xf numFmtId="4" fontId="28" fillId="0" borderId="6" xfId="0" applyNumberFormat="1" applyFont="1" applyBorder="1" applyAlignment="1" applyProtection="1">
      <alignment vertical="center" wrapText="1"/>
      <protection hidden="1"/>
    </xf>
    <xf numFmtId="2" fontId="28" fillId="0" borderId="6" xfId="0" applyNumberFormat="1" applyFont="1" applyBorder="1" applyAlignment="1" applyProtection="1">
      <alignment vertical="center" wrapText="1"/>
      <protection hidden="1"/>
    </xf>
    <xf numFmtId="43" fontId="28" fillId="0" borderId="6" xfId="2446" applyFont="1" applyBorder="1" applyAlignment="1" applyProtection="1">
      <alignment vertical="center" wrapText="1"/>
      <protection hidden="1"/>
    </xf>
    <xf numFmtId="171" fontId="28" fillId="0" borderId="6" xfId="2446" applyNumberFormat="1" applyFont="1" applyBorder="1" applyAlignment="1" applyProtection="1">
      <alignment vertical="center" wrapText="1"/>
      <protection hidden="1"/>
    </xf>
    <xf numFmtId="43" fontId="28" fillId="0" borderId="6" xfId="2446" applyNumberFormat="1" applyFont="1" applyBorder="1" applyAlignment="1" applyProtection="1">
      <alignment vertical="center" wrapText="1"/>
      <protection hidden="1"/>
    </xf>
    <xf numFmtId="43" fontId="28" fillId="0" borderId="6" xfId="2446" applyFont="1" applyBorder="1" applyProtection="1">
      <protection hidden="1"/>
    </xf>
    <xf numFmtId="9" fontId="28" fillId="11" borderId="6" xfId="2447" applyFont="1" applyFill="1" applyBorder="1" applyProtection="1">
      <protection hidden="1"/>
    </xf>
    <xf numFmtId="0" fontId="28" fillId="0" borderId="6" xfId="2447" applyNumberFormat="1" applyFont="1" applyBorder="1" applyAlignment="1" applyProtection="1">
      <alignment vertical="center" wrapText="1"/>
      <protection hidden="1"/>
    </xf>
    <xf numFmtId="0" fontId="28" fillId="0" borderId="6" xfId="2447" applyNumberFormat="1" applyFont="1" applyBorder="1" applyProtection="1">
      <protection hidden="1"/>
    </xf>
    <xf numFmtId="0" fontId="28" fillId="5" borderId="0" xfId="84" applyFont="1" applyFill="1" applyBorder="1" applyAlignment="1">
      <alignment horizontal="left"/>
    </xf>
    <xf numFmtId="0" fontId="28" fillId="0" borderId="0" xfId="0" applyFont="1" applyFill="1" applyBorder="1"/>
    <xf numFmtId="0" fontId="27" fillId="0" borderId="9" xfId="84" applyFont="1" applyFill="1" applyBorder="1"/>
    <xf numFmtId="0" fontId="27" fillId="0" borderId="14" xfId="84" applyFont="1" applyFill="1" applyBorder="1"/>
    <xf numFmtId="0" fontId="27" fillId="0" borderId="0" xfId="0" applyFont="1" applyFill="1" applyBorder="1" applyProtection="1">
      <protection hidden="1"/>
    </xf>
    <xf numFmtId="0" fontId="28" fillId="0" borderId="0" xfId="0" applyFont="1" applyFill="1" applyBorder="1" applyProtection="1">
      <protection hidden="1"/>
    </xf>
    <xf numFmtId="0" fontId="28" fillId="0" borderId="0" xfId="0" applyFont="1" applyFill="1" applyProtection="1">
      <protection hidden="1"/>
    </xf>
    <xf numFmtId="0" fontId="29" fillId="0" borderId="0" xfId="0" applyFont="1" applyBorder="1" applyProtection="1">
      <protection hidden="1"/>
    </xf>
    <xf numFmtId="165" fontId="29" fillId="0" borderId="4" xfId="0" applyNumberFormat="1" applyFont="1" applyFill="1" applyBorder="1" applyAlignment="1" applyProtection="1">
      <alignment horizontal="left"/>
      <protection locked="0" hidden="1"/>
    </xf>
    <xf numFmtId="166" fontId="29" fillId="0" borderId="4" xfId="0" applyNumberFormat="1" applyFont="1" applyFill="1" applyBorder="1" applyAlignment="1" applyProtection="1">
      <alignment horizontal="left"/>
      <protection locked="0" hidden="1"/>
    </xf>
    <xf numFmtId="0" fontId="31" fillId="0" borderId="0" xfId="0" applyFont="1" applyProtection="1">
      <protection hidden="1"/>
    </xf>
    <xf numFmtId="0" fontId="28" fillId="5" borderId="16" xfId="0" applyFont="1" applyFill="1" applyBorder="1"/>
    <xf numFmtId="0" fontId="28" fillId="5" borderId="1" xfId="0" applyFont="1" applyFill="1" applyBorder="1"/>
    <xf numFmtId="0" fontId="31" fillId="5" borderId="7" xfId="0" applyFont="1" applyFill="1" applyBorder="1"/>
    <xf numFmtId="0" fontId="55" fillId="5" borderId="0" xfId="84" applyFont="1" applyFill="1" applyBorder="1"/>
    <xf numFmtId="0" fontId="55" fillId="2" borderId="0" xfId="0" applyFont="1" applyFill="1" applyBorder="1" applyProtection="1">
      <protection hidden="1"/>
    </xf>
    <xf numFmtId="0" fontId="31" fillId="2" borderId="0" xfId="0" applyFont="1" applyFill="1" applyBorder="1" applyProtection="1">
      <protection hidden="1"/>
    </xf>
    <xf numFmtId="0" fontId="31" fillId="0" borderId="0" xfId="0" applyFont="1" applyBorder="1" applyProtection="1">
      <protection hidden="1"/>
    </xf>
    <xf numFmtId="0" fontId="26" fillId="10" borderId="13" xfId="21817" applyFont="1" applyFill="1" applyBorder="1" applyAlignment="1">
      <alignment horizontal="left" vertical="center" wrapText="1"/>
    </xf>
    <xf numFmtId="166" fontId="56" fillId="16" borderId="73" xfId="1239" applyNumberFormat="1" applyFont="1" applyFill="1" applyBorder="1"/>
    <xf numFmtId="0" fontId="33" fillId="10" borderId="88" xfId="1239" applyFont="1" applyFill="1" applyBorder="1" applyAlignment="1">
      <alignment horizontal="left" vertical="center" wrapText="1"/>
    </xf>
    <xf numFmtId="0" fontId="33" fillId="10" borderId="89" xfId="1239" applyFont="1" applyFill="1" applyBorder="1" applyAlignment="1">
      <alignment horizontal="left" vertical="center" wrapText="1"/>
    </xf>
    <xf numFmtId="0" fontId="28" fillId="5" borderId="9" xfId="84" applyFont="1" applyFill="1" applyBorder="1"/>
    <xf numFmtId="0" fontId="54" fillId="5" borderId="0" xfId="0" applyFont="1" applyFill="1" applyBorder="1"/>
    <xf numFmtId="0" fontId="28" fillId="11" borderId="0" xfId="0" applyFont="1" applyFill="1" applyProtection="1">
      <protection hidden="1"/>
    </xf>
    <xf numFmtId="9" fontId="29" fillId="4" borderId="4" xfId="2447" applyFont="1" applyFill="1" applyBorder="1" applyAlignment="1" applyProtection="1">
      <alignment horizontal="left"/>
      <protection locked="0" hidden="1"/>
    </xf>
    <xf numFmtId="165" fontId="29" fillId="4" borderId="4" xfId="2447" applyNumberFormat="1" applyFont="1" applyFill="1" applyBorder="1" applyAlignment="1" applyProtection="1">
      <alignment horizontal="left"/>
      <protection locked="0" hidden="1"/>
    </xf>
    <xf numFmtId="0" fontId="28" fillId="0" borderId="7" xfId="21049" applyFont="1" applyBorder="1" applyProtection="1">
      <protection hidden="1"/>
    </xf>
    <xf numFmtId="0" fontId="27" fillId="5" borderId="81" xfId="84" applyFont="1" applyFill="1" applyBorder="1"/>
    <xf numFmtId="0" fontId="28" fillId="5" borderId="6" xfId="0" applyFont="1" applyFill="1" applyBorder="1"/>
    <xf numFmtId="2" fontId="15" fillId="0" borderId="0" xfId="80" applyNumberFormat="1" applyFont="1" applyProtection="1">
      <protection hidden="1"/>
    </xf>
    <xf numFmtId="2" fontId="15" fillId="0" borderId="5" xfId="0" applyNumberFormat="1" applyFont="1" applyBorder="1" applyProtection="1">
      <protection locked="0" hidden="1"/>
    </xf>
    <xf numFmtId="2" fontId="15" fillId="0" borderId="5" xfId="0" applyNumberFormat="1" applyFont="1" applyBorder="1" applyProtection="1">
      <protection hidden="1"/>
    </xf>
    <xf numFmtId="2" fontId="59" fillId="6" borderId="19" xfId="0" applyNumberFormat="1" applyFont="1" applyFill="1" applyBorder="1" applyProtection="1">
      <protection hidden="1"/>
    </xf>
    <xf numFmtId="2" fontId="24" fillId="6" borderId="20" xfId="0" applyNumberFormat="1" applyFont="1" applyFill="1" applyBorder="1" applyProtection="1">
      <protection hidden="1"/>
    </xf>
    <xf numFmtId="9" fontId="15" fillId="0" borderId="0" xfId="85" applyFont="1" applyProtection="1">
      <protection hidden="1"/>
    </xf>
    <xf numFmtId="9" fontId="13" fillId="0" borderId="0" xfId="85" applyFont="1" applyProtection="1">
      <protection hidden="1"/>
    </xf>
    <xf numFmtId="1" fontId="14" fillId="22" borderId="25" xfId="0" applyNumberFormat="1" applyFont="1" applyFill="1" applyBorder="1" applyProtection="1">
      <protection hidden="1"/>
    </xf>
    <xf numFmtId="0" fontId="0" fillId="0" borderId="0" xfId="0" applyProtection="1"/>
    <xf numFmtId="0" fontId="10" fillId="0" borderId="0" xfId="0" applyFont="1" applyProtection="1"/>
    <xf numFmtId="2" fontId="0" fillId="0" borderId="0" xfId="0" applyNumberFormat="1" applyProtection="1"/>
    <xf numFmtId="0" fontId="9" fillId="0" borderId="0" xfId="0" applyFont="1" applyProtection="1"/>
    <xf numFmtId="0" fontId="0" fillId="0" borderId="6" xfId="0" applyBorder="1" applyProtection="1"/>
    <xf numFmtId="49" fontId="56" fillId="14" borderId="6" xfId="0" applyNumberFormat="1" applyFont="1" applyFill="1" applyBorder="1" applyProtection="1"/>
    <xf numFmtId="49" fontId="9" fillId="14" borderId="6" xfId="0" applyNumberFormat="1" applyFont="1" applyFill="1" applyBorder="1" applyProtection="1"/>
    <xf numFmtId="0" fontId="0" fillId="0" borderId="85" xfId="0" applyBorder="1" applyProtection="1"/>
    <xf numFmtId="0" fontId="0" fillId="0" borderId="87" xfId="0" applyBorder="1" applyProtection="1"/>
    <xf numFmtId="0" fontId="0" fillId="0" borderId="86" xfId="0" applyBorder="1" applyProtection="1"/>
    <xf numFmtId="0" fontId="9" fillId="0" borderId="6" xfId="0" applyFont="1" applyBorder="1" applyProtection="1"/>
    <xf numFmtId="9" fontId="10" fillId="7" borderId="85" xfId="21054" applyFont="1" applyFill="1" applyBorder="1" applyProtection="1"/>
    <xf numFmtId="9" fontId="10" fillId="7" borderId="87" xfId="21054" applyFont="1" applyFill="1" applyBorder="1" applyProtection="1"/>
    <xf numFmtId="0" fontId="9" fillId="14" borderId="6" xfId="0" applyFont="1" applyFill="1" applyBorder="1" applyProtection="1"/>
    <xf numFmtId="0" fontId="0" fillId="0" borderId="16" xfId="0" applyBorder="1" applyProtection="1"/>
    <xf numFmtId="0" fontId="0" fillId="0" borderId="56" xfId="0" applyBorder="1" applyProtection="1"/>
    <xf numFmtId="0" fontId="0" fillId="0" borderId="17" xfId="0" applyBorder="1" applyProtection="1"/>
    <xf numFmtId="0" fontId="0" fillId="0" borderId="1" xfId="0" applyBorder="1" applyAlignment="1" applyProtection="1">
      <alignment horizontal="center"/>
    </xf>
    <xf numFmtId="0" fontId="9" fillId="0" borderId="8" xfId="0" applyFont="1" applyBorder="1" applyProtection="1"/>
    <xf numFmtId="0" fontId="9" fillId="0" borderId="50" xfId="0" applyFont="1" applyBorder="1" applyProtection="1"/>
    <xf numFmtId="0" fontId="0" fillId="0" borderId="9" xfId="0" applyBorder="1" applyProtection="1"/>
    <xf numFmtId="2" fontId="0" fillId="0" borderId="85" xfId="0" applyNumberFormat="1" applyBorder="1" applyProtection="1"/>
    <xf numFmtId="2" fontId="9" fillId="0" borderId="87" xfId="0" applyNumberFormat="1" applyFont="1" applyBorder="1" applyProtection="1"/>
    <xf numFmtId="0" fontId="9" fillId="0" borderId="9" xfId="0" applyFont="1" applyBorder="1" applyProtection="1"/>
    <xf numFmtId="0" fontId="0" fillId="0" borderId="79" xfId="0" applyBorder="1" applyProtection="1"/>
    <xf numFmtId="0" fontId="9" fillId="0" borderId="91" xfId="0" applyFont="1" applyBorder="1" applyProtection="1"/>
    <xf numFmtId="170" fontId="0" fillId="0" borderId="14" xfId="80" applyNumberFormat="1" applyFont="1" applyBorder="1" applyProtection="1"/>
    <xf numFmtId="1" fontId="9" fillId="14" borderId="16" xfId="0" applyNumberFormat="1" applyFont="1" applyFill="1" applyBorder="1" applyProtection="1"/>
    <xf numFmtId="43" fontId="9" fillId="14" borderId="56" xfId="2446" applyFont="1" applyFill="1" applyBorder="1" applyProtection="1"/>
    <xf numFmtId="1" fontId="9" fillId="14" borderId="1" xfId="0" applyNumberFormat="1" applyFont="1" applyFill="1" applyBorder="1" applyProtection="1"/>
    <xf numFmtId="2" fontId="9" fillId="14" borderId="16" xfId="0" applyNumberFormat="1" applyFont="1" applyFill="1" applyBorder="1" applyProtection="1"/>
    <xf numFmtId="2" fontId="9" fillId="14" borderId="17" xfId="0" applyNumberFormat="1" applyFont="1" applyFill="1" applyBorder="1" applyProtection="1"/>
    <xf numFmtId="0" fontId="9" fillId="14" borderId="1" xfId="0" applyFont="1" applyFill="1" applyBorder="1" applyProtection="1"/>
    <xf numFmtId="168" fontId="9" fillId="14" borderId="92" xfId="0" applyNumberFormat="1" applyFont="1" applyFill="1" applyBorder="1" applyProtection="1"/>
    <xf numFmtId="168" fontId="9" fillId="14" borderId="57" xfId="0" applyNumberFormat="1" applyFont="1" applyFill="1" applyBorder="1" applyProtection="1"/>
    <xf numFmtId="170" fontId="0" fillId="0" borderId="17" xfId="80" applyNumberFormat="1" applyFont="1" applyBorder="1" applyProtection="1"/>
    <xf numFmtId="43" fontId="0" fillId="0" borderId="0" xfId="0" applyNumberFormat="1" applyProtection="1"/>
    <xf numFmtId="43" fontId="0" fillId="0" borderId="0" xfId="2446" applyFont="1" applyProtection="1"/>
    <xf numFmtId="1" fontId="9" fillId="14" borderId="56" xfId="0" applyNumberFormat="1" applyFont="1" applyFill="1" applyBorder="1" applyProtection="1"/>
    <xf numFmtId="2" fontId="9" fillId="14" borderId="7" xfId="0" applyNumberFormat="1" applyFont="1" applyFill="1" applyBorder="1" applyProtection="1"/>
    <xf numFmtId="2" fontId="9" fillId="14" borderId="4" xfId="0" applyNumberFormat="1" applyFont="1" applyFill="1" applyBorder="1" applyProtection="1"/>
    <xf numFmtId="0" fontId="9" fillId="14" borderId="0" xfId="0" applyFont="1" applyFill="1" applyBorder="1" applyProtection="1"/>
    <xf numFmtId="170" fontId="0" fillId="0" borderId="4" xfId="80" applyNumberFormat="1" applyFont="1" applyBorder="1" applyProtection="1"/>
    <xf numFmtId="1" fontId="9" fillId="14" borderId="85" xfId="0" applyNumberFormat="1" applyFont="1" applyFill="1" applyBorder="1" applyProtection="1"/>
    <xf numFmtId="1" fontId="9" fillId="14" borderId="6" xfId="0" applyNumberFormat="1" applyFont="1" applyFill="1" applyBorder="1" applyProtection="1"/>
    <xf numFmtId="1" fontId="9" fillId="14" borderId="86" xfId="0" applyNumberFormat="1" applyFont="1" applyFill="1" applyBorder="1" applyProtection="1"/>
    <xf numFmtId="0" fontId="9" fillId="14" borderId="9" xfId="0" applyFont="1" applyFill="1" applyBorder="1" applyProtection="1"/>
    <xf numFmtId="168" fontId="9" fillId="14" borderId="80" xfId="0" applyNumberFormat="1" applyFont="1" applyFill="1" applyBorder="1" applyProtection="1"/>
    <xf numFmtId="168" fontId="9" fillId="14" borderId="49" xfId="0" applyNumberFormat="1" applyFont="1" applyFill="1" applyBorder="1" applyProtection="1"/>
    <xf numFmtId="1" fontId="56" fillId="11" borderId="7" xfId="0" applyNumberFormat="1" applyFont="1" applyFill="1" applyBorder="1" applyProtection="1"/>
    <xf numFmtId="1" fontId="56" fillId="11" borderId="81" xfId="0" applyNumberFormat="1" applyFont="1" applyFill="1" applyBorder="1" applyProtection="1"/>
    <xf numFmtId="1" fontId="56" fillId="11" borderId="0" xfId="0" applyNumberFormat="1" applyFont="1" applyFill="1" applyBorder="1" applyProtection="1"/>
    <xf numFmtId="2" fontId="56" fillId="11" borderId="7" xfId="0" applyNumberFormat="1" applyFont="1" applyFill="1" applyBorder="1" applyProtection="1"/>
    <xf numFmtId="2" fontId="56" fillId="11" borderId="4" xfId="0" applyNumberFormat="1" applyFont="1" applyFill="1" applyBorder="1" applyProtection="1"/>
    <xf numFmtId="0" fontId="56" fillId="11" borderId="4" xfId="0" applyFont="1" applyFill="1" applyBorder="1" applyProtection="1"/>
    <xf numFmtId="168" fontId="56" fillId="11" borderId="7" xfId="0" applyNumberFormat="1" applyFont="1" applyFill="1" applyBorder="1" applyProtection="1"/>
    <xf numFmtId="168" fontId="56" fillId="11" borderId="4" xfId="0" applyNumberFormat="1" applyFont="1" applyFill="1" applyBorder="1" applyProtection="1"/>
    <xf numFmtId="1" fontId="56" fillId="11" borderId="16" xfId="0" applyNumberFormat="1" applyFont="1" applyFill="1" applyBorder="1" applyProtection="1"/>
    <xf numFmtId="1" fontId="56" fillId="11" borderId="56" xfId="0" applyNumberFormat="1" applyFont="1" applyFill="1" applyBorder="1" applyProtection="1"/>
    <xf numFmtId="1" fontId="0" fillId="0" borderId="8" xfId="0" applyNumberFormat="1" applyBorder="1" applyProtection="1"/>
    <xf numFmtId="1" fontId="0" fillId="0" borderId="50" xfId="0" applyNumberFormat="1" applyBorder="1" applyProtection="1"/>
    <xf numFmtId="1" fontId="0" fillId="0" borderId="9" xfId="0" applyNumberFormat="1" applyBorder="1" applyProtection="1"/>
    <xf numFmtId="2" fontId="56" fillId="0" borderId="8" xfId="0" applyNumberFormat="1" applyFont="1" applyBorder="1" applyProtection="1"/>
    <xf numFmtId="2" fontId="56" fillId="0" borderId="14" xfId="0" applyNumberFormat="1" applyFont="1" applyBorder="1" applyProtection="1"/>
    <xf numFmtId="0" fontId="56" fillId="0" borderId="14" xfId="0" applyFont="1" applyBorder="1" applyProtection="1"/>
    <xf numFmtId="168" fontId="56" fillId="0" borderId="8" xfId="0" applyNumberFormat="1" applyFont="1" applyBorder="1" applyProtection="1"/>
    <xf numFmtId="168" fontId="56" fillId="0" borderId="14" xfId="0" applyNumberFormat="1" applyFont="1" applyBorder="1" applyProtection="1"/>
    <xf numFmtId="168" fontId="56" fillId="0" borderId="4" xfId="0" applyNumberFormat="1" applyFont="1" applyBorder="1" applyProtection="1"/>
    <xf numFmtId="168" fontId="56" fillId="0" borderId="7" xfId="0" applyNumberFormat="1" applyFont="1" applyBorder="1" applyProtection="1"/>
    <xf numFmtId="1" fontId="0" fillId="0" borderId="0" xfId="0" applyNumberFormat="1" applyBorder="1" applyProtection="1"/>
    <xf numFmtId="168" fontId="56" fillId="0" borderId="0" xfId="0" applyNumberFormat="1" applyFont="1" applyBorder="1" applyProtection="1"/>
    <xf numFmtId="0" fontId="10" fillId="0" borderId="85" xfId="0" applyFont="1" applyBorder="1" applyProtection="1"/>
    <xf numFmtId="168" fontId="56" fillId="0" borderId="86" xfId="0" applyNumberFormat="1" applyFont="1" applyBorder="1" applyProtection="1"/>
    <xf numFmtId="0" fontId="10" fillId="0" borderId="86" xfId="0" applyFont="1" applyBorder="1" applyProtection="1"/>
    <xf numFmtId="0" fontId="56" fillId="0" borderId="87" xfId="0" applyFont="1" applyBorder="1" applyProtection="1"/>
    <xf numFmtId="170" fontId="57" fillId="11" borderId="87" xfId="80" applyNumberFormat="1" applyFont="1" applyFill="1" applyBorder="1" applyProtection="1"/>
    <xf numFmtId="1" fontId="0" fillId="0" borderId="0" xfId="0" applyNumberFormat="1" applyProtection="1"/>
    <xf numFmtId="1" fontId="0" fillId="0" borderId="86" xfId="0" applyNumberFormat="1" applyBorder="1" applyProtection="1"/>
    <xf numFmtId="170" fontId="10" fillId="0" borderId="87" xfId="80" applyNumberFormat="1" applyFont="1" applyBorder="1" applyProtection="1"/>
    <xf numFmtId="170" fontId="57" fillId="11" borderId="17" xfId="80" applyNumberFormat="1" applyFont="1" applyFill="1" applyBorder="1" applyAlignment="1" applyProtection="1">
      <alignment horizontal="center"/>
    </xf>
    <xf numFmtId="170" fontId="0" fillId="0" borderId="0" xfId="0" applyNumberFormat="1" applyProtection="1"/>
    <xf numFmtId="0" fontId="10" fillId="0" borderId="17" xfId="0" applyFont="1" applyBorder="1" applyAlignment="1" applyProtection="1">
      <alignment horizontal="left" wrapText="1"/>
    </xf>
    <xf numFmtId="0" fontId="58" fillId="0" borderId="0" xfId="0" applyFont="1" applyProtection="1"/>
    <xf numFmtId="0" fontId="10" fillId="0" borderId="6" xfId="0" applyFont="1" applyBorder="1" applyAlignment="1" applyProtection="1">
      <alignment horizontal="left"/>
    </xf>
    <xf numFmtId="0" fontId="10" fillId="0" borderId="86" xfId="0" applyFont="1" applyBorder="1" applyAlignment="1" applyProtection="1">
      <alignment horizontal="left" wrapText="1"/>
    </xf>
    <xf numFmtId="0" fontId="10" fillId="0" borderId="87" xfId="0" applyFont="1" applyBorder="1" applyAlignment="1" applyProtection="1">
      <alignment horizontal="left" wrapText="1"/>
    </xf>
    <xf numFmtId="0" fontId="10" fillId="0" borderId="8" xfId="0" applyFont="1" applyBorder="1" applyProtection="1"/>
    <xf numFmtId="0" fontId="10" fillId="0" borderId="9" xfId="0" applyFont="1" applyBorder="1" applyProtection="1"/>
    <xf numFmtId="0" fontId="0" fillId="0" borderId="14" xfId="0" applyBorder="1" applyProtection="1"/>
    <xf numFmtId="169" fontId="10" fillId="0" borderId="87" xfId="21054" applyNumberFormat="1" applyFont="1" applyBorder="1" applyProtection="1"/>
    <xf numFmtId="168" fontId="10" fillId="0" borderId="0" xfId="0" applyNumberFormat="1" applyFont="1" applyProtection="1"/>
    <xf numFmtId="9" fontId="57" fillId="0" borderId="85" xfId="21054" applyFont="1" applyBorder="1" applyProtection="1"/>
    <xf numFmtId="9" fontId="57" fillId="0" borderId="87" xfId="21054" applyFont="1" applyBorder="1" applyProtection="1"/>
    <xf numFmtId="9" fontId="57" fillId="0" borderId="86" xfId="21054" applyFont="1" applyBorder="1" applyProtection="1"/>
    <xf numFmtId="170" fontId="10" fillId="0" borderId="17" xfId="80" applyNumberFormat="1" applyFont="1" applyFill="1" applyBorder="1" applyAlignment="1" applyProtection="1">
      <alignment horizontal="center"/>
    </xf>
    <xf numFmtId="0" fontId="30" fillId="2" borderId="16" xfId="0" applyFont="1" applyFill="1" applyBorder="1" applyAlignment="1" applyProtection="1">
      <alignment horizontal="center"/>
      <protection hidden="1"/>
    </xf>
    <xf numFmtId="0" fontId="30" fillId="2" borderId="1" xfId="0" applyFont="1" applyFill="1" applyBorder="1" applyAlignment="1" applyProtection="1">
      <alignment horizontal="center"/>
      <protection hidden="1"/>
    </xf>
    <xf numFmtId="0" fontId="30" fillId="2" borderId="17" xfId="0" applyFont="1" applyFill="1" applyBorder="1" applyAlignment="1" applyProtection="1">
      <alignment horizontal="center"/>
      <protection hidden="1"/>
    </xf>
    <xf numFmtId="0" fontId="31" fillId="3" borderId="7" xfId="0" applyFont="1" applyFill="1" applyBorder="1" applyAlignment="1" applyProtection="1">
      <alignment horizontal="left" vertical="center" wrapText="1"/>
      <protection hidden="1"/>
    </xf>
    <xf numFmtId="0" fontId="31" fillId="3" borderId="0" xfId="0" applyFont="1" applyFill="1" applyBorder="1" applyAlignment="1" applyProtection="1">
      <alignment horizontal="left" vertical="center" wrapText="1"/>
      <protection hidden="1"/>
    </xf>
    <xf numFmtId="0" fontId="31" fillId="3" borderId="4" xfId="0" applyFont="1" applyFill="1" applyBorder="1" applyAlignment="1" applyProtection="1">
      <alignment horizontal="left" vertical="center" wrapText="1"/>
      <protection hidden="1"/>
    </xf>
    <xf numFmtId="0" fontId="28" fillId="0" borderId="7" xfId="0" applyFont="1" applyBorder="1" applyAlignment="1" applyProtection="1">
      <alignment wrapText="1"/>
      <protection hidden="1"/>
    </xf>
    <xf numFmtId="0" fontId="0" fillId="0" borderId="0" xfId="0" applyAlignment="1">
      <alignment wrapText="1"/>
    </xf>
    <xf numFmtId="0" fontId="21" fillId="18" borderId="85" xfId="0" applyFont="1" applyFill="1" applyBorder="1" applyAlignment="1">
      <alignment horizontal="center"/>
    </xf>
    <xf numFmtId="0" fontId="21" fillId="18" borderId="86" xfId="0" applyFont="1" applyFill="1" applyBorder="1" applyAlignment="1">
      <alignment horizontal="center"/>
    </xf>
    <xf numFmtId="0" fontId="21" fillId="18" borderId="87" xfId="0" applyFont="1" applyFill="1" applyBorder="1" applyAlignment="1">
      <alignment horizontal="center"/>
    </xf>
    <xf numFmtId="0" fontId="28" fillId="21" borderId="7" xfId="0" applyFont="1" applyFill="1" applyBorder="1" applyAlignment="1">
      <alignment wrapText="1"/>
    </xf>
    <xf numFmtId="0" fontId="9" fillId="21" borderId="0" xfId="0" applyFont="1" applyFill="1" applyAlignment="1">
      <alignment wrapText="1"/>
    </xf>
    <xf numFmtId="0" fontId="9" fillId="21" borderId="4" xfId="0" applyFont="1" applyFill="1" applyBorder="1" applyAlignment="1">
      <alignment wrapText="1"/>
    </xf>
    <xf numFmtId="0" fontId="9" fillId="21" borderId="7" xfId="0" applyFont="1" applyFill="1" applyBorder="1" applyAlignment="1">
      <alignment wrapText="1"/>
    </xf>
    <xf numFmtId="0" fontId="9" fillId="21" borderId="8" xfId="0" applyFont="1" applyFill="1" applyBorder="1" applyAlignment="1">
      <alignment wrapText="1"/>
    </xf>
    <xf numFmtId="0" fontId="9" fillId="21" borderId="9" xfId="0" applyFont="1" applyFill="1" applyBorder="1" applyAlignment="1">
      <alignment wrapText="1"/>
    </xf>
    <xf numFmtId="0" fontId="9" fillId="21" borderId="14" xfId="0" applyFont="1" applyFill="1" applyBorder="1" applyAlignment="1">
      <alignment wrapText="1"/>
    </xf>
    <xf numFmtId="0" fontId="10" fillId="5" borderId="82" xfId="1239" applyFont="1" applyFill="1" applyBorder="1" applyAlignment="1">
      <alignment horizontal="left" vertical="center" wrapText="1"/>
    </xf>
    <xf numFmtId="0" fontId="10" fillId="5" borderId="84" xfId="1239" applyFont="1" applyFill="1" applyBorder="1" applyAlignment="1">
      <alignment horizontal="left" vertical="center" wrapText="1"/>
    </xf>
    <xf numFmtId="0" fontId="9" fillId="5" borderId="0" xfId="1239" applyFont="1" applyFill="1" applyAlignment="1">
      <alignment horizontal="left" wrapText="1"/>
    </xf>
    <xf numFmtId="0" fontId="10" fillId="5" borderId="0" xfId="1239" applyFont="1" applyFill="1" applyAlignment="1">
      <alignment horizontal="left" wrapText="1"/>
    </xf>
    <xf numFmtId="0" fontId="53" fillId="5" borderId="83" xfId="1239" applyFont="1" applyFill="1" applyBorder="1" applyAlignment="1">
      <alignment horizontal="left" vertical="center" wrapText="1"/>
    </xf>
    <xf numFmtId="0" fontId="53" fillId="5" borderId="82" xfId="1239" applyFont="1" applyFill="1" applyBorder="1" applyAlignment="1">
      <alignment horizontal="left" vertical="center" wrapText="1"/>
    </xf>
    <xf numFmtId="0" fontId="53" fillId="5" borderId="81" xfId="1239" applyFont="1" applyFill="1" applyBorder="1" applyAlignment="1">
      <alignment horizontal="left" vertical="center" wrapText="1"/>
    </xf>
    <xf numFmtId="0" fontId="10" fillId="17" borderId="54" xfId="0" applyFont="1" applyFill="1" applyBorder="1" applyAlignment="1">
      <alignment horizontal="center"/>
    </xf>
    <xf numFmtId="0" fontId="10" fillId="17" borderId="43" xfId="0" applyFont="1" applyFill="1" applyBorder="1" applyAlignment="1">
      <alignment horizontal="center"/>
    </xf>
    <xf numFmtId="0" fontId="0" fillId="0" borderId="54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0" fillId="0" borderId="79" xfId="0" applyBorder="1" applyAlignment="1" applyProtection="1">
      <alignment horizontal="center"/>
    </xf>
    <xf numFmtId="0" fontId="0" fillId="0" borderId="91" xfId="0" applyBorder="1" applyAlignment="1" applyProtection="1">
      <alignment horizontal="center"/>
    </xf>
    <xf numFmtId="0" fontId="10" fillId="0" borderId="85" xfId="0" applyFont="1" applyBorder="1" applyAlignment="1" applyProtection="1">
      <alignment horizontal="left" wrapText="1"/>
    </xf>
    <xf numFmtId="0" fontId="10" fillId="0" borderId="86" xfId="0" applyFont="1" applyBorder="1" applyAlignment="1" applyProtection="1">
      <alignment horizontal="left" wrapText="1"/>
    </xf>
    <xf numFmtId="0" fontId="10" fillId="0" borderId="87" xfId="0" applyFont="1" applyBorder="1" applyAlignment="1" applyProtection="1">
      <alignment horizontal="left" wrapText="1"/>
    </xf>
    <xf numFmtId="2" fontId="0" fillId="0" borderId="16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2" fontId="0" fillId="0" borderId="8" xfId="0" applyNumberFormat="1" applyBorder="1" applyAlignment="1" applyProtection="1">
      <alignment horizontal="center"/>
    </xf>
    <xf numFmtId="2" fontId="0" fillId="0" borderId="9" xfId="0" applyNumberFormat="1" applyBorder="1" applyAlignment="1" applyProtection="1">
      <alignment horizontal="center"/>
    </xf>
    <xf numFmtId="0" fontId="0" fillId="0" borderId="85" xfId="0" applyBorder="1" applyAlignment="1" applyProtection="1">
      <alignment horizontal="center"/>
    </xf>
    <xf numFmtId="0" fontId="0" fillId="0" borderId="87" xfId="0" applyBorder="1" applyAlignment="1" applyProtection="1">
      <alignment horizontal="center"/>
    </xf>
    <xf numFmtId="0" fontId="0" fillId="0" borderId="78" xfId="0" applyBorder="1" applyAlignment="1" applyProtection="1">
      <alignment horizontal="center"/>
    </xf>
    <xf numFmtId="0" fontId="0" fillId="0" borderId="90" xfId="0" applyBorder="1" applyAlignment="1" applyProtection="1">
      <alignment horizontal="center"/>
    </xf>
    <xf numFmtId="0" fontId="36" fillId="15" borderId="54" xfId="0" applyFont="1" applyFill="1" applyBorder="1" applyAlignment="1">
      <alignment horizontal="left"/>
    </xf>
    <xf numFmtId="0" fontId="36" fillId="15" borderId="55" xfId="0" applyFont="1" applyFill="1" applyBorder="1" applyAlignment="1">
      <alignment horizontal="left"/>
    </xf>
    <xf numFmtId="0" fontId="36" fillId="15" borderId="43" xfId="0" applyFont="1" applyFill="1" applyBorder="1" applyAlignment="1">
      <alignment horizontal="left"/>
    </xf>
    <xf numFmtId="0" fontId="39" fillId="0" borderId="54" xfId="0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166" fontId="0" fillId="0" borderId="0" xfId="0" applyNumberFormat="1"/>
  </cellXfs>
  <cellStyles count="38778">
    <cellStyle name="Comma" xfId="2446" builtinId="3"/>
    <cellStyle name="Comma 2" xfId="4"/>
    <cellStyle name="Comma 2 2" xfId="7"/>
    <cellStyle name="Comma 2 2 2" xfId="80"/>
    <cellStyle name="Comma 2 2 3" xfId="2449"/>
    <cellStyle name="Comma 2 2 4" xfId="2450"/>
    <cellStyle name="Comma 2 3" xfId="70"/>
    <cellStyle name="Comma 2 3 2" xfId="2451"/>
    <cellStyle name="Comma 2 4" xfId="2452"/>
    <cellStyle name="Comma 2 5" xfId="2453"/>
    <cellStyle name="Comma 3" xfId="8"/>
    <cellStyle name="Comma 3 2" xfId="9"/>
    <cellStyle name="Comma 3 2 2" xfId="81"/>
    <cellStyle name="Comma 3 2 3" xfId="2454"/>
    <cellStyle name="Comma 3 2 4" xfId="2455"/>
    <cellStyle name="Comma 3 3" xfId="71"/>
    <cellStyle name="Comma 3 4" xfId="2456"/>
    <cellStyle name="Comma 3 5" xfId="2457"/>
    <cellStyle name="Comma 4" xfId="23"/>
    <cellStyle name="Comma 4 2" xfId="2458"/>
    <cellStyle name="Comma 4 2 2" xfId="2459"/>
    <cellStyle name="Comma 4 3" xfId="2460"/>
    <cellStyle name="Comma 4 3 2" xfId="2461"/>
    <cellStyle name="Comma 4 4" xfId="2462"/>
    <cellStyle name="Comma 4 5" xfId="2463"/>
    <cellStyle name="Comma 5" xfId="2464"/>
    <cellStyle name="Comma 6" xfId="2465"/>
    <cellStyle name="Comma 6 2" xfId="2466"/>
    <cellStyle name="Comma 6 2 2" xfId="21819"/>
    <cellStyle name="Comma 6 3" xfId="21820"/>
    <cellStyle name="Currency 2" xfId="5"/>
    <cellStyle name="Currency 2 10" xfId="293"/>
    <cellStyle name="Currency 2 10 2" xfId="1081"/>
    <cellStyle name="Currency 2 10 2 2" xfId="1240"/>
    <cellStyle name="Currency 2 10 2 2 2" xfId="2467"/>
    <cellStyle name="Currency 2 10 2 2 2 2" xfId="2468"/>
    <cellStyle name="Currency 2 10 2 2 2 2 2" xfId="21821"/>
    <cellStyle name="Currency 2 10 2 2 2 3" xfId="21822"/>
    <cellStyle name="Currency 2 10 2 2 3" xfId="2469"/>
    <cellStyle name="Currency 2 10 2 2 3 2" xfId="2470"/>
    <cellStyle name="Currency 2 10 2 2 3 2 2" xfId="21823"/>
    <cellStyle name="Currency 2 10 2 2 3 3" xfId="21824"/>
    <cellStyle name="Currency 2 10 2 2 4" xfId="2471"/>
    <cellStyle name="Currency 2 10 2 2 4 2" xfId="2472"/>
    <cellStyle name="Currency 2 10 2 2 4 2 2" xfId="21825"/>
    <cellStyle name="Currency 2 10 2 2 4 3" xfId="21826"/>
    <cellStyle name="Currency 2 10 2 2 5" xfId="2473"/>
    <cellStyle name="Currency 2 10 2 2 5 2" xfId="21827"/>
    <cellStyle name="Currency 2 10 2 2 6" xfId="2474"/>
    <cellStyle name="Currency 2 10 2 3" xfId="2475"/>
    <cellStyle name="Currency 2 10 2 3 2" xfId="2476"/>
    <cellStyle name="Currency 2 10 2 3 2 2" xfId="21828"/>
    <cellStyle name="Currency 2 10 2 3 3" xfId="21829"/>
    <cellStyle name="Currency 2 10 2 4" xfId="2477"/>
    <cellStyle name="Currency 2 10 2 4 2" xfId="2478"/>
    <cellStyle name="Currency 2 10 2 4 2 2" xfId="21830"/>
    <cellStyle name="Currency 2 10 2 4 3" xfId="21831"/>
    <cellStyle name="Currency 2 10 2 5" xfId="2479"/>
    <cellStyle name="Currency 2 10 2 5 2" xfId="2480"/>
    <cellStyle name="Currency 2 10 2 5 2 2" xfId="21832"/>
    <cellStyle name="Currency 2 10 2 5 3" xfId="21833"/>
    <cellStyle name="Currency 2 10 2 6" xfId="2481"/>
    <cellStyle name="Currency 2 10 2 6 2" xfId="21834"/>
    <cellStyle name="Currency 2 10 2 7" xfId="2482"/>
    <cellStyle name="Currency 2 10 3" xfId="713"/>
    <cellStyle name="Currency 2 10 3 2" xfId="1241"/>
    <cellStyle name="Currency 2 10 3 2 2" xfId="2483"/>
    <cellStyle name="Currency 2 10 3 2 2 2" xfId="2484"/>
    <cellStyle name="Currency 2 10 3 2 2 2 2" xfId="21835"/>
    <cellStyle name="Currency 2 10 3 2 2 3" xfId="21836"/>
    <cellStyle name="Currency 2 10 3 2 3" xfId="2485"/>
    <cellStyle name="Currency 2 10 3 2 3 2" xfId="2486"/>
    <cellStyle name="Currency 2 10 3 2 3 2 2" xfId="21837"/>
    <cellStyle name="Currency 2 10 3 2 3 3" xfId="21838"/>
    <cellStyle name="Currency 2 10 3 2 4" xfId="2487"/>
    <cellStyle name="Currency 2 10 3 2 4 2" xfId="2488"/>
    <cellStyle name="Currency 2 10 3 2 4 2 2" xfId="21839"/>
    <cellStyle name="Currency 2 10 3 2 4 3" xfId="21840"/>
    <cellStyle name="Currency 2 10 3 2 5" xfId="2489"/>
    <cellStyle name="Currency 2 10 3 2 5 2" xfId="21841"/>
    <cellStyle name="Currency 2 10 3 2 6" xfId="2490"/>
    <cellStyle name="Currency 2 10 3 3" xfId="2491"/>
    <cellStyle name="Currency 2 10 3 3 2" xfId="2492"/>
    <cellStyle name="Currency 2 10 3 3 2 2" xfId="21842"/>
    <cellStyle name="Currency 2 10 3 3 3" xfId="21843"/>
    <cellStyle name="Currency 2 10 3 4" xfId="2493"/>
    <cellStyle name="Currency 2 10 3 4 2" xfId="2494"/>
    <cellStyle name="Currency 2 10 3 4 2 2" xfId="21844"/>
    <cellStyle name="Currency 2 10 3 4 3" xfId="21845"/>
    <cellStyle name="Currency 2 10 3 5" xfId="2495"/>
    <cellStyle name="Currency 2 10 3 5 2" xfId="2496"/>
    <cellStyle name="Currency 2 10 3 5 2 2" xfId="21846"/>
    <cellStyle name="Currency 2 10 3 5 3" xfId="21847"/>
    <cellStyle name="Currency 2 10 3 6" xfId="2497"/>
    <cellStyle name="Currency 2 10 3 6 2" xfId="21848"/>
    <cellStyle name="Currency 2 10 3 7" xfId="2498"/>
    <cellStyle name="Currency 2 10 4" xfId="1242"/>
    <cellStyle name="Currency 2 10 4 2" xfId="2499"/>
    <cellStyle name="Currency 2 10 4 2 2" xfId="2500"/>
    <cellStyle name="Currency 2 10 4 2 2 2" xfId="21849"/>
    <cellStyle name="Currency 2 10 4 2 3" xfId="21850"/>
    <cellStyle name="Currency 2 10 4 3" xfId="2501"/>
    <cellStyle name="Currency 2 10 4 3 2" xfId="2502"/>
    <cellStyle name="Currency 2 10 4 3 2 2" xfId="21851"/>
    <cellStyle name="Currency 2 10 4 3 3" xfId="21852"/>
    <cellStyle name="Currency 2 10 4 4" xfId="2503"/>
    <cellStyle name="Currency 2 10 4 4 2" xfId="2504"/>
    <cellStyle name="Currency 2 10 4 4 2 2" xfId="21853"/>
    <cellStyle name="Currency 2 10 4 4 3" xfId="21854"/>
    <cellStyle name="Currency 2 10 4 5" xfId="2505"/>
    <cellStyle name="Currency 2 10 4 5 2" xfId="21855"/>
    <cellStyle name="Currency 2 10 4 6" xfId="2506"/>
    <cellStyle name="Currency 2 10 5" xfId="2507"/>
    <cellStyle name="Currency 2 10 5 2" xfId="2508"/>
    <cellStyle name="Currency 2 10 5 2 2" xfId="21856"/>
    <cellStyle name="Currency 2 10 5 3" xfId="21857"/>
    <cellStyle name="Currency 2 10 6" xfId="2509"/>
    <cellStyle name="Currency 2 10 6 2" xfId="2510"/>
    <cellStyle name="Currency 2 10 6 2 2" xfId="21858"/>
    <cellStyle name="Currency 2 10 6 3" xfId="21859"/>
    <cellStyle name="Currency 2 10 7" xfId="2511"/>
    <cellStyle name="Currency 2 10 7 2" xfId="2512"/>
    <cellStyle name="Currency 2 10 7 2 2" xfId="21860"/>
    <cellStyle name="Currency 2 10 7 3" xfId="21861"/>
    <cellStyle name="Currency 2 10 8" xfId="2513"/>
    <cellStyle name="Currency 2 10 8 2" xfId="21862"/>
    <cellStyle name="Currency 2 10 9" xfId="2514"/>
    <cellStyle name="Currency 2 11" xfId="72"/>
    <cellStyle name="Currency 2 11 2" xfId="503"/>
    <cellStyle name="Currency 2 11 2 2" xfId="1243"/>
    <cellStyle name="Currency 2 11 2 2 2" xfId="2515"/>
    <cellStyle name="Currency 2 11 2 2 2 2" xfId="2516"/>
    <cellStyle name="Currency 2 11 2 2 2 2 2" xfId="21863"/>
    <cellStyle name="Currency 2 11 2 2 2 3" xfId="21864"/>
    <cellStyle name="Currency 2 11 2 2 3" xfId="2517"/>
    <cellStyle name="Currency 2 11 2 2 3 2" xfId="2518"/>
    <cellStyle name="Currency 2 11 2 2 3 2 2" xfId="21865"/>
    <cellStyle name="Currency 2 11 2 2 3 3" xfId="21866"/>
    <cellStyle name="Currency 2 11 2 2 4" xfId="2519"/>
    <cellStyle name="Currency 2 11 2 2 4 2" xfId="2520"/>
    <cellStyle name="Currency 2 11 2 2 4 2 2" xfId="21867"/>
    <cellStyle name="Currency 2 11 2 2 4 3" xfId="21868"/>
    <cellStyle name="Currency 2 11 2 2 5" xfId="2521"/>
    <cellStyle name="Currency 2 11 2 2 5 2" xfId="21869"/>
    <cellStyle name="Currency 2 11 2 2 6" xfId="2522"/>
    <cellStyle name="Currency 2 11 2 3" xfId="2523"/>
    <cellStyle name="Currency 2 11 2 3 2" xfId="2524"/>
    <cellStyle name="Currency 2 11 2 3 2 2" xfId="21870"/>
    <cellStyle name="Currency 2 11 2 3 3" xfId="21871"/>
    <cellStyle name="Currency 2 11 2 4" xfId="2525"/>
    <cellStyle name="Currency 2 11 2 4 2" xfId="2526"/>
    <cellStyle name="Currency 2 11 2 4 2 2" xfId="21872"/>
    <cellStyle name="Currency 2 11 2 4 3" xfId="21873"/>
    <cellStyle name="Currency 2 11 2 5" xfId="2527"/>
    <cellStyle name="Currency 2 11 2 5 2" xfId="2528"/>
    <cellStyle name="Currency 2 11 2 5 2 2" xfId="21874"/>
    <cellStyle name="Currency 2 11 2 5 3" xfId="21875"/>
    <cellStyle name="Currency 2 11 2 6" xfId="2529"/>
    <cellStyle name="Currency 2 11 2 6 2" xfId="21876"/>
    <cellStyle name="Currency 2 11 2 7" xfId="2530"/>
    <cellStyle name="Currency 2 11 3" xfId="1244"/>
    <cellStyle name="Currency 2 11 3 2" xfId="2531"/>
    <cellStyle name="Currency 2 11 3 2 2" xfId="2532"/>
    <cellStyle name="Currency 2 11 3 2 2 2" xfId="21877"/>
    <cellStyle name="Currency 2 11 3 2 3" xfId="21878"/>
    <cellStyle name="Currency 2 11 3 3" xfId="2533"/>
    <cellStyle name="Currency 2 11 3 3 2" xfId="2534"/>
    <cellStyle name="Currency 2 11 3 3 2 2" xfId="21879"/>
    <cellStyle name="Currency 2 11 3 3 3" xfId="21880"/>
    <cellStyle name="Currency 2 11 3 4" xfId="2535"/>
    <cellStyle name="Currency 2 11 3 4 2" xfId="2536"/>
    <cellStyle name="Currency 2 11 3 4 2 2" xfId="21881"/>
    <cellStyle name="Currency 2 11 3 4 3" xfId="21882"/>
    <cellStyle name="Currency 2 11 3 5" xfId="2537"/>
    <cellStyle name="Currency 2 11 3 5 2" xfId="21883"/>
    <cellStyle name="Currency 2 11 3 6" xfId="2538"/>
    <cellStyle name="Currency 2 11 4" xfId="2539"/>
    <cellStyle name="Currency 2 11 4 2" xfId="2540"/>
    <cellStyle name="Currency 2 11 4 2 2" xfId="21884"/>
    <cellStyle name="Currency 2 11 4 3" xfId="21885"/>
    <cellStyle name="Currency 2 11 5" xfId="2541"/>
    <cellStyle name="Currency 2 11 5 2" xfId="2542"/>
    <cellStyle name="Currency 2 11 5 2 2" xfId="21886"/>
    <cellStyle name="Currency 2 11 5 3" xfId="21887"/>
    <cellStyle name="Currency 2 11 6" xfId="2543"/>
    <cellStyle name="Currency 2 11 6 2" xfId="2544"/>
    <cellStyle name="Currency 2 11 6 2 2" xfId="21888"/>
    <cellStyle name="Currency 2 11 6 3" xfId="21889"/>
    <cellStyle name="Currency 2 11 7" xfId="2545"/>
    <cellStyle name="Currency 2 11 7 2" xfId="21890"/>
    <cellStyle name="Currency 2 11 8" xfId="2546"/>
    <cellStyle name="Currency 2 12" xfId="871"/>
    <cellStyle name="Currency 2 12 2" xfId="1245"/>
    <cellStyle name="Currency 2 12 2 2" xfId="2547"/>
    <cellStyle name="Currency 2 12 2 2 2" xfId="2548"/>
    <cellStyle name="Currency 2 12 2 2 2 2" xfId="21891"/>
    <cellStyle name="Currency 2 12 2 2 3" xfId="21892"/>
    <cellStyle name="Currency 2 12 2 3" xfId="2549"/>
    <cellStyle name="Currency 2 12 2 3 2" xfId="2550"/>
    <cellStyle name="Currency 2 12 2 3 2 2" xfId="21893"/>
    <cellStyle name="Currency 2 12 2 3 3" xfId="21894"/>
    <cellStyle name="Currency 2 12 2 4" xfId="2551"/>
    <cellStyle name="Currency 2 12 2 4 2" xfId="2552"/>
    <cellStyle name="Currency 2 12 2 4 2 2" xfId="21895"/>
    <cellStyle name="Currency 2 12 2 4 3" xfId="21896"/>
    <cellStyle name="Currency 2 12 2 5" xfId="2553"/>
    <cellStyle name="Currency 2 12 2 5 2" xfId="21897"/>
    <cellStyle name="Currency 2 12 2 6" xfId="2554"/>
    <cellStyle name="Currency 2 12 3" xfId="2555"/>
    <cellStyle name="Currency 2 12 3 2" xfId="2556"/>
    <cellStyle name="Currency 2 12 3 2 2" xfId="21898"/>
    <cellStyle name="Currency 2 12 3 3" xfId="21899"/>
    <cellStyle name="Currency 2 12 4" xfId="2557"/>
    <cellStyle name="Currency 2 12 4 2" xfId="2558"/>
    <cellStyle name="Currency 2 12 4 2 2" xfId="21900"/>
    <cellStyle name="Currency 2 12 4 3" xfId="21901"/>
    <cellStyle name="Currency 2 12 5" xfId="2559"/>
    <cellStyle name="Currency 2 12 5 2" xfId="2560"/>
    <cellStyle name="Currency 2 12 5 2 2" xfId="21902"/>
    <cellStyle name="Currency 2 12 5 3" xfId="21903"/>
    <cellStyle name="Currency 2 12 6" xfId="2561"/>
    <cellStyle name="Currency 2 12 6 2" xfId="21904"/>
    <cellStyle name="Currency 2 12 7" xfId="2562"/>
    <cellStyle name="Currency 2 13" xfId="451"/>
    <cellStyle name="Currency 2 14" xfId="1246"/>
    <cellStyle name="Currency 2 14 2" xfId="2563"/>
    <cellStyle name="Currency 2 14 2 2" xfId="2564"/>
    <cellStyle name="Currency 2 14 2 2 2" xfId="21905"/>
    <cellStyle name="Currency 2 14 2 3" xfId="21906"/>
    <cellStyle name="Currency 2 14 3" xfId="2565"/>
    <cellStyle name="Currency 2 14 3 2" xfId="2566"/>
    <cellStyle name="Currency 2 14 3 2 2" xfId="21907"/>
    <cellStyle name="Currency 2 14 3 3" xfId="21908"/>
    <cellStyle name="Currency 2 14 4" xfId="2567"/>
    <cellStyle name="Currency 2 14 4 2" xfId="2568"/>
    <cellStyle name="Currency 2 14 4 2 2" xfId="21909"/>
    <cellStyle name="Currency 2 14 4 3" xfId="21910"/>
    <cellStyle name="Currency 2 14 5" xfId="2569"/>
    <cellStyle name="Currency 2 14 5 2" xfId="21911"/>
    <cellStyle name="Currency 2 14 6" xfId="2570"/>
    <cellStyle name="Currency 2 15" xfId="2571"/>
    <cellStyle name="Currency 2 15 2" xfId="2572"/>
    <cellStyle name="Currency 2 15 2 2" xfId="21912"/>
    <cellStyle name="Currency 2 15 3" xfId="21913"/>
    <cellStyle name="Currency 2 16" xfId="2573"/>
    <cellStyle name="Currency 2 16 2" xfId="21914"/>
    <cellStyle name="Currency 2 17" xfId="2574"/>
    <cellStyle name="Currency 2 2" xfId="10"/>
    <cellStyle name="Currency 2 2 10" xfId="78"/>
    <cellStyle name="Currency 2 2 10 2" xfId="505"/>
    <cellStyle name="Currency 2 2 10 2 2" xfId="1247"/>
    <cellStyle name="Currency 2 2 10 2 2 2" xfId="2575"/>
    <cellStyle name="Currency 2 2 10 2 2 2 2" xfId="2576"/>
    <cellStyle name="Currency 2 2 10 2 2 2 2 2" xfId="21915"/>
    <cellStyle name="Currency 2 2 10 2 2 2 3" xfId="21916"/>
    <cellStyle name="Currency 2 2 10 2 2 3" xfId="2577"/>
    <cellStyle name="Currency 2 2 10 2 2 3 2" xfId="2578"/>
    <cellStyle name="Currency 2 2 10 2 2 3 2 2" xfId="21917"/>
    <cellStyle name="Currency 2 2 10 2 2 3 3" xfId="21918"/>
    <cellStyle name="Currency 2 2 10 2 2 4" xfId="2579"/>
    <cellStyle name="Currency 2 2 10 2 2 4 2" xfId="2580"/>
    <cellStyle name="Currency 2 2 10 2 2 4 2 2" xfId="21919"/>
    <cellStyle name="Currency 2 2 10 2 2 4 3" xfId="21920"/>
    <cellStyle name="Currency 2 2 10 2 2 5" xfId="2581"/>
    <cellStyle name="Currency 2 2 10 2 2 5 2" xfId="21921"/>
    <cellStyle name="Currency 2 2 10 2 2 6" xfId="2582"/>
    <cellStyle name="Currency 2 2 10 2 3" xfId="2583"/>
    <cellStyle name="Currency 2 2 10 2 3 2" xfId="2584"/>
    <cellStyle name="Currency 2 2 10 2 3 2 2" xfId="21922"/>
    <cellStyle name="Currency 2 2 10 2 3 3" xfId="21923"/>
    <cellStyle name="Currency 2 2 10 2 4" xfId="2585"/>
    <cellStyle name="Currency 2 2 10 2 4 2" xfId="2586"/>
    <cellStyle name="Currency 2 2 10 2 4 2 2" xfId="21924"/>
    <cellStyle name="Currency 2 2 10 2 4 3" xfId="21925"/>
    <cellStyle name="Currency 2 2 10 2 5" xfId="2587"/>
    <cellStyle name="Currency 2 2 10 2 5 2" xfId="2588"/>
    <cellStyle name="Currency 2 2 10 2 5 2 2" xfId="21926"/>
    <cellStyle name="Currency 2 2 10 2 5 3" xfId="21927"/>
    <cellStyle name="Currency 2 2 10 2 6" xfId="2589"/>
    <cellStyle name="Currency 2 2 10 2 6 2" xfId="21928"/>
    <cellStyle name="Currency 2 2 10 2 7" xfId="2590"/>
    <cellStyle name="Currency 2 2 10 3" xfId="1248"/>
    <cellStyle name="Currency 2 2 10 3 2" xfId="2591"/>
    <cellStyle name="Currency 2 2 10 3 2 2" xfId="2592"/>
    <cellStyle name="Currency 2 2 10 3 2 2 2" xfId="21929"/>
    <cellStyle name="Currency 2 2 10 3 2 3" xfId="21930"/>
    <cellStyle name="Currency 2 2 10 3 3" xfId="2593"/>
    <cellStyle name="Currency 2 2 10 3 3 2" xfId="2594"/>
    <cellStyle name="Currency 2 2 10 3 3 2 2" xfId="21931"/>
    <cellStyle name="Currency 2 2 10 3 3 3" xfId="21932"/>
    <cellStyle name="Currency 2 2 10 3 4" xfId="2595"/>
    <cellStyle name="Currency 2 2 10 3 4 2" xfId="2596"/>
    <cellStyle name="Currency 2 2 10 3 4 2 2" xfId="21933"/>
    <cellStyle name="Currency 2 2 10 3 4 3" xfId="21934"/>
    <cellStyle name="Currency 2 2 10 3 5" xfId="2597"/>
    <cellStyle name="Currency 2 2 10 3 5 2" xfId="21935"/>
    <cellStyle name="Currency 2 2 10 3 6" xfId="2598"/>
    <cellStyle name="Currency 2 2 10 4" xfId="2599"/>
    <cellStyle name="Currency 2 2 10 4 2" xfId="2600"/>
    <cellStyle name="Currency 2 2 10 4 2 2" xfId="21936"/>
    <cellStyle name="Currency 2 2 10 4 3" xfId="21937"/>
    <cellStyle name="Currency 2 2 10 5" xfId="2601"/>
    <cellStyle name="Currency 2 2 10 5 2" xfId="2602"/>
    <cellStyle name="Currency 2 2 10 5 2 2" xfId="21938"/>
    <cellStyle name="Currency 2 2 10 5 3" xfId="21939"/>
    <cellStyle name="Currency 2 2 10 6" xfId="2603"/>
    <cellStyle name="Currency 2 2 10 6 2" xfId="2604"/>
    <cellStyle name="Currency 2 2 10 6 2 2" xfId="21940"/>
    <cellStyle name="Currency 2 2 10 6 3" xfId="21941"/>
    <cellStyle name="Currency 2 2 10 7" xfId="2605"/>
    <cellStyle name="Currency 2 2 10 7 2" xfId="21942"/>
    <cellStyle name="Currency 2 2 10 8" xfId="2606"/>
    <cellStyle name="Currency 2 2 11" xfId="873"/>
    <cellStyle name="Currency 2 2 11 2" xfId="1249"/>
    <cellStyle name="Currency 2 2 11 2 2" xfId="2607"/>
    <cellStyle name="Currency 2 2 11 2 2 2" xfId="2608"/>
    <cellStyle name="Currency 2 2 11 2 2 2 2" xfId="21943"/>
    <cellStyle name="Currency 2 2 11 2 2 3" xfId="21944"/>
    <cellStyle name="Currency 2 2 11 2 3" xfId="2609"/>
    <cellStyle name="Currency 2 2 11 2 3 2" xfId="2610"/>
    <cellStyle name="Currency 2 2 11 2 3 2 2" xfId="21945"/>
    <cellStyle name="Currency 2 2 11 2 3 3" xfId="21946"/>
    <cellStyle name="Currency 2 2 11 2 4" xfId="2611"/>
    <cellStyle name="Currency 2 2 11 2 4 2" xfId="2612"/>
    <cellStyle name="Currency 2 2 11 2 4 2 2" xfId="21947"/>
    <cellStyle name="Currency 2 2 11 2 4 3" xfId="21948"/>
    <cellStyle name="Currency 2 2 11 2 5" xfId="2613"/>
    <cellStyle name="Currency 2 2 11 2 5 2" xfId="21949"/>
    <cellStyle name="Currency 2 2 11 2 6" xfId="2614"/>
    <cellStyle name="Currency 2 2 11 3" xfId="2615"/>
    <cellStyle name="Currency 2 2 11 3 2" xfId="2616"/>
    <cellStyle name="Currency 2 2 11 3 2 2" xfId="21950"/>
    <cellStyle name="Currency 2 2 11 3 3" xfId="21951"/>
    <cellStyle name="Currency 2 2 11 4" xfId="2617"/>
    <cellStyle name="Currency 2 2 11 4 2" xfId="2618"/>
    <cellStyle name="Currency 2 2 11 4 2 2" xfId="21952"/>
    <cellStyle name="Currency 2 2 11 4 3" xfId="21953"/>
    <cellStyle name="Currency 2 2 11 5" xfId="2619"/>
    <cellStyle name="Currency 2 2 11 5 2" xfId="2620"/>
    <cellStyle name="Currency 2 2 11 5 2 2" xfId="21954"/>
    <cellStyle name="Currency 2 2 11 5 3" xfId="21955"/>
    <cellStyle name="Currency 2 2 11 6" xfId="2621"/>
    <cellStyle name="Currency 2 2 11 6 2" xfId="21956"/>
    <cellStyle name="Currency 2 2 11 7" xfId="2622"/>
    <cellStyle name="Currency 2 2 12" xfId="452"/>
    <cellStyle name="Currency 2 2 12 2" xfId="1250"/>
    <cellStyle name="Currency 2 2 12 2 2" xfId="2623"/>
    <cellStyle name="Currency 2 2 12 2 2 2" xfId="2624"/>
    <cellStyle name="Currency 2 2 12 2 2 2 2" xfId="21957"/>
    <cellStyle name="Currency 2 2 12 2 2 3" xfId="21958"/>
    <cellStyle name="Currency 2 2 12 2 3" xfId="2625"/>
    <cellStyle name="Currency 2 2 12 2 3 2" xfId="2626"/>
    <cellStyle name="Currency 2 2 12 2 3 2 2" xfId="21959"/>
    <cellStyle name="Currency 2 2 12 2 3 3" xfId="21960"/>
    <cellStyle name="Currency 2 2 12 2 4" xfId="2627"/>
    <cellStyle name="Currency 2 2 12 2 4 2" xfId="2628"/>
    <cellStyle name="Currency 2 2 12 2 4 2 2" xfId="21961"/>
    <cellStyle name="Currency 2 2 12 2 4 3" xfId="21962"/>
    <cellStyle name="Currency 2 2 12 2 5" xfId="2629"/>
    <cellStyle name="Currency 2 2 12 2 5 2" xfId="21963"/>
    <cellStyle name="Currency 2 2 12 2 6" xfId="2630"/>
    <cellStyle name="Currency 2 2 12 3" xfId="2631"/>
    <cellStyle name="Currency 2 2 12 3 2" xfId="2632"/>
    <cellStyle name="Currency 2 2 12 3 2 2" xfId="21964"/>
    <cellStyle name="Currency 2 2 12 3 3" xfId="21965"/>
    <cellStyle name="Currency 2 2 12 4" xfId="2633"/>
    <cellStyle name="Currency 2 2 12 4 2" xfId="2634"/>
    <cellStyle name="Currency 2 2 12 4 2 2" xfId="21966"/>
    <cellStyle name="Currency 2 2 12 4 3" xfId="21967"/>
    <cellStyle name="Currency 2 2 12 5" xfId="2635"/>
    <cellStyle name="Currency 2 2 12 5 2" xfId="2636"/>
    <cellStyle name="Currency 2 2 12 5 2 2" xfId="21968"/>
    <cellStyle name="Currency 2 2 12 5 3" xfId="21969"/>
    <cellStyle name="Currency 2 2 12 6" xfId="2637"/>
    <cellStyle name="Currency 2 2 12 6 2" xfId="21970"/>
    <cellStyle name="Currency 2 2 12 7" xfId="2638"/>
    <cellStyle name="Currency 2 2 13" xfId="1251"/>
    <cellStyle name="Currency 2 2 13 2" xfId="2639"/>
    <cellStyle name="Currency 2 2 13 2 2" xfId="2640"/>
    <cellStyle name="Currency 2 2 13 2 2 2" xfId="21971"/>
    <cellStyle name="Currency 2 2 13 2 3" xfId="21972"/>
    <cellStyle name="Currency 2 2 13 3" xfId="2641"/>
    <cellStyle name="Currency 2 2 13 3 2" xfId="2642"/>
    <cellStyle name="Currency 2 2 13 3 2 2" xfId="21973"/>
    <cellStyle name="Currency 2 2 13 3 3" xfId="21974"/>
    <cellStyle name="Currency 2 2 13 4" xfId="2643"/>
    <cellStyle name="Currency 2 2 13 4 2" xfId="2644"/>
    <cellStyle name="Currency 2 2 13 4 2 2" xfId="21975"/>
    <cellStyle name="Currency 2 2 13 4 3" xfId="21976"/>
    <cellStyle name="Currency 2 2 13 5" xfId="2645"/>
    <cellStyle name="Currency 2 2 13 5 2" xfId="21977"/>
    <cellStyle name="Currency 2 2 13 6" xfId="2646"/>
    <cellStyle name="Currency 2 2 14" xfId="2647"/>
    <cellStyle name="Currency 2 2 14 2" xfId="2648"/>
    <cellStyle name="Currency 2 2 14 2 2" xfId="21978"/>
    <cellStyle name="Currency 2 2 14 3" xfId="21979"/>
    <cellStyle name="Currency 2 2 15" xfId="2649"/>
    <cellStyle name="Currency 2 2 15 2" xfId="2650"/>
    <cellStyle name="Currency 2 2 15 2 2" xfId="21980"/>
    <cellStyle name="Currency 2 2 15 3" xfId="21981"/>
    <cellStyle name="Currency 2 2 16" xfId="2651"/>
    <cellStyle name="Currency 2 2 16 2" xfId="2652"/>
    <cellStyle name="Currency 2 2 16 2 2" xfId="21982"/>
    <cellStyle name="Currency 2 2 16 3" xfId="21983"/>
    <cellStyle name="Currency 2 2 17" xfId="2653"/>
    <cellStyle name="Currency 2 2 17 2" xfId="21984"/>
    <cellStyle name="Currency 2 2 18" xfId="2654"/>
    <cellStyle name="Currency 2 2 2" xfId="11"/>
    <cellStyle name="Currency 2 2 2 10" xfId="877"/>
    <cellStyle name="Currency 2 2 2 10 2" xfId="1252"/>
    <cellStyle name="Currency 2 2 2 10 2 2" xfId="2655"/>
    <cellStyle name="Currency 2 2 2 10 2 2 2" xfId="2656"/>
    <cellStyle name="Currency 2 2 2 10 2 2 2 2" xfId="21985"/>
    <cellStyle name="Currency 2 2 2 10 2 2 3" xfId="21986"/>
    <cellStyle name="Currency 2 2 2 10 2 3" xfId="2657"/>
    <cellStyle name="Currency 2 2 2 10 2 3 2" xfId="2658"/>
    <cellStyle name="Currency 2 2 2 10 2 3 2 2" xfId="21987"/>
    <cellStyle name="Currency 2 2 2 10 2 3 3" xfId="21988"/>
    <cellStyle name="Currency 2 2 2 10 2 4" xfId="2659"/>
    <cellStyle name="Currency 2 2 2 10 2 4 2" xfId="2660"/>
    <cellStyle name="Currency 2 2 2 10 2 4 2 2" xfId="21989"/>
    <cellStyle name="Currency 2 2 2 10 2 4 3" xfId="21990"/>
    <cellStyle name="Currency 2 2 2 10 2 5" xfId="2661"/>
    <cellStyle name="Currency 2 2 2 10 2 5 2" xfId="21991"/>
    <cellStyle name="Currency 2 2 2 10 2 6" xfId="2662"/>
    <cellStyle name="Currency 2 2 2 10 3" xfId="2663"/>
    <cellStyle name="Currency 2 2 2 10 3 2" xfId="2664"/>
    <cellStyle name="Currency 2 2 2 10 3 2 2" xfId="21992"/>
    <cellStyle name="Currency 2 2 2 10 3 3" xfId="21993"/>
    <cellStyle name="Currency 2 2 2 10 4" xfId="2665"/>
    <cellStyle name="Currency 2 2 2 10 4 2" xfId="2666"/>
    <cellStyle name="Currency 2 2 2 10 4 2 2" xfId="21994"/>
    <cellStyle name="Currency 2 2 2 10 4 3" xfId="21995"/>
    <cellStyle name="Currency 2 2 2 10 5" xfId="2667"/>
    <cellStyle name="Currency 2 2 2 10 5 2" xfId="2668"/>
    <cellStyle name="Currency 2 2 2 10 5 2 2" xfId="21996"/>
    <cellStyle name="Currency 2 2 2 10 5 3" xfId="21997"/>
    <cellStyle name="Currency 2 2 2 10 6" xfId="2669"/>
    <cellStyle name="Currency 2 2 2 10 6 2" xfId="21998"/>
    <cellStyle name="Currency 2 2 2 10 7" xfId="2670"/>
    <cellStyle name="Currency 2 2 2 11" xfId="453"/>
    <cellStyle name="Currency 2 2 2 11 2" xfId="1253"/>
    <cellStyle name="Currency 2 2 2 11 2 2" xfId="2671"/>
    <cellStyle name="Currency 2 2 2 11 2 2 2" xfId="2672"/>
    <cellStyle name="Currency 2 2 2 11 2 2 2 2" xfId="21999"/>
    <cellStyle name="Currency 2 2 2 11 2 2 3" xfId="22000"/>
    <cellStyle name="Currency 2 2 2 11 2 3" xfId="2673"/>
    <cellStyle name="Currency 2 2 2 11 2 3 2" xfId="2674"/>
    <cellStyle name="Currency 2 2 2 11 2 3 2 2" xfId="22001"/>
    <cellStyle name="Currency 2 2 2 11 2 3 3" xfId="22002"/>
    <cellStyle name="Currency 2 2 2 11 2 4" xfId="2675"/>
    <cellStyle name="Currency 2 2 2 11 2 4 2" xfId="2676"/>
    <cellStyle name="Currency 2 2 2 11 2 4 2 2" xfId="22003"/>
    <cellStyle name="Currency 2 2 2 11 2 4 3" xfId="22004"/>
    <cellStyle name="Currency 2 2 2 11 2 5" xfId="2677"/>
    <cellStyle name="Currency 2 2 2 11 2 5 2" xfId="22005"/>
    <cellStyle name="Currency 2 2 2 11 2 6" xfId="2678"/>
    <cellStyle name="Currency 2 2 2 11 3" xfId="2679"/>
    <cellStyle name="Currency 2 2 2 11 3 2" xfId="2680"/>
    <cellStyle name="Currency 2 2 2 11 3 2 2" xfId="22006"/>
    <cellStyle name="Currency 2 2 2 11 3 3" xfId="22007"/>
    <cellStyle name="Currency 2 2 2 11 4" xfId="2681"/>
    <cellStyle name="Currency 2 2 2 11 4 2" xfId="2682"/>
    <cellStyle name="Currency 2 2 2 11 4 2 2" xfId="22008"/>
    <cellStyle name="Currency 2 2 2 11 4 3" xfId="22009"/>
    <cellStyle name="Currency 2 2 2 11 5" xfId="2683"/>
    <cellStyle name="Currency 2 2 2 11 5 2" xfId="2684"/>
    <cellStyle name="Currency 2 2 2 11 5 2 2" xfId="22010"/>
    <cellStyle name="Currency 2 2 2 11 5 3" xfId="22011"/>
    <cellStyle name="Currency 2 2 2 11 6" xfId="2685"/>
    <cellStyle name="Currency 2 2 2 11 6 2" xfId="22012"/>
    <cellStyle name="Currency 2 2 2 11 7" xfId="2686"/>
    <cellStyle name="Currency 2 2 2 12" xfId="1254"/>
    <cellStyle name="Currency 2 2 2 12 2" xfId="2687"/>
    <cellStyle name="Currency 2 2 2 12 2 2" xfId="2688"/>
    <cellStyle name="Currency 2 2 2 12 2 2 2" xfId="22013"/>
    <cellStyle name="Currency 2 2 2 12 2 3" xfId="22014"/>
    <cellStyle name="Currency 2 2 2 12 3" xfId="2689"/>
    <cellStyle name="Currency 2 2 2 12 3 2" xfId="2690"/>
    <cellStyle name="Currency 2 2 2 12 3 2 2" xfId="22015"/>
    <cellStyle name="Currency 2 2 2 12 3 3" xfId="22016"/>
    <cellStyle name="Currency 2 2 2 12 4" xfId="2691"/>
    <cellStyle name="Currency 2 2 2 12 4 2" xfId="2692"/>
    <cellStyle name="Currency 2 2 2 12 4 2 2" xfId="22017"/>
    <cellStyle name="Currency 2 2 2 12 4 3" xfId="22018"/>
    <cellStyle name="Currency 2 2 2 12 5" xfId="2693"/>
    <cellStyle name="Currency 2 2 2 12 5 2" xfId="22019"/>
    <cellStyle name="Currency 2 2 2 12 6" xfId="2694"/>
    <cellStyle name="Currency 2 2 2 13" xfId="2695"/>
    <cellStyle name="Currency 2 2 2 13 2" xfId="2696"/>
    <cellStyle name="Currency 2 2 2 13 2 2" xfId="22020"/>
    <cellStyle name="Currency 2 2 2 13 3" xfId="22021"/>
    <cellStyle name="Currency 2 2 2 14" xfId="2697"/>
    <cellStyle name="Currency 2 2 2 14 2" xfId="2698"/>
    <cellStyle name="Currency 2 2 2 14 2 2" xfId="22022"/>
    <cellStyle name="Currency 2 2 2 14 3" xfId="22023"/>
    <cellStyle name="Currency 2 2 2 15" xfId="2699"/>
    <cellStyle name="Currency 2 2 2 15 2" xfId="2700"/>
    <cellStyle name="Currency 2 2 2 15 2 2" xfId="22024"/>
    <cellStyle name="Currency 2 2 2 15 3" xfId="22025"/>
    <cellStyle name="Currency 2 2 2 16" xfId="2701"/>
    <cellStyle name="Currency 2 2 2 16 2" xfId="22026"/>
    <cellStyle name="Currency 2 2 2 17" xfId="2702"/>
    <cellStyle name="Currency 2 2 2 2" xfId="27"/>
    <cellStyle name="Currency 2 2 2 2 10" xfId="461"/>
    <cellStyle name="Currency 2 2 2 2 10 2" xfId="1255"/>
    <cellStyle name="Currency 2 2 2 2 10 2 2" xfId="2703"/>
    <cellStyle name="Currency 2 2 2 2 10 2 2 2" xfId="2704"/>
    <cellStyle name="Currency 2 2 2 2 10 2 2 2 2" xfId="22027"/>
    <cellStyle name="Currency 2 2 2 2 10 2 2 3" xfId="22028"/>
    <cellStyle name="Currency 2 2 2 2 10 2 3" xfId="2705"/>
    <cellStyle name="Currency 2 2 2 2 10 2 3 2" xfId="2706"/>
    <cellStyle name="Currency 2 2 2 2 10 2 3 2 2" xfId="22029"/>
    <cellStyle name="Currency 2 2 2 2 10 2 3 3" xfId="22030"/>
    <cellStyle name="Currency 2 2 2 2 10 2 4" xfId="2707"/>
    <cellStyle name="Currency 2 2 2 2 10 2 4 2" xfId="2708"/>
    <cellStyle name="Currency 2 2 2 2 10 2 4 2 2" xfId="22031"/>
    <cellStyle name="Currency 2 2 2 2 10 2 4 3" xfId="22032"/>
    <cellStyle name="Currency 2 2 2 2 10 2 5" xfId="2709"/>
    <cellStyle name="Currency 2 2 2 2 10 2 5 2" xfId="22033"/>
    <cellStyle name="Currency 2 2 2 2 10 2 6" xfId="2710"/>
    <cellStyle name="Currency 2 2 2 2 10 3" xfId="2711"/>
    <cellStyle name="Currency 2 2 2 2 10 3 2" xfId="2712"/>
    <cellStyle name="Currency 2 2 2 2 10 3 2 2" xfId="22034"/>
    <cellStyle name="Currency 2 2 2 2 10 3 3" xfId="22035"/>
    <cellStyle name="Currency 2 2 2 2 10 4" xfId="2713"/>
    <cellStyle name="Currency 2 2 2 2 10 4 2" xfId="2714"/>
    <cellStyle name="Currency 2 2 2 2 10 4 2 2" xfId="22036"/>
    <cellStyle name="Currency 2 2 2 2 10 4 3" xfId="22037"/>
    <cellStyle name="Currency 2 2 2 2 10 5" xfId="2715"/>
    <cellStyle name="Currency 2 2 2 2 10 5 2" xfId="2716"/>
    <cellStyle name="Currency 2 2 2 2 10 5 2 2" xfId="22038"/>
    <cellStyle name="Currency 2 2 2 2 10 5 3" xfId="22039"/>
    <cellStyle name="Currency 2 2 2 2 10 6" xfId="2717"/>
    <cellStyle name="Currency 2 2 2 2 10 6 2" xfId="22040"/>
    <cellStyle name="Currency 2 2 2 2 10 7" xfId="2718"/>
    <cellStyle name="Currency 2 2 2 2 11" xfId="1256"/>
    <cellStyle name="Currency 2 2 2 2 11 2" xfId="2719"/>
    <cellStyle name="Currency 2 2 2 2 11 2 2" xfId="2720"/>
    <cellStyle name="Currency 2 2 2 2 11 2 2 2" xfId="22041"/>
    <cellStyle name="Currency 2 2 2 2 11 2 3" xfId="22042"/>
    <cellStyle name="Currency 2 2 2 2 11 3" xfId="2721"/>
    <cellStyle name="Currency 2 2 2 2 11 3 2" xfId="2722"/>
    <cellStyle name="Currency 2 2 2 2 11 3 2 2" xfId="22043"/>
    <cellStyle name="Currency 2 2 2 2 11 3 3" xfId="22044"/>
    <cellStyle name="Currency 2 2 2 2 11 4" xfId="2723"/>
    <cellStyle name="Currency 2 2 2 2 11 4 2" xfId="2724"/>
    <cellStyle name="Currency 2 2 2 2 11 4 2 2" xfId="22045"/>
    <cellStyle name="Currency 2 2 2 2 11 4 3" xfId="22046"/>
    <cellStyle name="Currency 2 2 2 2 11 5" xfId="2725"/>
    <cellStyle name="Currency 2 2 2 2 11 5 2" xfId="22047"/>
    <cellStyle name="Currency 2 2 2 2 11 6" xfId="2726"/>
    <cellStyle name="Currency 2 2 2 2 12" xfId="2727"/>
    <cellStyle name="Currency 2 2 2 2 12 2" xfId="2728"/>
    <cellStyle name="Currency 2 2 2 2 12 2 2" xfId="22048"/>
    <cellStyle name="Currency 2 2 2 2 12 3" xfId="22049"/>
    <cellStyle name="Currency 2 2 2 2 13" xfId="2729"/>
    <cellStyle name="Currency 2 2 2 2 13 2" xfId="2730"/>
    <cellStyle name="Currency 2 2 2 2 13 2 2" xfId="22050"/>
    <cellStyle name="Currency 2 2 2 2 13 3" xfId="22051"/>
    <cellStyle name="Currency 2 2 2 2 14" xfId="2731"/>
    <cellStyle name="Currency 2 2 2 2 14 2" xfId="2732"/>
    <cellStyle name="Currency 2 2 2 2 14 2 2" xfId="22052"/>
    <cellStyle name="Currency 2 2 2 2 14 3" xfId="22053"/>
    <cellStyle name="Currency 2 2 2 2 15" xfId="2733"/>
    <cellStyle name="Currency 2 2 2 2 15 2" xfId="22054"/>
    <cellStyle name="Currency 2 2 2 2 16" xfId="2734"/>
    <cellStyle name="Currency 2 2 2 2 2" xfId="28"/>
    <cellStyle name="Currency 2 2 2 2 2 10" xfId="2735"/>
    <cellStyle name="Currency 2 2 2 2 2 10 2" xfId="2736"/>
    <cellStyle name="Currency 2 2 2 2 2 10 2 2" xfId="22055"/>
    <cellStyle name="Currency 2 2 2 2 2 10 3" xfId="22056"/>
    <cellStyle name="Currency 2 2 2 2 2 11" xfId="2737"/>
    <cellStyle name="Currency 2 2 2 2 2 11 2" xfId="2738"/>
    <cellStyle name="Currency 2 2 2 2 2 11 2 2" xfId="22057"/>
    <cellStyle name="Currency 2 2 2 2 2 11 3" xfId="22058"/>
    <cellStyle name="Currency 2 2 2 2 2 12" xfId="2739"/>
    <cellStyle name="Currency 2 2 2 2 2 12 2" xfId="2740"/>
    <cellStyle name="Currency 2 2 2 2 2 12 2 2" xfId="22059"/>
    <cellStyle name="Currency 2 2 2 2 2 12 3" xfId="22060"/>
    <cellStyle name="Currency 2 2 2 2 2 13" xfId="2741"/>
    <cellStyle name="Currency 2 2 2 2 2 13 2" xfId="22061"/>
    <cellStyle name="Currency 2 2 2 2 2 14" xfId="2742"/>
    <cellStyle name="Currency 2 2 2 2 2 2" xfId="194"/>
    <cellStyle name="Currency 2 2 2 2 2 2 10" xfId="2743"/>
    <cellStyle name="Currency 2 2 2 2 2 2 2" xfId="352"/>
    <cellStyle name="Currency 2 2 2 2 2 2 2 2" xfId="1140"/>
    <cellStyle name="Currency 2 2 2 2 2 2 2 2 2" xfId="1257"/>
    <cellStyle name="Currency 2 2 2 2 2 2 2 2 2 2" xfId="2744"/>
    <cellStyle name="Currency 2 2 2 2 2 2 2 2 2 2 2" xfId="2745"/>
    <cellStyle name="Currency 2 2 2 2 2 2 2 2 2 2 2 2" xfId="22062"/>
    <cellStyle name="Currency 2 2 2 2 2 2 2 2 2 2 3" xfId="22063"/>
    <cellStyle name="Currency 2 2 2 2 2 2 2 2 2 3" xfId="2746"/>
    <cellStyle name="Currency 2 2 2 2 2 2 2 2 2 3 2" xfId="2747"/>
    <cellStyle name="Currency 2 2 2 2 2 2 2 2 2 3 2 2" xfId="22064"/>
    <cellStyle name="Currency 2 2 2 2 2 2 2 2 2 3 3" xfId="22065"/>
    <cellStyle name="Currency 2 2 2 2 2 2 2 2 2 4" xfId="2748"/>
    <cellStyle name="Currency 2 2 2 2 2 2 2 2 2 4 2" xfId="2749"/>
    <cellStyle name="Currency 2 2 2 2 2 2 2 2 2 4 2 2" xfId="22066"/>
    <cellStyle name="Currency 2 2 2 2 2 2 2 2 2 4 3" xfId="22067"/>
    <cellStyle name="Currency 2 2 2 2 2 2 2 2 2 5" xfId="2750"/>
    <cellStyle name="Currency 2 2 2 2 2 2 2 2 2 5 2" xfId="22068"/>
    <cellStyle name="Currency 2 2 2 2 2 2 2 2 2 6" xfId="2751"/>
    <cellStyle name="Currency 2 2 2 2 2 2 2 2 3" xfId="2752"/>
    <cellStyle name="Currency 2 2 2 2 2 2 2 2 3 2" xfId="2753"/>
    <cellStyle name="Currency 2 2 2 2 2 2 2 2 3 2 2" xfId="22069"/>
    <cellStyle name="Currency 2 2 2 2 2 2 2 2 3 3" xfId="22070"/>
    <cellStyle name="Currency 2 2 2 2 2 2 2 2 4" xfId="2754"/>
    <cellStyle name="Currency 2 2 2 2 2 2 2 2 4 2" xfId="2755"/>
    <cellStyle name="Currency 2 2 2 2 2 2 2 2 4 2 2" xfId="22071"/>
    <cellStyle name="Currency 2 2 2 2 2 2 2 2 4 3" xfId="22072"/>
    <cellStyle name="Currency 2 2 2 2 2 2 2 2 5" xfId="2756"/>
    <cellStyle name="Currency 2 2 2 2 2 2 2 2 5 2" xfId="2757"/>
    <cellStyle name="Currency 2 2 2 2 2 2 2 2 5 2 2" xfId="22073"/>
    <cellStyle name="Currency 2 2 2 2 2 2 2 2 5 3" xfId="22074"/>
    <cellStyle name="Currency 2 2 2 2 2 2 2 2 6" xfId="2758"/>
    <cellStyle name="Currency 2 2 2 2 2 2 2 2 6 2" xfId="22075"/>
    <cellStyle name="Currency 2 2 2 2 2 2 2 2 7" xfId="2759"/>
    <cellStyle name="Currency 2 2 2 2 2 2 2 3" xfId="772"/>
    <cellStyle name="Currency 2 2 2 2 2 2 2 3 2" xfId="1258"/>
    <cellStyle name="Currency 2 2 2 2 2 2 2 3 2 2" xfId="2760"/>
    <cellStyle name="Currency 2 2 2 2 2 2 2 3 2 2 2" xfId="2761"/>
    <cellStyle name="Currency 2 2 2 2 2 2 2 3 2 2 2 2" xfId="22076"/>
    <cellStyle name="Currency 2 2 2 2 2 2 2 3 2 2 3" xfId="22077"/>
    <cellStyle name="Currency 2 2 2 2 2 2 2 3 2 3" xfId="2762"/>
    <cellStyle name="Currency 2 2 2 2 2 2 2 3 2 3 2" xfId="2763"/>
    <cellStyle name="Currency 2 2 2 2 2 2 2 3 2 3 2 2" xfId="22078"/>
    <cellStyle name="Currency 2 2 2 2 2 2 2 3 2 3 3" xfId="22079"/>
    <cellStyle name="Currency 2 2 2 2 2 2 2 3 2 4" xfId="2764"/>
    <cellStyle name="Currency 2 2 2 2 2 2 2 3 2 4 2" xfId="2765"/>
    <cellStyle name="Currency 2 2 2 2 2 2 2 3 2 4 2 2" xfId="22080"/>
    <cellStyle name="Currency 2 2 2 2 2 2 2 3 2 4 3" xfId="22081"/>
    <cellStyle name="Currency 2 2 2 2 2 2 2 3 2 5" xfId="2766"/>
    <cellStyle name="Currency 2 2 2 2 2 2 2 3 2 5 2" xfId="22082"/>
    <cellStyle name="Currency 2 2 2 2 2 2 2 3 2 6" xfId="2767"/>
    <cellStyle name="Currency 2 2 2 2 2 2 2 3 3" xfId="2768"/>
    <cellStyle name="Currency 2 2 2 2 2 2 2 3 3 2" xfId="2769"/>
    <cellStyle name="Currency 2 2 2 2 2 2 2 3 3 2 2" xfId="22083"/>
    <cellStyle name="Currency 2 2 2 2 2 2 2 3 3 3" xfId="22084"/>
    <cellStyle name="Currency 2 2 2 2 2 2 2 3 4" xfId="2770"/>
    <cellStyle name="Currency 2 2 2 2 2 2 2 3 4 2" xfId="2771"/>
    <cellStyle name="Currency 2 2 2 2 2 2 2 3 4 2 2" xfId="22085"/>
    <cellStyle name="Currency 2 2 2 2 2 2 2 3 4 3" xfId="22086"/>
    <cellStyle name="Currency 2 2 2 2 2 2 2 3 5" xfId="2772"/>
    <cellStyle name="Currency 2 2 2 2 2 2 2 3 5 2" xfId="2773"/>
    <cellStyle name="Currency 2 2 2 2 2 2 2 3 5 2 2" xfId="22087"/>
    <cellStyle name="Currency 2 2 2 2 2 2 2 3 5 3" xfId="22088"/>
    <cellStyle name="Currency 2 2 2 2 2 2 2 3 6" xfId="2774"/>
    <cellStyle name="Currency 2 2 2 2 2 2 2 3 6 2" xfId="22089"/>
    <cellStyle name="Currency 2 2 2 2 2 2 2 3 7" xfId="2775"/>
    <cellStyle name="Currency 2 2 2 2 2 2 2 4" xfId="1259"/>
    <cellStyle name="Currency 2 2 2 2 2 2 2 4 2" xfId="2776"/>
    <cellStyle name="Currency 2 2 2 2 2 2 2 4 2 2" xfId="2777"/>
    <cellStyle name="Currency 2 2 2 2 2 2 2 4 2 2 2" xfId="22090"/>
    <cellStyle name="Currency 2 2 2 2 2 2 2 4 2 3" xfId="22091"/>
    <cellStyle name="Currency 2 2 2 2 2 2 2 4 3" xfId="2778"/>
    <cellStyle name="Currency 2 2 2 2 2 2 2 4 3 2" xfId="2779"/>
    <cellStyle name="Currency 2 2 2 2 2 2 2 4 3 2 2" xfId="22092"/>
    <cellStyle name="Currency 2 2 2 2 2 2 2 4 3 3" xfId="22093"/>
    <cellStyle name="Currency 2 2 2 2 2 2 2 4 4" xfId="2780"/>
    <cellStyle name="Currency 2 2 2 2 2 2 2 4 4 2" xfId="2781"/>
    <cellStyle name="Currency 2 2 2 2 2 2 2 4 4 2 2" xfId="22094"/>
    <cellStyle name="Currency 2 2 2 2 2 2 2 4 4 3" xfId="22095"/>
    <cellStyle name="Currency 2 2 2 2 2 2 2 4 5" xfId="2782"/>
    <cellStyle name="Currency 2 2 2 2 2 2 2 4 5 2" xfId="22096"/>
    <cellStyle name="Currency 2 2 2 2 2 2 2 4 6" xfId="2783"/>
    <cellStyle name="Currency 2 2 2 2 2 2 2 5" xfId="2784"/>
    <cellStyle name="Currency 2 2 2 2 2 2 2 5 2" xfId="2785"/>
    <cellStyle name="Currency 2 2 2 2 2 2 2 5 2 2" xfId="22097"/>
    <cellStyle name="Currency 2 2 2 2 2 2 2 5 3" xfId="22098"/>
    <cellStyle name="Currency 2 2 2 2 2 2 2 6" xfId="2786"/>
    <cellStyle name="Currency 2 2 2 2 2 2 2 6 2" xfId="2787"/>
    <cellStyle name="Currency 2 2 2 2 2 2 2 6 2 2" xfId="22099"/>
    <cellStyle name="Currency 2 2 2 2 2 2 2 6 3" xfId="22100"/>
    <cellStyle name="Currency 2 2 2 2 2 2 2 7" xfId="2788"/>
    <cellStyle name="Currency 2 2 2 2 2 2 2 7 2" xfId="2789"/>
    <cellStyle name="Currency 2 2 2 2 2 2 2 7 2 2" xfId="22101"/>
    <cellStyle name="Currency 2 2 2 2 2 2 2 7 3" xfId="22102"/>
    <cellStyle name="Currency 2 2 2 2 2 2 2 8" xfId="2790"/>
    <cellStyle name="Currency 2 2 2 2 2 2 2 8 2" xfId="22103"/>
    <cellStyle name="Currency 2 2 2 2 2 2 2 9" xfId="2791"/>
    <cellStyle name="Currency 2 2 2 2 2 2 3" xfId="982"/>
    <cellStyle name="Currency 2 2 2 2 2 2 3 2" xfId="1260"/>
    <cellStyle name="Currency 2 2 2 2 2 2 3 2 2" xfId="2792"/>
    <cellStyle name="Currency 2 2 2 2 2 2 3 2 2 2" xfId="2793"/>
    <cellStyle name="Currency 2 2 2 2 2 2 3 2 2 2 2" xfId="22104"/>
    <cellStyle name="Currency 2 2 2 2 2 2 3 2 2 3" xfId="22105"/>
    <cellStyle name="Currency 2 2 2 2 2 2 3 2 3" xfId="2794"/>
    <cellStyle name="Currency 2 2 2 2 2 2 3 2 3 2" xfId="2795"/>
    <cellStyle name="Currency 2 2 2 2 2 2 3 2 3 2 2" xfId="22106"/>
    <cellStyle name="Currency 2 2 2 2 2 2 3 2 3 3" xfId="22107"/>
    <cellStyle name="Currency 2 2 2 2 2 2 3 2 4" xfId="2796"/>
    <cellStyle name="Currency 2 2 2 2 2 2 3 2 4 2" xfId="2797"/>
    <cellStyle name="Currency 2 2 2 2 2 2 3 2 4 2 2" xfId="22108"/>
    <cellStyle name="Currency 2 2 2 2 2 2 3 2 4 3" xfId="22109"/>
    <cellStyle name="Currency 2 2 2 2 2 2 3 2 5" xfId="2798"/>
    <cellStyle name="Currency 2 2 2 2 2 2 3 2 5 2" xfId="22110"/>
    <cellStyle name="Currency 2 2 2 2 2 2 3 2 6" xfId="2799"/>
    <cellStyle name="Currency 2 2 2 2 2 2 3 3" xfId="2800"/>
    <cellStyle name="Currency 2 2 2 2 2 2 3 3 2" xfId="2801"/>
    <cellStyle name="Currency 2 2 2 2 2 2 3 3 2 2" xfId="22111"/>
    <cellStyle name="Currency 2 2 2 2 2 2 3 3 3" xfId="22112"/>
    <cellStyle name="Currency 2 2 2 2 2 2 3 4" xfId="2802"/>
    <cellStyle name="Currency 2 2 2 2 2 2 3 4 2" xfId="2803"/>
    <cellStyle name="Currency 2 2 2 2 2 2 3 4 2 2" xfId="22113"/>
    <cellStyle name="Currency 2 2 2 2 2 2 3 4 3" xfId="22114"/>
    <cellStyle name="Currency 2 2 2 2 2 2 3 5" xfId="2804"/>
    <cellStyle name="Currency 2 2 2 2 2 2 3 5 2" xfId="2805"/>
    <cellStyle name="Currency 2 2 2 2 2 2 3 5 2 2" xfId="22115"/>
    <cellStyle name="Currency 2 2 2 2 2 2 3 5 3" xfId="22116"/>
    <cellStyle name="Currency 2 2 2 2 2 2 3 6" xfId="2806"/>
    <cellStyle name="Currency 2 2 2 2 2 2 3 6 2" xfId="22117"/>
    <cellStyle name="Currency 2 2 2 2 2 2 3 7" xfId="2807"/>
    <cellStyle name="Currency 2 2 2 2 2 2 4" xfId="614"/>
    <cellStyle name="Currency 2 2 2 2 2 2 4 2" xfId="1261"/>
    <cellStyle name="Currency 2 2 2 2 2 2 4 2 2" xfId="2808"/>
    <cellStyle name="Currency 2 2 2 2 2 2 4 2 2 2" xfId="2809"/>
    <cellStyle name="Currency 2 2 2 2 2 2 4 2 2 2 2" xfId="22118"/>
    <cellStyle name="Currency 2 2 2 2 2 2 4 2 2 3" xfId="22119"/>
    <cellStyle name="Currency 2 2 2 2 2 2 4 2 3" xfId="2810"/>
    <cellStyle name="Currency 2 2 2 2 2 2 4 2 3 2" xfId="2811"/>
    <cellStyle name="Currency 2 2 2 2 2 2 4 2 3 2 2" xfId="22120"/>
    <cellStyle name="Currency 2 2 2 2 2 2 4 2 3 3" xfId="22121"/>
    <cellStyle name="Currency 2 2 2 2 2 2 4 2 4" xfId="2812"/>
    <cellStyle name="Currency 2 2 2 2 2 2 4 2 4 2" xfId="2813"/>
    <cellStyle name="Currency 2 2 2 2 2 2 4 2 4 2 2" xfId="22122"/>
    <cellStyle name="Currency 2 2 2 2 2 2 4 2 4 3" xfId="22123"/>
    <cellStyle name="Currency 2 2 2 2 2 2 4 2 5" xfId="2814"/>
    <cellStyle name="Currency 2 2 2 2 2 2 4 2 5 2" xfId="22124"/>
    <cellStyle name="Currency 2 2 2 2 2 2 4 2 6" xfId="2815"/>
    <cellStyle name="Currency 2 2 2 2 2 2 4 3" xfId="2816"/>
    <cellStyle name="Currency 2 2 2 2 2 2 4 3 2" xfId="2817"/>
    <cellStyle name="Currency 2 2 2 2 2 2 4 3 2 2" xfId="22125"/>
    <cellStyle name="Currency 2 2 2 2 2 2 4 3 3" xfId="22126"/>
    <cellStyle name="Currency 2 2 2 2 2 2 4 4" xfId="2818"/>
    <cellStyle name="Currency 2 2 2 2 2 2 4 4 2" xfId="2819"/>
    <cellStyle name="Currency 2 2 2 2 2 2 4 4 2 2" xfId="22127"/>
    <cellStyle name="Currency 2 2 2 2 2 2 4 4 3" xfId="22128"/>
    <cellStyle name="Currency 2 2 2 2 2 2 4 5" xfId="2820"/>
    <cellStyle name="Currency 2 2 2 2 2 2 4 5 2" xfId="2821"/>
    <cellStyle name="Currency 2 2 2 2 2 2 4 5 2 2" xfId="22129"/>
    <cellStyle name="Currency 2 2 2 2 2 2 4 5 3" xfId="22130"/>
    <cellStyle name="Currency 2 2 2 2 2 2 4 6" xfId="2822"/>
    <cellStyle name="Currency 2 2 2 2 2 2 4 6 2" xfId="22131"/>
    <cellStyle name="Currency 2 2 2 2 2 2 4 7" xfId="2823"/>
    <cellStyle name="Currency 2 2 2 2 2 2 5" xfId="1262"/>
    <cellStyle name="Currency 2 2 2 2 2 2 5 2" xfId="2824"/>
    <cellStyle name="Currency 2 2 2 2 2 2 5 2 2" xfId="2825"/>
    <cellStyle name="Currency 2 2 2 2 2 2 5 2 2 2" xfId="22132"/>
    <cellStyle name="Currency 2 2 2 2 2 2 5 2 3" xfId="22133"/>
    <cellStyle name="Currency 2 2 2 2 2 2 5 3" xfId="2826"/>
    <cellStyle name="Currency 2 2 2 2 2 2 5 3 2" xfId="2827"/>
    <cellStyle name="Currency 2 2 2 2 2 2 5 3 2 2" xfId="22134"/>
    <cellStyle name="Currency 2 2 2 2 2 2 5 3 3" xfId="22135"/>
    <cellStyle name="Currency 2 2 2 2 2 2 5 4" xfId="2828"/>
    <cellStyle name="Currency 2 2 2 2 2 2 5 4 2" xfId="2829"/>
    <cellStyle name="Currency 2 2 2 2 2 2 5 4 2 2" xfId="22136"/>
    <cellStyle name="Currency 2 2 2 2 2 2 5 4 3" xfId="22137"/>
    <cellStyle name="Currency 2 2 2 2 2 2 5 5" xfId="2830"/>
    <cellStyle name="Currency 2 2 2 2 2 2 5 5 2" xfId="22138"/>
    <cellStyle name="Currency 2 2 2 2 2 2 5 6" xfId="2831"/>
    <cellStyle name="Currency 2 2 2 2 2 2 6" xfId="2832"/>
    <cellStyle name="Currency 2 2 2 2 2 2 6 2" xfId="2833"/>
    <cellStyle name="Currency 2 2 2 2 2 2 6 2 2" xfId="22139"/>
    <cellStyle name="Currency 2 2 2 2 2 2 6 3" xfId="22140"/>
    <cellStyle name="Currency 2 2 2 2 2 2 7" xfId="2834"/>
    <cellStyle name="Currency 2 2 2 2 2 2 7 2" xfId="2835"/>
    <cellStyle name="Currency 2 2 2 2 2 2 7 2 2" xfId="22141"/>
    <cellStyle name="Currency 2 2 2 2 2 2 7 3" xfId="22142"/>
    <cellStyle name="Currency 2 2 2 2 2 2 8" xfId="2836"/>
    <cellStyle name="Currency 2 2 2 2 2 2 8 2" xfId="2837"/>
    <cellStyle name="Currency 2 2 2 2 2 2 8 2 2" xfId="22143"/>
    <cellStyle name="Currency 2 2 2 2 2 2 8 3" xfId="22144"/>
    <cellStyle name="Currency 2 2 2 2 2 2 9" xfId="2838"/>
    <cellStyle name="Currency 2 2 2 2 2 2 9 2" xfId="22145"/>
    <cellStyle name="Currency 2 2 2 2 2 3" xfId="245"/>
    <cellStyle name="Currency 2 2 2 2 2 3 10" xfId="2839"/>
    <cellStyle name="Currency 2 2 2 2 2 3 2" xfId="403"/>
    <cellStyle name="Currency 2 2 2 2 2 3 2 2" xfId="1191"/>
    <cellStyle name="Currency 2 2 2 2 2 3 2 2 2" xfId="1263"/>
    <cellStyle name="Currency 2 2 2 2 2 3 2 2 2 2" xfId="2840"/>
    <cellStyle name="Currency 2 2 2 2 2 3 2 2 2 2 2" xfId="2841"/>
    <cellStyle name="Currency 2 2 2 2 2 3 2 2 2 2 2 2" xfId="22146"/>
    <cellStyle name="Currency 2 2 2 2 2 3 2 2 2 2 3" xfId="22147"/>
    <cellStyle name="Currency 2 2 2 2 2 3 2 2 2 3" xfId="2842"/>
    <cellStyle name="Currency 2 2 2 2 2 3 2 2 2 3 2" xfId="2843"/>
    <cellStyle name="Currency 2 2 2 2 2 3 2 2 2 3 2 2" xfId="22148"/>
    <cellStyle name="Currency 2 2 2 2 2 3 2 2 2 3 3" xfId="22149"/>
    <cellStyle name="Currency 2 2 2 2 2 3 2 2 2 4" xfId="2844"/>
    <cellStyle name="Currency 2 2 2 2 2 3 2 2 2 4 2" xfId="2845"/>
    <cellStyle name="Currency 2 2 2 2 2 3 2 2 2 4 2 2" xfId="22150"/>
    <cellStyle name="Currency 2 2 2 2 2 3 2 2 2 4 3" xfId="22151"/>
    <cellStyle name="Currency 2 2 2 2 2 3 2 2 2 5" xfId="2846"/>
    <cellStyle name="Currency 2 2 2 2 2 3 2 2 2 5 2" xfId="22152"/>
    <cellStyle name="Currency 2 2 2 2 2 3 2 2 2 6" xfId="2847"/>
    <cellStyle name="Currency 2 2 2 2 2 3 2 2 3" xfId="2848"/>
    <cellStyle name="Currency 2 2 2 2 2 3 2 2 3 2" xfId="2849"/>
    <cellStyle name="Currency 2 2 2 2 2 3 2 2 3 2 2" xfId="22153"/>
    <cellStyle name="Currency 2 2 2 2 2 3 2 2 3 3" xfId="22154"/>
    <cellStyle name="Currency 2 2 2 2 2 3 2 2 4" xfId="2850"/>
    <cellStyle name="Currency 2 2 2 2 2 3 2 2 4 2" xfId="2851"/>
    <cellStyle name="Currency 2 2 2 2 2 3 2 2 4 2 2" xfId="22155"/>
    <cellStyle name="Currency 2 2 2 2 2 3 2 2 4 3" xfId="22156"/>
    <cellStyle name="Currency 2 2 2 2 2 3 2 2 5" xfId="2852"/>
    <cellStyle name="Currency 2 2 2 2 2 3 2 2 5 2" xfId="2853"/>
    <cellStyle name="Currency 2 2 2 2 2 3 2 2 5 2 2" xfId="22157"/>
    <cellStyle name="Currency 2 2 2 2 2 3 2 2 5 3" xfId="22158"/>
    <cellStyle name="Currency 2 2 2 2 2 3 2 2 6" xfId="2854"/>
    <cellStyle name="Currency 2 2 2 2 2 3 2 2 6 2" xfId="22159"/>
    <cellStyle name="Currency 2 2 2 2 2 3 2 2 7" xfId="2855"/>
    <cellStyle name="Currency 2 2 2 2 2 3 2 3" xfId="823"/>
    <cellStyle name="Currency 2 2 2 2 2 3 2 3 2" xfId="1264"/>
    <cellStyle name="Currency 2 2 2 2 2 3 2 3 2 2" xfId="2856"/>
    <cellStyle name="Currency 2 2 2 2 2 3 2 3 2 2 2" xfId="2857"/>
    <cellStyle name="Currency 2 2 2 2 2 3 2 3 2 2 2 2" xfId="22160"/>
    <cellStyle name="Currency 2 2 2 2 2 3 2 3 2 2 3" xfId="22161"/>
    <cellStyle name="Currency 2 2 2 2 2 3 2 3 2 3" xfId="2858"/>
    <cellStyle name="Currency 2 2 2 2 2 3 2 3 2 3 2" xfId="2859"/>
    <cellStyle name="Currency 2 2 2 2 2 3 2 3 2 3 2 2" xfId="22162"/>
    <cellStyle name="Currency 2 2 2 2 2 3 2 3 2 3 3" xfId="22163"/>
    <cellStyle name="Currency 2 2 2 2 2 3 2 3 2 4" xfId="2860"/>
    <cellStyle name="Currency 2 2 2 2 2 3 2 3 2 4 2" xfId="2861"/>
    <cellStyle name="Currency 2 2 2 2 2 3 2 3 2 4 2 2" xfId="22164"/>
    <cellStyle name="Currency 2 2 2 2 2 3 2 3 2 4 3" xfId="22165"/>
    <cellStyle name="Currency 2 2 2 2 2 3 2 3 2 5" xfId="2862"/>
    <cellStyle name="Currency 2 2 2 2 2 3 2 3 2 5 2" xfId="22166"/>
    <cellStyle name="Currency 2 2 2 2 2 3 2 3 2 6" xfId="2863"/>
    <cellStyle name="Currency 2 2 2 2 2 3 2 3 3" xfId="2864"/>
    <cellStyle name="Currency 2 2 2 2 2 3 2 3 3 2" xfId="2865"/>
    <cellStyle name="Currency 2 2 2 2 2 3 2 3 3 2 2" xfId="22167"/>
    <cellStyle name="Currency 2 2 2 2 2 3 2 3 3 3" xfId="22168"/>
    <cellStyle name="Currency 2 2 2 2 2 3 2 3 4" xfId="2866"/>
    <cellStyle name="Currency 2 2 2 2 2 3 2 3 4 2" xfId="2867"/>
    <cellStyle name="Currency 2 2 2 2 2 3 2 3 4 2 2" xfId="22169"/>
    <cellStyle name="Currency 2 2 2 2 2 3 2 3 4 3" xfId="22170"/>
    <cellStyle name="Currency 2 2 2 2 2 3 2 3 5" xfId="2868"/>
    <cellStyle name="Currency 2 2 2 2 2 3 2 3 5 2" xfId="2869"/>
    <cellStyle name="Currency 2 2 2 2 2 3 2 3 5 2 2" xfId="22171"/>
    <cellStyle name="Currency 2 2 2 2 2 3 2 3 5 3" xfId="22172"/>
    <cellStyle name="Currency 2 2 2 2 2 3 2 3 6" xfId="2870"/>
    <cellStyle name="Currency 2 2 2 2 2 3 2 3 6 2" xfId="22173"/>
    <cellStyle name="Currency 2 2 2 2 2 3 2 3 7" xfId="2871"/>
    <cellStyle name="Currency 2 2 2 2 2 3 2 4" xfId="1265"/>
    <cellStyle name="Currency 2 2 2 2 2 3 2 4 2" xfId="2872"/>
    <cellStyle name="Currency 2 2 2 2 2 3 2 4 2 2" xfId="2873"/>
    <cellStyle name="Currency 2 2 2 2 2 3 2 4 2 2 2" xfId="22174"/>
    <cellStyle name="Currency 2 2 2 2 2 3 2 4 2 3" xfId="22175"/>
    <cellStyle name="Currency 2 2 2 2 2 3 2 4 3" xfId="2874"/>
    <cellStyle name="Currency 2 2 2 2 2 3 2 4 3 2" xfId="2875"/>
    <cellStyle name="Currency 2 2 2 2 2 3 2 4 3 2 2" xfId="22176"/>
    <cellStyle name="Currency 2 2 2 2 2 3 2 4 3 3" xfId="22177"/>
    <cellStyle name="Currency 2 2 2 2 2 3 2 4 4" xfId="2876"/>
    <cellStyle name="Currency 2 2 2 2 2 3 2 4 4 2" xfId="2877"/>
    <cellStyle name="Currency 2 2 2 2 2 3 2 4 4 2 2" xfId="22178"/>
    <cellStyle name="Currency 2 2 2 2 2 3 2 4 4 3" xfId="22179"/>
    <cellStyle name="Currency 2 2 2 2 2 3 2 4 5" xfId="2878"/>
    <cellStyle name="Currency 2 2 2 2 2 3 2 4 5 2" xfId="22180"/>
    <cellStyle name="Currency 2 2 2 2 2 3 2 4 6" xfId="2879"/>
    <cellStyle name="Currency 2 2 2 2 2 3 2 5" xfId="2880"/>
    <cellStyle name="Currency 2 2 2 2 2 3 2 5 2" xfId="2881"/>
    <cellStyle name="Currency 2 2 2 2 2 3 2 5 2 2" xfId="22181"/>
    <cellStyle name="Currency 2 2 2 2 2 3 2 5 3" xfId="22182"/>
    <cellStyle name="Currency 2 2 2 2 2 3 2 6" xfId="2882"/>
    <cellStyle name="Currency 2 2 2 2 2 3 2 6 2" xfId="2883"/>
    <cellStyle name="Currency 2 2 2 2 2 3 2 6 2 2" xfId="22183"/>
    <cellStyle name="Currency 2 2 2 2 2 3 2 6 3" xfId="22184"/>
    <cellStyle name="Currency 2 2 2 2 2 3 2 7" xfId="2884"/>
    <cellStyle name="Currency 2 2 2 2 2 3 2 7 2" xfId="2885"/>
    <cellStyle name="Currency 2 2 2 2 2 3 2 7 2 2" xfId="22185"/>
    <cellStyle name="Currency 2 2 2 2 2 3 2 7 3" xfId="22186"/>
    <cellStyle name="Currency 2 2 2 2 2 3 2 8" xfId="2886"/>
    <cellStyle name="Currency 2 2 2 2 2 3 2 8 2" xfId="22187"/>
    <cellStyle name="Currency 2 2 2 2 2 3 2 9" xfId="2887"/>
    <cellStyle name="Currency 2 2 2 2 2 3 3" xfId="1033"/>
    <cellStyle name="Currency 2 2 2 2 2 3 3 2" xfId="1266"/>
    <cellStyle name="Currency 2 2 2 2 2 3 3 2 2" xfId="2888"/>
    <cellStyle name="Currency 2 2 2 2 2 3 3 2 2 2" xfId="2889"/>
    <cellStyle name="Currency 2 2 2 2 2 3 3 2 2 2 2" xfId="22188"/>
    <cellStyle name="Currency 2 2 2 2 2 3 3 2 2 3" xfId="22189"/>
    <cellStyle name="Currency 2 2 2 2 2 3 3 2 3" xfId="2890"/>
    <cellStyle name="Currency 2 2 2 2 2 3 3 2 3 2" xfId="2891"/>
    <cellStyle name="Currency 2 2 2 2 2 3 3 2 3 2 2" xfId="22190"/>
    <cellStyle name="Currency 2 2 2 2 2 3 3 2 3 3" xfId="22191"/>
    <cellStyle name="Currency 2 2 2 2 2 3 3 2 4" xfId="2892"/>
    <cellStyle name="Currency 2 2 2 2 2 3 3 2 4 2" xfId="2893"/>
    <cellStyle name="Currency 2 2 2 2 2 3 3 2 4 2 2" xfId="22192"/>
    <cellStyle name="Currency 2 2 2 2 2 3 3 2 4 3" xfId="22193"/>
    <cellStyle name="Currency 2 2 2 2 2 3 3 2 5" xfId="2894"/>
    <cellStyle name="Currency 2 2 2 2 2 3 3 2 5 2" xfId="22194"/>
    <cellStyle name="Currency 2 2 2 2 2 3 3 2 6" xfId="2895"/>
    <cellStyle name="Currency 2 2 2 2 2 3 3 3" xfId="2896"/>
    <cellStyle name="Currency 2 2 2 2 2 3 3 3 2" xfId="2897"/>
    <cellStyle name="Currency 2 2 2 2 2 3 3 3 2 2" xfId="22195"/>
    <cellStyle name="Currency 2 2 2 2 2 3 3 3 3" xfId="22196"/>
    <cellStyle name="Currency 2 2 2 2 2 3 3 4" xfId="2898"/>
    <cellStyle name="Currency 2 2 2 2 2 3 3 4 2" xfId="2899"/>
    <cellStyle name="Currency 2 2 2 2 2 3 3 4 2 2" xfId="22197"/>
    <cellStyle name="Currency 2 2 2 2 2 3 3 4 3" xfId="22198"/>
    <cellStyle name="Currency 2 2 2 2 2 3 3 5" xfId="2900"/>
    <cellStyle name="Currency 2 2 2 2 2 3 3 5 2" xfId="2901"/>
    <cellStyle name="Currency 2 2 2 2 2 3 3 5 2 2" xfId="22199"/>
    <cellStyle name="Currency 2 2 2 2 2 3 3 5 3" xfId="22200"/>
    <cellStyle name="Currency 2 2 2 2 2 3 3 6" xfId="2902"/>
    <cellStyle name="Currency 2 2 2 2 2 3 3 6 2" xfId="22201"/>
    <cellStyle name="Currency 2 2 2 2 2 3 3 7" xfId="2903"/>
    <cellStyle name="Currency 2 2 2 2 2 3 4" xfId="665"/>
    <cellStyle name="Currency 2 2 2 2 2 3 4 2" xfId="1267"/>
    <cellStyle name="Currency 2 2 2 2 2 3 4 2 2" xfId="2904"/>
    <cellStyle name="Currency 2 2 2 2 2 3 4 2 2 2" xfId="2905"/>
    <cellStyle name="Currency 2 2 2 2 2 3 4 2 2 2 2" xfId="22202"/>
    <cellStyle name="Currency 2 2 2 2 2 3 4 2 2 3" xfId="22203"/>
    <cellStyle name="Currency 2 2 2 2 2 3 4 2 3" xfId="2906"/>
    <cellStyle name="Currency 2 2 2 2 2 3 4 2 3 2" xfId="2907"/>
    <cellStyle name="Currency 2 2 2 2 2 3 4 2 3 2 2" xfId="22204"/>
    <cellStyle name="Currency 2 2 2 2 2 3 4 2 3 3" xfId="22205"/>
    <cellStyle name="Currency 2 2 2 2 2 3 4 2 4" xfId="2908"/>
    <cellStyle name="Currency 2 2 2 2 2 3 4 2 4 2" xfId="2909"/>
    <cellStyle name="Currency 2 2 2 2 2 3 4 2 4 2 2" xfId="22206"/>
    <cellStyle name="Currency 2 2 2 2 2 3 4 2 4 3" xfId="22207"/>
    <cellStyle name="Currency 2 2 2 2 2 3 4 2 5" xfId="2910"/>
    <cellStyle name="Currency 2 2 2 2 2 3 4 2 5 2" xfId="22208"/>
    <cellStyle name="Currency 2 2 2 2 2 3 4 2 6" xfId="2911"/>
    <cellStyle name="Currency 2 2 2 2 2 3 4 3" xfId="2912"/>
    <cellStyle name="Currency 2 2 2 2 2 3 4 3 2" xfId="2913"/>
    <cellStyle name="Currency 2 2 2 2 2 3 4 3 2 2" xfId="22209"/>
    <cellStyle name="Currency 2 2 2 2 2 3 4 3 3" xfId="22210"/>
    <cellStyle name="Currency 2 2 2 2 2 3 4 4" xfId="2914"/>
    <cellStyle name="Currency 2 2 2 2 2 3 4 4 2" xfId="2915"/>
    <cellStyle name="Currency 2 2 2 2 2 3 4 4 2 2" xfId="22211"/>
    <cellStyle name="Currency 2 2 2 2 2 3 4 4 3" xfId="22212"/>
    <cellStyle name="Currency 2 2 2 2 2 3 4 5" xfId="2916"/>
    <cellStyle name="Currency 2 2 2 2 2 3 4 5 2" xfId="2917"/>
    <cellStyle name="Currency 2 2 2 2 2 3 4 5 2 2" xfId="22213"/>
    <cellStyle name="Currency 2 2 2 2 2 3 4 5 3" xfId="22214"/>
    <cellStyle name="Currency 2 2 2 2 2 3 4 6" xfId="2918"/>
    <cellStyle name="Currency 2 2 2 2 2 3 4 6 2" xfId="22215"/>
    <cellStyle name="Currency 2 2 2 2 2 3 4 7" xfId="2919"/>
    <cellStyle name="Currency 2 2 2 2 2 3 5" xfId="1268"/>
    <cellStyle name="Currency 2 2 2 2 2 3 5 2" xfId="2920"/>
    <cellStyle name="Currency 2 2 2 2 2 3 5 2 2" xfId="2921"/>
    <cellStyle name="Currency 2 2 2 2 2 3 5 2 2 2" xfId="22216"/>
    <cellStyle name="Currency 2 2 2 2 2 3 5 2 3" xfId="22217"/>
    <cellStyle name="Currency 2 2 2 2 2 3 5 3" xfId="2922"/>
    <cellStyle name="Currency 2 2 2 2 2 3 5 3 2" xfId="2923"/>
    <cellStyle name="Currency 2 2 2 2 2 3 5 3 2 2" xfId="22218"/>
    <cellStyle name="Currency 2 2 2 2 2 3 5 3 3" xfId="22219"/>
    <cellStyle name="Currency 2 2 2 2 2 3 5 4" xfId="2924"/>
    <cellStyle name="Currency 2 2 2 2 2 3 5 4 2" xfId="2925"/>
    <cellStyle name="Currency 2 2 2 2 2 3 5 4 2 2" xfId="22220"/>
    <cellStyle name="Currency 2 2 2 2 2 3 5 4 3" xfId="22221"/>
    <cellStyle name="Currency 2 2 2 2 2 3 5 5" xfId="2926"/>
    <cellStyle name="Currency 2 2 2 2 2 3 5 5 2" xfId="22222"/>
    <cellStyle name="Currency 2 2 2 2 2 3 5 6" xfId="2927"/>
    <cellStyle name="Currency 2 2 2 2 2 3 6" xfId="2928"/>
    <cellStyle name="Currency 2 2 2 2 2 3 6 2" xfId="2929"/>
    <cellStyle name="Currency 2 2 2 2 2 3 6 2 2" xfId="22223"/>
    <cellStyle name="Currency 2 2 2 2 2 3 6 3" xfId="22224"/>
    <cellStyle name="Currency 2 2 2 2 2 3 7" xfId="2930"/>
    <cellStyle name="Currency 2 2 2 2 2 3 7 2" xfId="2931"/>
    <cellStyle name="Currency 2 2 2 2 2 3 7 2 2" xfId="22225"/>
    <cellStyle name="Currency 2 2 2 2 2 3 7 3" xfId="22226"/>
    <cellStyle name="Currency 2 2 2 2 2 3 8" xfId="2932"/>
    <cellStyle name="Currency 2 2 2 2 2 3 8 2" xfId="2933"/>
    <cellStyle name="Currency 2 2 2 2 2 3 8 2 2" xfId="22227"/>
    <cellStyle name="Currency 2 2 2 2 2 3 8 3" xfId="22228"/>
    <cellStyle name="Currency 2 2 2 2 2 3 9" xfId="2934"/>
    <cellStyle name="Currency 2 2 2 2 2 3 9 2" xfId="22229"/>
    <cellStyle name="Currency 2 2 2 2 2 4" xfId="183"/>
    <cellStyle name="Currency 2 2 2 2 2 4 2" xfId="971"/>
    <cellStyle name="Currency 2 2 2 2 2 4 2 2" xfId="1269"/>
    <cellStyle name="Currency 2 2 2 2 2 4 2 2 2" xfId="2935"/>
    <cellStyle name="Currency 2 2 2 2 2 4 2 2 2 2" xfId="2936"/>
    <cellStyle name="Currency 2 2 2 2 2 4 2 2 2 2 2" xfId="22230"/>
    <cellStyle name="Currency 2 2 2 2 2 4 2 2 2 3" xfId="22231"/>
    <cellStyle name="Currency 2 2 2 2 2 4 2 2 3" xfId="2937"/>
    <cellStyle name="Currency 2 2 2 2 2 4 2 2 3 2" xfId="2938"/>
    <cellStyle name="Currency 2 2 2 2 2 4 2 2 3 2 2" xfId="22232"/>
    <cellStyle name="Currency 2 2 2 2 2 4 2 2 3 3" xfId="22233"/>
    <cellStyle name="Currency 2 2 2 2 2 4 2 2 4" xfId="2939"/>
    <cellStyle name="Currency 2 2 2 2 2 4 2 2 4 2" xfId="2940"/>
    <cellStyle name="Currency 2 2 2 2 2 4 2 2 4 2 2" xfId="22234"/>
    <cellStyle name="Currency 2 2 2 2 2 4 2 2 4 3" xfId="22235"/>
    <cellStyle name="Currency 2 2 2 2 2 4 2 2 5" xfId="2941"/>
    <cellStyle name="Currency 2 2 2 2 2 4 2 2 5 2" xfId="22236"/>
    <cellStyle name="Currency 2 2 2 2 2 4 2 2 6" xfId="2942"/>
    <cellStyle name="Currency 2 2 2 2 2 4 2 3" xfId="2943"/>
    <cellStyle name="Currency 2 2 2 2 2 4 2 3 2" xfId="2944"/>
    <cellStyle name="Currency 2 2 2 2 2 4 2 3 2 2" xfId="22237"/>
    <cellStyle name="Currency 2 2 2 2 2 4 2 3 3" xfId="22238"/>
    <cellStyle name="Currency 2 2 2 2 2 4 2 4" xfId="2945"/>
    <cellStyle name="Currency 2 2 2 2 2 4 2 4 2" xfId="2946"/>
    <cellStyle name="Currency 2 2 2 2 2 4 2 4 2 2" xfId="22239"/>
    <cellStyle name="Currency 2 2 2 2 2 4 2 4 3" xfId="22240"/>
    <cellStyle name="Currency 2 2 2 2 2 4 2 5" xfId="2947"/>
    <cellStyle name="Currency 2 2 2 2 2 4 2 5 2" xfId="2948"/>
    <cellStyle name="Currency 2 2 2 2 2 4 2 5 2 2" xfId="22241"/>
    <cellStyle name="Currency 2 2 2 2 2 4 2 5 3" xfId="22242"/>
    <cellStyle name="Currency 2 2 2 2 2 4 2 6" xfId="2949"/>
    <cellStyle name="Currency 2 2 2 2 2 4 2 6 2" xfId="22243"/>
    <cellStyle name="Currency 2 2 2 2 2 4 2 7" xfId="2950"/>
    <cellStyle name="Currency 2 2 2 2 2 4 3" xfId="603"/>
    <cellStyle name="Currency 2 2 2 2 2 4 3 2" xfId="1270"/>
    <cellStyle name="Currency 2 2 2 2 2 4 3 2 2" xfId="2951"/>
    <cellStyle name="Currency 2 2 2 2 2 4 3 2 2 2" xfId="2952"/>
    <cellStyle name="Currency 2 2 2 2 2 4 3 2 2 2 2" xfId="22244"/>
    <cellStyle name="Currency 2 2 2 2 2 4 3 2 2 3" xfId="22245"/>
    <cellStyle name="Currency 2 2 2 2 2 4 3 2 3" xfId="2953"/>
    <cellStyle name="Currency 2 2 2 2 2 4 3 2 3 2" xfId="2954"/>
    <cellStyle name="Currency 2 2 2 2 2 4 3 2 3 2 2" xfId="22246"/>
    <cellStyle name="Currency 2 2 2 2 2 4 3 2 3 3" xfId="22247"/>
    <cellStyle name="Currency 2 2 2 2 2 4 3 2 4" xfId="2955"/>
    <cellStyle name="Currency 2 2 2 2 2 4 3 2 4 2" xfId="2956"/>
    <cellStyle name="Currency 2 2 2 2 2 4 3 2 4 2 2" xfId="22248"/>
    <cellStyle name="Currency 2 2 2 2 2 4 3 2 4 3" xfId="22249"/>
    <cellStyle name="Currency 2 2 2 2 2 4 3 2 5" xfId="2957"/>
    <cellStyle name="Currency 2 2 2 2 2 4 3 2 5 2" xfId="22250"/>
    <cellStyle name="Currency 2 2 2 2 2 4 3 2 6" xfId="2958"/>
    <cellStyle name="Currency 2 2 2 2 2 4 3 3" xfId="2959"/>
    <cellStyle name="Currency 2 2 2 2 2 4 3 3 2" xfId="2960"/>
    <cellStyle name="Currency 2 2 2 2 2 4 3 3 2 2" xfId="22251"/>
    <cellStyle name="Currency 2 2 2 2 2 4 3 3 3" xfId="22252"/>
    <cellStyle name="Currency 2 2 2 2 2 4 3 4" xfId="2961"/>
    <cellStyle name="Currency 2 2 2 2 2 4 3 4 2" xfId="2962"/>
    <cellStyle name="Currency 2 2 2 2 2 4 3 4 2 2" xfId="22253"/>
    <cellStyle name="Currency 2 2 2 2 2 4 3 4 3" xfId="22254"/>
    <cellStyle name="Currency 2 2 2 2 2 4 3 5" xfId="2963"/>
    <cellStyle name="Currency 2 2 2 2 2 4 3 5 2" xfId="2964"/>
    <cellStyle name="Currency 2 2 2 2 2 4 3 5 2 2" xfId="22255"/>
    <cellStyle name="Currency 2 2 2 2 2 4 3 5 3" xfId="22256"/>
    <cellStyle name="Currency 2 2 2 2 2 4 3 6" xfId="2965"/>
    <cellStyle name="Currency 2 2 2 2 2 4 3 6 2" xfId="22257"/>
    <cellStyle name="Currency 2 2 2 2 2 4 3 7" xfId="2966"/>
    <cellStyle name="Currency 2 2 2 2 2 4 4" xfId="1271"/>
    <cellStyle name="Currency 2 2 2 2 2 4 4 2" xfId="2967"/>
    <cellStyle name="Currency 2 2 2 2 2 4 4 2 2" xfId="2968"/>
    <cellStyle name="Currency 2 2 2 2 2 4 4 2 2 2" xfId="22258"/>
    <cellStyle name="Currency 2 2 2 2 2 4 4 2 3" xfId="22259"/>
    <cellStyle name="Currency 2 2 2 2 2 4 4 3" xfId="2969"/>
    <cellStyle name="Currency 2 2 2 2 2 4 4 3 2" xfId="2970"/>
    <cellStyle name="Currency 2 2 2 2 2 4 4 3 2 2" xfId="22260"/>
    <cellStyle name="Currency 2 2 2 2 2 4 4 3 3" xfId="22261"/>
    <cellStyle name="Currency 2 2 2 2 2 4 4 4" xfId="2971"/>
    <cellStyle name="Currency 2 2 2 2 2 4 4 4 2" xfId="2972"/>
    <cellStyle name="Currency 2 2 2 2 2 4 4 4 2 2" xfId="22262"/>
    <cellStyle name="Currency 2 2 2 2 2 4 4 4 3" xfId="22263"/>
    <cellStyle name="Currency 2 2 2 2 2 4 4 5" xfId="2973"/>
    <cellStyle name="Currency 2 2 2 2 2 4 4 5 2" xfId="22264"/>
    <cellStyle name="Currency 2 2 2 2 2 4 4 6" xfId="2974"/>
    <cellStyle name="Currency 2 2 2 2 2 4 5" xfId="2975"/>
    <cellStyle name="Currency 2 2 2 2 2 4 5 2" xfId="2976"/>
    <cellStyle name="Currency 2 2 2 2 2 4 5 2 2" xfId="22265"/>
    <cellStyle name="Currency 2 2 2 2 2 4 5 3" xfId="22266"/>
    <cellStyle name="Currency 2 2 2 2 2 4 6" xfId="2977"/>
    <cellStyle name="Currency 2 2 2 2 2 4 6 2" xfId="2978"/>
    <cellStyle name="Currency 2 2 2 2 2 4 6 2 2" xfId="22267"/>
    <cellStyle name="Currency 2 2 2 2 2 4 6 3" xfId="22268"/>
    <cellStyle name="Currency 2 2 2 2 2 4 7" xfId="2979"/>
    <cellStyle name="Currency 2 2 2 2 2 4 7 2" xfId="2980"/>
    <cellStyle name="Currency 2 2 2 2 2 4 7 2 2" xfId="22269"/>
    <cellStyle name="Currency 2 2 2 2 2 4 7 3" xfId="22270"/>
    <cellStyle name="Currency 2 2 2 2 2 4 8" xfId="2981"/>
    <cellStyle name="Currency 2 2 2 2 2 4 8 2" xfId="22271"/>
    <cellStyle name="Currency 2 2 2 2 2 4 9" xfId="2982"/>
    <cellStyle name="Currency 2 2 2 2 2 5" xfId="341"/>
    <cellStyle name="Currency 2 2 2 2 2 5 2" xfId="1129"/>
    <cellStyle name="Currency 2 2 2 2 2 5 2 2" xfId="1272"/>
    <cellStyle name="Currency 2 2 2 2 2 5 2 2 2" xfId="2983"/>
    <cellStyle name="Currency 2 2 2 2 2 5 2 2 2 2" xfId="2984"/>
    <cellStyle name="Currency 2 2 2 2 2 5 2 2 2 2 2" xfId="22272"/>
    <cellStyle name="Currency 2 2 2 2 2 5 2 2 2 3" xfId="22273"/>
    <cellStyle name="Currency 2 2 2 2 2 5 2 2 3" xfId="2985"/>
    <cellStyle name="Currency 2 2 2 2 2 5 2 2 3 2" xfId="2986"/>
    <cellStyle name="Currency 2 2 2 2 2 5 2 2 3 2 2" xfId="22274"/>
    <cellStyle name="Currency 2 2 2 2 2 5 2 2 3 3" xfId="22275"/>
    <cellStyle name="Currency 2 2 2 2 2 5 2 2 4" xfId="2987"/>
    <cellStyle name="Currency 2 2 2 2 2 5 2 2 4 2" xfId="2988"/>
    <cellStyle name="Currency 2 2 2 2 2 5 2 2 4 2 2" xfId="22276"/>
    <cellStyle name="Currency 2 2 2 2 2 5 2 2 4 3" xfId="22277"/>
    <cellStyle name="Currency 2 2 2 2 2 5 2 2 5" xfId="2989"/>
    <cellStyle name="Currency 2 2 2 2 2 5 2 2 5 2" xfId="22278"/>
    <cellStyle name="Currency 2 2 2 2 2 5 2 2 6" xfId="2990"/>
    <cellStyle name="Currency 2 2 2 2 2 5 2 3" xfId="2991"/>
    <cellStyle name="Currency 2 2 2 2 2 5 2 3 2" xfId="2992"/>
    <cellStyle name="Currency 2 2 2 2 2 5 2 3 2 2" xfId="22279"/>
    <cellStyle name="Currency 2 2 2 2 2 5 2 3 3" xfId="22280"/>
    <cellStyle name="Currency 2 2 2 2 2 5 2 4" xfId="2993"/>
    <cellStyle name="Currency 2 2 2 2 2 5 2 4 2" xfId="2994"/>
    <cellStyle name="Currency 2 2 2 2 2 5 2 4 2 2" xfId="22281"/>
    <cellStyle name="Currency 2 2 2 2 2 5 2 4 3" xfId="22282"/>
    <cellStyle name="Currency 2 2 2 2 2 5 2 5" xfId="2995"/>
    <cellStyle name="Currency 2 2 2 2 2 5 2 5 2" xfId="2996"/>
    <cellStyle name="Currency 2 2 2 2 2 5 2 5 2 2" xfId="22283"/>
    <cellStyle name="Currency 2 2 2 2 2 5 2 5 3" xfId="22284"/>
    <cellStyle name="Currency 2 2 2 2 2 5 2 6" xfId="2997"/>
    <cellStyle name="Currency 2 2 2 2 2 5 2 6 2" xfId="22285"/>
    <cellStyle name="Currency 2 2 2 2 2 5 2 7" xfId="2998"/>
    <cellStyle name="Currency 2 2 2 2 2 5 3" xfId="761"/>
    <cellStyle name="Currency 2 2 2 2 2 5 3 2" xfId="1273"/>
    <cellStyle name="Currency 2 2 2 2 2 5 3 2 2" xfId="2999"/>
    <cellStyle name="Currency 2 2 2 2 2 5 3 2 2 2" xfId="3000"/>
    <cellStyle name="Currency 2 2 2 2 2 5 3 2 2 2 2" xfId="22286"/>
    <cellStyle name="Currency 2 2 2 2 2 5 3 2 2 3" xfId="22287"/>
    <cellStyle name="Currency 2 2 2 2 2 5 3 2 3" xfId="3001"/>
    <cellStyle name="Currency 2 2 2 2 2 5 3 2 3 2" xfId="3002"/>
    <cellStyle name="Currency 2 2 2 2 2 5 3 2 3 2 2" xfId="22288"/>
    <cellStyle name="Currency 2 2 2 2 2 5 3 2 3 3" xfId="22289"/>
    <cellStyle name="Currency 2 2 2 2 2 5 3 2 4" xfId="3003"/>
    <cellStyle name="Currency 2 2 2 2 2 5 3 2 4 2" xfId="3004"/>
    <cellStyle name="Currency 2 2 2 2 2 5 3 2 4 2 2" xfId="22290"/>
    <cellStyle name="Currency 2 2 2 2 2 5 3 2 4 3" xfId="22291"/>
    <cellStyle name="Currency 2 2 2 2 2 5 3 2 5" xfId="3005"/>
    <cellStyle name="Currency 2 2 2 2 2 5 3 2 5 2" xfId="22292"/>
    <cellStyle name="Currency 2 2 2 2 2 5 3 2 6" xfId="3006"/>
    <cellStyle name="Currency 2 2 2 2 2 5 3 3" xfId="3007"/>
    <cellStyle name="Currency 2 2 2 2 2 5 3 3 2" xfId="3008"/>
    <cellStyle name="Currency 2 2 2 2 2 5 3 3 2 2" xfId="22293"/>
    <cellStyle name="Currency 2 2 2 2 2 5 3 3 3" xfId="22294"/>
    <cellStyle name="Currency 2 2 2 2 2 5 3 4" xfId="3009"/>
    <cellStyle name="Currency 2 2 2 2 2 5 3 4 2" xfId="3010"/>
    <cellStyle name="Currency 2 2 2 2 2 5 3 4 2 2" xfId="22295"/>
    <cellStyle name="Currency 2 2 2 2 2 5 3 4 3" xfId="22296"/>
    <cellStyle name="Currency 2 2 2 2 2 5 3 5" xfId="3011"/>
    <cellStyle name="Currency 2 2 2 2 2 5 3 5 2" xfId="3012"/>
    <cellStyle name="Currency 2 2 2 2 2 5 3 5 2 2" xfId="22297"/>
    <cellStyle name="Currency 2 2 2 2 2 5 3 5 3" xfId="22298"/>
    <cellStyle name="Currency 2 2 2 2 2 5 3 6" xfId="3013"/>
    <cellStyle name="Currency 2 2 2 2 2 5 3 6 2" xfId="22299"/>
    <cellStyle name="Currency 2 2 2 2 2 5 3 7" xfId="3014"/>
    <cellStyle name="Currency 2 2 2 2 2 5 4" xfId="1274"/>
    <cellStyle name="Currency 2 2 2 2 2 5 4 2" xfId="3015"/>
    <cellStyle name="Currency 2 2 2 2 2 5 4 2 2" xfId="3016"/>
    <cellStyle name="Currency 2 2 2 2 2 5 4 2 2 2" xfId="22300"/>
    <cellStyle name="Currency 2 2 2 2 2 5 4 2 3" xfId="22301"/>
    <cellStyle name="Currency 2 2 2 2 2 5 4 3" xfId="3017"/>
    <cellStyle name="Currency 2 2 2 2 2 5 4 3 2" xfId="3018"/>
    <cellStyle name="Currency 2 2 2 2 2 5 4 3 2 2" xfId="22302"/>
    <cellStyle name="Currency 2 2 2 2 2 5 4 3 3" xfId="22303"/>
    <cellStyle name="Currency 2 2 2 2 2 5 4 4" xfId="3019"/>
    <cellStyle name="Currency 2 2 2 2 2 5 4 4 2" xfId="3020"/>
    <cellStyle name="Currency 2 2 2 2 2 5 4 4 2 2" xfId="22304"/>
    <cellStyle name="Currency 2 2 2 2 2 5 4 4 3" xfId="22305"/>
    <cellStyle name="Currency 2 2 2 2 2 5 4 5" xfId="3021"/>
    <cellStyle name="Currency 2 2 2 2 2 5 4 5 2" xfId="22306"/>
    <cellStyle name="Currency 2 2 2 2 2 5 4 6" xfId="3022"/>
    <cellStyle name="Currency 2 2 2 2 2 5 5" xfId="3023"/>
    <cellStyle name="Currency 2 2 2 2 2 5 5 2" xfId="3024"/>
    <cellStyle name="Currency 2 2 2 2 2 5 5 2 2" xfId="22307"/>
    <cellStyle name="Currency 2 2 2 2 2 5 5 3" xfId="22308"/>
    <cellStyle name="Currency 2 2 2 2 2 5 6" xfId="3025"/>
    <cellStyle name="Currency 2 2 2 2 2 5 6 2" xfId="3026"/>
    <cellStyle name="Currency 2 2 2 2 2 5 6 2 2" xfId="22309"/>
    <cellStyle name="Currency 2 2 2 2 2 5 6 3" xfId="22310"/>
    <cellStyle name="Currency 2 2 2 2 2 5 7" xfId="3027"/>
    <cellStyle name="Currency 2 2 2 2 2 5 7 2" xfId="3028"/>
    <cellStyle name="Currency 2 2 2 2 2 5 7 2 2" xfId="22311"/>
    <cellStyle name="Currency 2 2 2 2 2 5 7 3" xfId="22312"/>
    <cellStyle name="Currency 2 2 2 2 2 5 8" xfId="3029"/>
    <cellStyle name="Currency 2 2 2 2 2 5 8 2" xfId="22313"/>
    <cellStyle name="Currency 2 2 2 2 2 5 9" xfId="3030"/>
    <cellStyle name="Currency 2 2 2 2 2 6" xfId="130"/>
    <cellStyle name="Currency 2 2 2 2 2 6 2" xfId="551"/>
    <cellStyle name="Currency 2 2 2 2 2 6 2 2" xfId="1275"/>
    <cellStyle name="Currency 2 2 2 2 2 6 2 2 2" xfId="3031"/>
    <cellStyle name="Currency 2 2 2 2 2 6 2 2 2 2" xfId="3032"/>
    <cellStyle name="Currency 2 2 2 2 2 6 2 2 2 2 2" xfId="22314"/>
    <cellStyle name="Currency 2 2 2 2 2 6 2 2 2 3" xfId="22315"/>
    <cellStyle name="Currency 2 2 2 2 2 6 2 2 3" xfId="3033"/>
    <cellStyle name="Currency 2 2 2 2 2 6 2 2 3 2" xfId="3034"/>
    <cellStyle name="Currency 2 2 2 2 2 6 2 2 3 2 2" xfId="22316"/>
    <cellStyle name="Currency 2 2 2 2 2 6 2 2 3 3" xfId="22317"/>
    <cellStyle name="Currency 2 2 2 2 2 6 2 2 4" xfId="3035"/>
    <cellStyle name="Currency 2 2 2 2 2 6 2 2 4 2" xfId="3036"/>
    <cellStyle name="Currency 2 2 2 2 2 6 2 2 4 2 2" xfId="22318"/>
    <cellStyle name="Currency 2 2 2 2 2 6 2 2 4 3" xfId="22319"/>
    <cellStyle name="Currency 2 2 2 2 2 6 2 2 5" xfId="3037"/>
    <cellStyle name="Currency 2 2 2 2 2 6 2 2 5 2" xfId="22320"/>
    <cellStyle name="Currency 2 2 2 2 2 6 2 2 6" xfId="3038"/>
    <cellStyle name="Currency 2 2 2 2 2 6 2 3" xfId="3039"/>
    <cellStyle name="Currency 2 2 2 2 2 6 2 3 2" xfId="3040"/>
    <cellStyle name="Currency 2 2 2 2 2 6 2 3 2 2" xfId="22321"/>
    <cellStyle name="Currency 2 2 2 2 2 6 2 3 3" xfId="22322"/>
    <cellStyle name="Currency 2 2 2 2 2 6 2 4" xfId="3041"/>
    <cellStyle name="Currency 2 2 2 2 2 6 2 4 2" xfId="3042"/>
    <cellStyle name="Currency 2 2 2 2 2 6 2 4 2 2" xfId="22323"/>
    <cellStyle name="Currency 2 2 2 2 2 6 2 4 3" xfId="22324"/>
    <cellStyle name="Currency 2 2 2 2 2 6 2 5" xfId="3043"/>
    <cellStyle name="Currency 2 2 2 2 2 6 2 5 2" xfId="3044"/>
    <cellStyle name="Currency 2 2 2 2 2 6 2 5 2 2" xfId="22325"/>
    <cellStyle name="Currency 2 2 2 2 2 6 2 5 3" xfId="22326"/>
    <cellStyle name="Currency 2 2 2 2 2 6 2 6" xfId="3045"/>
    <cellStyle name="Currency 2 2 2 2 2 6 2 6 2" xfId="22327"/>
    <cellStyle name="Currency 2 2 2 2 2 6 2 7" xfId="3046"/>
    <cellStyle name="Currency 2 2 2 2 2 6 3" xfId="1276"/>
    <cellStyle name="Currency 2 2 2 2 2 6 3 2" xfId="3047"/>
    <cellStyle name="Currency 2 2 2 2 2 6 3 2 2" xfId="3048"/>
    <cellStyle name="Currency 2 2 2 2 2 6 3 2 2 2" xfId="22328"/>
    <cellStyle name="Currency 2 2 2 2 2 6 3 2 3" xfId="22329"/>
    <cellStyle name="Currency 2 2 2 2 2 6 3 3" xfId="3049"/>
    <cellStyle name="Currency 2 2 2 2 2 6 3 3 2" xfId="3050"/>
    <cellStyle name="Currency 2 2 2 2 2 6 3 3 2 2" xfId="22330"/>
    <cellStyle name="Currency 2 2 2 2 2 6 3 3 3" xfId="22331"/>
    <cellStyle name="Currency 2 2 2 2 2 6 3 4" xfId="3051"/>
    <cellStyle name="Currency 2 2 2 2 2 6 3 4 2" xfId="3052"/>
    <cellStyle name="Currency 2 2 2 2 2 6 3 4 2 2" xfId="22332"/>
    <cellStyle name="Currency 2 2 2 2 2 6 3 4 3" xfId="22333"/>
    <cellStyle name="Currency 2 2 2 2 2 6 3 5" xfId="3053"/>
    <cellStyle name="Currency 2 2 2 2 2 6 3 5 2" xfId="22334"/>
    <cellStyle name="Currency 2 2 2 2 2 6 3 6" xfId="3054"/>
    <cellStyle name="Currency 2 2 2 2 2 6 4" xfId="3055"/>
    <cellStyle name="Currency 2 2 2 2 2 6 4 2" xfId="3056"/>
    <cellStyle name="Currency 2 2 2 2 2 6 4 2 2" xfId="22335"/>
    <cellStyle name="Currency 2 2 2 2 2 6 4 3" xfId="22336"/>
    <cellStyle name="Currency 2 2 2 2 2 6 5" xfId="3057"/>
    <cellStyle name="Currency 2 2 2 2 2 6 5 2" xfId="3058"/>
    <cellStyle name="Currency 2 2 2 2 2 6 5 2 2" xfId="22337"/>
    <cellStyle name="Currency 2 2 2 2 2 6 5 3" xfId="22338"/>
    <cellStyle name="Currency 2 2 2 2 2 6 6" xfId="3059"/>
    <cellStyle name="Currency 2 2 2 2 2 6 6 2" xfId="3060"/>
    <cellStyle name="Currency 2 2 2 2 2 6 6 2 2" xfId="22339"/>
    <cellStyle name="Currency 2 2 2 2 2 6 6 3" xfId="22340"/>
    <cellStyle name="Currency 2 2 2 2 2 6 7" xfId="3061"/>
    <cellStyle name="Currency 2 2 2 2 2 6 7 2" xfId="22341"/>
    <cellStyle name="Currency 2 2 2 2 2 6 8" xfId="3062"/>
    <cellStyle name="Currency 2 2 2 2 2 7" xfId="919"/>
    <cellStyle name="Currency 2 2 2 2 2 7 2" xfId="1277"/>
    <cellStyle name="Currency 2 2 2 2 2 7 2 2" xfId="3063"/>
    <cellStyle name="Currency 2 2 2 2 2 7 2 2 2" xfId="3064"/>
    <cellStyle name="Currency 2 2 2 2 2 7 2 2 2 2" xfId="22342"/>
    <cellStyle name="Currency 2 2 2 2 2 7 2 2 3" xfId="22343"/>
    <cellStyle name="Currency 2 2 2 2 2 7 2 3" xfId="3065"/>
    <cellStyle name="Currency 2 2 2 2 2 7 2 3 2" xfId="3066"/>
    <cellStyle name="Currency 2 2 2 2 2 7 2 3 2 2" xfId="22344"/>
    <cellStyle name="Currency 2 2 2 2 2 7 2 3 3" xfId="22345"/>
    <cellStyle name="Currency 2 2 2 2 2 7 2 4" xfId="3067"/>
    <cellStyle name="Currency 2 2 2 2 2 7 2 4 2" xfId="3068"/>
    <cellStyle name="Currency 2 2 2 2 2 7 2 4 2 2" xfId="22346"/>
    <cellStyle name="Currency 2 2 2 2 2 7 2 4 3" xfId="22347"/>
    <cellStyle name="Currency 2 2 2 2 2 7 2 5" xfId="3069"/>
    <cellStyle name="Currency 2 2 2 2 2 7 2 5 2" xfId="22348"/>
    <cellStyle name="Currency 2 2 2 2 2 7 2 6" xfId="3070"/>
    <cellStyle name="Currency 2 2 2 2 2 7 3" xfId="3071"/>
    <cellStyle name="Currency 2 2 2 2 2 7 3 2" xfId="3072"/>
    <cellStyle name="Currency 2 2 2 2 2 7 3 2 2" xfId="22349"/>
    <cellStyle name="Currency 2 2 2 2 2 7 3 3" xfId="22350"/>
    <cellStyle name="Currency 2 2 2 2 2 7 4" xfId="3073"/>
    <cellStyle name="Currency 2 2 2 2 2 7 4 2" xfId="3074"/>
    <cellStyle name="Currency 2 2 2 2 2 7 4 2 2" xfId="22351"/>
    <cellStyle name="Currency 2 2 2 2 2 7 4 3" xfId="22352"/>
    <cellStyle name="Currency 2 2 2 2 2 7 5" xfId="3075"/>
    <cellStyle name="Currency 2 2 2 2 2 7 5 2" xfId="3076"/>
    <cellStyle name="Currency 2 2 2 2 2 7 5 2 2" xfId="22353"/>
    <cellStyle name="Currency 2 2 2 2 2 7 5 3" xfId="22354"/>
    <cellStyle name="Currency 2 2 2 2 2 7 6" xfId="3077"/>
    <cellStyle name="Currency 2 2 2 2 2 7 6 2" xfId="22355"/>
    <cellStyle name="Currency 2 2 2 2 2 7 7" xfId="3078"/>
    <cellStyle name="Currency 2 2 2 2 2 8" xfId="462"/>
    <cellStyle name="Currency 2 2 2 2 2 8 2" xfId="1278"/>
    <cellStyle name="Currency 2 2 2 2 2 8 2 2" xfId="3079"/>
    <cellStyle name="Currency 2 2 2 2 2 8 2 2 2" xfId="3080"/>
    <cellStyle name="Currency 2 2 2 2 2 8 2 2 2 2" xfId="22356"/>
    <cellStyle name="Currency 2 2 2 2 2 8 2 2 3" xfId="22357"/>
    <cellStyle name="Currency 2 2 2 2 2 8 2 3" xfId="3081"/>
    <cellStyle name="Currency 2 2 2 2 2 8 2 3 2" xfId="3082"/>
    <cellStyle name="Currency 2 2 2 2 2 8 2 3 2 2" xfId="22358"/>
    <cellStyle name="Currency 2 2 2 2 2 8 2 3 3" xfId="22359"/>
    <cellStyle name="Currency 2 2 2 2 2 8 2 4" xfId="3083"/>
    <cellStyle name="Currency 2 2 2 2 2 8 2 4 2" xfId="3084"/>
    <cellStyle name="Currency 2 2 2 2 2 8 2 4 2 2" xfId="22360"/>
    <cellStyle name="Currency 2 2 2 2 2 8 2 4 3" xfId="22361"/>
    <cellStyle name="Currency 2 2 2 2 2 8 2 5" xfId="3085"/>
    <cellStyle name="Currency 2 2 2 2 2 8 2 5 2" xfId="22362"/>
    <cellStyle name="Currency 2 2 2 2 2 8 2 6" xfId="3086"/>
    <cellStyle name="Currency 2 2 2 2 2 8 3" xfId="3087"/>
    <cellStyle name="Currency 2 2 2 2 2 8 3 2" xfId="3088"/>
    <cellStyle name="Currency 2 2 2 2 2 8 3 2 2" xfId="22363"/>
    <cellStyle name="Currency 2 2 2 2 2 8 3 3" xfId="22364"/>
    <cellStyle name="Currency 2 2 2 2 2 8 4" xfId="3089"/>
    <cellStyle name="Currency 2 2 2 2 2 8 4 2" xfId="3090"/>
    <cellStyle name="Currency 2 2 2 2 2 8 4 2 2" xfId="22365"/>
    <cellStyle name="Currency 2 2 2 2 2 8 4 3" xfId="22366"/>
    <cellStyle name="Currency 2 2 2 2 2 8 5" xfId="3091"/>
    <cellStyle name="Currency 2 2 2 2 2 8 5 2" xfId="3092"/>
    <cellStyle name="Currency 2 2 2 2 2 8 5 2 2" xfId="22367"/>
    <cellStyle name="Currency 2 2 2 2 2 8 5 3" xfId="22368"/>
    <cellStyle name="Currency 2 2 2 2 2 8 6" xfId="3093"/>
    <cellStyle name="Currency 2 2 2 2 2 8 6 2" xfId="22369"/>
    <cellStyle name="Currency 2 2 2 2 2 8 7" xfId="3094"/>
    <cellStyle name="Currency 2 2 2 2 2 9" xfId="1279"/>
    <cellStyle name="Currency 2 2 2 2 2 9 2" xfId="3095"/>
    <cellStyle name="Currency 2 2 2 2 2 9 2 2" xfId="3096"/>
    <cellStyle name="Currency 2 2 2 2 2 9 2 2 2" xfId="22370"/>
    <cellStyle name="Currency 2 2 2 2 2 9 2 3" xfId="22371"/>
    <cellStyle name="Currency 2 2 2 2 2 9 3" xfId="3097"/>
    <cellStyle name="Currency 2 2 2 2 2 9 3 2" xfId="3098"/>
    <cellStyle name="Currency 2 2 2 2 2 9 3 2 2" xfId="22372"/>
    <cellStyle name="Currency 2 2 2 2 2 9 3 3" xfId="22373"/>
    <cellStyle name="Currency 2 2 2 2 2 9 4" xfId="3099"/>
    <cellStyle name="Currency 2 2 2 2 2 9 4 2" xfId="3100"/>
    <cellStyle name="Currency 2 2 2 2 2 9 4 2 2" xfId="22374"/>
    <cellStyle name="Currency 2 2 2 2 2 9 4 3" xfId="22375"/>
    <cellStyle name="Currency 2 2 2 2 2 9 5" xfId="3101"/>
    <cellStyle name="Currency 2 2 2 2 2 9 5 2" xfId="22376"/>
    <cellStyle name="Currency 2 2 2 2 2 9 6" xfId="3102"/>
    <cellStyle name="Currency 2 2 2 2 3" xfId="29"/>
    <cellStyle name="Currency 2 2 2 2 3 10" xfId="3103"/>
    <cellStyle name="Currency 2 2 2 2 3 10 2" xfId="3104"/>
    <cellStyle name="Currency 2 2 2 2 3 10 2 2" xfId="22377"/>
    <cellStyle name="Currency 2 2 2 2 3 10 3" xfId="22378"/>
    <cellStyle name="Currency 2 2 2 2 3 11" xfId="3105"/>
    <cellStyle name="Currency 2 2 2 2 3 11 2" xfId="3106"/>
    <cellStyle name="Currency 2 2 2 2 3 11 2 2" xfId="22379"/>
    <cellStyle name="Currency 2 2 2 2 3 11 3" xfId="22380"/>
    <cellStyle name="Currency 2 2 2 2 3 12" xfId="3107"/>
    <cellStyle name="Currency 2 2 2 2 3 12 2" xfId="3108"/>
    <cellStyle name="Currency 2 2 2 2 3 12 2 2" xfId="22381"/>
    <cellStyle name="Currency 2 2 2 2 3 12 3" xfId="22382"/>
    <cellStyle name="Currency 2 2 2 2 3 13" xfId="3109"/>
    <cellStyle name="Currency 2 2 2 2 3 13 2" xfId="22383"/>
    <cellStyle name="Currency 2 2 2 2 3 14" xfId="3110"/>
    <cellStyle name="Currency 2 2 2 2 3 2" xfId="195"/>
    <cellStyle name="Currency 2 2 2 2 3 2 10" xfId="3111"/>
    <cellStyle name="Currency 2 2 2 2 3 2 2" xfId="353"/>
    <cellStyle name="Currency 2 2 2 2 3 2 2 2" xfId="1141"/>
    <cellStyle name="Currency 2 2 2 2 3 2 2 2 2" xfId="1280"/>
    <cellStyle name="Currency 2 2 2 2 3 2 2 2 2 2" xfId="3112"/>
    <cellStyle name="Currency 2 2 2 2 3 2 2 2 2 2 2" xfId="3113"/>
    <cellStyle name="Currency 2 2 2 2 3 2 2 2 2 2 2 2" xfId="22384"/>
    <cellStyle name="Currency 2 2 2 2 3 2 2 2 2 2 3" xfId="22385"/>
    <cellStyle name="Currency 2 2 2 2 3 2 2 2 2 3" xfId="3114"/>
    <cellStyle name="Currency 2 2 2 2 3 2 2 2 2 3 2" xfId="3115"/>
    <cellStyle name="Currency 2 2 2 2 3 2 2 2 2 3 2 2" xfId="22386"/>
    <cellStyle name="Currency 2 2 2 2 3 2 2 2 2 3 3" xfId="22387"/>
    <cellStyle name="Currency 2 2 2 2 3 2 2 2 2 4" xfId="3116"/>
    <cellStyle name="Currency 2 2 2 2 3 2 2 2 2 4 2" xfId="3117"/>
    <cellStyle name="Currency 2 2 2 2 3 2 2 2 2 4 2 2" xfId="22388"/>
    <cellStyle name="Currency 2 2 2 2 3 2 2 2 2 4 3" xfId="22389"/>
    <cellStyle name="Currency 2 2 2 2 3 2 2 2 2 5" xfId="3118"/>
    <cellStyle name="Currency 2 2 2 2 3 2 2 2 2 5 2" xfId="22390"/>
    <cellStyle name="Currency 2 2 2 2 3 2 2 2 2 6" xfId="3119"/>
    <cellStyle name="Currency 2 2 2 2 3 2 2 2 3" xfId="3120"/>
    <cellStyle name="Currency 2 2 2 2 3 2 2 2 3 2" xfId="3121"/>
    <cellStyle name="Currency 2 2 2 2 3 2 2 2 3 2 2" xfId="22391"/>
    <cellStyle name="Currency 2 2 2 2 3 2 2 2 3 3" xfId="22392"/>
    <cellStyle name="Currency 2 2 2 2 3 2 2 2 4" xfId="3122"/>
    <cellStyle name="Currency 2 2 2 2 3 2 2 2 4 2" xfId="3123"/>
    <cellStyle name="Currency 2 2 2 2 3 2 2 2 4 2 2" xfId="22393"/>
    <cellStyle name="Currency 2 2 2 2 3 2 2 2 4 3" xfId="22394"/>
    <cellStyle name="Currency 2 2 2 2 3 2 2 2 5" xfId="3124"/>
    <cellStyle name="Currency 2 2 2 2 3 2 2 2 5 2" xfId="3125"/>
    <cellStyle name="Currency 2 2 2 2 3 2 2 2 5 2 2" xfId="22395"/>
    <cellStyle name="Currency 2 2 2 2 3 2 2 2 5 3" xfId="22396"/>
    <cellStyle name="Currency 2 2 2 2 3 2 2 2 6" xfId="3126"/>
    <cellStyle name="Currency 2 2 2 2 3 2 2 2 6 2" xfId="22397"/>
    <cellStyle name="Currency 2 2 2 2 3 2 2 2 7" xfId="3127"/>
    <cellStyle name="Currency 2 2 2 2 3 2 2 3" xfId="773"/>
    <cellStyle name="Currency 2 2 2 2 3 2 2 3 2" xfId="1281"/>
    <cellStyle name="Currency 2 2 2 2 3 2 2 3 2 2" xfId="3128"/>
    <cellStyle name="Currency 2 2 2 2 3 2 2 3 2 2 2" xfId="3129"/>
    <cellStyle name="Currency 2 2 2 2 3 2 2 3 2 2 2 2" xfId="22398"/>
    <cellStyle name="Currency 2 2 2 2 3 2 2 3 2 2 3" xfId="22399"/>
    <cellStyle name="Currency 2 2 2 2 3 2 2 3 2 3" xfId="3130"/>
    <cellStyle name="Currency 2 2 2 2 3 2 2 3 2 3 2" xfId="3131"/>
    <cellStyle name="Currency 2 2 2 2 3 2 2 3 2 3 2 2" xfId="22400"/>
    <cellStyle name="Currency 2 2 2 2 3 2 2 3 2 3 3" xfId="22401"/>
    <cellStyle name="Currency 2 2 2 2 3 2 2 3 2 4" xfId="3132"/>
    <cellStyle name="Currency 2 2 2 2 3 2 2 3 2 4 2" xfId="3133"/>
    <cellStyle name="Currency 2 2 2 2 3 2 2 3 2 4 2 2" xfId="22402"/>
    <cellStyle name="Currency 2 2 2 2 3 2 2 3 2 4 3" xfId="22403"/>
    <cellStyle name="Currency 2 2 2 2 3 2 2 3 2 5" xfId="3134"/>
    <cellStyle name="Currency 2 2 2 2 3 2 2 3 2 5 2" xfId="22404"/>
    <cellStyle name="Currency 2 2 2 2 3 2 2 3 2 6" xfId="3135"/>
    <cellStyle name="Currency 2 2 2 2 3 2 2 3 3" xfId="3136"/>
    <cellStyle name="Currency 2 2 2 2 3 2 2 3 3 2" xfId="3137"/>
    <cellStyle name="Currency 2 2 2 2 3 2 2 3 3 2 2" xfId="22405"/>
    <cellStyle name="Currency 2 2 2 2 3 2 2 3 3 3" xfId="22406"/>
    <cellStyle name="Currency 2 2 2 2 3 2 2 3 4" xfId="3138"/>
    <cellStyle name="Currency 2 2 2 2 3 2 2 3 4 2" xfId="3139"/>
    <cellStyle name="Currency 2 2 2 2 3 2 2 3 4 2 2" xfId="22407"/>
    <cellStyle name="Currency 2 2 2 2 3 2 2 3 4 3" xfId="22408"/>
    <cellStyle name="Currency 2 2 2 2 3 2 2 3 5" xfId="3140"/>
    <cellStyle name="Currency 2 2 2 2 3 2 2 3 5 2" xfId="3141"/>
    <cellStyle name="Currency 2 2 2 2 3 2 2 3 5 2 2" xfId="22409"/>
    <cellStyle name="Currency 2 2 2 2 3 2 2 3 5 3" xfId="22410"/>
    <cellStyle name="Currency 2 2 2 2 3 2 2 3 6" xfId="3142"/>
    <cellStyle name="Currency 2 2 2 2 3 2 2 3 6 2" xfId="22411"/>
    <cellStyle name="Currency 2 2 2 2 3 2 2 3 7" xfId="3143"/>
    <cellStyle name="Currency 2 2 2 2 3 2 2 4" xfId="1282"/>
    <cellStyle name="Currency 2 2 2 2 3 2 2 4 2" xfId="3144"/>
    <cellStyle name="Currency 2 2 2 2 3 2 2 4 2 2" xfId="3145"/>
    <cellStyle name="Currency 2 2 2 2 3 2 2 4 2 2 2" xfId="22412"/>
    <cellStyle name="Currency 2 2 2 2 3 2 2 4 2 3" xfId="22413"/>
    <cellStyle name="Currency 2 2 2 2 3 2 2 4 3" xfId="3146"/>
    <cellStyle name="Currency 2 2 2 2 3 2 2 4 3 2" xfId="3147"/>
    <cellStyle name="Currency 2 2 2 2 3 2 2 4 3 2 2" xfId="22414"/>
    <cellStyle name="Currency 2 2 2 2 3 2 2 4 3 3" xfId="22415"/>
    <cellStyle name="Currency 2 2 2 2 3 2 2 4 4" xfId="3148"/>
    <cellStyle name="Currency 2 2 2 2 3 2 2 4 4 2" xfId="3149"/>
    <cellStyle name="Currency 2 2 2 2 3 2 2 4 4 2 2" xfId="22416"/>
    <cellStyle name="Currency 2 2 2 2 3 2 2 4 4 3" xfId="22417"/>
    <cellStyle name="Currency 2 2 2 2 3 2 2 4 5" xfId="3150"/>
    <cellStyle name="Currency 2 2 2 2 3 2 2 4 5 2" xfId="22418"/>
    <cellStyle name="Currency 2 2 2 2 3 2 2 4 6" xfId="3151"/>
    <cellStyle name="Currency 2 2 2 2 3 2 2 5" xfId="3152"/>
    <cellStyle name="Currency 2 2 2 2 3 2 2 5 2" xfId="3153"/>
    <cellStyle name="Currency 2 2 2 2 3 2 2 5 2 2" xfId="22419"/>
    <cellStyle name="Currency 2 2 2 2 3 2 2 5 3" xfId="22420"/>
    <cellStyle name="Currency 2 2 2 2 3 2 2 6" xfId="3154"/>
    <cellStyle name="Currency 2 2 2 2 3 2 2 6 2" xfId="3155"/>
    <cellStyle name="Currency 2 2 2 2 3 2 2 6 2 2" xfId="22421"/>
    <cellStyle name="Currency 2 2 2 2 3 2 2 6 3" xfId="22422"/>
    <cellStyle name="Currency 2 2 2 2 3 2 2 7" xfId="3156"/>
    <cellStyle name="Currency 2 2 2 2 3 2 2 7 2" xfId="3157"/>
    <cellStyle name="Currency 2 2 2 2 3 2 2 7 2 2" xfId="22423"/>
    <cellStyle name="Currency 2 2 2 2 3 2 2 7 3" xfId="22424"/>
    <cellStyle name="Currency 2 2 2 2 3 2 2 8" xfId="3158"/>
    <cellStyle name="Currency 2 2 2 2 3 2 2 8 2" xfId="22425"/>
    <cellStyle name="Currency 2 2 2 2 3 2 2 9" xfId="3159"/>
    <cellStyle name="Currency 2 2 2 2 3 2 3" xfId="983"/>
    <cellStyle name="Currency 2 2 2 2 3 2 3 2" xfId="1283"/>
    <cellStyle name="Currency 2 2 2 2 3 2 3 2 2" xfId="3160"/>
    <cellStyle name="Currency 2 2 2 2 3 2 3 2 2 2" xfId="3161"/>
    <cellStyle name="Currency 2 2 2 2 3 2 3 2 2 2 2" xfId="22426"/>
    <cellStyle name="Currency 2 2 2 2 3 2 3 2 2 3" xfId="22427"/>
    <cellStyle name="Currency 2 2 2 2 3 2 3 2 3" xfId="3162"/>
    <cellStyle name="Currency 2 2 2 2 3 2 3 2 3 2" xfId="3163"/>
    <cellStyle name="Currency 2 2 2 2 3 2 3 2 3 2 2" xfId="22428"/>
    <cellStyle name="Currency 2 2 2 2 3 2 3 2 3 3" xfId="22429"/>
    <cellStyle name="Currency 2 2 2 2 3 2 3 2 4" xfId="3164"/>
    <cellStyle name="Currency 2 2 2 2 3 2 3 2 4 2" xfId="3165"/>
    <cellStyle name="Currency 2 2 2 2 3 2 3 2 4 2 2" xfId="22430"/>
    <cellStyle name="Currency 2 2 2 2 3 2 3 2 4 3" xfId="22431"/>
    <cellStyle name="Currency 2 2 2 2 3 2 3 2 5" xfId="3166"/>
    <cellStyle name="Currency 2 2 2 2 3 2 3 2 5 2" xfId="22432"/>
    <cellStyle name="Currency 2 2 2 2 3 2 3 2 6" xfId="3167"/>
    <cellStyle name="Currency 2 2 2 2 3 2 3 3" xfId="3168"/>
    <cellStyle name="Currency 2 2 2 2 3 2 3 3 2" xfId="3169"/>
    <cellStyle name="Currency 2 2 2 2 3 2 3 3 2 2" xfId="22433"/>
    <cellStyle name="Currency 2 2 2 2 3 2 3 3 3" xfId="22434"/>
    <cellStyle name="Currency 2 2 2 2 3 2 3 4" xfId="3170"/>
    <cellStyle name="Currency 2 2 2 2 3 2 3 4 2" xfId="3171"/>
    <cellStyle name="Currency 2 2 2 2 3 2 3 4 2 2" xfId="22435"/>
    <cellStyle name="Currency 2 2 2 2 3 2 3 4 3" xfId="22436"/>
    <cellStyle name="Currency 2 2 2 2 3 2 3 5" xfId="3172"/>
    <cellStyle name="Currency 2 2 2 2 3 2 3 5 2" xfId="3173"/>
    <cellStyle name="Currency 2 2 2 2 3 2 3 5 2 2" xfId="22437"/>
    <cellStyle name="Currency 2 2 2 2 3 2 3 5 3" xfId="22438"/>
    <cellStyle name="Currency 2 2 2 2 3 2 3 6" xfId="3174"/>
    <cellStyle name="Currency 2 2 2 2 3 2 3 6 2" xfId="22439"/>
    <cellStyle name="Currency 2 2 2 2 3 2 3 7" xfId="3175"/>
    <cellStyle name="Currency 2 2 2 2 3 2 4" xfId="615"/>
    <cellStyle name="Currency 2 2 2 2 3 2 4 2" xfId="1284"/>
    <cellStyle name="Currency 2 2 2 2 3 2 4 2 2" xfId="3176"/>
    <cellStyle name="Currency 2 2 2 2 3 2 4 2 2 2" xfId="3177"/>
    <cellStyle name="Currency 2 2 2 2 3 2 4 2 2 2 2" xfId="22440"/>
    <cellStyle name="Currency 2 2 2 2 3 2 4 2 2 3" xfId="22441"/>
    <cellStyle name="Currency 2 2 2 2 3 2 4 2 3" xfId="3178"/>
    <cellStyle name="Currency 2 2 2 2 3 2 4 2 3 2" xfId="3179"/>
    <cellStyle name="Currency 2 2 2 2 3 2 4 2 3 2 2" xfId="22442"/>
    <cellStyle name="Currency 2 2 2 2 3 2 4 2 3 3" xfId="22443"/>
    <cellStyle name="Currency 2 2 2 2 3 2 4 2 4" xfId="3180"/>
    <cellStyle name="Currency 2 2 2 2 3 2 4 2 4 2" xfId="3181"/>
    <cellStyle name="Currency 2 2 2 2 3 2 4 2 4 2 2" xfId="22444"/>
    <cellStyle name="Currency 2 2 2 2 3 2 4 2 4 3" xfId="22445"/>
    <cellStyle name="Currency 2 2 2 2 3 2 4 2 5" xfId="3182"/>
    <cellStyle name="Currency 2 2 2 2 3 2 4 2 5 2" xfId="22446"/>
    <cellStyle name="Currency 2 2 2 2 3 2 4 2 6" xfId="3183"/>
    <cellStyle name="Currency 2 2 2 2 3 2 4 3" xfId="3184"/>
    <cellStyle name="Currency 2 2 2 2 3 2 4 3 2" xfId="3185"/>
    <cellStyle name="Currency 2 2 2 2 3 2 4 3 2 2" xfId="22447"/>
    <cellStyle name="Currency 2 2 2 2 3 2 4 3 3" xfId="22448"/>
    <cellStyle name="Currency 2 2 2 2 3 2 4 4" xfId="3186"/>
    <cellStyle name="Currency 2 2 2 2 3 2 4 4 2" xfId="3187"/>
    <cellStyle name="Currency 2 2 2 2 3 2 4 4 2 2" xfId="22449"/>
    <cellStyle name="Currency 2 2 2 2 3 2 4 4 3" xfId="22450"/>
    <cellStyle name="Currency 2 2 2 2 3 2 4 5" xfId="3188"/>
    <cellStyle name="Currency 2 2 2 2 3 2 4 5 2" xfId="3189"/>
    <cellStyle name="Currency 2 2 2 2 3 2 4 5 2 2" xfId="22451"/>
    <cellStyle name="Currency 2 2 2 2 3 2 4 5 3" xfId="22452"/>
    <cellStyle name="Currency 2 2 2 2 3 2 4 6" xfId="3190"/>
    <cellStyle name="Currency 2 2 2 2 3 2 4 6 2" xfId="22453"/>
    <cellStyle name="Currency 2 2 2 2 3 2 4 7" xfId="3191"/>
    <cellStyle name="Currency 2 2 2 2 3 2 5" xfId="1285"/>
    <cellStyle name="Currency 2 2 2 2 3 2 5 2" xfId="3192"/>
    <cellStyle name="Currency 2 2 2 2 3 2 5 2 2" xfId="3193"/>
    <cellStyle name="Currency 2 2 2 2 3 2 5 2 2 2" xfId="22454"/>
    <cellStyle name="Currency 2 2 2 2 3 2 5 2 3" xfId="22455"/>
    <cellStyle name="Currency 2 2 2 2 3 2 5 3" xfId="3194"/>
    <cellStyle name="Currency 2 2 2 2 3 2 5 3 2" xfId="3195"/>
    <cellStyle name="Currency 2 2 2 2 3 2 5 3 2 2" xfId="22456"/>
    <cellStyle name="Currency 2 2 2 2 3 2 5 3 3" xfId="22457"/>
    <cellStyle name="Currency 2 2 2 2 3 2 5 4" xfId="3196"/>
    <cellStyle name="Currency 2 2 2 2 3 2 5 4 2" xfId="3197"/>
    <cellStyle name="Currency 2 2 2 2 3 2 5 4 2 2" xfId="22458"/>
    <cellStyle name="Currency 2 2 2 2 3 2 5 4 3" xfId="22459"/>
    <cellStyle name="Currency 2 2 2 2 3 2 5 5" xfId="3198"/>
    <cellStyle name="Currency 2 2 2 2 3 2 5 5 2" xfId="22460"/>
    <cellStyle name="Currency 2 2 2 2 3 2 5 6" xfId="3199"/>
    <cellStyle name="Currency 2 2 2 2 3 2 6" xfId="3200"/>
    <cellStyle name="Currency 2 2 2 2 3 2 6 2" xfId="3201"/>
    <cellStyle name="Currency 2 2 2 2 3 2 6 2 2" xfId="22461"/>
    <cellStyle name="Currency 2 2 2 2 3 2 6 3" xfId="22462"/>
    <cellStyle name="Currency 2 2 2 2 3 2 7" xfId="3202"/>
    <cellStyle name="Currency 2 2 2 2 3 2 7 2" xfId="3203"/>
    <cellStyle name="Currency 2 2 2 2 3 2 7 2 2" xfId="22463"/>
    <cellStyle name="Currency 2 2 2 2 3 2 7 3" xfId="22464"/>
    <cellStyle name="Currency 2 2 2 2 3 2 8" xfId="3204"/>
    <cellStyle name="Currency 2 2 2 2 3 2 8 2" xfId="3205"/>
    <cellStyle name="Currency 2 2 2 2 3 2 8 2 2" xfId="22465"/>
    <cellStyle name="Currency 2 2 2 2 3 2 8 3" xfId="22466"/>
    <cellStyle name="Currency 2 2 2 2 3 2 9" xfId="3206"/>
    <cellStyle name="Currency 2 2 2 2 3 2 9 2" xfId="22467"/>
    <cellStyle name="Currency 2 2 2 2 3 3" xfId="246"/>
    <cellStyle name="Currency 2 2 2 2 3 3 10" xfId="3207"/>
    <cellStyle name="Currency 2 2 2 2 3 3 2" xfId="404"/>
    <cellStyle name="Currency 2 2 2 2 3 3 2 2" xfId="1192"/>
    <cellStyle name="Currency 2 2 2 2 3 3 2 2 2" xfId="1286"/>
    <cellStyle name="Currency 2 2 2 2 3 3 2 2 2 2" xfId="3208"/>
    <cellStyle name="Currency 2 2 2 2 3 3 2 2 2 2 2" xfId="3209"/>
    <cellStyle name="Currency 2 2 2 2 3 3 2 2 2 2 2 2" xfId="22468"/>
    <cellStyle name="Currency 2 2 2 2 3 3 2 2 2 2 3" xfId="22469"/>
    <cellStyle name="Currency 2 2 2 2 3 3 2 2 2 3" xfId="3210"/>
    <cellStyle name="Currency 2 2 2 2 3 3 2 2 2 3 2" xfId="3211"/>
    <cellStyle name="Currency 2 2 2 2 3 3 2 2 2 3 2 2" xfId="22470"/>
    <cellStyle name="Currency 2 2 2 2 3 3 2 2 2 3 3" xfId="22471"/>
    <cellStyle name="Currency 2 2 2 2 3 3 2 2 2 4" xfId="3212"/>
    <cellStyle name="Currency 2 2 2 2 3 3 2 2 2 4 2" xfId="3213"/>
    <cellStyle name="Currency 2 2 2 2 3 3 2 2 2 4 2 2" xfId="22472"/>
    <cellStyle name="Currency 2 2 2 2 3 3 2 2 2 4 3" xfId="22473"/>
    <cellStyle name="Currency 2 2 2 2 3 3 2 2 2 5" xfId="3214"/>
    <cellStyle name="Currency 2 2 2 2 3 3 2 2 2 5 2" xfId="22474"/>
    <cellStyle name="Currency 2 2 2 2 3 3 2 2 2 6" xfId="3215"/>
    <cellStyle name="Currency 2 2 2 2 3 3 2 2 3" xfId="3216"/>
    <cellStyle name="Currency 2 2 2 2 3 3 2 2 3 2" xfId="3217"/>
    <cellStyle name="Currency 2 2 2 2 3 3 2 2 3 2 2" xfId="22475"/>
    <cellStyle name="Currency 2 2 2 2 3 3 2 2 3 3" xfId="22476"/>
    <cellStyle name="Currency 2 2 2 2 3 3 2 2 4" xfId="3218"/>
    <cellStyle name="Currency 2 2 2 2 3 3 2 2 4 2" xfId="3219"/>
    <cellStyle name="Currency 2 2 2 2 3 3 2 2 4 2 2" xfId="22477"/>
    <cellStyle name="Currency 2 2 2 2 3 3 2 2 4 3" xfId="22478"/>
    <cellStyle name="Currency 2 2 2 2 3 3 2 2 5" xfId="3220"/>
    <cellStyle name="Currency 2 2 2 2 3 3 2 2 5 2" xfId="3221"/>
    <cellStyle name="Currency 2 2 2 2 3 3 2 2 5 2 2" xfId="22479"/>
    <cellStyle name="Currency 2 2 2 2 3 3 2 2 5 3" xfId="22480"/>
    <cellStyle name="Currency 2 2 2 2 3 3 2 2 6" xfId="3222"/>
    <cellStyle name="Currency 2 2 2 2 3 3 2 2 6 2" xfId="22481"/>
    <cellStyle name="Currency 2 2 2 2 3 3 2 2 7" xfId="3223"/>
    <cellStyle name="Currency 2 2 2 2 3 3 2 3" xfId="824"/>
    <cellStyle name="Currency 2 2 2 2 3 3 2 3 2" xfId="1287"/>
    <cellStyle name="Currency 2 2 2 2 3 3 2 3 2 2" xfId="3224"/>
    <cellStyle name="Currency 2 2 2 2 3 3 2 3 2 2 2" xfId="3225"/>
    <cellStyle name="Currency 2 2 2 2 3 3 2 3 2 2 2 2" xfId="22482"/>
    <cellStyle name="Currency 2 2 2 2 3 3 2 3 2 2 3" xfId="22483"/>
    <cellStyle name="Currency 2 2 2 2 3 3 2 3 2 3" xfId="3226"/>
    <cellStyle name="Currency 2 2 2 2 3 3 2 3 2 3 2" xfId="3227"/>
    <cellStyle name="Currency 2 2 2 2 3 3 2 3 2 3 2 2" xfId="22484"/>
    <cellStyle name="Currency 2 2 2 2 3 3 2 3 2 3 3" xfId="22485"/>
    <cellStyle name="Currency 2 2 2 2 3 3 2 3 2 4" xfId="3228"/>
    <cellStyle name="Currency 2 2 2 2 3 3 2 3 2 4 2" xfId="3229"/>
    <cellStyle name="Currency 2 2 2 2 3 3 2 3 2 4 2 2" xfId="22486"/>
    <cellStyle name="Currency 2 2 2 2 3 3 2 3 2 4 3" xfId="22487"/>
    <cellStyle name="Currency 2 2 2 2 3 3 2 3 2 5" xfId="3230"/>
    <cellStyle name="Currency 2 2 2 2 3 3 2 3 2 5 2" xfId="22488"/>
    <cellStyle name="Currency 2 2 2 2 3 3 2 3 2 6" xfId="3231"/>
    <cellStyle name="Currency 2 2 2 2 3 3 2 3 3" xfId="3232"/>
    <cellStyle name="Currency 2 2 2 2 3 3 2 3 3 2" xfId="3233"/>
    <cellStyle name="Currency 2 2 2 2 3 3 2 3 3 2 2" xfId="22489"/>
    <cellStyle name="Currency 2 2 2 2 3 3 2 3 3 3" xfId="22490"/>
    <cellStyle name="Currency 2 2 2 2 3 3 2 3 4" xfId="3234"/>
    <cellStyle name="Currency 2 2 2 2 3 3 2 3 4 2" xfId="3235"/>
    <cellStyle name="Currency 2 2 2 2 3 3 2 3 4 2 2" xfId="22491"/>
    <cellStyle name="Currency 2 2 2 2 3 3 2 3 4 3" xfId="22492"/>
    <cellStyle name="Currency 2 2 2 2 3 3 2 3 5" xfId="3236"/>
    <cellStyle name="Currency 2 2 2 2 3 3 2 3 5 2" xfId="3237"/>
    <cellStyle name="Currency 2 2 2 2 3 3 2 3 5 2 2" xfId="22493"/>
    <cellStyle name="Currency 2 2 2 2 3 3 2 3 5 3" xfId="22494"/>
    <cellStyle name="Currency 2 2 2 2 3 3 2 3 6" xfId="3238"/>
    <cellStyle name="Currency 2 2 2 2 3 3 2 3 6 2" xfId="22495"/>
    <cellStyle name="Currency 2 2 2 2 3 3 2 3 7" xfId="3239"/>
    <cellStyle name="Currency 2 2 2 2 3 3 2 4" xfId="1288"/>
    <cellStyle name="Currency 2 2 2 2 3 3 2 4 2" xfId="3240"/>
    <cellStyle name="Currency 2 2 2 2 3 3 2 4 2 2" xfId="3241"/>
    <cellStyle name="Currency 2 2 2 2 3 3 2 4 2 2 2" xfId="22496"/>
    <cellStyle name="Currency 2 2 2 2 3 3 2 4 2 3" xfId="22497"/>
    <cellStyle name="Currency 2 2 2 2 3 3 2 4 3" xfId="3242"/>
    <cellStyle name="Currency 2 2 2 2 3 3 2 4 3 2" xfId="3243"/>
    <cellStyle name="Currency 2 2 2 2 3 3 2 4 3 2 2" xfId="22498"/>
    <cellStyle name="Currency 2 2 2 2 3 3 2 4 3 3" xfId="22499"/>
    <cellStyle name="Currency 2 2 2 2 3 3 2 4 4" xfId="3244"/>
    <cellStyle name="Currency 2 2 2 2 3 3 2 4 4 2" xfId="3245"/>
    <cellStyle name="Currency 2 2 2 2 3 3 2 4 4 2 2" xfId="22500"/>
    <cellStyle name="Currency 2 2 2 2 3 3 2 4 4 3" xfId="22501"/>
    <cellStyle name="Currency 2 2 2 2 3 3 2 4 5" xfId="3246"/>
    <cellStyle name="Currency 2 2 2 2 3 3 2 4 5 2" xfId="22502"/>
    <cellStyle name="Currency 2 2 2 2 3 3 2 4 6" xfId="3247"/>
    <cellStyle name="Currency 2 2 2 2 3 3 2 5" xfId="3248"/>
    <cellStyle name="Currency 2 2 2 2 3 3 2 5 2" xfId="3249"/>
    <cellStyle name="Currency 2 2 2 2 3 3 2 5 2 2" xfId="22503"/>
    <cellStyle name="Currency 2 2 2 2 3 3 2 5 3" xfId="22504"/>
    <cellStyle name="Currency 2 2 2 2 3 3 2 6" xfId="3250"/>
    <cellStyle name="Currency 2 2 2 2 3 3 2 6 2" xfId="3251"/>
    <cellStyle name="Currency 2 2 2 2 3 3 2 6 2 2" xfId="22505"/>
    <cellStyle name="Currency 2 2 2 2 3 3 2 6 3" xfId="22506"/>
    <cellStyle name="Currency 2 2 2 2 3 3 2 7" xfId="3252"/>
    <cellStyle name="Currency 2 2 2 2 3 3 2 7 2" xfId="3253"/>
    <cellStyle name="Currency 2 2 2 2 3 3 2 7 2 2" xfId="22507"/>
    <cellStyle name="Currency 2 2 2 2 3 3 2 7 3" xfId="22508"/>
    <cellStyle name="Currency 2 2 2 2 3 3 2 8" xfId="3254"/>
    <cellStyle name="Currency 2 2 2 2 3 3 2 8 2" xfId="22509"/>
    <cellStyle name="Currency 2 2 2 2 3 3 2 9" xfId="3255"/>
    <cellStyle name="Currency 2 2 2 2 3 3 3" xfId="1034"/>
    <cellStyle name="Currency 2 2 2 2 3 3 3 2" xfId="1289"/>
    <cellStyle name="Currency 2 2 2 2 3 3 3 2 2" xfId="3256"/>
    <cellStyle name="Currency 2 2 2 2 3 3 3 2 2 2" xfId="3257"/>
    <cellStyle name="Currency 2 2 2 2 3 3 3 2 2 2 2" xfId="22510"/>
    <cellStyle name="Currency 2 2 2 2 3 3 3 2 2 3" xfId="22511"/>
    <cellStyle name="Currency 2 2 2 2 3 3 3 2 3" xfId="3258"/>
    <cellStyle name="Currency 2 2 2 2 3 3 3 2 3 2" xfId="3259"/>
    <cellStyle name="Currency 2 2 2 2 3 3 3 2 3 2 2" xfId="22512"/>
    <cellStyle name="Currency 2 2 2 2 3 3 3 2 3 3" xfId="22513"/>
    <cellStyle name="Currency 2 2 2 2 3 3 3 2 4" xfId="3260"/>
    <cellStyle name="Currency 2 2 2 2 3 3 3 2 4 2" xfId="3261"/>
    <cellStyle name="Currency 2 2 2 2 3 3 3 2 4 2 2" xfId="22514"/>
    <cellStyle name="Currency 2 2 2 2 3 3 3 2 4 3" xfId="22515"/>
    <cellStyle name="Currency 2 2 2 2 3 3 3 2 5" xfId="3262"/>
    <cellStyle name="Currency 2 2 2 2 3 3 3 2 5 2" xfId="22516"/>
    <cellStyle name="Currency 2 2 2 2 3 3 3 2 6" xfId="3263"/>
    <cellStyle name="Currency 2 2 2 2 3 3 3 3" xfId="3264"/>
    <cellStyle name="Currency 2 2 2 2 3 3 3 3 2" xfId="3265"/>
    <cellStyle name="Currency 2 2 2 2 3 3 3 3 2 2" xfId="22517"/>
    <cellStyle name="Currency 2 2 2 2 3 3 3 3 3" xfId="22518"/>
    <cellStyle name="Currency 2 2 2 2 3 3 3 4" xfId="3266"/>
    <cellStyle name="Currency 2 2 2 2 3 3 3 4 2" xfId="3267"/>
    <cellStyle name="Currency 2 2 2 2 3 3 3 4 2 2" xfId="22519"/>
    <cellStyle name="Currency 2 2 2 2 3 3 3 4 3" xfId="22520"/>
    <cellStyle name="Currency 2 2 2 2 3 3 3 5" xfId="3268"/>
    <cellStyle name="Currency 2 2 2 2 3 3 3 5 2" xfId="3269"/>
    <cellStyle name="Currency 2 2 2 2 3 3 3 5 2 2" xfId="22521"/>
    <cellStyle name="Currency 2 2 2 2 3 3 3 5 3" xfId="22522"/>
    <cellStyle name="Currency 2 2 2 2 3 3 3 6" xfId="3270"/>
    <cellStyle name="Currency 2 2 2 2 3 3 3 6 2" xfId="22523"/>
    <cellStyle name="Currency 2 2 2 2 3 3 3 7" xfId="3271"/>
    <cellStyle name="Currency 2 2 2 2 3 3 4" xfId="666"/>
    <cellStyle name="Currency 2 2 2 2 3 3 4 2" xfId="1290"/>
    <cellStyle name="Currency 2 2 2 2 3 3 4 2 2" xfId="3272"/>
    <cellStyle name="Currency 2 2 2 2 3 3 4 2 2 2" xfId="3273"/>
    <cellStyle name="Currency 2 2 2 2 3 3 4 2 2 2 2" xfId="22524"/>
    <cellStyle name="Currency 2 2 2 2 3 3 4 2 2 3" xfId="22525"/>
    <cellStyle name="Currency 2 2 2 2 3 3 4 2 3" xfId="3274"/>
    <cellStyle name="Currency 2 2 2 2 3 3 4 2 3 2" xfId="3275"/>
    <cellStyle name="Currency 2 2 2 2 3 3 4 2 3 2 2" xfId="22526"/>
    <cellStyle name="Currency 2 2 2 2 3 3 4 2 3 3" xfId="22527"/>
    <cellStyle name="Currency 2 2 2 2 3 3 4 2 4" xfId="3276"/>
    <cellStyle name="Currency 2 2 2 2 3 3 4 2 4 2" xfId="3277"/>
    <cellStyle name="Currency 2 2 2 2 3 3 4 2 4 2 2" xfId="22528"/>
    <cellStyle name="Currency 2 2 2 2 3 3 4 2 4 3" xfId="22529"/>
    <cellStyle name="Currency 2 2 2 2 3 3 4 2 5" xfId="3278"/>
    <cellStyle name="Currency 2 2 2 2 3 3 4 2 5 2" xfId="22530"/>
    <cellStyle name="Currency 2 2 2 2 3 3 4 2 6" xfId="3279"/>
    <cellStyle name="Currency 2 2 2 2 3 3 4 3" xfId="3280"/>
    <cellStyle name="Currency 2 2 2 2 3 3 4 3 2" xfId="3281"/>
    <cellStyle name="Currency 2 2 2 2 3 3 4 3 2 2" xfId="22531"/>
    <cellStyle name="Currency 2 2 2 2 3 3 4 3 3" xfId="22532"/>
    <cellStyle name="Currency 2 2 2 2 3 3 4 4" xfId="3282"/>
    <cellStyle name="Currency 2 2 2 2 3 3 4 4 2" xfId="3283"/>
    <cellStyle name="Currency 2 2 2 2 3 3 4 4 2 2" xfId="22533"/>
    <cellStyle name="Currency 2 2 2 2 3 3 4 4 3" xfId="22534"/>
    <cellStyle name="Currency 2 2 2 2 3 3 4 5" xfId="3284"/>
    <cellStyle name="Currency 2 2 2 2 3 3 4 5 2" xfId="3285"/>
    <cellStyle name="Currency 2 2 2 2 3 3 4 5 2 2" xfId="22535"/>
    <cellStyle name="Currency 2 2 2 2 3 3 4 5 3" xfId="22536"/>
    <cellStyle name="Currency 2 2 2 2 3 3 4 6" xfId="3286"/>
    <cellStyle name="Currency 2 2 2 2 3 3 4 6 2" xfId="22537"/>
    <cellStyle name="Currency 2 2 2 2 3 3 4 7" xfId="3287"/>
    <cellStyle name="Currency 2 2 2 2 3 3 5" xfId="1291"/>
    <cellStyle name="Currency 2 2 2 2 3 3 5 2" xfId="3288"/>
    <cellStyle name="Currency 2 2 2 2 3 3 5 2 2" xfId="3289"/>
    <cellStyle name="Currency 2 2 2 2 3 3 5 2 2 2" xfId="22538"/>
    <cellStyle name="Currency 2 2 2 2 3 3 5 2 3" xfId="22539"/>
    <cellStyle name="Currency 2 2 2 2 3 3 5 3" xfId="3290"/>
    <cellStyle name="Currency 2 2 2 2 3 3 5 3 2" xfId="3291"/>
    <cellStyle name="Currency 2 2 2 2 3 3 5 3 2 2" xfId="22540"/>
    <cellStyle name="Currency 2 2 2 2 3 3 5 3 3" xfId="22541"/>
    <cellStyle name="Currency 2 2 2 2 3 3 5 4" xfId="3292"/>
    <cellStyle name="Currency 2 2 2 2 3 3 5 4 2" xfId="3293"/>
    <cellStyle name="Currency 2 2 2 2 3 3 5 4 2 2" xfId="22542"/>
    <cellStyle name="Currency 2 2 2 2 3 3 5 4 3" xfId="22543"/>
    <cellStyle name="Currency 2 2 2 2 3 3 5 5" xfId="3294"/>
    <cellStyle name="Currency 2 2 2 2 3 3 5 5 2" xfId="22544"/>
    <cellStyle name="Currency 2 2 2 2 3 3 5 6" xfId="3295"/>
    <cellStyle name="Currency 2 2 2 2 3 3 6" xfId="3296"/>
    <cellStyle name="Currency 2 2 2 2 3 3 6 2" xfId="3297"/>
    <cellStyle name="Currency 2 2 2 2 3 3 6 2 2" xfId="22545"/>
    <cellStyle name="Currency 2 2 2 2 3 3 6 3" xfId="22546"/>
    <cellStyle name="Currency 2 2 2 2 3 3 7" xfId="3298"/>
    <cellStyle name="Currency 2 2 2 2 3 3 7 2" xfId="3299"/>
    <cellStyle name="Currency 2 2 2 2 3 3 7 2 2" xfId="22547"/>
    <cellStyle name="Currency 2 2 2 2 3 3 7 3" xfId="22548"/>
    <cellStyle name="Currency 2 2 2 2 3 3 8" xfId="3300"/>
    <cellStyle name="Currency 2 2 2 2 3 3 8 2" xfId="3301"/>
    <cellStyle name="Currency 2 2 2 2 3 3 8 2 2" xfId="22549"/>
    <cellStyle name="Currency 2 2 2 2 3 3 8 3" xfId="22550"/>
    <cellStyle name="Currency 2 2 2 2 3 3 9" xfId="3302"/>
    <cellStyle name="Currency 2 2 2 2 3 3 9 2" xfId="22551"/>
    <cellStyle name="Currency 2 2 2 2 3 4" xfId="167"/>
    <cellStyle name="Currency 2 2 2 2 3 4 2" xfId="955"/>
    <cellStyle name="Currency 2 2 2 2 3 4 2 2" xfId="1292"/>
    <cellStyle name="Currency 2 2 2 2 3 4 2 2 2" xfId="3303"/>
    <cellStyle name="Currency 2 2 2 2 3 4 2 2 2 2" xfId="3304"/>
    <cellStyle name="Currency 2 2 2 2 3 4 2 2 2 2 2" xfId="22552"/>
    <cellStyle name="Currency 2 2 2 2 3 4 2 2 2 3" xfId="22553"/>
    <cellStyle name="Currency 2 2 2 2 3 4 2 2 3" xfId="3305"/>
    <cellStyle name="Currency 2 2 2 2 3 4 2 2 3 2" xfId="3306"/>
    <cellStyle name="Currency 2 2 2 2 3 4 2 2 3 2 2" xfId="22554"/>
    <cellStyle name="Currency 2 2 2 2 3 4 2 2 3 3" xfId="22555"/>
    <cellStyle name="Currency 2 2 2 2 3 4 2 2 4" xfId="3307"/>
    <cellStyle name="Currency 2 2 2 2 3 4 2 2 4 2" xfId="3308"/>
    <cellStyle name="Currency 2 2 2 2 3 4 2 2 4 2 2" xfId="22556"/>
    <cellStyle name="Currency 2 2 2 2 3 4 2 2 4 3" xfId="22557"/>
    <cellStyle name="Currency 2 2 2 2 3 4 2 2 5" xfId="3309"/>
    <cellStyle name="Currency 2 2 2 2 3 4 2 2 5 2" xfId="22558"/>
    <cellStyle name="Currency 2 2 2 2 3 4 2 2 6" xfId="3310"/>
    <cellStyle name="Currency 2 2 2 2 3 4 2 3" xfId="3311"/>
    <cellStyle name="Currency 2 2 2 2 3 4 2 3 2" xfId="3312"/>
    <cellStyle name="Currency 2 2 2 2 3 4 2 3 2 2" xfId="22559"/>
    <cellStyle name="Currency 2 2 2 2 3 4 2 3 3" xfId="22560"/>
    <cellStyle name="Currency 2 2 2 2 3 4 2 4" xfId="3313"/>
    <cellStyle name="Currency 2 2 2 2 3 4 2 4 2" xfId="3314"/>
    <cellStyle name="Currency 2 2 2 2 3 4 2 4 2 2" xfId="22561"/>
    <cellStyle name="Currency 2 2 2 2 3 4 2 4 3" xfId="22562"/>
    <cellStyle name="Currency 2 2 2 2 3 4 2 5" xfId="3315"/>
    <cellStyle name="Currency 2 2 2 2 3 4 2 5 2" xfId="3316"/>
    <cellStyle name="Currency 2 2 2 2 3 4 2 5 2 2" xfId="22563"/>
    <cellStyle name="Currency 2 2 2 2 3 4 2 5 3" xfId="22564"/>
    <cellStyle name="Currency 2 2 2 2 3 4 2 6" xfId="3317"/>
    <cellStyle name="Currency 2 2 2 2 3 4 2 6 2" xfId="22565"/>
    <cellStyle name="Currency 2 2 2 2 3 4 2 7" xfId="3318"/>
    <cellStyle name="Currency 2 2 2 2 3 4 3" xfId="587"/>
    <cellStyle name="Currency 2 2 2 2 3 4 3 2" xfId="1293"/>
    <cellStyle name="Currency 2 2 2 2 3 4 3 2 2" xfId="3319"/>
    <cellStyle name="Currency 2 2 2 2 3 4 3 2 2 2" xfId="3320"/>
    <cellStyle name="Currency 2 2 2 2 3 4 3 2 2 2 2" xfId="22566"/>
    <cellStyle name="Currency 2 2 2 2 3 4 3 2 2 3" xfId="22567"/>
    <cellStyle name="Currency 2 2 2 2 3 4 3 2 3" xfId="3321"/>
    <cellStyle name="Currency 2 2 2 2 3 4 3 2 3 2" xfId="3322"/>
    <cellStyle name="Currency 2 2 2 2 3 4 3 2 3 2 2" xfId="22568"/>
    <cellStyle name="Currency 2 2 2 2 3 4 3 2 3 3" xfId="22569"/>
    <cellStyle name="Currency 2 2 2 2 3 4 3 2 4" xfId="3323"/>
    <cellStyle name="Currency 2 2 2 2 3 4 3 2 4 2" xfId="3324"/>
    <cellStyle name="Currency 2 2 2 2 3 4 3 2 4 2 2" xfId="22570"/>
    <cellStyle name="Currency 2 2 2 2 3 4 3 2 4 3" xfId="22571"/>
    <cellStyle name="Currency 2 2 2 2 3 4 3 2 5" xfId="3325"/>
    <cellStyle name="Currency 2 2 2 2 3 4 3 2 5 2" xfId="22572"/>
    <cellStyle name="Currency 2 2 2 2 3 4 3 2 6" xfId="3326"/>
    <cellStyle name="Currency 2 2 2 2 3 4 3 3" xfId="3327"/>
    <cellStyle name="Currency 2 2 2 2 3 4 3 3 2" xfId="3328"/>
    <cellStyle name="Currency 2 2 2 2 3 4 3 3 2 2" xfId="22573"/>
    <cellStyle name="Currency 2 2 2 2 3 4 3 3 3" xfId="22574"/>
    <cellStyle name="Currency 2 2 2 2 3 4 3 4" xfId="3329"/>
    <cellStyle name="Currency 2 2 2 2 3 4 3 4 2" xfId="3330"/>
    <cellStyle name="Currency 2 2 2 2 3 4 3 4 2 2" xfId="22575"/>
    <cellStyle name="Currency 2 2 2 2 3 4 3 4 3" xfId="22576"/>
    <cellStyle name="Currency 2 2 2 2 3 4 3 5" xfId="3331"/>
    <cellStyle name="Currency 2 2 2 2 3 4 3 5 2" xfId="3332"/>
    <cellStyle name="Currency 2 2 2 2 3 4 3 5 2 2" xfId="22577"/>
    <cellStyle name="Currency 2 2 2 2 3 4 3 5 3" xfId="22578"/>
    <cellStyle name="Currency 2 2 2 2 3 4 3 6" xfId="3333"/>
    <cellStyle name="Currency 2 2 2 2 3 4 3 6 2" xfId="22579"/>
    <cellStyle name="Currency 2 2 2 2 3 4 3 7" xfId="3334"/>
    <cellStyle name="Currency 2 2 2 2 3 4 4" xfId="1294"/>
    <cellStyle name="Currency 2 2 2 2 3 4 4 2" xfId="3335"/>
    <cellStyle name="Currency 2 2 2 2 3 4 4 2 2" xfId="3336"/>
    <cellStyle name="Currency 2 2 2 2 3 4 4 2 2 2" xfId="22580"/>
    <cellStyle name="Currency 2 2 2 2 3 4 4 2 3" xfId="22581"/>
    <cellStyle name="Currency 2 2 2 2 3 4 4 3" xfId="3337"/>
    <cellStyle name="Currency 2 2 2 2 3 4 4 3 2" xfId="3338"/>
    <cellStyle name="Currency 2 2 2 2 3 4 4 3 2 2" xfId="22582"/>
    <cellStyle name="Currency 2 2 2 2 3 4 4 3 3" xfId="22583"/>
    <cellStyle name="Currency 2 2 2 2 3 4 4 4" xfId="3339"/>
    <cellStyle name="Currency 2 2 2 2 3 4 4 4 2" xfId="3340"/>
    <cellStyle name="Currency 2 2 2 2 3 4 4 4 2 2" xfId="22584"/>
    <cellStyle name="Currency 2 2 2 2 3 4 4 4 3" xfId="22585"/>
    <cellStyle name="Currency 2 2 2 2 3 4 4 5" xfId="3341"/>
    <cellStyle name="Currency 2 2 2 2 3 4 4 5 2" xfId="22586"/>
    <cellStyle name="Currency 2 2 2 2 3 4 4 6" xfId="3342"/>
    <cellStyle name="Currency 2 2 2 2 3 4 5" xfId="3343"/>
    <cellStyle name="Currency 2 2 2 2 3 4 5 2" xfId="3344"/>
    <cellStyle name="Currency 2 2 2 2 3 4 5 2 2" xfId="22587"/>
    <cellStyle name="Currency 2 2 2 2 3 4 5 3" xfId="22588"/>
    <cellStyle name="Currency 2 2 2 2 3 4 6" xfId="3345"/>
    <cellStyle name="Currency 2 2 2 2 3 4 6 2" xfId="3346"/>
    <cellStyle name="Currency 2 2 2 2 3 4 6 2 2" xfId="22589"/>
    <cellStyle name="Currency 2 2 2 2 3 4 6 3" xfId="22590"/>
    <cellStyle name="Currency 2 2 2 2 3 4 7" xfId="3347"/>
    <cellStyle name="Currency 2 2 2 2 3 4 7 2" xfId="3348"/>
    <cellStyle name="Currency 2 2 2 2 3 4 7 2 2" xfId="22591"/>
    <cellStyle name="Currency 2 2 2 2 3 4 7 3" xfId="22592"/>
    <cellStyle name="Currency 2 2 2 2 3 4 8" xfId="3349"/>
    <cellStyle name="Currency 2 2 2 2 3 4 8 2" xfId="22593"/>
    <cellStyle name="Currency 2 2 2 2 3 4 9" xfId="3350"/>
    <cellStyle name="Currency 2 2 2 2 3 5" xfId="325"/>
    <cellStyle name="Currency 2 2 2 2 3 5 2" xfId="1113"/>
    <cellStyle name="Currency 2 2 2 2 3 5 2 2" xfId="1295"/>
    <cellStyle name="Currency 2 2 2 2 3 5 2 2 2" xfId="3351"/>
    <cellStyle name="Currency 2 2 2 2 3 5 2 2 2 2" xfId="3352"/>
    <cellStyle name="Currency 2 2 2 2 3 5 2 2 2 2 2" xfId="22594"/>
    <cellStyle name="Currency 2 2 2 2 3 5 2 2 2 3" xfId="22595"/>
    <cellStyle name="Currency 2 2 2 2 3 5 2 2 3" xfId="3353"/>
    <cellStyle name="Currency 2 2 2 2 3 5 2 2 3 2" xfId="3354"/>
    <cellStyle name="Currency 2 2 2 2 3 5 2 2 3 2 2" xfId="22596"/>
    <cellStyle name="Currency 2 2 2 2 3 5 2 2 3 3" xfId="22597"/>
    <cellStyle name="Currency 2 2 2 2 3 5 2 2 4" xfId="3355"/>
    <cellStyle name="Currency 2 2 2 2 3 5 2 2 4 2" xfId="3356"/>
    <cellStyle name="Currency 2 2 2 2 3 5 2 2 4 2 2" xfId="22598"/>
    <cellStyle name="Currency 2 2 2 2 3 5 2 2 4 3" xfId="22599"/>
    <cellStyle name="Currency 2 2 2 2 3 5 2 2 5" xfId="3357"/>
    <cellStyle name="Currency 2 2 2 2 3 5 2 2 5 2" xfId="22600"/>
    <cellStyle name="Currency 2 2 2 2 3 5 2 2 6" xfId="3358"/>
    <cellStyle name="Currency 2 2 2 2 3 5 2 3" xfId="3359"/>
    <cellStyle name="Currency 2 2 2 2 3 5 2 3 2" xfId="3360"/>
    <cellStyle name="Currency 2 2 2 2 3 5 2 3 2 2" xfId="22601"/>
    <cellStyle name="Currency 2 2 2 2 3 5 2 3 3" xfId="22602"/>
    <cellStyle name="Currency 2 2 2 2 3 5 2 4" xfId="3361"/>
    <cellStyle name="Currency 2 2 2 2 3 5 2 4 2" xfId="3362"/>
    <cellStyle name="Currency 2 2 2 2 3 5 2 4 2 2" xfId="22603"/>
    <cellStyle name="Currency 2 2 2 2 3 5 2 4 3" xfId="22604"/>
    <cellStyle name="Currency 2 2 2 2 3 5 2 5" xfId="3363"/>
    <cellStyle name="Currency 2 2 2 2 3 5 2 5 2" xfId="3364"/>
    <cellStyle name="Currency 2 2 2 2 3 5 2 5 2 2" xfId="22605"/>
    <cellStyle name="Currency 2 2 2 2 3 5 2 5 3" xfId="22606"/>
    <cellStyle name="Currency 2 2 2 2 3 5 2 6" xfId="3365"/>
    <cellStyle name="Currency 2 2 2 2 3 5 2 6 2" xfId="22607"/>
    <cellStyle name="Currency 2 2 2 2 3 5 2 7" xfId="3366"/>
    <cellStyle name="Currency 2 2 2 2 3 5 3" xfId="745"/>
    <cellStyle name="Currency 2 2 2 2 3 5 3 2" xfId="1296"/>
    <cellStyle name="Currency 2 2 2 2 3 5 3 2 2" xfId="3367"/>
    <cellStyle name="Currency 2 2 2 2 3 5 3 2 2 2" xfId="3368"/>
    <cellStyle name="Currency 2 2 2 2 3 5 3 2 2 2 2" xfId="22608"/>
    <cellStyle name="Currency 2 2 2 2 3 5 3 2 2 3" xfId="22609"/>
    <cellStyle name="Currency 2 2 2 2 3 5 3 2 3" xfId="3369"/>
    <cellStyle name="Currency 2 2 2 2 3 5 3 2 3 2" xfId="3370"/>
    <cellStyle name="Currency 2 2 2 2 3 5 3 2 3 2 2" xfId="22610"/>
    <cellStyle name="Currency 2 2 2 2 3 5 3 2 3 3" xfId="22611"/>
    <cellStyle name="Currency 2 2 2 2 3 5 3 2 4" xfId="3371"/>
    <cellStyle name="Currency 2 2 2 2 3 5 3 2 4 2" xfId="3372"/>
    <cellStyle name="Currency 2 2 2 2 3 5 3 2 4 2 2" xfId="22612"/>
    <cellStyle name="Currency 2 2 2 2 3 5 3 2 4 3" xfId="22613"/>
    <cellStyle name="Currency 2 2 2 2 3 5 3 2 5" xfId="3373"/>
    <cellStyle name="Currency 2 2 2 2 3 5 3 2 5 2" xfId="22614"/>
    <cellStyle name="Currency 2 2 2 2 3 5 3 2 6" xfId="3374"/>
    <cellStyle name="Currency 2 2 2 2 3 5 3 3" xfId="3375"/>
    <cellStyle name="Currency 2 2 2 2 3 5 3 3 2" xfId="3376"/>
    <cellStyle name="Currency 2 2 2 2 3 5 3 3 2 2" xfId="22615"/>
    <cellStyle name="Currency 2 2 2 2 3 5 3 3 3" xfId="22616"/>
    <cellStyle name="Currency 2 2 2 2 3 5 3 4" xfId="3377"/>
    <cellStyle name="Currency 2 2 2 2 3 5 3 4 2" xfId="3378"/>
    <cellStyle name="Currency 2 2 2 2 3 5 3 4 2 2" xfId="22617"/>
    <cellStyle name="Currency 2 2 2 2 3 5 3 4 3" xfId="22618"/>
    <cellStyle name="Currency 2 2 2 2 3 5 3 5" xfId="3379"/>
    <cellStyle name="Currency 2 2 2 2 3 5 3 5 2" xfId="3380"/>
    <cellStyle name="Currency 2 2 2 2 3 5 3 5 2 2" xfId="22619"/>
    <cellStyle name="Currency 2 2 2 2 3 5 3 5 3" xfId="22620"/>
    <cellStyle name="Currency 2 2 2 2 3 5 3 6" xfId="3381"/>
    <cellStyle name="Currency 2 2 2 2 3 5 3 6 2" xfId="22621"/>
    <cellStyle name="Currency 2 2 2 2 3 5 3 7" xfId="3382"/>
    <cellStyle name="Currency 2 2 2 2 3 5 4" xfId="1297"/>
    <cellStyle name="Currency 2 2 2 2 3 5 4 2" xfId="3383"/>
    <cellStyle name="Currency 2 2 2 2 3 5 4 2 2" xfId="3384"/>
    <cellStyle name="Currency 2 2 2 2 3 5 4 2 2 2" xfId="22622"/>
    <cellStyle name="Currency 2 2 2 2 3 5 4 2 3" xfId="22623"/>
    <cellStyle name="Currency 2 2 2 2 3 5 4 3" xfId="3385"/>
    <cellStyle name="Currency 2 2 2 2 3 5 4 3 2" xfId="3386"/>
    <cellStyle name="Currency 2 2 2 2 3 5 4 3 2 2" xfId="22624"/>
    <cellStyle name="Currency 2 2 2 2 3 5 4 3 3" xfId="22625"/>
    <cellStyle name="Currency 2 2 2 2 3 5 4 4" xfId="3387"/>
    <cellStyle name="Currency 2 2 2 2 3 5 4 4 2" xfId="3388"/>
    <cellStyle name="Currency 2 2 2 2 3 5 4 4 2 2" xfId="22626"/>
    <cellStyle name="Currency 2 2 2 2 3 5 4 4 3" xfId="22627"/>
    <cellStyle name="Currency 2 2 2 2 3 5 4 5" xfId="3389"/>
    <cellStyle name="Currency 2 2 2 2 3 5 4 5 2" xfId="22628"/>
    <cellStyle name="Currency 2 2 2 2 3 5 4 6" xfId="3390"/>
    <cellStyle name="Currency 2 2 2 2 3 5 5" xfId="3391"/>
    <cellStyle name="Currency 2 2 2 2 3 5 5 2" xfId="3392"/>
    <cellStyle name="Currency 2 2 2 2 3 5 5 2 2" xfId="22629"/>
    <cellStyle name="Currency 2 2 2 2 3 5 5 3" xfId="22630"/>
    <cellStyle name="Currency 2 2 2 2 3 5 6" xfId="3393"/>
    <cellStyle name="Currency 2 2 2 2 3 5 6 2" xfId="3394"/>
    <cellStyle name="Currency 2 2 2 2 3 5 6 2 2" xfId="22631"/>
    <cellStyle name="Currency 2 2 2 2 3 5 6 3" xfId="22632"/>
    <cellStyle name="Currency 2 2 2 2 3 5 7" xfId="3395"/>
    <cellStyle name="Currency 2 2 2 2 3 5 7 2" xfId="3396"/>
    <cellStyle name="Currency 2 2 2 2 3 5 7 2 2" xfId="22633"/>
    <cellStyle name="Currency 2 2 2 2 3 5 7 3" xfId="22634"/>
    <cellStyle name="Currency 2 2 2 2 3 5 8" xfId="3397"/>
    <cellStyle name="Currency 2 2 2 2 3 5 8 2" xfId="22635"/>
    <cellStyle name="Currency 2 2 2 2 3 5 9" xfId="3398"/>
    <cellStyle name="Currency 2 2 2 2 3 6" xfId="114"/>
    <cellStyle name="Currency 2 2 2 2 3 6 2" xfId="535"/>
    <cellStyle name="Currency 2 2 2 2 3 6 2 2" xfId="1298"/>
    <cellStyle name="Currency 2 2 2 2 3 6 2 2 2" xfId="3399"/>
    <cellStyle name="Currency 2 2 2 2 3 6 2 2 2 2" xfId="3400"/>
    <cellStyle name="Currency 2 2 2 2 3 6 2 2 2 2 2" xfId="22636"/>
    <cellStyle name="Currency 2 2 2 2 3 6 2 2 2 3" xfId="22637"/>
    <cellStyle name="Currency 2 2 2 2 3 6 2 2 3" xfId="3401"/>
    <cellStyle name="Currency 2 2 2 2 3 6 2 2 3 2" xfId="3402"/>
    <cellStyle name="Currency 2 2 2 2 3 6 2 2 3 2 2" xfId="22638"/>
    <cellStyle name="Currency 2 2 2 2 3 6 2 2 3 3" xfId="22639"/>
    <cellStyle name="Currency 2 2 2 2 3 6 2 2 4" xfId="3403"/>
    <cellStyle name="Currency 2 2 2 2 3 6 2 2 4 2" xfId="3404"/>
    <cellStyle name="Currency 2 2 2 2 3 6 2 2 4 2 2" xfId="22640"/>
    <cellStyle name="Currency 2 2 2 2 3 6 2 2 4 3" xfId="22641"/>
    <cellStyle name="Currency 2 2 2 2 3 6 2 2 5" xfId="3405"/>
    <cellStyle name="Currency 2 2 2 2 3 6 2 2 5 2" xfId="22642"/>
    <cellStyle name="Currency 2 2 2 2 3 6 2 2 6" xfId="3406"/>
    <cellStyle name="Currency 2 2 2 2 3 6 2 3" xfId="3407"/>
    <cellStyle name="Currency 2 2 2 2 3 6 2 3 2" xfId="3408"/>
    <cellStyle name="Currency 2 2 2 2 3 6 2 3 2 2" xfId="22643"/>
    <cellStyle name="Currency 2 2 2 2 3 6 2 3 3" xfId="22644"/>
    <cellStyle name="Currency 2 2 2 2 3 6 2 4" xfId="3409"/>
    <cellStyle name="Currency 2 2 2 2 3 6 2 4 2" xfId="3410"/>
    <cellStyle name="Currency 2 2 2 2 3 6 2 4 2 2" xfId="22645"/>
    <cellStyle name="Currency 2 2 2 2 3 6 2 4 3" xfId="22646"/>
    <cellStyle name="Currency 2 2 2 2 3 6 2 5" xfId="3411"/>
    <cellStyle name="Currency 2 2 2 2 3 6 2 5 2" xfId="3412"/>
    <cellStyle name="Currency 2 2 2 2 3 6 2 5 2 2" xfId="22647"/>
    <cellStyle name="Currency 2 2 2 2 3 6 2 5 3" xfId="22648"/>
    <cellStyle name="Currency 2 2 2 2 3 6 2 6" xfId="3413"/>
    <cellStyle name="Currency 2 2 2 2 3 6 2 6 2" xfId="22649"/>
    <cellStyle name="Currency 2 2 2 2 3 6 2 7" xfId="3414"/>
    <cellStyle name="Currency 2 2 2 2 3 6 3" xfId="1299"/>
    <cellStyle name="Currency 2 2 2 2 3 6 3 2" xfId="3415"/>
    <cellStyle name="Currency 2 2 2 2 3 6 3 2 2" xfId="3416"/>
    <cellStyle name="Currency 2 2 2 2 3 6 3 2 2 2" xfId="22650"/>
    <cellStyle name="Currency 2 2 2 2 3 6 3 2 3" xfId="22651"/>
    <cellStyle name="Currency 2 2 2 2 3 6 3 3" xfId="3417"/>
    <cellStyle name="Currency 2 2 2 2 3 6 3 3 2" xfId="3418"/>
    <cellStyle name="Currency 2 2 2 2 3 6 3 3 2 2" xfId="22652"/>
    <cellStyle name="Currency 2 2 2 2 3 6 3 3 3" xfId="22653"/>
    <cellStyle name="Currency 2 2 2 2 3 6 3 4" xfId="3419"/>
    <cellStyle name="Currency 2 2 2 2 3 6 3 4 2" xfId="3420"/>
    <cellStyle name="Currency 2 2 2 2 3 6 3 4 2 2" xfId="22654"/>
    <cellStyle name="Currency 2 2 2 2 3 6 3 4 3" xfId="22655"/>
    <cellStyle name="Currency 2 2 2 2 3 6 3 5" xfId="3421"/>
    <cellStyle name="Currency 2 2 2 2 3 6 3 5 2" xfId="22656"/>
    <cellStyle name="Currency 2 2 2 2 3 6 3 6" xfId="3422"/>
    <cellStyle name="Currency 2 2 2 2 3 6 4" xfId="3423"/>
    <cellStyle name="Currency 2 2 2 2 3 6 4 2" xfId="3424"/>
    <cellStyle name="Currency 2 2 2 2 3 6 4 2 2" xfId="22657"/>
    <cellStyle name="Currency 2 2 2 2 3 6 4 3" xfId="22658"/>
    <cellStyle name="Currency 2 2 2 2 3 6 5" xfId="3425"/>
    <cellStyle name="Currency 2 2 2 2 3 6 5 2" xfId="3426"/>
    <cellStyle name="Currency 2 2 2 2 3 6 5 2 2" xfId="22659"/>
    <cellStyle name="Currency 2 2 2 2 3 6 5 3" xfId="22660"/>
    <cellStyle name="Currency 2 2 2 2 3 6 6" xfId="3427"/>
    <cellStyle name="Currency 2 2 2 2 3 6 6 2" xfId="3428"/>
    <cellStyle name="Currency 2 2 2 2 3 6 6 2 2" xfId="22661"/>
    <cellStyle name="Currency 2 2 2 2 3 6 6 3" xfId="22662"/>
    <cellStyle name="Currency 2 2 2 2 3 6 7" xfId="3429"/>
    <cellStyle name="Currency 2 2 2 2 3 6 7 2" xfId="22663"/>
    <cellStyle name="Currency 2 2 2 2 3 6 8" xfId="3430"/>
    <cellStyle name="Currency 2 2 2 2 3 7" xfId="903"/>
    <cellStyle name="Currency 2 2 2 2 3 7 2" xfId="1300"/>
    <cellStyle name="Currency 2 2 2 2 3 7 2 2" xfId="3431"/>
    <cellStyle name="Currency 2 2 2 2 3 7 2 2 2" xfId="3432"/>
    <cellStyle name="Currency 2 2 2 2 3 7 2 2 2 2" xfId="22664"/>
    <cellStyle name="Currency 2 2 2 2 3 7 2 2 3" xfId="22665"/>
    <cellStyle name="Currency 2 2 2 2 3 7 2 3" xfId="3433"/>
    <cellStyle name="Currency 2 2 2 2 3 7 2 3 2" xfId="3434"/>
    <cellStyle name="Currency 2 2 2 2 3 7 2 3 2 2" xfId="22666"/>
    <cellStyle name="Currency 2 2 2 2 3 7 2 3 3" xfId="22667"/>
    <cellStyle name="Currency 2 2 2 2 3 7 2 4" xfId="3435"/>
    <cellStyle name="Currency 2 2 2 2 3 7 2 4 2" xfId="3436"/>
    <cellStyle name="Currency 2 2 2 2 3 7 2 4 2 2" xfId="22668"/>
    <cellStyle name="Currency 2 2 2 2 3 7 2 4 3" xfId="22669"/>
    <cellStyle name="Currency 2 2 2 2 3 7 2 5" xfId="3437"/>
    <cellStyle name="Currency 2 2 2 2 3 7 2 5 2" xfId="22670"/>
    <cellStyle name="Currency 2 2 2 2 3 7 2 6" xfId="3438"/>
    <cellStyle name="Currency 2 2 2 2 3 7 3" xfId="3439"/>
    <cellStyle name="Currency 2 2 2 2 3 7 3 2" xfId="3440"/>
    <cellStyle name="Currency 2 2 2 2 3 7 3 2 2" xfId="22671"/>
    <cellStyle name="Currency 2 2 2 2 3 7 3 3" xfId="22672"/>
    <cellStyle name="Currency 2 2 2 2 3 7 4" xfId="3441"/>
    <cellStyle name="Currency 2 2 2 2 3 7 4 2" xfId="3442"/>
    <cellStyle name="Currency 2 2 2 2 3 7 4 2 2" xfId="22673"/>
    <cellStyle name="Currency 2 2 2 2 3 7 4 3" xfId="22674"/>
    <cellStyle name="Currency 2 2 2 2 3 7 5" xfId="3443"/>
    <cellStyle name="Currency 2 2 2 2 3 7 5 2" xfId="3444"/>
    <cellStyle name="Currency 2 2 2 2 3 7 5 2 2" xfId="22675"/>
    <cellStyle name="Currency 2 2 2 2 3 7 5 3" xfId="22676"/>
    <cellStyle name="Currency 2 2 2 2 3 7 6" xfId="3445"/>
    <cellStyle name="Currency 2 2 2 2 3 7 6 2" xfId="22677"/>
    <cellStyle name="Currency 2 2 2 2 3 7 7" xfId="3446"/>
    <cellStyle name="Currency 2 2 2 2 3 8" xfId="463"/>
    <cellStyle name="Currency 2 2 2 2 3 8 2" xfId="1301"/>
    <cellStyle name="Currency 2 2 2 2 3 8 2 2" xfId="3447"/>
    <cellStyle name="Currency 2 2 2 2 3 8 2 2 2" xfId="3448"/>
    <cellStyle name="Currency 2 2 2 2 3 8 2 2 2 2" xfId="22678"/>
    <cellStyle name="Currency 2 2 2 2 3 8 2 2 3" xfId="22679"/>
    <cellStyle name="Currency 2 2 2 2 3 8 2 3" xfId="3449"/>
    <cellStyle name="Currency 2 2 2 2 3 8 2 3 2" xfId="3450"/>
    <cellStyle name="Currency 2 2 2 2 3 8 2 3 2 2" xfId="22680"/>
    <cellStyle name="Currency 2 2 2 2 3 8 2 3 3" xfId="22681"/>
    <cellStyle name="Currency 2 2 2 2 3 8 2 4" xfId="3451"/>
    <cellStyle name="Currency 2 2 2 2 3 8 2 4 2" xfId="3452"/>
    <cellStyle name="Currency 2 2 2 2 3 8 2 4 2 2" xfId="22682"/>
    <cellStyle name="Currency 2 2 2 2 3 8 2 4 3" xfId="22683"/>
    <cellStyle name="Currency 2 2 2 2 3 8 2 5" xfId="3453"/>
    <cellStyle name="Currency 2 2 2 2 3 8 2 5 2" xfId="22684"/>
    <cellStyle name="Currency 2 2 2 2 3 8 2 6" xfId="3454"/>
    <cellStyle name="Currency 2 2 2 2 3 8 3" xfId="3455"/>
    <cellStyle name="Currency 2 2 2 2 3 8 3 2" xfId="3456"/>
    <cellStyle name="Currency 2 2 2 2 3 8 3 2 2" xfId="22685"/>
    <cellStyle name="Currency 2 2 2 2 3 8 3 3" xfId="22686"/>
    <cellStyle name="Currency 2 2 2 2 3 8 4" xfId="3457"/>
    <cellStyle name="Currency 2 2 2 2 3 8 4 2" xfId="3458"/>
    <cellStyle name="Currency 2 2 2 2 3 8 4 2 2" xfId="22687"/>
    <cellStyle name="Currency 2 2 2 2 3 8 4 3" xfId="22688"/>
    <cellStyle name="Currency 2 2 2 2 3 8 5" xfId="3459"/>
    <cellStyle name="Currency 2 2 2 2 3 8 5 2" xfId="3460"/>
    <cellStyle name="Currency 2 2 2 2 3 8 5 2 2" xfId="22689"/>
    <cellStyle name="Currency 2 2 2 2 3 8 5 3" xfId="22690"/>
    <cellStyle name="Currency 2 2 2 2 3 8 6" xfId="3461"/>
    <cellStyle name="Currency 2 2 2 2 3 8 6 2" xfId="22691"/>
    <cellStyle name="Currency 2 2 2 2 3 8 7" xfId="3462"/>
    <cellStyle name="Currency 2 2 2 2 3 9" xfId="1302"/>
    <cellStyle name="Currency 2 2 2 2 3 9 2" xfId="3463"/>
    <cellStyle name="Currency 2 2 2 2 3 9 2 2" xfId="3464"/>
    <cellStyle name="Currency 2 2 2 2 3 9 2 2 2" xfId="22692"/>
    <cellStyle name="Currency 2 2 2 2 3 9 2 3" xfId="22693"/>
    <cellStyle name="Currency 2 2 2 2 3 9 3" xfId="3465"/>
    <cellStyle name="Currency 2 2 2 2 3 9 3 2" xfId="3466"/>
    <cellStyle name="Currency 2 2 2 2 3 9 3 2 2" xfId="22694"/>
    <cellStyle name="Currency 2 2 2 2 3 9 3 3" xfId="22695"/>
    <cellStyle name="Currency 2 2 2 2 3 9 4" xfId="3467"/>
    <cellStyle name="Currency 2 2 2 2 3 9 4 2" xfId="3468"/>
    <cellStyle name="Currency 2 2 2 2 3 9 4 2 2" xfId="22696"/>
    <cellStyle name="Currency 2 2 2 2 3 9 4 3" xfId="22697"/>
    <cellStyle name="Currency 2 2 2 2 3 9 5" xfId="3469"/>
    <cellStyle name="Currency 2 2 2 2 3 9 5 2" xfId="22698"/>
    <cellStyle name="Currency 2 2 2 2 3 9 6" xfId="3470"/>
    <cellStyle name="Currency 2 2 2 2 4" xfId="193"/>
    <cellStyle name="Currency 2 2 2 2 4 10" xfId="3471"/>
    <cellStyle name="Currency 2 2 2 2 4 2" xfId="351"/>
    <cellStyle name="Currency 2 2 2 2 4 2 2" xfId="1139"/>
    <cellStyle name="Currency 2 2 2 2 4 2 2 2" xfId="1303"/>
    <cellStyle name="Currency 2 2 2 2 4 2 2 2 2" xfId="3472"/>
    <cellStyle name="Currency 2 2 2 2 4 2 2 2 2 2" xfId="3473"/>
    <cellStyle name="Currency 2 2 2 2 4 2 2 2 2 2 2" xfId="22699"/>
    <cellStyle name="Currency 2 2 2 2 4 2 2 2 2 3" xfId="22700"/>
    <cellStyle name="Currency 2 2 2 2 4 2 2 2 3" xfId="3474"/>
    <cellStyle name="Currency 2 2 2 2 4 2 2 2 3 2" xfId="3475"/>
    <cellStyle name="Currency 2 2 2 2 4 2 2 2 3 2 2" xfId="22701"/>
    <cellStyle name="Currency 2 2 2 2 4 2 2 2 3 3" xfId="22702"/>
    <cellStyle name="Currency 2 2 2 2 4 2 2 2 4" xfId="3476"/>
    <cellStyle name="Currency 2 2 2 2 4 2 2 2 4 2" xfId="3477"/>
    <cellStyle name="Currency 2 2 2 2 4 2 2 2 4 2 2" xfId="22703"/>
    <cellStyle name="Currency 2 2 2 2 4 2 2 2 4 3" xfId="22704"/>
    <cellStyle name="Currency 2 2 2 2 4 2 2 2 5" xfId="3478"/>
    <cellStyle name="Currency 2 2 2 2 4 2 2 2 5 2" xfId="22705"/>
    <cellStyle name="Currency 2 2 2 2 4 2 2 2 6" xfId="3479"/>
    <cellStyle name="Currency 2 2 2 2 4 2 2 3" xfId="3480"/>
    <cellStyle name="Currency 2 2 2 2 4 2 2 3 2" xfId="3481"/>
    <cellStyle name="Currency 2 2 2 2 4 2 2 3 2 2" xfId="22706"/>
    <cellStyle name="Currency 2 2 2 2 4 2 2 3 3" xfId="22707"/>
    <cellStyle name="Currency 2 2 2 2 4 2 2 4" xfId="3482"/>
    <cellStyle name="Currency 2 2 2 2 4 2 2 4 2" xfId="3483"/>
    <cellStyle name="Currency 2 2 2 2 4 2 2 4 2 2" xfId="22708"/>
    <cellStyle name="Currency 2 2 2 2 4 2 2 4 3" xfId="22709"/>
    <cellStyle name="Currency 2 2 2 2 4 2 2 5" xfId="3484"/>
    <cellStyle name="Currency 2 2 2 2 4 2 2 5 2" xfId="3485"/>
    <cellStyle name="Currency 2 2 2 2 4 2 2 5 2 2" xfId="22710"/>
    <cellStyle name="Currency 2 2 2 2 4 2 2 5 3" xfId="22711"/>
    <cellStyle name="Currency 2 2 2 2 4 2 2 6" xfId="3486"/>
    <cellStyle name="Currency 2 2 2 2 4 2 2 6 2" xfId="22712"/>
    <cellStyle name="Currency 2 2 2 2 4 2 2 7" xfId="3487"/>
    <cellStyle name="Currency 2 2 2 2 4 2 3" xfId="771"/>
    <cellStyle name="Currency 2 2 2 2 4 2 3 2" xfId="1304"/>
    <cellStyle name="Currency 2 2 2 2 4 2 3 2 2" xfId="3488"/>
    <cellStyle name="Currency 2 2 2 2 4 2 3 2 2 2" xfId="3489"/>
    <cellStyle name="Currency 2 2 2 2 4 2 3 2 2 2 2" xfId="22713"/>
    <cellStyle name="Currency 2 2 2 2 4 2 3 2 2 3" xfId="22714"/>
    <cellStyle name="Currency 2 2 2 2 4 2 3 2 3" xfId="3490"/>
    <cellStyle name="Currency 2 2 2 2 4 2 3 2 3 2" xfId="3491"/>
    <cellStyle name="Currency 2 2 2 2 4 2 3 2 3 2 2" xfId="22715"/>
    <cellStyle name="Currency 2 2 2 2 4 2 3 2 3 3" xfId="22716"/>
    <cellStyle name="Currency 2 2 2 2 4 2 3 2 4" xfId="3492"/>
    <cellStyle name="Currency 2 2 2 2 4 2 3 2 4 2" xfId="3493"/>
    <cellStyle name="Currency 2 2 2 2 4 2 3 2 4 2 2" xfId="22717"/>
    <cellStyle name="Currency 2 2 2 2 4 2 3 2 4 3" xfId="22718"/>
    <cellStyle name="Currency 2 2 2 2 4 2 3 2 5" xfId="3494"/>
    <cellStyle name="Currency 2 2 2 2 4 2 3 2 5 2" xfId="22719"/>
    <cellStyle name="Currency 2 2 2 2 4 2 3 2 6" xfId="3495"/>
    <cellStyle name="Currency 2 2 2 2 4 2 3 3" xfId="3496"/>
    <cellStyle name="Currency 2 2 2 2 4 2 3 3 2" xfId="3497"/>
    <cellStyle name="Currency 2 2 2 2 4 2 3 3 2 2" xfId="22720"/>
    <cellStyle name="Currency 2 2 2 2 4 2 3 3 3" xfId="22721"/>
    <cellStyle name="Currency 2 2 2 2 4 2 3 4" xfId="3498"/>
    <cellStyle name="Currency 2 2 2 2 4 2 3 4 2" xfId="3499"/>
    <cellStyle name="Currency 2 2 2 2 4 2 3 4 2 2" xfId="22722"/>
    <cellStyle name="Currency 2 2 2 2 4 2 3 4 3" xfId="22723"/>
    <cellStyle name="Currency 2 2 2 2 4 2 3 5" xfId="3500"/>
    <cellStyle name="Currency 2 2 2 2 4 2 3 5 2" xfId="3501"/>
    <cellStyle name="Currency 2 2 2 2 4 2 3 5 2 2" xfId="22724"/>
    <cellStyle name="Currency 2 2 2 2 4 2 3 5 3" xfId="22725"/>
    <cellStyle name="Currency 2 2 2 2 4 2 3 6" xfId="3502"/>
    <cellStyle name="Currency 2 2 2 2 4 2 3 6 2" xfId="22726"/>
    <cellStyle name="Currency 2 2 2 2 4 2 3 7" xfId="3503"/>
    <cellStyle name="Currency 2 2 2 2 4 2 4" xfId="1305"/>
    <cellStyle name="Currency 2 2 2 2 4 2 4 2" xfId="3504"/>
    <cellStyle name="Currency 2 2 2 2 4 2 4 2 2" xfId="3505"/>
    <cellStyle name="Currency 2 2 2 2 4 2 4 2 2 2" xfId="22727"/>
    <cellStyle name="Currency 2 2 2 2 4 2 4 2 3" xfId="22728"/>
    <cellStyle name="Currency 2 2 2 2 4 2 4 3" xfId="3506"/>
    <cellStyle name="Currency 2 2 2 2 4 2 4 3 2" xfId="3507"/>
    <cellStyle name="Currency 2 2 2 2 4 2 4 3 2 2" xfId="22729"/>
    <cellStyle name="Currency 2 2 2 2 4 2 4 3 3" xfId="22730"/>
    <cellStyle name="Currency 2 2 2 2 4 2 4 4" xfId="3508"/>
    <cellStyle name="Currency 2 2 2 2 4 2 4 4 2" xfId="3509"/>
    <cellStyle name="Currency 2 2 2 2 4 2 4 4 2 2" xfId="22731"/>
    <cellStyle name="Currency 2 2 2 2 4 2 4 4 3" xfId="22732"/>
    <cellStyle name="Currency 2 2 2 2 4 2 4 5" xfId="3510"/>
    <cellStyle name="Currency 2 2 2 2 4 2 4 5 2" xfId="22733"/>
    <cellStyle name="Currency 2 2 2 2 4 2 4 6" xfId="3511"/>
    <cellStyle name="Currency 2 2 2 2 4 2 5" xfId="3512"/>
    <cellStyle name="Currency 2 2 2 2 4 2 5 2" xfId="3513"/>
    <cellStyle name="Currency 2 2 2 2 4 2 5 2 2" xfId="22734"/>
    <cellStyle name="Currency 2 2 2 2 4 2 5 3" xfId="22735"/>
    <cellStyle name="Currency 2 2 2 2 4 2 6" xfId="3514"/>
    <cellStyle name="Currency 2 2 2 2 4 2 6 2" xfId="3515"/>
    <cellStyle name="Currency 2 2 2 2 4 2 6 2 2" xfId="22736"/>
    <cellStyle name="Currency 2 2 2 2 4 2 6 3" xfId="22737"/>
    <cellStyle name="Currency 2 2 2 2 4 2 7" xfId="3516"/>
    <cellStyle name="Currency 2 2 2 2 4 2 7 2" xfId="3517"/>
    <cellStyle name="Currency 2 2 2 2 4 2 7 2 2" xfId="22738"/>
    <cellStyle name="Currency 2 2 2 2 4 2 7 3" xfId="22739"/>
    <cellStyle name="Currency 2 2 2 2 4 2 8" xfId="3518"/>
    <cellStyle name="Currency 2 2 2 2 4 2 8 2" xfId="22740"/>
    <cellStyle name="Currency 2 2 2 2 4 2 9" xfId="3519"/>
    <cellStyle name="Currency 2 2 2 2 4 3" xfId="981"/>
    <cellStyle name="Currency 2 2 2 2 4 3 2" xfId="1306"/>
    <cellStyle name="Currency 2 2 2 2 4 3 2 2" xfId="3520"/>
    <cellStyle name="Currency 2 2 2 2 4 3 2 2 2" xfId="3521"/>
    <cellStyle name="Currency 2 2 2 2 4 3 2 2 2 2" xfId="22741"/>
    <cellStyle name="Currency 2 2 2 2 4 3 2 2 3" xfId="22742"/>
    <cellStyle name="Currency 2 2 2 2 4 3 2 3" xfId="3522"/>
    <cellStyle name="Currency 2 2 2 2 4 3 2 3 2" xfId="3523"/>
    <cellStyle name="Currency 2 2 2 2 4 3 2 3 2 2" xfId="22743"/>
    <cellStyle name="Currency 2 2 2 2 4 3 2 3 3" xfId="22744"/>
    <cellStyle name="Currency 2 2 2 2 4 3 2 4" xfId="3524"/>
    <cellStyle name="Currency 2 2 2 2 4 3 2 4 2" xfId="3525"/>
    <cellStyle name="Currency 2 2 2 2 4 3 2 4 2 2" xfId="22745"/>
    <cellStyle name="Currency 2 2 2 2 4 3 2 4 3" xfId="22746"/>
    <cellStyle name="Currency 2 2 2 2 4 3 2 5" xfId="3526"/>
    <cellStyle name="Currency 2 2 2 2 4 3 2 5 2" xfId="22747"/>
    <cellStyle name="Currency 2 2 2 2 4 3 2 6" xfId="3527"/>
    <cellStyle name="Currency 2 2 2 2 4 3 3" xfId="3528"/>
    <cellStyle name="Currency 2 2 2 2 4 3 3 2" xfId="3529"/>
    <cellStyle name="Currency 2 2 2 2 4 3 3 2 2" xfId="22748"/>
    <cellStyle name="Currency 2 2 2 2 4 3 3 3" xfId="22749"/>
    <cellStyle name="Currency 2 2 2 2 4 3 4" xfId="3530"/>
    <cellStyle name="Currency 2 2 2 2 4 3 4 2" xfId="3531"/>
    <cellStyle name="Currency 2 2 2 2 4 3 4 2 2" xfId="22750"/>
    <cellStyle name="Currency 2 2 2 2 4 3 4 3" xfId="22751"/>
    <cellStyle name="Currency 2 2 2 2 4 3 5" xfId="3532"/>
    <cellStyle name="Currency 2 2 2 2 4 3 5 2" xfId="3533"/>
    <cellStyle name="Currency 2 2 2 2 4 3 5 2 2" xfId="22752"/>
    <cellStyle name="Currency 2 2 2 2 4 3 5 3" xfId="22753"/>
    <cellStyle name="Currency 2 2 2 2 4 3 6" xfId="3534"/>
    <cellStyle name="Currency 2 2 2 2 4 3 6 2" xfId="22754"/>
    <cellStyle name="Currency 2 2 2 2 4 3 7" xfId="3535"/>
    <cellStyle name="Currency 2 2 2 2 4 4" xfId="613"/>
    <cellStyle name="Currency 2 2 2 2 4 4 2" xfId="1307"/>
    <cellStyle name="Currency 2 2 2 2 4 4 2 2" xfId="3536"/>
    <cellStyle name="Currency 2 2 2 2 4 4 2 2 2" xfId="3537"/>
    <cellStyle name="Currency 2 2 2 2 4 4 2 2 2 2" xfId="22755"/>
    <cellStyle name="Currency 2 2 2 2 4 4 2 2 3" xfId="22756"/>
    <cellStyle name="Currency 2 2 2 2 4 4 2 3" xfId="3538"/>
    <cellStyle name="Currency 2 2 2 2 4 4 2 3 2" xfId="3539"/>
    <cellStyle name="Currency 2 2 2 2 4 4 2 3 2 2" xfId="22757"/>
    <cellStyle name="Currency 2 2 2 2 4 4 2 3 3" xfId="22758"/>
    <cellStyle name="Currency 2 2 2 2 4 4 2 4" xfId="3540"/>
    <cellStyle name="Currency 2 2 2 2 4 4 2 4 2" xfId="3541"/>
    <cellStyle name="Currency 2 2 2 2 4 4 2 4 2 2" xfId="22759"/>
    <cellStyle name="Currency 2 2 2 2 4 4 2 4 3" xfId="22760"/>
    <cellStyle name="Currency 2 2 2 2 4 4 2 5" xfId="3542"/>
    <cellStyle name="Currency 2 2 2 2 4 4 2 5 2" xfId="22761"/>
    <cellStyle name="Currency 2 2 2 2 4 4 2 6" xfId="3543"/>
    <cellStyle name="Currency 2 2 2 2 4 4 3" xfId="3544"/>
    <cellStyle name="Currency 2 2 2 2 4 4 3 2" xfId="3545"/>
    <cellStyle name="Currency 2 2 2 2 4 4 3 2 2" xfId="22762"/>
    <cellStyle name="Currency 2 2 2 2 4 4 3 3" xfId="22763"/>
    <cellStyle name="Currency 2 2 2 2 4 4 4" xfId="3546"/>
    <cellStyle name="Currency 2 2 2 2 4 4 4 2" xfId="3547"/>
    <cellStyle name="Currency 2 2 2 2 4 4 4 2 2" xfId="22764"/>
    <cellStyle name="Currency 2 2 2 2 4 4 4 3" xfId="22765"/>
    <cellStyle name="Currency 2 2 2 2 4 4 5" xfId="3548"/>
    <cellStyle name="Currency 2 2 2 2 4 4 5 2" xfId="3549"/>
    <cellStyle name="Currency 2 2 2 2 4 4 5 2 2" xfId="22766"/>
    <cellStyle name="Currency 2 2 2 2 4 4 5 3" xfId="22767"/>
    <cellStyle name="Currency 2 2 2 2 4 4 6" xfId="3550"/>
    <cellStyle name="Currency 2 2 2 2 4 4 6 2" xfId="22768"/>
    <cellStyle name="Currency 2 2 2 2 4 4 7" xfId="3551"/>
    <cellStyle name="Currency 2 2 2 2 4 5" xfId="1308"/>
    <cellStyle name="Currency 2 2 2 2 4 5 2" xfId="3552"/>
    <cellStyle name="Currency 2 2 2 2 4 5 2 2" xfId="3553"/>
    <cellStyle name="Currency 2 2 2 2 4 5 2 2 2" xfId="22769"/>
    <cellStyle name="Currency 2 2 2 2 4 5 2 3" xfId="22770"/>
    <cellStyle name="Currency 2 2 2 2 4 5 3" xfId="3554"/>
    <cellStyle name="Currency 2 2 2 2 4 5 3 2" xfId="3555"/>
    <cellStyle name="Currency 2 2 2 2 4 5 3 2 2" xfId="22771"/>
    <cellStyle name="Currency 2 2 2 2 4 5 3 3" xfId="22772"/>
    <cellStyle name="Currency 2 2 2 2 4 5 4" xfId="3556"/>
    <cellStyle name="Currency 2 2 2 2 4 5 4 2" xfId="3557"/>
    <cellStyle name="Currency 2 2 2 2 4 5 4 2 2" xfId="22773"/>
    <cellStyle name="Currency 2 2 2 2 4 5 4 3" xfId="22774"/>
    <cellStyle name="Currency 2 2 2 2 4 5 5" xfId="3558"/>
    <cellStyle name="Currency 2 2 2 2 4 5 5 2" xfId="22775"/>
    <cellStyle name="Currency 2 2 2 2 4 5 6" xfId="3559"/>
    <cellStyle name="Currency 2 2 2 2 4 6" xfId="3560"/>
    <cellStyle name="Currency 2 2 2 2 4 6 2" xfId="3561"/>
    <cellStyle name="Currency 2 2 2 2 4 6 2 2" xfId="22776"/>
    <cellStyle name="Currency 2 2 2 2 4 6 3" xfId="22777"/>
    <cellStyle name="Currency 2 2 2 2 4 7" xfId="3562"/>
    <cellStyle name="Currency 2 2 2 2 4 7 2" xfId="3563"/>
    <cellStyle name="Currency 2 2 2 2 4 7 2 2" xfId="22778"/>
    <cellStyle name="Currency 2 2 2 2 4 7 3" xfId="22779"/>
    <cellStyle name="Currency 2 2 2 2 4 8" xfId="3564"/>
    <cellStyle name="Currency 2 2 2 2 4 8 2" xfId="3565"/>
    <cellStyle name="Currency 2 2 2 2 4 8 2 2" xfId="22780"/>
    <cellStyle name="Currency 2 2 2 2 4 8 3" xfId="22781"/>
    <cellStyle name="Currency 2 2 2 2 4 9" xfId="3566"/>
    <cellStyle name="Currency 2 2 2 2 4 9 2" xfId="22782"/>
    <cellStyle name="Currency 2 2 2 2 5" xfId="244"/>
    <cellStyle name="Currency 2 2 2 2 5 10" xfId="3567"/>
    <cellStyle name="Currency 2 2 2 2 5 2" xfId="402"/>
    <cellStyle name="Currency 2 2 2 2 5 2 2" xfId="1190"/>
    <cellStyle name="Currency 2 2 2 2 5 2 2 2" xfId="1309"/>
    <cellStyle name="Currency 2 2 2 2 5 2 2 2 2" xfId="3568"/>
    <cellStyle name="Currency 2 2 2 2 5 2 2 2 2 2" xfId="3569"/>
    <cellStyle name="Currency 2 2 2 2 5 2 2 2 2 2 2" xfId="22783"/>
    <cellStyle name="Currency 2 2 2 2 5 2 2 2 2 3" xfId="22784"/>
    <cellStyle name="Currency 2 2 2 2 5 2 2 2 3" xfId="3570"/>
    <cellStyle name="Currency 2 2 2 2 5 2 2 2 3 2" xfId="3571"/>
    <cellStyle name="Currency 2 2 2 2 5 2 2 2 3 2 2" xfId="22785"/>
    <cellStyle name="Currency 2 2 2 2 5 2 2 2 3 3" xfId="22786"/>
    <cellStyle name="Currency 2 2 2 2 5 2 2 2 4" xfId="3572"/>
    <cellStyle name="Currency 2 2 2 2 5 2 2 2 4 2" xfId="3573"/>
    <cellStyle name="Currency 2 2 2 2 5 2 2 2 4 2 2" xfId="22787"/>
    <cellStyle name="Currency 2 2 2 2 5 2 2 2 4 3" xfId="22788"/>
    <cellStyle name="Currency 2 2 2 2 5 2 2 2 5" xfId="3574"/>
    <cellStyle name="Currency 2 2 2 2 5 2 2 2 5 2" xfId="22789"/>
    <cellStyle name="Currency 2 2 2 2 5 2 2 2 6" xfId="3575"/>
    <cellStyle name="Currency 2 2 2 2 5 2 2 3" xfId="3576"/>
    <cellStyle name="Currency 2 2 2 2 5 2 2 3 2" xfId="3577"/>
    <cellStyle name="Currency 2 2 2 2 5 2 2 3 2 2" xfId="22790"/>
    <cellStyle name="Currency 2 2 2 2 5 2 2 3 3" xfId="22791"/>
    <cellStyle name="Currency 2 2 2 2 5 2 2 4" xfId="3578"/>
    <cellStyle name="Currency 2 2 2 2 5 2 2 4 2" xfId="3579"/>
    <cellStyle name="Currency 2 2 2 2 5 2 2 4 2 2" xfId="22792"/>
    <cellStyle name="Currency 2 2 2 2 5 2 2 4 3" xfId="22793"/>
    <cellStyle name="Currency 2 2 2 2 5 2 2 5" xfId="3580"/>
    <cellStyle name="Currency 2 2 2 2 5 2 2 5 2" xfId="3581"/>
    <cellStyle name="Currency 2 2 2 2 5 2 2 5 2 2" xfId="22794"/>
    <cellStyle name="Currency 2 2 2 2 5 2 2 5 3" xfId="22795"/>
    <cellStyle name="Currency 2 2 2 2 5 2 2 6" xfId="3582"/>
    <cellStyle name="Currency 2 2 2 2 5 2 2 6 2" xfId="22796"/>
    <cellStyle name="Currency 2 2 2 2 5 2 2 7" xfId="3583"/>
    <cellStyle name="Currency 2 2 2 2 5 2 3" xfId="822"/>
    <cellStyle name="Currency 2 2 2 2 5 2 3 2" xfId="1310"/>
    <cellStyle name="Currency 2 2 2 2 5 2 3 2 2" xfId="3584"/>
    <cellStyle name="Currency 2 2 2 2 5 2 3 2 2 2" xfId="3585"/>
    <cellStyle name="Currency 2 2 2 2 5 2 3 2 2 2 2" xfId="22797"/>
    <cellStyle name="Currency 2 2 2 2 5 2 3 2 2 3" xfId="22798"/>
    <cellStyle name="Currency 2 2 2 2 5 2 3 2 3" xfId="3586"/>
    <cellStyle name="Currency 2 2 2 2 5 2 3 2 3 2" xfId="3587"/>
    <cellStyle name="Currency 2 2 2 2 5 2 3 2 3 2 2" xfId="22799"/>
    <cellStyle name="Currency 2 2 2 2 5 2 3 2 3 3" xfId="22800"/>
    <cellStyle name="Currency 2 2 2 2 5 2 3 2 4" xfId="3588"/>
    <cellStyle name="Currency 2 2 2 2 5 2 3 2 4 2" xfId="3589"/>
    <cellStyle name="Currency 2 2 2 2 5 2 3 2 4 2 2" xfId="22801"/>
    <cellStyle name="Currency 2 2 2 2 5 2 3 2 4 3" xfId="22802"/>
    <cellStyle name="Currency 2 2 2 2 5 2 3 2 5" xfId="3590"/>
    <cellStyle name="Currency 2 2 2 2 5 2 3 2 5 2" xfId="22803"/>
    <cellStyle name="Currency 2 2 2 2 5 2 3 2 6" xfId="3591"/>
    <cellStyle name="Currency 2 2 2 2 5 2 3 3" xfId="3592"/>
    <cellStyle name="Currency 2 2 2 2 5 2 3 3 2" xfId="3593"/>
    <cellStyle name="Currency 2 2 2 2 5 2 3 3 2 2" xfId="22804"/>
    <cellStyle name="Currency 2 2 2 2 5 2 3 3 3" xfId="22805"/>
    <cellStyle name="Currency 2 2 2 2 5 2 3 4" xfId="3594"/>
    <cellStyle name="Currency 2 2 2 2 5 2 3 4 2" xfId="3595"/>
    <cellStyle name="Currency 2 2 2 2 5 2 3 4 2 2" xfId="22806"/>
    <cellStyle name="Currency 2 2 2 2 5 2 3 4 3" xfId="22807"/>
    <cellStyle name="Currency 2 2 2 2 5 2 3 5" xfId="3596"/>
    <cellStyle name="Currency 2 2 2 2 5 2 3 5 2" xfId="3597"/>
    <cellStyle name="Currency 2 2 2 2 5 2 3 5 2 2" xfId="22808"/>
    <cellStyle name="Currency 2 2 2 2 5 2 3 5 3" xfId="22809"/>
    <cellStyle name="Currency 2 2 2 2 5 2 3 6" xfId="3598"/>
    <cellStyle name="Currency 2 2 2 2 5 2 3 6 2" xfId="22810"/>
    <cellStyle name="Currency 2 2 2 2 5 2 3 7" xfId="3599"/>
    <cellStyle name="Currency 2 2 2 2 5 2 4" xfId="1311"/>
    <cellStyle name="Currency 2 2 2 2 5 2 4 2" xfId="3600"/>
    <cellStyle name="Currency 2 2 2 2 5 2 4 2 2" xfId="3601"/>
    <cellStyle name="Currency 2 2 2 2 5 2 4 2 2 2" xfId="22811"/>
    <cellStyle name="Currency 2 2 2 2 5 2 4 2 3" xfId="22812"/>
    <cellStyle name="Currency 2 2 2 2 5 2 4 3" xfId="3602"/>
    <cellStyle name="Currency 2 2 2 2 5 2 4 3 2" xfId="3603"/>
    <cellStyle name="Currency 2 2 2 2 5 2 4 3 2 2" xfId="22813"/>
    <cellStyle name="Currency 2 2 2 2 5 2 4 3 3" xfId="22814"/>
    <cellStyle name="Currency 2 2 2 2 5 2 4 4" xfId="3604"/>
    <cellStyle name="Currency 2 2 2 2 5 2 4 4 2" xfId="3605"/>
    <cellStyle name="Currency 2 2 2 2 5 2 4 4 2 2" xfId="22815"/>
    <cellStyle name="Currency 2 2 2 2 5 2 4 4 3" xfId="22816"/>
    <cellStyle name="Currency 2 2 2 2 5 2 4 5" xfId="3606"/>
    <cellStyle name="Currency 2 2 2 2 5 2 4 5 2" xfId="22817"/>
    <cellStyle name="Currency 2 2 2 2 5 2 4 6" xfId="3607"/>
    <cellStyle name="Currency 2 2 2 2 5 2 5" xfId="3608"/>
    <cellStyle name="Currency 2 2 2 2 5 2 5 2" xfId="3609"/>
    <cellStyle name="Currency 2 2 2 2 5 2 5 2 2" xfId="22818"/>
    <cellStyle name="Currency 2 2 2 2 5 2 5 3" xfId="22819"/>
    <cellStyle name="Currency 2 2 2 2 5 2 6" xfId="3610"/>
    <cellStyle name="Currency 2 2 2 2 5 2 6 2" xfId="3611"/>
    <cellStyle name="Currency 2 2 2 2 5 2 6 2 2" xfId="22820"/>
    <cellStyle name="Currency 2 2 2 2 5 2 6 3" xfId="22821"/>
    <cellStyle name="Currency 2 2 2 2 5 2 7" xfId="3612"/>
    <cellStyle name="Currency 2 2 2 2 5 2 7 2" xfId="3613"/>
    <cellStyle name="Currency 2 2 2 2 5 2 7 2 2" xfId="22822"/>
    <cellStyle name="Currency 2 2 2 2 5 2 7 3" xfId="22823"/>
    <cellStyle name="Currency 2 2 2 2 5 2 8" xfId="3614"/>
    <cellStyle name="Currency 2 2 2 2 5 2 8 2" xfId="22824"/>
    <cellStyle name="Currency 2 2 2 2 5 2 9" xfId="3615"/>
    <cellStyle name="Currency 2 2 2 2 5 3" xfId="1032"/>
    <cellStyle name="Currency 2 2 2 2 5 3 2" xfId="1312"/>
    <cellStyle name="Currency 2 2 2 2 5 3 2 2" xfId="3616"/>
    <cellStyle name="Currency 2 2 2 2 5 3 2 2 2" xfId="3617"/>
    <cellStyle name="Currency 2 2 2 2 5 3 2 2 2 2" xfId="22825"/>
    <cellStyle name="Currency 2 2 2 2 5 3 2 2 3" xfId="22826"/>
    <cellStyle name="Currency 2 2 2 2 5 3 2 3" xfId="3618"/>
    <cellStyle name="Currency 2 2 2 2 5 3 2 3 2" xfId="3619"/>
    <cellStyle name="Currency 2 2 2 2 5 3 2 3 2 2" xfId="22827"/>
    <cellStyle name="Currency 2 2 2 2 5 3 2 3 3" xfId="22828"/>
    <cellStyle name="Currency 2 2 2 2 5 3 2 4" xfId="3620"/>
    <cellStyle name="Currency 2 2 2 2 5 3 2 4 2" xfId="3621"/>
    <cellStyle name="Currency 2 2 2 2 5 3 2 4 2 2" xfId="22829"/>
    <cellStyle name="Currency 2 2 2 2 5 3 2 4 3" xfId="22830"/>
    <cellStyle name="Currency 2 2 2 2 5 3 2 5" xfId="3622"/>
    <cellStyle name="Currency 2 2 2 2 5 3 2 5 2" xfId="22831"/>
    <cellStyle name="Currency 2 2 2 2 5 3 2 6" xfId="3623"/>
    <cellStyle name="Currency 2 2 2 2 5 3 3" xfId="3624"/>
    <cellStyle name="Currency 2 2 2 2 5 3 3 2" xfId="3625"/>
    <cellStyle name="Currency 2 2 2 2 5 3 3 2 2" xfId="22832"/>
    <cellStyle name="Currency 2 2 2 2 5 3 3 3" xfId="22833"/>
    <cellStyle name="Currency 2 2 2 2 5 3 4" xfId="3626"/>
    <cellStyle name="Currency 2 2 2 2 5 3 4 2" xfId="3627"/>
    <cellStyle name="Currency 2 2 2 2 5 3 4 2 2" xfId="22834"/>
    <cellStyle name="Currency 2 2 2 2 5 3 4 3" xfId="22835"/>
    <cellStyle name="Currency 2 2 2 2 5 3 5" xfId="3628"/>
    <cellStyle name="Currency 2 2 2 2 5 3 5 2" xfId="3629"/>
    <cellStyle name="Currency 2 2 2 2 5 3 5 2 2" xfId="22836"/>
    <cellStyle name="Currency 2 2 2 2 5 3 5 3" xfId="22837"/>
    <cellStyle name="Currency 2 2 2 2 5 3 6" xfId="3630"/>
    <cellStyle name="Currency 2 2 2 2 5 3 6 2" xfId="22838"/>
    <cellStyle name="Currency 2 2 2 2 5 3 7" xfId="3631"/>
    <cellStyle name="Currency 2 2 2 2 5 4" xfId="664"/>
    <cellStyle name="Currency 2 2 2 2 5 4 2" xfId="1313"/>
    <cellStyle name="Currency 2 2 2 2 5 4 2 2" xfId="3632"/>
    <cellStyle name="Currency 2 2 2 2 5 4 2 2 2" xfId="3633"/>
    <cellStyle name="Currency 2 2 2 2 5 4 2 2 2 2" xfId="22839"/>
    <cellStyle name="Currency 2 2 2 2 5 4 2 2 3" xfId="22840"/>
    <cellStyle name="Currency 2 2 2 2 5 4 2 3" xfId="3634"/>
    <cellStyle name="Currency 2 2 2 2 5 4 2 3 2" xfId="3635"/>
    <cellStyle name="Currency 2 2 2 2 5 4 2 3 2 2" xfId="22841"/>
    <cellStyle name="Currency 2 2 2 2 5 4 2 3 3" xfId="22842"/>
    <cellStyle name="Currency 2 2 2 2 5 4 2 4" xfId="3636"/>
    <cellStyle name="Currency 2 2 2 2 5 4 2 4 2" xfId="3637"/>
    <cellStyle name="Currency 2 2 2 2 5 4 2 4 2 2" xfId="22843"/>
    <cellStyle name="Currency 2 2 2 2 5 4 2 4 3" xfId="22844"/>
    <cellStyle name="Currency 2 2 2 2 5 4 2 5" xfId="3638"/>
    <cellStyle name="Currency 2 2 2 2 5 4 2 5 2" xfId="22845"/>
    <cellStyle name="Currency 2 2 2 2 5 4 2 6" xfId="3639"/>
    <cellStyle name="Currency 2 2 2 2 5 4 3" xfId="3640"/>
    <cellStyle name="Currency 2 2 2 2 5 4 3 2" xfId="3641"/>
    <cellStyle name="Currency 2 2 2 2 5 4 3 2 2" xfId="22846"/>
    <cellStyle name="Currency 2 2 2 2 5 4 3 3" xfId="22847"/>
    <cellStyle name="Currency 2 2 2 2 5 4 4" xfId="3642"/>
    <cellStyle name="Currency 2 2 2 2 5 4 4 2" xfId="3643"/>
    <cellStyle name="Currency 2 2 2 2 5 4 4 2 2" xfId="22848"/>
    <cellStyle name="Currency 2 2 2 2 5 4 4 3" xfId="22849"/>
    <cellStyle name="Currency 2 2 2 2 5 4 5" xfId="3644"/>
    <cellStyle name="Currency 2 2 2 2 5 4 5 2" xfId="3645"/>
    <cellStyle name="Currency 2 2 2 2 5 4 5 2 2" xfId="22850"/>
    <cellStyle name="Currency 2 2 2 2 5 4 5 3" xfId="22851"/>
    <cellStyle name="Currency 2 2 2 2 5 4 6" xfId="3646"/>
    <cellStyle name="Currency 2 2 2 2 5 4 6 2" xfId="22852"/>
    <cellStyle name="Currency 2 2 2 2 5 4 7" xfId="3647"/>
    <cellStyle name="Currency 2 2 2 2 5 5" xfId="1314"/>
    <cellStyle name="Currency 2 2 2 2 5 5 2" xfId="3648"/>
    <cellStyle name="Currency 2 2 2 2 5 5 2 2" xfId="3649"/>
    <cellStyle name="Currency 2 2 2 2 5 5 2 2 2" xfId="22853"/>
    <cellStyle name="Currency 2 2 2 2 5 5 2 3" xfId="22854"/>
    <cellStyle name="Currency 2 2 2 2 5 5 3" xfId="3650"/>
    <cellStyle name="Currency 2 2 2 2 5 5 3 2" xfId="3651"/>
    <cellStyle name="Currency 2 2 2 2 5 5 3 2 2" xfId="22855"/>
    <cellStyle name="Currency 2 2 2 2 5 5 3 3" xfId="22856"/>
    <cellStyle name="Currency 2 2 2 2 5 5 4" xfId="3652"/>
    <cellStyle name="Currency 2 2 2 2 5 5 4 2" xfId="3653"/>
    <cellStyle name="Currency 2 2 2 2 5 5 4 2 2" xfId="22857"/>
    <cellStyle name="Currency 2 2 2 2 5 5 4 3" xfId="22858"/>
    <cellStyle name="Currency 2 2 2 2 5 5 5" xfId="3654"/>
    <cellStyle name="Currency 2 2 2 2 5 5 5 2" xfId="22859"/>
    <cellStyle name="Currency 2 2 2 2 5 5 6" xfId="3655"/>
    <cellStyle name="Currency 2 2 2 2 5 6" xfId="3656"/>
    <cellStyle name="Currency 2 2 2 2 5 6 2" xfId="3657"/>
    <cellStyle name="Currency 2 2 2 2 5 6 2 2" xfId="22860"/>
    <cellStyle name="Currency 2 2 2 2 5 6 3" xfId="22861"/>
    <cellStyle name="Currency 2 2 2 2 5 7" xfId="3658"/>
    <cellStyle name="Currency 2 2 2 2 5 7 2" xfId="3659"/>
    <cellStyle name="Currency 2 2 2 2 5 7 2 2" xfId="22862"/>
    <cellStyle name="Currency 2 2 2 2 5 7 3" xfId="22863"/>
    <cellStyle name="Currency 2 2 2 2 5 8" xfId="3660"/>
    <cellStyle name="Currency 2 2 2 2 5 8 2" xfId="3661"/>
    <cellStyle name="Currency 2 2 2 2 5 8 2 2" xfId="22864"/>
    <cellStyle name="Currency 2 2 2 2 5 8 3" xfId="22865"/>
    <cellStyle name="Currency 2 2 2 2 5 9" xfId="3662"/>
    <cellStyle name="Currency 2 2 2 2 5 9 2" xfId="22866"/>
    <cellStyle name="Currency 2 2 2 2 6" xfId="149"/>
    <cellStyle name="Currency 2 2 2 2 6 2" xfId="937"/>
    <cellStyle name="Currency 2 2 2 2 6 2 2" xfId="1315"/>
    <cellStyle name="Currency 2 2 2 2 6 2 2 2" xfId="3663"/>
    <cellStyle name="Currency 2 2 2 2 6 2 2 2 2" xfId="3664"/>
    <cellStyle name="Currency 2 2 2 2 6 2 2 2 2 2" xfId="22867"/>
    <cellStyle name="Currency 2 2 2 2 6 2 2 2 3" xfId="22868"/>
    <cellStyle name="Currency 2 2 2 2 6 2 2 3" xfId="3665"/>
    <cellStyle name="Currency 2 2 2 2 6 2 2 3 2" xfId="3666"/>
    <cellStyle name="Currency 2 2 2 2 6 2 2 3 2 2" xfId="22869"/>
    <cellStyle name="Currency 2 2 2 2 6 2 2 3 3" xfId="22870"/>
    <cellStyle name="Currency 2 2 2 2 6 2 2 4" xfId="3667"/>
    <cellStyle name="Currency 2 2 2 2 6 2 2 4 2" xfId="3668"/>
    <cellStyle name="Currency 2 2 2 2 6 2 2 4 2 2" xfId="22871"/>
    <cellStyle name="Currency 2 2 2 2 6 2 2 4 3" xfId="22872"/>
    <cellStyle name="Currency 2 2 2 2 6 2 2 5" xfId="3669"/>
    <cellStyle name="Currency 2 2 2 2 6 2 2 5 2" xfId="22873"/>
    <cellStyle name="Currency 2 2 2 2 6 2 2 6" xfId="3670"/>
    <cellStyle name="Currency 2 2 2 2 6 2 3" xfId="3671"/>
    <cellStyle name="Currency 2 2 2 2 6 2 3 2" xfId="3672"/>
    <cellStyle name="Currency 2 2 2 2 6 2 3 2 2" xfId="22874"/>
    <cellStyle name="Currency 2 2 2 2 6 2 3 3" xfId="22875"/>
    <cellStyle name="Currency 2 2 2 2 6 2 4" xfId="3673"/>
    <cellStyle name="Currency 2 2 2 2 6 2 4 2" xfId="3674"/>
    <cellStyle name="Currency 2 2 2 2 6 2 4 2 2" xfId="22876"/>
    <cellStyle name="Currency 2 2 2 2 6 2 4 3" xfId="22877"/>
    <cellStyle name="Currency 2 2 2 2 6 2 5" xfId="3675"/>
    <cellStyle name="Currency 2 2 2 2 6 2 5 2" xfId="3676"/>
    <cellStyle name="Currency 2 2 2 2 6 2 5 2 2" xfId="22878"/>
    <cellStyle name="Currency 2 2 2 2 6 2 5 3" xfId="22879"/>
    <cellStyle name="Currency 2 2 2 2 6 2 6" xfId="3677"/>
    <cellStyle name="Currency 2 2 2 2 6 2 6 2" xfId="22880"/>
    <cellStyle name="Currency 2 2 2 2 6 2 7" xfId="3678"/>
    <cellStyle name="Currency 2 2 2 2 6 3" xfId="569"/>
    <cellStyle name="Currency 2 2 2 2 6 3 2" xfId="1316"/>
    <cellStyle name="Currency 2 2 2 2 6 3 2 2" xfId="3679"/>
    <cellStyle name="Currency 2 2 2 2 6 3 2 2 2" xfId="3680"/>
    <cellStyle name="Currency 2 2 2 2 6 3 2 2 2 2" xfId="22881"/>
    <cellStyle name="Currency 2 2 2 2 6 3 2 2 3" xfId="22882"/>
    <cellStyle name="Currency 2 2 2 2 6 3 2 3" xfId="3681"/>
    <cellStyle name="Currency 2 2 2 2 6 3 2 3 2" xfId="3682"/>
    <cellStyle name="Currency 2 2 2 2 6 3 2 3 2 2" xfId="22883"/>
    <cellStyle name="Currency 2 2 2 2 6 3 2 3 3" xfId="22884"/>
    <cellStyle name="Currency 2 2 2 2 6 3 2 4" xfId="3683"/>
    <cellStyle name="Currency 2 2 2 2 6 3 2 4 2" xfId="3684"/>
    <cellStyle name="Currency 2 2 2 2 6 3 2 4 2 2" xfId="22885"/>
    <cellStyle name="Currency 2 2 2 2 6 3 2 4 3" xfId="22886"/>
    <cellStyle name="Currency 2 2 2 2 6 3 2 5" xfId="3685"/>
    <cellStyle name="Currency 2 2 2 2 6 3 2 5 2" xfId="22887"/>
    <cellStyle name="Currency 2 2 2 2 6 3 2 6" xfId="3686"/>
    <cellStyle name="Currency 2 2 2 2 6 3 3" xfId="3687"/>
    <cellStyle name="Currency 2 2 2 2 6 3 3 2" xfId="3688"/>
    <cellStyle name="Currency 2 2 2 2 6 3 3 2 2" xfId="22888"/>
    <cellStyle name="Currency 2 2 2 2 6 3 3 3" xfId="22889"/>
    <cellStyle name="Currency 2 2 2 2 6 3 4" xfId="3689"/>
    <cellStyle name="Currency 2 2 2 2 6 3 4 2" xfId="3690"/>
    <cellStyle name="Currency 2 2 2 2 6 3 4 2 2" xfId="22890"/>
    <cellStyle name="Currency 2 2 2 2 6 3 4 3" xfId="22891"/>
    <cellStyle name="Currency 2 2 2 2 6 3 5" xfId="3691"/>
    <cellStyle name="Currency 2 2 2 2 6 3 5 2" xfId="3692"/>
    <cellStyle name="Currency 2 2 2 2 6 3 5 2 2" xfId="22892"/>
    <cellStyle name="Currency 2 2 2 2 6 3 5 3" xfId="22893"/>
    <cellStyle name="Currency 2 2 2 2 6 3 6" xfId="3693"/>
    <cellStyle name="Currency 2 2 2 2 6 3 6 2" xfId="22894"/>
    <cellStyle name="Currency 2 2 2 2 6 3 7" xfId="3694"/>
    <cellStyle name="Currency 2 2 2 2 6 4" xfId="1317"/>
    <cellStyle name="Currency 2 2 2 2 6 4 2" xfId="3695"/>
    <cellStyle name="Currency 2 2 2 2 6 4 2 2" xfId="3696"/>
    <cellStyle name="Currency 2 2 2 2 6 4 2 2 2" xfId="22895"/>
    <cellStyle name="Currency 2 2 2 2 6 4 2 3" xfId="22896"/>
    <cellStyle name="Currency 2 2 2 2 6 4 3" xfId="3697"/>
    <cellStyle name="Currency 2 2 2 2 6 4 3 2" xfId="3698"/>
    <cellStyle name="Currency 2 2 2 2 6 4 3 2 2" xfId="22897"/>
    <cellStyle name="Currency 2 2 2 2 6 4 3 3" xfId="22898"/>
    <cellStyle name="Currency 2 2 2 2 6 4 4" xfId="3699"/>
    <cellStyle name="Currency 2 2 2 2 6 4 4 2" xfId="3700"/>
    <cellStyle name="Currency 2 2 2 2 6 4 4 2 2" xfId="22899"/>
    <cellStyle name="Currency 2 2 2 2 6 4 4 3" xfId="22900"/>
    <cellStyle name="Currency 2 2 2 2 6 4 5" xfId="3701"/>
    <cellStyle name="Currency 2 2 2 2 6 4 5 2" xfId="22901"/>
    <cellStyle name="Currency 2 2 2 2 6 4 6" xfId="3702"/>
    <cellStyle name="Currency 2 2 2 2 6 5" xfId="3703"/>
    <cellStyle name="Currency 2 2 2 2 6 5 2" xfId="3704"/>
    <cellStyle name="Currency 2 2 2 2 6 5 2 2" xfId="22902"/>
    <cellStyle name="Currency 2 2 2 2 6 5 3" xfId="22903"/>
    <cellStyle name="Currency 2 2 2 2 6 6" xfId="3705"/>
    <cellStyle name="Currency 2 2 2 2 6 6 2" xfId="3706"/>
    <cellStyle name="Currency 2 2 2 2 6 6 2 2" xfId="22904"/>
    <cellStyle name="Currency 2 2 2 2 6 6 3" xfId="22905"/>
    <cellStyle name="Currency 2 2 2 2 6 7" xfId="3707"/>
    <cellStyle name="Currency 2 2 2 2 6 7 2" xfId="3708"/>
    <cellStyle name="Currency 2 2 2 2 6 7 2 2" xfId="22906"/>
    <cellStyle name="Currency 2 2 2 2 6 7 3" xfId="22907"/>
    <cellStyle name="Currency 2 2 2 2 6 8" xfId="3709"/>
    <cellStyle name="Currency 2 2 2 2 6 8 2" xfId="22908"/>
    <cellStyle name="Currency 2 2 2 2 6 9" xfId="3710"/>
    <cellStyle name="Currency 2 2 2 2 7" xfId="307"/>
    <cellStyle name="Currency 2 2 2 2 7 2" xfId="1095"/>
    <cellStyle name="Currency 2 2 2 2 7 2 2" xfId="1318"/>
    <cellStyle name="Currency 2 2 2 2 7 2 2 2" xfId="3711"/>
    <cellStyle name="Currency 2 2 2 2 7 2 2 2 2" xfId="3712"/>
    <cellStyle name="Currency 2 2 2 2 7 2 2 2 2 2" xfId="22909"/>
    <cellStyle name="Currency 2 2 2 2 7 2 2 2 3" xfId="22910"/>
    <cellStyle name="Currency 2 2 2 2 7 2 2 3" xfId="3713"/>
    <cellStyle name="Currency 2 2 2 2 7 2 2 3 2" xfId="3714"/>
    <cellStyle name="Currency 2 2 2 2 7 2 2 3 2 2" xfId="22911"/>
    <cellStyle name="Currency 2 2 2 2 7 2 2 3 3" xfId="22912"/>
    <cellStyle name="Currency 2 2 2 2 7 2 2 4" xfId="3715"/>
    <cellStyle name="Currency 2 2 2 2 7 2 2 4 2" xfId="3716"/>
    <cellStyle name="Currency 2 2 2 2 7 2 2 4 2 2" xfId="22913"/>
    <cellStyle name="Currency 2 2 2 2 7 2 2 4 3" xfId="22914"/>
    <cellStyle name="Currency 2 2 2 2 7 2 2 5" xfId="3717"/>
    <cellStyle name="Currency 2 2 2 2 7 2 2 5 2" xfId="22915"/>
    <cellStyle name="Currency 2 2 2 2 7 2 2 6" xfId="3718"/>
    <cellStyle name="Currency 2 2 2 2 7 2 3" xfId="3719"/>
    <cellStyle name="Currency 2 2 2 2 7 2 3 2" xfId="3720"/>
    <cellStyle name="Currency 2 2 2 2 7 2 3 2 2" xfId="22916"/>
    <cellStyle name="Currency 2 2 2 2 7 2 3 3" xfId="22917"/>
    <cellStyle name="Currency 2 2 2 2 7 2 4" xfId="3721"/>
    <cellStyle name="Currency 2 2 2 2 7 2 4 2" xfId="3722"/>
    <cellStyle name="Currency 2 2 2 2 7 2 4 2 2" xfId="22918"/>
    <cellStyle name="Currency 2 2 2 2 7 2 4 3" xfId="22919"/>
    <cellStyle name="Currency 2 2 2 2 7 2 5" xfId="3723"/>
    <cellStyle name="Currency 2 2 2 2 7 2 5 2" xfId="3724"/>
    <cellStyle name="Currency 2 2 2 2 7 2 5 2 2" xfId="22920"/>
    <cellStyle name="Currency 2 2 2 2 7 2 5 3" xfId="22921"/>
    <cellStyle name="Currency 2 2 2 2 7 2 6" xfId="3725"/>
    <cellStyle name="Currency 2 2 2 2 7 2 6 2" xfId="22922"/>
    <cellStyle name="Currency 2 2 2 2 7 2 7" xfId="3726"/>
    <cellStyle name="Currency 2 2 2 2 7 3" xfId="727"/>
    <cellStyle name="Currency 2 2 2 2 7 3 2" xfId="1319"/>
    <cellStyle name="Currency 2 2 2 2 7 3 2 2" xfId="3727"/>
    <cellStyle name="Currency 2 2 2 2 7 3 2 2 2" xfId="3728"/>
    <cellStyle name="Currency 2 2 2 2 7 3 2 2 2 2" xfId="22923"/>
    <cellStyle name="Currency 2 2 2 2 7 3 2 2 3" xfId="22924"/>
    <cellStyle name="Currency 2 2 2 2 7 3 2 3" xfId="3729"/>
    <cellStyle name="Currency 2 2 2 2 7 3 2 3 2" xfId="3730"/>
    <cellStyle name="Currency 2 2 2 2 7 3 2 3 2 2" xfId="22925"/>
    <cellStyle name="Currency 2 2 2 2 7 3 2 3 3" xfId="22926"/>
    <cellStyle name="Currency 2 2 2 2 7 3 2 4" xfId="3731"/>
    <cellStyle name="Currency 2 2 2 2 7 3 2 4 2" xfId="3732"/>
    <cellStyle name="Currency 2 2 2 2 7 3 2 4 2 2" xfId="22927"/>
    <cellStyle name="Currency 2 2 2 2 7 3 2 4 3" xfId="22928"/>
    <cellStyle name="Currency 2 2 2 2 7 3 2 5" xfId="3733"/>
    <cellStyle name="Currency 2 2 2 2 7 3 2 5 2" xfId="22929"/>
    <cellStyle name="Currency 2 2 2 2 7 3 2 6" xfId="3734"/>
    <cellStyle name="Currency 2 2 2 2 7 3 3" xfId="3735"/>
    <cellStyle name="Currency 2 2 2 2 7 3 3 2" xfId="3736"/>
    <cellStyle name="Currency 2 2 2 2 7 3 3 2 2" xfId="22930"/>
    <cellStyle name="Currency 2 2 2 2 7 3 3 3" xfId="22931"/>
    <cellStyle name="Currency 2 2 2 2 7 3 4" xfId="3737"/>
    <cellStyle name="Currency 2 2 2 2 7 3 4 2" xfId="3738"/>
    <cellStyle name="Currency 2 2 2 2 7 3 4 2 2" xfId="22932"/>
    <cellStyle name="Currency 2 2 2 2 7 3 4 3" xfId="22933"/>
    <cellStyle name="Currency 2 2 2 2 7 3 5" xfId="3739"/>
    <cellStyle name="Currency 2 2 2 2 7 3 5 2" xfId="3740"/>
    <cellStyle name="Currency 2 2 2 2 7 3 5 2 2" xfId="22934"/>
    <cellStyle name="Currency 2 2 2 2 7 3 5 3" xfId="22935"/>
    <cellStyle name="Currency 2 2 2 2 7 3 6" xfId="3741"/>
    <cellStyle name="Currency 2 2 2 2 7 3 6 2" xfId="22936"/>
    <cellStyle name="Currency 2 2 2 2 7 3 7" xfId="3742"/>
    <cellStyle name="Currency 2 2 2 2 7 4" xfId="1320"/>
    <cellStyle name="Currency 2 2 2 2 7 4 2" xfId="3743"/>
    <cellStyle name="Currency 2 2 2 2 7 4 2 2" xfId="3744"/>
    <cellStyle name="Currency 2 2 2 2 7 4 2 2 2" xfId="22937"/>
    <cellStyle name="Currency 2 2 2 2 7 4 2 3" xfId="22938"/>
    <cellStyle name="Currency 2 2 2 2 7 4 3" xfId="3745"/>
    <cellStyle name="Currency 2 2 2 2 7 4 3 2" xfId="3746"/>
    <cellStyle name="Currency 2 2 2 2 7 4 3 2 2" xfId="22939"/>
    <cellStyle name="Currency 2 2 2 2 7 4 3 3" xfId="22940"/>
    <cellStyle name="Currency 2 2 2 2 7 4 4" xfId="3747"/>
    <cellStyle name="Currency 2 2 2 2 7 4 4 2" xfId="3748"/>
    <cellStyle name="Currency 2 2 2 2 7 4 4 2 2" xfId="22941"/>
    <cellStyle name="Currency 2 2 2 2 7 4 4 3" xfId="22942"/>
    <cellStyle name="Currency 2 2 2 2 7 4 5" xfId="3749"/>
    <cellStyle name="Currency 2 2 2 2 7 4 5 2" xfId="22943"/>
    <cellStyle name="Currency 2 2 2 2 7 4 6" xfId="3750"/>
    <cellStyle name="Currency 2 2 2 2 7 5" xfId="3751"/>
    <cellStyle name="Currency 2 2 2 2 7 5 2" xfId="3752"/>
    <cellStyle name="Currency 2 2 2 2 7 5 2 2" xfId="22944"/>
    <cellStyle name="Currency 2 2 2 2 7 5 3" xfId="22945"/>
    <cellStyle name="Currency 2 2 2 2 7 6" xfId="3753"/>
    <cellStyle name="Currency 2 2 2 2 7 6 2" xfId="3754"/>
    <cellStyle name="Currency 2 2 2 2 7 6 2 2" xfId="22946"/>
    <cellStyle name="Currency 2 2 2 2 7 6 3" xfId="22947"/>
    <cellStyle name="Currency 2 2 2 2 7 7" xfId="3755"/>
    <cellStyle name="Currency 2 2 2 2 7 7 2" xfId="3756"/>
    <cellStyle name="Currency 2 2 2 2 7 7 2 2" xfId="22948"/>
    <cellStyle name="Currency 2 2 2 2 7 7 3" xfId="22949"/>
    <cellStyle name="Currency 2 2 2 2 7 8" xfId="3757"/>
    <cellStyle name="Currency 2 2 2 2 7 8 2" xfId="22950"/>
    <cellStyle name="Currency 2 2 2 2 7 9" xfId="3758"/>
    <cellStyle name="Currency 2 2 2 2 8" xfId="96"/>
    <cellStyle name="Currency 2 2 2 2 8 2" xfId="517"/>
    <cellStyle name="Currency 2 2 2 2 8 2 2" xfId="1321"/>
    <cellStyle name="Currency 2 2 2 2 8 2 2 2" xfId="3759"/>
    <cellStyle name="Currency 2 2 2 2 8 2 2 2 2" xfId="3760"/>
    <cellStyle name="Currency 2 2 2 2 8 2 2 2 2 2" xfId="22951"/>
    <cellStyle name="Currency 2 2 2 2 8 2 2 2 3" xfId="22952"/>
    <cellStyle name="Currency 2 2 2 2 8 2 2 3" xfId="3761"/>
    <cellStyle name="Currency 2 2 2 2 8 2 2 3 2" xfId="3762"/>
    <cellStyle name="Currency 2 2 2 2 8 2 2 3 2 2" xfId="22953"/>
    <cellStyle name="Currency 2 2 2 2 8 2 2 3 3" xfId="22954"/>
    <cellStyle name="Currency 2 2 2 2 8 2 2 4" xfId="3763"/>
    <cellStyle name="Currency 2 2 2 2 8 2 2 4 2" xfId="3764"/>
    <cellStyle name="Currency 2 2 2 2 8 2 2 4 2 2" xfId="22955"/>
    <cellStyle name="Currency 2 2 2 2 8 2 2 4 3" xfId="22956"/>
    <cellStyle name="Currency 2 2 2 2 8 2 2 5" xfId="3765"/>
    <cellStyle name="Currency 2 2 2 2 8 2 2 5 2" xfId="22957"/>
    <cellStyle name="Currency 2 2 2 2 8 2 2 6" xfId="3766"/>
    <cellStyle name="Currency 2 2 2 2 8 2 3" xfId="3767"/>
    <cellStyle name="Currency 2 2 2 2 8 2 3 2" xfId="3768"/>
    <cellStyle name="Currency 2 2 2 2 8 2 3 2 2" xfId="22958"/>
    <cellStyle name="Currency 2 2 2 2 8 2 3 3" xfId="22959"/>
    <cellStyle name="Currency 2 2 2 2 8 2 4" xfId="3769"/>
    <cellStyle name="Currency 2 2 2 2 8 2 4 2" xfId="3770"/>
    <cellStyle name="Currency 2 2 2 2 8 2 4 2 2" xfId="22960"/>
    <cellStyle name="Currency 2 2 2 2 8 2 4 3" xfId="22961"/>
    <cellStyle name="Currency 2 2 2 2 8 2 5" xfId="3771"/>
    <cellStyle name="Currency 2 2 2 2 8 2 5 2" xfId="3772"/>
    <cellStyle name="Currency 2 2 2 2 8 2 5 2 2" xfId="22962"/>
    <cellStyle name="Currency 2 2 2 2 8 2 5 3" xfId="22963"/>
    <cellStyle name="Currency 2 2 2 2 8 2 6" xfId="3773"/>
    <cellStyle name="Currency 2 2 2 2 8 2 6 2" xfId="22964"/>
    <cellStyle name="Currency 2 2 2 2 8 2 7" xfId="3774"/>
    <cellStyle name="Currency 2 2 2 2 8 3" xfId="1322"/>
    <cellStyle name="Currency 2 2 2 2 8 3 2" xfId="3775"/>
    <cellStyle name="Currency 2 2 2 2 8 3 2 2" xfId="3776"/>
    <cellStyle name="Currency 2 2 2 2 8 3 2 2 2" xfId="22965"/>
    <cellStyle name="Currency 2 2 2 2 8 3 2 3" xfId="22966"/>
    <cellStyle name="Currency 2 2 2 2 8 3 3" xfId="3777"/>
    <cellStyle name="Currency 2 2 2 2 8 3 3 2" xfId="3778"/>
    <cellStyle name="Currency 2 2 2 2 8 3 3 2 2" xfId="22967"/>
    <cellStyle name="Currency 2 2 2 2 8 3 3 3" xfId="22968"/>
    <cellStyle name="Currency 2 2 2 2 8 3 4" xfId="3779"/>
    <cellStyle name="Currency 2 2 2 2 8 3 4 2" xfId="3780"/>
    <cellStyle name="Currency 2 2 2 2 8 3 4 2 2" xfId="22969"/>
    <cellStyle name="Currency 2 2 2 2 8 3 4 3" xfId="22970"/>
    <cellStyle name="Currency 2 2 2 2 8 3 5" xfId="3781"/>
    <cellStyle name="Currency 2 2 2 2 8 3 5 2" xfId="22971"/>
    <cellStyle name="Currency 2 2 2 2 8 3 6" xfId="3782"/>
    <cellStyle name="Currency 2 2 2 2 8 4" xfId="3783"/>
    <cellStyle name="Currency 2 2 2 2 8 4 2" xfId="3784"/>
    <cellStyle name="Currency 2 2 2 2 8 4 2 2" xfId="22972"/>
    <cellStyle name="Currency 2 2 2 2 8 4 3" xfId="22973"/>
    <cellStyle name="Currency 2 2 2 2 8 5" xfId="3785"/>
    <cellStyle name="Currency 2 2 2 2 8 5 2" xfId="3786"/>
    <cellStyle name="Currency 2 2 2 2 8 5 2 2" xfId="22974"/>
    <cellStyle name="Currency 2 2 2 2 8 5 3" xfId="22975"/>
    <cellStyle name="Currency 2 2 2 2 8 6" xfId="3787"/>
    <cellStyle name="Currency 2 2 2 2 8 6 2" xfId="3788"/>
    <cellStyle name="Currency 2 2 2 2 8 6 2 2" xfId="22976"/>
    <cellStyle name="Currency 2 2 2 2 8 6 3" xfId="22977"/>
    <cellStyle name="Currency 2 2 2 2 8 7" xfId="3789"/>
    <cellStyle name="Currency 2 2 2 2 8 7 2" xfId="22978"/>
    <cellStyle name="Currency 2 2 2 2 8 8" xfId="3790"/>
    <cellStyle name="Currency 2 2 2 2 9" xfId="885"/>
    <cellStyle name="Currency 2 2 2 2 9 2" xfId="1323"/>
    <cellStyle name="Currency 2 2 2 2 9 2 2" xfId="3791"/>
    <cellStyle name="Currency 2 2 2 2 9 2 2 2" xfId="3792"/>
    <cellStyle name="Currency 2 2 2 2 9 2 2 2 2" xfId="22979"/>
    <cellStyle name="Currency 2 2 2 2 9 2 2 3" xfId="22980"/>
    <cellStyle name="Currency 2 2 2 2 9 2 3" xfId="3793"/>
    <cellStyle name="Currency 2 2 2 2 9 2 3 2" xfId="3794"/>
    <cellStyle name="Currency 2 2 2 2 9 2 3 2 2" xfId="22981"/>
    <cellStyle name="Currency 2 2 2 2 9 2 3 3" xfId="22982"/>
    <cellStyle name="Currency 2 2 2 2 9 2 4" xfId="3795"/>
    <cellStyle name="Currency 2 2 2 2 9 2 4 2" xfId="3796"/>
    <cellStyle name="Currency 2 2 2 2 9 2 4 2 2" xfId="22983"/>
    <cellStyle name="Currency 2 2 2 2 9 2 4 3" xfId="22984"/>
    <cellStyle name="Currency 2 2 2 2 9 2 5" xfId="3797"/>
    <cellStyle name="Currency 2 2 2 2 9 2 5 2" xfId="22985"/>
    <cellStyle name="Currency 2 2 2 2 9 2 6" xfId="3798"/>
    <cellStyle name="Currency 2 2 2 2 9 3" xfId="3799"/>
    <cellStyle name="Currency 2 2 2 2 9 3 2" xfId="3800"/>
    <cellStyle name="Currency 2 2 2 2 9 3 2 2" xfId="22986"/>
    <cellStyle name="Currency 2 2 2 2 9 3 3" xfId="22987"/>
    <cellStyle name="Currency 2 2 2 2 9 4" xfId="3801"/>
    <cellStyle name="Currency 2 2 2 2 9 4 2" xfId="3802"/>
    <cellStyle name="Currency 2 2 2 2 9 4 2 2" xfId="22988"/>
    <cellStyle name="Currency 2 2 2 2 9 4 3" xfId="22989"/>
    <cellStyle name="Currency 2 2 2 2 9 5" xfId="3803"/>
    <cellStyle name="Currency 2 2 2 2 9 5 2" xfId="3804"/>
    <cellStyle name="Currency 2 2 2 2 9 5 2 2" xfId="22990"/>
    <cellStyle name="Currency 2 2 2 2 9 5 3" xfId="22991"/>
    <cellStyle name="Currency 2 2 2 2 9 6" xfId="3805"/>
    <cellStyle name="Currency 2 2 2 2 9 6 2" xfId="22992"/>
    <cellStyle name="Currency 2 2 2 2 9 7" xfId="3806"/>
    <cellStyle name="Currency 2 2 2 3" xfId="30"/>
    <cellStyle name="Currency 2 2 2 3 10" xfId="3807"/>
    <cellStyle name="Currency 2 2 2 3 10 2" xfId="3808"/>
    <cellStyle name="Currency 2 2 2 3 10 2 2" xfId="22993"/>
    <cellStyle name="Currency 2 2 2 3 10 3" xfId="22994"/>
    <cellStyle name="Currency 2 2 2 3 11" xfId="3809"/>
    <cellStyle name="Currency 2 2 2 3 11 2" xfId="3810"/>
    <cellStyle name="Currency 2 2 2 3 11 2 2" xfId="22995"/>
    <cellStyle name="Currency 2 2 2 3 11 3" xfId="22996"/>
    <cellStyle name="Currency 2 2 2 3 12" xfId="3811"/>
    <cellStyle name="Currency 2 2 2 3 12 2" xfId="3812"/>
    <cellStyle name="Currency 2 2 2 3 12 2 2" xfId="22997"/>
    <cellStyle name="Currency 2 2 2 3 12 3" xfId="22998"/>
    <cellStyle name="Currency 2 2 2 3 13" xfId="3813"/>
    <cellStyle name="Currency 2 2 2 3 13 2" xfId="22999"/>
    <cellStyle name="Currency 2 2 2 3 14" xfId="3814"/>
    <cellStyle name="Currency 2 2 2 3 2" xfId="196"/>
    <cellStyle name="Currency 2 2 2 3 2 10" xfId="3815"/>
    <cellStyle name="Currency 2 2 2 3 2 2" xfId="354"/>
    <cellStyle name="Currency 2 2 2 3 2 2 2" xfId="1142"/>
    <cellStyle name="Currency 2 2 2 3 2 2 2 2" xfId="1324"/>
    <cellStyle name="Currency 2 2 2 3 2 2 2 2 2" xfId="3816"/>
    <cellStyle name="Currency 2 2 2 3 2 2 2 2 2 2" xfId="3817"/>
    <cellStyle name="Currency 2 2 2 3 2 2 2 2 2 2 2" xfId="23000"/>
    <cellStyle name="Currency 2 2 2 3 2 2 2 2 2 3" xfId="23001"/>
    <cellStyle name="Currency 2 2 2 3 2 2 2 2 3" xfId="3818"/>
    <cellStyle name="Currency 2 2 2 3 2 2 2 2 3 2" xfId="3819"/>
    <cellStyle name="Currency 2 2 2 3 2 2 2 2 3 2 2" xfId="23002"/>
    <cellStyle name="Currency 2 2 2 3 2 2 2 2 3 3" xfId="23003"/>
    <cellStyle name="Currency 2 2 2 3 2 2 2 2 4" xfId="3820"/>
    <cellStyle name="Currency 2 2 2 3 2 2 2 2 4 2" xfId="3821"/>
    <cellStyle name="Currency 2 2 2 3 2 2 2 2 4 2 2" xfId="23004"/>
    <cellStyle name="Currency 2 2 2 3 2 2 2 2 4 3" xfId="23005"/>
    <cellStyle name="Currency 2 2 2 3 2 2 2 2 5" xfId="3822"/>
    <cellStyle name="Currency 2 2 2 3 2 2 2 2 5 2" xfId="23006"/>
    <cellStyle name="Currency 2 2 2 3 2 2 2 2 6" xfId="3823"/>
    <cellStyle name="Currency 2 2 2 3 2 2 2 3" xfId="3824"/>
    <cellStyle name="Currency 2 2 2 3 2 2 2 3 2" xfId="3825"/>
    <cellStyle name="Currency 2 2 2 3 2 2 2 3 2 2" xfId="23007"/>
    <cellStyle name="Currency 2 2 2 3 2 2 2 3 3" xfId="23008"/>
    <cellStyle name="Currency 2 2 2 3 2 2 2 4" xfId="3826"/>
    <cellStyle name="Currency 2 2 2 3 2 2 2 4 2" xfId="3827"/>
    <cellStyle name="Currency 2 2 2 3 2 2 2 4 2 2" xfId="23009"/>
    <cellStyle name="Currency 2 2 2 3 2 2 2 4 3" xfId="23010"/>
    <cellStyle name="Currency 2 2 2 3 2 2 2 5" xfId="3828"/>
    <cellStyle name="Currency 2 2 2 3 2 2 2 5 2" xfId="3829"/>
    <cellStyle name="Currency 2 2 2 3 2 2 2 5 2 2" xfId="23011"/>
    <cellStyle name="Currency 2 2 2 3 2 2 2 5 3" xfId="23012"/>
    <cellStyle name="Currency 2 2 2 3 2 2 2 6" xfId="3830"/>
    <cellStyle name="Currency 2 2 2 3 2 2 2 6 2" xfId="23013"/>
    <cellStyle name="Currency 2 2 2 3 2 2 2 7" xfId="3831"/>
    <cellStyle name="Currency 2 2 2 3 2 2 3" xfId="774"/>
    <cellStyle name="Currency 2 2 2 3 2 2 3 2" xfId="1325"/>
    <cellStyle name="Currency 2 2 2 3 2 2 3 2 2" xfId="3832"/>
    <cellStyle name="Currency 2 2 2 3 2 2 3 2 2 2" xfId="3833"/>
    <cellStyle name="Currency 2 2 2 3 2 2 3 2 2 2 2" xfId="23014"/>
    <cellStyle name="Currency 2 2 2 3 2 2 3 2 2 3" xfId="23015"/>
    <cellStyle name="Currency 2 2 2 3 2 2 3 2 3" xfId="3834"/>
    <cellStyle name="Currency 2 2 2 3 2 2 3 2 3 2" xfId="3835"/>
    <cellStyle name="Currency 2 2 2 3 2 2 3 2 3 2 2" xfId="23016"/>
    <cellStyle name="Currency 2 2 2 3 2 2 3 2 3 3" xfId="23017"/>
    <cellStyle name="Currency 2 2 2 3 2 2 3 2 4" xfId="3836"/>
    <cellStyle name="Currency 2 2 2 3 2 2 3 2 4 2" xfId="3837"/>
    <cellStyle name="Currency 2 2 2 3 2 2 3 2 4 2 2" xfId="23018"/>
    <cellStyle name="Currency 2 2 2 3 2 2 3 2 4 3" xfId="23019"/>
    <cellStyle name="Currency 2 2 2 3 2 2 3 2 5" xfId="3838"/>
    <cellStyle name="Currency 2 2 2 3 2 2 3 2 5 2" xfId="23020"/>
    <cellStyle name="Currency 2 2 2 3 2 2 3 2 6" xfId="3839"/>
    <cellStyle name="Currency 2 2 2 3 2 2 3 3" xfId="3840"/>
    <cellStyle name="Currency 2 2 2 3 2 2 3 3 2" xfId="3841"/>
    <cellStyle name="Currency 2 2 2 3 2 2 3 3 2 2" xfId="23021"/>
    <cellStyle name="Currency 2 2 2 3 2 2 3 3 3" xfId="23022"/>
    <cellStyle name="Currency 2 2 2 3 2 2 3 4" xfId="3842"/>
    <cellStyle name="Currency 2 2 2 3 2 2 3 4 2" xfId="3843"/>
    <cellStyle name="Currency 2 2 2 3 2 2 3 4 2 2" xfId="23023"/>
    <cellStyle name="Currency 2 2 2 3 2 2 3 4 3" xfId="23024"/>
    <cellStyle name="Currency 2 2 2 3 2 2 3 5" xfId="3844"/>
    <cellStyle name="Currency 2 2 2 3 2 2 3 5 2" xfId="3845"/>
    <cellStyle name="Currency 2 2 2 3 2 2 3 5 2 2" xfId="23025"/>
    <cellStyle name="Currency 2 2 2 3 2 2 3 5 3" xfId="23026"/>
    <cellStyle name="Currency 2 2 2 3 2 2 3 6" xfId="3846"/>
    <cellStyle name="Currency 2 2 2 3 2 2 3 6 2" xfId="23027"/>
    <cellStyle name="Currency 2 2 2 3 2 2 3 7" xfId="3847"/>
    <cellStyle name="Currency 2 2 2 3 2 2 4" xfId="1326"/>
    <cellStyle name="Currency 2 2 2 3 2 2 4 2" xfId="3848"/>
    <cellStyle name="Currency 2 2 2 3 2 2 4 2 2" xfId="3849"/>
    <cellStyle name="Currency 2 2 2 3 2 2 4 2 2 2" xfId="23028"/>
    <cellStyle name="Currency 2 2 2 3 2 2 4 2 3" xfId="23029"/>
    <cellStyle name="Currency 2 2 2 3 2 2 4 3" xfId="3850"/>
    <cellStyle name="Currency 2 2 2 3 2 2 4 3 2" xfId="3851"/>
    <cellStyle name="Currency 2 2 2 3 2 2 4 3 2 2" xfId="23030"/>
    <cellStyle name="Currency 2 2 2 3 2 2 4 3 3" xfId="23031"/>
    <cellStyle name="Currency 2 2 2 3 2 2 4 4" xfId="3852"/>
    <cellStyle name="Currency 2 2 2 3 2 2 4 4 2" xfId="3853"/>
    <cellStyle name="Currency 2 2 2 3 2 2 4 4 2 2" xfId="23032"/>
    <cellStyle name="Currency 2 2 2 3 2 2 4 4 3" xfId="23033"/>
    <cellStyle name="Currency 2 2 2 3 2 2 4 5" xfId="3854"/>
    <cellStyle name="Currency 2 2 2 3 2 2 4 5 2" xfId="23034"/>
    <cellStyle name="Currency 2 2 2 3 2 2 4 6" xfId="3855"/>
    <cellStyle name="Currency 2 2 2 3 2 2 5" xfId="3856"/>
    <cellStyle name="Currency 2 2 2 3 2 2 5 2" xfId="3857"/>
    <cellStyle name="Currency 2 2 2 3 2 2 5 2 2" xfId="23035"/>
    <cellStyle name="Currency 2 2 2 3 2 2 5 3" xfId="23036"/>
    <cellStyle name="Currency 2 2 2 3 2 2 6" xfId="3858"/>
    <cellStyle name="Currency 2 2 2 3 2 2 6 2" xfId="3859"/>
    <cellStyle name="Currency 2 2 2 3 2 2 6 2 2" xfId="23037"/>
    <cellStyle name="Currency 2 2 2 3 2 2 6 3" xfId="23038"/>
    <cellStyle name="Currency 2 2 2 3 2 2 7" xfId="3860"/>
    <cellStyle name="Currency 2 2 2 3 2 2 7 2" xfId="3861"/>
    <cellStyle name="Currency 2 2 2 3 2 2 7 2 2" xfId="23039"/>
    <cellStyle name="Currency 2 2 2 3 2 2 7 3" xfId="23040"/>
    <cellStyle name="Currency 2 2 2 3 2 2 8" xfId="3862"/>
    <cellStyle name="Currency 2 2 2 3 2 2 8 2" xfId="23041"/>
    <cellStyle name="Currency 2 2 2 3 2 2 9" xfId="3863"/>
    <cellStyle name="Currency 2 2 2 3 2 3" xfId="984"/>
    <cellStyle name="Currency 2 2 2 3 2 3 2" xfId="1327"/>
    <cellStyle name="Currency 2 2 2 3 2 3 2 2" xfId="3864"/>
    <cellStyle name="Currency 2 2 2 3 2 3 2 2 2" xfId="3865"/>
    <cellStyle name="Currency 2 2 2 3 2 3 2 2 2 2" xfId="23042"/>
    <cellStyle name="Currency 2 2 2 3 2 3 2 2 3" xfId="23043"/>
    <cellStyle name="Currency 2 2 2 3 2 3 2 3" xfId="3866"/>
    <cellStyle name="Currency 2 2 2 3 2 3 2 3 2" xfId="3867"/>
    <cellStyle name="Currency 2 2 2 3 2 3 2 3 2 2" xfId="23044"/>
    <cellStyle name="Currency 2 2 2 3 2 3 2 3 3" xfId="23045"/>
    <cellStyle name="Currency 2 2 2 3 2 3 2 4" xfId="3868"/>
    <cellStyle name="Currency 2 2 2 3 2 3 2 4 2" xfId="3869"/>
    <cellStyle name="Currency 2 2 2 3 2 3 2 4 2 2" xfId="23046"/>
    <cellStyle name="Currency 2 2 2 3 2 3 2 4 3" xfId="23047"/>
    <cellStyle name="Currency 2 2 2 3 2 3 2 5" xfId="3870"/>
    <cellStyle name="Currency 2 2 2 3 2 3 2 5 2" xfId="23048"/>
    <cellStyle name="Currency 2 2 2 3 2 3 2 6" xfId="3871"/>
    <cellStyle name="Currency 2 2 2 3 2 3 3" xfId="3872"/>
    <cellStyle name="Currency 2 2 2 3 2 3 3 2" xfId="3873"/>
    <cellStyle name="Currency 2 2 2 3 2 3 3 2 2" xfId="23049"/>
    <cellStyle name="Currency 2 2 2 3 2 3 3 3" xfId="23050"/>
    <cellStyle name="Currency 2 2 2 3 2 3 4" xfId="3874"/>
    <cellStyle name="Currency 2 2 2 3 2 3 4 2" xfId="3875"/>
    <cellStyle name="Currency 2 2 2 3 2 3 4 2 2" xfId="23051"/>
    <cellStyle name="Currency 2 2 2 3 2 3 4 3" xfId="23052"/>
    <cellStyle name="Currency 2 2 2 3 2 3 5" xfId="3876"/>
    <cellStyle name="Currency 2 2 2 3 2 3 5 2" xfId="3877"/>
    <cellStyle name="Currency 2 2 2 3 2 3 5 2 2" xfId="23053"/>
    <cellStyle name="Currency 2 2 2 3 2 3 5 3" xfId="23054"/>
    <cellStyle name="Currency 2 2 2 3 2 3 6" xfId="3878"/>
    <cellStyle name="Currency 2 2 2 3 2 3 6 2" xfId="23055"/>
    <cellStyle name="Currency 2 2 2 3 2 3 7" xfId="3879"/>
    <cellStyle name="Currency 2 2 2 3 2 4" xfId="616"/>
    <cellStyle name="Currency 2 2 2 3 2 4 2" xfId="1328"/>
    <cellStyle name="Currency 2 2 2 3 2 4 2 2" xfId="3880"/>
    <cellStyle name="Currency 2 2 2 3 2 4 2 2 2" xfId="3881"/>
    <cellStyle name="Currency 2 2 2 3 2 4 2 2 2 2" xfId="23056"/>
    <cellStyle name="Currency 2 2 2 3 2 4 2 2 3" xfId="23057"/>
    <cellStyle name="Currency 2 2 2 3 2 4 2 3" xfId="3882"/>
    <cellStyle name="Currency 2 2 2 3 2 4 2 3 2" xfId="3883"/>
    <cellStyle name="Currency 2 2 2 3 2 4 2 3 2 2" xfId="23058"/>
    <cellStyle name="Currency 2 2 2 3 2 4 2 3 3" xfId="23059"/>
    <cellStyle name="Currency 2 2 2 3 2 4 2 4" xfId="3884"/>
    <cellStyle name="Currency 2 2 2 3 2 4 2 4 2" xfId="3885"/>
    <cellStyle name="Currency 2 2 2 3 2 4 2 4 2 2" xfId="23060"/>
    <cellStyle name="Currency 2 2 2 3 2 4 2 4 3" xfId="23061"/>
    <cellStyle name="Currency 2 2 2 3 2 4 2 5" xfId="3886"/>
    <cellStyle name="Currency 2 2 2 3 2 4 2 5 2" xfId="23062"/>
    <cellStyle name="Currency 2 2 2 3 2 4 2 6" xfId="3887"/>
    <cellStyle name="Currency 2 2 2 3 2 4 3" xfId="3888"/>
    <cellStyle name="Currency 2 2 2 3 2 4 3 2" xfId="3889"/>
    <cellStyle name="Currency 2 2 2 3 2 4 3 2 2" xfId="23063"/>
    <cellStyle name="Currency 2 2 2 3 2 4 3 3" xfId="23064"/>
    <cellStyle name="Currency 2 2 2 3 2 4 4" xfId="3890"/>
    <cellStyle name="Currency 2 2 2 3 2 4 4 2" xfId="3891"/>
    <cellStyle name="Currency 2 2 2 3 2 4 4 2 2" xfId="23065"/>
    <cellStyle name="Currency 2 2 2 3 2 4 4 3" xfId="23066"/>
    <cellStyle name="Currency 2 2 2 3 2 4 5" xfId="3892"/>
    <cellStyle name="Currency 2 2 2 3 2 4 5 2" xfId="3893"/>
    <cellStyle name="Currency 2 2 2 3 2 4 5 2 2" xfId="23067"/>
    <cellStyle name="Currency 2 2 2 3 2 4 5 3" xfId="23068"/>
    <cellStyle name="Currency 2 2 2 3 2 4 6" xfId="3894"/>
    <cellStyle name="Currency 2 2 2 3 2 4 6 2" xfId="23069"/>
    <cellStyle name="Currency 2 2 2 3 2 4 7" xfId="3895"/>
    <cellStyle name="Currency 2 2 2 3 2 5" xfId="1329"/>
    <cellStyle name="Currency 2 2 2 3 2 5 2" xfId="3896"/>
    <cellStyle name="Currency 2 2 2 3 2 5 2 2" xfId="3897"/>
    <cellStyle name="Currency 2 2 2 3 2 5 2 2 2" xfId="23070"/>
    <cellStyle name="Currency 2 2 2 3 2 5 2 3" xfId="23071"/>
    <cellStyle name="Currency 2 2 2 3 2 5 3" xfId="3898"/>
    <cellStyle name="Currency 2 2 2 3 2 5 3 2" xfId="3899"/>
    <cellStyle name="Currency 2 2 2 3 2 5 3 2 2" xfId="23072"/>
    <cellStyle name="Currency 2 2 2 3 2 5 3 3" xfId="23073"/>
    <cellStyle name="Currency 2 2 2 3 2 5 4" xfId="3900"/>
    <cellStyle name="Currency 2 2 2 3 2 5 4 2" xfId="3901"/>
    <cellStyle name="Currency 2 2 2 3 2 5 4 2 2" xfId="23074"/>
    <cellStyle name="Currency 2 2 2 3 2 5 4 3" xfId="23075"/>
    <cellStyle name="Currency 2 2 2 3 2 5 5" xfId="3902"/>
    <cellStyle name="Currency 2 2 2 3 2 5 5 2" xfId="23076"/>
    <cellStyle name="Currency 2 2 2 3 2 5 6" xfId="3903"/>
    <cellStyle name="Currency 2 2 2 3 2 6" xfId="3904"/>
    <cellStyle name="Currency 2 2 2 3 2 6 2" xfId="3905"/>
    <cellStyle name="Currency 2 2 2 3 2 6 2 2" xfId="23077"/>
    <cellStyle name="Currency 2 2 2 3 2 6 3" xfId="23078"/>
    <cellStyle name="Currency 2 2 2 3 2 7" xfId="3906"/>
    <cellStyle name="Currency 2 2 2 3 2 7 2" xfId="3907"/>
    <cellStyle name="Currency 2 2 2 3 2 7 2 2" xfId="23079"/>
    <cellStyle name="Currency 2 2 2 3 2 7 3" xfId="23080"/>
    <cellStyle name="Currency 2 2 2 3 2 8" xfId="3908"/>
    <cellStyle name="Currency 2 2 2 3 2 8 2" xfId="3909"/>
    <cellStyle name="Currency 2 2 2 3 2 8 2 2" xfId="23081"/>
    <cellStyle name="Currency 2 2 2 3 2 8 3" xfId="23082"/>
    <cellStyle name="Currency 2 2 2 3 2 9" xfId="3910"/>
    <cellStyle name="Currency 2 2 2 3 2 9 2" xfId="23083"/>
    <cellStyle name="Currency 2 2 2 3 3" xfId="247"/>
    <cellStyle name="Currency 2 2 2 3 3 10" xfId="3911"/>
    <cellStyle name="Currency 2 2 2 3 3 2" xfId="405"/>
    <cellStyle name="Currency 2 2 2 3 3 2 2" xfId="1193"/>
    <cellStyle name="Currency 2 2 2 3 3 2 2 2" xfId="1330"/>
    <cellStyle name="Currency 2 2 2 3 3 2 2 2 2" xfId="3912"/>
    <cellStyle name="Currency 2 2 2 3 3 2 2 2 2 2" xfId="3913"/>
    <cellStyle name="Currency 2 2 2 3 3 2 2 2 2 2 2" xfId="23084"/>
    <cellStyle name="Currency 2 2 2 3 3 2 2 2 2 3" xfId="23085"/>
    <cellStyle name="Currency 2 2 2 3 3 2 2 2 3" xfId="3914"/>
    <cellStyle name="Currency 2 2 2 3 3 2 2 2 3 2" xfId="3915"/>
    <cellStyle name="Currency 2 2 2 3 3 2 2 2 3 2 2" xfId="23086"/>
    <cellStyle name="Currency 2 2 2 3 3 2 2 2 3 3" xfId="23087"/>
    <cellStyle name="Currency 2 2 2 3 3 2 2 2 4" xfId="3916"/>
    <cellStyle name="Currency 2 2 2 3 3 2 2 2 4 2" xfId="3917"/>
    <cellStyle name="Currency 2 2 2 3 3 2 2 2 4 2 2" xfId="23088"/>
    <cellStyle name="Currency 2 2 2 3 3 2 2 2 4 3" xfId="23089"/>
    <cellStyle name="Currency 2 2 2 3 3 2 2 2 5" xfId="3918"/>
    <cellStyle name="Currency 2 2 2 3 3 2 2 2 5 2" xfId="23090"/>
    <cellStyle name="Currency 2 2 2 3 3 2 2 2 6" xfId="3919"/>
    <cellStyle name="Currency 2 2 2 3 3 2 2 3" xfId="3920"/>
    <cellStyle name="Currency 2 2 2 3 3 2 2 3 2" xfId="3921"/>
    <cellStyle name="Currency 2 2 2 3 3 2 2 3 2 2" xfId="23091"/>
    <cellStyle name="Currency 2 2 2 3 3 2 2 3 3" xfId="23092"/>
    <cellStyle name="Currency 2 2 2 3 3 2 2 4" xfId="3922"/>
    <cellStyle name="Currency 2 2 2 3 3 2 2 4 2" xfId="3923"/>
    <cellStyle name="Currency 2 2 2 3 3 2 2 4 2 2" xfId="23093"/>
    <cellStyle name="Currency 2 2 2 3 3 2 2 4 3" xfId="23094"/>
    <cellStyle name="Currency 2 2 2 3 3 2 2 5" xfId="3924"/>
    <cellStyle name="Currency 2 2 2 3 3 2 2 5 2" xfId="3925"/>
    <cellStyle name="Currency 2 2 2 3 3 2 2 5 2 2" xfId="23095"/>
    <cellStyle name="Currency 2 2 2 3 3 2 2 5 3" xfId="23096"/>
    <cellStyle name="Currency 2 2 2 3 3 2 2 6" xfId="3926"/>
    <cellStyle name="Currency 2 2 2 3 3 2 2 6 2" xfId="23097"/>
    <cellStyle name="Currency 2 2 2 3 3 2 2 7" xfId="3927"/>
    <cellStyle name="Currency 2 2 2 3 3 2 3" xfId="825"/>
    <cellStyle name="Currency 2 2 2 3 3 2 3 2" xfId="1331"/>
    <cellStyle name="Currency 2 2 2 3 3 2 3 2 2" xfId="3928"/>
    <cellStyle name="Currency 2 2 2 3 3 2 3 2 2 2" xfId="3929"/>
    <cellStyle name="Currency 2 2 2 3 3 2 3 2 2 2 2" xfId="23098"/>
    <cellStyle name="Currency 2 2 2 3 3 2 3 2 2 3" xfId="23099"/>
    <cellStyle name="Currency 2 2 2 3 3 2 3 2 3" xfId="3930"/>
    <cellStyle name="Currency 2 2 2 3 3 2 3 2 3 2" xfId="3931"/>
    <cellStyle name="Currency 2 2 2 3 3 2 3 2 3 2 2" xfId="23100"/>
    <cellStyle name="Currency 2 2 2 3 3 2 3 2 3 3" xfId="23101"/>
    <cellStyle name="Currency 2 2 2 3 3 2 3 2 4" xfId="3932"/>
    <cellStyle name="Currency 2 2 2 3 3 2 3 2 4 2" xfId="3933"/>
    <cellStyle name="Currency 2 2 2 3 3 2 3 2 4 2 2" xfId="23102"/>
    <cellStyle name="Currency 2 2 2 3 3 2 3 2 4 3" xfId="23103"/>
    <cellStyle name="Currency 2 2 2 3 3 2 3 2 5" xfId="3934"/>
    <cellStyle name="Currency 2 2 2 3 3 2 3 2 5 2" xfId="23104"/>
    <cellStyle name="Currency 2 2 2 3 3 2 3 2 6" xfId="3935"/>
    <cellStyle name="Currency 2 2 2 3 3 2 3 3" xfId="3936"/>
    <cellStyle name="Currency 2 2 2 3 3 2 3 3 2" xfId="3937"/>
    <cellStyle name="Currency 2 2 2 3 3 2 3 3 2 2" xfId="23105"/>
    <cellStyle name="Currency 2 2 2 3 3 2 3 3 3" xfId="23106"/>
    <cellStyle name="Currency 2 2 2 3 3 2 3 4" xfId="3938"/>
    <cellStyle name="Currency 2 2 2 3 3 2 3 4 2" xfId="3939"/>
    <cellStyle name="Currency 2 2 2 3 3 2 3 4 2 2" xfId="23107"/>
    <cellStyle name="Currency 2 2 2 3 3 2 3 4 3" xfId="23108"/>
    <cellStyle name="Currency 2 2 2 3 3 2 3 5" xfId="3940"/>
    <cellStyle name="Currency 2 2 2 3 3 2 3 5 2" xfId="3941"/>
    <cellStyle name="Currency 2 2 2 3 3 2 3 5 2 2" xfId="23109"/>
    <cellStyle name="Currency 2 2 2 3 3 2 3 5 3" xfId="23110"/>
    <cellStyle name="Currency 2 2 2 3 3 2 3 6" xfId="3942"/>
    <cellStyle name="Currency 2 2 2 3 3 2 3 6 2" xfId="23111"/>
    <cellStyle name="Currency 2 2 2 3 3 2 3 7" xfId="3943"/>
    <cellStyle name="Currency 2 2 2 3 3 2 4" xfId="1332"/>
    <cellStyle name="Currency 2 2 2 3 3 2 4 2" xfId="3944"/>
    <cellStyle name="Currency 2 2 2 3 3 2 4 2 2" xfId="3945"/>
    <cellStyle name="Currency 2 2 2 3 3 2 4 2 2 2" xfId="23112"/>
    <cellStyle name="Currency 2 2 2 3 3 2 4 2 3" xfId="23113"/>
    <cellStyle name="Currency 2 2 2 3 3 2 4 3" xfId="3946"/>
    <cellStyle name="Currency 2 2 2 3 3 2 4 3 2" xfId="3947"/>
    <cellStyle name="Currency 2 2 2 3 3 2 4 3 2 2" xfId="23114"/>
    <cellStyle name="Currency 2 2 2 3 3 2 4 3 3" xfId="23115"/>
    <cellStyle name="Currency 2 2 2 3 3 2 4 4" xfId="3948"/>
    <cellStyle name="Currency 2 2 2 3 3 2 4 4 2" xfId="3949"/>
    <cellStyle name="Currency 2 2 2 3 3 2 4 4 2 2" xfId="23116"/>
    <cellStyle name="Currency 2 2 2 3 3 2 4 4 3" xfId="23117"/>
    <cellStyle name="Currency 2 2 2 3 3 2 4 5" xfId="3950"/>
    <cellStyle name="Currency 2 2 2 3 3 2 4 5 2" xfId="23118"/>
    <cellStyle name="Currency 2 2 2 3 3 2 4 6" xfId="3951"/>
    <cellStyle name="Currency 2 2 2 3 3 2 5" xfId="3952"/>
    <cellStyle name="Currency 2 2 2 3 3 2 5 2" xfId="3953"/>
    <cellStyle name="Currency 2 2 2 3 3 2 5 2 2" xfId="23119"/>
    <cellStyle name="Currency 2 2 2 3 3 2 5 3" xfId="23120"/>
    <cellStyle name="Currency 2 2 2 3 3 2 6" xfId="3954"/>
    <cellStyle name="Currency 2 2 2 3 3 2 6 2" xfId="3955"/>
    <cellStyle name="Currency 2 2 2 3 3 2 6 2 2" xfId="23121"/>
    <cellStyle name="Currency 2 2 2 3 3 2 6 3" xfId="23122"/>
    <cellStyle name="Currency 2 2 2 3 3 2 7" xfId="3956"/>
    <cellStyle name="Currency 2 2 2 3 3 2 7 2" xfId="3957"/>
    <cellStyle name="Currency 2 2 2 3 3 2 7 2 2" xfId="23123"/>
    <cellStyle name="Currency 2 2 2 3 3 2 7 3" xfId="23124"/>
    <cellStyle name="Currency 2 2 2 3 3 2 8" xfId="3958"/>
    <cellStyle name="Currency 2 2 2 3 3 2 8 2" xfId="23125"/>
    <cellStyle name="Currency 2 2 2 3 3 2 9" xfId="3959"/>
    <cellStyle name="Currency 2 2 2 3 3 3" xfId="1035"/>
    <cellStyle name="Currency 2 2 2 3 3 3 2" xfId="1333"/>
    <cellStyle name="Currency 2 2 2 3 3 3 2 2" xfId="3960"/>
    <cellStyle name="Currency 2 2 2 3 3 3 2 2 2" xfId="3961"/>
    <cellStyle name="Currency 2 2 2 3 3 3 2 2 2 2" xfId="23126"/>
    <cellStyle name="Currency 2 2 2 3 3 3 2 2 3" xfId="23127"/>
    <cellStyle name="Currency 2 2 2 3 3 3 2 3" xfId="3962"/>
    <cellStyle name="Currency 2 2 2 3 3 3 2 3 2" xfId="3963"/>
    <cellStyle name="Currency 2 2 2 3 3 3 2 3 2 2" xfId="23128"/>
    <cellStyle name="Currency 2 2 2 3 3 3 2 3 3" xfId="23129"/>
    <cellStyle name="Currency 2 2 2 3 3 3 2 4" xfId="3964"/>
    <cellStyle name="Currency 2 2 2 3 3 3 2 4 2" xfId="3965"/>
    <cellStyle name="Currency 2 2 2 3 3 3 2 4 2 2" xfId="23130"/>
    <cellStyle name="Currency 2 2 2 3 3 3 2 4 3" xfId="23131"/>
    <cellStyle name="Currency 2 2 2 3 3 3 2 5" xfId="3966"/>
    <cellStyle name="Currency 2 2 2 3 3 3 2 5 2" xfId="23132"/>
    <cellStyle name="Currency 2 2 2 3 3 3 2 6" xfId="3967"/>
    <cellStyle name="Currency 2 2 2 3 3 3 3" xfId="3968"/>
    <cellStyle name="Currency 2 2 2 3 3 3 3 2" xfId="3969"/>
    <cellStyle name="Currency 2 2 2 3 3 3 3 2 2" xfId="23133"/>
    <cellStyle name="Currency 2 2 2 3 3 3 3 3" xfId="23134"/>
    <cellStyle name="Currency 2 2 2 3 3 3 4" xfId="3970"/>
    <cellStyle name="Currency 2 2 2 3 3 3 4 2" xfId="3971"/>
    <cellStyle name="Currency 2 2 2 3 3 3 4 2 2" xfId="23135"/>
    <cellStyle name="Currency 2 2 2 3 3 3 4 3" xfId="23136"/>
    <cellStyle name="Currency 2 2 2 3 3 3 5" xfId="3972"/>
    <cellStyle name="Currency 2 2 2 3 3 3 5 2" xfId="3973"/>
    <cellStyle name="Currency 2 2 2 3 3 3 5 2 2" xfId="23137"/>
    <cellStyle name="Currency 2 2 2 3 3 3 5 3" xfId="23138"/>
    <cellStyle name="Currency 2 2 2 3 3 3 6" xfId="3974"/>
    <cellStyle name="Currency 2 2 2 3 3 3 6 2" xfId="23139"/>
    <cellStyle name="Currency 2 2 2 3 3 3 7" xfId="3975"/>
    <cellStyle name="Currency 2 2 2 3 3 4" xfId="667"/>
    <cellStyle name="Currency 2 2 2 3 3 4 2" xfId="1334"/>
    <cellStyle name="Currency 2 2 2 3 3 4 2 2" xfId="3976"/>
    <cellStyle name="Currency 2 2 2 3 3 4 2 2 2" xfId="3977"/>
    <cellStyle name="Currency 2 2 2 3 3 4 2 2 2 2" xfId="23140"/>
    <cellStyle name="Currency 2 2 2 3 3 4 2 2 3" xfId="23141"/>
    <cellStyle name="Currency 2 2 2 3 3 4 2 3" xfId="3978"/>
    <cellStyle name="Currency 2 2 2 3 3 4 2 3 2" xfId="3979"/>
    <cellStyle name="Currency 2 2 2 3 3 4 2 3 2 2" xfId="23142"/>
    <cellStyle name="Currency 2 2 2 3 3 4 2 3 3" xfId="23143"/>
    <cellStyle name="Currency 2 2 2 3 3 4 2 4" xfId="3980"/>
    <cellStyle name="Currency 2 2 2 3 3 4 2 4 2" xfId="3981"/>
    <cellStyle name="Currency 2 2 2 3 3 4 2 4 2 2" xfId="23144"/>
    <cellStyle name="Currency 2 2 2 3 3 4 2 4 3" xfId="23145"/>
    <cellStyle name="Currency 2 2 2 3 3 4 2 5" xfId="3982"/>
    <cellStyle name="Currency 2 2 2 3 3 4 2 5 2" xfId="23146"/>
    <cellStyle name="Currency 2 2 2 3 3 4 2 6" xfId="3983"/>
    <cellStyle name="Currency 2 2 2 3 3 4 3" xfId="3984"/>
    <cellStyle name="Currency 2 2 2 3 3 4 3 2" xfId="3985"/>
    <cellStyle name="Currency 2 2 2 3 3 4 3 2 2" xfId="23147"/>
    <cellStyle name="Currency 2 2 2 3 3 4 3 3" xfId="23148"/>
    <cellStyle name="Currency 2 2 2 3 3 4 4" xfId="3986"/>
    <cellStyle name="Currency 2 2 2 3 3 4 4 2" xfId="3987"/>
    <cellStyle name="Currency 2 2 2 3 3 4 4 2 2" xfId="23149"/>
    <cellStyle name="Currency 2 2 2 3 3 4 4 3" xfId="23150"/>
    <cellStyle name="Currency 2 2 2 3 3 4 5" xfId="3988"/>
    <cellStyle name="Currency 2 2 2 3 3 4 5 2" xfId="3989"/>
    <cellStyle name="Currency 2 2 2 3 3 4 5 2 2" xfId="23151"/>
    <cellStyle name="Currency 2 2 2 3 3 4 5 3" xfId="23152"/>
    <cellStyle name="Currency 2 2 2 3 3 4 6" xfId="3990"/>
    <cellStyle name="Currency 2 2 2 3 3 4 6 2" xfId="23153"/>
    <cellStyle name="Currency 2 2 2 3 3 4 7" xfId="3991"/>
    <cellStyle name="Currency 2 2 2 3 3 5" xfId="1335"/>
    <cellStyle name="Currency 2 2 2 3 3 5 2" xfId="3992"/>
    <cellStyle name="Currency 2 2 2 3 3 5 2 2" xfId="3993"/>
    <cellStyle name="Currency 2 2 2 3 3 5 2 2 2" xfId="23154"/>
    <cellStyle name="Currency 2 2 2 3 3 5 2 3" xfId="23155"/>
    <cellStyle name="Currency 2 2 2 3 3 5 3" xfId="3994"/>
    <cellStyle name="Currency 2 2 2 3 3 5 3 2" xfId="3995"/>
    <cellStyle name="Currency 2 2 2 3 3 5 3 2 2" xfId="23156"/>
    <cellStyle name="Currency 2 2 2 3 3 5 3 3" xfId="23157"/>
    <cellStyle name="Currency 2 2 2 3 3 5 4" xfId="3996"/>
    <cellStyle name="Currency 2 2 2 3 3 5 4 2" xfId="3997"/>
    <cellStyle name="Currency 2 2 2 3 3 5 4 2 2" xfId="23158"/>
    <cellStyle name="Currency 2 2 2 3 3 5 4 3" xfId="23159"/>
    <cellStyle name="Currency 2 2 2 3 3 5 5" xfId="3998"/>
    <cellStyle name="Currency 2 2 2 3 3 5 5 2" xfId="23160"/>
    <cellStyle name="Currency 2 2 2 3 3 5 6" xfId="3999"/>
    <cellStyle name="Currency 2 2 2 3 3 6" xfId="4000"/>
    <cellStyle name="Currency 2 2 2 3 3 6 2" xfId="4001"/>
    <cellStyle name="Currency 2 2 2 3 3 6 2 2" xfId="23161"/>
    <cellStyle name="Currency 2 2 2 3 3 6 3" xfId="23162"/>
    <cellStyle name="Currency 2 2 2 3 3 7" xfId="4002"/>
    <cellStyle name="Currency 2 2 2 3 3 7 2" xfId="4003"/>
    <cellStyle name="Currency 2 2 2 3 3 7 2 2" xfId="23163"/>
    <cellStyle name="Currency 2 2 2 3 3 7 3" xfId="23164"/>
    <cellStyle name="Currency 2 2 2 3 3 8" xfId="4004"/>
    <cellStyle name="Currency 2 2 2 3 3 8 2" xfId="4005"/>
    <cellStyle name="Currency 2 2 2 3 3 8 2 2" xfId="23165"/>
    <cellStyle name="Currency 2 2 2 3 3 8 3" xfId="23166"/>
    <cellStyle name="Currency 2 2 2 3 3 9" xfId="4006"/>
    <cellStyle name="Currency 2 2 2 3 3 9 2" xfId="23167"/>
    <cellStyle name="Currency 2 2 2 3 4" xfId="175"/>
    <cellStyle name="Currency 2 2 2 3 4 2" xfId="963"/>
    <cellStyle name="Currency 2 2 2 3 4 2 2" xfId="1336"/>
    <cellStyle name="Currency 2 2 2 3 4 2 2 2" xfId="4007"/>
    <cellStyle name="Currency 2 2 2 3 4 2 2 2 2" xfId="4008"/>
    <cellStyle name="Currency 2 2 2 3 4 2 2 2 2 2" xfId="23168"/>
    <cellStyle name="Currency 2 2 2 3 4 2 2 2 3" xfId="23169"/>
    <cellStyle name="Currency 2 2 2 3 4 2 2 3" xfId="4009"/>
    <cellStyle name="Currency 2 2 2 3 4 2 2 3 2" xfId="4010"/>
    <cellStyle name="Currency 2 2 2 3 4 2 2 3 2 2" xfId="23170"/>
    <cellStyle name="Currency 2 2 2 3 4 2 2 3 3" xfId="23171"/>
    <cellStyle name="Currency 2 2 2 3 4 2 2 4" xfId="4011"/>
    <cellStyle name="Currency 2 2 2 3 4 2 2 4 2" xfId="4012"/>
    <cellStyle name="Currency 2 2 2 3 4 2 2 4 2 2" xfId="23172"/>
    <cellStyle name="Currency 2 2 2 3 4 2 2 4 3" xfId="23173"/>
    <cellStyle name="Currency 2 2 2 3 4 2 2 5" xfId="4013"/>
    <cellStyle name="Currency 2 2 2 3 4 2 2 5 2" xfId="23174"/>
    <cellStyle name="Currency 2 2 2 3 4 2 2 6" xfId="4014"/>
    <cellStyle name="Currency 2 2 2 3 4 2 3" xfId="4015"/>
    <cellStyle name="Currency 2 2 2 3 4 2 3 2" xfId="4016"/>
    <cellStyle name="Currency 2 2 2 3 4 2 3 2 2" xfId="23175"/>
    <cellStyle name="Currency 2 2 2 3 4 2 3 3" xfId="23176"/>
    <cellStyle name="Currency 2 2 2 3 4 2 4" xfId="4017"/>
    <cellStyle name="Currency 2 2 2 3 4 2 4 2" xfId="4018"/>
    <cellStyle name="Currency 2 2 2 3 4 2 4 2 2" xfId="23177"/>
    <cellStyle name="Currency 2 2 2 3 4 2 4 3" xfId="23178"/>
    <cellStyle name="Currency 2 2 2 3 4 2 5" xfId="4019"/>
    <cellStyle name="Currency 2 2 2 3 4 2 5 2" xfId="4020"/>
    <cellStyle name="Currency 2 2 2 3 4 2 5 2 2" xfId="23179"/>
    <cellStyle name="Currency 2 2 2 3 4 2 5 3" xfId="23180"/>
    <cellStyle name="Currency 2 2 2 3 4 2 6" xfId="4021"/>
    <cellStyle name="Currency 2 2 2 3 4 2 6 2" xfId="23181"/>
    <cellStyle name="Currency 2 2 2 3 4 2 7" xfId="4022"/>
    <cellStyle name="Currency 2 2 2 3 4 3" xfId="595"/>
    <cellStyle name="Currency 2 2 2 3 4 3 2" xfId="1337"/>
    <cellStyle name="Currency 2 2 2 3 4 3 2 2" xfId="4023"/>
    <cellStyle name="Currency 2 2 2 3 4 3 2 2 2" xfId="4024"/>
    <cellStyle name="Currency 2 2 2 3 4 3 2 2 2 2" xfId="23182"/>
    <cellStyle name="Currency 2 2 2 3 4 3 2 2 3" xfId="23183"/>
    <cellStyle name="Currency 2 2 2 3 4 3 2 3" xfId="4025"/>
    <cellStyle name="Currency 2 2 2 3 4 3 2 3 2" xfId="4026"/>
    <cellStyle name="Currency 2 2 2 3 4 3 2 3 2 2" xfId="23184"/>
    <cellStyle name="Currency 2 2 2 3 4 3 2 3 3" xfId="23185"/>
    <cellStyle name="Currency 2 2 2 3 4 3 2 4" xfId="4027"/>
    <cellStyle name="Currency 2 2 2 3 4 3 2 4 2" xfId="4028"/>
    <cellStyle name="Currency 2 2 2 3 4 3 2 4 2 2" xfId="23186"/>
    <cellStyle name="Currency 2 2 2 3 4 3 2 4 3" xfId="23187"/>
    <cellStyle name="Currency 2 2 2 3 4 3 2 5" xfId="4029"/>
    <cellStyle name="Currency 2 2 2 3 4 3 2 5 2" xfId="23188"/>
    <cellStyle name="Currency 2 2 2 3 4 3 2 6" xfId="4030"/>
    <cellStyle name="Currency 2 2 2 3 4 3 3" xfId="4031"/>
    <cellStyle name="Currency 2 2 2 3 4 3 3 2" xfId="4032"/>
    <cellStyle name="Currency 2 2 2 3 4 3 3 2 2" xfId="23189"/>
    <cellStyle name="Currency 2 2 2 3 4 3 3 3" xfId="23190"/>
    <cellStyle name="Currency 2 2 2 3 4 3 4" xfId="4033"/>
    <cellStyle name="Currency 2 2 2 3 4 3 4 2" xfId="4034"/>
    <cellStyle name="Currency 2 2 2 3 4 3 4 2 2" xfId="23191"/>
    <cellStyle name="Currency 2 2 2 3 4 3 4 3" xfId="23192"/>
    <cellStyle name="Currency 2 2 2 3 4 3 5" xfId="4035"/>
    <cellStyle name="Currency 2 2 2 3 4 3 5 2" xfId="4036"/>
    <cellStyle name="Currency 2 2 2 3 4 3 5 2 2" xfId="23193"/>
    <cellStyle name="Currency 2 2 2 3 4 3 5 3" xfId="23194"/>
    <cellStyle name="Currency 2 2 2 3 4 3 6" xfId="4037"/>
    <cellStyle name="Currency 2 2 2 3 4 3 6 2" xfId="23195"/>
    <cellStyle name="Currency 2 2 2 3 4 3 7" xfId="4038"/>
    <cellStyle name="Currency 2 2 2 3 4 4" xfId="1338"/>
    <cellStyle name="Currency 2 2 2 3 4 4 2" xfId="4039"/>
    <cellStyle name="Currency 2 2 2 3 4 4 2 2" xfId="4040"/>
    <cellStyle name="Currency 2 2 2 3 4 4 2 2 2" xfId="23196"/>
    <cellStyle name="Currency 2 2 2 3 4 4 2 3" xfId="23197"/>
    <cellStyle name="Currency 2 2 2 3 4 4 3" xfId="4041"/>
    <cellStyle name="Currency 2 2 2 3 4 4 3 2" xfId="4042"/>
    <cellStyle name="Currency 2 2 2 3 4 4 3 2 2" xfId="23198"/>
    <cellStyle name="Currency 2 2 2 3 4 4 3 3" xfId="23199"/>
    <cellStyle name="Currency 2 2 2 3 4 4 4" xfId="4043"/>
    <cellStyle name="Currency 2 2 2 3 4 4 4 2" xfId="4044"/>
    <cellStyle name="Currency 2 2 2 3 4 4 4 2 2" xfId="23200"/>
    <cellStyle name="Currency 2 2 2 3 4 4 4 3" xfId="23201"/>
    <cellStyle name="Currency 2 2 2 3 4 4 5" xfId="4045"/>
    <cellStyle name="Currency 2 2 2 3 4 4 5 2" xfId="23202"/>
    <cellStyle name="Currency 2 2 2 3 4 4 6" xfId="4046"/>
    <cellStyle name="Currency 2 2 2 3 4 5" xfId="4047"/>
    <cellStyle name="Currency 2 2 2 3 4 5 2" xfId="4048"/>
    <cellStyle name="Currency 2 2 2 3 4 5 2 2" xfId="23203"/>
    <cellStyle name="Currency 2 2 2 3 4 5 3" xfId="23204"/>
    <cellStyle name="Currency 2 2 2 3 4 6" xfId="4049"/>
    <cellStyle name="Currency 2 2 2 3 4 6 2" xfId="4050"/>
    <cellStyle name="Currency 2 2 2 3 4 6 2 2" xfId="23205"/>
    <cellStyle name="Currency 2 2 2 3 4 6 3" xfId="23206"/>
    <cellStyle name="Currency 2 2 2 3 4 7" xfId="4051"/>
    <cellStyle name="Currency 2 2 2 3 4 7 2" xfId="4052"/>
    <cellStyle name="Currency 2 2 2 3 4 7 2 2" xfId="23207"/>
    <cellStyle name="Currency 2 2 2 3 4 7 3" xfId="23208"/>
    <cellStyle name="Currency 2 2 2 3 4 8" xfId="4053"/>
    <cellStyle name="Currency 2 2 2 3 4 8 2" xfId="23209"/>
    <cellStyle name="Currency 2 2 2 3 4 9" xfId="4054"/>
    <cellStyle name="Currency 2 2 2 3 5" xfId="333"/>
    <cellStyle name="Currency 2 2 2 3 5 2" xfId="1121"/>
    <cellStyle name="Currency 2 2 2 3 5 2 2" xfId="1339"/>
    <cellStyle name="Currency 2 2 2 3 5 2 2 2" xfId="4055"/>
    <cellStyle name="Currency 2 2 2 3 5 2 2 2 2" xfId="4056"/>
    <cellStyle name="Currency 2 2 2 3 5 2 2 2 2 2" xfId="23210"/>
    <cellStyle name="Currency 2 2 2 3 5 2 2 2 3" xfId="23211"/>
    <cellStyle name="Currency 2 2 2 3 5 2 2 3" xfId="4057"/>
    <cellStyle name="Currency 2 2 2 3 5 2 2 3 2" xfId="4058"/>
    <cellStyle name="Currency 2 2 2 3 5 2 2 3 2 2" xfId="23212"/>
    <cellStyle name="Currency 2 2 2 3 5 2 2 3 3" xfId="23213"/>
    <cellStyle name="Currency 2 2 2 3 5 2 2 4" xfId="4059"/>
    <cellStyle name="Currency 2 2 2 3 5 2 2 4 2" xfId="4060"/>
    <cellStyle name="Currency 2 2 2 3 5 2 2 4 2 2" xfId="23214"/>
    <cellStyle name="Currency 2 2 2 3 5 2 2 4 3" xfId="23215"/>
    <cellStyle name="Currency 2 2 2 3 5 2 2 5" xfId="4061"/>
    <cellStyle name="Currency 2 2 2 3 5 2 2 5 2" xfId="23216"/>
    <cellStyle name="Currency 2 2 2 3 5 2 2 6" xfId="4062"/>
    <cellStyle name="Currency 2 2 2 3 5 2 3" xfId="4063"/>
    <cellStyle name="Currency 2 2 2 3 5 2 3 2" xfId="4064"/>
    <cellStyle name="Currency 2 2 2 3 5 2 3 2 2" xfId="23217"/>
    <cellStyle name="Currency 2 2 2 3 5 2 3 3" xfId="23218"/>
    <cellStyle name="Currency 2 2 2 3 5 2 4" xfId="4065"/>
    <cellStyle name="Currency 2 2 2 3 5 2 4 2" xfId="4066"/>
    <cellStyle name="Currency 2 2 2 3 5 2 4 2 2" xfId="23219"/>
    <cellStyle name="Currency 2 2 2 3 5 2 4 3" xfId="23220"/>
    <cellStyle name="Currency 2 2 2 3 5 2 5" xfId="4067"/>
    <cellStyle name="Currency 2 2 2 3 5 2 5 2" xfId="4068"/>
    <cellStyle name="Currency 2 2 2 3 5 2 5 2 2" xfId="23221"/>
    <cellStyle name="Currency 2 2 2 3 5 2 5 3" xfId="23222"/>
    <cellStyle name="Currency 2 2 2 3 5 2 6" xfId="4069"/>
    <cellStyle name="Currency 2 2 2 3 5 2 6 2" xfId="23223"/>
    <cellStyle name="Currency 2 2 2 3 5 2 7" xfId="4070"/>
    <cellStyle name="Currency 2 2 2 3 5 3" xfId="753"/>
    <cellStyle name="Currency 2 2 2 3 5 3 2" xfId="1340"/>
    <cellStyle name="Currency 2 2 2 3 5 3 2 2" xfId="4071"/>
    <cellStyle name="Currency 2 2 2 3 5 3 2 2 2" xfId="4072"/>
    <cellStyle name="Currency 2 2 2 3 5 3 2 2 2 2" xfId="23224"/>
    <cellStyle name="Currency 2 2 2 3 5 3 2 2 3" xfId="23225"/>
    <cellStyle name="Currency 2 2 2 3 5 3 2 3" xfId="4073"/>
    <cellStyle name="Currency 2 2 2 3 5 3 2 3 2" xfId="4074"/>
    <cellStyle name="Currency 2 2 2 3 5 3 2 3 2 2" xfId="23226"/>
    <cellStyle name="Currency 2 2 2 3 5 3 2 3 3" xfId="23227"/>
    <cellStyle name="Currency 2 2 2 3 5 3 2 4" xfId="4075"/>
    <cellStyle name="Currency 2 2 2 3 5 3 2 4 2" xfId="4076"/>
    <cellStyle name="Currency 2 2 2 3 5 3 2 4 2 2" xfId="23228"/>
    <cellStyle name="Currency 2 2 2 3 5 3 2 4 3" xfId="23229"/>
    <cellStyle name="Currency 2 2 2 3 5 3 2 5" xfId="4077"/>
    <cellStyle name="Currency 2 2 2 3 5 3 2 5 2" xfId="23230"/>
    <cellStyle name="Currency 2 2 2 3 5 3 2 6" xfId="4078"/>
    <cellStyle name="Currency 2 2 2 3 5 3 3" xfId="4079"/>
    <cellStyle name="Currency 2 2 2 3 5 3 3 2" xfId="4080"/>
    <cellStyle name="Currency 2 2 2 3 5 3 3 2 2" xfId="23231"/>
    <cellStyle name="Currency 2 2 2 3 5 3 3 3" xfId="23232"/>
    <cellStyle name="Currency 2 2 2 3 5 3 4" xfId="4081"/>
    <cellStyle name="Currency 2 2 2 3 5 3 4 2" xfId="4082"/>
    <cellStyle name="Currency 2 2 2 3 5 3 4 2 2" xfId="23233"/>
    <cellStyle name="Currency 2 2 2 3 5 3 4 3" xfId="23234"/>
    <cellStyle name="Currency 2 2 2 3 5 3 5" xfId="4083"/>
    <cellStyle name="Currency 2 2 2 3 5 3 5 2" xfId="4084"/>
    <cellStyle name="Currency 2 2 2 3 5 3 5 2 2" xfId="23235"/>
    <cellStyle name="Currency 2 2 2 3 5 3 5 3" xfId="23236"/>
    <cellStyle name="Currency 2 2 2 3 5 3 6" xfId="4085"/>
    <cellStyle name="Currency 2 2 2 3 5 3 6 2" xfId="23237"/>
    <cellStyle name="Currency 2 2 2 3 5 3 7" xfId="4086"/>
    <cellStyle name="Currency 2 2 2 3 5 4" xfId="1341"/>
    <cellStyle name="Currency 2 2 2 3 5 4 2" xfId="4087"/>
    <cellStyle name="Currency 2 2 2 3 5 4 2 2" xfId="4088"/>
    <cellStyle name="Currency 2 2 2 3 5 4 2 2 2" xfId="23238"/>
    <cellStyle name="Currency 2 2 2 3 5 4 2 3" xfId="23239"/>
    <cellStyle name="Currency 2 2 2 3 5 4 3" xfId="4089"/>
    <cellStyle name="Currency 2 2 2 3 5 4 3 2" xfId="4090"/>
    <cellStyle name="Currency 2 2 2 3 5 4 3 2 2" xfId="23240"/>
    <cellStyle name="Currency 2 2 2 3 5 4 3 3" xfId="23241"/>
    <cellStyle name="Currency 2 2 2 3 5 4 4" xfId="4091"/>
    <cellStyle name="Currency 2 2 2 3 5 4 4 2" xfId="4092"/>
    <cellStyle name="Currency 2 2 2 3 5 4 4 2 2" xfId="23242"/>
    <cellStyle name="Currency 2 2 2 3 5 4 4 3" xfId="23243"/>
    <cellStyle name="Currency 2 2 2 3 5 4 5" xfId="4093"/>
    <cellStyle name="Currency 2 2 2 3 5 4 5 2" xfId="23244"/>
    <cellStyle name="Currency 2 2 2 3 5 4 6" xfId="4094"/>
    <cellStyle name="Currency 2 2 2 3 5 5" xfId="4095"/>
    <cellStyle name="Currency 2 2 2 3 5 5 2" xfId="4096"/>
    <cellStyle name="Currency 2 2 2 3 5 5 2 2" xfId="23245"/>
    <cellStyle name="Currency 2 2 2 3 5 5 3" xfId="23246"/>
    <cellStyle name="Currency 2 2 2 3 5 6" xfId="4097"/>
    <cellStyle name="Currency 2 2 2 3 5 6 2" xfId="4098"/>
    <cellStyle name="Currency 2 2 2 3 5 6 2 2" xfId="23247"/>
    <cellStyle name="Currency 2 2 2 3 5 6 3" xfId="23248"/>
    <cellStyle name="Currency 2 2 2 3 5 7" xfId="4099"/>
    <cellStyle name="Currency 2 2 2 3 5 7 2" xfId="4100"/>
    <cellStyle name="Currency 2 2 2 3 5 7 2 2" xfId="23249"/>
    <cellStyle name="Currency 2 2 2 3 5 7 3" xfId="23250"/>
    <cellStyle name="Currency 2 2 2 3 5 8" xfId="4101"/>
    <cellStyle name="Currency 2 2 2 3 5 8 2" xfId="23251"/>
    <cellStyle name="Currency 2 2 2 3 5 9" xfId="4102"/>
    <cellStyle name="Currency 2 2 2 3 6" xfId="122"/>
    <cellStyle name="Currency 2 2 2 3 6 2" xfId="543"/>
    <cellStyle name="Currency 2 2 2 3 6 2 2" xfId="1342"/>
    <cellStyle name="Currency 2 2 2 3 6 2 2 2" xfId="4103"/>
    <cellStyle name="Currency 2 2 2 3 6 2 2 2 2" xfId="4104"/>
    <cellStyle name="Currency 2 2 2 3 6 2 2 2 2 2" xfId="23252"/>
    <cellStyle name="Currency 2 2 2 3 6 2 2 2 3" xfId="23253"/>
    <cellStyle name="Currency 2 2 2 3 6 2 2 3" xfId="4105"/>
    <cellStyle name="Currency 2 2 2 3 6 2 2 3 2" xfId="4106"/>
    <cellStyle name="Currency 2 2 2 3 6 2 2 3 2 2" xfId="23254"/>
    <cellStyle name="Currency 2 2 2 3 6 2 2 3 3" xfId="23255"/>
    <cellStyle name="Currency 2 2 2 3 6 2 2 4" xfId="4107"/>
    <cellStyle name="Currency 2 2 2 3 6 2 2 4 2" xfId="4108"/>
    <cellStyle name="Currency 2 2 2 3 6 2 2 4 2 2" xfId="23256"/>
    <cellStyle name="Currency 2 2 2 3 6 2 2 4 3" xfId="23257"/>
    <cellStyle name="Currency 2 2 2 3 6 2 2 5" xfId="4109"/>
    <cellStyle name="Currency 2 2 2 3 6 2 2 5 2" xfId="23258"/>
    <cellStyle name="Currency 2 2 2 3 6 2 2 6" xfId="4110"/>
    <cellStyle name="Currency 2 2 2 3 6 2 3" xfId="4111"/>
    <cellStyle name="Currency 2 2 2 3 6 2 3 2" xfId="4112"/>
    <cellStyle name="Currency 2 2 2 3 6 2 3 2 2" xfId="23259"/>
    <cellStyle name="Currency 2 2 2 3 6 2 3 3" xfId="23260"/>
    <cellStyle name="Currency 2 2 2 3 6 2 4" xfId="4113"/>
    <cellStyle name="Currency 2 2 2 3 6 2 4 2" xfId="4114"/>
    <cellStyle name="Currency 2 2 2 3 6 2 4 2 2" xfId="23261"/>
    <cellStyle name="Currency 2 2 2 3 6 2 4 3" xfId="23262"/>
    <cellStyle name="Currency 2 2 2 3 6 2 5" xfId="4115"/>
    <cellStyle name="Currency 2 2 2 3 6 2 5 2" xfId="4116"/>
    <cellStyle name="Currency 2 2 2 3 6 2 5 2 2" xfId="23263"/>
    <cellStyle name="Currency 2 2 2 3 6 2 5 3" xfId="23264"/>
    <cellStyle name="Currency 2 2 2 3 6 2 6" xfId="4117"/>
    <cellStyle name="Currency 2 2 2 3 6 2 6 2" xfId="23265"/>
    <cellStyle name="Currency 2 2 2 3 6 2 7" xfId="4118"/>
    <cellStyle name="Currency 2 2 2 3 6 3" xfId="1343"/>
    <cellStyle name="Currency 2 2 2 3 6 3 2" xfId="4119"/>
    <cellStyle name="Currency 2 2 2 3 6 3 2 2" xfId="4120"/>
    <cellStyle name="Currency 2 2 2 3 6 3 2 2 2" xfId="23266"/>
    <cellStyle name="Currency 2 2 2 3 6 3 2 3" xfId="23267"/>
    <cellStyle name="Currency 2 2 2 3 6 3 3" xfId="4121"/>
    <cellStyle name="Currency 2 2 2 3 6 3 3 2" xfId="4122"/>
    <cellStyle name="Currency 2 2 2 3 6 3 3 2 2" xfId="23268"/>
    <cellStyle name="Currency 2 2 2 3 6 3 3 3" xfId="23269"/>
    <cellStyle name="Currency 2 2 2 3 6 3 4" xfId="4123"/>
    <cellStyle name="Currency 2 2 2 3 6 3 4 2" xfId="4124"/>
    <cellStyle name="Currency 2 2 2 3 6 3 4 2 2" xfId="23270"/>
    <cellStyle name="Currency 2 2 2 3 6 3 4 3" xfId="23271"/>
    <cellStyle name="Currency 2 2 2 3 6 3 5" xfId="4125"/>
    <cellStyle name="Currency 2 2 2 3 6 3 5 2" xfId="23272"/>
    <cellStyle name="Currency 2 2 2 3 6 3 6" xfId="4126"/>
    <cellStyle name="Currency 2 2 2 3 6 4" xfId="4127"/>
    <cellStyle name="Currency 2 2 2 3 6 4 2" xfId="4128"/>
    <cellStyle name="Currency 2 2 2 3 6 4 2 2" xfId="23273"/>
    <cellStyle name="Currency 2 2 2 3 6 4 3" xfId="23274"/>
    <cellStyle name="Currency 2 2 2 3 6 5" xfId="4129"/>
    <cellStyle name="Currency 2 2 2 3 6 5 2" xfId="4130"/>
    <cellStyle name="Currency 2 2 2 3 6 5 2 2" xfId="23275"/>
    <cellStyle name="Currency 2 2 2 3 6 5 3" xfId="23276"/>
    <cellStyle name="Currency 2 2 2 3 6 6" xfId="4131"/>
    <cellStyle name="Currency 2 2 2 3 6 6 2" xfId="4132"/>
    <cellStyle name="Currency 2 2 2 3 6 6 2 2" xfId="23277"/>
    <cellStyle name="Currency 2 2 2 3 6 6 3" xfId="23278"/>
    <cellStyle name="Currency 2 2 2 3 6 7" xfId="4133"/>
    <cellStyle name="Currency 2 2 2 3 6 7 2" xfId="23279"/>
    <cellStyle name="Currency 2 2 2 3 6 8" xfId="4134"/>
    <cellStyle name="Currency 2 2 2 3 7" xfId="911"/>
    <cellStyle name="Currency 2 2 2 3 7 2" xfId="1344"/>
    <cellStyle name="Currency 2 2 2 3 7 2 2" xfId="4135"/>
    <cellStyle name="Currency 2 2 2 3 7 2 2 2" xfId="4136"/>
    <cellStyle name="Currency 2 2 2 3 7 2 2 2 2" xfId="23280"/>
    <cellStyle name="Currency 2 2 2 3 7 2 2 3" xfId="23281"/>
    <cellStyle name="Currency 2 2 2 3 7 2 3" xfId="4137"/>
    <cellStyle name="Currency 2 2 2 3 7 2 3 2" xfId="4138"/>
    <cellStyle name="Currency 2 2 2 3 7 2 3 2 2" xfId="23282"/>
    <cellStyle name="Currency 2 2 2 3 7 2 3 3" xfId="23283"/>
    <cellStyle name="Currency 2 2 2 3 7 2 4" xfId="4139"/>
    <cellStyle name="Currency 2 2 2 3 7 2 4 2" xfId="4140"/>
    <cellStyle name="Currency 2 2 2 3 7 2 4 2 2" xfId="23284"/>
    <cellStyle name="Currency 2 2 2 3 7 2 4 3" xfId="23285"/>
    <cellStyle name="Currency 2 2 2 3 7 2 5" xfId="4141"/>
    <cellStyle name="Currency 2 2 2 3 7 2 5 2" xfId="23286"/>
    <cellStyle name="Currency 2 2 2 3 7 2 6" xfId="4142"/>
    <cellStyle name="Currency 2 2 2 3 7 3" xfId="4143"/>
    <cellStyle name="Currency 2 2 2 3 7 3 2" xfId="4144"/>
    <cellStyle name="Currency 2 2 2 3 7 3 2 2" xfId="23287"/>
    <cellStyle name="Currency 2 2 2 3 7 3 3" xfId="23288"/>
    <cellStyle name="Currency 2 2 2 3 7 4" xfId="4145"/>
    <cellStyle name="Currency 2 2 2 3 7 4 2" xfId="4146"/>
    <cellStyle name="Currency 2 2 2 3 7 4 2 2" xfId="23289"/>
    <cellStyle name="Currency 2 2 2 3 7 4 3" xfId="23290"/>
    <cellStyle name="Currency 2 2 2 3 7 5" xfId="4147"/>
    <cellStyle name="Currency 2 2 2 3 7 5 2" xfId="4148"/>
    <cellStyle name="Currency 2 2 2 3 7 5 2 2" xfId="23291"/>
    <cellStyle name="Currency 2 2 2 3 7 5 3" xfId="23292"/>
    <cellStyle name="Currency 2 2 2 3 7 6" xfId="4149"/>
    <cellStyle name="Currency 2 2 2 3 7 6 2" xfId="23293"/>
    <cellStyle name="Currency 2 2 2 3 7 7" xfId="4150"/>
    <cellStyle name="Currency 2 2 2 3 8" xfId="464"/>
    <cellStyle name="Currency 2 2 2 3 8 2" xfId="1345"/>
    <cellStyle name="Currency 2 2 2 3 8 2 2" xfId="4151"/>
    <cellStyle name="Currency 2 2 2 3 8 2 2 2" xfId="4152"/>
    <cellStyle name="Currency 2 2 2 3 8 2 2 2 2" xfId="23294"/>
    <cellStyle name="Currency 2 2 2 3 8 2 2 3" xfId="23295"/>
    <cellStyle name="Currency 2 2 2 3 8 2 3" xfId="4153"/>
    <cellStyle name="Currency 2 2 2 3 8 2 3 2" xfId="4154"/>
    <cellStyle name="Currency 2 2 2 3 8 2 3 2 2" xfId="23296"/>
    <cellStyle name="Currency 2 2 2 3 8 2 3 3" xfId="23297"/>
    <cellStyle name="Currency 2 2 2 3 8 2 4" xfId="4155"/>
    <cellStyle name="Currency 2 2 2 3 8 2 4 2" xfId="4156"/>
    <cellStyle name="Currency 2 2 2 3 8 2 4 2 2" xfId="23298"/>
    <cellStyle name="Currency 2 2 2 3 8 2 4 3" xfId="23299"/>
    <cellStyle name="Currency 2 2 2 3 8 2 5" xfId="4157"/>
    <cellStyle name="Currency 2 2 2 3 8 2 5 2" xfId="23300"/>
    <cellStyle name="Currency 2 2 2 3 8 2 6" xfId="4158"/>
    <cellStyle name="Currency 2 2 2 3 8 3" xfId="4159"/>
    <cellStyle name="Currency 2 2 2 3 8 3 2" xfId="4160"/>
    <cellStyle name="Currency 2 2 2 3 8 3 2 2" xfId="23301"/>
    <cellStyle name="Currency 2 2 2 3 8 3 3" xfId="23302"/>
    <cellStyle name="Currency 2 2 2 3 8 4" xfId="4161"/>
    <cellStyle name="Currency 2 2 2 3 8 4 2" xfId="4162"/>
    <cellStyle name="Currency 2 2 2 3 8 4 2 2" xfId="23303"/>
    <cellStyle name="Currency 2 2 2 3 8 4 3" xfId="23304"/>
    <cellStyle name="Currency 2 2 2 3 8 5" xfId="4163"/>
    <cellStyle name="Currency 2 2 2 3 8 5 2" xfId="4164"/>
    <cellStyle name="Currency 2 2 2 3 8 5 2 2" xfId="23305"/>
    <cellStyle name="Currency 2 2 2 3 8 5 3" xfId="23306"/>
    <cellStyle name="Currency 2 2 2 3 8 6" xfId="4165"/>
    <cellStyle name="Currency 2 2 2 3 8 6 2" xfId="23307"/>
    <cellStyle name="Currency 2 2 2 3 8 7" xfId="4166"/>
    <cellStyle name="Currency 2 2 2 3 9" xfId="1346"/>
    <cellStyle name="Currency 2 2 2 3 9 2" xfId="4167"/>
    <cellStyle name="Currency 2 2 2 3 9 2 2" xfId="4168"/>
    <cellStyle name="Currency 2 2 2 3 9 2 2 2" xfId="23308"/>
    <cellStyle name="Currency 2 2 2 3 9 2 3" xfId="23309"/>
    <cellStyle name="Currency 2 2 2 3 9 3" xfId="4169"/>
    <cellStyle name="Currency 2 2 2 3 9 3 2" xfId="4170"/>
    <cellStyle name="Currency 2 2 2 3 9 3 2 2" xfId="23310"/>
    <cellStyle name="Currency 2 2 2 3 9 3 3" xfId="23311"/>
    <cellStyle name="Currency 2 2 2 3 9 4" xfId="4171"/>
    <cellStyle name="Currency 2 2 2 3 9 4 2" xfId="4172"/>
    <cellStyle name="Currency 2 2 2 3 9 4 2 2" xfId="23312"/>
    <cellStyle name="Currency 2 2 2 3 9 4 3" xfId="23313"/>
    <cellStyle name="Currency 2 2 2 3 9 5" xfId="4173"/>
    <cellStyle name="Currency 2 2 2 3 9 5 2" xfId="23314"/>
    <cellStyle name="Currency 2 2 2 3 9 6" xfId="4174"/>
    <cellStyle name="Currency 2 2 2 4" xfId="31"/>
    <cellStyle name="Currency 2 2 2 4 10" xfId="4175"/>
    <cellStyle name="Currency 2 2 2 4 10 2" xfId="4176"/>
    <cellStyle name="Currency 2 2 2 4 10 2 2" xfId="23315"/>
    <cellStyle name="Currency 2 2 2 4 10 3" xfId="23316"/>
    <cellStyle name="Currency 2 2 2 4 11" xfId="4177"/>
    <cellStyle name="Currency 2 2 2 4 11 2" xfId="4178"/>
    <cellStyle name="Currency 2 2 2 4 11 2 2" xfId="23317"/>
    <cellStyle name="Currency 2 2 2 4 11 3" xfId="23318"/>
    <cellStyle name="Currency 2 2 2 4 12" xfId="4179"/>
    <cellStyle name="Currency 2 2 2 4 12 2" xfId="4180"/>
    <cellStyle name="Currency 2 2 2 4 12 2 2" xfId="23319"/>
    <cellStyle name="Currency 2 2 2 4 12 3" xfId="23320"/>
    <cellStyle name="Currency 2 2 2 4 13" xfId="4181"/>
    <cellStyle name="Currency 2 2 2 4 13 2" xfId="23321"/>
    <cellStyle name="Currency 2 2 2 4 14" xfId="4182"/>
    <cellStyle name="Currency 2 2 2 4 2" xfId="197"/>
    <cellStyle name="Currency 2 2 2 4 2 10" xfId="4183"/>
    <cellStyle name="Currency 2 2 2 4 2 2" xfId="355"/>
    <cellStyle name="Currency 2 2 2 4 2 2 2" xfId="1143"/>
    <cellStyle name="Currency 2 2 2 4 2 2 2 2" xfId="1347"/>
    <cellStyle name="Currency 2 2 2 4 2 2 2 2 2" xfId="4184"/>
    <cellStyle name="Currency 2 2 2 4 2 2 2 2 2 2" xfId="4185"/>
    <cellStyle name="Currency 2 2 2 4 2 2 2 2 2 2 2" xfId="23322"/>
    <cellStyle name="Currency 2 2 2 4 2 2 2 2 2 3" xfId="23323"/>
    <cellStyle name="Currency 2 2 2 4 2 2 2 2 3" xfId="4186"/>
    <cellStyle name="Currency 2 2 2 4 2 2 2 2 3 2" xfId="4187"/>
    <cellStyle name="Currency 2 2 2 4 2 2 2 2 3 2 2" xfId="23324"/>
    <cellStyle name="Currency 2 2 2 4 2 2 2 2 3 3" xfId="23325"/>
    <cellStyle name="Currency 2 2 2 4 2 2 2 2 4" xfId="4188"/>
    <cellStyle name="Currency 2 2 2 4 2 2 2 2 4 2" xfId="4189"/>
    <cellStyle name="Currency 2 2 2 4 2 2 2 2 4 2 2" xfId="23326"/>
    <cellStyle name="Currency 2 2 2 4 2 2 2 2 4 3" xfId="23327"/>
    <cellStyle name="Currency 2 2 2 4 2 2 2 2 5" xfId="4190"/>
    <cellStyle name="Currency 2 2 2 4 2 2 2 2 5 2" xfId="23328"/>
    <cellStyle name="Currency 2 2 2 4 2 2 2 2 6" xfId="4191"/>
    <cellStyle name="Currency 2 2 2 4 2 2 2 3" xfId="4192"/>
    <cellStyle name="Currency 2 2 2 4 2 2 2 3 2" xfId="4193"/>
    <cellStyle name="Currency 2 2 2 4 2 2 2 3 2 2" xfId="23329"/>
    <cellStyle name="Currency 2 2 2 4 2 2 2 3 3" xfId="23330"/>
    <cellStyle name="Currency 2 2 2 4 2 2 2 4" xfId="4194"/>
    <cellStyle name="Currency 2 2 2 4 2 2 2 4 2" xfId="4195"/>
    <cellStyle name="Currency 2 2 2 4 2 2 2 4 2 2" xfId="23331"/>
    <cellStyle name="Currency 2 2 2 4 2 2 2 4 3" xfId="23332"/>
    <cellStyle name="Currency 2 2 2 4 2 2 2 5" xfId="4196"/>
    <cellStyle name="Currency 2 2 2 4 2 2 2 5 2" xfId="4197"/>
    <cellStyle name="Currency 2 2 2 4 2 2 2 5 2 2" xfId="23333"/>
    <cellStyle name="Currency 2 2 2 4 2 2 2 5 3" xfId="23334"/>
    <cellStyle name="Currency 2 2 2 4 2 2 2 6" xfId="4198"/>
    <cellStyle name="Currency 2 2 2 4 2 2 2 6 2" xfId="23335"/>
    <cellStyle name="Currency 2 2 2 4 2 2 2 7" xfId="4199"/>
    <cellStyle name="Currency 2 2 2 4 2 2 3" xfId="775"/>
    <cellStyle name="Currency 2 2 2 4 2 2 3 2" xfId="1348"/>
    <cellStyle name="Currency 2 2 2 4 2 2 3 2 2" xfId="4200"/>
    <cellStyle name="Currency 2 2 2 4 2 2 3 2 2 2" xfId="4201"/>
    <cellStyle name="Currency 2 2 2 4 2 2 3 2 2 2 2" xfId="23336"/>
    <cellStyle name="Currency 2 2 2 4 2 2 3 2 2 3" xfId="23337"/>
    <cellStyle name="Currency 2 2 2 4 2 2 3 2 3" xfId="4202"/>
    <cellStyle name="Currency 2 2 2 4 2 2 3 2 3 2" xfId="4203"/>
    <cellStyle name="Currency 2 2 2 4 2 2 3 2 3 2 2" xfId="23338"/>
    <cellStyle name="Currency 2 2 2 4 2 2 3 2 3 3" xfId="23339"/>
    <cellStyle name="Currency 2 2 2 4 2 2 3 2 4" xfId="4204"/>
    <cellStyle name="Currency 2 2 2 4 2 2 3 2 4 2" xfId="4205"/>
    <cellStyle name="Currency 2 2 2 4 2 2 3 2 4 2 2" xfId="23340"/>
    <cellStyle name="Currency 2 2 2 4 2 2 3 2 4 3" xfId="23341"/>
    <cellStyle name="Currency 2 2 2 4 2 2 3 2 5" xfId="4206"/>
    <cellStyle name="Currency 2 2 2 4 2 2 3 2 5 2" xfId="23342"/>
    <cellStyle name="Currency 2 2 2 4 2 2 3 2 6" xfId="4207"/>
    <cellStyle name="Currency 2 2 2 4 2 2 3 3" xfId="4208"/>
    <cellStyle name="Currency 2 2 2 4 2 2 3 3 2" xfId="4209"/>
    <cellStyle name="Currency 2 2 2 4 2 2 3 3 2 2" xfId="23343"/>
    <cellStyle name="Currency 2 2 2 4 2 2 3 3 3" xfId="23344"/>
    <cellStyle name="Currency 2 2 2 4 2 2 3 4" xfId="4210"/>
    <cellStyle name="Currency 2 2 2 4 2 2 3 4 2" xfId="4211"/>
    <cellStyle name="Currency 2 2 2 4 2 2 3 4 2 2" xfId="23345"/>
    <cellStyle name="Currency 2 2 2 4 2 2 3 4 3" xfId="23346"/>
    <cellStyle name="Currency 2 2 2 4 2 2 3 5" xfId="4212"/>
    <cellStyle name="Currency 2 2 2 4 2 2 3 5 2" xfId="4213"/>
    <cellStyle name="Currency 2 2 2 4 2 2 3 5 2 2" xfId="23347"/>
    <cellStyle name="Currency 2 2 2 4 2 2 3 5 3" xfId="23348"/>
    <cellStyle name="Currency 2 2 2 4 2 2 3 6" xfId="4214"/>
    <cellStyle name="Currency 2 2 2 4 2 2 3 6 2" xfId="23349"/>
    <cellStyle name="Currency 2 2 2 4 2 2 3 7" xfId="4215"/>
    <cellStyle name="Currency 2 2 2 4 2 2 4" xfId="1349"/>
    <cellStyle name="Currency 2 2 2 4 2 2 4 2" xfId="4216"/>
    <cellStyle name="Currency 2 2 2 4 2 2 4 2 2" xfId="4217"/>
    <cellStyle name="Currency 2 2 2 4 2 2 4 2 2 2" xfId="23350"/>
    <cellStyle name="Currency 2 2 2 4 2 2 4 2 3" xfId="23351"/>
    <cellStyle name="Currency 2 2 2 4 2 2 4 3" xfId="4218"/>
    <cellStyle name="Currency 2 2 2 4 2 2 4 3 2" xfId="4219"/>
    <cellStyle name="Currency 2 2 2 4 2 2 4 3 2 2" xfId="23352"/>
    <cellStyle name="Currency 2 2 2 4 2 2 4 3 3" xfId="23353"/>
    <cellStyle name="Currency 2 2 2 4 2 2 4 4" xfId="4220"/>
    <cellStyle name="Currency 2 2 2 4 2 2 4 4 2" xfId="4221"/>
    <cellStyle name="Currency 2 2 2 4 2 2 4 4 2 2" xfId="23354"/>
    <cellStyle name="Currency 2 2 2 4 2 2 4 4 3" xfId="23355"/>
    <cellStyle name="Currency 2 2 2 4 2 2 4 5" xfId="4222"/>
    <cellStyle name="Currency 2 2 2 4 2 2 4 5 2" xfId="23356"/>
    <cellStyle name="Currency 2 2 2 4 2 2 4 6" xfId="4223"/>
    <cellStyle name="Currency 2 2 2 4 2 2 5" xfId="4224"/>
    <cellStyle name="Currency 2 2 2 4 2 2 5 2" xfId="4225"/>
    <cellStyle name="Currency 2 2 2 4 2 2 5 2 2" xfId="23357"/>
    <cellStyle name="Currency 2 2 2 4 2 2 5 3" xfId="23358"/>
    <cellStyle name="Currency 2 2 2 4 2 2 6" xfId="4226"/>
    <cellStyle name="Currency 2 2 2 4 2 2 6 2" xfId="4227"/>
    <cellStyle name="Currency 2 2 2 4 2 2 6 2 2" xfId="23359"/>
    <cellStyle name="Currency 2 2 2 4 2 2 6 3" xfId="23360"/>
    <cellStyle name="Currency 2 2 2 4 2 2 7" xfId="4228"/>
    <cellStyle name="Currency 2 2 2 4 2 2 7 2" xfId="4229"/>
    <cellStyle name="Currency 2 2 2 4 2 2 7 2 2" xfId="23361"/>
    <cellStyle name="Currency 2 2 2 4 2 2 7 3" xfId="23362"/>
    <cellStyle name="Currency 2 2 2 4 2 2 8" xfId="4230"/>
    <cellStyle name="Currency 2 2 2 4 2 2 8 2" xfId="23363"/>
    <cellStyle name="Currency 2 2 2 4 2 2 9" xfId="4231"/>
    <cellStyle name="Currency 2 2 2 4 2 3" xfId="985"/>
    <cellStyle name="Currency 2 2 2 4 2 3 2" xfId="1350"/>
    <cellStyle name="Currency 2 2 2 4 2 3 2 2" xfId="4232"/>
    <cellStyle name="Currency 2 2 2 4 2 3 2 2 2" xfId="4233"/>
    <cellStyle name="Currency 2 2 2 4 2 3 2 2 2 2" xfId="23364"/>
    <cellStyle name="Currency 2 2 2 4 2 3 2 2 3" xfId="23365"/>
    <cellStyle name="Currency 2 2 2 4 2 3 2 3" xfId="4234"/>
    <cellStyle name="Currency 2 2 2 4 2 3 2 3 2" xfId="4235"/>
    <cellStyle name="Currency 2 2 2 4 2 3 2 3 2 2" xfId="23366"/>
    <cellStyle name="Currency 2 2 2 4 2 3 2 3 3" xfId="23367"/>
    <cellStyle name="Currency 2 2 2 4 2 3 2 4" xfId="4236"/>
    <cellStyle name="Currency 2 2 2 4 2 3 2 4 2" xfId="4237"/>
    <cellStyle name="Currency 2 2 2 4 2 3 2 4 2 2" xfId="23368"/>
    <cellStyle name="Currency 2 2 2 4 2 3 2 4 3" xfId="23369"/>
    <cellStyle name="Currency 2 2 2 4 2 3 2 5" xfId="4238"/>
    <cellStyle name="Currency 2 2 2 4 2 3 2 5 2" xfId="23370"/>
    <cellStyle name="Currency 2 2 2 4 2 3 2 6" xfId="4239"/>
    <cellStyle name="Currency 2 2 2 4 2 3 3" xfId="4240"/>
    <cellStyle name="Currency 2 2 2 4 2 3 3 2" xfId="4241"/>
    <cellStyle name="Currency 2 2 2 4 2 3 3 2 2" xfId="23371"/>
    <cellStyle name="Currency 2 2 2 4 2 3 3 3" xfId="23372"/>
    <cellStyle name="Currency 2 2 2 4 2 3 4" xfId="4242"/>
    <cellStyle name="Currency 2 2 2 4 2 3 4 2" xfId="4243"/>
    <cellStyle name="Currency 2 2 2 4 2 3 4 2 2" xfId="23373"/>
    <cellStyle name="Currency 2 2 2 4 2 3 4 3" xfId="23374"/>
    <cellStyle name="Currency 2 2 2 4 2 3 5" xfId="4244"/>
    <cellStyle name="Currency 2 2 2 4 2 3 5 2" xfId="4245"/>
    <cellStyle name="Currency 2 2 2 4 2 3 5 2 2" xfId="23375"/>
    <cellStyle name="Currency 2 2 2 4 2 3 5 3" xfId="23376"/>
    <cellStyle name="Currency 2 2 2 4 2 3 6" xfId="4246"/>
    <cellStyle name="Currency 2 2 2 4 2 3 6 2" xfId="23377"/>
    <cellStyle name="Currency 2 2 2 4 2 3 7" xfId="4247"/>
    <cellStyle name="Currency 2 2 2 4 2 4" xfId="617"/>
    <cellStyle name="Currency 2 2 2 4 2 4 2" xfId="1351"/>
    <cellStyle name="Currency 2 2 2 4 2 4 2 2" xfId="4248"/>
    <cellStyle name="Currency 2 2 2 4 2 4 2 2 2" xfId="4249"/>
    <cellStyle name="Currency 2 2 2 4 2 4 2 2 2 2" xfId="23378"/>
    <cellStyle name="Currency 2 2 2 4 2 4 2 2 3" xfId="23379"/>
    <cellStyle name="Currency 2 2 2 4 2 4 2 3" xfId="4250"/>
    <cellStyle name="Currency 2 2 2 4 2 4 2 3 2" xfId="4251"/>
    <cellStyle name="Currency 2 2 2 4 2 4 2 3 2 2" xfId="23380"/>
    <cellStyle name="Currency 2 2 2 4 2 4 2 3 3" xfId="23381"/>
    <cellStyle name="Currency 2 2 2 4 2 4 2 4" xfId="4252"/>
    <cellStyle name="Currency 2 2 2 4 2 4 2 4 2" xfId="4253"/>
    <cellStyle name="Currency 2 2 2 4 2 4 2 4 2 2" xfId="23382"/>
    <cellStyle name="Currency 2 2 2 4 2 4 2 4 3" xfId="23383"/>
    <cellStyle name="Currency 2 2 2 4 2 4 2 5" xfId="4254"/>
    <cellStyle name="Currency 2 2 2 4 2 4 2 5 2" xfId="23384"/>
    <cellStyle name="Currency 2 2 2 4 2 4 2 6" xfId="4255"/>
    <cellStyle name="Currency 2 2 2 4 2 4 3" xfId="4256"/>
    <cellStyle name="Currency 2 2 2 4 2 4 3 2" xfId="4257"/>
    <cellStyle name="Currency 2 2 2 4 2 4 3 2 2" xfId="23385"/>
    <cellStyle name="Currency 2 2 2 4 2 4 3 3" xfId="23386"/>
    <cellStyle name="Currency 2 2 2 4 2 4 4" xfId="4258"/>
    <cellStyle name="Currency 2 2 2 4 2 4 4 2" xfId="4259"/>
    <cellStyle name="Currency 2 2 2 4 2 4 4 2 2" xfId="23387"/>
    <cellStyle name="Currency 2 2 2 4 2 4 4 3" xfId="23388"/>
    <cellStyle name="Currency 2 2 2 4 2 4 5" xfId="4260"/>
    <cellStyle name="Currency 2 2 2 4 2 4 5 2" xfId="4261"/>
    <cellStyle name="Currency 2 2 2 4 2 4 5 2 2" xfId="23389"/>
    <cellStyle name="Currency 2 2 2 4 2 4 5 3" xfId="23390"/>
    <cellStyle name="Currency 2 2 2 4 2 4 6" xfId="4262"/>
    <cellStyle name="Currency 2 2 2 4 2 4 6 2" xfId="23391"/>
    <cellStyle name="Currency 2 2 2 4 2 4 7" xfId="4263"/>
    <cellStyle name="Currency 2 2 2 4 2 5" xfId="1352"/>
    <cellStyle name="Currency 2 2 2 4 2 5 2" xfId="4264"/>
    <cellStyle name="Currency 2 2 2 4 2 5 2 2" xfId="4265"/>
    <cellStyle name="Currency 2 2 2 4 2 5 2 2 2" xfId="23392"/>
    <cellStyle name="Currency 2 2 2 4 2 5 2 3" xfId="23393"/>
    <cellStyle name="Currency 2 2 2 4 2 5 3" xfId="4266"/>
    <cellStyle name="Currency 2 2 2 4 2 5 3 2" xfId="4267"/>
    <cellStyle name="Currency 2 2 2 4 2 5 3 2 2" xfId="23394"/>
    <cellStyle name="Currency 2 2 2 4 2 5 3 3" xfId="23395"/>
    <cellStyle name="Currency 2 2 2 4 2 5 4" xfId="4268"/>
    <cellStyle name="Currency 2 2 2 4 2 5 4 2" xfId="4269"/>
    <cellStyle name="Currency 2 2 2 4 2 5 4 2 2" xfId="23396"/>
    <cellStyle name="Currency 2 2 2 4 2 5 4 3" xfId="23397"/>
    <cellStyle name="Currency 2 2 2 4 2 5 5" xfId="4270"/>
    <cellStyle name="Currency 2 2 2 4 2 5 5 2" xfId="23398"/>
    <cellStyle name="Currency 2 2 2 4 2 5 6" xfId="4271"/>
    <cellStyle name="Currency 2 2 2 4 2 6" xfId="4272"/>
    <cellStyle name="Currency 2 2 2 4 2 6 2" xfId="4273"/>
    <cellStyle name="Currency 2 2 2 4 2 6 2 2" xfId="23399"/>
    <cellStyle name="Currency 2 2 2 4 2 6 3" xfId="23400"/>
    <cellStyle name="Currency 2 2 2 4 2 7" xfId="4274"/>
    <cellStyle name="Currency 2 2 2 4 2 7 2" xfId="4275"/>
    <cellStyle name="Currency 2 2 2 4 2 7 2 2" xfId="23401"/>
    <cellStyle name="Currency 2 2 2 4 2 7 3" xfId="23402"/>
    <cellStyle name="Currency 2 2 2 4 2 8" xfId="4276"/>
    <cellStyle name="Currency 2 2 2 4 2 8 2" xfId="4277"/>
    <cellStyle name="Currency 2 2 2 4 2 8 2 2" xfId="23403"/>
    <cellStyle name="Currency 2 2 2 4 2 8 3" xfId="23404"/>
    <cellStyle name="Currency 2 2 2 4 2 9" xfId="4278"/>
    <cellStyle name="Currency 2 2 2 4 2 9 2" xfId="23405"/>
    <cellStyle name="Currency 2 2 2 4 3" xfId="248"/>
    <cellStyle name="Currency 2 2 2 4 3 10" xfId="4279"/>
    <cellStyle name="Currency 2 2 2 4 3 2" xfId="406"/>
    <cellStyle name="Currency 2 2 2 4 3 2 2" xfId="1194"/>
    <cellStyle name="Currency 2 2 2 4 3 2 2 2" xfId="1353"/>
    <cellStyle name="Currency 2 2 2 4 3 2 2 2 2" xfId="4280"/>
    <cellStyle name="Currency 2 2 2 4 3 2 2 2 2 2" xfId="4281"/>
    <cellStyle name="Currency 2 2 2 4 3 2 2 2 2 2 2" xfId="23406"/>
    <cellStyle name="Currency 2 2 2 4 3 2 2 2 2 3" xfId="23407"/>
    <cellStyle name="Currency 2 2 2 4 3 2 2 2 3" xfId="4282"/>
    <cellStyle name="Currency 2 2 2 4 3 2 2 2 3 2" xfId="4283"/>
    <cellStyle name="Currency 2 2 2 4 3 2 2 2 3 2 2" xfId="23408"/>
    <cellStyle name="Currency 2 2 2 4 3 2 2 2 3 3" xfId="23409"/>
    <cellStyle name="Currency 2 2 2 4 3 2 2 2 4" xfId="4284"/>
    <cellStyle name="Currency 2 2 2 4 3 2 2 2 4 2" xfId="4285"/>
    <cellStyle name="Currency 2 2 2 4 3 2 2 2 4 2 2" xfId="23410"/>
    <cellStyle name="Currency 2 2 2 4 3 2 2 2 4 3" xfId="23411"/>
    <cellStyle name="Currency 2 2 2 4 3 2 2 2 5" xfId="4286"/>
    <cellStyle name="Currency 2 2 2 4 3 2 2 2 5 2" xfId="23412"/>
    <cellStyle name="Currency 2 2 2 4 3 2 2 2 6" xfId="4287"/>
    <cellStyle name="Currency 2 2 2 4 3 2 2 3" xfId="4288"/>
    <cellStyle name="Currency 2 2 2 4 3 2 2 3 2" xfId="4289"/>
    <cellStyle name="Currency 2 2 2 4 3 2 2 3 2 2" xfId="23413"/>
    <cellStyle name="Currency 2 2 2 4 3 2 2 3 3" xfId="23414"/>
    <cellStyle name="Currency 2 2 2 4 3 2 2 4" xfId="4290"/>
    <cellStyle name="Currency 2 2 2 4 3 2 2 4 2" xfId="4291"/>
    <cellStyle name="Currency 2 2 2 4 3 2 2 4 2 2" xfId="23415"/>
    <cellStyle name="Currency 2 2 2 4 3 2 2 4 3" xfId="23416"/>
    <cellStyle name="Currency 2 2 2 4 3 2 2 5" xfId="4292"/>
    <cellStyle name="Currency 2 2 2 4 3 2 2 5 2" xfId="4293"/>
    <cellStyle name="Currency 2 2 2 4 3 2 2 5 2 2" xfId="23417"/>
    <cellStyle name="Currency 2 2 2 4 3 2 2 5 3" xfId="23418"/>
    <cellStyle name="Currency 2 2 2 4 3 2 2 6" xfId="4294"/>
    <cellStyle name="Currency 2 2 2 4 3 2 2 6 2" xfId="23419"/>
    <cellStyle name="Currency 2 2 2 4 3 2 2 7" xfId="4295"/>
    <cellStyle name="Currency 2 2 2 4 3 2 3" xfId="826"/>
    <cellStyle name="Currency 2 2 2 4 3 2 3 2" xfId="1354"/>
    <cellStyle name="Currency 2 2 2 4 3 2 3 2 2" xfId="4296"/>
    <cellStyle name="Currency 2 2 2 4 3 2 3 2 2 2" xfId="4297"/>
    <cellStyle name="Currency 2 2 2 4 3 2 3 2 2 2 2" xfId="23420"/>
    <cellStyle name="Currency 2 2 2 4 3 2 3 2 2 3" xfId="23421"/>
    <cellStyle name="Currency 2 2 2 4 3 2 3 2 3" xfId="4298"/>
    <cellStyle name="Currency 2 2 2 4 3 2 3 2 3 2" xfId="4299"/>
    <cellStyle name="Currency 2 2 2 4 3 2 3 2 3 2 2" xfId="23422"/>
    <cellStyle name="Currency 2 2 2 4 3 2 3 2 3 3" xfId="23423"/>
    <cellStyle name="Currency 2 2 2 4 3 2 3 2 4" xfId="4300"/>
    <cellStyle name="Currency 2 2 2 4 3 2 3 2 4 2" xfId="4301"/>
    <cellStyle name="Currency 2 2 2 4 3 2 3 2 4 2 2" xfId="23424"/>
    <cellStyle name="Currency 2 2 2 4 3 2 3 2 4 3" xfId="23425"/>
    <cellStyle name="Currency 2 2 2 4 3 2 3 2 5" xfId="4302"/>
    <cellStyle name="Currency 2 2 2 4 3 2 3 2 5 2" xfId="23426"/>
    <cellStyle name="Currency 2 2 2 4 3 2 3 2 6" xfId="4303"/>
    <cellStyle name="Currency 2 2 2 4 3 2 3 3" xfId="4304"/>
    <cellStyle name="Currency 2 2 2 4 3 2 3 3 2" xfId="4305"/>
    <cellStyle name="Currency 2 2 2 4 3 2 3 3 2 2" xfId="23427"/>
    <cellStyle name="Currency 2 2 2 4 3 2 3 3 3" xfId="23428"/>
    <cellStyle name="Currency 2 2 2 4 3 2 3 4" xfId="4306"/>
    <cellStyle name="Currency 2 2 2 4 3 2 3 4 2" xfId="4307"/>
    <cellStyle name="Currency 2 2 2 4 3 2 3 4 2 2" xfId="23429"/>
    <cellStyle name="Currency 2 2 2 4 3 2 3 4 3" xfId="23430"/>
    <cellStyle name="Currency 2 2 2 4 3 2 3 5" xfId="4308"/>
    <cellStyle name="Currency 2 2 2 4 3 2 3 5 2" xfId="4309"/>
    <cellStyle name="Currency 2 2 2 4 3 2 3 5 2 2" xfId="23431"/>
    <cellStyle name="Currency 2 2 2 4 3 2 3 5 3" xfId="23432"/>
    <cellStyle name="Currency 2 2 2 4 3 2 3 6" xfId="4310"/>
    <cellStyle name="Currency 2 2 2 4 3 2 3 6 2" xfId="23433"/>
    <cellStyle name="Currency 2 2 2 4 3 2 3 7" xfId="4311"/>
    <cellStyle name="Currency 2 2 2 4 3 2 4" xfId="1355"/>
    <cellStyle name="Currency 2 2 2 4 3 2 4 2" xfId="4312"/>
    <cellStyle name="Currency 2 2 2 4 3 2 4 2 2" xfId="4313"/>
    <cellStyle name="Currency 2 2 2 4 3 2 4 2 2 2" xfId="23434"/>
    <cellStyle name="Currency 2 2 2 4 3 2 4 2 3" xfId="23435"/>
    <cellStyle name="Currency 2 2 2 4 3 2 4 3" xfId="4314"/>
    <cellStyle name="Currency 2 2 2 4 3 2 4 3 2" xfId="4315"/>
    <cellStyle name="Currency 2 2 2 4 3 2 4 3 2 2" xfId="23436"/>
    <cellStyle name="Currency 2 2 2 4 3 2 4 3 3" xfId="23437"/>
    <cellStyle name="Currency 2 2 2 4 3 2 4 4" xfId="4316"/>
    <cellStyle name="Currency 2 2 2 4 3 2 4 4 2" xfId="4317"/>
    <cellStyle name="Currency 2 2 2 4 3 2 4 4 2 2" xfId="23438"/>
    <cellStyle name="Currency 2 2 2 4 3 2 4 4 3" xfId="23439"/>
    <cellStyle name="Currency 2 2 2 4 3 2 4 5" xfId="4318"/>
    <cellStyle name="Currency 2 2 2 4 3 2 4 5 2" xfId="23440"/>
    <cellStyle name="Currency 2 2 2 4 3 2 4 6" xfId="4319"/>
    <cellStyle name="Currency 2 2 2 4 3 2 5" xfId="4320"/>
    <cellStyle name="Currency 2 2 2 4 3 2 5 2" xfId="4321"/>
    <cellStyle name="Currency 2 2 2 4 3 2 5 2 2" xfId="23441"/>
    <cellStyle name="Currency 2 2 2 4 3 2 5 3" xfId="23442"/>
    <cellStyle name="Currency 2 2 2 4 3 2 6" xfId="4322"/>
    <cellStyle name="Currency 2 2 2 4 3 2 6 2" xfId="4323"/>
    <cellStyle name="Currency 2 2 2 4 3 2 6 2 2" xfId="23443"/>
    <cellStyle name="Currency 2 2 2 4 3 2 6 3" xfId="23444"/>
    <cellStyle name="Currency 2 2 2 4 3 2 7" xfId="4324"/>
    <cellStyle name="Currency 2 2 2 4 3 2 7 2" xfId="4325"/>
    <cellStyle name="Currency 2 2 2 4 3 2 7 2 2" xfId="23445"/>
    <cellStyle name="Currency 2 2 2 4 3 2 7 3" xfId="23446"/>
    <cellStyle name="Currency 2 2 2 4 3 2 8" xfId="4326"/>
    <cellStyle name="Currency 2 2 2 4 3 2 8 2" xfId="23447"/>
    <cellStyle name="Currency 2 2 2 4 3 2 9" xfId="4327"/>
    <cellStyle name="Currency 2 2 2 4 3 3" xfId="1036"/>
    <cellStyle name="Currency 2 2 2 4 3 3 2" xfId="1356"/>
    <cellStyle name="Currency 2 2 2 4 3 3 2 2" xfId="4328"/>
    <cellStyle name="Currency 2 2 2 4 3 3 2 2 2" xfId="4329"/>
    <cellStyle name="Currency 2 2 2 4 3 3 2 2 2 2" xfId="23448"/>
    <cellStyle name="Currency 2 2 2 4 3 3 2 2 3" xfId="23449"/>
    <cellStyle name="Currency 2 2 2 4 3 3 2 3" xfId="4330"/>
    <cellStyle name="Currency 2 2 2 4 3 3 2 3 2" xfId="4331"/>
    <cellStyle name="Currency 2 2 2 4 3 3 2 3 2 2" xfId="23450"/>
    <cellStyle name="Currency 2 2 2 4 3 3 2 3 3" xfId="23451"/>
    <cellStyle name="Currency 2 2 2 4 3 3 2 4" xfId="4332"/>
    <cellStyle name="Currency 2 2 2 4 3 3 2 4 2" xfId="4333"/>
    <cellStyle name="Currency 2 2 2 4 3 3 2 4 2 2" xfId="23452"/>
    <cellStyle name="Currency 2 2 2 4 3 3 2 4 3" xfId="23453"/>
    <cellStyle name="Currency 2 2 2 4 3 3 2 5" xfId="4334"/>
    <cellStyle name="Currency 2 2 2 4 3 3 2 5 2" xfId="23454"/>
    <cellStyle name="Currency 2 2 2 4 3 3 2 6" xfId="4335"/>
    <cellStyle name="Currency 2 2 2 4 3 3 3" xfId="4336"/>
    <cellStyle name="Currency 2 2 2 4 3 3 3 2" xfId="4337"/>
    <cellStyle name="Currency 2 2 2 4 3 3 3 2 2" xfId="23455"/>
    <cellStyle name="Currency 2 2 2 4 3 3 3 3" xfId="23456"/>
    <cellStyle name="Currency 2 2 2 4 3 3 4" xfId="4338"/>
    <cellStyle name="Currency 2 2 2 4 3 3 4 2" xfId="4339"/>
    <cellStyle name="Currency 2 2 2 4 3 3 4 2 2" xfId="23457"/>
    <cellStyle name="Currency 2 2 2 4 3 3 4 3" xfId="23458"/>
    <cellStyle name="Currency 2 2 2 4 3 3 5" xfId="4340"/>
    <cellStyle name="Currency 2 2 2 4 3 3 5 2" xfId="4341"/>
    <cellStyle name="Currency 2 2 2 4 3 3 5 2 2" xfId="23459"/>
    <cellStyle name="Currency 2 2 2 4 3 3 5 3" xfId="23460"/>
    <cellStyle name="Currency 2 2 2 4 3 3 6" xfId="4342"/>
    <cellStyle name="Currency 2 2 2 4 3 3 6 2" xfId="23461"/>
    <cellStyle name="Currency 2 2 2 4 3 3 7" xfId="4343"/>
    <cellStyle name="Currency 2 2 2 4 3 4" xfId="668"/>
    <cellStyle name="Currency 2 2 2 4 3 4 2" xfId="1357"/>
    <cellStyle name="Currency 2 2 2 4 3 4 2 2" xfId="4344"/>
    <cellStyle name="Currency 2 2 2 4 3 4 2 2 2" xfId="4345"/>
    <cellStyle name="Currency 2 2 2 4 3 4 2 2 2 2" xfId="23462"/>
    <cellStyle name="Currency 2 2 2 4 3 4 2 2 3" xfId="23463"/>
    <cellStyle name="Currency 2 2 2 4 3 4 2 3" xfId="4346"/>
    <cellStyle name="Currency 2 2 2 4 3 4 2 3 2" xfId="4347"/>
    <cellStyle name="Currency 2 2 2 4 3 4 2 3 2 2" xfId="23464"/>
    <cellStyle name="Currency 2 2 2 4 3 4 2 3 3" xfId="23465"/>
    <cellStyle name="Currency 2 2 2 4 3 4 2 4" xfId="4348"/>
    <cellStyle name="Currency 2 2 2 4 3 4 2 4 2" xfId="4349"/>
    <cellStyle name="Currency 2 2 2 4 3 4 2 4 2 2" xfId="23466"/>
    <cellStyle name="Currency 2 2 2 4 3 4 2 4 3" xfId="23467"/>
    <cellStyle name="Currency 2 2 2 4 3 4 2 5" xfId="4350"/>
    <cellStyle name="Currency 2 2 2 4 3 4 2 5 2" xfId="23468"/>
    <cellStyle name="Currency 2 2 2 4 3 4 2 6" xfId="4351"/>
    <cellStyle name="Currency 2 2 2 4 3 4 3" xfId="4352"/>
    <cellStyle name="Currency 2 2 2 4 3 4 3 2" xfId="4353"/>
    <cellStyle name="Currency 2 2 2 4 3 4 3 2 2" xfId="23469"/>
    <cellStyle name="Currency 2 2 2 4 3 4 3 3" xfId="23470"/>
    <cellStyle name="Currency 2 2 2 4 3 4 4" xfId="4354"/>
    <cellStyle name="Currency 2 2 2 4 3 4 4 2" xfId="4355"/>
    <cellStyle name="Currency 2 2 2 4 3 4 4 2 2" xfId="23471"/>
    <cellStyle name="Currency 2 2 2 4 3 4 4 3" xfId="23472"/>
    <cellStyle name="Currency 2 2 2 4 3 4 5" xfId="4356"/>
    <cellStyle name="Currency 2 2 2 4 3 4 5 2" xfId="4357"/>
    <cellStyle name="Currency 2 2 2 4 3 4 5 2 2" xfId="23473"/>
    <cellStyle name="Currency 2 2 2 4 3 4 5 3" xfId="23474"/>
    <cellStyle name="Currency 2 2 2 4 3 4 6" xfId="4358"/>
    <cellStyle name="Currency 2 2 2 4 3 4 6 2" xfId="23475"/>
    <cellStyle name="Currency 2 2 2 4 3 4 7" xfId="4359"/>
    <cellStyle name="Currency 2 2 2 4 3 5" xfId="1358"/>
    <cellStyle name="Currency 2 2 2 4 3 5 2" xfId="4360"/>
    <cellStyle name="Currency 2 2 2 4 3 5 2 2" xfId="4361"/>
    <cellStyle name="Currency 2 2 2 4 3 5 2 2 2" xfId="23476"/>
    <cellStyle name="Currency 2 2 2 4 3 5 2 3" xfId="23477"/>
    <cellStyle name="Currency 2 2 2 4 3 5 3" xfId="4362"/>
    <cellStyle name="Currency 2 2 2 4 3 5 3 2" xfId="4363"/>
    <cellStyle name="Currency 2 2 2 4 3 5 3 2 2" xfId="23478"/>
    <cellStyle name="Currency 2 2 2 4 3 5 3 3" xfId="23479"/>
    <cellStyle name="Currency 2 2 2 4 3 5 4" xfId="4364"/>
    <cellStyle name="Currency 2 2 2 4 3 5 4 2" xfId="4365"/>
    <cellStyle name="Currency 2 2 2 4 3 5 4 2 2" xfId="23480"/>
    <cellStyle name="Currency 2 2 2 4 3 5 4 3" xfId="23481"/>
    <cellStyle name="Currency 2 2 2 4 3 5 5" xfId="4366"/>
    <cellStyle name="Currency 2 2 2 4 3 5 5 2" xfId="23482"/>
    <cellStyle name="Currency 2 2 2 4 3 5 6" xfId="4367"/>
    <cellStyle name="Currency 2 2 2 4 3 6" xfId="4368"/>
    <cellStyle name="Currency 2 2 2 4 3 6 2" xfId="4369"/>
    <cellStyle name="Currency 2 2 2 4 3 6 2 2" xfId="23483"/>
    <cellStyle name="Currency 2 2 2 4 3 6 3" xfId="23484"/>
    <cellStyle name="Currency 2 2 2 4 3 7" xfId="4370"/>
    <cellStyle name="Currency 2 2 2 4 3 7 2" xfId="4371"/>
    <cellStyle name="Currency 2 2 2 4 3 7 2 2" xfId="23485"/>
    <cellStyle name="Currency 2 2 2 4 3 7 3" xfId="23486"/>
    <cellStyle name="Currency 2 2 2 4 3 8" xfId="4372"/>
    <cellStyle name="Currency 2 2 2 4 3 8 2" xfId="4373"/>
    <cellStyle name="Currency 2 2 2 4 3 8 2 2" xfId="23487"/>
    <cellStyle name="Currency 2 2 2 4 3 8 3" xfId="23488"/>
    <cellStyle name="Currency 2 2 2 4 3 9" xfId="4374"/>
    <cellStyle name="Currency 2 2 2 4 3 9 2" xfId="23489"/>
    <cellStyle name="Currency 2 2 2 4 4" xfId="159"/>
    <cellStyle name="Currency 2 2 2 4 4 2" xfId="947"/>
    <cellStyle name="Currency 2 2 2 4 4 2 2" xfId="1359"/>
    <cellStyle name="Currency 2 2 2 4 4 2 2 2" xfId="4375"/>
    <cellStyle name="Currency 2 2 2 4 4 2 2 2 2" xfId="4376"/>
    <cellStyle name="Currency 2 2 2 4 4 2 2 2 2 2" xfId="23490"/>
    <cellStyle name="Currency 2 2 2 4 4 2 2 2 3" xfId="23491"/>
    <cellStyle name="Currency 2 2 2 4 4 2 2 3" xfId="4377"/>
    <cellStyle name="Currency 2 2 2 4 4 2 2 3 2" xfId="4378"/>
    <cellStyle name="Currency 2 2 2 4 4 2 2 3 2 2" xfId="23492"/>
    <cellStyle name="Currency 2 2 2 4 4 2 2 3 3" xfId="23493"/>
    <cellStyle name="Currency 2 2 2 4 4 2 2 4" xfId="4379"/>
    <cellStyle name="Currency 2 2 2 4 4 2 2 4 2" xfId="4380"/>
    <cellStyle name="Currency 2 2 2 4 4 2 2 4 2 2" xfId="23494"/>
    <cellStyle name="Currency 2 2 2 4 4 2 2 4 3" xfId="23495"/>
    <cellStyle name="Currency 2 2 2 4 4 2 2 5" xfId="4381"/>
    <cellStyle name="Currency 2 2 2 4 4 2 2 5 2" xfId="23496"/>
    <cellStyle name="Currency 2 2 2 4 4 2 2 6" xfId="4382"/>
    <cellStyle name="Currency 2 2 2 4 4 2 3" xfId="4383"/>
    <cellStyle name="Currency 2 2 2 4 4 2 3 2" xfId="4384"/>
    <cellStyle name="Currency 2 2 2 4 4 2 3 2 2" xfId="23497"/>
    <cellStyle name="Currency 2 2 2 4 4 2 3 3" xfId="23498"/>
    <cellStyle name="Currency 2 2 2 4 4 2 4" xfId="4385"/>
    <cellStyle name="Currency 2 2 2 4 4 2 4 2" xfId="4386"/>
    <cellStyle name="Currency 2 2 2 4 4 2 4 2 2" xfId="23499"/>
    <cellStyle name="Currency 2 2 2 4 4 2 4 3" xfId="23500"/>
    <cellStyle name="Currency 2 2 2 4 4 2 5" xfId="4387"/>
    <cellStyle name="Currency 2 2 2 4 4 2 5 2" xfId="4388"/>
    <cellStyle name="Currency 2 2 2 4 4 2 5 2 2" xfId="23501"/>
    <cellStyle name="Currency 2 2 2 4 4 2 5 3" xfId="23502"/>
    <cellStyle name="Currency 2 2 2 4 4 2 6" xfId="4389"/>
    <cellStyle name="Currency 2 2 2 4 4 2 6 2" xfId="23503"/>
    <cellStyle name="Currency 2 2 2 4 4 2 7" xfId="4390"/>
    <cellStyle name="Currency 2 2 2 4 4 3" xfId="579"/>
    <cellStyle name="Currency 2 2 2 4 4 3 2" xfId="1360"/>
    <cellStyle name="Currency 2 2 2 4 4 3 2 2" xfId="4391"/>
    <cellStyle name="Currency 2 2 2 4 4 3 2 2 2" xfId="4392"/>
    <cellStyle name="Currency 2 2 2 4 4 3 2 2 2 2" xfId="23504"/>
    <cellStyle name="Currency 2 2 2 4 4 3 2 2 3" xfId="23505"/>
    <cellStyle name="Currency 2 2 2 4 4 3 2 3" xfId="4393"/>
    <cellStyle name="Currency 2 2 2 4 4 3 2 3 2" xfId="4394"/>
    <cellStyle name="Currency 2 2 2 4 4 3 2 3 2 2" xfId="23506"/>
    <cellStyle name="Currency 2 2 2 4 4 3 2 3 3" xfId="23507"/>
    <cellStyle name="Currency 2 2 2 4 4 3 2 4" xfId="4395"/>
    <cellStyle name="Currency 2 2 2 4 4 3 2 4 2" xfId="4396"/>
    <cellStyle name="Currency 2 2 2 4 4 3 2 4 2 2" xfId="23508"/>
    <cellStyle name="Currency 2 2 2 4 4 3 2 4 3" xfId="23509"/>
    <cellStyle name="Currency 2 2 2 4 4 3 2 5" xfId="4397"/>
    <cellStyle name="Currency 2 2 2 4 4 3 2 5 2" xfId="23510"/>
    <cellStyle name="Currency 2 2 2 4 4 3 2 6" xfId="4398"/>
    <cellStyle name="Currency 2 2 2 4 4 3 3" xfId="4399"/>
    <cellStyle name="Currency 2 2 2 4 4 3 3 2" xfId="4400"/>
    <cellStyle name="Currency 2 2 2 4 4 3 3 2 2" xfId="23511"/>
    <cellStyle name="Currency 2 2 2 4 4 3 3 3" xfId="23512"/>
    <cellStyle name="Currency 2 2 2 4 4 3 4" xfId="4401"/>
    <cellStyle name="Currency 2 2 2 4 4 3 4 2" xfId="4402"/>
    <cellStyle name="Currency 2 2 2 4 4 3 4 2 2" xfId="23513"/>
    <cellStyle name="Currency 2 2 2 4 4 3 4 3" xfId="23514"/>
    <cellStyle name="Currency 2 2 2 4 4 3 5" xfId="4403"/>
    <cellStyle name="Currency 2 2 2 4 4 3 5 2" xfId="4404"/>
    <cellStyle name="Currency 2 2 2 4 4 3 5 2 2" xfId="23515"/>
    <cellStyle name="Currency 2 2 2 4 4 3 5 3" xfId="23516"/>
    <cellStyle name="Currency 2 2 2 4 4 3 6" xfId="4405"/>
    <cellStyle name="Currency 2 2 2 4 4 3 6 2" xfId="23517"/>
    <cellStyle name="Currency 2 2 2 4 4 3 7" xfId="4406"/>
    <cellStyle name="Currency 2 2 2 4 4 4" xfId="1361"/>
    <cellStyle name="Currency 2 2 2 4 4 4 2" xfId="4407"/>
    <cellStyle name="Currency 2 2 2 4 4 4 2 2" xfId="4408"/>
    <cellStyle name="Currency 2 2 2 4 4 4 2 2 2" xfId="23518"/>
    <cellStyle name="Currency 2 2 2 4 4 4 2 3" xfId="23519"/>
    <cellStyle name="Currency 2 2 2 4 4 4 3" xfId="4409"/>
    <cellStyle name="Currency 2 2 2 4 4 4 3 2" xfId="4410"/>
    <cellStyle name="Currency 2 2 2 4 4 4 3 2 2" xfId="23520"/>
    <cellStyle name="Currency 2 2 2 4 4 4 3 3" xfId="23521"/>
    <cellStyle name="Currency 2 2 2 4 4 4 4" xfId="4411"/>
    <cellStyle name="Currency 2 2 2 4 4 4 4 2" xfId="4412"/>
    <cellStyle name="Currency 2 2 2 4 4 4 4 2 2" xfId="23522"/>
    <cellStyle name="Currency 2 2 2 4 4 4 4 3" xfId="23523"/>
    <cellStyle name="Currency 2 2 2 4 4 4 5" xfId="4413"/>
    <cellStyle name="Currency 2 2 2 4 4 4 5 2" xfId="23524"/>
    <cellStyle name="Currency 2 2 2 4 4 4 6" xfId="4414"/>
    <cellStyle name="Currency 2 2 2 4 4 5" xfId="4415"/>
    <cellStyle name="Currency 2 2 2 4 4 5 2" xfId="4416"/>
    <cellStyle name="Currency 2 2 2 4 4 5 2 2" xfId="23525"/>
    <cellStyle name="Currency 2 2 2 4 4 5 3" xfId="23526"/>
    <cellStyle name="Currency 2 2 2 4 4 6" xfId="4417"/>
    <cellStyle name="Currency 2 2 2 4 4 6 2" xfId="4418"/>
    <cellStyle name="Currency 2 2 2 4 4 6 2 2" xfId="23527"/>
    <cellStyle name="Currency 2 2 2 4 4 6 3" xfId="23528"/>
    <cellStyle name="Currency 2 2 2 4 4 7" xfId="4419"/>
    <cellStyle name="Currency 2 2 2 4 4 7 2" xfId="4420"/>
    <cellStyle name="Currency 2 2 2 4 4 7 2 2" xfId="23529"/>
    <cellStyle name="Currency 2 2 2 4 4 7 3" xfId="23530"/>
    <cellStyle name="Currency 2 2 2 4 4 8" xfId="4421"/>
    <cellStyle name="Currency 2 2 2 4 4 8 2" xfId="23531"/>
    <cellStyle name="Currency 2 2 2 4 4 9" xfId="4422"/>
    <cellStyle name="Currency 2 2 2 4 5" xfId="317"/>
    <cellStyle name="Currency 2 2 2 4 5 2" xfId="1105"/>
    <cellStyle name="Currency 2 2 2 4 5 2 2" xfId="1362"/>
    <cellStyle name="Currency 2 2 2 4 5 2 2 2" xfId="4423"/>
    <cellStyle name="Currency 2 2 2 4 5 2 2 2 2" xfId="4424"/>
    <cellStyle name="Currency 2 2 2 4 5 2 2 2 2 2" xfId="23532"/>
    <cellStyle name="Currency 2 2 2 4 5 2 2 2 3" xfId="23533"/>
    <cellStyle name="Currency 2 2 2 4 5 2 2 3" xfId="4425"/>
    <cellStyle name="Currency 2 2 2 4 5 2 2 3 2" xfId="4426"/>
    <cellStyle name="Currency 2 2 2 4 5 2 2 3 2 2" xfId="23534"/>
    <cellStyle name="Currency 2 2 2 4 5 2 2 3 3" xfId="23535"/>
    <cellStyle name="Currency 2 2 2 4 5 2 2 4" xfId="4427"/>
    <cellStyle name="Currency 2 2 2 4 5 2 2 4 2" xfId="4428"/>
    <cellStyle name="Currency 2 2 2 4 5 2 2 4 2 2" xfId="23536"/>
    <cellStyle name="Currency 2 2 2 4 5 2 2 4 3" xfId="23537"/>
    <cellStyle name="Currency 2 2 2 4 5 2 2 5" xfId="4429"/>
    <cellStyle name="Currency 2 2 2 4 5 2 2 5 2" xfId="23538"/>
    <cellStyle name="Currency 2 2 2 4 5 2 2 6" xfId="4430"/>
    <cellStyle name="Currency 2 2 2 4 5 2 3" xfId="4431"/>
    <cellStyle name="Currency 2 2 2 4 5 2 3 2" xfId="4432"/>
    <cellStyle name="Currency 2 2 2 4 5 2 3 2 2" xfId="23539"/>
    <cellStyle name="Currency 2 2 2 4 5 2 3 3" xfId="23540"/>
    <cellStyle name="Currency 2 2 2 4 5 2 4" xfId="4433"/>
    <cellStyle name="Currency 2 2 2 4 5 2 4 2" xfId="4434"/>
    <cellStyle name="Currency 2 2 2 4 5 2 4 2 2" xfId="23541"/>
    <cellStyle name="Currency 2 2 2 4 5 2 4 3" xfId="23542"/>
    <cellStyle name="Currency 2 2 2 4 5 2 5" xfId="4435"/>
    <cellStyle name="Currency 2 2 2 4 5 2 5 2" xfId="4436"/>
    <cellStyle name="Currency 2 2 2 4 5 2 5 2 2" xfId="23543"/>
    <cellStyle name="Currency 2 2 2 4 5 2 5 3" xfId="23544"/>
    <cellStyle name="Currency 2 2 2 4 5 2 6" xfId="4437"/>
    <cellStyle name="Currency 2 2 2 4 5 2 6 2" xfId="23545"/>
    <cellStyle name="Currency 2 2 2 4 5 2 7" xfId="4438"/>
    <cellStyle name="Currency 2 2 2 4 5 3" xfId="737"/>
    <cellStyle name="Currency 2 2 2 4 5 3 2" xfId="1363"/>
    <cellStyle name="Currency 2 2 2 4 5 3 2 2" xfId="4439"/>
    <cellStyle name="Currency 2 2 2 4 5 3 2 2 2" xfId="4440"/>
    <cellStyle name="Currency 2 2 2 4 5 3 2 2 2 2" xfId="23546"/>
    <cellStyle name="Currency 2 2 2 4 5 3 2 2 3" xfId="23547"/>
    <cellStyle name="Currency 2 2 2 4 5 3 2 3" xfId="4441"/>
    <cellStyle name="Currency 2 2 2 4 5 3 2 3 2" xfId="4442"/>
    <cellStyle name="Currency 2 2 2 4 5 3 2 3 2 2" xfId="23548"/>
    <cellStyle name="Currency 2 2 2 4 5 3 2 3 3" xfId="23549"/>
    <cellStyle name="Currency 2 2 2 4 5 3 2 4" xfId="4443"/>
    <cellStyle name="Currency 2 2 2 4 5 3 2 4 2" xfId="4444"/>
    <cellStyle name="Currency 2 2 2 4 5 3 2 4 2 2" xfId="23550"/>
    <cellStyle name="Currency 2 2 2 4 5 3 2 4 3" xfId="23551"/>
    <cellStyle name="Currency 2 2 2 4 5 3 2 5" xfId="4445"/>
    <cellStyle name="Currency 2 2 2 4 5 3 2 5 2" xfId="23552"/>
    <cellStyle name="Currency 2 2 2 4 5 3 2 6" xfId="4446"/>
    <cellStyle name="Currency 2 2 2 4 5 3 3" xfId="4447"/>
    <cellStyle name="Currency 2 2 2 4 5 3 3 2" xfId="4448"/>
    <cellStyle name="Currency 2 2 2 4 5 3 3 2 2" xfId="23553"/>
    <cellStyle name="Currency 2 2 2 4 5 3 3 3" xfId="23554"/>
    <cellStyle name="Currency 2 2 2 4 5 3 4" xfId="4449"/>
    <cellStyle name="Currency 2 2 2 4 5 3 4 2" xfId="4450"/>
    <cellStyle name="Currency 2 2 2 4 5 3 4 2 2" xfId="23555"/>
    <cellStyle name="Currency 2 2 2 4 5 3 4 3" xfId="23556"/>
    <cellStyle name="Currency 2 2 2 4 5 3 5" xfId="4451"/>
    <cellStyle name="Currency 2 2 2 4 5 3 5 2" xfId="4452"/>
    <cellStyle name="Currency 2 2 2 4 5 3 5 2 2" xfId="23557"/>
    <cellStyle name="Currency 2 2 2 4 5 3 5 3" xfId="23558"/>
    <cellStyle name="Currency 2 2 2 4 5 3 6" xfId="4453"/>
    <cellStyle name="Currency 2 2 2 4 5 3 6 2" xfId="23559"/>
    <cellStyle name="Currency 2 2 2 4 5 3 7" xfId="4454"/>
    <cellStyle name="Currency 2 2 2 4 5 4" xfId="1364"/>
    <cellStyle name="Currency 2 2 2 4 5 4 2" xfId="4455"/>
    <cellStyle name="Currency 2 2 2 4 5 4 2 2" xfId="4456"/>
    <cellStyle name="Currency 2 2 2 4 5 4 2 2 2" xfId="23560"/>
    <cellStyle name="Currency 2 2 2 4 5 4 2 3" xfId="23561"/>
    <cellStyle name="Currency 2 2 2 4 5 4 3" xfId="4457"/>
    <cellStyle name="Currency 2 2 2 4 5 4 3 2" xfId="4458"/>
    <cellStyle name="Currency 2 2 2 4 5 4 3 2 2" xfId="23562"/>
    <cellStyle name="Currency 2 2 2 4 5 4 3 3" xfId="23563"/>
    <cellStyle name="Currency 2 2 2 4 5 4 4" xfId="4459"/>
    <cellStyle name="Currency 2 2 2 4 5 4 4 2" xfId="4460"/>
    <cellStyle name="Currency 2 2 2 4 5 4 4 2 2" xfId="23564"/>
    <cellStyle name="Currency 2 2 2 4 5 4 4 3" xfId="23565"/>
    <cellStyle name="Currency 2 2 2 4 5 4 5" xfId="4461"/>
    <cellStyle name="Currency 2 2 2 4 5 4 5 2" xfId="23566"/>
    <cellStyle name="Currency 2 2 2 4 5 4 6" xfId="4462"/>
    <cellStyle name="Currency 2 2 2 4 5 5" xfId="4463"/>
    <cellStyle name="Currency 2 2 2 4 5 5 2" xfId="4464"/>
    <cellStyle name="Currency 2 2 2 4 5 5 2 2" xfId="23567"/>
    <cellStyle name="Currency 2 2 2 4 5 5 3" xfId="23568"/>
    <cellStyle name="Currency 2 2 2 4 5 6" xfId="4465"/>
    <cellStyle name="Currency 2 2 2 4 5 6 2" xfId="4466"/>
    <cellStyle name="Currency 2 2 2 4 5 6 2 2" xfId="23569"/>
    <cellStyle name="Currency 2 2 2 4 5 6 3" xfId="23570"/>
    <cellStyle name="Currency 2 2 2 4 5 7" xfId="4467"/>
    <cellStyle name="Currency 2 2 2 4 5 7 2" xfId="4468"/>
    <cellStyle name="Currency 2 2 2 4 5 7 2 2" xfId="23571"/>
    <cellStyle name="Currency 2 2 2 4 5 7 3" xfId="23572"/>
    <cellStyle name="Currency 2 2 2 4 5 8" xfId="4469"/>
    <cellStyle name="Currency 2 2 2 4 5 8 2" xfId="23573"/>
    <cellStyle name="Currency 2 2 2 4 5 9" xfId="4470"/>
    <cellStyle name="Currency 2 2 2 4 6" xfId="106"/>
    <cellStyle name="Currency 2 2 2 4 6 2" xfId="527"/>
    <cellStyle name="Currency 2 2 2 4 6 2 2" xfId="1365"/>
    <cellStyle name="Currency 2 2 2 4 6 2 2 2" xfId="4471"/>
    <cellStyle name="Currency 2 2 2 4 6 2 2 2 2" xfId="4472"/>
    <cellStyle name="Currency 2 2 2 4 6 2 2 2 2 2" xfId="23574"/>
    <cellStyle name="Currency 2 2 2 4 6 2 2 2 3" xfId="23575"/>
    <cellStyle name="Currency 2 2 2 4 6 2 2 3" xfId="4473"/>
    <cellStyle name="Currency 2 2 2 4 6 2 2 3 2" xfId="4474"/>
    <cellStyle name="Currency 2 2 2 4 6 2 2 3 2 2" xfId="23576"/>
    <cellStyle name="Currency 2 2 2 4 6 2 2 3 3" xfId="23577"/>
    <cellStyle name="Currency 2 2 2 4 6 2 2 4" xfId="4475"/>
    <cellStyle name="Currency 2 2 2 4 6 2 2 4 2" xfId="4476"/>
    <cellStyle name="Currency 2 2 2 4 6 2 2 4 2 2" xfId="23578"/>
    <cellStyle name="Currency 2 2 2 4 6 2 2 4 3" xfId="23579"/>
    <cellStyle name="Currency 2 2 2 4 6 2 2 5" xfId="4477"/>
    <cellStyle name="Currency 2 2 2 4 6 2 2 5 2" xfId="23580"/>
    <cellStyle name="Currency 2 2 2 4 6 2 2 6" xfId="4478"/>
    <cellStyle name="Currency 2 2 2 4 6 2 3" xfId="4479"/>
    <cellStyle name="Currency 2 2 2 4 6 2 3 2" xfId="4480"/>
    <cellStyle name="Currency 2 2 2 4 6 2 3 2 2" xfId="23581"/>
    <cellStyle name="Currency 2 2 2 4 6 2 3 3" xfId="23582"/>
    <cellStyle name="Currency 2 2 2 4 6 2 4" xfId="4481"/>
    <cellStyle name="Currency 2 2 2 4 6 2 4 2" xfId="4482"/>
    <cellStyle name="Currency 2 2 2 4 6 2 4 2 2" xfId="23583"/>
    <cellStyle name="Currency 2 2 2 4 6 2 4 3" xfId="23584"/>
    <cellStyle name="Currency 2 2 2 4 6 2 5" xfId="4483"/>
    <cellStyle name="Currency 2 2 2 4 6 2 5 2" xfId="4484"/>
    <cellStyle name="Currency 2 2 2 4 6 2 5 2 2" xfId="23585"/>
    <cellStyle name="Currency 2 2 2 4 6 2 5 3" xfId="23586"/>
    <cellStyle name="Currency 2 2 2 4 6 2 6" xfId="4485"/>
    <cellStyle name="Currency 2 2 2 4 6 2 6 2" xfId="23587"/>
    <cellStyle name="Currency 2 2 2 4 6 2 7" xfId="4486"/>
    <cellStyle name="Currency 2 2 2 4 6 3" xfId="1366"/>
    <cellStyle name="Currency 2 2 2 4 6 3 2" xfId="4487"/>
    <cellStyle name="Currency 2 2 2 4 6 3 2 2" xfId="4488"/>
    <cellStyle name="Currency 2 2 2 4 6 3 2 2 2" xfId="23588"/>
    <cellStyle name="Currency 2 2 2 4 6 3 2 3" xfId="23589"/>
    <cellStyle name="Currency 2 2 2 4 6 3 3" xfId="4489"/>
    <cellStyle name="Currency 2 2 2 4 6 3 3 2" xfId="4490"/>
    <cellStyle name="Currency 2 2 2 4 6 3 3 2 2" xfId="23590"/>
    <cellStyle name="Currency 2 2 2 4 6 3 3 3" xfId="23591"/>
    <cellStyle name="Currency 2 2 2 4 6 3 4" xfId="4491"/>
    <cellStyle name="Currency 2 2 2 4 6 3 4 2" xfId="4492"/>
    <cellStyle name="Currency 2 2 2 4 6 3 4 2 2" xfId="23592"/>
    <cellStyle name="Currency 2 2 2 4 6 3 4 3" xfId="23593"/>
    <cellStyle name="Currency 2 2 2 4 6 3 5" xfId="4493"/>
    <cellStyle name="Currency 2 2 2 4 6 3 5 2" xfId="23594"/>
    <cellStyle name="Currency 2 2 2 4 6 3 6" xfId="4494"/>
    <cellStyle name="Currency 2 2 2 4 6 4" xfId="4495"/>
    <cellStyle name="Currency 2 2 2 4 6 4 2" xfId="4496"/>
    <cellStyle name="Currency 2 2 2 4 6 4 2 2" xfId="23595"/>
    <cellStyle name="Currency 2 2 2 4 6 4 3" xfId="23596"/>
    <cellStyle name="Currency 2 2 2 4 6 5" xfId="4497"/>
    <cellStyle name="Currency 2 2 2 4 6 5 2" xfId="4498"/>
    <cellStyle name="Currency 2 2 2 4 6 5 2 2" xfId="23597"/>
    <cellStyle name="Currency 2 2 2 4 6 5 3" xfId="23598"/>
    <cellStyle name="Currency 2 2 2 4 6 6" xfId="4499"/>
    <cellStyle name="Currency 2 2 2 4 6 6 2" xfId="4500"/>
    <cellStyle name="Currency 2 2 2 4 6 6 2 2" xfId="23599"/>
    <cellStyle name="Currency 2 2 2 4 6 6 3" xfId="23600"/>
    <cellStyle name="Currency 2 2 2 4 6 7" xfId="4501"/>
    <cellStyle name="Currency 2 2 2 4 6 7 2" xfId="23601"/>
    <cellStyle name="Currency 2 2 2 4 6 8" xfId="4502"/>
    <cellStyle name="Currency 2 2 2 4 7" xfId="895"/>
    <cellStyle name="Currency 2 2 2 4 7 2" xfId="1367"/>
    <cellStyle name="Currency 2 2 2 4 7 2 2" xfId="4503"/>
    <cellStyle name="Currency 2 2 2 4 7 2 2 2" xfId="4504"/>
    <cellStyle name="Currency 2 2 2 4 7 2 2 2 2" xfId="23602"/>
    <cellStyle name="Currency 2 2 2 4 7 2 2 3" xfId="23603"/>
    <cellStyle name="Currency 2 2 2 4 7 2 3" xfId="4505"/>
    <cellStyle name="Currency 2 2 2 4 7 2 3 2" xfId="4506"/>
    <cellStyle name="Currency 2 2 2 4 7 2 3 2 2" xfId="23604"/>
    <cellStyle name="Currency 2 2 2 4 7 2 3 3" xfId="23605"/>
    <cellStyle name="Currency 2 2 2 4 7 2 4" xfId="4507"/>
    <cellStyle name="Currency 2 2 2 4 7 2 4 2" xfId="4508"/>
    <cellStyle name="Currency 2 2 2 4 7 2 4 2 2" xfId="23606"/>
    <cellStyle name="Currency 2 2 2 4 7 2 4 3" xfId="23607"/>
    <cellStyle name="Currency 2 2 2 4 7 2 5" xfId="4509"/>
    <cellStyle name="Currency 2 2 2 4 7 2 5 2" xfId="23608"/>
    <cellStyle name="Currency 2 2 2 4 7 2 6" xfId="4510"/>
    <cellStyle name="Currency 2 2 2 4 7 3" xfId="4511"/>
    <cellStyle name="Currency 2 2 2 4 7 3 2" xfId="4512"/>
    <cellStyle name="Currency 2 2 2 4 7 3 2 2" xfId="23609"/>
    <cellStyle name="Currency 2 2 2 4 7 3 3" xfId="23610"/>
    <cellStyle name="Currency 2 2 2 4 7 4" xfId="4513"/>
    <cellStyle name="Currency 2 2 2 4 7 4 2" xfId="4514"/>
    <cellStyle name="Currency 2 2 2 4 7 4 2 2" xfId="23611"/>
    <cellStyle name="Currency 2 2 2 4 7 4 3" xfId="23612"/>
    <cellStyle name="Currency 2 2 2 4 7 5" xfId="4515"/>
    <cellStyle name="Currency 2 2 2 4 7 5 2" xfId="4516"/>
    <cellStyle name="Currency 2 2 2 4 7 5 2 2" xfId="23613"/>
    <cellStyle name="Currency 2 2 2 4 7 5 3" xfId="23614"/>
    <cellStyle name="Currency 2 2 2 4 7 6" xfId="4517"/>
    <cellStyle name="Currency 2 2 2 4 7 6 2" xfId="23615"/>
    <cellStyle name="Currency 2 2 2 4 7 7" xfId="4518"/>
    <cellStyle name="Currency 2 2 2 4 8" xfId="465"/>
    <cellStyle name="Currency 2 2 2 4 8 2" xfId="1368"/>
    <cellStyle name="Currency 2 2 2 4 8 2 2" xfId="4519"/>
    <cellStyle name="Currency 2 2 2 4 8 2 2 2" xfId="4520"/>
    <cellStyle name="Currency 2 2 2 4 8 2 2 2 2" xfId="23616"/>
    <cellStyle name="Currency 2 2 2 4 8 2 2 3" xfId="23617"/>
    <cellStyle name="Currency 2 2 2 4 8 2 3" xfId="4521"/>
    <cellStyle name="Currency 2 2 2 4 8 2 3 2" xfId="4522"/>
    <cellStyle name="Currency 2 2 2 4 8 2 3 2 2" xfId="23618"/>
    <cellStyle name="Currency 2 2 2 4 8 2 3 3" xfId="23619"/>
    <cellStyle name="Currency 2 2 2 4 8 2 4" xfId="4523"/>
    <cellStyle name="Currency 2 2 2 4 8 2 4 2" xfId="4524"/>
    <cellStyle name="Currency 2 2 2 4 8 2 4 2 2" xfId="23620"/>
    <cellStyle name="Currency 2 2 2 4 8 2 4 3" xfId="23621"/>
    <cellStyle name="Currency 2 2 2 4 8 2 5" xfId="4525"/>
    <cellStyle name="Currency 2 2 2 4 8 2 5 2" xfId="23622"/>
    <cellStyle name="Currency 2 2 2 4 8 2 6" xfId="4526"/>
    <cellStyle name="Currency 2 2 2 4 8 3" xfId="4527"/>
    <cellStyle name="Currency 2 2 2 4 8 3 2" xfId="4528"/>
    <cellStyle name="Currency 2 2 2 4 8 3 2 2" xfId="23623"/>
    <cellStyle name="Currency 2 2 2 4 8 3 3" xfId="23624"/>
    <cellStyle name="Currency 2 2 2 4 8 4" xfId="4529"/>
    <cellStyle name="Currency 2 2 2 4 8 4 2" xfId="4530"/>
    <cellStyle name="Currency 2 2 2 4 8 4 2 2" xfId="23625"/>
    <cellStyle name="Currency 2 2 2 4 8 4 3" xfId="23626"/>
    <cellStyle name="Currency 2 2 2 4 8 5" xfId="4531"/>
    <cellStyle name="Currency 2 2 2 4 8 5 2" xfId="4532"/>
    <cellStyle name="Currency 2 2 2 4 8 5 2 2" xfId="23627"/>
    <cellStyle name="Currency 2 2 2 4 8 5 3" xfId="23628"/>
    <cellStyle name="Currency 2 2 2 4 8 6" xfId="4533"/>
    <cellStyle name="Currency 2 2 2 4 8 6 2" xfId="23629"/>
    <cellStyle name="Currency 2 2 2 4 8 7" xfId="4534"/>
    <cellStyle name="Currency 2 2 2 4 9" xfId="1369"/>
    <cellStyle name="Currency 2 2 2 4 9 2" xfId="4535"/>
    <cellStyle name="Currency 2 2 2 4 9 2 2" xfId="4536"/>
    <cellStyle name="Currency 2 2 2 4 9 2 2 2" xfId="23630"/>
    <cellStyle name="Currency 2 2 2 4 9 2 3" xfId="23631"/>
    <cellStyle name="Currency 2 2 2 4 9 3" xfId="4537"/>
    <cellStyle name="Currency 2 2 2 4 9 3 2" xfId="4538"/>
    <cellStyle name="Currency 2 2 2 4 9 3 2 2" xfId="23632"/>
    <cellStyle name="Currency 2 2 2 4 9 3 3" xfId="23633"/>
    <cellStyle name="Currency 2 2 2 4 9 4" xfId="4539"/>
    <cellStyle name="Currency 2 2 2 4 9 4 2" xfId="4540"/>
    <cellStyle name="Currency 2 2 2 4 9 4 2 2" xfId="23634"/>
    <cellStyle name="Currency 2 2 2 4 9 4 3" xfId="23635"/>
    <cellStyle name="Currency 2 2 2 4 9 5" xfId="4541"/>
    <cellStyle name="Currency 2 2 2 4 9 5 2" xfId="23636"/>
    <cellStyle name="Currency 2 2 2 4 9 6" xfId="4542"/>
    <cellStyle name="Currency 2 2 2 5" xfId="192"/>
    <cellStyle name="Currency 2 2 2 5 10" xfId="4543"/>
    <cellStyle name="Currency 2 2 2 5 2" xfId="350"/>
    <cellStyle name="Currency 2 2 2 5 2 2" xfId="1138"/>
    <cellStyle name="Currency 2 2 2 5 2 2 2" xfId="1370"/>
    <cellStyle name="Currency 2 2 2 5 2 2 2 2" xfId="4544"/>
    <cellStyle name="Currency 2 2 2 5 2 2 2 2 2" xfId="4545"/>
    <cellStyle name="Currency 2 2 2 5 2 2 2 2 2 2" xfId="23637"/>
    <cellStyle name="Currency 2 2 2 5 2 2 2 2 3" xfId="23638"/>
    <cellStyle name="Currency 2 2 2 5 2 2 2 3" xfId="4546"/>
    <cellStyle name="Currency 2 2 2 5 2 2 2 3 2" xfId="4547"/>
    <cellStyle name="Currency 2 2 2 5 2 2 2 3 2 2" xfId="23639"/>
    <cellStyle name="Currency 2 2 2 5 2 2 2 3 3" xfId="23640"/>
    <cellStyle name="Currency 2 2 2 5 2 2 2 4" xfId="4548"/>
    <cellStyle name="Currency 2 2 2 5 2 2 2 4 2" xfId="4549"/>
    <cellStyle name="Currency 2 2 2 5 2 2 2 4 2 2" xfId="23641"/>
    <cellStyle name="Currency 2 2 2 5 2 2 2 4 3" xfId="23642"/>
    <cellStyle name="Currency 2 2 2 5 2 2 2 5" xfId="4550"/>
    <cellStyle name="Currency 2 2 2 5 2 2 2 5 2" xfId="23643"/>
    <cellStyle name="Currency 2 2 2 5 2 2 2 6" xfId="4551"/>
    <cellStyle name="Currency 2 2 2 5 2 2 3" xfId="4552"/>
    <cellStyle name="Currency 2 2 2 5 2 2 3 2" xfId="4553"/>
    <cellStyle name="Currency 2 2 2 5 2 2 3 2 2" xfId="23644"/>
    <cellStyle name="Currency 2 2 2 5 2 2 3 3" xfId="23645"/>
    <cellStyle name="Currency 2 2 2 5 2 2 4" xfId="4554"/>
    <cellStyle name="Currency 2 2 2 5 2 2 4 2" xfId="4555"/>
    <cellStyle name="Currency 2 2 2 5 2 2 4 2 2" xfId="23646"/>
    <cellStyle name="Currency 2 2 2 5 2 2 4 3" xfId="23647"/>
    <cellStyle name="Currency 2 2 2 5 2 2 5" xfId="4556"/>
    <cellStyle name="Currency 2 2 2 5 2 2 5 2" xfId="4557"/>
    <cellStyle name="Currency 2 2 2 5 2 2 5 2 2" xfId="23648"/>
    <cellStyle name="Currency 2 2 2 5 2 2 5 3" xfId="23649"/>
    <cellStyle name="Currency 2 2 2 5 2 2 6" xfId="4558"/>
    <cellStyle name="Currency 2 2 2 5 2 2 6 2" xfId="23650"/>
    <cellStyle name="Currency 2 2 2 5 2 2 7" xfId="4559"/>
    <cellStyle name="Currency 2 2 2 5 2 3" xfId="770"/>
    <cellStyle name="Currency 2 2 2 5 2 3 2" xfId="1371"/>
    <cellStyle name="Currency 2 2 2 5 2 3 2 2" xfId="4560"/>
    <cellStyle name="Currency 2 2 2 5 2 3 2 2 2" xfId="4561"/>
    <cellStyle name="Currency 2 2 2 5 2 3 2 2 2 2" xfId="23651"/>
    <cellStyle name="Currency 2 2 2 5 2 3 2 2 3" xfId="23652"/>
    <cellStyle name="Currency 2 2 2 5 2 3 2 3" xfId="4562"/>
    <cellStyle name="Currency 2 2 2 5 2 3 2 3 2" xfId="4563"/>
    <cellStyle name="Currency 2 2 2 5 2 3 2 3 2 2" xfId="23653"/>
    <cellStyle name="Currency 2 2 2 5 2 3 2 3 3" xfId="23654"/>
    <cellStyle name="Currency 2 2 2 5 2 3 2 4" xfId="4564"/>
    <cellStyle name="Currency 2 2 2 5 2 3 2 4 2" xfId="4565"/>
    <cellStyle name="Currency 2 2 2 5 2 3 2 4 2 2" xfId="23655"/>
    <cellStyle name="Currency 2 2 2 5 2 3 2 4 3" xfId="23656"/>
    <cellStyle name="Currency 2 2 2 5 2 3 2 5" xfId="4566"/>
    <cellStyle name="Currency 2 2 2 5 2 3 2 5 2" xfId="23657"/>
    <cellStyle name="Currency 2 2 2 5 2 3 2 6" xfId="4567"/>
    <cellStyle name="Currency 2 2 2 5 2 3 3" xfId="4568"/>
    <cellStyle name="Currency 2 2 2 5 2 3 3 2" xfId="4569"/>
    <cellStyle name="Currency 2 2 2 5 2 3 3 2 2" xfId="23658"/>
    <cellStyle name="Currency 2 2 2 5 2 3 3 3" xfId="23659"/>
    <cellStyle name="Currency 2 2 2 5 2 3 4" xfId="4570"/>
    <cellStyle name="Currency 2 2 2 5 2 3 4 2" xfId="4571"/>
    <cellStyle name="Currency 2 2 2 5 2 3 4 2 2" xfId="23660"/>
    <cellStyle name="Currency 2 2 2 5 2 3 4 3" xfId="23661"/>
    <cellStyle name="Currency 2 2 2 5 2 3 5" xfId="4572"/>
    <cellStyle name="Currency 2 2 2 5 2 3 5 2" xfId="4573"/>
    <cellStyle name="Currency 2 2 2 5 2 3 5 2 2" xfId="23662"/>
    <cellStyle name="Currency 2 2 2 5 2 3 5 3" xfId="23663"/>
    <cellStyle name="Currency 2 2 2 5 2 3 6" xfId="4574"/>
    <cellStyle name="Currency 2 2 2 5 2 3 6 2" xfId="23664"/>
    <cellStyle name="Currency 2 2 2 5 2 3 7" xfId="4575"/>
    <cellStyle name="Currency 2 2 2 5 2 4" xfId="1372"/>
    <cellStyle name="Currency 2 2 2 5 2 4 2" xfId="4576"/>
    <cellStyle name="Currency 2 2 2 5 2 4 2 2" xfId="4577"/>
    <cellStyle name="Currency 2 2 2 5 2 4 2 2 2" xfId="23665"/>
    <cellStyle name="Currency 2 2 2 5 2 4 2 3" xfId="23666"/>
    <cellStyle name="Currency 2 2 2 5 2 4 3" xfId="4578"/>
    <cellStyle name="Currency 2 2 2 5 2 4 3 2" xfId="4579"/>
    <cellStyle name="Currency 2 2 2 5 2 4 3 2 2" xfId="23667"/>
    <cellStyle name="Currency 2 2 2 5 2 4 3 3" xfId="23668"/>
    <cellStyle name="Currency 2 2 2 5 2 4 4" xfId="4580"/>
    <cellStyle name="Currency 2 2 2 5 2 4 4 2" xfId="4581"/>
    <cellStyle name="Currency 2 2 2 5 2 4 4 2 2" xfId="23669"/>
    <cellStyle name="Currency 2 2 2 5 2 4 4 3" xfId="23670"/>
    <cellStyle name="Currency 2 2 2 5 2 4 5" xfId="4582"/>
    <cellStyle name="Currency 2 2 2 5 2 4 5 2" xfId="23671"/>
    <cellStyle name="Currency 2 2 2 5 2 4 6" xfId="4583"/>
    <cellStyle name="Currency 2 2 2 5 2 5" xfId="4584"/>
    <cellStyle name="Currency 2 2 2 5 2 5 2" xfId="4585"/>
    <cellStyle name="Currency 2 2 2 5 2 5 2 2" xfId="23672"/>
    <cellStyle name="Currency 2 2 2 5 2 5 3" xfId="23673"/>
    <cellStyle name="Currency 2 2 2 5 2 6" xfId="4586"/>
    <cellStyle name="Currency 2 2 2 5 2 6 2" xfId="4587"/>
    <cellStyle name="Currency 2 2 2 5 2 6 2 2" xfId="23674"/>
    <cellStyle name="Currency 2 2 2 5 2 6 3" xfId="23675"/>
    <cellStyle name="Currency 2 2 2 5 2 7" xfId="4588"/>
    <cellStyle name="Currency 2 2 2 5 2 7 2" xfId="4589"/>
    <cellStyle name="Currency 2 2 2 5 2 7 2 2" xfId="23676"/>
    <cellStyle name="Currency 2 2 2 5 2 7 3" xfId="23677"/>
    <cellStyle name="Currency 2 2 2 5 2 8" xfId="4590"/>
    <cellStyle name="Currency 2 2 2 5 2 8 2" xfId="23678"/>
    <cellStyle name="Currency 2 2 2 5 2 9" xfId="4591"/>
    <cellStyle name="Currency 2 2 2 5 3" xfId="980"/>
    <cellStyle name="Currency 2 2 2 5 3 2" xfId="1373"/>
    <cellStyle name="Currency 2 2 2 5 3 2 2" xfId="4592"/>
    <cellStyle name="Currency 2 2 2 5 3 2 2 2" xfId="4593"/>
    <cellStyle name="Currency 2 2 2 5 3 2 2 2 2" xfId="23679"/>
    <cellStyle name="Currency 2 2 2 5 3 2 2 3" xfId="23680"/>
    <cellStyle name="Currency 2 2 2 5 3 2 3" xfId="4594"/>
    <cellStyle name="Currency 2 2 2 5 3 2 3 2" xfId="4595"/>
    <cellStyle name="Currency 2 2 2 5 3 2 3 2 2" xfId="23681"/>
    <cellStyle name="Currency 2 2 2 5 3 2 3 3" xfId="23682"/>
    <cellStyle name="Currency 2 2 2 5 3 2 4" xfId="4596"/>
    <cellStyle name="Currency 2 2 2 5 3 2 4 2" xfId="4597"/>
    <cellStyle name="Currency 2 2 2 5 3 2 4 2 2" xfId="23683"/>
    <cellStyle name="Currency 2 2 2 5 3 2 4 3" xfId="23684"/>
    <cellStyle name="Currency 2 2 2 5 3 2 5" xfId="4598"/>
    <cellStyle name="Currency 2 2 2 5 3 2 5 2" xfId="23685"/>
    <cellStyle name="Currency 2 2 2 5 3 2 6" xfId="4599"/>
    <cellStyle name="Currency 2 2 2 5 3 3" xfId="4600"/>
    <cellStyle name="Currency 2 2 2 5 3 3 2" xfId="4601"/>
    <cellStyle name="Currency 2 2 2 5 3 3 2 2" xfId="23686"/>
    <cellStyle name="Currency 2 2 2 5 3 3 3" xfId="23687"/>
    <cellStyle name="Currency 2 2 2 5 3 4" xfId="4602"/>
    <cellStyle name="Currency 2 2 2 5 3 4 2" xfId="4603"/>
    <cellStyle name="Currency 2 2 2 5 3 4 2 2" xfId="23688"/>
    <cellStyle name="Currency 2 2 2 5 3 4 3" xfId="23689"/>
    <cellStyle name="Currency 2 2 2 5 3 5" xfId="4604"/>
    <cellStyle name="Currency 2 2 2 5 3 5 2" xfId="4605"/>
    <cellStyle name="Currency 2 2 2 5 3 5 2 2" xfId="23690"/>
    <cellStyle name="Currency 2 2 2 5 3 5 3" xfId="23691"/>
    <cellStyle name="Currency 2 2 2 5 3 6" xfId="4606"/>
    <cellStyle name="Currency 2 2 2 5 3 6 2" xfId="23692"/>
    <cellStyle name="Currency 2 2 2 5 3 7" xfId="4607"/>
    <cellStyle name="Currency 2 2 2 5 4" xfId="612"/>
    <cellStyle name="Currency 2 2 2 5 4 2" xfId="1374"/>
    <cellStyle name="Currency 2 2 2 5 4 2 2" xfId="4608"/>
    <cellStyle name="Currency 2 2 2 5 4 2 2 2" xfId="4609"/>
    <cellStyle name="Currency 2 2 2 5 4 2 2 2 2" xfId="23693"/>
    <cellStyle name="Currency 2 2 2 5 4 2 2 3" xfId="23694"/>
    <cellStyle name="Currency 2 2 2 5 4 2 3" xfId="4610"/>
    <cellStyle name="Currency 2 2 2 5 4 2 3 2" xfId="4611"/>
    <cellStyle name="Currency 2 2 2 5 4 2 3 2 2" xfId="23695"/>
    <cellStyle name="Currency 2 2 2 5 4 2 3 3" xfId="23696"/>
    <cellStyle name="Currency 2 2 2 5 4 2 4" xfId="4612"/>
    <cellStyle name="Currency 2 2 2 5 4 2 4 2" xfId="4613"/>
    <cellStyle name="Currency 2 2 2 5 4 2 4 2 2" xfId="23697"/>
    <cellStyle name="Currency 2 2 2 5 4 2 4 3" xfId="23698"/>
    <cellStyle name="Currency 2 2 2 5 4 2 5" xfId="4614"/>
    <cellStyle name="Currency 2 2 2 5 4 2 5 2" xfId="23699"/>
    <cellStyle name="Currency 2 2 2 5 4 2 6" xfId="4615"/>
    <cellStyle name="Currency 2 2 2 5 4 3" xfId="4616"/>
    <cellStyle name="Currency 2 2 2 5 4 3 2" xfId="4617"/>
    <cellStyle name="Currency 2 2 2 5 4 3 2 2" xfId="23700"/>
    <cellStyle name="Currency 2 2 2 5 4 3 3" xfId="23701"/>
    <cellStyle name="Currency 2 2 2 5 4 4" xfId="4618"/>
    <cellStyle name="Currency 2 2 2 5 4 4 2" xfId="4619"/>
    <cellStyle name="Currency 2 2 2 5 4 4 2 2" xfId="23702"/>
    <cellStyle name="Currency 2 2 2 5 4 4 3" xfId="23703"/>
    <cellStyle name="Currency 2 2 2 5 4 5" xfId="4620"/>
    <cellStyle name="Currency 2 2 2 5 4 5 2" xfId="4621"/>
    <cellStyle name="Currency 2 2 2 5 4 5 2 2" xfId="23704"/>
    <cellStyle name="Currency 2 2 2 5 4 5 3" xfId="23705"/>
    <cellStyle name="Currency 2 2 2 5 4 6" xfId="4622"/>
    <cellStyle name="Currency 2 2 2 5 4 6 2" xfId="23706"/>
    <cellStyle name="Currency 2 2 2 5 4 7" xfId="4623"/>
    <cellStyle name="Currency 2 2 2 5 5" xfId="1375"/>
    <cellStyle name="Currency 2 2 2 5 5 2" xfId="4624"/>
    <cellStyle name="Currency 2 2 2 5 5 2 2" xfId="4625"/>
    <cellStyle name="Currency 2 2 2 5 5 2 2 2" xfId="23707"/>
    <cellStyle name="Currency 2 2 2 5 5 2 3" xfId="23708"/>
    <cellStyle name="Currency 2 2 2 5 5 3" xfId="4626"/>
    <cellStyle name="Currency 2 2 2 5 5 3 2" xfId="4627"/>
    <cellStyle name="Currency 2 2 2 5 5 3 2 2" xfId="23709"/>
    <cellStyle name="Currency 2 2 2 5 5 3 3" xfId="23710"/>
    <cellStyle name="Currency 2 2 2 5 5 4" xfId="4628"/>
    <cellStyle name="Currency 2 2 2 5 5 4 2" xfId="4629"/>
    <cellStyle name="Currency 2 2 2 5 5 4 2 2" xfId="23711"/>
    <cellStyle name="Currency 2 2 2 5 5 4 3" xfId="23712"/>
    <cellStyle name="Currency 2 2 2 5 5 5" xfId="4630"/>
    <cellStyle name="Currency 2 2 2 5 5 5 2" xfId="23713"/>
    <cellStyle name="Currency 2 2 2 5 5 6" xfId="4631"/>
    <cellStyle name="Currency 2 2 2 5 6" xfId="4632"/>
    <cellStyle name="Currency 2 2 2 5 6 2" xfId="4633"/>
    <cellStyle name="Currency 2 2 2 5 6 2 2" xfId="23714"/>
    <cellStyle name="Currency 2 2 2 5 6 3" xfId="23715"/>
    <cellStyle name="Currency 2 2 2 5 7" xfId="4634"/>
    <cellStyle name="Currency 2 2 2 5 7 2" xfId="4635"/>
    <cellStyle name="Currency 2 2 2 5 7 2 2" xfId="23716"/>
    <cellStyle name="Currency 2 2 2 5 7 3" xfId="23717"/>
    <cellStyle name="Currency 2 2 2 5 8" xfId="4636"/>
    <cellStyle name="Currency 2 2 2 5 8 2" xfId="4637"/>
    <cellStyle name="Currency 2 2 2 5 8 2 2" xfId="23718"/>
    <cellStyle name="Currency 2 2 2 5 8 3" xfId="23719"/>
    <cellStyle name="Currency 2 2 2 5 9" xfId="4638"/>
    <cellStyle name="Currency 2 2 2 5 9 2" xfId="23720"/>
    <cellStyle name="Currency 2 2 2 6" xfId="243"/>
    <cellStyle name="Currency 2 2 2 6 10" xfId="4639"/>
    <cellStyle name="Currency 2 2 2 6 2" xfId="401"/>
    <cellStyle name="Currency 2 2 2 6 2 2" xfId="1189"/>
    <cellStyle name="Currency 2 2 2 6 2 2 2" xfId="1376"/>
    <cellStyle name="Currency 2 2 2 6 2 2 2 2" xfId="4640"/>
    <cellStyle name="Currency 2 2 2 6 2 2 2 2 2" xfId="4641"/>
    <cellStyle name="Currency 2 2 2 6 2 2 2 2 2 2" xfId="23721"/>
    <cellStyle name="Currency 2 2 2 6 2 2 2 2 3" xfId="23722"/>
    <cellStyle name="Currency 2 2 2 6 2 2 2 3" xfId="4642"/>
    <cellStyle name="Currency 2 2 2 6 2 2 2 3 2" xfId="4643"/>
    <cellStyle name="Currency 2 2 2 6 2 2 2 3 2 2" xfId="23723"/>
    <cellStyle name="Currency 2 2 2 6 2 2 2 3 3" xfId="23724"/>
    <cellStyle name="Currency 2 2 2 6 2 2 2 4" xfId="4644"/>
    <cellStyle name="Currency 2 2 2 6 2 2 2 4 2" xfId="4645"/>
    <cellStyle name="Currency 2 2 2 6 2 2 2 4 2 2" xfId="23725"/>
    <cellStyle name="Currency 2 2 2 6 2 2 2 4 3" xfId="23726"/>
    <cellStyle name="Currency 2 2 2 6 2 2 2 5" xfId="4646"/>
    <cellStyle name="Currency 2 2 2 6 2 2 2 5 2" xfId="23727"/>
    <cellStyle name="Currency 2 2 2 6 2 2 2 6" xfId="4647"/>
    <cellStyle name="Currency 2 2 2 6 2 2 3" xfId="4648"/>
    <cellStyle name="Currency 2 2 2 6 2 2 3 2" xfId="4649"/>
    <cellStyle name="Currency 2 2 2 6 2 2 3 2 2" xfId="23728"/>
    <cellStyle name="Currency 2 2 2 6 2 2 3 3" xfId="23729"/>
    <cellStyle name="Currency 2 2 2 6 2 2 4" xfId="4650"/>
    <cellStyle name="Currency 2 2 2 6 2 2 4 2" xfId="4651"/>
    <cellStyle name="Currency 2 2 2 6 2 2 4 2 2" xfId="23730"/>
    <cellStyle name="Currency 2 2 2 6 2 2 4 3" xfId="23731"/>
    <cellStyle name="Currency 2 2 2 6 2 2 5" xfId="4652"/>
    <cellStyle name="Currency 2 2 2 6 2 2 5 2" xfId="4653"/>
    <cellStyle name="Currency 2 2 2 6 2 2 5 2 2" xfId="23732"/>
    <cellStyle name="Currency 2 2 2 6 2 2 5 3" xfId="23733"/>
    <cellStyle name="Currency 2 2 2 6 2 2 6" xfId="4654"/>
    <cellStyle name="Currency 2 2 2 6 2 2 6 2" xfId="23734"/>
    <cellStyle name="Currency 2 2 2 6 2 2 7" xfId="4655"/>
    <cellStyle name="Currency 2 2 2 6 2 3" xfId="821"/>
    <cellStyle name="Currency 2 2 2 6 2 3 2" xfId="1377"/>
    <cellStyle name="Currency 2 2 2 6 2 3 2 2" xfId="4656"/>
    <cellStyle name="Currency 2 2 2 6 2 3 2 2 2" xfId="4657"/>
    <cellStyle name="Currency 2 2 2 6 2 3 2 2 2 2" xfId="23735"/>
    <cellStyle name="Currency 2 2 2 6 2 3 2 2 3" xfId="23736"/>
    <cellStyle name="Currency 2 2 2 6 2 3 2 3" xfId="4658"/>
    <cellStyle name="Currency 2 2 2 6 2 3 2 3 2" xfId="4659"/>
    <cellStyle name="Currency 2 2 2 6 2 3 2 3 2 2" xfId="23737"/>
    <cellStyle name="Currency 2 2 2 6 2 3 2 3 3" xfId="23738"/>
    <cellStyle name="Currency 2 2 2 6 2 3 2 4" xfId="4660"/>
    <cellStyle name="Currency 2 2 2 6 2 3 2 4 2" xfId="4661"/>
    <cellStyle name="Currency 2 2 2 6 2 3 2 4 2 2" xfId="23739"/>
    <cellStyle name="Currency 2 2 2 6 2 3 2 4 3" xfId="23740"/>
    <cellStyle name="Currency 2 2 2 6 2 3 2 5" xfId="4662"/>
    <cellStyle name="Currency 2 2 2 6 2 3 2 5 2" xfId="23741"/>
    <cellStyle name="Currency 2 2 2 6 2 3 2 6" xfId="4663"/>
    <cellStyle name="Currency 2 2 2 6 2 3 3" xfId="4664"/>
    <cellStyle name="Currency 2 2 2 6 2 3 3 2" xfId="4665"/>
    <cellStyle name="Currency 2 2 2 6 2 3 3 2 2" xfId="23742"/>
    <cellStyle name="Currency 2 2 2 6 2 3 3 3" xfId="23743"/>
    <cellStyle name="Currency 2 2 2 6 2 3 4" xfId="4666"/>
    <cellStyle name="Currency 2 2 2 6 2 3 4 2" xfId="4667"/>
    <cellStyle name="Currency 2 2 2 6 2 3 4 2 2" xfId="23744"/>
    <cellStyle name="Currency 2 2 2 6 2 3 4 3" xfId="23745"/>
    <cellStyle name="Currency 2 2 2 6 2 3 5" xfId="4668"/>
    <cellStyle name="Currency 2 2 2 6 2 3 5 2" xfId="4669"/>
    <cellStyle name="Currency 2 2 2 6 2 3 5 2 2" xfId="23746"/>
    <cellStyle name="Currency 2 2 2 6 2 3 5 3" xfId="23747"/>
    <cellStyle name="Currency 2 2 2 6 2 3 6" xfId="4670"/>
    <cellStyle name="Currency 2 2 2 6 2 3 6 2" xfId="23748"/>
    <cellStyle name="Currency 2 2 2 6 2 3 7" xfId="4671"/>
    <cellStyle name="Currency 2 2 2 6 2 4" xfId="1378"/>
    <cellStyle name="Currency 2 2 2 6 2 4 2" xfId="4672"/>
    <cellStyle name="Currency 2 2 2 6 2 4 2 2" xfId="4673"/>
    <cellStyle name="Currency 2 2 2 6 2 4 2 2 2" xfId="23749"/>
    <cellStyle name="Currency 2 2 2 6 2 4 2 3" xfId="23750"/>
    <cellStyle name="Currency 2 2 2 6 2 4 3" xfId="4674"/>
    <cellStyle name="Currency 2 2 2 6 2 4 3 2" xfId="4675"/>
    <cellStyle name="Currency 2 2 2 6 2 4 3 2 2" xfId="23751"/>
    <cellStyle name="Currency 2 2 2 6 2 4 3 3" xfId="23752"/>
    <cellStyle name="Currency 2 2 2 6 2 4 4" xfId="4676"/>
    <cellStyle name="Currency 2 2 2 6 2 4 4 2" xfId="4677"/>
    <cellStyle name="Currency 2 2 2 6 2 4 4 2 2" xfId="23753"/>
    <cellStyle name="Currency 2 2 2 6 2 4 4 3" xfId="23754"/>
    <cellStyle name="Currency 2 2 2 6 2 4 5" xfId="4678"/>
    <cellStyle name="Currency 2 2 2 6 2 4 5 2" xfId="23755"/>
    <cellStyle name="Currency 2 2 2 6 2 4 6" xfId="4679"/>
    <cellStyle name="Currency 2 2 2 6 2 5" xfId="4680"/>
    <cellStyle name="Currency 2 2 2 6 2 5 2" xfId="4681"/>
    <cellStyle name="Currency 2 2 2 6 2 5 2 2" xfId="23756"/>
    <cellStyle name="Currency 2 2 2 6 2 5 3" xfId="23757"/>
    <cellStyle name="Currency 2 2 2 6 2 6" xfId="4682"/>
    <cellStyle name="Currency 2 2 2 6 2 6 2" xfId="4683"/>
    <cellStyle name="Currency 2 2 2 6 2 6 2 2" xfId="23758"/>
    <cellStyle name="Currency 2 2 2 6 2 6 3" xfId="23759"/>
    <cellStyle name="Currency 2 2 2 6 2 7" xfId="4684"/>
    <cellStyle name="Currency 2 2 2 6 2 7 2" xfId="4685"/>
    <cellStyle name="Currency 2 2 2 6 2 7 2 2" xfId="23760"/>
    <cellStyle name="Currency 2 2 2 6 2 7 3" xfId="23761"/>
    <cellStyle name="Currency 2 2 2 6 2 8" xfId="4686"/>
    <cellStyle name="Currency 2 2 2 6 2 8 2" xfId="23762"/>
    <cellStyle name="Currency 2 2 2 6 2 9" xfId="4687"/>
    <cellStyle name="Currency 2 2 2 6 3" xfId="1031"/>
    <cellStyle name="Currency 2 2 2 6 3 2" xfId="1379"/>
    <cellStyle name="Currency 2 2 2 6 3 2 2" xfId="4688"/>
    <cellStyle name="Currency 2 2 2 6 3 2 2 2" xfId="4689"/>
    <cellStyle name="Currency 2 2 2 6 3 2 2 2 2" xfId="23763"/>
    <cellStyle name="Currency 2 2 2 6 3 2 2 3" xfId="23764"/>
    <cellStyle name="Currency 2 2 2 6 3 2 3" xfId="4690"/>
    <cellStyle name="Currency 2 2 2 6 3 2 3 2" xfId="4691"/>
    <cellStyle name="Currency 2 2 2 6 3 2 3 2 2" xfId="23765"/>
    <cellStyle name="Currency 2 2 2 6 3 2 3 3" xfId="23766"/>
    <cellStyle name="Currency 2 2 2 6 3 2 4" xfId="4692"/>
    <cellStyle name="Currency 2 2 2 6 3 2 4 2" xfId="4693"/>
    <cellStyle name="Currency 2 2 2 6 3 2 4 2 2" xfId="23767"/>
    <cellStyle name="Currency 2 2 2 6 3 2 4 3" xfId="23768"/>
    <cellStyle name="Currency 2 2 2 6 3 2 5" xfId="4694"/>
    <cellStyle name="Currency 2 2 2 6 3 2 5 2" xfId="23769"/>
    <cellStyle name="Currency 2 2 2 6 3 2 6" xfId="4695"/>
    <cellStyle name="Currency 2 2 2 6 3 3" xfId="4696"/>
    <cellStyle name="Currency 2 2 2 6 3 3 2" xfId="4697"/>
    <cellStyle name="Currency 2 2 2 6 3 3 2 2" xfId="23770"/>
    <cellStyle name="Currency 2 2 2 6 3 3 3" xfId="23771"/>
    <cellStyle name="Currency 2 2 2 6 3 4" xfId="4698"/>
    <cellStyle name="Currency 2 2 2 6 3 4 2" xfId="4699"/>
    <cellStyle name="Currency 2 2 2 6 3 4 2 2" xfId="23772"/>
    <cellStyle name="Currency 2 2 2 6 3 4 3" xfId="23773"/>
    <cellStyle name="Currency 2 2 2 6 3 5" xfId="4700"/>
    <cellStyle name="Currency 2 2 2 6 3 5 2" xfId="4701"/>
    <cellStyle name="Currency 2 2 2 6 3 5 2 2" xfId="23774"/>
    <cellStyle name="Currency 2 2 2 6 3 5 3" xfId="23775"/>
    <cellStyle name="Currency 2 2 2 6 3 6" xfId="4702"/>
    <cellStyle name="Currency 2 2 2 6 3 6 2" xfId="23776"/>
    <cellStyle name="Currency 2 2 2 6 3 7" xfId="4703"/>
    <cellStyle name="Currency 2 2 2 6 4" xfId="663"/>
    <cellStyle name="Currency 2 2 2 6 4 2" xfId="1380"/>
    <cellStyle name="Currency 2 2 2 6 4 2 2" xfId="4704"/>
    <cellStyle name="Currency 2 2 2 6 4 2 2 2" xfId="4705"/>
    <cellStyle name="Currency 2 2 2 6 4 2 2 2 2" xfId="23777"/>
    <cellStyle name="Currency 2 2 2 6 4 2 2 3" xfId="23778"/>
    <cellStyle name="Currency 2 2 2 6 4 2 3" xfId="4706"/>
    <cellStyle name="Currency 2 2 2 6 4 2 3 2" xfId="4707"/>
    <cellStyle name="Currency 2 2 2 6 4 2 3 2 2" xfId="23779"/>
    <cellStyle name="Currency 2 2 2 6 4 2 3 3" xfId="23780"/>
    <cellStyle name="Currency 2 2 2 6 4 2 4" xfId="4708"/>
    <cellStyle name="Currency 2 2 2 6 4 2 4 2" xfId="4709"/>
    <cellStyle name="Currency 2 2 2 6 4 2 4 2 2" xfId="23781"/>
    <cellStyle name="Currency 2 2 2 6 4 2 4 3" xfId="23782"/>
    <cellStyle name="Currency 2 2 2 6 4 2 5" xfId="4710"/>
    <cellStyle name="Currency 2 2 2 6 4 2 5 2" xfId="23783"/>
    <cellStyle name="Currency 2 2 2 6 4 2 6" xfId="4711"/>
    <cellStyle name="Currency 2 2 2 6 4 3" xfId="4712"/>
    <cellStyle name="Currency 2 2 2 6 4 3 2" xfId="4713"/>
    <cellStyle name="Currency 2 2 2 6 4 3 2 2" xfId="23784"/>
    <cellStyle name="Currency 2 2 2 6 4 3 3" xfId="23785"/>
    <cellStyle name="Currency 2 2 2 6 4 4" xfId="4714"/>
    <cellStyle name="Currency 2 2 2 6 4 4 2" xfId="4715"/>
    <cellStyle name="Currency 2 2 2 6 4 4 2 2" xfId="23786"/>
    <cellStyle name="Currency 2 2 2 6 4 4 3" xfId="23787"/>
    <cellStyle name="Currency 2 2 2 6 4 5" xfId="4716"/>
    <cellStyle name="Currency 2 2 2 6 4 5 2" xfId="4717"/>
    <cellStyle name="Currency 2 2 2 6 4 5 2 2" xfId="23788"/>
    <cellStyle name="Currency 2 2 2 6 4 5 3" xfId="23789"/>
    <cellStyle name="Currency 2 2 2 6 4 6" xfId="4718"/>
    <cellStyle name="Currency 2 2 2 6 4 6 2" xfId="23790"/>
    <cellStyle name="Currency 2 2 2 6 4 7" xfId="4719"/>
    <cellStyle name="Currency 2 2 2 6 5" xfId="1381"/>
    <cellStyle name="Currency 2 2 2 6 5 2" xfId="4720"/>
    <cellStyle name="Currency 2 2 2 6 5 2 2" xfId="4721"/>
    <cellStyle name="Currency 2 2 2 6 5 2 2 2" xfId="23791"/>
    <cellStyle name="Currency 2 2 2 6 5 2 3" xfId="23792"/>
    <cellStyle name="Currency 2 2 2 6 5 3" xfId="4722"/>
    <cellStyle name="Currency 2 2 2 6 5 3 2" xfId="4723"/>
    <cellStyle name="Currency 2 2 2 6 5 3 2 2" xfId="23793"/>
    <cellStyle name="Currency 2 2 2 6 5 3 3" xfId="23794"/>
    <cellStyle name="Currency 2 2 2 6 5 4" xfId="4724"/>
    <cellStyle name="Currency 2 2 2 6 5 4 2" xfId="4725"/>
    <cellStyle name="Currency 2 2 2 6 5 4 2 2" xfId="23795"/>
    <cellStyle name="Currency 2 2 2 6 5 4 3" xfId="23796"/>
    <cellStyle name="Currency 2 2 2 6 5 5" xfId="4726"/>
    <cellStyle name="Currency 2 2 2 6 5 5 2" xfId="23797"/>
    <cellStyle name="Currency 2 2 2 6 5 6" xfId="4727"/>
    <cellStyle name="Currency 2 2 2 6 6" xfId="4728"/>
    <cellStyle name="Currency 2 2 2 6 6 2" xfId="4729"/>
    <cellStyle name="Currency 2 2 2 6 6 2 2" xfId="23798"/>
    <cellStyle name="Currency 2 2 2 6 6 3" xfId="23799"/>
    <cellStyle name="Currency 2 2 2 6 7" xfId="4730"/>
    <cellStyle name="Currency 2 2 2 6 7 2" xfId="4731"/>
    <cellStyle name="Currency 2 2 2 6 7 2 2" xfId="23800"/>
    <cellStyle name="Currency 2 2 2 6 7 3" xfId="23801"/>
    <cellStyle name="Currency 2 2 2 6 8" xfId="4732"/>
    <cellStyle name="Currency 2 2 2 6 8 2" xfId="4733"/>
    <cellStyle name="Currency 2 2 2 6 8 2 2" xfId="23802"/>
    <cellStyle name="Currency 2 2 2 6 8 3" xfId="23803"/>
    <cellStyle name="Currency 2 2 2 6 9" xfId="4734"/>
    <cellStyle name="Currency 2 2 2 6 9 2" xfId="23804"/>
    <cellStyle name="Currency 2 2 2 7" xfId="141"/>
    <cellStyle name="Currency 2 2 2 7 2" xfId="929"/>
    <cellStyle name="Currency 2 2 2 7 2 2" xfId="1382"/>
    <cellStyle name="Currency 2 2 2 7 2 2 2" xfId="4735"/>
    <cellStyle name="Currency 2 2 2 7 2 2 2 2" xfId="4736"/>
    <cellStyle name="Currency 2 2 2 7 2 2 2 2 2" xfId="23805"/>
    <cellStyle name="Currency 2 2 2 7 2 2 2 3" xfId="23806"/>
    <cellStyle name="Currency 2 2 2 7 2 2 3" xfId="4737"/>
    <cellStyle name="Currency 2 2 2 7 2 2 3 2" xfId="4738"/>
    <cellStyle name="Currency 2 2 2 7 2 2 3 2 2" xfId="23807"/>
    <cellStyle name="Currency 2 2 2 7 2 2 3 3" xfId="23808"/>
    <cellStyle name="Currency 2 2 2 7 2 2 4" xfId="4739"/>
    <cellStyle name="Currency 2 2 2 7 2 2 4 2" xfId="4740"/>
    <cellStyle name="Currency 2 2 2 7 2 2 4 2 2" xfId="23809"/>
    <cellStyle name="Currency 2 2 2 7 2 2 4 3" xfId="23810"/>
    <cellStyle name="Currency 2 2 2 7 2 2 5" xfId="4741"/>
    <cellStyle name="Currency 2 2 2 7 2 2 5 2" xfId="23811"/>
    <cellStyle name="Currency 2 2 2 7 2 2 6" xfId="4742"/>
    <cellStyle name="Currency 2 2 2 7 2 3" xfId="4743"/>
    <cellStyle name="Currency 2 2 2 7 2 3 2" xfId="4744"/>
    <cellStyle name="Currency 2 2 2 7 2 3 2 2" xfId="23812"/>
    <cellStyle name="Currency 2 2 2 7 2 3 3" xfId="23813"/>
    <cellStyle name="Currency 2 2 2 7 2 4" xfId="4745"/>
    <cellStyle name="Currency 2 2 2 7 2 4 2" xfId="4746"/>
    <cellStyle name="Currency 2 2 2 7 2 4 2 2" xfId="23814"/>
    <cellStyle name="Currency 2 2 2 7 2 4 3" xfId="23815"/>
    <cellStyle name="Currency 2 2 2 7 2 5" xfId="4747"/>
    <cellStyle name="Currency 2 2 2 7 2 5 2" xfId="4748"/>
    <cellStyle name="Currency 2 2 2 7 2 5 2 2" xfId="23816"/>
    <cellStyle name="Currency 2 2 2 7 2 5 3" xfId="23817"/>
    <cellStyle name="Currency 2 2 2 7 2 6" xfId="4749"/>
    <cellStyle name="Currency 2 2 2 7 2 6 2" xfId="23818"/>
    <cellStyle name="Currency 2 2 2 7 2 7" xfId="4750"/>
    <cellStyle name="Currency 2 2 2 7 3" xfId="561"/>
    <cellStyle name="Currency 2 2 2 7 3 2" xfId="1383"/>
    <cellStyle name="Currency 2 2 2 7 3 2 2" xfId="4751"/>
    <cellStyle name="Currency 2 2 2 7 3 2 2 2" xfId="4752"/>
    <cellStyle name="Currency 2 2 2 7 3 2 2 2 2" xfId="23819"/>
    <cellStyle name="Currency 2 2 2 7 3 2 2 3" xfId="23820"/>
    <cellStyle name="Currency 2 2 2 7 3 2 3" xfId="4753"/>
    <cellStyle name="Currency 2 2 2 7 3 2 3 2" xfId="4754"/>
    <cellStyle name="Currency 2 2 2 7 3 2 3 2 2" xfId="23821"/>
    <cellStyle name="Currency 2 2 2 7 3 2 3 3" xfId="23822"/>
    <cellStyle name="Currency 2 2 2 7 3 2 4" xfId="4755"/>
    <cellStyle name="Currency 2 2 2 7 3 2 4 2" xfId="4756"/>
    <cellStyle name="Currency 2 2 2 7 3 2 4 2 2" xfId="23823"/>
    <cellStyle name="Currency 2 2 2 7 3 2 4 3" xfId="23824"/>
    <cellStyle name="Currency 2 2 2 7 3 2 5" xfId="4757"/>
    <cellStyle name="Currency 2 2 2 7 3 2 5 2" xfId="23825"/>
    <cellStyle name="Currency 2 2 2 7 3 2 6" xfId="4758"/>
    <cellStyle name="Currency 2 2 2 7 3 3" xfId="4759"/>
    <cellStyle name="Currency 2 2 2 7 3 3 2" xfId="4760"/>
    <cellStyle name="Currency 2 2 2 7 3 3 2 2" xfId="23826"/>
    <cellStyle name="Currency 2 2 2 7 3 3 3" xfId="23827"/>
    <cellStyle name="Currency 2 2 2 7 3 4" xfId="4761"/>
    <cellStyle name="Currency 2 2 2 7 3 4 2" xfId="4762"/>
    <cellStyle name="Currency 2 2 2 7 3 4 2 2" xfId="23828"/>
    <cellStyle name="Currency 2 2 2 7 3 4 3" xfId="23829"/>
    <cellStyle name="Currency 2 2 2 7 3 5" xfId="4763"/>
    <cellStyle name="Currency 2 2 2 7 3 5 2" xfId="4764"/>
    <cellStyle name="Currency 2 2 2 7 3 5 2 2" xfId="23830"/>
    <cellStyle name="Currency 2 2 2 7 3 5 3" xfId="23831"/>
    <cellStyle name="Currency 2 2 2 7 3 6" xfId="4765"/>
    <cellStyle name="Currency 2 2 2 7 3 6 2" xfId="23832"/>
    <cellStyle name="Currency 2 2 2 7 3 7" xfId="4766"/>
    <cellStyle name="Currency 2 2 2 7 4" xfId="1384"/>
    <cellStyle name="Currency 2 2 2 7 4 2" xfId="4767"/>
    <cellStyle name="Currency 2 2 2 7 4 2 2" xfId="4768"/>
    <cellStyle name="Currency 2 2 2 7 4 2 2 2" xfId="23833"/>
    <cellStyle name="Currency 2 2 2 7 4 2 3" xfId="23834"/>
    <cellStyle name="Currency 2 2 2 7 4 3" xfId="4769"/>
    <cellStyle name="Currency 2 2 2 7 4 3 2" xfId="4770"/>
    <cellStyle name="Currency 2 2 2 7 4 3 2 2" xfId="23835"/>
    <cellStyle name="Currency 2 2 2 7 4 3 3" xfId="23836"/>
    <cellStyle name="Currency 2 2 2 7 4 4" xfId="4771"/>
    <cellStyle name="Currency 2 2 2 7 4 4 2" xfId="4772"/>
    <cellStyle name="Currency 2 2 2 7 4 4 2 2" xfId="23837"/>
    <cellStyle name="Currency 2 2 2 7 4 4 3" xfId="23838"/>
    <cellStyle name="Currency 2 2 2 7 4 5" xfId="4773"/>
    <cellStyle name="Currency 2 2 2 7 4 5 2" xfId="23839"/>
    <cellStyle name="Currency 2 2 2 7 4 6" xfId="4774"/>
    <cellStyle name="Currency 2 2 2 7 5" xfId="4775"/>
    <cellStyle name="Currency 2 2 2 7 5 2" xfId="4776"/>
    <cellStyle name="Currency 2 2 2 7 5 2 2" xfId="23840"/>
    <cellStyle name="Currency 2 2 2 7 5 3" xfId="23841"/>
    <cellStyle name="Currency 2 2 2 7 6" xfId="4777"/>
    <cellStyle name="Currency 2 2 2 7 6 2" xfId="4778"/>
    <cellStyle name="Currency 2 2 2 7 6 2 2" xfId="23842"/>
    <cellStyle name="Currency 2 2 2 7 6 3" xfId="23843"/>
    <cellStyle name="Currency 2 2 2 7 7" xfId="4779"/>
    <cellStyle name="Currency 2 2 2 7 7 2" xfId="4780"/>
    <cellStyle name="Currency 2 2 2 7 7 2 2" xfId="23844"/>
    <cellStyle name="Currency 2 2 2 7 7 3" xfId="23845"/>
    <cellStyle name="Currency 2 2 2 7 8" xfId="4781"/>
    <cellStyle name="Currency 2 2 2 7 8 2" xfId="23846"/>
    <cellStyle name="Currency 2 2 2 7 9" xfId="4782"/>
    <cellStyle name="Currency 2 2 2 8" xfId="299"/>
    <cellStyle name="Currency 2 2 2 8 2" xfId="1087"/>
    <cellStyle name="Currency 2 2 2 8 2 2" xfId="1385"/>
    <cellStyle name="Currency 2 2 2 8 2 2 2" xfId="4783"/>
    <cellStyle name="Currency 2 2 2 8 2 2 2 2" xfId="4784"/>
    <cellStyle name="Currency 2 2 2 8 2 2 2 2 2" xfId="23847"/>
    <cellStyle name="Currency 2 2 2 8 2 2 2 3" xfId="23848"/>
    <cellStyle name="Currency 2 2 2 8 2 2 3" xfId="4785"/>
    <cellStyle name="Currency 2 2 2 8 2 2 3 2" xfId="4786"/>
    <cellStyle name="Currency 2 2 2 8 2 2 3 2 2" xfId="23849"/>
    <cellStyle name="Currency 2 2 2 8 2 2 3 3" xfId="23850"/>
    <cellStyle name="Currency 2 2 2 8 2 2 4" xfId="4787"/>
    <cellStyle name="Currency 2 2 2 8 2 2 4 2" xfId="4788"/>
    <cellStyle name="Currency 2 2 2 8 2 2 4 2 2" xfId="23851"/>
    <cellStyle name="Currency 2 2 2 8 2 2 4 3" xfId="23852"/>
    <cellStyle name="Currency 2 2 2 8 2 2 5" xfId="4789"/>
    <cellStyle name="Currency 2 2 2 8 2 2 5 2" xfId="23853"/>
    <cellStyle name="Currency 2 2 2 8 2 2 6" xfId="4790"/>
    <cellStyle name="Currency 2 2 2 8 2 3" xfId="4791"/>
    <cellStyle name="Currency 2 2 2 8 2 3 2" xfId="4792"/>
    <cellStyle name="Currency 2 2 2 8 2 3 2 2" xfId="23854"/>
    <cellStyle name="Currency 2 2 2 8 2 3 3" xfId="23855"/>
    <cellStyle name="Currency 2 2 2 8 2 4" xfId="4793"/>
    <cellStyle name="Currency 2 2 2 8 2 4 2" xfId="4794"/>
    <cellStyle name="Currency 2 2 2 8 2 4 2 2" xfId="23856"/>
    <cellStyle name="Currency 2 2 2 8 2 4 3" xfId="23857"/>
    <cellStyle name="Currency 2 2 2 8 2 5" xfId="4795"/>
    <cellStyle name="Currency 2 2 2 8 2 5 2" xfId="4796"/>
    <cellStyle name="Currency 2 2 2 8 2 5 2 2" xfId="23858"/>
    <cellStyle name="Currency 2 2 2 8 2 5 3" xfId="23859"/>
    <cellStyle name="Currency 2 2 2 8 2 6" xfId="4797"/>
    <cellStyle name="Currency 2 2 2 8 2 6 2" xfId="23860"/>
    <cellStyle name="Currency 2 2 2 8 2 7" xfId="4798"/>
    <cellStyle name="Currency 2 2 2 8 3" xfId="719"/>
    <cellStyle name="Currency 2 2 2 8 3 2" xfId="1386"/>
    <cellStyle name="Currency 2 2 2 8 3 2 2" xfId="4799"/>
    <cellStyle name="Currency 2 2 2 8 3 2 2 2" xfId="4800"/>
    <cellStyle name="Currency 2 2 2 8 3 2 2 2 2" xfId="23861"/>
    <cellStyle name="Currency 2 2 2 8 3 2 2 3" xfId="23862"/>
    <cellStyle name="Currency 2 2 2 8 3 2 3" xfId="4801"/>
    <cellStyle name="Currency 2 2 2 8 3 2 3 2" xfId="4802"/>
    <cellStyle name="Currency 2 2 2 8 3 2 3 2 2" xfId="23863"/>
    <cellStyle name="Currency 2 2 2 8 3 2 3 3" xfId="23864"/>
    <cellStyle name="Currency 2 2 2 8 3 2 4" xfId="4803"/>
    <cellStyle name="Currency 2 2 2 8 3 2 4 2" xfId="4804"/>
    <cellStyle name="Currency 2 2 2 8 3 2 4 2 2" xfId="23865"/>
    <cellStyle name="Currency 2 2 2 8 3 2 4 3" xfId="23866"/>
    <cellStyle name="Currency 2 2 2 8 3 2 5" xfId="4805"/>
    <cellStyle name="Currency 2 2 2 8 3 2 5 2" xfId="23867"/>
    <cellStyle name="Currency 2 2 2 8 3 2 6" xfId="4806"/>
    <cellStyle name="Currency 2 2 2 8 3 3" xfId="4807"/>
    <cellStyle name="Currency 2 2 2 8 3 3 2" xfId="4808"/>
    <cellStyle name="Currency 2 2 2 8 3 3 2 2" xfId="23868"/>
    <cellStyle name="Currency 2 2 2 8 3 3 3" xfId="23869"/>
    <cellStyle name="Currency 2 2 2 8 3 4" xfId="4809"/>
    <cellStyle name="Currency 2 2 2 8 3 4 2" xfId="4810"/>
    <cellStyle name="Currency 2 2 2 8 3 4 2 2" xfId="23870"/>
    <cellStyle name="Currency 2 2 2 8 3 4 3" xfId="23871"/>
    <cellStyle name="Currency 2 2 2 8 3 5" xfId="4811"/>
    <cellStyle name="Currency 2 2 2 8 3 5 2" xfId="4812"/>
    <cellStyle name="Currency 2 2 2 8 3 5 2 2" xfId="23872"/>
    <cellStyle name="Currency 2 2 2 8 3 5 3" xfId="23873"/>
    <cellStyle name="Currency 2 2 2 8 3 6" xfId="4813"/>
    <cellStyle name="Currency 2 2 2 8 3 6 2" xfId="23874"/>
    <cellStyle name="Currency 2 2 2 8 3 7" xfId="4814"/>
    <cellStyle name="Currency 2 2 2 8 4" xfId="1387"/>
    <cellStyle name="Currency 2 2 2 8 4 2" xfId="4815"/>
    <cellStyle name="Currency 2 2 2 8 4 2 2" xfId="4816"/>
    <cellStyle name="Currency 2 2 2 8 4 2 2 2" xfId="23875"/>
    <cellStyle name="Currency 2 2 2 8 4 2 3" xfId="23876"/>
    <cellStyle name="Currency 2 2 2 8 4 3" xfId="4817"/>
    <cellStyle name="Currency 2 2 2 8 4 3 2" xfId="4818"/>
    <cellStyle name="Currency 2 2 2 8 4 3 2 2" xfId="23877"/>
    <cellStyle name="Currency 2 2 2 8 4 3 3" xfId="23878"/>
    <cellStyle name="Currency 2 2 2 8 4 4" xfId="4819"/>
    <cellStyle name="Currency 2 2 2 8 4 4 2" xfId="4820"/>
    <cellStyle name="Currency 2 2 2 8 4 4 2 2" xfId="23879"/>
    <cellStyle name="Currency 2 2 2 8 4 4 3" xfId="23880"/>
    <cellStyle name="Currency 2 2 2 8 4 5" xfId="4821"/>
    <cellStyle name="Currency 2 2 2 8 4 5 2" xfId="23881"/>
    <cellStyle name="Currency 2 2 2 8 4 6" xfId="4822"/>
    <cellStyle name="Currency 2 2 2 8 5" xfId="4823"/>
    <cellStyle name="Currency 2 2 2 8 5 2" xfId="4824"/>
    <cellStyle name="Currency 2 2 2 8 5 2 2" xfId="23882"/>
    <cellStyle name="Currency 2 2 2 8 5 3" xfId="23883"/>
    <cellStyle name="Currency 2 2 2 8 6" xfId="4825"/>
    <cellStyle name="Currency 2 2 2 8 6 2" xfId="4826"/>
    <cellStyle name="Currency 2 2 2 8 6 2 2" xfId="23884"/>
    <cellStyle name="Currency 2 2 2 8 6 3" xfId="23885"/>
    <cellStyle name="Currency 2 2 2 8 7" xfId="4827"/>
    <cellStyle name="Currency 2 2 2 8 7 2" xfId="4828"/>
    <cellStyle name="Currency 2 2 2 8 7 2 2" xfId="23886"/>
    <cellStyle name="Currency 2 2 2 8 7 3" xfId="23887"/>
    <cellStyle name="Currency 2 2 2 8 8" xfId="4829"/>
    <cellStyle name="Currency 2 2 2 8 8 2" xfId="23888"/>
    <cellStyle name="Currency 2 2 2 8 9" xfId="4830"/>
    <cellStyle name="Currency 2 2 2 9" xfId="88"/>
    <cellStyle name="Currency 2 2 2 9 2" xfId="509"/>
    <cellStyle name="Currency 2 2 2 9 2 2" xfId="1388"/>
    <cellStyle name="Currency 2 2 2 9 2 2 2" xfId="4831"/>
    <cellStyle name="Currency 2 2 2 9 2 2 2 2" xfId="4832"/>
    <cellStyle name="Currency 2 2 2 9 2 2 2 2 2" xfId="23889"/>
    <cellStyle name="Currency 2 2 2 9 2 2 2 3" xfId="23890"/>
    <cellStyle name="Currency 2 2 2 9 2 2 3" xfId="4833"/>
    <cellStyle name="Currency 2 2 2 9 2 2 3 2" xfId="4834"/>
    <cellStyle name="Currency 2 2 2 9 2 2 3 2 2" xfId="23891"/>
    <cellStyle name="Currency 2 2 2 9 2 2 3 3" xfId="23892"/>
    <cellStyle name="Currency 2 2 2 9 2 2 4" xfId="4835"/>
    <cellStyle name="Currency 2 2 2 9 2 2 4 2" xfId="4836"/>
    <cellStyle name="Currency 2 2 2 9 2 2 4 2 2" xfId="23893"/>
    <cellStyle name="Currency 2 2 2 9 2 2 4 3" xfId="23894"/>
    <cellStyle name="Currency 2 2 2 9 2 2 5" xfId="4837"/>
    <cellStyle name="Currency 2 2 2 9 2 2 5 2" xfId="23895"/>
    <cellStyle name="Currency 2 2 2 9 2 2 6" xfId="4838"/>
    <cellStyle name="Currency 2 2 2 9 2 3" xfId="4839"/>
    <cellStyle name="Currency 2 2 2 9 2 3 2" xfId="4840"/>
    <cellStyle name="Currency 2 2 2 9 2 3 2 2" xfId="23896"/>
    <cellStyle name="Currency 2 2 2 9 2 3 3" xfId="23897"/>
    <cellStyle name="Currency 2 2 2 9 2 4" xfId="4841"/>
    <cellStyle name="Currency 2 2 2 9 2 4 2" xfId="4842"/>
    <cellStyle name="Currency 2 2 2 9 2 4 2 2" xfId="23898"/>
    <cellStyle name="Currency 2 2 2 9 2 4 3" xfId="23899"/>
    <cellStyle name="Currency 2 2 2 9 2 5" xfId="4843"/>
    <cellStyle name="Currency 2 2 2 9 2 5 2" xfId="4844"/>
    <cellStyle name="Currency 2 2 2 9 2 5 2 2" xfId="23900"/>
    <cellStyle name="Currency 2 2 2 9 2 5 3" xfId="23901"/>
    <cellStyle name="Currency 2 2 2 9 2 6" xfId="4845"/>
    <cellStyle name="Currency 2 2 2 9 2 6 2" xfId="23902"/>
    <cellStyle name="Currency 2 2 2 9 2 7" xfId="4846"/>
    <cellStyle name="Currency 2 2 2 9 3" xfId="1389"/>
    <cellStyle name="Currency 2 2 2 9 3 2" xfId="4847"/>
    <cellStyle name="Currency 2 2 2 9 3 2 2" xfId="4848"/>
    <cellStyle name="Currency 2 2 2 9 3 2 2 2" xfId="23903"/>
    <cellStyle name="Currency 2 2 2 9 3 2 3" xfId="23904"/>
    <cellStyle name="Currency 2 2 2 9 3 3" xfId="4849"/>
    <cellStyle name="Currency 2 2 2 9 3 3 2" xfId="4850"/>
    <cellStyle name="Currency 2 2 2 9 3 3 2 2" xfId="23905"/>
    <cellStyle name="Currency 2 2 2 9 3 3 3" xfId="23906"/>
    <cellStyle name="Currency 2 2 2 9 3 4" xfId="4851"/>
    <cellStyle name="Currency 2 2 2 9 3 4 2" xfId="4852"/>
    <cellStyle name="Currency 2 2 2 9 3 4 2 2" xfId="23907"/>
    <cellStyle name="Currency 2 2 2 9 3 4 3" xfId="23908"/>
    <cellStyle name="Currency 2 2 2 9 3 5" xfId="4853"/>
    <cellStyle name="Currency 2 2 2 9 3 5 2" xfId="23909"/>
    <cellStyle name="Currency 2 2 2 9 3 6" xfId="4854"/>
    <cellStyle name="Currency 2 2 2 9 4" xfId="4855"/>
    <cellStyle name="Currency 2 2 2 9 4 2" xfId="4856"/>
    <cellStyle name="Currency 2 2 2 9 4 2 2" xfId="23910"/>
    <cellStyle name="Currency 2 2 2 9 4 3" xfId="23911"/>
    <cellStyle name="Currency 2 2 2 9 5" xfId="4857"/>
    <cellStyle name="Currency 2 2 2 9 5 2" xfId="4858"/>
    <cellStyle name="Currency 2 2 2 9 5 2 2" xfId="23912"/>
    <cellStyle name="Currency 2 2 2 9 5 3" xfId="23913"/>
    <cellStyle name="Currency 2 2 2 9 6" xfId="4859"/>
    <cellStyle name="Currency 2 2 2 9 6 2" xfId="4860"/>
    <cellStyle name="Currency 2 2 2 9 6 2 2" xfId="23914"/>
    <cellStyle name="Currency 2 2 2 9 6 3" xfId="23915"/>
    <cellStyle name="Currency 2 2 2 9 7" xfId="4861"/>
    <cellStyle name="Currency 2 2 2 9 7 2" xfId="23916"/>
    <cellStyle name="Currency 2 2 2 9 8" xfId="4862"/>
    <cellStyle name="Currency 2 2 3" xfId="32"/>
    <cellStyle name="Currency 2 2 3 10" xfId="466"/>
    <cellStyle name="Currency 2 2 3 10 2" xfId="1390"/>
    <cellStyle name="Currency 2 2 3 10 2 2" xfId="4863"/>
    <cellStyle name="Currency 2 2 3 10 2 2 2" xfId="4864"/>
    <cellStyle name="Currency 2 2 3 10 2 2 2 2" xfId="23917"/>
    <cellStyle name="Currency 2 2 3 10 2 2 3" xfId="23918"/>
    <cellStyle name="Currency 2 2 3 10 2 3" xfId="4865"/>
    <cellStyle name="Currency 2 2 3 10 2 3 2" xfId="4866"/>
    <cellStyle name="Currency 2 2 3 10 2 3 2 2" xfId="23919"/>
    <cellStyle name="Currency 2 2 3 10 2 3 3" xfId="23920"/>
    <cellStyle name="Currency 2 2 3 10 2 4" xfId="4867"/>
    <cellStyle name="Currency 2 2 3 10 2 4 2" xfId="4868"/>
    <cellStyle name="Currency 2 2 3 10 2 4 2 2" xfId="23921"/>
    <cellStyle name="Currency 2 2 3 10 2 4 3" xfId="23922"/>
    <cellStyle name="Currency 2 2 3 10 2 5" xfId="4869"/>
    <cellStyle name="Currency 2 2 3 10 2 5 2" xfId="23923"/>
    <cellStyle name="Currency 2 2 3 10 2 6" xfId="4870"/>
    <cellStyle name="Currency 2 2 3 10 3" xfId="4871"/>
    <cellStyle name="Currency 2 2 3 10 3 2" xfId="4872"/>
    <cellStyle name="Currency 2 2 3 10 3 2 2" xfId="23924"/>
    <cellStyle name="Currency 2 2 3 10 3 3" xfId="23925"/>
    <cellStyle name="Currency 2 2 3 10 4" xfId="4873"/>
    <cellStyle name="Currency 2 2 3 10 4 2" xfId="4874"/>
    <cellStyle name="Currency 2 2 3 10 4 2 2" xfId="23926"/>
    <cellStyle name="Currency 2 2 3 10 4 3" xfId="23927"/>
    <cellStyle name="Currency 2 2 3 10 5" xfId="4875"/>
    <cellStyle name="Currency 2 2 3 10 5 2" xfId="4876"/>
    <cellStyle name="Currency 2 2 3 10 5 2 2" xfId="23928"/>
    <cellStyle name="Currency 2 2 3 10 5 3" xfId="23929"/>
    <cellStyle name="Currency 2 2 3 10 6" xfId="4877"/>
    <cellStyle name="Currency 2 2 3 10 6 2" xfId="23930"/>
    <cellStyle name="Currency 2 2 3 10 7" xfId="4878"/>
    <cellStyle name="Currency 2 2 3 11" xfId="1391"/>
    <cellStyle name="Currency 2 2 3 11 2" xfId="4879"/>
    <cellStyle name="Currency 2 2 3 11 2 2" xfId="4880"/>
    <cellStyle name="Currency 2 2 3 11 2 2 2" xfId="23931"/>
    <cellStyle name="Currency 2 2 3 11 2 3" xfId="23932"/>
    <cellStyle name="Currency 2 2 3 11 3" xfId="4881"/>
    <cellStyle name="Currency 2 2 3 11 3 2" xfId="4882"/>
    <cellStyle name="Currency 2 2 3 11 3 2 2" xfId="23933"/>
    <cellStyle name="Currency 2 2 3 11 3 3" xfId="23934"/>
    <cellStyle name="Currency 2 2 3 11 4" xfId="4883"/>
    <cellStyle name="Currency 2 2 3 11 4 2" xfId="4884"/>
    <cellStyle name="Currency 2 2 3 11 4 2 2" xfId="23935"/>
    <cellStyle name="Currency 2 2 3 11 4 3" xfId="23936"/>
    <cellStyle name="Currency 2 2 3 11 5" xfId="4885"/>
    <cellStyle name="Currency 2 2 3 11 5 2" xfId="23937"/>
    <cellStyle name="Currency 2 2 3 11 6" xfId="4886"/>
    <cellStyle name="Currency 2 2 3 12" xfId="4887"/>
    <cellStyle name="Currency 2 2 3 12 2" xfId="4888"/>
    <cellStyle name="Currency 2 2 3 12 2 2" xfId="23938"/>
    <cellStyle name="Currency 2 2 3 12 3" xfId="23939"/>
    <cellStyle name="Currency 2 2 3 13" xfId="4889"/>
    <cellStyle name="Currency 2 2 3 13 2" xfId="4890"/>
    <cellStyle name="Currency 2 2 3 13 2 2" xfId="23940"/>
    <cellStyle name="Currency 2 2 3 13 3" xfId="23941"/>
    <cellStyle name="Currency 2 2 3 14" xfId="4891"/>
    <cellStyle name="Currency 2 2 3 14 2" xfId="4892"/>
    <cellStyle name="Currency 2 2 3 14 2 2" xfId="23942"/>
    <cellStyle name="Currency 2 2 3 14 3" xfId="23943"/>
    <cellStyle name="Currency 2 2 3 15" xfId="4893"/>
    <cellStyle name="Currency 2 2 3 15 2" xfId="23944"/>
    <cellStyle name="Currency 2 2 3 16" xfId="4894"/>
    <cellStyle name="Currency 2 2 3 2" xfId="33"/>
    <cellStyle name="Currency 2 2 3 2 10" xfId="4895"/>
    <cellStyle name="Currency 2 2 3 2 10 2" xfId="4896"/>
    <cellStyle name="Currency 2 2 3 2 10 2 2" xfId="23945"/>
    <cellStyle name="Currency 2 2 3 2 10 3" xfId="23946"/>
    <cellStyle name="Currency 2 2 3 2 11" xfId="4897"/>
    <cellStyle name="Currency 2 2 3 2 11 2" xfId="4898"/>
    <cellStyle name="Currency 2 2 3 2 11 2 2" xfId="23947"/>
    <cellStyle name="Currency 2 2 3 2 11 3" xfId="23948"/>
    <cellStyle name="Currency 2 2 3 2 12" xfId="4899"/>
    <cellStyle name="Currency 2 2 3 2 12 2" xfId="4900"/>
    <cellStyle name="Currency 2 2 3 2 12 2 2" xfId="23949"/>
    <cellStyle name="Currency 2 2 3 2 12 3" xfId="23950"/>
    <cellStyle name="Currency 2 2 3 2 13" xfId="4901"/>
    <cellStyle name="Currency 2 2 3 2 13 2" xfId="23951"/>
    <cellStyle name="Currency 2 2 3 2 14" xfId="4902"/>
    <cellStyle name="Currency 2 2 3 2 2" xfId="199"/>
    <cellStyle name="Currency 2 2 3 2 2 10" xfId="4903"/>
    <cellStyle name="Currency 2 2 3 2 2 2" xfId="357"/>
    <cellStyle name="Currency 2 2 3 2 2 2 2" xfId="1145"/>
    <cellStyle name="Currency 2 2 3 2 2 2 2 2" xfId="1392"/>
    <cellStyle name="Currency 2 2 3 2 2 2 2 2 2" xfId="4904"/>
    <cellStyle name="Currency 2 2 3 2 2 2 2 2 2 2" xfId="4905"/>
    <cellStyle name="Currency 2 2 3 2 2 2 2 2 2 2 2" xfId="23952"/>
    <cellStyle name="Currency 2 2 3 2 2 2 2 2 2 3" xfId="23953"/>
    <cellStyle name="Currency 2 2 3 2 2 2 2 2 3" xfId="4906"/>
    <cellStyle name="Currency 2 2 3 2 2 2 2 2 3 2" xfId="4907"/>
    <cellStyle name="Currency 2 2 3 2 2 2 2 2 3 2 2" xfId="23954"/>
    <cellStyle name="Currency 2 2 3 2 2 2 2 2 3 3" xfId="23955"/>
    <cellStyle name="Currency 2 2 3 2 2 2 2 2 4" xfId="4908"/>
    <cellStyle name="Currency 2 2 3 2 2 2 2 2 4 2" xfId="4909"/>
    <cellStyle name="Currency 2 2 3 2 2 2 2 2 4 2 2" xfId="23956"/>
    <cellStyle name="Currency 2 2 3 2 2 2 2 2 4 3" xfId="23957"/>
    <cellStyle name="Currency 2 2 3 2 2 2 2 2 5" xfId="4910"/>
    <cellStyle name="Currency 2 2 3 2 2 2 2 2 5 2" xfId="23958"/>
    <cellStyle name="Currency 2 2 3 2 2 2 2 2 6" xfId="4911"/>
    <cellStyle name="Currency 2 2 3 2 2 2 2 3" xfId="4912"/>
    <cellStyle name="Currency 2 2 3 2 2 2 2 3 2" xfId="4913"/>
    <cellStyle name="Currency 2 2 3 2 2 2 2 3 2 2" xfId="23959"/>
    <cellStyle name="Currency 2 2 3 2 2 2 2 3 3" xfId="23960"/>
    <cellStyle name="Currency 2 2 3 2 2 2 2 4" xfId="4914"/>
    <cellStyle name="Currency 2 2 3 2 2 2 2 4 2" xfId="4915"/>
    <cellStyle name="Currency 2 2 3 2 2 2 2 4 2 2" xfId="23961"/>
    <cellStyle name="Currency 2 2 3 2 2 2 2 4 3" xfId="23962"/>
    <cellStyle name="Currency 2 2 3 2 2 2 2 5" xfId="4916"/>
    <cellStyle name="Currency 2 2 3 2 2 2 2 5 2" xfId="4917"/>
    <cellStyle name="Currency 2 2 3 2 2 2 2 5 2 2" xfId="23963"/>
    <cellStyle name="Currency 2 2 3 2 2 2 2 5 3" xfId="23964"/>
    <cellStyle name="Currency 2 2 3 2 2 2 2 6" xfId="4918"/>
    <cellStyle name="Currency 2 2 3 2 2 2 2 6 2" xfId="23965"/>
    <cellStyle name="Currency 2 2 3 2 2 2 2 7" xfId="4919"/>
    <cellStyle name="Currency 2 2 3 2 2 2 3" xfId="777"/>
    <cellStyle name="Currency 2 2 3 2 2 2 3 2" xfId="1393"/>
    <cellStyle name="Currency 2 2 3 2 2 2 3 2 2" xfId="4920"/>
    <cellStyle name="Currency 2 2 3 2 2 2 3 2 2 2" xfId="4921"/>
    <cellStyle name="Currency 2 2 3 2 2 2 3 2 2 2 2" xfId="23966"/>
    <cellStyle name="Currency 2 2 3 2 2 2 3 2 2 3" xfId="23967"/>
    <cellStyle name="Currency 2 2 3 2 2 2 3 2 3" xfId="4922"/>
    <cellStyle name="Currency 2 2 3 2 2 2 3 2 3 2" xfId="4923"/>
    <cellStyle name="Currency 2 2 3 2 2 2 3 2 3 2 2" xfId="23968"/>
    <cellStyle name="Currency 2 2 3 2 2 2 3 2 3 3" xfId="23969"/>
    <cellStyle name="Currency 2 2 3 2 2 2 3 2 4" xfId="4924"/>
    <cellStyle name="Currency 2 2 3 2 2 2 3 2 4 2" xfId="4925"/>
    <cellStyle name="Currency 2 2 3 2 2 2 3 2 4 2 2" xfId="23970"/>
    <cellStyle name="Currency 2 2 3 2 2 2 3 2 4 3" xfId="23971"/>
    <cellStyle name="Currency 2 2 3 2 2 2 3 2 5" xfId="4926"/>
    <cellStyle name="Currency 2 2 3 2 2 2 3 2 5 2" xfId="23972"/>
    <cellStyle name="Currency 2 2 3 2 2 2 3 2 6" xfId="4927"/>
    <cellStyle name="Currency 2 2 3 2 2 2 3 3" xfId="4928"/>
    <cellStyle name="Currency 2 2 3 2 2 2 3 3 2" xfId="4929"/>
    <cellStyle name="Currency 2 2 3 2 2 2 3 3 2 2" xfId="23973"/>
    <cellStyle name="Currency 2 2 3 2 2 2 3 3 3" xfId="23974"/>
    <cellStyle name="Currency 2 2 3 2 2 2 3 4" xfId="4930"/>
    <cellStyle name="Currency 2 2 3 2 2 2 3 4 2" xfId="4931"/>
    <cellStyle name="Currency 2 2 3 2 2 2 3 4 2 2" xfId="23975"/>
    <cellStyle name="Currency 2 2 3 2 2 2 3 4 3" xfId="23976"/>
    <cellStyle name="Currency 2 2 3 2 2 2 3 5" xfId="4932"/>
    <cellStyle name="Currency 2 2 3 2 2 2 3 5 2" xfId="4933"/>
    <cellStyle name="Currency 2 2 3 2 2 2 3 5 2 2" xfId="23977"/>
    <cellStyle name="Currency 2 2 3 2 2 2 3 5 3" xfId="23978"/>
    <cellStyle name="Currency 2 2 3 2 2 2 3 6" xfId="4934"/>
    <cellStyle name="Currency 2 2 3 2 2 2 3 6 2" xfId="23979"/>
    <cellStyle name="Currency 2 2 3 2 2 2 3 7" xfId="4935"/>
    <cellStyle name="Currency 2 2 3 2 2 2 4" xfId="1394"/>
    <cellStyle name="Currency 2 2 3 2 2 2 4 2" xfId="4936"/>
    <cellStyle name="Currency 2 2 3 2 2 2 4 2 2" xfId="4937"/>
    <cellStyle name="Currency 2 2 3 2 2 2 4 2 2 2" xfId="23980"/>
    <cellStyle name="Currency 2 2 3 2 2 2 4 2 3" xfId="23981"/>
    <cellStyle name="Currency 2 2 3 2 2 2 4 3" xfId="4938"/>
    <cellStyle name="Currency 2 2 3 2 2 2 4 3 2" xfId="4939"/>
    <cellStyle name="Currency 2 2 3 2 2 2 4 3 2 2" xfId="23982"/>
    <cellStyle name="Currency 2 2 3 2 2 2 4 3 3" xfId="23983"/>
    <cellStyle name="Currency 2 2 3 2 2 2 4 4" xfId="4940"/>
    <cellStyle name="Currency 2 2 3 2 2 2 4 4 2" xfId="4941"/>
    <cellStyle name="Currency 2 2 3 2 2 2 4 4 2 2" xfId="23984"/>
    <cellStyle name="Currency 2 2 3 2 2 2 4 4 3" xfId="23985"/>
    <cellStyle name="Currency 2 2 3 2 2 2 4 5" xfId="4942"/>
    <cellStyle name="Currency 2 2 3 2 2 2 4 5 2" xfId="23986"/>
    <cellStyle name="Currency 2 2 3 2 2 2 4 6" xfId="4943"/>
    <cellStyle name="Currency 2 2 3 2 2 2 5" xfId="4944"/>
    <cellStyle name="Currency 2 2 3 2 2 2 5 2" xfId="4945"/>
    <cellStyle name="Currency 2 2 3 2 2 2 5 2 2" xfId="23987"/>
    <cellStyle name="Currency 2 2 3 2 2 2 5 3" xfId="23988"/>
    <cellStyle name="Currency 2 2 3 2 2 2 6" xfId="4946"/>
    <cellStyle name="Currency 2 2 3 2 2 2 6 2" xfId="4947"/>
    <cellStyle name="Currency 2 2 3 2 2 2 6 2 2" xfId="23989"/>
    <cellStyle name="Currency 2 2 3 2 2 2 6 3" xfId="23990"/>
    <cellStyle name="Currency 2 2 3 2 2 2 7" xfId="4948"/>
    <cellStyle name="Currency 2 2 3 2 2 2 7 2" xfId="4949"/>
    <cellStyle name="Currency 2 2 3 2 2 2 7 2 2" xfId="23991"/>
    <cellStyle name="Currency 2 2 3 2 2 2 7 3" xfId="23992"/>
    <cellStyle name="Currency 2 2 3 2 2 2 8" xfId="4950"/>
    <cellStyle name="Currency 2 2 3 2 2 2 8 2" xfId="23993"/>
    <cellStyle name="Currency 2 2 3 2 2 2 9" xfId="4951"/>
    <cellStyle name="Currency 2 2 3 2 2 3" xfId="987"/>
    <cellStyle name="Currency 2 2 3 2 2 3 2" xfId="1395"/>
    <cellStyle name="Currency 2 2 3 2 2 3 2 2" xfId="4952"/>
    <cellStyle name="Currency 2 2 3 2 2 3 2 2 2" xfId="4953"/>
    <cellStyle name="Currency 2 2 3 2 2 3 2 2 2 2" xfId="23994"/>
    <cellStyle name="Currency 2 2 3 2 2 3 2 2 3" xfId="23995"/>
    <cellStyle name="Currency 2 2 3 2 2 3 2 3" xfId="4954"/>
    <cellStyle name="Currency 2 2 3 2 2 3 2 3 2" xfId="4955"/>
    <cellStyle name="Currency 2 2 3 2 2 3 2 3 2 2" xfId="23996"/>
    <cellStyle name="Currency 2 2 3 2 2 3 2 3 3" xfId="23997"/>
    <cellStyle name="Currency 2 2 3 2 2 3 2 4" xfId="4956"/>
    <cellStyle name="Currency 2 2 3 2 2 3 2 4 2" xfId="4957"/>
    <cellStyle name="Currency 2 2 3 2 2 3 2 4 2 2" xfId="23998"/>
    <cellStyle name="Currency 2 2 3 2 2 3 2 4 3" xfId="23999"/>
    <cellStyle name="Currency 2 2 3 2 2 3 2 5" xfId="4958"/>
    <cellStyle name="Currency 2 2 3 2 2 3 2 5 2" xfId="24000"/>
    <cellStyle name="Currency 2 2 3 2 2 3 2 6" xfId="4959"/>
    <cellStyle name="Currency 2 2 3 2 2 3 3" xfId="4960"/>
    <cellStyle name="Currency 2 2 3 2 2 3 3 2" xfId="4961"/>
    <cellStyle name="Currency 2 2 3 2 2 3 3 2 2" xfId="24001"/>
    <cellStyle name="Currency 2 2 3 2 2 3 3 3" xfId="24002"/>
    <cellStyle name="Currency 2 2 3 2 2 3 4" xfId="4962"/>
    <cellStyle name="Currency 2 2 3 2 2 3 4 2" xfId="4963"/>
    <cellStyle name="Currency 2 2 3 2 2 3 4 2 2" xfId="24003"/>
    <cellStyle name="Currency 2 2 3 2 2 3 4 3" xfId="24004"/>
    <cellStyle name="Currency 2 2 3 2 2 3 5" xfId="4964"/>
    <cellStyle name="Currency 2 2 3 2 2 3 5 2" xfId="4965"/>
    <cellStyle name="Currency 2 2 3 2 2 3 5 2 2" xfId="24005"/>
    <cellStyle name="Currency 2 2 3 2 2 3 5 3" xfId="24006"/>
    <cellStyle name="Currency 2 2 3 2 2 3 6" xfId="4966"/>
    <cellStyle name="Currency 2 2 3 2 2 3 6 2" xfId="24007"/>
    <cellStyle name="Currency 2 2 3 2 2 3 7" xfId="4967"/>
    <cellStyle name="Currency 2 2 3 2 2 4" xfId="619"/>
    <cellStyle name="Currency 2 2 3 2 2 4 2" xfId="1396"/>
    <cellStyle name="Currency 2 2 3 2 2 4 2 2" xfId="4968"/>
    <cellStyle name="Currency 2 2 3 2 2 4 2 2 2" xfId="4969"/>
    <cellStyle name="Currency 2 2 3 2 2 4 2 2 2 2" xfId="24008"/>
    <cellStyle name="Currency 2 2 3 2 2 4 2 2 3" xfId="24009"/>
    <cellStyle name="Currency 2 2 3 2 2 4 2 3" xfId="4970"/>
    <cellStyle name="Currency 2 2 3 2 2 4 2 3 2" xfId="4971"/>
    <cellStyle name="Currency 2 2 3 2 2 4 2 3 2 2" xfId="24010"/>
    <cellStyle name="Currency 2 2 3 2 2 4 2 3 3" xfId="24011"/>
    <cellStyle name="Currency 2 2 3 2 2 4 2 4" xfId="4972"/>
    <cellStyle name="Currency 2 2 3 2 2 4 2 4 2" xfId="4973"/>
    <cellStyle name="Currency 2 2 3 2 2 4 2 4 2 2" xfId="24012"/>
    <cellStyle name="Currency 2 2 3 2 2 4 2 4 3" xfId="24013"/>
    <cellStyle name="Currency 2 2 3 2 2 4 2 5" xfId="4974"/>
    <cellStyle name="Currency 2 2 3 2 2 4 2 5 2" xfId="24014"/>
    <cellStyle name="Currency 2 2 3 2 2 4 2 6" xfId="4975"/>
    <cellStyle name="Currency 2 2 3 2 2 4 3" xfId="4976"/>
    <cellStyle name="Currency 2 2 3 2 2 4 3 2" xfId="4977"/>
    <cellStyle name="Currency 2 2 3 2 2 4 3 2 2" xfId="24015"/>
    <cellStyle name="Currency 2 2 3 2 2 4 3 3" xfId="24016"/>
    <cellStyle name="Currency 2 2 3 2 2 4 4" xfId="4978"/>
    <cellStyle name="Currency 2 2 3 2 2 4 4 2" xfId="4979"/>
    <cellStyle name="Currency 2 2 3 2 2 4 4 2 2" xfId="24017"/>
    <cellStyle name="Currency 2 2 3 2 2 4 4 3" xfId="24018"/>
    <cellStyle name="Currency 2 2 3 2 2 4 5" xfId="4980"/>
    <cellStyle name="Currency 2 2 3 2 2 4 5 2" xfId="4981"/>
    <cellStyle name="Currency 2 2 3 2 2 4 5 2 2" xfId="24019"/>
    <cellStyle name="Currency 2 2 3 2 2 4 5 3" xfId="24020"/>
    <cellStyle name="Currency 2 2 3 2 2 4 6" xfId="4982"/>
    <cellStyle name="Currency 2 2 3 2 2 4 6 2" xfId="24021"/>
    <cellStyle name="Currency 2 2 3 2 2 4 7" xfId="4983"/>
    <cellStyle name="Currency 2 2 3 2 2 5" xfId="1397"/>
    <cellStyle name="Currency 2 2 3 2 2 5 2" xfId="4984"/>
    <cellStyle name="Currency 2 2 3 2 2 5 2 2" xfId="4985"/>
    <cellStyle name="Currency 2 2 3 2 2 5 2 2 2" xfId="24022"/>
    <cellStyle name="Currency 2 2 3 2 2 5 2 3" xfId="24023"/>
    <cellStyle name="Currency 2 2 3 2 2 5 3" xfId="4986"/>
    <cellStyle name="Currency 2 2 3 2 2 5 3 2" xfId="4987"/>
    <cellStyle name="Currency 2 2 3 2 2 5 3 2 2" xfId="24024"/>
    <cellStyle name="Currency 2 2 3 2 2 5 3 3" xfId="24025"/>
    <cellStyle name="Currency 2 2 3 2 2 5 4" xfId="4988"/>
    <cellStyle name="Currency 2 2 3 2 2 5 4 2" xfId="4989"/>
    <cellStyle name="Currency 2 2 3 2 2 5 4 2 2" xfId="24026"/>
    <cellStyle name="Currency 2 2 3 2 2 5 4 3" xfId="24027"/>
    <cellStyle name="Currency 2 2 3 2 2 5 5" xfId="4990"/>
    <cellStyle name="Currency 2 2 3 2 2 5 5 2" xfId="24028"/>
    <cellStyle name="Currency 2 2 3 2 2 5 6" xfId="4991"/>
    <cellStyle name="Currency 2 2 3 2 2 6" xfId="4992"/>
    <cellStyle name="Currency 2 2 3 2 2 6 2" xfId="4993"/>
    <cellStyle name="Currency 2 2 3 2 2 6 2 2" xfId="24029"/>
    <cellStyle name="Currency 2 2 3 2 2 6 3" xfId="24030"/>
    <cellStyle name="Currency 2 2 3 2 2 7" xfId="4994"/>
    <cellStyle name="Currency 2 2 3 2 2 7 2" xfId="4995"/>
    <cellStyle name="Currency 2 2 3 2 2 7 2 2" xfId="24031"/>
    <cellStyle name="Currency 2 2 3 2 2 7 3" xfId="24032"/>
    <cellStyle name="Currency 2 2 3 2 2 8" xfId="4996"/>
    <cellStyle name="Currency 2 2 3 2 2 8 2" xfId="4997"/>
    <cellStyle name="Currency 2 2 3 2 2 8 2 2" xfId="24033"/>
    <cellStyle name="Currency 2 2 3 2 2 8 3" xfId="24034"/>
    <cellStyle name="Currency 2 2 3 2 2 9" xfId="4998"/>
    <cellStyle name="Currency 2 2 3 2 2 9 2" xfId="24035"/>
    <cellStyle name="Currency 2 2 3 2 3" xfId="250"/>
    <cellStyle name="Currency 2 2 3 2 3 10" xfId="4999"/>
    <cellStyle name="Currency 2 2 3 2 3 2" xfId="408"/>
    <cellStyle name="Currency 2 2 3 2 3 2 2" xfId="1196"/>
    <cellStyle name="Currency 2 2 3 2 3 2 2 2" xfId="1398"/>
    <cellStyle name="Currency 2 2 3 2 3 2 2 2 2" xfId="5000"/>
    <cellStyle name="Currency 2 2 3 2 3 2 2 2 2 2" xfId="5001"/>
    <cellStyle name="Currency 2 2 3 2 3 2 2 2 2 2 2" xfId="24036"/>
    <cellStyle name="Currency 2 2 3 2 3 2 2 2 2 3" xfId="24037"/>
    <cellStyle name="Currency 2 2 3 2 3 2 2 2 3" xfId="5002"/>
    <cellStyle name="Currency 2 2 3 2 3 2 2 2 3 2" xfId="5003"/>
    <cellStyle name="Currency 2 2 3 2 3 2 2 2 3 2 2" xfId="24038"/>
    <cellStyle name="Currency 2 2 3 2 3 2 2 2 3 3" xfId="24039"/>
    <cellStyle name="Currency 2 2 3 2 3 2 2 2 4" xfId="5004"/>
    <cellStyle name="Currency 2 2 3 2 3 2 2 2 4 2" xfId="5005"/>
    <cellStyle name="Currency 2 2 3 2 3 2 2 2 4 2 2" xfId="24040"/>
    <cellStyle name="Currency 2 2 3 2 3 2 2 2 4 3" xfId="24041"/>
    <cellStyle name="Currency 2 2 3 2 3 2 2 2 5" xfId="5006"/>
    <cellStyle name="Currency 2 2 3 2 3 2 2 2 5 2" xfId="24042"/>
    <cellStyle name="Currency 2 2 3 2 3 2 2 2 6" xfId="5007"/>
    <cellStyle name="Currency 2 2 3 2 3 2 2 3" xfId="5008"/>
    <cellStyle name="Currency 2 2 3 2 3 2 2 3 2" xfId="5009"/>
    <cellStyle name="Currency 2 2 3 2 3 2 2 3 2 2" xfId="24043"/>
    <cellStyle name="Currency 2 2 3 2 3 2 2 3 3" xfId="24044"/>
    <cellStyle name="Currency 2 2 3 2 3 2 2 4" xfId="5010"/>
    <cellStyle name="Currency 2 2 3 2 3 2 2 4 2" xfId="5011"/>
    <cellStyle name="Currency 2 2 3 2 3 2 2 4 2 2" xfId="24045"/>
    <cellStyle name="Currency 2 2 3 2 3 2 2 4 3" xfId="24046"/>
    <cellStyle name="Currency 2 2 3 2 3 2 2 5" xfId="5012"/>
    <cellStyle name="Currency 2 2 3 2 3 2 2 5 2" xfId="5013"/>
    <cellStyle name="Currency 2 2 3 2 3 2 2 5 2 2" xfId="24047"/>
    <cellStyle name="Currency 2 2 3 2 3 2 2 5 3" xfId="24048"/>
    <cellStyle name="Currency 2 2 3 2 3 2 2 6" xfId="5014"/>
    <cellStyle name="Currency 2 2 3 2 3 2 2 6 2" xfId="24049"/>
    <cellStyle name="Currency 2 2 3 2 3 2 2 7" xfId="5015"/>
    <cellStyle name="Currency 2 2 3 2 3 2 3" xfId="828"/>
    <cellStyle name="Currency 2 2 3 2 3 2 3 2" xfId="1399"/>
    <cellStyle name="Currency 2 2 3 2 3 2 3 2 2" xfId="5016"/>
    <cellStyle name="Currency 2 2 3 2 3 2 3 2 2 2" xfId="5017"/>
    <cellStyle name="Currency 2 2 3 2 3 2 3 2 2 2 2" xfId="24050"/>
    <cellStyle name="Currency 2 2 3 2 3 2 3 2 2 3" xfId="24051"/>
    <cellStyle name="Currency 2 2 3 2 3 2 3 2 3" xfId="5018"/>
    <cellStyle name="Currency 2 2 3 2 3 2 3 2 3 2" xfId="5019"/>
    <cellStyle name="Currency 2 2 3 2 3 2 3 2 3 2 2" xfId="24052"/>
    <cellStyle name="Currency 2 2 3 2 3 2 3 2 3 3" xfId="24053"/>
    <cellStyle name="Currency 2 2 3 2 3 2 3 2 4" xfId="5020"/>
    <cellStyle name="Currency 2 2 3 2 3 2 3 2 4 2" xfId="5021"/>
    <cellStyle name="Currency 2 2 3 2 3 2 3 2 4 2 2" xfId="24054"/>
    <cellStyle name="Currency 2 2 3 2 3 2 3 2 4 3" xfId="24055"/>
    <cellStyle name="Currency 2 2 3 2 3 2 3 2 5" xfId="5022"/>
    <cellStyle name="Currency 2 2 3 2 3 2 3 2 5 2" xfId="24056"/>
    <cellStyle name="Currency 2 2 3 2 3 2 3 2 6" xfId="5023"/>
    <cellStyle name="Currency 2 2 3 2 3 2 3 3" xfId="5024"/>
    <cellStyle name="Currency 2 2 3 2 3 2 3 3 2" xfId="5025"/>
    <cellStyle name="Currency 2 2 3 2 3 2 3 3 2 2" xfId="24057"/>
    <cellStyle name="Currency 2 2 3 2 3 2 3 3 3" xfId="24058"/>
    <cellStyle name="Currency 2 2 3 2 3 2 3 4" xfId="5026"/>
    <cellStyle name="Currency 2 2 3 2 3 2 3 4 2" xfId="5027"/>
    <cellStyle name="Currency 2 2 3 2 3 2 3 4 2 2" xfId="24059"/>
    <cellStyle name="Currency 2 2 3 2 3 2 3 4 3" xfId="24060"/>
    <cellStyle name="Currency 2 2 3 2 3 2 3 5" xfId="5028"/>
    <cellStyle name="Currency 2 2 3 2 3 2 3 5 2" xfId="5029"/>
    <cellStyle name="Currency 2 2 3 2 3 2 3 5 2 2" xfId="24061"/>
    <cellStyle name="Currency 2 2 3 2 3 2 3 5 3" xfId="24062"/>
    <cellStyle name="Currency 2 2 3 2 3 2 3 6" xfId="5030"/>
    <cellStyle name="Currency 2 2 3 2 3 2 3 6 2" xfId="24063"/>
    <cellStyle name="Currency 2 2 3 2 3 2 3 7" xfId="5031"/>
    <cellStyle name="Currency 2 2 3 2 3 2 4" xfId="1400"/>
    <cellStyle name="Currency 2 2 3 2 3 2 4 2" xfId="5032"/>
    <cellStyle name="Currency 2 2 3 2 3 2 4 2 2" xfId="5033"/>
    <cellStyle name="Currency 2 2 3 2 3 2 4 2 2 2" xfId="24064"/>
    <cellStyle name="Currency 2 2 3 2 3 2 4 2 3" xfId="24065"/>
    <cellStyle name="Currency 2 2 3 2 3 2 4 3" xfId="5034"/>
    <cellStyle name="Currency 2 2 3 2 3 2 4 3 2" xfId="5035"/>
    <cellStyle name="Currency 2 2 3 2 3 2 4 3 2 2" xfId="24066"/>
    <cellStyle name="Currency 2 2 3 2 3 2 4 3 3" xfId="24067"/>
    <cellStyle name="Currency 2 2 3 2 3 2 4 4" xfId="5036"/>
    <cellStyle name="Currency 2 2 3 2 3 2 4 4 2" xfId="5037"/>
    <cellStyle name="Currency 2 2 3 2 3 2 4 4 2 2" xfId="24068"/>
    <cellStyle name="Currency 2 2 3 2 3 2 4 4 3" xfId="24069"/>
    <cellStyle name="Currency 2 2 3 2 3 2 4 5" xfId="5038"/>
    <cellStyle name="Currency 2 2 3 2 3 2 4 5 2" xfId="24070"/>
    <cellStyle name="Currency 2 2 3 2 3 2 4 6" xfId="5039"/>
    <cellStyle name="Currency 2 2 3 2 3 2 5" xfId="5040"/>
    <cellStyle name="Currency 2 2 3 2 3 2 5 2" xfId="5041"/>
    <cellStyle name="Currency 2 2 3 2 3 2 5 2 2" xfId="24071"/>
    <cellStyle name="Currency 2 2 3 2 3 2 5 3" xfId="24072"/>
    <cellStyle name="Currency 2 2 3 2 3 2 6" xfId="5042"/>
    <cellStyle name="Currency 2 2 3 2 3 2 6 2" xfId="5043"/>
    <cellStyle name="Currency 2 2 3 2 3 2 6 2 2" xfId="24073"/>
    <cellStyle name="Currency 2 2 3 2 3 2 6 3" xfId="24074"/>
    <cellStyle name="Currency 2 2 3 2 3 2 7" xfId="5044"/>
    <cellStyle name="Currency 2 2 3 2 3 2 7 2" xfId="5045"/>
    <cellStyle name="Currency 2 2 3 2 3 2 7 2 2" xfId="24075"/>
    <cellStyle name="Currency 2 2 3 2 3 2 7 3" xfId="24076"/>
    <cellStyle name="Currency 2 2 3 2 3 2 8" xfId="5046"/>
    <cellStyle name="Currency 2 2 3 2 3 2 8 2" xfId="24077"/>
    <cellStyle name="Currency 2 2 3 2 3 2 9" xfId="5047"/>
    <cellStyle name="Currency 2 2 3 2 3 3" xfId="1038"/>
    <cellStyle name="Currency 2 2 3 2 3 3 2" xfId="1401"/>
    <cellStyle name="Currency 2 2 3 2 3 3 2 2" xfId="5048"/>
    <cellStyle name="Currency 2 2 3 2 3 3 2 2 2" xfId="5049"/>
    <cellStyle name="Currency 2 2 3 2 3 3 2 2 2 2" xfId="24078"/>
    <cellStyle name="Currency 2 2 3 2 3 3 2 2 3" xfId="24079"/>
    <cellStyle name="Currency 2 2 3 2 3 3 2 3" xfId="5050"/>
    <cellStyle name="Currency 2 2 3 2 3 3 2 3 2" xfId="5051"/>
    <cellStyle name="Currency 2 2 3 2 3 3 2 3 2 2" xfId="24080"/>
    <cellStyle name="Currency 2 2 3 2 3 3 2 3 3" xfId="24081"/>
    <cellStyle name="Currency 2 2 3 2 3 3 2 4" xfId="5052"/>
    <cellStyle name="Currency 2 2 3 2 3 3 2 4 2" xfId="5053"/>
    <cellStyle name="Currency 2 2 3 2 3 3 2 4 2 2" xfId="24082"/>
    <cellStyle name="Currency 2 2 3 2 3 3 2 4 3" xfId="24083"/>
    <cellStyle name="Currency 2 2 3 2 3 3 2 5" xfId="5054"/>
    <cellStyle name="Currency 2 2 3 2 3 3 2 5 2" xfId="24084"/>
    <cellStyle name="Currency 2 2 3 2 3 3 2 6" xfId="5055"/>
    <cellStyle name="Currency 2 2 3 2 3 3 3" xfId="5056"/>
    <cellStyle name="Currency 2 2 3 2 3 3 3 2" xfId="5057"/>
    <cellStyle name="Currency 2 2 3 2 3 3 3 2 2" xfId="24085"/>
    <cellStyle name="Currency 2 2 3 2 3 3 3 3" xfId="24086"/>
    <cellStyle name="Currency 2 2 3 2 3 3 4" xfId="5058"/>
    <cellStyle name="Currency 2 2 3 2 3 3 4 2" xfId="5059"/>
    <cellStyle name="Currency 2 2 3 2 3 3 4 2 2" xfId="24087"/>
    <cellStyle name="Currency 2 2 3 2 3 3 4 3" xfId="24088"/>
    <cellStyle name="Currency 2 2 3 2 3 3 5" xfId="5060"/>
    <cellStyle name="Currency 2 2 3 2 3 3 5 2" xfId="5061"/>
    <cellStyle name="Currency 2 2 3 2 3 3 5 2 2" xfId="24089"/>
    <cellStyle name="Currency 2 2 3 2 3 3 5 3" xfId="24090"/>
    <cellStyle name="Currency 2 2 3 2 3 3 6" xfId="5062"/>
    <cellStyle name="Currency 2 2 3 2 3 3 6 2" xfId="24091"/>
    <cellStyle name="Currency 2 2 3 2 3 3 7" xfId="5063"/>
    <cellStyle name="Currency 2 2 3 2 3 4" xfId="670"/>
    <cellStyle name="Currency 2 2 3 2 3 4 2" xfId="1402"/>
    <cellStyle name="Currency 2 2 3 2 3 4 2 2" xfId="5064"/>
    <cellStyle name="Currency 2 2 3 2 3 4 2 2 2" xfId="5065"/>
    <cellStyle name="Currency 2 2 3 2 3 4 2 2 2 2" xfId="24092"/>
    <cellStyle name="Currency 2 2 3 2 3 4 2 2 3" xfId="24093"/>
    <cellStyle name="Currency 2 2 3 2 3 4 2 3" xfId="5066"/>
    <cellStyle name="Currency 2 2 3 2 3 4 2 3 2" xfId="5067"/>
    <cellStyle name="Currency 2 2 3 2 3 4 2 3 2 2" xfId="24094"/>
    <cellStyle name="Currency 2 2 3 2 3 4 2 3 3" xfId="24095"/>
    <cellStyle name="Currency 2 2 3 2 3 4 2 4" xfId="5068"/>
    <cellStyle name="Currency 2 2 3 2 3 4 2 4 2" xfId="5069"/>
    <cellStyle name="Currency 2 2 3 2 3 4 2 4 2 2" xfId="24096"/>
    <cellStyle name="Currency 2 2 3 2 3 4 2 4 3" xfId="24097"/>
    <cellStyle name="Currency 2 2 3 2 3 4 2 5" xfId="5070"/>
    <cellStyle name="Currency 2 2 3 2 3 4 2 5 2" xfId="24098"/>
    <cellStyle name="Currency 2 2 3 2 3 4 2 6" xfId="5071"/>
    <cellStyle name="Currency 2 2 3 2 3 4 3" xfId="5072"/>
    <cellStyle name="Currency 2 2 3 2 3 4 3 2" xfId="5073"/>
    <cellStyle name="Currency 2 2 3 2 3 4 3 2 2" xfId="24099"/>
    <cellStyle name="Currency 2 2 3 2 3 4 3 3" xfId="24100"/>
    <cellStyle name="Currency 2 2 3 2 3 4 4" xfId="5074"/>
    <cellStyle name="Currency 2 2 3 2 3 4 4 2" xfId="5075"/>
    <cellStyle name="Currency 2 2 3 2 3 4 4 2 2" xfId="24101"/>
    <cellStyle name="Currency 2 2 3 2 3 4 4 3" xfId="24102"/>
    <cellStyle name="Currency 2 2 3 2 3 4 5" xfId="5076"/>
    <cellStyle name="Currency 2 2 3 2 3 4 5 2" xfId="5077"/>
    <cellStyle name="Currency 2 2 3 2 3 4 5 2 2" xfId="24103"/>
    <cellStyle name="Currency 2 2 3 2 3 4 5 3" xfId="24104"/>
    <cellStyle name="Currency 2 2 3 2 3 4 6" xfId="5078"/>
    <cellStyle name="Currency 2 2 3 2 3 4 6 2" xfId="24105"/>
    <cellStyle name="Currency 2 2 3 2 3 4 7" xfId="5079"/>
    <cellStyle name="Currency 2 2 3 2 3 5" xfId="1403"/>
    <cellStyle name="Currency 2 2 3 2 3 5 2" xfId="5080"/>
    <cellStyle name="Currency 2 2 3 2 3 5 2 2" xfId="5081"/>
    <cellStyle name="Currency 2 2 3 2 3 5 2 2 2" xfId="24106"/>
    <cellStyle name="Currency 2 2 3 2 3 5 2 3" xfId="24107"/>
    <cellStyle name="Currency 2 2 3 2 3 5 3" xfId="5082"/>
    <cellStyle name="Currency 2 2 3 2 3 5 3 2" xfId="5083"/>
    <cellStyle name="Currency 2 2 3 2 3 5 3 2 2" xfId="24108"/>
    <cellStyle name="Currency 2 2 3 2 3 5 3 3" xfId="24109"/>
    <cellStyle name="Currency 2 2 3 2 3 5 4" xfId="5084"/>
    <cellStyle name="Currency 2 2 3 2 3 5 4 2" xfId="5085"/>
    <cellStyle name="Currency 2 2 3 2 3 5 4 2 2" xfId="24110"/>
    <cellStyle name="Currency 2 2 3 2 3 5 4 3" xfId="24111"/>
    <cellStyle name="Currency 2 2 3 2 3 5 5" xfId="5086"/>
    <cellStyle name="Currency 2 2 3 2 3 5 5 2" xfId="24112"/>
    <cellStyle name="Currency 2 2 3 2 3 5 6" xfId="5087"/>
    <cellStyle name="Currency 2 2 3 2 3 6" xfId="5088"/>
    <cellStyle name="Currency 2 2 3 2 3 6 2" xfId="5089"/>
    <cellStyle name="Currency 2 2 3 2 3 6 2 2" xfId="24113"/>
    <cellStyle name="Currency 2 2 3 2 3 6 3" xfId="24114"/>
    <cellStyle name="Currency 2 2 3 2 3 7" xfId="5090"/>
    <cellStyle name="Currency 2 2 3 2 3 7 2" xfId="5091"/>
    <cellStyle name="Currency 2 2 3 2 3 7 2 2" xfId="24115"/>
    <cellStyle name="Currency 2 2 3 2 3 7 3" xfId="24116"/>
    <cellStyle name="Currency 2 2 3 2 3 8" xfId="5092"/>
    <cellStyle name="Currency 2 2 3 2 3 8 2" xfId="5093"/>
    <cellStyle name="Currency 2 2 3 2 3 8 2 2" xfId="24117"/>
    <cellStyle name="Currency 2 2 3 2 3 8 3" xfId="24118"/>
    <cellStyle name="Currency 2 2 3 2 3 9" xfId="5094"/>
    <cellStyle name="Currency 2 2 3 2 3 9 2" xfId="24119"/>
    <cellStyle name="Currency 2 2 3 2 4" xfId="179"/>
    <cellStyle name="Currency 2 2 3 2 4 2" xfId="967"/>
    <cellStyle name="Currency 2 2 3 2 4 2 2" xfId="1404"/>
    <cellStyle name="Currency 2 2 3 2 4 2 2 2" xfId="5095"/>
    <cellStyle name="Currency 2 2 3 2 4 2 2 2 2" xfId="5096"/>
    <cellStyle name="Currency 2 2 3 2 4 2 2 2 2 2" xfId="24120"/>
    <cellStyle name="Currency 2 2 3 2 4 2 2 2 3" xfId="24121"/>
    <cellStyle name="Currency 2 2 3 2 4 2 2 3" xfId="5097"/>
    <cellStyle name="Currency 2 2 3 2 4 2 2 3 2" xfId="5098"/>
    <cellStyle name="Currency 2 2 3 2 4 2 2 3 2 2" xfId="24122"/>
    <cellStyle name="Currency 2 2 3 2 4 2 2 3 3" xfId="24123"/>
    <cellStyle name="Currency 2 2 3 2 4 2 2 4" xfId="5099"/>
    <cellStyle name="Currency 2 2 3 2 4 2 2 4 2" xfId="5100"/>
    <cellStyle name="Currency 2 2 3 2 4 2 2 4 2 2" xfId="24124"/>
    <cellStyle name="Currency 2 2 3 2 4 2 2 4 3" xfId="24125"/>
    <cellStyle name="Currency 2 2 3 2 4 2 2 5" xfId="5101"/>
    <cellStyle name="Currency 2 2 3 2 4 2 2 5 2" xfId="24126"/>
    <cellStyle name="Currency 2 2 3 2 4 2 2 6" xfId="5102"/>
    <cellStyle name="Currency 2 2 3 2 4 2 3" xfId="5103"/>
    <cellStyle name="Currency 2 2 3 2 4 2 3 2" xfId="5104"/>
    <cellStyle name="Currency 2 2 3 2 4 2 3 2 2" xfId="24127"/>
    <cellStyle name="Currency 2 2 3 2 4 2 3 3" xfId="24128"/>
    <cellStyle name="Currency 2 2 3 2 4 2 4" xfId="5105"/>
    <cellStyle name="Currency 2 2 3 2 4 2 4 2" xfId="5106"/>
    <cellStyle name="Currency 2 2 3 2 4 2 4 2 2" xfId="24129"/>
    <cellStyle name="Currency 2 2 3 2 4 2 4 3" xfId="24130"/>
    <cellStyle name="Currency 2 2 3 2 4 2 5" xfId="5107"/>
    <cellStyle name="Currency 2 2 3 2 4 2 5 2" xfId="5108"/>
    <cellStyle name="Currency 2 2 3 2 4 2 5 2 2" xfId="24131"/>
    <cellStyle name="Currency 2 2 3 2 4 2 5 3" xfId="24132"/>
    <cellStyle name="Currency 2 2 3 2 4 2 6" xfId="5109"/>
    <cellStyle name="Currency 2 2 3 2 4 2 6 2" xfId="24133"/>
    <cellStyle name="Currency 2 2 3 2 4 2 7" xfId="5110"/>
    <cellStyle name="Currency 2 2 3 2 4 3" xfId="599"/>
    <cellStyle name="Currency 2 2 3 2 4 3 2" xfId="1405"/>
    <cellStyle name="Currency 2 2 3 2 4 3 2 2" xfId="5111"/>
    <cellStyle name="Currency 2 2 3 2 4 3 2 2 2" xfId="5112"/>
    <cellStyle name="Currency 2 2 3 2 4 3 2 2 2 2" xfId="24134"/>
    <cellStyle name="Currency 2 2 3 2 4 3 2 2 3" xfId="24135"/>
    <cellStyle name="Currency 2 2 3 2 4 3 2 3" xfId="5113"/>
    <cellStyle name="Currency 2 2 3 2 4 3 2 3 2" xfId="5114"/>
    <cellStyle name="Currency 2 2 3 2 4 3 2 3 2 2" xfId="24136"/>
    <cellStyle name="Currency 2 2 3 2 4 3 2 3 3" xfId="24137"/>
    <cellStyle name="Currency 2 2 3 2 4 3 2 4" xfId="5115"/>
    <cellStyle name="Currency 2 2 3 2 4 3 2 4 2" xfId="5116"/>
    <cellStyle name="Currency 2 2 3 2 4 3 2 4 2 2" xfId="24138"/>
    <cellStyle name="Currency 2 2 3 2 4 3 2 4 3" xfId="24139"/>
    <cellStyle name="Currency 2 2 3 2 4 3 2 5" xfId="5117"/>
    <cellStyle name="Currency 2 2 3 2 4 3 2 5 2" xfId="24140"/>
    <cellStyle name="Currency 2 2 3 2 4 3 2 6" xfId="5118"/>
    <cellStyle name="Currency 2 2 3 2 4 3 3" xfId="5119"/>
    <cellStyle name="Currency 2 2 3 2 4 3 3 2" xfId="5120"/>
    <cellStyle name="Currency 2 2 3 2 4 3 3 2 2" xfId="24141"/>
    <cellStyle name="Currency 2 2 3 2 4 3 3 3" xfId="24142"/>
    <cellStyle name="Currency 2 2 3 2 4 3 4" xfId="5121"/>
    <cellStyle name="Currency 2 2 3 2 4 3 4 2" xfId="5122"/>
    <cellStyle name="Currency 2 2 3 2 4 3 4 2 2" xfId="24143"/>
    <cellStyle name="Currency 2 2 3 2 4 3 4 3" xfId="24144"/>
    <cellStyle name="Currency 2 2 3 2 4 3 5" xfId="5123"/>
    <cellStyle name="Currency 2 2 3 2 4 3 5 2" xfId="5124"/>
    <cellStyle name="Currency 2 2 3 2 4 3 5 2 2" xfId="24145"/>
    <cellStyle name="Currency 2 2 3 2 4 3 5 3" xfId="24146"/>
    <cellStyle name="Currency 2 2 3 2 4 3 6" xfId="5125"/>
    <cellStyle name="Currency 2 2 3 2 4 3 6 2" xfId="24147"/>
    <cellStyle name="Currency 2 2 3 2 4 3 7" xfId="5126"/>
    <cellStyle name="Currency 2 2 3 2 4 4" xfId="1406"/>
    <cellStyle name="Currency 2 2 3 2 4 4 2" xfId="5127"/>
    <cellStyle name="Currency 2 2 3 2 4 4 2 2" xfId="5128"/>
    <cellStyle name="Currency 2 2 3 2 4 4 2 2 2" xfId="24148"/>
    <cellStyle name="Currency 2 2 3 2 4 4 2 3" xfId="24149"/>
    <cellStyle name="Currency 2 2 3 2 4 4 3" xfId="5129"/>
    <cellStyle name="Currency 2 2 3 2 4 4 3 2" xfId="5130"/>
    <cellStyle name="Currency 2 2 3 2 4 4 3 2 2" xfId="24150"/>
    <cellStyle name="Currency 2 2 3 2 4 4 3 3" xfId="24151"/>
    <cellStyle name="Currency 2 2 3 2 4 4 4" xfId="5131"/>
    <cellStyle name="Currency 2 2 3 2 4 4 4 2" xfId="5132"/>
    <cellStyle name="Currency 2 2 3 2 4 4 4 2 2" xfId="24152"/>
    <cellStyle name="Currency 2 2 3 2 4 4 4 3" xfId="24153"/>
    <cellStyle name="Currency 2 2 3 2 4 4 5" xfId="5133"/>
    <cellStyle name="Currency 2 2 3 2 4 4 5 2" xfId="24154"/>
    <cellStyle name="Currency 2 2 3 2 4 4 6" xfId="5134"/>
    <cellStyle name="Currency 2 2 3 2 4 5" xfId="5135"/>
    <cellStyle name="Currency 2 2 3 2 4 5 2" xfId="5136"/>
    <cellStyle name="Currency 2 2 3 2 4 5 2 2" xfId="24155"/>
    <cellStyle name="Currency 2 2 3 2 4 5 3" xfId="24156"/>
    <cellStyle name="Currency 2 2 3 2 4 6" xfId="5137"/>
    <cellStyle name="Currency 2 2 3 2 4 6 2" xfId="5138"/>
    <cellStyle name="Currency 2 2 3 2 4 6 2 2" xfId="24157"/>
    <cellStyle name="Currency 2 2 3 2 4 6 3" xfId="24158"/>
    <cellStyle name="Currency 2 2 3 2 4 7" xfId="5139"/>
    <cellStyle name="Currency 2 2 3 2 4 7 2" xfId="5140"/>
    <cellStyle name="Currency 2 2 3 2 4 7 2 2" xfId="24159"/>
    <cellStyle name="Currency 2 2 3 2 4 7 3" xfId="24160"/>
    <cellStyle name="Currency 2 2 3 2 4 8" xfId="5141"/>
    <cellStyle name="Currency 2 2 3 2 4 8 2" xfId="24161"/>
    <cellStyle name="Currency 2 2 3 2 4 9" xfId="5142"/>
    <cellStyle name="Currency 2 2 3 2 5" xfId="337"/>
    <cellStyle name="Currency 2 2 3 2 5 2" xfId="1125"/>
    <cellStyle name="Currency 2 2 3 2 5 2 2" xfId="1407"/>
    <cellStyle name="Currency 2 2 3 2 5 2 2 2" xfId="5143"/>
    <cellStyle name="Currency 2 2 3 2 5 2 2 2 2" xfId="5144"/>
    <cellStyle name="Currency 2 2 3 2 5 2 2 2 2 2" xfId="24162"/>
    <cellStyle name="Currency 2 2 3 2 5 2 2 2 3" xfId="24163"/>
    <cellStyle name="Currency 2 2 3 2 5 2 2 3" xfId="5145"/>
    <cellStyle name="Currency 2 2 3 2 5 2 2 3 2" xfId="5146"/>
    <cellStyle name="Currency 2 2 3 2 5 2 2 3 2 2" xfId="24164"/>
    <cellStyle name="Currency 2 2 3 2 5 2 2 3 3" xfId="24165"/>
    <cellStyle name="Currency 2 2 3 2 5 2 2 4" xfId="5147"/>
    <cellStyle name="Currency 2 2 3 2 5 2 2 4 2" xfId="5148"/>
    <cellStyle name="Currency 2 2 3 2 5 2 2 4 2 2" xfId="24166"/>
    <cellStyle name="Currency 2 2 3 2 5 2 2 4 3" xfId="24167"/>
    <cellStyle name="Currency 2 2 3 2 5 2 2 5" xfId="5149"/>
    <cellStyle name="Currency 2 2 3 2 5 2 2 5 2" xfId="24168"/>
    <cellStyle name="Currency 2 2 3 2 5 2 2 6" xfId="5150"/>
    <cellStyle name="Currency 2 2 3 2 5 2 3" xfId="5151"/>
    <cellStyle name="Currency 2 2 3 2 5 2 3 2" xfId="5152"/>
    <cellStyle name="Currency 2 2 3 2 5 2 3 2 2" xfId="24169"/>
    <cellStyle name="Currency 2 2 3 2 5 2 3 3" xfId="24170"/>
    <cellStyle name="Currency 2 2 3 2 5 2 4" xfId="5153"/>
    <cellStyle name="Currency 2 2 3 2 5 2 4 2" xfId="5154"/>
    <cellStyle name="Currency 2 2 3 2 5 2 4 2 2" xfId="24171"/>
    <cellStyle name="Currency 2 2 3 2 5 2 4 3" xfId="24172"/>
    <cellStyle name="Currency 2 2 3 2 5 2 5" xfId="5155"/>
    <cellStyle name="Currency 2 2 3 2 5 2 5 2" xfId="5156"/>
    <cellStyle name="Currency 2 2 3 2 5 2 5 2 2" xfId="24173"/>
    <cellStyle name="Currency 2 2 3 2 5 2 5 3" xfId="24174"/>
    <cellStyle name="Currency 2 2 3 2 5 2 6" xfId="5157"/>
    <cellStyle name="Currency 2 2 3 2 5 2 6 2" xfId="24175"/>
    <cellStyle name="Currency 2 2 3 2 5 2 7" xfId="5158"/>
    <cellStyle name="Currency 2 2 3 2 5 3" xfId="757"/>
    <cellStyle name="Currency 2 2 3 2 5 3 2" xfId="1408"/>
    <cellStyle name="Currency 2 2 3 2 5 3 2 2" xfId="5159"/>
    <cellStyle name="Currency 2 2 3 2 5 3 2 2 2" xfId="5160"/>
    <cellStyle name="Currency 2 2 3 2 5 3 2 2 2 2" xfId="24176"/>
    <cellStyle name="Currency 2 2 3 2 5 3 2 2 3" xfId="24177"/>
    <cellStyle name="Currency 2 2 3 2 5 3 2 3" xfId="5161"/>
    <cellStyle name="Currency 2 2 3 2 5 3 2 3 2" xfId="5162"/>
    <cellStyle name="Currency 2 2 3 2 5 3 2 3 2 2" xfId="24178"/>
    <cellStyle name="Currency 2 2 3 2 5 3 2 3 3" xfId="24179"/>
    <cellStyle name="Currency 2 2 3 2 5 3 2 4" xfId="5163"/>
    <cellStyle name="Currency 2 2 3 2 5 3 2 4 2" xfId="5164"/>
    <cellStyle name="Currency 2 2 3 2 5 3 2 4 2 2" xfId="24180"/>
    <cellStyle name="Currency 2 2 3 2 5 3 2 4 3" xfId="24181"/>
    <cellStyle name="Currency 2 2 3 2 5 3 2 5" xfId="5165"/>
    <cellStyle name="Currency 2 2 3 2 5 3 2 5 2" xfId="24182"/>
    <cellStyle name="Currency 2 2 3 2 5 3 2 6" xfId="5166"/>
    <cellStyle name="Currency 2 2 3 2 5 3 3" xfId="5167"/>
    <cellStyle name="Currency 2 2 3 2 5 3 3 2" xfId="5168"/>
    <cellStyle name="Currency 2 2 3 2 5 3 3 2 2" xfId="24183"/>
    <cellStyle name="Currency 2 2 3 2 5 3 3 3" xfId="24184"/>
    <cellStyle name="Currency 2 2 3 2 5 3 4" xfId="5169"/>
    <cellStyle name="Currency 2 2 3 2 5 3 4 2" xfId="5170"/>
    <cellStyle name="Currency 2 2 3 2 5 3 4 2 2" xfId="24185"/>
    <cellStyle name="Currency 2 2 3 2 5 3 4 3" xfId="24186"/>
    <cellStyle name="Currency 2 2 3 2 5 3 5" xfId="5171"/>
    <cellStyle name="Currency 2 2 3 2 5 3 5 2" xfId="5172"/>
    <cellStyle name="Currency 2 2 3 2 5 3 5 2 2" xfId="24187"/>
    <cellStyle name="Currency 2 2 3 2 5 3 5 3" xfId="24188"/>
    <cellStyle name="Currency 2 2 3 2 5 3 6" xfId="5173"/>
    <cellStyle name="Currency 2 2 3 2 5 3 6 2" xfId="24189"/>
    <cellStyle name="Currency 2 2 3 2 5 3 7" xfId="5174"/>
    <cellStyle name="Currency 2 2 3 2 5 4" xfId="1409"/>
    <cellStyle name="Currency 2 2 3 2 5 4 2" xfId="5175"/>
    <cellStyle name="Currency 2 2 3 2 5 4 2 2" xfId="5176"/>
    <cellStyle name="Currency 2 2 3 2 5 4 2 2 2" xfId="24190"/>
    <cellStyle name="Currency 2 2 3 2 5 4 2 3" xfId="24191"/>
    <cellStyle name="Currency 2 2 3 2 5 4 3" xfId="5177"/>
    <cellStyle name="Currency 2 2 3 2 5 4 3 2" xfId="5178"/>
    <cellStyle name="Currency 2 2 3 2 5 4 3 2 2" xfId="24192"/>
    <cellStyle name="Currency 2 2 3 2 5 4 3 3" xfId="24193"/>
    <cellStyle name="Currency 2 2 3 2 5 4 4" xfId="5179"/>
    <cellStyle name="Currency 2 2 3 2 5 4 4 2" xfId="5180"/>
    <cellStyle name="Currency 2 2 3 2 5 4 4 2 2" xfId="24194"/>
    <cellStyle name="Currency 2 2 3 2 5 4 4 3" xfId="24195"/>
    <cellStyle name="Currency 2 2 3 2 5 4 5" xfId="5181"/>
    <cellStyle name="Currency 2 2 3 2 5 4 5 2" xfId="24196"/>
    <cellStyle name="Currency 2 2 3 2 5 4 6" xfId="5182"/>
    <cellStyle name="Currency 2 2 3 2 5 5" xfId="5183"/>
    <cellStyle name="Currency 2 2 3 2 5 5 2" xfId="5184"/>
    <cellStyle name="Currency 2 2 3 2 5 5 2 2" xfId="24197"/>
    <cellStyle name="Currency 2 2 3 2 5 5 3" xfId="24198"/>
    <cellStyle name="Currency 2 2 3 2 5 6" xfId="5185"/>
    <cellStyle name="Currency 2 2 3 2 5 6 2" xfId="5186"/>
    <cellStyle name="Currency 2 2 3 2 5 6 2 2" xfId="24199"/>
    <cellStyle name="Currency 2 2 3 2 5 6 3" xfId="24200"/>
    <cellStyle name="Currency 2 2 3 2 5 7" xfId="5187"/>
    <cellStyle name="Currency 2 2 3 2 5 7 2" xfId="5188"/>
    <cellStyle name="Currency 2 2 3 2 5 7 2 2" xfId="24201"/>
    <cellStyle name="Currency 2 2 3 2 5 7 3" xfId="24202"/>
    <cellStyle name="Currency 2 2 3 2 5 8" xfId="5189"/>
    <cellStyle name="Currency 2 2 3 2 5 8 2" xfId="24203"/>
    <cellStyle name="Currency 2 2 3 2 5 9" xfId="5190"/>
    <cellStyle name="Currency 2 2 3 2 6" xfId="126"/>
    <cellStyle name="Currency 2 2 3 2 6 2" xfId="547"/>
    <cellStyle name="Currency 2 2 3 2 6 2 2" xfId="1410"/>
    <cellStyle name="Currency 2 2 3 2 6 2 2 2" xfId="5191"/>
    <cellStyle name="Currency 2 2 3 2 6 2 2 2 2" xfId="5192"/>
    <cellStyle name="Currency 2 2 3 2 6 2 2 2 2 2" xfId="24204"/>
    <cellStyle name="Currency 2 2 3 2 6 2 2 2 3" xfId="24205"/>
    <cellStyle name="Currency 2 2 3 2 6 2 2 3" xfId="5193"/>
    <cellStyle name="Currency 2 2 3 2 6 2 2 3 2" xfId="5194"/>
    <cellStyle name="Currency 2 2 3 2 6 2 2 3 2 2" xfId="24206"/>
    <cellStyle name="Currency 2 2 3 2 6 2 2 3 3" xfId="24207"/>
    <cellStyle name="Currency 2 2 3 2 6 2 2 4" xfId="5195"/>
    <cellStyle name="Currency 2 2 3 2 6 2 2 4 2" xfId="5196"/>
    <cellStyle name="Currency 2 2 3 2 6 2 2 4 2 2" xfId="24208"/>
    <cellStyle name="Currency 2 2 3 2 6 2 2 4 3" xfId="24209"/>
    <cellStyle name="Currency 2 2 3 2 6 2 2 5" xfId="5197"/>
    <cellStyle name="Currency 2 2 3 2 6 2 2 5 2" xfId="24210"/>
    <cellStyle name="Currency 2 2 3 2 6 2 2 6" xfId="5198"/>
    <cellStyle name="Currency 2 2 3 2 6 2 3" xfId="5199"/>
    <cellStyle name="Currency 2 2 3 2 6 2 3 2" xfId="5200"/>
    <cellStyle name="Currency 2 2 3 2 6 2 3 2 2" xfId="24211"/>
    <cellStyle name="Currency 2 2 3 2 6 2 3 3" xfId="24212"/>
    <cellStyle name="Currency 2 2 3 2 6 2 4" xfId="5201"/>
    <cellStyle name="Currency 2 2 3 2 6 2 4 2" xfId="5202"/>
    <cellStyle name="Currency 2 2 3 2 6 2 4 2 2" xfId="24213"/>
    <cellStyle name="Currency 2 2 3 2 6 2 4 3" xfId="24214"/>
    <cellStyle name="Currency 2 2 3 2 6 2 5" xfId="5203"/>
    <cellStyle name="Currency 2 2 3 2 6 2 5 2" xfId="5204"/>
    <cellStyle name="Currency 2 2 3 2 6 2 5 2 2" xfId="24215"/>
    <cellStyle name="Currency 2 2 3 2 6 2 5 3" xfId="24216"/>
    <cellStyle name="Currency 2 2 3 2 6 2 6" xfId="5205"/>
    <cellStyle name="Currency 2 2 3 2 6 2 6 2" xfId="24217"/>
    <cellStyle name="Currency 2 2 3 2 6 2 7" xfId="5206"/>
    <cellStyle name="Currency 2 2 3 2 6 3" xfId="1411"/>
    <cellStyle name="Currency 2 2 3 2 6 3 2" xfId="5207"/>
    <cellStyle name="Currency 2 2 3 2 6 3 2 2" xfId="5208"/>
    <cellStyle name="Currency 2 2 3 2 6 3 2 2 2" xfId="24218"/>
    <cellStyle name="Currency 2 2 3 2 6 3 2 3" xfId="24219"/>
    <cellStyle name="Currency 2 2 3 2 6 3 3" xfId="5209"/>
    <cellStyle name="Currency 2 2 3 2 6 3 3 2" xfId="5210"/>
    <cellStyle name="Currency 2 2 3 2 6 3 3 2 2" xfId="24220"/>
    <cellStyle name="Currency 2 2 3 2 6 3 3 3" xfId="24221"/>
    <cellStyle name="Currency 2 2 3 2 6 3 4" xfId="5211"/>
    <cellStyle name="Currency 2 2 3 2 6 3 4 2" xfId="5212"/>
    <cellStyle name="Currency 2 2 3 2 6 3 4 2 2" xfId="24222"/>
    <cellStyle name="Currency 2 2 3 2 6 3 4 3" xfId="24223"/>
    <cellStyle name="Currency 2 2 3 2 6 3 5" xfId="5213"/>
    <cellStyle name="Currency 2 2 3 2 6 3 5 2" xfId="24224"/>
    <cellStyle name="Currency 2 2 3 2 6 3 6" xfId="5214"/>
    <cellStyle name="Currency 2 2 3 2 6 4" xfId="5215"/>
    <cellStyle name="Currency 2 2 3 2 6 4 2" xfId="5216"/>
    <cellStyle name="Currency 2 2 3 2 6 4 2 2" xfId="24225"/>
    <cellStyle name="Currency 2 2 3 2 6 4 3" xfId="24226"/>
    <cellStyle name="Currency 2 2 3 2 6 5" xfId="5217"/>
    <cellStyle name="Currency 2 2 3 2 6 5 2" xfId="5218"/>
    <cellStyle name="Currency 2 2 3 2 6 5 2 2" xfId="24227"/>
    <cellStyle name="Currency 2 2 3 2 6 5 3" xfId="24228"/>
    <cellStyle name="Currency 2 2 3 2 6 6" xfId="5219"/>
    <cellStyle name="Currency 2 2 3 2 6 6 2" xfId="5220"/>
    <cellStyle name="Currency 2 2 3 2 6 6 2 2" xfId="24229"/>
    <cellStyle name="Currency 2 2 3 2 6 6 3" xfId="24230"/>
    <cellStyle name="Currency 2 2 3 2 6 7" xfId="5221"/>
    <cellStyle name="Currency 2 2 3 2 6 7 2" xfId="24231"/>
    <cellStyle name="Currency 2 2 3 2 6 8" xfId="5222"/>
    <cellStyle name="Currency 2 2 3 2 7" xfId="915"/>
    <cellStyle name="Currency 2 2 3 2 7 2" xfId="1412"/>
    <cellStyle name="Currency 2 2 3 2 7 2 2" xfId="5223"/>
    <cellStyle name="Currency 2 2 3 2 7 2 2 2" xfId="5224"/>
    <cellStyle name="Currency 2 2 3 2 7 2 2 2 2" xfId="24232"/>
    <cellStyle name="Currency 2 2 3 2 7 2 2 3" xfId="24233"/>
    <cellStyle name="Currency 2 2 3 2 7 2 3" xfId="5225"/>
    <cellStyle name="Currency 2 2 3 2 7 2 3 2" xfId="5226"/>
    <cellStyle name="Currency 2 2 3 2 7 2 3 2 2" xfId="24234"/>
    <cellStyle name="Currency 2 2 3 2 7 2 3 3" xfId="24235"/>
    <cellStyle name="Currency 2 2 3 2 7 2 4" xfId="5227"/>
    <cellStyle name="Currency 2 2 3 2 7 2 4 2" xfId="5228"/>
    <cellStyle name="Currency 2 2 3 2 7 2 4 2 2" xfId="24236"/>
    <cellStyle name="Currency 2 2 3 2 7 2 4 3" xfId="24237"/>
    <cellStyle name="Currency 2 2 3 2 7 2 5" xfId="5229"/>
    <cellStyle name="Currency 2 2 3 2 7 2 5 2" xfId="24238"/>
    <cellStyle name="Currency 2 2 3 2 7 2 6" xfId="5230"/>
    <cellStyle name="Currency 2 2 3 2 7 3" xfId="5231"/>
    <cellStyle name="Currency 2 2 3 2 7 3 2" xfId="5232"/>
    <cellStyle name="Currency 2 2 3 2 7 3 2 2" xfId="24239"/>
    <cellStyle name="Currency 2 2 3 2 7 3 3" xfId="24240"/>
    <cellStyle name="Currency 2 2 3 2 7 4" xfId="5233"/>
    <cellStyle name="Currency 2 2 3 2 7 4 2" xfId="5234"/>
    <cellStyle name="Currency 2 2 3 2 7 4 2 2" xfId="24241"/>
    <cellStyle name="Currency 2 2 3 2 7 4 3" xfId="24242"/>
    <cellStyle name="Currency 2 2 3 2 7 5" xfId="5235"/>
    <cellStyle name="Currency 2 2 3 2 7 5 2" xfId="5236"/>
    <cellStyle name="Currency 2 2 3 2 7 5 2 2" xfId="24243"/>
    <cellStyle name="Currency 2 2 3 2 7 5 3" xfId="24244"/>
    <cellStyle name="Currency 2 2 3 2 7 6" xfId="5237"/>
    <cellStyle name="Currency 2 2 3 2 7 6 2" xfId="24245"/>
    <cellStyle name="Currency 2 2 3 2 7 7" xfId="5238"/>
    <cellStyle name="Currency 2 2 3 2 8" xfId="467"/>
    <cellStyle name="Currency 2 2 3 2 8 2" xfId="1413"/>
    <cellStyle name="Currency 2 2 3 2 8 2 2" xfId="5239"/>
    <cellStyle name="Currency 2 2 3 2 8 2 2 2" xfId="5240"/>
    <cellStyle name="Currency 2 2 3 2 8 2 2 2 2" xfId="24246"/>
    <cellStyle name="Currency 2 2 3 2 8 2 2 3" xfId="24247"/>
    <cellStyle name="Currency 2 2 3 2 8 2 3" xfId="5241"/>
    <cellStyle name="Currency 2 2 3 2 8 2 3 2" xfId="5242"/>
    <cellStyle name="Currency 2 2 3 2 8 2 3 2 2" xfId="24248"/>
    <cellStyle name="Currency 2 2 3 2 8 2 3 3" xfId="24249"/>
    <cellStyle name="Currency 2 2 3 2 8 2 4" xfId="5243"/>
    <cellStyle name="Currency 2 2 3 2 8 2 4 2" xfId="5244"/>
    <cellStyle name="Currency 2 2 3 2 8 2 4 2 2" xfId="24250"/>
    <cellStyle name="Currency 2 2 3 2 8 2 4 3" xfId="24251"/>
    <cellStyle name="Currency 2 2 3 2 8 2 5" xfId="5245"/>
    <cellStyle name="Currency 2 2 3 2 8 2 5 2" xfId="24252"/>
    <cellStyle name="Currency 2 2 3 2 8 2 6" xfId="5246"/>
    <cellStyle name="Currency 2 2 3 2 8 3" xfId="5247"/>
    <cellStyle name="Currency 2 2 3 2 8 3 2" xfId="5248"/>
    <cellStyle name="Currency 2 2 3 2 8 3 2 2" xfId="24253"/>
    <cellStyle name="Currency 2 2 3 2 8 3 3" xfId="24254"/>
    <cellStyle name="Currency 2 2 3 2 8 4" xfId="5249"/>
    <cellStyle name="Currency 2 2 3 2 8 4 2" xfId="5250"/>
    <cellStyle name="Currency 2 2 3 2 8 4 2 2" xfId="24255"/>
    <cellStyle name="Currency 2 2 3 2 8 4 3" xfId="24256"/>
    <cellStyle name="Currency 2 2 3 2 8 5" xfId="5251"/>
    <cellStyle name="Currency 2 2 3 2 8 5 2" xfId="5252"/>
    <cellStyle name="Currency 2 2 3 2 8 5 2 2" xfId="24257"/>
    <cellStyle name="Currency 2 2 3 2 8 5 3" xfId="24258"/>
    <cellStyle name="Currency 2 2 3 2 8 6" xfId="5253"/>
    <cellStyle name="Currency 2 2 3 2 8 6 2" xfId="24259"/>
    <cellStyle name="Currency 2 2 3 2 8 7" xfId="5254"/>
    <cellStyle name="Currency 2 2 3 2 9" xfId="1414"/>
    <cellStyle name="Currency 2 2 3 2 9 2" xfId="5255"/>
    <cellStyle name="Currency 2 2 3 2 9 2 2" xfId="5256"/>
    <cellStyle name="Currency 2 2 3 2 9 2 2 2" xfId="24260"/>
    <cellStyle name="Currency 2 2 3 2 9 2 3" xfId="24261"/>
    <cellStyle name="Currency 2 2 3 2 9 3" xfId="5257"/>
    <cellStyle name="Currency 2 2 3 2 9 3 2" xfId="5258"/>
    <cellStyle name="Currency 2 2 3 2 9 3 2 2" xfId="24262"/>
    <cellStyle name="Currency 2 2 3 2 9 3 3" xfId="24263"/>
    <cellStyle name="Currency 2 2 3 2 9 4" xfId="5259"/>
    <cellStyle name="Currency 2 2 3 2 9 4 2" xfId="5260"/>
    <cellStyle name="Currency 2 2 3 2 9 4 2 2" xfId="24264"/>
    <cellStyle name="Currency 2 2 3 2 9 4 3" xfId="24265"/>
    <cellStyle name="Currency 2 2 3 2 9 5" xfId="5261"/>
    <cellStyle name="Currency 2 2 3 2 9 5 2" xfId="24266"/>
    <cellStyle name="Currency 2 2 3 2 9 6" xfId="5262"/>
    <cellStyle name="Currency 2 2 3 3" xfId="34"/>
    <cellStyle name="Currency 2 2 3 3 10" xfId="5263"/>
    <cellStyle name="Currency 2 2 3 3 10 2" xfId="5264"/>
    <cellStyle name="Currency 2 2 3 3 10 2 2" xfId="24267"/>
    <cellStyle name="Currency 2 2 3 3 10 3" xfId="24268"/>
    <cellStyle name="Currency 2 2 3 3 11" xfId="5265"/>
    <cellStyle name="Currency 2 2 3 3 11 2" xfId="5266"/>
    <cellStyle name="Currency 2 2 3 3 11 2 2" xfId="24269"/>
    <cellStyle name="Currency 2 2 3 3 11 3" xfId="24270"/>
    <cellStyle name="Currency 2 2 3 3 12" xfId="5267"/>
    <cellStyle name="Currency 2 2 3 3 12 2" xfId="5268"/>
    <cellStyle name="Currency 2 2 3 3 12 2 2" xfId="24271"/>
    <cellStyle name="Currency 2 2 3 3 12 3" xfId="24272"/>
    <cellStyle name="Currency 2 2 3 3 13" xfId="5269"/>
    <cellStyle name="Currency 2 2 3 3 13 2" xfId="24273"/>
    <cellStyle name="Currency 2 2 3 3 14" xfId="5270"/>
    <cellStyle name="Currency 2 2 3 3 2" xfId="200"/>
    <cellStyle name="Currency 2 2 3 3 2 10" xfId="5271"/>
    <cellStyle name="Currency 2 2 3 3 2 2" xfId="358"/>
    <cellStyle name="Currency 2 2 3 3 2 2 2" xfId="1146"/>
    <cellStyle name="Currency 2 2 3 3 2 2 2 2" xfId="1415"/>
    <cellStyle name="Currency 2 2 3 3 2 2 2 2 2" xfId="5272"/>
    <cellStyle name="Currency 2 2 3 3 2 2 2 2 2 2" xfId="5273"/>
    <cellStyle name="Currency 2 2 3 3 2 2 2 2 2 2 2" xfId="24274"/>
    <cellStyle name="Currency 2 2 3 3 2 2 2 2 2 3" xfId="24275"/>
    <cellStyle name="Currency 2 2 3 3 2 2 2 2 3" xfId="5274"/>
    <cellStyle name="Currency 2 2 3 3 2 2 2 2 3 2" xfId="5275"/>
    <cellStyle name="Currency 2 2 3 3 2 2 2 2 3 2 2" xfId="24276"/>
    <cellStyle name="Currency 2 2 3 3 2 2 2 2 3 3" xfId="24277"/>
    <cellStyle name="Currency 2 2 3 3 2 2 2 2 4" xfId="5276"/>
    <cellStyle name="Currency 2 2 3 3 2 2 2 2 4 2" xfId="5277"/>
    <cellStyle name="Currency 2 2 3 3 2 2 2 2 4 2 2" xfId="24278"/>
    <cellStyle name="Currency 2 2 3 3 2 2 2 2 4 3" xfId="24279"/>
    <cellStyle name="Currency 2 2 3 3 2 2 2 2 5" xfId="5278"/>
    <cellStyle name="Currency 2 2 3 3 2 2 2 2 5 2" xfId="24280"/>
    <cellStyle name="Currency 2 2 3 3 2 2 2 2 6" xfId="5279"/>
    <cellStyle name="Currency 2 2 3 3 2 2 2 3" xfId="5280"/>
    <cellStyle name="Currency 2 2 3 3 2 2 2 3 2" xfId="5281"/>
    <cellStyle name="Currency 2 2 3 3 2 2 2 3 2 2" xfId="24281"/>
    <cellStyle name="Currency 2 2 3 3 2 2 2 3 3" xfId="24282"/>
    <cellStyle name="Currency 2 2 3 3 2 2 2 4" xfId="5282"/>
    <cellStyle name="Currency 2 2 3 3 2 2 2 4 2" xfId="5283"/>
    <cellStyle name="Currency 2 2 3 3 2 2 2 4 2 2" xfId="24283"/>
    <cellStyle name="Currency 2 2 3 3 2 2 2 4 3" xfId="24284"/>
    <cellStyle name="Currency 2 2 3 3 2 2 2 5" xfId="5284"/>
    <cellStyle name="Currency 2 2 3 3 2 2 2 5 2" xfId="5285"/>
    <cellStyle name="Currency 2 2 3 3 2 2 2 5 2 2" xfId="24285"/>
    <cellStyle name="Currency 2 2 3 3 2 2 2 5 3" xfId="24286"/>
    <cellStyle name="Currency 2 2 3 3 2 2 2 6" xfId="5286"/>
    <cellStyle name="Currency 2 2 3 3 2 2 2 6 2" xfId="24287"/>
    <cellStyle name="Currency 2 2 3 3 2 2 2 7" xfId="5287"/>
    <cellStyle name="Currency 2 2 3 3 2 2 3" xfId="778"/>
    <cellStyle name="Currency 2 2 3 3 2 2 3 2" xfId="1416"/>
    <cellStyle name="Currency 2 2 3 3 2 2 3 2 2" xfId="5288"/>
    <cellStyle name="Currency 2 2 3 3 2 2 3 2 2 2" xfId="5289"/>
    <cellStyle name="Currency 2 2 3 3 2 2 3 2 2 2 2" xfId="24288"/>
    <cellStyle name="Currency 2 2 3 3 2 2 3 2 2 3" xfId="24289"/>
    <cellStyle name="Currency 2 2 3 3 2 2 3 2 3" xfId="5290"/>
    <cellStyle name="Currency 2 2 3 3 2 2 3 2 3 2" xfId="5291"/>
    <cellStyle name="Currency 2 2 3 3 2 2 3 2 3 2 2" xfId="24290"/>
    <cellStyle name="Currency 2 2 3 3 2 2 3 2 3 3" xfId="24291"/>
    <cellStyle name="Currency 2 2 3 3 2 2 3 2 4" xfId="5292"/>
    <cellStyle name="Currency 2 2 3 3 2 2 3 2 4 2" xfId="5293"/>
    <cellStyle name="Currency 2 2 3 3 2 2 3 2 4 2 2" xfId="24292"/>
    <cellStyle name="Currency 2 2 3 3 2 2 3 2 4 3" xfId="24293"/>
    <cellStyle name="Currency 2 2 3 3 2 2 3 2 5" xfId="5294"/>
    <cellStyle name="Currency 2 2 3 3 2 2 3 2 5 2" xfId="24294"/>
    <cellStyle name="Currency 2 2 3 3 2 2 3 2 6" xfId="5295"/>
    <cellStyle name="Currency 2 2 3 3 2 2 3 3" xfId="5296"/>
    <cellStyle name="Currency 2 2 3 3 2 2 3 3 2" xfId="5297"/>
    <cellStyle name="Currency 2 2 3 3 2 2 3 3 2 2" xfId="24295"/>
    <cellStyle name="Currency 2 2 3 3 2 2 3 3 3" xfId="24296"/>
    <cellStyle name="Currency 2 2 3 3 2 2 3 4" xfId="5298"/>
    <cellStyle name="Currency 2 2 3 3 2 2 3 4 2" xfId="5299"/>
    <cellStyle name="Currency 2 2 3 3 2 2 3 4 2 2" xfId="24297"/>
    <cellStyle name="Currency 2 2 3 3 2 2 3 4 3" xfId="24298"/>
    <cellStyle name="Currency 2 2 3 3 2 2 3 5" xfId="5300"/>
    <cellStyle name="Currency 2 2 3 3 2 2 3 5 2" xfId="5301"/>
    <cellStyle name="Currency 2 2 3 3 2 2 3 5 2 2" xfId="24299"/>
    <cellStyle name="Currency 2 2 3 3 2 2 3 5 3" xfId="24300"/>
    <cellStyle name="Currency 2 2 3 3 2 2 3 6" xfId="5302"/>
    <cellStyle name="Currency 2 2 3 3 2 2 3 6 2" xfId="24301"/>
    <cellStyle name="Currency 2 2 3 3 2 2 3 7" xfId="5303"/>
    <cellStyle name="Currency 2 2 3 3 2 2 4" xfId="1417"/>
    <cellStyle name="Currency 2 2 3 3 2 2 4 2" xfId="5304"/>
    <cellStyle name="Currency 2 2 3 3 2 2 4 2 2" xfId="5305"/>
    <cellStyle name="Currency 2 2 3 3 2 2 4 2 2 2" xfId="24302"/>
    <cellStyle name="Currency 2 2 3 3 2 2 4 2 3" xfId="24303"/>
    <cellStyle name="Currency 2 2 3 3 2 2 4 3" xfId="5306"/>
    <cellStyle name="Currency 2 2 3 3 2 2 4 3 2" xfId="5307"/>
    <cellStyle name="Currency 2 2 3 3 2 2 4 3 2 2" xfId="24304"/>
    <cellStyle name="Currency 2 2 3 3 2 2 4 3 3" xfId="24305"/>
    <cellStyle name="Currency 2 2 3 3 2 2 4 4" xfId="5308"/>
    <cellStyle name="Currency 2 2 3 3 2 2 4 4 2" xfId="5309"/>
    <cellStyle name="Currency 2 2 3 3 2 2 4 4 2 2" xfId="24306"/>
    <cellStyle name="Currency 2 2 3 3 2 2 4 4 3" xfId="24307"/>
    <cellStyle name="Currency 2 2 3 3 2 2 4 5" xfId="5310"/>
    <cellStyle name="Currency 2 2 3 3 2 2 4 5 2" xfId="24308"/>
    <cellStyle name="Currency 2 2 3 3 2 2 4 6" xfId="5311"/>
    <cellStyle name="Currency 2 2 3 3 2 2 5" xfId="5312"/>
    <cellStyle name="Currency 2 2 3 3 2 2 5 2" xfId="5313"/>
    <cellStyle name="Currency 2 2 3 3 2 2 5 2 2" xfId="24309"/>
    <cellStyle name="Currency 2 2 3 3 2 2 5 3" xfId="24310"/>
    <cellStyle name="Currency 2 2 3 3 2 2 6" xfId="5314"/>
    <cellStyle name="Currency 2 2 3 3 2 2 6 2" xfId="5315"/>
    <cellStyle name="Currency 2 2 3 3 2 2 6 2 2" xfId="24311"/>
    <cellStyle name="Currency 2 2 3 3 2 2 6 3" xfId="24312"/>
    <cellStyle name="Currency 2 2 3 3 2 2 7" xfId="5316"/>
    <cellStyle name="Currency 2 2 3 3 2 2 7 2" xfId="5317"/>
    <cellStyle name="Currency 2 2 3 3 2 2 7 2 2" xfId="24313"/>
    <cellStyle name="Currency 2 2 3 3 2 2 7 3" xfId="24314"/>
    <cellStyle name="Currency 2 2 3 3 2 2 8" xfId="5318"/>
    <cellStyle name="Currency 2 2 3 3 2 2 8 2" xfId="24315"/>
    <cellStyle name="Currency 2 2 3 3 2 2 9" xfId="5319"/>
    <cellStyle name="Currency 2 2 3 3 2 3" xfId="988"/>
    <cellStyle name="Currency 2 2 3 3 2 3 2" xfId="1418"/>
    <cellStyle name="Currency 2 2 3 3 2 3 2 2" xfId="5320"/>
    <cellStyle name="Currency 2 2 3 3 2 3 2 2 2" xfId="5321"/>
    <cellStyle name="Currency 2 2 3 3 2 3 2 2 2 2" xfId="24316"/>
    <cellStyle name="Currency 2 2 3 3 2 3 2 2 3" xfId="24317"/>
    <cellStyle name="Currency 2 2 3 3 2 3 2 3" xfId="5322"/>
    <cellStyle name="Currency 2 2 3 3 2 3 2 3 2" xfId="5323"/>
    <cellStyle name="Currency 2 2 3 3 2 3 2 3 2 2" xfId="24318"/>
    <cellStyle name="Currency 2 2 3 3 2 3 2 3 3" xfId="24319"/>
    <cellStyle name="Currency 2 2 3 3 2 3 2 4" xfId="5324"/>
    <cellStyle name="Currency 2 2 3 3 2 3 2 4 2" xfId="5325"/>
    <cellStyle name="Currency 2 2 3 3 2 3 2 4 2 2" xfId="24320"/>
    <cellStyle name="Currency 2 2 3 3 2 3 2 4 3" xfId="24321"/>
    <cellStyle name="Currency 2 2 3 3 2 3 2 5" xfId="5326"/>
    <cellStyle name="Currency 2 2 3 3 2 3 2 5 2" xfId="24322"/>
    <cellStyle name="Currency 2 2 3 3 2 3 2 6" xfId="5327"/>
    <cellStyle name="Currency 2 2 3 3 2 3 3" xfId="5328"/>
    <cellStyle name="Currency 2 2 3 3 2 3 3 2" xfId="5329"/>
    <cellStyle name="Currency 2 2 3 3 2 3 3 2 2" xfId="24323"/>
    <cellStyle name="Currency 2 2 3 3 2 3 3 3" xfId="24324"/>
    <cellStyle name="Currency 2 2 3 3 2 3 4" xfId="5330"/>
    <cellStyle name="Currency 2 2 3 3 2 3 4 2" xfId="5331"/>
    <cellStyle name="Currency 2 2 3 3 2 3 4 2 2" xfId="24325"/>
    <cellStyle name="Currency 2 2 3 3 2 3 4 3" xfId="24326"/>
    <cellStyle name="Currency 2 2 3 3 2 3 5" xfId="5332"/>
    <cellStyle name="Currency 2 2 3 3 2 3 5 2" xfId="5333"/>
    <cellStyle name="Currency 2 2 3 3 2 3 5 2 2" xfId="24327"/>
    <cellStyle name="Currency 2 2 3 3 2 3 5 3" xfId="24328"/>
    <cellStyle name="Currency 2 2 3 3 2 3 6" xfId="5334"/>
    <cellStyle name="Currency 2 2 3 3 2 3 6 2" xfId="24329"/>
    <cellStyle name="Currency 2 2 3 3 2 3 7" xfId="5335"/>
    <cellStyle name="Currency 2 2 3 3 2 4" xfId="620"/>
    <cellStyle name="Currency 2 2 3 3 2 4 2" xfId="1419"/>
    <cellStyle name="Currency 2 2 3 3 2 4 2 2" xfId="5336"/>
    <cellStyle name="Currency 2 2 3 3 2 4 2 2 2" xfId="5337"/>
    <cellStyle name="Currency 2 2 3 3 2 4 2 2 2 2" xfId="24330"/>
    <cellStyle name="Currency 2 2 3 3 2 4 2 2 3" xfId="24331"/>
    <cellStyle name="Currency 2 2 3 3 2 4 2 3" xfId="5338"/>
    <cellStyle name="Currency 2 2 3 3 2 4 2 3 2" xfId="5339"/>
    <cellStyle name="Currency 2 2 3 3 2 4 2 3 2 2" xfId="24332"/>
    <cellStyle name="Currency 2 2 3 3 2 4 2 3 3" xfId="24333"/>
    <cellStyle name="Currency 2 2 3 3 2 4 2 4" xfId="5340"/>
    <cellStyle name="Currency 2 2 3 3 2 4 2 4 2" xfId="5341"/>
    <cellStyle name="Currency 2 2 3 3 2 4 2 4 2 2" xfId="24334"/>
    <cellStyle name="Currency 2 2 3 3 2 4 2 4 3" xfId="24335"/>
    <cellStyle name="Currency 2 2 3 3 2 4 2 5" xfId="5342"/>
    <cellStyle name="Currency 2 2 3 3 2 4 2 5 2" xfId="24336"/>
    <cellStyle name="Currency 2 2 3 3 2 4 2 6" xfId="5343"/>
    <cellStyle name="Currency 2 2 3 3 2 4 3" xfId="5344"/>
    <cellStyle name="Currency 2 2 3 3 2 4 3 2" xfId="5345"/>
    <cellStyle name="Currency 2 2 3 3 2 4 3 2 2" xfId="24337"/>
    <cellStyle name="Currency 2 2 3 3 2 4 3 3" xfId="24338"/>
    <cellStyle name="Currency 2 2 3 3 2 4 4" xfId="5346"/>
    <cellStyle name="Currency 2 2 3 3 2 4 4 2" xfId="5347"/>
    <cellStyle name="Currency 2 2 3 3 2 4 4 2 2" xfId="24339"/>
    <cellStyle name="Currency 2 2 3 3 2 4 4 3" xfId="24340"/>
    <cellStyle name="Currency 2 2 3 3 2 4 5" xfId="5348"/>
    <cellStyle name="Currency 2 2 3 3 2 4 5 2" xfId="5349"/>
    <cellStyle name="Currency 2 2 3 3 2 4 5 2 2" xfId="24341"/>
    <cellStyle name="Currency 2 2 3 3 2 4 5 3" xfId="24342"/>
    <cellStyle name="Currency 2 2 3 3 2 4 6" xfId="5350"/>
    <cellStyle name="Currency 2 2 3 3 2 4 6 2" xfId="24343"/>
    <cellStyle name="Currency 2 2 3 3 2 4 7" xfId="5351"/>
    <cellStyle name="Currency 2 2 3 3 2 5" xfId="1420"/>
    <cellStyle name="Currency 2 2 3 3 2 5 2" xfId="5352"/>
    <cellStyle name="Currency 2 2 3 3 2 5 2 2" xfId="5353"/>
    <cellStyle name="Currency 2 2 3 3 2 5 2 2 2" xfId="24344"/>
    <cellStyle name="Currency 2 2 3 3 2 5 2 3" xfId="24345"/>
    <cellStyle name="Currency 2 2 3 3 2 5 3" xfId="5354"/>
    <cellStyle name="Currency 2 2 3 3 2 5 3 2" xfId="5355"/>
    <cellStyle name="Currency 2 2 3 3 2 5 3 2 2" xfId="24346"/>
    <cellStyle name="Currency 2 2 3 3 2 5 3 3" xfId="24347"/>
    <cellStyle name="Currency 2 2 3 3 2 5 4" xfId="5356"/>
    <cellStyle name="Currency 2 2 3 3 2 5 4 2" xfId="5357"/>
    <cellStyle name="Currency 2 2 3 3 2 5 4 2 2" xfId="24348"/>
    <cellStyle name="Currency 2 2 3 3 2 5 4 3" xfId="24349"/>
    <cellStyle name="Currency 2 2 3 3 2 5 5" xfId="5358"/>
    <cellStyle name="Currency 2 2 3 3 2 5 5 2" xfId="24350"/>
    <cellStyle name="Currency 2 2 3 3 2 5 6" xfId="5359"/>
    <cellStyle name="Currency 2 2 3 3 2 6" xfId="5360"/>
    <cellStyle name="Currency 2 2 3 3 2 6 2" xfId="5361"/>
    <cellStyle name="Currency 2 2 3 3 2 6 2 2" xfId="24351"/>
    <cellStyle name="Currency 2 2 3 3 2 6 3" xfId="24352"/>
    <cellStyle name="Currency 2 2 3 3 2 7" xfId="5362"/>
    <cellStyle name="Currency 2 2 3 3 2 7 2" xfId="5363"/>
    <cellStyle name="Currency 2 2 3 3 2 7 2 2" xfId="24353"/>
    <cellStyle name="Currency 2 2 3 3 2 7 3" xfId="24354"/>
    <cellStyle name="Currency 2 2 3 3 2 8" xfId="5364"/>
    <cellStyle name="Currency 2 2 3 3 2 8 2" xfId="5365"/>
    <cellStyle name="Currency 2 2 3 3 2 8 2 2" xfId="24355"/>
    <cellStyle name="Currency 2 2 3 3 2 8 3" xfId="24356"/>
    <cellStyle name="Currency 2 2 3 3 2 9" xfId="5366"/>
    <cellStyle name="Currency 2 2 3 3 2 9 2" xfId="24357"/>
    <cellStyle name="Currency 2 2 3 3 3" xfId="251"/>
    <cellStyle name="Currency 2 2 3 3 3 10" xfId="5367"/>
    <cellStyle name="Currency 2 2 3 3 3 2" xfId="409"/>
    <cellStyle name="Currency 2 2 3 3 3 2 2" xfId="1197"/>
    <cellStyle name="Currency 2 2 3 3 3 2 2 2" xfId="1421"/>
    <cellStyle name="Currency 2 2 3 3 3 2 2 2 2" xfId="5368"/>
    <cellStyle name="Currency 2 2 3 3 3 2 2 2 2 2" xfId="5369"/>
    <cellStyle name="Currency 2 2 3 3 3 2 2 2 2 2 2" xfId="24358"/>
    <cellStyle name="Currency 2 2 3 3 3 2 2 2 2 3" xfId="24359"/>
    <cellStyle name="Currency 2 2 3 3 3 2 2 2 3" xfId="5370"/>
    <cellStyle name="Currency 2 2 3 3 3 2 2 2 3 2" xfId="5371"/>
    <cellStyle name="Currency 2 2 3 3 3 2 2 2 3 2 2" xfId="24360"/>
    <cellStyle name="Currency 2 2 3 3 3 2 2 2 3 3" xfId="24361"/>
    <cellStyle name="Currency 2 2 3 3 3 2 2 2 4" xfId="5372"/>
    <cellStyle name="Currency 2 2 3 3 3 2 2 2 4 2" xfId="5373"/>
    <cellStyle name="Currency 2 2 3 3 3 2 2 2 4 2 2" xfId="24362"/>
    <cellStyle name="Currency 2 2 3 3 3 2 2 2 4 3" xfId="24363"/>
    <cellStyle name="Currency 2 2 3 3 3 2 2 2 5" xfId="5374"/>
    <cellStyle name="Currency 2 2 3 3 3 2 2 2 5 2" xfId="24364"/>
    <cellStyle name="Currency 2 2 3 3 3 2 2 2 6" xfId="5375"/>
    <cellStyle name="Currency 2 2 3 3 3 2 2 3" xfId="5376"/>
    <cellStyle name="Currency 2 2 3 3 3 2 2 3 2" xfId="5377"/>
    <cellStyle name="Currency 2 2 3 3 3 2 2 3 2 2" xfId="24365"/>
    <cellStyle name="Currency 2 2 3 3 3 2 2 3 3" xfId="24366"/>
    <cellStyle name="Currency 2 2 3 3 3 2 2 4" xfId="5378"/>
    <cellStyle name="Currency 2 2 3 3 3 2 2 4 2" xfId="5379"/>
    <cellStyle name="Currency 2 2 3 3 3 2 2 4 2 2" xfId="24367"/>
    <cellStyle name="Currency 2 2 3 3 3 2 2 4 3" xfId="24368"/>
    <cellStyle name="Currency 2 2 3 3 3 2 2 5" xfId="5380"/>
    <cellStyle name="Currency 2 2 3 3 3 2 2 5 2" xfId="5381"/>
    <cellStyle name="Currency 2 2 3 3 3 2 2 5 2 2" xfId="24369"/>
    <cellStyle name="Currency 2 2 3 3 3 2 2 5 3" xfId="24370"/>
    <cellStyle name="Currency 2 2 3 3 3 2 2 6" xfId="5382"/>
    <cellStyle name="Currency 2 2 3 3 3 2 2 6 2" xfId="24371"/>
    <cellStyle name="Currency 2 2 3 3 3 2 2 7" xfId="5383"/>
    <cellStyle name="Currency 2 2 3 3 3 2 3" xfId="829"/>
    <cellStyle name="Currency 2 2 3 3 3 2 3 2" xfId="1422"/>
    <cellStyle name="Currency 2 2 3 3 3 2 3 2 2" xfId="5384"/>
    <cellStyle name="Currency 2 2 3 3 3 2 3 2 2 2" xfId="5385"/>
    <cellStyle name="Currency 2 2 3 3 3 2 3 2 2 2 2" xfId="24372"/>
    <cellStyle name="Currency 2 2 3 3 3 2 3 2 2 3" xfId="24373"/>
    <cellStyle name="Currency 2 2 3 3 3 2 3 2 3" xfId="5386"/>
    <cellStyle name="Currency 2 2 3 3 3 2 3 2 3 2" xfId="5387"/>
    <cellStyle name="Currency 2 2 3 3 3 2 3 2 3 2 2" xfId="24374"/>
    <cellStyle name="Currency 2 2 3 3 3 2 3 2 3 3" xfId="24375"/>
    <cellStyle name="Currency 2 2 3 3 3 2 3 2 4" xfId="5388"/>
    <cellStyle name="Currency 2 2 3 3 3 2 3 2 4 2" xfId="5389"/>
    <cellStyle name="Currency 2 2 3 3 3 2 3 2 4 2 2" xfId="24376"/>
    <cellStyle name="Currency 2 2 3 3 3 2 3 2 4 3" xfId="24377"/>
    <cellStyle name="Currency 2 2 3 3 3 2 3 2 5" xfId="5390"/>
    <cellStyle name="Currency 2 2 3 3 3 2 3 2 5 2" xfId="24378"/>
    <cellStyle name="Currency 2 2 3 3 3 2 3 2 6" xfId="5391"/>
    <cellStyle name="Currency 2 2 3 3 3 2 3 3" xfId="5392"/>
    <cellStyle name="Currency 2 2 3 3 3 2 3 3 2" xfId="5393"/>
    <cellStyle name="Currency 2 2 3 3 3 2 3 3 2 2" xfId="24379"/>
    <cellStyle name="Currency 2 2 3 3 3 2 3 3 3" xfId="24380"/>
    <cellStyle name="Currency 2 2 3 3 3 2 3 4" xfId="5394"/>
    <cellStyle name="Currency 2 2 3 3 3 2 3 4 2" xfId="5395"/>
    <cellStyle name="Currency 2 2 3 3 3 2 3 4 2 2" xfId="24381"/>
    <cellStyle name="Currency 2 2 3 3 3 2 3 4 3" xfId="24382"/>
    <cellStyle name="Currency 2 2 3 3 3 2 3 5" xfId="5396"/>
    <cellStyle name="Currency 2 2 3 3 3 2 3 5 2" xfId="5397"/>
    <cellStyle name="Currency 2 2 3 3 3 2 3 5 2 2" xfId="24383"/>
    <cellStyle name="Currency 2 2 3 3 3 2 3 5 3" xfId="24384"/>
    <cellStyle name="Currency 2 2 3 3 3 2 3 6" xfId="5398"/>
    <cellStyle name="Currency 2 2 3 3 3 2 3 6 2" xfId="24385"/>
    <cellStyle name="Currency 2 2 3 3 3 2 3 7" xfId="5399"/>
    <cellStyle name="Currency 2 2 3 3 3 2 4" xfId="1423"/>
    <cellStyle name="Currency 2 2 3 3 3 2 4 2" xfId="5400"/>
    <cellStyle name="Currency 2 2 3 3 3 2 4 2 2" xfId="5401"/>
    <cellStyle name="Currency 2 2 3 3 3 2 4 2 2 2" xfId="24386"/>
    <cellStyle name="Currency 2 2 3 3 3 2 4 2 3" xfId="24387"/>
    <cellStyle name="Currency 2 2 3 3 3 2 4 3" xfId="5402"/>
    <cellStyle name="Currency 2 2 3 3 3 2 4 3 2" xfId="5403"/>
    <cellStyle name="Currency 2 2 3 3 3 2 4 3 2 2" xfId="24388"/>
    <cellStyle name="Currency 2 2 3 3 3 2 4 3 3" xfId="24389"/>
    <cellStyle name="Currency 2 2 3 3 3 2 4 4" xfId="5404"/>
    <cellStyle name="Currency 2 2 3 3 3 2 4 4 2" xfId="5405"/>
    <cellStyle name="Currency 2 2 3 3 3 2 4 4 2 2" xfId="24390"/>
    <cellStyle name="Currency 2 2 3 3 3 2 4 4 3" xfId="24391"/>
    <cellStyle name="Currency 2 2 3 3 3 2 4 5" xfId="5406"/>
    <cellStyle name="Currency 2 2 3 3 3 2 4 5 2" xfId="24392"/>
    <cellStyle name="Currency 2 2 3 3 3 2 4 6" xfId="5407"/>
    <cellStyle name="Currency 2 2 3 3 3 2 5" xfId="5408"/>
    <cellStyle name="Currency 2 2 3 3 3 2 5 2" xfId="5409"/>
    <cellStyle name="Currency 2 2 3 3 3 2 5 2 2" xfId="24393"/>
    <cellStyle name="Currency 2 2 3 3 3 2 5 3" xfId="24394"/>
    <cellStyle name="Currency 2 2 3 3 3 2 6" xfId="5410"/>
    <cellStyle name="Currency 2 2 3 3 3 2 6 2" xfId="5411"/>
    <cellStyle name="Currency 2 2 3 3 3 2 6 2 2" xfId="24395"/>
    <cellStyle name="Currency 2 2 3 3 3 2 6 3" xfId="24396"/>
    <cellStyle name="Currency 2 2 3 3 3 2 7" xfId="5412"/>
    <cellStyle name="Currency 2 2 3 3 3 2 7 2" xfId="5413"/>
    <cellStyle name="Currency 2 2 3 3 3 2 7 2 2" xfId="24397"/>
    <cellStyle name="Currency 2 2 3 3 3 2 7 3" xfId="24398"/>
    <cellStyle name="Currency 2 2 3 3 3 2 8" xfId="5414"/>
    <cellStyle name="Currency 2 2 3 3 3 2 8 2" xfId="24399"/>
    <cellStyle name="Currency 2 2 3 3 3 2 9" xfId="5415"/>
    <cellStyle name="Currency 2 2 3 3 3 3" xfId="1039"/>
    <cellStyle name="Currency 2 2 3 3 3 3 2" xfId="1424"/>
    <cellStyle name="Currency 2 2 3 3 3 3 2 2" xfId="5416"/>
    <cellStyle name="Currency 2 2 3 3 3 3 2 2 2" xfId="5417"/>
    <cellStyle name="Currency 2 2 3 3 3 3 2 2 2 2" xfId="24400"/>
    <cellStyle name="Currency 2 2 3 3 3 3 2 2 3" xfId="24401"/>
    <cellStyle name="Currency 2 2 3 3 3 3 2 3" xfId="5418"/>
    <cellStyle name="Currency 2 2 3 3 3 3 2 3 2" xfId="5419"/>
    <cellStyle name="Currency 2 2 3 3 3 3 2 3 2 2" xfId="24402"/>
    <cellStyle name="Currency 2 2 3 3 3 3 2 3 3" xfId="24403"/>
    <cellStyle name="Currency 2 2 3 3 3 3 2 4" xfId="5420"/>
    <cellStyle name="Currency 2 2 3 3 3 3 2 4 2" xfId="5421"/>
    <cellStyle name="Currency 2 2 3 3 3 3 2 4 2 2" xfId="24404"/>
    <cellStyle name="Currency 2 2 3 3 3 3 2 4 3" xfId="24405"/>
    <cellStyle name="Currency 2 2 3 3 3 3 2 5" xfId="5422"/>
    <cellStyle name="Currency 2 2 3 3 3 3 2 5 2" xfId="24406"/>
    <cellStyle name="Currency 2 2 3 3 3 3 2 6" xfId="5423"/>
    <cellStyle name="Currency 2 2 3 3 3 3 3" xfId="5424"/>
    <cellStyle name="Currency 2 2 3 3 3 3 3 2" xfId="5425"/>
    <cellStyle name="Currency 2 2 3 3 3 3 3 2 2" xfId="24407"/>
    <cellStyle name="Currency 2 2 3 3 3 3 3 3" xfId="24408"/>
    <cellStyle name="Currency 2 2 3 3 3 3 4" xfId="5426"/>
    <cellStyle name="Currency 2 2 3 3 3 3 4 2" xfId="5427"/>
    <cellStyle name="Currency 2 2 3 3 3 3 4 2 2" xfId="24409"/>
    <cellStyle name="Currency 2 2 3 3 3 3 4 3" xfId="24410"/>
    <cellStyle name="Currency 2 2 3 3 3 3 5" xfId="5428"/>
    <cellStyle name="Currency 2 2 3 3 3 3 5 2" xfId="5429"/>
    <cellStyle name="Currency 2 2 3 3 3 3 5 2 2" xfId="24411"/>
    <cellStyle name="Currency 2 2 3 3 3 3 5 3" xfId="24412"/>
    <cellStyle name="Currency 2 2 3 3 3 3 6" xfId="5430"/>
    <cellStyle name="Currency 2 2 3 3 3 3 6 2" xfId="24413"/>
    <cellStyle name="Currency 2 2 3 3 3 3 7" xfId="5431"/>
    <cellStyle name="Currency 2 2 3 3 3 4" xfId="671"/>
    <cellStyle name="Currency 2 2 3 3 3 4 2" xfId="1425"/>
    <cellStyle name="Currency 2 2 3 3 3 4 2 2" xfId="5432"/>
    <cellStyle name="Currency 2 2 3 3 3 4 2 2 2" xfId="5433"/>
    <cellStyle name="Currency 2 2 3 3 3 4 2 2 2 2" xfId="24414"/>
    <cellStyle name="Currency 2 2 3 3 3 4 2 2 3" xfId="24415"/>
    <cellStyle name="Currency 2 2 3 3 3 4 2 3" xfId="5434"/>
    <cellStyle name="Currency 2 2 3 3 3 4 2 3 2" xfId="5435"/>
    <cellStyle name="Currency 2 2 3 3 3 4 2 3 2 2" xfId="24416"/>
    <cellStyle name="Currency 2 2 3 3 3 4 2 3 3" xfId="24417"/>
    <cellStyle name="Currency 2 2 3 3 3 4 2 4" xfId="5436"/>
    <cellStyle name="Currency 2 2 3 3 3 4 2 4 2" xfId="5437"/>
    <cellStyle name="Currency 2 2 3 3 3 4 2 4 2 2" xfId="24418"/>
    <cellStyle name="Currency 2 2 3 3 3 4 2 4 3" xfId="24419"/>
    <cellStyle name="Currency 2 2 3 3 3 4 2 5" xfId="5438"/>
    <cellStyle name="Currency 2 2 3 3 3 4 2 5 2" xfId="24420"/>
    <cellStyle name="Currency 2 2 3 3 3 4 2 6" xfId="5439"/>
    <cellStyle name="Currency 2 2 3 3 3 4 3" xfId="5440"/>
    <cellStyle name="Currency 2 2 3 3 3 4 3 2" xfId="5441"/>
    <cellStyle name="Currency 2 2 3 3 3 4 3 2 2" xfId="24421"/>
    <cellStyle name="Currency 2 2 3 3 3 4 3 3" xfId="24422"/>
    <cellStyle name="Currency 2 2 3 3 3 4 4" xfId="5442"/>
    <cellStyle name="Currency 2 2 3 3 3 4 4 2" xfId="5443"/>
    <cellStyle name="Currency 2 2 3 3 3 4 4 2 2" xfId="24423"/>
    <cellStyle name="Currency 2 2 3 3 3 4 4 3" xfId="24424"/>
    <cellStyle name="Currency 2 2 3 3 3 4 5" xfId="5444"/>
    <cellStyle name="Currency 2 2 3 3 3 4 5 2" xfId="5445"/>
    <cellStyle name="Currency 2 2 3 3 3 4 5 2 2" xfId="24425"/>
    <cellStyle name="Currency 2 2 3 3 3 4 5 3" xfId="24426"/>
    <cellStyle name="Currency 2 2 3 3 3 4 6" xfId="5446"/>
    <cellStyle name="Currency 2 2 3 3 3 4 6 2" xfId="24427"/>
    <cellStyle name="Currency 2 2 3 3 3 4 7" xfId="5447"/>
    <cellStyle name="Currency 2 2 3 3 3 5" xfId="1426"/>
    <cellStyle name="Currency 2 2 3 3 3 5 2" xfId="5448"/>
    <cellStyle name="Currency 2 2 3 3 3 5 2 2" xfId="5449"/>
    <cellStyle name="Currency 2 2 3 3 3 5 2 2 2" xfId="24428"/>
    <cellStyle name="Currency 2 2 3 3 3 5 2 3" xfId="24429"/>
    <cellStyle name="Currency 2 2 3 3 3 5 3" xfId="5450"/>
    <cellStyle name="Currency 2 2 3 3 3 5 3 2" xfId="5451"/>
    <cellStyle name="Currency 2 2 3 3 3 5 3 2 2" xfId="24430"/>
    <cellStyle name="Currency 2 2 3 3 3 5 3 3" xfId="24431"/>
    <cellStyle name="Currency 2 2 3 3 3 5 4" xfId="5452"/>
    <cellStyle name="Currency 2 2 3 3 3 5 4 2" xfId="5453"/>
    <cellStyle name="Currency 2 2 3 3 3 5 4 2 2" xfId="24432"/>
    <cellStyle name="Currency 2 2 3 3 3 5 4 3" xfId="24433"/>
    <cellStyle name="Currency 2 2 3 3 3 5 5" xfId="5454"/>
    <cellStyle name="Currency 2 2 3 3 3 5 5 2" xfId="24434"/>
    <cellStyle name="Currency 2 2 3 3 3 5 6" xfId="5455"/>
    <cellStyle name="Currency 2 2 3 3 3 6" xfId="5456"/>
    <cellStyle name="Currency 2 2 3 3 3 6 2" xfId="5457"/>
    <cellStyle name="Currency 2 2 3 3 3 6 2 2" xfId="24435"/>
    <cellStyle name="Currency 2 2 3 3 3 6 3" xfId="24436"/>
    <cellStyle name="Currency 2 2 3 3 3 7" xfId="5458"/>
    <cellStyle name="Currency 2 2 3 3 3 7 2" xfId="5459"/>
    <cellStyle name="Currency 2 2 3 3 3 7 2 2" xfId="24437"/>
    <cellStyle name="Currency 2 2 3 3 3 7 3" xfId="24438"/>
    <cellStyle name="Currency 2 2 3 3 3 8" xfId="5460"/>
    <cellStyle name="Currency 2 2 3 3 3 8 2" xfId="5461"/>
    <cellStyle name="Currency 2 2 3 3 3 8 2 2" xfId="24439"/>
    <cellStyle name="Currency 2 2 3 3 3 8 3" xfId="24440"/>
    <cellStyle name="Currency 2 2 3 3 3 9" xfId="5462"/>
    <cellStyle name="Currency 2 2 3 3 3 9 2" xfId="24441"/>
    <cellStyle name="Currency 2 2 3 3 4" xfId="163"/>
    <cellStyle name="Currency 2 2 3 3 4 2" xfId="951"/>
    <cellStyle name="Currency 2 2 3 3 4 2 2" xfId="1427"/>
    <cellStyle name="Currency 2 2 3 3 4 2 2 2" xfId="5463"/>
    <cellStyle name="Currency 2 2 3 3 4 2 2 2 2" xfId="5464"/>
    <cellStyle name="Currency 2 2 3 3 4 2 2 2 2 2" xfId="24442"/>
    <cellStyle name="Currency 2 2 3 3 4 2 2 2 3" xfId="24443"/>
    <cellStyle name="Currency 2 2 3 3 4 2 2 3" xfId="5465"/>
    <cellStyle name="Currency 2 2 3 3 4 2 2 3 2" xfId="5466"/>
    <cellStyle name="Currency 2 2 3 3 4 2 2 3 2 2" xfId="24444"/>
    <cellStyle name="Currency 2 2 3 3 4 2 2 3 3" xfId="24445"/>
    <cellStyle name="Currency 2 2 3 3 4 2 2 4" xfId="5467"/>
    <cellStyle name="Currency 2 2 3 3 4 2 2 4 2" xfId="5468"/>
    <cellStyle name="Currency 2 2 3 3 4 2 2 4 2 2" xfId="24446"/>
    <cellStyle name="Currency 2 2 3 3 4 2 2 4 3" xfId="24447"/>
    <cellStyle name="Currency 2 2 3 3 4 2 2 5" xfId="5469"/>
    <cellStyle name="Currency 2 2 3 3 4 2 2 5 2" xfId="24448"/>
    <cellStyle name="Currency 2 2 3 3 4 2 2 6" xfId="5470"/>
    <cellStyle name="Currency 2 2 3 3 4 2 3" xfId="5471"/>
    <cellStyle name="Currency 2 2 3 3 4 2 3 2" xfId="5472"/>
    <cellStyle name="Currency 2 2 3 3 4 2 3 2 2" xfId="24449"/>
    <cellStyle name="Currency 2 2 3 3 4 2 3 3" xfId="24450"/>
    <cellStyle name="Currency 2 2 3 3 4 2 4" xfId="5473"/>
    <cellStyle name="Currency 2 2 3 3 4 2 4 2" xfId="5474"/>
    <cellStyle name="Currency 2 2 3 3 4 2 4 2 2" xfId="24451"/>
    <cellStyle name="Currency 2 2 3 3 4 2 4 3" xfId="24452"/>
    <cellStyle name="Currency 2 2 3 3 4 2 5" xfId="5475"/>
    <cellStyle name="Currency 2 2 3 3 4 2 5 2" xfId="5476"/>
    <cellStyle name="Currency 2 2 3 3 4 2 5 2 2" xfId="24453"/>
    <cellStyle name="Currency 2 2 3 3 4 2 5 3" xfId="24454"/>
    <cellStyle name="Currency 2 2 3 3 4 2 6" xfId="5477"/>
    <cellStyle name="Currency 2 2 3 3 4 2 6 2" xfId="24455"/>
    <cellStyle name="Currency 2 2 3 3 4 2 7" xfId="5478"/>
    <cellStyle name="Currency 2 2 3 3 4 3" xfId="583"/>
    <cellStyle name="Currency 2 2 3 3 4 3 2" xfId="1428"/>
    <cellStyle name="Currency 2 2 3 3 4 3 2 2" xfId="5479"/>
    <cellStyle name="Currency 2 2 3 3 4 3 2 2 2" xfId="5480"/>
    <cellStyle name="Currency 2 2 3 3 4 3 2 2 2 2" xfId="24456"/>
    <cellStyle name="Currency 2 2 3 3 4 3 2 2 3" xfId="24457"/>
    <cellStyle name="Currency 2 2 3 3 4 3 2 3" xfId="5481"/>
    <cellStyle name="Currency 2 2 3 3 4 3 2 3 2" xfId="5482"/>
    <cellStyle name="Currency 2 2 3 3 4 3 2 3 2 2" xfId="24458"/>
    <cellStyle name="Currency 2 2 3 3 4 3 2 3 3" xfId="24459"/>
    <cellStyle name="Currency 2 2 3 3 4 3 2 4" xfId="5483"/>
    <cellStyle name="Currency 2 2 3 3 4 3 2 4 2" xfId="5484"/>
    <cellStyle name="Currency 2 2 3 3 4 3 2 4 2 2" xfId="24460"/>
    <cellStyle name="Currency 2 2 3 3 4 3 2 4 3" xfId="24461"/>
    <cellStyle name="Currency 2 2 3 3 4 3 2 5" xfId="5485"/>
    <cellStyle name="Currency 2 2 3 3 4 3 2 5 2" xfId="24462"/>
    <cellStyle name="Currency 2 2 3 3 4 3 2 6" xfId="5486"/>
    <cellStyle name="Currency 2 2 3 3 4 3 3" xfId="5487"/>
    <cellStyle name="Currency 2 2 3 3 4 3 3 2" xfId="5488"/>
    <cellStyle name="Currency 2 2 3 3 4 3 3 2 2" xfId="24463"/>
    <cellStyle name="Currency 2 2 3 3 4 3 3 3" xfId="24464"/>
    <cellStyle name="Currency 2 2 3 3 4 3 4" xfId="5489"/>
    <cellStyle name="Currency 2 2 3 3 4 3 4 2" xfId="5490"/>
    <cellStyle name="Currency 2 2 3 3 4 3 4 2 2" xfId="24465"/>
    <cellStyle name="Currency 2 2 3 3 4 3 4 3" xfId="24466"/>
    <cellStyle name="Currency 2 2 3 3 4 3 5" xfId="5491"/>
    <cellStyle name="Currency 2 2 3 3 4 3 5 2" xfId="5492"/>
    <cellStyle name="Currency 2 2 3 3 4 3 5 2 2" xfId="24467"/>
    <cellStyle name="Currency 2 2 3 3 4 3 5 3" xfId="24468"/>
    <cellStyle name="Currency 2 2 3 3 4 3 6" xfId="5493"/>
    <cellStyle name="Currency 2 2 3 3 4 3 6 2" xfId="24469"/>
    <cellStyle name="Currency 2 2 3 3 4 3 7" xfId="5494"/>
    <cellStyle name="Currency 2 2 3 3 4 4" xfId="1429"/>
    <cellStyle name="Currency 2 2 3 3 4 4 2" xfId="5495"/>
    <cellStyle name="Currency 2 2 3 3 4 4 2 2" xfId="5496"/>
    <cellStyle name="Currency 2 2 3 3 4 4 2 2 2" xfId="24470"/>
    <cellStyle name="Currency 2 2 3 3 4 4 2 3" xfId="24471"/>
    <cellStyle name="Currency 2 2 3 3 4 4 3" xfId="5497"/>
    <cellStyle name="Currency 2 2 3 3 4 4 3 2" xfId="5498"/>
    <cellStyle name="Currency 2 2 3 3 4 4 3 2 2" xfId="24472"/>
    <cellStyle name="Currency 2 2 3 3 4 4 3 3" xfId="24473"/>
    <cellStyle name="Currency 2 2 3 3 4 4 4" xfId="5499"/>
    <cellStyle name="Currency 2 2 3 3 4 4 4 2" xfId="5500"/>
    <cellStyle name="Currency 2 2 3 3 4 4 4 2 2" xfId="24474"/>
    <cellStyle name="Currency 2 2 3 3 4 4 4 3" xfId="24475"/>
    <cellStyle name="Currency 2 2 3 3 4 4 5" xfId="5501"/>
    <cellStyle name="Currency 2 2 3 3 4 4 5 2" xfId="24476"/>
    <cellStyle name="Currency 2 2 3 3 4 4 6" xfId="5502"/>
    <cellStyle name="Currency 2 2 3 3 4 5" xfId="5503"/>
    <cellStyle name="Currency 2 2 3 3 4 5 2" xfId="5504"/>
    <cellStyle name="Currency 2 2 3 3 4 5 2 2" xfId="24477"/>
    <cellStyle name="Currency 2 2 3 3 4 5 3" xfId="24478"/>
    <cellStyle name="Currency 2 2 3 3 4 6" xfId="5505"/>
    <cellStyle name="Currency 2 2 3 3 4 6 2" xfId="5506"/>
    <cellStyle name="Currency 2 2 3 3 4 6 2 2" xfId="24479"/>
    <cellStyle name="Currency 2 2 3 3 4 6 3" xfId="24480"/>
    <cellStyle name="Currency 2 2 3 3 4 7" xfId="5507"/>
    <cellStyle name="Currency 2 2 3 3 4 7 2" xfId="5508"/>
    <cellStyle name="Currency 2 2 3 3 4 7 2 2" xfId="24481"/>
    <cellStyle name="Currency 2 2 3 3 4 7 3" xfId="24482"/>
    <cellStyle name="Currency 2 2 3 3 4 8" xfId="5509"/>
    <cellStyle name="Currency 2 2 3 3 4 8 2" xfId="24483"/>
    <cellStyle name="Currency 2 2 3 3 4 9" xfId="5510"/>
    <cellStyle name="Currency 2 2 3 3 5" xfId="321"/>
    <cellStyle name="Currency 2 2 3 3 5 2" xfId="1109"/>
    <cellStyle name="Currency 2 2 3 3 5 2 2" xfId="1430"/>
    <cellStyle name="Currency 2 2 3 3 5 2 2 2" xfId="5511"/>
    <cellStyle name="Currency 2 2 3 3 5 2 2 2 2" xfId="5512"/>
    <cellStyle name="Currency 2 2 3 3 5 2 2 2 2 2" xfId="24484"/>
    <cellStyle name="Currency 2 2 3 3 5 2 2 2 3" xfId="24485"/>
    <cellStyle name="Currency 2 2 3 3 5 2 2 3" xfId="5513"/>
    <cellStyle name="Currency 2 2 3 3 5 2 2 3 2" xfId="5514"/>
    <cellStyle name="Currency 2 2 3 3 5 2 2 3 2 2" xfId="24486"/>
    <cellStyle name="Currency 2 2 3 3 5 2 2 3 3" xfId="24487"/>
    <cellStyle name="Currency 2 2 3 3 5 2 2 4" xfId="5515"/>
    <cellStyle name="Currency 2 2 3 3 5 2 2 4 2" xfId="5516"/>
    <cellStyle name="Currency 2 2 3 3 5 2 2 4 2 2" xfId="24488"/>
    <cellStyle name="Currency 2 2 3 3 5 2 2 4 3" xfId="24489"/>
    <cellStyle name="Currency 2 2 3 3 5 2 2 5" xfId="5517"/>
    <cellStyle name="Currency 2 2 3 3 5 2 2 5 2" xfId="24490"/>
    <cellStyle name="Currency 2 2 3 3 5 2 2 6" xfId="5518"/>
    <cellStyle name="Currency 2 2 3 3 5 2 3" xfId="5519"/>
    <cellStyle name="Currency 2 2 3 3 5 2 3 2" xfId="5520"/>
    <cellStyle name="Currency 2 2 3 3 5 2 3 2 2" xfId="24491"/>
    <cellStyle name="Currency 2 2 3 3 5 2 3 3" xfId="24492"/>
    <cellStyle name="Currency 2 2 3 3 5 2 4" xfId="5521"/>
    <cellStyle name="Currency 2 2 3 3 5 2 4 2" xfId="5522"/>
    <cellStyle name="Currency 2 2 3 3 5 2 4 2 2" xfId="24493"/>
    <cellStyle name="Currency 2 2 3 3 5 2 4 3" xfId="24494"/>
    <cellStyle name="Currency 2 2 3 3 5 2 5" xfId="5523"/>
    <cellStyle name="Currency 2 2 3 3 5 2 5 2" xfId="5524"/>
    <cellStyle name="Currency 2 2 3 3 5 2 5 2 2" xfId="24495"/>
    <cellStyle name="Currency 2 2 3 3 5 2 5 3" xfId="24496"/>
    <cellStyle name="Currency 2 2 3 3 5 2 6" xfId="5525"/>
    <cellStyle name="Currency 2 2 3 3 5 2 6 2" xfId="24497"/>
    <cellStyle name="Currency 2 2 3 3 5 2 7" xfId="5526"/>
    <cellStyle name="Currency 2 2 3 3 5 3" xfId="741"/>
    <cellStyle name="Currency 2 2 3 3 5 3 2" xfId="1431"/>
    <cellStyle name="Currency 2 2 3 3 5 3 2 2" xfId="5527"/>
    <cellStyle name="Currency 2 2 3 3 5 3 2 2 2" xfId="5528"/>
    <cellStyle name="Currency 2 2 3 3 5 3 2 2 2 2" xfId="24498"/>
    <cellStyle name="Currency 2 2 3 3 5 3 2 2 3" xfId="24499"/>
    <cellStyle name="Currency 2 2 3 3 5 3 2 3" xfId="5529"/>
    <cellStyle name="Currency 2 2 3 3 5 3 2 3 2" xfId="5530"/>
    <cellStyle name="Currency 2 2 3 3 5 3 2 3 2 2" xfId="24500"/>
    <cellStyle name="Currency 2 2 3 3 5 3 2 3 3" xfId="24501"/>
    <cellStyle name="Currency 2 2 3 3 5 3 2 4" xfId="5531"/>
    <cellStyle name="Currency 2 2 3 3 5 3 2 4 2" xfId="5532"/>
    <cellStyle name="Currency 2 2 3 3 5 3 2 4 2 2" xfId="24502"/>
    <cellStyle name="Currency 2 2 3 3 5 3 2 4 3" xfId="24503"/>
    <cellStyle name="Currency 2 2 3 3 5 3 2 5" xfId="5533"/>
    <cellStyle name="Currency 2 2 3 3 5 3 2 5 2" xfId="24504"/>
    <cellStyle name="Currency 2 2 3 3 5 3 2 6" xfId="5534"/>
    <cellStyle name="Currency 2 2 3 3 5 3 3" xfId="5535"/>
    <cellStyle name="Currency 2 2 3 3 5 3 3 2" xfId="5536"/>
    <cellStyle name="Currency 2 2 3 3 5 3 3 2 2" xfId="24505"/>
    <cellStyle name="Currency 2 2 3 3 5 3 3 3" xfId="24506"/>
    <cellStyle name="Currency 2 2 3 3 5 3 4" xfId="5537"/>
    <cellStyle name="Currency 2 2 3 3 5 3 4 2" xfId="5538"/>
    <cellStyle name="Currency 2 2 3 3 5 3 4 2 2" xfId="24507"/>
    <cellStyle name="Currency 2 2 3 3 5 3 4 3" xfId="24508"/>
    <cellStyle name="Currency 2 2 3 3 5 3 5" xfId="5539"/>
    <cellStyle name="Currency 2 2 3 3 5 3 5 2" xfId="5540"/>
    <cellStyle name="Currency 2 2 3 3 5 3 5 2 2" xfId="24509"/>
    <cellStyle name="Currency 2 2 3 3 5 3 5 3" xfId="24510"/>
    <cellStyle name="Currency 2 2 3 3 5 3 6" xfId="5541"/>
    <cellStyle name="Currency 2 2 3 3 5 3 6 2" xfId="24511"/>
    <cellStyle name="Currency 2 2 3 3 5 3 7" xfId="5542"/>
    <cellStyle name="Currency 2 2 3 3 5 4" xfId="1432"/>
    <cellStyle name="Currency 2 2 3 3 5 4 2" xfId="5543"/>
    <cellStyle name="Currency 2 2 3 3 5 4 2 2" xfId="5544"/>
    <cellStyle name="Currency 2 2 3 3 5 4 2 2 2" xfId="24512"/>
    <cellStyle name="Currency 2 2 3 3 5 4 2 3" xfId="24513"/>
    <cellStyle name="Currency 2 2 3 3 5 4 3" xfId="5545"/>
    <cellStyle name="Currency 2 2 3 3 5 4 3 2" xfId="5546"/>
    <cellStyle name="Currency 2 2 3 3 5 4 3 2 2" xfId="24514"/>
    <cellStyle name="Currency 2 2 3 3 5 4 3 3" xfId="24515"/>
    <cellStyle name="Currency 2 2 3 3 5 4 4" xfId="5547"/>
    <cellStyle name="Currency 2 2 3 3 5 4 4 2" xfId="5548"/>
    <cellStyle name="Currency 2 2 3 3 5 4 4 2 2" xfId="24516"/>
    <cellStyle name="Currency 2 2 3 3 5 4 4 3" xfId="24517"/>
    <cellStyle name="Currency 2 2 3 3 5 4 5" xfId="5549"/>
    <cellStyle name="Currency 2 2 3 3 5 4 5 2" xfId="24518"/>
    <cellStyle name="Currency 2 2 3 3 5 4 6" xfId="5550"/>
    <cellStyle name="Currency 2 2 3 3 5 5" xfId="5551"/>
    <cellStyle name="Currency 2 2 3 3 5 5 2" xfId="5552"/>
    <cellStyle name="Currency 2 2 3 3 5 5 2 2" xfId="24519"/>
    <cellStyle name="Currency 2 2 3 3 5 5 3" xfId="24520"/>
    <cellStyle name="Currency 2 2 3 3 5 6" xfId="5553"/>
    <cellStyle name="Currency 2 2 3 3 5 6 2" xfId="5554"/>
    <cellStyle name="Currency 2 2 3 3 5 6 2 2" xfId="24521"/>
    <cellStyle name="Currency 2 2 3 3 5 6 3" xfId="24522"/>
    <cellStyle name="Currency 2 2 3 3 5 7" xfId="5555"/>
    <cellStyle name="Currency 2 2 3 3 5 7 2" xfId="5556"/>
    <cellStyle name="Currency 2 2 3 3 5 7 2 2" xfId="24523"/>
    <cellStyle name="Currency 2 2 3 3 5 7 3" xfId="24524"/>
    <cellStyle name="Currency 2 2 3 3 5 8" xfId="5557"/>
    <cellStyle name="Currency 2 2 3 3 5 8 2" xfId="24525"/>
    <cellStyle name="Currency 2 2 3 3 5 9" xfId="5558"/>
    <cellStyle name="Currency 2 2 3 3 6" xfId="110"/>
    <cellStyle name="Currency 2 2 3 3 6 2" xfId="531"/>
    <cellStyle name="Currency 2 2 3 3 6 2 2" xfId="1433"/>
    <cellStyle name="Currency 2 2 3 3 6 2 2 2" xfId="5559"/>
    <cellStyle name="Currency 2 2 3 3 6 2 2 2 2" xfId="5560"/>
    <cellStyle name="Currency 2 2 3 3 6 2 2 2 2 2" xfId="24526"/>
    <cellStyle name="Currency 2 2 3 3 6 2 2 2 3" xfId="24527"/>
    <cellStyle name="Currency 2 2 3 3 6 2 2 3" xfId="5561"/>
    <cellStyle name="Currency 2 2 3 3 6 2 2 3 2" xfId="5562"/>
    <cellStyle name="Currency 2 2 3 3 6 2 2 3 2 2" xfId="24528"/>
    <cellStyle name="Currency 2 2 3 3 6 2 2 3 3" xfId="24529"/>
    <cellStyle name="Currency 2 2 3 3 6 2 2 4" xfId="5563"/>
    <cellStyle name="Currency 2 2 3 3 6 2 2 4 2" xfId="5564"/>
    <cellStyle name="Currency 2 2 3 3 6 2 2 4 2 2" xfId="24530"/>
    <cellStyle name="Currency 2 2 3 3 6 2 2 4 3" xfId="24531"/>
    <cellStyle name="Currency 2 2 3 3 6 2 2 5" xfId="5565"/>
    <cellStyle name="Currency 2 2 3 3 6 2 2 5 2" xfId="24532"/>
    <cellStyle name="Currency 2 2 3 3 6 2 2 6" xfId="5566"/>
    <cellStyle name="Currency 2 2 3 3 6 2 3" xfId="5567"/>
    <cellStyle name="Currency 2 2 3 3 6 2 3 2" xfId="5568"/>
    <cellStyle name="Currency 2 2 3 3 6 2 3 2 2" xfId="24533"/>
    <cellStyle name="Currency 2 2 3 3 6 2 3 3" xfId="24534"/>
    <cellStyle name="Currency 2 2 3 3 6 2 4" xfId="5569"/>
    <cellStyle name="Currency 2 2 3 3 6 2 4 2" xfId="5570"/>
    <cellStyle name="Currency 2 2 3 3 6 2 4 2 2" xfId="24535"/>
    <cellStyle name="Currency 2 2 3 3 6 2 4 3" xfId="24536"/>
    <cellStyle name="Currency 2 2 3 3 6 2 5" xfId="5571"/>
    <cellStyle name="Currency 2 2 3 3 6 2 5 2" xfId="5572"/>
    <cellStyle name="Currency 2 2 3 3 6 2 5 2 2" xfId="24537"/>
    <cellStyle name="Currency 2 2 3 3 6 2 5 3" xfId="24538"/>
    <cellStyle name="Currency 2 2 3 3 6 2 6" xfId="5573"/>
    <cellStyle name="Currency 2 2 3 3 6 2 6 2" xfId="24539"/>
    <cellStyle name="Currency 2 2 3 3 6 2 7" xfId="5574"/>
    <cellStyle name="Currency 2 2 3 3 6 3" xfId="1434"/>
    <cellStyle name="Currency 2 2 3 3 6 3 2" xfId="5575"/>
    <cellStyle name="Currency 2 2 3 3 6 3 2 2" xfId="5576"/>
    <cellStyle name="Currency 2 2 3 3 6 3 2 2 2" xfId="24540"/>
    <cellStyle name="Currency 2 2 3 3 6 3 2 3" xfId="24541"/>
    <cellStyle name="Currency 2 2 3 3 6 3 3" xfId="5577"/>
    <cellStyle name="Currency 2 2 3 3 6 3 3 2" xfId="5578"/>
    <cellStyle name="Currency 2 2 3 3 6 3 3 2 2" xfId="24542"/>
    <cellStyle name="Currency 2 2 3 3 6 3 3 3" xfId="24543"/>
    <cellStyle name="Currency 2 2 3 3 6 3 4" xfId="5579"/>
    <cellStyle name="Currency 2 2 3 3 6 3 4 2" xfId="5580"/>
    <cellStyle name="Currency 2 2 3 3 6 3 4 2 2" xfId="24544"/>
    <cellStyle name="Currency 2 2 3 3 6 3 4 3" xfId="24545"/>
    <cellStyle name="Currency 2 2 3 3 6 3 5" xfId="5581"/>
    <cellStyle name="Currency 2 2 3 3 6 3 5 2" xfId="24546"/>
    <cellStyle name="Currency 2 2 3 3 6 3 6" xfId="5582"/>
    <cellStyle name="Currency 2 2 3 3 6 4" xfId="5583"/>
    <cellStyle name="Currency 2 2 3 3 6 4 2" xfId="5584"/>
    <cellStyle name="Currency 2 2 3 3 6 4 2 2" xfId="24547"/>
    <cellStyle name="Currency 2 2 3 3 6 4 3" xfId="24548"/>
    <cellStyle name="Currency 2 2 3 3 6 5" xfId="5585"/>
    <cellStyle name="Currency 2 2 3 3 6 5 2" xfId="5586"/>
    <cellStyle name="Currency 2 2 3 3 6 5 2 2" xfId="24549"/>
    <cellStyle name="Currency 2 2 3 3 6 5 3" xfId="24550"/>
    <cellStyle name="Currency 2 2 3 3 6 6" xfId="5587"/>
    <cellStyle name="Currency 2 2 3 3 6 6 2" xfId="5588"/>
    <cellStyle name="Currency 2 2 3 3 6 6 2 2" xfId="24551"/>
    <cellStyle name="Currency 2 2 3 3 6 6 3" xfId="24552"/>
    <cellStyle name="Currency 2 2 3 3 6 7" xfId="5589"/>
    <cellStyle name="Currency 2 2 3 3 6 7 2" xfId="24553"/>
    <cellStyle name="Currency 2 2 3 3 6 8" xfId="5590"/>
    <cellStyle name="Currency 2 2 3 3 7" xfId="899"/>
    <cellStyle name="Currency 2 2 3 3 7 2" xfId="1435"/>
    <cellStyle name="Currency 2 2 3 3 7 2 2" xfId="5591"/>
    <cellStyle name="Currency 2 2 3 3 7 2 2 2" xfId="5592"/>
    <cellStyle name="Currency 2 2 3 3 7 2 2 2 2" xfId="24554"/>
    <cellStyle name="Currency 2 2 3 3 7 2 2 3" xfId="24555"/>
    <cellStyle name="Currency 2 2 3 3 7 2 3" xfId="5593"/>
    <cellStyle name="Currency 2 2 3 3 7 2 3 2" xfId="5594"/>
    <cellStyle name="Currency 2 2 3 3 7 2 3 2 2" xfId="24556"/>
    <cellStyle name="Currency 2 2 3 3 7 2 3 3" xfId="24557"/>
    <cellStyle name="Currency 2 2 3 3 7 2 4" xfId="5595"/>
    <cellStyle name="Currency 2 2 3 3 7 2 4 2" xfId="5596"/>
    <cellStyle name="Currency 2 2 3 3 7 2 4 2 2" xfId="24558"/>
    <cellStyle name="Currency 2 2 3 3 7 2 4 3" xfId="24559"/>
    <cellStyle name="Currency 2 2 3 3 7 2 5" xfId="5597"/>
    <cellStyle name="Currency 2 2 3 3 7 2 5 2" xfId="24560"/>
    <cellStyle name="Currency 2 2 3 3 7 2 6" xfId="5598"/>
    <cellStyle name="Currency 2 2 3 3 7 3" xfId="5599"/>
    <cellStyle name="Currency 2 2 3 3 7 3 2" xfId="5600"/>
    <cellStyle name="Currency 2 2 3 3 7 3 2 2" xfId="24561"/>
    <cellStyle name="Currency 2 2 3 3 7 3 3" xfId="24562"/>
    <cellStyle name="Currency 2 2 3 3 7 4" xfId="5601"/>
    <cellStyle name="Currency 2 2 3 3 7 4 2" xfId="5602"/>
    <cellStyle name="Currency 2 2 3 3 7 4 2 2" xfId="24563"/>
    <cellStyle name="Currency 2 2 3 3 7 4 3" xfId="24564"/>
    <cellStyle name="Currency 2 2 3 3 7 5" xfId="5603"/>
    <cellStyle name="Currency 2 2 3 3 7 5 2" xfId="5604"/>
    <cellStyle name="Currency 2 2 3 3 7 5 2 2" xfId="24565"/>
    <cellStyle name="Currency 2 2 3 3 7 5 3" xfId="24566"/>
    <cellStyle name="Currency 2 2 3 3 7 6" xfId="5605"/>
    <cellStyle name="Currency 2 2 3 3 7 6 2" xfId="24567"/>
    <cellStyle name="Currency 2 2 3 3 7 7" xfId="5606"/>
    <cellStyle name="Currency 2 2 3 3 8" xfId="468"/>
    <cellStyle name="Currency 2 2 3 3 8 2" xfId="1436"/>
    <cellStyle name="Currency 2 2 3 3 8 2 2" xfId="5607"/>
    <cellStyle name="Currency 2 2 3 3 8 2 2 2" xfId="5608"/>
    <cellStyle name="Currency 2 2 3 3 8 2 2 2 2" xfId="24568"/>
    <cellStyle name="Currency 2 2 3 3 8 2 2 3" xfId="24569"/>
    <cellStyle name="Currency 2 2 3 3 8 2 3" xfId="5609"/>
    <cellStyle name="Currency 2 2 3 3 8 2 3 2" xfId="5610"/>
    <cellStyle name="Currency 2 2 3 3 8 2 3 2 2" xfId="24570"/>
    <cellStyle name="Currency 2 2 3 3 8 2 3 3" xfId="24571"/>
    <cellStyle name="Currency 2 2 3 3 8 2 4" xfId="5611"/>
    <cellStyle name="Currency 2 2 3 3 8 2 4 2" xfId="5612"/>
    <cellStyle name="Currency 2 2 3 3 8 2 4 2 2" xfId="24572"/>
    <cellStyle name="Currency 2 2 3 3 8 2 4 3" xfId="24573"/>
    <cellStyle name="Currency 2 2 3 3 8 2 5" xfId="5613"/>
    <cellStyle name="Currency 2 2 3 3 8 2 5 2" xfId="24574"/>
    <cellStyle name="Currency 2 2 3 3 8 2 6" xfId="5614"/>
    <cellStyle name="Currency 2 2 3 3 8 3" xfId="5615"/>
    <cellStyle name="Currency 2 2 3 3 8 3 2" xfId="5616"/>
    <cellStyle name="Currency 2 2 3 3 8 3 2 2" xfId="24575"/>
    <cellStyle name="Currency 2 2 3 3 8 3 3" xfId="24576"/>
    <cellStyle name="Currency 2 2 3 3 8 4" xfId="5617"/>
    <cellStyle name="Currency 2 2 3 3 8 4 2" xfId="5618"/>
    <cellStyle name="Currency 2 2 3 3 8 4 2 2" xfId="24577"/>
    <cellStyle name="Currency 2 2 3 3 8 4 3" xfId="24578"/>
    <cellStyle name="Currency 2 2 3 3 8 5" xfId="5619"/>
    <cellStyle name="Currency 2 2 3 3 8 5 2" xfId="5620"/>
    <cellStyle name="Currency 2 2 3 3 8 5 2 2" xfId="24579"/>
    <cellStyle name="Currency 2 2 3 3 8 5 3" xfId="24580"/>
    <cellStyle name="Currency 2 2 3 3 8 6" xfId="5621"/>
    <cellStyle name="Currency 2 2 3 3 8 6 2" xfId="24581"/>
    <cellStyle name="Currency 2 2 3 3 8 7" xfId="5622"/>
    <cellStyle name="Currency 2 2 3 3 9" xfId="1437"/>
    <cellStyle name="Currency 2 2 3 3 9 2" xfId="5623"/>
    <cellStyle name="Currency 2 2 3 3 9 2 2" xfId="5624"/>
    <cellStyle name="Currency 2 2 3 3 9 2 2 2" xfId="24582"/>
    <cellStyle name="Currency 2 2 3 3 9 2 3" xfId="24583"/>
    <cellStyle name="Currency 2 2 3 3 9 3" xfId="5625"/>
    <cellStyle name="Currency 2 2 3 3 9 3 2" xfId="5626"/>
    <cellStyle name="Currency 2 2 3 3 9 3 2 2" xfId="24584"/>
    <cellStyle name="Currency 2 2 3 3 9 3 3" xfId="24585"/>
    <cellStyle name="Currency 2 2 3 3 9 4" xfId="5627"/>
    <cellStyle name="Currency 2 2 3 3 9 4 2" xfId="5628"/>
    <cellStyle name="Currency 2 2 3 3 9 4 2 2" xfId="24586"/>
    <cellStyle name="Currency 2 2 3 3 9 4 3" xfId="24587"/>
    <cellStyle name="Currency 2 2 3 3 9 5" xfId="5629"/>
    <cellStyle name="Currency 2 2 3 3 9 5 2" xfId="24588"/>
    <cellStyle name="Currency 2 2 3 3 9 6" xfId="5630"/>
    <cellStyle name="Currency 2 2 3 4" xfId="198"/>
    <cellStyle name="Currency 2 2 3 4 10" xfId="5631"/>
    <cellStyle name="Currency 2 2 3 4 2" xfId="356"/>
    <cellStyle name="Currency 2 2 3 4 2 2" xfId="1144"/>
    <cellStyle name="Currency 2 2 3 4 2 2 2" xfId="1438"/>
    <cellStyle name="Currency 2 2 3 4 2 2 2 2" xfId="5632"/>
    <cellStyle name="Currency 2 2 3 4 2 2 2 2 2" xfId="5633"/>
    <cellStyle name="Currency 2 2 3 4 2 2 2 2 2 2" xfId="24589"/>
    <cellStyle name="Currency 2 2 3 4 2 2 2 2 3" xfId="24590"/>
    <cellStyle name="Currency 2 2 3 4 2 2 2 3" xfId="5634"/>
    <cellStyle name="Currency 2 2 3 4 2 2 2 3 2" xfId="5635"/>
    <cellStyle name="Currency 2 2 3 4 2 2 2 3 2 2" xfId="24591"/>
    <cellStyle name="Currency 2 2 3 4 2 2 2 3 3" xfId="24592"/>
    <cellStyle name="Currency 2 2 3 4 2 2 2 4" xfId="5636"/>
    <cellStyle name="Currency 2 2 3 4 2 2 2 4 2" xfId="5637"/>
    <cellStyle name="Currency 2 2 3 4 2 2 2 4 2 2" xfId="24593"/>
    <cellStyle name="Currency 2 2 3 4 2 2 2 4 3" xfId="24594"/>
    <cellStyle name="Currency 2 2 3 4 2 2 2 5" xfId="5638"/>
    <cellStyle name="Currency 2 2 3 4 2 2 2 5 2" xfId="24595"/>
    <cellStyle name="Currency 2 2 3 4 2 2 2 6" xfId="5639"/>
    <cellStyle name="Currency 2 2 3 4 2 2 3" xfId="5640"/>
    <cellStyle name="Currency 2 2 3 4 2 2 3 2" xfId="5641"/>
    <cellStyle name="Currency 2 2 3 4 2 2 3 2 2" xfId="24596"/>
    <cellStyle name="Currency 2 2 3 4 2 2 3 3" xfId="24597"/>
    <cellStyle name="Currency 2 2 3 4 2 2 4" xfId="5642"/>
    <cellStyle name="Currency 2 2 3 4 2 2 4 2" xfId="5643"/>
    <cellStyle name="Currency 2 2 3 4 2 2 4 2 2" xfId="24598"/>
    <cellStyle name="Currency 2 2 3 4 2 2 4 3" xfId="24599"/>
    <cellStyle name="Currency 2 2 3 4 2 2 5" xfId="5644"/>
    <cellStyle name="Currency 2 2 3 4 2 2 5 2" xfId="5645"/>
    <cellStyle name="Currency 2 2 3 4 2 2 5 2 2" xfId="24600"/>
    <cellStyle name="Currency 2 2 3 4 2 2 5 3" xfId="24601"/>
    <cellStyle name="Currency 2 2 3 4 2 2 6" xfId="5646"/>
    <cellStyle name="Currency 2 2 3 4 2 2 6 2" xfId="24602"/>
    <cellStyle name="Currency 2 2 3 4 2 2 7" xfId="5647"/>
    <cellStyle name="Currency 2 2 3 4 2 3" xfId="776"/>
    <cellStyle name="Currency 2 2 3 4 2 3 2" xfId="1439"/>
    <cellStyle name="Currency 2 2 3 4 2 3 2 2" xfId="5648"/>
    <cellStyle name="Currency 2 2 3 4 2 3 2 2 2" xfId="5649"/>
    <cellStyle name="Currency 2 2 3 4 2 3 2 2 2 2" xfId="24603"/>
    <cellStyle name="Currency 2 2 3 4 2 3 2 2 3" xfId="24604"/>
    <cellStyle name="Currency 2 2 3 4 2 3 2 3" xfId="5650"/>
    <cellStyle name="Currency 2 2 3 4 2 3 2 3 2" xfId="5651"/>
    <cellStyle name="Currency 2 2 3 4 2 3 2 3 2 2" xfId="24605"/>
    <cellStyle name="Currency 2 2 3 4 2 3 2 3 3" xfId="24606"/>
    <cellStyle name="Currency 2 2 3 4 2 3 2 4" xfId="5652"/>
    <cellStyle name="Currency 2 2 3 4 2 3 2 4 2" xfId="5653"/>
    <cellStyle name="Currency 2 2 3 4 2 3 2 4 2 2" xfId="24607"/>
    <cellStyle name="Currency 2 2 3 4 2 3 2 4 3" xfId="24608"/>
    <cellStyle name="Currency 2 2 3 4 2 3 2 5" xfId="5654"/>
    <cellStyle name="Currency 2 2 3 4 2 3 2 5 2" xfId="24609"/>
    <cellStyle name="Currency 2 2 3 4 2 3 2 6" xfId="5655"/>
    <cellStyle name="Currency 2 2 3 4 2 3 3" xfId="5656"/>
    <cellStyle name="Currency 2 2 3 4 2 3 3 2" xfId="5657"/>
    <cellStyle name="Currency 2 2 3 4 2 3 3 2 2" xfId="24610"/>
    <cellStyle name="Currency 2 2 3 4 2 3 3 3" xfId="24611"/>
    <cellStyle name="Currency 2 2 3 4 2 3 4" xfId="5658"/>
    <cellStyle name="Currency 2 2 3 4 2 3 4 2" xfId="5659"/>
    <cellStyle name="Currency 2 2 3 4 2 3 4 2 2" xfId="24612"/>
    <cellStyle name="Currency 2 2 3 4 2 3 4 3" xfId="24613"/>
    <cellStyle name="Currency 2 2 3 4 2 3 5" xfId="5660"/>
    <cellStyle name="Currency 2 2 3 4 2 3 5 2" xfId="5661"/>
    <cellStyle name="Currency 2 2 3 4 2 3 5 2 2" xfId="24614"/>
    <cellStyle name="Currency 2 2 3 4 2 3 5 3" xfId="24615"/>
    <cellStyle name="Currency 2 2 3 4 2 3 6" xfId="5662"/>
    <cellStyle name="Currency 2 2 3 4 2 3 6 2" xfId="24616"/>
    <cellStyle name="Currency 2 2 3 4 2 3 7" xfId="5663"/>
    <cellStyle name="Currency 2 2 3 4 2 4" xfId="1440"/>
    <cellStyle name="Currency 2 2 3 4 2 4 2" xfId="5664"/>
    <cellStyle name="Currency 2 2 3 4 2 4 2 2" xfId="5665"/>
    <cellStyle name="Currency 2 2 3 4 2 4 2 2 2" xfId="24617"/>
    <cellStyle name="Currency 2 2 3 4 2 4 2 3" xfId="24618"/>
    <cellStyle name="Currency 2 2 3 4 2 4 3" xfId="5666"/>
    <cellStyle name="Currency 2 2 3 4 2 4 3 2" xfId="5667"/>
    <cellStyle name="Currency 2 2 3 4 2 4 3 2 2" xfId="24619"/>
    <cellStyle name="Currency 2 2 3 4 2 4 3 3" xfId="24620"/>
    <cellStyle name="Currency 2 2 3 4 2 4 4" xfId="5668"/>
    <cellStyle name="Currency 2 2 3 4 2 4 4 2" xfId="5669"/>
    <cellStyle name="Currency 2 2 3 4 2 4 4 2 2" xfId="24621"/>
    <cellStyle name="Currency 2 2 3 4 2 4 4 3" xfId="24622"/>
    <cellStyle name="Currency 2 2 3 4 2 4 5" xfId="5670"/>
    <cellStyle name="Currency 2 2 3 4 2 4 5 2" xfId="24623"/>
    <cellStyle name="Currency 2 2 3 4 2 4 6" xfId="5671"/>
    <cellStyle name="Currency 2 2 3 4 2 5" xfId="5672"/>
    <cellStyle name="Currency 2 2 3 4 2 5 2" xfId="5673"/>
    <cellStyle name="Currency 2 2 3 4 2 5 2 2" xfId="24624"/>
    <cellStyle name="Currency 2 2 3 4 2 5 3" xfId="24625"/>
    <cellStyle name="Currency 2 2 3 4 2 6" xfId="5674"/>
    <cellStyle name="Currency 2 2 3 4 2 6 2" xfId="5675"/>
    <cellStyle name="Currency 2 2 3 4 2 6 2 2" xfId="24626"/>
    <cellStyle name="Currency 2 2 3 4 2 6 3" xfId="24627"/>
    <cellStyle name="Currency 2 2 3 4 2 7" xfId="5676"/>
    <cellStyle name="Currency 2 2 3 4 2 7 2" xfId="5677"/>
    <cellStyle name="Currency 2 2 3 4 2 7 2 2" xfId="24628"/>
    <cellStyle name="Currency 2 2 3 4 2 7 3" xfId="24629"/>
    <cellStyle name="Currency 2 2 3 4 2 8" xfId="5678"/>
    <cellStyle name="Currency 2 2 3 4 2 8 2" xfId="24630"/>
    <cellStyle name="Currency 2 2 3 4 2 9" xfId="5679"/>
    <cellStyle name="Currency 2 2 3 4 3" xfId="986"/>
    <cellStyle name="Currency 2 2 3 4 3 2" xfId="1441"/>
    <cellStyle name="Currency 2 2 3 4 3 2 2" xfId="5680"/>
    <cellStyle name="Currency 2 2 3 4 3 2 2 2" xfId="5681"/>
    <cellStyle name="Currency 2 2 3 4 3 2 2 2 2" xfId="24631"/>
    <cellStyle name="Currency 2 2 3 4 3 2 2 3" xfId="24632"/>
    <cellStyle name="Currency 2 2 3 4 3 2 3" xfId="5682"/>
    <cellStyle name="Currency 2 2 3 4 3 2 3 2" xfId="5683"/>
    <cellStyle name="Currency 2 2 3 4 3 2 3 2 2" xfId="24633"/>
    <cellStyle name="Currency 2 2 3 4 3 2 3 3" xfId="24634"/>
    <cellStyle name="Currency 2 2 3 4 3 2 4" xfId="5684"/>
    <cellStyle name="Currency 2 2 3 4 3 2 4 2" xfId="5685"/>
    <cellStyle name="Currency 2 2 3 4 3 2 4 2 2" xfId="24635"/>
    <cellStyle name="Currency 2 2 3 4 3 2 4 3" xfId="24636"/>
    <cellStyle name="Currency 2 2 3 4 3 2 5" xfId="5686"/>
    <cellStyle name="Currency 2 2 3 4 3 2 5 2" xfId="24637"/>
    <cellStyle name="Currency 2 2 3 4 3 2 6" xfId="5687"/>
    <cellStyle name="Currency 2 2 3 4 3 3" xfId="5688"/>
    <cellStyle name="Currency 2 2 3 4 3 3 2" xfId="5689"/>
    <cellStyle name="Currency 2 2 3 4 3 3 2 2" xfId="24638"/>
    <cellStyle name="Currency 2 2 3 4 3 3 3" xfId="24639"/>
    <cellStyle name="Currency 2 2 3 4 3 4" xfId="5690"/>
    <cellStyle name="Currency 2 2 3 4 3 4 2" xfId="5691"/>
    <cellStyle name="Currency 2 2 3 4 3 4 2 2" xfId="24640"/>
    <cellStyle name="Currency 2 2 3 4 3 4 3" xfId="24641"/>
    <cellStyle name="Currency 2 2 3 4 3 5" xfId="5692"/>
    <cellStyle name="Currency 2 2 3 4 3 5 2" xfId="5693"/>
    <cellStyle name="Currency 2 2 3 4 3 5 2 2" xfId="24642"/>
    <cellStyle name="Currency 2 2 3 4 3 5 3" xfId="24643"/>
    <cellStyle name="Currency 2 2 3 4 3 6" xfId="5694"/>
    <cellStyle name="Currency 2 2 3 4 3 6 2" xfId="24644"/>
    <cellStyle name="Currency 2 2 3 4 3 7" xfId="5695"/>
    <cellStyle name="Currency 2 2 3 4 4" xfId="618"/>
    <cellStyle name="Currency 2 2 3 4 4 2" xfId="1442"/>
    <cellStyle name="Currency 2 2 3 4 4 2 2" xfId="5696"/>
    <cellStyle name="Currency 2 2 3 4 4 2 2 2" xfId="5697"/>
    <cellStyle name="Currency 2 2 3 4 4 2 2 2 2" xfId="24645"/>
    <cellStyle name="Currency 2 2 3 4 4 2 2 3" xfId="24646"/>
    <cellStyle name="Currency 2 2 3 4 4 2 3" xfId="5698"/>
    <cellStyle name="Currency 2 2 3 4 4 2 3 2" xfId="5699"/>
    <cellStyle name="Currency 2 2 3 4 4 2 3 2 2" xfId="24647"/>
    <cellStyle name="Currency 2 2 3 4 4 2 3 3" xfId="24648"/>
    <cellStyle name="Currency 2 2 3 4 4 2 4" xfId="5700"/>
    <cellStyle name="Currency 2 2 3 4 4 2 4 2" xfId="5701"/>
    <cellStyle name="Currency 2 2 3 4 4 2 4 2 2" xfId="24649"/>
    <cellStyle name="Currency 2 2 3 4 4 2 4 3" xfId="24650"/>
    <cellStyle name="Currency 2 2 3 4 4 2 5" xfId="5702"/>
    <cellStyle name="Currency 2 2 3 4 4 2 5 2" xfId="24651"/>
    <cellStyle name="Currency 2 2 3 4 4 2 6" xfId="5703"/>
    <cellStyle name="Currency 2 2 3 4 4 3" xfId="5704"/>
    <cellStyle name="Currency 2 2 3 4 4 3 2" xfId="5705"/>
    <cellStyle name="Currency 2 2 3 4 4 3 2 2" xfId="24652"/>
    <cellStyle name="Currency 2 2 3 4 4 3 3" xfId="24653"/>
    <cellStyle name="Currency 2 2 3 4 4 4" xfId="5706"/>
    <cellStyle name="Currency 2 2 3 4 4 4 2" xfId="5707"/>
    <cellStyle name="Currency 2 2 3 4 4 4 2 2" xfId="24654"/>
    <cellStyle name="Currency 2 2 3 4 4 4 3" xfId="24655"/>
    <cellStyle name="Currency 2 2 3 4 4 5" xfId="5708"/>
    <cellStyle name="Currency 2 2 3 4 4 5 2" xfId="5709"/>
    <cellStyle name="Currency 2 2 3 4 4 5 2 2" xfId="24656"/>
    <cellStyle name="Currency 2 2 3 4 4 5 3" xfId="24657"/>
    <cellStyle name="Currency 2 2 3 4 4 6" xfId="5710"/>
    <cellStyle name="Currency 2 2 3 4 4 6 2" xfId="24658"/>
    <cellStyle name="Currency 2 2 3 4 4 7" xfId="5711"/>
    <cellStyle name="Currency 2 2 3 4 5" xfId="1443"/>
    <cellStyle name="Currency 2 2 3 4 5 2" xfId="5712"/>
    <cellStyle name="Currency 2 2 3 4 5 2 2" xfId="5713"/>
    <cellStyle name="Currency 2 2 3 4 5 2 2 2" xfId="24659"/>
    <cellStyle name="Currency 2 2 3 4 5 2 3" xfId="24660"/>
    <cellStyle name="Currency 2 2 3 4 5 3" xfId="5714"/>
    <cellStyle name="Currency 2 2 3 4 5 3 2" xfId="5715"/>
    <cellStyle name="Currency 2 2 3 4 5 3 2 2" xfId="24661"/>
    <cellStyle name="Currency 2 2 3 4 5 3 3" xfId="24662"/>
    <cellStyle name="Currency 2 2 3 4 5 4" xfId="5716"/>
    <cellStyle name="Currency 2 2 3 4 5 4 2" xfId="5717"/>
    <cellStyle name="Currency 2 2 3 4 5 4 2 2" xfId="24663"/>
    <cellStyle name="Currency 2 2 3 4 5 4 3" xfId="24664"/>
    <cellStyle name="Currency 2 2 3 4 5 5" xfId="5718"/>
    <cellStyle name="Currency 2 2 3 4 5 5 2" xfId="24665"/>
    <cellStyle name="Currency 2 2 3 4 5 6" xfId="5719"/>
    <cellStyle name="Currency 2 2 3 4 6" xfId="5720"/>
    <cellStyle name="Currency 2 2 3 4 6 2" xfId="5721"/>
    <cellStyle name="Currency 2 2 3 4 6 2 2" xfId="24666"/>
    <cellStyle name="Currency 2 2 3 4 6 3" xfId="24667"/>
    <cellStyle name="Currency 2 2 3 4 7" xfId="5722"/>
    <cellStyle name="Currency 2 2 3 4 7 2" xfId="5723"/>
    <cellStyle name="Currency 2 2 3 4 7 2 2" xfId="24668"/>
    <cellStyle name="Currency 2 2 3 4 7 3" xfId="24669"/>
    <cellStyle name="Currency 2 2 3 4 8" xfId="5724"/>
    <cellStyle name="Currency 2 2 3 4 8 2" xfId="5725"/>
    <cellStyle name="Currency 2 2 3 4 8 2 2" xfId="24670"/>
    <cellStyle name="Currency 2 2 3 4 8 3" xfId="24671"/>
    <cellStyle name="Currency 2 2 3 4 9" xfId="5726"/>
    <cellStyle name="Currency 2 2 3 4 9 2" xfId="24672"/>
    <cellStyle name="Currency 2 2 3 5" xfId="249"/>
    <cellStyle name="Currency 2 2 3 5 10" xfId="5727"/>
    <cellStyle name="Currency 2 2 3 5 2" xfId="407"/>
    <cellStyle name="Currency 2 2 3 5 2 2" xfId="1195"/>
    <cellStyle name="Currency 2 2 3 5 2 2 2" xfId="1444"/>
    <cellStyle name="Currency 2 2 3 5 2 2 2 2" xfId="5728"/>
    <cellStyle name="Currency 2 2 3 5 2 2 2 2 2" xfId="5729"/>
    <cellStyle name="Currency 2 2 3 5 2 2 2 2 2 2" xfId="24673"/>
    <cellStyle name="Currency 2 2 3 5 2 2 2 2 3" xfId="24674"/>
    <cellStyle name="Currency 2 2 3 5 2 2 2 3" xfId="5730"/>
    <cellStyle name="Currency 2 2 3 5 2 2 2 3 2" xfId="5731"/>
    <cellStyle name="Currency 2 2 3 5 2 2 2 3 2 2" xfId="24675"/>
    <cellStyle name="Currency 2 2 3 5 2 2 2 3 3" xfId="24676"/>
    <cellStyle name="Currency 2 2 3 5 2 2 2 4" xfId="5732"/>
    <cellStyle name="Currency 2 2 3 5 2 2 2 4 2" xfId="5733"/>
    <cellStyle name="Currency 2 2 3 5 2 2 2 4 2 2" xfId="24677"/>
    <cellStyle name="Currency 2 2 3 5 2 2 2 4 3" xfId="24678"/>
    <cellStyle name="Currency 2 2 3 5 2 2 2 5" xfId="5734"/>
    <cellStyle name="Currency 2 2 3 5 2 2 2 5 2" xfId="24679"/>
    <cellStyle name="Currency 2 2 3 5 2 2 2 6" xfId="5735"/>
    <cellStyle name="Currency 2 2 3 5 2 2 3" xfId="5736"/>
    <cellStyle name="Currency 2 2 3 5 2 2 3 2" xfId="5737"/>
    <cellStyle name="Currency 2 2 3 5 2 2 3 2 2" xfId="24680"/>
    <cellStyle name="Currency 2 2 3 5 2 2 3 3" xfId="24681"/>
    <cellStyle name="Currency 2 2 3 5 2 2 4" xfId="5738"/>
    <cellStyle name="Currency 2 2 3 5 2 2 4 2" xfId="5739"/>
    <cellStyle name="Currency 2 2 3 5 2 2 4 2 2" xfId="24682"/>
    <cellStyle name="Currency 2 2 3 5 2 2 4 3" xfId="24683"/>
    <cellStyle name="Currency 2 2 3 5 2 2 5" xfId="5740"/>
    <cellStyle name="Currency 2 2 3 5 2 2 5 2" xfId="5741"/>
    <cellStyle name="Currency 2 2 3 5 2 2 5 2 2" xfId="24684"/>
    <cellStyle name="Currency 2 2 3 5 2 2 5 3" xfId="24685"/>
    <cellStyle name="Currency 2 2 3 5 2 2 6" xfId="5742"/>
    <cellStyle name="Currency 2 2 3 5 2 2 6 2" xfId="24686"/>
    <cellStyle name="Currency 2 2 3 5 2 2 7" xfId="5743"/>
    <cellStyle name="Currency 2 2 3 5 2 3" xfId="827"/>
    <cellStyle name="Currency 2 2 3 5 2 3 2" xfId="1445"/>
    <cellStyle name="Currency 2 2 3 5 2 3 2 2" xfId="5744"/>
    <cellStyle name="Currency 2 2 3 5 2 3 2 2 2" xfId="5745"/>
    <cellStyle name="Currency 2 2 3 5 2 3 2 2 2 2" xfId="24687"/>
    <cellStyle name="Currency 2 2 3 5 2 3 2 2 3" xfId="24688"/>
    <cellStyle name="Currency 2 2 3 5 2 3 2 3" xfId="5746"/>
    <cellStyle name="Currency 2 2 3 5 2 3 2 3 2" xfId="5747"/>
    <cellStyle name="Currency 2 2 3 5 2 3 2 3 2 2" xfId="24689"/>
    <cellStyle name="Currency 2 2 3 5 2 3 2 3 3" xfId="24690"/>
    <cellStyle name="Currency 2 2 3 5 2 3 2 4" xfId="5748"/>
    <cellStyle name="Currency 2 2 3 5 2 3 2 4 2" xfId="5749"/>
    <cellStyle name="Currency 2 2 3 5 2 3 2 4 2 2" xfId="24691"/>
    <cellStyle name="Currency 2 2 3 5 2 3 2 4 3" xfId="24692"/>
    <cellStyle name="Currency 2 2 3 5 2 3 2 5" xfId="5750"/>
    <cellStyle name="Currency 2 2 3 5 2 3 2 5 2" xfId="24693"/>
    <cellStyle name="Currency 2 2 3 5 2 3 2 6" xfId="5751"/>
    <cellStyle name="Currency 2 2 3 5 2 3 3" xfId="5752"/>
    <cellStyle name="Currency 2 2 3 5 2 3 3 2" xfId="5753"/>
    <cellStyle name="Currency 2 2 3 5 2 3 3 2 2" xfId="24694"/>
    <cellStyle name="Currency 2 2 3 5 2 3 3 3" xfId="24695"/>
    <cellStyle name="Currency 2 2 3 5 2 3 4" xfId="5754"/>
    <cellStyle name="Currency 2 2 3 5 2 3 4 2" xfId="5755"/>
    <cellStyle name="Currency 2 2 3 5 2 3 4 2 2" xfId="24696"/>
    <cellStyle name="Currency 2 2 3 5 2 3 4 3" xfId="24697"/>
    <cellStyle name="Currency 2 2 3 5 2 3 5" xfId="5756"/>
    <cellStyle name="Currency 2 2 3 5 2 3 5 2" xfId="5757"/>
    <cellStyle name="Currency 2 2 3 5 2 3 5 2 2" xfId="24698"/>
    <cellStyle name="Currency 2 2 3 5 2 3 5 3" xfId="24699"/>
    <cellStyle name="Currency 2 2 3 5 2 3 6" xfId="5758"/>
    <cellStyle name="Currency 2 2 3 5 2 3 6 2" xfId="24700"/>
    <cellStyle name="Currency 2 2 3 5 2 3 7" xfId="5759"/>
    <cellStyle name="Currency 2 2 3 5 2 4" xfId="1446"/>
    <cellStyle name="Currency 2 2 3 5 2 4 2" xfId="5760"/>
    <cellStyle name="Currency 2 2 3 5 2 4 2 2" xfId="5761"/>
    <cellStyle name="Currency 2 2 3 5 2 4 2 2 2" xfId="24701"/>
    <cellStyle name="Currency 2 2 3 5 2 4 2 3" xfId="24702"/>
    <cellStyle name="Currency 2 2 3 5 2 4 3" xfId="5762"/>
    <cellStyle name="Currency 2 2 3 5 2 4 3 2" xfId="5763"/>
    <cellStyle name="Currency 2 2 3 5 2 4 3 2 2" xfId="24703"/>
    <cellStyle name="Currency 2 2 3 5 2 4 3 3" xfId="24704"/>
    <cellStyle name="Currency 2 2 3 5 2 4 4" xfId="5764"/>
    <cellStyle name="Currency 2 2 3 5 2 4 4 2" xfId="5765"/>
    <cellStyle name="Currency 2 2 3 5 2 4 4 2 2" xfId="24705"/>
    <cellStyle name="Currency 2 2 3 5 2 4 4 3" xfId="24706"/>
    <cellStyle name="Currency 2 2 3 5 2 4 5" xfId="5766"/>
    <cellStyle name="Currency 2 2 3 5 2 4 5 2" xfId="24707"/>
    <cellStyle name="Currency 2 2 3 5 2 4 6" xfId="5767"/>
    <cellStyle name="Currency 2 2 3 5 2 5" xfId="5768"/>
    <cellStyle name="Currency 2 2 3 5 2 5 2" xfId="5769"/>
    <cellStyle name="Currency 2 2 3 5 2 5 2 2" xfId="24708"/>
    <cellStyle name="Currency 2 2 3 5 2 5 3" xfId="24709"/>
    <cellStyle name="Currency 2 2 3 5 2 6" xfId="5770"/>
    <cellStyle name="Currency 2 2 3 5 2 6 2" xfId="5771"/>
    <cellStyle name="Currency 2 2 3 5 2 6 2 2" xfId="24710"/>
    <cellStyle name="Currency 2 2 3 5 2 6 3" xfId="24711"/>
    <cellStyle name="Currency 2 2 3 5 2 7" xfId="5772"/>
    <cellStyle name="Currency 2 2 3 5 2 7 2" xfId="5773"/>
    <cellStyle name="Currency 2 2 3 5 2 7 2 2" xfId="24712"/>
    <cellStyle name="Currency 2 2 3 5 2 7 3" xfId="24713"/>
    <cellStyle name="Currency 2 2 3 5 2 8" xfId="5774"/>
    <cellStyle name="Currency 2 2 3 5 2 8 2" xfId="24714"/>
    <cellStyle name="Currency 2 2 3 5 2 9" xfId="5775"/>
    <cellStyle name="Currency 2 2 3 5 3" xfId="1037"/>
    <cellStyle name="Currency 2 2 3 5 3 2" xfId="1447"/>
    <cellStyle name="Currency 2 2 3 5 3 2 2" xfId="5776"/>
    <cellStyle name="Currency 2 2 3 5 3 2 2 2" xfId="5777"/>
    <cellStyle name="Currency 2 2 3 5 3 2 2 2 2" xfId="24715"/>
    <cellStyle name="Currency 2 2 3 5 3 2 2 3" xfId="24716"/>
    <cellStyle name="Currency 2 2 3 5 3 2 3" xfId="5778"/>
    <cellStyle name="Currency 2 2 3 5 3 2 3 2" xfId="5779"/>
    <cellStyle name="Currency 2 2 3 5 3 2 3 2 2" xfId="24717"/>
    <cellStyle name="Currency 2 2 3 5 3 2 3 3" xfId="24718"/>
    <cellStyle name="Currency 2 2 3 5 3 2 4" xfId="5780"/>
    <cellStyle name="Currency 2 2 3 5 3 2 4 2" xfId="5781"/>
    <cellStyle name="Currency 2 2 3 5 3 2 4 2 2" xfId="24719"/>
    <cellStyle name="Currency 2 2 3 5 3 2 4 3" xfId="24720"/>
    <cellStyle name="Currency 2 2 3 5 3 2 5" xfId="5782"/>
    <cellStyle name="Currency 2 2 3 5 3 2 5 2" xfId="24721"/>
    <cellStyle name="Currency 2 2 3 5 3 2 6" xfId="5783"/>
    <cellStyle name="Currency 2 2 3 5 3 3" xfId="5784"/>
    <cellStyle name="Currency 2 2 3 5 3 3 2" xfId="5785"/>
    <cellStyle name="Currency 2 2 3 5 3 3 2 2" xfId="24722"/>
    <cellStyle name="Currency 2 2 3 5 3 3 3" xfId="24723"/>
    <cellStyle name="Currency 2 2 3 5 3 4" xfId="5786"/>
    <cellStyle name="Currency 2 2 3 5 3 4 2" xfId="5787"/>
    <cellStyle name="Currency 2 2 3 5 3 4 2 2" xfId="24724"/>
    <cellStyle name="Currency 2 2 3 5 3 4 3" xfId="24725"/>
    <cellStyle name="Currency 2 2 3 5 3 5" xfId="5788"/>
    <cellStyle name="Currency 2 2 3 5 3 5 2" xfId="5789"/>
    <cellStyle name="Currency 2 2 3 5 3 5 2 2" xfId="24726"/>
    <cellStyle name="Currency 2 2 3 5 3 5 3" xfId="24727"/>
    <cellStyle name="Currency 2 2 3 5 3 6" xfId="5790"/>
    <cellStyle name="Currency 2 2 3 5 3 6 2" xfId="24728"/>
    <cellStyle name="Currency 2 2 3 5 3 7" xfId="5791"/>
    <cellStyle name="Currency 2 2 3 5 4" xfId="669"/>
    <cellStyle name="Currency 2 2 3 5 4 2" xfId="1448"/>
    <cellStyle name="Currency 2 2 3 5 4 2 2" xfId="5792"/>
    <cellStyle name="Currency 2 2 3 5 4 2 2 2" xfId="5793"/>
    <cellStyle name="Currency 2 2 3 5 4 2 2 2 2" xfId="24729"/>
    <cellStyle name="Currency 2 2 3 5 4 2 2 3" xfId="24730"/>
    <cellStyle name="Currency 2 2 3 5 4 2 3" xfId="5794"/>
    <cellStyle name="Currency 2 2 3 5 4 2 3 2" xfId="5795"/>
    <cellStyle name="Currency 2 2 3 5 4 2 3 2 2" xfId="24731"/>
    <cellStyle name="Currency 2 2 3 5 4 2 3 3" xfId="24732"/>
    <cellStyle name="Currency 2 2 3 5 4 2 4" xfId="5796"/>
    <cellStyle name="Currency 2 2 3 5 4 2 4 2" xfId="5797"/>
    <cellStyle name="Currency 2 2 3 5 4 2 4 2 2" xfId="24733"/>
    <cellStyle name="Currency 2 2 3 5 4 2 4 3" xfId="24734"/>
    <cellStyle name="Currency 2 2 3 5 4 2 5" xfId="5798"/>
    <cellStyle name="Currency 2 2 3 5 4 2 5 2" xfId="24735"/>
    <cellStyle name="Currency 2 2 3 5 4 2 6" xfId="5799"/>
    <cellStyle name="Currency 2 2 3 5 4 3" xfId="5800"/>
    <cellStyle name="Currency 2 2 3 5 4 3 2" xfId="5801"/>
    <cellStyle name="Currency 2 2 3 5 4 3 2 2" xfId="24736"/>
    <cellStyle name="Currency 2 2 3 5 4 3 3" xfId="24737"/>
    <cellStyle name="Currency 2 2 3 5 4 4" xfId="5802"/>
    <cellStyle name="Currency 2 2 3 5 4 4 2" xfId="5803"/>
    <cellStyle name="Currency 2 2 3 5 4 4 2 2" xfId="24738"/>
    <cellStyle name="Currency 2 2 3 5 4 4 3" xfId="24739"/>
    <cellStyle name="Currency 2 2 3 5 4 5" xfId="5804"/>
    <cellStyle name="Currency 2 2 3 5 4 5 2" xfId="5805"/>
    <cellStyle name="Currency 2 2 3 5 4 5 2 2" xfId="24740"/>
    <cellStyle name="Currency 2 2 3 5 4 5 3" xfId="24741"/>
    <cellStyle name="Currency 2 2 3 5 4 6" xfId="5806"/>
    <cellStyle name="Currency 2 2 3 5 4 6 2" xfId="24742"/>
    <cellStyle name="Currency 2 2 3 5 4 7" xfId="5807"/>
    <cellStyle name="Currency 2 2 3 5 5" xfId="1449"/>
    <cellStyle name="Currency 2 2 3 5 5 2" xfId="5808"/>
    <cellStyle name="Currency 2 2 3 5 5 2 2" xfId="5809"/>
    <cellStyle name="Currency 2 2 3 5 5 2 2 2" xfId="24743"/>
    <cellStyle name="Currency 2 2 3 5 5 2 3" xfId="24744"/>
    <cellStyle name="Currency 2 2 3 5 5 3" xfId="5810"/>
    <cellStyle name="Currency 2 2 3 5 5 3 2" xfId="5811"/>
    <cellStyle name="Currency 2 2 3 5 5 3 2 2" xfId="24745"/>
    <cellStyle name="Currency 2 2 3 5 5 3 3" xfId="24746"/>
    <cellStyle name="Currency 2 2 3 5 5 4" xfId="5812"/>
    <cellStyle name="Currency 2 2 3 5 5 4 2" xfId="5813"/>
    <cellStyle name="Currency 2 2 3 5 5 4 2 2" xfId="24747"/>
    <cellStyle name="Currency 2 2 3 5 5 4 3" xfId="24748"/>
    <cellStyle name="Currency 2 2 3 5 5 5" xfId="5814"/>
    <cellStyle name="Currency 2 2 3 5 5 5 2" xfId="24749"/>
    <cellStyle name="Currency 2 2 3 5 5 6" xfId="5815"/>
    <cellStyle name="Currency 2 2 3 5 6" xfId="5816"/>
    <cellStyle name="Currency 2 2 3 5 6 2" xfId="5817"/>
    <cellStyle name="Currency 2 2 3 5 6 2 2" xfId="24750"/>
    <cellStyle name="Currency 2 2 3 5 6 3" xfId="24751"/>
    <cellStyle name="Currency 2 2 3 5 7" xfId="5818"/>
    <cellStyle name="Currency 2 2 3 5 7 2" xfId="5819"/>
    <cellStyle name="Currency 2 2 3 5 7 2 2" xfId="24752"/>
    <cellStyle name="Currency 2 2 3 5 7 3" xfId="24753"/>
    <cellStyle name="Currency 2 2 3 5 8" xfId="5820"/>
    <cellStyle name="Currency 2 2 3 5 8 2" xfId="5821"/>
    <cellStyle name="Currency 2 2 3 5 8 2 2" xfId="24754"/>
    <cellStyle name="Currency 2 2 3 5 8 3" xfId="24755"/>
    <cellStyle name="Currency 2 2 3 5 9" xfId="5822"/>
    <cellStyle name="Currency 2 2 3 5 9 2" xfId="24756"/>
    <cellStyle name="Currency 2 2 3 6" xfId="145"/>
    <cellStyle name="Currency 2 2 3 6 2" xfId="933"/>
    <cellStyle name="Currency 2 2 3 6 2 2" xfId="1450"/>
    <cellStyle name="Currency 2 2 3 6 2 2 2" xfId="5823"/>
    <cellStyle name="Currency 2 2 3 6 2 2 2 2" xfId="5824"/>
    <cellStyle name="Currency 2 2 3 6 2 2 2 2 2" xfId="24757"/>
    <cellStyle name="Currency 2 2 3 6 2 2 2 3" xfId="24758"/>
    <cellStyle name="Currency 2 2 3 6 2 2 3" xfId="5825"/>
    <cellStyle name="Currency 2 2 3 6 2 2 3 2" xfId="5826"/>
    <cellStyle name="Currency 2 2 3 6 2 2 3 2 2" xfId="24759"/>
    <cellStyle name="Currency 2 2 3 6 2 2 3 3" xfId="24760"/>
    <cellStyle name="Currency 2 2 3 6 2 2 4" xfId="5827"/>
    <cellStyle name="Currency 2 2 3 6 2 2 4 2" xfId="5828"/>
    <cellStyle name="Currency 2 2 3 6 2 2 4 2 2" xfId="24761"/>
    <cellStyle name="Currency 2 2 3 6 2 2 4 3" xfId="24762"/>
    <cellStyle name="Currency 2 2 3 6 2 2 5" xfId="5829"/>
    <cellStyle name="Currency 2 2 3 6 2 2 5 2" xfId="24763"/>
    <cellStyle name="Currency 2 2 3 6 2 2 6" xfId="5830"/>
    <cellStyle name="Currency 2 2 3 6 2 3" xfId="5831"/>
    <cellStyle name="Currency 2 2 3 6 2 3 2" xfId="5832"/>
    <cellStyle name="Currency 2 2 3 6 2 3 2 2" xfId="24764"/>
    <cellStyle name="Currency 2 2 3 6 2 3 3" xfId="24765"/>
    <cellStyle name="Currency 2 2 3 6 2 4" xfId="5833"/>
    <cellStyle name="Currency 2 2 3 6 2 4 2" xfId="5834"/>
    <cellStyle name="Currency 2 2 3 6 2 4 2 2" xfId="24766"/>
    <cellStyle name="Currency 2 2 3 6 2 4 3" xfId="24767"/>
    <cellStyle name="Currency 2 2 3 6 2 5" xfId="5835"/>
    <cellStyle name="Currency 2 2 3 6 2 5 2" xfId="5836"/>
    <cellStyle name="Currency 2 2 3 6 2 5 2 2" xfId="24768"/>
    <cellStyle name="Currency 2 2 3 6 2 5 3" xfId="24769"/>
    <cellStyle name="Currency 2 2 3 6 2 6" xfId="5837"/>
    <cellStyle name="Currency 2 2 3 6 2 6 2" xfId="24770"/>
    <cellStyle name="Currency 2 2 3 6 2 7" xfId="5838"/>
    <cellStyle name="Currency 2 2 3 6 3" xfId="565"/>
    <cellStyle name="Currency 2 2 3 6 3 2" xfId="1451"/>
    <cellStyle name="Currency 2 2 3 6 3 2 2" xfId="5839"/>
    <cellStyle name="Currency 2 2 3 6 3 2 2 2" xfId="5840"/>
    <cellStyle name="Currency 2 2 3 6 3 2 2 2 2" xfId="24771"/>
    <cellStyle name="Currency 2 2 3 6 3 2 2 3" xfId="24772"/>
    <cellStyle name="Currency 2 2 3 6 3 2 3" xfId="5841"/>
    <cellStyle name="Currency 2 2 3 6 3 2 3 2" xfId="5842"/>
    <cellStyle name="Currency 2 2 3 6 3 2 3 2 2" xfId="24773"/>
    <cellStyle name="Currency 2 2 3 6 3 2 3 3" xfId="24774"/>
    <cellStyle name="Currency 2 2 3 6 3 2 4" xfId="5843"/>
    <cellStyle name="Currency 2 2 3 6 3 2 4 2" xfId="5844"/>
    <cellStyle name="Currency 2 2 3 6 3 2 4 2 2" xfId="24775"/>
    <cellStyle name="Currency 2 2 3 6 3 2 4 3" xfId="24776"/>
    <cellStyle name="Currency 2 2 3 6 3 2 5" xfId="5845"/>
    <cellStyle name="Currency 2 2 3 6 3 2 5 2" xfId="24777"/>
    <cellStyle name="Currency 2 2 3 6 3 2 6" xfId="5846"/>
    <cellStyle name="Currency 2 2 3 6 3 3" xfId="5847"/>
    <cellStyle name="Currency 2 2 3 6 3 3 2" xfId="5848"/>
    <cellStyle name="Currency 2 2 3 6 3 3 2 2" xfId="24778"/>
    <cellStyle name="Currency 2 2 3 6 3 3 3" xfId="24779"/>
    <cellStyle name="Currency 2 2 3 6 3 4" xfId="5849"/>
    <cellStyle name="Currency 2 2 3 6 3 4 2" xfId="5850"/>
    <cellStyle name="Currency 2 2 3 6 3 4 2 2" xfId="24780"/>
    <cellStyle name="Currency 2 2 3 6 3 4 3" xfId="24781"/>
    <cellStyle name="Currency 2 2 3 6 3 5" xfId="5851"/>
    <cellStyle name="Currency 2 2 3 6 3 5 2" xfId="5852"/>
    <cellStyle name="Currency 2 2 3 6 3 5 2 2" xfId="24782"/>
    <cellStyle name="Currency 2 2 3 6 3 5 3" xfId="24783"/>
    <cellStyle name="Currency 2 2 3 6 3 6" xfId="5853"/>
    <cellStyle name="Currency 2 2 3 6 3 6 2" xfId="24784"/>
    <cellStyle name="Currency 2 2 3 6 3 7" xfId="5854"/>
    <cellStyle name="Currency 2 2 3 6 4" xfId="1452"/>
    <cellStyle name="Currency 2 2 3 6 4 2" xfId="5855"/>
    <cellStyle name="Currency 2 2 3 6 4 2 2" xfId="5856"/>
    <cellStyle name="Currency 2 2 3 6 4 2 2 2" xfId="24785"/>
    <cellStyle name="Currency 2 2 3 6 4 2 3" xfId="24786"/>
    <cellStyle name="Currency 2 2 3 6 4 3" xfId="5857"/>
    <cellStyle name="Currency 2 2 3 6 4 3 2" xfId="5858"/>
    <cellStyle name="Currency 2 2 3 6 4 3 2 2" xfId="24787"/>
    <cellStyle name="Currency 2 2 3 6 4 3 3" xfId="24788"/>
    <cellStyle name="Currency 2 2 3 6 4 4" xfId="5859"/>
    <cellStyle name="Currency 2 2 3 6 4 4 2" xfId="5860"/>
    <cellStyle name="Currency 2 2 3 6 4 4 2 2" xfId="24789"/>
    <cellStyle name="Currency 2 2 3 6 4 4 3" xfId="24790"/>
    <cellStyle name="Currency 2 2 3 6 4 5" xfId="5861"/>
    <cellStyle name="Currency 2 2 3 6 4 5 2" xfId="24791"/>
    <cellStyle name="Currency 2 2 3 6 4 6" xfId="5862"/>
    <cellStyle name="Currency 2 2 3 6 5" xfId="5863"/>
    <cellStyle name="Currency 2 2 3 6 5 2" xfId="5864"/>
    <cellStyle name="Currency 2 2 3 6 5 2 2" xfId="24792"/>
    <cellStyle name="Currency 2 2 3 6 5 3" xfId="24793"/>
    <cellStyle name="Currency 2 2 3 6 6" xfId="5865"/>
    <cellStyle name="Currency 2 2 3 6 6 2" xfId="5866"/>
    <cellStyle name="Currency 2 2 3 6 6 2 2" xfId="24794"/>
    <cellStyle name="Currency 2 2 3 6 6 3" xfId="24795"/>
    <cellStyle name="Currency 2 2 3 6 7" xfId="5867"/>
    <cellStyle name="Currency 2 2 3 6 7 2" xfId="5868"/>
    <cellStyle name="Currency 2 2 3 6 7 2 2" xfId="24796"/>
    <cellStyle name="Currency 2 2 3 6 7 3" xfId="24797"/>
    <cellStyle name="Currency 2 2 3 6 8" xfId="5869"/>
    <cellStyle name="Currency 2 2 3 6 8 2" xfId="24798"/>
    <cellStyle name="Currency 2 2 3 6 9" xfId="5870"/>
    <cellStyle name="Currency 2 2 3 7" xfId="303"/>
    <cellStyle name="Currency 2 2 3 7 2" xfId="1091"/>
    <cellStyle name="Currency 2 2 3 7 2 2" xfId="1453"/>
    <cellStyle name="Currency 2 2 3 7 2 2 2" xfId="5871"/>
    <cellStyle name="Currency 2 2 3 7 2 2 2 2" xfId="5872"/>
    <cellStyle name="Currency 2 2 3 7 2 2 2 2 2" xfId="24799"/>
    <cellStyle name="Currency 2 2 3 7 2 2 2 3" xfId="24800"/>
    <cellStyle name="Currency 2 2 3 7 2 2 3" xfId="5873"/>
    <cellStyle name="Currency 2 2 3 7 2 2 3 2" xfId="5874"/>
    <cellStyle name="Currency 2 2 3 7 2 2 3 2 2" xfId="24801"/>
    <cellStyle name="Currency 2 2 3 7 2 2 3 3" xfId="24802"/>
    <cellStyle name="Currency 2 2 3 7 2 2 4" xfId="5875"/>
    <cellStyle name="Currency 2 2 3 7 2 2 4 2" xfId="5876"/>
    <cellStyle name="Currency 2 2 3 7 2 2 4 2 2" xfId="24803"/>
    <cellStyle name="Currency 2 2 3 7 2 2 4 3" xfId="24804"/>
    <cellStyle name="Currency 2 2 3 7 2 2 5" xfId="5877"/>
    <cellStyle name="Currency 2 2 3 7 2 2 5 2" xfId="24805"/>
    <cellStyle name="Currency 2 2 3 7 2 2 6" xfId="5878"/>
    <cellStyle name="Currency 2 2 3 7 2 3" xfId="5879"/>
    <cellStyle name="Currency 2 2 3 7 2 3 2" xfId="5880"/>
    <cellStyle name="Currency 2 2 3 7 2 3 2 2" xfId="24806"/>
    <cellStyle name="Currency 2 2 3 7 2 3 3" xfId="24807"/>
    <cellStyle name="Currency 2 2 3 7 2 4" xfId="5881"/>
    <cellStyle name="Currency 2 2 3 7 2 4 2" xfId="5882"/>
    <cellStyle name="Currency 2 2 3 7 2 4 2 2" xfId="24808"/>
    <cellStyle name="Currency 2 2 3 7 2 4 3" xfId="24809"/>
    <cellStyle name="Currency 2 2 3 7 2 5" xfId="5883"/>
    <cellStyle name="Currency 2 2 3 7 2 5 2" xfId="5884"/>
    <cellStyle name="Currency 2 2 3 7 2 5 2 2" xfId="24810"/>
    <cellStyle name="Currency 2 2 3 7 2 5 3" xfId="24811"/>
    <cellStyle name="Currency 2 2 3 7 2 6" xfId="5885"/>
    <cellStyle name="Currency 2 2 3 7 2 6 2" xfId="24812"/>
    <cellStyle name="Currency 2 2 3 7 2 7" xfId="5886"/>
    <cellStyle name="Currency 2 2 3 7 3" xfId="723"/>
    <cellStyle name="Currency 2 2 3 7 3 2" xfId="1454"/>
    <cellStyle name="Currency 2 2 3 7 3 2 2" xfId="5887"/>
    <cellStyle name="Currency 2 2 3 7 3 2 2 2" xfId="5888"/>
    <cellStyle name="Currency 2 2 3 7 3 2 2 2 2" xfId="24813"/>
    <cellStyle name="Currency 2 2 3 7 3 2 2 3" xfId="24814"/>
    <cellStyle name="Currency 2 2 3 7 3 2 3" xfId="5889"/>
    <cellStyle name="Currency 2 2 3 7 3 2 3 2" xfId="5890"/>
    <cellStyle name="Currency 2 2 3 7 3 2 3 2 2" xfId="24815"/>
    <cellStyle name="Currency 2 2 3 7 3 2 3 3" xfId="24816"/>
    <cellStyle name="Currency 2 2 3 7 3 2 4" xfId="5891"/>
    <cellStyle name="Currency 2 2 3 7 3 2 4 2" xfId="5892"/>
    <cellStyle name="Currency 2 2 3 7 3 2 4 2 2" xfId="24817"/>
    <cellStyle name="Currency 2 2 3 7 3 2 4 3" xfId="24818"/>
    <cellStyle name="Currency 2 2 3 7 3 2 5" xfId="5893"/>
    <cellStyle name="Currency 2 2 3 7 3 2 5 2" xfId="24819"/>
    <cellStyle name="Currency 2 2 3 7 3 2 6" xfId="5894"/>
    <cellStyle name="Currency 2 2 3 7 3 3" xfId="5895"/>
    <cellStyle name="Currency 2 2 3 7 3 3 2" xfId="5896"/>
    <cellStyle name="Currency 2 2 3 7 3 3 2 2" xfId="24820"/>
    <cellStyle name="Currency 2 2 3 7 3 3 3" xfId="24821"/>
    <cellStyle name="Currency 2 2 3 7 3 4" xfId="5897"/>
    <cellStyle name="Currency 2 2 3 7 3 4 2" xfId="5898"/>
    <cellStyle name="Currency 2 2 3 7 3 4 2 2" xfId="24822"/>
    <cellStyle name="Currency 2 2 3 7 3 4 3" xfId="24823"/>
    <cellStyle name="Currency 2 2 3 7 3 5" xfId="5899"/>
    <cellStyle name="Currency 2 2 3 7 3 5 2" xfId="5900"/>
    <cellStyle name="Currency 2 2 3 7 3 5 2 2" xfId="24824"/>
    <cellStyle name="Currency 2 2 3 7 3 5 3" xfId="24825"/>
    <cellStyle name="Currency 2 2 3 7 3 6" xfId="5901"/>
    <cellStyle name="Currency 2 2 3 7 3 6 2" xfId="24826"/>
    <cellStyle name="Currency 2 2 3 7 3 7" xfId="5902"/>
    <cellStyle name="Currency 2 2 3 7 4" xfId="1455"/>
    <cellStyle name="Currency 2 2 3 7 4 2" xfId="5903"/>
    <cellStyle name="Currency 2 2 3 7 4 2 2" xfId="5904"/>
    <cellStyle name="Currency 2 2 3 7 4 2 2 2" xfId="24827"/>
    <cellStyle name="Currency 2 2 3 7 4 2 3" xfId="24828"/>
    <cellStyle name="Currency 2 2 3 7 4 3" xfId="5905"/>
    <cellStyle name="Currency 2 2 3 7 4 3 2" xfId="5906"/>
    <cellStyle name="Currency 2 2 3 7 4 3 2 2" xfId="24829"/>
    <cellStyle name="Currency 2 2 3 7 4 3 3" xfId="24830"/>
    <cellStyle name="Currency 2 2 3 7 4 4" xfId="5907"/>
    <cellStyle name="Currency 2 2 3 7 4 4 2" xfId="5908"/>
    <cellStyle name="Currency 2 2 3 7 4 4 2 2" xfId="24831"/>
    <cellStyle name="Currency 2 2 3 7 4 4 3" xfId="24832"/>
    <cellStyle name="Currency 2 2 3 7 4 5" xfId="5909"/>
    <cellStyle name="Currency 2 2 3 7 4 5 2" xfId="24833"/>
    <cellStyle name="Currency 2 2 3 7 4 6" xfId="5910"/>
    <cellStyle name="Currency 2 2 3 7 5" xfId="5911"/>
    <cellStyle name="Currency 2 2 3 7 5 2" xfId="5912"/>
    <cellStyle name="Currency 2 2 3 7 5 2 2" xfId="24834"/>
    <cellStyle name="Currency 2 2 3 7 5 3" xfId="24835"/>
    <cellStyle name="Currency 2 2 3 7 6" xfId="5913"/>
    <cellStyle name="Currency 2 2 3 7 6 2" xfId="5914"/>
    <cellStyle name="Currency 2 2 3 7 6 2 2" xfId="24836"/>
    <cellStyle name="Currency 2 2 3 7 6 3" xfId="24837"/>
    <cellStyle name="Currency 2 2 3 7 7" xfId="5915"/>
    <cellStyle name="Currency 2 2 3 7 7 2" xfId="5916"/>
    <cellStyle name="Currency 2 2 3 7 7 2 2" xfId="24838"/>
    <cellStyle name="Currency 2 2 3 7 7 3" xfId="24839"/>
    <cellStyle name="Currency 2 2 3 7 8" xfId="5917"/>
    <cellStyle name="Currency 2 2 3 7 8 2" xfId="24840"/>
    <cellStyle name="Currency 2 2 3 7 9" xfId="5918"/>
    <cellStyle name="Currency 2 2 3 8" xfId="92"/>
    <cellStyle name="Currency 2 2 3 8 2" xfId="513"/>
    <cellStyle name="Currency 2 2 3 8 2 2" xfId="1456"/>
    <cellStyle name="Currency 2 2 3 8 2 2 2" xfId="5919"/>
    <cellStyle name="Currency 2 2 3 8 2 2 2 2" xfId="5920"/>
    <cellStyle name="Currency 2 2 3 8 2 2 2 2 2" xfId="24841"/>
    <cellStyle name="Currency 2 2 3 8 2 2 2 3" xfId="24842"/>
    <cellStyle name="Currency 2 2 3 8 2 2 3" xfId="5921"/>
    <cellStyle name="Currency 2 2 3 8 2 2 3 2" xfId="5922"/>
    <cellStyle name="Currency 2 2 3 8 2 2 3 2 2" xfId="24843"/>
    <cellStyle name="Currency 2 2 3 8 2 2 3 3" xfId="24844"/>
    <cellStyle name="Currency 2 2 3 8 2 2 4" xfId="5923"/>
    <cellStyle name="Currency 2 2 3 8 2 2 4 2" xfId="5924"/>
    <cellStyle name="Currency 2 2 3 8 2 2 4 2 2" xfId="24845"/>
    <cellStyle name="Currency 2 2 3 8 2 2 4 3" xfId="24846"/>
    <cellStyle name="Currency 2 2 3 8 2 2 5" xfId="5925"/>
    <cellStyle name="Currency 2 2 3 8 2 2 5 2" xfId="24847"/>
    <cellStyle name="Currency 2 2 3 8 2 2 6" xfId="5926"/>
    <cellStyle name="Currency 2 2 3 8 2 3" xfId="5927"/>
    <cellStyle name="Currency 2 2 3 8 2 3 2" xfId="5928"/>
    <cellStyle name="Currency 2 2 3 8 2 3 2 2" xfId="24848"/>
    <cellStyle name="Currency 2 2 3 8 2 3 3" xfId="24849"/>
    <cellStyle name="Currency 2 2 3 8 2 4" xfId="5929"/>
    <cellStyle name="Currency 2 2 3 8 2 4 2" xfId="5930"/>
    <cellStyle name="Currency 2 2 3 8 2 4 2 2" xfId="24850"/>
    <cellStyle name="Currency 2 2 3 8 2 4 3" xfId="24851"/>
    <cellStyle name="Currency 2 2 3 8 2 5" xfId="5931"/>
    <cellStyle name="Currency 2 2 3 8 2 5 2" xfId="5932"/>
    <cellStyle name="Currency 2 2 3 8 2 5 2 2" xfId="24852"/>
    <cellStyle name="Currency 2 2 3 8 2 5 3" xfId="24853"/>
    <cellStyle name="Currency 2 2 3 8 2 6" xfId="5933"/>
    <cellStyle name="Currency 2 2 3 8 2 6 2" xfId="24854"/>
    <cellStyle name="Currency 2 2 3 8 2 7" xfId="5934"/>
    <cellStyle name="Currency 2 2 3 8 3" xfId="1457"/>
    <cellStyle name="Currency 2 2 3 8 3 2" xfId="5935"/>
    <cellStyle name="Currency 2 2 3 8 3 2 2" xfId="5936"/>
    <cellStyle name="Currency 2 2 3 8 3 2 2 2" xfId="24855"/>
    <cellStyle name="Currency 2 2 3 8 3 2 3" xfId="24856"/>
    <cellStyle name="Currency 2 2 3 8 3 3" xfId="5937"/>
    <cellStyle name="Currency 2 2 3 8 3 3 2" xfId="5938"/>
    <cellStyle name="Currency 2 2 3 8 3 3 2 2" xfId="24857"/>
    <cellStyle name="Currency 2 2 3 8 3 3 3" xfId="24858"/>
    <cellStyle name="Currency 2 2 3 8 3 4" xfId="5939"/>
    <cellStyle name="Currency 2 2 3 8 3 4 2" xfId="5940"/>
    <cellStyle name="Currency 2 2 3 8 3 4 2 2" xfId="24859"/>
    <cellStyle name="Currency 2 2 3 8 3 4 3" xfId="24860"/>
    <cellStyle name="Currency 2 2 3 8 3 5" xfId="5941"/>
    <cellStyle name="Currency 2 2 3 8 3 5 2" xfId="24861"/>
    <cellStyle name="Currency 2 2 3 8 3 6" xfId="5942"/>
    <cellStyle name="Currency 2 2 3 8 4" xfId="5943"/>
    <cellStyle name="Currency 2 2 3 8 4 2" xfId="5944"/>
    <cellStyle name="Currency 2 2 3 8 4 2 2" xfId="24862"/>
    <cellStyle name="Currency 2 2 3 8 4 3" xfId="24863"/>
    <cellStyle name="Currency 2 2 3 8 5" xfId="5945"/>
    <cellStyle name="Currency 2 2 3 8 5 2" xfId="5946"/>
    <cellStyle name="Currency 2 2 3 8 5 2 2" xfId="24864"/>
    <cellStyle name="Currency 2 2 3 8 5 3" xfId="24865"/>
    <cellStyle name="Currency 2 2 3 8 6" xfId="5947"/>
    <cellStyle name="Currency 2 2 3 8 6 2" xfId="5948"/>
    <cellStyle name="Currency 2 2 3 8 6 2 2" xfId="24866"/>
    <cellStyle name="Currency 2 2 3 8 6 3" xfId="24867"/>
    <cellStyle name="Currency 2 2 3 8 7" xfId="5949"/>
    <cellStyle name="Currency 2 2 3 8 7 2" xfId="24868"/>
    <cellStyle name="Currency 2 2 3 8 8" xfId="5950"/>
    <cellStyle name="Currency 2 2 3 9" xfId="881"/>
    <cellStyle name="Currency 2 2 3 9 2" xfId="1458"/>
    <cellStyle name="Currency 2 2 3 9 2 2" xfId="5951"/>
    <cellStyle name="Currency 2 2 3 9 2 2 2" xfId="5952"/>
    <cellStyle name="Currency 2 2 3 9 2 2 2 2" xfId="24869"/>
    <cellStyle name="Currency 2 2 3 9 2 2 3" xfId="24870"/>
    <cellStyle name="Currency 2 2 3 9 2 3" xfId="5953"/>
    <cellStyle name="Currency 2 2 3 9 2 3 2" xfId="5954"/>
    <cellStyle name="Currency 2 2 3 9 2 3 2 2" xfId="24871"/>
    <cellStyle name="Currency 2 2 3 9 2 3 3" xfId="24872"/>
    <cellStyle name="Currency 2 2 3 9 2 4" xfId="5955"/>
    <cellStyle name="Currency 2 2 3 9 2 4 2" xfId="5956"/>
    <cellStyle name="Currency 2 2 3 9 2 4 2 2" xfId="24873"/>
    <cellStyle name="Currency 2 2 3 9 2 4 3" xfId="24874"/>
    <cellStyle name="Currency 2 2 3 9 2 5" xfId="5957"/>
    <cellStyle name="Currency 2 2 3 9 2 5 2" xfId="24875"/>
    <cellStyle name="Currency 2 2 3 9 2 6" xfId="5958"/>
    <cellStyle name="Currency 2 2 3 9 3" xfId="5959"/>
    <cellStyle name="Currency 2 2 3 9 3 2" xfId="5960"/>
    <cellStyle name="Currency 2 2 3 9 3 2 2" xfId="24876"/>
    <cellStyle name="Currency 2 2 3 9 3 3" xfId="24877"/>
    <cellStyle name="Currency 2 2 3 9 4" xfId="5961"/>
    <cellStyle name="Currency 2 2 3 9 4 2" xfId="5962"/>
    <cellStyle name="Currency 2 2 3 9 4 2 2" xfId="24878"/>
    <cellStyle name="Currency 2 2 3 9 4 3" xfId="24879"/>
    <cellStyle name="Currency 2 2 3 9 5" xfId="5963"/>
    <cellStyle name="Currency 2 2 3 9 5 2" xfId="5964"/>
    <cellStyle name="Currency 2 2 3 9 5 2 2" xfId="24880"/>
    <cellStyle name="Currency 2 2 3 9 5 3" xfId="24881"/>
    <cellStyle name="Currency 2 2 3 9 6" xfId="5965"/>
    <cellStyle name="Currency 2 2 3 9 6 2" xfId="24882"/>
    <cellStyle name="Currency 2 2 3 9 7" xfId="5966"/>
    <cellStyle name="Currency 2 2 4" xfId="35"/>
    <cellStyle name="Currency 2 2 4 10" xfId="5967"/>
    <cellStyle name="Currency 2 2 4 10 2" xfId="5968"/>
    <cellStyle name="Currency 2 2 4 10 2 2" xfId="24883"/>
    <cellStyle name="Currency 2 2 4 10 3" xfId="24884"/>
    <cellStyle name="Currency 2 2 4 11" xfId="5969"/>
    <cellStyle name="Currency 2 2 4 11 2" xfId="5970"/>
    <cellStyle name="Currency 2 2 4 11 2 2" xfId="24885"/>
    <cellStyle name="Currency 2 2 4 11 3" xfId="24886"/>
    <cellStyle name="Currency 2 2 4 12" xfId="5971"/>
    <cellStyle name="Currency 2 2 4 12 2" xfId="5972"/>
    <cellStyle name="Currency 2 2 4 12 2 2" xfId="24887"/>
    <cellStyle name="Currency 2 2 4 12 3" xfId="24888"/>
    <cellStyle name="Currency 2 2 4 13" xfId="5973"/>
    <cellStyle name="Currency 2 2 4 13 2" xfId="24889"/>
    <cellStyle name="Currency 2 2 4 14" xfId="5974"/>
    <cellStyle name="Currency 2 2 4 2" xfId="201"/>
    <cellStyle name="Currency 2 2 4 2 10" xfId="5975"/>
    <cellStyle name="Currency 2 2 4 2 2" xfId="359"/>
    <cellStyle name="Currency 2 2 4 2 2 2" xfId="1147"/>
    <cellStyle name="Currency 2 2 4 2 2 2 2" xfId="1459"/>
    <cellStyle name="Currency 2 2 4 2 2 2 2 2" xfId="5976"/>
    <cellStyle name="Currency 2 2 4 2 2 2 2 2 2" xfId="5977"/>
    <cellStyle name="Currency 2 2 4 2 2 2 2 2 2 2" xfId="24890"/>
    <cellStyle name="Currency 2 2 4 2 2 2 2 2 3" xfId="24891"/>
    <cellStyle name="Currency 2 2 4 2 2 2 2 3" xfId="5978"/>
    <cellStyle name="Currency 2 2 4 2 2 2 2 3 2" xfId="5979"/>
    <cellStyle name="Currency 2 2 4 2 2 2 2 3 2 2" xfId="24892"/>
    <cellStyle name="Currency 2 2 4 2 2 2 2 3 3" xfId="24893"/>
    <cellStyle name="Currency 2 2 4 2 2 2 2 4" xfId="5980"/>
    <cellStyle name="Currency 2 2 4 2 2 2 2 4 2" xfId="5981"/>
    <cellStyle name="Currency 2 2 4 2 2 2 2 4 2 2" xfId="24894"/>
    <cellStyle name="Currency 2 2 4 2 2 2 2 4 3" xfId="24895"/>
    <cellStyle name="Currency 2 2 4 2 2 2 2 5" xfId="5982"/>
    <cellStyle name="Currency 2 2 4 2 2 2 2 5 2" xfId="24896"/>
    <cellStyle name="Currency 2 2 4 2 2 2 2 6" xfId="5983"/>
    <cellStyle name="Currency 2 2 4 2 2 2 3" xfId="5984"/>
    <cellStyle name="Currency 2 2 4 2 2 2 3 2" xfId="5985"/>
    <cellStyle name="Currency 2 2 4 2 2 2 3 2 2" xfId="24897"/>
    <cellStyle name="Currency 2 2 4 2 2 2 3 3" xfId="24898"/>
    <cellStyle name="Currency 2 2 4 2 2 2 4" xfId="5986"/>
    <cellStyle name="Currency 2 2 4 2 2 2 4 2" xfId="5987"/>
    <cellStyle name="Currency 2 2 4 2 2 2 4 2 2" xfId="24899"/>
    <cellStyle name="Currency 2 2 4 2 2 2 4 3" xfId="24900"/>
    <cellStyle name="Currency 2 2 4 2 2 2 5" xfId="5988"/>
    <cellStyle name="Currency 2 2 4 2 2 2 5 2" xfId="5989"/>
    <cellStyle name="Currency 2 2 4 2 2 2 5 2 2" xfId="24901"/>
    <cellStyle name="Currency 2 2 4 2 2 2 5 3" xfId="24902"/>
    <cellStyle name="Currency 2 2 4 2 2 2 6" xfId="5990"/>
    <cellStyle name="Currency 2 2 4 2 2 2 6 2" xfId="24903"/>
    <cellStyle name="Currency 2 2 4 2 2 2 7" xfId="5991"/>
    <cellStyle name="Currency 2 2 4 2 2 3" xfId="779"/>
    <cellStyle name="Currency 2 2 4 2 2 3 2" xfId="1460"/>
    <cellStyle name="Currency 2 2 4 2 2 3 2 2" xfId="5992"/>
    <cellStyle name="Currency 2 2 4 2 2 3 2 2 2" xfId="5993"/>
    <cellStyle name="Currency 2 2 4 2 2 3 2 2 2 2" xfId="24904"/>
    <cellStyle name="Currency 2 2 4 2 2 3 2 2 3" xfId="24905"/>
    <cellStyle name="Currency 2 2 4 2 2 3 2 3" xfId="5994"/>
    <cellStyle name="Currency 2 2 4 2 2 3 2 3 2" xfId="5995"/>
    <cellStyle name="Currency 2 2 4 2 2 3 2 3 2 2" xfId="24906"/>
    <cellStyle name="Currency 2 2 4 2 2 3 2 3 3" xfId="24907"/>
    <cellStyle name="Currency 2 2 4 2 2 3 2 4" xfId="5996"/>
    <cellStyle name="Currency 2 2 4 2 2 3 2 4 2" xfId="5997"/>
    <cellStyle name="Currency 2 2 4 2 2 3 2 4 2 2" xfId="24908"/>
    <cellStyle name="Currency 2 2 4 2 2 3 2 4 3" xfId="24909"/>
    <cellStyle name="Currency 2 2 4 2 2 3 2 5" xfId="5998"/>
    <cellStyle name="Currency 2 2 4 2 2 3 2 5 2" xfId="24910"/>
    <cellStyle name="Currency 2 2 4 2 2 3 2 6" xfId="5999"/>
    <cellStyle name="Currency 2 2 4 2 2 3 3" xfId="6000"/>
    <cellStyle name="Currency 2 2 4 2 2 3 3 2" xfId="6001"/>
    <cellStyle name="Currency 2 2 4 2 2 3 3 2 2" xfId="24911"/>
    <cellStyle name="Currency 2 2 4 2 2 3 3 3" xfId="24912"/>
    <cellStyle name="Currency 2 2 4 2 2 3 4" xfId="6002"/>
    <cellStyle name="Currency 2 2 4 2 2 3 4 2" xfId="6003"/>
    <cellStyle name="Currency 2 2 4 2 2 3 4 2 2" xfId="24913"/>
    <cellStyle name="Currency 2 2 4 2 2 3 4 3" xfId="24914"/>
    <cellStyle name="Currency 2 2 4 2 2 3 5" xfId="6004"/>
    <cellStyle name="Currency 2 2 4 2 2 3 5 2" xfId="6005"/>
    <cellStyle name="Currency 2 2 4 2 2 3 5 2 2" xfId="24915"/>
    <cellStyle name="Currency 2 2 4 2 2 3 5 3" xfId="24916"/>
    <cellStyle name="Currency 2 2 4 2 2 3 6" xfId="6006"/>
    <cellStyle name="Currency 2 2 4 2 2 3 6 2" xfId="24917"/>
    <cellStyle name="Currency 2 2 4 2 2 3 7" xfId="6007"/>
    <cellStyle name="Currency 2 2 4 2 2 4" xfId="1461"/>
    <cellStyle name="Currency 2 2 4 2 2 4 2" xfId="6008"/>
    <cellStyle name="Currency 2 2 4 2 2 4 2 2" xfId="6009"/>
    <cellStyle name="Currency 2 2 4 2 2 4 2 2 2" xfId="24918"/>
    <cellStyle name="Currency 2 2 4 2 2 4 2 3" xfId="24919"/>
    <cellStyle name="Currency 2 2 4 2 2 4 3" xfId="6010"/>
    <cellStyle name="Currency 2 2 4 2 2 4 3 2" xfId="6011"/>
    <cellStyle name="Currency 2 2 4 2 2 4 3 2 2" xfId="24920"/>
    <cellStyle name="Currency 2 2 4 2 2 4 3 3" xfId="24921"/>
    <cellStyle name="Currency 2 2 4 2 2 4 4" xfId="6012"/>
    <cellStyle name="Currency 2 2 4 2 2 4 4 2" xfId="6013"/>
    <cellStyle name="Currency 2 2 4 2 2 4 4 2 2" xfId="24922"/>
    <cellStyle name="Currency 2 2 4 2 2 4 4 3" xfId="24923"/>
    <cellStyle name="Currency 2 2 4 2 2 4 5" xfId="6014"/>
    <cellStyle name="Currency 2 2 4 2 2 4 5 2" xfId="24924"/>
    <cellStyle name="Currency 2 2 4 2 2 4 6" xfId="6015"/>
    <cellStyle name="Currency 2 2 4 2 2 5" xfId="6016"/>
    <cellStyle name="Currency 2 2 4 2 2 5 2" xfId="6017"/>
    <cellStyle name="Currency 2 2 4 2 2 5 2 2" xfId="24925"/>
    <cellStyle name="Currency 2 2 4 2 2 5 3" xfId="24926"/>
    <cellStyle name="Currency 2 2 4 2 2 6" xfId="6018"/>
    <cellStyle name="Currency 2 2 4 2 2 6 2" xfId="6019"/>
    <cellStyle name="Currency 2 2 4 2 2 6 2 2" xfId="24927"/>
    <cellStyle name="Currency 2 2 4 2 2 6 3" xfId="24928"/>
    <cellStyle name="Currency 2 2 4 2 2 7" xfId="6020"/>
    <cellStyle name="Currency 2 2 4 2 2 7 2" xfId="6021"/>
    <cellStyle name="Currency 2 2 4 2 2 7 2 2" xfId="24929"/>
    <cellStyle name="Currency 2 2 4 2 2 7 3" xfId="24930"/>
    <cellStyle name="Currency 2 2 4 2 2 8" xfId="6022"/>
    <cellStyle name="Currency 2 2 4 2 2 8 2" xfId="24931"/>
    <cellStyle name="Currency 2 2 4 2 2 9" xfId="6023"/>
    <cellStyle name="Currency 2 2 4 2 3" xfId="989"/>
    <cellStyle name="Currency 2 2 4 2 3 2" xfId="1462"/>
    <cellStyle name="Currency 2 2 4 2 3 2 2" xfId="6024"/>
    <cellStyle name="Currency 2 2 4 2 3 2 2 2" xfId="6025"/>
    <cellStyle name="Currency 2 2 4 2 3 2 2 2 2" xfId="24932"/>
    <cellStyle name="Currency 2 2 4 2 3 2 2 3" xfId="24933"/>
    <cellStyle name="Currency 2 2 4 2 3 2 3" xfId="6026"/>
    <cellStyle name="Currency 2 2 4 2 3 2 3 2" xfId="6027"/>
    <cellStyle name="Currency 2 2 4 2 3 2 3 2 2" xfId="24934"/>
    <cellStyle name="Currency 2 2 4 2 3 2 3 3" xfId="24935"/>
    <cellStyle name="Currency 2 2 4 2 3 2 4" xfId="6028"/>
    <cellStyle name="Currency 2 2 4 2 3 2 4 2" xfId="6029"/>
    <cellStyle name="Currency 2 2 4 2 3 2 4 2 2" xfId="24936"/>
    <cellStyle name="Currency 2 2 4 2 3 2 4 3" xfId="24937"/>
    <cellStyle name="Currency 2 2 4 2 3 2 5" xfId="6030"/>
    <cellStyle name="Currency 2 2 4 2 3 2 5 2" xfId="24938"/>
    <cellStyle name="Currency 2 2 4 2 3 2 6" xfId="6031"/>
    <cellStyle name="Currency 2 2 4 2 3 3" xfId="6032"/>
    <cellStyle name="Currency 2 2 4 2 3 3 2" xfId="6033"/>
    <cellStyle name="Currency 2 2 4 2 3 3 2 2" xfId="24939"/>
    <cellStyle name="Currency 2 2 4 2 3 3 3" xfId="24940"/>
    <cellStyle name="Currency 2 2 4 2 3 4" xfId="6034"/>
    <cellStyle name="Currency 2 2 4 2 3 4 2" xfId="6035"/>
    <cellStyle name="Currency 2 2 4 2 3 4 2 2" xfId="24941"/>
    <cellStyle name="Currency 2 2 4 2 3 4 3" xfId="24942"/>
    <cellStyle name="Currency 2 2 4 2 3 5" xfId="6036"/>
    <cellStyle name="Currency 2 2 4 2 3 5 2" xfId="6037"/>
    <cellStyle name="Currency 2 2 4 2 3 5 2 2" xfId="24943"/>
    <cellStyle name="Currency 2 2 4 2 3 5 3" xfId="24944"/>
    <cellStyle name="Currency 2 2 4 2 3 6" xfId="6038"/>
    <cellStyle name="Currency 2 2 4 2 3 6 2" xfId="24945"/>
    <cellStyle name="Currency 2 2 4 2 3 7" xfId="6039"/>
    <cellStyle name="Currency 2 2 4 2 4" xfId="621"/>
    <cellStyle name="Currency 2 2 4 2 4 2" xfId="1463"/>
    <cellStyle name="Currency 2 2 4 2 4 2 2" xfId="6040"/>
    <cellStyle name="Currency 2 2 4 2 4 2 2 2" xfId="6041"/>
    <cellStyle name="Currency 2 2 4 2 4 2 2 2 2" xfId="24946"/>
    <cellStyle name="Currency 2 2 4 2 4 2 2 3" xfId="24947"/>
    <cellStyle name="Currency 2 2 4 2 4 2 3" xfId="6042"/>
    <cellStyle name="Currency 2 2 4 2 4 2 3 2" xfId="6043"/>
    <cellStyle name="Currency 2 2 4 2 4 2 3 2 2" xfId="24948"/>
    <cellStyle name="Currency 2 2 4 2 4 2 3 3" xfId="24949"/>
    <cellStyle name="Currency 2 2 4 2 4 2 4" xfId="6044"/>
    <cellStyle name="Currency 2 2 4 2 4 2 4 2" xfId="6045"/>
    <cellStyle name="Currency 2 2 4 2 4 2 4 2 2" xfId="24950"/>
    <cellStyle name="Currency 2 2 4 2 4 2 4 3" xfId="24951"/>
    <cellStyle name="Currency 2 2 4 2 4 2 5" xfId="6046"/>
    <cellStyle name="Currency 2 2 4 2 4 2 5 2" xfId="24952"/>
    <cellStyle name="Currency 2 2 4 2 4 2 6" xfId="6047"/>
    <cellStyle name="Currency 2 2 4 2 4 3" xfId="6048"/>
    <cellStyle name="Currency 2 2 4 2 4 3 2" xfId="6049"/>
    <cellStyle name="Currency 2 2 4 2 4 3 2 2" xfId="24953"/>
    <cellStyle name="Currency 2 2 4 2 4 3 3" xfId="24954"/>
    <cellStyle name="Currency 2 2 4 2 4 4" xfId="6050"/>
    <cellStyle name="Currency 2 2 4 2 4 4 2" xfId="6051"/>
    <cellStyle name="Currency 2 2 4 2 4 4 2 2" xfId="24955"/>
    <cellStyle name="Currency 2 2 4 2 4 4 3" xfId="24956"/>
    <cellStyle name="Currency 2 2 4 2 4 5" xfId="6052"/>
    <cellStyle name="Currency 2 2 4 2 4 5 2" xfId="6053"/>
    <cellStyle name="Currency 2 2 4 2 4 5 2 2" xfId="24957"/>
    <cellStyle name="Currency 2 2 4 2 4 5 3" xfId="24958"/>
    <cellStyle name="Currency 2 2 4 2 4 6" xfId="6054"/>
    <cellStyle name="Currency 2 2 4 2 4 6 2" xfId="24959"/>
    <cellStyle name="Currency 2 2 4 2 4 7" xfId="6055"/>
    <cellStyle name="Currency 2 2 4 2 5" xfId="1464"/>
    <cellStyle name="Currency 2 2 4 2 5 2" xfId="6056"/>
    <cellStyle name="Currency 2 2 4 2 5 2 2" xfId="6057"/>
    <cellStyle name="Currency 2 2 4 2 5 2 2 2" xfId="24960"/>
    <cellStyle name="Currency 2 2 4 2 5 2 3" xfId="24961"/>
    <cellStyle name="Currency 2 2 4 2 5 3" xfId="6058"/>
    <cellStyle name="Currency 2 2 4 2 5 3 2" xfId="6059"/>
    <cellStyle name="Currency 2 2 4 2 5 3 2 2" xfId="24962"/>
    <cellStyle name="Currency 2 2 4 2 5 3 3" xfId="24963"/>
    <cellStyle name="Currency 2 2 4 2 5 4" xfId="6060"/>
    <cellStyle name="Currency 2 2 4 2 5 4 2" xfId="6061"/>
    <cellStyle name="Currency 2 2 4 2 5 4 2 2" xfId="24964"/>
    <cellStyle name="Currency 2 2 4 2 5 4 3" xfId="24965"/>
    <cellStyle name="Currency 2 2 4 2 5 5" xfId="6062"/>
    <cellStyle name="Currency 2 2 4 2 5 5 2" xfId="24966"/>
    <cellStyle name="Currency 2 2 4 2 5 6" xfId="6063"/>
    <cellStyle name="Currency 2 2 4 2 6" xfId="6064"/>
    <cellStyle name="Currency 2 2 4 2 6 2" xfId="6065"/>
    <cellStyle name="Currency 2 2 4 2 6 2 2" xfId="24967"/>
    <cellStyle name="Currency 2 2 4 2 6 3" xfId="24968"/>
    <cellStyle name="Currency 2 2 4 2 7" xfId="6066"/>
    <cellStyle name="Currency 2 2 4 2 7 2" xfId="6067"/>
    <cellStyle name="Currency 2 2 4 2 7 2 2" xfId="24969"/>
    <cellStyle name="Currency 2 2 4 2 7 3" xfId="24970"/>
    <cellStyle name="Currency 2 2 4 2 8" xfId="6068"/>
    <cellStyle name="Currency 2 2 4 2 8 2" xfId="6069"/>
    <cellStyle name="Currency 2 2 4 2 8 2 2" xfId="24971"/>
    <cellStyle name="Currency 2 2 4 2 8 3" xfId="24972"/>
    <cellStyle name="Currency 2 2 4 2 9" xfId="6070"/>
    <cellStyle name="Currency 2 2 4 2 9 2" xfId="24973"/>
    <cellStyle name="Currency 2 2 4 3" xfId="252"/>
    <cellStyle name="Currency 2 2 4 3 10" xfId="6071"/>
    <cellStyle name="Currency 2 2 4 3 2" xfId="410"/>
    <cellStyle name="Currency 2 2 4 3 2 2" xfId="1198"/>
    <cellStyle name="Currency 2 2 4 3 2 2 2" xfId="1465"/>
    <cellStyle name="Currency 2 2 4 3 2 2 2 2" xfId="6072"/>
    <cellStyle name="Currency 2 2 4 3 2 2 2 2 2" xfId="6073"/>
    <cellStyle name="Currency 2 2 4 3 2 2 2 2 2 2" xfId="24974"/>
    <cellStyle name="Currency 2 2 4 3 2 2 2 2 3" xfId="24975"/>
    <cellStyle name="Currency 2 2 4 3 2 2 2 3" xfId="6074"/>
    <cellStyle name="Currency 2 2 4 3 2 2 2 3 2" xfId="6075"/>
    <cellStyle name="Currency 2 2 4 3 2 2 2 3 2 2" xfId="24976"/>
    <cellStyle name="Currency 2 2 4 3 2 2 2 3 3" xfId="24977"/>
    <cellStyle name="Currency 2 2 4 3 2 2 2 4" xfId="6076"/>
    <cellStyle name="Currency 2 2 4 3 2 2 2 4 2" xfId="6077"/>
    <cellStyle name="Currency 2 2 4 3 2 2 2 4 2 2" xfId="24978"/>
    <cellStyle name="Currency 2 2 4 3 2 2 2 4 3" xfId="24979"/>
    <cellStyle name="Currency 2 2 4 3 2 2 2 5" xfId="6078"/>
    <cellStyle name="Currency 2 2 4 3 2 2 2 5 2" xfId="24980"/>
    <cellStyle name="Currency 2 2 4 3 2 2 2 6" xfId="6079"/>
    <cellStyle name="Currency 2 2 4 3 2 2 3" xfId="6080"/>
    <cellStyle name="Currency 2 2 4 3 2 2 3 2" xfId="6081"/>
    <cellStyle name="Currency 2 2 4 3 2 2 3 2 2" xfId="24981"/>
    <cellStyle name="Currency 2 2 4 3 2 2 3 3" xfId="24982"/>
    <cellStyle name="Currency 2 2 4 3 2 2 4" xfId="6082"/>
    <cellStyle name="Currency 2 2 4 3 2 2 4 2" xfId="6083"/>
    <cellStyle name="Currency 2 2 4 3 2 2 4 2 2" xfId="24983"/>
    <cellStyle name="Currency 2 2 4 3 2 2 4 3" xfId="24984"/>
    <cellStyle name="Currency 2 2 4 3 2 2 5" xfId="6084"/>
    <cellStyle name="Currency 2 2 4 3 2 2 5 2" xfId="6085"/>
    <cellStyle name="Currency 2 2 4 3 2 2 5 2 2" xfId="24985"/>
    <cellStyle name="Currency 2 2 4 3 2 2 5 3" xfId="24986"/>
    <cellStyle name="Currency 2 2 4 3 2 2 6" xfId="6086"/>
    <cellStyle name="Currency 2 2 4 3 2 2 6 2" xfId="24987"/>
    <cellStyle name="Currency 2 2 4 3 2 2 7" xfId="6087"/>
    <cellStyle name="Currency 2 2 4 3 2 3" xfId="830"/>
    <cellStyle name="Currency 2 2 4 3 2 3 2" xfId="1466"/>
    <cellStyle name="Currency 2 2 4 3 2 3 2 2" xfId="6088"/>
    <cellStyle name="Currency 2 2 4 3 2 3 2 2 2" xfId="6089"/>
    <cellStyle name="Currency 2 2 4 3 2 3 2 2 2 2" xfId="24988"/>
    <cellStyle name="Currency 2 2 4 3 2 3 2 2 3" xfId="24989"/>
    <cellStyle name="Currency 2 2 4 3 2 3 2 3" xfId="6090"/>
    <cellStyle name="Currency 2 2 4 3 2 3 2 3 2" xfId="6091"/>
    <cellStyle name="Currency 2 2 4 3 2 3 2 3 2 2" xfId="24990"/>
    <cellStyle name="Currency 2 2 4 3 2 3 2 3 3" xfId="24991"/>
    <cellStyle name="Currency 2 2 4 3 2 3 2 4" xfId="6092"/>
    <cellStyle name="Currency 2 2 4 3 2 3 2 4 2" xfId="6093"/>
    <cellStyle name="Currency 2 2 4 3 2 3 2 4 2 2" xfId="24992"/>
    <cellStyle name="Currency 2 2 4 3 2 3 2 4 3" xfId="24993"/>
    <cellStyle name="Currency 2 2 4 3 2 3 2 5" xfId="6094"/>
    <cellStyle name="Currency 2 2 4 3 2 3 2 5 2" xfId="24994"/>
    <cellStyle name="Currency 2 2 4 3 2 3 2 6" xfId="6095"/>
    <cellStyle name="Currency 2 2 4 3 2 3 3" xfId="6096"/>
    <cellStyle name="Currency 2 2 4 3 2 3 3 2" xfId="6097"/>
    <cellStyle name="Currency 2 2 4 3 2 3 3 2 2" xfId="24995"/>
    <cellStyle name="Currency 2 2 4 3 2 3 3 3" xfId="24996"/>
    <cellStyle name="Currency 2 2 4 3 2 3 4" xfId="6098"/>
    <cellStyle name="Currency 2 2 4 3 2 3 4 2" xfId="6099"/>
    <cellStyle name="Currency 2 2 4 3 2 3 4 2 2" xfId="24997"/>
    <cellStyle name="Currency 2 2 4 3 2 3 4 3" xfId="24998"/>
    <cellStyle name="Currency 2 2 4 3 2 3 5" xfId="6100"/>
    <cellStyle name="Currency 2 2 4 3 2 3 5 2" xfId="6101"/>
    <cellStyle name="Currency 2 2 4 3 2 3 5 2 2" xfId="24999"/>
    <cellStyle name="Currency 2 2 4 3 2 3 5 3" xfId="25000"/>
    <cellStyle name="Currency 2 2 4 3 2 3 6" xfId="6102"/>
    <cellStyle name="Currency 2 2 4 3 2 3 6 2" xfId="25001"/>
    <cellStyle name="Currency 2 2 4 3 2 3 7" xfId="6103"/>
    <cellStyle name="Currency 2 2 4 3 2 4" xfId="1467"/>
    <cellStyle name="Currency 2 2 4 3 2 4 2" xfId="6104"/>
    <cellStyle name="Currency 2 2 4 3 2 4 2 2" xfId="6105"/>
    <cellStyle name="Currency 2 2 4 3 2 4 2 2 2" xfId="25002"/>
    <cellStyle name="Currency 2 2 4 3 2 4 2 3" xfId="25003"/>
    <cellStyle name="Currency 2 2 4 3 2 4 3" xfId="6106"/>
    <cellStyle name="Currency 2 2 4 3 2 4 3 2" xfId="6107"/>
    <cellStyle name="Currency 2 2 4 3 2 4 3 2 2" xfId="25004"/>
    <cellStyle name="Currency 2 2 4 3 2 4 3 3" xfId="25005"/>
    <cellStyle name="Currency 2 2 4 3 2 4 4" xfId="6108"/>
    <cellStyle name="Currency 2 2 4 3 2 4 4 2" xfId="6109"/>
    <cellStyle name="Currency 2 2 4 3 2 4 4 2 2" xfId="25006"/>
    <cellStyle name="Currency 2 2 4 3 2 4 4 3" xfId="25007"/>
    <cellStyle name="Currency 2 2 4 3 2 4 5" xfId="6110"/>
    <cellStyle name="Currency 2 2 4 3 2 4 5 2" xfId="25008"/>
    <cellStyle name="Currency 2 2 4 3 2 4 6" xfId="6111"/>
    <cellStyle name="Currency 2 2 4 3 2 5" xfId="6112"/>
    <cellStyle name="Currency 2 2 4 3 2 5 2" xfId="6113"/>
    <cellStyle name="Currency 2 2 4 3 2 5 2 2" xfId="25009"/>
    <cellStyle name="Currency 2 2 4 3 2 5 3" xfId="25010"/>
    <cellStyle name="Currency 2 2 4 3 2 6" xfId="6114"/>
    <cellStyle name="Currency 2 2 4 3 2 6 2" xfId="6115"/>
    <cellStyle name="Currency 2 2 4 3 2 6 2 2" xfId="25011"/>
    <cellStyle name="Currency 2 2 4 3 2 6 3" xfId="25012"/>
    <cellStyle name="Currency 2 2 4 3 2 7" xfId="6116"/>
    <cellStyle name="Currency 2 2 4 3 2 7 2" xfId="6117"/>
    <cellStyle name="Currency 2 2 4 3 2 7 2 2" xfId="25013"/>
    <cellStyle name="Currency 2 2 4 3 2 7 3" xfId="25014"/>
    <cellStyle name="Currency 2 2 4 3 2 8" xfId="6118"/>
    <cellStyle name="Currency 2 2 4 3 2 8 2" xfId="25015"/>
    <cellStyle name="Currency 2 2 4 3 2 9" xfId="6119"/>
    <cellStyle name="Currency 2 2 4 3 3" xfId="1040"/>
    <cellStyle name="Currency 2 2 4 3 3 2" xfId="1468"/>
    <cellStyle name="Currency 2 2 4 3 3 2 2" xfId="6120"/>
    <cellStyle name="Currency 2 2 4 3 3 2 2 2" xfId="6121"/>
    <cellStyle name="Currency 2 2 4 3 3 2 2 2 2" xfId="25016"/>
    <cellStyle name="Currency 2 2 4 3 3 2 2 3" xfId="25017"/>
    <cellStyle name="Currency 2 2 4 3 3 2 3" xfId="6122"/>
    <cellStyle name="Currency 2 2 4 3 3 2 3 2" xfId="6123"/>
    <cellStyle name="Currency 2 2 4 3 3 2 3 2 2" xfId="25018"/>
    <cellStyle name="Currency 2 2 4 3 3 2 3 3" xfId="25019"/>
    <cellStyle name="Currency 2 2 4 3 3 2 4" xfId="6124"/>
    <cellStyle name="Currency 2 2 4 3 3 2 4 2" xfId="6125"/>
    <cellStyle name="Currency 2 2 4 3 3 2 4 2 2" xfId="25020"/>
    <cellStyle name="Currency 2 2 4 3 3 2 4 3" xfId="25021"/>
    <cellStyle name="Currency 2 2 4 3 3 2 5" xfId="6126"/>
    <cellStyle name="Currency 2 2 4 3 3 2 5 2" xfId="25022"/>
    <cellStyle name="Currency 2 2 4 3 3 2 6" xfId="6127"/>
    <cellStyle name="Currency 2 2 4 3 3 3" xfId="6128"/>
    <cellStyle name="Currency 2 2 4 3 3 3 2" xfId="6129"/>
    <cellStyle name="Currency 2 2 4 3 3 3 2 2" xfId="25023"/>
    <cellStyle name="Currency 2 2 4 3 3 3 3" xfId="25024"/>
    <cellStyle name="Currency 2 2 4 3 3 4" xfId="6130"/>
    <cellStyle name="Currency 2 2 4 3 3 4 2" xfId="6131"/>
    <cellStyle name="Currency 2 2 4 3 3 4 2 2" xfId="25025"/>
    <cellStyle name="Currency 2 2 4 3 3 4 3" xfId="25026"/>
    <cellStyle name="Currency 2 2 4 3 3 5" xfId="6132"/>
    <cellStyle name="Currency 2 2 4 3 3 5 2" xfId="6133"/>
    <cellStyle name="Currency 2 2 4 3 3 5 2 2" xfId="25027"/>
    <cellStyle name="Currency 2 2 4 3 3 5 3" xfId="25028"/>
    <cellStyle name="Currency 2 2 4 3 3 6" xfId="6134"/>
    <cellStyle name="Currency 2 2 4 3 3 6 2" xfId="25029"/>
    <cellStyle name="Currency 2 2 4 3 3 7" xfId="6135"/>
    <cellStyle name="Currency 2 2 4 3 4" xfId="672"/>
    <cellStyle name="Currency 2 2 4 3 4 2" xfId="1469"/>
    <cellStyle name="Currency 2 2 4 3 4 2 2" xfId="6136"/>
    <cellStyle name="Currency 2 2 4 3 4 2 2 2" xfId="6137"/>
    <cellStyle name="Currency 2 2 4 3 4 2 2 2 2" xfId="25030"/>
    <cellStyle name="Currency 2 2 4 3 4 2 2 3" xfId="25031"/>
    <cellStyle name="Currency 2 2 4 3 4 2 3" xfId="6138"/>
    <cellStyle name="Currency 2 2 4 3 4 2 3 2" xfId="6139"/>
    <cellStyle name="Currency 2 2 4 3 4 2 3 2 2" xfId="25032"/>
    <cellStyle name="Currency 2 2 4 3 4 2 3 3" xfId="25033"/>
    <cellStyle name="Currency 2 2 4 3 4 2 4" xfId="6140"/>
    <cellStyle name="Currency 2 2 4 3 4 2 4 2" xfId="6141"/>
    <cellStyle name="Currency 2 2 4 3 4 2 4 2 2" xfId="25034"/>
    <cellStyle name="Currency 2 2 4 3 4 2 4 3" xfId="25035"/>
    <cellStyle name="Currency 2 2 4 3 4 2 5" xfId="6142"/>
    <cellStyle name="Currency 2 2 4 3 4 2 5 2" xfId="25036"/>
    <cellStyle name="Currency 2 2 4 3 4 2 6" xfId="6143"/>
    <cellStyle name="Currency 2 2 4 3 4 3" xfId="6144"/>
    <cellStyle name="Currency 2 2 4 3 4 3 2" xfId="6145"/>
    <cellStyle name="Currency 2 2 4 3 4 3 2 2" xfId="25037"/>
    <cellStyle name="Currency 2 2 4 3 4 3 3" xfId="25038"/>
    <cellStyle name="Currency 2 2 4 3 4 4" xfId="6146"/>
    <cellStyle name="Currency 2 2 4 3 4 4 2" xfId="6147"/>
    <cellStyle name="Currency 2 2 4 3 4 4 2 2" xfId="25039"/>
    <cellStyle name="Currency 2 2 4 3 4 4 3" xfId="25040"/>
    <cellStyle name="Currency 2 2 4 3 4 5" xfId="6148"/>
    <cellStyle name="Currency 2 2 4 3 4 5 2" xfId="6149"/>
    <cellStyle name="Currency 2 2 4 3 4 5 2 2" xfId="25041"/>
    <cellStyle name="Currency 2 2 4 3 4 5 3" xfId="25042"/>
    <cellStyle name="Currency 2 2 4 3 4 6" xfId="6150"/>
    <cellStyle name="Currency 2 2 4 3 4 6 2" xfId="25043"/>
    <cellStyle name="Currency 2 2 4 3 4 7" xfId="6151"/>
    <cellStyle name="Currency 2 2 4 3 5" xfId="1470"/>
    <cellStyle name="Currency 2 2 4 3 5 2" xfId="6152"/>
    <cellStyle name="Currency 2 2 4 3 5 2 2" xfId="6153"/>
    <cellStyle name="Currency 2 2 4 3 5 2 2 2" xfId="25044"/>
    <cellStyle name="Currency 2 2 4 3 5 2 3" xfId="25045"/>
    <cellStyle name="Currency 2 2 4 3 5 3" xfId="6154"/>
    <cellStyle name="Currency 2 2 4 3 5 3 2" xfId="6155"/>
    <cellStyle name="Currency 2 2 4 3 5 3 2 2" xfId="25046"/>
    <cellStyle name="Currency 2 2 4 3 5 3 3" xfId="25047"/>
    <cellStyle name="Currency 2 2 4 3 5 4" xfId="6156"/>
    <cellStyle name="Currency 2 2 4 3 5 4 2" xfId="6157"/>
    <cellStyle name="Currency 2 2 4 3 5 4 2 2" xfId="25048"/>
    <cellStyle name="Currency 2 2 4 3 5 4 3" xfId="25049"/>
    <cellStyle name="Currency 2 2 4 3 5 5" xfId="6158"/>
    <cellStyle name="Currency 2 2 4 3 5 5 2" xfId="25050"/>
    <cellStyle name="Currency 2 2 4 3 5 6" xfId="6159"/>
    <cellStyle name="Currency 2 2 4 3 6" xfId="6160"/>
    <cellStyle name="Currency 2 2 4 3 6 2" xfId="6161"/>
    <cellStyle name="Currency 2 2 4 3 6 2 2" xfId="25051"/>
    <cellStyle name="Currency 2 2 4 3 6 3" xfId="25052"/>
    <cellStyle name="Currency 2 2 4 3 7" xfId="6162"/>
    <cellStyle name="Currency 2 2 4 3 7 2" xfId="6163"/>
    <cellStyle name="Currency 2 2 4 3 7 2 2" xfId="25053"/>
    <cellStyle name="Currency 2 2 4 3 7 3" xfId="25054"/>
    <cellStyle name="Currency 2 2 4 3 8" xfId="6164"/>
    <cellStyle name="Currency 2 2 4 3 8 2" xfId="6165"/>
    <cellStyle name="Currency 2 2 4 3 8 2 2" xfId="25055"/>
    <cellStyle name="Currency 2 2 4 3 8 3" xfId="25056"/>
    <cellStyle name="Currency 2 2 4 3 9" xfId="6166"/>
    <cellStyle name="Currency 2 2 4 3 9 2" xfId="25057"/>
    <cellStyle name="Currency 2 2 4 4" xfId="171"/>
    <cellStyle name="Currency 2 2 4 4 2" xfId="959"/>
    <cellStyle name="Currency 2 2 4 4 2 2" xfId="1471"/>
    <cellStyle name="Currency 2 2 4 4 2 2 2" xfId="6167"/>
    <cellStyle name="Currency 2 2 4 4 2 2 2 2" xfId="6168"/>
    <cellStyle name="Currency 2 2 4 4 2 2 2 2 2" xfId="25058"/>
    <cellStyle name="Currency 2 2 4 4 2 2 2 3" xfId="25059"/>
    <cellStyle name="Currency 2 2 4 4 2 2 3" xfId="6169"/>
    <cellStyle name="Currency 2 2 4 4 2 2 3 2" xfId="6170"/>
    <cellStyle name="Currency 2 2 4 4 2 2 3 2 2" xfId="25060"/>
    <cellStyle name="Currency 2 2 4 4 2 2 3 3" xfId="25061"/>
    <cellStyle name="Currency 2 2 4 4 2 2 4" xfId="6171"/>
    <cellStyle name="Currency 2 2 4 4 2 2 4 2" xfId="6172"/>
    <cellStyle name="Currency 2 2 4 4 2 2 4 2 2" xfId="25062"/>
    <cellStyle name="Currency 2 2 4 4 2 2 4 3" xfId="25063"/>
    <cellStyle name="Currency 2 2 4 4 2 2 5" xfId="6173"/>
    <cellStyle name="Currency 2 2 4 4 2 2 5 2" xfId="25064"/>
    <cellStyle name="Currency 2 2 4 4 2 2 6" xfId="6174"/>
    <cellStyle name="Currency 2 2 4 4 2 3" xfId="6175"/>
    <cellStyle name="Currency 2 2 4 4 2 3 2" xfId="6176"/>
    <cellStyle name="Currency 2 2 4 4 2 3 2 2" xfId="25065"/>
    <cellStyle name="Currency 2 2 4 4 2 3 3" xfId="25066"/>
    <cellStyle name="Currency 2 2 4 4 2 4" xfId="6177"/>
    <cellStyle name="Currency 2 2 4 4 2 4 2" xfId="6178"/>
    <cellStyle name="Currency 2 2 4 4 2 4 2 2" xfId="25067"/>
    <cellStyle name="Currency 2 2 4 4 2 4 3" xfId="25068"/>
    <cellStyle name="Currency 2 2 4 4 2 5" xfId="6179"/>
    <cellStyle name="Currency 2 2 4 4 2 5 2" xfId="6180"/>
    <cellStyle name="Currency 2 2 4 4 2 5 2 2" xfId="25069"/>
    <cellStyle name="Currency 2 2 4 4 2 5 3" xfId="25070"/>
    <cellStyle name="Currency 2 2 4 4 2 6" xfId="6181"/>
    <cellStyle name="Currency 2 2 4 4 2 6 2" xfId="25071"/>
    <cellStyle name="Currency 2 2 4 4 2 7" xfId="6182"/>
    <cellStyle name="Currency 2 2 4 4 3" xfId="591"/>
    <cellStyle name="Currency 2 2 4 4 3 2" xfId="1472"/>
    <cellStyle name="Currency 2 2 4 4 3 2 2" xfId="6183"/>
    <cellStyle name="Currency 2 2 4 4 3 2 2 2" xfId="6184"/>
    <cellStyle name="Currency 2 2 4 4 3 2 2 2 2" xfId="25072"/>
    <cellStyle name="Currency 2 2 4 4 3 2 2 3" xfId="25073"/>
    <cellStyle name="Currency 2 2 4 4 3 2 3" xfId="6185"/>
    <cellStyle name="Currency 2 2 4 4 3 2 3 2" xfId="6186"/>
    <cellStyle name="Currency 2 2 4 4 3 2 3 2 2" xfId="25074"/>
    <cellStyle name="Currency 2 2 4 4 3 2 3 3" xfId="25075"/>
    <cellStyle name="Currency 2 2 4 4 3 2 4" xfId="6187"/>
    <cellStyle name="Currency 2 2 4 4 3 2 4 2" xfId="6188"/>
    <cellStyle name="Currency 2 2 4 4 3 2 4 2 2" xfId="25076"/>
    <cellStyle name="Currency 2 2 4 4 3 2 4 3" xfId="25077"/>
    <cellStyle name="Currency 2 2 4 4 3 2 5" xfId="6189"/>
    <cellStyle name="Currency 2 2 4 4 3 2 5 2" xfId="25078"/>
    <cellStyle name="Currency 2 2 4 4 3 2 6" xfId="6190"/>
    <cellStyle name="Currency 2 2 4 4 3 3" xfId="6191"/>
    <cellStyle name="Currency 2 2 4 4 3 3 2" xfId="6192"/>
    <cellStyle name="Currency 2 2 4 4 3 3 2 2" xfId="25079"/>
    <cellStyle name="Currency 2 2 4 4 3 3 3" xfId="25080"/>
    <cellStyle name="Currency 2 2 4 4 3 4" xfId="6193"/>
    <cellStyle name="Currency 2 2 4 4 3 4 2" xfId="6194"/>
    <cellStyle name="Currency 2 2 4 4 3 4 2 2" xfId="25081"/>
    <cellStyle name="Currency 2 2 4 4 3 4 3" xfId="25082"/>
    <cellStyle name="Currency 2 2 4 4 3 5" xfId="6195"/>
    <cellStyle name="Currency 2 2 4 4 3 5 2" xfId="6196"/>
    <cellStyle name="Currency 2 2 4 4 3 5 2 2" xfId="25083"/>
    <cellStyle name="Currency 2 2 4 4 3 5 3" xfId="25084"/>
    <cellStyle name="Currency 2 2 4 4 3 6" xfId="6197"/>
    <cellStyle name="Currency 2 2 4 4 3 6 2" xfId="25085"/>
    <cellStyle name="Currency 2 2 4 4 3 7" xfId="6198"/>
    <cellStyle name="Currency 2 2 4 4 4" xfId="1473"/>
    <cellStyle name="Currency 2 2 4 4 4 2" xfId="6199"/>
    <cellStyle name="Currency 2 2 4 4 4 2 2" xfId="6200"/>
    <cellStyle name="Currency 2 2 4 4 4 2 2 2" xfId="25086"/>
    <cellStyle name="Currency 2 2 4 4 4 2 3" xfId="25087"/>
    <cellStyle name="Currency 2 2 4 4 4 3" xfId="6201"/>
    <cellStyle name="Currency 2 2 4 4 4 3 2" xfId="6202"/>
    <cellStyle name="Currency 2 2 4 4 4 3 2 2" xfId="25088"/>
    <cellStyle name="Currency 2 2 4 4 4 3 3" xfId="25089"/>
    <cellStyle name="Currency 2 2 4 4 4 4" xfId="6203"/>
    <cellStyle name="Currency 2 2 4 4 4 4 2" xfId="6204"/>
    <cellStyle name="Currency 2 2 4 4 4 4 2 2" xfId="25090"/>
    <cellStyle name="Currency 2 2 4 4 4 4 3" xfId="25091"/>
    <cellStyle name="Currency 2 2 4 4 4 5" xfId="6205"/>
    <cellStyle name="Currency 2 2 4 4 4 5 2" xfId="25092"/>
    <cellStyle name="Currency 2 2 4 4 4 6" xfId="6206"/>
    <cellStyle name="Currency 2 2 4 4 5" xfId="6207"/>
    <cellStyle name="Currency 2 2 4 4 5 2" xfId="6208"/>
    <cellStyle name="Currency 2 2 4 4 5 2 2" xfId="25093"/>
    <cellStyle name="Currency 2 2 4 4 5 3" xfId="25094"/>
    <cellStyle name="Currency 2 2 4 4 6" xfId="6209"/>
    <cellStyle name="Currency 2 2 4 4 6 2" xfId="6210"/>
    <cellStyle name="Currency 2 2 4 4 6 2 2" xfId="25095"/>
    <cellStyle name="Currency 2 2 4 4 6 3" xfId="25096"/>
    <cellStyle name="Currency 2 2 4 4 7" xfId="6211"/>
    <cellStyle name="Currency 2 2 4 4 7 2" xfId="6212"/>
    <cellStyle name="Currency 2 2 4 4 7 2 2" xfId="25097"/>
    <cellStyle name="Currency 2 2 4 4 7 3" xfId="25098"/>
    <cellStyle name="Currency 2 2 4 4 8" xfId="6213"/>
    <cellStyle name="Currency 2 2 4 4 8 2" xfId="25099"/>
    <cellStyle name="Currency 2 2 4 4 9" xfId="6214"/>
    <cellStyle name="Currency 2 2 4 5" xfId="329"/>
    <cellStyle name="Currency 2 2 4 5 2" xfId="1117"/>
    <cellStyle name="Currency 2 2 4 5 2 2" xfId="1474"/>
    <cellStyle name="Currency 2 2 4 5 2 2 2" xfId="6215"/>
    <cellStyle name="Currency 2 2 4 5 2 2 2 2" xfId="6216"/>
    <cellStyle name="Currency 2 2 4 5 2 2 2 2 2" xfId="25100"/>
    <cellStyle name="Currency 2 2 4 5 2 2 2 3" xfId="25101"/>
    <cellStyle name="Currency 2 2 4 5 2 2 3" xfId="6217"/>
    <cellStyle name="Currency 2 2 4 5 2 2 3 2" xfId="6218"/>
    <cellStyle name="Currency 2 2 4 5 2 2 3 2 2" xfId="25102"/>
    <cellStyle name="Currency 2 2 4 5 2 2 3 3" xfId="25103"/>
    <cellStyle name="Currency 2 2 4 5 2 2 4" xfId="6219"/>
    <cellStyle name="Currency 2 2 4 5 2 2 4 2" xfId="6220"/>
    <cellStyle name="Currency 2 2 4 5 2 2 4 2 2" xfId="25104"/>
    <cellStyle name="Currency 2 2 4 5 2 2 4 3" xfId="25105"/>
    <cellStyle name="Currency 2 2 4 5 2 2 5" xfId="6221"/>
    <cellStyle name="Currency 2 2 4 5 2 2 5 2" xfId="25106"/>
    <cellStyle name="Currency 2 2 4 5 2 2 6" xfId="6222"/>
    <cellStyle name="Currency 2 2 4 5 2 3" xfId="6223"/>
    <cellStyle name="Currency 2 2 4 5 2 3 2" xfId="6224"/>
    <cellStyle name="Currency 2 2 4 5 2 3 2 2" xfId="25107"/>
    <cellStyle name="Currency 2 2 4 5 2 3 3" xfId="25108"/>
    <cellStyle name="Currency 2 2 4 5 2 4" xfId="6225"/>
    <cellStyle name="Currency 2 2 4 5 2 4 2" xfId="6226"/>
    <cellStyle name="Currency 2 2 4 5 2 4 2 2" xfId="25109"/>
    <cellStyle name="Currency 2 2 4 5 2 4 3" xfId="25110"/>
    <cellStyle name="Currency 2 2 4 5 2 5" xfId="6227"/>
    <cellStyle name="Currency 2 2 4 5 2 5 2" xfId="6228"/>
    <cellStyle name="Currency 2 2 4 5 2 5 2 2" xfId="25111"/>
    <cellStyle name="Currency 2 2 4 5 2 5 3" xfId="25112"/>
    <cellStyle name="Currency 2 2 4 5 2 6" xfId="6229"/>
    <cellStyle name="Currency 2 2 4 5 2 6 2" xfId="25113"/>
    <cellStyle name="Currency 2 2 4 5 2 7" xfId="6230"/>
    <cellStyle name="Currency 2 2 4 5 3" xfId="749"/>
    <cellStyle name="Currency 2 2 4 5 3 2" xfId="1475"/>
    <cellStyle name="Currency 2 2 4 5 3 2 2" xfId="6231"/>
    <cellStyle name="Currency 2 2 4 5 3 2 2 2" xfId="6232"/>
    <cellStyle name="Currency 2 2 4 5 3 2 2 2 2" xfId="25114"/>
    <cellStyle name="Currency 2 2 4 5 3 2 2 3" xfId="25115"/>
    <cellStyle name="Currency 2 2 4 5 3 2 3" xfId="6233"/>
    <cellStyle name="Currency 2 2 4 5 3 2 3 2" xfId="6234"/>
    <cellStyle name="Currency 2 2 4 5 3 2 3 2 2" xfId="25116"/>
    <cellStyle name="Currency 2 2 4 5 3 2 3 3" xfId="25117"/>
    <cellStyle name="Currency 2 2 4 5 3 2 4" xfId="6235"/>
    <cellStyle name="Currency 2 2 4 5 3 2 4 2" xfId="6236"/>
    <cellStyle name="Currency 2 2 4 5 3 2 4 2 2" xfId="25118"/>
    <cellStyle name="Currency 2 2 4 5 3 2 4 3" xfId="25119"/>
    <cellStyle name="Currency 2 2 4 5 3 2 5" xfId="6237"/>
    <cellStyle name="Currency 2 2 4 5 3 2 5 2" xfId="25120"/>
    <cellStyle name="Currency 2 2 4 5 3 2 6" xfId="6238"/>
    <cellStyle name="Currency 2 2 4 5 3 3" xfId="6239"/>
    <cellStyle name="Currency 2 2 4 5 3 3 2" xfId="6240"/>
    <cellStyle name="Currency 2 2 4 5 3 3 2 2" xfId="25121"/>
    <cellStyle name="Currency 2 2 4 5 3 3 3" xfId="25122"/>
    <cellStyle name="Currency 2 2 4 5 3 4" xfId="6241"/>
    <cellStyle name="Currency 2 2 4 5 3 4 2" xfId="6242"/>
    <cellStyle name="Currency 2 2 4 5 3 4 2 2" xfId="25123"/>
    <cellStyle name="Currency 2 2 4 5 3 4 3" xfId="25124"/>
    <cellStyle name="Currency 2 2 4 5 3 5" xfId="6243"/>
    <cellStyle name="Currency 2 2 4 5 3 5 2" xfId="6244"/>
    <cellStyle name="Currency 2 2 4 5 3 5 2 2" xfId="25125"/>
    <cellStyle name="Currency 2 2 4 5 3 5 3" xfId="25126"/>
    <cellStyle name="Currency 2 2 4 5 3 6" xfId="6245"/>
    <cellStyle name="Currency 2 2 4 5 3 6 2" xfId="25127"/>
    <cellStyle name="Currency 2 2 4 5 3 7" xfId="6246"/>
    <cellStyle name="Currency 2 2 4 5 4" xfId="1476"/>
    <cellStyle name="Currency 2 2 4 5 4 2" xfId="6247"/>
    <cellStyle name="Currency 2 2 4 5 4 2 2" xfId="6248"/>
    <cellStyle name="Currency 2 2 4 5 4 2 2 2" xfId="25128"/>
    <cellStyle name="Currency 2 2 4 5 4 2 3" xfId="25129"/>
    <cellStyle name="Currency 2 2 4 5 4 3" xfId="6249"/>
    <cellStyle name="Currency 2 2 4 5 4 3 2" xfId="6250"/>
    <cellStyle name="Currency 2 2 4 5 4 3 2 2" xfId="25130"/>
    <cellStyle name="Currency 2 2 4 5 4 3 3" xfId="25131"/>
    <cellStyle name="Currency 2 2 4 5 4 4" xfId="6251"/>
    <cellStyle name="Currency 2 2 4 5 4 4 2" xfId="6252"/>
    <cellStyle name="Currency 2 2 4 5 4 4 2 2" xfId="25132"/>
    <cellStyle name="Currency 2 2 4 5 4 4 3" xfId="25133"/>
    <cellStyle name="Currency 2 2 4 5 4 5" xfId="6253"/>
    <cellStyle name="Currency 2 2 4 5 4 5 2" xfId="25134"/>
    <cellStyle name="Currency 2 2 4 5 4 6" xfId="6254"/>
    <cellStyle name="Currency 2 2 4 5 5" xfId="6255"/>
    <cellStyle name="Currency 2 2 4 5 5 2" xfId="6256"/>
    <cellStyle name="Currency 2 2 4 5 5 2 2" xfId="25135"/>
    <cellStyle name="Currency 2 2 4 5 5 3" xfId="25136"/>
    <cellStyle name="Currency 2 2 4 5 6" xfId="6257"/>
    <cellStyle name="Currency 2 2 4 5 6 2" xfId="6258"/>
    <cellStyle name="Currency 2 2 4 5 6 2 2" xfId="25137"/>
    <cellStyle name="Currency 2 2 4 5 6 3" xfId="25138"/>
    <cellStyle name="Currency 2 2 4 5 7" xfId="6259"/>
    <cellStyle name="Currency 2 2 4 5 7 2" xfId="6260"/>
    <cellStyle name="Currency 2 2 4 5 7 2 2" xfId="25139"/>
    <cellStyle name="Currency 2 2 4 5 7 3" xfId="25140"/>
    <cellStyle name="Currency 2 2 4 5 8" xfId="6261"/>
    <cellStyle name="Currency 2 2 4 5 8 2" xfId="25141"/>
    <cellStyle name="Currency 2 2 4 5 9" xfId="6262"/>
    <cellStyle name="Currency 2 2 4 6" xfId="118"/>
    <cellStyle name="Currency 2 2 4 6 2" xfId="539"/>
    <cellStyle name="Currency 2 2 4 6 2 2" xfId="1477"/>
    <cellStyle name="Currency 2 2 4 6 2 2 2" xfId="6263"/>
    <cellStyle name="Currency 2 2 4 6 2 2 2 2" xfId="6264"/>
    <cellStyle name="Currency 2 2 4 6 2 2 2 2 2" xfId="25142"/>
    <cellStyle name="Currency 2 2 4 6 2 2 2 3" xfId="25143"/>
    <cellStyle name="Currency 2 2 4 6 2 2 3" xfId="6265"/>
    <cellStyle name="Currency 2 2 4 6 2 2 3 2" xfId="6266"/>
    <cellStyle name="Currency 2 2 4 6 2 2 3 2 2" xfId="25144"/>
    <cellStyle name="Currency 2 2 4 6 2 2 3 3" xfId="25145"/>
    <cellStyle name="Currency 2 2 4 6 2 2 4" xfId="6267"/>
    <cellStyle name="Currency 2 2 4 6 2 2 4 2" xfId="6268"/>
    <cellStyle name="Currency 2 2 4 6 2 2 4 2 2" xfId="25146"/>
    <cellStyle name="Currency 2 2 4 6 2 2 4 3" xfId="25147"/>
    <cellStyle name="Currency 2 2 4 6 2 2 5" xfId="6269"/>
    <cellStyle name="Currency 2 2 4 6 2 2 5 2" xfId="25148"/>
    <cellStyle name="Currency 2 2 4 6 2 2 6" xfId="6270"/>
    <cellStyle name="Currency 2 2 4 6 2 3" xfId="6271"/>
    <cellStyle name="Currency 2 2 4 6 2 3 2" xfId="6272"/>
    <cellStyle name="Currency 2 2 4 6 2 3 2 2" xfId="25149"/>
    <cellStyle name="Currency 2 2 4 6 2 3 3" xfId="25150"/>
    <cellStyle name="Currency 2 2 4 6 2 4" xfId="6273"/>
    <cellStyle name="Currency 2 2 4 6 2 4 2" xfId="6274"/>
    <cellStyle name="Currency 2 2 4 6 2 4 2 2" xfId="25151"/>
    <cellStyle name="Currency 2 2 4 6 2 4 3" xfId="25152"/>
    <cellStyle name="Currency 2 2 4 6 2 5" xfId="6275"/>
    <cellStyle name="Currency 2 2 4 6 2 5 2" xfId="6276"/>
    <cellStyle name="Currency 2 2 4 6 2 5 2 2" xfId="25153"/>
    <cellStyle name="Currency 2 2 4 6 2 5 3" xfId="25154"/>
    <cellStyle name="Currency 2 2 4 6 2 6" xfId="6277"/>
    <cellStyle name="Currency 2 2 4 6 2 6 2" xfId="25155"/>
    <cellStyle name="Currency 2 2 4 6 2 7" xfId="6278"/>
    <cellStyle name="Currency 2 2 4 6 3" xfId="1478"/>
    <cellStyle name="Currency 2 2 4 6 3 2" xfId="6279"/>
    <cellStyle name="Currency 2 2 4 6 3 2 2" xfId="6280"/>
    <cellStyle name="Currency 2 2 4 6 3 2 2 2" xfId="25156"/>
    <cellStyle name="Currency 2 2 4 6 3 2 3" xfId="25157"/>
    <cellStyle name="Currency 2 2 4 6 3 3" xfId="6281"/>
    <cellStyle name="Currency 2 2 4 6 3 3 2" xfId="6282"/>
    <cellStyle name="Currency 2 2 4 6 3 3 2 2" xfId="25158"/>
    <cellStyle name="Currency 2 2 4 6 3 3 3" xfId="25159"/>
    <cellStyle name="Currency 2 2 4 6 3 4" xfId="6283"/>
    <cellStyle name="Currency 2 2 4 6 3 4 2" xfId="6284"/>
    <cellStyle name="Currency 2 2 4 6 3 4 2 2" xfId="25160"/>
    <cellStyle name="Currency 2 2 4 6 3 4 3" xfId="25161"/>
    <cellStyle name="Currency 2 2 4 6 3 5" xfId="6285"/>
    <cellStyle name="Currency 2 2 4 6 3 5 2" xfId="25162"/>
    <cellStyle name="Currency 2 2 4 6 3 6" xfId="6286"/>
    <cellStyle name="Currency 2 2 4 6 4" xfId="6287"/>
    <cellStyle name="Currency 2 2 4 6 4 2" xfId="6288"/>
    <cellStyle name="Currency 2 2 4 6 4 2 2" xfId="25163"/>
    <cellStyle name="Currency 2 2 4 6 4 3" xfId="25164"/>
    <cellStyle name="Currency 2 2 4 6 5" xfId="6289"/>
    <cellStyle name="Currency 2 2 4 6 5 2" xfId="6290"/>
    <cellStyle name="Currency 2 2 4 6 5 2 2" xfId="25165"/>
    <cellStyle name="Currency 2 2 4 6 5 3" xfId="25166"/>
    <cellStyle name="Currency 2 2 4 6 6" xfId="6291"/>
    <cellStyle name="Currency 2 2 4 6 6 2" xfId="6292"/>
    <cellStyle name="Currency 2 2 4 6 6 2 2" xfId="25167"/>
    <cellStyle name="Currency 2 2 4 6 6 3" xfId="25168"/>
    <cellStyle name="Currency 2 2 4 6 7" xfId="6293"/>
    <cellStyle name="Currency 2 2 4 6 7 2" xfId="25169"/>
    <cellStyle name="Currency 2 2 4 6 8" xfId="6294"/>
    <cellStyle name="Currency 2 2 4 7" xfId="907"/>
    <cellStyle name="Currency 2 2 4 7 2" xfId="1479"/>
    <cellStyle name="Currency 2 2 4 7 2 2" xfId="6295"/>
    <cellStyle name="Currency 2 2 4 7 2 2 2" xfId="6296"/>
    <cellStyle name="Currency 2 2 4 7 2 2 2 2" xfId="25170"/>
    <cellStyle name="Currency 2 2 4 7 2 2 3" xfId="25171"/>
    <cellStyle name="Currency 2 2 4 7 2 3" xfId="6297"/>
    <cellStyle name="Currency 2 2 4 7 2 3 2" xfId="6298"/>
    <cellStyle name="Currency 2 2 4 7 2 3 2 2" xfId="25172"/>
    <cellStyle name="Currency 2 2 4 7 2 3 3" xfId="25173"/>
    <cellStyle name="Currency 2 2 4 7 2 4" xfId="6299"/>
    <cellStyle name="Currency 2 2 4 7 2 4 2" xfId="6300"/>
    <cellStyle name="Currency 2 2 4 7 2 4 2 2" xfId="25174"/>
    <cellStyle name="Currency 2 2 4 7 2 4 3" xfId="25175"/>
    <cellStyle name="Currency 2 2 4 7 2 5" xfId="6301"/>
    <cellStyle name="Currency 2 2 4 7 2 5 2" xfId="25176"/>
    <cellStyle name="Currency 2 2 4 7 2 6" xfId="6302"/>
    <cellStyle name="Currency 2 2 4 7 3" xfId="6303"/>
    <cellStyle name="Currency 2 2 4 7 3 2" xfId="6304"/>
    <cellStyle name="Currency 2 2 4 7 3 2 2" xfId="25177"/>
    <cellStyle name="Currency 2 2 4 7 3 3" xfId="25178"/>
    <cellStyle name="Currency 2 2 4 7 4" xfId="6305"/>
    <cellStyle name="Currency 2 2 4 7 4 2" xfId="6306"/>
    <cellStyle name="Currency 2 2 4 7 4 2 2" xfId="25179"/>
    <cellStyle name="Currency 2 2 4 7 4 3" xfId="25180"/>
    <cellStyle name="Currency 2 2 4 7 5" xfId="6307"/>
    <cellStyle name="Currency 2 2 4 7 5 2" xfId="6308"/>
    <cellStyle name="Currency 2 2 4 7 5 2 2" xfId="25181"/>
    <cellStyle name="Currency 2 2 4 7 5 3" xfId="25182"/>
    <cellStyle name="Currency 2 2 4 7 6" xfId="6309"/>
    <cellStyle name="Currency 2 2 4 7 6 2" xfId="25183"/>
    <cellStyle name="Currency 2 2 4 7 7" xfId="6310"/>
    <cellStyle name="Currency 2 2 4 8" xfId="469"/>
    <cellStyle name="Currency 2 2 4 8 2" xfId="1480"/>
    <cellStyle name="Currency 2 2 4 8 2 2" xfId="6311"/>
    <cellStyle name="Currency 2 2 4 8 2 2 2" xfId="6312"/>
    <cellStyle name="Currency 2 2 4 8 2 2 2 2" xfId="25184"/>
    <cellStyle name="Currency 2 2 4 8 2 2 3" xfId="25185"/>
    <cellStyle name="Currency 2 2 4 8 2 3" xfId="6313"/>
    <cellStyle name="Currency 2 2 4 8 2 3 2" xfId="6314"/>
    <cellStyle name="Currency 2 2 4 8 2 3 2 2" xfId="25186"/>
    <cellStyle name="Currency 2 2 4 8 2 3 3" xfId="25187"/>
    <cellStyle name="Currency 2 2 4 8 2 4" xfId="6315"/>
    <cellStyle name="Currency 2 2 4 8 2 4 2" xfId="6316"/>
    <cellStyle name="Currency 2 2 4 8 2 4 2 2" xfId="25188"/>
    <cellStyle name="Currency 2 2 4 8 2 4 3" xfId="25189"/>
    <cellStyle name="Currency 2 2 4 8 2 5" xfId="6317"/>
    <cellStyle name="Currency 2 2 4 8 2 5 2" xfId="25190"/>
    <cellStyle name="Currency 2 2 4 8 2 6" xfId="6318"/>
    <cellStyle name="Currency 2 2 4 8 3" xfId="6319"/>
    <cellStyle name="Currency 2 2 4 8 3 2" xfId="6320"/>
    <cellStyle name="Currency 2 2 4 8 3 2 2" xfId="25191"/>
    <cellStyle name="Currency 2 2 4 8 3 3" xfId="25192"/>
    <cellStyle name="Currency 2 2 4 8 4" xfId="6321"/>
    <cellStyle name="Currency 2 2 4 8 4 2" xfId="6322"/>
    <cellStyle name="Currency 2 2 4 8 4 2 2" xfId="25193"/>
    <cellStyle name="Currency 2 2 4 8 4 3" xfId="25194"/>
    <cellStyle name="Currency 2 2 4 8 5" xfId="6323"/>
    <cellStyle name="Currency 2 2 4 8 5 2" xfId="6324"/>
    <cellStyle name="Currency 2 2 4 8 5 2 2" xfId="25195"/>
    <cellStyle name="Currency 2 2 4 8 5 3" xfId="25196"/>
    <cellStyle name="Currency 2 2 4 8 6" xfId="6325"/>
    <cellStyle name="Currency 2 2 4 8 6 2" xfId="25197"/>
    <cellStyle name="Currency 2 2 4 8 7" xfId="6326"/>
    <cellStyle name="Currency 2 2 4 9" xfId="1481"/>
    <cellStyle name="Currency 2 2 4 9 2" xfId="6327"/>
    <cellStyle name="Currency 2 2 4 9 2 2" xfId="6328"/>
    <cellStyle name="Currency 2 2 4 9 2 2 2" xfId="25198"/>
    <cellStyle name="Currency 2 2 4 9 2 3" xfId="25199"/>
    <cellStyle name="Currency 2 2 4 9 3" xfId="6329"/>
    <cellStyle name="Currency 2 2 4 9 3 2" xfId="6330"/>
    <cellStyle name="Currency 2 2 4 9 3 2 2" xfId="25200"/>
    <cellStyle name="Currency 2 2 4 9 3 3" xfId="25201"/>
    <cellStyle name="Currency 2 2 4 9 4" xfId="6331"/>
    <cellStyle name="Currency 2 2 4 9 4 2" xfId="6332"/>
    <cellStyle name="Currency 2 2 4 9 4 2 2" xfId="25202"/>
    <cellStyle name="Currency 2 2 4 9 4 3" xfId="25203"/>
    <cellStyle name="Currency 2 2 4 9 5" xfId="6333"/>
    <cellStyle name="Currency 2 2 4 9 5 2" xfId="25204"/>
    <cellStyle name="Currency 2 2 4 9 6" xfId="6334"/>
    <cellStyle name="Currency 2 2 5" xfId="36"/>
    <cellStyle name="Currency 2 2 5 10" xfId="6335"/>
    <cellStyle name="Currency 2 2 5 10 2" xfId="6336"/>
    <cellStyle name="Currency 2 2 5 10 2 2" xfId="25205"/>
    <cellStyle name="Currency 2 2 5 10 3" xfId="25206"/>
    <cellStyle name="Currency 2 2 5 11" xfId="6337"/>
    <cellStyle name="Currency 2 2 5 11 2" xfId="6338"/>
    <cellStyle name="Currency 2 2 5 11 2 2" xfId="25207"/>
    <cellStyle name="Currency 2 2 5 11 3" xfId="25208"/>
    <cellStyle name="Currency 2 2 5 12" xfId="6339"/>
    <cellStyle name="Currency 2 2 5 12 2" xfId="6340"/>
    <cellStyle name="Currency 2 2 5 12 2 2" xfId="25209"/>
    <cellStyle name="Currency 2 2 5 12 3" xfId="25210"/>
    <cellStyle name="Currency 2 2 5 13" xfId="6341"/>
    <cellStyle name="Currency 2 2 5 13 2" xfId="25211"/>
    <cellStyle name="Currency 2 2 5 14" xfId="6342"/>
    <cellStyle name="Currency 2 2 5 2" xfId="202"/>
    <cellStyle name="Currency 2 2 5 2 10" xfId="6343"/>
    <cellStyle name="Currency 2 2 5 2 2" xfId="360"/>
    <cellStyle name="Currency 2 2 5 2 2 2" xfId="1148"/>
    <cellStyle name="Currency 2 2 5 2 2 2 2" xfId="1482"/>
    <cellStyle name="Currency 2 2 5 2 2 2 2 2" xfId="6344"/>
    <cellStyle name="Currency 2 2 5 2 2 2 2 2 2" xfId="6345"/>
    <cellStyle name="Currency 2 2 5 2 2 2 2 2 2 2" xfId="25212"/>
    <cellStyle name="Currency 2 2 5 2 2 2 2 2 3" xfId="25213"/>
    <cellStyle name="Currency 2 2 5 2 2 2 2 3" xfId="6346"/>
    <cellStyle name="Currency 2 2 5 2 2 2 2 3 2" xfId="6347"/>
    <cellStyle name="Currency 2 2 5 2 2 2 2 3 2 2" xfId="25214"/>
    <cellStyle name="Currency 2 2 5 2 2 2 2 3 3" xfId="25215"/>
    <cellStyle name="Currency 2 2 5 2 2 2 2 4" xfId="6348"/>
    <cellStyle name="Currency 2 2 5 2 2 2 2 4 2" xfId="6349"/>
    <cellStyle name="Currency 2 2 5 2 2 2 2 4 2 2" xfId="25216"/>
    <cellStyle name="Currency 2 2 5 2 2 2 2 4 3" xfId="25217"/>
    <cellStyle name="Currency 2 2 5 2 2 2 2 5" xfId="6350"/>
    <cellStyle name="Currency 2 2 5 2 2 2 2 5 2" xfId="25218"/>
    <cellStyle name="Currency 2 2 5 2 2 2 2 6" xfId="6351"/>
    <cellStyle name="Currency 2 2 5 2 2 2 3" xfId="6352"/>
    <cellStyle name="Currency 2 2 5 2 2 2 3 2" xfId="6353"/>
    <cellStyle name="Currency 2 2 5 2 2 2 3 2 2" xfId="25219"/>
    <cellStyle name="Currency 2 2 5 2 2 2 3 3" xfId="25220"/>
    <cellStyle name="Currency 2 2 5 2 2 2 4" xfId="6354"/>
    <cellStyle name="Currency 2 2 5 2 2 2 4 2" xfId="6355"/>
    <cellStyle name="Currency 2 2 5 2 2 2 4 2 2" xfId="25221"/>
    <cellStyle name="Currency 2 2 5 2 2 2 4 3" xfId="25222"/>
    <cellStyle name="Currency 2 2 5 2 2 2 5" xfId="6356"/>
    <cellStyle name="Currency 2 2 5 2 2 2 5 2" xfId="6357"/>
    <cellStyle name="Currency 2 2 5 2 2 2 5 2 2" xfId="25223"/>
    <cellStyle name="Currency 2 2 5 2 2 2 5 3" xfId="25224"/>
    <cellStyle name="Currency 2 2 5 2 2 2 6" xfId="6358"/>
    <cellStyle name="Currency 2 2 5 2 2 2 6 2" xfId="25225"/>
    <cellStyle name="Currency 2 2 5 2 2 2 7" xfId="6359"/>
    <cellStyle name="Currency 2 2 5 2 2 3" xfId="780"/>
    <cellStyle name="Currency 2 2 5 2 2 3 2" xfId="1483"/>
    <cellStyle name="Currency 2 2 5 2 2 3 2 2" xfId="6360"/>
    <cellStyle name="Currency 2 2 5 2 2 3 2 2 2" xfId="6361"/>
    <cellStyle name="Currency 2 2 5 2 2 3 2 2 2 2" xfId="25226"/>
    <cellStyle name="Currency 2 2 5 2 2 3 2 2 3" xfId="25227"/>
    <cellStyle name="Currency 2 2 5 2 2 3 2 3" xfId="6362"/>
    <cellStyle name="Currency 2 2 5 2 2 3 2 3 2" xfId="6363"/>
    <cellStyle name="Currency 2 2 5 2 2 3 2 3 2 2" xfId="25228"/>
    <cellStyle name="Currency 2 2 5 2 2 3 2 3 3" xfId="25229"/>
    <cellStyle name="Currency 2 2 5 2 2 3 2 4" xfId="6364"/>
    <cellStyle name="Currency 2 2 5 2 2 3 2 4 2" xfId="6365"/>
    <cellStyle name="Currency 2 2 5 2 2 3 2 4 2 2" xfId="25230"/>
    <cellStyle name="Currency 2 2 5 2 2 3 2 4 3" xfId="25231"/>
    <cellStyle name="Currency 2 2 5 2 2 3 2 5" xfId="6366"/>
    <cellStyle name="Currency 2 2 5 2 2 3 2 5 2" xfId="25232"/>
    <cellStyle name="Currency 2 2 5 2 2 3 2 6" xfId="6367"/>
    <cellStyle name="Currency 2 2 5 2 2 3 3" xfId="6368"/>
    <cellStyle name="Currency 2 2 5 2 2 3 3 2" xfId="6369"/>
    <cellStyle name="Currency 2 2 5 2 2 3 3 2 2" xfId="25233"/>
    <cellStyle name="Currency 2 2 5 2 2 3 3 3" xfId="25234"/>
    <cellStyle name="Currency 2 2 5 2 2 3 4" xfId="6370"/>
    <cellStyle name="Currency 2 2 5 2 2 3 4 2" xfId="6371"/>
    <cellStyle name="Currency 2 2 5 2 2 3 4 2 2" xfId="25235"/>
    <cellStyle name="Currency 2 2 5 2 2 3 4 3" xfId="25236"/>
    <cellStyle name="Currency 2 2 5 2 2 3 5" xfId="6372"/>
    <cellStyle name="Currency 2 2 5 2 2 3 5 2" xfId="6373"/>
    <cellStyle name="Currency 2 2 5 2 2 3 5 2 2" xfId="25237"/>
    <cellStyle name="Currency 2 2 5 2 2 3 5 3" xfId="25238"/>
    <cellStyle name="Currency 2 2 5 2 2 3 6" xfId="6374"/>
    <cellStyle name="Currency 2 2 5 2 2 3 6 2" xfId="25239"/>
    <cellStyle name="Currency 2 2 5 2 2 3 7" xfId="6375"/>
    <cellStyle name="Currency 2 2 5 2 2 4" xfId="1484"/>
    <cellStyle name="Currency 2 2 5 2 2 4 2" xfId="6376"/>
    <cellStyle name="Currency 2 2 5 2 2 4 2 2" xfId="6377"/>
    <cellStyle name="Currency 2 2 5 2 2 4 2 2 2" xfId="25240"/>
    <cellStyle name="Currency 2 2 5 2 2 4 2 3" xfId="25241"/>
    <cellStyle name="Currency 2 2 5 2 2 4 3" xfId="6378"/>
    <cellStyle name="Currency 2 2 5 2 2 4 3 2" xfId="6379"/>
    <cellStyle name="Currency 2 2 5 2 2 4 3 2 2" xfId="25242"/>
    <cellStyle name="Currency 2 2 5 2 2 4 3 3" xfId="25243"/>
    <cellStyle name="Currency 2 2 5 2 2 4 4" xfId="6380"/>
    <cellStyle name="Currency 2 2 5 2 2 4 4 2" xfId="6381"/>
    <cellStyle name="Currency 2 2 5 2 2 4 4 2 2" xfId="25244"/>
    <cellStyle name="Currency 2 2 5 2 2 4 4 3" xfId="25245"/>
    <cellStyle name="Currency 2 2 5 2 2 4 5" xfId="6382"/>
    <cellStyle name="Currency 2 2 5 2 2 4 5 2" xfId="25246"/>
    <cellStyle name="Currency 2 2 5 2 2 4 6" xfId="6383"/>
    <cellStyle name="Currency 2 2 5 2 2 5" xfId="6384"/>
    <cellStyle name="Currency 2 2 5 2 2 5 2" xfId="6385"/>
    <cellStyle name="Currency 2 2 5 2 2 5 2 2" xfId="25247"/>
    <cellStyle name="Currency 2 2 5 2 2 5 3" xfId="25248"/>
    <cellStyle name="Currency 2 2 5 2 2 6" xfId="6386"/>
    <cellStyle name="Currency 2 2 5 2 2 6 2" xfId="6387"/>
    <cellStyle name="Currency 2 2 5 2 2 6 2 2" xfId="25249"/>
    <cellStyle name="Currency 2 2 5 2 2 6 3" xfId="25250"/>
    <cellStyle name="Currency 2 2 5 2 2 7" xfId="6388"/>
    <cellStyle name="Currency 2 2 5 2 2 7 2" xfId="6389"/>
    <cellStyle name="Currency 2 2 5 2 2 7 2 2" xfId="25251"/>
    <cellStyle name="Currency 2 2 5 2 2 7 3" xfId="25252"/>
    <cellStyle name="Currency 2 2 5 2 2 8" xfId="6390"/>
    <cellStyle name="Currency 2 2 5 2 2 8 2" xfId="25253"/>
    <cellStyle name="Currency 2 2 5 2 2 9" xfId="6391"/>
    <cellStyle name="Currency 2 2 5 2 3" xfId="990"/>
    <cellStyle name="Currency 2 2 5 2 3 2" xfId="1485"/>
    <cellStyle name="Currency 2 2 5 2 3 2 2" xfId="6392"/>
    <cellStyle name="Currency 2 2 5 2 3 2 2 2" xfId="6393"/>
    <cellStyle name="Currency 2 2 5 2 3 2 2 2 2" xfId="25254"/>
    <cellStyle name="Currency 2 2 5 2 3 2 2 3" xfId="25255"/>
    <cellStyle name="Currency 2 2 5 2 3 2 3" xfId="6394"/>
    <cellStyle name="Currency 2 2 5 2 3 2 3 2" xfId="6395"/>
    <cellStyle name="Currency 2 2 5 2 3 2 3 2 2" xfId="25256"/>
    <cellStyle name="Currency 2 2 5 2 3 2 3 3" xfId="25257"/>
    <cellStyle name="Currency 2 2 5 2 3 2 4" xfId="6396"/>
    <cellStyle name="Currency 2 2 5 2 3 2 4 2" xfId="6397"/>
    <cellStyle name="Currency 2 2 5 2 3 2 4 2 2" xfId="25258"/>
    <cellStyle name="Currency 2 2 5 2 3 2 4 3" xfId="25259"/>
    <cellStyle name="Currency 2 2 5 2 3 2 5" xfId="6398"/>
    <cellStyle name="Currency 2 2 5 2 3 2 5 2" xfId="25260"/>
    <cellStyle name="Currency 2 2 5 2 3 2 6" xfId="6399"/>
    <cellStyle name="Currency 2 2 5 2 3 3" xfId="6400"/>
    <cellStyle name="Currency 2 2 5 2 3 3 2" xfId="6401"/>
    <cellStyle name="Currency 2 2 5 2 3 3 2 2" xfId="25261"/>
    <cellStyle name="Currency 2 2 5 2 3 3 3" xfId="25262"/>
    <cellStyle name="Currency 2 2 5 2 3 4" xfId="6402"/>
    <cellStyle name="Currency 2 2 5 2 3 4 2" xfId="6403"/>
    <cellStyle name="Currency 2 2 5 2 3 4 2 2" xfId="25263"/>
    <cellStyle name="Currency 2 2 5 2 3 4 3" xfId="25264"/>
    <cellStyle name="Currency 2 2 5 2 3 5" xfId="6404"/>
    <cellStyle name="Currency 2 2 5 2 3 5 2" xfId="6405"/>
    <cellStyle name="Currency 2 2 5 2 3 5 2 2" xfId="25265"/>
    <cellStyle name="Currency 2 2 5 2 3 5 3" xfId="25266"/>
    <cellStyle name="Currency 2 2 5 2 3 6" xfId="6406"/>
    <cellStyle name="Currency 2 2 5 2 3 6 2" xfId="25267"/>
    <cellStyle name="Currency 2 2 5 2 3 7" xfId="6407"/>
    <cellStyle name="Currency 2 2 5 2 4" xfId="622"/>
    <cellStyle name="Currency 2 2 5 2 4 2" xfId="1486"/>
    <cellStyle name="Currency 2 2 5 2 4 2 2" xfId="6408"/>
    <cellStyle name="Currency 2 2 5 2 4 2 2 2" xfId="6409"/>
    <cellStyle name="Currency 2 2 5 2 4 2 2 2 2" xfId="25268"/>
    <cellStyle name="Currency 2 2 5 2 4 2 2 3" xfId="25269"/>
    <cellStyle name="Currency 2 2 5 2 4 2 3" xfId="6410"/>
    <cellStyle name="Currency 2 2 5 2 4 2 3 2" xfId="6411"/>
    <cellStyle name="Currency 2 2 5 2 4 2 3 2 2" xfId="25270"/>
    <cellStyle name="Currency 2 2 5 2 4 2 3 3" xfId="25271"/>
    <cellStyle name="Currency 2 2 5 2 4 2 4" xfId="6412"/>
    <cellStyle name="Currency 2 2 5 2 4 2 4 2" xfId="6413"/>
    <cellStyle name="Currency 2 2 5 2 4 2 4 2 2" xfId="25272"/>
    <cellStyle name="Currency 2 2 5 2 4 2 4 3" xfId="25273"/>
    <cellStyle name="Currency 2 2 5 2 4 2 5" xfId="6414"/>
    <cellStyle name="Currency 2 2 5 2 4 2 5 2" xfId="25274"/>
    <cellStyle name="Currency 2 2 5 2 4 2 6" xfId="6415"/>
    <cellStyle name="Currency 2 2 5 2 4 3" xfId="6416"/>
    <cellStyle name="Currency 2 2 5 2 4 3 2" xfId="6417"/>
    <cellStyle name="Currency 2 2 5 2 4 3 2 2" xfId="25275"/>
    <cellStyle name="Currency 2 2 5 2 4 3 3" xfId="25276"/>
    <cellStyle name="Currency 2 2 5 2 4 4" xfId="6418"/>
    <cellStyle name="Currency 2 2 5 2 4 4 2" xfId="6419"/>
    <cellStyle name="Currency 2 2 5 2 4 4 2 2" xfId="25277"/>
    <cellStyle name="Currency 2 2 5 2 4 4 3" xfId="25278"/>
    <cellStyle name="Currency 2 2 5 2 4 5" xfId="6420"/>
    <cellStyle name="Currency 2 2 5 2 4 5 2" xfId="6421"/>
    <cellStyle name="Currency 2 2 5 2 4 5 2 2" xfId="25279"/>
    <cellStyle name="Currency 2 2 5 2 4 5 3" xfId="25280"/>
    <cellStyle name="Currency 2 2 5 2 4 6" xfId="6422"/>
    <cellStyle name="Currency 2 2 5 2 4 6 2" xfId="25281"/>
    <cellStyle name="Currency 2 2 5 2 4 7" xfId="6423"/>
    <cellStyle name="Currency 2 2 5 2 5" xfId="1487"/>
    <cellStyle name="Currency 2 2 5 2 5 2" xfId="6424"/>
    <cellStyle name="Currency 2 2 5 2 5 2 2" xfId="6425"/>
    <cellStyle name="Currency 2 2 5 2 5 2 2 2" xfId="25282"/>
    <cellStyle name="Currency 2 2 5 2 5 2 3" xfId="25283"/>
    <cellStyle name="Currency 2 2 5 2 5 3" xfId="6426"/>
    <cellStyle name="Currency 2 2 5 2 5 3 2" xfId="6427"/>
    <cellStyle name="Currency 2 2 5 2 5 3 2 2" xfId="25284"/>
    <cellStyle name="Currency 2 2 5 2 5 3 3" xfId="25285"/>
    <cellStyle name="Currency 2 2 5 2 5 4" xfId="6428"/>
    <cellStyle name="Currency 2 2 5 2 5 4 2" xfId="6429"/>
    <cellStyle name="Currency 2 2 5 2 5 4 2 2" xfId="25286"/>
    <cellStyle name="Currency 2 2 5 2 5 4 3" xfId="25287"/>
    <cellStyle name="Currency 2 2 5 2 5 5" xfId="6430"/>
    <cellStyle name="Currency 2 2 5 2 5 5 2" xfId="25288"/>
    <cellStyle name="Currency 2 2 5 2 5 6" xfId="6431"/>
    <cellStyle name="Currency 2 2 5 2 6" xfId="6432"/>
    <cellStyle name="Currency 2 2 5 2 6 2" xfId="6433"/>
    <cellStyle name="Currency 2 2 5 2 6 2 2" xfId="25289"/>
    <cellStyle name="Currency 2 2 5 2 6 3" xfId="25290"/>
    <cellStyle name="Currency 2 2 5 2 7" xfId="6434"/>
    <cellStyle name="Currency 2 2 5 2 7 2" xfId="6435"/>
    <cellStyle name="Currency 2 2 5 2 7 2 2" xfId="25291"/>
    <cellStyle name="Currency 2 2 5 2 7 3" xfId="25292"/>
    <cellStyle name="Currency 2 2 5 2 8" xfId="6436"/>
    <cellStyle name="Currency 2 2 5 2 8 2" xfId="6437"/>
    <cellStyle name="Currency 2 2 5 2 8 2 2" xfId="25293"/>
    <cellStyle name="Currency 2 2 5 2 8 3" xfId="25294"/>
    <cellStyle name="Currency 2 2 5 2 9" xfId="6438"/>
    <cellStyle name="Currency 2 2 5 2 9 2" xfId="25295"/>
    <cellStyle name="Currency 2 2 5 3" xfId="253"/>
    <cellStyle name="Currency 2 2 5 3 10" xfId="6439"/>
    <cellStyle name="Currency 2 2 5 3 2" xfId="411"/>
    <cellStyle name="Currency 2 2 5 3 2 2" xfId="1199"/>
    <cellStyle name="Currency 2 2 5 3 2 2 2" xfId="1488"/>
    <cellStyle name="Currency 2 2 5 3 2 2 2 2" xfId="6440"/>
    <cellStyle name="Currency 2 2 5 3 2 2 2 2 2" xfId="6441"/>
    <cellStyle name="Currency 2 2 5 3 2 2 2 2 2 2" xfId="25296"/>
    <cellStyle name="Currency 2 2 5 3 2 2 2 2 3" xfId="25297"/>
    <cellStyle name="Currency 2 2 5 3 2 2 2 3" xfId="6442"/>
    <cellStyle name="Currency 2 2 5 3 2 2 2 3 2" xfId="6443"/>
    <cellStyle name="Currency 2 2 5 3 2 2 2 3 2 2" xfId="25298"/>
    <cellStyle name="Currency 2 2 5 3 2 2 2 3 3" xfId="25299"/>
    <cellStyle name="Currency 2 2 5 3 2 2 2 4" xfId="6444"/>
    <cellStyle name="Currency 2 2 5 3 2 2 2 4 2" xfId="6445"/>
    <cellStyle name="Currency 2 2 5 3 2 2 2 4 2 2" xfId="25300"/>
    <cellStyle name="Currency 2 2 5 3 2 2 2 4 3" xfId="25301"/>
    <cellStyle name="Currency 2 2 5 3 2 2 2 5" xfId="6446"/>
    <cellStyle name="Currency 2 2 5 3 2 2 2 5 2" xfId="25302"/>
    <cellStyle name="Currency 2 2 5 3 2 2 2 6" xfId="6447"/>
    <cellStyle name="Currency 2 2 5 3 2 2 3" xfId="6448"/>
    <cellStyle name="Currency 2 2 5 3 2 2 3 2" xfId="6449"/>
    <cellStyle name="Currency 2 2 5 3 2 2 3 2 2" xfId="25303"/>
    <cellStyle name="Currency 2 2 5 3 2 2 3 3" xfId="25304"/>
    <cellStyle name="Currency 2 2 5 3 2 2 4" xfId="6450"/>
    <cellStyle name="Currency 2 2 5 3 2 2 4 2" xfId="6451"/>
    <cellStyle name="Currency 2 2 5 3 2 2 4 2 2" xfId="25305"/>
    <cellStyle name="Currency 2 2 5 3 2 2 4 3" xfId="25306"/>
    <cellStyle name="Currency 2 2 5 3 2 2 5" xfId="6452"/>
    <cellStyle name="Currency 2 2 5 3 2 2 5 2" xfId="6453"/>
    <cellStyle name="Currency 2 2 5 3 2 2 5 2 2" xfId="25307"/>
    <cellStyle name="Currency 2 2 5 3 2 2 5 3" xfId="25308"/>
    <cellStyle name="Currency 2 2 5 3 2 2 6" xfId="6454"/>
    <cellStyle name="Currency 2 2 5 3 2 2 6 2" xfId="25309"/>
    <cellStyle name="Currency 2 2 5 3 2 2 7" xfId="6455"/>
    <cellStyle name="Currency 2 2 5 3 2 3" xfId="831"/>
    <cellStyle name="Currency 2 2 5 3 2 3 2" xfId="1489"/>
    <cellStyle name="Currency 2 2 5 3 2 3 2 2" xfId="6456"/>
    <cellStyle name="Currency 2 2 5 3 2 3 2 2 2" xfId="6457"/>
    <cellStyle name="Currency 2 2 5 3 2 3 2 2 2 2" xfId="25310"/>
    <cellStyle name="Currency 2 2 5 3 2 3 2 2 3" xfId="25311"/>
    <cellStyle name="Currency 2 2 5 3 2 3 2 3" xfId="6458"/>
    <cellStyle name="Currency 2 2 5 3 2 3 2 3 2" xfId="6459"/>
    <cellStyle name="Currency 2 2 5 3 2 3 2 3 2 2" xfId="25312"/>
    <cellStyle name="Currency 2 2 5 3 2 3 2 3 3" xfId="25313"/>
    <cellStyle name="Currency 2 2 5 3 2 3 2 4" xfId="6460"/>
    <cellStyle name="Currency 2 2 5 3 2 3 2 4 2" xfId="6461"/>
    <cellStyle name="Currency 2 2 5 3 2 3 2 4 2 2" xfId="25314"/>
    <cellStyle name="Currency 2 2 5 3 2 3 2 4 3" xfId="25315"/>
    <cellStyle name="Currency 2 2 5 3 2 3 2 5" xfId="6462"/>
    <cellStyle name="Currency 2 2 5 3 2 3 2 5 2" xfId="25316"/>
    <cellStyle name="Currency 2 2 5 3 2 3 2 6" xfId="6463"/>
    <cellStyle name="Currency 2 2 5 3 2 3 3" xfId="6464"/>
    <cellStyle name="Currency 2 2 5 3 2 3 3 2" xfId="6465"/>
    <cellStyle name="Currency 2 2 5 3 2 3 3 2 2" xfId="25317"/>
    <cellStyle name="Currency 2 2 5 3 2 3 3 3" xfId="25318"/>
    <cellStyle name="Currency 2 2 5 3 2 3 4" xfId="6466"/>
    <cellStyle name="Currency 2 2 5 3 2 3 4 2" xfId="6467"/>
    <cellStyle name="Currency 2 2 5 3 2 3 4 2 2" xfId="25319"/>
    <cellStyle name="Currency 2 2 5 3 2 3 4 3" xfId="25320"/>
    <cellStyle name="Currency 2 2 5 3 2 3 5" xfId="6468"/>
    <cellStyle name="Currency 2 2 5 3 2 3 5 2" xfId="6469"/>
    <cellStyle name="Currency 2 2 5 3 2 3 5 2 2" xfId="25321"/>
    <cellStyle name="Currency 2 2 5 3 2 3 5 3" xfId="25322"/>
    <cellStyle name="Currency 2 2 5 3 2 3 6" xfId="6470"/>
    <cellStyle name="Currency 2 2 5 3 2 3 6 2" xfId="25323"/>
    <cellStyle name="Currency 2 2 5 3 2 3 7" xfId="6471"/>
    <cellStyle name="Currency 2 2 5 3 2 4" xfId="1490"/>
    <cellStyle name="Currency 2 2 5 3 2 4 2" xfId="6472"/>
    <cellStyle name="Currency 2 2 5 3 2 4 2 2" xfId="6473"/>
    <cellStyle name="Currency 2 2 5 3 2 4 2 2 2" xfId="25324"/>
    <cellStyle name="Currency 2 2 5 3 2 4 2 3" xfId="25325"/>
    <cellStyle name="Currency 2 2 5 3 2 4 3" xfId="6474"/>
    <cellStyle name="Currency 2 2 5 3 2 4 3 2" xfId="6475"/>
    <cellStyle name="Currency 2 2 5 3 2 4 3 2 2" xfId="25326"/>
    <cellStyle name="Currency 2 2 5 3 2 4 3 3" xfId="25327"/>
    <cellStyle name="Currency 2 2 5 3 2 4 4" xfId="6476"/>
    <cellStyle name="Currency 2 2 5 3 2 4 4 2" xfId="6477"/>
    <cellStyle name="Currency 2 2 5 3 2 4 4 2 2" xfId="25328"/>
    <cellStyle name="Currency 2 2 5 3 2 4 4 3" xfId="25329"/>
    <cellStyle name="Currency 2 2 5 3 2 4 5" xfId="6478"/>
    <cellStyle name="Currency 2 2 5 3 2 4 5 2" xfId="25330"/>
    <cellStyle name="Currency 2 2 5 3 2 4 6" xfId="6479"/>
    <cellStyle name="Currency 2 2 5 3 2 5" xfId="6480"/>
    <cellStyle name="Currency 2 2 5 3 2 5 2" xfId="6481"/>
    <cellStyle name="Currency 2 2 5 3 2 5 2 2" xfId="25331"/>
    <cellStyle name="Currency 2 2 5 3 2 5 3" xfId="25332"/>
    <cellStyle name="Currency 2 2 5 3 2 6" xfId="6482"/>
    <cellStyle name="Currency 2 2 5 3 2 6 2" xfId="6483"/>
    <cellStyle name="Currency 2 2 5 3 2 6 2 2" xfId="25333"/>
    <cellStyle name="Currency 2 2 5 3 2 6 3" xfId="25334"/>
    <cellStyle name="Currency 2 2 5 3 2 7" xfId="6484"/>
    <cellStyle name="Currency 2 2 5 3 2 7 2" xfId="6485"/>
    <cellStyle name="Currency 2 2 5 3 2 7 2 2" xfId="25335"/>
    <cellStyle name="Currency 2 2 5 3 2 7 3" xfId="25336"/>
    <cellStyle name="Currency 2 2 5 3 2 8" xfId="6486"/>
    <cellStyle name="Currency 2 2 5 3 2 8 2" xfId="25337"/>
    <cellStyle name="Currency 2 2 5 3 2 9" xfId="6487"/>
    <cellStyle name="Currency 2 2 5 3 3" xfId="1041"/>
    <cellStyle name="Currency 2 2 5 3 3 2" xfId="1491"/>
    <cellStyle name="Currency 2 2 5 3 3 2 2" xfId="6488"/>
    <cellStyle name="Currency 2 2 5 3 3 2 2 2" xfId="6489"/>
    <cellStyle name="Currency 2 2 5 3 3 2 2 2 2" xfId="25338"/>
    <cellStyle name="Currency 2 2 5 3 3 2 2 3" xfId="25339"/>
    <cellStyle name="Currency 2 2 5 3 3 2 3" xfId="6490"/>
    <cellStyle name="Currency 2 2 5 3 3 2 3 2" xfId="6491"/>
    <cellStyle name="Currency 2 2 5 3 3 2 3 2 2" xfId="25340"/>
    <cellStyle name="Currency 2 2 5 3 3 2 3 3" xfId="25341"/>
    <cellStyle name="Currency 2 2 5 3 3 2 4" xfId="6492"/>
    <cellStyle name="Currency 2 2 5 3 3 2 4 2" xfId="6493"/>
    <cellStyle name="Currency 2 2 5 3 3 2 4 2 2" xfId="25342"/>
    <cellStyle name="Currency 2 2 5 3 3 2 4 3" xfId="25343"/>
    <cellStyle name="Currency 2 2 5 3 3 2 5" xfId="6494"/>
    <cellStyle name="Currency 2 2 5 3 3 2 5 2" xfId="25344"/>
    <cellStyle name="Currency 2 2 5 3 3 2 6" xfId="6495"/>
    <cellStyle name="Currency 2 2 5 3 3 3" xfId="6496"/>
    <cellStyle name="Currency 2 2 5 3 3 3 2" xfId="6497"/>
    <cellStyle name="Currency 2 2 5 3 3 3 2 2" xfId="25345"/>
    <cellStyle name="Currency 2 2 5 3 3 3 3" xfId="25346"/>
    <cellStyle name="Currency 2 2 5 3 3 4" xfId="6498"/>
    <cellStyle name="Currency 2 2 5 3 3 4 2" xfId="6499"/>
    <cellStyle name="Currency 2 2 5 3 3 4 2 2" xfId="25347"/>
    <cellStyle name="Currency 2 2 5 3 3 4 3" xfId="25348"/>
    <cellStyle name="Currency 2 2 5 3 3 5" xfId="6500"/>
    <cellStyle name="Currency 2 2 5 3 3 5 2" xfId="6501"/>
    <cellStyle name="Currency 2 2 5 3 3 5 2 2" xfId="25349"/>
    <cellStyle name="Currency 2 2 5 3 3 5 3" xfId="25350"/>
    <cellStyle name="Currency 2 2 5 3 3 6" xfId="6502"/>
    <cellStyle name="Currency 2 2 5 3 3 6 2" xfId="25351"/>
    <cellStyle name="Currency 2 2 5 3 3 7" xfId="6503"/>
    <cellStyle name="Currency 2 2 5 3 4" xfId="673"/>
    <cellStyle name="Currency 2 2 5 3 4 2" xfId="1492"/>
    <cellStyle name="Currency 2 2 5 3 4 2 2" xfId="6504"/>
    <cellStyle name="Currency 2 2 5 3 4 2 2 2" xfId="6505"/>
    <cellStyle name="Currency 2 2 5 3 4 2 2 2 2" xfId="25352"/>
    <cellStyle name="Currency 2 2 5 3 4 2 2 3" xfId="25353"/>
    <cellStyle name="Currency 2 2 5 3 4 2 3" xfId="6506"/>
    <cellStyle name="Currency 2 2 5 3 4 2 3 2" xfId="6507"/>
    <cellStyle name="Currency 2 2 5 3 4 2 3 2 2" xfId="25354"/>
    <cellStyle name="Currency 2 2 5 3 4 2 3 3" xfId="25355"/>
    <cellStyle name="Currency 2 2 5 3 4 2 4" xfId="6508"/>
    <cellStyle name="Currency 2 2 5 3 4 2 4 2" xfId="6509"/>
    <cellStyle name="Currency 2 2 5 3 4 2 4 2 2" xfId="25356"/>
    <cellStyle name="Currency 2 2 5 3 4 2 4 3" xfId="25357"/>
    <cellStyle name="Currency 2 2 5 3 4 2 5" xfId="6510"/>
    <cellStyle name="Currency 2 2 5 3 4 2 5 2" xfId="25358"/>
    <cellStyle name="Currency 2 2 5 3 4 2 6" xfId="6511"/>
    <cellStyle name="Currency 2 2 5 3 4 3" xfId="6512"/>
    <cellStyle name="Currency 2 2 5 3 4 3 2" xfId="6513"/>
    <cellStyle name="Currency 2 2 5 3 4 3 2 2" xfId="25359"/>
    <cellStyle name="Currency 2 2 5 3 4 3 3" xfId="25360"/>
    <cellStyle name="Currency 2 2 5 3 4 4" xfId="6514"/>
    <cellStyle name="Currency 2 2 5 3 4 4 2" xfId="6515"/>
    <cellStyle name="Currency 2 2 5 3 4 4 2 2" xfId="25361"/>
    <cellStyle name="Currency 2 2 5 3 4 4 3" xfId="25362"/>
    <cellStyle name="Currency 2 2 5 3 4 5" xfId="6516"/>
    <cellStyle name="Currency 2 2 5 3 4 5 2" xfId="6517"/>
    <cellStyle name="Currency 2 2 5 3 4 5 2 2" xfId="25363"/>
    <cellStyle name="Currency 2 2 5 3 4 5 3" xfId="25364"/>
    <cellStyle name="Currency 2 2 5 3 4 6" xfId="6518"/>
    <cellStyle name="Currency 2 2 5 3 4 6 2" xfId="25365"/>
    <cellStyle name="Currency 2 2 5 3 4 7" xfId="6519"/>
    <cellStyle name="Currency 2 2 5 3 5" xfId="1493"/>
    <cellStyle name="Currency 2 2 5 3 5 2" xfId="6520"/>
    <cellStyle name="Currency 2 2 5 3 5 2 2" xfId="6521"/>
    <cellStyle name="Currency 2 2 5 3 5 2 2 2" xfId="25366"/>
    <cellStyle name="Currency 2 2 5 3 5 2 3" xfId="25367"/>
    <cellStyle name="Currency 2 2 5 3 5 3" xfId="6522"/>
    <cellStyle name="Currency 2 2 5 3 5 3 2" xfId="6523"/>
    <cellStyle name="Currency 2 2 5 3 5 3 2 2" xfId="25368"/>
    <cellStyle name="Currency 2 2 5 3 5 3 3" xfId="25369"/>
    <cellStyle name="Currency 2 2 5 3 5 4" xfId="6524"/>
    <cellStyle name="Currency 2 2 5 3 5 4 2" xfId="6525"/>
    <cellStyle name="Currency 2 2 5 3 5 4 2 2" xfId="25370"/>
    <cellStyle name="Currency 2 2 5 3 5 4 3" xfId="25371"/>
    <cellStyle name="Currency 2 2 5 3 5 5" xfId="6526"/>
    <cellStyle name="Currency 2 2 5 3 5 5 2" xfId="25372"/>
    <cellStyle name="Currency 2 2 5 3 5 6" xfId="6527"/>
    <cellStyle name="Currency 2 2 5 3 6" xfId="6528"/>
    <cellStyle name="Currency 2 2 5 3 6 2" xfId="6529"/>
    <cellStyle name="Currency 2 2 5 3 6 2 2" xfId="25373"/>
    <cellStyle name="Currency 2 2 5 3 6 3" xfId="25374"/>
    <cellStyle name="Currency 2 2 5 3 7" xfId="6530"/>
    <cellStyle name="Currency 2 2 5 3 7 2" xfId="6531"/>
    <cellStyle name="Currency 2 2 5 3 7 2 2" xfId="25375"/>
    <cellStyle name="Currency 2 2 5 3 7 3" xfId="25376"/>
    <cellStyle name="Currency 2 2 5 3 8" xfId="6532"/>
    <cellStyle name="Currency 2 2 5 3 8 2" xfId="6533"/>
    <cellStyle name="Currency 2 2 5 3 8 2 2" xfId="25377"/>
    <cellStyle name="Currency 2 2 5 3 8 3" xfId="25378"/>
    <cellStyle name="Currency 2 2 5 3 9" xfId="6534"/>
    <cellStyle name="Currency 2 2 5 3 9 2" xfId="25379"/>
    <cellStyle name="Currency 2 2 5 4" xfId="155"/>
    <cellStyle name="Currency 2 2 5 4 2" xfId="943"/>
    <cellStyle name="Currency 2 2 5 4 2 2" xfId="1494"/>
    <cellStyle name="Currency 2 2 5 4 2 2 2" xfId="6535"/>
    <cellStyle name="Currency 2 2 5 4 2 2 2 2" xfId="6536"/>
    <cellStyle name="Currency 2 2 5 4 2 2 2 2 2" xfId="25380"/>
    <cellStyle name="Currency 2 2 5 4 2 2 2 3" xfId="25381"/>
    <cellStyle name="Currency 2 2 5 4 2 2 3" xfId="6537"/>
    <cellStyle name="Currency 2 2 5 4 2 2 3 2" xfId="6538"/>
    <cellStyle name="Currency 2 2 5 4 2 2 3 2 2" xfId="25382"/>
    <cellStyle name="Currency 2 2 5 4 2 2 3 3" xfId="25383"/>
    <cellStyle name="Currency 2 2 5 4 2 2 4" xfId="6539"/>
    <cellStyle name="Currency 2 2 5 4 2 2 4 2" xfId="6540"/>
    <cellStyle name="Currency 2 2 5 4 2 2 4 2 2" xfId="25384"/>
    <cellStyle name="Currency 2 2 5 4 2 2 4 3" xfId="25385"/>
    <cellStyle name="Currency 2 2 5 4 2 2 5" xfId="6541"/>
    <cellStyle name="Currency 2 2 5 4 2 2 5 2" xfId="25386"/>
    <cellStyle name="Currency 2 2 5 4 2 2 6" xfId="6542"/>
    <cellStyle name="Currency 2 2 5 4 2 3" xfId="6543"/>
    <cellStyle name="Currency 2 2 5 4 2 3 2" xfId="6544"/>
    <cellStyle name="Currency 2 2 5 4 2 3 2 2" xfId="25387"/>
    <cellStyle name="Currency 2 2 5 4 2 3 3" xfId="25388"/>
    <cellStyle name="Currency 2 2 5 4 2 4" xfId="6545"/>
    <cellStyle name="Currency 2 2 5 4 2 4 2" xfId="6546"/>
    <cellStyle name="Currency 2 2 5 4 2 4 2 2" xfId="25389"/>
    <cellStyle name="Currency 2 2 5 4 2 4 3" xfId="25390"/>
    <cellStyle name="Currency 2 2 5 4 2 5" xfId="6547"/>
    <cellStyle name="Currency 2 2 5 4 2 5 2" xfId="6548"/>
    <cellStyle name="Currency 2 2 5 4 2 5 2 2" xfId="25391"/>
    <cellStyle name="Currency 2 2 5 4 2 5 3" xfId="25392"/>
    <cellStyle name="Currency 2 2 5 4 2 6" xfId="6549"/>
    <cellStyle name="Currency 2 2 5 4 2 6 2" xfId="25393"/>
    <cellStyle name="Currency 2 2 5 4 2 7" xfId="6550"/>
    <cellStyle name="Currency 2 2 5 4 3" xfId="575"/>
    <cellStyle name="Currency 2 2 5 4 3 2" xfId="1495"/>
    <cellStyle name="Currency 2 2 5 4 3 2 2" xfId="6551"/>
    <cellStyle name="Currency 2 2 5 4 3 2 2 2" xfId="6552"/>
    <cellStyle name="Currency 2 2 5 4 3 2 2 2 2" xfId="25394"/>
    <cellStyle name="Currency 2 2 5 4 3 2 2 3" xfId="25395"/>
    <cellStyle name="Currency 2 2 5 4 3 2 3" xfId="6553"/>
    <cellStyle name="Currency 2 2 5 4 3 2 3 2" xfId="6554"/>
    <cellStyle name="Currency 2 2 5 4 3 2 3 2 2" xfId="25396"/>
    <cellStyle name="Currency 2 2 5 4 3 2 3 3" xfId="25397"/>
    <cellStyle name="Currency 2 2 5 4 3 2 4" xfId="6555"/>
    <cellStyle name="Currency 2 2 5 4 3 2 4 2" xfId="6556"/>
    <cellStyle name="Currency 2 2 5 4 3 2 4 2 2" xfId="25398"/>
    <cellStyle name="Currency 2 2 5 4 3 2 4 3" xfId="25399"/>
    <cellStyle name="Currency 2 2 5 4 3 2 5" xfId="6557"/>
    <cellStyle name="Currency 2 2 5 4 3 2 5 2" xfId="25400"/>
    <cellStyle name="Currency 2 2 5 4 3 2 6" xfId="6558"/>
    <cellStyle name="Currency 2 2 5 4 3 3" xfId="6559"/>
    <cellStyle name="Currency 2 2 5 4 3 3 2" xfId="6560"/>
    <cellStyle name="Currency 2 2 5 4 3 3 2 2" xfId="25401"/>
    <cellStyle name="Currency 2 2 5 4 3 3 3" xfId="25402"/>
    <cellStyle name="Currency 2 2 5 4 3 4" xfId="6561"/>
    <cellStyle name="Currency 2 2 5 4 3 4 2" xfId="6562"/>
    <cellStyle name="Currency 2 2 5 4 3 4 2 2" xfId="25403"/>
    <cellStyle name="Currency 2 2 5 4 3 4 3" xfId="25404"/>
    <cellStyle name="Currency 2 2 5 4 3 5" xfId="6563"/>
    <cellStyle name="Currency 2 2 5 4 3 5 2" xfId="6564"/>
    <cellStyle name="Currency 2 2 5 4 3 5 2 2" xfId="25405"/>
    <cellStyle name="Currency 2 2 5 4 3 5 3" xfId="25406"/>
    <cellStyle name="Currency 2 2 5 4 3 6" xfId="6565"/>
    <cellStyle name="Currency 2 2 5 4 3 6 2" xfId="25407"/>
    <cellStyle name="Currency 2 2 5 4 3 7" xfId="6566"/>
    <cellStyle name="Currency 2 2 5 4 4" xfId="1496"/>
    <cellStyle name="Currency 2 2 5 4 4 2" xfId="6567"/>
    <cellStyle name="Currency 2 2 5 4 4 2 2" xfId="6568"/>
    <cellStyle name="Currency 2 2 5 4 4 2 2 2" xfId="25408"/>
    <cellStyle name="Currency 2 2 5 4 4 2 3" xfId="25409"/>
    <cellStyle name="Currency 2 2 5 4 4 3" xfId="6569"/>
    <cellStyle name="Currency 2 2 5 4 4 3 2" xfId="6570"/>
    <cellStyle name="Currency 2 2 5 4 4 3 2 2" xfId="25410"/>
    <cellStyle name="Currency 2 2 5 4 4 3 3" xfId="25411"/>
    <cellStyle name="Currency 2 2 5 4 4 4" xfId="6571"/>
    <cellStyle name="Currency 2 2 5 4 4 4 2" xfId="6572"/>
    <cellStyle name="Currency 2 2 5 4 4 4 2 2" xfId="25412"/>
    <cellStyle name="Currency 2 2 5 4 4 4 3" xfId="25413"/>
    <cellStyle name="Currency 2 2 5 4 4 5" xfId="6573"/>
    <cellStyle name="Currency 2 2 5 4 4 5 2" xfId="25414"/>
    <cellStyle name="Currency 2 2 5 4 4 6" xfId="6574"/>
    <cellStyle name="Currency 2 2 5 4 5" xfId="6575"/>
    <cellStyle name="Currency 2 2 5 4 5 2" xfId="6576"/>
    <cellStyle name="Currency 2 2 5 4 5 2 2" xfId="25415"/>
    <cellStyle name="Currency 2 2 5 4 5 3" xfId="25416"/>
    <cellStyle name="Currency 2 2 5 4 6" xfId="6577"/>
    <cellStyle name="Currency 2 2 5 4 6 2" xfId="6578"/>
    <cellStyle name="Currency 2 2 5 4 6 2 2" xfId="25417"/>
    <cellStyle name="Currency 2 2 5 4 6 3" xfId="25418"/>
    <cellStyle name="Currency 2 2 5 4 7" xfId="6579"/>
    <cellStyle name="Currency 2 2 5 4 7 2" xfId="6580"/>
    <cellStyle name="Currency 2 2 5 4 7 2 2" xfId="25419"/>
    <cellStyle name="Currency 2 2 5 4 7 3" xfId="25420"/>
    <cellStyle name="Currency 2 2 5 4 8" xfId="6581"/>
    <cellStyle name="Currency 2 2 5 4 8 2" xfId="25421"/>
    <cellStyle name="Currency 2 2 5 4 9" xfId="6582"/>
    <cellStyle name="Currency 2 2 5 5" xfId="313"/>
    <cellStyle name="Currency 2 2 5 5 2" xfId="1101"/>
    <cellStyle name="Currency 2 2 5 5 2 2" xfId="1497"/>
    <cellStyle name="Currency 2 2 5 5 2 2 2" xfId="6583"/>
    <cellStyle name="Currency 2 2 5 5 2 2 2 2" xfId="6584"/>
    <cellStyle name="Currency 2 2 5 5 2 2 2 2 2" xfId="25422"/>
    <cellStyle name="Currency 2 2 5 5 2 2 2 3" xfId="25423"/>
    <cellStyle name="Currency 2 2 5 5 2 2 3" xfId="6585"/>
    <cellStyle name="Currency 2 2 5 5 2 2 3 2" xfId="6586"/>
    <cellStyle name="Currency 2 2 5 5 2 2 3 2 2" xfId="25424"/>
    <cellStyle name="Currency 2 2 5 5 2 2 3 3" xfId="25425"/>
    <cellStyle name="Currency 2 2 5 5 2 2 4" xfId="6587"/>
    <cellStyle name="Currency 2 2 5 5 2 2 4 2" xfId="6588"/>
    <cellStyle name="Currency 2 2 5 5 2 2 4 2 2" xfId="25426"/>
    <cellStyle name="Currency 2 2 5 5 2 2 4 3" xfId="25427"/>
    <cellStyle name="Currency 2 2 5 5 2 2 5" xfId="6589"/>
    <cellStyle name="Currency 2 2 5 5 2 2 5 2" xfId="25428"/>
    <cellStyle name="Currency 2 2 5 5 2 2 6" xfId="6590"/>
    <cellStyle name="Currency 2 2 5 5 2 3" xfId="6591"/>
    <cellStyle name="Currency 2 2 5 5 2 3 2" xfId="6592"/>
    <cellStyle name="Currency 2 2 5 5 2 3 2 2" xfId="25429"/>
    <cellStyle name="Currency 2 2 5 5 2 3 3" xfId="25430"/>
    <cellStyle name="Currency 2 2 5 5 2 4" xfId="6593"/>
    <cellStyle name="Currency 2 2 5 5 2 4 2" xfId="6594"/>
    <cellStyle name="Currency 2 2 5 5 2 4 2 2" xfId="25431"/>
    <cellStyle name="Currency 2 2 5 5 2 4 3" xfId="25432"/>
    <cellStyle name="Currency 2 2 5 5 2 5" xfId="6595"/>
    <cellStyle name="Currency 2 2 5 5 2 5 2" xfId="6596"/>
    <cellStyle name="Currency 2 2 5 5 2 5 2 2" xfId="25433"/>
    <cellStyle name="Currency 2 2 5 5 2 5 3" xfId="25434"/>
    <cellStyle name="Currency 2 2 5 5 2 6" xfId="6597"/>
    <cellStyle name="Currency 2 2 5 5 2 6 2" xfId="25435"/>
    <cellStyle name="Currency 2 2 5 5 2 7" xfId="6598"/>
    <cellStyle name="Currency 2 2 5 5 3" xfId="733"/>
    <cellStyle name="Currency 2 2 5 5 3 2" xfId="1498"/>
    <cellStyle name="Currency 2 2 5 5 3 2 2" xfId="6599"/>
    <cellStyle name="Currency 2 2 5 5 3 2 2 2" xfId="6600"/>
    <cellStyle name="Currency 2 2 5 5 3 2 2 2 2" xfId="25436"/>
    <cellStyle name="Currency 2 2 5 5 3 2 2 3" xfId="25437"/>
    <cellStyle name="Currency 2 2 5 5 3 2 3" xfId="6601"/>
    <cellStyle name="Currency 2 2 5 5 3 2 3 2" xfId="6602"/>
    <cellStyle name="Currency 2 2 5 5 3 2 3 2 2" xfId="25438"/>
    <cellStyle name="Currency 2 2 5 5 3 2 3 3" xfId="25439"/>
    <cellStyle name="Currency 2 2 5 5 3 2 4" xfId="6603"/>
    <cellStyle name="Currency 2 2 5 5 3 2 4 2" xfId="6604"/>
    <cellStyle name="Currency 2 2 5 5 3 2 4 2 2" xfId="25440"/>
    <cellStyle name="Currency 2 2 5 5 3 2 4 3" xfId="25441"/>
    <cellStyle name="Currency 2 2 5 5 3 2 5" xfId="6605"/>
    <cellStyle name="Currency 2 2 5 5 3 2 5 2" xfId="25442"/>
    <cellStyle name="Currency 2 2 5 5 3 2 6" xfId="6606"/>
    <cellStyle name="Currency 2 2 5 5 3 3" xfId="6607"/>
    <cellStyle name="Currency 2 2 5 5 3 3 2" xfId="6608"/>
    <cellStyle name="Currency 2 2 5 5 3 3 2 2" xfId="25443"/>
    <cellStyle name="Currency 2 2 5 5 3 3 3" xfId="25444"/>
    <cellStyle name="Currency 2 2 5 5 3 4" xfId="6609"/>
    <cellStyle name="Currency 2 2 5 5 3 4 2" xfId="6610"/>
    <cellStyle name="Currency 2 2 5 5 3 4 2 2" xfId="25445"/>
    <cellStyle name="Currency 2 2 5 5 3 4 3" xfId="25446"/>
    <cellStyle name="Currency 2 2 5 5 3 5" xfId="6611"/>
    <cellStyle name="Currency 2 2 5 5 3 5 2" xfId="6612"/>
    <cellStyle name="Currency 2 2 5 5 3 5 2 2" xfId="25447"/>
    <cellStyle name="Currency 2 2 5 5 3 5 3" xfId="25448"/>
    <cellStyle name="Currency 2 2 5 5 3 6" xfId="6613"/>
    <cellStyle name="Currency 2 2 5 5 3 6 2" xfId="25449"/>
    <cellStyle name="Currency 2 2 5 5 3 7" xfId="6614"/>
    <cellStyle name="Currency 2 2 5 5 4" xfId="1499"/>
    <cellStyle name="Currency 2 2 5 5 4 2" xfId="6615"/>
    <cellStyle name="Currency 2 2 5 5 4 2 2" xfId="6616"/>
    <cellStyle name="Currency 2 2 5 5 4 2 2 2" xfId="25450"/>
    <cellStyle name="Currency 2 2 5 5 4 2 3" xfId="25451"/>
    <cellStyle name="Currency 2 2 5 5 4 3" xfId="6617"/>
    <cellStyle name="Currency 2 2 5 5 4 3 2" xfId="6618"/>
    <cellStyle name="Currency 2 2 5 5 4 3 2 2" xfId="25452"/>
    <cellStyle name="Currency 2 2 5 5 4 3 3" xfId="25453"/>
    <cellStyle name="Currency 2 2 5 5 4 4" xfId="6619"/>
    <cellStyle name="Currency 2 2 5 5 4 4 2" xfId="6620"/>
    <cellStyle name="Currency 2 2 5 5 4 4 2 2" xfId="25454"/>
    <cellStyle name="Currency 2 2 5 5 4 4 3" xfId="25455"/>
    <cellStyle name="Currency 2 2 5 5 4 5" xfId="6621"/>
    <cellStyle name="Currency 2 2 5 5 4 5 2" xfId="25456"/>
    <cellStyle name="Currency 2 2 5 5 4 6" xfId="6622"/>
    <cellStyle name="Currency 2 2 5 5 5" xfId="6623"/>
    <cellStyle name="Currency 2 2 5 5 5 2" xfId="6624"/>
    <cellStyle name="Currency 2 2 5 5 5 2 2" xfId="25457"/>
    <cellStyle name="Currency 2 2 5 5 5 3" xfId="25458"/>
    <cellStyle name="Currency 2 2 5 5 6" xfId="6625"/>
    <cellStyle name="Currency 2 2 5 5 6 2" xfId="6626"/>
    <cellStyle name="Currency 2 2 5 5 6 2 2" xfId="25459"/>
    <cellStyle name="Currency 2 2 5 5 6 3" xfId="25460"/>
    <cellStyle name="Currency 2 2 5 5 7" xfId="6627"/>
    <cellStyle name="Currency 2 2 5 5 7 2" xfId="6628"/>
    <cellStyle name="Currency 2 2 5 5 7 2 2" xfId="25461"/>
    <cellStyle name="Currency 2 2 5 5 7 3" xfId="25462"/>
    <cellStyle name="Currency 2 2 5 5 8" xfId="6629"/>
    <cellStyle name="Currency 2 2 5 5 8 2" xfId="25463"/>
    <cellStyle name="Currency 2 2 5 5 9" xfId="6630"/>
    <cellStyle name="Currency 2 2 5 6" xfId="102"/>
    <cellStyle name="Currency 2 2 5 6 2" xfId="523"/>
    <cellStyle name="Currency 2 2 5 6 2 2" xfId="1500"/>
    <cellStyle name="Currency 2 2 5 6 2 2 2" xfId="6631"/>
    <cellStyle name="Currency 2 2 5 6 2 2 2 2" xfId="6632"/>
    <cellStyle name="Currency 2 2 5 6 2 2 2 2 2" xfId="25464"/>
    <cellStyle name="Currency 2 2 5 6 2 2 2 3" xfId="25465"/>
    <cellStyle name="Currency 2 2 5 6 2 2 3" xfId="6633"/>
    <cellStyle name="Currency 2 2 5 6 2 2 3 2" xfId="6634"/>
    <cellStyle name="Currency 2 2 5 6 2 2 3 2 2" xfId="25466"/>
    <cellStyle name="Currency 2 2 5 6 2 2 3 3" xfId="25467"/>
    <cellStyle name="Currency 2 2 5 6 2 2 4" xfId="6635"/>
    <cellStyle name="Currency 2 2 5 6 2 2 4 2" xfId="6636"/>
    <cellStyle name="Currency 2 2 5 6 2 2 4 2 2" xfId="25468"/>
    <cellStyle name="Currency 2 2 5 6 2 2 4 3" xfId="25469"/>
    <cellStyle name="Currency 2 2 5 6 2 2 5" xfId="6637"/>
    <cellStyle name="Currency 2 2 5 6 2 2 5 2" xfId="25470"/>
    <cellStyle name="Currency 2 2 5 6 2 2 6" xfId="6638"/>
    <cellStyle name="Currency 2 2 5 6 2 3" xfId="6639"/>
    <cellStyle name="Currency 2 2 5 6 2 3 2" xfId="6640"/>
    <cellStyle name="Currency 2 2 5 6 2 3 2 2" xfId="25471"/>
    <cellStyle name="Currency 2 2 5 6 2 3 3" xfId="25472"/>
    <cellStyle name="Currency 2 2 5 6 2 4" xfId="6641"/>
    <cellStyle name="Currency 2 2 5 6 2 4 2" xfId="6642"/>
    <cellStyle name="Currency 2 2 5 6 2 4 2 2" xfId="25473"/>
    <cellStyle name="Currency 2 2 5 6 2 4 3" xfId="25474"/>
    <cellStyle name="Currency 2 2 5 6 2 5" xfId="6643"/>
    <cellStyle name="Currency 2 2 5 6 2 5 2" xfId="6644"/>
    <cellStyle name="Currency 2 2 5 6 2 5 2 2" xfId="25475"/>
    <cellStyle name="Currency 2 2 5 6 2 5 3" xfId="25476"/>
    <cellStyle name="Currency 2 2 5 6 2 6" xfId="6645"/>
    <cellStyle name="Currency 2 2 5 6 2 6 2" xfId="25477"/>
    <cellStyle name="Currency 2 2 5 6 2 7" xfId="6646"/>
    <cellStyle name="Currency 2 2 5 6 3" xfId="1501"/>
    <cellStyle name="Currency 2 2 5 6 3 2" xfId="6647"/>
    <cellStyle name="Currency 2 2 5 6 3 2 2" xfId="6648"/>
    <cellStyle name="Currency 2 2 5 6 3 2 2 2" xfId="25478"/>
    <cellStyle name="Currency 2 2 5 6 3 2 3" xfId="25479"/>
    <cellStyle name="Currency 2 2 5 6 3 3" xfId="6649"/>
    <cellStyle name="Currency 2 2 5 6 3 3 2" xfId="6650"/>
    <cellStyle name="Currency 2 2 5 6 3 3 2 2" xfId="25480"/>
    <cellStyle name="Currency 2 2 5 6 3 3 3" xfId="25481"/>
    <cellStyle name="Currency 2 2 5 6 3 4" xfId="6651"/>
    <cellStyle name="Currency 2 2 5 6 3 4 2" xfId="6652"/>
    <cellStyle name="Currency 2 2 5 6 3 4 2 2" xfId="25482"/>
    <cellStyle name="Currency 2 2 5 6 3 4 3" xfId="25483"/>
    <cellStyle name="Currency 2 2 5 6 3 5" xfId="6653"/>
    <cellStyle name="Currency 2 2 5 6 3 5 2" xfId="25484"/>
    <cellStyle name="Currency 2 2 5 6 3 6" xfId="6654"/>
    <cellStyle name="Currency 2 2 5 6 4" xfId="6655"/>
    <cellStyle name="Currency 2 2 5 6 4 2" xfId="6656"/>
    <cellStyle name="Currency 2 2 5 6 4 2 2" xfId="25485"/>
    <cellStyle name="Currency 2 2 5 6 4 3" xfId="25486"/>
    <cellStyle name="Currency 2 2 5 6 5" xfId="6657"/>
    <cellStyle name="Currency 2 2 5 6 5 2" xfId="6658"/>
    <cellStyle name="Currency 2 2 5 6 5 2 2" xfId="25487"/>
    <cellStyle name="Currency 2 2 5 6 5 3" xfId="25488"/>
    <cellStyle name="Currency 2 2 5 6 6" xfId="6659"/>
    <cellStyle name="Currency 2 2 5 6 6 2" xfId="6660"/>
    <cellStyle name="Currency 2 2 5 6 6 2 2" xfId="25489"/>
    <cellStyle name="Currency 2 2 5 6 6 3" xfId="25490"/>
    <cellStyle name="Currency 2 2 5 6 7" xfId="6661"/>
    <cellStyle name="Currency 2 2 5 6 7 2" xfId="25491"/>
    <cellStyle name="Currency 2 2 5 6 8" xfId="6662"/>
    <cellStyle name="Currency 2 2 5 7" xfId="891"/>
    <cellStyle name="Currency 2 2 5 7 2" xfId="1502"/>
    <cellStyle name="Currency 2 2 5 7 2 2" xfId="6663"/>
    <cellStyle name="Currency 2 2 5 7 2 2 2" xfId="6664"/>
    <cellStyle name="Currency 2 2 5 7 2 2 2 2" xfId="25492"/>
    <cellStyle name="Currency 2 2 5 7 2 2 3" xfId="25493"/>
    <cellStyle name="Currency 2 2 5 7 2 3" xfId="6665"/>
    <cellStyle name="Currency 2 2 5 7 2 3 2" xfId="6666"/>
    <cellStyle name="Currency 2 2 5 7 2 3 2 2" xfId="25494"/>
    <cellStyle name="Currency 2 2 5 7 2 3 3" xfId="25495"/>
    <cellStyle name="Currency 2 2 5 7 2 4" xfId="6667"/>
    <cellStyle name="Currency 2 2 5 7 2 4 2" xfId="6668"/>
    <cellStyle name="Currency 2 2 5 7 2 4 2 2" xfId="25496"/>
    <cellStyle name="Currency 2 2 5 7 2 4 3" xfId="25497"/>
    <cellStyle name="Currency 2 2 5 7 2 5" xfId="6669"/>
    <cellStyle name="Currency 2 2 5 7 2 5 2" xfId="25498"/>
    <cellStyle name="Currency 2 2 5 7 2 6" xfId="6670"/>
    <cellStyle name="Currency 2 2 5 7 3" xfId="6671"/>
    <cellStyle name="Currency 2 2 5 7 3 2" xfId="6672"/>
    <cellStyle name="Currency 2 2 5 7 3 2 2" xfId="25499"/>
    <cellStyle name="Currency 2 2 5 7 3 3" xfId="25500"/>
    <cellStyle name="Currency 2 2 5 7 4" xfId="6673"/>
    <cellStyle name="Currency 2 2 5 7 4 2" xfId="6674"/>
    <cellStyle name="Currency 2 2 5 7 4 2 2" xfId="25501"/>
    <cellStyle name="Currency 2 2 5 7 4 3" xfId="25502"/>
    <cellStyle name="Currency 2 2 5 7 5" xfId="6675"/>
    <cellStyle name="Currency 2 2 5 7 5 2" xfId="6676"/>
    <cellStyle name="Currency 2 2 5 7 5 2 2" xfId="25503"/>
    <cellStyle name="Currency 2 2 5 7 5 3" xfId="25504"/>
    <cellStyle name="Currency 2 2 5 7 6" xfId="6677"/>
    <cellStyle name="Currency 2 2 5 7 6 2" xfId="25505"/>
    <cellStyle name="Currency 2 2 5 7 7" xfId="6678"/>
    <cellStyle name="Currency 2 2 5 8" xfId="470"/>
    <cellStyle name="Currency 2 2 5 8 2" xfId="1503"/>
    <cellStyle name="Currency 2 2 5 8 2 2" xfId="6679"/>
    <cellStyle name="Currency 2 2 5 8 2 2 2" xfId="6680"/>
    <cellStyle name="Currency 2 2 5 8 2 2 2 2" xfId="25506"/>
    <cellStyle name="Currency 2 2 5 8 2 2 3" xfId="25507"/>
    <cellStyle name="Currency 2 2 5 8 2 3" xfId="6681"/>
    <cellStyle name="Currency 2 2 5 8 2 3 2" xfId="6682"/>
    <cellStyle name="Currency 2 2 5 8 2 3 2 2" xfId="25508"/>
    <cellStyle name="Currency 2 2 5 8 2 3 3" xfId="25509"/>
    <cellStyle name="Currency 2 2 5 8 2 4" xfId="6683"/>
    <cellStyle name="Currency 2 2 5 8 2 4 2" xfId="6684"/>
    <cellStyle name="Currency 2 2 5 8 2 4 2 2" xfId="25510"/>
    <cellStyle name="Currency 2 2 5 8 2 4 3" xfId="25511"/>
    <cellStyle name="Currency 2 2 5 8 2 5" xfId="6685"/>
    <cellStyle name="Currency 2 2 5 8 2 5 2" xfId="25512"/>
    <cellStyle name="Currency 2 2 5 8 2 6" xfId="6686"/>
    <cellStyle name="Currency 2 2 5 8 3" xfId="6687"/>
    <cellStyle name="Currency 2 2 5 8 3 2" xfId="6688"/>
    <cellStyle name="Currency 2 2 5 8 3 2 2" xfId="25513"/>
    <cellStyle name="Currency 2 2 5 8 3 3" xfId="25514"/>
    <cellStyle name="Currency 2 2 5 8 4" xfId="6689"/>
    <cellStyle name="Currency 2 2 5 8 4 2" xfId="6690"/>
    <cellStyle name="Currency 2 2 5 8 4 2 2" xfId="25515"/>
    <cellStyle name="Currency 2 2 5 8 4 3" xfId="25516"/>
    <cellStyle name="Currency 2 2 5 8 5" xfId="6691"/>
    <cellStyle name="Currency 2 2 5 8 5 2" xfId="6692"/>
    <cellStyle name="Currency 2 2 5 8 5 2 2" xfId="25517"/>
    <cellStyle name="Currency 2 2 5 8 5 3" xfId="25518"/>
    <cellStyle name="Currency 2 2 5 8 6" xfId="6693"/>
    <cellStyle name="Currency 2 2 5 8 6 2" xfId="25519"/>
    <cellStyle name="Currency 2 2 5 8 7" xfId="6694"/>
    <cellStyle name="Currency 2 2 5 9" xfId="1504"/>
    <cellStyle name="Currency 2 2 5 9 2" xfId="6695"/>
    <cellStyle name="Currency 2 2 5 9 2 2" xfId="6696"/>
    <cellStyle name="Currency 2 2 5 9 2 2 2" xfId="25520"/>
    <cellStyle name="Currency 2 2 5 9 2 3" xfId="25521"/>
    <cellStyle name="Currency 2 2 5 9 3" xfId="6697"/>
    <cellStyle name="Currency 2 2 5 9 3 2" xfId="6698"/>
    <cellStyle name="Currency 2 2 5 9 3 2 2" xfId="25522"/>
    <cellStyle name="Currency 2 2 5 9 3 3" xfId="25523"/>
    <cellStyle name="Currency 2 2 5 9 4" xfId="6699"/>
    <cellStyle name="Currency 2 2 5 9 4 2" xfId="6700"/>
    <cellStyle name="Currency 2 2 5 9 4 2 2" xfId="25524"/>
    <cellStyle name="Currency 2 2 5 9 4 3" xfId="25525"/>
    <cellStyle name="Currency 2 2 5 9 5" xfId="6701"/>
    <cellStyle name="Currency 2 2 5 9 5 2" xfId="25526"/>
    <cellStyle name="Currency 2 2 5 9 6" xfId="6702"/>
    <cellStyle name="Currency 2 2 6" xfId="191"/>
    <cellStyle name="Currency 2 2 6 10" xfId="6703"/>
    <cellStyle name="Currency 2 2 6 2" xfId="349"/>
    <cellStyle name="Currency 2 2 6 2 2" xfId="1137"/>
    <cellStyle name="Currency 2 2 6 2 2 2" xfId="1505"/>
    <cellStyle name="Currency 2 2 6 2 2 2 2" xfId="6704"/>
    <cellStyle name="Currency 2 2 6 2 2 2 2 2" xfId="6705"/>
    <cellStyle name="Currency 2 2 6 2 2 2 2 2 2" xfId="25527"/>
    <cellStyle name="Currency 2 2 6 2 2 2 2 3" xfId="25528"/>
    <cellStyle name="Currency 2 2 6 2 2 2 3" xfId="6706"/>
    <cellStyle name="Currency 2 2 6 2 2 2 3 2" xfId="6707"/>
    <cellStyle name="Currency 2 2 6 2 2 2 3 2 2" xfId="25529"/>
    <cellStyle name="Currency 2 2 6 2 2 2 3 3" xfId="25530"/>
    <cellStyle name="Currency 2 2 6 2 2 2 4" xfId="6708"/>
    <cellStyle name="Currency 2 2 6 2 2 2 4 2" xfId="6709"/>
    <cellStyle name="Currency 2 2 6 2 2 2 4 2 2" xfId="25531"/>
    <cellStyle name="Currency 2 2 6 2 2 2 4 3" xfId="25532"/>
    <cellStyle name="Currency 2 2 6 2 2 2 5" xfId="6710"/>
    <cellStyle name="Currency 2 2 6 2 2 2 5 2" xfId="25533"/>
    <cellStyle name="Currency 2 2 6 2 2 2 6" xfId="6711"/>
    <cellStyle name="Currency 2 2 6 2 2 3" xfId="6712"/>
    <cellStyle name="Currency 2 2 6 2 2 3 2" xfId="6713"/>
    <cellStyle name="Currency 2 2 6 2 2 3 2 2" xfId="25534"/>
    <cellStyle name="Currency 2 2 6 2 2 3 3" xfId="25535"/>
    <cellStyle name="Currency 2 2 6 2 2 4" xfId="6714"/>
    <cellStyle name="Currency 2 2 6 2 2 4 2" xfId="6715"/>
    <cellStyle name="Currency 2 2 6 2 2 4 2 2" xfId="25536"/>
    <cellStyle name="Currency 2 2 6 2 2 4 3" xfId="25537"/>
    <cellStyle name="Currency 2 2 6 2 2 5" xfId="6716"/>
    <cellStyle name="Currency 2 2 6 2 2 5 2" xfId="6717"/>
    <cellStyle name="Currency 2 2 6 2 2 5 2 2" xfId="25538"/>
    <cellStyle name="Currency 2 2 6 2 2 5 3" xfId="25539"/>
    <cellStyle name="Currency 2 2 6 2 2 6" xfId="6718"/>
    <cellStyle name="Currency 2 2 6 2 2 6 2" xfId="25540"/>
    <cellStyle name="Currency 2 2 6 2 2 7" xfId="6719"/>
    <cellStyle name="Currency 2 2 6 2 3" xfId="769"/>
    <cellStyle name="Currency 2 2 6 2 3 2" xfId="1506"/>
    <cellStyle name="Currency 2 2 6 2 3 2 2" xfId="6720"/>
    <cellStyle name="Currency 2 2 6 2 3 2 2 2" xfId="6721"/>
    <cellStyle name="Currency 2 2 6 2 3 2 2 2 2" xfId="25541"/>
    <cellStyle name="Currency 2 2 6 2 3 2 2 3" xfId="25542"/>
    <cellStyle name="Currency 2 2 6 2 3 2 3" xfId="6722"/>
    <cellStyle name="Currency 2 2 6 2 3 2 3 2" xfId="6723"/>
    <cellStyle name="Currency 2 2 6 2 3 2 3 2 2" xfId="25543"/>
    <cellStyle name="Currency 2 2 6 2 3 2 3 3" xfId="25544"/>
    <cellStyle name="Currency 2 2 6 2 3 2 4" xfId="6724"/>
    <cellStyle name="Currency 2 2 6 2 3 2 4 2" xfId="6725"/>
    <cellStyle name="Currency 2 2 6 2 3 2 4 2 2" xfId="25545"/>
    <cellStyle name="Currency 2 2 6 2 3 2 4 3" xfId="25546"/>
    <cellStyle name="Currency 2 2 6 2 3 2 5" xfId="6726"/>
    <cellStyle name="Currency 2 2 6 2 3 2 5 2" xfId="25547"/>
    <cellStyle name="Currency 2 2 6 2 3 2 6" xfId="6727"/>
    <cellStyle name="Currency 2 2 6 2 3 3" xfId="6728"/>
    <cellStyle name="Currency 2 2 6 2 3 3 2" xfId="6729"/>
    <cellStyle name="Currency 2 2 6 2 3 3 2 2" xfId="25548"/>
    <cellStyle name="Currency 2 2 6 2 3 3 3" xfId="25549"/>
    <cellStyle name="Currency 2 2 6 2 3 4" xfId="6730"/>
    <cellStyle name="Currency 2 2 6 2 3 4 2" xfId="6731"/>
    <cellStyle name="Currency 2 2 6 2 3 4 2 2" xfId="25550"/>
    <cellStyle name="Currency 2 2 6 2 3 4 3" xfId="25551"/>
    <cellStyle name="Currency 2 2 6 2 3 5" xfId="6732"/>
    <cellStyle name="Currency 2 2 6 2 3 5 2" xfId="6733"/>
    <cellStyle name="Currency 2 2 6 2 3 5 2 2" xfId="25552"/>
    <cellStyle name="Currency 2 2 6 2 3 5 3" xfId="25553"/>
    <cellStyle name="Currency 2 2 6 2 3 6" xfId="6734"/>
    <cellStyle name="Currency 2 2 6 2 3 6 2" xfId="25554"/>
    <cellStyle name="Currency 2 2 6 2 3 7" xfId="6735"/>
    <cellStyle name="Currency 2 2 6 2 4" xfId="1507"/>
    <cellStyle name="Currency 2 2 6 2 4 2" xfId="6736"/>
    <cellStyle name="Currency 2 2 6 2 4 2 2" xfId="6737"/>
    <cellStyle name="Currency 2 2 6 2 4 2 2 2" xfId="25555"/>
    <cellStyle name="Currency 2 2 6 2 4 2 3" xfId="25556"/>
    <cellStyle name="Currency 2 2 6 2 4 3" xfId="6738"/>
    <cellStyle name="Currency 2 2 6 2 4 3 2" xfId="6739"/>
    <cellStyle name="Currency 2 2 6 2 4 3 2 2" xfId="25557"/>
    <cellStyle name="Currency 2 2 6 2 4 3 3" xfId="25558"/>
    <cellStyle name="Currency 2 2 6 2 4 4" xfId="6740"/>
    <cellStyle name="Currency 2 2 6 2 4 4 2" xfId="6741"/>
    <cellStyle name="Currency 2 2 6 2 4 4 2 2" xfId="25559"/>
    <cellStyle name="Currency 2 2 6 2 4 4 3" xfId="25560"/>
    <cellStyle name="Currency 2 2 6 2 4 5" xfId="6742"/>
    <cellStyle name="Currency 2 2 6 2 4 5 2" xfId="25561"/>
    <cellStyle name="Currency 2 2 6 2 4 6" xfId="6743"/>
    <cellStyle name="Currency 2 2 6 2 5" xfId="6744"/>
    <cellStyle name="Currency 2 2 6 2 5 2" xfId="6745"/>
    <cellStyle name="Currency 2 2 6 2 5 2 2" xfId="25562"/>
    <cellStyle name="Currency 2 2 6 2 5 3" xfId="25563"/>
    <cellStyle name="Currency 2 2 6 2 6" xfId="6746"/>
    <cellStyle name="Currency 2 2 6 2 6 2" xfId="6747"/>
    <cellStyle name="Currency 2 2 6 2 6 2 2" xfId="25564"/>
    <cellStyle name="Currency 2 2 6 2 6 3" xfId="25565"/>
    <cellStyle name="Currency 2 2 6 2 7" xfId="6748"/>
    <cellStyle name="Currency 2 2 6 2 7 2" xfId="6749"/>
    <cellStyle name="Currency 2 2 6 2 7 2 2" xfId="25566"/>
    <cellStyle name="Currency 2 2 6 2 7 3" xfId="25567"/>
    <cellStyle name="Currency 2 2 6 2 8" xfId="6750"/>
    <cellStyle name="Currency 2 2 6 2 8 2" xfId="25568"/>
    <cellStyle name="Currency 2 2 6 2 9" xfId="6751"/>
    <cellStyle name="Currency 2 2 6 3" xfId="979"/>
    <cellStyle name="Currency 2 2 6 3 2" xfId="1508"/>
    <cellStyle name="Currency 2 2 6 3 2 2" xfId="6752"/>
    <cellStyle name="Currency 2 2 6 3 2 2 2" xfId="6753"/>
    <cellStyle name="Currency 2 2 6 3 2 2 2 2" xfId="25569"/>
    <cellStyle name="Currency 2 2 6 3 2 2 3" xfId="25570"/>
    <cellStyle name="Currency 2 2 6 3 2 3" xfId="6754"/>
    <cellStyle name="Currency 2 2 6 3 2 3 2" xfId="6755"/>
    <cellStyle name="Currency 2 2 6 3 2 3 2 2" xfId="25571"/>
    <cellStyle name="Currency 2 2 6 3 2 3 3" xfId="25572"/>
    <cellStyle name="Currency 2 2 6 3 2 4" xfId="6756"/>
    <cellStyle name="Currency 2 2 6 3 2 4 2" xfId="6757"/>
    <cellStyle name="Currency 2 2 6 3 2 4 2 2" xfId="25573"/>
    <cellStyle name="Currency 2 2 6 3 2 4 3" xfId="25574"/>
    <cellStyle name="Currency 2 2 6 3 2 5" xfId="6758"/>
    <cellStyle name="Currency 2 2 6 3 2 5 2" xfId="25575"/>
    <cellStyle name="Currency 2 2 6 3 2 6" xfId="6759"/>
    <cellStyle name="Currency 2 2 6 3 3" xfId="6760"/>
    <cellStyle name="Currency 2 2 6 3 3 2" xfId="6761"/>
    <cellStyle name="Currency 2 2 6 3 3 2 2" xfId="25576"/>
    <cellStyle name="Currency 2 2 6 3 3 3" xfId="25577"/>
    <cellStyle name="Currency 2 2 6 3 4" xfId="6762"/>
    <cellStyle name="Currency 2 2 6 3 4 2" xfId="6763"/>
    <cellStyle name="Currency 2 2 6 3 4 2 2" xfId="25578"/>
    <cellStyle name="Currency 2 2 6 3 4 3" xfId="25579"/>
    <cellStyle name="Currency 2 2 6 3 5" xfId="6764"/>
    <cellStyle name="Currency 2 2 6 3 5 2" xfId="6765"/>
    <cellStyle name="Currency 2 2 6 3 5 2 2" xfId="25580"/>
    <cellStyle name="Currency 2 2 6 3 5 3" xfId="25581"/>
    <cellStyle name="Currency 2 2 6 3 6" xfId="6766"/>
    <cellStyle name="Currency 2 2 6 3 6 2" xfId="25582"/>
    <cellStyle name="Currency 2 2 6 3 7" xfId="6767"/>
    <cellStyle name="Currency 2 2 6 4" xfId="611"/>
    <cellStyle name="Currency 2 2 6 4 2" xfId="1509"/>
    <cellStyle name="Currency 2 2 6 4 2 2" xfId="6768"/>
    <cellStyle name="Currency 2 2 6 4 2 2 2" xfId="6769"/>
    <cellStyle name="Currency 2 2 6 4 2 2 2 2" xfId="25583"/>
    <cellStyle name="Currency 2 2 6 4 2 2 3" xfId="25584"/>
    <cellStyle name="Currency 2 2 6 4 2 3" xfId="6770"/>
    <cellStyle name="Currency 2 2 6 4 2 3 2" xfId="6771"/>
    <cellStyle name="Currency 2 2 6 4 2 3 2 2" xfId="25585"/>
    <cellStyle name="Currency 2 2 6 4 2 3 3" xfId="25586"/>
    <cellStyle name="Currency 2 2 6 4 2 4" xfId="6772"/>
    <cellStyle name="Currency 2 2 6 4 2 4 2" xfId="6773"/>
    <cellStyle name="Currency 2 2 6 4 2 4 2 2" xfId="25587"/>
    <cellStyle name="Currency 2 2 6 4 2 4 3" xfId="25588"/>
    <cellStyle name="Currency 2 2 6 4 2 5" xfId="6774"/>
    <cellStyle name="Currency 2 2 6 4 2 5 2" xfId="25589"/>
    <cellStyle name="Currency 2 2 6 4 2 6" xfId="6775"/>
    <cellStyle name="Currency 2 2 6 4 3" xfId="6776"/>
    <cellStyle name="Currency 2 2 6 4 3 2" xfId="6777"/>
    <cellStyle name="Currency 2 2 6 4 3 2 2" xfId="25590"/>
    <cellStyle name="Currency 2 2 6 4 3 3" xfId="25591"/>
    <cellStyle name="Currency 2 2 6 4 4" xfId="6778"/>
    <cellStyle name="Currency 2 2 6 4 4 2" xfId="6779"/>
    <cellStyle name="Currency 2 2 6 4 4 2 2" xfId="25592"/>
    <cellStyle name="Currency 2 2 6 4 4 3" xfId="25593"/>
    <cellStyle name="Currency 2 2 6 4 5" xfId="6780"/>
    <cellStyle name="Currency 2 2 6 4 5 2" xfId="6781"/>
    <cellStyle name="Currency 2 2 6 4 5 2 2" xfId="25594"/>
    <cellStyle name="Currency 2 2 6 4 5 3" xfId="25595"/>
    <cellStyle name="Currency 2 2 6 4 6" xfId="6782"/>
    <cellStyle name="Currency 2 2 6 4 6 2" xfId="25596"/>
    <cellStyle name="Currency 2 2 6 4 7" xfId="6783"/>
    <cellStyle name="Currency 2 2 6 5" xfId="1510"/>
    <cellStyle name="Currency 2 2 6 5 2" xfId="6784"/>
    <cellStyle name="Currency 2 2 6 5 2 2" xfId="6785"/>
    <cellStyle name="Currency 2 2 6 5 2 2 2" xfId="25597"/>
    <cellStyle name="Currency 2 2 6 5 2 3" xfId="25598"/>
    <cellStyle name="Currency 2 2 6 5 3" xfId="6786"/>
    <cellStyle name="Currency 2 2 6 5 3 2" xfId="6787"/>
    <cellStyle name="Currency 2 2 6 5 3 2 2" xfId="25599"/>
    <cellStyle name="Currency 2 2 6 5 3 3" xfId="25600"/>
    <cellStyle name="Currency 2 2 6 5 4" xfId="6788"/>
    <cellStyle name="Currency 2 2 6 5 4 2" xfId="6789"/>
    <cellStyle name="Currency 2 2 6 5 4 2 2" xfId="25601"/>
    <cellStyle name="Currency 2 2 6 5 4 3" xfId="25602"/>
    <cellStyle name="Currency 2 2 6 5 5" xfId="6790"/>
    <cellStyle name="Currency 2 2 6 5 5 2" xfId="25603"/>
    <cellStyle name="Currency 2 2 6 5 6" xfId="6791"/>
    <cellStyle name="Currency 2 2 6 6" xfId="6792"/>
    <cellStyle name="Currency 2 2 6 6 2" xfId="6793"/>
    <cellStyle name="Currency 2 2 6 6 2 2" xfId="25604"/>
    <cellStyle name="Currency 2 2 6 6 3" xfId="25605"/>
    <cellStyle name="Currency 2 2 6 7" xfId="6794"/>
    <cellStyle name="Currency 2 2 6 7 2" xfId="6795"/>
    <cellStyle name="Currency 2 2 6 7 2 2" xfId="25606"/>
    <cellStyle name="Currency 2 2 6 7 3" xfId="25607"/>
    <cellStyle name="Currency 2 2 6 8" xfId="6796"/>
    <cellStyle name="Currency 2 2 6 8 2" xfId="6797"/>
    <cellStyle name="Currency 2 2 6 8 2 2" xfId="25608"/>
    <cellStyle name="Currency 2 2 6 8 3" xfId="25609"/>
    <cellStyle name="Currency 2 2 6 9" xfId="6798"/>
    <cellStyle name="Currency 2 2 6 9 2" xfId="25610"/>
    <cellStyle name="Currency 2 2 7" xfId="242"/>
    <cellStyle name="Currency 2 2 7 10" xfId="6799"/>
    <cellStyle name="Currency 2 2 7 2" xfId="400"/>
    <cellStyle name="Currency 2 2 7 2 2" xfId="1188"/>
    <cellStyle name="Currency 2 2 7 2 2 2" xfId="1511"/>
    <cellStyle name="Currency 2 2 7 2 2 2 2" xfId="6800"/>
    <cellStyle name="Currency 2 2 7 2 2 2 2 2" xfId="6801"/>
    <cellStyle name="Currency 2 2 7 2 2 2 2 2 2" xfId="25611"/>
    <cellStyle name="Currency 2 2 7 2 2 2 2 3" xfId="25612"/>
    <cellStyle name="Currency 2 2 7 2 2 2 3" xfId="6802"/>
    <cellStyle name="Currency 2 2 7 2 2 2 3 2" xfId="6803"/>
    <cellStyle name="Currency 2 2 7 2 2 2 3 2 2" xfId="25613"/>
    <cellStyle name="Currency 2 2 7 2 2 2 3 3" xfId="25614"/>
    <cellStyle name="Currency 2 2 7 2 2 2 4" xfId="6804"/>
    <cellStyle name="Currency 2 2 7 2 2 2 4 2" xfId="6805"/>
    <cellStyle name="Currency 2 2 7 2 2 2 4 2 2" xfId="25615"/>
    <cellStyle name="Currency 2 2 7 2 2 2 4 3" xfId="25616"/>
    <cellStyle name="Currency 2 2 7 2 2 2 5" xfId="6806"/>
    <cellStyle name="Currency 2 2 7 2 2 2 5 2" xfId="25617"/>
    <cellStyle name="Currency 2 2 7 2 2 2 6" xfId="6807"/>
    <cellStyle name="Currency 2 2 7 2 2 3" xfId="6808"/>
    <cellStyle name="Currency 2 2 7 2 2 3 2" xfId="6809"/>
    <cellStyle name="Currency 2 2 7 2 2 3 2 2" xfId="25618"/>
    <cellStyle name="Currency 2 2 7 2 2 3 3" xfId="25619"/>
    <cellStyle name="Currency 2 2 7 2 2 4" xfId="6810"/>
    <cellStyle name="Currency 2 2 7 2 2 4 2" xfId="6811"/>
    <cellStyle name="Currency 2 2 7 2 2 4 2 2" xfId="25620"/>
    <cellStyle name="Currency 2 2 7 2 2 4 3" xfId="25621"/>
    <cellStyle name="Currency 2 2 7 2 2 5" xfId="6812"/>
    <cellStyle name="Currency 2 2 7 2 2 5 2" xfId="6813"/>
    <cellStyle name="Currency 2 2 7 2 2 5 2 2" xfId="25622"/>
    <cellStyle name="Currency 2 2 7 2 2 5 3" xfId="25623"/>
    <cellStyle name="Currency 2 2 7 2 2 6" xfId="6814"/>
    <cellStyle name="Currency 2 2 7 2 2 6 2" xfId="25624"/>
    <cellStyle name="Currency 2 2 7 2 2 7" xfId="6815"/>
    <cellStyle name="Currency 2 2 7 2 3" xfId="820"/>
    <cellStyle name="Currency 2 2 7 2 3 2" xfId="1512"/>
    <cellStyle name="Currency 2 2 7 2 3 2 2" xfId="6816"/>
    <cellStyle name="Currency 2 2 7 2 3 2 2 2" xfId="6817"/>
    <cellStyle name="Currency 2 2 7 2 3 2 2 2 2" xfId="25625"/>
    <cellStyle name="Currency 2 2 7 2 3 2 2 3" xfId="25626"/>
    <cellStyle name="Currency 2 2 7 2 3 2 3" xfId="6818"/>
    <cellStyle name="Currency 2 2 7 2 3 2 3 2" xfId="6819"/>
    <cellStyle name="Currency 2 2 7 2 3 2 3 2 2" xfId="25627"/>
    <cellStyle name="Currency 2 2 7 2 3 2 3 3" xfId="25628"/>
    <cellStyle name="Currency 2 2 7 2 3 2 4" xfId="6820"/>
    <cellStyle name="Currency 2 2 7 2 3 2 4 2" xfId="6821"/>
    <cellStyle name="Currency 2 2 7 2 3 2 4 2 2" xfId="25629"/>
    <cellStyle name="Currency 2 2 7 2 3 2 4 3" xfId="25630"/>
    <cellStyle name="Currency 2 2 7 2 3 2 5" xfId="6822"/>
    <cellStyle name="Currency 2 2 7 2 3 2 5 2" xfId="25631"/>
    <cellStyle name="Currency 2 2 7 2 3 2 6" xfId="6823"/>
    <cellStyle name="Currency 2 2 7 2 3 3" xfId="6824"/>
    <cellStyle name="Currency 2 2 7 2 3 3 2" xfId="6825"/>
    <cellStyle name="Currency 2 2 7 2 3 3 2 2" xfId="25632"/>
    <cellStyle name="Currency 2 2 7 2 3 3 3" xfId="25633"/>
    <cellStyle name="Currency 2 2 7 2 3 4" xfId="6826"/>
    <cellStyle name="Currency 2 2 7 2 3 4 2" xfId="6827"/>
    <cellStyle name="Currency 2 2 7 2 3 4 2 2" xfId="25634"/>
    <cellStyle name="Currency 2 2 7 2 3 4 3" xfId="25635"/>
    <cellStyle name="Currency 2 2 7 2 3 5" xfId="6828"/>
    <cellStyle name="Currency 2 2 7 2 3 5 2" xfId="6829"/>
    <cellStyle name="Currency 2 2 7 2 3 5 2 2" xfId="25636"/>
    <cellStyle name="Currency 2 2 7 2 3 5 3" xfId="25637"/>
    <cellStyle name="Currency 2 2 7 2 3 6" xfId="6830"/>
    <cellStyle name="Currency 2 2 7 2 3 6 2" xfId="25638"/>
    <cellStyle name="Currency 2 2 7 2 3 7" xfId="6831"/>
    <cellStyle name="Currency 2 2 7 2 4" xfId="1513"/>
    <cellStyle name="Currency 2 2 7 2 4 2" xfId="6832"/>
    <cellStyle name="Currency 2 2 7 2 4 2 2" xfId="6833"/>
    <cellStyle name="Currency 2 2 7 2 4 2 2 2" xfId="25639"/>
    <cellStyle name="Currency 2 2 7 2 4 2 3" xfId="25640"/>
    <cellStyle name="Currency 2 2 7 2 4 3" xfId="6834"/>
    <cellStyle name="Currency 2 2 7 2 4 3 2" xfId="6835"/>
    <cellStyle name="Currency 2 2 7 2 4 3 2 2" xfId="25641"/>
    <cellStyle name="Currency 2 2 7 2 4 3 3" xfId="25642"/>
    <cellStyle name="Currency 2 2 7 2 4 4" xfId="6836"/>
    <cellStyle name="Currency 2 2 7 2 4 4 2" xfId="6837"/>
    <cellStyle name="Currency 2 2 7 2 4 4 2 2" xfId="25643"/>
    <cellStyle name="Currency 2 2 7 2 4 4 3" xfId="25644"/>
    <cellStyle name="Currency 2 2 7 2 4 5" xfId="6838"/>
    <cellStyle name="Currency 2 2 7 2 4 5 2" xfId="25645"/>
    <cellStyle name="Currency 2 2 7 2 4 6" xfId="6839"/>
    <cellStyle name="Currency 2 2 7 2 5" xfId="6840"/>
    <cellStyle name="Currency 2 2 7 2 5 2" xfId="6841"/>
    <cellStyle name="Currency 2 2 7 2 5 2 2" xfId="25646"/>
    <cellStyle name="Currency 2 2 7 2 5 3" xfId="25647"/>
    <cellStyle name="Currency 2 2 7 2 6" xfId="6842"/>
    <cellStyle name="Currency 2 2 7 2 6 2" xfId="6843"/>
    <cellStyle name="Currency 2 2 7 2 6 2 2" xfId="25648"/>
    <cellStyle name="Currency 2 2 7 2 6 3" xfId="25649"/>
    <cellStyle name="Currency 2 2 7 2 7" xfId="6844"/>
    <cellStyle name="Currency 2 2 7 2 7 2" xfId="6845"/>
    <cellStyle name="Currency 2 2 7 2 7 2 2" xfId="25650"/>
    <cellStyle name="Currency 2 2 7 2 7 3" xfId="25651"/>
    <cellStyle name="Currency 2 2 7 2 8" xfId="6846"/>
    <cellStyle name="Currency 2 2 7 2 8 2" xfId="25652"/>
    <cellStyle name="Currency 2 2 7 2 9" xfId="6847"/>
    <cellStyle name="Currency 2 2 7 3" xfId="1030"/>
    <cellStyle name="Currency 2 2 7 3 2" xfId="1514"/>
    <cellStyle name="Currency 2 2 7 3 2 2" xfId="6848"/>
    <cellStyle name="Currency 2 2 7 3 2 2 2" xfId="6849"/>
    <cellStyle name="Currency 2 2 7 3 2 2 2 2" xfId="25653"/>
    <cellStyle name="Currency 2 2 7 3 2 2 3" xfId="25654"/>
    <cellStyle name="Currency 2 2 7 3 2 3" xfId="6850"/>
    <cellStyle name="Currency 2 2 7 3 2 3 2" xfId="6851"/>
    <cellStyle name="Currency 2 2 7 3 2 3 2 2" xfId="25655"/>
    <cellStyle name="Currency 2 2 7 3 2 3 3" xfId="25656"/>
    <cellStyle name="Currency 2 2 7 3 2 4" xfId="6852"/>
    <cellStyle name="Currency 2 2 7 3 2 4 2" xfId="6853"/>
    <cellStyle name="Currency 2 2 7 3 2 4 2 2" xfId="25657"/>
    <cellStyle name="Currency 2 2 7 3 2 4 3" xfId="25658"/>
    <cellStyle name="Currency 2 2 7 3 2 5" xfId="6854"/>
    <cellStyle name="Currency 2 2 7 3 2 5 2" xfId="25659"/>
    <cellStyle name="Currency 2 2 7 3 2 6" xfId="6855"/>
    <cellStyle name="Currency 2 2 7 3 3" xfId="6856"/>
    <cellStyle name="Currency 2 2 7 3 3 2" xfId="6857"/>
    <cellStyle name="Currency 2 2 7 3 3 2 2" xfId="25660"/>
    <cellStyle name="Currency 2 2 7 3 3 3" xfId="25661"/>
    <cellStyle name="Currency 2 2 7 3 4" xfId="6858"/>
    <cellStyle name="Currency 2 2 7 3 4 2" xfId="6859"/>
    <cellStyle name="Currency 2 2 7 3 4 2 2" xfId="25662"/>
    <cellStyle name="Currency 2 2 7 3 4 3" xfId="25663"/>
    <cellStyle name="Currency 2 2 7 3 5" xfId="6860"/>
    <cellStyle name="Currency 2 2 7 3 5 2" xfId="6861"/>
    <cellStyle name="Currency 2 2 7 3 5 2 2" xfId="25664"/>
    <cellStyle name="Currency 2 2 7 3 5 3" xfId="25665"/>
    <cellStyle name="Currency 2 2 7 3 6" xfId="6862"/>
    <cellStyle name="Currency 2 2 7 3 6 2" xfId="25666"/>
    <cellStyle name="Currency 2 2 7 3 7" xfId="6863"/>
    <cellStyle name="Currency 2 2 7 4" xfId="662"/>
    <cellStyle name="Currency 2 2 7 4 2" xfId="1515"/>
    <cellStyle name="Currency 2 2 7 4 2 2" xfId="6864"/>
    <cellStyle name="Currency 2 2 7 4 2 2 2" xfId="6865"/>
    <cellStyle name="Currency 2 2 7 4 2 2 2 2" xfId="25667"/>
    <cellStyle name="Currency 2 2 7 4 2 2 3" xfId="25668"/>
    <cellStyle name="Currency 2 2 7 4 2 3" xfId="6866"/>
    <cellStyle name="Currency 2 2 7 4 2 3 2" xfId="6867"/>
    <cellStyle name="Currency 2 2 7 4 2 3 2 2" xfId="25669"/>
    <cellStyle name="Currency 2 2 7 4 2 3 3" xfId="25670"/>
    <cellStyle name="Currency 2 2 7 4 2 4" xfId="6868"/>
    <cellStyle name="Currency 2 2 7 4 2 4 2" xfId="6869"/>
    <cellStyle name="Currency 2 2 7 4 2 4 2 2" xfId="25671"/>
    <cellStyle name="Currency 2 2 7 4 2 4 3" xfId="25672"/>
    <cellStyle name="Currency 2 2 7 4 2 5" xfId="6870"/>
    <cellStyle name="Currency 2 2 7 4 2 5 2" xfId="25673"/>
    <cellStyle name="Currency 2 2 7 4 2 6" xfId="6871"/>
    <cellStyle name="Currency 2 2 7 4 3" xfId="6872"/>
    <cellStyle name="Currency 2 2 7 4 3 2" xfId="6873"/>
    <cellStyle name="Currency 2 2 7 4 3 2 2" xfId="25674"/>
    <cellStyle name="Currency 2 2 7 4 3 3" xfId="25675"/>
    <cellStyle name="Currency 2 2 7 4 4" xfId="6874"/>
    <cellStyle name="Currency 2 2 7 4 4 2" xfId="6875"/>
    <cellStyle name="Currency 2 2 7 4 4 2 2" xfId="25676"/>
    <cellStyle name="Currency 2 2 7 4 4 3" xfId="25677"/>
    <cellStyle name="Currency 2 2 7 4 5" xfId="6876"/>
    <cellStyle name="Currency 2 2 7 4 5 2" xfId="6877"/>
    <cellStyle name="Currency 2 2 7 4 5 2 2" xfId="25678"/>
    <cellStyle name="Currency 2 2 7 4 5 3" xfId="25679"/>
    <cellStyle name="Currency 2 2 7 4 6" xfId="6878"/>
    <cellStyle name="Currency 2 2 7 4 6 2" xfId="25680"/>
    <cellStyle name="Currency 2 2 7 4 7" xfId="6879"/>
    <cellStyle name="Currency 2 2 7 5" xfId="1516"/>
    <cellStyle name="Currency 2 2 7 5 2" xfId="6880"/>
    <cellStyle name="Currency 2 2 7 5 2 2" xfId="6881"/>
    <cellStyle name="Currency 2 2 7 5 2 2 2" xfId="25681"/>
    <cellStyle name="Currency 2 2 7 5 2 3" xfId="25682"/>
    <cellStyle name="Currency 2 2 7 5 3" xfId="6882"/>
    <cellStyle name="Currency 2 2 7 5 3 2" xfId="6883"/>
    <cellStyle name="Currency 2 2 7 5 3 2 2" xfId="25683"/>
    <cellStyle name="Currency 2 2 7 5 3 3" xfId="25684"/>
    <cellStyle name="Currency 2 2 7 5 4" xfId="6884"/>
    <cellStyle name="Currency 2 2 7 5 4 2" xfId="6885"/>
    <cellStyle name="Currency 2 2 7 5 4 2 2" xfId="25685"/>
    <cellStyle name="Currency 2 2 7 5 4 3" xfId="25686"/>
    <cellStyle name="Currency 2 2 7 5 5" xfId="6886"/>
    <cellStyle name="Currency 2 2 7 5 5 2" xfId="25687"/>
    <cellStyle name="Currency 2 2 7 5 6" xfId="6887"/>
    <cellStyle name="Currency 2 2 7 6" xfId="6888"/>
    <cellStyle name="Currency 2 2 7 6 2" xfId="6889"/>
    <cellStyle name="Currency 2 2 7 6 2 2" xfId="25688"/>
    <cellStyle name="Currency 2 2 7 6 3" xfId="25689"/>
    <cellStyle name="Currency 2 2 7 7" xfId="6890"/>
    <cellStyle name="Currency 2 2 7 7 2" xfId="6891"/>
    <cellStyle name="Currency 2 2 7 7 2 2" xfId="25690"/>
    <cellStyle name="Currency 2 2 7 7 3" xfId="25691"/>
    <cellStyle name="Currency 2 2 7 8" xfId="6892"/>
    <cellStyle name="Currency 2 2 7 8 2" xfId="6893"/>
    <cellStyle name="Currency 2 2 7 8 2 2" xfId="25692"/>
    <cellStyle name="Currency 2 2 7 8 3" xfId="25693"/>
    <cellStyle name="Currency 2 2 7 9" xfId="6894"/>
    <cellStyle name="Currency 2 2 7 9 2" xfId="25694"/>
    <cellStyle name="Currency 2 2 8" xfId="137"/>
    <cellStyle name="Currency 2 2 8 2" xfId="925"/>
    <cellStyle name="Currency 2 2 8 2 2" xfId="1517"/>
    <cellStyle name="Currency 2 2 8 2 2 2" xfId="6895"/>
    <cellStyle name="Currency 2 2 8 2 2 2 2" xfId="6896"/>
    <cellStyle name="Currency 2 2 8 2 2 2 2 2" xfId="25695"/>
    <cellStyle name="Currency 2 2 8 2 2 2 3" xfId="25696"/>
    <cellStyle name="Currency 2 2 8 2 2 3" xfId="6897"/>
    <cellStyle name="Currency 2 2 8 2 2 3 2" xfId="6898"/>
    <cellStyle name="Currency 2 2 8 2 2 3 2 2" xfId="25697"/>
    <cellStyle name="Currency 2 2 8 2 2 3 3" xfId="25698"/>
    <cellStyle name="Currency 2 2 8 2 2 4" xfId="6899"/>
    <cellStyle name="Currency 2 2 8 2 2 4 2" xfId="6900"/>
    <cellStyle name="Currency 2 2 8 2 2 4 2 2" xfId="25699"/>
    <cellStyle name="Currency 2 2 8 2 2 4 3" xfId="25700"/>
    <cellStyle name="Currency 2 2 8 2 2 5" xfId="6901"/>
    <cellStyle name="Currency 2 2 8 2 2 5 2" xfId="25701"/>
    <cellStyle name="Currency 2 2 8 2 2 6" xfId="6902"/>
    <cellStyle name="Currency 2 2 8 2 3" xfId="6903"/>
    <cellStyle name="Currency 2 2 8 2 3 2" xfId="6904"/>
    <cellStyle name="Currency 2 2 8 2 3 2 2" xfId="25702"/>
    <cellStyle name="Currency 2 2 8 2 3 3" xfId="25703"/>
    <cellStyle name="Currency 2 2 8 2 4" xfId="6905"/>
    <cellStyle name="Currency 2 2 8 2 4 2" xfId="6906"/>
    <cellStyle name="Currency 2 2 8 2 4 2 2" xfId="25704"/>
    <cellStyle name="Currency 2 2 8 2 4 3" xfId="25705"/>
    <cellStyle name="Currency 2 2 8 2 5" xfId="6907"/>
    <cellStyle name="Currency 2 2 8 2 5 2" xfId="6908"/>
    <cellStyle name="Currency 2 2 8 2 5 2 2" xfId="25706"/>
    <cellStyle name="Currency 2 2 8 2 5 3" xfId="25707"/>
    <cellStyle name="Currency 2 2 8 2 6" xfId="6909"/>
    <cellStyle name="Currency 2 2 8 2 6 2" xfId="25708"/>
    <cellStyle name="Currency 2 2 8 2 7" xfId="6910"/>
    <cellStyle name="Currency 2 2 8 3" xfId="557"/>
    <cellStyle name="Currency 2 2 8 3 2" xfId="1518"/>
    <cellStyle name="Currency 2 2 8 3 2 2" xfId="6911"/>
    <cellStyle name="Currency 2 2 8 3 2 2 2" xfId="6912"/>
    <cellStyle name="Currency 2 2 8 3 2 2 2 2" xfId="25709"/>
    <cellStyle name="Currency 2 2 8 3 2 2 3" xfId="25710"/>
    <cellStyle name="Currency 2 2 8 3 2 3" xfId="6913"/>
    <cellStyle name="Currency 2 2 8 3 2 3 2" xfId="6914"/>
    <cellStyle name="Currency 2 2 8 3 2 3 2 2" xfId="25711"/>
    <cellStyle name="Currency 2 2 8 3 2 3 3" xfId="25712"/>
    <cellStyle name="Currency 2 2 8 3 2 4" xfId="6915"/>
    <cellStyle name="Currency 2 2 8 3 2 4 2" xfId="6916"/>
    <cellStyle name="Currency 2 2 8 3 2 4 2 2" xfId="25713"/>
    <cellStyle name="Currency 2 2 8 3 2 4 3" xfId="25714"/>
    <cellStyle name="Currency 2 2 8 3 2 5" xfId="6917"/>
    <cellStyle name="Currency 2 2 8 3 2 5 2" xfId="25715"/>
    <cellStyle name="Currency 2 2 8 3 2 6" xfId="6918"/>
    <cellStyle name="Currency 2 2 8 3 3" xfId="6919"/>
    <cellStyle name="Currency 2 2 8 3 3 2" xfId="6920"/>
    <cellStyle name="Currency 2 2 8 3 3 2 2" xfId="25716"/>
    <cellStyle name="Currency 2 2 8 3 3 3" xfId="25717"/>
    <cellStyle name="Currency 2 2 8 3 4" xfId="6921"/>
    <cellStyle name="Currency 2 2 8 3 4 2" xfId="6922"/>
    <cellStyle name="Currency 2 2 8 3 4 2 2" xfId="25718"/>
    <cellStyle name="Currency 2 2 8 3 4 3" xfId="25719"/>
    <cellStyle name="Currency 2 2 8 3 5" xfId="6923"/>
    <cellStyle name="Currency 2 2 8 3 5 2" xfId="6924"/>
    <cellStyle name="Currency 2 2 8 3 5 2 2" xfId="25720"/>
    <cellStyle name="Currency 2 2 8 3 5 3" xfId="25721"/>
    <cellStyle name="Currency 2 2 8 3 6" xfId="6925"/>
    <cellStyle name="Currency 2 2 8 3 6 2" xfId="25722"/>
    <cellStyle name="Currency 2 2 8 3 7" xfId="6926"/>
    <cellStyle name="Currency 2 2 8 4" xfId="1519"/>
    <cellStyle name="Currency 2 2 8 4 2" xfId="6927"/>
    <cellStyle name="Currency 2 2 8 4 2 2" xfId="6928"/>
    <cellStyle name="Currency 2 2 8 4 2 2 2" xfId="25723"/>
    <cellStyle name="Currency 2 2 8 4 2 3" xfId="25724"/>
    <cellStyle name="Currency 2 2 8 4 3" xfId="6929"/>
    <cellStyle name="Currency 2 2 8 4 3 2" xfId="6930"/>
    <cellStyle name="Currency 2 2 8 4 3 2 2" xfId="25725"/>
    <cellStyle name="Currency 2 2 8 4 3 3" xfId="25726"/>
    <cellStyle name="Currency 2 2 8 4 4" xfId="6931"/>
    <cellStyle name="Currency 2 2 8 4 4 2" xfId="6932"/>
    <cellStyle name="Currency 2 2 8 4 4 2 2" xfId="25727"/>
    <cellStyle name="Currency 2 2 8 4 4 3" xfId="25728"/>
    <cellStyle name="Currency 2 2 8 4 5" xfId="6933"/>
    <cellStyle name="Currency 2 2 8 4 5 2" xfId="25729"/>
    <cellStyle name="Currency 2 2 8 4 6" xfId="6934"/>
    <cellStyle name="Currency 2 2 8 5" xfId="6935"/>
    <cellStyle name="Currency 2 2 8 5 2" xfId="6936"/>
    <cellStyle name="Currency 2 2 8 5 2 2" xfId="25730"/>
    <cellStyle name="Currency 2 2 8 5 3" xfId="25731"/>
    <cellStyle name="Currency 2 2 8 6" xfId="6937"/>
    <cellStyle name="Currency 2 2 8 6 2" xfId="6938"/>
    <cellStyle name="Currency 2 2 8 6 2 2" xfId="25732"/>
    <cellStyle name="Currency 2 2 8 6 3" xfId="25733"/>
    <cellStyle name="Currency 2 2 8 7" xfId="6939"/>
    <cellStyle name="Currency 2 2 8 7 2" xfId="6940"/>
    <cellStyle name="Currency 2 2 8 7 2 2" xfId="25734"/>
    <cellStyle name="Currency 2 2 8 7 3" xfId="25735"/>
    <cellStyle name="Currency 2 2 8 8" xfId="6941"/>
    <cellStyle name="Currency 2 2 8 8 2" xfId="25736"/>
    <cellStyle name="Currency 2 2 8 9" xfId="6942"/>
    <cellStyle name="Currency 2 2 9" xfId="295"/>
    <cellStyle name="Currency 2 2 9 2" xfId="1083"/>
    <cellStyle name="Currency 2 2 9 2 2" xfId="1520"/>
    <cellStyle name="Currency 2 2 9 2 2 2" xfId="6943"/>
    <cellStyle name="Currency 2 2 9 2 2 2 2" xfId="6944"/>
    <cellStyle name="Currency 2 2 9 2 2 2 2 2" xfId="25737"/>
    <cellStyle name="Currency 2 2 9 2 2 2 3" xfId="25738"/>
    <cellStyle name="Currency 2 2 9 2 2 3" xfId="6945"/>
    <cellStyle name="Currency 2 2 9 2 2 3 2" xfId="6946"/>
    <cellStyle name="Currency 2 2 9 2 2 3 2 2" xfId="25739"/>
    <cellStyle name="Currency 2 2 9 2 2 3 3" xfId="25740"/>
    <cellStyle name="Currency 2 2 9 2 2 4" xfId="6947"/>
    <cellStyle name="Currency 2 2 9 2 2 4 2" xfId="6948"/>
    <cellStyle name="Currency 2 2 9 2 2 4 2 2" xfId="25741"/>
    <cellStyle name="Currency 2 2 9 2 2 4 3" xfId="25742"/>
    <cellStyle name="Currency 2 2 9 2 2 5" xfId="6949"/>
    <cellStyle name="Currency 2 2 9 2 2 5 2" xfId="25743"/>
    <cellStyle name="Currency 2 2 9 2 2 6" xfId="6950"/>
    <cellStyle name="Currency 2 2 9 2 3" xfId="6951"/>
    <cellStyle name="Currency 2 2 9 2 3 2" xfId="6952"/>
    <cellStyle name="Currency 2 2 9 2 3 2 2" xfId="25744"/>
    <cellStyle name="Currency 2 2 9 2 3 3" xfId="25745"/>
    <cellStyle name="Currency 2 2 9 2 4" xfId="6953"/>
    <cellStyle name="Currency 2 2 9 2 4 2" xfId="6954"/>
    <cellStyle name="Currency 2 2 9 2 4 2 2" xfId="25746"/>
    <cellStyle name="Currency 2 2 9 2 4 3" xfId="25747"/>
    <cellStyle name="Currency 2 2 9 2 5" xfId="6955"/>
    <cellStyle name="Currency 2 2 9 2 5 2" xfId="6956"/>
    <cellStyle name="Currency 2 2 9 2 5 2 2" xfId="25748"/>
    <cellStyle name="Currency 2 2 9 2 5 3" xfId="25749"/>
    <cellStyle name="Currency 2 2 9 2 6" xfId="6957"/>
    <cellStyle name="Currency 2 2 9 2 6 2" xfId="25750"/>
    <cellStyle name="Currency 2 2 9 2 7" xfId="6958"/>
    <cellStyle name="Currency 2 2 9 3" xfId="715"/>
    <cellStyle name="Currency 2 2 9 3 2" xfId="1521"/>
    <cellStyle name="Currency 2 2 9 3 2 2" xfId="6959"/>
    <cellStyle name="Currency 2 2 9 3 2 2 2" xfId="6960"/>
    <cellStyle name="Currency 2 2 9 3 2 2 2 2" xfId="25751"/>
    <cellStyle name="Currency 2 2 9 3 2 2 3" xfId="25752"/>
    <cellStyle name="Currency 2 2 9 3 2 3" xfId="6961"/>
    <cellStyle name="Currency 2 2 9 3 2 3 2" xfId="6962"/>
    <cellStyle name="Currency 2 2 9 3 2 3 2 2" xfId="25753"/>
    <cellStyle name="Currency 2 2 9 3 2 3 3" xfId="25754"/>
    <cellStyle name="Currency 2 2 9 3 2 4" xfId="6963"/>
    <cellStyle name="Currency 2 2 9 3 2 4 2" xfId="6964"/>
    <cellStyle name="Currency 2 2 9 3 2 4 2 2" xfId="25755"/>
    <cellStyle name="Currency 2 2 9 3 2 4 3" xfId="25756"/>
    <cellStyle name="Currency 2 2 9 3 2 5" xfId="6965"/>
    <cellStyle name="Currency 2 2 9 3 2 5 2" xfId="25757"/>
    <cellStyle name="Currency 2 2 9 3 2 6" xfId="6966"/>
    <cellStyle name="Currency 2 2 9 3 3" xfId="6967"/>
    <cellStyle name="Currency 2 2 9 3 3 2" xfId="6968"/>
    <cellStyle name="Currency 2 2 9 3 3 2 2" xfId="25758"/>
    <cellStyle name="Currency 2 2 9 3 3 3" xfId="25759"/>
    <cellStyle name="Currency 2 2 9 3 4" xfId="6969"/>
    <cellStyle name="Currency 2 2 9 3 4 2" xfId="6970"/>
    <cellStyle name="Currency 2 2 9 3 4 2 2" xfId="25760"/>
    <cellStyle name="Currency 2 2 9 3 4 3" xfId="25761"/>
    <cellStyle name="Currency 2 2 9 3 5" xfId="6971"/>
    <cellStyle name="Currency 2 2 9 3 5 2" xfId="6972"/>
    <cellStyle name="Currency 2 2 9 3 5 2 2" xfId="25762"/>
    <cellStyle name="Currency 2 2 9 3 5 3" xfId="25763"/>
    <cellStyle name="Currency 2 2 9 3 6" xfId="6973"/>
    <cellStyle name="Currency 2 2 9 3 6 2" xfId="25764"/>
    <cellStyle name="Currency 2 2 9 3 7" xfId="6974"/>
    <cellStyle name="Currency 2 2 9 4" xfId="1522"/>
    <cellStyle name="Currency 2 2 9 4 2" xfId="6975"/>
    <cellStyle name="Currency 2 2 9 4 2 2" xfId="6976"/>
    <cellStyle name="Currency 2 2 9 4 2 2 2" xfId="25765"/>
    <cellStyle name="Currency 2 2 9 4 2 3" xfId="25766"/>
    <cellStyle name="Currency 2 2 9 4 3" xfId="6977"/>
    <cellStyle name="Currency 2 2 9 4 3 2" xfId="6978"/>
    <cellStyle name="Currency 2 2 9 4 3 2 2" xfId="25767"/>
    <cellStyle name="Currency 2 2 9 4 3 3" xfId="25768"/>
    <cellStyle name="Currency 2 2 9 4 4" xfId="6979"/>
    <cellStyle name="Currency 2 2 9 4 4 2" xfId="6980"/>
    <cellStyle name="Currency 2 2 9 4 4 2 2" xfId="25769"/>
    <cellStyle name="Currency 2 2 9 4 4 3" xfId="25770"/>
    <cellStyle name="Currency 2 2 9 4 5" xfId="6981"/>
    <cellStyle name="Currency 2 2 9 4 5 2" xfId="25771"/>
    <cellStyle name="Currency 2 2 9 4 6" xfId="6982"/>
    <cellStyle name="Currency 2 2 9 5" xfId="6983"/>
    <cellStyle name="Currency 2 2 9 5 2" xfId="6984"/>
    <cellStyle name="Currency 2 2 9 5 2 2" xfId="25772"/>
    <cellStyle name="Currency 2 2 9 5 3" xfId="25773"/>
    <cellStyle name="Currency 2 2 9 6" xfId="6985"/>
    <cellStyle name="Currency 2 2 9 6 2" xfId="6986"/>
    <cellStyle name="Currency 2 2 9 6 2 2" xfId="25774"/>
    <cellStyle name="Currency 2 2 9 6 3" xfId="25775"/>
    <cellStyle name="Currency 2 2 9 7" xfId="6987"/>
    <cellStyle name="Currency 2 2 9 7 2" xfId="6988"/>
    <cellStyle name="Currency 2 2 9 7 2 2" xfId="25776"/>
    <cellStyle name="Currency 2 2 9 7 3" xfId="25777"/>
    <cellStyle name="Currency 2 2 9 8" xfId="6989"/>
    <cellStyle name="Currency 2 2 9 8 2" xfId="25778"/>
    <cellStyle name="Currency 2 2 9 9" xfId="6990"/>
    <cellStyle name="Currency 2 3" xfId="12"/>
    <cellStyle name="Currency 2 3 10" xfId="875"/>
    <cellStyle name="Currency 2 3 10 2" xfId="1523"/>
    <cellStyle name="Currency 2 3 10 2 2" xfId="6991"/>
    <cellStyle name="Currency 2 3 10 2 2 2" xfId="6992"/>
    <cellStyle name="Currency 2 3 10 2 2 2 2" xfId="25779"/>
    <cellStyle name="Currency 2 3 10 2 2 3" xfId="25780"/>
    <cellStyle name="Currency 2 3 10 2 3" xfId="6993"/>
    <cellStyle name="Currency 2 3 10 2 3 2" xfId="6994"/>
    <cellStyle name="Currency 2 3 10 2 3 2 2" xfId="25781"/>
    <cellStyle name="Currency 2 3 10 2 3 3" xfId="25782"/>
    <cellStyle name="Currency 2 3 10 2 4" xfId="6995"/>
    <cellStyle name="Currency 2 3 10 2 4 2" xfId="6996"/>
    <cellStyle name="Currency 2 3 10 2 4 2 2" xfId="25783"/>
    <cellStyle name="Currency 2 3 10 2 4 3" xfId="25784"/>
    <cellStyle name="Currency 2 3 10 2 5" xfId="6997"/>
    <cellStyle name="Currency 2 3 10 2 5 2" xfId="25785"/>
    <cellStyle name="Currency 2 3 10 2 6" xfId="6998"/>
    <cellStyle name="Currency 2 3 10 3" xfId="6999"/>
    <cellStyle name="Currency 2 3 10 3 2" xfId="7000"/>
    <cellStyle name="Currency 2 3 10 3 2 2" xfId="25786"/>
    <cellStyle name="Currency 2 3 10 3 3" xfId="25787"/>
    <cellStyle name="Currency 2 3 10 4" xfId="7001"/>
    <cellStyle name="Currency 2 3 10 4 2" xfId="7002"/>
    <cellStyle name="Currency 2 3 10 4 2 2" xfId="25788"/>
    <cellStyle name="Currency 2 3 10 4 3" xfId="25789"/>
    <cellStyle name="Currency 2 3 10 5" xfId="7003"/>
    <cellStyle name="Currency 2 3 10 5 2" xfId="7004"/>
    <cellStyle name="Currency 2 3 10 5 2 2" xfId="25790"/>
    <cellStyle name="Currency 2 3 10 5 3" xfId="25791"/>
    <cellStyle name="Currency 2 3 10 6" xfId="7005"/>
    <cellStyle name="Currency 2 3 10 6 2" xfId="25792"/>
    <cellStyle name="Currency 2 3 10 7" xfId="7006"/>
    <cellStyle name="Currency 2 3 11" xfId="454"/>
    <cellStyle name="Currency 2 3 11 2" xfId="1524"/>
    <cellStyle name="Currency 2 3 11 2 2" xfId="7007"/>
    <cellStyle name="Currency 2 3 11 2 2 2" xfId="7008"/>
    <cellStyle name="Currency 2 3 11 2 2 2 2" xfId="25793"/>
    <cellStyle name="Currency 2 3 11 2 2 3" xfId="25794"/>
    <cellStyle name="Currency 2 3 11 2 3" xfId="7009"/>
    <cellStyle name="Currency 2 3 11 2 3 2" xfId="7010"/>
    <cellStyle name="Currency 2 3 11 2 3 2 2" xfId="25795"/>
    <cellStyle name="Currency 2 3 11 2 3 3" xfId="25796"/>
    <cellStyle name="Currency 2 3 11 2 4" xfId="7011"/>
    <cellStyle name="Currency 2 3 11 2 4 2" xfId="7012"/>
    <cellStyle name="Currency 2 3 11 2 4 2 2" xfId="25797"/>
    <cellStyle name="Currency 2 3 11 2 4 3" xfId="25798"/>
    <cellStyle name="Currency 2 3 11 2 5" xfId="7013"/>
    <cellStyle name="Currency 2 3 11 2 5 2" xfId="25799"/>
    <cellStyle name="Currency 2 3 11 2 6" xfId="7014"/>
    <cellStyle name="Currency 2 3 11 3" xfId="7015"/>
    <cellStyle name="Currency 2 3 11 3 2" xfId="7016"/>
    <cellStyle name="Currency 2 3 11 3 2 2" xfId="25800"/>
    <cellStyle name="Currency 2 3 11 3 3" xfId="25801"/>
    <cellStyle name="Currency 2 3 11 4" xfId="7017"/>
    <cellStyle name="Currency 2 3 11 4 2" xfId="7018"/>
    <cellStyle name="Currency 2 3 11 4 2 2" xfId="25802"/>
    <cellStyle name="Currency 2 3 11 4 3" xfId="25803"/>
    <cellStyle name="Currency 2 3 11 5" xfId="7019"/>
    <cellStyle name="Currency 2 3 11 5 2" xfId="7020"/>
    <cellStyle name="Currency 2 3 11 5 2 2" xfId="25804"/>
    <cellStyle name="Currency 2 3 11 5 3" xfId="25805"/>
    <cellStyle name="Currency 2 3 11 6" xfId="7021"/>
    <cellStyle name="Currency 2 3 11 6 2" xfId="25806"/>
    <cellStyle name="Currency 2 3 11 7" xfId="7022"/>
    <cellStyle name="Currency 2 3 12" xfId="1525"/>
    <cellStyle name="Currency 2 3 12 2" xfId="7023"/>
    <cellStyle name="Currency 2 3 12 2 2" xfId="7024"/>
    <cellStyle name="Currency 2 3 12 2 2 2" xfId="25807"/>
    <cellStyle name="Currency 2 3 12 2 3" xfId="25808"/>
    <cellStyle name="Currency 2 3 12 3" xfId="7025"/>
    <cellStyle name="Currency 2 3 12 3 2" xfId="7026"/>
    <cellStyle name="Currency 2 3 12 3 2 2" xfId="25809"/>
    <cellStyle name="Currency 2 3 12 3 3" xfId="25810"/>
    <cellStyle name="Currency 2 3 12 4" xfId="7027"/>
    <cellStyle name="Currency 2 3 12 4 2" xfId="7028"/>
    <cellStyle name="Currency 2 3 12 4 2 2" xfId="25811"/>
    <cellStyle name="Currency 2 3 12 4 3" xfId="25812"/>
    <cellStyle name="Currency 2 3 12 5" xfId="7029"/>
    <cellStyle name="Currency 2 3 12 5 2" xfId="25813"/>
    <cellStyle name="Currency 2 3 12 6" xfId="7030"/>
    <cellStyle name="Currency 2 3 13" xfId="7031"/>
    <cellStyle name="Currency 2 3 13 2" xfId="7032"/>
    <cellStyle name="Currency 2 3 13 2 2" xfId="25814"/>
    <cellStyle name="Currency 2 3 13 3" xfId="25815"/>
    <cellStyle name="Currency 2 3 14" xfId="7033"/>
    <cellStyle name="Currency 2 3 14 2" xfId="7034"/>
    <cellStyle name="Currency 2 3 14 2 2" xfId="25816"/>
    <cellStyle name="Currency 2 3 14 3" xfId="25817"/>
    <cellStyle name="Currency 2 3 15" xfId="7035"/>
    <cellStyle name="Currency 2 3 15 2" xfId="7036"/>
    <cellStyle name="Currency 2 3 15 2 2" xfId="25818"/>
    <cellStyle name="Currency 2 3 15 3" xfId="25819"/>
    <cellStyle name="Currency 2 3 16" xfId="7037"/>
    <cellStyle name="Currency 2 3 16 2" xfId="25820"/>
    <cellStyle name="Currency 2 3 17" xfId="7038"/>
    <cellStyle name="Currency 2 3 2" xfId="37"/>
    <cellStyle name="Currency 2 3 2 10" xfId="471"/>
    <cellStyle name="Currency 2 3 2 10 2" xfId="1526"/>
    <cellStyle name="Currency 2 3 2 10 2 2" xfId="7039"/>
    <cellStyle name="Currency 2 3 2 10 2 2 2" xfId="7040"/>
    <cellStyle name="Currency 2 3 2 10 2 2 2 2" xfId="25821"/>
    <cellStyle name="Currency 2 3 2 10 2 2 3" xfId="25822"/>
    <cellStyle name="Currency 2 3 2 10 2 3" xfId="7041"/>
    <cellStyle name="Currency 2 3 2 10 2 3 2" xfId="7042"/>
    <cellStyle name="Currency 2 3 2 10 2 3 2 2" xfId="25823"/>
    <cellStyle name="Currency 2 3 2 10 2 3 3" xfId="25824"/>
    <cellStyle name="Currency 2 3 2 10 2 4" xfId="7043"/>
    <cellStyle name="Currency 2 3 2 10 2 4 2" xfId="7044"/>
    <cellStyle name="Currency 2 3 2 10 2 4 2 2" xfId="25825"/>
    <cellStyle name="Currency 2 3 2 10 2 4 3" xfId="25826"/>
    <cellStyle name="Currency 2 3 2 10 2 5" xfId="7045"/>
    <cellStyle name="Currency 2 3 2 10 2 5 2" xfId="25827"/>
    <cellStyle name="Currency 2 3 2 10 2 6" xfId="7046"/>
    <cellStyle name="Currency 2 3 2 10 3" xfId="7047"/>
    <cellStyle name="Currency 2 3 2 10 3 2" xfId="7048"/>
    <cellStyle name="Currency 2 3 2 10 3 2 2" xfId="25828"/>
    <cellStyle name="Currency 2 3 2 10 3 3" xfId="25829"/>
    <cellStyle name="Currency 2 3 2 10 4" xfId="7049"/>
    <cellStyle name="Currency 2 3 2 10 4 2" xfId="7050"/>
    <cellStyle name="Currency 2 3 2 10 4 2 2" xfId="25830"/>
    <cellStyle name="Currency 2 3 2 10 4 3" xfId="25831"/>
    <cellStyle name="Currency 2 3 2 10 5" xfId="7051"/>
    <cellStyle name="Currency 2 3 2 10 5 2" xfId="7052"/>
    <cellStyle name="Currency 2 3 2 10 5 2 2" xfId="25832"/>
    <cellStyle name="Currency 2 3 2 10 5 3" xfId="25833"/>
    <cellStyle name="Currency 2 3 2 10 6" xfId="7053"/>
    <cellStyle name="Currency 2 3 2 10 6 2" xfId="25834"/>
    <cellStyle name="Currency 2 3 2 10 7" xfId="7054"/>
    <cellStyle name="Currency 2 3 2 11" xfId="1527"/>
    <cellStyle name="Currency 2 3 2 11 2" xfId="7055"/>
    <cellStyle name="Currency 2 3 2 11 2 2" xfId="7056"/>
    <cellStyle name="Currency 2 3 2 11 2 2 2" xfId="25835"/>
    <cellStyle name="Currency 2 3 2 11 2 3" xfId="25836"/>
    <cellStyle name="Currency 2 3 2 11 3" xfId="7057"/>
    <cellStyle name="Currency 2 3 2 11 3 2" xfId="7058"/>
    <cellStyle name="Currency 2 3 2 11 3 2 2" xfId="25837"/>
    <cellStyle name="Currency 2 3 2 11 3 3" xfId="25838"/>
    <cellStyle name="Currency 2 3 2 11 4" xfId="7059"/>
    <cellStyle name="Currency 2 3 2 11 4 2" xfId="7060"/>
    <cellStyle name="Currency 2 3 2 11 4 2 2" xfId="25839"/>
    <cellStyle name="Currency 2 3 2 11 4 3" xfId="25840"/>
    <cellStyle name="Currency 2 3 2 11 5" xfId="7061"/>
    <cellStyle name="Currency 2 3 2 11 5 2" xfId="25841"/>
    <cellStyle name="Currency 2 3 2 11 6" xfId="7062"/>
    <cellStyle name="Currency 2 3 2 12" xfId="7063"/>
    <cellStyle name="Currency 2 3 2 12 2" xfId="7064"/>
    <cellStyle name="Currency 2 3 2 12 2 2" xfId="25842"/>
    <cellStyle name="Currency 2 3 2 12 3" xfId="25843"/>
    <cellStyle name="Currency 2 3 2 13" xfId="7065"/>
    <cellStyle name="Currency 2 3 2 13 2" xfId="7066"/>
    <cellStyle name="Currency 2 3 2 13 2 2" xfId="25844"/>
    <cellStyle name="Currency 2 3 2 13 3" xfId="25845"/>
    <cellStyle name="Currency 2 3 2 14" xfId="7067"/>
    <cellStyle name="Currency 2 3 2 14 2" xfId="7068"/>
    <cellStyle name="Currency 2 3 2 14 2 2" xfId="25846"/>
    <cellStyle name="Currency 2 3 2 14 3" xfId="25847"/>
    <cellStyle name="Currency 2 3 2 15" xfId="7069"/>
    <cellStyle name="Currency 2 3 2 15 2" xfId="25848"/>
    <cellStyle name="Currency 2 3 2 16" xfId="7070"/>
    <cellStyle name="Currency 2 3 2 2" xfId="38"/>
    <cellStyle name="Currency 2 3 2 2 10" xfId="7071"/>
    <cellStyle name="Currency 2 3 2 2 10 2" xfId="7072"/>
    <cellStyle name="Currency 2 3 2 2 10 2 2" xfId="25849"/>
    <cellStyle name="Currency 2 3 2 2 10 3" xfId="25850"/>
    <cellStyle name="Currency 2 3 2 2 11" xfId="7073"/>
    <cellStyle name="Currency 2 3 2 2 11 2" xfId="7074"/>
    <cellStyle name="Currency 2 3 2 2 11 2 2" xfId="25851"/>
    <cellStyle name="Currency 2 3 2 2 11 3" xfId="25852"/>
    <cellStyle name="Currency 2 3 2 2 12" xfId="7075"/>
    <cellStyle name="Currency 2 3 2 2 12 2" xfId="7076"/>
    <cellStyle name="Currency 2 3 2 2 12 2 2" xfId="25853"/>
    <cellStyle name="Currency 2 3 2 2 12 3" xfId="25854"/>
    <cellStyle name="Currency 2 3 2 2 13" xfId="7077"/>
    <cellStyle name="Currency 2 3 2 2 13 2" xfId="25855"/>
    <cellStyle name="Currency 2 3 2 2 14" xfId="7078"/>
    <cellStyle name="Currency 2 3 2 2 2" xfId="205"/>
    <cellStyle name="Currency 2 3 2 2 2 10" xfId="7079"/>
    <cellStyle name="Currency 2 3 2 2 2 2" xfId="363"/>
    <cellStyle name="Currency 2 3 2 2 2 2 2" xfId="1151"/>
    <cellStyle name="Currency 2 3 2 2 2 2 2 2" xfId="1528"/>
    <cellStyle name="Currency 2 3 2 2 2 2 2 2 2" xfId="7080"/>
    <cellStyle name="Currency 2 3 2 2 2 2 2 2 2 2" xfId="7081"/>
    <cellStyle name="Currency 2 3 2 2 2 2 2 2 2 2 2" xfId="25856"/>
    <cellStyle name="Currency 2 3 2 2 2 2 2 2 2 3" xfId="25857"/>
    <cellStyle name="Currency 2 3 2 2 2 2 2 2 3" xfId="7082"/>
    <cellStyle name="Currency 2 3 2 2 2 2 2 2 3 2" xfId="7083"/>
    <cellStyle name="Currency 2 3 2 2 2 2 2 2 3 2 2" xfId="25858"/>
    <cellStyle name="Currency 2 3 2 2 2 2 2 2 3 3" xfId="25859"/>
    <cellStyle name="Currency 2 3 2 2 2 2 2 2 4" xfId="7084"/>
    <cellStyle name="Currency 2 3 2 2 2 2 2 2 4 2" xfId="7085"/>
    <cellStyle name="Currency 2 3 2 2 2 2 2 2 4 2 2" xfId="25860"/>
    <cellStyle name="Currency 2 3 2 2 2 2 2 2 4 3" xfId="25861"/>
    <cellStyle name="Currency 2 3 2 2 2 2 2 2 5" xfId="7086"/>
    <cellStyle name="Currency 2 3 2 2 2 2 2 2 5 2" xfId="25862"/>
    <cellStyle name="Currency 2 3 2 2 2 2 2 2 6" xfId="7087"/>
    <cellStyle name="Currency 2 3 2 2 2 2 2 3" xfId="7088"/>
    <cellStyle name="Currency 2 3 2 2 2 2 2 3 2" xfId="7089"/>
    <cellStyle name="Currency 2 3 2 2 2 2 2 3 2 2" xfId="25863"/>
    <cellStyle name="Currency 2 3 2 2 2 2 2 3 3" xfId="25864"/>
    <cellStyle name="Currency 2 3 2 2 2 2 2 4" xfId="7090"/>
    <cellStyle name="Currency 2 3 2 2 2 2 2 4 2" xfId="7091"/>
    <cellStyle name="Currency 2 3 2 2 2 2 2 4 2 2" xfId="25865"/>
    <cellStyle name="Currency 2 3 2 2 2 2 2 4 3" xfId="25866"/>
    <cellStyle name="Currency 2 3 2 2 2 2 2 5" xfId="7092"/>
    <cellStyle name="Currency 2 3 2 2 2 2 2 5 2" xfId="7093"/>
    <cellStyle name="Currency 2 3 2 2 2 2 2 5 2 2" xfId="25867"/>
    <cellStyle name="Currency 2 3 2 2 2 2 2 5 3" xfId="25868"/>
    <cellStyle name="Currency 2 3 2 2 2 2 2 6" xfId="7094"/>
    <cellStyle name="Currency 2 3 2 2 2 2 2 6 2" xfId="25869"/>
    <cellStyle name="Currency 2 3 2 2 2 2 2 7" xfId="7095"/>
    <cellStyle name="Currency 2 3 2 2 2 2 3" xfId="783"/>
    <cellStyle name="Currency 2 3 2 2 2 2 3 2" xfId="1529"/>
    <cellStyle name="Currency 2 3 2 2 2 2 3 2 2" xfId="7096"/>
    <cellStyle name="Currency 2 3 2 2 2 2 3 2 2 2" xfId="7097"/>
    <cellStyle name="Currency 2 3 2 2 2 2 3 2 2 2 2" xfId="25870"/>
    <cellStyle name="Currency 2 3 2 2 2 2 3 2 2 3" xfId="25871"/>
    <cellStyle name="Currency 2 3 2 2 2 2 3 2 3" xfId="7098"/>
    <cellStyle name="Currency 2 3 2 2 2 2 3 2 3 2" xfId="7099"/>
    <cellStyle name="Currency 2 3 2 2 2 2 3 2 3 2 2" xfId="25872"/>
    <cellStyle name="Currency 2 3 2 2 2 2 3 2 3 3" xfId="25873"/>
    <cellStyle name="Currency 2 3 2 2 2 2 3 2 4" xfId="7100"/>
    <cellStyle name="Currency 2 3 2 2 2 2 3 2 4 2" xfId="7101"/>
    <cellStyle name="Currency 2 3 2 2 2 2 3 2 4 2 2" xfId="25874"/>
    <cellStyle name="Currency 2 3 2 2 2 2 3 2 4 3" xfId="25875"/>
    <cellStyle name="Currency 2 3 2 2 2 2 3 2 5" xfId="7102"/>
    <cellStyle name="Currency 2 3 2 2 2 2 3 2 5 2" xfId="25876"/>
    <cellStyle name="Currency 2 3 2 2 2 2 3 2 6" xfId="7103"/>
    <cellStyle name="Currency 2 3 2 2 2 2 3 3" xfId="7104"/>
    <cellStyle name="Currency 2 3 2 2 2 2 3 3 2" xfId="7105"/>
    <cellStyle name="Currency 2 3 2 2 2 2 3 3 2 2" xfId="25877"/>
    <cellStyle name="Currency 2 3 2 2 2 2 3 3 3" xfId="25878"/>
    <cellStyle name="Currency 2 3 2 2 2 2 3 4" xfId="7106"/>
    <cellStyle name="Currency 2 3 2 2 2 2 3 4 2" xfId="7107"/>
    <cellStyle name="Currency 2 3 2 2 2 2 3 4 2 2" xfId="25879"/>
    <cellStyle name="Currency 2 3 2 2 2 2 3 4 3" xfId="25880"/>
    <cellStyle name="Currency 2 3 2 2 2 2 3 5" xfId="7108"/>
    <cellStyle name="Currency 2 3 2 2 2 2 3 5 2" xfId="7109"/>
    <cellStyle name="Currency 2 3 2 2 2 2 3 5 2 2" xfId="25881"/>
    <cellStyle name="Currency 2 3 2 2 2 2 3 5 3" xfId="25882"/>
    <cellStyle name="Currency 2 3 2 2 2 2 3 6" xfId="7110"/>
    <cellStyle name="Currency 2 3 2 2 2 2 3 6 2" xfId="25883"/>
    <cellStyle name="Currency 2 3 2 2 2 2 3 7" xfId="7111"/>
    <cellStyle name="Currency 2 3 2 2 2 2 4" xfId="1530"/>
    <cellStyle name="Currency 2 3 2 2 2 2 4 2" xfId="7112"/>
    <cellStyle name="Currency 2 3 2 2 2 2 4 2 2" xfId="7113"/>
    <cellStyle name="Currency 2 3 2 2 2 2 4 2 2 2" xfId="25884"/>
    <cellStyle name="Currency 2 3 2 2 2 2 4 2 3" xfId="25885"/>
    <cellStyle name="Currency 2 3 2 2 2 2 4 3" xfId="7114"/>
    <cellStyle name="Currency 2 3 2 2 2 2 4 3 2" xfId="7115"/>
    <cellStyle name="Currency 2 3 2 2 2 2 4 3 2 2" xfId="25886"/>
    <cellStyle name="Currency 2 3 2 2 2 2 4 3 3" xfId="25887"/>
    <cellStyle name="Currency 2 3 2 2 2 2 4 4" xfId="7116"/>
    <cellStyle name="Currency 2 3 2 2 2 2 4 4 2" xfId="7117"/>
    <cellStyle name="Currency 2 3 2 2 2 2 4 4 2 2" xfId="25888"/>
    <cellStyle name="Currency 2 3 2 2 2 2 4 4 3" xfId="25889"/>
    <cellStyle name="Currency 2 3 2 2 2 2 4 5" xfId="7118"/>
    <cellStyle name="Currency 2 3 2 2 2 2 4 5 2" xfId="25890"/>
    <cellStyle name="Currency 2 3 2 2 2 2 4 6" xfId="7119"/>
    <cellStyle name="Currency 2 3 2 2 2 2 5" xfId="7120"/>
    <cellStyle name="Currency 2 3 2 2 2 2 5 2" xfId="7121"/>
    <cellStyle name="Currency 2 3 2 2 2 2 5 2 2" xfId="25891"/>
    <cellStyle name="Currency 2 3 2 2 2 2 5 3" xfId="25892"/>
    <cellStyle name="Currency 2 3 2 2 2 2 6" xfId="7122"/>
    <cellStyle name="Currency 2 3 2 2 2 2 6 2" xfId="7123"/>
    <cellStyle name="Currency 2 3 2 2 2 2 6 2 2" xfId="25893"/>
    <cellStyle name="Currency 2 3 2 2 2 2 6 3" xfId="25894"/>
    <cellStyle name="Currency 2 3 2 2 2 2 7" xfId="7124"/>
    <cellStyle name="Currency 2 3 2 2 2 2 7 2" xfId="7125"/>
    <cellStyle name="Currency 2 3 2 2 2 2 7 2 2" xfId="25895"/>
    <cellStyle name="Currency 2 3 2 2 2 2 7 3" xfId="25896"/>
    <cellStyle name="Currency 2 3 2 2 2 2 8" xfId="7126"/>
    <cellStyle name="Currency 2 3 2 2 2 2 8 2" xfId="25897"/>
    <cellStyle name="Currency 2 3 2 2 2 2 9" xfId="7127"/>
    <cellStyle name="Currency 2 3 2 2 2 3" xfId="993"/>
    <cellStyle name="Currency 2 3 2 2 2 3 2" xfId="1531"/>
    <cellStyle name="Currency 2 3 2 2 2 3 2 2" xfId="7128"/>
    <cellStyle name="Currency 2 3 2 2 2 3 2 2 2" xfId="7129"/>
    <cellStyle name="Currency 2 3 2 2 2 3 2 2 2 2" xfId="25898"/>
    <cellStyle name="Currency 2 3 2 2 2 3 2 2 3" xfId="25899"/>
    <cellStyle name="Currency 2 3 2 2 2 3 2 3" xfId="7130"/>
    <cellStyle name="Currency 2 3 2 2 2 3 2 3 2" xfId="7131"/>
    <cellStyle name="Currency 2 3 2 2 2 3 2 3 2 2" xfId="25900"/>
    <cellStyle name="Currency 2 3 2 2 2 3 2 3 3" xfId="25901"/>
    <cellStyle name="Currency 2 3 2 2 2 3 2 4" xfId="7132"/>
    <cellStyle name="Currency 2 3 2 2 2 3 2 4 2" xfId="7133"/>
    <cellStyle name="Currency 2 3 2 2 2 3 2 4 2 2" xfId="25902"/>
    <cellStyle name="Currency 2 3 2 2 2 3 2 4 3" xfId="25903"/>
    <cellStyle name="Currency 2 3 2 2 2 3 2 5" xfId="7134"/>
    <cellStyle name="Currency 2 3 2 2 2 3 2 5 2" xfId="25904"/>
    <cellStyle name="Currency 2 3 2 2 2 3 2 6" xfId="7135"/>
    <cellStyle name="Currency 2 3 2 2 2 3 3" xfId="7136"/>
    <cellStyle name="Currency 2 3 2 2 2 3 3 2" xfId="7137"/>
    <cellStyle name="Currency 2 3 2 2 2 3 3 2 2" xfId="25905"/>
    <cellStyle name="Currency 2 3 2 2 2 3 3 3" xfId="25906"/>
    <cellStyle name="Currency 2 3 2 2 2 3 4" xfId="7138"/>
    <cellStyle name="Currency 2 3 2 2 2 3 4 2" xfId="7139"/>
    <cellStyle name="Currency 2 3 2 2 2 3 4 2 2" xfId="25907"/>
    <cellStyle name="Currency 2 3 2 2 2 3 4 3" xfId="25908"/>
    <cellStyle name="Currency 2 3 2 2 2 3 5" xfId="7140"/>
    <cellStyle name="Currency 2 3 2 2 2 3 5 2" xfId="7141"/>
    <cellStyle name="Currency 2 3 2 2 2 3 5 2 2" xfId="25909"/>
    <cellStyle name="Currency 2 3 2 2 2 3 5 3" xfId="25910"/>
    <cellStyle name="Currency 2 3 2 2 2 3 6" xfId="7142"/>
    <cellStyle name="Currency 2 3 2 2 2 3 6 2" xfId="25911"/>
    <cellStyle name="Currency 2 3 2 2 2 3 7" xfId="7143"/>
    <cellStyle name="Currency 2 3 2 2 2 4" xfId="625"/>
    <cellStyle name="Currency 2 3 2 2 2 4 2" xfId="1532"/>
    <cellStyle name="Currency 2 3 2 2 2 4 2 2" xfId="7144"/>
    <cellStyle name="Currency 2 3 2 2 2 4 2 2 2" xfId="7145"/>
    <cellStyle name="Currency 2 3 2 2 2 4 2 2 2 2" xfId="25912"/>
    <cellStyle name="Currency 2 3 2 2 2 4 2 2 3" xfId="25913"/>
    <cellStyle name="Currency 2 3 2 2 2 4 2 3" xfId="7146"/>
    <cellStyle name="Currency 2 3 2 2 2 4 2 3 2" xfId="7147"/>
    <cellStyle name="Currency 2 3 2 2 2 4 2 3 2 2" xfId="25914"/>
    <cellStyle name="Currency 2 3 2 2 2 4 2 3 3" xfId="25915"/>
    <cellStyle name="Currency 2 3 2 2 2 4 2 4" xfId="7148"/>
    <cellStyle name="Currency 2 3 2 2 2 4 2 4 2" xfId="7149"/>
    <cellStyle name="Currency 2 3 2 2 2 4 2 4 2 2" xfId="25916"/>
    <cellStyle name="Currency 2 3 2 2 2 4 2 4 3" xfId="25917"/>
    <cellStyle name="Currency 2 3 2 2 2 4 2 5" xfId="7150"/>
    <cellStyle name="Currency 2 3 2 2 2 4 2 5 2" xfId="25918"/>
    <cellStyle name="Currency 2 3 2 2 2 4 2 6" xfId="7151"/>
    <cellStyle name="Currency 2 3 2 2 2 4 3" xfId="7152"/>
    <cellStyle name="Currency 2 3 2 2 2 4 3 2" xfId="7153"/>
    <cellStyle name="Currency 2 3 2 2 2 4 3 2 2" xfId="25919"/>
    <cellStyle name="Currency 2 3 2 2 2 4 3 3" xfId="25920"/>
    <cellStyle name="Currency 2 3 2 2 2 4 4" xfId="7154"/>
    <cellStyle name="Currency 2 3 2 2 2 4 4 2" xfId="7155"/>
    <cellStyle name="Currency 2 3 2 2 2 4 4 2 2" xfId="25921"/>
    <cellStyle name="Currency 2 3 2 2 2 4 4 3" xfId="25922"/>
    <cellStyle name="Currency 2 3 2 2 2 4 5" xfId="7156"/>
    <cellStyle name="Currency 2 3 2 2 2 4 5 2" xfId="7157"/>
    <cellStyle name="Currency 2 3 2 2 2 4 5 2 2" xfId="25923"/>
    <cellStyle name="Currency 2 3 2 2 2 4 5 3" xfId="25924"/>
    <cellStyle name="Currency 2 3 2 2 2 4 6" xfId="7158"/>
    <cellStyle name="Currency 2 3 2 2 2 4 6 2" xfId="25925"/>
    <cellStyle name="Currency 2 3 2 2 2 4 7" xfId="7159"/>
    <cellStyle name="Currency 2 3 2 2 2 5" xfId="1533"/>
    <cellStyle name="Currency 2 3 2 2 2 5 2" xfId="7160"/>
    <cellStyle name="Currency 2 3 2 2 2 5 2 2" xfId="7161"/>
    <cellStyle name="Currency 2 3 2 2 2 5 2 2 2" xfId="25926"/>
    <cellStyle name="Currency 2 3 2 2 2 5 2 3" xfId="25927"/>
    <cellStyle name="Currency 2 3 2 2 2 5 3" xfId="7162"/>
    <cellStyle name="Currency 2 3 2 2 2 5 3 2" xfId="7163"/>
    <cellStyle name="Currency 2 3 2 2 2 5 3 2 2" xfId="25928"/>
    <cellStyle name="Currency 2 3 2 2 2 5 3 3" xfId="25929"/>
    <cellStyle name="Currency 2 3 2 2 2 5 4" xfId="7164"/>
    <cellStyle name="Currency 2 3 2 2 2 5 4 2" xfId="7165"/>
    <cellStyle name="Currency 2 3 2 2 2 5 4 2 2" xfId="25930"/>
    <cellStyle name="Currency 2 3 2 2 2 5 4 3" xfId="25931"/>
    <cellStyle name="Currency 2 3 2 2 2 5 5" xfId="7166"/>
    <cellStyle name="Currency 2 3 2 2 2 5 5 2" xfId="25932"/>
    <cellStyle name="Currency 2 3 2 2 2 5 6" xfId="7167"/>
    <cellStyle name="Currency 2 3 2 2 2 6" xfId="7168"/>
    <cellStyle name="Currency 2 3 2 2 2 6 2" xfId="7169"/>
    <cellStyle name="Currency 2 3 2 2 2 6 2 2" xfId="25933"/>
    <cellStyle name="Currency 2 3 2 2 2 6 3" xfId="25934"/>
    <cellStyle name="Currency 2 3 2 2 2 7" xfId="7170"/>
    <cellStyle name="Currency 2 3 2 2 2 7 2" xfId="7171"/>
    <cellStyle name="Currency 2 3 2 2 2 7 2 2" xfId="25935"/>
    <cellStyle name="Currency 2 3 2 2 2 7 3" xfId="25936"/>
    <cellStyle name="Currency 2 3 2 2 2 8" xfId="7172"/>
    <cellStyle name="Currency 2 3 2 2 2 8 2" xfId="7173"/>
    <cellStyle name="Currency 2 3 2 2 2 8 2 2" xfId="25937"/>
    <cellStyle name="Currency 2 3 2 2 2 8 3" xfId="25938"/>
    <cellStyle name="Currency 2 3 2 2 2 9" xfId="7174"/>
    <cellStyle name="Currency 2 3 2 2 2 9 2" xfId="25939"/>
    <cellStyle name="Currency 2 3 2 2 3" xfId="256"/>
    <cellStyle name="Currency 2 3 2 2 3 10" xfId="7175"/>
    <cellStyle name="Currency 2 3 2 2 3 2" xfId="414"/>
    <cellStyle name="Currency 2 3 2 2 3 2 2" xfId="1202"/>
    <cellStyle name="Currency 2 3 2 2 3 2 2 2" xfId="1534"/>
    <cellStyle name="Currency 2 3 2 2 3 2 2 2 2" xfId="7176"/>
    <cellStyle name="Currency 2 3 2 2 3 2 2 2 2 2" xfId="7177"/>
    <cellStyle name="Currency 2 3 2 2 3 2 2 2 2 2 2" xfId="25940"/>
    <cellStyle name="Currency 2 3 2 2 3 2 2 2 2 3" xfId="25941"/>
    <cellStyle name="Currency 2 3 2 2 3 2 2 2 3" xfId="7178"/>
    <cellStyle name="Currency 2 3 2 2 3 2 2 2 3 2" xfId="7179"/>
    <cellStyle name="Currency 2 3 2 2 3 2 2 2 3 2 2" xfId="25942"/>
    <cellStyle name="Currency 2 3 2 2 3 2 2 2 3 3" xfId="25943"/>
    <cellStyle name="Currency 2 3 2 2 3 2 2 2 4" xfId="7180"/>
    <cellStyle name="Currency 2 3 2 2 3 2 2 2 4 2" xfId="7181"/>
    <cellStyle name="Currency 2 3 2 2 3 2 2 2 4 2 2" xfId="25944"/>
    <cellStyle name="Currency 2 3 2 2 3 2 2 2 4 3" xfId="25945"/>
    <cellStyle name="Currency 2 3 2 2 3 2 2 2 5" xfId="7182"/>
    <cellStyle name="Currency 2 3 2 2 3 2 2 2 5 2" xfId="25946"/>
    <cellStyle name="Currency 2 3 2 2 3 2 2 2 6" xfId="7183"/>
    <cellStyle name="Currency 2 3 2 2 3 2 2 3" xfId="7184"/>
    <cellStyle name="Currency 2 3 2 2 3 2 2 3 2" xfId="7185"/>
    <cellStyle name="Currency 2 3 2 2 3 2 2 3 2 2" xfId="25947"/>
    <cellStyle name="Currency 2 3 2 2 3 2 2 3 3" xfId="25948"/>
    <cellStyle name="Currency 2 3 2 2 3 2 2 4" xfId="7186"/>
    <cellStyle name="Currency 2 3 2 2 3 2 2 4 2" xfId="7187"/>
    <cellStyle name="Currency 2 3 2 2 3 2 2 4 2 2" xfId="25949"/>
    <cellStyle name="Currency 2 3 2 2 3 2 2 4 3" xfId="25950"/>
    <cellStyle name="Currency 2 3 2 2 3 2 2 5" xfId="7188"/>
    <cellStyle name="Currency 2 3 2 2 3 2 2 5 2" xfId="7189"/>
    <cellStyle name="Currency 2 3 2 2 3 2 2 5 2 2" xfId="25951"/>
    <cellStyle name="Currency 2 3 2 2 3 2 2 5 3" xfId="25952"/>
    <cellStyle name="Currency 2 3 2 2 3 2 2 6" xfId="7190"/>
    <cellStyle name="Currency 2 3 2 2 3 2 2 6 2" xfId="25953"/>
    <cellStyle name="Currency 2 3 2 2 3 2 2 7" xfId="7191"/>
    <cellStyle name="Currency 2 3 2 2 3 2 3" xfId="834"/>
    <cellStyle name="Currency 2 3 2 2 3 2 3 2" xfId="1535"/>
    <cellStyle name="Currency 2 3 2 2 3 2 3 2 2" xfId="7192"/>
    <cellStyle name="Currency 2 3 2 2 3 2 3 2 2 2" xfId="7193"/>
    <cellStyle name="Currency 2 3 2 2 3 2 3 2 2 2 2" xfId="25954"/>
    <cellStyle name="Currency 2 3 2 2 3 2 3 2 2 3" xfId="25955"/>
    <cellStyle name="Currency 2 3 2 2 3 2 3 2 3" xfId="7194"/>
    <cellStyle name="Currency 2 3 2 2 3 2 3 2 3 2" xfId="7195"/>
    <cellStyle name="Currency 2 3 2 2 3 2 3 2 3 2 2" xfId="25956"/>
    <cellStyle name="Currency 2 3 2 2 3 2 3 2 3 3" xfId="25957"/>
    <cellStyle name="Currency 2 3 2 2 3 2 3 2 4" xfId="7196"/>
    <cellStyle name="Currency 2 3 2 2 3 2 3 2 4 2" xfId="7197"/>
    <cellStyle name="Currency 2 3 2 2 3 2 3 2 4 2 2" xfId="25958"/>
    <cellStyle name="Currency 2 3 2 2 3 2 3 2 4 3" xfId="25959"/>
    <cellStyle name="Currency 2 3 2 2 3 2 3 2 5" xfId="7198"/>
    <cellStyle name="Currency 2 3 2 2 3 2 3 2 5 2" xfId="25960"/>
    <cellStyle name="Currency 2 3 2 2 3 2 3 2 6" xfId="7199"/>
    <cellStyle name="Currency 2 3 2 2 3 2 3 3" xfId="7200"/>
    <cellStyle name="Currency 2 3 2 2 3 2 3 3 2" xfId="7201"/>
    <cellStyle name="Currency 2 3 2 2 3 2 3 3 2 2" xfId="25961"/>
    <cellStyle name="Currency 2 3 2 2 3 2 3 3 3" xfId="25962"/>
    <cellStyle name="Currency 2 3 2 2 3 2 3 4" xfId="7202"/>
    <cellStyle name="Currency 2 3 2 2 3 2 3 4 2" xfId="7203"/>
    <cellStyle name="Currency 2 3 2 2 3 2 3 4 2 2" xfId="25963"/>
    <cellStyle name="Currency 2 3 2 2 3 2 3 4 3" xfId="25964"/>
    <cellStyle name="Currency 2 3 2 2 3 2 3 5" xfId="7204"/>
    <cellStyle name="Currency 2 3 2 2 3 2 3 5 2" xfId="7205"/>
    <cellStyle name="Currency 2 3 2 2 3 2 3 5 2 2" xfId="25965"/>
    <cellStyle name="Currency 2 3 2 2 3 2 3 5 3" xfId="25966"/>
    <cellStyle name="Currency 2 3 2 2 3 2 3 6" xfId="7206"/>
    <cellStyle name="Currency 2 3 2 2 3 2 3 6 2" xfId="25967"/>
    <cellStyle name="Currency 2 3 2 2 3 2 3 7" xfId="7207"/>
    <cellStyle name="Currency 2 3 2 2 3 2 4" xfId="1536"/>
    <cellStyle name="Currency 2 3 2 2 3 2 4 2" xfId="7208"/>
    <cellStyle name="Currency 2 3 2 2 3 2 4 2 2" xfId="7209"/>
    <cellStyle name="Currency 2 3 2 2 3 2 4 2 2 2" xfId="25968"/>
    <cellStyle name="Currency 2 3 2 2 3 2 4 2 3" xfId="25969"/>
    <cellStyle name="Currency 2 3 2 2 3 2 4 3" xfId="7210"/>
    <cellStyle name="Currency 2 3 2 2 3 2 4 3 2" xfId="7211"/>
    <cellStyle name="Currency 2 3 2 2 3 2 4 3 2 2" xfId="25970"/>
    <cellStyle name="Currency 2 3 2 2 3 2 4 3 3" xfId="25971"/>
    <cellStyle name="Currency 2 3 2 2 3 2 4 4" xfId="7212"/>
    <cellStyle name="Currency 2 3 2 2 3 2 4 4 2" xfId="7213"/>
    <cellStyle name="Currency 2 3 2 2 3 2 4 4 2 2" xfId="25972"/>
    <cellStyle name="Currency 2 3 2 2 3 2 4 4 3" xfId="25973"/>
    <cellStyle name="Currency 2 3 2 2 3 2 4 5" xfId="7214"/>
    <cellStyle name="Currency 2 3 2 2 3 2 4 5 2" xfId="25974"/>
    <cellStyle name="Currency 2 3 2 2 3 2 4 6" xfId="7215"/>
    <cellStyle name="Currency 2 3 2 2 3 2 5" xfId="7216"/>
    <cellStyle name="Currency 2 3 2 2 3 2 5 2" xfId="7217"/>
    <cellStyle name="Currency 2 3 2 2 3 2 5 2 2" xfId="25975"/>
    <cellStyle name="Currency 2 3 2 2 3 2 5 3" xfId="25976"/>
    <cellStyle name="Currency 2 3 2 2 3 2 6" xfId="7218"/>
    <cellStyle name="Currency 2 3 2 2 3 2 6 2" xfId="7219"/>
    <cellStyle name="Currency 2 3 2 2 3 2 6 2 2" xfId="25977"/>
    <cellStyle name="Currency 2 3 2 2 3 2 6 3" xfId="25978"/>
    <cellStyle name="Currency 2 3 2 2 3 2 7" xfId="7220"/>
    <cellStyle name="Currency 2 3 2 2 3 2 7 2" xfId="7221"/>
    <cellStyle name="Currency 2 3 2 2 3 2 7 2 2" xfId="25979"/>
    <cellStyle name="Currency 2 3 2 2 3 2 7 3" xfId="25980"/>
    <cellStyle name="Currency 2 3 2 2 3 2 8" xfId="7222"/>
    <cellStyle name="Currency 2 3 2 2 3 2 8 2" xfId="25981"/>
    <cellStyle name="Currency 2 3 2 2 3 2 9" xfId="7223"/>
    <cellStyle name="Currency 2 3 2 2 3 3" xfId="1044"/>
    <cellStyle name="Currency 2 3 2 2 3 3 2" xfId="1537"/>
    <cellStyle name="Currency 2 3 2 2 3 3 2 2" xfId="7224"/>
    <cellStyle name="Currency 2 3 2 2 3 3 2 2 2" xfId="7225"/>
    <cellStyle name="Currency 2 3 2 2 3 3 2 2 2 2" xfId="25982"/>
    <cellStyle name="Currency 2 3 2 2 3 3 2 2 3" xfId="25983"/>
    <cellStyle name="Currency 2 3 2 2 3 3 2 3" xfId="7226"/>
    <cellStyle name="Currency 2 3 2 2 3 3 2 3 2" xfId="7227"/>
    <cellStyle name="Currency 2 3 2 2 3 3 2 3 2 2" xfId="25984"/>
    <cellStyle name="Currency 2 3 2 2 3 3 2 3 3" xfId="25985"/>
    <cellStyle name="Currency 2 3 2 2 3 3 2 4" xfId="7228"/>
    <cellStyle name="Currency 2 3 2 2 3 3 2 4 2" xfId="7229"/>
    <cellStyle name="Currency 2 3 2 2 3 3 2 4 2 2" xfId="25986"/>
    <cellStyle name="Currency 2 3 2 2 3 3 2 4 3" xfId="25987"/>
    <cellStyle name="Currency 2 3 2 2 3 3 2 5" xfId="7230"/>
    <cellStyle name="Currency 2 3 2 2 3 3 2 5 2" xfId="25988"/>
    <cellStyle name="Currency 2 3 2 2 3 3 2 6" xfId="7231"/>
    <cellStyle name="Currency 2 3 2 2 3 3 3" xfId="7232"/>
    <cellStyle name="Currency 2 3 2 2 3 3 3 2" xfId="7233"/>
    <cellStyle name="Currency 2 3 2 2 3 3 3 2 2" xfId="25989"/>
    <cellStyle name="Currency 2 3 2 2 3 3 3 3" xfId="25990"/>
    <cellStyle name="Currency 2 3 2 2 3 3 4" xfId="7234"/>
    <cellStyle name="Currency 2 3 2 2 3 3 4 2" xfId="7235"/>
    <cellStyle name="Currency 2 3 2 2 3 3 4 2 2" xfId="25991"/>
    <cellStyle name="Currency 2 3 2 2 3 3 4 3" xfId="25992"/>
    <cellStyle name="Currency 2 3 2 2 3 3 5" xfId="7236"/>
    <cellStyle name="Currency 2 3 2 2 3 3 5 2" xfId="7237"/>
    <cellStyle name="Currency 2 3 2 2 3 3 5 2 2" xfId="25993"/>
    <cellStyle name="Currency 2 3 2 2 3 3 5 3" xfId="25994"/>
    <cellStyle name="Currency 2 3 2 2 3 3 6" xfId="7238"/>
    <cellStyle name="Currency 2 3 2 2 3 3 6 2" xfId="25995"/>
    <cellStyle name="Currency 2 3 2 2 3 3 7" xfId="7239"/>
    <cellStyle name="Currency 2 3 2 2 3 4" xfId="676"/>
    <cellStyle name="Currency 2 3 2 2 3 4 2" xfId="1538"/>
    <cellStyle name="Currency 2 3 2 2 3 4 2 2" xfId="7240"/>
    <cellStyle name="Currency 2 3 2 2 3 4 2 2 2" xfId="7241"/>
    <cellStyle name="Currency 2 3 2 2 3 4 2 2 2 2" xfId="25996"/>
    <cellStyle name="Currency 2 3 2 2 3 4 2 2 3" xfId="25997"/>
    <cellStyle name="Currency 2 3 2 2 3 4 2 3" xfId="7242"/>
    <cellStyle name="Currency 2 3 2 2 3 4 2 3 2" xfId="7243"/>
    <cellStyle name="Currency 2 3 2 2 3 4 2 3 2 2" xfId="25998"/>
    <cellStyle name="Currency 2 3 2 2 3 4 2 3 3" xfId="25999"/>
    <cellStyle name="Currency 2 3 2 2 3 4 2 4" xfId="7244"/>
    <cellStyle name="Currency 2 3 2 2 3 4 2 4 2" xfId="7245"/>
    <cellStyle name="Currency 2 3 2 2 3 4 2 4 2 2" xfId="26000"/>
    <cellStyle name="Currency 2 3 2 2 3 4 2 4 3" xfId="26001"/>
    <cellStyle name="Currency 2 3 2 2 3 4 2 5" xfId="7246"/>
    <cellStyle name="Currency 2 3 2 2 3 4 2 5 2" xfId="26002"/>
    <cellStyle name="Currency 2 3 2 2 3 4 2 6" xfId="7247"/>
    <cellStyle name="Currency 2 3 2 2 3 4 3" xfId="7248"/>
    <cellStyle name="Currency 2 3 2 2 3 4 3 2" xfId="7249"/>
    <cellStyle name="Currency 2 3 2 2 3 4 3 2 2" xfId="26003"/>
    <cellStyle name="Currency 2 3 2 2 3 4 3 3" xfId="26004"/>
    <cellStyle name="Currency 2 3 2 2 3 4 4" xfId="7250"/>
    <cellStyle name="Currency 2 3 2 2 3 4 4 2" xfId="7251"/>
    <cellStyle name="Currency 2 3 2 2 3 4 4 2 2" xfId="26005"/>
    <cellStyle name="Currency 2 3 2 2 3 4 4 3" xfId="26006"/>
    <cellStyle name="Currency 2 3 2 2 3 4 5" xfId="7252"/>
    <cellStyle name="Currency 2 3 2 2 3 4 5 2" xfId="7253"/>
    <cellStyle name="Currency 2 3 2 2 3 4 5 2 2" xfId="26007"/>
    <cellStyle name="Currency 2 3 2 2 3 4 5 3" xfId="26008"/>
    <cellStyle name="Currency 2 3 2 2 3 4 6" xfId="7254"/>
    <cellStyle name="Currency 2 3 2 2 3 4 6 2" xfId="26009"/>
    <cellStyle name="Currency 2 3 2 2 3 4 7" xfId="7255"/>
    <cellStyle name="Currency 2 3 2 2 3 5" xfId="1539"/>
    <cellStyle name="Currency 2 3 2 2 3 5 2" xfId="7256"/>
    <cellStyle name="Currency 2 3 2 2 3 5 2 2" xfId="7257"/>
    <cellStyle name="Currency 2 3 2 2 3 5 2 2 2" xfId="26010"/>
    <cellStyle name="Currency 2 3 2 2 3 5 2 3" xfId="26011"/>
    <cellStyle name="Currency 2 3 2 2 3 5 3" xfId="7258"/>
    <cellStyle name="Currency 2 3 2 2 3 5 3 2" xfId="7259"/>
    <cellStyle name="Currency 2 3 2 2 3 5 3 2 2" xfId="26012"/>
    <cellStyle name="Currency 2 3 2 2 3 5 3 3" xfId="26013"/>
    <cellStyle name="Currency 2 3 2 2 3 5 4" xfId="7260"/>
    <cellStyle name="Currency 2 3 2 2 3 5 4 2" xfId="7261"/>
    <cellStyle name="Currency 2 3 2 2 3 5 4 2 2" xfId="26014"/>
    <cellStyle name="Currency 2 3 2 2 3 5 4 3" xfId="26015"/>
    <cellStyle name="Currency 2 3 2 2 3 5 5" xfId="7262"/>
    <cellStyle name="Currency 2 3 2 2 3 5 5 2" xfId="26016"/>
    <cellStyle name="Currency 2 3 2 2 3 5 6" xfId="7263"/>
    <cellStyle name="Currency 2 3 2 2 3 6" xfId="7264"/>
    <cellStyle name="Currency 2 3 2 2 3 6 2" xfId="7265"/>
    <cellStyle name="Currency 2 3 2 2 3 6 2 2" xfId="26017"/>
    <cellStyle name="Currency 2 3 2 2 3 6 3" xfId="26018"/>
    <cellStyle name="Currency 2 3 2 2 3 7" xfId="7266"/>
    <cellStyle name="Currency 2 3 2 2 3 7 2" xfId="7267"/>
    <cellStyle name="Currency 2 3 2 2 3 7 2 2" xfId="26019"/>
    <cellStyle name="Currency 2 3 2 2 3 7 3" xfId="26020"/>
    <cellStyle name="Currency 2 3 2 2 3 8" xfId="7268"/>
    <cellStyle name="Currency 2 3 2 2 3 8 2" xfId="7269"/>
    <cellStyle name="Currency 2 3 2 2 3 8 2 2" xfId="26021"/>
    <cellStyle name="Currency 2 3 2 2 3 8 3" xfId="26022"/>
    <cellStyle name="Currency 2 3 2 2 3 9" xfId="7270"/>
    <cellStyle name="Currency 2 3 2 2 3 9 2" xfId="26023"/>
    <cellStyle name="Currency 2 3 2 2 4" xfId="181"/>
    <cellStyle name="Currency 2 3 2 2 4 2" xfId="969"/>
    <cellStyle name="Currency 2 3 2 2 4 2 2" xfId="1540"/>
    <cellStyle name="Currency 2 3 2 2 4 2 2 2" xfId="7271"/>
    <cellStyle name="Currency 2 3 2 2 4 2 2 2 2" xfId="7272"/>
    <cellStyle name="Currency 2 3 2 2 4 2 2 2 2 2" xfId="26024"/>
    <cellStyle name="Currency 2 3 2 2 4 2 2 2 3" xfId="26025"/>
    <cellStyle name="Currency 2 3 2 2 4 2 2 3" xfId="7273"/>
    <cellStyle name="Currency 2 3 2 2 4 2 2 3 2" xfId="7274"/>
    <cellStyle name="Currency 2 3 2 2 4 2 2 3 2 2" xfId="26026"/>
    <cellStyle name="Currency 2 3 2 2 4 2 2 3 3" xfId="26027"/>
    <cellStyle name="Currency 2 3 2 2 4 2 2 4" xfId="7275"/>
    <cellStyle name="Currency 2 3 2 2 4 2 2 4 2" xfId="7276"/>
    <cellStyle name="Currency 2 3 2 2 4 2 2 4 2 2" xfId="26028"/>
    <cellStyle name="Currency 2 3 2 2 4 2 2 4 3" xfId="26029"/>
    <cellStyle name="Currency 2 3 2 2 4 2 2 5" xfId="7277"/>
    <cellStyle name="Currency 2 3 2 2 4 2 2 5 2" xfId="26030"/>
    <cellStyle name="Currency 2 3 2 2 4 2 2 6" xfId="7278"/>
    <cellStyle name="Currency 2 3 2 2 4 2 3" xfId="7279"/>
    <cellStyle name="Currency 2 3 2 2 4 2 3 2" xfId="7280"/>
    <cellStyle name="Currency 2 3 2 2 4 2 3 2 2" xfId="26031"/>
    <cellStyle name="Currency 2 3 2 2 4 2 3 3" xfId="26032"/>
    <cellStyle name="Currency 2 3 2 2 4 2 4" xfId="7281"/>
    <cellStyle name="Currency 2 3 2 2 4 2 4 2" xfId="7282"/>
    <cellStyle name="Currency 2 3 2 2 4 2 4 2 2" xfId="26033"/>
    <cellStyle name="Currency 2 3 2 2 4 2 4 3" xfId="26034"/>
    <cellStyle name="Currency 2 3 2 2 4 2 5" xfId="7283"/>
    <cellStyle name="Currency 2 3 2 2 4 2 5 2" xfId="7284"/>
    <cellStyle name="Currency 2 3 2 2 4 2 5 2 2" xfId="26035"/>
    <cellStyle name="Currency 2 3 2 2 4 2 5 3" xfId="26036"/>
    <cellStyle name="Currency 2 3 2 2 4 2 6" xfId="7285"/>
    <cellStyle name="Currency 2 3 2 2 4 2 6 2" xfId="26037"/>
    <cellStyle name="Currency 2 3 2 2 4 2 7" xfId="7286"/>
    <cellStyle name="Currency 2 3 2 2 4 3" xfId="601"/>
    <cellStyle name="Currency 2 3 2 2 4 3 2" xfId="1541"/>
    <cellStyle name="Currency 2 3 2 2 4 3 2 2" xfId="7287"/>
    <cellStyle name="Currency 2 3 2 2 4 3 2 2 2" xfId="7288"/>
    <cellStyle name="Currency 2 3 2 2 4 3 2 2 2 2" xfId="26038"/>
    <cellStyle name="Currency 2 3 2 2 4 3 2 2 3" xfId="26039"/>
    <cellStyle name="Currency 2 3 2 2 4 3 2 3" xfId="7289"/>
    <cellStyle name="Currency 2 3 2 2 4 3 2 3 2" xfId="7290"/>
    <cellStyle name="Currency 2 3 2 2 4 3 2 3 2 2" xfId="26040"/>
    <cellStyle name="Currency 2 3 2 2 4 3 2 3 3" xfId="26041"/>
    <cellStyle name="Currency 2 3 2 2 4 3 2 4" xfId="7291"/>
    <cellStyle name="Currency 2 3 2 2 4 3 2 4 2" xfId="7292"/>
    <cellStyle name="Currency 2 3 2 2 4 3 2 4 2 2" xfId="26042"/>
    <cellStyle name="Currency 2 3 2 2 4 3 2 4 3" xfId="26043"/>
    <cellStyle name="Currency 2 3 2 2 4 3 2 5" xfId="7293"/>
    <cellStyle name="Currency 2 3 2 2 4 3 2 5 2" xfId="26044"/>
    <cellStyle name="Currency 2 3 2 2 4 3 2 6" xfId="7294"/>
    <cellStyle name="Currency 2 3 2 2 4 3 3" xfId="7295"/>
    <cellStyle name="Currency 2 3 2 2 4 3 3 2" xfId="7296"/>
    <cellStyle name="Currency 2 3 2 2 4 3 3 2 2" xfId="26045"/>
    <cellStyle name="Currency 2 3 2 2 4 3 3 3" xfId="26046"/>
    <cellStyle name="Currency 2 3 2 2 4 3 4" xfId="7297"/>
    <cellStyle name="Currency 2 3 2 2 4 3 4 2" xfId="7298"/>
    <cellStyle name="Currency 2 3 2 2 4 3 4 2 2" xfId="26047"/>
    <cellStyle name="Currency 2 3 2 2 4 3 4 3" xfId="26048"/>
    <cellStyle name="Currency 2 3 2 2 4 3 5" xfId="7299"/>
    <cellStyle name="Currency 2 3 2 2 4 3 5 2" xfId="7300"/>
    <cellStyle name="Currency 2 3 2 2 4 3 5 2 2" xfId="26049"/>
    <cellStyle name="Currency 2 3 2 2 4 3 5 3" xfId="26050"/>
    <cellStyle name="Currency 2 3 2 2 4 3 6" xfId="7301"/>
    <cellStyle name="Currency 2 3 2 2 4 3 6 2" xfId="26051"/>
    <cellStyle name="Currency 2 3 2 2 4 3 7" xfId="7302"/>
    <cellStyle name="Currency 2 3 2 2 4 4" xfId="1542"/>
    <cellStyle name="Currency 2 3 2 2 4 4 2" xfId="7303"/>
    <cellStyle name="Currency 2 3 2 2 4 4 2 2" xfId="7304"/>
    <cellStyle name="Currency 2 3 2 2 4 4 2 2 2" xfId="26052"/>
    <cellStyle name="Currency 2 3 2 2 4 4 2 3" xfId="26053"/>
    <cellStyle name="Currency 2 3 2 2 4 4 3" xfId="7305"/>
    <cellStyle name="Currency 2 3 2 2 4 4 3 2" xfId="7306"/>
    <cellStyle name="Currency 2 3 2 2 4 4 3 2 2" xfId="26054"/>
    <cellStyle name="Currency 2 3 2 2 4 4 3 3" xfId="26055"/>
    <cellStyle name="Currency 2 3 2 2 4 4 4" xfId="7307"/>
    <cellStyle name="Currency 2 3 2 2 4 4 4 2" xfId="7308"/>
    <cellStyle name="Currency 2 3 2 2 4 4 4 2 2" xfId="26056"/>
    <cellStyle name="Currency 2 3 2 2 4 4 4 3" xfId="26057"/>
    <cellStyle name="Currency 2 3 2 2 4 4 5" xfId="7309"/>
    <cellStyle name="Currency 2 3 2 2 4 4 5 2" xfId="26058"/>
    <cellStyle name="Currency 2 3 2 2 4 4 6" xfId="7310"/>
    <cellStyle name="Currency 2 3 2 2 4 5" xfId="7311"/>
    <cellStyle name="Currency 2 3 2 2 4 5 2" xfId="7312"/>
    <cellStyle name="Currency 2 3 2 2 4 5 2 2" xfId="26059"/>
    <cellStyle name="Currency 2 3 2 2 4 5 3" xfId="26060"/>
    <cellStyle name="Currency 2 3 2 2 4 6" xfId="7313"/>
    <cellStyle name="Currency 2 3 2 2 4 6 2" xfId="7314"/>
    <cellStyle name="Currency 2 3 2 2 4 6 2 2" xfId="26061"/>
    <cellStyle name="Currency 2 3 2 2 4 6 3" xfId="26062"/>
    <cellStyle name="Currency 2 3 2 2 4 7" xfId="7315"/>
    <cellStyle name="Currency 2 3 2 2 4 7 2" xfId="7316"/>
    <cellStyle name="Currency 2 3 2 2 4 7 2 2" xfId="26063"/>
    <cellStyle name="Currency 2 3 2 2 4 7 3" xfId="26064"/>
    <cellStyle name="Currency 2 3 2 2 4 8" xfId="7317"/>
    <cellStyle name="Currency 2 3 2 2 4 8 2" xfId="26065"/>
    <cellStyle name="Currency 2 3 2 2 4 9" xfId="7318"/>
    <cellStyle name="Currency 2 3 2 2 5" xfId="339"/>
    <cellStyle name="Currency 2 3 2 2 5 2" xfId="1127"/>
    <cellStyle name="Currency 2 3 2 2 5 2 2" xfId="1543"/>
    <cellStyle name="Currency 2 3 2 2 5 2 2 2" xfId="7319"/>
    <cellStyle name="Currency 2 3 2 2 5 2 2 2 2" xfId="7320"/>
    <cellStyle name="Currency 2 3 2 2 5 2 2 2 2 2" xfId="26066"/>
    <cellStyle name="Currency 2 3 2 2 5 2 2 2 3" xfId="26067"/>
    <cellStyle name="Currency 2 3 2 2 5 2 2 3" xfId="7321"/>
    <cellStyle name="Currency 2 3 2 2 5 2 2 3 2" xfId="7322"/>
    <cellStyle name="Currency 2 3 2 2 5 2 2 3 2 2" xfId="26068"/>
    <cellStyle name="Currency 2 3 2 2 5 2 2 3 3" xfId="26069"/>
    <cellStyle name="Currency 2 3 2 2 5 2 2 4" xfId="7323"/>
    <cellStyle name="Currency 2 3 2 2 5 2 2 4 2" xfId="7324"/>
    <cellStyle name="Currency 2 3 2 2 5 2 2 4 2 2" xfId="26070"/>
    <cellStyle name="Currency 2 3 2 2 5 2 2 4 3" xfId="26071"/>
    <cellStyle name="Currency 2 3 2 2 5 2 2 5" xfId="7325"/>
    <cellStyle name="Currency 2 3 2 2 5 2 2 5 2" xfId="26072"/>
    <cellStyle name="Currency 2 3 2 2 5 2 2 6" xfId="7326"/>
    <cellStyle name="Currency 2 3 2 2 5 2 3" xfId="7327"/>
    <cellStyle name="Currency 2 3 2 2 5 2 3 2" xfId="7328"/>
    <cellStyle name="Currency 2 3 2 2 5 2 3 2 2" xfId="26073"/>
    <cellStyle name="Currency 2 3 2 2 5 2 3 3" xfId="26074"/>
    <cellStyle name="Currency 2 3 2 2 5 2 4" xfId="7329"/>
    <cellStyle name="Currency 2 3 2 2 5 2 4 2" xfId="7330"/>
    <cellStyle name="Currency 2 3 2 2 5 2 4 2 2" xfId="26075"/>
    <cellStyle name="Currency 2 3 2 2 5 2 4 3" xfId="26076"/>
    <cellStyle name="Currency 2 3 2 2 5 2 5" xfId="7331"/>
    <cellStyle name="Currency 2 3 2 2 5 2 5 2" xfId="7332"/>
    <cellStyle name="Currency 2 3 2 2 5 2 5 2 2" xfId="26077"/>
    <cellStyle name="Currency 2 3 2 2 5 2 5 3" xfId="26078"/>
    <cellStyle name="Currency 2 3 2 2 5 2 6" xfId="7333"/>
    <cellStyle name="Currency 2 3 2 2 5 2 6 2" xfId="26079"/>
    <cellStyle name="Currency 2 3 2 2 5 2 7" xfId="7334"/>
    <cellStyle name="Currency 2 3 2 2 5 3" xfId="759"/>
    <cellStyle name="Currency 2 3 2 2 5 3 2" xfId="1544"/>
    <cellStyle name="Currency 2 3 2 2 5 3 2 2" xfId="7335"/>
    <cellStyle name="Currency 2 3 2 2 5 3 2 2 2" xfId="7336"/>
    <cellStyle name="Currency 2 3 2 2 5 3 2 2 2 2" xfId="26080"/>
    <cellStyle name="Currency 2 3 2 2 5 3 2 2 3" xfId="26081"/>
    <cellStyle name="Currency 2 3 2 2 5 3 2 3" xfId="7337"/>
    <cellStyle name="Currency 2 3 2 2 5 3 2 3 2" xfId="7338"/>
    <cellStyle name="Currency 2 3 2 2 5 3 2 3 2 2" xfId="26082"/>
    <cellStyle name="Currency 2 3 2 2 5 3 2 3 3" xfId="26083"/>
    <cellStyle name="Currency 2 3 2 2 5 3 2 4" xfId="7339"/>
    <cellStyle name="Currency 2 3 2 2 5 3 2 4 2" xfId="7340"/>
    <cellStyle name="Currency 2 3 2 2 5 3 2 4 2 2" xfId="26084"/>
    <cellStyle name="Currency 2 3 2 2 5 3 2 4 3" xfId="26085"/>
    <cellStyle name="Currency 2 3 2 2 5 3 2 5" xfId="7341"/>
    <cellStyle name="Currency 2 3 2 2 5 3 2 5 2" xfId="26086"/>
    <cellStyle name="Currency 2 3 2 2 5 3 2 6" xfId="7342"/>
    <cellStyle name="Currency 2 3 2 2 5 3 3" xfId="7343"/>
    <cellStyle name="Currency 2 3 2 2 5 3 3 2" xfId="7344"/>
    <cellStyle name="Currency 2 3 2 2 5 3 3 2 2" xfId="26087"/>
    <cellStyle name="Currency 2 3 2 2 5 3 3 3" xfId="26088"/>
    <cellStyle name="Currency 2 3 2 2 5 3 4" xfId="7345"/>
    <cellStyle name="Currency 2 3 2 2 5 3 4 2" xfId="7346"/>
    <cellStyle name="Currency 2 3 2 2 5 3 4 2 2" xfId="26089"/>
    <cellStyle name="Currency 2 3 2 2 5 3 4 3" xfId="26090"/>
    <cellStyle name="Currency 2 3 2 2 5 3 5" xfId="7347"/>
    <cellStyle name="Currency 2 3 2 2 5 3 5 2" xfId="7348"/>
    <cellStyle name="Currency 2 3 2 2 5 3 5 2 2" xfId="26091"/>
    <cellStyle name="Currency 2 3 2 2 5 3 5 3" xfId="26092"/>
    <cellStyle name="Currency 2 3 2 2 5 3 6" xfId="7349"/>
    <cellStyle name="Currency 2 3 2 2 5 3 6 2" xfId="26093"/>
    <cellStyle name="Currency 2 3 2 2 5 3 7" xfId="7350"/>
    <cellStyle name="Currency 2 3 2 2 5 4" xfId="1545"/>
    <cellStyle name="Currency 2 3 2 2 5 4 2" xfId="7351"/>
    <cellStyle name="Currency 2 3 2 2 5 4 2 2" xfId="7352"/>
    <cellStyle name="Currency 2 3 2 2 5 4 2 2 2" xfId="26094"/>
    <cellStyle name="Currency 2 3 2 2 5 4 2 3" xfId="26095"/>
    <cellStyle name="Currency 2 3 2 2 5 4 3" xfId="7353"/>
    <cellStyle name="Currency 2 3 2 2 5 4 3 2" xfId="7354"/>
    <cellStyle name="Currency 2 3 2 2 5 4 3 2 2" xfId="26096"/>
    <cellStyle name="Currency 2 3 2 2 5 4 3 3" xfId="26097"/>
    <cellStyle name="Currency 2 3 2 2 5 4 4" xfId="7355"/>
    <cellStyle name="Currency 2 3 2 2 5 4 4 2" xfId="7356"/>
    <cellStyle name="Currency 2 3 2 2 5 4 4 2 2" xfId="26098"/>
    <cellStyle name="Currency 2 3 2 2 5 4 4 3" xfId="26099"/>
    <cellStyle name="Currency 2 3 2 2 5 4 5" xfId="7357"/>
    <cellStyle name="Currency 2 3 2 2 5 4 5 2" xfId="26100"/>
    <cellStyle name="Currency 2 3 2 2 5 4 6" xfId="7358"/>
    <cellStyle name="Currency 2 3 2 2 5 5" xfId="7359"/>
    <cellStyle name="Currency 2 3 2 2 5 5 2" xfId="7360"/>
    <cellStyle name="Currency 2 3 2 2 5 5 2 2" xfId="26101"/>
    <cellStyle name="Currency 2 3 2 2 5 5 3" xfId="26102"/>
    <cellStyle name="Currency 2 3 2 2 5 6" xfId="7361"/>
    <cellStyle name="Currency 2 3 2 2 5 6 2" xfId="7362"/>
    <cellStyle name="Currency 2 3 2 2 5 6 2 2" xfId="26103"/>
    <cellStyle name="Currency 2 3 2 2 5 6 3" xfId="26104"/>
    <cellStyle name="Currency 2 3 2 2 5 7" xfId="7363"/>
    <cellStyle name="Currency 2 3 2 2 5 7 2" xfId="7364"/>
    <cellStyle name="Currency 2 3 2 2 5 7 2 2" xfId="26105"/>
    <cellStyle name="Currency 2 3 2 2 5 7 3" xfId="26106"/>
    <cellStyle name="Currency 2 3 2 2 5 8" xfId="7365"/>
    <cellStyle name="Currency 2 3 2 2 5 8 2" xfId="26107"/>
    <cellStyle name="Currency 2 3 2 2 5 9" xfId="7366"/>
    <cellStyle name="Currency 2 3 2 2 6" xfId="128"/>
    <cellStyle name="Currency 2 3 2 2 6 2" xfId="549"/>
    <cellStyle name="Currency 2 3 2 2 6 2 2" xfId="1546"/>
    <cellStyle name="Currency 2 3 2 2 6 2 2 2" xfId="7367"/>
    <cellStyle name="Currency 2 3 2 2 6 2 2 2 2" xfId="7368"/>
    <cellStyle name="Currency 2 3 2 2 6 2 2 2 2 2" xfId="26108"/>
    <cellStyle name="Currency 2 3 2 2 6 2 2 2 3" xfId="26109"/>
    <cellStyle name="Currency 2 3 2 2 6 2 2 3" xfId="7369"/>
    <cellStyle name="Currency 2 3 2 2 6 2 2 3 2" xfId="7370"/>
    <cellStyle name="Currency 2 3 2 2 6 2 2 3 2 2" xfId="26110"/>
    <cellStyle name="Currency 2 3 2 2 6 2 2 3 3" xfId="26111"/>
    <cellStyle name="Currency 2 3 2 2 6 2 2 4" xfId="7371"/>
    <cellStyle name="Currency 2 3 2 2 6 2 2 4 2" xfId="7372"/>
    <cellStyle name="Currency 2 3 2 2 6 2 2 4 2 2" xfId="26112"/>
    <cellStyle name="Currency 2 3 2 2 6 2 2 4 3" xfId="26113"/>
    <cellStyle name="Currency 2 3 2 2 6 2 2 5" xfId="7373"/>
    <cellStyle name="Currency 2 3 2 2 6 2 2 5 2" xfId="26114"/>
    <cellStyle name="Currency 2 3 2 2 6 2 2 6" xfId="7374"/>
    <cellStyle name="Currency 2 3 2 2 6 2 3" xfId="7375"/>
    <cellStyle name="Currency 2 3 2 2 6 2 3 2" xfId="7376"/>
    <cellStyle name="Currency 2 3 2 2 6 2 3 2 2" xfId="26115"/>
    <cellStyle name="Currency 2 3 2 2 6 2 3 3" xfId="26116"/>
    <cellStyle name="Currency 2 3 2 2 6 2 4" xfId="7377"/>
    <cellStyle name="Currency 2 3 2 2 6 2 4 2" xfId="7378"/>
    <cellStyle name="Currency 2 3 2 2 6 2 4 2 2" xfId="26117"/>
    <cellStyle name="Currency 2 3 2 2 6 2 4 3" xfId="26118"/>
    <cellStyle name="Currency 2 3 2 2 6 2 5" xfId="7379"/>
    <cellStyle name="Currency 2 3 2 2 6 2 5 2" xfId="7380"/>
    <cellStyle name="Currency 2 3 2 2 6 2 5 2 2" xfId="26119"/>
    <cellStyle name="Currency 2 3 2 2 6 2 5 3" xfId="26120"/>
    <cellStyle name="Currency 2 3 2 2 6 2 6" xfId="7381"/>
    <cellStyle name="Currency 2 3 2 2 6 2 6 2" xfId="26121"/>
    <cellStyle name="Currency 2 3 2 2 6 2 7" xfId="7382"/>
    <cellStyle name="Currency 2 3 2 2 6 3" xfId="1547"/>
    <cellStyle name="Currency 2 3 2 2 6 3 2" xfId="7383"/>
    <cellStyle name="Currency 2 3 2 2 6 3 2 2" xfId="7384"/>
    <cellStyle name="Currency 2 3 2 2 6 3 2 2 2" xfId="26122"/>
    <cellStyle name="Currency 2 3 2 2 6 3 2 3" xfId="26123"/>
    <cellStyle name="Currency 2 3 2 2 6 3 3" xfId="7385"/>
    <cellStyle name="Currency 2 3 2 2 6 3 3 2" xfId="7386"/>
    <cellStyle name="Currency 2 3 2 2 6 3 3 2 2" xfId="26124"/>
    <cellStyle name="Currency 2 3 2 2 6 3 3 3" xfId="26125"/>
    <cellStyle name="Currency 2 3 2 2 6 3 4" xfId="7387"/>
    <cellStyle name="Currency 2 3 2 2 6 3 4 2" xfId="7388"/>
    <cellStyle name="Currency 2 3 2 2 6 3 4 2 2" xfId="26126"/>
    <cellStyle name="Currency 2 3 2 2 6 3 4 3" xfId="26127"/>
    <cellStyle name="Currency 2 3 2 2 6 3 5" xfId="7389"/>
    <cellStyle name="Currency 2 3 2 2 6 3 5 2" xfId="26128"/>
    <cellStyle name="Currency 2 3 2 2 6 3 6" xfId="7390"/>
    <cellStyle name="Currency 2 3 2 2 6 4" xfId="7391"/>
    <cellStyle name="Currency 2 3 2 2 6 4 2" xfId="7392"/>
    <cellStyle name="Currency 2 3 2 2 6 4 2 2" xfId="26129"/>
    <cellStyle name="Currency 2 3 2 2 6 4 3" xfId="26130"/>
    <cellStyle name="Currency 2 3 2 2 6 5" xfId="7393"/>
    <cellStyle name="Currency 2 3 2 2 6 5 2" xfId="7394"/>
    <cellStyle name="Currency 2 3 2 2 6 5 2 2" xfId="26131"/>
    <cellStyle name="Currency 2 3 2 2 6 5 3" xfId="26132"/>
    <cellStyle name="Currency 2 3 2 2 6 6" xfId="7395"/>
    <cellStyle name="Currency 2 3 2 2 6 6 2" xfId="7396"/>
    <cellStyle name="Currency 2 3 2 2 6 6 2 2" xfId="26133"/>
    <cellStyle name="Currency 2 3 2 2 6 6 3" xfId="26134"/>
    <cellStyle name="Currency 2 3 2 2 6 7" xfId="7397"/>
    <cellStyle name="Currency 2 3 2 2 6 7 2" xfId="26135"/>
    <cellStyle name="Currency 2 3 2 2 6 8" xfId="7398"/>
    <cellStyle name="Currency 2 3 2 2 7" xfId="917"/>
    <cellStyle name="Currency 2 3 2 2 7 2" xfId="1548"/>
    <cellStyle name="Currency 2 3 2 2 7 2 2" xfId="7399"/>
    <cellStyle name="Currency 2 3 2 2 7 2 2 2" xfId="7400"/>
    <cellStyle name="Currency 2 3 2 2 7 2 2 2 2" xfId="26136"/>
    <cellStyle name="Currency 2 3 2 2 7 2 2 3" xfId="26137"/>
    <cellStyle name="Currency 2 3 2 2 7 2 3" xfId="7401"/>
    <cellStyle name="Currency 2 3 2 2 7 2 3 2" xfId="7402"/>
    <cellStyle name="Currency 2 3 2 2 7 2 3 2 2" xfId="26138"/>
    <cellStyle name="Currency 2 3 2 2 7 2 3 3" xfId="26139"/>
    <cellStyle name="Currency 2 3 2 2 7 2 4" xfId="7403"/>
    <cellStyle name="Currency 2 3 2 2 7 2 4 2" xfId="7404"/>
    <cellStyle name="Currency 2 3 2 2 7 2 4 2 2" xfId="26140"/>
    <cellStyle name="Currency 2 3 2 2 7 2 4 3" xfId="26141"/>
    <cellStyle name="Currency 2 3 2 2 7 2 5" xfId="7405"/>
    <cellStyle name="Currency 2 3 2 2 7 2 5 2" xfId="26142"/>
    <cellStyle name="Currency 2 3 2 2 7 2 6" xfId="7406"/>
    <cellStyle name="Currency 2 3 2 2 7 3" xfId="7407"/>
    <cellStyle name="Currency 2 3 2 2 7 3 2" xfId="7408"/>
    <cellStyle name="Currency 2 3 2 2 7 3 2 2" xfId="26143"/>
    <cellStyle name="Currency 2 3 2 2 7 3 3" xfId="26144"/>
    <cellStyle name="Currency 2 3 2 2 7 4" xfId="7409"/>
    <cellStyle name="Currency 2 3 2 2 7 4 2" xfId="7410"/>
    <cellStyle name="Currency 2 3 2 2 7 4 2 2" xfId="26145"/>
    <cellStyle name="Currency 2 3 2 2 7 4 3" xfId="26146"/>
    <cellStyle name="Currency 2 3 2 2 7 5" xfId="7411"/>
    <cellStyle name="Currency 2 3 2 2 7 5 2" xfId="7412"/>
    <cellStyle name="Currency 2 3 2 2 7 5 2 2" xfId="26147"/>
    <cellStyle name="Currency 2 3 2 2 7 5 3" xfId="26148"/>
    <cellStyle name="Currency 2 3 2 2 7 6" xfId="7413"/>
    <cellStyle name="Currency 2 3 2 2 7 6 2" xfId="26149"/>
    <cellStyle name="Currency 2 3 2 2 7 7" xfId="7414"/>
    <cellStyle name="Currency 2 3 2 2 8" xfId="472"/>
    <cellStyle name="Currency 2 3 2 2 8 2" xfId="1549"/>
    <cellStyle name="Currency 2 3 2 2 8 2 2" xfId="7415"/>
    <cellStyle name="Currency 2 3 2 2 8 2 2 2" xfId="7416"/>
    <cellStyle name="Currency 2 3 2 2 8 2 2 2 2" xfId="26150"/>
    <cellStyle name="Currency 2 3 2 2 8 2 2 3" xfId="26151"/>
    <cellStyle name="Currency 2 3 2 2 8 2 3" xfId="7417"/>
    <cellStyle name="Currency 2 3 2 2 8 2 3 2" xfId="7418"/>
    <cellStyle name="Currency 2 3 2 2 8 2 3 2 2" xfId="26152"/>
    <cellStyle name="Currency 2 3 2 2 8 2 3 3" xfId="26153"/>
    <cellStyle name="Currency 2 3 2 2 8 2 4" xfId="7419"/>
    <cellStyle name="Currency 2 3 2 2 8 2 4 2" xfId="7420"/>
    <cellStyle name="Currency 2 3 2 2 8 2 4 2 2" xfId="26154"/>
    <cellStyle name="Currency 2 3 2 2 8 2 4 3" xfId="26155"/>
    <cellStyle name="Currency 2 3 2 2 8 2 5" xfId="7421"/>
    <cellStyle name="Currency 2 3 2 2 8 2 5 2" xfId="26156"/>
    <cellStyle name="Currency 2 3 2 2 8 2 6" xfId="7422"/>
    <cellStyle name="Currency 2 3 2 2 8 3" xfId="7423"/>
    <cellStyle name="Currency 2 3 2 2 8 3 2" xfId="7424"/>
    <cellStyle name="Currency 2 3 2 2 8 3 2 2" xfId="26157"/>
    <cellStyle name="Currency 2 3 2 2 8 3 3" xfId="26158"/>
    <cellStyle name="Currency 2 3 2 2 8 4" xfId="7425"/>
    <cellStyle name="Currency 2 3 2 2 8 4 2" xfId="7426"/>
    <cellStyle name="Currency 2 3 2 2 8 4 2 2" xfId="26159"/>
    <cellStyle name="Currency 2 3 2 2 8 4 3" xfId="26160"/>
    <cellStyle name="Currency 2 3 2 2 8 5" xfId="7427"/>
    <cellStyle name="Currency 2 3 2 2 8 5 2" xfId="7428"/>
    <cellStyle name="Currency 2 3 2 2 8 5 2 2" xfId="26161"/>
    <cellStyle name="Currency 2 3 2 2 8 5 3" xfId="26162"/>
    <cellStyle name="Currency 2 3 2 2 8 6" xfId="7429"/>
    <cellStyle name="Currency 2 3 2 2 8 6 2" xfId="26163"/>
    <cellStyle name="Currency 2 3 2 2 8 7" xfId="7430"/>
    <cellStyle name="Currency 2 3 2 2 9" xfId="1550"/>
    <cellStyle name="Currency 2 3 2 2 9 2" xfId="7431"/>
    <cellStyle name="Currency 2 3 2 2 9 2 2" xfId="7432"/>
    <cellStyle name="Currency 2 3 2 2 9 2 2 2" xfId="26164"/>
    <cellStyle name="Currency 2 3 2 2 9 2 3" xfId="26165"/>
    <cellStyle name="Currency 2 3 2 2 9 3" xfId="7433"/>
    <cellStyle name="Currency 2 3 2 2 9 3 2" xfId="7434"/>
    <cellStyle name="Currency 2 3 2 2 9 3 2 2" xfId="26166"/>
    <cellStyle name="Currency 2 3 2 2 9 3 3" xfId="26167"/>
    <cellStyle name="Currency 2 3 2 2 9 4" xfId="7435"/>
    <cellStyle name="Currency 2 3 2 2 9 4 2" xfId="7436"/>
    <cellStyle name="Currency 2 3 2 2 9 4 2 2" xfId="26168"/>
    <cellStyle name="Currency 2 3 2 2 9 4 3" xfId="26169"/>
    <cellStyle name="Currency 2 3 2 2 9 5" xfId="7437"/>
    <cellStyle name="Currency 2 3 2 2 9 5 2" xfId="26170"/>
    <cellStyle name="Currency 2 3 2 2 9 6" xfId="7438"/>
    <cellStyle name="Currency 2 3 2 3" xfId="39"/>
    <cellStyle name="Currency 2 3 2 3 10" xfId="7439"/>
    <cellStyle name="Currency 2 3 2 3 10 2" xfId="7440"/>
    <cellStyle name="Currency 2 3 2 3 10 2 2" xfId="26171"/>
    <cellStyle name="Currency 2 3 2 3 10 3" xfId="26172"/>
    <cellStyle name="Currency 2 3 2 3 11" xfId="7441"/>
    <cellStyle name="Currency 2 3 2 3 11 2" xfId="7442"/>
    <cellStyle name="Currency 2 3 2 3 11 2 2" xfId="26173"/>
    <cellStyle name="Currency 2 3 2 3 11 3" xfId="26174"/>
    <cellStyle name="Currency 2 3 2 3 12" xfId="7443"/>
    <cellStyle name="Currency 2 3 2 3 12 2" xfId="7444"/>
    <cellStyle name="Currency 2 3 2 3 12 2 2" xfId="26175"/>
    <cellStyle name="Currency 2 3 2 3 12 3" xfId="26176"/>
    <cellStyle name="Currency 2 3 2 3 13" xfId="7445"/>
    <cellStyle name="Currency 2 3 2 3 13 2" xfId="26177"/>
    <cellStyle name="Currency 2 3 2 3 14" xfId="7446"/>
    <cellStyle name="Currency 2 3 2 3 2" xfId="206"/>
    <cellStyle name="Currency 2 3 2 3 2 10" xfId="7447"/>
    <cellStyle name="Currency 2 3 2 3 2 2" xfId="364"/>
    <cellStyle name="Currency 2 3 2 3 2 2 2" xfId="1152"/>
    <cellStyle name="Currency 2 3 2 3 2 2 2 2" xfId="1551"/>
    <cellStyle name="Currency 2 3 2 3 2 2 2 2 2" xfId="7448"/>
    <cellStyle name="Currency 2 3 2 3 2 2 2 2 2 2" xfId="7449"/>
    <cellStyle name="Currency 2 3 2 3 2 2 2 2 2 2 2" xfId="26178"/>
    <cellStyle name="Currency 2 3 2 3 2 2 2 2 2 3" xfId="26179"/>
    <cellStyle name="Currency 2 3 2 3 2 2 2 2 3" xfId="7450"/>
    <cellStyle name="Currency 2 3 2 3 2 2 2 2 3 2" xfId="7451"/>
    <cellStyle name="Currency 2 3 2 3 2 2 2 2 3 2 2" xfId="26180"/>
    <cellStyle name="Currency 2 3 2 3 2 2 2 2 3 3" xfId="26181"/>
    <cellStyle name="Currency 2 3 2 3 2 2 2 2 4" xfId="7452"/>
    <cellStyle name="Currency 2 3 2 3 2 2 2 2 4 2" xfId="7453"/>
    <cellStyle name="Currency 2 3 2 3 2 2 2 2 4 2 2" xfId="26182"/>
    <cellStyle name="Currency 2 3 2 3 2 2 2 2 4 3" xfId="26183"/>
    <cellStyle name="Currency 2 3 2 3 2 2 2 2 5" xfId="7454"/>
    <cellStyle name="Currency 2 3 2 3 2 2 2 2 5 2" xfId="26184"/>
    <cellStyle name="Currency 2 3 2 3 2 2 2 2 6" xfId="7455"/>
    <cellStyle name="Currency 2 3 2 3 2 2 2 3" xfId="7456"/>
    <cellStyle name="Currency 2 3 2 3 2 2 2 3 2" xfId="7457"/>
    <cellStyle name="Currency 2 3 2 3 2 2 2 3 2 2" xfId="26185"/>
    <cellStyle name="Currency 2 3 2 3 2 2 2 3 3" xfId="26186"/>
    <cellStyle name="Currency 2 3 2 3 2 2 2 4" xfId="7458"/>
    <cellStyle name="Currency 2 3 2 3 2 2 2 4 2" xfId="7459"/>
    <cellStyle name="Currency 2 3 2 3 2 2 2 4 2 2" xfId="26187"/>
    <cellStyle name="Currency 2 3 2 3 2 2 2 4 3" xfId="26188"/>
    <cellStyle name="Currency 2 3 2 3 2 2 2 5" xfId="7460"/>
    <cellStyle name="Currency 2 3 2 3 2 2 2 5 2" xfId="7461"/>
    <cellStyle name="Currency 2 3 2 3 2 2 2 5 2 2" xfId="26189"/>
    <cellStyle name="Currency 2 3 2 3 2 2 2 5 3" xfId="26190"/>
    <cellStyle name="Currency 2 3 2 3 2 2 2 6" xfId="7462"/>
    <cellStyle name="Currency 2 3 2 3 2 2 2 6 2" xfId="26191"/>
    <cellStyle name="Currency 2 3 2 3 2 2 2 7" xfId="7463"/>
    <cellStyle name="Currency 2 3 2 3 2 2 3" xfId="784"/>
    <cellStyle name="Currency 2 3 2 3 2 2 3 2" xfId="1552"/>
    <cellStyle name="Currency 2 3 2 3 2 2 3 2 2" xfId="7464"/>
    <cellStyle name="Currency 2 3 2 3 2 2 3 2 2 2" xfId="7465"/>
    <cellStyle name="Currency 2 3 2 3 2 2 3 2 2 2 2" xfId="26192"/>
    <cellStyle name="Currency 2 3 2 3 2 2 3 2 2 3" xfId="26193"/>
    <cellStyle name="Currency 2 3 2 3 2 2 3 2 3" xfId="7466"/>
    <cellStyle name="Currency 2 3 2 3 2 2 3 2 3 2" xfId="7467"/>
    <cellStyle name="Currency 2 3 2 3 2 2 3 2 3 2 2" xfId="26194"/>
    <cellStyle name="Currency 2 3 2 3 2 2 3 2 3 3" xfId="26195"/>
    <cellStyle name="Currency 2 3 2 3 2 2 3 2 4" xfId="7468"/>
    <cellStyle name="Currency 2 3 2 3 2 2 3 2 4 2" xfId="7469"/>
    <cellStyle name="Currency 2 3 2 3 2 2 3 2 4 2 2" xfId="26196"/>
    <cellStyle name="Currency 2 3 2 3 2 2 3 2 4 3" xfId="26197"/>
    <cellStyle name="Currency 2 3 2 3 2 2 3 2 5" xfId="7470"/>
    <cellStyle name="Currency 2 3 2 3 2 2 3 2 5 2" xfId="26198"/>
    <cellStyle name="Currency 2 3 2 3 2 2 3 2 6" xfId="7471"/>
    <cellStyle name="Currency 2 3 2 3 2 2 3 3" xfId="7472"/>
    <cellStyle name="Currency 2 3 2 3 2 2 3 3 2" xfId="7473"/>
    <cellStyle name="Currency 2 3 2 3 2 2 3 3 2 2" xfId="26199"/>
    <cellStyle name="Currency 2 3 2 3 2 2 3 3 3" xfId="26200"/>
    <cellStyle name="Currency 2 3 2 3 2 2 3 4" xfId="7474"/>
    <cellStyle name="Currency 2 3 2 3 2 2 3 4 2" xfId="7475"/>
    <cellStyle name="Currency 2 3 2 3 2 2 3 4 2 2" xfId="26201"/>
    <cellStyle name="Currency 2 3 2 3 2 2 3 4 3" xfId="26202"/>
    <cellStyle name="Currency 2 3 2 3 2 2 3 5" xfId="7476"/>
    <cellStyle name="Currency 2 3 2 3 2 2 3 5 2" xfId="7477"/>
    <cellStyle name="Currency 2 3 2 3 2 2 3 5 2 2" xfId="26203"/>
    <cellStyle name="Currency 2 3 2 3 2 2 3 5 3" xfId="26204"/>
    <cellStyle name="Currency 2 3 2 3 2 2 3 6" xfId="7478"/>
    <cellStyle name="Currency 2 3 2 3 2 2 3 6 2" xfId="26205"/>
    <cellStyle name="Currency 2 3 2 3 2 2 3 7" xfId="7479"/>
    <cellStyle name="Currency 2 3 2 3 2 2 4" xfId="1553"/>
    <cellStyle name="Currency 2 3 2 3 2 2 4 2" xfId="7480"/>
    <cellStyle name="Currency 2 3 2 3 2 2 4 2 2" xfId="7481"/>
    <cellStyle name="Currency 2 3 2 3 2 2 4 2 2 2" xfId="26206"/>
    <cellStyle name="Currency 2 3 2 3 2 2 4 2 3" xfId="26207"/>
    <cellStyle name="Currency 2 3 2 3 2 2 4 3" xfId="7482"/>
    <cellStyle name="Currency 2 3 2 3 2 2 4 3 2" xfId="7483"/>
    <cellStyle name="Currency 2 3 2 3 2 2 4 3 2 2" xfId="26208"/>
    <cellStyle name="Currency 2 3 2 3 2 2 4 3 3" xfId="26209"/>
    <cellStyle name="Currency 2 3 2 3 2 2 4 4" xfId="7484"/>
    <cellStyle name="Currency 2 3 2 3 2 2 4 4 2" xfId="7485"/>
    <cellStyle name="Currency 2 3 2 3 2 2 4 4 2 2" xfId="26210"/>
    <cellStyle name="Currency 2 3 2 3 2 2 4 4 3" xfId="26211"/>
    <cellStyle name="Currency 2 3 2 3 2 2 4 5" xfId="7486"/>
    <cellStyle name="Currency 2 3 2 3 2 2 4 5 2" xfId="26212"/>
    <cellStyle name="Currency 2 3 2 3 2 2 4 6" xfId="7487"/>
    <cellStyle name="Currency 2 3 2 3 2 2 5" xfId="7488"/>
    <cellStyle name="Currency 2 3 2 3 2 2 5 2" xfId="7489"/>
    <cellStyle name="Currency 2 3 2 3 2 2 5 2 2" xfId="26213"/>
    <cellStyle name="Currency 2 3 2 3 2 2 5 3" xfId="26214"/>
    <cellStyle name="Currency 2 3 2 3 2 2 6" xfId="7490"/>
    <cellStyle name="Currency 2 3 2 3 2 2 6 2" xfId="7491"/>
    <cellStyle name="Currency 2 3 2 3 2 2 6 2 2" xfId="26215"/>
    <cellStyle name="Currency 2 3 2 3 2 2 6 3" xfId="26216"/>
    <cellStyle name="Currency 2 3 2 3 2 2 7" xfId="7492"/>
    <cellStyle name="Currency 2 3 2 3 2 2 7 2" xfId="7493"/>
    <cellStyle name="Currency 2 3 2 3 2 2 7 2 2" xfId="26217"/>
    <cellStyle name="Currency 2 3 2 3 2 2 7 3" xfId="26218"/>
    <cellStyle name="Currency 2 3 2 3 2 2 8" xfId="7494"/>
    <cellStyle name="Currency 2 3 2 3 2 2 8 2" xfId="26219"/>
    <cellStyle name="Currency 2 3 2 3 2 2 9" xfId="7495"/>
    <cellStyle name="Currency 2 3 2 3 2 3" xfId="994"/>
    <cellStyle name="Currency 2 3 2 3 2 3 2" xfId="1554"/>
    <cellStyle name="Currency 2 3 2 3 2 3 2 2" xfId="7496"/>
    <cellStyle name="Currency 2 3 2 3 2 3 2 2 2" xfId="7497"/>
    <cellStyle name="Currency 2 3 2 3 2 3 2 2 2 2" xfId="26220"/>
    <cellStyle name="Currency 2 3 2 3 2 3 2 2 3" xfId="26221"/>
    <cellStyle name="Currency 2 3 2 3 2 3 2 3" xfId="7498"/>
    <cellStyle name="Currency 2 3 2 3 2 3 2 3 2" xfId="7499"/>
    <cellStyle name="Currency 2 3 2 3 2 3 2 3 2 2" xfId="26222"/>
    <cellStyle name="Currency 2 3 2 3 2 3 2 3 3" xfId="26223"/>
    <cellStyle name="Currency 2 3 2 3 2 3 2 4" xfId="7500"/>
    <cellStyle name="Currency 2 3 2 3 2 3 2 4 2" xfId="7501"/>
    <cellStyle name="Currency 2 3 2 3 2 3 2 4 2 2" xfId="26224"/>
    <cellStyle name="Currency 2 3 2 3 2 3 2 4 3" xfId="26225"/>
    <cellStyle name="Currency 2 3 2 3 2 3 2 5" xfId="7502"/>
    <cellStyle name="Currency 2 3 2 3 2 3 2 5 2" xfId="26226"/>
    <cellStyle name="Currency 2 3 2 3 2 3 2 6" xfId="7503"/>
    <cellStyle name="Currency 2 3 2 3 2 3 3" xfId="7504"/>
    <cellStyle name="Currency 2 3 2 3 2 3 3 2" xfId="7505"/>
    <cellStyle name="Currency 2 3 2 3 2 3 3 2 2" xfId="26227"/>
    <cellStyle name="Currency 2 3 2 3 2 3 3 3" xfId="26228"/>
    <cellStyle name="Currency 2 3 2 3 2 3 4" xfId="7506"/>
    <cellStyle name="Currency 2 3 2 3 2 3 4 2" xfId="7507"/>
    <cellStyle name="Currency 2 3 2 3 2 3 4 2 2" xfId="26229"/>
    <cellStyle name="Currency 2 3 2 3 2 3 4 3" xfId="26230"/>
    <cellStyle name="Currency 2 3 2 3 2 3 5" xfId="7508"/>
    <cellStyle name="Currency 2 3 2 3 2 3 5 2" xfId="7509"/>
    <cellStyle name="Currency 2 3 2 3 2 3 5 2 2" xfId="26231"/>
    <cellStyle name="Currency 2 3 2 3 2 3 5 3" xfId="26232"/>
    <cellStyle name="Currency 2 3 2 3 2 3 6" xfId="7510"/>
    <cellStyle name="Currency 2 3 2 3 2 3 6 2" xfId="26233"/>
    <cellStyle name="Currency 2 3 2 3 2 3 7" xfId="7511"/>
    <cellStyle name="Currency 2 3 2 3 2 4" xfId="626"/>
    <cellStyle name="Currency 2 3 2 3 2 4 2" xfId="1555"/>
    <cellStyle name="Currency 2 3 2 3 2 4 2 2" xfId="7512"/>
    <cellStyle name="Currency 2 3 2 3 2 4 2 2 2" xfId="7513"/>
    <cellStyle name="Currency 2 3 2 3 2 4 2 2 2 2" xfId="26234"/>
    <cellStyle name="Currency 2 3 2 3 2 4 2 2 3" xfId="26235"/>
    <cellStyle name="Currency 2 3 2 3 2 4 2 3" xfId="7514"/>
    <cellStyle name="Currency 2 3 2 3 2 4 2 3 2" xfId="7515"/>
    <cellStyle name="Currency 2 3 2 3 2 4 2 3 2 2" xfId="26236"/>
    <cellStyle name="Currency 2 3 2 3 2 4 2 3 3" xfId="26237"/>
    <cellStyle name="Currency 2 3 2 3 2 4 2 4" xfId="7516"/>
    <cellStyle name="Currency 2 3 2 3 2 4 2 4 2" xfId="7517"/>
    <cellStyle name="Currency 2 3 2 3 2 4 2 4 2 2" xfId="26238"/>
    <cellStyle name="Currency 2 3 2 3 2 4 2 4 3" xfId="26239"/>
    <cellStyle name="Currency 2 3 2 3 2 4 2 5" xfId="7518"/>
    <cellStyle name="Currency 2 3 2 3 2 4 2 5 2" xfId="26240"/>
    <cellStyle name="Currency 2 3 2 3 2 4 2 6" xfId="7519"/>
    <cellStyle name="Currency 2 3 2 3 2 4 3" xfId="7520"/>
    <cellStyle name="Currency 2 3 2 3 2 4 3 2" xfId="7521"/>
    <cellStyle name="Currency 2 3 2 3 2 4 3 2 2" xfId="26241"/>
    <cellStyle name="Currency 2 3 2 3 2 4 3 3" xfId="26242"/>
    <cellStyle name="Currency 2 3 2 3 2 4 4" xfId="7522"/>
    <cellStyle name="Currency 2 3 2 3 2 4 4 2" xfId="7523"/>
    <cellStyle name="Currency 2 3 2 3 2 4 4 2 2" xfId="26243"/>
    <cellStyle name="Currency 2 3 2 3 2 4 4 3" xfId="26244"/>
    <cellStyle name="Currency 2 3 2 3 2 4 5" xfId="7524"/>
    <cellStyle name="Currency 2 3 2 3 2 4 5 2" xfId="7525"/>
    <cellStyle name="Currency 2 3 2 3 2 4 5 2 2" xfId="26245"/>
    <cellStyle name="Currency 2 3 2 3 2 4 5 3" xfId="26246"/>
    <cellStyle name="Currency 2 3 2 3 2 4 6" xfId="7526"/>
    <cellStyle name="Currency 2 3 2 3 2 4 6 2" xfId="26247"/>
    <cellStyle name="Currency 2 3 2 3 2 4 7" xfId="7527"/>
    <cellStyle name="Currency 2 3 2 3 2 5" xfId="1556"/>
    <cellStyle name="Currency 2 3 2 3 2 5 2" xfId="7528"/>
    <cellStyle name="Currency 2 3 2 3 2 5 2 2" xfId="7529"/>
    <cellStyle name="Currency 2 3 2 3 2 5 2 2 2" xfId="26248"/>
    <cellStyle name="Currency 2 3 2 3 2 5 2 3" xfId="26249"/>
    <cellStyle name="Currency 2 3 2 3 2 5 3" xfId="7530"/>
    <cellStyle name="Currency 2 3 2 3 2 5 3 2" xfId="7531"/>
    <cellStyle name="Currency 2 3 2 3 2 5 3 2 2" xfId="26250"/>
    <cellStyle name="Currency 2 3 2 3 2 5 3 3" xfId="26251"/>
    <cellStyle name="Currency 2 3 2 3 2 5 4" xfId="7532"/>
    <cellStyle name="Currency 2 3 2 3 2 5 4 2" xfId="7533"/>
    <cellStyle name="Currency 2 3 2 3 2 5 4 2 2" xfId="26252"/>
    <cellStyle name="Currency 2 3 2 3 2 5 4 3" xfId="26253"/>
    <cellStyle name="Currency 2 3 2 3 2 5 5" xfId="7534"/>
    <cellStyle name="Currency 2 3 2 3 2 5 5 2" xfId="26254"/>
    <cellStyle name="Currency 2 3 2 3 2 5 6" xfId="7535"/>
    <cellStyle name="Currency 2 3 2 3 2 6" xfId="7536"/>
    <cellStyle name="Currency 2 3 2 3 2 6 2" xfId="7537"/>
    <cellStyle name="Currency 2 3 2 3 2 6 2 2" xfId="26255"/>
    <cellStyle name="Currency 2 3 2 3 2 6 3" xfId="26256"/>
    <cellStyle name="Currency 2 3 2 3 2 7" xfId="7538"/>
    <cellStyle name="Currency 2 3 2 3 2 7 2" xfId="7539"/>
    <cellStyle name="Currency 2 3 2 3 2 7 2 2" xfId="26257"/>
    <cellStyle name="Currency 2 3 2 3 2 7 3" xfId="26258"/>
    <cellStyle name="Currency 2 3 2 3 2 8" xfId="7540"/>
    <cellStyle name="Currency 2 3 2 3 2 8 2" xfId="7541"/>
    <cellStyle name="Currency 2 3 2 3 2 8 2 2" xfId="26259"/>
    <cellStyle name="Currency 2 3 2 3 2 8 3" xfId="26260"/>
    <cellStyle name="Currency 2 3 2 3 2 9" xfId="7542"/>
    <cellStyle name="Currency 2 3 2 3 2 9 2" xfId="26261"/>
    <cellStyle name="Currency 2 3 2 3 3" xfId="257"/>
    <cellStyle name="Currency 2 3 2 3 3 10" xfId="7543"/>
    <cellStyle name="Currency 2 3 2 3 3 2" xfId="415"/>
    <cellStyle name="Currency 2 3 2 3 3 2 2" xfId="1203"/>
    <cellStyle name="Currency 2 3 2 3 3 2 2 2" xfId="1557"/>
    <cellStyle name="Currency 2 3 2 3 3 2 2 2 2" xfId="7544"/>
    <cellStyle name="Currency 2 3 2 3 3 2 2 2 2 2" xfId="7545"/>
    <cellStyle name="Currency 2 3 2 3 3 2 2 2 2 2 2" xfId="26262"/>
    <cellStyle name="Currency 2 3 2 3 3 2 2 2 2 3" xfId="26263"/>
    <cellStyle name="Currency 2 3 2 3 3 2 2 2 3" xfId="7546"/>
    <cellStyle name="Currency 2 3 2 3 3 2 2 2 3 2" xfId="7547"/>
    <cellStyle name="Currency 2 3 2 3 3 2 2 2 3 2 2" xfId="26264"/>
    <cellStyle name="Currency 2 3 2 3 3 2 2 2 3 3" xfId="26265"/>
    <cellStyle name="Currency 2 3 2 3 3 2 2 2 4" xfId="7548"/>
    <cellStyle name="Currency 2 3 2 3 3 2 2 2 4 2" xfId="7549"/>
    <cellStyle name="Currency 2 3 2 3 3 2 2 2 4 2 2" xfId="26266"/>
    <cellStyle name="Currency 2 3 2 3 3 2 2 2 4 3" xfId="26267"/>
    <cellStyle name="Currency 2 3 2 3 3 2 2 2 5" xfId="7550"/>
    <cellStyle name="Currency 2 3 2 3 3 2 2 2 5 2" xfId="26268"/>
    <cellStyle name="Currency 2 3 2 3 3 2 2 2 6" xfId="7551"/>
    <cellStyle name="Currency 2 3 2 3 3 2 2 3" xfId="7552"/>
    <cellStyle name="Currency 2 3 2 3 3 2 2 3 2" xfId="7553"/>
    <cellStyle name="Currency 2 3 2 3 3 2 2 3 2 2" xfId="26269"/>
    <cellStyle name="Currency 2 3 2 3 3 2 2 3 3" xfId="26270"/>
    <cellStyle name="Currency 2 3 2 3 3 2 2 4" xfId="7554"/>
    <cellStyle name="Currency 2 3 2 3 3 2 2 4 2" xfId="7555"/>
    <cellStyle name="Currency 2 3 2 3 3 2 2 4 2 2" xfId="26271"/>
    <cellStyle name="Currency 2 3 2 3 3 2 2 4 3" xfId="26272"/>
    <cellStyle name="Currency 2 3 2 3 3 2 2 5" xfId="7556"/>
    <cellStyle name="Currency 2 3 2 3 3 2 2 5 2" xfId="7557"/>
    <cellStyle name="Currency 2 3 2 3 3 2 2 5 2 2" xfId="26273"/>
    <cellStyle name="Currency 2 3 2 3 3 2 2 5 3" xfId="26274"/>
    <cellStyle name="Currency 2 3 2 3 3 2 2 6" xfId="7558"/>
    <cellStyle name="Currency 2 3 2 3 3 2 2 6 2" xfId="26275"/>
    <cellStyle name="Currency 2 3 2 3 3 2 2 7" xfId="7559"/>
    <cellStyle name="Currency 2 3 2 3 3 2 3" xfId="835"/>
    <cellStyle name="Currency 2 3 2 3 3 2 3 2" xfId="1558"/>
    <cellStyle name="Currency 2 3 2 3 3 2 3 2 2" xfId="7560"/>
    <cellStyle name="Currency 2 3 2 3 3 2 3 2 2 2" xfId="7561"/>
    <cellStyle name="Currency 2 3 2 3 3 2 3 2 2 2 2" xfId="26276"/>
    <cellStyle name="Currency 2 3 2 3 3 2 3 2 2 3" xfId="26277"/>
    <cellStyle name="Currency 2 3 2 3 3 2 3 2 3" xfId="7562"/>
    <cellStyle name="Currency 2 3 2 3 3 2 3 2 3 2" xfId="7563"/>
    <cellStyle name="Currency 2 3 2 3 3 2 3 2 3 2 2" xfId="26278"/>
    <cellStyle name="Currency 2 3 2 3 3 2 3 2 3 3" xfId="26279"/>
    <cellStyle name="Currency 2 3 2 3 3 2 3 2 4" xfId="7564"/>
    <cellStyle name="Currency 2 3 2 3 3 2 3 2 4 2" xfId="7565"/>
    <cellStyle name="Currency 2 3 2 3 3 2 3 2 4 2 2" xfId="26280"/>
    <cellStyle name="Currency 2 3 2 3 3 2 3 2 4 3" xfId="26281"/>
    <cellStyle name="Currency 2 3 2 3 3 2 3 2 5" xfId="7566"/>
    <cellStyle name="Currency 2 3 2 3 3 2 3 2 5 2" xfId="26282"/>
    <cellStyle name="Currency 2 3 2 3 3 2 3 2 6" xfId="7567"/>
    <cellStyle name="Currency 2 3 2 3 3 2 3 3" xfId="7568"/>
    <cellStyle name="Currency 2 3 2 3 3 2 3 3 2" xfId="7569"/>
    <cellStyle name="Currency 2 3 2 3 3 2 3 3 2 2" xfId="26283"/>
    <cellStyle name="Currency 2 3 2 3 3 2 3 3 3" xfId="26284"/>
    <cellStyle name="Currency 2 3 2 3 3 2 3 4" xfId="7570"/>
    <cellStyle name="Currency 2 3 2 3 3 2 3 4 2" xfId="7571"/>
    <cellStyle name="Currency 2 3 2 3 3 2 3 4 2 2" xfId="26285"/>
    <cellStyle name="Currency 2 3 2 3 3 2 3 4 3" xfId="26286"/>
    <cellStyle name="Currency 2 3 2 3 3 2 3 5" xfId="7572"/>
    <cellStyle name="Currency 2 3 2 3 3 2 3 5 2" xfId="7573"/>
    <cellStyle name="Currency 2 3 2 3 3 2 3 5 2 2" xfId="26287"/>
    <cellStyle name="Currency 2 3 2 3 3 2 3 5 3" xfId="26288"/>
    <cellStyle name="Currency 2 3 2 3 3 2 3 6" xfId="7574"/>
    <cellStyle name="Currency 2 3 2 3 3 2 3 6 2" xfId="26289"/>
    <cellStyle name="Currency 2 3 2 3 3 2 3 7" xfId="7575"/>
    <cellStyle name="Currency 2 3 2 3 3 2 4" xfId="1559"/>
    <cellStyle name="Currency 2 3 2 3 3 2 4 2" xfId="7576"/>
    <cellStyle name="Currency 2 3 2 3 3 2 4 2 2" xfId="7577"/>
    <cellStyle name="Currency 2 3 2 3 3 2 4 2 2 2" xfId="26290"/>
    <cellStyle name="Currency 2 3 2 3 3 2 4 2 3" xfId="26291"/>
    <cellStyle name="Currency 2 3 2 3 3 2 4 3" xfId="7578"/>
    <cellStyle name="Currency 2 3 2 3 3 2 4 3 2" xfId="7579"/>
    <cellStyle name="Currency 2 3 2 3 3 2 4 3 2 2" xfId="26292"/>
    <cellStyle name="Currency 2 3 2 3 3 2 4 3 3" xfId="26293"/>
    <cellStyle name="Currency 2 3 2 3 3 2 4 4" xfId="7580"/>
    <cellStyle name="Currency 2 3 2 3 3 2 4 4 2" xfId="7581"/>
    <cellStyle name="Currency 2 3 2 3 3 2 4 4 2 2" xfId="26294"/>
    <cellStyle name="Currency 2 3 2 3 3 2 4 4 3" xfId="26295"/>
    <cellStyle name="Currency 2 3 2 3 3 2 4 5" xfId="7582"/>
    <cellStyle name="Currency 2 3 2 3 3 2 4 5 2" xfId="26296"/>
    <cellStyle name="Currency 2 3 2 3 3 2 4 6" xfId="7583"/>
    <cellStyle name="Currency 2 3 2 3 3 2 5" xfId="7584"/>
    <cellStyle name="Currency 2 3 2 3 3 2 5 2" xfId="7585"/>
    <cellStyle name="Currency 2 3 2 3 3 2 5 2 2" xfId="26297"/>
    <cellStyle name="Currency 2 3 2 3 3 2 5 3" xfId="26298"/>
    <cellStyle name="Currency 2 3 2 3 3 2 6" xfId="7586"/>
    <cellStyle name="Currency 2 3 2 3 3 2 6 2" xfId="7587"/>
    <cellStyle name="Currency 2 3 2 3 3 2 6 2 2" xfId="26299"/>
    <cellStyle name="Currency 2 3 2 3 3 2 6 3" xfId="26300"/>
    <cellStyle name="Currency 2 3 2 3 3 2 7" xfId="7588"/>
    <cellStyle name="Currency 2 3 2 3 3 2 7 2" xfId="7589"/>
    <cellStyle name="Currency 2 3 2 3 3 2 7 2 2" xfId="26301"/>
    <cellStyle name="Currency 2 3 2 3 3 2 7 3" xfId="26302"/>
    <cellStyle name="Currency 2 3 2 3 3 2 8" xfId="7590"/>
    <cellStyle name="Currency 2 3 2 3 3 2 8 2" xfId="26303"/>
    <cellStyle name="Currency 2 3 2 3 3 2 9" xfId="7591"/>
    <cellStyle name="Currency 2 3 2 3 3 3" xfId="1045"/>
    <cellStyle name="Currency 2 3 2 3 3 3 2" xfId="1560"/>
    <cellStyle name="Currency 2 3 2 3 3 3 2 2" xfId="7592"/>
    <cellStyle name="Currency 2 3 2 3 3 3 2 2 2" xfId="7593"/>
    <cellStyle name="Currency 2 3 2 3 3 3 2 2 2 2" xfId="26304"/>
    <cellStyle name="Currency 2 3 2 3 3 3 2 2 3" xfId="26305"/>
    <cellStyle name="Currency 2 3 2 3 3 3 2 3" xfId="7594"/>
    <cellStyle name="Currency 2 3 2 3 3 3 2 3 2" xfId="7595"/>
    <cellStyle name="Currency 2 3 2 3 3 3 2 3 2 2" xfId="26306"/>
    <cellStyle name="Currency 2 3 2 3 3 3 2 3 3" xfId="26307"/>
    <cellStyle name="Currency 2 3 2 3 3 3 2 4" xfId="7596"/>
    <cellStyle name="Currency 2 3 2 3 3 3 2 4 2" xfId="7597"/>
    <cellStyle name="Currency 2 3 2 3 3 3 2 4 2 2" xfId="26308"/>
    <cellStyle name="Currency 2 3 2 3 3 3 2 4 3" xfId="26309"/>
    <cellStyle name="Currency 2 3 2 3 3 3 2 5" xfId="7598"/>
    <cellStyle name="Currency 2 3 2 3 3 3 2 5 2" xfId="26310"/>
    <cellStyle name="Currency 2 3 2 3 3 3 2 6" xfId="7599"/>
    <cellStyle name="Currency 2 3 2 3 3 3 3" xfId="7600"/>
    <cellStyle name="Currency 2 3 2 3 3 3 3 2" xfId="7601"/>
    <cellStyle name="Currency 2 3 2 3 3 3 3 2 2" xfId="26311"/>
    <cellStyle name="Currency 2 3 2 3 3 3 3 3" xfId="26312"/>
    <cellStyle name="Currency 2 3 2 3 3 3 4" xfId="7602"/>
    <cellStyle name="Currency 2 3 2 3 3 3 4 2" xfId="7603"/>
    <cellStyle name="Currency 2 3 2 3 3 3 4 2 2" xfId="26313"/>
    <cellStyle name="Currency 2 3 2 3 3 3 4 3" xfId="26314"/>
    <cellStyle name="Currency 2 3 2 3 3 3 5" xfId="7604"/>
    <cellStyle name="Currency 2 3 2 3 3 3 5 2" xfId="7605"/>
    <cellStyle name="Currency 2 3 2 3 3 3 5 2 2" xfId="26315"/>
    <cellStyle name="Currency 2 3 2 3 3 3 5 3" xfId="26316"/>
    <cellStyle name="Currency 2 3 2 3 3 3 6" xfId="7606"/>
    <cellStyle name="Currency 2 3 2 3 3 3 6 2" xfId="26317"/>
    <cellStyle name="Currency 2 3 2 3 3 3 7" xfId="7607"/>
    <cellStyle name="Currency 2 3 2 3 3 4" xfId="677"/>
    <cellStyle name="Currency 2 3 2 3 3 4 2" xfId="1561"/>
    <cellStyle name="Currency 2 3 2 3 3 4 2 2" xfId="7608"/>
    <cellStyle name="Currency 2 3 2 3 3 4 2 2 2" xfId="7609"/>
    <cellStyle name="Currency 2 3 2 3 3 4 2 2 2 2" xfId="26318"/>
    <cellStyle name="Currency 2 3 2 3 3 4 2 2 3" xfId="26319"/>
    <cellStyle name="Currency 2 3 2 3 3 4 2 3" xfId="7610"/>
    <cellStyle name="Currency 2 3 2 3 3 4 2 3 2" xfId="7611"/>
    <cellStyle name="Currency 2 3 2 3 3 4 2 3 2 2" xfId="26320"/>
    <cellStyle name="Currency 2 3 2 3 3 4 2 3 3" xfId="26321"/>
    <cellStyle name="Currency 2 3 2 3 3 4 2 4" xfId="7612"/>
    <cellStyle name="Currency 2 3 2 3 3 4 2 4 2" xfId="7613"/>
    <cellStyle name="Currency 2 3 2 3 3 4 2 4 2 2" xfId="26322"/>
    <cellStyle name="Currency 2 3 2 3 3 4 2 4 3" xfId="26323"/>
    <cellStyle name="Currency 2 3 2 3 3 4 2 5" xfId="7614"/>
    <cellStyle name="Currency 2 3 2 3 3 4 2 5 2" xfId="26324"/>
    <cellStyle name="Currency 2 3 2 3 3 4 2 6" xfId="7615"/>
    <cellStyle name="Currency 2 3 2 3 3 4 3" xfId="7616"/>
    <cellStyle name="Currency 2 3 2 3 3 4 3 2" xfId="7617"/>
    <cellStyle name="Currency 2 3 2 3 3 4 3 2 2" xfId="26325"/>
    <cellStyle name="Currency 2 3 2 3 3 4 3 3" xfId="26326"/>
    <cellStyle name="Currency 2 3 2 3 3 4 4" xfId="7618"/>
    <cellStyle name="Currency 2 3 2 3 3 4 4 2" xfId="7619"/>
    <cellStyle name="Currency 2 3 2 3 3 4 4 2 2" xfId="26327"/>
    <cellStyle name="Currency 2 3 2 3 3 4 4 3" xfId="26328"/>
    <cellStyle name="Currency 2 3 2 3 3 4 5" xfId="7620"/>
    <cellStyle name="Currency 2 3 2 3 3 4 5 2" xfId="7621"/>
    <cellStyle name="Currency 2 3 2 3 3 4 5 2 2" xfId="26329"/>
    <cellStyle name="Currency 2 3 2 3 3 4 5 3" xfId="26330"/>
    <cellStyle name="Currency 2 3 2 3 3 4 6" xfId="7622"/>
    <cellStyle name="Currency 2 3 2 3 3 4 6 2" xfId="26331"/>
    <cellStyle name="Currency 2 3 2 3 3 4 7" xfId="7623"/>
    <cellStyle name="Currency 2 3 2 3 3 5" xfId="1562"/>
    <cellStyle name="Currency 2 3 2 3 3 5 2" xfId="7624"/>
    <cellStyle name="Currency 2 3 2 3 3 5 2 2" xfId="7625"/>
    <cellStyle name="Currency 2 3 2 3 3 5 2 2 2" xfId="26332"/>
    <cellStyle name="Currency 2 3 2 3 3 5 2 3" xfId="26333"/>
    <cellStyle name="Currency 2 3 2 3 3 5 3" xfId="7626"/>
    <cellStyle name="Currency 2 3 2 3 3 5 3 2" xfId="7627"/>
    <cellStyle name="Currency 2 3 2 3 3 5 3 2 2" xfId="26334"/>
    <cellStyle name="Currency 2 3 2 3 3 5 3 3" xfId="26335"/>
    <cellStyle name="Currency 2 3 2 3 3 5 4" xfId="7628"/>
    <cellStyle name="Currency 2 3 2 3 3 5 4 2" xfId="7629"/>
    <cellStyle name="Currency 2 3 2 3 3 5 4 2 2" xfId="26336"/>
    <cellStyle name="Currency 2 3 2 3 3 5 4 3" xfId="26337"/>
    <cellStyle name="Currency 2 3 2 3 3 5 5" xfId="7630"/>
    <cellStyle name="Currency 2 3 2 3 3 5 5 2" xfId="26338"/>
    <cellStyle name="Currency 2 3 2 3 3 5 6" xfId="7631"/>
    <cellStyle name="Currency 2 3 2 3 3 6" xfId="7632"/>
    <cellStyle name="Currency 2 3 2 3 3 6 2" xfId="7633"/>
    <cellStyle name="Currency 2 3 2 3 3 6 2 2" xfId="26339"/>
    <cellStyle name="Currency 2 3 2 3 3 6 3" xfId="26340"/>
    <cellStyle name="Currency 2 3 2 3 3 7" xfId="7634"/>
    <cellStyle name="Currency 2 3 2 3 3 7 2" xfId="7635"/>
    <cellStyle name="Currency 2 3 2 3 3 7 2 2" xfId="26341"/>
    <cellStyle name="Currency 2 3 2 3 3 7 3" xfId="26342"/>
    <cellStyle name="Currency 2 3 2 3 3 8" xfId="7636"/>
    <cellStyle name="Currency 2 3 2 3 3 8 2" xfId="7637"/>
    <cellStyle name="Currency 2 3 2 3 3 8 2 2" xfId="26343"/>
    <cellStyle name="Currency 2 3 2 3 3 8 3" xfId="26344"/>
    <cellStyle name="Currency 2 3 2 3 3 9" xfId="7638"/>
    <cellStyle name="Currency 2 3 2 3 3 9 2" xfId="26345"/>
    <cellStyle name="Currency 2 3 2 3 4" xfId="165"/>
    <cellStyle name="Currency 2 3 2 3 4 2" xfId="953"/>
    <cellStyle name="Currency 2 3 2 3 4 2 2" xfId="1563"/>
    <cellStyle name="Currency 2 3 2 3 4 2 2 2" xfId="7639"/>
    <cellStyle name="Currency 2 3 2 3 4 2 2 2 2" xfId="7640"/>
    <cellStyle name="Currency 2 3 2 3 4 2 2 2 2 2" xfId="26346"/>
    <cellStyle name="Currency 2 3 2 3 4 2 2 2 3" xfId="26347"/>
    <cellStyle name="Currency 2 3 2 3 4 2 2 3" xfId="7641"/>
    <cellStyle name="Currency 2 3 2 3 4 2 2 3 2" xfId="7642"/>
    <cellStyle name="Currency 2 3 2 3 4 2 2 3 2 2" xfId="26348"/>
    <cellStyle name="Currency 2 3 2 3 4 2 2 3 3" xfId="26349"/>
    <cellStyle name="Currency 2 3 2 3 4 2 2 4" xfId="7643"/>
    <cellStyle name="Currency 2 3 2 3 4 2 2 4 2" xfId="7644"/>
    <cellStyle name="Currency 2 3 2 3 4 2 2 4 2 2" xfId="26350"/>
    <cellStyle name="Currency 2 3 2 3 4 2 2 4 3" xfId="26351"/>
    <cellStyle name="Currency 2 3 2 3 4 2 2 5" xfId="7645"/>
    <cellStyle name="Currency 2 3 2 3 4 2 2 5 2" xfId="26352"/>
    <cellStyle name="Currency 2 3 2 3 4 2 2 6" xfId="7646"/>
    <cellStyle name="Currency 2 3 2 3 4 2 3" xfId="7647"/>
    <cellStyle name="Currency 2 3 2 3 4 2 3 2" xfId="7648"/>
    <cellStyle name="Currency 2 3 2 3 4 2 3 2 2" xfId="26353"/>
    <cellStyle name="Currency 2 3 2 3 4 2 3 3" xfId="26354"/>
    <cellStyle name="Currency 2 3 2 3 4 2 4" xfId="7649"/>
    <cellStyle name="Currency 2 3 2 3 4 2 4 2" xfId="7650"/>
    <cellStyle name="Currency 2 3 2 3 4 2 4 2 2" xfId="26355"/>
    <cellStyle name="Currency 2 3 2 3 4 2 4 3" xfId="26356"/>
    <cellStyle name="Currency 2 3 2 3 4 2 5" xfId="7651"/>
    <cellStyle name="Currency 2 3 2 3 4 2 5 2" xfId="7652"/>
    <cellStyle name="Currency 2 3 2 3 4 2 5 2 2" xfId="26357"/>
    <cellStyle name="Currency 2 3 2 3 4 2 5 3" xfId="26358"/>
    <cellStyle name="Currency 2 3 2 3 4 2 6" xfId="7653"/>
    <cellStyle name="Currency 2 3 2 3 4 2 6 2" xfId="26359"/>
    <cellStyle name="Currency 2 3 2 3 4 2 7" xfId="7654"/>
    <cellStyle name="Currency 2 3 2 3 4 3" xfId="585"/>
    <cellStyle name="Currency 2 3 2 3 4 3 2" xfId="1564"/>
    <cellStyle name="Currency 2 3 2 3 4 3 2 2" xfId="7655"/>
    <cellStyle name="Currency 2 3 2 3 4 3 2 2 2" xfId="7656"/>
    <cellStyle name="Currency 2 3 2 3 4 3 2 2 2 2" xfId="26360"/>
    <cellStyle name="Currency 2 3 2 3 4 3 2 2 3" xfId="26361"/>
    <cellStyle name="Currency 2 3 2 3 4 3 2 3" xfId="7657"/>
    <cellStyle name="Currency 2 3 2 3 4 3 2 3 2" xfId="7658"/>
    <cellStyle name="Currency 2 3 2 3 4 3 2 3 2 2" xfId="26362"/>
    <cellStyle name="Currency 2 3 2 3 4 3 2 3 3" xfId="26363"/>
    <cellStyle name="Currency 2 3 2 3 4 3 2 4" xfId="7659"/>
    <cellStyle name="Currency 2 3 2 3 4 3 2 4 2" xfId="7660"/>
    <cellStyle name="Currency 2 3 2 3 4 3 2 4 2 2" xfId="26364"/>
    <cellStyle name="Currency 2 3 2 3 4 3 2 4 3" xfId="26365"/>
    <cellStyle name="Currency 2 3 2 3 4 3 2 5" xfId="7661"/>
    <cellStyle name="Currency 2 3 2 3 4 3 2 5 2" xfId="26366"/>
    <cellStyle name="Currency 2 3 2 3 4 3 2 6" xfId="7662"/>
    <cellStyle name="Currency 2 3 2 3 4 3 3" xfId="7663"/>
    <cellStyle name="Currency 2 3 2 3 4 3 3 2" xfId="7664"/>
    <cellStyle name="Currency 2 3 2 3 4 3 3 2 2" xfId="26367"/>
    <cellStyle name="Currency 2 3 2 3 4 3 3 3" xfId="26368"/>
    <cellStyle name="Currency 2 3 2 3 4 3 4" xfId="7665"/>
    <cellStyle name="Currency 2 3 2 3 4 3 4 2" xfId="7666"/>
    <cellStyle name="Currency 2 3 2 3 4 3 4 2 2" xfId="26369"/>
    <cellStyle name="Currency 2 3 2 3 4 3 4 3" xfId="26370"/>
    <cellStyle name="Currency 2 3 2 3 4 3 5" xfId="7667"/>
    <cellStyle name="Currency 2 3 2 3 4 3 5 2" xfId="7668"/>
    <cellStyle name="Currency 2 3 2 3 4 3 5 2 2" xfId="26371"/>
    <cellStyle name="Currency 2 3 2 3 4 3 5 3" xfId="26372"/>
    <cellStyle name="Currency 2 3 2 3 4 3 6" xfId="7669"/>
    <cellStyle name="Currency 2 3 2 3 4 3 6 2" xfId="26373"/>
    <cellStyle name="Currency 2 3 2 3 4 3 7" xfId="7670"/>
    <cellStyle name="Currency 2 3 2 3 4 4" xfId="1565"/>
    <cellStyle name="Currency 2 3 2 3 4 4 2" xfId="7671"/>
    <cellStyle name="Currency 2 3 2 3 4 4 2 2" xfId="7672"/>
    <cellStyle name="Currency 2 3 2 3 4 4 2 2 2" xfId="26374"/>
    <cellStyle name="Currency 2 3 2 3 4 4 2 3" xfId="26375"/>
    <cellStyle name="Currency 2 3 2 3 4 4 3" xfId="7673"/>
    <cellStyle name="Currency 2 3 2 3 4 4 3 2" xfId="7674"/>
    <cellStyle name="Currency 2 3 2 3 4 4 3 2 2" xfId="26376"/>
    <cellStyle name="Currency 2 3 2 3 4 4 3 3" xfId="26377"/>
    <cellStyle name="Currency 2 3 2 3 4 4 4" xfId="7675"/>
    <cellStyle name="Currency 2 3 2 3 4 4 4 2" xfId="7676"/>
    <cellStyle name="Currency 2 3 2 3 4 4 4 2 2" xfId="26378"/>
    <cellStyle name="Currency 2 3 2 3 4 4 4 3" xfId="26379"/>
    <cellStyle name="Currency 2 3 2 3 4 4 5" xfId="7677"/>
    <cellStyle name="Currency 2 3 2 3 4 4 5 2" xfId="26380"/>
    <cellStyle name="Currency 2 3 2 3 4 4 6" xfId="7678"/>
    <cellStyle name="Currency 2 3 2 3 4 5" xfId="7679"/>
    <cellStyle name="Currency 2 3 2 3 4 5 2" xfId="7680"/>
    <cellStyle name="Currency 2 3 2 3 4 5 2 2" xfId="26381"/>
    <cellStyle name="Currency 2 3 2 3 4 5 3" xfId="26382"/>
    <cellStyle name="Currency 2 3 2 3 4 6" xfId="7681"/>
    <cellStyle name="Currency 2 3 2 3 4 6 2" xfId="7682"/>
    <cellStyle name="Currency 2 3 2 3 4 6 2 2" xfId="26383"/>
    <cellStyle name="Currency 2 3 2 3 4 6 3" xfId="26384"/>
    <cellStyle name="Currency 2 3 2 3 4 7" xfId="7683"/>
    <cellStyle name="Currency 2 3 2 3 4 7 2" xfId="7684"/>
    <cellStyle name="Currency 2 3 2 3 4 7 2 2" xfId="26385"/>
    <cellStyle name="Currency 2 3 2 3 4 7 3" xfId="26386"/>
    <cellStyle name="Currency 2 3 2 3 4 8" xfId="7685"/>
    <cellStyle name="Currency 2 3 2 3 4 8 2" xfId="26387"/>
    <cellStyle name="Currency 2 3 2 3 4 9" xfId="7686"/>
    <cellStyle name="Currency 2 3 2 3 5" xfId="323"/>
    <cellStyle name="Currency 2 3 2 3 5 2" xfId="1111"/>
    <cellStyle name="Currency 2 3 2 3 5 2 2" xfId="1566"/>
    <cellStyle name="Currency 2 3 2 3 5 2 2 2" xfId="7687"/>
    <cellStyle name="Currency 2 3 2 3 5 2 2 2 2" xfId="7688"/>
    <cellStyle name="Currency 2 3 2 3 5 2 2 2 2 2" xfId="26388"/>
    <cellStyle name="Currency 2 3 2 3 5 2 2 2 3" xfId="26389"/>
    <cellStyle name="Currency 2 3 2 3 5 2 2 3" xfId="7689"/>
    <cellStyle name="Currency 2 3 2 3 5 2 2 3 2" xfId="7690"/>
    <cellStyle name="Currency 2 3 2 3 5 2 2 3 2 2" xfId="26390"/>
    <cellStyle name="Currency 2 3 2 3 5 2 2 3 3" xfId="26391"/>
    <cellStyle name="Currency 2 3 2 3 5 2 2 4" xfId="7691"/>
    <cellStyle name="Currency 2 3 2 3 5 2 2 4 2" xfId="7692"/>
    <cellStyle name="Currency 2 3 2 3 5 2 2 4 2 2" xfId="26392"/>
    <cellStyle name="Currency 2 3 2 3 5 2 2 4 3" xfId="26393"/>
    <cellStyle name="Currency 2 3 2 3 5 2 2 5" xfId="7693"/>
    <cellStyle name="Currency 2 3 2 3 5 2 2 5 2" xfId="26394"/>
    <cellStyle name="Currency 2 3 2 3 5 2 2 6" xfId="7694"/>
    <cellStyle name="Currency 2 3 2 3 5 2 3" xfId="7695"/>
    <cellStyle name="Currency 2 3 2 3 5 2 3 2" xfId="7696"/>
    <cellStyle name="Currency 2 3 2 3 5 2 3 2 2" xfId="26395"/>
    <cellStyle name="Currency 2 3 2 3 5 2 3 3" xfId="26396"/>
    <cellStyle name="Currency 2 3 2 3 5 2 4" xfId="7697"/>
    <cellStyle name="Currency 2 3 2 3 5 2 4 2" xfId="7698"/>
    <cellStyle name="Currency 2 3 2 3 5 2 4 2 2" xfId="26397"/>
    <cellStyle name="Currency 2 3 2 3 5 2 4 3" xfId="26398"/>
    <cellStyle name="Currency 2 3 2 3 5 2 5" xfId="7699"/>
    <cellStyle name="Currency 2 3 2 3 5 2 5 2" xfId="7700"/>
    <cellStyle name="Currency 2 3 2 3 5 2 5 2 2" xfId="26399"/>
    <cellStyle name="Currency 2 3 2 3 5 2 5 3" xfId="26400"/>
    <cellStyle name="Currency 2 3 2 3 5 2 6" xfId="7701"/>
    <cellStyle name="Currency 2 3 2 3 5 2 6 2" xfId="26401"/>
    <cellStyle name="Currency 2 3 2 3 5 2 7" xfId="7702"/>
    <cellStyle name="Currency 2 3 2 3 5 3" xfId="743"/>
    <cellStyle name="Currency 2 3 2 3 5 3 2" xfId="1567"/>
    <cellStyle name="Currency 2 3 2 3 5 3 2 2" xfId="7703"/>
    <cellStyle name="Currency 2 3 2 3 5 3 2 2 2" xfId="7704"/>
    <cellStyle name="Currency 2 3 2 3 5 3 2 2 2 2" xfId="26402"/>
    <cellStyle name="Currency 2 3 2 3 5 3 2 2 3" xfId="26403"/>
    <cellStyle name="Currency 2 3 2 3 5 3 2 3" xfId="7705"/>
    <cellStyle name="Currency 2 3 2 3 5 3 2 3 2" xfId="7706"/>
    <cellStyle name="Currency 2 3 2 3 5 3 2 3 2 2" xfId="26404"/>
    <cellStyle name="Currency 2 3 2 3 5 3 2 3 3" xfId="26405"/>
    <cellStyle name="Currency 2 3 2 3 5 3 2 4" xfId="7707"/>
    <cellStyle name="Currency 2 3 2 3 5 3 2 4 2" xfId="7708"/>
    <cellStyle name="Currency 2 3 2 3 5 3 2 4 2 2" xfId="26406"/>
    <cellStyle name="Currency 2 3 2 3 5 3 2 4 3" xfId="26407"/>
    <cellStyle name="Currency 2 3 2 3 5 3 2 5" xfId="7709"/>
    <cellStyle name="Currency 2 3 2 3 5 3 2 5 2" xfId="26408"/>
    <cellStyle name="Currency 2 3 2 3 5 3 2 6" xfId="7710"/>
    <cellStyle name="Currency 2 3 2 3 5 3 3" xfId="7711"/>
    <cellStyle name="Currency 2 3 2 3 5 3 3 2" xfId="7712"/>
    <cellStyle name="Currency 2 3 2 3 5 3 3 2 2" xfId="26409"/>
    <cellStyle name="Currency 2 3 2 3 5 3 3 3" xfId="26410"/>
    <cellStyle name="Currency 2 3 2 3 5 3 4" xfId="7713"/>
    <cellStyle name="Currency 2 3 2 3 5 3 4 2" xfId="7714"/>
    <cellStyle name="Currency 2 3 2 3 5 3 4 2 2" xfId="26411"/>
    <cellStyle name="Currency 2 3 2 3 5 3 4 3" xfId="26412"/>
    <cellStyle name="Currency 2 3 2 3 5 3 5" xfId="7715"/>
    <cellStyle name="Currency 2 3 2 3 5 3 5 2" xfId="7716"/>
    <cellStyle name="Currency 2 3 2 3 5 3 5 2 2" xfId="26413"/>
    <cellStyle name="Currency 2 3 2 3 5 3 5 3" xfId="26414"/>
    <cellStyle name="Currency 2 3 2 3 5 3 6" xfId="7717"/>
    <cellStyle name="Currency 2 3 2 3 5 3 6 2" xfId="26415"/>
    <cellStyle name="Currency 2 3 2 3 5 3 7" xfId="7718"/>
    <cellStyle name="Currency 2 3 2 3 5 4" xfId="1568"/>
    <cellStyle name="Currency 2 3 2 3 5 4 2" xfId="7719"/>
    <cellStyle name="Currency 2 3 2 3 5 4 2 2" xfId="7720"/>
    <cellStyle name="Currency 2 3 2 3 5 4 2 2 2" xfId="26416"/>
    <cellStyle name="Currency 2 3 2 3 5 4 2 3" xfId="26417"/>
    <cellStyle name="Currency 2 3 2 3 5 4 3" xfId="7721"/>
    <cellStyle name="Currency 2 3 2 3 5 4 3 2" xfId="7722"/>
    <cellStyle name="Currency 2 3 2 3 5 4 3 2 2" xfId="26418"/>
    <cellStyle name="Currency 2 3 2 3 5 4 3 3" xfId="26419"/>
    <cellStyle name="Currency 2 3 2 3 5 4 4" xfId="7723"/>
    <cellStyle name="Currency 2 3 2 3 5 4 4 2" xfId="7724"/>
    <cellStyle name="Currency 2 3 2 3 5 4 4 2 2" xfId="26420"/>
    <cellStyle name="Currency 2 3 2 3 5 4 4 3" xfId="26421"/>
    <cellStyle name="Currency 2 3 2 3 5 4 5" xfId="7725"/>
    <cellStyle name="Currency 2 3 2 3 5 4 5 2" xfId="26422"/>
    <cellStyle name="Currency 2 3 2 3 5 4 6" xfId="7726"/>
    <cellStyle name="Currency 2 3 2 3 5 5" xfId="7727"/>
    <cellStyle name="Currency 2 3 2 3 5 5 2" xfId="7728"/>
    <cellStyle name="Currency 2 3 2 3 5 5 2 2" xfId="26423"/>
    <cellStyle name="Currency 2 3 2 3 5 5 3" xfId="26424"/>
    <cellStyle name="Currency 2 3 2 3 5 6" xfId="7729"/>
    <cellStyle name="Currency 2 3 2 3 5 6 2" xfId="7730"/>
    <cellStyle name="Currency 2 3 2 3 5 6 2 2" xfId="26425"/>
    <cellStyle name="Currency 2 3 2 3 5 6 3" xfId="26426"/>
    <cellStyle name="Currency 2 3 2 3 5 7" xfId="7731"/>
    <cellStyle name="Currency 2 3 2 3 5 7 2" xfId="7732"/>
    <cellStyle name="Currency 2 3 2 3 5 7 2 2" xfId="26427"/>
    <cellStyle name="Currency 2 3 2 3 5 7 3" xfId="26428"/>
    <cellStyle name="Currency 2 3 2 3 5 8" xfId="7733"/>
    <cellStyle name="Currency 2 3 2 3 5 8 2" xfId="26429"/>
    <cellStyle name="Currency 2 3 2 3 5 9" xfId="7734"/>
    <cellStyle name="Currency 2 3 2 3 6" xfId="112"/>
    <cellStyle name="Currency 2 3 2 3 6 2" xfId="533"/>
    <cellStyle name="Currency 2 3 2 3 6 2 2" xfId="1569"/>
    <cellStyle name="Currency 2 3 2 3 6 2 2 2" xfId="7735"/>
    <cellStyle name="Currency 2 3 2 3 6 2 2 2 2" xfId="7736"/>
    <cellStyle name="Currency 2 3 2 3 6 2 2 2 2 2" xfId="26430"/>
    <cellStyle name="Currency 2 3 2 3 6 2 2 2 3" xfId="26431"/>
    <cellStyle name="Currency 2 3 2 3 6 2 2 3" xfId="7737"/>
    <cellStyle name="Currency 2 3 2 3 6 2 2 3 2" xfId="7738"/>
    <cellStyle name="Currency 2 3 2 3 6 2 2 3 2 2" xfId="26432"/>
    <cellStyle name="Currency 2 3 2 3 6 2 2 3 3" xfId="26433"/>
    <cellStyle name="Currency 2 3 2 3 6 2 2 4" xfId="7739"/>
    <cellStyle name="Currency 2 3 2 3 6 2 2 4 2" xfId="7740"/>
    <cellStyle name="Currency 2 3 2 3 6 2 2 4 2 2" xfId="26434"/>
    <cellStyle name="Currency 2 3 2 3 6 2 2 4 3" xfId="26435"/>
    <cellStyle name="Currency 2 3 2 3 6 2 2 5" xfId="7741"/>
    <cellStyle name="Currency 2 3 2 3 6 2 2 5 2" xfId="26436"/>
    <cellStyle name="Currency 2 3 2 3 6 2 2 6" xfId="7742"/>
    <cellStyle name="Currency 2 3 2 3 6 2 3" xfId="7743"/>
    <cellStyle name="Currency 2 3 2 3 6 2 3 2" xfId="7744"/>
    <cellStyle name="Currency 2 3 2 3 6 2 3 2 2" xfId="26437"/>
    <cellStyle name="Currency 2 3 2 3 6 2 3 3" xfId="26438"/>
    <cellStyle name="Currency 2 3 2 3 6 2 4" xfId="7745"/>
    <cellStyle name="Currency 2 3 2 3 6 2 4 2" xfId="7746"/>
    <cellStyle name="Currency 2 3 2 3 6 2 4 2 2" xfId="26439"/>
    <cellStyle name="Currency 2 3 2 3 6 2 4 3" xfId="26440"/>
    <cellStyle name="Currency 2 3 2 3 6 2 5" xfId="7747"/>
    <cellStyle name="Currency 2 3 2 3 6 2 5 2" xfId="7748"/>
    <cellStyle name="Currency 2 3 2 3 6 2 5 2 2" xfId="26441"/>
    <cellStyle name="Currency 2 3 2 3 6 2 5 3" xfId="26442"/>
    <cellStyle name="Currency 2 3 2 3 6 2 6" xfId="7749"/>
    <cellStyle name="Currency 2 3 2 3 6 2 6 2" xfId="26443"/>
    <cellStyle name="Currency 2 3 2 3 6 2 7" xfId="7750"/>
    <cellStyle name="Currency 2 3 2 3 6 3" xfId="1570"/>
    <cellStyle name="Currency 2 3 2 3 6 3 2" xfId="7751"/>
    <cellStyle name="Currency 2 3 2 3 6 3 2 2" xfId="7752"/>
    <cellStyle name="Currency 2 3 2 3 6 3 2 2 2" xfId="26444"/>
    <cellStyle name="Currency 2 3 2 3 6 3 2 3" xfId="26445"/>
    <cellStyle name="Currency 2 3 2 3 6 3 3" xfId="7753"/>
    <cellStyle name="Currency 2 3 2 3 6 3 3 2" xfId="7754"/>
    <cellStyle name="Currency 2 3 2 3 6 3 3 2 2" xfId="26446"/>
    <cellStyle name="Currency 2 3 2 3 6 3 3 3" xfId="26447"/>
    <cellStyle name="Currency 2 3 2 3 6 3 4" xfId="7755"/>
    <cellStyle name="Currency 2 3 2 3 6 3 4 2" xfId="7756"/>
    <cellStyle name="Currency 2 3 2 3 6 3 4 2 2" xfId="26448"/>
    <cellStyle name="Currency 2 3 2 3 6 3 4 3" xfId="26449"/>
    <cellStyle name="Currency 2 3 2 3 6 3 5" xfId="7757"/>
    <cellStyle name="Currency 2 3 2 3 6 3 5 2" xfId="26450"/>
    <cellStyle name="Currency 2 3 2 3 6 3 6" xfId="7758"/>
    <cellStyle name="Currency 2 3 2 3 6 4" xfId="7759"/>
    <cellStyle name="Currency 2 3 2 3 6 4 2" xfId="7760"/>
    <cellStyle name="Currency 2 3 2 3 6 4 2 2" xfId="26451"/>
    <cellStyle name="Currency 2 3 2 3 6 4 3" xfId="26452"/>
    <cellStyle name="Currency 2 3 2 3 6 5" xfId="7761"/>
    <cellStyle name="Currency 2 3 2 3 6 5 2" xfId="7762"/>
    <cellStyle name="Currency 2 3 2 3 6 5 2 2" xfId="26453"/>
    <cellStyle name="Currency 2 3 2 3 6 5 3" xfId="26454"/>
    <cellStyle name="Currency 2 3 2 3 6 6" xfId="7763"/>
    <cellStyle name="Currency 2 3 2 3 6 6 2" xfId="7764"/>
    <cellStyle name="Currency 2 3 2 3 6 6 2 2" xfId="26455"/>
    <cellStyle name="Currency 2 3 2 3 6 6 3" xfId="26456"/>
    <cellStyle name="Currency 2 3 2 3 6 7" xfId="7765"/>
    <cellStyle name="Currency 2 3 2 3 6 7 2" xfId="26457"/>
    <cellStyle name="Currency 2 3 2 3 6 8" xfId="7766"/>
    <cellStyle name="Currency 2 3 2 3 7" xfId="901"/>
    <cellStyle name="Currency 2 3 2 3 7 2" xfId="1571"/>
    <cellStyle name="Currency 2 3 2 3 7 2 2" xfId="7767"/>
    <cellStyle name="Currency 2 3 2 3 7 2 2 2" xfId="7768"/>
    <cellStyle name="Currency 2 3 2 3 7 2 2 2 2" xfId="26458"/>
    <cellStyle name="Currency 2 3 2 3 7 2 2 3" xfId="26459"/>
    <cellStyle name="Currency 2 3 2 3 7 2 3" xfId="7769"/>
    <cellStyle name="Currency 2 3 2 3 7 2 3 2" xfId="7770"/>
    <cellStyle name="Currency 2 3 2 3 7 2 3 2 2" xfId="26460"/>
    <cellStyle name="Currency 2 3 2 3 7 2 3 3" xfId="26461"/>
    <cellStyle name="Currency 2 3 2 3 7 2 4" xfId="7771"/>
    <cellStyle name="Currency 2 3 2 3 7 2 4 2" xfId="7772"/>
    <cellStyle name="Currency 2 3 2 3 7 2 4 2 2" xfId="26462"/>
    <cellStyle name="Currency 2 3 2 3 7 2 4 3" xfId="26463"/>
    <cellStyle name="Currency 2 3 2 3 7 2 5" xfId="7773"/>
    <cellStyle name="Currency 2 3 2 3 7 2 5 2" xfId="26464"/>
    <cellStyle name="Currency 2 3 2 3 7 2 6" xfId="7774"/>
    <cellStyle name="Currency 2 3 2 3 7 3" xfId="7775"/>
    <cellStyle name="Currency 2 3 2 3 7 3 2" xfId="7776"/>
    <cellStyle name="Currency 2 3 2 3 7 3 2 2" xfId="26465"/>
    <cellStyle name="Currency 2 3 2 3 7 3 3" xfId="26466"/>
    <cellStyle name="Currency 2 3 2 3 7 4" xfId="7777"/>
    <cellStyle name="Currency 2 3 2 3 7 4 2" xfId="7778"/>
    <cellStyle name="Currency 2 3 2 3 7 4 2 2" xfId="26467"/>
    <cellStyle name="Currency 2 3 2 3 7 4 3" xfId="26468"/>
    <cellStyle name="Currency 2 3 2 3 7 5" xfId="7779"/>
    <cellStyle name="Currency 2 3 2 3 7 5 2" xfId="7780"/>
    <cellStyle name="Currency 2 3 2 3 7 5 2 2" xfId="26469"/>
    <cellStyle name="Currency 2 3 2 3 7 5 3" xfId="26470"/>
    <cellStyle name="Currency 2 3 2 3 7 6" xfId="7781"/>
    <cellStyle name="Currency 2 3 2 3 7 6 2" xfId="26471"/>
    <cellStyle name="Currency 2 3 2 3 7 7" xfId="7782"/>
    <cellStyle name="Currency 2 3 2 3 8" xfId="473"/>
    <cellStyle name="Currency 2 3 2 3 8 2" xfId="1572"/>
    <cellStyle name="Currency 2 3 2 3 8 2 2" xfId="7783"/>
    <cellStyle name="Currency 2 3 2 3 8 2 2 2" xfId="7784"/>
    <cellStyle name="Currency 2 3 2 3 8 2 2 2 2" xfId="26472"/>
    <cellStyle name="Currency 2 3 2 3 8 2 2 3" xfId="26473"/>
    <cellStyle name="Currency 2 3 2 3 8 2 3" xfId="7785"/>
    <cellStyle name="Currency 2 3 2 3 8 2 3 2" xfId="7786"/>
    <cellStyle name="Currency 2 3 2 3 8 2 3 2 2" xfId="26474"/>
    <cellStyle name="Currency 2 3 2 3 8 2 3 3" xfId="26475"/>
    <cellStyle name="Currency 2 3 2 3 8 2 4" xfId="7787"/>
    <cellStyle name="Currency 2 3 2 3 8 2 4 2" xfId="7788"/>
    <cellStyle name="Currency 2 3 2 3 8 2 4 2 2" xfId="26476"/>
    <cellStyle name="Currency 2 3 2 3 8 2 4 3" xfId="26477"/>
    <cellStyle name="Currency 2 3 2 3 8 2 5" xfId="7789"/>
    <cellStyle name="Currency 2 3 2 3 8 2 5 2" xfId="26478"/>
    <cellStyle name="Currency 2 3 2 3 8 2 6" xfId="7790"/>
    <cellStyle name="Currency 2 3 2 3 8 3" xfId="7791"/>
    <cellStyle name="Currency 2 3 2 3 8 3 2" xfId="7792"/>
    <cellStyle name="Currency 2 3 2 3 8 3 2 2" xfId="26479"/>
    <cellStyle name="Currency 2 3 2 3 8 3 3" xfId="26480"/>
    <cellStyle name="Currency 2 3 2 3 8 4" xfId="7793"/>
    <cellStyle name="Currency 2 3 2 3 8 4 2" xfId="7794"/>
    <cellStyle name="Currency 2 3 2 3 8 4 2 2" xfId="26481"/>
    <cellStyle name="Currency 2 3 2 3 8 4 3" xfId="26482"/>
    <cellStyle name="Currency 2 3 2 3 8 5" xfId="7795"/>
    <cellStyle name="Currency 2 3 2 3 8 5 2" xfId="7796"/>
    <cellStyle name="Currency 2 3 2 3 8 5 2 2" xfId="26483"/>
    <cellStyle name="Currency 2 3 2 3 8 5 3" xfId="26484"/>
    <cellStyle name="Currency 2 3 2 3 8 6" xfId="7797"/>
    <cellStyle name="Currency 2 3 2 3 8 6 2" xfId="26485"/>
    <cellStyle name="Currency 2 3 2 3 8 7" xfId="7798"/>
    <cellStyle name="Currency 2 3 2 3 9" xfId="1573"/>
    <cellStyle name="Currency 2 3 2 3 9 2" xfId="7799"/>
    <cellStyle name="Currency 2 3 2 3 9 2 2" xfId="7800"/>
    <cellStyle name="Currency 2 3 2 3 9 2 2 2" xfId="26486"/>
    <cellStyle name="Currency 2 3 2 3 9 2 3" xfId="26487"/>
    <cellStyle name="Currency 2 3 2 3 9 3" xfId="7801"/>
    <cellStyle name="Currency 2 3 2 3 9 3 2" xfId="7802"/>
    <cellStyle name="Currency 2 3 2 3 9 3 2 2" xfId="26488"/>
    <cellStyle name="Currency 2 3 2 3 9 3 3" xfId="26489"/>
    <cellStyle name="Currency 2 3 2 3 9 4" xfId="7803"/>
    <cellStyle name="Currency 2 3 2 3 9 4 2" xfId="7804"/>
    <cellStyle name="Currency 2 3 2 3 9 4 2 2" xfId="26490"/>
    <cellStyle name="Currency 2 3 2 3 9 4 3" xfId="26491"/>
    <cellStyle name="Currency 2 3 2 3 9 5" xfId="7805"/>
    <cellStyle name="Currency 2 3 2 3 9 5 2" xfId="26492"/>
    <cellStyle name="Currency 2 3 2 3 9 6" xfId="7806"/>
    <cellStyle name="Currency 2 3 2 4" xfId="204"/>
    <cellStyle name="Currency 2 3 2 4 10" xfId="7807"/>
    <cellStyle name="Currency 2 3 2 4 2" xfId="362"/>
    <cellStyle name="Currency 2 3 2 4 2 2" xfId="1150"/>
    <cellStyle name="Currency 2 3 2 4 2 2 2" xfId="1574"/>
    <cellStyle name="Currency 2 3 2 4 2 2 2 2" xfId="7808"/>
    <cellStyle name="Currency 2 3 2 4 2 2 2 2 2" xfId="7809"/>
    <cellStyle name="Currency 2 3 2 4 2 2 2 2 2 2" xfId="26493"/>
    <cellStyle name="Currency 2 3 2 4 2 2 2 2 3" xfId="26494"/>
    <cellStyle name="Currency 2 3 2 4 2 2 2 3" xfId="7810"/>
    <cellStyle name="Currency 2 3 2 4 2 2 2 3 2" xfId="7811"/>
    <cellStyle name="Currency 2 3 2 4 2 2 2 3 2 2" xfId="26495"/>
    <cellStyle name="Currency 2 3 2 4 2 2 2 3 3" xfId="26496"/>
    <cellStyle name="Currency 2 3 2 4 2 2 2 4" xfId="7812"/>
    <cellStyle name="Currency 2 3 2 4 2 2 2 4 2" xfId="7813"/>
    <cellStyle name="Currency 2 3 2 4 2 2 2 4 2 2" xfId="26497"/>
    <cellStyle name="Currency 2 3 2 4 2 2 2 4 3" xfId="26498"/>
    <cellStyle name="Currency 2 3 2 4 2 2 2 5" xfId="7814"/>
    <cellStyle name="Currency 2 3 2 4 2 2 2 5 2" xfId="26499"/>
    <cellStyle name="Currency 2 3 2 4 2 2 2 6" xfId="7815"/>
    <cellStyle name="Currency 2 3 2 4 2 2 3" xfId="7816"/>
    <cellStyle name="Currency 2 3 2 4 2 2 3 2" xfId="7817"/>
    <cellStyle name="Currency 2 3 2 4 2 2 3 2 2" xfId="26500"/>
    <cellStyle name="Currency 2 3 2 4 2 2 3 3" xfId="26501"/>
    <cellStyle name="Currency 2 3 2 4 2 2 4" xfId="7818"/>
    <cellStyle name="Currency 2 3 2 4 2 2 4 2" xfId="7819"/>
    <cellStyle name="Currency 2 3 2 4 2 2 4 2 2" xfId="26502"/>
    <cellStyle name="Currency 2 3 2 4 2 2 4 3" xfId="26503"/>
    <cellStyle name="Currency 2 3 2 4 2 2 5" xfId="7820"/>
    <cellStyle name="Currency 2 3 2 4 2 2 5 2" xfId="7821"/>
    <cellStyle name="Currency 2 3 2 4 2 2 5 2 2" xfId="26504"/>
    <cellStyle name="Currency 2 3 2 4 2 2 5 3" xfId="26505"/>
    <cellStyle name="Currency 2 3 2 4 2 2 6" xfId="7822"/>
    <cellStyle name="Currency 2 3 2 4 2 2 6 2" xfId="26506"/>
    <cellStyle name="Currency 2 3 2 4 2 2 7" xfId="7823"/>
    <cellStyle name="Currency 2 3 2 4 2 3" xfId="782"/>
    <cellStyle name="Currency 2 3 2 4 2 3 2" xfId="1575"/>
    <cellStyle name="Currency 2 3 2 4 2 3 2 2" xfId="7824"/>
    <cellStyle name="Currency 2 3 2 4 2 3 2 2 2" xfId="7825"/>
    <cellStyle name="Currency 2 3 2 4 2 3 2 2 2 2" xfId="26507"/>
    <cellStyle name="Currency 2 3 2 4 2 3 2 2 3" xfId="26508"/>
    <cellStyle name="Currency 2 3 2 4 2 3 2 3" xfId="7826"/>
    <cellStyle name="Currency 2 3 2 4 2 3 2 3 2" xfId="7827"/>
    <cellStyle name="Currency 2 3 2 4 2 3 2 3 2 2" xfId="26509"/>
    <cellStyle name="Currency 2 3 2 4 2 3 2 3 3" xfId="26510"/>
    <cellStyle name="Currency 2 3 2 4 2 3 2 4" xfId="7828"/>
    <cellStyle name="Currency 2 3 2 4 2 3 2 4 2" xfId="7829"/>
    <cellStyle name="Currency 2 3 2 4 2 3 2 4 2 2" xfId="26511"/>
    <cellStyle name="Currency 2 3 2 4 2 3 2 4 3" xfId="26512"/>
    <cellStyle name="Currency 2 3 2 4 2 3 2 5" xfId="7830"/>
    <cellStyle name="Currency 2 3 2 4 2 3 2 5 2" xfId="26513"/>
    <cellStyle name="Currency 2 3 2 4 2 3 2 6" xfId="7831"/>
    <cellStyle name="Currency 2 3 2 4 2 3 3" xfId="7832"/>
    <cellStyle name="Currency 2 3 2 4 2 3 3 2" xfId="7833"/>
    <cellStyle name="Currency 2 3 2 4 2 3 3 2 2" xfId="26514"/>
    <cellStyle name="Currency 2 3 2 4 2 3 3 3" xfId="26515"/>
    <cellStyle name="Currency 2 3 2 4 2 3 4" xfId="7834"/>
    <cellStyle name="Currency 2 3 2 4 2 3 4 2" xfId="7835"/>
    <cellStyle name="Currency 2 3 2 4 2 3 4 2 2" xfId="26516"/>
    <cellStyle name="Currency 2 3 2 4 2 3 4 3" xfId="26517"/>
    <cellStyle name="Currency 2 3 2 4 2 3 5" xfId="7836"/>
    <cellStyle name="Currency 2 3 2 4 2 3 5 2" xfId="7837"/>
    <cellStyle name="Currency 2 3 2 4 2 3 5 2 2" xfId="26518"/>
    <cellStyle name="Currency 2 3 2 4 2 3 5 3" xfId="26519"/>
    <cellStyle name="Currency 2 3 2 4 2 3 6" xfId="7838"/>
    <cellStyle name="Currency 2 3 2 4 2 3 6 2" xfId="26520"/>
    <cellStyle name="Currency 2 3 2 4 2 3 7" xfId="7839"/>
    <cellStyle name="Currency 2 3 2 4 2 4" xfId="1576"/>
    <cellStyle name="Currency 2 3 2 4 2 4 2" xfId="7840"/>
    <cellStyle name="Currency 2 3 2 4 2 4 2 2" xfId="7841"/>
    <cellStyle name="Currency 2 3 2 4 2 4 2 2 2" xfId="26521"/>
    <cellStyle name="Currency 2 3 2 4 2 4 2 3" xfId="26522"/>
    <cellStyle name="Currency 2 3 2 4 2 4 3" xfId="7842"/>
    <cellStyle name="Currency 2 3 2 4 2 4 3 2" xfId="7843"/>
    <cellStyle name="Currency 2 3 2 4 2 4 3 2 2" xfId="26523"/>
    <cellStyle name="Currency 2 3 2 4 2 4 3 3" xfId="26524"/>
    <cellStyle name="Currency 2 3 2 4 2 4 4" xfId="7844"/>
    <cellStyle name="Currency 2 3 2 4 2 4 4 2" xfId="7845"/>
    <cellStyle name="Currency 2 3 2 4 2 4 4 2 2" xfId="26525"/>
    <cellStyle name="Currency 2 3 2 4 2 4 4 3" xfId="26526"/>
    <cellStyle name="Currency 2 3 2 4 2 4 5" xfId="7846"/>
    <cellStyle name="Currency 2 3 2 4 2 4 5 2" xfId="26527"/>
    <cellStyle name="Currency 2 3 2 4 2 4 6" xfId="7847"/>
    <cellStyle name="Currency 2 3 2 4 2 5" xfId="7848"/>
    <cellStyle name="Currency 2 3 2 4 2 5 2" xfId="7849"/>
    <cellStyle name="Currency 2 3 2 4 2 5 2 2" xfId="26528"/>
    <cellStyle name="Currency 2 3 2 4 2 5 3" xfId="26529"/>
    <cellStyle name="Currency 2 3 2 4 2 6" xfId="7850"/>
    <cellStyle name="Currency 2 3 2 4 2 6 2" xfId="7851"/>
    <cellStyle name="Currency 2 3 2 4 2 6 2 2" xfId="26530"/>
    <cellStyle name="Currency 2 3 2 4 2 6 3" xfId="26531"/>
    <cellStyle name="Currency 2 3 2 4 2 7" xfId="7852"/>
    <cellStyle name="Currency 2 3 2 4 2 7 2" xfId="7853"/>
    <cellStyle name="Currency 2 3 2 4 2 7 2 2" xfId="26532"/>
    <cellStyle name="Currency 2 3 2 4 2 7 3" xfId="26533"/>
    <cellStyle name="Currency 2 3 2 4 2 8" xfId="7854"/>
    <cellStyle name="Currency 2 3 2 4 2 8 2" xfId="26534"/>
    <cellStyle name="Currency 2 3 2 4 2 9" xfId="7855"/>
    <cellStyle name="Currency 2 3 2 4 3" xfId="992"/>
    <cellStyle name="Currency 2 3 2 4 3 2" xfId="1577"/>
    <cellStyle name="Currency 2 3 2 4 3 2 2" xfId="7856"/>
    <cellStyle name="Currency 2 3 2 4 3 2 2 2" xfId="7857"/>
    <cellStyle name="Currency 2 3 2 4 3 2 2 2 2" xfId="26535"/>
    <cellStyle name="Currency 2 3 2 4 3 2 2 3" xfId="26536"/>
    <cellStyle name="Currency 2 3 2 4 3 2 3" xfId="7858"/>
    <cellStyle name="Currency 2 3 2 4 3 2 3 2" xfId="7859"/>
    <cellStyle name="Currency 2 3 2 4 3 2 3 2 2" xfId="26537"/>
    <cellStyle name="Currency 2 3 2 4 3 2 3 3" xfId="26538"/>
    <cellStyle name="Currency 2 3 2 4 3 2 4" xfId="7860"/>
    <cellStyle name="Currency 2 3 2 4 3 2 4 2" xfId="7861"/>
    <cellStyle name="Currency 2 3 2 4 3 2 4 2 2" xfId="26539"/>
    <cellStyle name="Currency 2 3 2 4 3 2 4 3" xfId="26540"/>
    <cellStyle name="Currency 2 3 2 4 3 2 5" xfId="7862"/>
    <cellStyle name="Currency 2 3 2 4 3 2 5 2" xfId="26541"/>
    <cellStyle name="Currency 2 3 2 4 3 2 6" xfId="7863"/>
    <cellStyle name="Currency 2 3 2 4 3 3" xfId="7864"/>
    <cellStyle name="Currency 2 3 2 4 3 3 2" xfId="7865"/>
    <cellStyle name="Currency 2 3 2 4 3 3 2 2" xfId="26542"/>
    <cellStyle name="Currency 2 3 2 4 3 3 3" xfId="26543"/>
    <cellStyle name="Currency 2 3 2 4 3 4" xfId="7866"/>
    <cellStyle name="Currency 2 3 2 4 3 4 2" xfId="7867"/>
    <cellStyle name="Currency 2 3 2 4 3 4 2 2" xfId="26544"/>
    <cellStyle name="Currency 2 3 2 4 3 4 3" xfId="26545"/>
    <cellStyle name="Currency 2 3 2 4 3 5" xfId="7868"/>
    <cellStyle name="Currency 2 3 2 4 3 5 2" xfId="7869"/>
    <cellStyle name="Currency 2 3 2 4 3 5 2 2" xfId="26546"/>
    <cellStyle name="Currency 2 3 2 4 3 5 3" xfId="26547"/>
    <cellStyle name="Currency 2 3 2 4 3 6" xfId="7870"/>
    <cellStyle name="Currency 2 3 2 4 3 6 2" xfId="26548"/>
    <cellStyle name="Currency 2 3 2 4 3 7" xfId="7871"/>
    <cellStyle name="Currency 2 3 2 4 4" xfId="624"/>
    <cellStyle name="Currency 2 3 2 4 4 2" xfId="1578"/>
    <cellStyle name="Currency 2 3 2 4 4 2 2" xfId="7872"/>
    <cellStyle name="Currency 2 3 2 4 4 2 2 2" xfId="7873"/>
    <cellStyle name="Currency 2 3 2 4 4 2 2 2 2" xfId="26549"/>
    <cellStyle name="Currency 2 3 2 4 4 2 2 3" xfId="26550"/>
    <cellStyle name="Currency 2 3 2 4 4 2 3" xfId="7874"/>
    <cellStyle name="Currency 2 3 2 4 4 2 3 2" xfId="7875"/>
    <cellStyle name="Currency 2 3 2 4 4 2 3 2 2" xfId="26551"/>
    <cellStyle name="Currency 2 3 2 4 4 2 3 3" xfId="26552"/>
    <cellStyle name="Currency 2 3 2 4 4 2 4" xfId="7876"/>
    <cellStyle name="Currency 2 3 2 4 4 2 4 2" xfId="7877"/>
    <cellStyle name="Currency 2 3 2 4 4 2 4 2 2" xfId="26553"/>
    <cellStyle name="Currency 2 3 2 4 4 2 4 3" xfId="26554"/>
    <cellStyle name="Currency 2 3 2 4 4 2 5" xfId="7878"/>
    <cellStyle name="Currency 2 3 2 4 4 2 5 2" xfId="26555"/>
    <cellStyle name="Currency 2 3 2 4 4 2 6" xfId="7879"/>
    <cellStyle name="Currency 2 3 2 4 4 3" xfId="7880"/>
    <cellStyle name="Currency 2 3 2 4 4 3 2" xfId="7881"/>
    <cellStyle name="Currency 2 3 2 4 4 3 2 2" xfId="26556"/>
    <cellStyle name="Currency 2 3 2 4 4 3 3" xfId="26557"/>
    <cellStyle name="Currency 2 3 2 4 4 4" xfId="7882"/>
    <cellStyle name="Currency 2 3 2 4 4 4 2" xfId="7883"/>
    <cellStyle name="Currency 2 3 2 4 4 4 2 2" xfId="26558"/>
    <cellStyle name="Currency 2 3 2 4 4 4 3" xfId="26559"/>
    <cellStyle name="Currency 2 3 2 4 4 5" xfId="7884"/>
    <cellStyle name="Currency 2 3 2 4 4 5 2" xfId="7885"/>
    <cellStyle name="Currency 2 3 2 4 4 5 2 2" xfId="26560"/>
    <cellStyle name="Currency 2 3 2 4 4 5 3" xfId="26561"/>
    <cellStyle name="Currency 2 3 2 4 4 6" xfId="7886"/>
    <cellStyle name="Currency 2 3 2 4 4 6 2" xfId="26562"/>
    <cellStyle name="Currency 2 3 2 4 4 7" xfId="7887"/>
    <cellStyle name="Currency 2 3 2 4 5" xfId="1579"/>
    <cellStyle name="Currency 2 3 2 4 5 2" xfId="7888"/>
    <cellStyle name="Currency 2 3 2 4 5 2 2" xfId="7889"/>
    <cellStyle name="Currency 2 3 2 4 5 2 2 2" xfId="26563"/>
    <cellStyle name="Currency 2 3 2 4 5 2 3" xfId="26564"/>
    <cellStyle name="Currency 2 3 2 4 5 3" xfId="7890"/>
    <cellStyle name="Currency 2 3 2 4 5 3 2" xfId="7891"/>
    <cellStyle name="Currency 2 3 2 4 5 3 2 2" xfId="26565"/>
    <cellStyle name="Currency 2 3 2 4 5 3 3" xfId="26566"/>
    <cellStyle name="Currency 2 3 2 4 5 4" xfId="7892"/>
    <cellStyle name="Currency 2 3 2 4 5 4 2" xfId="7893"/>
    <cellStyle name="Currency 2 3 2 4 5 4 2 2" xfId="26567"/>
    <cellStyle name="Currency 2 3 2 4 5 4 3" xfId="26568"/>
    <cellStyle name="Currency 2 3 2 4 5 5" xfId="7894"/>
    <cellStyle name="Currency 2 3 2 4 5 5 2" xfId="26569"/>
    <cellStyle name="Currency 2 3 2 4 5 6" xfId="7895"/>
    <cellStyle name="Currency 2 3 2 4 6" xfId="7896"/>
    <cellStyle name="Currency 2 3 2 4 6 2" xfId="7897"/>
    <cellStyle name="Currency 2 3 2 4 6 2 2" xfId="26570"/>
    <cellStyle name="Currency 2 3 2 4 6 3" xfId="26571"/>
    <cellStyle name="Currency 2 3 2 4 7" xfId="7898"/>
    <cellStyle name="Currency 2 3 2 4 7 2" xfId="7899"/>
    <cellStyle name="Currency 2 3 2 4 7 2 2" xfId="26572"/>
    <cellStyle name="Currency 2 3 2 4 7 3" xfId="26573"/>
    <cellStyle name="Currency 2 3 2 4 8" xfId="7900"/>
    <cellStyle name="Currency 2 3 2 4 8 2" xfId="7901"/>
    <cellStyle name="Currency 2 3 2 4 8 2 2" xfId="26574"/>
    <cellStyle name="Currency 2 3 2 4 8 3" xfId="26575"/>
    <cellStyle name="Currency 2 3 2 4 9" xfId="7902"/>
    <cellStyle name="Currency 2 3 2 4 9 2" xfId="26576"/>
    <cellStyle name="Currency 2 3 2 5" xfId="255"/>
    <cellStyle name="Currency 2 3 2 5 10" xfId="7903"/>
    <cellStyle name="Currency 2 3 2 5 2" xfId="413"/>
    <cellStyle name="Currency 2 3 2 5 2 2" xfId="1201"/>
    <cellStyle name="Currency 2 3 2 5 2 2 2" xfId="1580"/>
    <cellStyle name="Currency 2 3 2 5 2 2 2 2" xfId="7904"/>
    <cellStyle name="Currency 2 3 2 5 2 2 2 2 2" xfId="7905"/>
    <cellStyle name="Currency 2 3 2 5 2 2 2 2 2 2" xfId="26577"/>
    <cellStyle name="Currency 2 3 2 5 2 2 2 2 3" xfId="26578"/>
    <cellStyle name="Currency 2 3 2 5 2 2 2 3" xfId="7906"/>
    <cellStyle name="Currency 2 3 2 5 2 2 2 3 2" xfId="7907"/>
    <cellStyle name="Currency 2 3 2 5 2 2 2 3 2 2" xfId="26579"/>
    <cellStyle name="Currency 2 3 2 5 2 2 2 3 3" xfId="26580"/>
    <cellStyle name="Currency 2 3 2 5 2 2 2 4" xfId="7908"/>
    <cellStyle name="Currency 2 3 2 5 2 2 2 4 2" xfId="7909"/>
    <cellStyle name="Currency 2 3 2 5 2 2 2 4 2 2" xfId="26581"/>
    <cellStyle name="Currency 2 3 2 5 2 2 2 4 3" xfId="26582"/>
    <cellStyle name="Currency 2 3 2 5 2 2 2 5" xfId="7910"/>
    <cellStyle name="Currency 2 3 2 5 2 2 2 5 2" xfId="26583"/>
    <cellStyle name="Currency 2 3 2 5 2 2 2 6" xfId="7911"/>
    <cellStyle name="Currency 2 3 2 5 2 2 3" xfId="7912"/>
    <cellStyle name="Currency 2 3 2 5 2 2 3 2" xfId="7913"/>
    <cellStyle name="Currency 2 3 2 5 2 2 3 2 2" xfId="26584"/>
    <cellStyle name="Currency 2 3 2 5 2 2 3 3" xfId="26585"/>
    <cellStyle name="Currency 2 3 2 5 2 2 4" xfId="7914"/>
    <cellStyle name="Currency 2 3 2 5 2 2 4 2" xfId="7915"/>
    <cellStyle name="Currency 2 3 2 5 2 2 4 2 2" xfId="26586"/>
    <cellStyle name="Currency 2 3 2 5 2 2 4 3" xfId="26587"/>
    <cellStyle name="Currency 2 3 2 5 2 2 5" xfId="7916"/>
    <cellStyle name="Currency 2 3 2 5 2 2 5 2" xfId="7917"/>
    <cellStyle name="Currency 2 3 2 5 2 2 5 2 2" xfId="26588"/>
    <cellStyle name="Currency 2 3 2 5 2 2 5 3" xfId="26589"/>
    <cellStyle name="Currency 2 3 2 5 2 2 6" xfId="7918"/>
    <cellStyle name="Currency 2 3 2 5 2 2 6 2" xfId="26590"/>
    <cellStyle name="Currency 2 3 2 5 2 2 7" xfId="7919"/>
    <cellStyle name="Currency 2 3 2 5 2 3" xfId="833"/>
    <cellStyle name="Currency 2 3 2 5 2 3 2" xfId="1581"/>
    <cellStyle name="Currency 2 3 2 5 2 3 2 2" xfId="7920"/>
    <cellStyle name="Currency 2 3 2 5 2 3 2 2 2" xfId="7921"/>
    <cellStyle name="Currency 2 3 2 5 2 3 2 2 2 2" xfId="26591"/>
    <cellStyle name="Currency 2 3 2 5 2 3 2 2 3" xfId="26592"/>
    <cellStyle name="Currency 2 3 2 5 2 3 2 3" xfId="7922"/>
    <cellStyle name="Currency 2 3 2 5 2 3 2 3 2" xfId="7923"/>
    <cellStyle name="Currency 2 3 2 5 2 3 2 3 2 2" xfId="26593"/>
    <cellStyle name="Currency 2 3 2 5 2 3 2 3 3" xfId="26594"/>
    <cellStyle name="Currency 2 3 2 5 2 3 2 4" xfId="7924"/>
    <cellStyle name="Currency 2 3 2 5 2 3 2 4 2" xfId="7925"/>
    <cellStyle name="Currency 2 3 2 5 2 3 2 4 2 2" xfId="26595"/>
    <cellStyle name="Currency 2 3 2 5 2 3 2 4 3" xfId="26596"/>
    <cellStyle name="Currency 2 3 2 5 2 3 2 5" xfId="7926"/>
    <cellStyle name="Currency 2 3 2 5 2 3 2 5 2" xfId="26597"/>
    <cellStyle name="Currency 2 3 2 5 2 3 2 6" xfId="7927"/>
    <cellStyle name="Currency 2 3 2 5 2 3 3" xfId="7928"/>
    <cellStyle name="Currency 2 3 2 5 2 3 3 2" xfId="7929"/>
    <cellStyle name="Currency 2 3 2 5 2 3 3 2 2" xfId="26598"/>
    <cellStyle name="Currency 2 3 2 5 2 3 3 3" xfId="26599"/>
    <cellStyle name="Currency 2 3 2 5 2 3 4" xfId="7930"/>
    <cellStyle name="Currency 2 3 2 5 2 3 4 2" xfId="7931"/>
    <cellStyle name="Currency 2 3 2 5 2 3 4 2 2" xfId="26600"/>
    <cellStyle name="Currency 2 3 2 5 2 3 4 3" xfId="26601"/>
    <cellStyle name="Currency 2 3 2 5 2 3 5" xfId="7932"/>
    <cellStyle name="Currency 2 3 2 5 2 3 5 2" xfId="7933"/>
    <cellStyle name="Currency 2 3 2 5 2 3 5 2 2" xfId="26602"/>
    <cellStyle name="Currency 2 3 2 5 2 3 5 3" xfId="26603"/>
    <cellStyle name="Currency 2 3 2 5 2 3 6" xfId="7934"/>
    <cellStyle name="Currency 2 3 2 5 2 3 6 2" xfId="26604"/>
    <cellStyle name="Currency 2 3 2 5 2 3 7" xfId="7935"/>
    <cellStyle name="Currency 2 3 2 5 2 4" xfId="1582"/>
    <cellStyle name="Currency 2 3 2 5 2 4 2" xfId="7936"/>
    <cellStyle name="Currency 2 3 2 5 2 4 2 2" xfId="7937"/>
    <cellStyle name="Currency 2 3 2 5 2 4 2 2 2" xfId="26605"/>
    <cellStyle name="Currency 2 3 2 5 2 4 2 3" xfId="26606"/>
    <cellStyle name="Currency 2 3 2 5 2 4 3" xfId="7938"/>
    <cellStyle name="Currency 2 3 2 5 2 4 3 2" xfId="7939"/>
    <cellStyle name="Currency 2 3 2 5 2 4 3 2 2" xfId="26607"/>
    <cellStyle name="Currency 2 3 2 5 2 4 3 3" xfId="26608"/>
    <cellStyle name="Currency 2 3 2 5 2 4 4" xfId="7940"/>
    <cellStyle name="Currency 2 3 2 5 2 4 4 2" xfId="7941"/>
    <cellStyle name="Currency 2 3 2 5 2 4 4 2 2" xfId="26609"/>
    <cellStyle name="Currency 2 3 2 5 2 4 4 3" xfId="26610"/>
    <cellStyle name="Currency 2 3 2 5 2 4 5" xfId="7942"/>
    <cellStyle name="Currency 2 3 2 5 2 4 5 2" xfId="26611"/>
    <cellStyle name="Currency 2 3 2 5 2 4 6" xfId="7943"/>
    <cellStyle name="Currency 2 3 2 5 2 5" xfId="7944"/>
    <cellStyle name="Currency 2 3 2 5 2 5 2" xfId="7945"/>
    <cellStyle name="Currency 2 3 2 5 2 5 2 2" xfId="26612"/>
    <cellStyle name="Currency 2 3 2 5 2 5 3" xfId="26613"/>
    <cellStyle name="Currency 2 3 2 5 2 6" xfId="7946"/>
    <cellStyle name="Currency 2 3 2 5 2 6 2" xfId="7947"/>
    <cellStyle name="Currency 2 3 2 5 2 6 2 2" xfId="26614"/>
    <cellStyle name="Currency 2 3 2 5 2 6 3" xfId="26615"/>
    <cellStyle name="Currency 2 3 2 5 2 7" xfId="7948"/>
    <cellStyle name="Currency 2 3 2 5 2 7 2" xfId="7949"/>
    <cellStyle name="Currency 2 3 2 5 2 7 2 2" xfId="26616"/>
    <cellStyle name="Currency 2 3 2 5 2 7 3" xfId="26617"/>
    <cellStyle name="Currency 2 3 2 5 2 8" xfId="7950"/>
    <cellStyle name="Currency 2 3 2 5 2 8 2" xfId="26618"/>
    <cellStyle name="Currency 2 3 2 5 2 9" xfId="7951"/>
    <cellStyle name="Currency 2 3 2 5 3" xfId="1043"/>
    <cellStyle name="Currency 2 3 2 5 3 2" xfId="1583"/>
    <cellStyle name="Currency 2 3 2 5 3 2 2" xfId="7952"/>
    <cellStyle name="Currency 2 3 2 5 3 2 2 2" xfId="7953"/>
    <cellStyle name="Currency 2 3 2 5 3 2 2 2 2" xfId="26619"/>
    <cellStyle name="Currency 2 3 2 5 3 2 2 3" xfId="26620"/>
    <cellStyle name="Currency 2 3 2 5 3 2 3" xfId="7954"/>
    <cellStyle name="Currency 2 3 2 5 3 2 3 2" xfId="7955"/>
    <cellStyle name="Currency 2 3 2 5 3 2 3 2 2" xfId="26621"/>
    <cellStyle name="Currency 2 3 2 5 3 2 3 3" xfId="26622"/>
    <cellStyle name="Currency 2 3 2 5 3 2 4" xfId="7956"/>
    <cellStyle name="Currency 2 3 2 5 3 2 4 2" xfId="7957"/>
    <cellStyle name="Currency 2 3 2 5 3 2 4 2 2" xfId="26623"/>
    <cellStyle name="Currency 2 3 2 5 3 2 4 3" xfId="26624"/>
    <cellStyle name="Currency 2 3 2 5 3 2 5" xfId="7958"/>
    <cellStyle name="Currency 2 3 2 5 3 2 5 2" xfId="26625"/>
    <cellStyle name="Currency 2 3 2 5 3 2 6" xfId="7959"/>
    <cellStyle name="Currency 2 3 2 5 3 3" xfId="7960"/>
    <cellStyle name="Currency 2 3 2 5 3 3 2" xfId="7961"/>
    <cellStyle name="Currency 2 3 2 5 3 3 2 2" xfId="26626"/>
    <cellStyle name="Currency 2 3 2 5 3 3 3" xfId="26627"/>
    <cellStyle name="Currency 2 3 2 5 3 4" xfId="7962"/>
    <cellStyle name="Currency 2 3 2 5 3 4 2" xfId="7963"/>
    <cellStyle name="Currency 2 3 2 5 3 4 2 2" xfId="26628"/>
    <cellStyle name="Currency 2 3 2 5 3 4 3" xfId="26629"/>
    <cellStyle name="Currency 2 3 2 5 3 5" xfId="7964"/>
    <cellStyle name="Currency 2 3 2 5 3 5 2" xfId="7965"/>
    <cellStyle name="Currency 2 3 2 5 3 5 2 2" xfId="26630"/>
    <cellStyle name="Currency 2 3 2 5 3 5 3" xfId="26631"/>
    <cellStyle name="Currency 2 3 2 5 3 6" xfId="7966"/>
    <cellStyle name="Currency 2 3 2 5 3 6 2" xfId="26632"/>
    <cellStyle name="Currency 2 3 2 5 3 7" xfId="7967"/>
    <cellStyle name="Currency 2 3 2 5 4" xfId="675"/>
    <cellStyle name="Currency 2 3 2 5 4 2" xfId="1584"/>
    <cellStyle name="Currency 2 3 2 5 4 2 2" xfId="7968"/>
    <cellStyle name="Currency 2 3 2 5 4 2 2 2" xfId="7969"/>
    <cellStyle name="Currency 2 3 2 5 4 2 2 2 2" xfId="26633"/>
    <cellStyle name="Currency 2 3 2 5 4 2 2 3" xfId="26634"/>
    <cellStyle name="Currency 2 3 2 5 4 2 3" xfId="7970"/>
    <cellStyle name="Currency 2 3 2 5 4 2 3 2" xfId="7971"/>
    <cellStyle name="Currency 2 3 2 5 4 2 3 2 2" xfId="26635"/>
    <cellStyle name="Currency 2 3 2 5 4 2 3 3" xfId="26636"/>
    <cellStyle name="Currency 2 3 2 5 4 2 4" xfId="7972"/>
    <cellStyle name="Currency 2 3 2 5 4 2 4 2" xfId="7973"/>
    <cellStyle name="Currency 2 3 2 5 4 2 4 2 2" xfId="26637"/>
    <cellStyle name="Currency 2 3 2 5 4 2 4 3" xfId="26638"/>
    <cellStyle name="Currency 2 3 2 5 4 2 5" xfId="7974"/>
    <cellStyle name="Currency 2 3 2 5 4 2 5 2" xfId="26639"/>
    <cellStyle name="Currency 2 3 2 5 4 2 6" xfId="7975"/>
    <cellStyle name="Currency 2 3 2 5 4 3" xfId="7976"/>
    <cellStyle name="Currency 2 3 2 5 4 3 2" xfId="7977"/>
    <cellStyle name="Currency 2 3 2 5 4 3 2 2" xfId="26640"/>
    <cellStyle name="Currency 2 3 2 5 4 3 3" xfId="26641"/>
    <cellStyle name="Currency 2 3 2 5 4 4" xfId="7978"/>
    <cellStyle name="Currency 2 3 2 5 4 4 2" xfId="7979"/>
    <cellStyle name="Currency 2 3 2 5 4 4 2 2" xfId="26642"/>
    <cellStyle name="Currency 2 3 2 5 4 4 3" xfId="26643"/>
    <cellStyle name="Currency 2 3 2 5 4 5" xfId="7980"/>
    <cellStyle name="Currency 2 3 2 5 4 5 2" xfId="7981"/>
    <cellStyle name="Currency 2 3 2 5 4 5 2 2" xfId="26644"/>
    <cellStyle name="Currency 2 3 2 5 4 5 3" xfId="26645"/>
    <cellStyle name="Currency 2 3 2 5 4 6" xfId="7982"/>
    <cellStyle name="Currency 2 3 2 5 4 6 2" xfId="26646"/>
    <cellStyle name="Currency 2 3 2 5 4 7" xfId="7983"/>
    <cellStyle name="Currency 2 3 2 5 5" xfId="1585"/>
    <cellStyle name="Currency 2 3 2 5 5 2" xfId="7984"/>
    <cellStyle name="Currency 2 3 2 5 5 2 2" xfId="7985"/>
    <cellStyle name="Currency 2 3 2 5 5 2 2 2" xfId="26647"/>
    <cellStyle name="Currency 2 3 2 5 5 2 3" xfId="26648"/>
    <cellStyle name="Currency 2 3 2 5 5 3" xfId="7986"/>
    <cellStyle name="Currency 2 3 2 5 5 3 2" xfId="7987"/>
    <cellStyle name="Currency 2 3 2 5 5 3 2 2" xfId="26649"/>
    <cellStyle name="Currency 2 3 2 5 5 3 3" xfId="26650"/>
    <cellStyle name="Currency 2 3 2 5 5 4" xfId="7988"/>
    <cellStyle name="Currency 2 3 2 5 5 4 2" xfId="7989"/>
    <cellStyle name="Currency 2 3 2 5 5 4 2 2" xfId="26651"/>
    <cellStyle name="Currency 2 3 2 5 5 4 3" xfId="26652"/>
    <cellStyle name="Currency 2 3 2 5 5 5" xfId="7990"/>
    <cellStyle name="Currency 2 3 2 5 5 5 2" xfId="26653"/>
    <cellStyle name="Currency 2 3 2 5 5 6" xfId="7991"/>
    <cellStyle name="Currency 2 3 2 5 6" xfId="7992"/>
    <cellStyle name="Currency 2 3 2 5 6 2" xfId="7993"/>
    <cellStyle name="Currency 2 3 2 5 6 2 2" xfId="26654"/>
    <cellStyle name="Currency 2 3 2 5 6 3" xfId="26655"/>
    <cellStyle name="Currency 2 3 2 5 7" xfId="7994"/>
    <cellStyle name="Currency 2 3 2 5 7 2" xfId="7995"/>
    <cellStyle name="Currency 2 3 2 5 7 2 2" xfId="26656"/>
    <cellStyle name="Currency 2 3 2 5 7 3" xfId="26657"/>
    <cellStyle name="Currency 2 3 2 5 8" xfId="7996"/>
    <cellStyle name="Currency 2 3 2 5 8 2" xfId="7997"/>
    <cellStyle name="Currency 2 3 2 5 8 2 2" xfId="26658"/>
    <cellStyle name="Currency 2 3 2 5 8 3" xfId="26659"/>
    <cellStyle name="Currency 2 3 2 5 9" xfId="7998"/>
    <cellStyle name="Currency 2 3 2 5 9 2" xfId="26660"/>
    <cellStyle name="Currency 2 3 2 6" xfId="147"/>
    <cellStyle name="Currency 2 3 2 6 2" xfId="935"/>
    <cellStyle name="Currency 2 3 2 6 2 2" xfId="1586"/>
    <cellStyle name="Currency 2 3 2 6 2 2 2" xfId="7999"/>
    <cellStyle name="Currency 2 3 2 6 2 2 2 2" xfId="8000"/>
    <cellStyle name="Currency 2 3 2 6 2 2 2 2 2" xfId="26661"/>
    <cellStyle name="Currency 2 3 2 6 2 2 2 3" xfId="26662"/>
    <cellStyle name="Currency 2 3 2 6 2 2 3" xfId="8001"/>
    <cellStyle name="Currency 2 3 2 6 2 2 3 2" xfId="8002"/>
    <cellStyle name="Currency 2 3 2 6 2 2 3 2 2" xfId="26663"/>
    <cellStyle name="Currency 2 3 2 6 2 2 3 3" xfId="26664"/>
    <cellStyle name="Currency 2 3 2 6 2 2 4" xfId="8003"/>
    <cellStyle name="Currency 2 3 2 6 2 2 4 2" xfId="8004"/>
    <cellStyle name="Currency 2 3 2 6 2 2 4 2 2" xfId="26665"/>
    <cellStyle name="Currency 2 3 2 6 2 2 4 3" xfId="26666"/>
    <cellStyle name="Currency 2 3 2 6 2 2 5" xfId="8005"/>
    <cellStyle name="Currency 2 3 2 6 2 2 5 2" xfId="26667"/>
    <cellStyle name="Currency 2 3 2 6 2 2 6" xfId="8006"/>
    <cellStyle name="Currency 2 3 2 6 2 3" xfId="8007"/>
    <cellStyle name="Currency 2 3 2 6 2 3 2" xfId="8008"/>
    <cellStyle name="Currency 2 3 2 6 2 3 2 2" xfId="26668"/>
    <cellStyle name="Currency 2 3 2 6 2 3 3" xfId="26669"/>
    <cellStyle name="Currency 2 3 2 6 2 4" xfId="8009"/>
    <cellStyle name="Currency 2 3 2 6 2 4 2" xfId="8010"/>
    <cellStyle name="Currency 2 3 2 6 2 4 2 2" xfId="26670"/>
    <cellStyle name="Currency 2 3 2 6 2 4 3" xfId="26671"/>
    <cellStyle name="Currency 2 3 2 6 2 5" xfId="8011"/>
    <cellStyle name="Currency 2 3 2 6 2 5 2" xfId="8012"/>
    <cellStyle name="Currency 2 3 2 6 2 5 2 2" xfId="26672"/>
    <cellStyle name="Currency 2 3 2 6 2 5 3" xfId="26673"/>
    <cellStyle name="Currency 2 3 2 6 2 6" xfId="8013"/>
    <cellStyle name="Currency 2 3 2 6 2 6 2" xfId="26674"/>
    <cellStyle name="Currency 2 3 2 6 2 7" xfId="8014"/>
    <cellStyle name="Currency 2 3 2 6 3" xfId="567"/>
    <cellStyle name="Currency 2 3 2 6 3 2" xfId="1587"/>
    <cellStyle name="Currency 2 3 2 6 3 2 2" xfId="8015"/>
    <cellStyle name="Currency 2 3 2 6 3 2 2 2" xfId="8016"/>
    <cellStyle name="Currency 2 3 2 6 3 2 2 2 2" xfId="26675"/>
    <cellStyle name="Currency 2 3 2 6 3 2 2 3" xfId="26676"/>
    <cellStyle name="Currency 2 3 2 6 3 2 3" xfId="8017"/>
    <cellStyle name="Currency 2 3 2 6 3 2 3 2" xfId="8018"/>
    <cellStyle name="Currency 2 3 2 6 3 2 3 2 2" xfId="26677"/>
    <cellStyle name="Currency 2 3 2 6 3 2 3 3" xfId="26678"/>
    <cellStyle name="Currency 2 3 2 6 3 2 4" xfId="8019"/>
    <cellStyle name="Currency 2 3 2 6 3 2 4 2" xfId="8020"/>
    <cellStyle name="Currency 2 3 2 6 3 2 4 2 2" xfId="26679"/>
    <cellStyle name="Currency 2 3 2 6 3 2 4 3" xfId="26680"/>
    <cellStyle name="Currency 2 3 2 6 3 2 5" xfId="8021"/>
    <cellStyle name="Currency 2 3 2 6 3 2 5 2" xfId="26681"/>
    <cellStyle name="Currency 2 3 2 6 3 2 6" xfId="8022"/>
    <cellStyle name="Currency 2 3 2 6 3 3" xfId="8023"/>
    <cellStyle name="Currency 2 3 2 6 3 3 2" xfId="8024"/>
    <cellStyle name="Currency 2 3 2 6 3 3 2 2" xfId="26682"/>
    <cellStyle name="Currency 2 3 2 6 3 3 3" xfId="26683"/>
    <cellStyle name="Currency 2 3 2 6 3 4" xfId="8025"/>
    <cellStyle name="Currency 2 3 2 6 3 4 2" xfId="8026"/>
    <cellStyle name="Currency 2 3 2 6 3 4 2 2" xfId="26684"/>
    <cellStyle name="Currency 2 3 2 6 3 4 3" xfId="26685"/>
    <cellStyle name="Currency 2 3 2 6 3 5" xfId="8027"/>
    <cellStyle name="Currency 2 3 2 6 3 5 2" xfId="8028"/>
    <cellStyle name="Currency 2 3 2 6 3 5 2 2" xfId="26686"/>
    <cellStyle name="Currency 2 3 2 6 3 5 3" xfId="26687"/>
    <cellStyle name="Currency 2 3 2 6 3 6" xfId="8029"/>
    <cellStyle name="Currency 2 3 2 6 3 6 2" xfId="26688"/>
    <cellStyle name="Currency 2 3 2 6 3 7" xfId="8030"/>
    <cellStyle name="Currency 2 3 2 6 4" xfId="1588"/>
    <cellStyle name="Currency 2 3 2 6 4 2" xfId="8031"/>
    <cellStyle name="Currency 2 3 2 6 4 2 2" xfId="8032"/>
    <cellStyle name="Currency 2 3 2 6 4 2 2 2" xfId="26689"/>
    <cellStyle name="Currency 2 3 2 6 4 2 3" xfId="26690"/>
    <cellStyle name="Currency 2 3 2 6 4 3" xfId="8033"/>
    <cellStyle name="Currency 2 3 2 6 4 3 2" xfId="8034"/>
    <cellStyle name="Currency 2 3 2 6 4 3 2 2" xfId="26691"/>
    <cellStyle name="Currency 2 3 2 6 4 3 3" xfId="26692"/>
    <cellStyle name="Currency 2 3 2 6 4 4" xfId="8035"/>
    <cellStyle name="Currency 2 3 2 6 4 4 2" xfId="8036"/>
    <cellStyle name="Currency 2 3 2 6 4 4 2 2" xfId="26693"/>
    <cellStyle name="Currency 2 3 2 6 4 4 3" xfId="26694"/>
    <cellStyle name="Currency 2 3 2 6 4 5" xfId="8037"/>
    <cellStyle name="Currency 2 3 2 6 4 5 2" xfId="26695"/>
    <cellStyle name="Currency 2 3 2 6 4 6" xfId="8038"/>
    <cellStyle name="Currency 2 3 2 6 5" xfId="8039"/>
    <cellStyle name="Currency 2 3 2 6 5 2" xfId="8040"/>
    <cellStyle name="Currency 2 3 2 6 5 2 2" xfId="26696"/>
    <cellStyle name="Currency 2 3 2 6 5 3" xfId="26697"/>
    <cellStyle name="Currency 2 3 2 6 6" xfId="8041"/>
    <cellStyle name="Currency 2 3 2 6 6 2" xfId="8042"/>
    <cellStyle name="Currency 2 3 2 6 6 2 2" xfId="26698"/>
    <cellStyle name="Currency 2 3 2 6 6 3" xfId="26699"/>
    <cellStyle name="Currency 2 3 2 6 7" xfId="8043"/>
    <cellStyle name="Currency 2 3 2 6 7 2" xfId="8044"/>
    <cellStyle name="Currency 2 3 2 6 7 2 2" xfId="26700"/>
    <cellStyle name="Currency 2 3 2 6 7 3" xfId="26701"/>
    <cellStyle name="Currency 2 3 2 6 8" xfId="8045"/>
    <cellStyle name="Currency 2 3 2 6 8 2" xfId="26702"/>
    <cellStyle name="Currency 2 3 2 6 9" xfId="8046"/>
    <cellStyle name="Currency 2 3 2 7" xfId="305"/>
    <cellStyle name="Currency 2 3 2 7 2" xfId="1093"/>
    <cellStyle name="Currency 2 3 2 7 2 2" xfId="1589"/>
    <cellStyle name="Currency 2 3 2 7 2 2 2" xfId="8047"/>
    <cellStyle name="Currency 2 3 2 7 2 2 2 2" xfId="8048"/>
    <cellStyle name="Currency 2 3 2 7 2 2 2 2 2" xfId="26703"/>
    <cellStyle name="Currency 2 3 2 7 2 2 2 3" xfId="26704"/>
    <cellStyle name="Currency 2 3 2 7 2 2 3" xfId="8049"/>
    <cellStyle name="Currency 2 3 2 7 2 2 3 2" xfId="8050"/>
    <cellStyle name="Currency 2 3 2 7 2 2 3 2 2" xfId="26705"/>
    <cellStyle name="Currency 2 3 2 7 2 2 3 3" xfId="26706"/>
    <cellStyle name="Currency 2 3 2 7 2 2 4" xfId="8051"/>
    <cellStyle name="Currency 2 3 2 7 2 2 4 2" xfId="8052"/>
    <cellStyle name="Currency 2 3 2 7 2 2 4 2 2" xfId="26707"/>
    <cellStyle name="Currency 2 3 2 7 2 2 4 3" xfId="26708"/>
    <cellStyle name="Currency 2 3 2 7 2 2 5" xfId="8053"/>
    <cellStyle name="Currency 2 3 2 7 2 2 5 2" xfId="26709"/>
    <cellStyle name="Currency 2 3 2 7 2 2 6" xfId="8054"/>
    <cellStyle name="Currency 2 3 2 7 2 3" xfId="8055"/>
    <cellStyle name="Currency 2 3 2 7 2 3 2" xfId="8056"/>
    <cellStyle name="Currency 2 3 2 7 2 3 2 2" xfId="26710"/>
    <cellStyle name="Currency 2 3 2 7 2 3 3" xfId="26711"/>
    <cellStyle name="Currency 2 3 2 7 2 4" xfId="8057"/>
    <cellStyle name="Currency 2 3 2 7 2 4 2" xfId="8058"/>
    <cellStyle name="Currency 2 3 2 7 2 4 2 2" xfId="26712"/>
    <cellStyle name="Currency 2 3 2 7 2 4 3" xfId="26713"/>
    <cellStyle name="Currency 2 3 2 7 2 5" xfId="8059"/>
    <cellStyle name="Currency 2 3 2 7 2 5 2" xfId="8060"/>
    <cellStyle name="Currency 2 3 2 7 2 5 2 2" xfId="26714"/>
    <cellStyle name="Currency 2 3 2 7 2 5 3" xfId="26715"/>
    <cellStyle name="Currency 2 3 2 7 2 6" xfId="8061"/>
    <cellStyle name="Currency 2 3 2 7 2 6 2" xfId="26716"/>
    <cellStyle name="Currency 2 3 2 7 2 7" xfId="8062"/>
    <cellStyle name="Currency 2 3 2 7 3" xfId="725"/>
    <cellStyle name="Currency 2 3 2 7 3 2" xfId="1590"/>
    <cellStyle name="Currency 2 3 2 7 3 2 2" xfId="8063"/>
    <cellStyle name="Currency 2 3 2 7 3 2 2 2" xfId="8064"/>
    <cellStyle name="Currency 2 3 2 7 3 2 2 2 2" xfId="26717"/>
    <cellStyle name="Currency 2 3 2 7 3 2 2 3" xfId="26718"/>
    <cellStyle name="Currency 2 3 2 7 3 2 3" xfId="8065"/>
    <cellStyle name="Currency 2 3 2 7 3 2 3 2" xfId="8066"/>
    <cellStyle name="Currency 2 3 2 7 3 2 3 2 2" xfId="26719"/>
    <cellStyle name="Currency 2 3 2 7 3 2 3 3" xfId="26720"/>
    <cellStyle name="Currency 2 3 2 7 3 2 4" xfId="8067"/>
    <cellStyle name="Currency 2 3 2 7 3 2 4 2" xfId="8068"/>
    <cellStyle name="Currency 2 3 2 7 3 2 4 2 2" xfId="26721"/>
    <cellStyle name="Currency 2 3 2 7 3 2 4 3" xfId="26722"/>
    <cellStyle name="Currency 2 3 2 7 3 2 5" xfId="8069"/>
    <cellStyle name="Currency 2 3 2 7 3 2 5 2" xfId="26723"/>
    <cellStyle name="Currency 2 3 2 7 3 2 6" xfId="8070"/>
    <cellStyle name="Currency 2 3 2 7 3 3" xfId="8071"/>
    <cellStyle name="Currency 2 3 2 7 3 3 2" xfId="8072"/>
    <cellStyle name="Currency 2 3 2 7 3 3 2 2" xfId="26724"/>
    <cellStyle name="Currency 2 3 2 7 3 3 3" xfId="26725"/>
    <cellStyle name="Currency 2 3 2 7 3 4" xfId="8073"/>
    <cellStyle name="Currency 2 3 2 7 3 4 2" xfId="8074"/>
    <cellStyle name="Currency 2 3 2 7 3 4 2 2" xfId="26726"/>
    <cellStyle name="Currency 2 3 2 7 3 4 3" xfId="26727"/>
    <cellStyle name="Currency 2 3 2 7 3 5" xfId="8075"/>
    <cellStyle name="Currency 2 3 2 7 3 5 2" xfId="8076"/>
    <cellStyle name="Currency 2 3 2 7 3 5 2 2" xfId="26728"/>
    <cellStyle name="Currency 2 3 2 7 3 5 3" xfId="26729"/>
    <cellStyle name="Currency 2 3 2 7 3 6" xfId="8077"/>
    <cellStyle name="Currency 2 3 2 7 3 6 2" xfId="26730"/>
    <cellStyle name="Currency 2 3 2 7 3 7" xfId="8078"/>
    <cellStyle name="Currency 2 3 2 7 4" xfId="1591"/>
    <cellStyle name="Currency 2 3 2 7 4 2" xfId="8079"/>
    <cellStyle name="Currency 2 3 2 7 4 2 2" xfId="8080"/>
    <cellStyle name="Currency 2 3 2 7 4 2 2 2" xfId="26731"/>
    <cellStyle name="Currency 2 3 2 7 4 2 3" xfId="26732"/>
    <cellStyle name="Currency 2 3 2 7 4 3" xfId="8081"/>
    <cellStyle name="Currency 2 3 2 7 4 3 2" xfId="8082"/>
    <cellStyle name="Currency 2 3 2 7 4 3 2 2" xfId="26733"/>
    <cellStyle name="Currency 2 3 2 7 4 3 3" xfId="26734"/>
    <cellStyle name="Currency 2 3 2 7 4 4" xfId="8083"/>
    <cellStyle name="Currency 2 3 2 7 4 4 2" xfId="8084"/>
    <cellStyle name="Currency 2 3 2 7 4 4 2 2" xfId="26735"/>
    <cellStyle name="Currency 2 3 2 7 4 4 3" xfId="26736"/>
    <cellStyle name="Currency 2 3 2 7 4 5" xfId="8085"/>
    <cellStyle name="Currency 2 3 2 7 4 5 2" xfId="26737"/>
    <cellStyle name="Currency 2 3 2 7 4 6" xfId="8086"/>
    <cellStyle name="Currency 2 3 2 7 5" xfId="8087"/>
    <cellStyle name="Currency 2 3 2 7 5 2" xfId="8088"/>
    <cellStyle name="Currency 2 3 2 7 5 2 2" xfId="26738"/>
    <cellStyle name="Currency 2 3 2 7 5 3" xfId="26739"/>
    <cellStyle name="Currency 2 3 2 7 6" xfId="8089"/>
    <cellStyle name="Currency 2 3 2 7 6 2" xfId="8090"/>
    <cellStyle name="Currency 2 3 2 7 6 2 2" xfId="26740"/>
    <cellStyle name="Currency 2 3 2 7 6 3" xfId="26741"/>
    <cellStyle name="Currency 2 3 2 7 7" xfId="8091"/>
    <cellStyle name="Currency 2 3 2 7 7 2" xfId="8092"/>
    <cellStyle name="Currency 2 3 2 7 7 2 2" xfId="26742"/>
    <cellStyle name="Currency 2 3 2 7 7 3" xfId="26743"/>
    <cellStyle name="Currency 2 3 2 7 8" xfId="8093"/>
    <cellStyle name="Currency 2 3 2 7 8 2" xfId="26744"/>
    <cellStyle name="Currency 2 3 2 7 9" xfId="8094"/>
    <cellStyle name="Currency 2 3 2 8" xfId="94"/>
    <cellStyle name="Currency 2 3 2 8 2" xfId="515"/>
    <cellStyle name="Currency 2 3 2 8 2 2" xfId="1592"/>
    <cellStyle name="Currency 2 3 2 8 2 2 2" xfId="8095"/>
    <cellStyle name="Currency 2 3 2 8 2 2 2 2" xfId="8096"/>
    <cellStyle name="Currency 2 3 2 8 2 2 2 2 2" xfId="26745"/>
    <cellStyle name="Currency 2 3 2 8 2 2 2 3" xfId="26746"/>
    <cellStyle name="Currency 2 3 2 8 2 2 3" xfId="8097"/>
    <cellStyle name="Currency 2 3 2 8 2 2 3 2" xfId="8098"/>
    <cellStyle name="Currency 2 3 2 8 2 2 3 2 2" xfId="26747"/>
    <cellStyle name="Currency 2 3 2 8 2 2 3 3" xfId="26748"/>
    <cellStyle name="Currency 2 3 2 8 2 2 4" xfId="8099"/>
    <cellStyle name="Currency 2 3 2 8 2 2 4 2" xfId="8100"/>
    <cellStyle name="Currency 2 3 2 8 2 2 4 2 2" xfId="26749"/>
    <cellStyle name="Currency 2 3 2 8 2 2 4 3" xfId="26750"/>
    <cellStyle name="Currency 2 3 2 8 2 2 5" xfId="8101"/>
    <cellStyle name="Currency 2 3 2 8 2 2 5 2" xfId="26751"/>
    <cellStyle name="Currency 2 3 2 8 2 2 6" xfId="8102"/>
    <cellStyle name="Currency 2 3 2 8 2 3" xfId="8103"/>
    <cellStyle name="Currency 2 3 2 8 2 3 2" xfId="8104"/>
    <cellStyle name="Currency 2 3 2 8 2 3 2 2" xfId="26752"/>
    <cellStyle name="Currency 2 3 2 8 2 3 3" xfId="26753"/>
    <cellStyle name="Currency 2 3 2 8 2 4" xfId="8105"/>
    <cellStyle name="Currency 2 3 2 8 2 4 2" xfId="8106"/>
    <cellStyle name="Currency 2 3 2 8 2 4 2 2" xfId="26754"/>
    <cellStyle name="Currency 2 3 2 8 2 4 3" xfId="26755"/>
    <cellStyle name="Currency 2 3 2 8 2 5" xfId="8107"/>
    <cellStyle name="Currency 2 3 2 8 2 5 2" xfId="8108"/>
    <cellStyle name="Currency 2 3 2 8 2 5 2 2" xfId="26756"/>
    <cellStyle name="Currency 2 3 2 8 2 5 3" xfId="26757"/>
    <cellStyle name="Currency 2 3 2 8 2 6" xfId="8109"/>
    <cellStyle name="Currency 2 3 2 8 2 6 2" xfId="26758"/>
    <cellStyle name="Currency 2 3 2 8 2 7" xfId="8110"/>
    <cellStyle name="Currency 2 3 2 8 3" xfId="1593"/>
    <cellStyle name="Currency 2 3 2 8 3 2" xfId="8111"/>
    <cellStyle name="Currency 2 3 2 8 3 2 2" xfId="8112"/>
    <cellStyle name="Currency 2 3 2 8 3 2 2 2" xfId="26759"/>
    <cellStyle name="Currency 2 3 2 8 3 2 3" xfId="26760"/>
    <cellStyle name="Currency 2 3 2 8 3 3" xfId="8113"/>
    <cellStyle name="Currency 2 3 2 8 3 3 2" xfId="8114"/>
    <cellStyle name="Currency 2 3 2 8 3 3 2 2" xfId="26761"/>
    <cellStyle name="Currency 2 3 2 8 3 3 3" xfId="26762"/>
    <cellStyle name="Currency 2 3 2 8 3 4" xfId="8115"/>
    <cellStyle name="Currency 2 3 2 8 3 4 2" xfId="8116"/>
    <cellStyle name="Currency 2 3 2 8 3 4 2 2" xfId="26763"/>
    <cellStyle name="Currency 2 3 2 8 3 4 3" xfId="26764"/>
    <cellStyle name="Currency 2 3 2 8 3 5" xfId="8117"/>
    <cellStyle name="Currency 2 3 2 8 3 5 2" xfId="26765"/>
    <cellStyle name="Currency 2 3 2 8 3 6" xfId="8118"/>
    <cellStyle name="Currency 2 3 2 8 4" xfId="8119"/>
    <cellStyle name="Currency 2 3 2 8 4 2" xfId="8120"/>
    <cellStyle name="Currency 2 3 2 8 4 2 2" xfId="26766"/>
    <cellStyle name="Currency 2 3 2 8 4 3" xfId="26767"/>
    <cellStyle name="Currency 2 3 2 8 5" xfId="8121"/>
    <cellStyle name="Currency 2 3 2 8 5 2" xfId="8122"/>
    <cellStyle name="Currency 2 3 2 8 5 2 2" xfId="26768"/>
    <cellStyle name="Currency 2 3 2 8 5 3" xfId="26769"/>
    <cellStyle name="Currency 2 3 2 8 6" xfId="8123"/>
    <cellStyle name="Currency 2 3 2 8 6 2" xfId="8124"/>
    <cellStyle name="Currency 2 3 2 8 6 2 2" xfId="26770"/>
    <cellStyle name="Currency 2 3 2 8 6 3" xfId="26771"/>
    <cellStyle name="Currency 2 3 2 8 7" xfId="8125"/>
    <cellStyle name="Currency 2 3 2 8 7 2" xfId="26772"/>
    <cellStyle name="Currency 2 3 2 8 8" xfId="8126"/>
    <cellStyle name="Currency 2 3 2 9" xfId="883"/>
    <cellStyle name="Currency 2 3 2 9 2" xfId="1594"/>
    <cellStyle name="Currency 2 3 2 9 2 2" xfId="8127"/>
    <cellStyle name="Currency 2 3 2 9 2 2 2" xfId="8128"/>
    <cellStyle name="Currency 2 3 2 9 2 2 2 2" xfId="26773"/>
    <cellStyle name="Currency 2 3 2 9 2 2 3" xfId="26774"/>
    <cellStyle name="Currency 2 3 2 9 2 3" xfId="8129"/>
    <cellStyle name="Currency 2 3 2 9 2 3 2" xfId="8130"/>
    <cellStyle name="Currency 2 3 2 9 2 3 2 2" xfId="26775"/>
    <cellStyle name="Currency 2 3 2 9 2 3 3" xfId="26776"/>
    <cellStyle name="Currency 2 3 2 9 2 4" xfId="8131"/>
    <cellStyle name="Currency 2 3 2 9 2 4 2" xfId="8132"/>
    <cellStyle name="Currency 2 3 2 9 2 4 2 2" xfId="26777"/>
    <cellStyle name="Currency 2 3 2 9 2 4 3" xfId="26778"/>
    <cellStyle name="Currency 2 3 2 9 2 5" xfId="8133"/>
    <cellStyle name="Currency 2 3 2 9 2 5 2" xfId="26779"/>
    <cellStyle name="Currency 2 3 2 9 2 6" xfId="8134"/>
    <cellStyle name="Currency 2 3 2 9 3" xfId="8135"/>
    <cellStyle name="Currency 2 3 2 9 3 2" xfId="8136"/>
    <cellStyle name="Currency 2 3 2 9 3 2 2" xfId="26780"/>
    <cellStyle name="Currency 2 3 2 9 3 3" xfId="26781"/>
    <cellStyle name="Currency 2 3 2 9 4" xfId="8137"/>
    <cellStyle name="Currency 2 3 2 9 4 2" xfId="8138"/>
    <cellStyle name="Currency 2 3 2 9 4 2 2" xfId="26782"/>
    <cellStyle name="Currency 2 3 2 9 4 3" xfId="26783"/>
    <cellStyle name="Currency 2 3 2 9 5" xfId="8139"/>
    <cellStyle name="Currency 2 3 2 9 5 2" xfId="8140"/>
    <cellStyle name="Currency 2 3 2 9 5 2 2" xfId="26784"/>
    <cellStyle name="Currency 2 3 2 9 5 3" xfId="26785"/>
    <cellStyle name="Currency 2 3 2 9 6" xfId="8141"/>
    <cellStyle name="Currency 2 3 2 9 6 2" xfId="26786"/>
    <cellStyle name="Currency 2 3 2 9 7" xfId="8142"/>
    <cellStyle name="Currency 2 3 3" xfId="40"/>
    <cellStyle name="Currency 2 3 3 10" xfId="8143"/>
    <cellStyle name="Currency 2 3 3 10 2" xfId="8144"/>
    <cellStyle name="Currency 2 3 3 10 2 2" xfId="26787"/>
    <cellStyle name="Currency 2 3 3 10 3" xfId="26788"/>
    <cellStyle name="Currency 2 3 3 11" xfId="8145"/>
    <cellStyle name="Currency 2 3 3 11 2" xfId="8146"/>
    <cellStyle name="Currency 2 3 3 11 2 2" xfId="26789"/>
    <cellStyle name="Currency 2 3 3 11 3" xfId="26790"/>
    <cellStyle name="Currency 2 3 3 12" xfId="8147"/>
    <cellStyle name="Currency 2 3 3 12 2" xfId="8148"/>
    <cellStyle name="Currency 2 3 3 12 2 2" xfId="26791"/>
    <cellStyle name="Currency 2 3 3 12 3" xfId="26792"/>
    <cellStyle name="Currency 2 3 3 13" xfId="8149"/>
    <cellStyle name="Currency 2 3 3 13 2" xfId="26793"/>
    <cellStyle name="Currency 2 3 3 14" xfId="8150"/>
    <cellStyle name="Currency 2 3 3 2" xfId="207"/>
    <cellStyle name="Currency 2 3 3 2 10" xfId="8151"/>
    <cellStyle name="Currency 2 3 3 2 2" xfId="365"/>
    <cellStyle name="Currency 2 3 3 2 2 2" xfId="1153"/>
    <cellStyle name="Currency 2 3 3 2 2 2 2" xfId="1595"/>
    <cellStyle name="Currency 2 3 3 2 2 2 2 2" xfId="8152"/>
    <cellStyle name="Currency 2 3 3 2 2 2 2 2 2" xfId="8153"/>
    <cellStyle name="Currency 2 3 3 2 2 2 2 2 2 2" xfId="26794"/>
    <cellStyle name="Currency 2 3 3 2 2 2 2 2 3" xfId="26795"/>
    <cellStyle name="Currency 2 3 3 2 2 2 2 3" xfId="8154"/>
    <cellStyle name="Currency 2 3 3 2 2 2 2 3 2" xfId="8155"/>
    <cellStyle name="Currency 2 3 3 2 2 2 2 3 2 2" xfId="26796"/>
    <cellStyle name="Currency 2 3 3 2 2 2 2 3 3" xfId="26797"/>
    <cellStyle name="Currency 2 3 3 2 2 2 2 4" xfId="8156"/>
    <cellStyle name="Currency 2 3 3 2 2 2 2 4 2" xfId="8157"/>
    <cellStyle name="Currency 2 3 3 2 2 2 2 4 2 2" xfId="26798"/>
    <cellStyle name="Currency 2 3 3 2 2 2 2 4 3" xfId="26799"/>
    <cellStyle name="Currency 2 3 3 2 2 2 2 5" xfId="8158"/>
    <cellStyle name="Currency 2 3 3 2 2 2 2 5 2" xfId="26800"/>
    <cellStyle name="Currency 2 3 3 2 2 2 2 6" xfId="8159"/>
    <cellStyle name="Currency 2 3 3 2 2 2 3" xfId="8160"/>
    <cellStyle name="Currency 2 3 3 2 2 2 3 2" xfId="8161"/>
    <cellStyle name="Currency 2 3 3 2 2 2 3 2 2" xfId="26801"/>
    <cellStyle name="Currency 2 3 3 2 2 2 3 3" xfId="26802"/>
    <cellStyle name="Currency 2 3 3 2 2 2 4" xfId="8162"/>
    <cellStyle name="Currency 2 3 3 2 2 2 4 2" xfId="8163"/>
    <cellStyle name="Currency 2 3 3 2 2 2 4 2 2" xfId="26803"/>
    <cellStyle name="Currency 2 3 3 2 2 2 4 3" xfId="26804"/>
    <cellStyle name="Currency 2 3 3 2 2 2 5" xfId="8164"/>
    <cellStyle name="Currency 2 3 3 2 2 2 5 2" xfId="8165"/>
    <cellStyle name="Currency 2 3 3 2 2 2 5 2 2" xfId="26805"/>
    <cellStyle name="Currency 2 3 3 2 2 2 5 3" xfId="26806"/>
    <cellStyle name="Currency 2 3 3 2 2 2 6" xfId="8166"/>
    <cellStyle name="Currency 2 3 3 2 2 2 6 2" xfId="26807"/>
    <cellStyle name="Currency 2 3 3 2 2 2 7" xfId="8167"/>
    <cellStyle name="Currency 2 3 3 2 2 3" xfId="785"/>
    <cellStyle name="Currency 2 3 3 2 2 3 2" xfId="1596"/>
    <cellStyle name="Currency 2 3 3 2 2 3 2 2" xfId="8168"/>
    <cellStyle name="Currency 2 3 3 2 2 3 2 2 2" xfId="8169"/>
    <cellStyle name="Currency 2 3 3 2 2 3 2 2 2 2" xfId="26808"/>
    <cellStyle name="Currency 2 3 3 2 2 3 2 2 3" xfId="26809"/>
    <cellStyle name="Currency 2 3 3 2 2 3 2 3" xfId="8170"/>
    <cellStyle name="Currency 2 3 3 2 2 3 2 3 2" xfId="8171"/>
    <cellStyle name="Currency 2 3 3 2 2 3 2 3 2 2" xfId="26810"/>
    <cellStyle name="Currency 2 3 3 2 2 3 2 3 3" xfId="26811"/>
    <cellStyle name="Currency 2 3 3 2 2 3 2 4" xfId="8172"/>
    <cellStyle name="Currency 2 3 3 2 2 3 2 4 2" xfId="8173"/>
    <cellStyle name="Currency 2 3 3 2 2 3 2 4 2 2" xfId="26812"/>
    <cellStyle name="Currency 2 3 3 2 2 3 2 4 3" xfId="26813"/>
    <cellStyle name="Currency 2 3 3 2 2 3 2 5" xfId="8174"/>
    <cellStyle name="Currency 2 3 3 2 2 3 2 5 2" xfId="26814"/>
    <cellStyle name="Currency 2 3 3 2 2 3 2 6" xfId="8175"/>
    <cellStyle name="Currency 2 3 3 2 2 3 3" xfId="8176"/>
    <cellStyle name="Currency 2 3 3 2 2 3 3 2" xfId="8177"/>
    <cellStyle name="Currency 2 3 3 2 2 3 3 2 2" xfId="26815"/>
    <cellStyle name="Currency 2 3 3 2 2 3 3 3" xfId="26816"/>
    <cellStyle name="Currency 2 3 3 2 2 3 4" xfId="8178"/>
    <cellStyle name="Currency 2 3 3 2 2 3 4 2" xfId="8179"/>
    <cellStyle name="Currency 2 3 3 2 2 3 4 2 2" xfId="26817"/>
    <cellStyle name="Currency 2 3 3 2 2 3 4 3" xfId="26818"/>
    <cellStyle name="Currency 2 3 3 2 2 3 5" xfId="8180"/>
    <cellStyle name="Currency 2 3 3 2 2 3 5 2" xfId="8181"/>
    <cellStyle name="Currency 2 3 3 2 2 3 5 2 2" xfId="26819"/>
    <cellStyle name="Currency 2 3 3 2 2 3 5 3" xfId="26820"/>
    <cellStyle name="Currency 2 3 3 2 2 3 6" xfId="8182"/>
    <cellStyle name="Currency 2 3 3 2 2 3 6 2" xfId="26821"/>
    <cellStyle name="Currency 2 3 3 2 2 3 7" xfId="8183"/>
    <cellStyle name="Currency 2 3 3 2 2 4" xfId="1597"/>
    <cellStyle name="Currency 2 3 3 2 2 4 2" xfId="8184"/>
    <cellStyle name="Currency 2 3 3 2 2 4 2 2" xfId="8185"/>
    <cellStyle name="Currency 2 3 3 2 2 4 2 2 2" xfId="26822"/>
    <cellStyle name="Currency 2 3 3 2 2 4 2 3" xfId="26823"/>
    <cellStyle name="Currency 2 3 3 2 2 4 3" xfId="8186"/>
    <cellStyle name="Currency 2 3 3 2 2 4 3 2" xfId="8187"/>
    <cellStyle name="Currency 2 3 3 2 2 4 3 2 2" xfId="26824"/>
    <cellStyle name="Currency 2 3 3 2 2 4 3 3" xfId="26825"/>
    <cellStyle name="Currency 2 3 3 2 2 4 4" xfId="8188"/>
    <cellStyle name="Currency 2 3 3 2 2 4 4 2" xfId="8189"/>
    <cellStyle name="Currency 2 3 3 2 2 4 4 2 2" xfId="26826"/>
    <cellStyle name="Currency 2 3 3 2 2 4 4 3" xfId="26827"/>
    <cellStyle name="Currency 2 3 3 2 2 4 5" xfId="8190"/>
    <cellStyle name="Currency 2 3 3 2 2 4 5 2" xfId="26828"/>
    <cellStyle name="Currency 2 3 3 2 2 4 6" xfId="8191"/>
    <cellStyle name="Currency 2 3 3 2 2 5" xfId="8192"/>
    <cellStyle name="Currency 2 3 3 2 2 5 2" xfId="8193"/>
    <cellStyle name="Currency 2 3 3 2 2 5 2 2" xfId="26829"/>
    <cellStyle name="Currency 2 3 3 2 2 5 3" xfId="26830"/>
    <cellStyle name="Currency 2 3 3 2 2 6" xfId="8194"/>
    <cellStyle name="Currency 2 3 3 2 2 6 2" xfId="8195"/>
    <cellStyle name="Currency 2 3 3 2 2 6 2 2" xfId="26831"/>
    <cellStyle name="Currency 2 3 3 2 2 6 3" xfId="26832"/>
    <cellStyle name="Currency 2 3 3 2 2 7" xfId="8196"/>
    <cellStyle name="Currency 2 3 3 2 2 7 2" xfId="8197"/>
    <cellStyle name="Currency 2 3 3 2 2 7 2 2" xfId="26833"/>
    <cellStyle name="Currency 2 3 3 2 2 7 3" xfId="26834"/>
    <cellStyle name="Currency 2 3 3 2 2 8" xfId="8198"/>
    <cellStyle name="Currency 2 3 3 2 2 8 2" xfId="26835"/>
    <cellStyle name="Currency 2 3 3 2 2 9" xfId="8199"/>
    <cellStyle name="Currency 2 3 3 2 3" xfId="995"/>
    <cellStyle name="Currency 2 3 3 2 3 2" xfId="1598"/>
    <cellStyle name="Currency 2 3 3 2 3 2 2" xfId="8200"/>
    <cellStyle name="Currency 2 3 3 2 3 2 2 2" xfId="8201"/>
    <cellStyle name="Currency 2 3 3 2 3 2 2 2 2" xfId="26836"/>
    <cellStyle name="Currency 2 3 3 2 3 2 2 3" xfId="26837"/>
    <cellStyle name="Currency 2 3 3 2 3 2 3" xfId="8202"/>
    <cellStyle name="Currency 2 3 3 2 3 2 3 2" xfId="8203"/>
    <cellStyle name="Currency 2 3 3 2 3 2 3 2 2" xfId="26838"/>
    <cellStyle name="Currency 2 3 3 2 3 2 3 3" xfId="26839"/>
    <cellStyle name="Currency 2 3 3 2 3 2 4" xfId="8204"/>
    <cellStyle name="Currency 2 3 3 2 3 2 4 2" xfId="8205"/>
    <cellStyle name="Currency 2 3 3 2 3 2 4 2 2" xfId="26840"/>
    <cellStyle name="Currency 2 3 3 2 3 2 4 3" xfId="26841"/>
    <cellStyle name="Currency 2 3 3 2 3 2 5" xfId="8206"/>
    <cellStyle name="Currency 2 3 3 2 3 2 5 2" xfId="26842"/>
    <cellStyle name="Currency 2 3 3 2 3 2 6" xfId="8207"/>
    <cellStyle name="Currency 2 3 3 2 3 3" xfId="8208"/>
    <cellStyle name="Currency 2 3 3 2 3 3 2" xfId="8209"/>
    <cellStyle name="Currency 2 3 3 2 3 3 2 2" xfId="26843"/>
    <cellStyle name="Currency 2 3 3 2 3 3 3" xfId="26844"/>
    <cellStyle name="Currency 2 3 3 2 3 4" xfId="8210"/>
    <cellStyle name="Currency 2 3 3 2 3 4 2" xfId="8211"/>
    <cellStyle name="Currency 2 3 3 2 3 4 2 2" xfId="26845"/>
    <cellStyle name="Currency 2 3 3 2 3 4 3" xfId="26846"/>
    <cellStyle name="Currency 2 3 3 2 3 5" xfId="8212"/>
    <cellStyle name="Currency 2 3 3 2 3 5 2" xfId="8213"/>
    <cellStyle name="Currency 2 3 3 2 3 5 2 2" xfId="26847"/>
    <cellStyle name="Currency 2 3 3 2 3 5 3" xfId="26848"/>
    <cellStyle name="Currency 2 3 3 2 3 6" xfId="8214"/>
    <cellStyle name="Currency 2 3 3 2 3 6 2" xfId="26849"/>
    <cellStyle name="Currency 2 3 3 2 3 7" xfId="8215"/>
    <cellStyle name="Currency 2 3 3 2 4" xfId="627"/>
    <cellStyle name="Currency 2 3 3 2 4 2" xfId="1599"/>
    <cellStyle name="Currency 2 3 3 2 4 2 2" xfId="8216"/>
    <cellStyle name="Currency 2 3 3 2 4 2 2 2" xfId="8217"/>
    <cellStyle name="Currency 2 3 3 2 4 2 2 2 2" xfId="26850"/>
    <cellStyle name="Currency 2 3 3 2 4 2 2 3" xfId="26851"/>
    <cellStyle name="Currency 2 3 3 2 4 2 3" xfId="8218"/>
    <cellStyle name="Currency 2 3 3 2 4 2 3 2" xfId="8219"/>
    <cellStyle name="Currency 2 3 3 2 4 2 3 2 2" xfId="26852"/>
    <cellStyle name="Currency 2 3 3 2 4 2 3 3" xfId="26853"/>
    <cellStyle name="Currency 2 3 3 2 4 2 4" xfId="8220"/>
    <cellStyle name="Currency 2 3 3 2 4 2 4 2" xfId="8221"/>
    <cellStyle name="Currency 2 3 3 2 4 2 4 2 2" xfId="26854"/>
    <cellStyle name="Currency 2 3 3 2 4 2 4 3" xfId="26855"/>
    <cellStyle name="Currency 2 3 3 2 4 2 5" xfId="8222"/>
    <cellStyle name="Currency 2 3 3 2 4 2 5 2" xfId="26856"/>
    <cellStyle name="Currency 2 3 3 2 4 2 6" xfId="8223"/>
    <cellStyle name="Currency 2 3 3 2 4 3" xfId="8224"/>
    <cellStyle name="Currency 2 3 3 2 4 3 2" xfId="8225"/>
    <cellStyle name="Currency 2 3 3 2 4 3 2 2" xfId="26857"/>
    <cellStyle name="Currency 2 3 3 2 4 3 3" xfId="26858"/>
    <cellStyle name="Currency 2 3 3 2 4 4" xfId="8226"/>
    <cellStyle name="Currency 2 3 3 2 4 4 2" xfId="8227"/>
    <cellStyle name="Currency 2 3 3 2 4 4 2 2" xfId="26859"/>
    <cellStyle name="Currency 2 3 3 2 4 4 3" xfId="26860"/>
    <cellStyle name="Currency 2 3 3 2 4 5" xfId="8228"/>
    <cellStyle name="Currency 2 3 3 2 4 5 2" xfId="8229"/>
    <cellStyle name="Currency 2 3 3 2 4 5 2 2" xfId="26861"/>
    <cellStyle name="Currency 2 3 3 2 4 5 3" xfId="26862"/>
    <cellStyle name="Currency 2 3 3 2 4 6" xfId="8230"/>
    <cellStyle name="Currency 2 3 3 2 4 6 2" xfId="26863"/>
    <cellStyle name="Currency 2 3 3 2 4 7" xfId="8231"/>
    <cellStyle name="Currency 2 3 3 2 5" xfId="1600"/>
    <cellStyle name="Currency 2 3 3 2 5 2" xfId="8232"/>
    <cellStyle name="Currency 2 3 3 2 5 2 2" xfId="8233"/>
    <cellStyle name="Currency 2 3 3 2 5 2 2 2" xfId="26864"/>
    <cellStyle name="Currency 2 3 3 2 5 2 3" xfId="26865"/>
    <cellStyle name="Currency 2 3 3 2 5 3" xfId="8234"/>
    <cellStyle name="Currency 2 3 3 2 5 3 2" xfId="8235"/>
    <cellStyle name="Currency 2 3 3 2 5 3 2 2" xfId="26866"/>
    <cellStyle name="Currency 2 3 3 2 5 3 3" xfId="26867"/>
    <cellStyle name="Currency 2 3 3 2 5 4" xfId="8236"/>
    <cellStyle name="Currency 2 3 3 2 5 4 2" xfId="8237"/>
    <cellStyle name="Currency 2 3 3 2 5 4 2 2" xfId="26868"/>
    <cellStyle name="Currency 2 3 3 2 5 4 3" xfId="26869"/>
    <cellStyle name="Currency 2 3 3 2 5 5" xfId="8238"/>
    <cellStyle name="Currency 2 3 3 2 5 5 2" xfId="26870"/>
    <cellStyle name="Currency 2 3 3 2 5 6" xfId="8239"/>
    <cellStyle name="Currency 2 3 3 2 6" xfId="8240"/>
    <cellStyle name="Currency 2 3 3 2 6 2" xfId="8241"/>
    <cellStyle name="Currency 2 3 3 2 6 2 2" xfId="26871"/>
    <cellStyle name="Currency 2 3 3 2 6 3" xfId="26872"/>
    <cellStyle name="Currency 2 3 3 2 7" xfId="8242"/>
    <cellStyle name="Currency 2 3 3 2 7 2" xfId="8243"/>
    <cellStyle name="Currency 2 3 3 2 7 2 2" xfId="26873"/>
    <cellStyle name="Currency 2 3 3 2 7 3" xfId="26874"/>
    <cellStyle name="Currency 2 3 3 2 8" xfId="8244"/>
    <cellStyle name="Currency 2 3 3 2 8 2" xfId="8245"/>
    <cellStyle name="Currency 2 3 3 2 8 2 2" xfId="26875"/>
    <cellStyle name="Currency 2 3 3 2 8 3" xfId="26876"/>
    <cellStyle name="Currency 2 3 3 2 9" xfId="8246"/>
    <cellStyle name="Currency 2 3 3 2 9 2" xfId="26877"/>
    <cellStyle name="Currency 2 3 3 3" xfId="258"/>
    <cellStyle name="Currency 2 3 3 3 10" xfId="8247"/>
    <cellStyle name="Currency 2 3 3 3 2" xfId="416"/>
    <cellStyle name="Currency 2 3 3 3 2 2" xfId="1204"/>
    <cellStyle name="Currency 2 3 3 3 2 2 2" xfId="1601"/>
    <cellStyle name="Currency 2 3 3 3 2 2 2 2" xfId="8248"/>
    <cellStyle name="Currency 2 3 3 3 2 2 2 2 2" xfId="8249"/>
    <cellStyle name="Currency 2 3 3 3 2 2 2 2 2 2" xfId="26878"/>
    <cellStyle name="Currency 2 3 3 3 2 2 2 2 3" xfId="26879"/>
    <cellStyle name="Currency 2 3 3 3 2 2 2 3" xfId="8250"/>
    <cellStyle name="Currency 2 3 3 3 2 2 2 3 2" xfId="8251"/>
    <cellStyle name="Currency 2 3 3 3 2 2 2 3 2 2" xfId="26880"/>
    <cellStyle name="Currency 2 3 3 3 2 2 2 3 3" xfId="26881"/>
    <cellStyle name="Currency 2 3 3 3 2 2 2 4" xfId="8252"/>
    <cellStyle name="Currency 2 3 3 3 2 2 2 4 2" xfId="8253"/>
    <cellStyle name="Currency 2 3 3 3 2 2 2 4 2 2" xfId="26882"/>
    <cellStyle name="Currency 2 3 3 3 2 2 2 4 3" xfId="26883"/>
    <cellStyle name="Currency 2 3 3 3 2 2 2 5" xfId="8254"/>
    <cellStyle name="Currency 2 3 3 3 2 2 2 5 2" xfId="26884"/>
    <cellStyle name="Currency 2 3 3 3 2 2 2 6" xfId="8255"/>
    <cellStyle name="Currency 2 3 3 3 2 2 3" xfId="8256"/>
    <cellStyle name="Currency 2 3 3 3 2 2 3 2" xfId="8257"/>
    <cellStyle name="Currency 2 3 3 3 2 2 3 2 2" xfId="26885"/>
    <cellStyle name="Currency 2 3 3 3 2 2 3 3" xfId="26886"/>
    <cellStyle name="Currency 2 3 3 3 2 2 4" xfId="8258"/>
    <cellStyle name="Currency 2 3 3 3 2 2 4 2" xfId="8259"/>
    <cellStyle name="Currency 2 3 3 3 2 2 4 2 2" xfId="26887"/>
    <cellStyle name="Currency 2 3 3 3 2 2 4 3" xfId="26888"/>
    <cellStyle name="Currency 2 3 3 3 2 2 5" xfId="8260"/>
    <cellStyle name="Currency 2 3 3 3 2 2 5 2" xfId="8261"/>
    <cellStyle name="Currency 2 3 3 3 2 2 5 2 2" xfId="26889"/>
    <cellStyle name="Currency 2 3 3 3 2 2 5 3" xfId="26890"/>
    <cellStyle name="Currency 2 3 3 3 2 2 6" xfId="8262"/>
    <cellStyle name="Currency 2 3 3 3 2 2 6 2" xfId="26891"/>
    <cellStyle name="Currency 2 3 3 3 2 2 7" xfId="8263"/>
    <cellStyle name="Currency 2 3 3 3 2 3" xfId="836"/>
    <cellStyle name="Currency 2 3 3 3 2 3 2" xfId="1602"/>
    <cellStyle name="Currency 2 3 3 3 2 3 2 2" xfId="8264"/>
    <cellStyle name="Currency 2 3 3 3 2 3 2 2 2" xfId="8265"/>
    <cellStyle name="Currency 2 3 3 3 2 3 2 2 2 2" xfId="26892"/>
    <cellStyle name="Currency 2 3 3 3 2 3 2 2 3" xfId="26893"/>
    <cellStyle name="Currency 2 3 3 3 2 3 2 3" xfId="8266"/>
    <cellStyle name="Currency 2 3 3 3 2 3 2 3 2" xfId="8267"/>
    <cellStyle name="Currency 2 3 3 3 2 3 2 3 2 2" xfId="26894"/>
    <cellStyle name="Currency 2 3 3 3 2 3 2 3 3" xfId="26895"/>
    <cellStyle name="Currency 2 3 3 3 2 3 2 4" xfId="8268"/>
    <cellStyle name="Currency 2 3 3 3 2 3 2 4 2" xfId="8269"/>
    <cellStyle name="Currency 2 3 3 3 2 3 2 4 2 2" xfId="26896"/>
    <cellStyle name="Currency 2 3 3 3 2 3 2 4 3" xfId="26897"/>
    <cellStyle name="Currency 2 3 3 3 2 3 2 5" xfId="8270"/>
    <cellStyle name="Currency 2 3 3 3 2 3 2 5 2" xfId="26898"/>
    <cellStyle name="Currency 2 3 3 3 2 3 2 6" xfId="8271"/>
    <cellStyle name="Currency 2 3 3 3 2 3 3" xfId="8272"/>
    <cellStyle name="Currency 2 3 3 3 2 3 3 2" xfId="8273"/>
    <cellStyle name="Currency 2 3 3 3 2 3 3 2 2" xfId="26899"/>
    <cellStyle name="Currency 2 3 3 3 2 3 3 3" xfId="26900"/>
    <cellStyle name="Currency 2 3 3 3 2 3 4" xfId="8274"/>
    <cellStyle name="Currency 2 3 3 3 2 3 4 2" xfId="8275"/>
    <cellStyle name="Currency 2 3 3 3 2 3 4 2 2" xfId="26901"/>
    <cellStyle name="Currency 2 3 3 3 2 3 4 3" xfId="26902"/>
    <cellStyle name="Currency 2 3 3 3 2 3 5" xfId="8276"/>
    <cellStyle name="Currency 2 3 3 3 2 3 5 2" xfId="8277"/>
    <cellStyle name="Currency 2 3 3 3 2 3 5 2 2" xfId="26903"/>
    <cellStyle name="Currency 2 3 3 3 2 3 5 3" xfId="26904"/>
    <cellStyle name="Currency 2 3 3 3 2 3 6" xfId="8278"/>
    <cellStyle name="Currency 2 3 3 3 2 3 6 2" xfId="26905"/>
    <cellStyle name="Currency 2 3 3 3 2 3 7" xfId="8279"/>
    <cellStyle name="Currency 2 3 3 3 2 4" xfId="1603"/>
    <cellStyle name="Currency 2 3 3 3 2 4 2" xfId="8280"/>
    <cellStyle name="Currency 2 3 3 3 2 4 2 2" xfId="8281"/>
    <cellStyle name="Currency 2 3 3 3 2 4 2 2 2" xfId="26906"/>
    <cellStyle name="Currency 2 3 3 3 2 4 2 3" xfId="26907"/>
    <cellStyle name="Currency 2 3 3 3 2 4 3" xfId="8282"/>
    <cellStyle name="Currency 2 3 3 3 2 4 3 2" xfId="8283"/>
    <cellStyle name="Currency 2 3 3 3 2 4 3 2 2" xfId="26908"/>
    <cellStyle name="Currency 2 3 3 3 2 4 3 3" xfId="26909"/>
    <cellStyle name="Currency 2 3 3 3 2 4 4" xfId="8284"/>
    <cellStyle name="Currency 2 3 3 3 2 4 4 2" xfId="8285"/>
    <cellStyle name="Currency 2 3 3 3 2 4 4 2 2" xfId="26910"/>
    <cellStyle name="Currency 2 3 3 3 2 4 4 3" xfId="26911"/>
    <cellStyle name="Currency 2 3 3 3 2 4 5" xfId="8286"/>
    <cellStyle name="Currency 2 3 3 3 2 4 5 2" xfId="26912"/>
    <cellStyle name="Currency 2 3 3 3 2 4 6" xfId="8287"/>
    <cellStyle name="Currency 2 3 3 3 2 5" xfId="8288"/>
    <cellStyle name="Currency 2 3 3 3 2 5 2" xfId="8289"/>
    <cellStyle name="Currency 2 3 3 3 2 5 2 2" xfId="26913"/>
    <cellStyle name="Currency 2 3 3 3 2 5 3" xfId="26914"/>
    <cellStyle name="Currency 2 3 3 3 2 6" xfId="8290"/>
    <cellStyle name="Currency 2 3 3 3 2 6 2" xfId="8291"/>
    <cellStyle name="Currency 2 3 3 3 2 6 2 2" xfId="26915"/>
    <cellStyle name="Currency 2 3 3 3 2 6 3" xfId="26916"/>
    <cellStyle name="Currency 2 3 3 3 2 7" xfId="8292"/>
    <cellStyle name="Currency 2 3 3 3 2 7 2" xfId="8293"/>
    <cellStyle name="Currency 2 3 3 3 2 7 2 2" xfId="26917"/>
    <cellStyle name="Currency 2 3 3 3 2 7 3" xfId="26918"/>
    <cellStyle name="Currency 2 3 3 3 2 8" xfId="8294"/>
    <cellStyle name="Currency 2 3 3 3 2 8 2" xfId="26919"/>
    <cellStyle name="Currency 2 3 3 3 2 9" xfId="8295"/>
    <cellStyle name="Currency 2 3 3 3 3" xfId="1046"/>
    <cellStyle name="Currency 2 3 3 3 3 2" xfId="1604"/>
    <cellStyle name="Currency 2 3 3 3 3 2 2" xfId="8296"/>
    <cellStyle name="Currency 2 3 3 3 3 2 2 2" xfId="8297"/>
    <cellStyle name="Currency 2 3 3 3 3 2 2 2 2" xfId="26920"/>
    <cellStyle name="Currency 2 3 3 3 3 2 2 3" xfId="26921"/>
    <cellStyle name="Currency 2 3 3 3 3 2 3" xfId="8298"/>
    <cellStyle name="Currency 2 3 3 3 3 2 3 2" xfId="8299"/>
    <cellStyle name="Currency 2 3 3 3 3 2 3 2 2" xfId="26922"/>
    <cellStyle name="Currency 2 3 3 3 3 2 3 3" xfId="26923"/>
    <cellStyle name="Currency 2 3 3 3 3 2 4" xfId="8300"/>
    <cellStyle name="Currency 2 3 3 3 3 2 4 2" xfId="8301"/>
    <cellStyle name="Currency 2 3 3 3 3 2 4 2 2" xfId="26924"/>
    <cellStyle name="Currency 2 3 3 3 3 2 4 3" xfId="26925"/>
    <cellStyle name="Currency 2 3 3 3 3 2 5" xfId="8302"/>
    <cellStyle name="Currency 2 3 3 3 3 2 5 2" xfId="26926"/>
    <cellStyle name="Currency 2 3 3 3 3 2 6" xfId="8303"/>
    <cellStyle name="Currency 2 3 3 3 3 3" xfId="8304"/>
    <cellStyle name="Currency 2 3 3 3 3 3 2" xfId="8305"/>
    <cellStyle name="Currency 2 3 3 3 3 3 2 2" xfId="26927"/>
    <cellStyle name="Currency 2 3 3 3 3 3 3" xfId="26928"/>
    <cellStyle name="Currency 2 3 3 3 3 4" xfId="8306"/>
    <cellStyle name="Currency 2 3 3 3 3 4 2" xfId="8307"/>
    <cellStyle name="Currency 2 3 3 3 3 4 2 2" xfId="26929"/>
    <cellStyle name="Currency 2 3 3 3 3 4 3" xfId="26930"/>
    <cellStyle name="Currency 2 3 3 3 3 5" xfId="8308"/>
    <cellStyle name="Currency 2 3 3 3 3 5 2" xfId="8309"/>
    <cellStyle name="Currency 2 3 3 3 3 5 2 2" xfId="26931"/>
    <cellStyle name="Currency 2 3 3 3 3 5 3" xfId="26932"/>
    <cellStyle name="Currency 2 3 3 3 3 6" xfId="8310"/>
    <cellStyle name="Currency 2 3 3 3 3 6 2" xfId="26933"/>
    <cellStyle name="Currency 2 3 3 3 3 7" xfId="8311"/>
    <cellStyle name="Currency 2 3 3 3 4" xfId="678"/>
    <cellStyle name="Currency 2 3 3 3 4 2" xfId="1605"/>
    <cellStyle name="Currency 2 3 3 3 4 2 2" xfId="8312"/>
    <cellStyle name="Currency 2 3 3 3 4 2 2 2" xfId="8313"/>
    <cellStyle name="Currency 2 3 3 3 4 2 2 2 2" xfId="26934"/>
    <cellStyle name="Currency 2 3 3 3 4 2 2 3" xfId="26935"/>
    <cellStyle name="Currency 2 3 3 3 4 2 3" xfId="8314"/>
    <cellStyle name="Currency 2 3 3 3 4 2 3 2" xfId="8315"/>
    <cellStyle name="Currency 2 3 3 3 4 2 3 2 2" xfId="26936"/>
    <cellStyle name="Currency 2 3 3 3 4 2 3 3" xfId="26937"/>
    <cellStyle name="Currency 2 3 3 3 4 2 4" xfId="8316"/>
    <cellStyle name="Currency 2 3 3 3 4 2 4 2" xfId="8317"/>
    <cellStyle name="Currency 2 3 3 3 4 2 4 2 2" xfId="26938"/>
    <cellStyle name="Currency 2 3 3 3 4 2 4 3" xfId="26939"/>
    <cellStyle name="Currency 2 3 3 3 4 2 5" xfId="8318"/>
    <cellStyle name="Currency 2 3 3 3 4 2 5 2" xfId="26940"/>
    <cellStyle name="Currency 2 3 3 3 4 2 6" xfId="8319"/>
    <cellStyle name="Currency 2 3 3 3 4 3" xfId="8320"/>
    <cellStyle name="Currency 2 3 3 3 4 3 2" xfId="8321"/>
    <cellStyle name="Currency 2 3 3 3 4 3 2 2" xfId="26941"/>
    <cellStyle name="Currency 2 3 3 3 4 3 3" xfId="26942"/>
    <cellStyle name="Currency 2 3 3 3 4 4" xfId="8322"/>
    <cellStyle name="Currency 2 3 3 3 4 4 2" xfId="8323"/>
    <cellStyle name="Currency 2 3 3 3 4 4 2 2" xfId="26943"/>
    <cellStyle name="Currency 2 3 3 3 4 4 3" xfId="26944"/>
    <cellStyle name="Currency 2 3 3 3 4 5" xfId="8324"/>
    <cellStyle name="Currency 2 3 3 3 4 5 2" xfId="8325"/>
    <cellStyle name="Currency 2 3 3 3 4 5 2 2" xfId="26945"/>
    <cellStyle name="Currency 2 3 3 3 4 5 3" xfId="26946"/>
    <cellStyle name="Currency 2 3 3 3 4 6" xfId="8326"/>
    <cellStyle name="Currency 2 3 3 3 4 6 2" xfId="26947"/>
    <cellStyle name="Currency 2 3 3 3 4 7" xfId="8327"/>
    <cellStyle name="Currency 2 3 3 3 5" xfId="1606"/>
    <cellStyle name="Currency 2 3 3 3 5 2" xfId="8328"/>
    <cellStyle name="Currency 2 3 3 3 5 2 2" xfId="8329"/>
    <cellStyle name="Currency 2 3 3 3 5 2 2 2" xfId="26948"/>
    <cellStyle name="Currency 2 3 3 3 5 2 3" xfId="26949"/>
    <cellStyle name="Currency 2 3 3 3 5 3" xfId="8330"/>
    <cellStyle name="Currency 2 3 3 3 5 3 2" xfId="8331"/>
    <cellStyle name="Currency 2 3 3 3 5 3 2 2" xfId="26950"/>
    <cellStyle name="Currency 2 3 3 3 5 3 3" xfId="26951"/>
    <cellStyle name="Currency 2 3 3 3 5 4" xfId="8332"/>
    <cellStyle name="Currency 2 3 3 3 5 4 2" xfId="8333"/>
    <cellStyle name="Currency 2 3 3 3 5 4 2 2" xfId="26952"/>
    <cellStyle name="Currency 2 3 3 3 5 4 3" xfId="26953"/>
    <cellStyle name="Currency 2 3 3 3 5 5" xfId="8334"/>
    <cellStyle name="Currency 2 3 3 3 5 5 2" xfId="26954"/>
    <cellStyle name="Currency 2 3 3 3 5 6" xfId="8335"/>
    <cellStyle name="Currency 2 3 3 3 6" xfId="8336"/>
    <cellStyle name="Currency 2 3 3 3 6 2" xfId="8337"/>
    <cellStyle name="Currency 2 3 3 3 6 2 2" xfId="26955"/>
    <cellStyle name="Currency 2 3 3 3 6 3" xfId="26956"/>
    <cellStyle name="Currency 2 3 3 3 7" xfId="8338"/>
    <cellStyle name="Currency 2 3 3 3 7 2" xfId="8339"/>
    <cellStyle name="Currency 2 3 3 3 7 2 2" xfId="26957"/>
    <cellStyle name="Currency 2 3 3 3 7 3" xfId="26958"/>
    <cellStyle name="Currency 2 3 3 3 8" xfId="8340"/>
    <cellStyle name="Currency 2 3 3 3 8 2" xfId="8341"/>
    <cellStyle name="Currency 2 3 3 3 8 2 2" xfId="26959"/>
    <cellStyle name="Currency 2 3 3 3 8 3" xfId="26960"/>
    <cellStyle name="Currency 2 3 3 3 9" xfId="8342"/>
    <cellStyle name="Currency 2 3 3 3 9 2" xfId="26961"/>
    <cellStyle name="Currency 2 3 3 4" xfId="173"/>
    <cellStyle name="Currency 2 3 3 4 2" xfId="961"/>
    <cellStyle name="Currency 2 3 3 4 2 2" xfId="1607"/>
    <cellStyle name="Currency 2 3 3 4 2 2 2" xfId="8343"/>
    <cellStyle name="Currency 2 3 3 4 2 2 2 2" xfId="8344"/>
    <cellStyle name="Currency 2 3 3 4 2 2 2 2 2" xfId="26962"/>
    <cellStyle name="Currency 2 3 3 4 2 2 2 3" xfId="26963"/>
    <cellStyle name="Currency 2 3 3 4 2 2 3" xfId="8345"/>
    <cellStyle name="Currency 2 3 3 4 2 2 3 2" xfId="8346"/>
    <cellStyle name="Currency 2 3 3 4 2 2 3 2 2" xfId="26964"/>
    <cellStyle name="Currency 2 3 3 4 2 2 3 3" xfId="26965"/>
    <cellStyle name="Currency 2 3 3 4 2 2 4" xfId="8347"/>
    <cellStyle name="Currency 2 3 3 4 2 2 4 2" xfId="8348"/>
    <cellStyle name="Currency 2 3 3 4 2 2 4 2 2" xfId="26966"/>
    <cellStyle name="Currency 2 3 3 4 2 2 4 3" xfId="26967"/>
    <cellStyle name="Currency 2 3 3 4 2 2 5" xfId="8349"/>
    <cellStyle name="Currency 2 3 3 4 2 2 5 2" xfId="26968"/>
    <cellStyle name="Currency 2 3 3 4 2 2 6" xfId="8350"/>
    <cellStyle name="Currency 2 3 3 4 2 3" xfId="8351"/>
    <cellStyle name="Currency 2 3 3 4 2 3 2" xfId="8352"/>
    <cellStyle name="Currency 2 3 3 4 2 3 2 2" xfId="26969"/>
    <cellStyle name="Currency 2 3 3 4 2 3 3" xfId="26970"/>
    <cellStyle name="Currency 2 3 3 4 2 4" xfId="8353"/>
    <cellStyle name="Currency 2 3 3 4 2 4 2" xfId="8354"/>
    <cellStyle name="Currency 2 3 3 4 2 4 2 2" xfId="26971"/>
    <cellStyle name="Currency 2 3 3 4 2 4 3" xfId="26972"/>
    <cellStyle name="Currency 2 3 3 4 2 5" xfId="8355"/>
    <cellStyle name="Currency 2 3 3 4 2 5 2" xfId="8356"/>
    <cellStyle name="Currency 2 3 3 4 2 5 2 2" xfId="26973"/>
    <cellStyle name="Currency 2 3 3 4 2 5 3" xfId="26974"/>
    <cellStyle name="Currency 2 3 3 4 2 6" xfId="8357"/>
    <cellStyle name="Currency 2 3 3 4 2 6 2" xfId="26975"/>
    <cellStyle name="Currency 2 3 3 4 2 7" xfId="8358"/>
    <cellStyle name="Currency 2 3 3 4 3" xfId="593"/>
    <cellStyle name="Currency 2 3 3 4 3 2" xfId="1608"/>
    <cellStyle name="Currency 2 3 3 4 3 2 2" xfId="8359"/>
    <cellStyle name="Currency 2 3 3 4 3 2 2 2" xfId="8360"/>
    <cellStyle name="Currency 2 3 3 4 3 2 2 2 2" xfId="26976"/>
    <cellStyle name="Currency 2 3 3 4 3 2 2 3" xfId="26977"/>
    <cellStyle name="Currency 2 3 3 4 3 2 3" xfId="8361"/>
    <cellStyle name="Currency 2 3 3 4 3 2 3 2" xfId="8362"/>
    <cellStyle name="Currency 2 3 3 4 3 2 3 2 2" xfId="26978"/>
    <cellStyle name="Currency 2 3 3 4 3 2 3 3" xfId="26979"/>
    <cellStyle name="Currency 2 3 3 4 3 2 4" xfId="8363"/>
    <cellStyle name="Currency 2 3 3 4 3 2 4 2" xfId="8364"/>
    <cellStyle name="Currency 2 3 3 4 3 2 4 2 2" xfId="26980"/>
    <cellStyle name="Currency 2 3 3 4 3 2 4 3" xfId="26981"/>
    <cellStyle name="Currency 2 3 3 4 3 2 5" xfId="8365"/>
    <cellStyle name="Currency 2 3 3 4 3 2 5 2" xfId="26982"/>
    <cellStyle name="Currency 2 3 3 4 3 2 6" xfId="8366"/>
    <cellStyle name="Currency 2 3 3 4 3 3" xfId="8367"/>
    <cellStyle name="Currency 2 3 3 4 3 3 2" xfId="8368"/>
    <cellStyle name="Currency 2 3 3 4 3 3 2 2" xfId="26983"/>
    <cellStyle name="Currency 2 3 3 4 3 3 3" xfId="26984"/>
    <cellStyle name="Currency 2 3 3 4 3 4" xfId="8369"/>
    <cellStyle name="Currency 2 3 3 4 3 4 2" xfId="8370"/>
    <cellStyle name="Currency 2 3 3 4 3 4 2 2" xfId="26985"/>
    <cellStyle name="Currency 2 3 3 4 3 4 3" xfId="26986"/>
    <cellStyle name="Currency 2 3 3 4 3 5" xfId="8371"/>
    <cellStyle name="Currency 2 3 3 4 3 5 2" xfId="8372"/>
    <cellStyle name="Currency 2 3 3 4 3 5 2 2" xfId="26987"/>
    <cellStyle name="Currency 2 3 3 4 3 5 3" xfId="26988"/>
    <cellStyle name="Currency 2 3 3 4 3 6" xfId="8373"/>
    <cellStyle name="Currency 2 3 3 4 3 6 2" xfId="26989"/>
    <cellStyle name="Currency 2 3 3 4 3 7" xfId="8374"/>
    <cellStyle name="Currency 2 3 3 4 4" xfId="1609"/>
    <cellStyle name="Currency 2 3 3 4 4 2" xfId="8375"/>
    <cellStyle name="Currency 2 3 3 4 4 2 2" xfId="8376"/>
    <cellStyle name="Currency 2 3 3 4 4 2 2 2" xfId="26990"/>
    <cellStyle name="Currency 2 3 3 4 4 2 3" xfId="26991"/>
    <cellStyle name="Currency 2 3 3 4 4 3" xfId="8377"/>
    <cellStyle name="Currency 2 3 3 4 4 3 2" xfId="8378"/>
    <cellStyle name="Currency 2 3 3 4 4 3 2 2" xfId="26992"/>
    <cellStyle name="Currency 2 3 3 4 4 3 3" xfId="26993"/>
    <cellStyle name="Currency 2 3 3 4 4 4" xfId="8379"/>
    <cellStyle name="Currency 2 3 3 4 4 4 2" xfId="8380"/>
    <cellStyle name="Currency 2 3 3 4 4 4 2 2" xfId="26994"/>
    <cellStyle name="Currency 2 3 3 4 4 4 3" xfId="26995"/>
    <cellStyle name="Currency 2 3 3 4 4 5" xfId="8381"/>
    <cellStyle name="Currency 2 3 3 4 4 5 2" xfId="26996"/>
    <cellStyle name="Currency 2 3 3 4 4 6" xfId="8382"/>
    <cellStyle name="Currency 2 3 3 4 5" xfId="8383"/>
    <cellStyle name="Currency 2 3 3 4 5 2" xfId="8384"/>
    <cellStyle name="Currency 2 3 3 4 5 2 2" xfId="26997"/>
    <cellStyle name="Currency 2 3 3 4 5 3" xfId="26998"/>
    <cellStyle name="Currency 2 3 3 4 6" xfId="8385"/>
    <cellStyle name="Currency 2 3 3 4 6 2" xfId="8386"/>
    <cellStyle name="Currency 2 3 3 4 6 2 2" xfId="26999"/>
    <cellStyle name="Currency 2 3 3 4 6 3" xfId="27000"/>
    <cellStyle name="Currency 2 3 3 4 7" xfId="8387"/>
    <cellStyle name="Currency 2 3 3 4 7 2" xfId="8388"/>
    <cellStyle name="Currency 2 3 3 4 7 2 2" xfId="27001"/>
    <cellStyle name="Currency 2 3 3 4 7 3" xfId="27002"/>
    <cellStyle name="Currency 2 3 3 4 8" xfId="8389"/>
    <cellStyle name="Currency 2 3 3 4 8 2" xfId="27003"/>
    <cellStyle name="Currency 2 3 3 4 9" xfId="8390"/>
    <cellStyle name="Currency 2 3 3 5" xfId="331"/>
    <cellStyle name="Currency 2 3 3 5 2" xfId="1119"/>
    <cellStyle name="Currency 2 3 3 5 2 2" xfId="1610"/>
    <cellStyle name="Currency 2 3 3 5 2 2 2" xfId="8391"/>
    <cellStyle name="Currency 2 3 3 5 2 2 2 2" xfId="8392"/>
    <cellStyle name="Currency 2 3 3 5 2 2 2 2 2" xfId="27004"/>
    <cellStyle name="Currency 2 3 3 5 2 2 2 3" xfId="27005"/>
    <cellStyle name="Currency 2 3 3 5 2 2 3" xfId="8393"/>
    <cellStyle name="Currency 2 3 3 5 2 2 3 2" xfId="8394"/>
    <cellStyle name="Currency 2 3 3 5 2 2 3 2 2" xfId="27006"/>
    <cellStyle name="Currency 2 3 3 5 2 2 3 3" xfId="27007"/>
    <cellStyle name="Currency 2 3 3 5 2 2 4" xfId="8395"/>
    <cellStyle name="Currency 2 3 3 5 2 2 4 2" xfId="8396"/>
    <cellStyle name="Currency 2 3 3 5 2 2 4 2 2" xfId="27008"/>
    <cellStyle name="Currency 2 3 3 5 2 2 4 3" xfId="27009"/>
    <cellStyle name="Currency 2 3 3 5 2 2 5" xfId="8397"/>
    <cellStyle name="Currency 2 3 3 5 2 2 5 2" xfId="27010"/>
    <cellStyle name="Currency 2 3 3 5 2 2 6" xfId="8398"/>
    <cellStyle name="Currency 2 3 3 5 2 3" xfId="8399"/>
    <cellStyle name="Currency 2 3 3 5 2 3 2" xfId="8400"/>
    <cellStyle name="Currency 2 3 3 5 2 3 2 2" xfId="27011"/>
    <cellStyle name="Currency 2 3 3 5 2 3 3" xfId="27012"/>
    <cellStyle name="Currency 2 3 3 5 2 4" xfId="8401"/>
    <cellStyle name="Currency 2 3 3 5 2 4 2" xfId="8402"/>
    <cellStyle name="Currency 2 3 3 5 2 4 2 2" xfId="27013"/>
    <cellStyle name="Currency 2 3 3 5 2 4 3" xfId="27014"/>
    <cellStyle name="Currency 2 3 3 5 2 5" xfId="8403"/>
    <cellStyle name="Currency 2 3 3 5 2 5 2" xfId="8404"/>
    <cellStyle name="Currency 2 3 3 5 2 5 2 2" xfId="27015"/>
    <cellStyle name="Currency 2 3 3 5 2 5 3" xfId="27016"/>
    <cellStyle name="Currency 2 3 3 5 2 6" xfId="8405"/>
    <cellStyle name="Currency 2 3 3 5 2 6 2" xfId="27017"/>
    <cellStyle name="Currency 2 3 3 5 2 7" xfId="8406"/>
    <cellStyle name="Currency 2 3 3 5 3" xfId="751"/>
    <cellStyle name="Currency 2 3 3 5 3 2" xfId="1611"/>
    <cellStyle name="Currency 2 3 3 5 3 2 2" xfId="8407"/>
    <cellStyle name="Currency 2 3 3 5 3 2 2 2" xfId="8408"/>
    <cellStyle name="Currency 2 3 3 5 3 2 2 2 2" xfId="27018"/>
    <cellStyle name="Currency 2 3 3 5 3 2 2 3" xfId="27019"/>
    <cellStyle name="Currency 2 3 3 5 3 2 3" xfId="8409"/>
    <cellStyle name="Currency 2 3 3 5 3 2 3 2" xfId="8410"/>
    <cellStyle name="Currency 2 3 3 5 3 2 3 2 2" xfId="27020"/>
    <cellStyle name="Currency 2 3 3 5 3 2 3 3" xfId="27021"/>
    <cellStyle name="Currency 2 3 3 5 3 2 4" xfId="8411"/>
    <cellStyle name="Currency 2 3 3 5 3 2 4 2" xfId="8412"/>
    <cellStyle name="Currency 2 3 3 5 3 2 4 2 2" xfId="27022"/>
    <cellStyle name="Currency 2 3 3 5 3 2 4 3" xfId="27023"/>
    <cellStyle name="Currency 2 3 3 5 3 2 5" xfId="8413"/>
    <cellStyle name="Currency 2 3 3 5 3 2 5 2" xfId="27024"/>
    <cellStyle name="Currency 2 3 3 5 3 2 6" xfId="8414"/>
    <cellStyle name="Currency 2 3 3 5 3 3" xfId="8415"/>
    <cellStyle name="Currency 2 3 3 5 3 3 2" xfId="8416"/>
    <cellStyle name="Currency 2 3 3 5 3 3 2 2" xfId="27025"/>
    <cellStyle name="Currency 2 3 3 5 3 3 3" xfId="27026"/>
    <cellStyle name="Currency 2 3 3 5 3 4" xfId="8417"/>
    <cellStyle name="Currency 2 3 3 5 3 4 2" xfId="8418"/>
    <cellStyle name="Currency 2 3 3 5 3 4 2 2" xfId="27027"/>
    <cellStyle name="Currency 2 3 3 5 3 4 3" xfId="27028"/>
    <cellStyle name="Currency 2 3 3 5 3 5" xfId="8419"/>
    <cellStyle name="Currency 2 3 3 5 3 5 2" xfId="8420"/>
    <cellStyle name="Currency 2 3 3 5 3 5 2 2" xfId="27029"/>
    <cellStyle name="Currency 2 3 3 5 3 5 3" xfId="27030"/>
    <cellStyle name="Currency 2 3 3 5 3 6" xfId="8421"/>
    <cellStyle name="Currency 2 3 3 5 3 6 2" xfId="27031"/>
    <cellStyle name="Currency 2 3 3 5 3 7" xfId="8422"/>
    <cellStyle name="Currency 2 3 3 5 4" xfId="1612"/>
    <cellStyle name="Currency 2 3 3 5 4 2" xfId="8423"/>
    <cellStyle name="Currency 2 3 3 5 4 2 2" xfId="8424"/>
    <cellStyle name="Currency 2 3 3 5 4 2 2 2" xfId="27032"/>
    <cellStyle name="Currency 2 3 3 5 4 2 3" xfId="27033"/>
    <cellStyle name="Currency 2 3 3 5 4 3" xfId="8425"/>
    <cellStyle name="Currency 2 3 3 5 4 3 2" xfId="8426"/>
    <cellStyle name="Currency 2 3 3 5 4 3 2 2" xfId="27034"/>
    <cellStyle name="Currency 2 3 3 5 4 3 3" xfId="27035"/>
    <cellStyle name="Currency 2 3 3 5 4 4" xfId="8427"/>
    <cellStyle name="Currency 2 3 3 5 4 4 2" xfId="8428"/>
    <cellStyle name="Currency 2 3 3 5 4 4 2 2" xfId="27036"/>
    <cellStyle name="Currency 2 3 3 5 4 4 3" xfId="27037"/>
    <cellStyle name="Currency 2 3 3 5 4 5" xfId="8429"/>
    <cellStyle name="Currency 2 3 3 5 4 5 2" xfId="27038"/>
    <cellStyle name="Currency 2 3 3 5 4 6" xfId="8430"/>
    <cellStyle name="Currency 2 3 3 5 5" xfId="8431"/>
    <cellStyle name="Currency 2 3 3 5 5 2" xfId="8432"/>
    <cellStyle name="Currency 2 3 3 5 5 2 2" xfId="27039"/>
    <cellStyle name="Currency 2 3 3 5 5 3" xfId="27040"/>
    <cellStyle name="Currency 2 3 3 5 6" xfId="8433"/>
    <cellStyle name="Currency 2 3 3 5 6 2" xfId="8434"/>
    <cellStyle name="Currency 2 3 3 5 6 2 2" xfId="27041"/>
    <cellStyle name="Currency 2 3 3 5 6 3" xfId="27042"/>
    <cellStyle name="Currency 2 3 3 5 7" xfId="8435"/>
    <cellStyle name="Currency 2 3 3 5 7 2" xfId="8436"/>
    <cellStyle name="Currency 2 3 3 5 7 2 2" xfId="27043"/>
    <cellStyle name="Currency 2 3 3 5 7 3" xfId="27044"/>
    <cellStyle name="Currency 2 3 3 5 8" xfId="8437"/>
    <cellStyle name="Currency 2 3 3 5 8 2" xfId="27045"/>
    <cellStyle name="Currency 2 3 3 5 9" xfId="8438"/>
    <cellStyle name="Currency 2 3 3 6" xfId="120"/>
    <cellStyle name="Currency 2 3 3 6 2" xfId="541"/>
    <cellStyle name="Currency 2 3 3 6 2 2" xfId="1613"/>
    <cellStyle name="Currency 2 3 3 6 2 2 2" xfId="8439"/>
    <cellStyle name="Currency 2 3 3 6 2 2 2 2" xfId="8440"/>
    <cellStyle name="Currency 2 3 3 6 2 2 2 2 2" xfId="27046"/>
    <cellStyle name="Currency 2 3 3 6 2 2 2 3" xfId="27047"/>
    <cellStyle name="Currency 2 3 3 6 2 2 3" xfId="8441"/>
    <cellStyle name="Currency 2 3 3 6 2 2 3 2" xfId="8442"/>
    <cellStyle name="Currency 2 3 3 6 2 2 3 2 2" xfId="27048"/>
    <cellStyle name="Currency 2 3 3 6 2 2 3 3" xfId="27049"/>
    <cellStyle name="Currency 2 3 3 6 2 2 4" xfId="8443"/>
    <cellStyle name="Currency 2 3 3 6 2 2 4 2" xfId="8444"/>
    <cellStyle name="Currency 2 3 3 6 2 2 4 2 2" xfId="27050"/>
    <cellStyle name="Currency 2 3 3 6 2 2 4 3" xfId="27051"/>
    <cellStyle name="Currency 2 3 3 6 2 2 5" xfId="8445"/>
    <cellStyle name="Currency 2 3 3 6 2 2 5 2" xfId="27052"/>
    <cellStyle name="Currency 2 3 3 6 2 2 6" xfId="8446"/>
    <cellStyle name="Currency 2 3 3 6 2 3" xfId="8447"/>
    <cellStyle name="Currency 2 3 3 6 2 3 2" xfId="8448"/>
    <cellStyle name="Currency 2 3 3 6 2 3 2 2" xfId="27053"/>
    <cellStyle name="Currency 2 3 3 6 2 3 3" xfId="27054"/>
    <cellStyle name="Currency 2 3 3 6 2 4" xfId="8449"/>
    <cellStyle name="Currency 2 3 3 6 2 4 2" xfId="8450"/>
    <cellStyle name="Currency 2 3 3 6 2 4 2 2" xfId="27055"/>
    <cellStyle name="Currency 2 3 3 6 2 4 3" xfId="27056"/>
    <cellStyle name="Currency 2 3 3 6 2 5" xfId="8451"/>
    <cellStyle name="Currency 2 3 3 6 2 5 2" xfId="8452"/>
    <cellStyle name="Currency 2 3 3 6 2 5 2 2" xfId="27057"/>
    <cellStyle name="Currency 2 3 3 6 2 5 3" xfId="27058"/>
    <cellStyle name="Currency 2 3 3 6 2 6" xfId="8453"/>
    <cellStyle name="Currency 2 3 3 6 2 6 2" xfId="27059"/>
    <cellStyle name="Currency 2 3 3 6 2 7" xfId="8454"/>
    <cellStyle name="Currency 2 3 3 6 3" xfId="1614"/>
    <cellStyle name="Currency 2 3 3 6 3 2" xfId="8455"/>
    <cellStyle name="Currency 2 3 3 6 3 2 2" xfId="8456"/>
    <cellStyle name="Currency 2 3 3 6 3 2 2 2" xfId="27060"/>
    <cellStyle name="Currency 2 3 3 6 3 2 3" xfId="27061"/>
    <cellStyle name="Currency 2 3 3 6 3 3" xfId="8457"/>
    <cellStyle name="Currency 2 3 3 6 3 3 2" xfId="8458"/>
    <cellStyle name="Currency 2 3 3 6 3 3 2 2" xfId="27062"/>
    <cellStyle name="Currency 2 3 3 6 3 3 3" xfId="27063"/>
    <cellStyle name="Currency 2 3 3 6 3 4" xfId="8459"/>
    <cellStyle name="Currency 2 3 3 6 3 4 2" xfId="8460"/>
    <cellStyle name="Currency 2 3 3 6 3 4 2 2" xfId="27064"/>
    <cellStyle name="Currency 2 3 3 6 3 4 3" xfId="27065"/>
    <cellStyle name="Currency 2 3 3 6 3 5" xfId="8461"/>
    <cellStyle name="Currency 2 3 3 6 3 5 2" xfId="27066"/>
    <cellStyle name="Currency 2 3 3 6 3 6" xfId="8462"/>
    <cellStyle name="Currency 2 3 3 6 4" xfId="8463"/>
    <cellStyle name="Currency 2 3 3 6 4 2" xfId="8464"/>
    <cellStyle name="Currency 2 3 3 6 4 2 2" xfId="27067"/>
    <cellStyle name="Currency 2 3 3 6 4 3" xfId="27068"/>
    <cellStyle name="Currency 2 3 3 6 5" xfId="8465"/>
    <cellStyle name="Currency 2 3 3 6 5 2" xfId="8466"/>
    <cellStyle name="Currency 2 3 3 6 5 2 2" xfId="27069"/>
    <cellStyle name="Currency 2 3 3 6 5 3" xfId="27070"/>
    <cellStyle name="Currency 2 3 3 6 6" xfId="8467"/>
    <cellStyle name="Currency 2 3 3 6 6 2" xfId="8468"/>
    <cellStyle name="Currency 2 3 3 6 6 2 2" xfId="27071"/>
    <cellStyle name="Currency 2 3 3 6 6 3" xfId="27072"/>
    <cellStyle name="Currency 2 3 3 6 7" xfId="8469"/>
    <cellStyle name="Currency 2 3 3 6 7 2" xfId="27073"/>
    <cellStyle name="Currency 2 3 3 6 8" xfId="8470"/>
    <cellStyle name="Currency 2 3 3 7" xfId="909"/>
    <cellStyle name="Currency 2 3 3 7 2" xfId="1615"/>
    <cellStyle name="Currency 2 3 3 7 2 2" xfId="8471"/>
    <cellStyle name="Currency 2 3 3 7 2 2 2" xfId="8472"/>
    <cellStyle name="Currency 2 3 3 7 2 2 2 2" xfId="27074"/>
    <cellStyle name="Currency 2 3 3 7 2 2 3" xfId="27075"/>
    <cellStyle name="Currency 2 3 3 7 2 3" xfId="8473"/>
    <cellStyle name="Currency 2 3 3 7 2 3 2" xfId="8474"/>
    <cellStyle name="Currency 2 3 3 7 2 3 2 2" xfId="27076"/>
    <cellStyle name="Currency 2 3 3 7 2 3 3" xfId="27077"/>
    <cellStyle name="Currency 2 3 3 7 2 4" xfId="8475"/>
    <cellStyle name="Currency 2 3 3 7 2 4 2" xfId="8476"/>
    <cellStyle name="Currency 2 3 3 7 2 4 2 2" xfId="27078"/>
    <cellStyle name="Currency 2 3 3 7 2 4 3" xfId="27079"/>
    <cellStyle name="Currency 2 3 3 7 2 5" xfId="8477"/>
    <cellStyle name="Currency 2 3 3 7 2 5 2" xfId="27080"/>
    <cellStyle name="Currency 2 3 3 7 2 6" xfId="8478"/>
    <cellStyle name="Currency 2 3 3 7 3" xfId="8479"/>
    <cellStyle name="Currency 2 3 3 7 3 2" xfId="8480"/>
    <cellStyle name="Currency 2 3 3 7 3 2 2" xfId="27081"/>
    <cellStyle name="Currency 2 3 3 7 3 3" xfId="27082"/>
    <cellStyle name="Currency 2 3 3 7 4" xfId="8481"/>
    <cellStyle name="Currency 2 3 3 7 4 2" xfId="8482"/>
    <cellStyle name="Currency 2 3 3 7 4 2 2" xfId="27083"/>
    <cellStyle name="Currency 2 3 3 7 4 3" xfId="27084"/>
    <cellStyle name="Currency 2 3 3 7 5" xfId="8483"/>
    <cellStyle name="Currency 2 3 3 7 5 2" xfId="8484"/>
    <cellStyle name="Currency 2 3 3 7 5 2 2" xfId="27085"/>
    <cellStyle name="Currency 2 3 3 7 5 3" xfId="27086"/>
    <cellStyle name="Currency 2 3 3 7 6" xfId="8485"/>
    <cellStyle name="Currency 2 3 3 7 6 2" xfId="27087"/>
    <cellStyle name="Currency 2 3 3 7 7" xfId="8486"/>
    <cellStyle name="Currency 2 3 3 8" xfId="474"/>
    <cellStyle name="Currency 2 3 3 8 2" xfId="1616"/>
    <cellStyle name="Currency 2 3 3 8 2 2" xfId="8487"/>
    <cellStyle name="Currency 2 3 3 8 2 2 2" xfId="8488"/>
    <cellStyle name="Currency 2 3 3 8 2 2 2 2" xfId="27088"/>
    <cellStyle name="Currency 2 3 3 8 2 2 3" xfId="27089"/>
    <cellStyle name="Currency 2 3 3 8 2 3" xfId="8489"/>
    <cellStyle name="Currency 2 3 3 8 2 3 2" xfId="8490"/>
    <cellStyle name="Currency 2 3 3 8 2 3 2 2" xfId="27090"/>
    <cellStyle name="Currency 2 3 3 8 2 3 3" xfId="27091"/>
    <cellStyle name="Currency 2 3 3 8 2 4" xfId="8491"/>
    <cellStyle name="Currency 2 3 3 8 2 4 2" xfId="8492"/>
    <cellStyle name="Currency 2 3 3 8 2 4 2 2" xfId="27092"/>
    <cellStyle name="Currency 2 3 3 8 2 4 3" xfId="27093"/>
    <cellStyle name="Currency 2 3 3 8 2 5" xfId="8493"/>
    <cellStyle name="Currency 2 3 3 8 2 5 2" xfId="27094"/>
    <cellStyle name="Currency 2 3 3 8 2 6" xfId="8494"/>
    <cellStyle name="Currency 2 3 3 8 3" xfId="8495"/>
    <cellStyle name="Currency 2 3 3 8 3 2" xfId="8496"/>
    <cellStyle name="Currency 2 3 3 8 3 2 2" xfId="27095"/>
    <cellStyle name="Currency 2 3 3 8 3 3" xfId="27096"/>
    <cellStyle name="Currency 2 3 3 8 4" xfId="8497"/>
    <cellStyle name="Currency 2 3 3 8 4 2" xfId="8498"/>
    <cellStyle name="Currency 2 3 3 8 4 2 2" xfId="27097"/>
    <cellStyle name="Currency 2 3 3 8 4 3" xfId="27098"/>
    <cellStyle name="Currency 2 3 3 8 5" xfId="8499"/>
    <cellStyle name="Currency 2 3 3 8 5 2" xfId="8500"/>
    <cellStyle name="Currency 2 3 3 8 5 2 2" xfId="27099"/>
    <cellStyle name="Currency 2 3 3 8 5 3" xfId="27100"/>
    <cellStyle name="Currency 2 3 3 8 6" xfId="8501"/>
    <cellStyle name="Currency 2 3 3 8 6 2" xfId="27101"/>
    <cellStyle name="Currency 2 3 3 8 7" xfId="8502"/>
    <cellStyle name="Currency 2 3 3 9" xfId="1617"/>
    <cellStyle name="Currency 2 3 3 9 2" xfId="8503"/>
    <cellStyle name="Currency 2 3 3 9 2 2" xfId="8504"/>
    <cellStyle name="Currency 2 3 3 9 2 2 2" xfId="27102"/>
    <cellStyle name="Currency 2 3 3 9 2 3" xfId="27103"/>
    <cellStyle name="Currency 2 3 3 9 3" xfId="8505"/>
    <cellStyle name="Currency 2 3 3 9 3 2" xfId="8506"/>
    <cellStyle name="Currency 2 3 3 9 3 2 2" xfId="27104"/>
    <cellStyle name="Currency 2 3 3 9 3 3" xfId="27105"/>
    <cellStyle name="Currency 2 3 3 9 4" xfId="8507"/>
    <cellStyle name="Currency 2 3 3 9 4 2" xfId="8508"/>
    <cellStyle name="Currency 2 3 3 9 4 2 2" xfId="27106"/>
    <cellStyle name="Currency 2 3 3 9 4 3" xfId="27107"/>
    <cellStyle name="Currency 2 3 3 9 5" xfId="8509"/>
    <cellStyle name="Currency 2 3 3 9 5 2" xfId="27108"/>
    <cellStyle name="Currency 2 3 3 9 6" xfId="8510"/>
    <cellStyle name="Currency 2 3 4" xfId="41"/>
    <cellStyle name="Currency 2 3 4 10" xfId="8511"/>
    <cellStyle name="Currency 2 3 4 10 2" xfId="8512"/>
    <cellStyle name="Currency 2 3 4 10 2 2" xfId="27109"/>
    <cellStyle name="Currency 2 3 4 10 3" xfId="27110"/>
    <cellStyle name="Currency 2 3 4 11" xfId="8513"/>
    <cellStyle name="Currency 2 3 4 11 2" xfId="8514"/>
    <cellStyle name="Currency 2 3 4 11 2 2" xfId="27111"/>
    <cellStyle name="Currency 2 3 4 11 3" xfId="27112"/>
    <cellStyle name="Currency 2 3 4 12" xfId="8515"/>
    <cellStyle name="Currency 2 3 4 12 2" xfId="8516"/>
    <cellStyle name="Currency 2 3 4 12 2 2" xfId="27113"/>
    <cellStyle name="Currency 2 3 4 12 3" xfId="27114"/>
    <cellStyle name="Currency 2 3 4 13" xfId="8517"/>
    <cellStyle name="Currency 2 3 4 13 2" xfId="27115"/>
    <cellStyle name="Currency 2 3 4 14" xfId="8518"/>
    <cellStyle name="Currency 2 3 4 2" xfId="208"/>
    <cellStyle name="Currency 2 3 4 2 10" xfId="8519"/>
    <cellStyle name="Currency 2 3 4 2 2" xfId="366"/>
    <cellStyle name="Currency 2 3 4 2 2 2" xfId="1154"/>
    <cellStyle name="Currency 2 3 4 2 2 2 2" xfId="1618"/>
    <cellStyle name="Currency 2 3 4 2 2 2 2 2" xfId="8520"/>
    <cellStyle name="Currency 2 3 4 2 2 2 2 2 2" xfId="8521"/>
    <cellStyle name="Currency 2 3 4 2 2 2 2 2 2 2" xfId="27116"/>
    <cellStyle name="Currency 2 3 4 2 2 2 2 2 3" xfId="27117"/>
    <cellStyle name="Currency 2 3 4 2 2 2 2 3" xfId="8522"/>
    <cellStyle name="Currency 2 3 4 2 2 2 2 3 2" xfId="8523"/>
    <cellStyle name="Currency 2 3 4 2 2 2 2 3 2 2" xfId="27118"/>
    <cellStyle name="Currency 2 3 4 2 2 2 2 3 3" xfId="27119"/>
    <cellStyle name="Currency 2 3 4 2 2 2 2 4" xfId="8524"/>
    <cellStyle name="Currency 2 3 4 2 2 2 2 4 2" xfId="8525"/>
    <cellStyle name="Currency 2 3 4 2 2 2 2 4 2 2" xfId="27120"/>
    <cellStyle name="Currency 2 3 4 2 2 2 2 4 3" xfId="27121"/>
    <cellStyle name="Currency 2 3 4 2 2 2 2 5" xfId="8526"/>
    <cellStyle name="Currency 2 3 4 2 2 2 2 5 2" xfId="27122"/>
    <cellStyle name="Currency 2 3 4 2 2 2 2 6" xfId="8527"/>
    <cellStyle name="Currency 2 3 4 2 2 2 3" xfId="8528"/>
    <cellStyle name="Currency 2 3 4 2 2 2 3 2" xfId="8529"/>
    <cellStyle name="Currency 2 3 4 2 2 2 3 2 2" xfId="27123"/>
    <cellStyle name="Currency 2 3 4 2 2 2 3 3" xfId="27124"/>
    <cellStyle name="Currency 2 3 4 2 2 2 4" xfId="8530"/>
    <cellStyle name="Currency 2 3 4 2 2 2 4 2" xfId="8531"/>
    <cellStyle name="Currency 2 3 4 2 2 2 4 2 2" xfId="27125"/>
    <cellStyle name="Currency 2 3 4 2 2 2 4 3" xfId="27126"/>
    <cellStyle name="Currency 2 3 4 2 2 2 5" xfId="8532"/>
    <cellStyle name="Currency 2 3 4 2 2 2 5 2" xfId="8533"/>
    <cellStyle name="Currency 2 3 4 2 2 2 5 2 2" xfId="27127"/>
    <cellStyle name="Currency 2 3 4 2 2 2 5 3" xfId="27128"/>
    <cellStyle name="Currency 2 3 4 2 2 2 6" xfId="8534"/>
    <cellStyle name="Currency 2 3 4 2 2 2 6 2" xfId="27129"/>
    <cellStyle name="Currency 2 3 4 2 2 2 7" xfId="8535"/>
    <cellStyle name="Currency 2 3 4 2 2 3" xfId="786"/>
    <cellStyle name="Currency 2 3 4 2 2 3 2" xfId="1619"/>
    <cellStyle name="Currency 2 3 4 2 2 3 2 2" xfId="8536"/>
    <cellStyle name="Currency 2 3 4 2 2 3 2 2 2" xfId="8537"/>
    <cellStyle name="Currency 2 3 4 2 2 3 2 2 2 2" xfId="27130"/>
    <cellStyle name="Currency 2 3 4 2 2 3 2 2 3" xfId="27131"/>
    <cellStyle name="Currency 2 3 4 2 2 3 2 3" xfId="8538"/>
    <cellStyle name="Currency 2 3 4 2 2 3 2 3 2" xfId="8539"/>
    <cellStyle name="Currency 2 3 4 2 2 3 2 3 2 2" xfId="27132"/>
    <cellStyle name="Currency 2 3 4 2 2 3 2 3 3" xfId="27133"/>
    <cellStyle name="Currency 2 3 4 2 2 3 2 4" xfId="8540"/>
    <cellStyle name="Currency 2 3 4 2 2 3 2 4 2" xfId="8541"/>
    <cellStyle name="Currency 2 3 4 2 2 3 2 4 2 2" xfId="27134"/>
    <cellStyle name="Currency 2 3 4 2 2 3 2 4 3" xfId="27135"/>
    <cellStyle name="Currency 2 3 4 2 2 3 2 5" xfId="8542"/>
    <cellStyle name="Currency 2 3 4 2 2 3 2 5 2" xfId="27136"/>
    <cellStyle name="Currency 2 3 4 2 2 3 2 6" xfId="8543"/>
    <cellStyle name="Currency 2 3 4 2 2 3 3" xfId="8544"/>
    <cellStyle name="Currency 2 3 4 2 2 3 3 2" xfId="8545"/>
    <cellStyle name="Currency 2 3 4 2 2 3 3 2 2" xfId="27137"/>
    <cellStyle name="Currency 2 3 4 2 2 3 3 3" xfId="27138"/>
    <cellStyle name="Currency 2 3 4 2 2 3 4" xfId="8546"/>
    <cellStyle name="Currency 2 3 4 2 2 3 4 2" xfId="8547"/>
    <cellStyle name="Currency 2 3 4 2 2 3 4 2 2" xfId="27139"/>
    <cellStyle name="Currency 2 3 4 2 2 3 4 3" xfId="27140"/>
    <cellStyle name="Currency 2 3 4 2 2 3 5" xfId="8548"/>
    <cellStyle name="Currency 2 3 4 2 2 3 5 2" xfId="8549"/>
    <cellStyle name="Currency 2 3 4 2 2 3 5 2 2" xfId="27141"/>
    <cellStyle name="Currency 2 3 4 2 2 3 5 3" xfId="27142"/>
    <cellStyle name="Currency 2 3 4 2 2 3 6" xfId="8550"/>
    <cellStyle name="Currency 2 3 4 2 2 3 6 2" xfId="27143"/>
    <cellStyle name="Currency 2 3 4 2 2 3 7" xfId="8551"/>
    <cellStyle name="Currency 2 3 4 2 2 4" xfId="1620"/>
    <cellStyle name="Currency 2 3 4 2 2 4 2" xfId="8552"/>
    <cellStyle name="Currency 2 3 4 2 2 4 2 2" xfId="8553"/>
    <cellStyle name="Currency 2 3 4 2 2 4 2 2 2" xfId="27144"/>
    <cellStyle name="Currency 2 3 4 2 2 4 2 3" xfId="27145"/>
    <cellStyle name="Currency 2 3 4 2 2 4 3" xfId="8554"/>
    <cellStyle name="Currency 2 3 4 2 2 4 3 2" xfId="8555"/>
    <cellStyle name="Currency 2 3 4 2 2 4 3 2 2" xfId="27146"/>
    <cellStyle name="Currency 2 3 4 2 2 4 3 3" xfId="27147"/>
    <cellStyle name="Currency 2 3 4 2 2 4 4" xfId="8556"/>
    <cellStyle name="Currency 2 3 4 2 2 4 4 2" xfId="8557"/>
    <cellStyle name="Currency 2 3 4 2 2 4 4 2 2" xfId="27148"/>
    <cellStyle name="Currency 2 3 4 2 2 4 4 3" xfId="27149"/>
    <cellStyle name="Currency 2 3 4 2 2 4 5" xfId="8558"/>
    <cellStyle name="Currency 2 3 4 2 2 4 5 2" xfId="27150"/>
    <cellStyle name="Currency 2 3 4 2 2 4 6" xfId="8559"/>
    <cellStyle name="Currency 2 3 4 2 2 5" xfId="8560"/>
    <cellStyle name="Currency 2 3 4 2 2 5 2" xfId="8561"/>
    <cellStyle name="Currency 2 3 4 2 2 5 2 2" xfId="27151"/>
    <cellStyle name="Currency 2 3 4 2 2 5 3" xfId="27152"/>
    <cellStyle name="Currency 2 3 4 2 2 6" xfId="8562"/>
    <cellStyle name="Currency 2 3 4 2 2 6 2" xfId="8563"/>
    <cellStyle name="Currency 2 3 4 2 2 6 2 2" xfId="27153"/>
    <cellStyle name="Currency 2 3 4 2 2 6 3" xfId="27154"/>
    <cellStyle name="Currency 2 3 4 2 2 7" xfId="8564"/>
    <cellStyle name="Currency 2 3 4 2 2 7 2" xfId="8565"/>
    <cellStyle name="Currency 2 3 4 2 2 7 2 2" xfId="27155"/>
    <cellStyle name="Currency 2 3 4 2 2 7 3" xfId="27156"/>
    <cellStyle name="Currency 2 3 4 2 2 8" xfId="8566"/>
    <cellStyle name="Currency 2 3 4 2 2 8 2" xfId="27157"/>
    <cellStyle name="Currency 2 3 4 2 2 9" xfId="8567"/>
    <cellStyle name="Currency 2 3 4 2 3" xfId="996"/>
    <cellStyle name="Currency 2 3 4 2 3 2" xfId="1621"/>
    <cellStyle name="Currency 2 3 4 2 3 2 2" xfId="8568"/>
    <cellStyle name="Currency 2 3 4 2 3 2 2 2" xfId="8569"/>
    <cellStyle name="Currency 2 3 4 2 3 2 2 2 2" xfId="27158"/>
    <cellStyle name="Currency 2 3 4 2 3 2 2 3" xfId="27159"/>
    <cellStyle name="Currency 2 3 4 2 3 2 3" xfId="8570"/>
    <cellStyle name="Currency 2 3 4 2 3 2 3 2" xfId="8571"/>
    <cellStyle name="Currency 2 3 4 2 3 2 3 2 2" xfId="27160"/>
    <cellStyle name="Currency 2 3 4 2 3 2 3 3" xfId="27161"/>
    <cellStyle name="Currency 2 3 4 2 3 2 4" xfId="8572"/>
    <cellStyle name="Currency 2 3 4 2 3 2 4 2" xfId="8573"/>
    <cellStyle name="Currency 2 3 4 2 3 2 4 2 2" xfId="27162"/>
    <cellStyle name="Currency 2 3 4 2 3 2 4 3" xfId="27163"/>
    <cellStyle name="Currency 2 3 4 2 3 2 5" xfId="8574"/>
    <cellStyle name="Currency 2 3 4 2 3 2 5 2" xfId="27164"/>
    <cellStyle name="Currency 2 3 4 2 3 2 6" xfId="8575"/>
    <cellStyle name="Currency 2 3 4 2 3 3" xfId="8576"/>
    <cellStyle name="Currency 2 3 4 2 3 3 2" xfId="8577"/>
    <cellStyle name="Currency 2 3 4 2 3 3 2 2" xfId="27165"/>
    <cellStyle name="Currency 2 3 4 2 3 3 3" xfId="27166"/>
    <cellStyle name="Currency 2 3 4 2 3 4" xfId="8578"/>
    <cellStyle name="Currency 2 3 4 2 3 4 2" xfId="8579"/>
    <cellStyle name="Currency 2 3 4 2 3 4 2 2" xfId="27167"/>
    <cellStyle name="Currency 2 3 4 2 3 4 3" xfId="27168"/>
    <cellStyle name="Currency 2 3 4 2 3 5" xfId="8580"/>
    <cellStyle name="Currency 2 3 4 2 3 5 2" xfId="8581"/>
    <cellStyle name="Currency 2 3 4 2 3 5 2 2" xfId="27169"/>
    <cellStyle name="Currency 2 3 4 2 3 5 3" xfId="27170"/>
    <cellStyle name="Currency 2 3 4 2 3 6" xfId="8582"/>
    <cellStyle name="Currency 2 3 4 2 3 6 2" xfId="27171"/>
    <cellStyle name="Currency 2 3 4 2 3 7" xfId="8583"/>
    <cellStyle name="Currency 2 3 4 2 4" xfId="628"/>
    <cellStyle name="Currency 2 3 4 2 4 2" xfId="1622"/>
    <cellStyle name="Currency 2 3 4 2 4 2 2" xfId="8584"/>
    <cellStyle name="Currency 2 3 4 2 4 2 2 2" xfId="8585"/>
    <cellStyle name="Currency 2 3 4 2 4 2 2 2 2" xfId="27172"/>
    <cellStyle name="Currency 2 3 4 2 4 2 2 3" xfId="27173"/>
    <cellStyle name="Currency 2 3 4 2 4 2 3" xfId="8586"/>
    <cellStyle name="Currency 2 3 4 2 4 2 3 2" xfId="8587"/>
    <cellStyle name="Currency 2 3 4 2 4 2 3 2 2" xfId="27174"/>
    <cellStyle name="Currency 2 3 4 2 4 2 3 3" xfId="27175"/>
    <cellStyle name="Currency 2 3 4 2 4 2 4" xfId="8588"/>
    <cellStyle name="Currency 2 3 4 2 4 2 4 2" xfId="8589"/>
    <cellStyle name="Currency 2 3 4 2 4 2 4 2 2" xfId="27176"/>
    <cellStyle name="Currency 2 3 4 2 4 2 4 3" xfId="27177"/>
    <cellStyle name="Currency 2 3 4 2 4 2 5" xfId="8590"/>
    <cellStyle name="Currency 2 3 4 2 4 2 5 2" xfId="27178"/>
    <cellStyle name="Currency 2 3 4 2 4 2 6" xfId="8591"/>
    <cellStyle name="Currency 2 3 4 2 4 3" xfId="8592"/>
    <cellStyle name="Currency 2 3 4 2 4 3 2" xfId="8593"/>
    <cellStyle name="Currency 2 3 4 2 4 3 2 2" xfId="27179"/>
    <cellStyle name="Currency 2 3 4 2 4 3 3" xfId="27180"/>
    <cellStyle name="Currency 2 3 4 2 4 4" xfId="8594"/>
    <cellStyle name="Currency 2 3 4 2 4 4 2" xfId="8595"/>
    <cellStyle name="Currency 2 3 4 2 4 4 2 2" xfId="27181"/>
    <cellStyle name="Currency 2 3 4 2 4 4 3" xfId="27182"/>
    <cellStyle name="Currency 2 3 4 2 4 5" xfId="8596"/>
    <cellStyle name="Currency 2 3 4 2 4 5 2" xfId="8597"/>
    <cellStyle name="Currency 2 3 4 2 4 5 2 2" xfId="27183"/>
    <cellStyle name="Currency 2 3 4 2 4 5 3" xfId="27184"/>
    <cellStyle name="Currency 2 3 4 2 4 6" xfId="8598"/>
    <cellStyle name="Currency 2 3 4 2 4 6 2" xfId="27185"/>
    <cellStyle name="Currency 2 3 4 2 4 7" xfId="8599"/>
    <cellStyle name="Currency 2 3 4 2 5" xfId="1623"/>
    <cellStyle name="Currency 2 3 4 2 5 2" xfId="8600"/>
    <cellStyle name="Currency 2 3 4 2 5 2 2" xfId="8601"/>
    <cellStyle name="Currency 2 3 4 2 5 2 2 2" xfId="27186"/>
    <cellStyle name="Currency 2 3 4 2 5 2 3" xfId="27187"/>
    <cellStyle name="Currency 2 3 4 2 5 3" xfId="8602"/>
    <cellStyle name="Currency 2 3 4 2 5 3 2" xfId="8603"/>
    <cellStyle name="Currency 2 3 4 2 5 3 2 2" xfId="27188"/>
    <cellStyle name="Currency 2 3 4 2 5 3 3" xfId="27189"/>
    <cellStyle name="Currency 2 3 4 2 5 4" xfId="8604"/>
    <cellStyle name="Currency 2 3 4 2 5 4 2" xfId="8605"/>
    <cellStyle name="Currency 2 3 4 2 5 4 2 2" xfId="27190"/>
    <cellStyle name="Currency 2 3 4 2 5 4 3" xfId="27191"/>
    <cellStyle name="Currency 2 3 4 2 5 5" xfId="8606"/>
    <cellStyle name="Currency 2 3 4 2 5 5 2" xfId="27192"/>
    <cellStyle name="Currency 2 3 4 2 5 6" xfId="8607"/>
    <cellStyle name="Currency 2 3 4 2 6" xfId="8608"/>
    <cellStyle name="Currency 2 3 4 2 6 2" xfId="8609"/>
    <cellStyle name="Currency 2 3 4 2 6 2 2" xfId="27193"/>
    <cellStyle name="Currency 2 3 4 2 6 3" xfId="27194"/>
    <cellStyle name="Currency 2 3 4 2 7" xfId="8610"/>
    <cellStyle name="Currency 2 3 4 2 7 2" xfId="8611"/>
    <cellStyle name="Currency 2 3 4 2 7 2 2" xfId="27195"/>
    <cellStyle name="Currency 2 3 4 2 7 3" xfId="27196"/>
    <cellStyle name="Currency 2 3 4 2 8" xfId="8612"/>
    <cellStyle name="Currency 2 3 4 2 8 2" xfId="8613"/>
    <cellStyle name="Currency 2 3 4 2 8 2 2" xfId="27197"/>
    <cellStyle name="Currency 2 3 4 2 8 3" xfId="27198"/>
    <cellStyle name="Currency 2 3 4 2 9" xfId="8614"/>
    <cellStyle name="Currency 2 3 4 2 9 2" xfId="27199"/>
    <cellStyle name="Currency 2 3 4 3" xfId="259"/>
    <cellStyle name="Currency 2 3 4 3 10" xfId="8615"/>
    <cellStyle name="Currency 2 3 4 3 2" xfId="417"/>
    <cellStyle name="Currency 2 3 4 3 2 2" xfId="1205"/>
    <cellStyle name="Currency 2 3 4 3 2 2 2" xfId="1624"/>
    <cellStyle name="Currency 2 3 4 3 2 2 2 2" xfId="8616"/>
    <cellStyle name="Currency 2 3 4 3 2 2 2 2 2" xfId="8617"/>
    <cellStyle name="Currency 2 3 4 3 2 2 2 2 2 2" xfId="27200"/>
    <cellStyle name="Currency 2 3 4 3 2 2 2 2 3" xfId="27201"/>
    <cellStyle name="Currency 2 3 4 3 2 2 2 3" xfId="8618"/>
    <cellStyle name="Currency 2 3 4 3 2 2 2 3 2" xfId="8619"/>
    <cellStyle name="Currency 2 3 4 3 2 2 2 3 2 2" xfId="27202"/>
    <cellStyle name="Currency 2 3 4 3 2 2 2 3 3" xfId="27203"/>
    <cellStyle name="Currency 2 3 4 3 2 2 2 4" xfId="8620"/>
    <cellStyle name="Currency 2 3 4 3 2 2 2 4 2" xfId="8621"/>
    <cellStyle name="Currency 2 3 4 3 2 2 2 4 2 2" xfId="27204"/>
    <cellStyle name="Currency 2 3 4 3 2 2 2 4 3" xfId="27205"/>
    <cellStyle name="Currency 2 3 4 3 2 2 2 5" xfId="8622"/>
    <cellStyle name="Currency 2 3 4 3 2 2 2 5 2" xfId="27206"/>
    <cellStyle name="Currency 2 3 4 3 2 2 2 6" xfId="8623"/>
    <cellStyle name="Currency 2 3 4 3 2 2 3" xfId="8624"/>
    <cellStyle name="Currency 2 3 4 3 2 2 3 2" xfId="8625"/>
    <cellStyle name="Currency 2 3 4 3 2 2 3 2 2" xfId="27207"/>
    <cellStyle name="Currency 2 3 4 3 2 2 3 3" xfId="27208"/>
    <cellStyle name="Currency 2 3 4 3 2 2 4" xfId="8626"/>
    <cellStyle name="Currency 2 3 4 3 2 2 4 2" xfId="8627"/>
    <cellStyle name="Currency 2 3 4 3 2 2 4 2 2" xfId="27209"/>
    <cellStyle name="Currency 2 3 4 3 2 2 4 3" xfId="27210"/>
    <cellStyle name="Currency 2 3 4 3 2 2 5" xfId="8628"/>
    <cellStyle name="Currency 2 3 4 3 2 2 5 2" xfId="8629"/>
    <cellStyle name="Currency 2 3 4 3 2 2 5 2 2" xfId="27211"/>
    <cellStyle name="Currency 2 3 4 3 2 2 5 3" xfId="27212"/>
    <cellStyle name="Currency 2 3 4 3 2 2 6" xfId="8630"/>
    <cellStyle name="Currency 2 3 4 3 2 2 6 2" xfId="27213"/>
    <cellStyle name="Currency 2 3 4 3 2 2 7" xfId="8631"/>
    <cellStyle name="Currency 2 3 4 3 2 3" xfId="837"/>
    <cellStyle name="Currency 2 3 4 3 2 3 2" xfId="1625"/>
    <cellStyle name="Currency 2 3 4 3 2 3 2 2" xfId="8632"/>
    <cellStyle name="Currency 2 3 4 3 2 3 2 2 2" xfId="8633"/>
    <cellStyle name="Currency 2 3 4 3 2 3 2 2 2 2" xfId="27214"/>
    <cellStyle name="Currency 2 3 4 3 2 3 2 2 3" xfId="27215"/>
    <cellStyle name="Currency 2 3 4 3 2 3 2 3" xfId="8634"/>
    <cellStyle name="Currency 2 3 4 3 2 3 2 3 2" xfId="8635"/>
    <cellStyle name="Currency 2 3 4 3 2 3 2 3 2 2" xfId="27216"/>
    <cellStyle name="Currency 2 3 4 3 2 3 2 3 3" xfId="27217"/>
    <cellStyle name="Currency 2 3 4 3 2 3 2 4" xfId="8636"/>
    <cellStyle name="Currency 2 3 4 3 2 3 2 4 2" xfId="8637"/>
    <cellStyle name="Currency 2 3 4 3 2 3 2 4 2 2" xfId="27218"/>
    <cellStyle name="Currency 2 3 4 3 2 3 2 4 3" xfId="27219"/>
    <cellStyle name="Currency 2 3 4 3 2 3 2 5" xfId="8638"/>
    <cellStyle name="Currency 2 3 4 3 2 3 2 5 2" xfId="27220"/>
    <cellStyle name="Currency 2 3 4 3 2 3 2 6" xfId="8639"/>
    <cellStyle name="Currency 2 3 4 3 2 3 3" xfId="8640"/>
    <cellStyle name="Currency 2 3 4 3 2 3 3 2" xfId="8641"/>
    <cellStyle name="Currency 2 3 4 3 2 3 3 2 2" xfId="27221"/>
    <cellStyle name="Currency 2 3 4 3 2 3 3 3" xfId="27222"/>
    <cellStyle name="Currency 2 3 4 3 2 3 4" xfId="8642"/>
    <cellStyle name="Currency 2 3 4 3 2 3 4 2" xfId="8643"/>
    <cellStyle name="Currency 2 3 4 3 2 3 4 2 2" xfId="27223"/>
    <cellStyle name="Currency 2 3 4 3 2 3 4 3" xfId="27224"/>
    <cellStyle name="Currency 2 3 4 3 2 3 5" xfId="8644"/>
    <cellStyle name="Currency 2 3 4 3 2 3 5 2" xfId="8645"/>
    <cellStyle name="Currency 2 3 4 3 2 3 5 2 2" xfId="27225"/>
    <cellStyle name="Currency 2 3 4 3 2 3 5 3" xfId="27226"/>
    <cellStyle name="Currency 2 3 4 3 2 3 6" xfId="8646"/>
    <cellStyle name="Currency 2 3 4 3 2 3 6 2" xfId="27227"/>
    <cellStyle name="Currency 2 3 4 3 2 3 7" xfId="8647"/>
    <cellStyle name="Currency 2 3 4 3 2 4" xfId="1626"/>
    <cellStyle name="Currency 2 3 4 3 2 4 2" xfId="8648"/>
    <cellStyle name="Currency 2 3 4 3 2 4 2 2" xfId="8649"/>
    <cellStyle name="Currency 2 3 4 3 2 4 2 2 2" xfId="27228"/>
    <cellStyle name="Currency 2 3 4 3 2 4 2 3" xfId="27229"/>
    <cellStyle name="Currency 2 3 4 3 2 4 3" xfId="8650"/>
    <cellStyle name="Currency 2 3 4 3 2 4 3 2" xfId="8651"/>
    <cellStyle name="Currency 2 3 4 3 2 4 3 2 2" xfId="27230"/>
    <cellStyle name="Currency 2 3 4 3 2 4 3 3" xfId="27231"/>
    <cellStyle name="Currency 2 3 4 3 2 4 4" xfId="8652"/>
    <cellStyle name="Currency 2 3 4 3 2 4 4 2" xfId="8653"/>
    <cellStyle name="Currency 2 3 4 3 2 4 4 2 2" xfId="27232"/>
    <cellStyle name="Currency 2 3 4 3 2 4 4 3" xfId="27233"/>
    <cellStyle name="Currency 2 3 4 3 2 4 5" xfId="8654"/>
    <cellStyle name="Currency 2 3 4 3 2 4 5 2" xfId="27234"/>
    <cellStyle name="Currency 2 3 4 3 2 4 6" xfId="8655"/>
    <cellStyle name="Currency 2 3 4 3 2 5" xfId="8656"/>
    <cellStyle name="Currency 2 3 4 3 2 5 2" xfId="8657"/>
    <cellStyle name="Currency 2 3 4 3 2 5 2 2" xfId="27235"/>
    <cellStyle name="Currency 2 3 4 3 2 5 3" xfId="27236"/>
    <cellStyle name="Currency 2 3 4 3 2 6" xfId="8658"/>
    <cellStyle name="Currency 2 3 4 3 2 6 2" xfId="8659"/>
    <cellStyle name="Currency 2 3 4 3 2 6 2 2" xfId="27237"/>
    <cellStyle name="Currency 2 3 4 3 2 6 3" xfId="27238"/>
    <cellStyle name="Currency 2 3 4 3 2 7" xfId="8660"/>
    <cellStyle name="Currency 2 3 4 3 2 7 2" xfId="8661"/>
    <cellStyle name="Currency 2 3 4 3 2 7 2 2" xfId="27239"/>
    <cellStyle name="Currency 2 3 4 3 2 7 3" xfId="27240"/>
    <cellStyle name="Currency 2 3 4 3 2 8" xfId="8662"/>
    <cellStyle name="Currency 2 3 4 3 2 8 2" xfId="27241"/>
    <cellStyle name="Currency 2 3 4 3 2 9" xfId="8663"/>
    <cellStyle name="Currency 2 3 4 3 3" xfId="1047"/>
    <cellStyle name="Currency 2 3 4 3 3 2" xfId="1627"/>
    <cellStyle name="Currency 2 3 4 3 3 2 2" xfId="8664"/>
    <cellStyle name="Currency 2 3 4 3 3 2 2 2" xfId="8665"/>
    <cellStyle name="Currency 2 3 4 3 3 2 2 2 2" xfId="27242"/>
    <cellStyle name="Currency 2 3 4 3 3 2 2 3" xfId="27243"/>
    <cellStyle name="Currency 2 3 4 3 3 2 3" xfId="8666"/>
    <cellStyle name="Currency 2 3 4 3 3 2 3 2" xfId="8667"/>
    <cellStyle name="Currency 2 3 4 3 3 2 3 2 2" xfId="27244"/>
    <cellStyle name="Currency 2 3 4 3 3 2 3 3" xfId="27245"/>
    <cellStyle name="Currency 2 3 4 3 3 2 4" xfId="8668"/>
    <cellStyle name="Currency 2 3 4 3 3 2 4 2" xfId="8669"/>
    <cellStyle name="Currency 2 3 4 3 3 2 4 2 2" xfId="27246"/>
    <cellStyle name="Currency 2 3 4 3 3 2 4 3" xfId="27247"/>
    <cellStyle name="Currency 2 3 4 3 3 2 5" xfId="8670"/>
    <cellStyle name="Currency 2 3 4 3 3 2 5 2" xfId="27248"/>
    <cellStyle name="Currency 2 3 4 3 3 2 6" xfId="8671"/>
    <cellStyle name="Currency 2 3 4 3 3 3" xfId="8672"/>
    <cellStyle name="Currency 2 3 4 3 3 3 2" xfId="8673"/>
    <cellStyle name="Currency 2 3 4 3 3 3 2 2" xfId="27249"/>
    <cellStyle name="Currency 2 3 4 3 3 3 3" xfId="27250"/>
    <cellStyle name="Currency 2 3 4 3 3 4" xfId="8674"/>
    <cellStyle name="Currency 2 3 4 3 3 4 2" xfId="8675"/>
    <cellStyle name="Currency 2 3 4 3 3 4 2 2" xfId="27251"/>
    <cellStyle name="Currency 2 3 4 3 3 4 3" xfId="27252"/>
    <cellStyle name="Currency 2 3 4 3 3 5" xfId="8676"/>
    <cellStyle name="Currency 2 3 4 3 3 5 2" xfId="8677"/>
    <cellStyle name="Currency 2 3 4 3 3 5 2 2" xfId="27253"/>
    <cellStyle name="Currency 2 3 4 3 3 5 3" xfId="27254"/>
    <cellStyle name="Currency 2 3 4 3 3 6" xfId="8678"/>
    <cellStyle name="Currency 2 3 4 3 3 6 2" xfId="27255"/>
    <cellStyle name="Currency 2 3 4 3 3 7" xfId="8679"/>
    <cellStyle name="Currency 2 3 4 3 4" xfId="679"/>
    <cellStyle name="Currency 2 3 4 3 4 2" xfId="1628"/>
    <cellStyle name="Currency 2 3 4 3 4 2 2" xfId="8680"/>
    <cellStyle name="Currency 2 3 4 3 4 2 2 2" xfId="8681"/>
    <cellStyle name="Currency 2 3 4 3 4 2 2 2 2" xfId="27256"/>
    <cellStyle name="Currency 2 3 4 3 4 2 2 3" xfId="27257"/>
    <cellStyle name="Currency 2 3 4 3 4 2 3" xfId="8682"/>
    <cellStyle name="Currency 2 3 4 3 4 2 3 2" xfId="8683"/>
    <cellStyle name="Currency 2 3 4 3 4 2 3 2 2" xfId="27258"/>
    <cellStyle name="Currency 2 3 4 3 4 2 3 3" xfId="27259"/>
    <cellStyle name="Currency 2 3 4 3 4 2 4" xfId="8684"/>
    <cellStyle name="Currency 2 3 4 3 4 2 4 2" xfId="8685"/>
    <cellStyle name="Currency 2 3 4 3 4 2 4 2 2" xfId="27260"/>
    <cellStyle name="Currency 2 3 4 3 4 2 4 3" xfId="27261"/>
    <cellStyle name="Currency 2 3 4 3 4 2 5" xfId="8686"/>
    <cellStyle name="Currency 2 3 4 3 4 2 5 2" xfId="27262"/>
    <cellStyle name="Currency 2 3 4 3 4 2 6" xfId="8687"/>
    <cellStyle name="Currency 2 3 4 3 4 3" xfId="8688"/>
    <cellStyle name="Currency 2 3 4 3 4 3 2" xfId="8689"/>
    <cellStyle name="Currency 2 3 4 3 4 3 2 2" xfId="27263"/>
    <cellStyle name="Currency 2 3 4 3 4 3 3" xfId="27264"/>
    <cellStyle name="Currency 2 3 4 3 4 4" xfId="8690"/>
    <cellStyle name="Currency 2 3 4 3 4 4 2" xfId="8691"/>
    <cellStyle name="Currency 2 3 4 3 4 4 2 2" xfId="27265"/>
    <cellStyle name="Currency 2 3 4 3 4 4 3" xfId="27266"/>
    <cellStyle name="Currency 2 3 4 3 4 5" xfId="8692"/>
    <cellStyle name="Currency 2 3 4 3 4 5 2" xfId="8693"/>
    <cellStyle name="Currency 2 3 4 3 4 5 2 2" xfId="27267"/>
    <cellStyle name="Currency 2 3 4 3 4 5 3" xfId="27268"/>
    <cellStyle name="Currency 2 3 4 3 4 6" xfId="8694"/>
    <cellStyle name="Currency 2 3 4 3 4 6 2" xfId="27269"/>
    <cellStyle name="Currency 2 3 4 3 4 7" xfId="8695"/>
    <cellStyle name="Currency 2 3 4 3 5" xfId="1629"/>
    <cellStyle name="Currency 2 3 4 3 5 2" xfId="8696"/>
    <cellStyle name="Currency 2 3 4 3 5 2 2" xfId="8697"/>
    <cellStyle name="Currency 2 3 4 3 5 2 2 2" xfId="27270"/>
    <cellStyle name="Currency 2 3 4 3 5 2 3" xfId="27271"/>
    <cellStyle name="Currency 2 3 4 3 5 3" xfId="8698"/>
    <cellStyle name="Currency 2 3 4 3 5 3 2" xfId="8699"/>
    <cellStyle name="Currency 2 3 4 3 5 3 2 2" xfId="27272"/>
    <cellStyle name="Currency 2 3 4 3 5 3 3" xfId="27273"/>
    <cellStyle name="Currency 2 3 4 3 5 4" xfId="8700"/>
    <cellStyle name="Currency 2 3 4 3 5 4 2" xfId="8701"/>
    <cellStyle name="Currency 2 3 4 3 5 4 2 2" xfId="27274"/>
    <cellStyle name="Currency 2 3 4 3 5 4 3" xfId="27275"/>
    <cellStyle name="Currency 2 3 4 3 5 5" xfId="8702"/>
    <cellStyle name="Currency 2 3 4 3 5 5 2" xfId="27276"/>
    <cellStyle name="Currency 2 3 4 3 5 6" xfId="8703"/>
    <cellStyle name="Currency 2 3 4 3 6" xfId="8704"/>
    <cellStyle name="Currency 2 3 4 3 6 2" xfId="8705"/>
    <cellStyle name="Currency 2 3 4 3 6 2 2" xfId="27277"/>
    <cellStyle name="Currency 2 3 4 3 6 3" xfId="27278"/>
    <cellStyle name="Currency 2 3 4 3 7" xfId="8706"/>
    <cellStyle name="Currency 2 3 4 3 7 2" xfId="8707"/>
    <cellStyle name="Currency 2 3 4 3 7 2 2" xfId="27279"/>
    <cellStyle name="Currency 2 3 4 3 7 3" xfId="27280"/>
    <cellStyle name="Currency 2 3 4 3 8" xfId="8708"/>
    <cellStyle name="Currency 2 3 4 3 8 2" xfId="8709"/>
    <cellStyle name="Currency 2 3 4 3 8 2 2" xfId="27281"/>
    <cellStyle name="Currency 2 3 4 3 8 3" xfId="27282"/>
    <cellStyle name="Currency 2 3 4 3 9" xfId="8710"/>
    <cellStyle name="Currency 2 3 4 3 9 2" xfId="27283"/>
    <cellStyle name="Currency 2 3 4 4" xfId="157"/>
    <cellStyle name="Currency 2 3 4 4 2" xfId="945"/>
    <cellStyle name="Currency 2 3 4 4 2 2" xfId="1630"/>
    <cellStyle name="Currency 2 3 4 4 2 2 2" xfId="8711"/>
    <cellStyle name="Currency 2 3 4 4 2 2 2 2" xfId="8712"/>
    <cellStyle name="Currency 2 3 4 4 2 2 2 2 2" xfId="27284"/>
    <cellStyle name="Currency 2 3 4 4 2 2 2 3" xfId="27285"/>
    <cellStyle name="Currency 2 3 4 4 2 2 3" xfId="8713"/>
    <cellStyle name="Currency 2 3 4 4 2 2 3 2" xfId="8714"/>
    <cellStyle name="Currency 2 3 4 4 2 2 3 2 2" xfId="27286"/>
    <cellStyle name="Currency 2 3 4 4 2 2 3 3" xfId="27287"/>
    <cellStyle name="Currency 2 3 4 4 2 2 4" xfId="8715"/>
    <cellStyle name="Currency 2 3 4 4 2 2 4 2" xfId="8716"/>
    <cellStyle name="Currency 2 3 4 4 2 2 4 2 2" xfId="27288"/>
    <cellStyle name="Currency 2 3 4 4 2 2 4 3" xfId="27289"/>
    <cellStyle name="Currency 2 3 4 4 2 2 5" xfId="8717"/>
    <cellStyle name="Currency 2 3 4 4 2 2 5 2" xfId="27290"/>
    <cellStyle name="Currency 2 3 4 4 2 2 6" xfId="8718"/>
    <cellStyle name="Currency 2 3 4 4 2 3" xfId="8719"/>
    <cellStyle name="Currency 2 3 4 4 2 3 2" xfId="8720"/>
    <cellStyle name="Currency 2 3 4 4 2 3 2 2" xfId="27291"/>
    <cellStyle name="Currency 2 3 4 4 2 3 3" xfId="27292"/>
    <cellStyle name="Currency 2 3 4 4 2 4" xfId="8721"/>
    <cellStyle name="Currency 2 3 4 4 2 4 2" xfId="8722"/>
    <cellStyle name="Currency 2 3 4 4 2 4 2 2" xfId="27293"/>
    <cellStyle name="Currency 2 3 4 4 2 4 3" xfId="27294"/>
    <cellStyle name="Currency 2 3 4 4 2 5" xfId="8723"/>
    <cellStyle name="Currency 2 3 4 4 2 5 2" xfId="8724"/>
    <cellStyle name="Currency 2 3 4 4 2 5 2 2" xfId="27295"/>
    <cellStyle name="Currency 2 3 4 4 2 5 3" xfId="27296"/>
    <cellStyle name="Currency 2 3 4 4 2 6" xfId="8725"/>
    <cellStyle name="Currency 2 3 4 4 2 6 2" xfId="27297"/>
    <cellStyle name="Currency 2 3 4 4 2 7" xfId="8726"/>
    <cellStyle name="Currency 2 3 4 4 3" xfId="577"/>
    <cellStyle name="Currency 2 3 4 4 3 2" xfId="1631"/>
    <cellStyle name="Currency 2 3 4 4 3 2 2" xfId="8727"/>
    <cellStyle name="Currency 2 3 4 4 3 2 2 2" xfId="8728"/>
    <cellStyle name="Currency 2 3 4 4 3 2 2 2 2" xfId="27298"/>
    <cellStyle name="Currency 2 3 4 4 3 2 2 3" xfId="27299"/>
    <cellStyle name="Currency 2 3 4 4 3 2 3" xfId="8729"/>
    <cellStyle name="Currency 2 3 4 4 3 2 3 2" xfId="8730"/>
    <cellStyle name="Currency 2 3 4 4 3 2 3 2 2" xfId="27300"/>
    <cellStyle name="Currency 2 3 4 4 3 2 3 3" xfId="27301"/>
    <cellStyle name="Currency 2 3 4 4 3 2 4" xfId="8731"/>
    <cellStyle name="Currency 2 3 4 4 3 2 4 2" xfId="8732"/>
    <cellStyle name="Currency 2 3 4 4 3 2 4 2 2" xfId="27302"/>
    <cellStyle name="Currency 2 3 4 4 3 2 4 3" xfId="27303"/>
    <cellStyle name="Currency 2 3 4 4 3 2 5" xfId="8733"/>
    <cellStyle name="Currency 2 3 4 4 3 2 5 2" xfId="27304"/>
    <cellStyle name="Currency 2 3 4 4 3 2 6" xfId="8734"/>
    <cellStyle name="Currency 2 3 4 4 3 3" xfId="8735"/>
    <cellStyle name="Currency 2 3 4 4 3 3 2" xfId="8736"/>
    <cellStyle name="Currency 2 3 4 4 3 3 2 2" xfId="27305"/>
    <cellStyle name="Currency 2 3 4 4 3 3 3" xfId="27306"/>
    <cellStyle name="Currency 2 3 4 4 3 4" xfId="8737"/>
    <cellStyle name="Currency 2 3 4 4 3 4 2" xfId="8738"/>
    <cellStyle name="Currency 2 3 4 4 3 4 2 2" xfId="27307"/>
    <cellStyle name="Currency 2 3 4 4 3 4 3" xfId="27308"/>
    <cellStyle name="Currency 2 3 4 4 3 5" xfId="8739"/>
    <cellStyle name="Currency 2 3 4 4 3 5 2" xfId="8740"/>
    <cellStyle name="Currency 2 3 4 4 3 5 2 2" xfId="27309"/>
    <cellStyle name="Currency 2 3 4 4 3 5 3" xfId="27310"/>
    <cellStyle name="Currency 2 3 4 4 3 6" xfId="8741"/>
    <cellStyle name="Currency 2 3 4 4 3 6 2" xfId="27311"/>
    <cellStyle name="Currency 2 3 4 4 3 7" xfId="8742"/>
    <cellStyle name="Currency 2 3 4 4 4" xfId="1632"/>
    <cellStyle name="Currency 2 3 4 4 4 2" xfId="8743"/>
    <cellStyle name="Currency 2 3 4 4 4 2 2" xfId="8744"/>
    <cellStyle name="Currency 2 3 4 4 4 2 2 2" xfId="27312"/>
    <cellStyle name="Currency 2 3 4 4 4 2 3" xfId="27313"/>
    <cellStyle name="Currency 2 3 4 4 4 3" xfId="8745"/>
    <cellStyle name="Currency 2 3 4 4 4 3 2" xfId="8746"/>
    <cellStyle name="Currency 2 3 4 4 4 3 2 2" xfId="27314"/>
    <cellStyle name="Currency 2 3 4 4 4 3 3" xfId="27315"/>
    <cellStyle name="Currency 2 3 4 4 4 4" xfId="8747"/>
    <cellStyle name="Currency 2 3 4 4 4 4 2" xfId="8748"/>
    <cellStyle name="Currency 2 3 4 4 4 4 2 2" xfId="27316"/>
    <cellStyle name="Currency 2 3 4 4 4 4 3" xfId="27317"/>
    <cellStyle name="Currency 2 3 4 4 4 5" xfId="8749"/>
    <cellStyle name="Currency 2 3 4 4 4 5 2" xfId="27318"/>
    <cellStyle name="Currency 2 3 4 4 4 6" xfId="8750"/>
    <cellStyle name="Currency 2 3 4 4 5" xfId="8751"/>
    <cellStyle name="Currency 2 3 4 4 5 2" xfId="8752"/>
    <cellStyle name="Currency 2 3 4 4 5 2 2" xfId="27319"/>
    <cellStyle name="Currency 2 3 4 4 5 3" xfId="27320"/>
    <cellStyle name="Currency 2 3 4 4 6" xfId="8753"/>
    <cellStyle name="Currency 2 3 4 4 6 2" xfId="8754"/>
    <cellStyle name="Currency 2 3 4 4 6 2 2" xfId="27321"/>
    <cellStyle name="Currency 2 3 4 4 6 3" xfId="27322"/>
    <cellStyle name="Currency 2 3 4 4 7" xfId="8755"/>
    <cellStyle name="Currency 2 3 4 4 7 2" xfId="8756"/>
    <cellStyle name="Currency 2 3 4 4 7 2 2" xfId="27323"/>
    <cellStyle name="Currency 2 3 4 4 7 3" xfId="27324"/>
    <cellStyle name="Currency 2 3 4 4 8" xfId="8757"/>
    <cellStyle name="Currency 2 3 4 4 8 2" xfId="27325"/>
    <cellStyle name="Currency 2 3 4 4 9" xfId="8758"/>
    <cellStyle name="Currency 2 3 4 5" xfId="315"/>
    <cellStyle name="Currency 2 3 4 5 2" xfId="1103"/>
    <cellStyle name="Currency 2 3 4 5 2 2" xfId="1633"/>
    <cellStyle name="Currency 2 3 4 5 2 2 2" xfId="8759"/>
    <cellStyle name="Currency 2 3 4 5 2 2 2 2" xfId="8760"/>
    <cellStyle name="Currency 2 3 4 5 2 2 2 2 2" xfId="27326"/>
    <cellStyle name="Currency 2 3 4 5 2 2 2 3" xfId="27327"/>
    <cellStyle name="Currency 2 3 4 5 2 2 3" xfId="8761"/>
    <cellStyle name="Currency 2 3 4 5 2 2 3 2" xfId="8762"/>
    <cellStyle name="Currency 2 3 4 5 2 2 3 2 2" xfId="27328"/>
    <cellStyle name="Currency 2 3 4 5 2 2 3 3" xfId="27329"/>
    <cellStyle name="Currency 2 3 4 5 2 2 4" xfId="8763"/>
    <cellStyle name="Currency 2 3 4 5 2 2 4 2" xfId="8764"/>
    <cellStyle name="Currency 2 3 4 5 2 2 4 2 2" xfId="27330"/>
    <cellStyle name="Currency 2 3 4 5 2 2 4 3" xfId="27331"/>
    <cellStyle name="Currency 2 3 4 5 2 2 5" xfId="8765"/>
    <cellStyle name="Currency 2 3 4 5 2 2 5 2" xfId="27332"/>
    <cellStyle name="Currency 2 3 4 5 2 2 6" xfId="8766"/>
    <cellStyle name="Currency 2 3 4 5 2 3" xfId="8767"/>
    <cellStyle name="Currency 2 3 4 5 2 3 2" xfId="8768"/>
    <cellStyle name="Currency 2 3 4 5 2 3 2 2" xfId="27333"/>
    <cellStyle name="Currency 2 3 4 5 2 3 3" xfId="27334"/>
    <cellStyle name="Currency 2 3 4 5 2 4" xfId="8769"/>
    <cellStyle name="Currency 2 3 4 5 2 4 2" xfId="8770"/>
    <cellStyle name="Currency 2 3 4 5 2 4 2 2" xfId="27335"/>
    <cellStyle name="Currency 2 3 4 5 2 4 3" xfId="27336"/>
    <cellStyle name="Currency 2 3 4 5 2 5" xfId="8771"/>
    <cellStyle name="Currency 2 3 4 5 2 5 2" xfId="8772"/>
    <cellStyle name="Currency 2 3 4 5 2 5 2 2" xfId="27337"/>
    <cellStyle name="Currency 2 3 4 5 2 5 3" xfId="27338"/>
    <cellStyle name="Currency 2 3 4 5 2 6" xfId="8773"/>
    <cellStyle name="Currency 2 3 4 5 2 6 2" xfId="27339"/>
    <cellStyle name="Currency 2 3 4 5 2 7" xfId="8774"/>
    <cellStyle name="Currency 2 3 4 5 3" xfId="735"/>
    <cellStyle name="Currency 2 3 4 5 3 2" xfId="1634"/>
    <cellStyle name="Currency 2 3 4 5 3 2 2" xfId="8775"/>
    <cellStyle name="Currency 2 3 4 5 3 2 2 2" xfId="8776"/>
    <cellStyle name="Currency 2 3 4 5 3 2 2 2 2" xfId="27340"/>
    <cellStyle name="Currency 2 3 4 5 3 2 2 3" xfId="27341"/>
    <cellStyle name="Currency 2 3 4 5 3 2 3" xfId="8777"/>
    <cellStyle name="Currency 2 3 4 5 3 2 3 2" xfId="8778"/>
    <cellStyle name="Currency 2 3 4 5 3 2 3 2 2" xfId="27342"/>
    <cellStyle name="Currency 2 3 4 5 3 2 3 3" xfId="27343"/>
    <cellStyle name="Currency 2 3 4 5 3 2 4" xfId="8779"/>
    <cellStyle name="Currency 2 3 4 5 3 2 4 2" xfId="8780"/>
    <cellStyle name="Currency 2 3 4 5 3 2 4 2 2" xfId="27344"/>
    <cellStyle name="Currency 2 3 4 5 3 2 4 3" xfId="27345"/>
    <cellStyle name="Currency 2 3 4 5 3 2 5" xfId="8781"/>
    <cellStyle name="Currency 2 3 4 5 3 2 5 2" xfId="27346"/>
    <cellStyle name="Currency 2 3 4 5 3 2 6" xfId="8782"/>
    <cellStyle name="Currency 2 3 4 5 3 3" xfId="8783"/>
    <cellStyle name="Currency 2 3 4 5 3 3 2" xfId="8784"/>
    <cellStyle name="Currency 2 3 4 5 3 3 2 2" xfId="27347"/>
    <cellStyle name="Currency 2 3 4 5 3 3 3" xfId="27348"/>
    <cellStyle name="Currency 2 3 4 5 3 4" xfId="8785"/>
    <cellStyle name="Currency 2 3 4 5 3 4 2" xfId="8786"/>
    <cellStyle name="Currency 2 3 4 5 3 4 2 2" xfId="27349"/>
    <cellStyle name="Currency 2 3 4 5 3 4 3" xfId="27350"/>
    <cellStyle name="Currency 2 3 4 5 3 5" xfId="8787"/>
    <cellStyle name="Currency 2 3 4 5 3 5 2" xfId="8788"/>
    <cellStyle name="Currency 2 3 4 5 3 5 2 2" xfId="27351"/>
    <cellStyle name="Currency 2 3 4 5 3 5 3" xfId="27352"/>
    <cellStyle name="Currency 2 3 4 5 3 6" xfId="8789"/>
    <cellStyle name="Currency 2 3 4 5 3 6 2" xfId="27353"/>
    <cellStyle name="Currency 2 3 4 5 3 7" xfId="8790"/>
    <cellStyle name="Currency 2 3 4 5 4" xfId="1635"/>
    <cellStyle name="Currency 2 3 4 5 4 2" xfId="8791"/>
    <cellStyle name="Currency 2 3 4 5 4 2 2" xfId="8792"/>
    <cellStyle name="Currency 2 3 4 5 4 2 2 2" xfId="27354"/>
    <cellStyle name="Currency 2 3 4 5 4 2 3" xfId="27355"/>
    <cellStyle name="Currency 2 3 4 5 4 3" xfId="8793"/>
    <cellStyle name="Currency 2 3 4 5 4 3 2" xfId="8794"/>
    <cellStyle name="Currency 2 3 4 5 4 3 2 2" xfId="27356"/>
    <cellStyle name="Currency 2 3 4 5 4 3 3" xfId="27357"/>
    <cellStyle name="Currency 2 3 4 5 4 4" xfId="8795"/>
    <cellStyle name="Currency 2 3 4 5 4 4 2" xfId="8796"/>
    <cellStyle name="Currency 2 3 4 5 4 4 2 2" xfId="27358"/>
    <cellStyle name="Currency 2 3 4 5 4 4 3" xfId="27359"/>
    <cellStyle name="Currency 2 3 4 5 4 5" xfId="8797"/>
    <cellStyle name="Currency 2 3 4 5 4 5 2" xfId="27360"/>
    <cellStyle name="Currency 2 3 4 5 4 6" xfId="8798"/>
    <cellStyle name="Currency 2 3 4 5 5" xfId="8799"/>
    <cellStyle name="Currency 2 3 4 5 5 2" xfId="8800"/>
    <cellStyle name="Currency 2 3 4 5 5 2 2" xfId="27361"/>
    <cellStyle name="Currency 2 3 4 5 5 3" xfId="27362"/>
    <cellStyle name="Currency 2 3 4 5 6" xfId="8801"/>
    <cellStyle name="Currency 2 3 4 5 6 2" xfId="8802"/>
    <cellStyle name="Currency 2 3 4 5 6 2 2" xfId="27363"/>
    <cellStyle name="Currency 2 3 4 5 6 3" xfId="27364"/>
    <cellStyle name="Currency 2 3 4 5 7" xfId="8803"/>
    <cellStyle name="Currency 2 3 4 5 7 2" xfId="8804"/>
    <cellStyle name="Currency 2 3 4 5 7 2 2" xfId="27365"/>
    <cellStyle name="Currency 2 3 4 5 7 3" xfId="27366"/>
    <cellStyle name="Currency 2 3 4 5 8" xfId="8805"/>
    <cellStyle name="Currency 2 3 4 5 8 2" xfId="27367"/>
    <cellStyle name="Currency 2 3 4 5 9" xfId="8806"/>
    <cellStyle name="Currency 2 3 4 6" xfId="104"/>
    <cellStyle name="Currency 2 3 4 6 2" xfId="525"/>
    <cellStyle name="Currency 2 3 4 6 2 2" xfId="1636"/>
    <cellStyle name="Currency 2 3 4 6 2 2 2" xfId="8807"/>
    <cellStyle name="Currency 2 3 4 6 2 2 2 2" xfId="8808"/>
    <cellStyle name="Currency 2 3 4 6 2 2 2 2 2" xfId="27368"/>
    <cellStyle name="Currency 2 3 4 6 2 2 2 3" xfId="27369"/>
    <cellStyle name="Currency 2 3 4 6 2 2 3" xfId="8809"/>
    <cellStyle name="Currency 2 3 4 6 2 2 3 2" xfId="8810"/>
    <cellStyle name="Currency 2 3 4 6 2 2 3 2 2" xfId="27370"/>
    <cellStyle name="Currency 2 3 4 6 2 2 3 3" xfId="27371"/>
    <cellStyle name="Currency 2 3 4 6 2 2 4" xfId="8811"/>
    <cellStyle name="Currency 2 3 4 6 2 2 4 2" xfId="8812"/>
    <cellStyle name="Currency 2 3 4 6 2 2 4 2 2" xfId="27372"/>
    <cellStyle name="Currency 2 3 4 6 2 2 4 3" xfId="27373"/>
    <cellStyle name="Currency 2 3 4 6 2 2 5" xfId="8813"/>
    <cellStyle name="Currency 2 3 4 6 2 2 5 2" xfId="27374"/>
    <cellStyle name="Currency 2 3 4 6 2 2 6" xfId="8814"/>
    <cellStyle name="Currency 2 3 4 6 2 3" xfId="8815"/>
    <cellStyle name="Currency 2 3 4 6 2 3 2" xfId="8816"/>
    <cellStyle name="Currency 2 3 4 6 2 3 2 2" xfId="27375"/>
    <cellStyle name="Currency 2 3 4 6 2 3 3" xfId="27376"/>
    <cellStyle name="Currency 2 3 4 6 2 4" xfId="8817"/>
    <cellStyle name="Currency 2 3 4 6 2 4 2" xfId="8818"/>
    <cellStyle name="Currency 2 3 4 6 2 4 2 2" xfId="27377"/>
    <cellStyle name="Currency 2 3 4 6 2 4 3" xfId="27378"/>
    <cellStyle name="Currency 2 3 4 6 2 5" xfId="8819"/>
    <cellStyle name="Currency 2 3 4 6 2 5 2" xfId="8820"/>
    <cellStyle name="Currency 2 3 4 6 2 5 2 2" xfId="27379"/>
    <cellStyle name="Currency 2 3 4 6 2 5 3" xfId="27380"/>
    <cellStyle name="Currency 2 3 4 6 2 6" xfId="8821"/>
    <cellStyle name="Currency 2 3 4 6 2 6 2" xfId="27381"/>
    <cellStyle name="Currency 2 3 4 6 2 7" xfId="8822"/>
    <cellStyle name="Currency 2 3 4 6 3" xfId="1637"/>
    <cellStyle name="Currency 2 3 4 6 3 2" xfId="8823"/>
    <cellStyle name="Currency 2 3 4 6 3 2 2" xfId="8824"/>
    <cellStyle name="Currency 2 3 4 6 3 2 2 2" xfId="27382"/>
    <cellStyle name="Currency 2 3 4 6 3 2 3" xfId="27383"/>
    <cellStyle name="Currency 2 3 4 6 3 3" xfId="8825"/>
    <cellStyle name="Currency 2 3 4 6 3 3 2" xfId="8826"/>
    <cellStyle name="Currency 2 3 4 6 3 3 2 2" xfId="27384"/>
    <cellStyle name="Currency 2 3 4 6 3 3 3" xfId="27385"/>
    <cellStyle name="Currency 2 3 4 6 3 4" xfId="8827"/>
    <cellStyle name="Currency 2 3 4 6 3 4 2" xfId="8828"/>
    <cellStyle name="Currency 2 3 4 6 3 4 2 2" xfId="27386"/>
    <cellStyle name="Currency 2 3 4 6 3 4 3" xfId="27387"/>
    <cellStyle name="Currency 2 3 4 6 3 5" xfId="8829"/>
    <cellStyle name="Currency 2 3 4 6 3 5 2" xfId="27388"/>
    <cellStyle name="Currency 2 3 4 6 3 6" xfId="8830"/>
    <cellStyle name="Currency 2 3 4 6 4" xfId="8831"/>
    <cellStyle name="Currency 2 3 4 6 4 2" xfId="8832"/>
    <cellStyle name="Currency 2 3 4 6 4 2 2" xfId="27389"/>
    <cellStyle name="Currency 2 3 4 6 4 3" xfId="27390"/>
    <cellStyle name="Currency 2 3 4 6 5" xfId="8833"/>
    <cellStyle name="Currency 2 3 4 6 5 2" xfId="8834"/>
    <cellStyle name="Currency 2 3 4 6 5 2 2" xfId="27391"/>
    <cellStyle name="Currency 2 3 4 6 5 3" xfId="27392"/>
    <cellStyle name="Currency 2 3 4 6 6" xfId="8835"/>
    <cellStyle name="Currency 2 3 4 6 6 2" xfId="8836"/>
    <cellStyle name="Currency 2 3 4 6 6 2 2" xfId="27393"/>
    <cellStyle name="Currency 2 3 4 6 6 3" xfId="27394"/>
    <cellStyle name="Currency 2 3 4 6 7" xfId="8837"/>
    <cellStyle name="Currency 2 3 4 6 7 2" xfId="27395"/>
    <cellStyle name="Currency 2 3 4 6 8" xfId="8838"/>
    <cellStyle name="Currency 2 3 4 7" xfId="893"/>
    <cellStyle name="Currency 2 3 4 7 2" xfId="1638"/>
    <cellStyle name="Currency 2 3 4 7 2 2" xfId="8839"/>
    <cellStyle name="Currency 2 3 4 7 2 2 2" xfId="8840"/>
    <cellStyle name="Currency 2 3 4 7 2 2 2 2" xfId="27396"/>
    <cellStyle name="Currency 2 3 4 7 2 2 3" xfId="27397"/>
    <cellStyle name="Currency 2 3 4 7 2 3" xfId="8841"/>
    <cellStyle name="Currency 2 3 4 7 2 3 2" xfId="8842"/>
    <cellStyle name="Currency 2 3 4 7 2 3 2 2" xfId="27398"/>
    <cellStyle name="Currency 2 3 4 7 2 3 3" xfId="27399"/>
    <cellStyle name="Currency 2 3 4 7 2 4" xfId="8843"/>
    <cellStyle name="Currency 2 3 4 7 2 4 2" xfId="8844"/>
    <cellStyle name="Currency 2 3 4 7 2 4 2 2" xfId="27400"/>
    <cellStyle name="Currency 2 3 4 7 2 4 3" xfId="27401"/>
    <cellStyle name="Currency 2 3 4 7 2 5" xfId="8845"/>
    <cellStyle name="Currency 2 3 4 7 2 5 2" xfId="27402"/>
    <cellStyle name="Currency 2 3 4 7 2 6" xfId="8846"/>
    <cellStyle name="Currency 2 3 4 7 3" xfId="8847"/>
    <cellStyle name="Currency 2 3 4 7 3 2" xfId="8848"/>
    <cellStyle name="Currency 2 3 4 7 3 2 2" xfId="27403"/>
    <cellStyle name="Currency 2 3 4 7 3 3" xfId="27404"/>
    <cellStyle name="Currency 2 3 4 7 4" xfId="8849"/>
    <cellStyle name="Currency 2 3 4 7 4 2" xfId="8850"/>
    <cellStyle name="Currency 2 3 4 7 4 2 2" xfId="27405"/>
    <cellStyle name="Currency 2 3 4 7 4 3" xfId="27406"/>
    <cellStyle name="Currency 2 3 4 7 5" xfId="8851"/>
    <cellStyle name="Currency 2 3 4 7 5 2" xfId="8852"/>
    <cellStyle name="Currency 2 3 4 7 5 2 2" xfId="27407"/>
    <cellStyle name="Currency 2 3 4 7 5 3" xfId="27408"/>
    <cellStyle name="Currency 2 3 4 7 6" xfId="8853"/>
    <cellStyle name="Currency 2 3 4 7 6 2" xfId="27409"/>
    <cellStyle name="Currency 2 3 4 7 7" xfId="8854"/>
    <cellStyle name="Currency 2 3 4 8" xfId="475"/>
    <cellStyle name="Currency 2 3 4 8 2" xfId="1639"/>
    <cellStyle name="Currency 2 3 4 8 2 2" xfId="8855"/>
    <cellStyle name="Currency 2 3 4 8 2 2 2" xfId="8856"/>
    <cellStyle name="Currency 2 3 4 8 2 2 2 2" xfId="27410"/>
    <cellStyle name="Currency 2 3 4 8 2 2 3" xfId="27411"/>
    <cellStyle name="Currency 2 3 4 8 2 3" xfId="8857"/>
    <cellStyle name="Currency 2 3 4 8 2 3 2" xfId="8858"/>
    <cellStyle name="Currency 2 3 4 8 2 3 2 2" xfId="27412"/>
    <cellStyle name="Currency 2 3 4 8 2 3 3" xfId="27413"/>
    <cellStyle name="Currency 2 3 4 8 2 4" xfId="8859"/>
    <cellStyle name="Currency 2 3 4 8 2 4 2" xfId="8860"/>
    <cellStyle name="Currency 2 3 4 8 2 4 2 2" xfId="27414"/>
    <cellStyle name="Currency 2 3 4 8 2 4 3" xfId="27415"/>
    <cellStyle name="Currency 2 3 4 8 2 5" xfId="8861"/>
    <cellStyle name="Currency 2 3 4 8 2 5 2" xfId="27416"/>
    <cellStyle name="Currency 2 3 4 8 2 6" xfId="8862"/>
    <cellStyle name="Currency 2 3 4 8 3" xfId="8863"/>
    <cellStyle name="Currency 2 3 4 8 3 2" xfId="8864"/>
    <cellStyle name="Currency 2 3 4 8 3 2 2" xfId="27417"/>
    <cellStyle name="Currency 2 3 4 8 3 3" xfId="27418"/>
    <cellStyle name="Currency 2 3 4 8 4" xfId="8865"/>
    <cellStyle name="Currency 2 3 4 8 4 2" xfId="8866"/>
    <cellStyle name="Currency 2 3 4 8 4 2 2" xfId="27419"/>
    <cellStyle name="Currency 2 3 4 8 4 3" xfId="27420"/>
    <cellStyle name="Currency 2 3 4 8 5" xfId="8867"/>
    <cellStyle name="Currency 2 3 4 8 5 2" xfId="8868"/>
    <cellStyle name="Currency 2 3 4 8 5 2 2" xfId="27421"/>
    <cellStyle name="Currency 2 3 4 8 5 3" xfId="27422"/>
    <cellStyle name="Currency 2 3 4 8 6" xfId="8869"/>
    <cellStyle name="Currency 2 3 4 8 6 2" xfId="27423"/>
    <cellStyle name="Currency 2 3 4 8 7" xfId="8870"/>
    <cellStyle name="Currency 2 3 4 9" xfId="1640"/>
    <cellStyle name="Currency 2 3 4 9 2" xfId="8871"/>
    <cellStyle name="Currency 2 3 4 9 2 2" xfId="8872"/>
    <cellStyle name="Currency 2 3 4 9 2 2 2" xfId="27424"/>
    <cellStyle name="Currency 2 3 4 9 2 3" xfId="27425"/>
    <cellStyle name="Currency 2 3 4 9 3" xfId="8873"/>
    <cellStyle name="Currency 2 3 4 9 3 2" xfId="8874"/>
    <cellStyle name="Currency 2 3 4 9 3 2 2" xfId="27426"/>
    <cellStyle name="Currency 2 3 4 9 3 3" xfId="27427"/>
    <cellStyle name="Currency 2 3 4 9 4" xfId="8875"/>
    <cellStyle name="Currency 2 3 4 9 4 2" xfId="8876"/>
    <cellStyle name="Currency 2 3 4 9 4 2 2" xfId="27428"/>
    <cellStyle name="Currency 2 3 4 9 4 3" xfId="27429"/>
    <cellStyle name="Currency 2 3 4 9 5" xfId="8877"/>
    <cellStyle name="Currency 2 3 4 9 5 2" xfId="27430"/>
    <cellStyle name="Currency 2 3 4 9 6" xfId="8878"/>
    <cellStyle name="Currency 2 3 5" xfId="203"/>
    <cellStyle name="Currency 2 3 5 10" xfId="8879"/>
    <cellStyle name="Currency 2 3 5 2" xfId="361"/>
    <cellStyle name="Currency 2 3 5 2 2" xfId="1149"/>
    <cellStyle name="Currency 2 3 5 2 2 2" xfId="1641"/>
    <cellStyle name="Currency 2 3 5 2 2 2 2" xfId="8880"/>
    <cellStyle name="Currency 2 3 5 2 2 2 2 2" xfId="8881"/>
    <cellStyle name="Currency 2 3 5 2 2 2 2 2 2" xfId="27431"/>
    <cellStyle name="Currency 2 3 5 2 2 2 2 3" xfId="27432"/>
    <cellStyle name="Currency 2 3 5 2 2 2 3" xfId="8882"/>
    <cellStyle name="Currency 2 3 5 2 2 2 3 2" xfId="8883"/>
    <cellStyle name="Currency 2 3 5 2 2 2 3 2 2" xfId="27433"/>
    <cellStyle name="Currency 2 3 5 2 2 2 3 3" xfId="27434"/>
    <cellStyle name="Currency 2 3 5 2 2 2 4" xfId="8884"/>
    <cellStyle name="Currency 2 3 5 2 2 2 4 2" xfId="8885"/>
    <cellStyle name="Currency 2 3 5 2 2 2 4 2 2" xfId="27435"/>
    <cellStyle name="Currency 2 3 5 2 2 2 4 3" xfId="27436"/>
    <cellStyle name="Currency 2 3 5 2 2 2 5" xfId="8886"/>
    <cellStyle name="Currency 2 3 5 2 2 2 5 2" xfId="27437"/>
    <cellStyle name="Currency 2 3 5 2 2 2 6" xfId="8887"/>
    <cellStyle name="Currency 2 3 5 2 2 3" xfId="8888"/>
    <cellStyle name="Currency 2 3 5 2 2 3 2" xfId="8889"/>
    <cellStyle name="Currency 2 3 5 2 2 3 2 2" xfId="27438"/>
    <cellStyle name="Currency 2 3 5 2 2 3 3" xfId="27439"/>
    <cellStyle name="Currency 2 3 5 2 2 4" xfId="8890"/>
    <cellStyle name="Currency 2 3 5 2 2 4 2" xfId="8891"/>
    <cellStyle name="Currency 2 3 5 2 2 4 2 2" xfId="27440"/>
    <cellStyle name="Currency 2 3 5 2 2 4 3" xfId="27441"/>
    <cellStyle name="Currency 2 3 5 2 2 5" xfId="8892"/>
    <cellStyle name="Currency 2 3 5 2 2 5 2" xfId="8893"/>
    <cellStyle name="Currency 2 3 5 2 2 5 2 2" xfId="27442"/>
    <cellStyle name="Currency 2 3 5 2 2 5 3" xfId="27443"/>
    <cellStyle name="Currency 2 3 5 2 2 6" xfId="8894"/>
    <cellStyle name="Currency 2 3 5 2 2 6 2" xfId="27444"/>
    <cellStyle name="Currency 2 3 5 2 2 7" xfId="8895"/>
    <cellStyle name="Currency 2 3 5 2 3" xfId="781"/>
    <cellStyle name="Currency 2 3 5 2 3 2" xfId="1642"/>
    <cellStyle name="Currency 2 3 5 2 3 2 2" xfId="8896"/>
    <cellStyle name="Currency 2 3 5 2 3 2 2 2" xfId="8897"/>
    <cellStyle name="Currency 2 3 5 2 3 2 2 2 2" xfId="27445"/>
    <cellStyle name="Currency 2 3 5 2 3 2 2 3" xfId="27446"/>
    <cellStyle name="Currency 2 3 5 2 3 2 3" xfId="8898"/>
    <cellStyle name="Currency 2 3 5 2 3 2 3 2" xfId="8899"/>
    <cellStyle name="Currency 2 3 5 2 3 2 3 2 2" xfId="27447"/>
    <cellStyle name="Currency 2 3 5 2 3 2 3 3" xfId="27448"/>
    <cellStyle name="Currency 2 3 5 2 3 2 4" xfId="8900"/>
    <cellStyle name="Currency 2 3 5 2 3 2 4 2" xfId="8901"/>
    <cellStyle name="Currency 2 3 5 2 3 2 4 2 2" xfId="27449"/>
    <cellStyle name="Currency 2 3 5 2 3 2 4 3" xfId="27450"/>
    <cellStyle name="Currency 2 3 5 2 3 2 5" xfId="8902"/>
    <cellStyle name="Currency 2 3 5 2 3 2 5 2" xfId="27451"/>
    <cellStyle name="Currency 2 3 5 2 3 2 6" xfId="8903"/>
    <cellStyle name="Currency 2 3 5 2 3 3" xfId="8904"/>
    <cellStyle name="Currency 2 3 5 2 3 3 2" xfId="8905"/>
    <cellStyle name="Currency 2 3 5 2 3 3 2 2" xfId="27452"/>
    <cellStyle name="Currency 2 3 5 2 3 3 3" xfId="27453"/>
    <cellStyle name="Currency 2 3 5 2 3 4" xfId="8906"/>
    <cellStyle name="Currency 2 3 5 2 3 4 2" xfId="8907"/>
    <cellStyle name="Currency 2 3 5 2 3 4 2 2" xfId="27454"/>
    <cellStyle name="Currency 2 3 5 2 3 4 3" xfId="27455"/>
    <cellStyle name="Currency 2 3 5 2 3 5" xfId="8908"/>
    <cellStyle name="Currency 2 3 5 2 3 5 2" xfId="8909"/>
    <cellStyle name="Currency 2 3 5 2 3 5 2 2" xfId="27456"/>
    <cellStyle name="Currency 2 3 5 2 3 5 3" xfId="27457"/>
    <cellStyle name="Currency 2 3 5 2 3 6" xfId="8910"/>
    <cellStyle name="Currency 2 3 5 2 3 6 2" xfId="27458"/>
    <cellStyle name="Currency 2 3 5 2 3 7" xfId="8911"/>
    <cellStyle name="Currency 2 3 5 2 4" xfId="1643"/>
    <cellStyle name="Currency 2 3 5 2 4 2" xfId="8912"/>
    <cellStyle name="Currency 2 3 5 2 4 2 2" xfId="8913"/>
    <cellStyle name="Currency 2 3 5 2 4 2 2 2" xfId="27459"/>
    <cellStyle name="Currency 2 3 5 2 4 2 3" xfId="27460"/>
    <cellStyle name="Currency 2 3 5 2 4 3" xfId="8914"/>
    <cellStyle name="Currency 2 3 5 2 4 3 2" xfId="8915"/>
    <cellStyle name="Currency 2 3 5 2 4 3 2 2" xfId="27461"/>
    <cellStyle name="Currency 2 3 5 2 4 3 3" xfId="27462"/>
    <cellStyle name="Currency 2 3 5 2 4 4" xfId="8916"/>
    <cellStyle name="Currency 2 3 5 2 4 4 2" xfId="8917"/>
    <cellStyle name="Currency 2 3 5 2 4 4 2 2" xfId="27463"/>
    <cellStyle name="Currency 2 3 5 2 4 4 3" xfId="27464"/>
    <cellStyle name="Currency 2 3 5 2 4 5" xfId="8918"/>
    <cellStyle name="Currency 2 3 5 2 4 5 2" xfId="27465"/>
    <cellStyle name="Currency 2 3 5 2 4 6" xfId="8919"/>
    <cellStyle name="Currency 2 3 5 2 5" xfId="8920"/>
    <cellStyle name="Currency 2 3 5 2 5 2" xfId="8921"/>
    <cellStyle name="Currency 2 3 5 2 5 2 2" xfId="27466"/>
    <cellStyle name="Currency 2 3 5 2 5 3" xfId="27467"/>
    <cellStyle name="Currency 2 3 5 2 6" xfId="8922"/>
    <cellStyle name="Currency 2 3 5 2 6 2" xfId="8923"/>
    <cellStyle name="Currency 2 3 5 2 6 2 2" xfId="27468"/>
    <cellStyle name="Currency 2 3 5 2 6 3" xfId="27469"/>
    <cellStyle name="Currency 2 3 5 2 7" xfId="8924"/>
    <cellStyle name="Currency 2 3 5 2 7 2" xfId="8925"/>
    <cellStyle name="Currency 2 3 5 2 7 2 2" xfId="27470"/>
    <cellStyle name="Currency 2 3 5 2 7 3" xfId="27471"/>
    <cellStyle name="Currency 2 3 5 2 8" xfId="8926"/>
    <cellStyle name="Currency 2 3 5 2 8 2" xfId="27472"/>
    <cellStyle name="Currency 2 3 5 2 9" xfId="8927"/>
    <cellStyle name="Currency 2 3 5 3" xfId="991"/>
    <cellStyle name="Currency 2 3 5 3 2" xfId="1644"/>
    <cellStyle name="Currency 2 3 5 3 2 2" xfId="8928"/>
    <cellStyle name="Currency 2 3 5 3 2 2 2" xfId="8929"/>
    <cellStyle name="Currency 2 3 5 3 2 2 2 2" xfId="27473"/>
    <cellStyle name="Currency 2 3 5 3 2 2 3" xfId="27474"/>
    <cellStyle name="Currency 2 3 5 3 2 3" xfId="8930"/>
    <cellStyle name="Currency 2 3 5 3 2 3 2" xfId="8931"/>
    <cellStyle name="Currency 2 3 5 3 2 3 2 2" xfId="27475"/>
    <cellStyle name="Currency 2 3 5 3 2 3 3" xfId="27476"/>
    <cellStyle name="Currency 2 3 5 3 2 4" xfId="8932"/>
    <cellStyle name="Currency 2 3 5 3 2 4 2" xfId="8933"/>
    <cellStyle name="Currency 2 3 5 3 2 4 2 2" xfId="27477"/>
    <cellStyle name="Currency 2 3 5 3 2 4 3" xfId="27478"/>
    <cellStyle name="Currency 2 3 5 3 2 5" xfId="8934"/>
    <cellStyle name="Currency 2 3 5 3 2 5 2" xfId="27479"/>
    <cellStyle name="Currency 2 3 5 3 2 6" xfId="8935"/>
    <cellStyle name="Currency 2 3 5 3 3" xfId="8936"/>
    <cellStyle name="Currency 2 3 5 3 3 2" xfId="8937"/>
    <cellStyle name="Currency 2 3 5 3 3 2 2" xfId="27480"/>
    <cellStyle name="Currency 2 3 5 3 3 3" xfId="27481"/>
    <cellStyle name="Currency 2 3 5 3 4" xfId="8938"/>
    <cellStyle name="Currency 2 3 5 3 4 2" xfId="8939"/>
    <cellStyle name="Currency 2 3 5 3 4 2 2" xfId="27482"/>
    <cellStyle name="Currency 2 3 5 3 4 3" xfId="27483"/>
    <cellStyle name="Currency 2 3 5 3 5" xfId="8940"/>
    <cellStyle name="Currency 2 3 5 3 5 2" xfId="8941"/>
    <cellStyle name="Currency 2 3 5 3 5 2 2" xfId="27484"/>
    <cellStyle name="Currency 2 3 5 3 5 3" xfId="27485"/>
    <cellStyle name="Currency 2 3 5 3 6" xfId="8942"/>
    <cellStyle name="Currency 2 3 5 3 6 2" xfId="27486"/>
    <cellStyle name="Currency 2 3 5 3 7" xfId="8943"/>
    <cellStyle name="Currency 2 3 5 4" xfId="623"/>
    <cellStyle name="Currency 2 3 5 4 2" xfId="1645"/>
    <cellStyle name="Currency 2 3 5 4 2 2" xfId="8944"/>
    <cellStyle name="Currency 2 3 5 4 2 2 2" xfId="8945"/>
    <cellStyle name="Currency 2 3 5 4 2 2 2 2" xfId="27487"/>
    <cellStyle name="Currency 2 3 5 4 2 2 3" xfId="27488"/>
    <cellStyle name="Currency 2 3 5 4 2 3" xfId="8946"/>
    <cellStyle name="Currency 2 3 5 4 2 3 2" xfId="8947"/>
    <cellStyle name="Currency 2 3 5 4 2 3 2 2" xfId="27489"/>
    <cellStyle name="Currency 2 3 5 4 2 3 3" xfId="27490"/>
    <cellStyle name="Currency 2 3 5 4 2 4" xfId="8948"/>
    <cellStyle name="Currency 2 3 5 4 2 4 2" xfId="8949"/>
    <cellStyle name="Currency 2 3 5 4 2 4 2 2" xfId="27491"/>
    <cellStyle name="Currency 2 3 5 4 2 4 3" xfId="27492"/>
    <cellStyle name="Currency 2 3 5 4 2 5" xfId="8950"/>
    <cellStyle name="Currency 2 3 5 4 2 5 2" xfId="27493"/>
    <cellStyle name="Currency 2 3 5 4 2 6" xfId="8951"/>
    <cellStyle name="Currency 2 3 5 4 3" xfId="8952"/>
    <cellStyle name="Currency 2 3 5 4 3 2" xfId="8953"/>
    <cellStyle name="Currency 2 3 5 4 3 2 2" xfId="27494"/>
    <cellStyle name="Currency 2 3 5 4 3 3" xfId="27495"/>
    <cellStyle name="Currency 2 3 5 4 4" xfId="8954"/>
    <cellStyle name="Currency 2 3 5 4 4 2" xfId="8955"/>
    <cellStyle name="Currency 2 3 5 4 4 2 2" xfId="27496"/>
    <cellStyle name="Currency 2 3 5 4 4 3" xfId="27497"/>
    <cellStyle name="Currency 2 3 5 4 5" xfId="8956"/>
    <cellStyle name="Currency 2 3 5 4 5 2" xfId="8957"/>
    <cellStyle name="Currency 2 3 5 4 5 2 2" xfId="27498"/>
    <cellStyle name="Currency 2 3 5 4 5 3" xfId="27499"/>
    <cellStyle name="Currency 2 3 5 4 6" xfId="8958"/>
    <cellStyle name="Currency 2 3 5 4 6 2" xfId="27500"/>
    <cellStyle name="Currency 2 3 5 4 7" xfId="8959"/>
    <cellStyle name="Currency 2 3 5 5" xfId="1646"/>
    <cellStyle name="Currency 2 3 5 5 2" xfId="8960"/>
    <cellStyle name="Currency 2 3 5 5 2 2" xfId="8961"/>
    <cellStyle name="Currency 2 3 5 5 2 2 2" xfId="27501"/>
    <cellStyle name="Currency 2 3 5 5 2 3" xfId="27502"/>
    <cellStyle name="Currency 2 3 5 5 3" xfId="8962"/>
    <cellStyle name="Currency 2 3 5 5 3 2" xfId="8963"/>
    <cellStyle name="Currency 2 3 5 5 3 2 2" xfId="27503"/>
    <cellStyle name="Currency 2 3 5 5 3 3" xfId="27504"/>
    <cellStyle name="Currency 2 3 5 5 4" xfId="8964"/>
    <cellStyle name="Currency 2 3 5 5 4 2" xfId="8965"/>
    <cellStyle name="Currency 2 3 5 5 4 2 2" xfId="27505"/>
    <cellStyle name="Currency 2 3 5 5 4 3" xfId="27506"/>
    <cellStyle name="Currency 2 3 5 5 5" xfId="8966"/>
    <cellStyle name="Currency 2 3 5 5 5 2" xfId="27507"/>
    <cellStyle name="Currency 2 3 5 5 6" xfId="8967"/>
    <cellStyle name="Currency 2 3 5 6" xfId="8968"/>
    <cellStyle name="Currency 2 3 5 6 2" xfId="8969"/>
    <cellStyle name="Currency 2 3 5 6 2 2" xfId="27508"/>
    <cellStyle name="Currency 2 3 5 6 3" xfId="27509"/>
    <cellStyle name="Currency 2 3 5 7" xfId="8970"/>
    <cellStyle name="Currency 2 3 5 7 2" xfId="8971"/>
    <cellStyle name="Currency 2 3 5 7 2 2" xfId="27510"/>
    <cellStyle name="Currency 2 3 5 7 3" xfId="27511"/>
    <cellStyle name="Currency 2 3 5 8" xfId="8972"/>
    <cellStyle name="Currency 2 3 5 8 2" xfId="8973"/>
    <cellStyle name="Currency 2 3 5 8 2 2" xfId="27512"/>
    <cellStyle name="Currency 2 3 5 8 3" xfId="27513"/>
    <cellStyle name="Currency 2 3 5 9" xfId="8974"/>
    <cellStyle name="Currency 2 3 5 9 2" xfId="27514"/>
    <cellStyle name="Currency 2 3 6" xfId="254"/>
    <cellStyle name="Currency 2 3 6 10" xfId="8975"/>
    <cellStyle name="Currency 2 3 6 2" xfId="412"/>
    <cellStyle name="Currency 2 3 6 2 2" xfId="1200"/>
    <cellStyle name="Currency 2 3 6 2 2 2" xfId="1647"/>
    <cellStyle name="Currency 2 3 6 2 2 2 2" xfId="8976"/>
    <cellStyle name="Currency 2 3 6 2 2 2 2 2" xfId="8977"/>
    <cellStyle name="Currency 2 3 6 2 2 2 2 2 2" xfId="27515"/>
    <cellStyle name="Currency 2 3 6 2 2 2 2 3" xfId="27516"/>
    <cellStyle name="Currency 2 3 6 2 2 2 3" xfId="8978"/>
    <cellStyle name="Currency 2 3 6 2 2 2 3 2" xfId="8979"/>
    <cellStyle name="Currency 2 3 6 2 2 2 3 2 2" xfId="27517"/>
    <cellStyle name="Currency 2 3 6 2 2 2 3 3" xfId="27518"/>
    <cellStyle name="Currency 2 3 6 2 2 2 4" xfId="8980"/>
    <cellStyle name="Currency 2 3 6 2 2 2 4 2" xfId="8981"/>
    <cellStyle name="Currency 2 3 6 2 2 2 4 2 2" xfId="27519"/>
    <cellStyle name="Currency 2 3 6 2 2 2 4 3" xfId="27520"/>
    <cellStyle name="Currency 2 3 6 2 2 2 5" xfId="8982"/>
    <cellStyle name="Currency 2 3 6 2 2 2 5 2" xfId="27521"/>
    <cellStyle name="Currency 2 3 6 2 2 2 6" xfId="8983"/>
    <cellStyle name="Currency 2 3 6 2 2 3" xfId="8984"/>
    <cellStyle name="Currency 2 3 6 2 2 3 2" xfId="8985"/>
    <cellStyle name="Currency 2 3 6 2 2 3 2 2" xfId="27522"/>
    <cellStyle name="Currency 2 3 6 2 2 3 3" xfId="27523"/>
    <cellStyle name="Currency 2 3 6 2 2 4" xfId="8986"/>
    <cellStyle name="Currency 2 3 6 2 2 4 2" xfId="8987"/>
    <cellStyle name="Currency 2 3 6 2 2 4 2 2" xfId="27524"/>
    <cellStyle name="Currency 2 3 6 2 2 4 3" xfId="27525"/>
    <cellStyle name="Currency 2 3 6 2 2 5" xfId="8988"/>
    <cellStyle name="Currency 2 3 6 2 2 5 2" xfId="8989"/>
    <cellStyle name="Currency 2 3 6 2 2 5 2 2" xfId="27526"/>
    <cellStyle name="Currency 2 3 6 2 2 5 3" xfId="27527"/>
    <cellStyle name="Currency 2 3 6 2 2 6" xfId="8990"/>
    <cellStyle name="Currency 2 3 6 2 2 6 2" xfId="27528"/>
    <cellStyle name="Currency 2 3 6 2 2 7" xfId="8991"/>
    <cellStyle name="Currency 2 3 6 2 3" xfId="832"/>
    <cellStyle name="Currency 2 3 6 2 3 2" xfId="1648"/>
    <cellStyle name="Currency 2 3 6 2 3 2 2" xfId="8992"/>
    <cellStyle name="Currency 2 3 6 2 3 2 2 2" xfId="8993"/>
    <cellStyle name="Currency 2 3 6 2 3 2 2 2 2" xfId="27529"/>
    <cellStyle name="Currency 2 3 6 2 3 2 2 3" xfId="27530"/>
    <cellStyle name="Currency 2 3 6 2 3 2 3" xfId="8994"/>
    <cellStyle name="Currency 2 3 6 2 3 2 3 2" xfId="8995"/>
    <cellStyle name="Currency 2 3 6 2 3 2 3 2 2" xfId="27531"/>
    <cellStyle name="Currency 2 3 6 2 3 2 3 3" xfId="27532"/>
    <cellStyle name="Currency 2 3 6 2 3 2 4" xfId="8996"/>
    <cellStyle name="Currency 2 3 6 2 3 2 4 2" xfId="8997"/>
    <cellStyle name="Currency 2 3 6 2 3 2 4 2 2" xfId="27533"/>
    <cellStyle name="Currency 2 3 6 2 3 2 4 3" xfId="27534"/>
    <cellStyle name="Currency 2 3 6 2 3 2 5" xfId="8998"/>
    <cellStyle name="Currency 2 3 6 2 3 2 5 2" xfId="27535"/>
    <cellStyle name="Currency 2 3 6 2 3 2 6" xfId="8999"/>
    <cellStyle name="Currency 2 3 6 2 3 3" xfId="9000"/>
    <cellStyle name="Currency 2 3 6 2 3 3 2" xfId="9001"/>
    <cellStyle name="Currency 2 3 6 2 3 3 2 2" xfId="27536"/>
    <cellStyle name="Currency 2 3 6 2 3 3 3" xfId="27537"/>
    <cellStyle name="Currency 2 3 6 2 3 4" xfId="9002"/>
    <cellStyle name="Currency 2 3 6 2 3 4 2" xfId="9003"/>
    <cellStyle name="Currency 2 3 6 2 3 4 2 2" xfId="27538"/>
    <cellStyle name="Currency 2 3 6 2 3 4 3" xfId="27539"/>
    <cellStyle name="Currency 2 3 6 2 3 5" xfId="9004"/>
    <cellStyle name="Currency 2 3 6 2 3 5 2" xfId="9005"/>
    <cellStyle name="Currency 2 3 6 2 3 5 2 2" xfId="27540"/>
    <cellStyle name="Currency 2 3 6 2 3 5 3" xfId="27541"/>
    <cellStyle name="Currency 2 3 6 2 3 6" xfId="9006"/>
    <cellStyle name="Currency 2 3 6 2 3 6 2" xfId="27542"/>
    <cellStyle name="Currency 2 3 6 2 3 7" xfId="9007"/>
    <cellStyle name="Currency 2 3 6 2 4" xfId="1649"/>
    <cellStyle name="Currency 2 3 6 2 4 2" xfId="9008"/>
    <cellStyle name="Currency 2 3 6 2 4 2 2" xfId="9009"/>
    <cellStyle name="Currency 2 3 6 2 4 2 2 2" xfId="27543"/>
    <cellStyle name="Currency 2 3 6 2 4 2 3" xfId="27544"/>
    <cellStyle name="Currency 2 3 6 2 4 3" xfId="9010"/>
    <cellStyle name="Currency 2 3 6 2 4 3 2" xfId="9011"/>
    <cellStyle name="Currency 2 3 6 2 4 3 2 2" xfId="27545"/>
    <cellStyle name="Currency 2 3 6 2 4 3 3" xfId="27546"/>
    <cellStyle name="Currency 2 3 6 2 4 4" xfId="9012"/>
    <cellStyle name="Currency 2 3 6 2 4 4 2" xfId="9013"/>
    <cellStyle name="Currency 2 3 6 2 4 4 2 2" xfId="27547"/>
    <cellStyle name="Currency 2 3 6 2 4 4 3" xfId="27548"/>
    <cellStyle name="Currency 2 3 6 2 4 5" xfId="9014"/>
    <cellStyle name="Currency 2 3 6 2 4 5 2" xfId="27549"/>
    <cellStyle name="Currency 2 3 6 2 4 6" xfId="9015"/>
    <cellStyle name="Currency 2 3 6 2 5" xfId="9016"/>
    <cellStyle name="Currency 2 3 6 2 5 2" xfId="9017"/>
    <cellStyle name="Currency 2 3 6 2 5 2 2" xfId="27550"/>
    <cellStyle name="Currency 2 3 6 2 5 3" xfId="27551"/>
    <cellStyle name="Currency 2 3 6 2 6" xfId="9018"/>
    <cellStyle name="Currency 2 3 6 2 6 2" xfId="9019"/>
    <cellStyle name="Currency 2 3 6 2 6 2 2" xfId="27552"/>
    <cellStyle name="Currency 2 3 6 2 6 3" xfId="27553"/>
    <cellStyle name="Currency 2 3 6 2 7" xfId="9020"/>
    <cellStyle name="Currency 2 3 6 2 7 2" xfId="9021"/>
    <cellStyle name="Currency 2 3 6 2 7 2 2" xfId="27554"/>
    <cellStyle name="Currency 2 3 6 2 7 3" xfId="27555"/>
    <cellStyle name="Currency 2 3 6 2 8" xfId="9022"/>
    <cellStyle name="Currency 2 3 6 2 8 2" xfId="27556"/>
    <cellStyle name="Currency 2 3 6 2 9" xfId="9023"/>
    <cellStyle name="Currency 2 3 6 3" xfId="1042"/>
    <cellStyle name="Currency 2 3 6 3 2" xfId="1650"/>
    <cellStyle name="Currency 2 3 6 3 2 2" xfId="9024"/>
    <cellStyle name="Currency 2 3 6 3 2 2 2" xfId="9025"/>
    <cellStyle name="Currency 2 3 6 3 2 2 2 2" xfId="27557"/>
    <cellStyle name="Currency 2 3 6 3 2 2 3" xfId="27558"/>
    <cellStyle name="Currency 2 3 6 3 2 3" xfId="9026"/>
    <cellStyle name="Currency 2 3 6 3 2 3 2" xfId="9027"/>
    <cellStyle name="Currency 2 3 6 3 2 3 2 2" xfId="27559"/>
    <cellStyle name="Currency 2 3 6 3 2 3 3" xfId="27560"/>
    <cellStyle name="Currency 2 3 6 3 2 4" xfId="9028"/>
    <cellStyle name="Currency 2 3 6 3 2 4 2" xfId="9029"/>
    <cellStyle name="Currency 2 3 6 3 2 4 2 2" xfId="27561"/>
    <cellStyle name="Currency 2 3 6 3 2 4 3" xfId="27562"/>
    <cellStyle name="Currency 2 3 6 3 2 5" xfId="9030"/>
    <cellStyle name="Currency 2 3 6 3 2 5 2" xfId="27563"/>
    <cellStyle name="Currency 2 3 6 3 2 6" xfId="9031"/>
    <cellStyle name="Currency 2 3 6 3 3" xfId="9032"/>
    <cellStyle name="Currency 2 3 6 3 3 2" xfId="9033"/>
    <cellStyle name="Currency 2 3 6 3 3 2 2" xfId="27564"/>
    <cellStyle name="Currency 2 3 6 3 3 3" xfId="27565"/>
    <cellStyle name="Currency 2 3 6 3 4" xfId="9034"/>
    <cellStyle name="Currency 2 3 6 3 4 2" xfId="9035"/>
    <cellStyle name="Currency 2 3 6 3 4 2 2" xfId="27566"/>
    <cellStyle name="Currency 2 3 6 3 4 3" xfId="27567"/>
    <cellStyle name="Currency 2 3 6 3 5" xfId="9036"/>
    <cellStyle name="Currency 2 3 6 3 5 2" xfId="9037"/>
    <cellStyle name="Currency 2 3 6 3 5 2 2" xfId="27568"/>
    <cellStyle name="Currency 2 3 6 3 5 3" xfId="27569"/>
    <cellStyle name="Currency 2 3 6 3 6" xfId="9038"/>
    <cellStyle name="Currency 2 3 6 3 6 2" xfId="27570"/>
    <cellStyle name="Currency 2 3 6 3 7" xfId="9039"/>
    <cellStyle name="Currency 2 3 6 4" xfId="674"/>
    <cellStyle name="Currency 2 3 6 4 2" xfId="1651"/>
    <cellStyle name="Currency 2 3 6 4 2 2" xfId="9040"/>
    <cellStyle name="Currency 2 3 6 4 2 2 2" xfId="9041"/>
    <cellStyle name="Currency 2 3 6 4 2 2 2 2" xfId="27571"/>
    <cellStyle name="Currency 2 3 6 4 2 2 3" xfId="27572"/>
    <cellStyle name="Currency 2 3 6 4 2 3" xfId="9042"/>
    <cellStyle name="Currency 2 3 6 4 2 3 2" xfId="9043"/>
    <cellStyle name="Currency 2 3 6 4 2 3 2 2" xfId="27573"/>
    <cellStyle name="Currency 2 3 6 4 2 3 3" xfId="27574"/>
    <cellStyle name="Currency 2 3 6 4 2 4" xfId="9044"/>
    <cellStyle name="Currency 2 3 6 4 2 4 2" xfId="9045"/>
    <cellStyle name="Currency 2 3 6 4 2 4 2 2" xfId="27575"/>
    <cellStyle name="Currency 2 3 6 4 2 4 3" xfId="27576"/>
    <cellStyle name="Currency 2 3 6 4 2 5" xfId="9046"/>
    <cellStyle name="Currency 2 3 6 4 2 5 2" xfId="27577"/>
    <cellStyle name="Currency 2 3 6 4 2 6" xfId="9047"/>
    <cellStyle name="Currency 2 3 6 4 3" xfId="9048"/>
    <cellStyle name="Currency 2 3 6 4 3 2" xfId="9049"/>
    <cellStyle name="Currency 2 3 6 4 3 2 2" xfId="27578"/>
    <cellStyle name="Currency 2 3 6 4 3 3" xfId="27579"/>
    <cellStyle name="Currency 2 3 6 4 4" xfId="9050"/>
    <cellStyle name="Currency 2 3 6 4 4 2" xfId="9051"/>
    <cellStyle name="Currency 2 3 6 4 4 2 2" xfId="27580"/>
    <cellStyle name="Currency 2 3 6 4 4 3" xfId="27581"/>
    <cellStyle name="Currency 2 3 6 4 5" xfId="9052"/>
    <cellStyle name="Currency 2 3 6 4 5 2" xfId="9053"/>
    <cellStyle name="Currency 2 3 6 4 5 2 2" xfId="27582"/>
    <cellStyle name="Currency 2 3 6 4 5 3" xfId="27583"/>
    <cellStyle name="Currency 2 3 6 4 6" xfId="9054"/>
    <cellStyle name="Currency 2 3 6 4 6 2" xfId="27584"/>
    <cellStyle name="Currency 2 3 6 4 7" xfId="9055"/>
    <cellStyle name="Currency 2 3 6 5" xfId="1652"/>
    <cellStyle name="Currency 2 3 6 5 2" xfId="9056"/>
    <cellStyle name="Currency 2 3 6 5 2 2" xfId="9057"/>
    <cellStyle name="Currency 2 3 6 5 2 2 2" xfId="27585"/>
    <cellStyle name="Currency 2 3 6 5 2 3" xfId="27586"/>
    <cellStyle name="Currency 2 3 6 5 3" xfId="9058"/>
    <cellStyle name="Currency 2 3 6 5 3 2" xfId="9059"/>
    <cellStyle name="Currency 2 3 6 5 3 2 2" xfId="27587"/>
    <cellStyle name="Currency 2 3 6 5 3 3" xfId="27588"/>
    <cellStyle name="Currency 2 3 6 5 4" xfId="9060"/>
    <cellStyle name="Currency 2 3 6 5 4 2" xfId="9061"/>
    <cellStyle name="Currency 2 3 6 5 4 2 2" xfId="27589"/>
    <cellStyle name="Currency 2 3 6 5 4 3" xfId="27590"/>
    <cellStyle name="Currency 2 3 6 5 5" xfId="9062"/>
    <cellStyle name="Currency 2 3 6 5 5 2" xfId="27591"/>
    <cellStyle name="Currency 2 3 6 5 6" xfId="9063"/>
    <cellStyle name="Currency 2 3 6 6" xfId="9064"/>
    <cellStyle name="Currency 2 3 6 6 2" xfId="9065"/>
    <cellStyle name="Currency 2 3 6 6 2 2" xfId="27592"/>
    <cellStyle name="Currency 2 3 6 6 3" xfId="27593"/>
    <cellStyle name="Currency 2 3 6 7" xfId="9066"/>
    <cellStyle name="Currency 2 3 6 7 2" xfId="9067"/>
    <cellStyle name="Currency 2 3 6 7 2 2" xfId="27594"/>
    <cellStyle name="Currency 2 3 6 7 3" xfId="27595"/>
    <cellStyle name="Currency 2 3 6 8" xfId="9068"/>
    <cellStyle name="Currency 2 3 6 8 2" xfId="9069"/>
    <cellStyle name="Currency 2 3 6 8 2 2" xfId="27596"/>
    <cellStyle name="Currency 2 3 6 8 3" xfId="27597"/>
    <cellStyle name="Currency 2 3 6 9" xfId="9070"/>
    <cellStyle name="Currency 2 3 6 9 2" xfId="27598"/>
    <cellStyle name="Currency 2 3 7" xfId="139"/>
    <cellStyle name="Currency 2 3 7 2" xfId="927"/>
    <cellStyle name="Currency 2 3 7 2 2" xfId="1653"/>
    <cellStyle name="Currency 2 3 7 2 2 2" xfId="9071"/>
    <cellStyle name="Currency 2 3 7 2 2 2 2" xfId="9072"/>
    <cellStyle name="Currency 2 3 7 2 2 2 2 2" xfId="27599"/>
    <cellStyle name="Currency 2 3 7 2 2 2 3" xfId="27600"/>
    <cellStyle name="Currency 2 3 7 2 2 3" xfId="9073"/>
    <cellStyle name="Currency 2 3 7 2 2 3 2" xfId="9074"/>
    <cellStyle name="Currency 2 3 7 2 2 3 2 2" xfId="27601"/>
    <cellStyle name="Currency 2 3 7 2 2 3 3" xfId="27602"/>
    <cellStyle name="Currency 2 3 7 2 2 4" xfId="9075"/>
    <cellStyle name="Currency 2 3 7 2 2 4 2" xfId="9076"/>
    <cellStyle name="Currency 2 3 7 2 2 4 2 2" xfId="27603"/>
    <cellStyle name="Currency 2 3 7 2 2 4 3" xfId="27604"/>
    <cellStyle name="Currency 2 3 7 2 2 5" xfId="9077"/>
    <cellStyle name="Currency 2 3 7 2 2 5 2" xfId="27605"/>
    <cellStyle name="Currency 2 3 7 2 2 6" xfId="9078"/>
    <cellStyle name="Currency 2 3 7 2 3" xfId="9079"/>
    <cellStyle name="Currency 2 3 7 2 3 2" xfId="9080"/>
    <cellStyle name="Currency 2 3 7 2 3 2 2" xfId="27606"/>
    <cellStyle name="Currency 2 3 7 2 3 3" xfId="27607"/>
    <cellStyle name="Currency 2 3 7 2 4" xfId="9081"/>
    <cellStyle name="Currency 2 3 7 2 4 2" xfId="9082"/>
    <cellStyle name="Currency 2 3 7 2 4 2 2" xfId="27608"/>
    <cellStyle name="Currency 2 3 7 2 4 3" xfId="27609"/>
    <cellStyle name="Currency 2 3 7 2 5" xfId="9083"/>
    <cellStyle name="Currency 2 3 7 2 5 2" xfId="9084"/>
    <cellStyle name="Currency 2 3 7 2 5 2 2" xfId="27610"/>
    <cellStyle name="Currency 2 3 7 2 5 3" xfId="27611"/>
    <cellStyle name="Currency 2 3 7 2 6" xfId="9085"/>
    <cellStyle name="Currency 2 3 7 2 6 2" xfId="27612"/>
    <cellStyle name="Currency 2 3 7 2 7" xfId="9086"/>
    <cellStyle name="Currency 2 3 7 3" xfId="559"/>
    <cellStyle name="Currency 2 3 7 3 2" xfId="1654"/>
    <cellStyle name="Currency 2 3 7 3 2 2" xfId="9087"/>
    <cellStyle name="Currency 2 3 7 3 2 2 2" xfId="9088"/>
    <cellStyle name="Currency 2 3 7 3 2 2 2 2" xfId="27613"/>
    <cellStyle name="Currency 2 3 7 3 2 2 3" xfId="27614"/>
    <cellStyle name="Currency 2 3 7 3 2 3" xfId="9089"/>
    <cellStyle name="Currency 2 3 7 3 2 3 2" xfId="9090"/>
    <cellStyle name="Currency 2 3 7 3 2 3 2 2" xfId="27615"/>
    <cellStyle name="Currency 2 3 7 3 2 3 3" xfId="27616"/>
    <cellStyle name="Currency 2 3 7 3 2 4" xfId="9091"/>
    <cellStyle name="Currency 2 3 7 3 2 4 2" xfId="9092"/>
    <cellStyle name="Currency 2 3 7 3 2 4 2 2" xfId="27617"/>
    <cellStyle name="Currency 2 3 7 3 2 4 3" xfId="27618"/>
    <cellStyle name="Currency 2 3 7 3 2 5" xfId="9093"/>
    <cellStyle name="Currency 2 3 7 3 2 5 2" xfId="27619"/>
    <cellStyle name="Currency 2 3 7 3 2 6" xfId="9094"/>
    <cellStyle name="Currency 2 3 7 3 3" xfId="9095"/>
    <cellStyle name="Currency 2 3 7 3 3 2" xfId="9096"/>
    <cellStyle name="Currency 2 3 7 3 3 2 2" xfId="27620"/>
    <cellStyle name="Currency 2 3 7 3 3 3" xfId="27621"/>
    <cellStyle name="Currency 2 3 7 3 4" xfId="9097"/>
    <cellStyle name="Currency 2 3 7 3 4 2" xfId="9098"/>
    <cellStyle name="Currency 2 3 7 3 4 2 2" xfId="27622"/>
    <cellStyle name="Currency 2 3 7 3 4 3" xfId="27623"/>
    <cellStyle name="Currency 2 3 7 3 5" xfId="9099"/>
    <cellStyle name="Currency 2 3 7 3 5 2" xfId="9100"/>
    <cellStyle name="Currency 2 3 7 3 5 2 2" xfId="27624"/>
    <cellStyle name="Currency 2 3 7 3 5 3" xfId="27625"/>
    <cellStyle name="Currency 2 3 7 3 6" xfId="9101"/>
    <cellStyle name="Currency 2 3 7 3 6 2" xfId="27626"/>
    <cellStyle name="Currency 2 3 7 3 7" xfId="9102"/>
    <cellStyle name="Currency 2 3 7 4" xfId="1655"/>
    <cellStyle name="Currency 2 3 7 4 2" xfId="9103"/>
    <cellStyle name="Currency 2 3 7 4 2 2" xfId="9104"/>
    <cellStyle name="Currency 2 3 7 4 2 2 2" xfId="27627"/>
    <cellStyle name="Currency 2 3 7 4 2 3" xfId="27628"/>
    <cellStyle name="Currency 2 3 7 4 3" xfId="9105"/>
    <cellStyle name="Currency 2 3 7 4 3 2" xfId="9106"/>
    <cellStyle name="Currency 2 3 7 4 3 2 2" xfId="27629"/>
    <cellStyle name="Currency 2 3 7 4 3 3" xfId="27630"/>
    <cellStyle name="Currency 2 3 7 4 4" xfId="9107"/>
    <cellStyle name="Currency 2 3 7 4 4 2" xfId="9108"/>
    <cellStyle name="Currency 2 3 7 4 4 2 2" xfId="27631"/>
    <cellStyle name="Currency 2 3 7 4 4 3" xfId="27632"/>
    <cellStyle name="Currency 2 3 7 4 5" xfId="9109"/>
    <cellStyle name="Currency 2 3 7 4 5 2" xfId="27633"/>
    <cellStyle name="Currency 2 3 7 4 6" xfId="9110"/>
    <cellStyle name="Currency 2 3 7 5" xfId="9111"/>
    <cellStyle name="Currency 2 3 7 5 2" xfId="9112"/>
    <cellStyle name="Currency 2 3 7 5 2 2" xfId="27634"/>
    <cellStyle name="Currency 2 3 7 5 3" xfId="27635"/>
    <cellStyle name="Currency 2 3 7 6" xfId="9113"/>
    <cellStyle name="Currency 2 3 7 6 2" xfId="9114"/>
    <cellStyle name="Currency 2 3 7 6 2 2" xfId="27636"/>
    <cellStyle name="Currency 2 3 7 6 3" xfId="27637"/>
    <cellStyle name="Currency 2 3 7 7" xfId="9115"/>
    <cellStyle name="Currency 2 3 7 7 2" xfId="9116"/>
    <cellStyle name="Currency 2 3 7 7 2 2" xfId="27638"/>
    <cellStyle name="Currency 2 3 7 7 3" xfId="27639"/>
    <cellStyle name="Currency 2 3 7 8" xfId="9117"/>
    <cellStyle name="Currency 2 3 7 8 2" xfId="27640"/>
    <cellStyle name="Currency 2 3 7 9" xfId="9118"/>
    <cellStyle name="Currency 2 3 8" xfId="297"/>
    <cellStyle name="Currency 2 3 8 2" xfId="1085"/>
    <cellStyle name="Currency 2 3 8 2 2" xfId="1656"/>
    <cellStyle name="Currency 2 3 8 2 2 2" xfId="9119"/>
    <cellStyle name="Currency 2 3 8 2 2 2 2" xfId="9120"/>
    <cellStyle name="Currency 2 3 8 2 2 2 2 2" xfId="27641"/>
    <cellStyle name="Currency 2 3 8 2 2 2 3" xfId="27642"/>
    <cellStyle name="Currency 2 3 8 2 2 3" xfId="9121"/>
    <cellStyle name="Currency 2 3 8 2 2 3 2" xfId="9122"/>
    <cellStyle name="Currency 2 3 8 2 2 3 2 2" xfId="27643"/>
    <cellStyle name="Currency 2 3 8 2 2 3 3" xfId="27644"/>
    <cellStyle name="Currency 2 3 8 2 2 4" xfId="9123"/>
    <cellStyle name="Currency 2 3 8 2 2 4 2" xfId="9124"/>
    <cellStyle name="Currency 2 3 8 2 2 4 2 2" xfId="27645"/>
    <cellStyle name="Currency 2 3 8 2 2 4 3" xfId="27646"/>
    <cellStyle name="Currency 2 3 8 2 2 5" xfId="9125"/>
    <cellStyle name="Currency 2 3 8 2 2 5 2" xfId="27647"/>
    <cellStyle name="Currency 2 3 8 2 2 6" xfId="9126"/>
    <cellStyle name="Currency 2 3 8 2 3" xfId="9127"/>
    <cellStyle name="Currency 2 3 8 2 3 2" xfId="9128"/>
    <cellStyle name="Currency 2 3 8 2 3 2 2" xfId="27648"/>
    <cellStyle name="Currency 2 3 8 2 3 3" xfId="27649"/>
    <cellStyle name="Currency 2 3 8 2 4" xfId="9129"/>
    <cellStyle name="Currency 2 3 8 2 4 2" xfId="9130"/>
    <cellStyle name="Currency 2 3 8 2 4 2 2" xfId="27650"/>
    <cellStyle name="Currency 2 3 8 2 4 3" xfId="27651"/>
    <cellStyle name="Currency 2 3 8 2 5" xfId="9131"/>
    <cellStyle name="Currency 2 3 8 2 5 2" xfId="9132"/>
    <cellStyle name="Currency 2 3 8 2 5 2 2" xfId="27652"/>
    <cellStyle name="Currency 2 3 8 2 5 3" xfId="27653"/>
    <cellStyle name="Currency 2 3 8 2 6" xfId="9133"/>
    <cellStyle name="Currency 2 3 8 2 6 2" xfId="27654"/>
    <cellStyle name="Currency 2 3 8 2 7" xfId="9134"/>
    <cellStyle name="Currency 2 3 8 3" xfId="717"/>
    <cellStyle name="Currency 2 3 8 3 2" xfId="1657"/>
    <cellStyle name="Currency 2 3 8 3 2 2" xfId="9135"/>
    <cellStyle name="Currency 2 3 8 3 2 2 2" xfId="9136"/>
    <cellStyle name="Currency 2 3 8 3 2 2 2 2" xfId="27655"/>
    <cellStyle name="Currency 2 3 8 3 2 2 3" xfId="27656"/>
    <cellStyle name="Currency 2 3 8 3 2 3" xfId="9137"/>
    <cellStyle name="Currency 2 3 8 3 2 3 2" xfId="9138"/>
    <cellStyle name="Currency 2 3 8 3 2 3 2 2" xfId="27657"/>
    <cellStyle name="Currency 2 3 8 3 2 3 3" xfId="27658"/>
    <cellStyle name="Currency 2 3 8 3 2 4" xfId="9139"/>
    <cellStyle name="Currency 2 3 8 3 2 4 2" xfId="9140"/>
    <cellStyle name="Currency 2 3 8 3 2 4 2 2" xfId="27659"/>
    <cellStyle name="Currency 2 3 8 3 2 4 3" xfId="27660"/>
    <cellStyle name="Currency 2 3 8 3 2 5" xfId="9141"/>
    <cellStyle name="Currency 2 3 8 3 2 5 2" xfId="27661"/>
    <cellStyle name="Currency 2 3 8 3 2 6" xfId="9142"/>
    <cellStyle name="Currency 2 3 8 3 3" xfId="9143"/>
    <cellStyle name="Currency 2 3 8 3 3 2" xfId="9144"/>
    <cellStyle name="Currency 2 3 8 3 3 2 2" xfId="27662"/>
    <cellStyle name="Currency 2 3 8 3 3 3" xfId="27663"/>
    <cellStyle name="Currency 2 3 8 3 4" xfId="9145"/>
    <cellStyle name="Currency 2 3 8 3 4 2" xfId="9146"/>
    <cellStyle name="Currency 2 3 8 3 4 2 2" xfId="27664"/>
    <cellStyle name="Currency 2 3 8 3 4 3" xfId="27665"/>
    <cellStyle name="Currency 2 3 8 3 5" xfId="9147"/>
    <cellStyle name="Currency 2 3 8 3 5 2" xfId="9148"/>
    <cellStyle name="Currency 2 3 8 3 5 2 2" xfId="27666"/>
    <cellStyle name="Currency 2 3 8 3 5 3" xfId="27667"/>
    <cellStyle name="Currency 2 3 8 3 6" xfId="9149"/>
    <cellStyle name="Currency 2 3 8 3 6 2" xfId="27668"/>
    <cellStyle name="Currency 2 3 8 3 7" xfId="9150"/>
    <cellStyle name="Currency 2 3 8 4" xfId="1658"/>
    <cellStyle name="Currency 2 3 8 4 2" xfId="9151"/>
    <cellStyle name="Currency 2 3 8 4 2 2" xfId="9152"/>
    <cellStyle name="Currency 2 3 8 4 2 2 2" xfId="27669"/>
    <cellStyle name="Currency 2 3 8 4 2 3" xfId="27670"/>
    <cellStyle name="Currency 2 3 8 4 3" xfId="9153"/>
    <cellStyle name="Currency 2 3 8 4 3 2" xfId="9154"/>
    <cellStyle name="Currency 2 3 8 4 3 2 2" xfId="27671"/>
    <cellStyle name="Currency 2 3 8 4 3 3" xfId="27672"/>
    <cellStyle name="Currency 2 3 8 4 4" xfId="9155"/>
    <cellStyle name="Currency 2 3 8 4 4 2" xfId="9156"/>
    <cellStyle name="Currency 2 3 8 4 4 2 2" xfId="27673"/>
    <cellStyle name="Currency 2 3 8 4 4 3" xfId="27674"/>
    <cellStyle name="Currency 2 3 8 4 5" xfId="9157"/>
    <cellStyle name="Currency 2 3 8 4 5 2" xfId="27675"/>
    <cellStyle name="Currency 2 3 8 4 6" xfId="9158"/>
    <cellStyle name="Currency 2 3 8 5" xfId="9159"/>
    <cellStyle name="Currency 2 3 8 5 2" xfId="9160"/>
    <cellStyle name="Currency 2 3 8 5 2 2" xfId="27676"/>
    <cellStyle name="Currency 2 3 8 5 3" xfId="27677"/>
    <cellStyle name="Currency 2 3 8 6" xfId="9161"/>
    <cellStyle name="Currency 2 3 8 6 2" xfId="9162"/>
    <cellStyle name="Currency 2 3 8 6 2 2" xfId="27678"/>
    <cellStyle name="Currency 2 3 8 6 3" xfId="27679"/>
    <cellStyle name="Currency 2 3 8 7" xfId="9163"/>
    <cellStyle name="Currency 2 3 8 7 2" xfId="9164"/>
    <cellStyle name="Currency 2 3 8 7 2 2" xfId="27680"/>
    <cellStyle name="Currency 2 3 8 7 3" xfId="27681"/>
    <cellStyle name="Currency 2 3 8 8" xfId="9165"/>
    <cellStyle name="Currency 2 3 8 8 2" xfId="27682"/>
    <cellStyle name="Currency 2 3 8 9" xfId="9166"/>
    <cellStyle name="Currency 2 3 9" xfId="82"/>
    <cellStyle name="Currency 2 3 9 2" xfId="507"/>
    <cellStyle name="Currency 2 3 9 2 2" xfId="1659"/>
    <cellStyle name="Currency 2 3 9 2 2 2" xfId="9167"/>
    <cellStyle name="Currency 2 3 9 2 2 2 2" xfId="9168"/>
    <cellStyle name="Currency 2 3 9 2 2 2 2 2" xfId="27683"/>
    <cellStyle name="Currency 2 3 9 2 2 2 3" xfId="27684"/>
    <cellStyle name="Currency 2 3 9 2 2 3" xfId="9169"/>
    <cellStyle name="Currency 2 3 9 2 2 3 2" xfId="9170"/>
    <cellStyle name="Currency 2 3 9 2 2 3 2 2" xfId="27685"/>
    <cellStyle name="Currency 2 3 9 2 2 3 3" xfId="27686"/>
    <cellStyle name="Currency 2 3 9 2 2 4" xfId="9171"/>
    <cellStyle name="Currency 2 3 9 2 2 4 2" xfId="9172"/>
    <cellStyle name="Currency 2 3 9 2 2 4 2 2" xfId="27687"/>
    <cellStyle name="Currency 2 3 9 2 2 4 3" xfId="27688"/>
    <cellStyle name="Currency 2 3 9 2 2 5" xfId="9173"/>
    <cellStyle name="Currency 2 3 9 2 2 5 2" xfId="27689"/>
    <cellStyle name="Currency 2 3 9 2 2 6" xfId="9174"/>
    <cellStyle name="Currency 2 3 9 2 3" xfId="9175"/>
    <cellStyle name="Currency 2 3 9 2 3 2" xfId="9176"/>
    <cellStyle name="Currency 2 3 9 2 3 2 2" xfId="27690"/>
    <cellStyle name="Currency 2 3 9 2 3 3" xfId="27691"/>
    <cellStyle name="Currency 2 3 9 2 4" xfId="9177"/>
    <cellStyle name="Currency 2 3 9 2 4 2" xfId="9178"/>
    <cellStyle name="Currency 2 3 9 2 4 2 2" xfId="27692"/>
    <cellStyle name="Currency 2 3 9 2 4 3" xfId="27693"/>
    <cellStyle name="Currency 2 3 9 2 5" xfId="9179"/>
    <cellStyle name="Currency 2 3 9 2 5 2" xfId="9180"/>
    <cellStyle name="Currency 2 3 9 2 5 2 2" xfId="27694"/>
    <cellStyle name="Currency 2 3 9 2 5 3" xfId="27695"/>
    <cellStyle name="Currency 2 3 9 2 6" xfId="9181"/>
    <cellStyle name="Currency 2 3 9 2 6 2" xfId="27696"/>
    <cellStyle name="Currency 2 3 9 2 7" xfId="9182"/>
    <cellStyle name="Currency 2 3 9 3" xfId="1660"/>
    <cellStyle name="Currency 2 3 9 3 2" xfId="9183"/>
    <cellStyle name="Currency 2 3 9 3 2 2" xfId="9184"/>
    <cellStyle name="Currency 2 3 9 3 2 2 2" xfId="27697"/>
    <cellStyle name="Currency 2 3 9 3 2 3" xfId="27698"/>
    <cellStyle name="Currency 2 3 9 3 3" xfId="9185"/>
    <cellStyle name="Currency 2 3 9 3 3 2" xfId="9186"/>
    <cellStyle name="Currency 2 3 9 3 3 2 2" xfId="27699"/>
    <cellStyle name="Currency 2 3 9 3 3 3" xfId="27700"/>
    <cellStyle name="Currency 2 3 9 3 4" xfId="9187"/>
    <cellStyle name="Currency 2 3 9 3 4 2" xfId="9188"/>
    <cellStyle name="Currency 2 3 9 3 4 2 2" xfId="27701"/>
    <cellStyle name="Currency 2 3 9 3 4 3" xfId="27702"/>
    <cellStyle name="Currency 2 3 9 3 5" xfId="9189"/>
    <cellStyle name="Currency 2 3 9 3 5 2" xfId="27703"/>
    <cellStyle name="Currency 2 3 9 3 6" xfId="9190"/>
    <cellStyle name="Currency 2 3 9 4" xfId="9191"/>
    <cellStyle name="Currency 2 3 9 4 2" xfId="9192"/>
    <cellStyle name="Currency 2 3 9 4 2 2" xfId="27704"/>
    <cellStyle name="Currency 2 3 9 4 3" xfId="27705"/>
    <cellStyle name="Currency 2 3 9 5" xfId="9193"/>
    <cellStyle name="Currency 2 3 9 5 2" xfId="9194"/>
    <cellStyle name="Currency 2 3 9 5 2 2" xfId="27706"/>
    <cellStyle name="Currency 2 3 9 5 3" xfId="27707"/>
    <cellStyle name="Currency 2 3 9 6" xfId="9195"/>
    <cellStyle name="Currency 2 3 9 6 2" xfId="9196"/>
    <cellStyle name="Currency 2 3 9 6 2 2" xfId="27708"/>
    <cellStyle name="Currency 2 3 9 6 3" xfId="27709"/>
    <cellStyle name="Currency 2 3 9 7" xfId="9197"/>
    <cellStyle name="Currency 2 3 9 7 2" xfId="27710"/>
    <cellStyle name="Currency 2 3 9 8" xfId="9198"/>
    <cellStyle name="Currency 2 4" xfId="42"/>
    <cellStyle name="Currency 2 4 10" xfId="476"/>
    <cellStyle name="Currency 2 4 10 2" xfId="1661"/>
    <cellStyle name="Currency 2 4 10 2 2" xfId="9199"/>
    <cellStyle name="Currency 2 4 10 2 2 2" xfId="9200"/>
    <cellStyle name="Currency 2 4 10 2 2 2 2" xfId="27711"/>
    <cellStyle name="Currency 2 4 10 2 2 3" xfId="27712"/>
    <cellStyle name="Currency 2 4 10 2 3" xfId="9201"/>
    <cellStyle name="Currency 2 4 10 2 3 2" xfId="9202"/>
    <cellStyle name="Currency 2 4 10 2 3 2 2" xfId="27713"/>
    <cellStyle name="Currency 2 4 10 2 3 3" xfId="27714"/>
    <cellStyle name="Currency 2 4 10 2 4" xfId="9203"/>
    <cellStyle name="Currency 2 4 10 2 4 2" xfId="9204"/>
    <cellStyle name="Currency 2 4 10 2 4 2 2" xfId="27715"/>
    <cellStyle name="Currency 2 4 10 2 4 3" xfId="27716"/>
    <cellStyle name="Currency 2 4 10 2 5" xfId="9205"/>
    <cellStyle name="Currency 2 4 10 2 5 2" xfId="27717"/>
    <cellStyle name="Currency 2 4 10 2 6" xfId="9206"/>
    <cellStyle name="Currency 2 4 10 3" xfId="9207"/>
    <cellStyle name="Currency 2 4 10 3 2" xfId="9208"/>
    <cellStyle name="Currency 2 4 10 3 2 2" xfId="27718"/>
    <cellStyle name="Currency 2 4 10 3 3" xfId="27719"/>
    <cellStyle name="Currency 2 4 10 4" xfId="9209"/>
    <cellStyle name="Currency 2 4 10 4 2" xfId="9210"/>
    <cellStyle name="Currency 2 4 10 4 2 2" xfId="27720"/>
    <cellStyle name="Currency 2 4 10 4 3" xfId="27721"/>
    <cellStyle name="Currency 2 4 10 5" xfId="9211"/>
    <cellStyle name="Currency 2 4 10 5 2" xfId="9212"/>
    <cellStyle name="Currency 2 4 10 5 2 2" xfId="27722"/>
    <cellStyle name="Currency 2 4 10 5 3" xfId="27723"/>
    <cellStyle name="Currency 2 4 10 6" xfId="9213"/>
    <cellStyle name="Currency 2 4 10 6 2" xfId="27724"/>
    <cellStyle name="Currency 2 4 10 7" xfId="9214"/>
    <cellStyle name="Currency 2 4 11" xfId="1662"/>
    <cellStyle name="Currency 2 4 11 2" xfId="9215"/>
    <cellStyle name="Currency 2 4 11 2 2" xfId="9216"/>
    <cellStyle name="Currency 2 4 11 2 2 2" xfId="27725"/>
    <cellStyle name="Currency 2 4 11 2 3" xfId="27726"/>
    <cellStyle name="Currency 2 4 11 3" xfId="9217"/>
    <cellStyle name="Currency 2 4 11 3 2" xfId="9218"/>
    <cellStyle name="Currency 2 4 11 3 2 2" xfId="27727"/>
    <cellStyle name="Currency 2 4 11 3 3" xfId="27728"/>
    <cellStyle name="Currency 2 4 11 4" xfId="9219"/>
    <cellStyle name="Currency 2 4 11 4 2" xfId="9220"/>
    <cellStyle name="Currency 2 4 11 4 2 2" xfId="27729"/>
    <cellStyle name="Currency 2 4 11 4 3" xfId="27730"/>
    <cellStyle name="Currency 2 4 11 5" xfId="9221"/>
    <cellStyle name="Currency 2 4 11 5 2" xfId="27731"/>
    <cellStyle name="Currency 2 4 11 6" xfId="9222"/>
    <cellStyle name="Currency 2 4 12" xfId="9223"/>
    <cellStyle name="Currency 2 4 12 2" xfId="9224"/>
    <cellStyle name="Currency 2 4 12 2 2" xfId="27732"/>
    <cellStyle name="Currency 2 4 12 3" xfId="27733"/>
    <cellStyle name="Currency 2 4 13" xfId="9225"/>
    <cellStyle name="Currency 2 4 13 2" xfId="9226"/>
    <cellStyle name="Currency 2 4 13 2 2" xfId="27734"/>
    <cellStyle name="Currency 2 4 13 3" xfId="27735"/>
    <cellStyle name="Currency 2 4 14" xfId="9227"/>
    <cellStyle name="Currency 2 4 14 2" xfId="9228"/>
    <cellStyle name="Currency 2 4 14 2 2" xfId="27736"/>
    <cellStyle name="Currency 2 4 14 3" xfId="27737"/>
    <cellStyle name="Currency 2 4 15" xfId="9229"/>
    <cellStyle name="Currency 2 4 15 2" xfId="27738"/>
    <cellStyle name="Currency 2 4 16" xfId="9230"/>
    <cellStyle name="Currency 2 4 2" xfId="43"/>
    <cellStyle name="Currency 2 4 2 10" xfId="9231"/>
    <cellStyle name="Currency 2 4 2 10 2" xfId="9232"/>
    <cellStyle name="Currency 2 4 2 10 2 2" xfId="27739"/>
    <cellStyle name="Currency 2 4 2 10 3" xfId="27740"/>
    <cellStyle name="Currency 2 4 2 11" xfId="9233"/>
    <cellStyle name="Currency 2 4 2 11 2" xfId="9234"/>
    <cellStyle name="Currency 2 4 2 11 2 2" xfId="27741"/>
    <cellStyle name="Currency 2 4 2 11 3" xfId="27742"/>
    <cellStyle name="Currency 2 4 2 12" xfId="9235"/>
    <cellStyle name="Currency 2 4 2 12 2" xfId="9236"/>
    <cellStyle name="Currency 2 4 2 12 2 2" xfId="27743"/>
    <cellStyle name="Currency 2 4 2 12 3" xfId="27744"/>
    <cellStyle name="Currency 2 4 2 13" xfId="9237"/>
    <cellStyle name="Currency 2 4 2 13 2" xfId="27745"/>
    <cellStyle name="Currency 2 4 2 14" xfId="9238"/>
    <cellStyle name="Currency 2 4 2 2" xfId="210"/>
    <cellStyle name="Currency 2 4 2 2 10" xfId="9239"/>
    <cellStyle name="Currency 2 4 2 2 2" xfId="368"/>
    <cellStyle name="Currency 2 4 2 2 2 2" xfId="1156"/>
    <cellStyle name="Currency 2 4 2 2 2 2 2" xfId="1663"/>
    <cellStyle name="Currency 2 4 2 2 2 2 2 2" xfId="9240"/>
    <cellStyle name="Currency 2 4 2 2 2 2 2 2 2" xfId="9241"/>
    <cellStyle name="Currency 2 4 2 2 2 2 2 2 2 2" xfId="27746"/>
    <cellStyle name="Currency 2 4 2 2 2 2 2 2 3" xfId="27747"/>
    <cellStyle name="Currency 2 4 2 2 2 2 2 3" xfId="9242"/>
    <cellStyle name="Currency 2 4 2 2 2 2 2 3 2" xfId="9243"/>
    <cellStyle name="Currency 2 4 2 2 2 2 2 3 2 2" xfId="27748"/>
    <cellStyle name="Currency 2 4 2 2 2 2 2 3 3" xfId="27749"/>
    <cellStyle name="Currency 2 4 2 2 2 2 2 4" xfId="9244"/>
    <cellStyle name="Currency 2 4 2 2 2 2 2 4 2" xfId="9245"/>
    <cellStyle name="Currency 2 4 2 2 2 2 2 4 2 2" xfId="27750"/>
    <cellStyle name="Currency 2 4 2 2 2 2 2 4 3" xfId="27751"/>
    <cellStyle name="Currency 2 4 2 2 2 2 2 5" xfId="9246"/>
    <cellStyle name="Currency 2 4 2 2 2 2 2 5 2" xfId="27752"/>
    <cellStyle name="Currency 2 4 2 2 2 2 2 6" xfId="9247"/>
    <cellStyle name="Currency 2 4 2 2 2 2 3" xfId="9248"/>
    <cellStyle name="Currency 2 4 2 2 2 2 3 2" xfId="9249"/>
    <cellStyle name="Currency 2 4 2 2 2 2 3 2 2" xfId="27753"/>
    <cellStyle name="Currency 2 4 2 2 2 2 3 3" xfId="27754"/>
    <cellStyle name="Currency 2 4 2 2 2 2 4" xfId="9250"/>
    <cellStyle name="Currency 2 4 2 2 2 2 4 2" xfId="9251"/>
    <cellStyle name="Currency 2 4 2 2 2 2 4 2 2" xfId="27755"/>
    <cellStyle name="Currency 2 4 2 2 2 2 4 3" xfId="27756"/>
    <cellStyle name="Currency 2 4 2 2 2 2 5" xfId="9252"/>
    <cellStyle name="Currency 2 4 2 2 2 2 5 2" xfId="9253"/>
    <cellStyle name="Currency 2 4 2 2 2 2 5 2 2" xfId="27757"/>
    <cellStyle name="Currency 2 4 2 2 2 2 5 3" xfId="27758"/>
    <cellStyle name="Currency 2 4 2 2 2 2 6" xfId="9254"/>
    <cellStyle name="Currency 2 4 2 2 2 2 6 2" xfId="27759"/>
    <cellStyle name="Currency 2 4 2 2 2 2 7" xfId="9255"/>
    <cellStyle name="Currency 2 4 2 2 2 3" xfId="788"/>
    <cellStyle name="Currency 2 4 2 2 2 3 2" xfId="1664"/>
    <cellStyle name="Currency 2 4 2 2 2 3 2 2" xfId="9256"/>
    <cellStyle name="Currency 2 4 2 2 2 3 2 2 2" xfId="9257"/>
    <cellStyle name="Currency 2 4 2 2 2 3 2 2 2 2" xfId="27760"/>
    <cellStyle name="Currency 2 4 2 2 2 3 2 2 3" xfId="27761"/>
    <cellStyle name="Currency 2 4 2 2 2 3 2 3" xfId="9258"/>
    <cellStyle name="Currency 2 4 2 2 2 3 2 3 2" xfId="9259"/>
    <cellStyle name="Currency 2 4 2 2 2 3 2 3 2 2" xfId="27762"/>
    <cellStyle name="Currency 2 4 2 2 2 3 2 3 3" xfId="27763"/>
    <cellStyle name="Currency 2 4 2 2 2 3 2 4" xfId="9260"/>
    <cellStyle name="Currency 2 4 2 2 2 3 2 4 2" xfId="9261"/>
    <cellStyle name="Currency 2 4 2 2 2 3 2 4 2 2" xfId="27764"/>
    <cellStyle name="Currency 2 4 2 2 2 3 2 4 3" xfId="27765"/>
    <cellStyle name="Currency 2 4 2 2 2 3 2 5" xfId="9262"/>
    <cellStyle name="Currency 2 4 2 2 2 3 2 5 2" xfId="27766"/>
    <cellStyle name="Currency 2 4 2 2 2 3 2 6" xfId="9263"/>
    <cellStyle name="Currency 2 4 2 2 2 3 3" xfId="9264"/>
    <cellStyle name="Currency 2 4 2 2 2 3 3 2" xfId="9265"/>
    <cellStyle name="Currency 2 4 2 2 2 3 3 2 2" xfId="27767"/>
    <cellStyle name="Currency 2 4 2 2 2 3 3 3" xfId="27768"/>
    <cellStyle name="Currency 2 4 2 2 2 3 4" xfId="9266"/>
    <cellStyle name="Currency 2 4 2 2 2 3 4 2" xfId="9267"/>
    <cellStyle name="Currency 2 4 2 2 2 3 4 2 2" xfId="27769"/>
    <cellStyle name="Currency 2 4 2 2 2 3 4 3" xfId="27770"/>
    <cellStyle name="Currency 2 4 2 2 2 3 5" xfId="9268"/>
    <cellStyle name="Currency 2 4 2 2 2 3 5 2" xfId="9269"/>
    <cellStyle name="Currency 2 4 2 2 2 3 5 2 2" xfId="27771"/>
    <cellStyle name="Currency 2 4 2 2 2 3 5 3" xfId="27772"/>
    <cellStyle name="Currency 2 4 2 2 2 3 6" xfId="9270"/>
    <cellStyle name="Currency 2 4 2 2 2 3 6 2" xfId="27773"/>
    <cellStyle name="Currency 2 4 2 2 2 3 7" xfId="9271"/>
    <cellStyle name="Currency 2 4 2 2 2 4" xfId="1665"/>
    <cellStyle name="Currency 2 4 2 2 2 4 2" xfId="9272"/>
    <cellStyle name="Currency 2 4 2 2 2 4 2 2" xfId="9273"/>
    <cellStyle name="Currency 2 4 2 2 2 4 2 2 2" xfId="27774"/>
    <cellStyle name="Currency 2 4 2 2 2 4 2 3" xfId="27775"/>
    <cellStyle name="Currency 2 4 2 2 2 4 3" xfId="9274"/>
    <cellStyle name="Currency 2 4 2 2 2 4 3 2" xfId="9275"/>
    <cellStyle name="Currency 2 4 2 2 2 4 3 2 2" xfId="27776"/>
    <cellStyle name="Currency 2 4 2 2 2 4 3 3" xfId="27777"/>
    <cellStyle name="Currency 2 4 2 2 2 4 4" xfId="9276"/>
    <cellStyle name="Currency 2 4 2 2 2 4 4 2" xfId="9277"/>
    <cellStyle name="Currency 2 4 2 2 2 4 4 2 2" xfId="27778"/>
    <cellStyle name="Currency 2 4 2 2 2 4 4 3" xfId="27779"/>
    <cellStyle name="Currency 2 4 2 2 2 4 5" xfId="9278"/>
    <cellStyle name="Currency 2 4 2 2 2 4 5 2" xfId="27780"/>
    <cellStyle name="Currency 2 4 2 2 2 4 6" xfId="9279"/>
    <cellStyle name="Currency 2 4 2 2 2 5" xfId="9280"/>
    <cellStyle name="Currency 2 4 2 2 2 5 2" xfId="9281"/>
    <cellStyle name="Currency 2 4 2 2 2 5 2 2" xfId="27781"/>
    <cellStyle name="Currency 2 4 2 2 2 5 3" xfId="27782"/>
    <cellStyle name="Currency 2 4 2 2 2 6" xfId="9282"/>
    <cellStyle name="Currency 2 4 2 2 2 6 2" xfId="9283"/>
    <cellStyle name="Currency 2 4 2 2 2 6 2 2" xfId="27783"/>
    <cellStyle name="Currency 2 4 2 2 2 6 3" xfId="27784"/>
    <cellStyle name="Currency 2 4 2 2 2 7" xfId="9284"/>
    <cellStyle name="Currency 2 4 2 2 2 7 2" xfId="9285"/>
    <cellStyle name="Currency 2 4 2 2 2 7 2 2" xfId="27785"/>
    <cellStyle name="Currency 2 4 2 2 2 7 3" xfId="27786"/>
    <cellStyle name="Currency 2 4 2 2 2 8" xfId="9286"/>
    <cellStyle name="Currency 2 4 2 2 2 8 2" xfId="27787"/>
    <cellStyle name="Currency 2 4 2 2 2 9" xfId="9287"/>
    <cellStyle name="Currency 2 4 2 2 3" xfId="998"/>
    <cellStyle name="Currency 2 4 2 2 3 2" xfId="1666"/>
    <cellStyle name="Currency 2 4 2 2 3 2 2" xfId="9288"/>
    <cellStyle name="Currency 2 4 2 2 3 2 2 2" xfId="9289"/>
    <cellStyle name="Currency 2 4 2 2 3 2 2 2 2" xfId="27788"/>
    <cellStyle name="Currency 2 4 2 2 3 2 2 3" xfId="27789"/>
    <cellStyle name="Currency 2 4 2 2 3 2 3" xfId="9290"/>
    <cellStyle name="Currency 2 4 2 2 3 2 3 2" xfId="9291"/>
    <cellStyle name="Currency 2 4 2 2 3 2 3 2 2" xfId="27790"/>
    <cellStyle name="Currency 2 4 2 2 3 2 3 3" xfId="27791"/>
    <cellStyle name="Currency 2 4 2 2 3 2 4" xfId="9292"/>
    <cellStyle name="Currency 2 4 2 2 3 2 4 2" xfId="9293"/>
    <cellStyle name="Currency 2 4 2 2 3 2 4 2 2" xfId="27792"/>
    <cellStyle name="Currency 2 4 2 2 3 2 4 3" xfId="27793"/>
    <cellStyle name="Currency 2 4 2 2 3 2 5" xfId="9294"/>
    <cellStyle name="Currency 2 4 2 2 3 2 5 2" xfId="27794"/>
    <cellStyle name="Currency 2 4 2 2 3 2 6" xfId="9295"/>
    <cellStyle name="Currency 2 4 2 2 3 3" xfId="9296"/>
    <cellStyle name="Currency 2 4 2 2 3 3 2" xfId="9297"/>
    <cellStyle name="Currency 2 4 2 2 3 3 2 2" xfId="27795"/>
    <cellStyle name="Currency 2 4 2 2 3 3 3" xfId="27796"/>
    <cellStyle name="Currency 2 4 2 2 3 4" xfId="9298"/>
    <cellStyle name="Currency 2 4 2 2 3 4 2" xfId="9299"/>
    <cellStyle name="Currency 2 4 2 2 3 4 2 2" xfId="27797"/>
    <cellStyle name="Currency 2 4 2 2 3 4 3" xfId="27798"/>
    <cellStyle name="Currency 2 4 2 2 3 5" xfId="9300"/>
    <cellStyle name="Currency 2 4 2 2 3 5 2" xfId="9301"/>
    <cellStyle name="Currency 2 4 2 2 3 5 2 2" xfId="27799"/>
    <cellStyle name="Currency 2 4 2 2 3 5 3" xfId="27800"/>
    <cellStyle name="Currency 2 4 2 2 3 6" xfId="9302"/>
    <cellStyle name="Currency 2 4 2 2 3 6 2" xfId="27801"/>
    <cellStyle name="Currency 2 4 2 2 3 7" xfId="9303"/>
    <cellStyle name="Currency 2 4 2 2 4" xfId="630"/>
    <cellStyle name="Currency 2 4 2 2 4 2" xfId="1667"/>
    <cellStyle name="Currency 2 4 2 2 4 2 2" xfId="9304"/>
    <cellStyle name="Currency 2 4 2 2 4 2 2 2" xfId="9305"/>
    <cellStyle name="Currency 2 4 2 2 4 2 2 2 2" xfId="27802"/>
    <cellStyle name="Currency 2 4 2 2 4 2 2 3" xfId="27803"/>
    <cellStyle name="Currency 2 4 2 2 4 2 3" xfId="9306"/>
    <cellStyle name="Currency 2 4 2 2 4 2 3 2" xfId="9307"/>
    <cellStyle name="Currency 2 4 2 2 4 2 3 2 2" xfId="27804"/>
    <cellStyle name="Currency 2 4 2 2 4 2 3 3" xfId="27805"/>
    <cellStyle name="Currency 2 4 2 2 4 2 4" xfId="9308"/>
    <cellStyle name="Currency 2 4 2 2 4 2 4 2" xfId="9309"/>
    <cellStyle name="Currency 2 4 2 2 4 2 4 2 2" xfId="27806"/>
    <cellStyle name="Currency 2 4 2 2 4 2 4 3" xfId="27807"/>
    <cellStyle name="Currency 2 4 2 2 4 2 5" xfId="9310"/>
    <cellStyle name="Currency 2 4 2 2 4 2 5 2" xfId="27808"/>
    <cellStyle name="Currency 2 4 2 2 4 2 6" xfId="9311"/>
    <cellStyle name="Currency 2 4 2 2 4 3" xfId="9312"/>
    <cellStyle name="Currency 2 4 2 2 4 3 2" xfId="9313"/>
    <cellStyle name="Currency 2 4 2 2 4 3 2 2" xfId="27809"/>
    <cellStyle name="Currency 2 4 2 2 4 3 3" xfId="27810"/>
    <cellStyle name="Currency 2 4 2 2 4 4" xfId="9314"/>
    <cellStyle name="Currency 2 4 2 2 4 4 2" xfId="9315"/>
    <cellStyle name="Currency 2 4 2 2 4 4 2 2" xfId="27811"/>
    <cellStyle name="Currency 2 4 2 2 4 4 3" xfId="27812"/>
    <cellStyle name="Currency 2 4 2 2 4 5" xfId="9316"/>
    <cellStyle name="Currency 2 4 2 2 4 5 2" xfId="9317"/>
    <cellStyle name="Currency 2 4 2 2 4 5 2 2" xfId="27813"/>
    <cellStyle name="Currency 2 4 2 2 4 5 3" xfId="27814"/>
    <cellStyle name="Currency 2 4 2 2 4 6" xfId="9318"/>
    <cellStyle name="Currency 2 4 2 2 4 6 2" xfId="27815"/>
    <cellStyle name="Currency 2 4 2 2 4 7" xfId="9319"/>
    <cellStyle name="Currency 2 4 2 2 5" xfId="1668"/>
    <cellStyle name="Currency 2 4 2 2 5 2" xfId="9320"/>
    <cellStyle name="Currency 2 4 2 2 5 2 2" xfId="9321"/>
    <cellStyle name="Currency 2 4 2 2 5 2 2 2" xfId="27816"/>
    <cellStyle name="Currency 2 4 2 2 5 2 3" xfId="27817"/>
    <cellStyle name="Currency 2 4 2 2 5 3" xfId="9322"/>
    <cellStyle name="Currency 2 4 2 2 5 3 2" xfId="9323"/>
    <cellStyle name="Currency 2 4 2 2 5 3 2 2" xfId="27818"/>
    <cellStyle name="Currency 2 4 2 2 5 3 3" xfId="27819"/>
    <cellStyle name="Currency 2 4 2 2 5 4" xfId="9324"/>
    <cellStyle name="Currency 2 4 2 2 5 4 2" xfId="9325"/>
    <cellStyle name="Currency 2 4 2 2 5 4 2 2" xfId="27820"/>
    <cellStyle name="Currency 2 4 2 2 5 4 3" xfId="27821"/>
    <cellStyle name="Currency 2 4 2 2 5 5" xfId="9326"/>
    <cellStyle name="Currency 2 4 2 2 5 5 2" xfId="27822"/>
    <cellStyle name="Currency 2 4 2 2 5 6" xfId="9327"/>
    <cellStyle name="Currency 2 4 2 2 6" xfId="9328"/>
    <cellStyle name="Currency 2 4 2 2 6 2" xfId="9329"/>
    <cellStyle name="Currency 2 4 2 2 6 2 2" xfId="27823"/>
    <cellStyle name="Currency 2 4 2 2 6 3" xfId="27824"/>
    <cellStyle name="Currency 2 4 2 2 7" xfId="9330"/>
    <cellStyle name="Currency 2 4 2 2 7 2" xfId="9331"/>
    <cellStyle name="Currency 2 4 2 2 7 2 2" xfId="27825"/>
    <cellStyle name="Currency 2 4 2 2 7 3" xfId="27826"/>
    <cellStyle name="Currency 2 4 2 2 8" xfId="9332"/>
    <cellStyle name="Currency 2 4 2 2 8 2" xfId="9333"/>
    <cellStyle name="Currency 2 4 2 2 8 2 2" xfId="27827"/>
    <cellStyle name="Currency 2 4 2 2 8 3" xfId="27828"/>
    <cellStyle name="Currency 2 4 2 2 9" xfId="9334"/>
    <cellStyle name="Currency 2 4 2 2 9 2" xfId="27829"/>
    <cellStyle name="Currency 2 4 2 3" xfId="261"/>
    <cellStyle name="Currency 2 4 2 3 10" xfId="9335"/>
    <cellStyle name="Currency 2 4 2 3 2" xfId="419"/>
    <cellStyle name="Currency 2 4 2 3 2 2" xfId="1207"/>
    <cellStyle name="Currency 2 4 2 3 2 2 2" xfId="1669"/>
    <cellStyle name="Currency 2 4 2 3 2 2 2 2" xfId="9336"/>
    <cellStyle name="Currency 2 4 2 3 2 2 2 2 2" xfId="9337"/>
    <cellStyle name="Currency 2 4 2 3 2 2 2 2 2 2" xfId="27830"/>
    <cellStyle name="Currency 2 4 2 3 2 2 2 2 3" xfId="27831"/>
    <cellStyle name="Currency 2 4 2 3 2 2 2 3" xfId="9338"/>
    <cellStyle name="Currency 2 4 2 3 2 2 2 3 2" xfId="9339"/>
    <cellStyle name="Currency 2 4 2 3 2 2 2 3 2 2" xfId="27832"/>
    <cellStyle name="Currency 2 4 2 3 2 2 2 3 3" xfId="27833"/>
    <cellStyle name="Currency 2 4 2 3 2 2 2 4" xfId="9340"/>
    <cellStyle name="Currency 2 4 2 3 2 2 2 4 2" xfId="9341"/>
    <cellStyle name="Currency 2 4 2 3 2 2 2 4 2 2" xfId="27834"/>
    <cellStyle name="Currency 2 4 2 3 2 2 2 4 3" xfId="27835"/>
    <cellStyle name="Currency 2 4 2 3 2 2 2 5" xfId="9342"/>
    <cellStyle name="Currency 2 4 2 3 2 2 2 5 2" xfId="27836"/>
    <cellStyle name="Currency 2 4 2 3 2 2 2 6" xfId="9343"/>
    <cellStyle name="Currency 2 4 2 3 2 2 3" xfId="9344"/>
    <cellStyle name="Currency 2 4 2 3 2 2 3 2" xfId="9345"/>
    <cellStyle name="Currency 2 4 2 3 2 2 3 2 2" xfId="27837"/>
    <cellStyle name="Currency 2 4 2 3 2 2 3 3" xfId="27838"/>
    <cellStyle name="Currency 2 4 2 3 2 2 4" xfId="9346"/>
    <cellStyle name="Currency 2 4 2 3 2 2 4 2" xfId="9347"/>
    <cellStyle name="Currency 2 4 2 3 2 2 4 2 2" xfId="27839"/>
    <cellStyle name="Currency 2 4 2 3 2 2 4 3" xfId="27840"/>
    <cellStyle name="Currency 2 4 2 3 2 2 5" xfId="9348"/>
    <cellStyle name="Currency 2 4 2 3 2 2 5 2" xfId="9349"/>
    <cellStyle name="Currency 2 4 2 3 2 2 5 2 2" xfId="27841"/>
    <cellStyle name="Currency 2 4 2 3 2 2 5 3" xfId="27842"/>
    <cellStyle name="Currency 2 4 2 3 2 2 6" xfId="9350"/>
    <cellStyle name="Currency 2 4 2 3 2 2 6 2" xfId="27843"/>
    <cellStyle name="Currency 2 4 2 3 2 2 7" xfId="9351"/>
    <cellStyle name="Currency 2 4 2 3 2 3" xfId="839"/>
    <cellStyle name="Currency 2 4 2 3 2 3 2" xfId="1670"/>
    <cellStyle name="Currency 2 4 2 3 2 3 2 2" xfId="9352"/>
    <cellStyle name="Currency 2 4 2 3 2 3 2 2 2" xfId="9353"/>
    <cellStyle name="Currency 2 4 2 3 2 3 2 2 2 2" xfId="27844"/>
    <cellStyle name="Currency 2 4 2 3 2 3 2 2 3" xfId="27845"/>
    <cellStyle name="Currency 2 4 2 3 2 3 2 3" xfId="9354"/>
    <cellStyle name="Currency 2 4 2 3 2 3 2 3 2" xfId="9355"/>
    <cellStyle name="Currency 2 4 2 3 2 3 2 3 2 2" xfId="27846"/>
    <cellStyle name="Currency 2 4 2 3 2 3 2 3 3" xfId="27847"/>
    <cellStyle name="Currency 2 4 2 3 2 3 2 4" xfId="9356"/>
    <cellStyle name="Currency 2 4 2 3 2 3 2 4 2" xfId="9357"/>
    <cellStyle name="Currency 2 4 2 3 2 3 2 4 2 2" xfId="27848"/>
    <cellStyle name="Currency 2 4 2 3 2 3 2 4 3" xfId="27849"/>
    <cellStyle name="Currency 2 4 2 3 2 3 2 5" xfId="9358"/>
    <cellStyle name="Currency 2 4 2 3 2 3 2 5 2" xfId="27850"/>
    <cellStyle name="Currency 2 4 2 3 2 3 2 6" xfId="9359"/>
    <cellStyle name="Currency 2 4 2 3 2 3 3" xfId="9360"/>
    <cellStyle name="Currency 2 4 2 3 2 3 3 2" xfId="9361"/>
    <cellStyle name="Currency 2 4 2 3 2 3 3 2 2" xfId="27851"/>
    <cellStyle name="Currency 2 4 2 3 2 3 3 3" xfId="27852"/>
    <cellStyle name="Currency 2 4 2 3 2 3 4" xfId="9362"/>
    <cellStyle name="Currency 2 4 2 3 2 3 4 2" xfId="9363"/>
    <cellStyle name="Currency 2 4 2 3 2 3 4 2 2" xfId="27853"/>
    <cellStyle name="Currency 2 4 2 3 2 3 4 3" xfId="27854"/>
    <cellStyle name="Currency 2 4 2 3 2 3 5" xfId="9364"/>
    <cellStyle name="Currency 2 4 2 3 2 3 5 2" xfId="9365"/>
    <cellStyle name="Currency 2 4 2 3 2 3 5 2 2" xfId="27855"/>
    <cellStyle name="Currency 2 4 2 3 2 3 5 3" xfId="27856"/>
    <cellStyle name="Currency 2 4 2 3 2 3 6" xfId="9366"/>
    <cellStyle name="Currency 2 4 2 3 2 3 6 2" xfId="27857"/>
    <cellStyle name="Currency 2 4 2 3 2 3 7" xfId="9367"/>
    <cellStyle name="Currency 2 4 2 3 2 4" xfId="1671"/>
    <cellStyle name="Currency 2 4 2 3 2 4 2" xfId="9368"/>
    <cellStyle name="Currency 2 4 2 3 2 4 2 2" xfId="9369"/>
    <cellStyle name="Currency 2 4 2 3 2 4 2 2 2" xfId="27858"/>
    <cellStyle name="Currency 2 4 2 3 2 4 2 3" xfId="27859"/>
    <cellStyle name="Currency 2 4 2 3 2 4 3" xfId="9370"/>
    <cellStyle name="Currency 2 4 2 3 2 4 3 2" xfId="9371"/>
    <cellStyle name="Currency 2 4 2 3 2 4 3 2 2" xfId="27860"/>
    <cellStyle name="Currency 2 4 2 3 2 4 3 3" xfId="27861"/>
    <cellStyle name="Currency 2 4 2 3 2 4 4" xfId="9372"/>
    <cellStyle name="Currency 2 4 2 3 2 4 4 2" xfId="9373"/>
    <cellStyle name="Currency 2 4 2 3 2 4 4 2 2" xfId="27862"/>
    <cellStyle name="Currency 2 4 2 3 2 4 4 3" xfId="27863"/>
    <cellStyle name="Currency 2 4 2 3 2 4 5" xfId="9374"/>
    <cellStyle name="Currency 2 4 2 3 2 4 5 2" xfId="27864"/>
    <cellStyle name="Currency 2 4 2 3 2 4 6" xfId="9375"/>
    <cellStyle name="Currency 2 4 2 3 2 5" xfId="9376"/>
    <cellStyle name="Currency 2 4 2 3 2 5 2" xfId="9377"/>
    <cellStyle name="Currency 2 4 2 3 2 5 2 2" xfId="27865"/>
    <cellStyle name="Currency 2 4 2 3 2 5 3" xfId="27866"/>
    <cellStyle name="Currency 2 4 2 3 2 6" xfId="9378"/>
    <cellStyle name="Currency 2 4 2 3 2 6 2" xfId="9379"/>
    <cellStyle name="Currency 2 4 2 3 2 6 2 2" xfId="27867"/>
    <cellStyle name="Currency 2 4 2 3 2 6 3" xfId="27868"/>
    <cellStyle name="Currency 2 4 2 3 2 7" xfId="9380"/>
    <cellStyle name="Currency 2 4 2 3 2 7 2" xfId="9381"/>
    <cellStyle name="Currency 2 4 2 3 2 7 2 2" xfId="27869"/>
    <cellStyle name="Currency 2 4 2 3 2 7 3" xfId="27870"/>
    <cellStyle name="Currency 2 4 2 3 2 8" xfId="9382"/>
    <cellStyle name="Currency 2 4 2 3 2 8 2" xfId="27871"/>
    <cellStyle name="Currency 2 4 2 3 2 9" xfId="9383"/>
    <cellStyle name="Currency 2 4 2 3 3" xfId="1049"/>
    <cellStyle name="Currency 2 4 2 3 3 2" xfId="1672"/>
    <cellStyle name="Currency 2 4 2 3 3 2 2" xfId="9384"/>
    <cellStyle name="Currency 2 4 2 3 3 2 2 2" xfId="9385"/>
    <cellStyle name="Currency 2 4 2 3 3 2 2 2 2" xfId="27872"/>
    <cellStyle name="Currency 2 4 2 3 3 2 2 3" xfId="27873"/>
    <cellStyle name="Currency 2 4 2 3 3 2 3" xfId="9386"/>
    <cellStyle name="Currency 2 4 2 3 3 2 3 2" xfId="9387"/>
    <cellStyle name="Currency 2 4 2 3 3 2 3 2 2" xfId="27874"/>
    <cellStyle name="Currency 2 4 2 3 3 2 3 3" xfId="27875"/>
    <cellStyle name="Currency 2 4 2 3 3 2 4" xfId="9388"/>
    <cellStyle name="Currency 2 4 2 3 3 2 4 2" xfId="9389"/>
    <cellStyle name="Currency 2 4 2 3 3 2 4 2 2" xfId="27876"/>
    <cellStyle name="Currency 2 4 2 3 3 2 4 3" xfId="27877"/>
    <cellStyle name="Currency 2 4 2 3 3 2 5" xfId="9390"/>
    <cellStyle name="Currency 2 4 2 3 3 2 5 2" xfId="27878"/>
    <cellStyle name="Currency 2 4 2 3 3 2 6" xfId="9391"/>
    <cellStyle name="Currency 2 4 2 3 3 3" xfId="9392"/>
    <cellStyle name="Currency 2 4 2 3 3 3 2" xfId="9393"/>
    <cellStyle name="Currency 2 4 2 3 3 3 2 2" xfId="27879"/>
    <cellStyle name="Currency 2 4 2 3 3 3 3" xfId="27880"/>
    <cellStyle name="Currency 2 4 2 3 3 4" xfId="9394"/>
    <cellStyle name="Currency 2 4 2 3 3 4 2" xfId="9395"/>
    <cellStyle name="Currency 2 4 2 3 3 4 2 2" xfId="27881"/>
    <cellStyle name="Currency 2 4 2 3 3 4 3" xfId="27882"/>
    <cellStyle name="Currency 2 4 2 3 3 5" xfId="9396"/>
    <cellStyle name="Currency 2 4 2 3 3 5 2" xfId="9397"/>
    <cellStyle name="Currency 2 4 2 3 3 5 2 2" xfId="27883"/>
    <cellStyle name="Currency 2 4 2 3 3 5 3" xfId="27884"/>
    <cellStyle name="Currency 2 4 2 3 3 6" xfId="9398"/>
    <cellStyle name="Currency 2 4 2 3 3 6 2" xfId="27885"/>
    <cellStyle name="Currency 2 4 2 3 3 7" xfId="9399"/>
    <cellStyle name="Currency 2 4 2 3 4" xfId="681"/>
    <cellStyle name="Currency 2 4 2 3 4 2" xfId="1673"/>
    <cellStyle name="Currency 2 4 2 3 4 2 2" xfId="9400"/>
    <cellStyle name="Currency 2 4 2 3 4 2 2 2" xfId="9401"/>
    <cellStyle name="Currency 2 4 2 3 4 2 2 2 2" xfId="27886"/>
    <cellStyle name="Currency 2 4 2 3 4 2 2 3" xfId="27887"/>
    <cellStyle name="Currency 2 4 2 3 4 2 3" xfId="9402"/>
    <cellStyle name="Currency 2 4 2 3 4 2 3 2" xfId="9403"/>
    <cellStyle name="Currency 2 4 2 3 4 2 3 2 2" xfId="27888"/>
    <cellStyle name="Currency 2 4 2 3 4 2 3 3" xfId="27889"/>
    <cellStyle name="Currency 2 4 2 3 4 2 4" xfId="9404"/>
    <cellStyle name="Currency 2 4 2 3 4 2 4 2" xfId="9405"/>
    <cellStyle name="Currency 2 4 2 3 4 2 4 2 2" xfId="27890"/>
    <cellStyle name="Currency 2 4 2 3 4 2 4 3" xfId="27891"/>
    <cellStyle name="Currency 2 4 2 3 4 2 5" xfId="9406"/>
    <cellStyle name="Currency 2 4 2 3 4 2 5 2" xfId="27892"/>
    <cellStyle name="Currency 2 4 2 3 4 2 6" xfId="9407"/>
    <cellStyle name="Currency 2 4 2 3 4 3" xfId="9408"/>
    <cellStyle name="Currency 2 4 2 3 4 3 2" xfId="9409"/>
    <cellStyle name="Currency 2 4 2 3 4 3 2 2" xfId="27893"/>
    <cellStyle name="Currency 2 4 2 3 4 3 3" xfId="27894"/>
    <cellStyle name="Currency 2 4 2 3 4 4" xfId="9410"/>
    <cellStyle name="Currency 2 4 2 3 4 4 2" xfId="9411"/>
    <cellStyle name="Currency 2 4 2 3 4 4 2 2" xfId="27895"/>
    <cellStyle name="Currency 2 4 2 3 4 4 3" xfId="27896"/>
    <cellStyle name="Currency 2 4 2 3 4 5" xfId="9412"/>
    <cellStyle name="Currency 2 4 2 3 4 5 2" xfId="9413"/>
    <cellStyle name="Currency 2 4 2 3 4 5 2 2" xfId="27897"/>
    <cellStyle name="Currency 2 4 2 3 4 5 3" xfId="27898"/>
    <cellStyle name="Currency 2 4 2 3 4 6" xfId="9414"/>
    <cellStyle name="Currency 2 4 2 3 4 6 2" xfId="27899"/>
    <cellStyle name="Currency 2 4 2 3 4 7" xfId="9415"/>
    <cellStyle name="Currency 2 4 2 3 5" xfId="1674"/>
    <cellStyle name="Currency 2 4 2 3 5 2" xfId="9416"/>
    <cellStyle name="Currency 2 4 2 3 5 2 2" xfId="9417"/>
    <cellStyle name="Currency 2 4 2 3 5 2 2 2" xfId="27900"/>
    <cellStyle name="Currency 2 4 2 3 5 2 3" xfId="27901"/>
    <cellStyle name="Currency 2 4 2 3 5 3" xfId="9418"/>
    <cellStyle name="Currency 2 4 2 3 5 3 2" xfId="9419"/>
    <cellStyle name="Currency 2 4 2 3 5 3 2 2" xfId="27902"/>
    <cellStyle name="Currency 2 4 2 3 5 3 3" xfId="27903"/>
    <cellStyle name="Currency 2 4 2 3 5 4" xfId="9420"/>
    <cellStyle name="Currency 2 4 2 3 5 4 2" xfId="9421"/>
    <cellStyle name="Currency 2 4 2 3 5 4 2 2" xfId="27904"/>
    <cellStyle name="Currency 2 4 2 3 5 4 3" xfId="27905"/>
    <cellStyle name="Currency 2 4 2 3 5 5" xfId="9422"/>
    <cellStyle name="Currency 2 4 2 3 5 5 2" xfId="27906"/>
    <cellStyle name="Currency 2 4 2 3 5 6" xfId="9423"/>
    <cellStyle name="Currency 2 4 2 3 6" xfId="9424"/>
    <cellStyle name="Currency 2 4 2 3 6 2" xfId="9425"/>
    <cellStyle name="Currency 2 4 2 3 6 2 2" xfId="27907"/>
    <cellStyle name="Currency 2 4 2 3 6 3" xfId="27908"/>
    <cellStyle name="Currency 2 4 2 3 7" xfId="9426"/>
    <cellStyle name="Currency 2 4 2 3 7 2" xfId="9427"/>
    <cellStyle name="Currency 2 4 2 3 7 2 2" xfId="27909"/>
    <cellStyle name="Currency 2 4 2 3 7 3" xfId="27910"/>
    <cellStyle name="Currency 2 4 2 3 8" xfId="9428"/>
    <cellStyle name="Currency 2 4 2 3 8 2" xfId="9429"/>
    <cellStyle name="Currency 2 4 2 3 8 2 2" xfId="27911"/>
    <cellStyle name="Currency 2 4 2 3 8 3" xfId="27912"/>
    <cellStyle name="Currency 2 4 2 3 9" xfId="9430"/>
    <cellStyle name="Currency 2 4 2 3 9 2" xfId="27913"/>
    <cellStyle name="Currency 2 4 2 4" xfId="177"/>
    <cellStyle name="Currency 2 4 2 4 2" xfId="965"/>
    <cellStyle name="Currency 2 4 2 4 2 2" xfId="1675"/>
    <cellStyle name="Currency 2 4 2 4 2 2 2" xfId="9431"/>
    <cellStyle name="Currency 2 4 2 4 2 2 2 2" xfId="9432"/>
    <cellStyle name="Currency 2 4 2 4 2 2 2 2 2" xfId="27914"/>
    <cellStyle name="Currency 2 4 2 4 2 2 2 3" xfId="27915"/>
    <cellStyle name="Currency 2 4 2 4 2 2 3" xfId="9433"/>
    <cellStyle name="Currency 2 4 2 4 2 2 3 2" xfId="9434"/>
    <cellStyle name="Currency 2 4 2 4 2 2 3 2 2" xfId="27916"/>
    <cellStyle name="Currency 2 4 2 4 2 2 3 3" xfId="27917"/>
    <cellStyle name="Currency 2 4 2 4 2 2 4" xfId="9435"/>
    <cellStyle name="Currency 2 4 2 4 2 2 4 2" xfId="9436"/>
    <cellStyle name="Currency 2 4 2 4 2 2 4 2 2" xfId="27918"/>
    <cellStyle name="Currency 2 4 2 4 2 2 4 3" xfId="27919"/>
    <cellStyle name="Currency 2 4 2 4 2 2 5" xfId="9437"/>
    <cellStyle name="Currency 2 4 2 4 2 2 5 2" xfId="27920"/>
    <cellStyle name="Currency 2 4 2 4 2 2 6" xfId="9438"/>
    <cellStyle name="Currency 2 4 2 4 2 3" xfId="9439"/>
    <cellStyle name="Currency 2 4 2 4 2 3 2" xfId="9440"/>
    <cellStyle name="Currency 2 4 2 4 2 3 2 2" xfId="27921"/>
    <cellStyle name="Currency 2 4 2 4 2 3 3" xfId="27922"/>
    <cellStyle name="Currency 2 4 2 4 2 4" xfId="9441"/>
    <cellStyle name="Currency 2 4 2 4 2 4 2" xfId="9442"/>
    <cellStyle name="Currency 2 4 2 4 2 4 2 2" xfId="27923"/>
    <cellStyle name="Currency 2 4 2 4 2 4 3" xfId="27924"/>
    <cellStyle name="Currency 2 4 2 4 2 5" xfId="9443"/>
    <cellStyle name="Currency 2 4 2 4 2 5 2" xfId="9444"/>
    <cellStyle name="Currency 2 4 2 4 2 5 2 2" xfId="27925"/>
    <cellStyle name="Currency 2 4 2 4 2 5 3" xfId="27926"/>
    <cellStyle name="Currency 2 4 2 4 2 6" xfId="9445"/>
    <cellStyle name="Currency 2 4 2 4 2 6 2" xfId="27927"/>
    <cellStyle name="Currency 2 4 2 4 2 7" xfId="9446"/>
    <cellStyle name="Currency 2 4 2 4 3" xfId="597"/>
    <cellStyle name="Currency 2 4 2 4 3 2" xfId="1676"/>
    <cellStyle name="Currency 2 4 2 4 3 2 2" xfId="9447"/>
    <cellStyle name="Currency 2 4 2 4 3 2 2 2" xfId="9448"/>
    <cellStyle name="Currency 2 4 2 4 3 2 2 2 2" xfId="27928"/>
    <cellStyle name="Currency 2 4 2 4 3 2 2 3" xfId="27929"/>
    <cellStyle name="Currency 2 4 2 4 3 2 3" xfId="9449"/>
    <cellStyle name="Currency 2 4 2 4 3 2 3 2" xfId="9450"/>
    <cellStyle name="Currency 2 4 2 4 3 2 3 2 2" xfId="27930"/>
    <cellStyle name="Currency 2 4 2 4 3 2 3 3" xfId="27931"/>
    <cellStyle name="Currency 2 4 2 4 3 2 4" xfId="9451"/>
    <cellStyle name="Currency 2 4 2 4 3 2 4 2" xfId="9452"/>
    <cellStyle name="Currency 2 4 2 4 3 2 4 2 2" xfId="27932"/>
    <cellStyle name="Currency 2 4 2 4 3 2 4 3" xfId="27933"/>
    <cellStyle name="Currency 2 4 2 4 3 2 5" xfId="9453"/>
    <cellStyle name="Currency 2 4 2 4 3 2 5 2" xfId="27934"/>
    <cellStyle name="Currency 2 4 2 4 3 2 6" xfId="9454"/>
    <cellStyle name="Currency 2 4 2 4 3 3" xfId="9455"/>
    <cellStyle name="Currency 2 4 2 4 3 3 2" xfId="9456"/>
    <cellStyle name="Currency 2 4 2 4 3 3 2 2" xfId="27935"/>
    <cellStyle name="Currency 2 4 2 4 3 3 3" xfId="27936"/>
    <cellStyle name="Currency 2 4 2 4 3 4" xfId="9457"/>
    <cellStyle name="Currency 2 4 2 4 3 4 2" xfId="9458"/>
    <cellStyle name="Currency 2 4 2 4 3 4 2 2" xfId="27937"/>
    <cellStyle name="Currency 2 4 2 4 3 4 3" xfId="27938"/>
    <cellStyle name="Currency 2 4 2 4 3 5" xfId="9459"/>
    <cellStyle name="Currency 2 4 2 4 3 5 2" xfId="9460"/>
    <cellStyle name="Currency 2 4 2 4 3 5 2 2" xfId="27939"/>
    <cellStyle name="Currency 2 4 2 4 3 5 3" xfId="27940"/>
    <cellStyle name="Currency 2 4 2 4 3 6" xfId="9461"/>
    <cellStyle name="Currency 2 4 2 4 3 6 2" xfId="27941"/>
    <cellStyle name="Currency 2 4 2 4 3 7" xfId="9462"/>
    <cellStyle name="Currency 2 4 2 4 4" xfId="1677"/>
    <cellStyle name="Currency 2 4 2 4 4 2" xfId="9463"/>
    <cellStyle name="Currency 2 4 2 4 4 2 2" xfId="9464"/>
    <cellStyle name="Currency 2 4 2 4 4 2 2 2" xfId="27942"/>
    <cellStyle name="Currency 2 4 2 4 4 2 3" xfId="27943"/>
    <cellStyle name="Currency 2 4 2 4 4 3" xfId="9465"/>
    <cellStyle name="Currency 2 4 2 4 4 3 2" xfId="9466"/>
    <cellStyle name="Currency 2 4 2 4 4 3 2 2" xfId="27944"/>
    <cellStyle name="Currency 2 4 2 4 4 3 3" xfId="27945"/>
    <cellStyle name="Currency 2 4 2 4 4 4" xfId="9467"/>
    <cellStyle name="Currency 2 4 2 4 4 4 2" xfId="9468"/>
    <cellStyle name="Currency 2 4 2 4 4 4 2 2" xfId="27946"/>
    <cellStyle name="Currency 2 4 2 4 4 4 3" xfId="27947"/>
    <cellStyle name="Currency 2 4 2 4 4 5" xfId="9469"/>
    <cellStyle name="Currency 2 4 2 4 4 5 2" xfId="27948"/>
    <cellStyle name="Currency 2 4 2 4 4 6" xfId="9470"/>
    <cellStyle name="Currency 2 4 2 4 5" xfId="9471"/>
    <cellStyle name="Currency 2 4 2 4 5 2" xfId="9472"/>
    <cellStyle name="Currency 2 4 2 4 5 2 2" xfId="27949"/>
    <cellStyle name="Currency 2 4 2 4 5 3" xfId="27950"/>
    <cellStyle name="Currency 2 4 2 4 6" xfId="9473"/>
    <cellStyle name="Currency 2 4 2 4 6 2" xfId="9474"/>
    <cellStyle name="Currency 2 4 2 4 6 2 2" xfId="27951"/>
    <cellStyle name="Currency 2 4 2 4 6 3" xfId="27952"/>
    <cellStyle name="Currency 2 4 2 4 7" xfId="9475"/>
    <cellStyle name="Currency 2 4 2 4 7 2" xfId="9476"/>
    <cellStyle name="Currency 2 4 2 4 7 2 2" xfId="27953"/>
    <cellStyle name="Currency 2 4 2 4 7 3" xfId="27954"/>
    <cellStyle name="Currency 2 4 2 4 8" xfId="9477"/>
    <cellStyle name="Currency 2 4 2 4 8 2" xfId="27955"/>
    <cellStyle name="Currency 2 4 2 4 9" xfId="9478"/>
    <cellStyle name="Currency 2 4 2 5" xfId="335"/>
    <cellStyle name="Currency 2 4 2 5 2" xfId="1123"/>
    <cellStyle name="Currency 2 4 2 5 2 2" xfId="1678"/>
    <cellStyle name="Currency 2 4 2 5 2 2 2" xfId="9479"/>
    <cellStyle name="Currency 2 4 2 5 2 2 2 2" xfId="9480"/>
    <cellStyle name="Currency 2 4 2 5 2 2 2 2 2" xfId="27956"/>
    <cellStyle name="Currency 2 4 2 5 2 2 2 3" xfId="27957"/>
    <cellStyle name="Currency 2 4 2 5 2 2 3" xfId="9481"/>
    <cellStyle name="Currency 2 4 2 5 2 2 3 2" xfId="9482"/>
    <cellStyle name="Currency 2 4 2 5 2 2 3 2 2" xfId="27958"/>
    <cellStyle name="Currency 2 4 2 5 2 2 3 3" xfId="27959"/>
    <cellStyle name="Currency 2 4 2 5 2 2 4" xfId="9483"/>
    <cellStyle name="Currency 2 4 2 5 2 2 4 2" xfId="9484"/>
    <cellStyle name="Currency 2 4 2 5 2 2 4 2 2" xfId="27960"/>
    <cellStyle name="Currency 2 4 2 5 2 2 4 3" xfId="27961"/>
    <cellStyle name="Currency 2 4 2 5 2 2 5" xfId="9485"/>
    <cellStyle name="Currency 2 4 2 5 2 2 5 2" xfId="27962"/>
    <cellStyle name="Currency 2 4 2 5 2 2 6" xfId="9486"/>
    <cellStyle name="Currency 2 4 2 5 2 3" xfId="9487"/>
    <cellStyle name="Currency 2 4 2 5 2 3 2" xfId="9488"/>
    <cellStyle name="Currency 2 4 2 5 2 3 2 2" xfId="27963"/>
    <cellStyle name="Currency 2 4 2 5 2 3 3" xfId="27964"/>
    <cellStyle name="Currency 2 4 2 5 2 4" xfId="9489"/>
    <cellStyle name="Currency 2 4 2 5 2 4 2" xfId="9490"/>
    <cellStyle name="Currency 2 4 2 5 2 4 2 2" xfId="27965"/>
    <cellStyle name="Currency 2 4 2 5 2 4 3" xfId="27966"/>
    <cellStyle name="Currency 2 4 2 5 2 5" xfId="9491"/>
    <cellStyle name="Currency 2 4 2 5 2 5 2" xfId="9492"/>
    <cellStyle name="Currency 2 4 2 5 2 5 2 2" xfId="27967"/>
    <cellStyle name="Currency 2 4 2 5 2 5 3" xfId="27968"/>
    <cellStyle name="Currency 2 4 2 5 2 6" xfId="9493"/>
    <cellStyle name="Currency 2 4 2 5 2 6 2" xfId="27969"/>
    <cellStyle name="Currency 2 4 2 5 2 7" xfId="9494"/>
    <cellStyle name="Currency 2 4 2 5 3" xfId="755"/>
    <cellStyle name="Currency 2 4 2 5 3 2" xfId="1679"/>
    <cellStyle name="Currency 2 4 2 5 3 2 2" xfId="9495"/>
    <cellStyle name="Currency 2 4 2 5 3 2 2 2" xfId="9496"/>
    <cellStyle name="Currency 2 4 2 5 3 2 2 2 2" xfId="27970"/>
    <cellStyle name="Currency 2 4 2 5 3 2 2 3" xfId="27971"/>
    <cellStyle name="Currency 2 4 2 5 3 2 3" xfId="9497"/>
    <cellStyle name="Currency 2 4 2 5 3 2 3 2" xfId="9498"/>
    <cellStyle name="Currency 2 4 2 5 3 2 3 2 2" xfId="27972"/>
    <cellStyle name="Currency 2 4 2 5 3 2 3 3" xfId="27973"/>
    <cellStyle name="Currency 2 4 2 5 3 2 4" xfId="9499"/>
    <cellStyle name="Currency 2 4 2 5 3 2 4 2" xfId="9500"/>
    <cellStyle name="Currency 2 4 2 5 3 2 4 2 2" xfId="27974"/>
    <cellStyle name="Currency 2 4 2 5 3 2 4 3" xfId="27975"/>
    <cellStyle name="Currency 2 4 2 5 3 2 5" xfId="9501"/>
    <cellStyle name="Currency 2 4 2 5 3 2 5 2" xfId="27976"/>
    <cellStyle name="Currency 2 4 2 5 3 2 6" xfId="9502"/>
    <cellStyle name="Currency 2 4 2 5 3 3" xfId="9503"/>
    <cellStyle name="Currency 2 4 2 5 3 3 2" xfId="9504"/>
    <cellStyle name="Currency 2 4 2 5 3 3 2 2" xfId="27977"/>
    <cellStyle name="Currency 2 4 2 5 3 3 3" xfId="27978"/>
    <cellStyle name="Currency 2 4 2 5 3 4" xfId="9505"/>
    <cellStyle name="Currency 2 4 2 5 3 4 2" xfId="9506"/>
    <cellStyle name="Currency 2 4 2 5 3 4 2 2" xfId="27979"/>
    <cellStyle name="Currency 2 4 2 5 3 4 3" xfId="27980"/>
    <cellStyle name="Currency 2 4 2 5 3 5" xfId="9507"/>
    <cellStyle name="Currency 2 4 2 5 3 5 2" xfId="9508"/>
    <cellStyle name="Currency 2 4 2 5 3 5 2 2" xfId="27981"/>
    <cellStyle name="Currency 2 4 2 5 3 5 3" xfId="27982"/>
    <cellStyle name="Currency 2 4 2 5 3 6" xfId="9509"/>
    <cellStyle name="Currency 2 4 2 5 3 6 2" xfId="27983"/>
    <cellStyle name="Currency 2 4 2 5 3 7" xfId="9510"/>
    <cellStyle name="Currency 2 4 2 5 4" xfId="1680"/>
    <cellStyle name="Currency 2 4 2 5 4 2" xfId="9511"/>
    <cellStyle name="Currency 2 4 2 5 4 2 2" xfId="9512"/>
    <cellStyle name="Currency 2 4 2 5 4 2 2 2" xfId="27984"/>
    <cellStyle name="Currency 2 4 2 5 4 2 3" xfId="27985"/>
    <cellStyle name="Currency 2 4 2 5 4 3" xfId="9513"/>
    <cellStyle name="Currency 2 4 2 5 4 3 2" xfId="9514"/>
    <cellStyle name="Currency 2 4 2 5 4 3 2 2" xfId="27986"/>
    <cellStyle name="Currency 2 4 2 5 4 3 3" xfId="27987"/>
    <cellStyle name="Currency 2 4 2 5 4 4" xfId="9515"/>
    <cellStyle name="Currency 2 4 2 5 4 4 2" xfId="9516"/>
    <cellStyle name="Currency 2 4 2 5 4 4 2 2" xfId="27988"/>
    <cellStyle name="Currency 2 4 2 5 4 4 3" xfId="27989"/>
    <cellStyle name="Currency 2 4 2 5 4 5" xfId="9517"/>
    <cellStyle name="Currency 2 4 2 5 4 5 2" xfId="27990"/>
    <cellStyle name="Currency 2 4 2 5 4 6" xfId="9518"/>
    <cellStyle name="Currency 2 4 2 5 5" xfId="9519"/>
    <cellStyle name="Currency 2 4 2 5 5 2" xfId="9520"/>
    <cellStyle name="Currency 2 4 2 5 5 2 2" xfId="27991"/>
    <cellStyle name="Currency 2 4 2 5 5 3" xfId="27992"/>
    <cellStyle name="Currency 2 4 2 5 6" xfId="9521"/>
    <cellStyle name="Currency 2 4 2 5 6 2" xfId="9522"/>
    <cellStyle name="Currency 2 4 2 5 6 2 2" xfId="27993"/>
    <cellStyle name="Currency 2 4 2 5 6 3" xfId="27994"/>
    <cellStyle name="Currency 2 4 2 5 7" xfId="9523"/>
    <cellStyle name="Currency 2 4 2 5 7 2" xfId="9524"/>
    <cellStyle name="Currency 2 4 2 5 7 2 2" xfId="27995"/>
    <cellStyle name="Currency 2 4 2 5 7 3" xfId="27996"/>
    <cellStyle name="Currency 2 4 2 5 8" xfId="9525"/>
    <cellStyle name="Currency 2 4 2 5 8 2" xfId="27997"/>
    <cellStyle name="Currency 2 4 2 5 9" xfId="9526"/>
    <cellStyle name="Currency 2 4 2 6" xfId="124"/>
    <cellStyle name="Currency 2 4 2 6 2" xfId="545"/>
    <cellStyle name="Currency 2 4 2 6 2 2" xfId="1681"/>
    <cellStyle name="Currency 2 4 2 6 2 2 2" xfId="9527"/>
    <cellStyle name="Currency 2 4 2 6 2 2 2 2" xfId="9528"/>
    <cellStyle name="Currency 2 4 2 6 2 2 2 2 2" xfId="27998"/>
    <cellStyle name="Currency 2 4 2 6 2 2 2 3" xfId="27999"/>
    <cellStyle name="Currency 2 4 2 6 2 2 3" xfId="9529"/>
    <cellStyle name="Currency 2 4 2 6 2 2 3 2" xfId="9530"/>
    <cellStyle name="Currency 2 4 2 6 2 2 3 2 2" xfId="28000"/>
    <cellStyle name="Currency 2 4 2 6 2 2 3 3" xfId="28001"/>
    <cellStyle name="Currency 2 4 2 6 2 2 4" xfId="9531"/>
    <cellStyle name="Currency 2 4 2 6 2 2 4 2" xfId="9532"/>
    <cellStyle name="Currency 2 4 2 6 2 2 4 2 2" xfId="28002"/>
    <cellStyle name="Currency 2 4 2 6 2 2 4 3" xfId="28003"/>
    <cellStyle name="Currency 2 4 2 6 2 2 5" xfId="9533"/>
    <cellStyle name="Currency 2 4 2 6 2 2 5 2" xfId="28004"/>
    <cellStyle name="Currency 2 4 2 6 2 2 6" xfId="9534"/>
    <cellStyle name="Currency 2 4 2 6 2 3" xfId="9535"/>
    <cellStyle name="Currency 2 4 2 6 2 3 2" xfId="9536"/>
    <cellStyle name="Currency 2 4 2 6 2 3 2 2" xfId="28005"/>
    <cellStyle name="Currency 2 4 2 6 2 3 3" xfId="28006"/>
    <cellStyle name="Currency 2 4 2 6 2 4" xfId="9537"/>
    <cellStyle name="Currency 2 4 2 6 2 4 2" xfId="9538"/>
    <cellStyle name="Currency 2 4 2 6 2 4 2 2" xfId="28007"/>
    <cellStyle name="Currency 2 4 2 6 2 4 3" xfId="28008"/>
    <cellStyle name="Currency 2 4 2 6 2 5" xfId="9539"/>
    <cellStyle name="Currency 2 4 2 6 2 5 2" xfId="9540"/>
    <cellStyle name="Currency 2 4 2 6 2 5 2 2" xfId="28009"/>
    <cellStyle name="Currency 2 4 2 6 2 5 3" xfId="28010"/>
    <cellStyle name="Currency 2 4 2 6 2 6" xfId="9541"/>
    <cellStyle name="Currency 2 4 2 6 2 6 2" xfId="28011"/>
    <cellStyle name="Currency 2 4 2 6 2 7" xfId="9542"/>
    <cellStyle name="Currency 2 4 2 6 3" xfId="1682"/>
    <cellStyle name="Currency 2 4 2 6 3 2" xfId="9543"/>
    <cellStyle name="Currency 2 4 2 6 3 2 2" xfId="9544"/>
    <cellStyle name="Currency 2 4 2 6 3 2 2 2" xfId="28012"/>
    <cellStyle name="Currency 2 4 2 6 3 2 3" xfId="28013"/>
    <cellStyle name="Currency 2 4 2 6 3 3" xfId="9545"/>
    <cellStyle name="Currency 2 4 2 6 3 3 2" xfId="9546"/>
    <cellStyle name="Currency 2 4 2 6 3 3 2 2" xfId="28014"/>
    <cellStyle name="Currency 2 4 2 6 3 3 3" xfId="28015"/>
    <cellStyle name="Currency 2 4 2 6 3 4" xfId="9547"/>
    <cellStyle name="Currency 2 4 2 6 3 4 2" xfId="9548"/>
    <cellStyle name="Currency 2 4 2 6 3 4 2 2" xfId="28016"/>
    <cellStyle name="Currency 2 4 2 6 3 4 3" xfId="28017"/>
    <cellStyle name="Currency 2 4 2 6 3 5" xfId="9549"/>
    <cellStyle name="Currency 2 4 2 6 3 5 2" xfId="28018"/>
    <cellStyle name="Currency 2 4 2 6 3 6" xfId="9550"/>
    <cellStyle name="Currency 2 4 2 6 4" xfId="9551"/>
    <cellStyle name="Currency 2 4 2 6 4 2" xfId="9552"/>
    <cellStyle name="Currency 2 4 2 6 4 2 2" xfId="28019"/>
    <cellStyle name="Currency 2 4 2 6 4 3" xfId="28020"/>
    <cellStyle name="Currency 2 4 2 6 5" xfId="9553"/>
    <cellStyle name="Currency 2 4 2 6 5 2" xfId="9554"/>
    <cellStyle name="Currency 2 4 2 6 5 2 2" xfId="28021"/>
    <cellStyle name="Currency 2 4 2 6 5 3" xfId="28022"/>
    <cellStyle name="Currency 2 4 2 6 6" xfId="9555"/>
    <cellStyle name="Currency 2 4 2 6 6 2" xfId="9556"/>
    <cellStyle name="Currency 2 4 2 6 6 2 2" xfId="28023"/>
    <cellStyle name="Currency 2 4 2 6 6 3" xfId="28024"/>
    <cellStyle name="Currency 2 4 2 6 7" xfId="9557"/>
    <cellStyle name="Currency 2 4 2 6 7 2" xfId="28025"/>
    <cellStyle name="Currency 2 4 2 6 8" xfId="9558"/>
    <cellStyle name="Currency 2 4 2 7" xfId="913"/>
    <cellStyle name="Currency 2 4 2 7 2" xfId="1683"/>
    <cellStyle name="Currency 2 4 2 7 2 2" xfId="9559"/>
    <cellStyle name="Currency 2 4 2 7 2 2 2" xfId="9560"/>
    <cellStyle name="Currency 2 4 2 7 2 2 2 2" xfId="28026"/>
    <cellStyle name="Currency 2 4 2 7 2 2 3" xfId="28027"/>
    <cellStyle name="Currency 2 4 2 7 2 3" xfId="9561"/>
    <cellStyle name="Currency 2 4 2 7 2 3 2" xfId="9562"/>
    <cellStyle name="Currency 2 4 2 7 2 3 2 2" xfId="28028"/>
    <cellStyle name="Currency 2 4 2 7 2 3 3" xfId="28029"/>
    <cellStyle name="Currency 2 4 2 7 2 4" xfId="9563"/>
    <cellStyle name="Currency 2 4 2 7 2 4 2" xfId="9564"/>
    <cellStyle name="Currency 2 4 2 7 2 4 2 2" xfId="28030"/>
    <cellStyle name="Currency 2 4 2 7 2 4 3" xfId="28031"/>
    <cellStyle name="Currency 2 4 2 7 2 5" xfId="9565"/>
    <cellStyle name="Currency 2 4 2 7 2 5 2" xfId="28032"/>
    <cellStyle name="Currency 2 4 2 7 2 6" xfId="9566"/>
    <cellStyle name="Currency 2 4 2 7 3" xfId="9567"/>
    <cellStyle name="Currency 2 4 2 7 3 2" xfId="9568"/>
    <cellStyle name="Currency 2 4 2 7 3 2 2" xfId="28033"/>
    <cellStyle name="Currency 2 4 2 7 3 3" xfId="28034"/>
    <cellStyle name="Currency 2 4 2 7 4" xfId="9569"/>
    <cellStyle name="Currency 2 4 2 7 4 2" xfId="9570"/>
    <cellStyle name="Currency 2 4 2 7 4 2 2" xfId="28035"/>
    <cellStyle name="Currency 2 4 2 7 4 3" xfId="28036"/>
    <cellStyle name="Currency 2 4 2 7 5" xfId="9571"/>
    <cellStyle name="Currency 2 4 2 7 5 2" xfId="9572"/>
    <cellStyle name="Currency 2 4 2 7 5 2 2" xfId="28037"/>
    <cellStyle name="Currency 2 4 2 7 5 3" xfId="28038"/>
    <cellStyle name="Currency 2 4 2 7 6" xfId="9573"/>
    <cellStyle name="Currency 2 4 2 7 6 2" xfId="28039"/>
    <cellStyle name="Currency 2 4 2 7 7" xfId="9574"/>
    <cellStyle name="Currency 2 4 2 8" xfId="477"/>
    <cellStyle name="Currency 2 4 2 8 2" xfId="1684"/>
    <cellStyle name="Currency 2 4 2 8 2 2" xfId="9575"/>
    <cellStyle name="Currency 2 4 2 8 2 2 2" xfId="9576"/>
    <cellStyle name="Currency 2 4 2 8 2 2 2 2" xfId="28040"/>
    <cellStyle name="Currency 2 4 2 8 2 2 3" xfId="28041"/>
    <cellStyle name="Currency 2 4 2 8 2 3" xfId="9577"/>
    <cellStyle name="Currency 2 4 2 8 2 3 2" xfId="9578"/>
    <cellStyle name="Currency 2 4 2 8 2 3 2 2" xfId="28042"/>
    <cellStyle name="Currency 2 4 2 8 2 3 3" xfId="28043"/>
    <cellStyle name="Currency 2 4 2 8 2 4" xfId="9579"/>
    <cellStyle name="Currency 2 4 2 8 2 4 2" xfId="9580"/>
    <cellStyle name="Currency 2 4 2 8 2 4 2 2" xfId="28044"/>
    <cellStyle name="Currency 2 4 2 8 2 4 3" xfId="28045"/>
    <cellStyle name="Currency 2 4 2 8 2 5" xfId="9581"/>
    <cellStyle name="Currency 2 4 2 8 2 5 2" xfId="28046"/>
    <cellStyle name="Currency 2 4 2 8 2 6" xfId="9582"/>
    <cellStyle name="Currency 2 4 2 8 3" xfId="9583"/>
    <cellStyle name="Currency 2 4 2 8 3 2" xfId="9584"/>
    <cellStyle name="Currency 2 4 2 8 3 2 2" xfId="28047"/>
    <cellStyle name="Currency 2 4 2 8 3 3" xfId="28048"/>
    <cellStyle name="Currency 2 4 2 8 4" xfId="9585"/>
    <cellStyle name="Currency 2 4 2 8 4 2" xfId="9586"/>
    <cellStyle name="Currency 2 4 2 8 4 2 2" xfId="28049"/>
    <cellStyle name="Currency 2 4 2 8 4 3" xfId="28050"/>
    <cellStyle name="Currency 2 4 2 8 5" xfId="9587"/>
    <cellStyle name="Currency 2 4 2 8 5 2" xfId="9588"/>
    <cellStyle name="Currency 2 4 2 8 5 2 2" xfId="28051"/>
    <cellStyle name="Currency 2 4 2 8 5 3" xfId="28052"/>
    <cellStyle name="Currency 2 4 2 8 6" xfId="9589"/>
    <cellStyle name="Currency 2 4 2 8 6 2" xfId="28053"/>
    <cellStyle name="Currency 2 4 2 8 7" xfId="9590"/>
    <cellStyle name="Currency 2 4 2 9" xfId="1685"/>
    <cellStyle name="Currency 2 4 2 9 2" xfId="9591"/>
    <cellStyle name="Currency 2 4 2 9 2 2" xfId="9592"/>
    <cellStyle name="Currency 2 4 2 9 2 2 2" xfId="28054"/>
    <cellStyle name="Currency 2 4 2 9 2 3" xfId="28055"/>
    <cellStyle name="Currency 2 4 2 9 3" xfId="9593"/>
    <cellStyle name="Currency 2 4 2 9 3 2" xfId="9594"/>
    <cellStyle name="Currency 2 4 2 9 3 2 2" xfId="28056"/>
    <cellStyle name="Currency 2 4 2 9 3 3" xfId="28057"/>
    <cellStyle name="Currency 2 4 2 9 4" xfId="9595"/>
    <cellStyle name="Currency 2 4 2 9 4 2" xfId="9596"/>
    <cellStyle name="Currency 2 4 2 9 4 2 2" xfId="28058"/>
    <cellStyle name="Currency 2 4 2 9 4 3" xfId="28059"/>
    <cellStyle name="Currency 2 4 2 9 5" xfId="9597"/>
    <cellStyle name="Currency 2 4 2 9 5 2" xfId="28060"/>
    <cellStyle name="Currency 2 4 2 9 6" xfId="9598"/>
    <cellStyle name="Currency 2 4 3" xfId="44"/>
    <cellStyle name="Currency 2 4 3 10" xfId="9599"/>
    <cellStyle name="Currency 2 4 3 10 2" xfId="9600"/>
    <cellStyle name="Currency 2 4 3 10 2 2" xfId="28061"/>
    <cellStyle name="Currency 2 4 3 10 3" xfId="28062"/>
    <cellStyle name="Currency 2 4 3 11" xfId="9601"/>
    <cellStyle name="Currency 2 4 3 11 2" xfId="9602"/>
    <cellStyle name="Currency 2 4 3 11 2 2" xfId="28063"/>
    <cellStyle name="Currency 2 4 3 11 3" xfId="28064"/>
    <cellStyle name="Currency 2 4 3 12" xfId="9603"/>
    <cellStyle name="Currency 2 4 3 12 2" xfId="9604"/>
    <cellStyle name="Currency 2 4 3 12 2 2" xfId="28065"/>
    <cellStyle name="Currency 2 4 3 12 3" xfId="28066"/>
    <cellStyle name="Currency 2 4 3 13" xfId="9605"/>
    <cellStyle name="Currency 2 4 3 13 2" xfId="28067"/>
    <cellStyle name="Currency 2 4 3 14" xfId="9606"/>
    <cellStyle name="Currency 2 4 3 2" xfId="211"/>
    <cellStyle name="Currency 2 4 3 2 10" xfId="9607"/>
    <cellStyle name="Currency 2 4 3 2 2" xfId="369"/>
    <cellStyle name="Currency 2 4 3 2 2 2" xfId="1157"/>
    <cellStyle name="Currency 2 4 3 2 2 2 2" xfId="1686"/>
    <cellStyle name="Currency 2 4 3 2 2 2 2 2" xfId="9608"/>
    <cellStyle name="Currency 2 4 3 2 2 2 2 2 2" xfId="9609"/>
    <cellStyle name="Currency 2 4 3 2 2 2 2 2 2 2" xfId="28068"/>
    <cellStyle name="Currency 2 4 3 2 2 2 2 2 3" xfId="28069"/>
    <cellStyle name="Currency 2 4 3 2 2 2 2 3" xfId="9610"/>
    <cellStyle name="Currency 2 4 3 2 2 2 2 3 2" xfId="9611"/>
    <cellStyle name="Currency 2 4 3 2 2 2 2 3 2 2" xfId="28070"/>
    <cellStyle name="Currency 2 4 3 2 2 2 2 3 3" xfId="28071"/>
    <cellStyle name="Currency 2 4 3 2 2 2 2 4" xfId="9612"/>
    <cellStyle name="Currency 2 4 3 2 2 2 2 4 2" xfId="9613"/>
    <cellStyle name="Currency 2 4 3 2 2 2 2 4 2 2" xfId="28072"/>
    <cellStyle name="Currency 2 4 3 2 2 2 2 4 3" xfId="28073"/>
    <cellStyle name="Currency 2 4 3 2 2 2 2 5" xfId="9614"/>
    <cellStyle name="Currency 2 4 3 2 2 2 2 5 2" xfId="28074"/>
    <cellStyle name="Currency 2 4 3 2 2 2 2 6" xfId="9615"/>
    <cellStyle name="Currency 2 4 3 2 2 2 3" xfId="9616"/>
    <cellStyle name="Currency 2 4 3 2 2 2 3 2" xfId="9617"/>
    <cellStyle name="Currency 2 4 3 2 2 2 3 2 2" xfId="28075"/>
    <cellStyle name="Currency 2 4 3 2 2 2 3 3" xfId="28076"/>
    <cellStyle name="Currency 2 4 3 2 2 2 4" xfId="9618"/>
    <cellStyle name="Currency 2 4 3 2 2 2 4 2" xfId="9619"/>
    <cellStyle name="Currency 2 4 3 2 2 2 4 2 2" xfId="28077"/>
    <cellStyle name="Currency 2 4 3 2 2 2 4 3" xfId="28078"/>
    <cellStyle name="Currency 2 4 3 2 2 2 5" xfId="9620"/>
    <cellStyle name="Currency 2 4 3 2 2 2 5 2" xfId="9621"/>
    <cellStyle name="Currency 2 4 3 2 2 2 5 2 2" xfId="28079"/>
    <cellStyle name="Currency 2 4 3 2 2 2 5 3" xfId="28080"/>
    <cellStyle name="Currency 2 4 3 2 2 2 6" xfId="9622"/>
    <cellStyle name="Currency 2 4 3 2 2 2 6 2" xfId="28081"/>
    <cellStyle name="Currency 2 4 3 2 2 2 7" xfId="9623"/>
    <cellStyle name="Currency 2 4 3 2 2 3" xfId="789"/>
    <cellStyle name="Currency 2 4 3 2 2 3 2" xfId="1687"/>
    <cellStyle name="Currency 2 4 3 2 2 3 2 2" xfId="9624"/>
    <cellStyle name="Currency 2 4 3 2 2 3 2 2 2" xfId="9625"/>
    <cellStyle name="Currency 2 4 3 2 2 3 2 2 2 2" xfId="28082"/>
    <cellStyle name="Currency 2 4 3 2 2 3 2 2 3" xfId="28083"/>
    <cellStyle name="Currency 2 4 3 2 2 3 2 3" xfId="9626"/>
    <cellStyle name="Currency 2 4 3 2 2 3 2 3 2" xfId="9627"/>
    <cellStyle name="Currency 2 4 3 2 2 3 2 3 2 2" xfId="28084"/>
    <cellStyle name="Currency 2 4 3 2 2 3 2 3 3" xfId="28085"/>
    <cellStyle name="Currency 2 4 3 2 2 3 2 4" xfId="9628"/>
    <cellStyle name="Currency 2 4 3 2 2 3 2 4 2" xfId="9629"/>
    <cellStyle name="Currency 2 4 3 2 2 3 2 4 2 2" xfId="28086"/>
    <cellStyle name="Currency 2 4 3 2 2 3 2 4 3" xfId="28087"/>
    <cellStyle name="Currency 2 4 3 2 2 3 2 5" xfId="9630"/>
    <cellStyle name="Currency 2 4 3 2 2 3 2 5 2" xfId="28088"/>
    <cellStyle name="Currency 2 4 3 2 2 3 2 6" xfId="9631"/>
    <cellStyle name="Currency 2 4 3 2 2 3 3" xfId="9632"/>
    <cellStyle name="Currency 2 4 3 2 2 3 3 2" xfId="9633"/>
    <cellStyle name="Currency 2 4 3 2 2 3 3 2 2" xfId="28089"/>
    <cellStyle name="Currency 2 4 3 2 2 3 3 3" xfId="28090"/>
    <cellStyle name="Currency 2 4 3 2 2 3 4" xfId="9634"/>
    <cellStyle name="Currency 2 4 3 2 2 3 4 2" xfId="9635"/>
    <cellStyle name="Currency 2 4 3 2 2 3 4 2 2" xfId="28091"/>
    <cellStyle name="Currency 2 4 3 2 2 3 4 3" xfId="28092"/>
    <cellStyle name="Currency 2 4 3 2 2 3 5" xfId="9636"/>
    <cellStyle name="Currency 2 4 3 2 2 3 5 2" xfId="9637"/>
    <cellStyle name="Currency 2 4 3 2 2 3 5 2 2" xfId="28093"/>
    <cellStyle name="Currency 2 4 3 2 2 3 5 3" xfId="28094"/>
    <cellStyle name="Currency 2 4 3 2 2 3 6" xfId="9638"/>
    <cellStyle name="Currency 2 4 3 2 2 3 6 2" xfId="28095"/>
    <cellStyle name="Currency 2 4 3 2 2 3 7" xfId="9639"/>
    <cellStyle name="Currency 2 4 3 2 2 4" xfId="1688"/>
    <cellStyle name="Currency 2 4 3 2 2 4 2" xfId="9640"/>
    <cellStyle name="Currency 2 4 3 2 2 4 2 2" xfId="9641"/>
    <cellStyle name="Currency 2 4 3 2 2 4 2 2 2" xfId="28096"/>
    <cellStyle name="Currency 2 4 3 2 2 4 2 3" xfId="28097"/>
    <cellStyle name="Currency 2 4 3 2 2 4 3" xfId="9642"/>
    <cellStyle name="Currency 2 4 3 2 2 4 3 2" xfId="9643"/>
    <cellStyle name="Currency 2 4 3 2 2 4 3 2 2" xfId="28098"/>
    <cellStyle name="Currency 2 4 3 2 2 4 3 3" xfId="28099"/>
    <cellStyle name="Currency 2 4 3 2 2 4 4" xfId="9644"/>
    <cellStyle name="Currency 2 4 3 2 2 4 4 2" xfId="9645"/>
    <cellStyle name="Currency 2 4 3 2 2 4 4 2 2" xfId="28100"/>
    <cellStyle name="Currency 2 4 3 2 2 4 4 3" xfId="28101"/>
    <cellStyle name="Currency 2 4 3 2 2 4 5" xfId="9646"/>
    <cellStyle name="Currency 2 4 3 2 2 4 5 2" xfId="28102"/>
    <cellStyle name="Currency 2 4 3 2 2 4 6" xfId="9647"/>
    <cellStyle name="Currency 2 4 3 2 2 5" xfId="9648"/>
    <cellStyle name="Currency 2 4 3 2 2 5 2" xfId="9649"/>
    <cellStyle name="Currency 2 4 3 2 2 5 2 2" xfId="28103"/>
    <cellStyle name="Currency 2 4 3 2 2 5 3" xfId="28104"/>
    <cellStyle name="Currency 2 4 3 2 2 6" xfId="9650"/>
    <cellStyle name="Currency 2 4 3 2 2 6 2" xfId="9651"/>
    <cellStyle name="Currency 2 4 3 2 2 6 2 2" xfId="28105"/>
    <cellStyle name="Currency 2 4 3 2 2 6 3" xfId="28106"/>
    <cellStyle name="Currency 2 4 3 2 2 7" xfId="9652"/>
    <cellStyle name="Currency 2 4 3 2 2 7 2" xfId="9653"/>
    <cellStyle name="Currency 2 4 3 2 2 7 2 2" xfId="28107"/>
    <cellStyle name="Currency 2 4 3 2 2 7 3" xfId="28108"/>
    <cellStyle name="Currency 2 4 3 2 2 8" xfId="9654"/>
    <cellStyle name="Currency 2 4 3 2 2 8 2" xfId="28109"/>
    <cellStyle name="Currency 2 4 3 2 2 9" xfId="9655"/>
    <cellStyle name="Currency 2 4 3 2 3" xfId="999"/>
    <cellStyle name="Currency 2 4 3 2 3 2" xfId="1689"/>
    <cellStyle name="Currency 2 4 3 2 3 2 2" xfId="9656"/>
    <cellStyle name="Currency 2 4 3 2 3 2 2 2" xfId="9657"/>
    <cellStyle name="Currency 2 4 3 2 3 2 2 2 2" xfId="28110"/>
    <cellStyle name="Currency 2 4 3 2 3 2 2 3" xfId="28111"/>
    <cellStyle name="Currency 2 4 3 2 3 2 3" xfId="9658"/>
    <cellStyle name="Currency 2 4 3 2 3 2 3 2" xfId="9659"/>
    <cellStyle name="Currency 2 4 3 2 3 2 3 2 2" xfId="28112"/>
    <cellStyle name="Currency 2 4 3 2 3 2 3 3" xfId="28113"/>
    <cellStyle name="Currency 2 4 3 2 3 2 4" xfId="9660"/>
    <cellStyle name="Currency 2 4 3 2 3 2 4 2" xfId="9661"/>
    <cellStyle name="Currency 2 4 3 2 3 2 4 2 2" xfId="28114"/>
    <cellStyle name="Currency 2 4 3 2 3 2 4 3" xfId="28115"/>
    <cellStyle name="Currency 2 4 3 2 3 2 5" xfId="9662"/>
    <cellStyle name="Currency 2 4 3 2 3 2 5 2" xfId="28116"/>
    <cellStyle name="Currency 2 4 3 2 3 2 6" xfId="9663"/>
    <cellStyle name="Currency 2 4 3 2 3 3" xfId="9664"/>
    <cellStyle name="Currency 2 4 3 2 3 3 2" xfId="9665"/>
    <cellStyle name="Currency 2 4 3 2 3 3 2 2" xfId="28117"/>
    <cellStyle name="Currency 2 4 3 2 3 3 3" xfId="28118"/>
    <cellStyle name="Currency 2 4 3 2 3 4" xfId="9666"/>
    <cellStyle name="Currency 2 4 3 2 3 4 2" xfId="9667"/>
    <cellStyle name="Currency 2 4 3 2 3 4 2 2" xfId="28119"/>
    <cellStyle name="Currency 2 4 3 2 3 4 3" xfId="28120"/>
    <cellStyle name="Currency 2 4 3 2 3 5" xfId="9668"/>
    <cellStyle name="Currency 2 4 3 2 3 5 2" xfId="9669"/>
    <cellStyle name="Currency 2 4 3 2 3 5 2 2" xfId="28121"/>
    <cellStyle name="Currency 2 4 3 2 3 5 3" xfId="28122"/>
    <cellStyle name="Currency 2 4 3 2 3 6" xfId="9670"/>
    <cellStyle name="Currency 2 4 3 2 3 6 2" xfId="28123"/>
    <cellStyle name="Currency 2 4 3 2 3 7" xfId="9671"/>
    <cellStyle name="Currency 2 4 3 2 4" xfId="631"/>
    <cellStyle name="Currency 2 4 3 2 4 2" xfId="1690"/>
    <cellStyle name="Currency 2 4 3 2 4 2 2" xfId="9672"/>
    <cellStyle name="Currency 2 4 3 2 4 2 2 2" xfId="9673"/>
    <cellStyle name="Currency 2 4 3 2 4 2 2 2 2" xfId="28124"/>
    <cellStyle name="Currency 2 4 3 2 4 2 2 3" xfId="28125"/>
    <cellStyle name="Currency 2 4 3 2 4 2 3" xfId="9674"/>
    <cellStyle name="Currency 2 4 3 2 4 2 3 2" xfId="9675"/>
    <cellStyle name="Currency 2 4 3 2 4 2 3 2 2" xfId="28126"/>
    <cellStyle name="Currency 2 4 3 2 4 2 3 3" xfId="28127"/>
    <cellStyle name="Currency 2 4 3 2 4 2 4" xfId="9676"/>
    <cellStyle name="Currency 2 4 3 2 4 2 4 2" xfId="9677"/>
    <cellStyle name="Currency 2 4 3 2 4 2 4 2 2" xfId="28128"/>
    <cellStyle name="Currency 2 4 3 2 4 2 4 3" xfId="28129"/>
    <cellStyle name="Currency 2 4 3 2 4 2 5" xfId="9678"/>
    <cellStyle name="Currency 2 4 3 2 4 2 5 2" xfId="28130"/>
    <cellStyle name="Currency 2 4 3 2 4 2 6" xfId="9679"/>
    <cellStyle name="Currency 2 4 3 2 4 3" xfId="9680"/>
    <cellStyle name="Currency 2 4 3 2 4 3 2" xfId="9681"/>
    <cellStyle name="Currency 2 4 3 2 4 3 2 2" xfId="28131"/>
    <cellStyle name="Currency 2 4 3 2 4 3 3" xfId="28132"/>
    <cellStyle name="Currency 2 4 3 2 4 4" xfId="9682"/>
    <cellStyle name="Currency 2 4 3 2 4 4 2" xfId="9683"/>
    <cellStyle name="Currency 2 4 3 2 4 4 2 2" xfId="28133"/>
    <cellStyle name="Currency 2 4 3 2 4 4 3" xfId="28134"/>
    <cellStyle name="Currency 2 4 3 2 4 5" xfId="9684"/>
    <cellStyle name="Currency 2 4 3 2 4 5 2" xfId="9685"/>
    <cellStyle name="Currency 2 4 3 2 4 5 2 2" xfId="28135"/>
    <cellStyle name="Currency 2 4 3 2 4 5 3" xfId="28136"/>
    <cellStyle name="Currency 2 4 3 2 4 6" xfId="9686"/>
    <cellStyle name="Currency 2 4 3 2 4 6 2" xfId="28137"/>
    <cellStyle name="Currency 2 4 3 2 4 7" xfId="9687"/>
    <cellStyle name="Currency 2 4 3 2 5" xfId="1691"/>
    <cellStyle name="Currency 2 4 3 2 5 2" xfId="9688"/>
    <cellStyle name="Currency 2 4 3 2 5 2 2" xfId="9689"/>
    <cellStyle name="Currency 2 4 3 2 5 2 2 2" xfId="28138"/>
    <cellStyle name="Currency 2 4 3 2 5 2 3" xfId="28139"/>
    <cellStyle name="Currency 2 4 3 2 5 3" xfId="9690"/>
    <cellStyle name="Currency 2 4 3 2 5 3 2" xfId="9691"/>
    <cellStyle name="Currency 2 4 3 2 5 3 2 2" xfId="28140"/>
    <cellStyle name="Currency 2 4 3 2 5 3 3" xfId="28141"/>
    <cellStyle name="Currency 2 4 3 2 5 4" xfId="9692"/>
    <cellStyle name="Currency 2 4 3 2 5 4 2" xfId="9693"/>
    <cellStyle name="Currency 2 4 3 2 5 4 2 2" xfId="28142"/>
    <cellStyle name="Currency 2 4 3 2 5 4 3" xfId="28143"/>
    <cellStyle name="Currency 2 4 3 2 5 5" xfId="9694"/>
    <cellStyle name="Currency 2 4 3 2 5 5 2" xfId="28144"/>
    <cellStyle name="Currency 2 4 3 2 5 6" xfId="9695"/>
    <cellStyle name="Currency 2 4 3 2 6" xfId="9696"/>
    <cellStyle name="Currency 2 4 3 2 6 2" xfId="9697"/>
    <cellStyle name="Currency 2 4 3 2 6 2 2" xfId="28145"/>
    <cellStyle name="Currency 2 4 3 2 6 3" xfId="28146"/>
    <cellStyle name="Currency 2 4 3 2 7" xfId="9698"/>
    <cellStyle name="Currency 2 4 3 2 7 2" xfId="9699"/>
    <cellStyle name="Currency 2 4 3 2 7 2 2" xfId="28147"/>
    <cellStyle name="Currency 2 4 3 2 7 3" xfId="28148"/>
    <cellStyle name="Currency 2 4 3 2 8" xfId="9700"/>
    <cellStyle name="Currency 2 4 3 2 8 2" xfId="9701"/>
    <cellStyle name="Currency 2 4 3 2 8 2 2" xfId="28149"/>
    <cellStyle name="Currency 2 4 3 2 8 3" xfId="28150"/>
    <cellStyle name="Currency 2 4 3 2 9" xfId="9702"/>
    <cellStyle name="Currency 2 4 3 2 9 2" xfId="28151"/>
    <cellStyle name="Currency 2 4 3 3" xfId="262"/>
    <cellStyle name="Currency 2 4 3 3 10" xfId="9703"/>
    <cellStyle name="Currency 2 4 3 3 2" xfId="420"/>
    <cellStyle name="Currency 2 4 3 3 2 2" xfId="1208"/>
    <cellStyle name="Currency 2 4 3 3 2 2 2" xfId="1692"/>
    <cellStyle name="Currency 2 4 3 3 2 2 2 2" xfId="9704"/>
    <cellStyle name="Currency 2 4 3 3 2 2 2 2 2" xfId="9705"/>
    <cellStyle name="Currency 2 4 3 3 2 2 2 2 2 2" xfId="28152"/>
    <cellStyle name="Currency 2 4 3 3 2 2 2 2 3" xfId="28153"/>
    <cellStyle name="Currency 2 4 3 3 2 2 2 3" xfId="9706"/>
    <cellStyle name="Currency 2 4 3 3 2 2 2 3 2" xfId="9707"/>
    <cellStyle name="Currency 2 4 3 3 2 2 2 3 2 2" xfId="28154"/>
    <cellStyle name="Currency 2 4 3 3 2 2 2 3 3" xfId="28155"/>
    <cellStyle name="Currency 2 4 3 3 2 2 2 4" xfId="9708"/>
    <cellStyle name="Currency 2 4 3 3 2 2 2 4 2" xfId="9709"/>
    <cellStyle name="Currency 2 4 3 3 2 2 2 4 2 2" xfId="28156"/>
    <cellStyle name="Currency 2 4 3 3 2 2 2 4 3" xfId="28157"/>
    <cellStyle name="Currency 2 4 3 3 2 2 2 5" xfId="9710"/>
    <cellStyle name="Currency 2 4 3 3 2 2 2 5 2" xfId="28158"/>
    <cellStyle name="Currency 2 4 3 3 2 2 2 6" xfId="9711"/>
    <cellStyle name="Currency 2 4 3 3 2 2 3" xfId="9712"/>
    <cellStyle name="Currency 2 4 3 3 2 2 3 2" xfId="9713"/>
    <cellStyle name="Currency 2 4 3 3 2 2 3 2 2" xfId="28159"/>
    <cellStyle name="Currency 2 4 3 3 2 2 3 3" xfId="28160"/>
    <cellStyle name="Currency 2 4 3 3 2 2 4" xfId="9714"/>
    <cellStyle name="Currency 2 4 3 3 2 2 4 2" xfId="9715"/>
    <cellStyle name="Currency 2 4 3 3 2 2 4 2 2" xfId="28161"/>
    <cellStyle name="Currency 2 4 3 3 2 2 4 3" xfId="28162"/>
    <cellStyle name="Currency 2 4 3 3 2 2 5" xfId="9716"/>
    <cellStyle name="Currency 2 4 3 3 2 2 5 2" xfId="9717"/>
    <cellStyle name="Currency 2 4 3 3 2 2 5 2 2" xfId="28163"/>
    <cellStyle name="Currency 2 4 3 3 2 2 5 3" xfId="28164"/>
    <cellStyle name="Currency 2 4 3 3 2 2 6" xfId="9718"/>
    <cellStyle name="Currency 2 4 3 3 2 2 6 2" xfId="28165"/>
    <cellStyle name="Currency 2 4 3 3 2 2 7" xfId="9719"/>
    <cellStyle name="Currency 2 4 3 3 2 3" xfId="840"/>
    <cellStyle name="Currency 2 4 3 3 2 3 2" xfId="1693"/>
    <cellStyle name="Currency 2 4 3 3 2 3 2 2" xfId="9720"/>
    <cellStyle name="Currency 2 4 3 3 2 3 2 2 2" xfId="9721"/>
    <cellStyle name="Currency 2 4 3 3 2 3 2 2 2 2" xfId="28166"/>
    <cellStyle name="Currency 2 4 3 3 2 3 2 2 3" xfId="28167"/>
    <cellStyle name="Currency 2 4 3 3 2 3 2 3" xfId="9722"/>
    <cellStyle name="Currency 2 4 3 3 2 3 2 3 2" xfId="9723"/>
    <cellStyle name="Currency 2 4 3 3 2 3 2 3 2 2" xfId="28168"/>
    <cellStyle name="Currency 2 4 3 3 2 3 2 3 3" xfId="28169"/>
    <cellStyle name="Currency 2 4 3 3 2 3 2 4" xfId="9724"/>
    <cellStyle name="Currency 2 4 3 3 2 3 2 4 2" xfId="9725"/>
    <cellStyle name="Currency 2 4 3 3 2 3 2 4 2 2" xfId="28170"/>
    <cellStyle name="Currency 2 4 3 3 2 3 2 4 3" xfId="28171"/>
    <cellStyle name="Currency 2 4 3 3 2 3 2 5" xfId="9726"/>
    <cellStyle name="Currency 2 4 3 3 2 3 2 5 2" xfId="28172"/>
    <cellStyle name="Currency 2 4 3 3 2 3 2 6" xfId="9727"/>
    <cellStyle name="Currency 2 4 3 3 2 3 3" xfId="9728"/>
    <cellStyle name="Currency 2 4 3 3 2 3 3 2" xfId="9729"/>
    <cellStyle name="Currency 2 4 3 3 2 3 3 2 2" xfId="28173"/>
    <cellStyle name="Currency 2 4 3 3 2 3 3 3" xfId="28174"/>
    <cellStyle name="Currency 2 4 3 3 2 3 4" xfId="9730"/>
    <cellStyle name="Currency 2 4 3 3 2 3 4 2" xfId="9731"/>
    <cellStyle name="Currency 2 4 3 3 2 3 4 2 2" xfId="28175"/>
    <cellStyle name="Currency 2 4 3 3 2 3 4 3" xfId="28176"/>
    <cellStyle name="Currency 2 4 3 3 2 3 5" xfId="9732"/>
    <cellStyle name="Currency 2 4 3 3 2 3 5 2" xfId="9733"/>
    <cellStyle name="Currency 2 4 3 3 2 3 5 2 2" xfId="28177"/>
    <cellStyle name="Currency 2 4 3 3 2 3 5 3" xfId="28178"/>
    <cellStyle name="Currency 2 4 3 3 2 3 6" xfId="9734"/>
    <cellStyle name="Currency 2 4 3 3 2 3 6 2" xfId="28179"/>
    <cellStyle name="Currency 2 4 3 3 2 3 7" xfId="9735"/>
    <cellStyle name="Currency 2 4 3 3 2 4" xfId="1694"/>
    <cellStyle name="Currency 2 4 3 3 2 4 2" xfId="9736"/>
    <cellStyle name="Currency 2 4 3 3 2 4 2 2" xfId="9737"/>
    <cellStyle name="Currency 2 4 3 3 2 4 2 2 2" xfId="28180"/>
    <cellStyle name="Currency 2 4 3 3 2 4 2 3" xfId="28181"/>
    <cellStyle name="Currency 2 4 3 3 2 4 3" xfId="9738"/>
    <cellStyle name="Currency 2 4 3 3 2 4 3 2" xfId="9739"/>
    <cellStyle name="Currency 2 4 3 3 2 4 3 2 2" xfId="28182"/>
    <cellStyle name="Currency 2 4 3 3 2 4 3 3" xfId="28183"/>
    <cellStyle name="Currency 2 4 3 3 2 4 4" xfId="9740"/>
    <cellStyle name="Currency 2 4 3 3 2 4 4 2" xfId="9741"/>
    <cellStyle name="Currency 2 4 3 3 2 4 4 2 2" xfId="28184"/>
    <cellStyle name="Currency 2 4 3 3 2 4 4 3" xfId="28185"/>
    <cellStyle name="Currency 2 4 3 3 2 4 5" xfId="9742"/>
    <cellStyle name="Currency 2 4 3 3 2 4 5 2" xfId="28186"/>
    <cellStyle name="Currency 2 4 3 3 2 4 6" xfId="9743"/>
    <cellStyle name="Currency 2 4 3 3 2 5" xfId="9744"/>
    <cellStyle name="Currency 2 4 3 3 2 5 2" xfId="9745"/>
    <cellStyle name="Currency 2 4 3 3 2 5 2 2" xfId="28187"/>
    <cellStyle name="Currency 2 4 3 3 2 5 3" xfId="28188"/>
    <cellStyle name="Currency 2 4 3 3 2 6" xfId="9746"/>
    <cellStyle name="Currency 2 4 3 3 2 6 2" xfId="9747"/>
    <cellStyle name="Currency 2 4 3 3 2 6 2 2" xfId="28189"/>
    <cellStyle name="Currency 2 4 3 3 2 6 3" xfId="28190"/>
    <cellStyle name="Currency 2 4 3 3 2 7" xfId="9748"/>
    <cellStyle name="Currency 2 4 3 3 2 7 2" xfId="9749"/>
    <cellStyle name="Currency 2 4 3 3 2 7 2 2" xfId="28191"/>
    <cellStyle name="Currency 2 4 3 3 2 7 3" xfId="28192"/>
    <cellStyle name="Currency 2 4 3 3 2 8" xfId="9750"/>
    <cellStyle name="Currency 2 4 3 3 2 8 2" xfId="28193"/>
    <cellStyle name="Currency 2 4 3 3 2 9" xfId="9751"/>
    <cellStyle name="Currency 2 4 3 3 3" xfId="1050"/>
    <cellStyle name="Currency 2 4 3 3 3 2" xfId="1695"/>
    <cellStyle name="Currency 2 4 3 3 3 2 2" xfId="9752"/>
    <cellStyle name="Currency 2 4 3 3 3 2 2 2" xfId="9753"/>
    <cellStyle name="Currency 2 4 3 3 3 2 2 2 2" xfId="28194"/>
    <cellStyle name="Currency 2 4 3 3 3 2 2 3" xfId="28195"/>
    <cellStyle name="Currency 2 4 3 3 3 2 3" xfId="9754"/>
    <cellStyle name="Currency 2 4 3 3 3 2 3 2" xfId="9755"/>
    <cellStyle name="Currency 2 4 3 3 3 2 3 2 2" xfId="28196"/>
    <cellStyle name="Currency 2 4 3 3 3 2 3 3" xfId="28197"/>
    <cellStyle name="Currency 2 4 3 3 3 2 4" xfId="9756"/>
    <cellStyle name="Currency 2 4 3 3 3 2 4 2" xfId="9757"/>
    <cellStyle name="Currency 2 4 3 3 3 2 4 2 2" xfId="28198"/>
    <cellStyle name="Currency 2 4 3 3 3 2 4 3" xfId="28199"/>
    <cellStyle name="Currency 2 4 3 3 3 2 5" xfId="9758"/>
    <cellStyle name="Currency 2 4 3 3 3 2 5 2" xfId="28200"/>
    <cellStyle name="Currency 2 4 3 3 3 2 6" xfId="9759"/>
    <cellStyle name="Currency 2 4 3 3 3 3" xfId="9760"/>
    <cellStyle name="Currency 2 4 3 3 3 3 2" xfId="9761"/>
    <cellStyle name="Currency 2 4 3 3 3 3 2 2" xfId="28201"/>
    <cellStyle name="Currency 2 4 3 3 3 3 3" xfId="28202"/>
    <cellStyle name="Currency 2 4 3 3 3 4" xfId="9762"/>
    <cellStyle name="Currency 2 4 3 3 3 4 2" xfId="9763"/>
    <cellStyle name="Currency 2 4 3 3 3 4 2 2" xfId="28203"/>
    <cellStyle name="Currency 2 4 3 3 3 4 3" xfId="28204"/>
    <cellStyle name="Currency 2 4 3 3 3 5" xfId="9764"/>
    <cellStyle name="Currency 2 4 3 3 3 5 2" xfId="9765"/>
    <cellStyle name="Currency 2 4 3 3 3 5 2 2" xfId="28205"/>
    <cellStyle name="Currency 2 4 3 3 3 5 3" xfId="28206"/>
    <cellStyle name="Currency 2 4 3 3 3 6" xfId="9766"/>
    <cellStyle name="Currency 2 4 3 3 3 6 2" xfId="28207"/>
    <cellStyle name="Currency 2 4 3 3 3 7" xfId="9767"/>
    <cellStyle name="Currency 2 4 3 3 4" xfId="682"/>
    <cellStyle name="Currency 2 4 3 3 4 2" xfId="1696"/>
    <cellStyle name="Currency 2 4 3 3 4 2 2" xfId="9768"/>
    <cellStyle name="Currency 2 4 3 3 4 2 2 2" xfId="9769"/>
    <cellStyle name="Currency 2 4 3 3 4 2 2 2 2" xfId="28208"/>
    <cellStyle name="Currency 2 4 3 3 4 2 2 3" xfId="28209"/>
    <cellStyle name="Currency 2 4 3 3 4 2 3" xfId="9770"/>
    <cellStyle name="Currency 2 4 3 3 4 2 3 2" xfId="9771"/>
    <cellStyle name="Currency 2 4 3 3 4 2 3 2 2" xfId="28210"/>
    <cellStyle name="Currency 2 4 3 3 4 2 3 3" xfId="28211"/>
    <cellStyle name="Currency 2 4 3 3 4 2 4" xfId="9772"/>
    <cellStyle name="Currency 2 4 3 3 4 2 4 2" xfId="9773"/>
    <cellStyle name="Currency 2 4 3 3 4 2 4 2 2" xfId="28212"/>
    <cellStyle name="Currency 2 4 3 3 4 2 4 3" xfId="28213"/>
    <cellStyle name="Currency 2 4 3 3 4 2 5" xfId="9774"/>
    <cellStyle name="Currency 2 4 3 3 4 2 5 2" xfId="28214"/>
    <cellStyle name="Currency 2 4 3 3 4 2 6" xfId="9775"/>
    <cellStyle name="Currency 2 4 3 3 4 3" xfId="9776"/>
    <cellStyle name="Currency 2 4 3 3 4 3 2" xfId="9777"/>
    <cellStyle name="Currency 2 4 3 3 4 3 2 2" xfId="28215"/>
    <cellStyle name="Currency 2 4 3 3 4 3 3" xfId="28216"/>
    <cellStyle name="Currency 2 4 3 3 4 4" xfId="9778"/>
    <cellStyle name="Currency 2 4 3 3 4 4 2" xfId="9779"/>
    <cellStyle name="Currency 2 4 3 3 4 4 2 2" xfId="28217"/>
    <cellStyle name="Currency 2 4 3 3 4 4 3" xfId="28218"/>
    <cellStyle name="Currency 2 4 3 3 4 5" xfId="9780"/>
    <cellStyle name="Currency 2 4 3 3 4 5 2" xfId="9781"/>
    <cellStyle name="Currency 2 4 3 3 4 5 2 2" xfId="28219"/>
    <cellStyle name="Currency 2 4 3 3 4 5 3" xfId="28220"/>
    <cellStyle name="Currency 2 4 3 3 4 6" xfId="9782"/>
    <cellStyle name="Currency 2 4 3 3 4 6 2" xfId="28221"/>
    <cellStyle name="Currency 2 4 3 3 4 7" xfId="9783"/>
    <cellStyle name="Currency 2 4 3 3 5" xfId="1697"/>
    <cellStyle name="Currency 2 4 3 3 5 2" xfId="9784"/>
    <cellStyle name="Currency 2 4 3 3 5 2 2" xfId="9785"/>
    <cellStyle name="Currency 2 4 3 3 5 2 2 2" xfId="28222"/>
    <cellStyle name="Currency 2 4 3 3 5 2 3" xfId="28223"/>
    <cellStyle name="Currency 2 4 3 3 5 3" xfId="9786"/>
    <cellStyle name="Currency 2 4 3 3 5 3 2" xfId="9787"/>
    <cellStyle name="Currency 2 4 3 3 5 3 2 2" xfId="28224"/>
    <cellStyle name="Currency 2 4 3 3 5 3 3" xfId="28225"/>
    <cellStyle name="Currency 2 4 3 3 5 4" xfId="9788"/>
    <cellStyle name="Currency 2 4 3 3 5 4 2" xfId="9789"/>
    <cellStyle name="Currency 2 4 3 3 5 4 2 2" xfId="28226"/>
    <cellStyle name="Currency 2 4 3 3 5 4 3" xfId="28227"/>
    <cellStyle name="Currency 2 4 3 3 5 5" xfId="9790"/>
    <cellStyle name="Currency 2 4 3 3 5 5 2" xfId="28228"/>
    <cellStyle name="Currency 2 4 3 3 5 6" xfId="9791"/>
    <cellStyle name="Currency 2 4 3 3 6" xfId="9792"/>
    <cellStyle name="Currency 2 4 3 3 6 2" xfId="9793"/>
    <cellStyle name="Currency 2 4 3 3 6 2 2" xfId="28229"/>
    <cellStyle name="Currency 2 4 3 3 6 3" xfId="28230"/>
    <cellStyle name="Currency 2 4 3 3 7" xfId="9794"/>
    <cellStyle name="Currency 2 4 3 3 7 2" xfId="9795"/>
    <cellStyle name="Currency 2 4 3 3 7 2 2" xfId="28231"/>
    <cellStyle name="Currency 2 4 3 3 7 3" xfId="28232"/>
    <cellStyle name="Currency 2 4 3 3 8" xfId="9796"/>
    <cellStyle name="Currency 2 4 3 3 8 2" xfId="9797"/>
    <cellStyle name="Currency 2 4 3 3 8 2 2" xfId="28233"/>
    <cellStyle name="Currency 2 4 3 3 8 3" xfId="28234"/>
    <cellStyle name="Currency 2 4 3 3 9" xfId="9798"/>
    <cellStyle name="Currency 2 4 3 3 9 2" xfId="28235"/>
    <cellStyle name="Currency 2 4 3 4" xfId="161"/>
    <cellStyle name="Currency 2 4 3 4 2" xfId="949"/>
    <cellStyle name="Currency 2 4 3 4 2 2" xfId="1698"/>
    <cellStyle name="Currency 2 4 3 4 2 2 2" xfId="9799"/>
    <cellStyle name="Currency 2 4 3 4 2 2 2 2" xfId="9800"/>
    <cellStyle name="Currency 2 4 3 4 2 2 2 2 2" xfId="28236"/>
    <cellStyle name="Currency 2 4 3 4 2 2 2 3" xfId="28237"/>
    <cellStyle name="Currency 2 4 3 4 2 2 3" xfId="9801"/>
    <cellStyle name="Currency 2 4 3 4 2 2 3 2" xfId="9802"/>
    <cellStyle name="Currency 2 4 3 4 2 2 3 2 2" xfId="28238"/>
    <cellStyle name="Currency 2 4 3 4 2 2 3 3" xfId="28239"/>
    <cellStyle name="Currency 2 4 3 4 2 2 4" xfId="9803"/>
    <cellStyle name="Currency 2 4 3 4 2 2 4 2" xfId="9804"/>
    <cellStyle name="Currency 2 4 3 4 2 2 4 2 2" xfId="28240"/>
    <cellStyle name="Currency 2 4 3 4 2 2 4 3" xfId="28241"/>
    <cellStyle name="Currency 2 4 3 4 2 2 5" xfId="9805"/>
    <cellStyle name="Currency 2 4 3 4 2 2 5 2" xfId="28242"/>
    <cellStyle name="Currency 2 4 3 4 2 2 6" xfId="9806"/>
    <cellStyle name="Currency 2 4 3 4 2 3" xfId="9807"/>
    <cellStyle name="Currency 2 4 3 4 2 3 2" xfId="9808"/>
    <cellStyle name="Currency 2 4 3 4 2 3 2 2" xfId="28243"/>
    <cellStyle name="Currency 2 4 3 4 2 3 3" xfId="28244"/>
    <cellStyle name="Currency 2 4 3 4 2 4" xfId="9809"/>
    <cellStyle name="Currency 2 4 3 4 2 4 2" xfId="9810"/>
    <cellStyle name="Currency 2 4 3 4 2 4 2 2" xfId="28245"/>
    <cellStyle name="Currency 2 4 3 4 2 4 3" xfId="28246"/>
    <cellStyle name="Currency 2 4 3 4 2 5" xfId="9811"/>
    <cellStyle name="Currency 2 4 3 4 2 5 2" xfId="9812"/>
    <cellStyle name="Currency 2 4 3 4 2 5 2 2" xfId="28247"/>
    <cellStyle name="Currency 2 4 3 4 2 5 3" xfId="28248"/>
    <cellStyle name="Currency 2 4 3 4 2 6" xfId="9813"/>
    <cellStyle name="Currency 2 4 3 4 2 6 2" xfId="28249"/>
    <cellStyle name="Currency 2 4 3 4 2 7" xfId="9814"/>
    <cellStyle name="Currency 2 4 3 4 3" xfId="581"/>
    <cellStyle name="Currency 2 4 3 4 3 2" xfId="1699"/>
    <cellStyle name="Currency 2 4 3 4 3 2 2" xfId="9815"/>
    <cellStyle name="Currency 2 4 3 4 3 2 2 2" xfId="9816"/>
    <cellStyle name="Currency 2 4 3 4 3 2 2 2 2" xfId="28250"/>
    <cellStyle name="Currency 2 4 3 4 3 2 2 3" xfId="28251"/>
    <cellStyle name="Currency 2 4 3 4 3 2 3" xfId="9817"/>
    <cellStyle name="Currency 2 4 3 4 3 2 3 2" xfId="9818"/>
    <cellStyle name="Currency 2 4 3 4 3 2 3 2 2" xfId="28252"/>
    <cellStyle name="Currency 2 4 3 4 3 2 3 3" xfId="28253"/>
    <cellStyle name="Currency 2 4 3 4 3 2 4" xfId="9819"/>
    <cellStyle name="Currency 2 4 3 4 3 2 4 2" xfId="9820"/>
    <cellStyle name="Currency 2 4 3 4 3 2 4 2 2" xfId="28254"/>
    <cellStyle name="Currency 2 4 3 4 3 2 4 3" xfId="28255"/>
    <cellStyle name="Currency 2 4 3 4 3 2 5" xfId="9821"/>
    <cellStyle name="Currency 2 4 3 4 3 2 5 2" xfId="28256"/>
    <cellStyle name="Currency 2 4 3 4 3 2 6" xfId="9822"/>
    <cellStyle name="Currency 2 4 3 4 3 3" xfId="9823"/>
    <cellStyle name="Currency 2 4 3 4 3 3 2" xfId="9824"/>
    <cellStyle name="Currency 2 4 3 4 3 3 2 2" xfId="28257"/>
    <cellStyle name="Currency 2 4 3 4 3 3 3" xfId="28258"/>
    <cellStyle name="Currency 2 4 3 4 3 4" xfId="9825"/>
    <cellStyle name="Currency 2 4 3 4 3 4 2" xfId="9826"/>
    <cellStyle name="Currency 2 4 3 4 3 4 2 2" xfId="28259"/>
    <cellStyle name="Currency 2 4 3 4 3 4 3" xfId="28260"/>
    <cellStyle name="Currency 2 4 3 4 3 5" xfId="9827"/>
    <cellStyle name="Currency 2 4 3 4 3 5 2" xfId="9828"/>
    <cellStyle name="Currency 2 4 3 4 3 5 2 2" xfId="28261"/>
    <cellStyle name="Currency 2 4 3 4 3 5 3" xfId="28262"/>
    <cellStyle name="Currency 2 4 3 4 3 6" xfId="9829"/>
    <cellStyle name="Currency 2 4 3 4 3 6 2" xfId="28263"/>
    <cellStyle name="Currency 2 4 3 4 3 7" xfId="9830"/>
    <cellStyle name="Currency 2 4 3 4 4" xfId="1700"/>
    <cellStyle name="Currency 2 4 3 4 4 2" xfId="9831"/>
    <cellStyle name="Currency 2 4 3 4 4 2 2" xfId="9832"/>
    <cellStyle name="Currency 2 4 3 4 4 2 2 2" xfId="28264"/>
    <cellStyle name="Currency 2 4 3 4 4 2 3" xfId="28265"/>
    <cellStyle name="Currency 2 4 3 4 4 3" xfId="9833"/>
    <cellStyle name="Currency 2 4 3 4 4 3 2" xfId="9834"/>
    <cellStyle name="Currency 2 4 3 4 4 3 2 2" xfId="28266"/>
    <cellStyle name="Currency 2 4 3 4 4 3 3" xfId="28267"/>
    <cellStyle name="Currency 2 4 3 4 4 4" xfId="9835"/>
    <cellStyle name="Currency 2 4 3 4 4 4 2" xfId="9836"/>
    <cellStyle name="Currency 2 4 3 4 4 4 2 2" xfId="28268"/>
    <cellStyle name="Currency 2 4 3 4 4 4 3" xfId="28269"/>
    <cellStyle name="Currency 2 4 3 4 4 5" xfId="9837"/>
    <cellStyle name="Currency 2 4 3 4 4 5 2" xfId="28270"/>
    <cellStyle name="Currency 2 4 3 4 4 6" xfId="9838"/>
    <cellStyle name="Currency 2 4 3 4 5" xfId="9839"/>
    <cellStyle name="Currency 2 4 3 4 5 2" xfId="9840"/>
    <cellStyle name="Currency 2 4 3 4 5 2 2" xfId="28271"/>
    <cellStyle name="Currency 2 4 3 4 5 3" xfId="28272"/>
    <cellStyle name="Currency 2 4 3 4 6" xfId="9841"/>
    <cellStyle name="Currency 2 4 3 4 6 2" xfId="9842"/>
    <cellStyle name="Currency 2 4 3 4 6 2 2" xfId="28273"/>
    <cellStyle name="Currency 2 4 3 4 6 3" xfId="28274"/>
    <cellStyle name="Currency 2 4 3 4 7" xfId="9843"/>
    <cellStyle name="Currency 2 4 3 4 7 2" xfId="9844"/>
    <cellStyle name="Currency 2 4 3 4 7 2 2" xfId="28275"/>
    <cellStyle name="Currency 2 4 3 4 7 3" xfId="28276"/>
    <cellStyle name="Currency 2 4 3 4 8" xfId="9845"/>
    <cellStyle name="Currency 2 4 3 4 8 2" xfId="28277"/>
    <cellStyle name="Currency 2 4 3 4 9" xfId="9846"/>
    <cellStyle name="Currency 2 4 3 5" xfId="319"/>
    <cellStyle name="Currency 2 4 3 5 2" xfId="1107"/>
    <cellStyle name="Currency 2 4 3 5 2 2" xfId="1701"/>
    <cellStyle name="Currency 2 4 3 5 2 2 2" xfId="9847"/>
    <cellStyle name="Currency 2 4 3 5 2 2 2 2" xfId="9848"/>
    <cellStyle name="Currency 2 4 3 5 2 2 2 2 2" xfId="28278"/>
    <cellStyle name="Currency 2 4 3 5 2 2 2 3" xfId="28279"/>
    <cellStyle name="Currency 2 4 3 5 2 2 3" xfId="9849"/>
    <cellStyle name="Currency 2 4 3 5 2 2 3 2" xfId="9850"/>
    <cellStyle name="Currency 2 4 3 5 2 2 3 2 2" xfId="28280"/>
    <cellStyle name="Currency 2 4 3 5 2 2 3 3" xfId="28281"/>
    <cellStyle name="Currency 2 4 3 5 2 2 4" xfId="9851"/>
    <cellStyle name="Currency 2 4 3 5 2 2 4 2" xfId="9852"/>
    <cellStyle name="Currency 2 4 3 5 2 2 4 2 2" xfId="28282"/>
    <cellStyle name="Currency 2 4 3 5 2 2 4 3" xfId="28283"/>
    <cellStyle name="Currency 2 4 3 5 2 2 5" xfId="9853"/>
    <cellStyle name="Currency 2 4 3 5 2 2 5 2" xfId="28284"/>
    <cellStyle name="Currency 2 4 3 5 2 2 6" xfId="9854"/>
    <cellStyle name="Currency 2 4 3 5 2 3" xfId="9855"/>
    <cellStyle name="Currency 2 4 3 5 2 3 2" xfId="9856"/>
    <cellStyle name="Currency 2 4 3 5 2 3 2 2" xfId="28285"/>
    <cellStyle name="Currency 2 4 3 5 2 3 3" xfId="28286"/>
    <cellStyle name="Currency 2 4 3 5 2 4" xfId="9857"/>
    <cellStyle name="Currency 2 4 3 5 2 4 2" xfId="9858"/>
    <cellStyle name="Currency 2 4 3 5 2 4 2 2" xfId="28287"/>
    <cellStyle name="Currency 2 4 3 5 2 4 3" xfId="28288"/>
    <cellStyle name="Currency 2 4 3 5 2 5" xfId="9859"/>
    <cellStyle name="Currency 2 4 3 5 2 5 2" xfId="9860"/>
    <cellStyle name="Currency 2 4 3 5 2 5 2 2" xfId="28289"/>
    <cellStyle name="Currency 2 4 3 5 2 5 3" xfId="28290"/>
    <cellStyle name="Currency 2 4 3 5 2 6" xfId="9861"/>
    <cellStyle name="Currency 2 4 3 5 2 6 2" xfId="28291"/>
    <cellStyle name="Currency 2 4 3 5 2 7" xfId="9862"/>
    <cellStyle name="Currency 2 4 3 5 3" xfId="739"/>
    <cellStyle name="Currency 2 4 3 5 3 2" xfId="1702"/>
    <cellStyle name="Currency 2 4 3 5 3 2 2" xfId="9863"/>
    <cellStyle name="Currency 2 4 3 5 3 2 2 2" xfId="9864"/>
    <cellStyle name="Currency 2 4 3 5 3 2 2 2 2" xfId="28292"/>
    <cellStyle name="Currency 2 4 3 5 3 2 2 3" xfId="28293"/>
    <cellStyle name="Currency 2 4 3 5 3 2 3" xfId="9865"/>
    <cellStyle name="Currency 2 4 3 5 3 2 3 2" xfId="9866"/>
    <cellStyle name="Currency 2 4 3 5 3 2 3 2 2" xfId="28294"/>
    <cellStyle name="Currency 2 4 3 5 3 2 3 3" xfId="28295"/>
    <cellStyle name="Currency 2 4 3 5 3 2 4" xfId="9867"/>
    <cellStyle name="Currency 2 4 3 5 3 2 4 2" xfId="9868"/>
    <cellStyle name="Currency 2 4 3 5 3 2 4 2 2" xfId="28296"/>
    <cellStyle name="Currency 2 4 3 5 3 2 4 3" xfId="28297"/>
    <cellStyle name="Currency 2 4 3 5 3 2 5" xfId="9869"/>
    <cellStyle name="Currency 2 4 3 5 3 2 5 2" xfId="28298"/>
    <cellStyle name="Currency 2 4 3 5 3 2 6" xfId="9870"/>
    <cellStyle name="Currency 2 4 3 5 3 3" xfId="9871"/>
    <cellStyle name="Currency 2 4 3 5 3 3 2" xfId="9872"/>
    <cellStyle name="Currency 2 4 3 5 3 3 2 2" xfId="28299"/>
    <cellStyle name="Currency 2 4 3 5 3 3 3" xfId="28300"/>
    <cellStyle name="Currency 2 4 3 5 3 4" xfId="9873"/>
    <cellStyle name="Currency 2 4 3 5 3 4 2" xfId="9874"/>
    <cellStyle name="Currency 2 4 3 5 3 4 2 2" xfId="28301"/>
    <cellStyle name="Currency 2 4 3 5 3 4 3" xfId="28302"/>
    <cellStyle name="Currency 2 4 3 5 3 5" xfId="9875"/>
    <cellStyle name="Currency 2 4 3 5 3 5 2" xfId="9876"/>
    <cellStyle name="Currency 2 4 3 5 3 5 2 2" xfId="28303"/>
    <cellStyle name="Currency 2 4 3 5 3 5 3" xfId="28304"/>
    <cellStyle name="Currency 2 4 3 5 3 6" xfId="9877"/>
    <cellStyle name="Currency 2 4 3 5 3 6 2" xfId="28305"/>
    <cellStyle name="Currency 2 4 3 5 3 7" xfId="9878"/>
    <cellStyle name="Currency 2 4 3 5 4" xfId="1703"/>
    <cellStyle name="Currency 2 4 3 5 4 2" xfId="9879"/>
    <cellStyle name="Currency 2 4 3 5 4 2 2" xfId="9880"/>
    <cellStyle name="Currency 2 4 3 5 4 2 2 2" xfId="28306"/>
    <cellStyle name="Currency 2 4 3 5 4 2 3" xfId="28307"/>
    <cellStyle name="Currency 2 4 3 5 4 3" xfId="9881"/>
    <cellStyle name="Currency 2 4 3 5 4 3 2" xfId="9882"/>
    <cellStyle name="Currency 2 4 3 5 4 3 2 2" xfId="28308"/>
    <cellStyle name="Currency 2 4 3 5 4 3 3" xfId="28309"/>
    <cellStyle name="Currency 2 4 3 5 4 4" xfId="9883"/>
    <cellStyle name="Currency 2 4 3 5 4 4 2" xfId="9884"/>
    <cellStyle name="Currency 2 4 3 5 4 4 2 2" xfId="28310"/>
    <cellStyle name="Currency 2 4 3 5 4 4 3" xfId="28311"/>
    <cellStyle name="Currency 2 4 3 5 4 5" xfId="9885"/>
    <cellStyle name="Currency 2 4 3 5 4 5 2" xfId="28312"/>
    <cellStyle name="Currency 2 4 3 5 4 6" xfId="9886"/>
    <cellStyle name="Currency 2 4 3 5 5" xfId="9887"/>
    <cellStyle name="Currency 2 4 3 5 5 2" xfId="9888"/>
    <cellStyle name="Currency 2 4 3 5 5 2 2" xfId="28313"/>
    <cellStyle name="Currency 2 4 3 5 5 3" xfId="28314"/>
    <cellStyle name="Currency 2 4 3 5 6" xfId="9889"/>
    <cellStyle name="Currency 2 4 3 5 6 2" xfId="9890"/>
    <cellStyle name="Currency 2 4 3 5 6 2 2" xfId="28315"/>
    <cellStyle name="Currency 2 4 3 5 6 3" xfId="28316"/>
    <cellStyle name="Currency 2 4 3 5 7" xfId="9891"/>
    <cellStyle name="Currency 2 4 3 5 7 2" xfId="9892"/>
    <cellStyle name="Currency 2 4 3 5 7 2 2" xfId="28317"/>
    <cellStyle name="Currency 2 4 3 5 7 3" xfId="28318"/>
    <cellStyle name="Currency 2 4 3 5 8" xfId="9893"/>
    <cellStyle name="Currency 2 4 3 5 8 2" xfId="28319"/>
    <cellStyle name="Currency 2 4 3 5 9" xfId="9894"/>
    <cellStyle name="Currency 2 4 3 6" xfId="108"/>
    <cellStyle name="Currency 2 4 3 6 2" xfId="529"/>
    <cellStyle name="Currency 2 4 3 6 2 2" xfId="1704"/>
    <cellStyle name="Currency 2 4 3 6 2 2 2" xfId="9895"/>
    <cellStyle name="Currency 2 4 3 6 2 2 2 2" xfId="9896"/>
    <cellStyle name="Currency 2 4 3 6 2 2 2 2 2" xfId="28320"/>
    <cellStyle name="Currency 2 4 3 6 2 2 2 3" xfId="28321"/>
    <cellStyle name="Currency 2 4 3 6 2 2 3" xfId="9897"/>
    <cellStyle name="Currency 2 4 3 6 2 2 3 2" xfId="9898"/>
    <cellStyle name="Currency 2 4 3 6 2 2 3 2 2" xfId="28322"/>
    <cellStyle name="Currency 2 4 3 6 2 2 3 3" xfId="28323"/>
    <cellStyle name="Currency 2 4 3 6 2 2 4" xfId="9899"/>
    <cellStyle name="Currency 2 4 3 6 2 2 4 2" xfId="9900"/>
    <cellStyle name="Currency 2 4 3 6 2 2 4 2 2" xfId="28324"/>
    <cellStyle name="Currency 2 4 3 6 2 2 4 3" xfId="28325"/>
    <cellStyle name="Currency 2 4 3 6 2 2 5" xfId="9901"/>
    <cellStyle name="Currency 2 4 3 6 2 2 5 2" xfId="28326"/>
    <cellStyle name="Currency 2 4 3 6 2 2 6" xfId="9902"/>
    <cellStyle name="Currency 2 4 3 6 2 3" xfId="9903"/>
    <cellStyle name="Currency 2 4 3 6 2 3 2" xfId="9904"/>
    <cellStyle name="Currency 2 4 3 6 2 3 2 2" xfId="28327"/>
    <cellStyle name="Currency 2 4 3 6 2 3 3" xfId="28328"/>
    <cellStyle name="Currency 2 4 3 6 2 4" xfId="9905"/>
    <cellStyle name="Currency 2 4 3 6 2 4 2" xfId="9906"/>
    <cellStyle name="Currency 2 4 3 6 2 4 2 2" xfId="28329"/>
    <cellStyle name="Currency 2 4 3 6 2 4 3" xfId="28330"/>
    <cellStyle name="Currency 2 4 3 6 2 5" xfId="9907"/>
    <cellStyle name="Currency 2 4 3 6 2 5 2" xfId="9908"/>
    <cellStyle name="Currency 2 4 3 6 2 5 2 2" xfId="28331"/>
    <cellStyle name="Currency 2 4 3 6 2 5 3" xfId="28332"/>
    <cellStyle name="Currency 2 4 3 6 2 6" xfId="9909"/>
    <cellStyle name="Currency 2 4 3 6 2 6 2" xfId="28333"/>
    <cellStyle name="Currency 2 4 3 6 2 7" xfId="9910"/>
    <cellStyle name="Currency 2 4 3 6 3" xfId="1705"/>
    <cellStyle name="Currency 2 4 3 6 3 2" xfId="9911"/>
    <cellStyle name="Currency 2 4 3 6 3 2 2" xfId="9912"/>
    <cellStyle name="Currency 2 4 3 6 3 2 2 2" xfId="28334"/>
    <cellStyle name="Currency 2 4 3 6 3 2 3" xfId="28335"/>
    <cellStyle name="Currency 2 4 3 6 3 3" xfId="9913"/>
    <cellStyle name="Currency 2 4 3 6 3 3 2" xfId="9914"/>
    <cellStyle name="Currency 2 4 3 6 3 3 2 2" xfId="28336"/>
    <cellStyle name="Currency 2 4 3 6 3 3 3" xfId="28337"/>
    <cellStyle name="Currency 2 4 3 6 3 4" xfId="9915"/>
    <cellStyle name="Currency 2 4 3 6 3 4 2" xfId="9916"/>
    <cellStyle name="Currency 2 4 3 6 3 4 2 2" xfId="28338"/>
    <cellStyle name="Currency 2 4 3 6 3 4 3" xfId="28339"/>
    <cellStyle name="Currency 2 4 3 6 3 5" xfId="9917"/>
    <cellStyle name="Currency 2 4 3 6 3 5 2" xfId="28340"/>
    <cellStyle name="Currency 2 4 3 6 3 6" xfId="9918"/>
    <cellStyle name="Currency 2 4 3 6 4" xfId="9919"/>
    <cellStyle name="Currency 2 4 3 6 4 2" xfId="9920"/>
    <cellStyle name="Currency 2 4 3 6 4 2 2" xfId="28341"/>
    <cellStyle name="Currency 2 4 3 6 4 3" xfId="28342"/>
    <cellStyle name="Currency 2 4 3 6 5" xfId="9921"/>
    <cellStyle name="Currency 2 4 3 6 5 2" xfId="9922"/>
    <cellStyle name="Currency 2 4 3 6 5 2 2" xfId="28343"/>
    <cellStyle name="Currency 2 4 3 6 5 3" xfId="28344"/>
    <cellStyle name="Currency 2 4 3 6 6" xfId="9923"/>
    <cellStyle name="Currency 2 4 3 6 6 2" xfId="9924"/>
    <cellStyle name="Currency 2 4 3 6 6 2 2" xfId="28345"/>
    <cellStyle name="Currency 2 4 3 6 6 3" xfId="28346"/>
    <cellStyle name="Currency 2 4 3 6 7" xfId="9925"/>
    <cellStyle name="Currency 2 4 3 6 7 2" xfId="28347"/>
    <cellStyle name="Currency 2 4 3 6 8" xfId="9926"/>
    <cellStyle name="Currency 2 4 3 7" xfId="897"/>
    <cellStyle name="Currency 2 4 3 7 2" xfId="1706"/>
    <cellStyle name="Currency 2 4 3 7 2 2" xfId="9927"/>
    <cellStyle name="Currency 2 4 3 7 2 2 2" xfId="9928"/>
    <cellStyle name="Currency 2 4 3 7 2 2 2 2" xfId="28348"/>
    <cellStyle name="Currency 2 4 3 7 2 2 3" xfId="28349"/>
    <cellStyle name="Currency 2 4 3 7 2 3" xfId="9929"/>
    <cellStyle name="Currency 2 4 3 7 2 3 2" xfId="9930"/>
    <cellStyle name="Currency 2 4 3 7 2 3 2 2" xfId="28350"/>
    <cellStyle name="Currency 2 4 3 7 2 3 3" xfId="28351"/>
    <cellStyle name="Currency 2 4 3 7 2 4" xfId="9931"/>
    <cellStyle name="Currency 2 4 3 7 2 4 2" xfId="9932"/>
    <cellStyle name="Currency 2 4 3 7 2 4 2 2" xfId="28352"/>
    <cellStyle name="Currency 2 4 3 7 2 4 3" xfId="28353"/>
    <cellStyle name="Currency 2 4 3 7 2 5" xfId="9933"/>
    <cellStyle name="Currency 2 4 3 7 2 5 2" xfId="28354"/>
    <cellStyle name="Currency 2 4 3 7 2 6" xfId="9934"/>
    <cellStyle name="Currency 2 4 3 7 3" xfId="9935"/>
    <cellStyle name="Currency 2 4 3 7 3 2" xfId="9936"/>
    <cellStyle name="Currency 2 4 3 7 3 2 2" xfId="28355"/>
    <cellStyle name="Currency 2 4 3 7 3 3" xfId="28356"/>
    <cellStyle name="Currency 2 4 3 7 4" xfId="9937"/>
    <cellStyle name="Currency 2 4 3 7 4 2" xfId="9938"/>
    <cellStyle name="Currency 2 4 3 7 4 2 2" xfId="28357"/>
    <cellStyle name="Currency 2 4 3 7 4 3" xfId="28358"/>
    <cellStyle name="Currency 2 4 3 7 5" xfId="9939"/>
    <cellStyle name="Currency 2 4 3 7 5 2" xfId="9940"/>
    <cellStyle name="Currency 2 4 3 7 5 2 2" xfId="28359"/>
    <cellStyle name="Currency 2 4 3 7 5 3" xfId="28360"/>
    <cellStyle name="Currency 2 4 3 7 6" xfId="9941"/>
    <cellStyle name="Currency 2 4 3 7 6 2" xfId="28361"/>
    <cellStyle name="Currency 2 4 3 7 7" xfId="9942"/>
    <cellStyle name="Currency 2 4 3 8" xfId="478"/>
    <cellStyle name="Currency 2 4 3 8 2" xfId="1707"/>
    <cellStyle name="Currency 2 4 3 8 2 2" xfId="9943"/>
    <cellStyle name="Currency 2 4 3 8 2 2 2" xfId="9944"/>
    <cellStyle name="Currency 2 4 3 8 2 2 2 2" xfId="28362"/>
    <cellStyle name="Currency 2 4 3 8 2 2 3" xfId="28363"/>
    <cellStyle name="Currency 2 4 3 8 2 3" xfId="9945"/>
    <cellStyle name="Currency 2 4 3 8 2 3 2" xfId="9946"/>
    <cellStyle name="Currency 2 4 3 8 2 3 2 2" xfId="28364"/>
    <cellStyle name="Currency 2 4 3 8 2 3 3" xfId="28365"/>
    <cellStyle name="Currency 2 4 3 8 2 4" xfId="9947"/>
    <cellStyle name="Currency 2 4 3 8 2 4 2" xfId="9948"/>
    <cellStyle name="Currency 2 4 3 8 2 4 2 2" xfId="28366"/>
    <cellStyle name="Currency 2 4 3 8 2 4 3" xfId="28367"/>
    <cellStyle name="Currency 2 4 3 8 2 5" xfId="9949"/>
    <cellStyle name="Currency 2 4 3 8 2 5 2" xfId="28368"/>
    <cellStyle name="Currency 2 4 3 8 2 6" xfId="9950"/>
    <cellStyle name="Currency 2 4 3 8 3" xfId="9951"/>
    <cellStyle name="Currency 2 4 3 8 3 2" xfId="9952"/>
    <cellStyle name="Currency 2 4 3 8 3 2 2" xfId="28369"/>
    <cellStyle name="Currency 2 4 3 8 3 3" xfId="28370"/>
    <cellStyle name="Currency 2 4 3 8 4" xfId="9953"/>
    <cellStyle name="Currency 2 4 3 8 4 2" xfId="9954"/>
    <cellStyle name="Currency 2 4 3 8 4 2 2" xfId="28371"/>
    <cellStyle name="Currency 2 4 3 8 4 3" xfId="28372"/>
    <cellStyle name="Currency 2 4 3 8 5" xfId="9955"/>
    <cellStyle name="Currency 2 4 3 8 5 2" xfId="9956"/>
    <cellStyle name="Currency 2 4 3 8 5 2 2" xfId="28373"/>
    <cellStyle name="Currency 2 4 3 8 5 3" xfId="28374"/>
    <cellStyle name="Currency 2 4 3 8 6" xfId="9957"/>
    <cellStyle name="Currency 2 4 3 8 6 2" xfId="28375"/>
    <cellStyle name="Currency 2 4 3 8 7" xfId="9958"/>
    <cellStyle name="Currency 2 4 3 9" xfId="1708"/>
    <cellStyle name="Currency 2 4 3 9 2" xfId="9959"/>
    <cellStyle name="Currency 2 4 3 9 2 2" xfId="9960"/>
    <cellStyle name="Currency 2 4 3 9 2 2 2" xfId="28376"/>
    <cellStyle name="Currency 2 4 3 9 2 3" xfId="28377"/>
    <cellStyle name="Currency 2 4 3 9 3" xfId="9961"/>
    <cellStyle name="Currency 2 4 3 9 3 2" xfId="9962"/>
    <cellStyle name="Currency 2 4 3 9 3 2 2" xfId="28378"/>
    <cellStyle name="Currency 2 4 3 9 3 3" xfId="28379"/>
    <cellStyle name="Currency 2 4 3 9 4" xfId="9963"/>
    <cellStyle name="Currency 2 4 3 9 4 2" xfId="9964"/>
    <cellStyle name="Currency 2 4 3 9 4 2 2" xfId="28380"/>
    <cellStyle name="Currency 2 4 3 9 4 3" xfId="28381"/>
    <cellStyle name="Currency 2 4 3 9 5" xfId="9965"/>
    <cellStyle name="Currency 2 4 3 9 5 2" xfId="28382"/>
    <cellStyle name="Currency 2 4 3 9 6" xfId="9966"/>
    <cellStyle name="Currency 2 4 4" xfId="209"/>
    <cellStyle name="Currency 2 4 4 10" xfId="9967"/>
    <cellStyle name="Currency 2 4 4 2" xfId="367"/>
    <cellStyle name="Currency 2 4 4 2 2" xfId="1155"/>
    <cellStyle name="Currency 2 4 4 2 2 2" xfId="1709"/>
    <cellStyle name="Currency 2 4 4 2 2 2 2" xfId="9968"/>
    <cellStyle name="Currency 2 4 4 2 2 2 2 2" xfId="9969"/>
    <cellStyle name="Currency 2 4 4 2 2 2 2 2 2" xfId="28383"/>
    <cellStyle name="Currency 2 4 4 2 2 2 2 3" xfId="28384"/>
    <cellStyle name="Currency 2 4 4 2 2 2 3" xfId="9970"/>
    <cellStyle name="Currency 2 4 4 2 2 2 3 2" xfId="9971"/>
    <cellStyle name="Currency 2 4 4 2 2 2 3 2 2" xfId="28385"/>
    <cellStyle name="Currency 2 4 4 2 2 2 3 3" xfId="28386"/>
    <cellStyle name="Currency 2 4 4 2 2 2 4" xfId="9972"/>
    <cellStyle name="Currency 2 4 4 2 2 2 4 2" xfId="9973"/>
    <cellStyle name="Currency 2 4 4 2 2 2 4 2 2" xfId="28387"/>
    <cellStyle name="Currency 2 4 4 2 2 2 4 3" xfId="28388"/>
    <cellStyle name="Currency 2 4 4 2 2 2 5" xfId="9974"/>
    <cellStyle name="Currency 2 4 4 2 2 2 5 2" xfId="28389"/>
    <cellStyle name="Currency 2 4 4 2 2 2 6" xfId="9975"/>
    <cellStyle name="Currency 2 4 4 2 2 3" xfId="9976"/>
    <cellStyle name="Currency 2 4 4 2 2 3 2" xfId="9977"/>
    <cellStyle name="Currency 2 4 4 2 2 3 2 2" xfId="28390"/>
    <cellStyle name="Currency 2 4 4 2 2 3 3" xfId="28391"/>
    <cellStyle name="Currency 2 4 4 2 2 4" xfId="9978"/>
    <cellStyle name="Currency 2 4 4 2 2 4 2" xfId="9979"/>
    <cellStyle name="Currency 2 4 4 2 2 4 2 2" xfId="28392"/>
    <cellStyle name="Currency 2 4 4 2 2 4 3" xfId="28393"/>
    <cellStyle name="Currency 2 4 4 2 2 5" xfId="9980"/>
    <cellStyle name="Currency 2 4 4 2 2 5 2" xfId="9981"/>
    <cellStyle name="Currency 2 4 4 2 2 5 2 2" xfId="28394"/>
    <cellStyle name="Currency 2 4 4 2 2 5 3" xfId="28395"/>
    <cellStyle name="Currency 2 4 4 2 2 6" xfId="9982"/>
    <cellStyle name="Currency 2 4 4 2 2 6 2" xfId="28396"/>
    <cellStyle name="Currency 2 4 4 2 2 7" xfId="9983"/>
    <cellStyle name="Currency 2 4 4 2 3" xfId="787"/>
    <cellStyle name="Currency 2 4 4 2 3 2" xfId="1710"/>
    <cellStyle name="Currency 2 4 4 2 3 2 2" xfId="9984"/>
    <cellStyle name="Currency 2 4 4 2 3 2 2 2" xfId="9985"/>
    <cellStyle name="Currency 2 4 4 2 3 2 2 2 2" xfId="28397"/>
    <cellStyle name="Currency 2 4 4 2 3 2 2 3" xfId="28398"/>
    <cellStyle name="Currency 2 4 4 2 3 2 3" xfId="9986"/>
    <cellStyle name="Currency 2 4 4 2 3 2 3 2" xfId="9987"/>
    <cellStyle name="Currency 2 4 4 2 3 2 3 2 2" xfId="28399"/>
    <cellStyle name="Currency 2 4 4 2 3 2 3 3" xfId="28400"/>
    <cellStyle name="Currency 2 4 4 2 3 2 4" xfId="9988"/>
    <cellStyle name="Currency 2 4 4 2 3 2 4 2" xfId="9989"/>
    <cellStyle name="Currency 2 4 4 2 3 2 4 2 2" xfId="28401"/>
    <cellStyle name="Currency 2 4 4 2 3 2 4 3" xfId="28402"/>
    <cellStyle name="Currency 2 4 4 2 3 2 5" xfId="9990"/>
    <cellStyle name="Currency 2 4 4 2 3 2 5 2" xfId="28403"/>
    <cellStyle name="Currency 2 4 4 2 3 2 6" xfId="9991"/>
    <cellStyle name="Currency 2 4 4 2 3 3" xfId="9992"/>
    <cellStyle name="Currency 2 4 4 2 3 3 2" xfId="9993"/>
    <cellStyle name="Currency 2 4 4 2 3 3 2 2" xfId="28404"/>
    <cellStyle name="Currency 2 4 4 2 3 3 3" xfId="28405"/>
    <cellStyle name="Currency 2 4 4 2 3 4" xfId="9994"/>
    <cellStyle name="Currency 2 4 4 2 3 4 2" xfId="9995"/>
    <cellStyle name="Currency 2 4 4 2 3 4 2 2" xfId="28406"/>
    <cellStyle name="Currency 2 4 4 2 3 4 3" xfId="28407"/>
    <cellStyle name="Currency 2 4 4 2 3 5" xfId="9996"/>
    <cellStyle name="Currency 2 4 4 2 3 5 2" xfId="9997"/>
    <cellStyle name="Currency 2 4 4 2 3 5 2 2" xfId="28408"/>
    <cellStyle name="Currency 2 4 4 2 3 5 3" xfId="28409"/>
    <cellStyle name="Currency 2 4 4 2 3 6" xfId="9998"/>
    <cellStyle name="Currency 2 4 4 2 3 6 2" xfId="28410"/>
    <cellStyle name="Currency 2 4 4 2 3 7" xfId="9999"/>
    <cellStyle name="Currency 2 4 4 2 4" xfId="1711"/>
    <cellStyle name="Currency 2 4 4 2 4 2" xfId="10000"/>
    <cellStyle name="Currency 2 4 4 2 4 2 2" xfId="10001"/>
    <cellStyle name="Currency 2 4 4 2 4 2 2 2" xfId="28411"/>
    <cellStyle name="Currency 2 4 4 2 4 2 3" xfId="28412"/>
    <cellStyle name="Currency 2 4 4 2 4 3" xfId="10002"/>
    <cellStyle name="Currency 2 4 4 2 4 3 2" xfId="10003"/>
    <cellStyle name="Currency 2 4 4 2 4 3 2 2" xfId="28413"/>
    <cellStyle name="Currency 2 4 4 2 4 3 3" xfId="28414"/>
    <cellStyle name="Currency 2 4 4 2 4 4" xfId="10004"/>
    <cellStyle name="Currency 2 4 4 2 4 4 2" xfId="10005"/>
    <cellStyle name="Currency 2 4 4 2 4 4 2 2" xfId="28415"/>
    <cellStyle name="Currency 2 4 4 2 4 4 3" xfId="28416"/>
    <cellStyle name="Currency 2 4 4 2 4 5" xfId="10006"/>
    <cellStyle name="Currency 2 4 4 2 4 5 2" xfId="28417"/>
    <cellStyle name="Currency 2 4 4 2 4 6" xfId="10007"/>
    <cellStyle name="Currency 2 4 4 2 5" xfId="10008"/>
    <cellStyle name="Currency 2 4 4 2 5 2" xfId="10009"/>
    <cellStyle name="Currency 2 4 4 2 5 2 2" xfId="28418"/>
    <cellStyle name="Currency 2 4 4 2 5 3" xfId="28419"/>
    <cellStyle name="Currency 2 4 4 2 6" xfId="10010"/>
    <cellStyle name="Currency 2 4 4 2 6 2" xfId="10011"/>
    <cellStyle name="Currency 2 4 4 2 6 2 2" xfId="28420"/>
    <cellStyle name="Currency 2 4 4 2 6 3" xfId="28421"/>
    <cellStyle name="Currency 2 4 4 2 7" xfId="10012"/>
    <cellStyle name="Currency 2 4 4 2 7 2" xfId="10013"/>
    <cellStyle name="Currency 2 4 4 2 7 2 2" xfId="28422"/>
    <cellStyle name="Currency 2 4 4 2 7 3" xfId="28423"/>
    <cellStyle name="Currency 2 4 4 2 8" xfId="10014"/>
    <cellStyle name="Currency 2 4 4 2 8 2" xfId="28424"/>
    <cellStyle name="Currency 2 4 4 2 9" xfId="10015"/>
    <cellStyle name="Currency 2 4 4 3" xfId="997"/>
    <cellStyle name="Currency 2 4 4 3 2" xfId="1712"/>
    <cellStyle name="Currency 2 4 4 3 2 2" xfId="10016"/>
    <cellStyle name="Currency 2 4 4 3 2 2 2" xfId="10017"/>
    <cellStyle name="Currency 2 4 4 3 2 2 2 2" xfId="28425"/>
    <cellStyle name="Currency 2 4 4 3 2 2 3" xfId="28426"/>
    <cellStyle name="Currency 2 4 4 3 2 3" xfId="10018"/>
    <cellStyle name="Currency 2 4 4 3 2 3 2" xfId="10019"/>
    <cellStyle name="Currency 2 4 4 3 2 3 2 2" xfId="28427"/>
    <cellStyle name="Currency 2 4 4 3 2 3 3" xfId="28428"/>
    <cellStyle name="Currency 2 4 4 3 2 4" xfId="10020"/>
    <cellStyle name="Currency 2 4 4 3 2 4 2" xfId="10021"/>
    <cellStyle name="Currency 2 4 4 3 2 4 2 2" xfId="28429"/>
    <cellStyle name="Currency 2 4 4 3 2 4 3" xfId="28430"/>
    <cellStyle name="Currency 2 4 4 3 2 5" xfId="10022"/>
    <cellStyle name="Currency 2 4 4 3 2 5 2" xfId="28431"/>
    <cellStyle name="Currency 2 4 4 3 2 6" xfId="10023"/>
    <cellStyle name="Currency 2 4 4 3 3" xfId="10024"/>
    <cellStyle name="Currency 2 4 4 3 3 2" xfId="10025"/>
    <cellStyle name="Currency 2 4 4 3 3 2 2" xfId="28432"/>
    <cellStyle name="Currency 2 4 4 3 3 3" xfId="28433"/>
    <cellStyle name="Currency 2 4 4 3 4" xfId="10026"/>
    <cellStyle name="Currency 2 4 4 3 4 2" xfId="10027"/>
    <cellStyle name="Currency 2 4 4 3 4 2 2" xfId="28434"/>
    <cellStyle name="Currency 2 4 4 3 4 3" xfId="28435"/>
    <cellStyle name="Currency 2 4 4 3 5" xfId="10028"/>
    <cellStyle name="Currency 2 4 4 3 5 2" xfId="10029"/>
    <cellStyle name="Currency 2 4 4 3 5 2 2" xfId="28436"/>
    <cellStyle name="Currency 2 4 4 3 5 3" xfId="28437"/>
    <cellStyle name="Currency 2 4 4 3 6" xfId="10030"/>
    <cellStyle name="Currency 2 4 4 3 6 2" xfId="28438"/>
    <cellStyle name="Currency 2 4 4 3 7" xfId="10031"/>
    <cellStyle name="Currency 2 4 4 4" xfId="629"/>
    <cellStyle name="Currency 2 4 4 4 2" xfId="1713"/>
    <cellStyle name="Currency 2 4 4 4 2 2" xfId="10032"/>
    <cellStyle name="Currency 2 4 4 4 2 2 2" xfId="10033"/>
    <cellStyle name="Currency 2 4 4 4 2 2 2 2" xfId="28439"/>
    <cellStyle name="Currency 2 4 4 4 2 2 3" xfId="28440"/>
    <cellStyle name="Currency 2 4 4 4 2 3" xfId="10034"/>
    <cellStyle name="Currency 2 4 4 4 2 3 2" xfId="10035"/>
    <cellStyle name="Currency 2 4 4 4 2 3 2 2" xfId="28441"/>
    <cellStyle name="Currency 2 4 4 4 2 3 3" xfId="28442"/>
    <cellStyle name="Currency 2 4 4 4 2 4" xfId="10036"/>
    <cellStyle name="Currency 2 4 4 4 2 4 2" xfId="10037"/>
    <cellStyle name="Currency 2 4 4 4 2 4 2 2" xfId="28443"/>
    <cellStyle name="Currency 2 4 4 4 2 4 3" xfId="28444"/>
    <cellStyle name="Currency 2 4 4 4 2 5" xfId="10038"/>
    <cellStyle name="Currency 2 4 4 4 2 5 2" xfId="28445"/>
    <cellStyle name="Currency 2 4 4 4 2 6" xfId="10039"/>
    <cellStyle name="Currency 2 4 4 4 3" xfId="10040"/>
    <cellStyle name="Currency 2 4 4 4 3 2" xfId="10041"/>
    <cellStyle name="Currency 2 4 4 4 3 2 2" xfId="28446"/>
    <cellStyle name="Currency 2 4 4 4 3 3" xfId="28447"/>
    <cellStyle name="Currency 2 4 4 4 4" xfId="10042"/>
    <cellStyle name="Currency 2 4 4 4 4 2" xfId="10043"/>
    <cellStyle name="Currency 2 4 4 4 4 2 2" xfId="28448"/>
    <cellStyle name="Currency 2 4 4 4 4 3" xfId="28449"/>
    <cellStyle name="Currency 2 4 4 4 5" xfId="10044"/>
    <cellStyle name="Currency 2 4 4 4 5 2" xfId="10045"/>
    <cellStyle name="Currency 2 4 4 4 5 2 2" xfId="28450"/>
    <cellStyle name="Currency 2 4 4 4 5 3" xfId="28451"/>
    <cellStyle name="Currency 2 4 4 4 6" xfId="10046"/>
    <cellStyle name="Currency 2 4 4 4 6 2" xfId="28452"/>
    <cellStyle name="Currency 2 4 4 4 7" xfId="10047"/>
    <cellStyle name="Currency 2 4 4 5" xfId="1714"/>
    <cellStyle name="Currency 2 4 4 5 2" xfId="10048"/>
    <cellStyle name="Currency 2 4 4 5 2 2" xfId="10049"/>
    <cellStyle name="Currency 2 4 4 5 2 2 2" xfId="28453"/>
    <cellStyle name="Currency 2 4 4 5 2 3" xfId="28454"/>
    <cellStyle name="Currency 2 4 4 5 3" xfId="10050"/>
    <cellStyle name="Currency 2 4 4 5 3 2" xfId="10051"/>
    <cellStyle name="Currency 2 4 4 5 3 2 2" xfId="28455"/>
    <cellStyle name="Currency 2 4 4 5 3 3" xfId="28456"/>
    <cellStyle name="Currency 2 4 4 5 4" xfId="10052"/>
    <cellStyle name="Currency 2 4 4 5 4 2" xfId="10053"/>
    <cellStyle name="Currency 2 4 4 5 4 2 2" xfId="28457"/>
    <cellStyle name="Currency 2 4 4 5 4 3" xfId="28458"/>
    <cellStyle name="Currency 2 4 4 5 5" xfId="10054"/>
    <cellStyle name="Currency 2 4 4 5 5 2" xfId="28459"/>
    <cellStyle name="Currency 2 4 4 5 6" xfId="10055"/>
    <cellStyle name="Currency 2 4 4 6" xfId="10056"/>
    <cellStyle name="Currency 2 4 4 6 2" xfId="10057"/>
    <cellStyle name="Currency 2 4 4 6 2 2" xfId="28460"/>
    <cellStyle name="Currency 2 4 4 6 3" xfId="28461"/>
    <cellStyle name="Currency 2 4 4 7" xfId="10058"/>
    <cellStyle name="Currency 2 4 4 7 2" xfId="10059"/>
    <cellStyle name="Currency 2 4 4 7 2 2" xfId="28462"/>
    <cellStyle name="Currency 2 4 4 7 3" xfId="28463"/>
    <cellStyle name="Currency 2 4 4 8" xfId="10060"/>
    <cellStyle name="Currency 2 4 4 8 2" xfId="10061"/>
    <cellStyle name="Currency 2 4 4 8 2 2" xfId="28464"/>
    <cellStyle name="Currency 2 4 4 8 3" xfId="28465"/>
    <cellStyle name="Currency 2 4 4 9" xfId="10062"/>
    <cellStyle name="Currency 2 4 4 9 2" xfId="28466"/>
    <cellStyle name="Currency 2 4 5" xfId="260"/>
    <cellStyle name="Currency 2 4 5 10" xfId="10063"/>
    <cellStyle name="Currency 2 4 5 2" xfId="418"/>
    <cellStyle name="Currency 2 4 5 2 2" xfId="1206"/>
    <cellStyle name="Currency 2 4 5 2 2 2" xfId="1715"/>
    <cellStyle name="Currency 2 4 5 2 2 2 2" xfId="10064"/>
    <cellStyle name="Currency 2 4 5 2 2 2 2 2" xfId="10065"/>
    <cellStyle name="Currency 2 4 5 2 2 2 2 2 2" xfId="28467"/>
    <cellStyle name="Currency 2 4 5 2 2 2 2 3" xfId="28468"/>
    <cellStyle name="Currency 2 4 5 2 2 2 3" xfId="10066"/>
    <cellStyle name="Currency 2 4 5 2 2 2 3 2" xfId="10067"/>
    <cellStyle name="Currency 2 4 5 2 2 2 3 2 2" xfId="28469"/>
    <cellStyle name="Currency 2 4 5 2 2 2 3 3" xfId="28470"/>
    <cellStyle name="Currency 2 4 5 2 2 2 4" xfId="10068"/>
    <cellStyle name="Currency 2 4 5 2 2 2 4 2" xfId="10069"/>
    <cellStyle name="Currency 2 4 5 2 2 2 4 2 2" xfId="28471"/>
    <cellStyle name="Currency 2 4 5 2 2 2 4 3" xfId="28472"/>
    <cellStyle name="Currency 2 4 5 2 2 2 5" xfId="10070"/>
    <cellStyle name="Currency 2 4 5 2 2 2 5 2" xfId="28473"/>
    <cellStyle name="Currency 2 4 5 2 2 2 6" xfId="10071"/>
    <cellStyle name="Currency 2 4 5 2 2 3" xfId="10072"/>
    <cellStyle name="Currency 2 4 5 2 2 3 2" xfId="10073"/>
    <cellStyle name="Currency 2 4 5 2 2 3 2 2" xfId="28474"/>
    <cellStyle name="Currency 2 4 5 2 2 3 3" xfId="28475"/>
    <cellStyle name="Currency 2 4 5 2 2 4" xfId="10074"/>
    <cellStyle name="Currency 2 4 5 2 2 4 2" xfId="10075"/>
    <cellStyle name="Currency 2 4 5 2 2 4 2 2" xfId="28476"/>
    <cellStyle name="Currency 2 4 5 2 2 4 3" xfId="28477"/>
    <cellStyle name="Currency 2 4 5 2 2 5" xfId="10076"/>
    <cellStyle name="Currency 2 4 5 2 2 5 2" xfId="10077"/>
    <cellStyle name="Currency 2 4 5 2 2 5 2 2" xfId="28478"/>
    <cellStyle name="Currency 2 4 5 2 2 5 3" xfId="28479"/>
    <cellStyle name="Currency 2 4 5 2 2 6" xfId="10078"/>
    <cellStyle name="Currency 2 4 5 2 2 6 2" xfId="28480"/>
    <cellStyle name="Currency 2 4 5 2 2 7" xfId="10079"/>
    <cellStyle name="Currency 2 4 5 2 3" xfId="838"/>
    <cellStyle name="Currency 2 4 5 2 3 2" xfId="1716"/>
    <cellStyle name="Currency 2 4 5 2 3 2 2" xfId="10080"/>
    <cellStyle name="Currency 2 4 5 2 3 2 2 2" xfId="10081"/>
    <cellStyle name="Currency 2 4 5 2 3 2 2 2 2" xfId="28481"/>
    <cellStyle name="Currency 2 4 5 2 3 2 2 3" xfId="28482"/>
    <cellStyle name="Currency 2 4 5 2 3 2 3" xfId="10082"/>
    <cellStyle name="Currency 2 4 5 2 3 2 3 2" xfId="10083"/>
    <cellStyle name="Currency 2 4 5 2 3 2 3 2 2" xfId="28483"/>
    <cellStyle name="Currency 2 4 5 2 3 2 3 3" xfId="28484"/>
    <cellStyle name="Currency 2 4 5 2 3 2 4" xfId="10084"/>
    <cellStyle name="Currency 2 4 5 2 3 2 4 2" xfId="10085"/>
    <cellStyle name="Currency 2 4 5 2 3 2 4 2 2" xfId="28485"/>
    <cellStyle name="Currency 2 4 5 2 3 2 4 3" xfId="28486"/>
    <cellStyle name="Currency 2 4 5 2 3 2 5" xfId="10086"/>
    <cellStyle name="Currency 2 4 5 2 3 2 5 2" xfId="28487"/>
    <cellStyle name="Currency 2 4 5 2 3 2 6" xfId="10087"/>
    <cellStyle name="Currency 2 4 5 2 3 3" xfId="10088"/>
    <cellStyle name="Currency 2 4 5 2 3 3 2" xfId="10089"/>
    <cellStyle name="Currency 2 4 5 2 3 3 2 2" xfId="28488"/>
    <cellStyle name="Currency 2 4 5 2 3 3 3" xfId="28489"/>
    <cellStyle name="Currency 2 4 5 2 3 4" xfId="10090"/>
    <cellStyle name="Currency 2 4 5 2 3 4 2" xfId="10091"/>
    <cellStyle name="Currency 2 4 5 2 3 4 2 2" xfId="28490"/>
    <cellStyle name="Currency 2 4 5 2 3 4 3" xfId="28491"/>
    <cellStyle name="Currency 2 4 5 2 3 5" xfId="10092"/>
    <cellStyle name="Currency 2 4 5 2 3 5 2" xfId="10093"/>
    <cellStyle name="Currency 2 4 5 2 3 5 2 2" xfId="28492"/>
    <cellStyle name="Currency 2 4 5 2 3 5 3" xfId="28493"/>
    <cellStyle name="Currency 2 4 5 2 3 6" xfId="10094"/>
    <cellStyle name="Currency 2 4 5 2 3 6 2" xfId="28494"/>
    <cellStyle name="Currency 2 4 5 2 3 7" xfId="10095"/>
    <cellStyle name="Currency 2 4 5 2 4" xfId="1717"/>
    <cellStyle name="Currency 2 4 5 2 4 2" xfId="10096"/>
    <cellStyle name="Currency 2 4 5 2 4 2 2" xfId="10097"/>
    <cellStyle name="Currency 2 4 5 2 4 2 2 2" xfId="28495"/>
    <cellStyle name="Currency 2 4 5 2 4 2 3" xfId="28496"/>
    <cellStyle name="Currency 2 4 5 2 4 3" xfId="10098"/>
    <cellStyle name="Currency 2 4 5 2 4 3 2" xfId="10099"/>
    <cellStyle name="Currency 2 4 5 2 4 3 2 2" xfId="28497"/>
    <cellStyle name="Currency 2 4 5 2 4 3 3" xfId="28498"/>
    <cellStyle name="Currency 2 4 5 2 4 4" xfId="10100"/>
    <cellStyle name="Currency 2 4 5 2 4 4 2" xfId="10101"/>
    <cellStyle name="Currency 2 4 5 2 4 4 2 2" xfId="28499"/>
    <cellStyle name="Currency 2 4 5 2 4 4 3" xfId="28500"/>
    <cellStyle name="Currency 2 4 5 2 4 5" xfId="10102"/>
    <cellStyle name="Currency 2 4 5 2 4 5 2" xfId="28501"/>
    <cellStyle name="Currency 2 4 5 2 4 6" xfId="10103"/>
    <cellStyle name="Currency 2 4 5 2 5" xfId="10104"/>
    <cellStyle name="Currency 2 4 5 2 5 2" xfId="10105"/>
    <cellStyle name="Currency 2 4 5 2 5 2 2" xfId="28502"/>
    <cellStyle name="Currency 2 4 5 2 5 3" xfId="28503"/>
    <cellStyle name="Currency 2 4 5 2 6" xfId="10106"/>
    <cellStyle name="Currency 2 4 5 2 6 2" xfId="10107"/>
    <cellStyle name="Currency 2 4 5 2 6 2 2" xfId="28504"/>
    <cellStyle name="Currency 2 4 5 2 6 3" xfId="28505"/>
    <cellStyle name="Currency 2 4 5 2 7" xfId="10108"/>
    <cellStyle name="Currency 2 4 5 2 7 2" xfId="10109"/>
    <cellStyle name="Currency 2 4 5 2 7 2 2" xfId="28506"/>
    <cellStyle name="Currency 2 4 5 2 7 3" xfId="28507"/>
    <cellStyle name="Currency 2 4 5 2 8" xfId="10110"/>
    <cellStyle name="Currency 2 4 5 2 8 2" xfId="28508"/>
    <cellStyle name="Currency 2 4 5 2 9" xfId="10111"/>
    <cellStyle name="Currency 2 4 5 3" xfId="1048"/>
    <cellStyle name="Currency 2 4 5 3 2" xfId="1718"/>
    <cellStyle name="Currency 2 4 5 3 2 2" xfId="10112"/>
    <cellStyle name="Currency 2 4 5 3 2 2 2" xfId="10113"/>
    <cellStyle name="Currency 2 4 5 3 2 2 2 2" xfId="28509"/>
    <cellStyle name="Currency 2 4 5 3 2 2 3" xfId="28510"/>
    <cellStyle name="Currency 2 4 5 3 2 3" xfId="10114"/>
    <cellStyle name="Currency 2 4 5 3 2 3 2" xfId="10115"/>
    <cellStyle name="Currency 2 4 5 3 2 3 2 2" xfId="28511"/>
    <cellStyle name="Currency 2 4 5 3 2 3 3" xfId="28512"/>
    <cellStyle name="Currency 2 4 5 3 2 4" xfId="10116"/>
    <cellStyle name="Currency 2 4 5 3 2 4 2" xfId="10117"/>
    <cellStyle name="Currency 2 4 5 3 2 4 2 2" xfId="28513"/>
    <cellStyle name="Currency 2 4 5 3 2 4 3" xfId="28514"/>
    <cellStyle name="Currency 2 4 5 3 2 5" xfId="10118"/>
    <cellStyle name="Currency 2 4 5 3 2 5 2" xfId="28515"/>
    <cellStyle name="Currency 2 4 5 3 2 6" xfId="10119"/>
    <cellStyle name="Currency 2 4 5 3 3" xfId="10120"/>
    <cellStyle name="Currency 2 4 5 3 3 2" xfId="10121"/>
    <cellStyle name="Currency 2 4 5 3 3 2 2" xfId="28516"/>
    <cellStyle name="Currency 2 4 5 3 3 3" xfId="28517"/>
    <cellStyle name="Currency 2 4 5 3 4" xfId="10122"/>
    <cellStyle name="Currency 2 4 5 3 4 2" xfId="10123"/>
    <cellStyle name="Currency 2 4 5 3 4 2 2" xfId="28518"/>
    <cellStyle name="Currency 2 4 5 3 4 3" xfId="28519"/>
    <cellStyle name="Currency 2 4 5 3 5" xfId="10124"/>
    <cellStyle name="Currency 2 4 5 3 5 2" xfId="10125"/>
    <cellStyle name="Currency 2 4 5 3 5 2 2" xfId="28520"/>
    <cellStyle name="Currency 2 4 5 3 5 3" xfId="28521"/>
    <cellStyle name="Currency 2 4 5 3 6" xfId="10126"/>
    <cellStyle name="Currency 2 4 5 3 6 2" xfId="28522"/>
    <cellStyle name="Currency 2 4 5 3 7" xfId="10127"/>
    <cellStyle name="Currency 2 4 5 4" xfId="680"/>
    <cellStyle name="Currency 2 4 5 4 2" xfId="1719"/>
    <cellStyle name="Currency 2 4 5 4 2 2" xfId="10128"/>
    <cellStyle name="Currency 2 4 5 4 2 2 2" xfId="10129"/>
    <cellStyle name="Currency 2 4 5 4 2 2 2 2" xfId="28523"/>
    <cellStyle name="Currency 2 4 5 4 2 2 3" xfId="28524"/>
    <cellStyle name="Currency 2 4 5 4 2 3" xfId="10130"/>
    <cellStyle name="Currency 2 4 5 4 2 3 2" xfId="10131"/>
    <cellStyle name="Currency 2 4 5 4 2 3 2 2" xfId="28525"/>
    <cellStyle name="Currency 2 4 5 4 2 3 3" xfId="28526"/>
    <cellStyle name="Currency 2 4 5 4 2 4" xfId="10132"/>
    <cellStyle name="Currency 2 4 5 4 2 4 2" xfId="10133"/>
    <cellStyle name="Currency 2 4 5 4 2 4 2 2" xfId="28527"/>
    <cellStyle name="Currency 2 4 5 4 2 4 3" xfId="28528"/>
    <cellStyle name="Currency 2 4 5 4 2 5" xfId="10134"/>
    <cellStyle name="Currency 2 4 5 4 2 5 2" xfId="28529"/>
    <cellStyle name="Currency 2 4 5 4 2 6" xfId="10135"/>
    <cellStyle name="Currency 2 4 5 4 3" xfId="10136"/>
    <cellStyle name="Currency 2 4 5 4 3 2" xfId="10137"/>
    <cellStyle name="Currency 2 4 5 4 3 2 2" xfId="28530"/>
    <cellStyle name="Currency 2 4 5 4 3 3" xfId="28531"/>
    <cellStyle name="Currency 2 4 5 4 4" xfId="10138"/>
    <cellStyle name="Currency 2 4 5 4 4 2" xfId="10139"/>
    <cellStyle name="Currency 2 4 5 4 4 2 2" xfId="28532"/>
    <cellStyle name="Currency 2 4 5 4 4 3" xfId="28533"/>
    <cellStyle name="Currency 2 4 5 4 5" xfId="10140"/>
    <cellStyle name="Currency 2 4 5 4 5 2" xfId="10141"/>
    <cellStyle name="Currency 2 4 5 4 5 2 2" xfId="28534"/>
    <cellStyle name="Currency 2 4 5 4 5 3" xfId="28535"/>
    <cellStyle name="Currency 2 4 5 4 6" xfId="10142"/>
    <cellStyle name="Currency 2 4 5 4 6 2" xfId="28536"/>
    <cellStyle name="Currency 2 4 5 4 7" xfId="10143"/>
    <cellStyle name="Currency 2 4 5 5" xfId="1720"/>
    <cellStyle name="Currency 2 4 5 5 2" xfId="10144"/>
    <cellStyle name="Currency 2 4 5 5 2 2" xfId="10145"/>
    <cellStyle name="Currency 2 4 5 5 2 2 2" xfId="28537"/>
    <cellStyle name="Currency 2 4 5 5 2 3" xfId="28538"/>
    <cellStyle name="Currency 2 4 5 5 3" xfId="10146"/>
    <cellStyle name="Currency 2 4 5 5 3 2" xfId="10147"/>
    <cellStyle name="Currency 2 4 5 5 3 2 2" xfId="28539"/>
    <cellStyle name="Currency 2 4 5 5 3 3" xfId="28540"/>
    <cellStyle name="Currency 2 4 5 5 4" xfId="10148"/>
    <cellStyle name="Currency 2 4 5 5 4 2" xfId="10149"/>
    <cellStyle name="Currency 2 4 5 5 4 2 2" xfId="28541"/>
    <cellStyle name="Currency 2 4 5 5 4 3" xfId="28542"/>
    <cellStyle name="Currency 2 4 5 5 5" xfId="10150"/>
    <cellStyle name="Currency 2 4 5 5 5 2" xfId="28543"/>
    <cellStyle name="Currency 2 4 5 5 6" xfId="10151"/>
    <cellStyle name="Currency 2 4 5 6" xfId="10152"/>
    <cellStyle name="Currency 2 4 5 6 2" xfId="10153"/>
    <cellStyle name="Currency 2 4 5 6 2 2" xfId="28544"/>
    <cellStyle name="Currency 2 4 5 6 3" xfId="28545"/>
    <cellStyle name="Currency 2 4 5 7" xfId="10154"/>
    <cellStyle name="Currency 2 4 5 7 2" xfId="10155"/>
    <cellStyle name="Currency 2 4 5 7 2 2" xfId="28546"/>
    <cellStyle name="Currency 2 4 5 7 3" xfId="28547"/>
    <cellStyle name="Currency 2 4 5 8" xfId="10156"/>
    <cellStyle name="Currency 2 4 5 8 2" xfId="10157"/>
    <cellStyle name="Currency 2 4 5 8 2 2" xfId="28548"/>
    <cellStyle name="Currency 2 4 5 8 3" xfId="28549"/>
    <cellStyle name="Currency 2 4 5 9" xfId="10158"/>
    <cellStyle name="Currency 2 4 5 9 2" xfId="28550"/>
    <cellStyle name="Currency 2 4 6" xfId="143"/>
    <cellStyle name="Currency 2 4 6 2" xfId="931"/>
    <cellStyle name="Currency 2 4 6 2 2" xfId="1721"/>
    <cellStyle name="Currency 2 4 6 2 2 2" xfId="10159"/>
    <cellStyle name="Currency 2 4 6 2 2 2 2" xfId="10160"/>
    <cellStyle name="Currency 2 4 6 2 2 2 2 2" xfId="28551"/>
    <cellStyle name="Currency 2 4 6 2 2 2 3" xfId="28552"/>
    <cellStyle name="Currency 2 4 6 2 2 3" xfId="10161"/>
    <cellStyle name="Currency 2 4 6 2 2 3 2" xfId="10162"/>
    <cellStyle name="Currency 2 4 6 2 2 3 2 2" xfId="28553"/>
    <cellStyle name="Currency 2 4 6 2 2 3 3" xfId="28554"/>
    <cellStyle name="Currency 2 4 6 2 2 4" xfId="10163"/>
    <cellStyle name="Currency 2 4 6 2 2 4 2" xfId="10164"/>
    <cellStyle name="Currency 2 4 6 2 2 4 2 2" xfId="28555"/>
    <cellStyle name="Currency 2 4 6 2 2 4 3" xfId="28556"/>
    <cellStyle name="Currency 2 4 6 2 2 5" xfId="10165"/>
    <cellStyle name="Currency 2 4 6 2 2 5 2" xfId="28557"/>
    <cellStyle name="Currency 2 4 6 2 2 6" xfId="10166"/>
    <cellStyle name="Currency 2 4 6 2 3" xfId="10167"/>
    <cellStyle name="Currency 2 4 6 2 3 2" xfId="10168"/>
    <cellStyle name="Currency 2 4 6 2 3 2 2" xfId="28558"/>
    <cellStyle name="Currency 2 4 6 2 3 3" xfId="28559"/>
    <cellStyle name="Currency 2 4 6 2 4" xfId="10169"/>
    <cellStyle name="Currency 2 4 6 2 4 2" xfId="10170"/>
    <cellStyle name="Currency 2 4 6 2 4 2 2" xfId="28560"/>
    <cellStyle name="Currency 2 4 6 2 4 3" xfId="28561"/>
    <cellStyle name="Currency 2 4 6 2 5" xfId="10171"/>
    <cellStyle name="Currency 2 4 6 2 5 2" xfId="10172"/>
    <cellStyle name="Currency 2 4 6 2 5 2 2" xfId="28562"/>
    <cellStyle name="Currency 2 4 6 2 5 3" xfId="28563"/>
    <cellStyle name="Currency 2 4 6 2 6" xfId="10173"/>
    <cellStyle name="Currency 2 4 6 2 6 2" xfId="28564"/>
    <cellStyle name="Currency 2 4 6 2 7" xfId="10174"/>
    <cellStyle name="Currency 2 4 6 3" xfId="563"/>
    <cellStyle name="Currency 2 4 6 3 2" xfId="1722"/>
    <cellStyle name="Currency 2 4 6 3 2 2" xfId="10175"/>
    <cellStyle name="Currency 2 4 6 3 2 2 2" xfId="10176"/>
    <cellStyle name="Currency 2 4 6 3 2 2 2 2" xfId="28565"/>
    <cellStyle name="Currency 2 4 6 3 2 2 3" xfId="28566"/>
    <cellStyle name="Currency 2 4 6 3 2 3" xfId="10177"/>
    <cellStyle name="Currency 2 4 6 3 2 3 2" xfId="10178"/>
    <cellStyle name="Currency 2 4 6 3 2 3 2 2" xfId="28567"/>
    <cellStyle name="Currency 2 4 6 3 2 3 3" xfId="28568"/>
    <cellStyle name="Currency 2 4 6 3 2 4" xfId="10179"/>
    <cellStyle name="Currency 2 4 6 3 2 4 2" xfId="10180"/>
    <cellStyle name="Currency 2 4 6 3 2 4 2 2" xfId="28569"/>
    <cellStyle name="Currency 2 4 6 3 2 4 3" xfId="28570"/>
    <cellStyle name="Currency 2 4 6 3 2 5" xfId="10181"/>
    <cellStyle name="Currency 2 4 6 3 2 5 2" xfId="28571"/>
    <cellStyle name="Currency 2 4 6 3 2 6" xfId="10182"/>
    <cellStyle name="Currency 2 4 6 3 3" xfId="10183"/>
    <cellStyle name="Currency 2 4 6 3 3 2" xfId="10184"/>
    <cellStyle name="Currency 2 4 6 3 3 2 2" xfId="28572"/>
    <cellStyle name="Currency 2 4 6 3 3 3" xfId="28573"/>
    <cellStyle name="Currency 2 4 6 3 4" xfId="10185"/>
    <cellStyle name="Currency 2 4 6 3 4 2" xfId="10186"/>
    <cellStyle name="Currency 2 4 6 3 4 2 2" xfId="28574"/>
    <cellStyle name="Currency 2 4 6 3 4 3" xfId="28575"/>
    <cellStyle name="Currency 2 4 6 3 5" xfId="10187"/>
    <cellStyle name="Currency 2 4 6 3 5 2" xfId="10188"/>
    <cellStyle name="Currency 2 4 6 3 5 2 2" xfId="28576"/>
    <cellStyle name="Currency 2 4 6 3 5 3" xfId="28577"/>
    <cellStyle name="Currency 2 4 6 3 6" xfId="10189"/>
    <cellStyle name="Currency 2 4 6 3 6 2" xfId="28578"/>
    <cellStyle name="Currency 2 4 6 3 7" xfId="10190"/>
    <cellStyle name="Currency 2 4 6 4" xfId="1723"/>
    <cellStyle name="Currency 2 4 6 4 2" xfId="10191"/>
    <cellStyle name="Currency 2 4 6 4 2 2" xfId="10192"/>
    <cellStyle name="Currency 2 4 6 4 2 2 2" xfId="28579"/>
    <cellStyle name="Currency 2 4 6 4 2 3" xfId="28580"/>
    <cellStyle name="Currency 2 4 6 4 3" xfId="10193"/>
    <cellStyle name="Currency 2 4 6 4 3 2" xfId="10194"/>
    <cellStyle name="Currency 2 4 6 4 3 2 2" xfId="28581"/>
    <cellStyle name="Currency 2 4 6 4 3 3" xfId="28582"/>
    <cellStyle name="Currency 2 4 6 4 4" xfId="10195"/>
    <cellStyle name="Currency 2 4 6 4 4 2" xfId="10196"/>
    <cellStyle name="Currency 2 4 6 4 4 2 2" xfId="28583"/>
    <cellStyle name="Currency 2 4 6 4 4 3" xfId="28584"/>
    <cellStyle name="Currency 2 4 6 4 5" xfId="10197"/>
    <cellStyle name="Currency 2 4 6 4 5 2" xfId="28585"/>
    <cellStyle name="Currency 2 4 6 4 6" xfId="10198"/>
    <cellStyle name="Currency 2 4 6 5" xfId="10199"/>
    <cellStyle name="Currency 2 4 6 5 2" xfId="10200"/>
    <cellStyle name="Currency 2 4 6 5 2 2" xfId="28586"/>
    <cellStyle name="Currency 2 4 6 5 3" xfId="28587"/>
    <cellStyle name="Currency 2 4 6 6" xfId="10201"/>
    <cellStyle name="Currency 2 4 6 6 2" xfId="10202"/>
    <cellStyle name="Currency 2 4 6 6 2 2" xfId="28588"/>
    <cellStyle name="Currency 2 4 6 6 3" xfId="28589"/>
    <cellStyle name="Currency 2 4 6 7" xfId="10203"/>
    <cellStyle name="Currency 2 4 6 7 2" xfId="10204"/>
    <cellStyle name="Currency 2 4 6 7 2 2" xfId="28590"/>
    <cellStyle name="Currency 2 4 6 7 3" xfId="28591"/>
    <cellStyle name="Currency 2 4 6 8" xfId="10205"/>
    <cellStyle name="Currency 2 4 6 8 2" xfId="28592"/>
    <cellStyle name="Currency 2 4 6 9" xfId="10206"/>
    <cellStyle name="Currency 2 4 7" xfId="301"/>
    <cellStyle name="Currency 2 4 7 2" xfId="1089"/>
    <cellStyle name="Currency 2 4 7 2 2" xfId="1724"/>
    <cellStyle name="Currency 2 4 7 2 2 2" xfId="10207"/>
    <cellStyle name="Currency 2 4 7 2 2 2 2" xfId="10208"/>
    <cellStyle name="Currency 2 4 7 2 2 2 2 2" xfId="28593"/>
    <cellStyle name="Currency 2 4 7 2 2 2 3" xfId="28594"/>
    <cellStyle name="Currency 2 4 7 2 2 3" xfId="10209"/>
    <cellStyle name="Currency 2 4 7 2 2 3 2" xfId="10210"/>
    <cellStyle name="Currency 2 4 7 2 2 3 2 2" xfId="28595"/>
    <cellStyle name="Currency 2 4 7 2 2 3 3" xfId="28596"/>
    <cellStyle name="Currency 2 4 7 2 2 4" xfId="10211"/>
    <cellStyle name="Currency 2 4 7 2 2 4 2" xfId="10212"/>
    <cellStyle name="Currency 2 4 7 2 2 4 2 2" xfId="28597"/>
    <cellStyle name="Currency 2 4 7 2 2 4 3" xfId="28598"/>
    <cellStyle name="Currency 2 4 7 2 2 5" xfId="10213"/>
    <cellStyle name="Currency 2 4 7 2 2 5 2" xfId="28599"/>
    <cellStyle name="Currency 2 4 7 2 2 6" xfId="10214"/>
    <cellStyle name="Currency 2 4 7 2 3" xfId="10215"/>
    <cellStyle name="Currency 2 4 7 2 3 2" xfId="10216"/>
    <cellStyle name="Currency 2 4 7 2 3 2 2" xfId="28600"/>
    <cellStyle name="Currency 2 4 7 2 3 3" xfId="28601"/>
    <cellStyle name="Currency 2 4 7 2 4" xfId="10217"/>
    <cellStyle name="Currency 2 4 7 2 4 2" xfId="10218"/>
    <cellStyle name="Currency 2 4 7 2 4 2 2" xfId="28602"/>
    <cellStyle name="Currency 2 4 7 2 4 3" xfId="28603"/>
    <cellStyle name="Currency 2 4 7 2 5" xfId="10219"/>
    <cellStyle name="Currency 2 4 7 2 5 2" xfId="10220"/>
    <cellStyle name="Currency 2 4 7 2 5 2 2" xfId="28604"/>
    <cellStyle name="Currency 2 4 7 2 5 3" xfId="28605"/>
    <cellStyle name="Currency 2 4 7 2 6" xfId="10221"/>
    <cellStyle name="Currency 2 4 7 2 6 2" xfId="28606"/>
    <cellStyle name="Currency 2 4 7 2 7" xfId="10222"/>
    <cellStyle name="Currency 2 4 7 3" xfId="721"/>
    <cellStyle name="Currency 2 4 7 3 2" xfId="1725"/>
    <cellStyle name="Currency 2 4 7 3 2 2" xfId="10223"/>
    <cellStyle name="Currency 2 4 7 3 2 2 2" xfId="10224"/>
    <cellStyle name="Currency 2 4 7 3 2 2 2 2" xfId="28607"/>
    <cellStyle name="Currency 2 4 7 3 2 2 3" xfId="28608"/>
    <cellStyle name="Currency 2 4 7 3 2 3" xfId="10225"/>
    <cellStyle name="Currency 2 4 7 3 2 3 2" xfId="10226"/>
    <cellStyle name="Currency 2 4 7 3 2 3 2 2" xfId="28609"/>
    <cellStyle name="Currency 2 4 7 3 2 3 3" xfId="28610"/>
    <cellStyle name="Currency 2 4 7 3 2 4" xfId="10227"/>
    <cellStyle name="Currency 2 4 7 3 2 4 2" xfId="10228"/>
    <cellStyle name="Currency 2 4 7 3 2 4 2 2" xfId="28611"/>
    <cellStyle name="Currency 2 4 7 3 2 4 3" xfId="28612"/>
    <cellStyle name="Currency 2 4 7 3 2 5" xfId="10229"/>
    <cellStyle name="Currency 2 4 7 3 2 5 2" xfId="28613"/>
    <cellStyle name="Currency 2 4 7 3 2 6" xfId="10230"/>
    <cellStyle name="Currency 2 4 7 3 3" xfId="10231"/>
    <cellStyle name="Currency 2 4 7 3 3 2" xfId="10232"/>
    <cellStyle name="Currency 2 4 7 3 3 2 2" xfId="28614"/>
    <cellStyle name="Currency 2 4 7 3 3 3" xfId="28615"/>
    <cellStyle name="Currency 2 4 7 3 4" xfId="10233"/>
    <cellStyle name="Currency 2 4 7 3 4 2" xfId="10234"/>
    <cellStyle name="Currency 2 4 7 3 4 2 2" xfId="28616"/>
    <cellStyle name="Currency 2 4 7 3 4 3" xfId="28617"/>
    <cellStyle name="Currency 2 4 7 3 5" xfId="10235"/>
    <cellStyle name="Currency 2 4 7 3 5 2" xfId="10236"/>
    <cellStyle name="Currency 2 4 7 3 5 2 2" xfId="28618"/>
    <cellStyle name="Currency 2 4 7 3 5 3" xfId="28619"/>
    <cellStyle name="Currency 2 4 7 3 6" xfId="10237"/>
    <cellStyle name="Currency 2 4 7 3 6 2" xfId="28620"/>
    <cellStyle name="Currency 2 4 7 3 7" xfId="10238"/>
    <cellStyle name="Currency 2 4 7 4" xfId="1726"/>
    <cellStyle name="Currency 2 4 7 4 2" xfId="10239"/>
    <cellStyle name="Currency 2 4 7 4 2 2" xfId="10240"/>
    <cellStyle name="Currency 2 4 7 4 2 2 2" xfId="28621"/>
    <cellStyle name="Currency 2 4 7 4 2 3" xfId="28622"/>
    <cellStyle name="Currency 2 4 7 4 3" xfId="10241"/>
    <cellStyle name="Currency 2 4 7 4 3 2" xfId="10242"/>
    <cellStyle name="Currency 2 4 7 4 3 2 2" xfId="28623"/>
    <cellStyle name="Currency 2 4 7 4 3 3" xfId="28624"/>
    <cellStyle name="Currency 2 4 7 4 4" xfId="10243"/>
    <cellStyle name="Currency 2 4 7 4 4 2" xfId="10244"/>
    <cellStyle name="Currency 2 4 7 4 4 2 2" xfId="28625"/>
    <cellStyle name="Currency 2 4 7 4 4 3" xfId="28626"/>
    <cellStyle name="Currency 2 4 7 4 5" xfId="10245"/>
    <cellStyle name="Currency 2 4 7 4 5 2" xfId="28627"/>
    <cellStyle name="Currency 2 4 7 4 6" xfId="10246"/>
    <cellStyle name="Currency 2 4 7 5" xfId="10247"/>
    <cellStyle name="Currency 2 4 7 5 2" xfId="10248"/>
    <cellStyle name="Currency 2 4 7 5 2 2" xfId="28628"/>
    <cellStyle name="Currency 2 4 7 5 3" xfId="28629"/>
    <cellStyle name="Currency 2 4 7 6" xfId="10249"/>
    <cellStyle name="Currency 2 4 7 6 2" xfId="10250"/>
    <cellStyle name="Currency 2 4 7 6 2 2" xfId="28630"/>
    <cellStyle name="Currency 2 4 7 6 3" xfId="28631"/>
    <cellStyle name="Currency 2 4 7 7" xfId="10251"/>
    <cellStyle name="Currency 2 4 7 7 2" xfId="10252"/>
    <cellStyle name="Currency 2 4 7 7 2 2" xfId="28632"/>
    <cellStyle name="Currency 2 4 7 7 3" xfId="28633"/>
    <cellStyle name="Currency 2 4 7 8" xfId="10253"/>
    <cellStyle name="Currency 2 4 7 8 2" xfId="28634"/>
    <cellStyle name="Currency 2 4 7 9" xfId="10254"/>
    <cellStyle name="Currency 2 4 8" xfId="90"/>
    <cellStyle name="Currency 2 4 8 2" xfId="511"/>
    <cellStyle name="Currency 2 4 8 2 2" xfId="1727"/>
    <cellStyle name="Currency 2 4 8 2 2 2" xfId="10255"/>
    <cellStyle name="Currency 2 4 8 2 2 2 2" xfId="10256"/>
    <cellStyle name="Currency 2 4 8 2 2 2 2 2" xfId="28635"/>
    <cellStyle name="Currency 2 4 8 2 2 2 3" xfId="28636"/>
    <cellStyle name="Currency 2 4 8 2 2 3" xfId="10257"/>
    <cellStyle name="Currency 2 4 8 2 2 3 2" xfId="10258"/>
    <cellStyle name="Currency 2 4 8 2 2 3 2 2" xfId="28637"/>
    <cellStyle name="Currency 2 4 8 2 2 3 3" xfId="28638"/>
    <cellStyle name="Currency 2 4 8 2 2 4" xfId="10259"/>
    <cellStyle name="Currency 2 4 8 2 2 4 2" xfId="10260"/>
    <cellStyle name="Currency 2 4 8 2 2 4 2 2" xfId="28639"/>
    <cellStyle name="Currency 2 4 8 2 2 4 3" xfId="28640"/>
    <cellStyle name="Currency 2 4 8 2 2 5" xfId="10261"/>
    <cellStyle name="Currency 2 4 8 2 2 5 2" xfId="28641"/>
    <cellStyle name="Currency 2 4 8 2 2 6" xfId="10262"/>
    <cellStyle name="Currency 2 4 8 2 3" xfId="10263"/>
    <cellStyle name="Currency 2 4 8 2 3 2" xfId="10264"/>
    <cellStyle name="Currency 2 4 8 2 3 2 2" xfId="28642"/>
    <cellStyle name="Currency 2 4 8 2 3 3" xfId="28643"/>
    <cellStyle name="Currency 2 4 8 2 4" xfId="10265"/>
    <cellStyle name="Currency 2 4 8 2 4 2" xfId="10266"/>
    <cellStyle name="Currency 2 4 8 2 4 2 2" xfId="28644"/>
    <cellStyle name="Currency 2 4 8 2 4 3" xfId="28645"/>
    <cellStyle name="Currency 2 4 8 2 5" xfId="10267"/>
    <cellStyle name="Currency 2 4 8 2 5 2" xfId="10268"/>
    <cellStyle name="Currency 2 4 8 2 5 2 2" xfId="28646"/>
    <cellStyle name="Currency 2 4 8 2 5 3" xfId="28647"/>
    <cellStyle name="Currency 2 4 8 2 6" xfId="10269"/>
    <cellStyle name="Currency 2 4 8 2 6 2" xfId="28648"/>
    <cellStyle name="Currency 2 4 8 2 7" xfId="10270"/>
    <cellStyle name="Currency 2 4 8 3" xfId="1728"/>
    <cellStyle name="Currency 2 4 8 3 2" xfId="10271"/>
    <cellStyle name="Currency 2 4 8 3 2 2" xfId="10272"/>
    <cellStyle name="Currency 2 4 8 3 2 2 2" xfId="28649"/>
    <cellStyle name="Currency 2 4 8 3 2 3" xfId="28650"/>
    <cellStyle name="Currency 2 4 8 3 3" xfId="10273"/>
    <cellStyle name="Currency 2 4 8 3 3 2" xfId="10274"/>
    <cellStyle name="Currency 2 4 8 3 3 2 2" xfId="28651"/>
    <cellStyle name="Currency 2 4 8 3 3 3" xfId="28652"/>
    <cellStyle name="Currency 2 4 8 3 4" xfId="10275"/>
    <cellStyle name="Currency 2 4 8 3 4 2" xfId="10276"/>
    <cellStyle name="Currency 2 4 8 3 4 2 2" xfId="28653"/>
    <cellStyle name="Currency 2 4 8 3 4 3" xfId="28654"/>
    <cellStyle name="Currency 2 4 8 3 5" xfId="10277"/>
    <cellStyle name="Currency 2 4 8 3 5 2" xfId="28655"/>
    <cellStyle name="Currency 2 4 8 3 6" xfId="10278"/>
    <cellStyle name="Currency 2 4 8 4" xfId="10279"/>
    <cellStyle name="Currency 2 4 8 4 2" xfId="10280"/>
    <cellStyle name="Currency 2 4 8 4 2 2" xfId="28656"/>
    <cellStyle name="Currency 2 4 8 4 3" xfId="28657"/>
    <cellStyle name="Currency 2 4 8 5" xfId="10281"/>
    <cellStyle name="Currency 2 4 8 5 2" xfId="10282"/>
    <cellStyle name="Currency 2 4 8 5 2 2" xfId="28658"/>
    <cellStyle name="Currency 2 4 8 5 3" xfId="28659"/>
    <cellStyle name="Currency 2 4 8 6" xfId="10283"/>
    <cellStyle name="Currency 2 4 8 6 2" xfId="10284"/>
    <cellStyle name="Currency 2 4 8 6 2 2" xfId="28660"/>
    <cellStyle name="Currency 2 4 8 6 3" xfId="28661"/>
    <cellStyle name="Currency 2 4 8 7" xfId="10285"/>
    <cellStyle name="Currency 2 4 8 7 2" xfId="28662"/>
    <cellStyle name="Currency 2 4 8 8" xfId="10286"/>
    <cellStyle name="Currency 2 4 9" xfId="879"/>
    <cellStyle name="Currency 2 4 9 2" xfId="1729"/>
    <cellStyle name="Currency 2 4 9 2 2" xfId="10287"/>
    <cellStyle name="Currency 2 4 9 2 2 2" xfId="10288"/>
    <cellStyle name="Currency 2 4 9 2 2 2 2" xfId="28663"/>
    <cellStyle name="Currency 2 4 9 2 2 3" xfId="28664"/>
    <cellStyle name="Currency 2 4 9 2 3" xfId="10289"/>
    <cellStyle name="Currency 2 4 9 2 3 2" xfId="10290"/>
    <cellStyle name="Currency 2 4 9 2 3 2 2" xfId="28665"/>
    <cellStyle name="Currency 2 4 9 2 3 3" xfId="28666"/>
    <cellStyle name="Currency 2 4 9 2 4" xfId="10291"/>
    <cellStyle name="Currency 2 4 9 2 4 2" xfId="10292"/>
    <cellStyle name="Currency 2 4 9 2 4 2 2" xfId="28667"/>
    <cellStyle name="Currency 2 4 9 2 4 3" xfId="28668"/>
    <cellStyle name="Currency 2 4 9 2 5" xfId="10293"/>
    <cellStyle name="Currency 2 4 9 2 5 2" xfId="28669"/>
    <cellStyle name="Currency 2 4 9 2 6" xfId="10294"/>
    <cellStyle name="Currency 2 4 9 3" xfId="10295"/>
    <cellStyle name="Currency 2 4 9 3 2" xfId="10296"/>
    <cellStyle name="Currency 2 4 9 3 2 2" xfId="28670"/>
    <cellStyle name="Currency 2 4 9 3 3" xfId="28671"/>
    <cellStyle name="Currency 2 4 9 4" xfId="10297"/>
    <cellStyle name="Currency 2 4 9 4 2" xfId="10298"/>
    <cellStyle name="Currency 2 4 9 4 2 2" xfId="28672"/>
    <cellStyle name="Currency 2 4 9 4 3" xfId="28673"/>
    <cellStyle name="Currency 2 4 9 5" xfId="10299"/>
    <cellStyle name="Currency 2 4 9 5 2" xfId="10300"/>
    <cellStyle name="Currency 2 4 9 5 2 2" xfId="28674"/>
    <cellStyle name="Currency 2 4 9 5 3" xfId="28675"/>
    <cellStyle name="Currency 2 4 9 6" xfId="10301"/>
    <cellStyle name="Currency 2 4 9 6 2" xfId="28676"/>
    <cellStyle name="Currency 2 4 9 7" xfId="10302"/>
    <cellStyle name="Currency 2 5" xfId="45"/>
    <cellStyle name="Currency 2 5 10" xfId="10303"/>
    <cellStyle name="Currency 2 5 10 2" xfId="10304"/>
    <cellStyle name="Currency 2 5 10 2 2" xfId="28677"/>
    <cellStyle name="Currency 2 5 10 3" xfId="28678"/>
    <cellStyle name="Currency 2 5 11" xfId="10305"/>
    <cellStyle name="Currency 2 5 11 2" xfId="10306"/>
    <cellStyle name="Currency 2 5 11 2 2" xfId="28679"/>
    <cellStyle name="Currency 2 5 11 3" xfId="28680"/>
    <cellStyle name="Currency 2 5 12" xfId="10307"/>
    <cellStyle name="Currency 2 5 12 2" xfId="10308"/>
    <cellStyle name="Currency 2 5 12 2 2" xfId="28681"/>
    <cellStyle name="Currency 2 5 12 3" xfId="28682"/>
    <cellStyle name="Currency 2 5 13" xfId="10309"/>
    <cellStyle name="Currency 2 5 13 2" xfId="28683"/>
    <cellStyle name="Currency 2 5 14" xfId="10310"/>
    <cellStyle name="Currency 2 5 2" xfId="212"/>
    <cellStyle name="Currency 2 5 2 10" xfId="10311"/>
    <cellStyle name="Currency 2 5 2 2" xfId="370"/>
    <cellStyle name="Currency 2 5 2 2 2" xfId="1158"/>
    <cellStyle name="Currency 2 5 2 2 2 2" xfId="1730"/>
    <cellStyle name="Currency 2 5 2 2 2 2 2" xfId="10312"/>
    <cellStyle name="Currency 2 5 2 2 2 2 2 2" xfId="10313"/>
    <cellStyle name="Currency 2 5 2 2 2 2 2 2 2" xfId="28684"/>
    <cellStyle name="Currency 2 5 2 2 2 2 2 3" xfId="28685"/>
    <cellStyle name="Currency 2 5 2 2 2 2 3" xfId="10314"/>
    <cellStyle name="Currency 2 5 2 2 2 2 3 2" xfId="10315"/>
    <cellStyle name="Currency 2 5 2 2 2 2 3 2 2" xfId="28686"/>
    <cellStyle name="Currency 2 5 2 2 2 2 3 3" xfId="28687"/>
    <cellStyle name="Currency 2 5 2 2 2 2 4" xfId="10316"/>
    <cellStyle name="Currency 2 5 2 2 2 2 4 2" xfId="10317"/>
    <cellStyle name="Currency 2 5 2 2 2 2 4 2 2" xfId="28688"/>
    <cellStyle name="Currency 2 5 2 2 2 2 4 3" xfId="28689"/>
    <cellStyle name="Currency 2 5 2 2 2 2 5" xfId="10318"/>
    <cellStyle name="Currency 2 5 2 2 2 2 5 2" xfId="28690"/>
    <cellStyle name="Currency 2 5 2 2 2 2 6" xfId="10319"/>
    <cellStyle name="Currency 2 5 2 2 2 3" xfId="10320"/>
    <cellStyle name="Currency 2 5 2 2 2 3 2" xfId="10321"/>
    <cellStyle name="Currency 2 5 2 2 2 3 2 2" xfId="28691"/>
    <cellStyle name="Currency 2 5 2 2 2 3 3" xfId="28692"/>
    <cellStyle name="Currency 2 5 2 2 2 4" xfId="10322"/>
    <cellStyle name="Currency 2 5 2 2 2 4 2" xfId="10323"/>
    <cellStyle name="Currency 2 5 2 2 2 4 2 2" xfId="28693"/>
    <cellStyle name="Currency 2 5 2 2 2 4 3" xfId="28694"/>
    <cellStyle name="Currency 2 5 2 2 2 5" xfId="10324"/>
    <cellStyle name="Currency 2 5 2 2 2 5 2" xfId="10325"/>
    <cellStyle name="Currency 2 5 2 2 2 5 2 2" xfId="28695"/>
    <cellStyle name="Currency 2 5 2 2 2 5 3" xfId="28696"/>
    <cellStyle name="Currency 2 5 2 2 2 6" xfId="10326"/>
    <cellStyle name="Currency 2 5 2 2 2 6 2" xfId="28697"/>
    <cellStyle name="Currency 2 5 2 2 2 7" xfId="10327"/>
    <cellStyle name="Currency 2 5 2 2 3" xfId="790"/>
    <cellStyle name="Currency 2 5 2 2 3 2" xfId="1731"/>
    <cellStyle name="Currency 2 5 2 2 3 2 2" xfId="10328"/>
    <cellStyle name="Currency 2 5 2 2 3 2 2 2" xfId="10329"/>
    <cellStyle name="Currency 2 5 2 2 3 2 2 2 2" xfId="28698"/>
    <cellStyle name="Currency 2 5 2 2 3 2 2 3" xfId="28699"/>
    <cellStyle name="Currency 2 5 2 2 3 2 3" xfId="10330"/>
    <cellStyle name="Currency 2 5 2 2 3 2 3 2" xfId="10331"/>
    <cellStyle name="Currency 2 5 2 2 3 2 3 2 2" xfId="28700"/>
    <cellStyle name="Currency 2 5 2 2 3 2 3 3" xfId="28701"/>
    <cellStyle name="Currency 2 5 2 2 3 2 4" xfId="10332"/>
    <cellStyle name="Currency 2 5 2 2 3 2 4 2" xfId="10333"/>
    <cellStyle name="Currency 2 5 2 2 3 2 4 2 2" xfId="28702"/>
    <cellStyle name="Currency 2 5 2 2 3 2 4 3" xfId="28703"/>
    <cellStyle name="Currency 2 5 2 2 3 2 5" xfId="10334"/>
    <cellStyle name="Currency 2 5 2 2 3 2 5 2" xfId="28704"/>
    <cellStyle name="Currency 2 5 2 2 3 2 6" xfId="10335"/>
    <cellStyle name="Currency 2 5 2 2 3 3" xfId="10336"/>
    <cellStyle name="Currency 2 5 2 2 3 3 2" xfId="10337"/>
    <cellStyle name="Currency 2 5 2 2 3 3 2 2" xfId="28705"/>
    <cellStyle name="Currency 2 5 2 2 3 3 3" xfId="28706"/>
    <cellStyle name="Currency 2 5 2 2 3 4" xfId="10338"/>
    <cellStyle name="Currency 2 5 2 2 3 4 2" xfId="10339"/>
    <cellStyle name="Currency 2 5 2 2 3 4 2 2" xfId="28707"/>
    <cellStyle name="Currency 2 5 2 2 3 4 3" xfId="28708"/>
    <cellStyle name="Currency 2 5 2 2 3 5" xfId="10340"/>
    <cellStyle name="Currency 2 5 2 2 3 5 2" xfId="10341"/>
    <cellStyle name="Currency 2 5 2 2 3 5 2 2" xfId="28709"/>
    <cellStyle name="Currency 2 5 2 2 3 5 3" xfId="28710"/>
    <cellStyle name="Currency 2 5 2 2 3 6" xfId="10342"/>
    <cellStyle name="Currency 2 5 2 2 3 6 2" xfId="28711"/>
    <cellStyle name="Currency 2 5 2 2 3 7" xfId="10343"/>
    <cellStyle name="Currency 2 5 2 2 4" xfId="1732"/>
    <cellStyle name="Currency 2 5 2 2 4 2" xfId="10344"/>
    <cellStyle name="Currency 2 5 2 2 4 2 2" xfId="10345"/>
    <cellStyle name="Currency 2 5 2 2 4 2 2 2" xfId="28712"/>
    <cellStyle name="Currency 2 5 2 2 4 2 3" xfId="28713"/>
    <cellStyle name="Currency 2 5 2 2 4 3" xfId="10346"/>
    <cellStyle name="Currency 2 5 2 2 4 3 2" xfId="10347"/>
    <cellStyle name="Currency 2 5 2 2 4 3 2 2" xfId="28714"/>
    <cellStyle name="Currency 2 5 2 2 4 3 3" xfId="28715"/>
    <cellStyle name="Currency 2 5 2 2 4 4" xfId="10348"/>
    <cellStyle name="Currency 2 5 2 2 4 4 2" xfId="10349"/>
    <cellStyle name="Currency 2 5 2 2 4 4 2 2" xfId="28716"/>
    <cellStyle name="Currency 2 5 2 2 4 4 3" xfId="28717"/>
    <cellStyle name="Currency 2 5 2 2 4 5" xfId="10350"/>
    <cellStyle name="Currency 2 5 2 2 4 5 2" xfId="28718"/>
    <cellStyle name="Currency 2 5 2 2 4 6" xfId="10351"/>
    <cellStyle name="Currency 2 5 2 2 5" xfId="10352"/>
    <cellStyle name="Currency 2 5 2 2 5 2" xfId="10353"/>
    <cellStyle name="Currency 2 5 2 2 5 2 2" xfId="28719"/>
    <cellStyle name="Currency 2 5 2 2 5 3" xfId="28720"/>
    <cellStyle name="Currency 2 5 2 2 6" xfId="10354"/>
    <cellStyle name="Currency 2 5 2 2 6 2" xfId="10355"/>
    <cellStyle name="Currency 2 5 2 2 6 2 2" xfId="28721"/>
    <cellStyle name="Currency 2 5 2 2 6 3" xfId="28722"/>
    <cellStyle name="Currency 2 5 2 2 7" xfId="10356"/>
    <cellStyle name="Currency 2 5 2 2 7 2" xfId="10357"/>
    <cellStyle name="Currency 2 5 2 2 7 2 2" xfId="28723"/>
    <cellStyle name="Currency 2 5 2 2 7 3" xfId="28724"/>
    <cellStyle name="Currency 2 5 2 2 8" xfId="10358"/>
    <cellStyle name="Currency 2 5 2 2 8 2" xfId="28725"/>
    <cellStyle name="Currency 2 5 2 2 9" xfId="10359"/>
    <cellStyle name="Currency 2 5 2 3" xfId="1000"/>
    <cellStyle name="Currency 2 5 2 3 2" xfId="1733"/>
    <cellStyle name="Currency 2 5 2 3 2 2" xfId="10360"/>
    <cellStyle name="Currency 2 5 2 3 2 2 2" xfId="10361"/>
    <cellStyle name="Currency 2 5 2 3 2 2 2 2" xfId="28726"/>
    <cellStyle name="Currency 2 5 2 3 2 2 3" xfId="28727"/>
    <cellStyle name="Currency 2 5 2 3 2 3" xfId="10362"/>
    <cellStyle name="Currency 2 5 2 3 2 3 2" xfId="10363"/>
    <cellStyle name="Currency 2 5 2 3 2 3 2 2" xfId="28728"/>
    <cellStyle name="Currency 2 5 2 3 2 3 3" xfId="28729"/>
    <cellStyle name="Currency 2 5 2 3 2 4" xfId="10364"/>
    <cellStyle name="Currency 2 5 2 3 2 4 2" xfId="10365"/>
    <cellStyle name="Currency 2 5 2 3 2 4 2 2" xfId="28730"/>
    <cellStyle name="Currency 2 5 2 3 2 4 3" xfId="28731"/>
    <cellStyle name="Currency 2 5 2 3 2 5" xfId="10366"/>
    <cellStyle name="Currency 2 5 2 3 2 5 2" xfId="28732"/>
    <cellStyle name="Currency 2 5 2 3 2 6" xfId="10367"/>
    <cellStyle name="Currency 2 5 2 3 3" xfId="10368"/>
    <cellStyle name="Currency 2 5 2 3 3 2" xfId="10369"/>
    <cellStyle name="Currency 2 5 2 3 3 2 2" xfId="28733"/>
    <cellStyle name="Currency 2 5 2 3 3 3" xfId="28734"/>
    <cellStyle name="Currency 2 5 2 3 4" xfId="10370"/>
    <cellStyle name="Currency 2 5 2 3 4 2" xfId="10371"/>
    <cellStyle name="Currency 2 5 2 3 4 2 2" xfId="28735"/>
    <cellStyle name="Currency 2 5 2 3 4 3" xfId="28736"/>
    <cellStyle name="Currency 2 5 2 3 5" xfId="10372"/>
    <cellStyle name="Currency 2 5 2 3 5 2" xfId="10373"/>
    <cellStyle name="Currency 2 5 2 3 5 2 2" xfId="28737"/>
    <cellStyle name="Currency 2 5 2 3 5 3" xfId="28738"/>
    <cellStyle name="Currency 2 5 2 3 6" xfId="10374"/>
    <cellStyle name="Currency 2 5 2 3 6 2" xfId="28739"/>
    <cellStyle name="Currency 2 5 2 3 7" xfId="10375"/>
    <cellStyle name="Currency 2 5 2 4" xfId="632"/>
    <cellStyle name="Currency 2 5 2 4 2" xfId="1734"/>
    <cellStyle name="Currency 2 5 2 4 2 2" xfId="10376"/>
    <cellStyle name="Currency 2 5 2 4 2 2 2" xfId="10377"/>
    <cellStyle name="Currency 2 5 2 4 2 2 2 2" xfId="28740"/>
    <cellStyle name="Currency 2 5 2 4 2 2 3" xfId="28741"/>
    <cellStyle name="Currency 2 5 2 4 2 3" xfId="10378"/>
    <cellStyle name="Currency 2 5 2 4 2 3 2" xfId="10379"/>
    <cellStyle name="Currency 2 5 2 4 2 3 2 2" xfId="28742"/>
    <cellStyle name="Currency 2 5 2 4 2 3 3" xfId="28743"/>
    <cellStyle name="Currency 2 5 2 4 2 4" xfId="10380"/>
    <cellStyle name="Currency 2 5 2 4 2 4 2" xfId="10381"/>
    <cellStyle name="Currency 2 5 2 4 2 4 2 2" xfId="28744"/>
    <cellStyle name="Currency 2 5 2 4 2 4 3" xfId="28745"/>
    <cellStyle name="Currency 2 5 2 4 2 5" xfId="10382"/>
    <cellStyle name="Currency 2 5 2 4 2 5 2" xfId="28746"/>
    <cellStyle name="Currency 2 5 2 4 2 6" xfId="10383"/>
    <cellStyle name="Currency 2 5 2 4 3" xfId="10384"/>
    <cellStyle name="Currency 2 5 2 4 3 2" xfId="10385"/>
    <cellStyle name="Currency 2 5 2 4 3 2 2" xfId="28747"/>
    <cellStyle name="Currency 2 5 2 4 3 3" xfId="28748"/>
    <cellStyle name="Currency 2 5 2 4 4" xfId="10386"/>
    <cellStyle name="Currency 2 5 2 4 4 2" xfId="10387"/>
    <cellStyle name="Currency 2 5 2 4 4 2 2" xfId="28749"/>
    <cellStyle name="Currency 2 5 2 4 4 3" xfId="28750"/>
    <cellStyle name="Currency 2 5 2 4 5" xfId="10388"/>
    <cellStyle name="Currency 2 5 2 4 5 2" xfId="10389"/>
    <cellStyle name="Currency 2 5 2 4 5 2 2" xfId="28751"/>
    <cellStyle name="Currency 2 5 2 4 5 3" xfId="28752"/>
    <cellStyle name="Currency 2 5 2 4 6" xfId="10390"/>
    <cellStyle name="Currency 2 5 2 4 6 2" xfId="28753"/>
    <cellStyle name="Currency 2 5 2 4 7" xfId="10391"/>
    <cellStyle name="Currency 2 5 2 5" xfId="1735"/>
    <cellStyle name="Currency 2 5 2 5 2" xfId="10392"/>
    <cellStyle name="Currency 2 5 2 5 2 2" xfId="10393"/>
    <cellStyle name="Currency 2 5 2 5 2 2 2" xfId="28754"/>
    <cellStyle name="Currency 2 5 2 5 2 3" xfId="28755"/>
    <cellStyle name="Currency 2 5 2 5 3" xfId="10394"/>
    <cellStyle name="Currency 2 5 2 5 3 2" xfId="10395"/>
    <cellStyle name="Currency 2 5 2 5 3 2 2" xfId="28756"/>
    <cellStyle name="Currency 2 5 2 5 3 3" xfId="28757"/>
    <cellStyle name="Currency 2 5 2 5 4" xfId="10396"/>
    <cellStyle name="Currency 2 5 2 5 4 2" xfId="10397"/>
    <cellStyle name="Currency 2 5 2 5 4 2 2" xfId="28758"/>
    <cellStyle name="Currency 2 5 2 5 4 3" xfId="28759"/>
    <cellStyle name="Currency 2 5 2 5 5" xfId="10398"/>
    <cellStyle name="Currency 2 5 2 5 5 2" xfId="28760"/>
    <cellStyle name="Currency 2 5 2 5 6" xfId="10399"/>
    <cellStyle name="Currency 2 5 2 6" xfId="10400"/>
    <cellStyle name="Currency 2 5 2 6 2" xfId="10401"/>
    <cellStyle name="Currency 2 5 2 6 2 2" xfId="28761"/>
    <cellStyle name="Currency 2 5 2 6 3" xfId="28762"/>
    <cellStyle name="Currency 2 5 2 7" xfId="10402"/>
    <cellStyle name="Currency 2 5 2 7 2" xfId="10403"/>
    <cellStyle name="Currency 2 5 2 7 2 2" xfId="28763"/>
    <cellStyle name="Currency 2 5 2 7 3" xfId="28764"/>
    <cellStyle name="Currency 2 5 2 8" xfId="10404"/>
    <cellStyle name="Currency 2 5 2 8 2" xfId="10405"/>
    <cellStyle name="Currency 2 5 2 8 2 2" xfId="28765"/>
    <cellStyle name="Currency 2 5 2 8 3" xfId="28766"/>
    <cellStyle name="Currency 2 5 2 9" xfId="10406"/>
    <cellStyle name="Currency 2 5 2 9 2" xfId="28767"/>
    <cellStyle name="Currency 2 5 3" xfId="263"/>
    <cellStyle name="Currency 2 5 3 10" xfId="10407"/>
    <cellStyle name="Currency 2 5 3 2" xfId="421"/>
    <cellStyle name="Currency 2 5 3 2 2" xfId="1209"/>
    <cellStyle name="Currency 2 5 3 2 2 2" xfId="1736"/>
    <cellStyle name="Currency 2 5 3 2 2 2 2" xfId="10408"/>
    <cellStyle name="Currency 2 5 3 2 2 2 2 2" xfId="10409"/>
    <cellStyle name="Currency 2 5 3 2 2 2 2 2 2" xfId="28768"/>
    <cellStyle name="Currency 2 5 3 2 2 2 2 3" xfId="28769"/>
    <cellStyle name="Currency 2 5 3 2 2 2 3" xfId="10410"/>
    <cellStyle name="Currency 2 5 3 2 2 2 3 2" xfId="10411"/>
    <cellStyle name="Currency 2 5 3 2 2 2 3 2 2" xfId="28770"/>
    <cellStyle name="Currency 2 5 3 2 2 2 3 3" xfId="28771"/>
    <cellStyle name="Currency 2 5 3 2 2 2 4" xfId="10412"/>
    <cellStyle name="Currency 2 5 3 2 2 2 4 2" xfId="10413"/>
    <cellStyle name="Currency 2 5 3 2 2 2 4 2 2" xfId="28772"/>
    <cellStyle name="Currency 2 5 3 2 2 2 4 3" xfId="28773"/>
    <cellStyle name="Currency 2 5 3 2 2 2 5" xfId="10414"/>
    <cellStyle name="Currency 2 5 3 2 2 2 5 2" xfId="28774"/>
    <cellStyle name="Currency 2 5 3 2 2 2 6" xfId="10415"/>
    <cellStyle name="Currency 2 5 3 2 2 3" xfId="10416"/>
    <cellStyle name="Currency 2 5 3 2 2 3 2" xfId="10417"/>
    <cellStyle name="Currency 2 5 3 2 2 3 2 2" xfId="28775"/>
    <cellStyle name="Currency 2 5 3 2 2 3 3" xfId="28776"/>
    <cellStyle name="Currency 2 5 3 2 2 4" xfId="10418"/>
    <cellStyle name="Currency 2 5 3 2 2 4 2" xfId="10419"/>
    <cellStyle name="Currency 2 5 3 2 2 4 2 2" xfId="28777"/>
    <cellStyle name="Currency 2 5 3 2 2 4 3" xfId="28778"/>
    <cellStyle name="Currency 2 5 3 2 2 5" xfId="10420"/>
    <cellStyle name="Currency 2 5 3 2 2 5 2" xfId="10421"/>
    <cellStyle name="Currency 2 5 3 2 2 5 2 2" xfId="28779"/>
    <cellStyle name="Currency 2 5 3 2 2 5 3" xfId="28780"/>
    <cellStyle name="Currency 2 5 3 2 2 6" xfId="10422"/>
    <cellStyle name="Currency 2 5 3 2 2 6 2" xfId="28781"/>
    <cellStyle name="Currency 2 5 3 2 2 7" xfId="10423"/>
    <cellStyle name="Currency 2 5 3 2 3" xfId="841"/>
    <cellStyle name="Currency 2 5 3 2 3 2" xfId="1737"/>
    <cellStyle name="Currency 2 5 3 2 3 2 2" xfId="10424"/>
    <cellStyle name="Currency 2 5 3 2 3 2 2 2" xfId="10425"/>
    <cellStyle name="Currency 2 5 3 2 3 2 2 2 2" xfId="28782"/>
    <cellStyle name="Currency 2 5 3 2 3 2 2 3" xfId="28783"/>
    <cellStyle name="Currency 2 5 3 2 3 2 3" xfId="10426"/>
    <cellStyle name="Currency 2 5 3 2 3 2 3 2" xfId="10427"/>
    <cellStyle name="Currency 2 5 3 2 3 2 3 2 2" xfId="28784"/>
    <cellStyle name="Currency 2 5 3 2 3 2 3 3" xfId="28785"/>
    <cellStyle name="Currency 2 5 3 2 3 2 4" xfId="10428"/>
    <cellStyle name="Currency 2 5 3 2 3 2 4 2" xfId="10429"/>
    <cellStyle name="Currency 2 5 3 2 3 2 4 2 2" xfId="28786"/>
    <cellStyle name="Currency 2 5 3 2 3 2 4 3" xfId="28787"/>
    <cellStyle name="Currency 2 5 3 2 3 2 5" xfId="10430"/>
    <cellStyle name="Currency 2 5 3 2 3 2 5 2" xfId="28788"/>
    <cellStyle name="Currency 2 5 3 2 3 2 6" xfId="10431"/>
    <cellStyle name="Currency 2 5 3 2 3 3" xfId="10432"/>
    <cellStyle name="Currency 2 5 3 2 3 3 2" xfId="10433"/>
    <cellStyle name="Currency 2 5 3 2 3 3 2 2" xfId="28789"/>
    <cellStyle name="Currency 2 5 3 2 3 3 3" xfId="28790"/>
    <cellStyle name="Currency 2 5 3 2 3 4" xfId="10434"/>
    <cellStyle name="Currency 2 5 3 2 3 4 2" xfId="10435"/>
    <cellStyle name="Currency 2 5 3 2 3 4 2 2" xfId="28791"/>
    <cellStyle name="Currency 2 5 3 2 3 4 3" xfId="28792"/>
    <cellStyle name="Currency 2 5 3 2 3 5" xfId="10436"/>
    <cellStyle name="Currency 2 5 3 2 3 5 2" xfId="10437"/>
    <cellStyle name="Currency 2 5 3 2 3 5 2 2" xfId="28793"/>
    <cellStyle name="Currency 2 5 3 2 3 5 3" xfId="28794"/>
    <cellStyle name="Currency 2 5 3 2 3 6" xfId="10438"/>
    <cellStyle name="Currency 2 5 3 2 3 6 2" xfId="28795"/>
    <cellStyle name="Currency 2 5 3 2 3 7" xfId="10439"/>
    <cellStyle name="Currency 2 5 3 2 4" xfId="1738"/>
    <cellStyle name="Currency 2 5 3 2 4 2" xfId="10440"/>
    <cellStyle name="Currency 2 5 3 2 4 2 2" xfId="10441"/>
    <cellStyle name="Currency 2 5 3 2 4 2 2 2" xfId="28796"/>
    <cellStyle name="Currency 2 5 3 2 4 2 3" xfId="28797"/>
    <cellStyle name="Currency 2 5 3 2 4 3" xfId="10442"/>
    <cellStyle name="Currency 2 5 3 2 4 3 2" xfId="10443"/>
    <cellStyle name="Currency 2 5 3 2 4 3 2 2" xfId="28798"/>
    <cellStyle name="Currency 2 5 3 2 4 3 3" xfId="28799"/>
    <cellStyle name="Currency 2 5 3 2 4 4" xfId="10444"/>
    <cellStyle name="Currency 2 5 3 2 4 4 2" xfId="10445"/>
    <cellStyle name="Currency 2 5 3 2 4 4 2 2" xfId="28800"/>
    <cellStyle name="Currency 2 5 3 2 4 4 3" xfId="28801"/>
    <cellStyle name="Currency 2 5 3 2 4 5" xfId="10446"/>
    <cellStyle name="Currency 2 5 3 2 4 5 2" xfId="28802"/>
    <cellStyle name="Currency 2 5 3 2 4 6" xfId="10447"/>
    <cellStyle name="Currency 2 5 3 2 5" xfId="10448"/>
    <cellStyle name="Currency 2 5 3 2 5 2" xfId="10449"/>
    <cellStyle name="Currency 2 5 3 2 5 2 2" xfId="28803"/>
    <cellStyle name="Currency 2 5 3 2 5 3" xfId="28804"/>
    <cellStyle name="Currency 2 5 3 2 6" xfId="10450"/>
    <cellStyle name="Currency 2 5 3 2 6 2" xfId="10451"/>
    <cellStyle name="Currency 2 5 3 2 6 2 2" xfId="28805"/>
    <cellStyle name="Currency 2 5 3 2 6 3" xfId="28806"/>
    <cellStyle name="Currency 2 5 3 2 7" xfId="10452"/>
    <cellStyle name="Currency 2 5 3 2 7 2" xfId="10453"/>
    <cellStyle name="Currency 2 5 3 2 7 2 2" xfId="28807"/>
    <cellStyle name="Currency 2 5 3 2 7 3" xfId="28808"/>
    <cellStyle name="Currency 2 5 3 2 8" xfId="10454"/>
    <cellStyle name="Currency 2 5 3 2 8 2" xfId="28809"/>
    <cellStyle name="Currency 2 5 3 2 9" xfId="10455"/>
    <cellStyle name="Currency 2 5 3 3" xfId="1051"/>
    <cellStyle name="Currency 2 5 3 3 2" xfId="1739"/>
    <cellStyle name="Currency 2 5 3 3 2 2" xfId="10456"/>
    <cellStyle name="Currency 2 5 3 3 2 2 2" xfId="10457"/>
    <cellStyle name="Currency 2 5 3 3 2 2 2 2" xfId="28810"/>
    <cellStyle name="Currency 2 5 3 3 2 2 3" xfId="28811"/>
    <cellStyle name="Currency 2 5 3 3 2 3" xfId="10458"/>
    <cellStyle name="Currency 2 5 3 3 2 3 2" xfId="10459"/>
    <cellStyle name="Currency 2 5 3 3 2 3 2 2" xfId="28812"/>
    <cellStyle name="Currency 2 5 3 3 2 3 3" xfId="28813"/>
    <cellStyle name="Currency 2 5 3 3 2 4" xfId="10460"/>
    <cellStyle name="Currency 2 5 3 3 2 4 2" xfId="10461"/>
    <cellStyle name="Currency 2 5 3 3 2 4 2 2" xfId="28814"/>
    <cellStyle name="Currency 2 5 3 3 2 4 3" xfId="28815"/>
    <cellStyle name="Currency 2 5 3 3 2 5" xfId="10462"/>
    <cellStyle name="Currency 2 5 3 3 2 5 2" xfId="28816"/>
    <cellStyle name="Currency 2 5 3 3 2 6" xfId="10463"/>
    <cellStyle name="Currency 2 5 3 3 3" xfId="10464"/>
    <cellStyle name="Currency 2 5 3 3 3 2" xfId="10465"/>
    <cellStyle name="Currency 2 5 3 3 3 2 2" xfId="28817"/>
    <cellStyle name="Currency 2 5 3 3 3 3" xfId="28818"/>
    <cellStyle name="Currency 2 5 3 3 4" xfId="10466"/>
    <cellStyle name="Currency 2 5 3 3 4 2" xfId="10467"/>
    <cellStyle name="Currency 2 5 3 3 4 2 2" xfId="28819"/>
    <cellStyle name="Currency 2 5 3 3 4 3" xfId="28820"/>
    <cellStyle name="Currency 2 5 3 3 5" xfId="10468"/>
    <cellStyle name="Currency 2 5 3 3 5 2" xfId="10469"/>
    <cellStyle name="Currency 2 5 3 3 5 2 2" xfId="28821"/>
    <cellStyle name="Currency 2 5 3 3 5 3" xfId="28822"/>
    <cellStyle name="Currency 2 5 3 3 6" xfId="10470"/>
    <cellStyle name="Currency 2 5 3 3 6 2" xfId="28823"/>
    <cellStyle name="Currency 2 5 3 3 7" xfId="10471"/>
    <cellStyle name="Currency 2 5 3 4" xfId="683"/>
    <cellStyle name="Currency 2 5 3 4 2" xfId="1740"/>
    <cellStyle name="Currency 2 5 3 4 2 2" xfId="10472"/>
    <cellStyle name="Currency 2 5 3 4 2 2 2" xfId="10473"/>
    <cellStyle name="Currency 2 5 3 4 2 2 2 2" xfId="28824"/>
    <cellStyle name="Currency 2 5 3 4 2 2 3" xfId="28825"/>
    <cellStyle name="Currency 2 5 3 4 2 3" xfId="10474"/>
    <cellStyle name="Currency 2 5 3 4 2 3 2" xfId="10475"/>
    <cellStyle name="Currency 2 5 3 4 2 3 2 2" xfId="28826"/>
    <cellStyle name="Currency 2 5 3 4 2 3 3" xfId="28827"/>
    <cellStyle name="Currency 2 5 3 4 2 4" xfId="10476"/>
    <cellStyle name="Currency 2 5 3 4 2 4 2" xfId="10477"/>
    <cellStyle name="Currency 2 5 3 4 2 4 2 2" xfId="28828"/>
    <cellStyle name="Currency 2 5 3 4 2 4 3" xfId="28829"/>
    <cellStyle name="Currency 2 5 3 4 2 5" xfId="10478"/>
    <cellStyle name="Currency 2 5 3 4 2 5 2" xfId="28830"/>
    <cellStyle name="Currency 2 5 3 4 2 6" xfId="10479"/>
    <cellStyle name="Currency 2 5 3 4 3" xfId="10480"/>
    <cellStyle name="Currency 2 5 3 4 3 2" xfId="10481"/>
    <cellStyle name="Currency 2 5 3 4 3 2 2" xfId="28831"/>
    <cellStyle name="Currency 2 5 3 4 3 3" xfId="28832"/>
    <cellStyle name="Currency 2 5 3 4 4" xfId="10482"/>
    <cellStyle name="Currency 2 5 3 4 4 2" xfId="10483"/>
    <cellStyle name="Currency 2 5 3 4 4 2 2" xfId="28833"/>
    <cellStyle name="Currency 2 5 3 4 4 3" xfId="28834"/>
    <cellStyle name="Currency 2 5 3 4 5" xfId="10484"/>
    <cellStyle name="Currency 2 5 3 4 5 2" xfId="10485"/>
    <cellStyle name="Currency 2 5 3 4 5 2 2" xfId="28835"/>
    <cellStyle name="Currency 2 5 3 4 5 3" xfId="28836"/>
    <cellStyle name="Currency 2 5 3 4 6" xfId="10486"/>
    <cellStyle name="Currency 2 5 3 4 6 2" xfId="28837"/>
    <cellStyle name="Currency 2 5 3 4 7" xfId="10487"/>
    <cellStyle name="Currency 2 5 3 5" xfId="1741"/>
    <cellStyle name="Currency 2 5 3 5 2" xfId="10488"/>
    <cellStyle name="Currency 2 5 3 5 2 2" xfId="10489"/>
    <cellStyle name="Currency 2 5 3 5 2 2 2" xfId="28838"/>
    <cellStyle name="Currency 2 5 3 5 2 3" xfId="28839"/>
    <cellStyle name="Currency 2 5 3 5 3" xfId="10490"/>
    <cellStyle name="Currency 2 5 3 5 3 2" xfId="10491"/>
    <cellStyle name="Currency 2 5 3 5 3 2 2" xfId="28840"/>
    <cellStyle name="Currency 2 5 3 5 3 3" xfId="28841"/>
    <cellStyle name="Currency 2 5 3 5 4" xfId="10492"/>
    <cellStyle name="Currency 2 5 3 5 4 2" xfId="10493"/>
    <cellStyle name="Currency 2 5 3 5 4 2 2" xfId="28842"/>
    <cellStyle name="Currency 2 5 3 5 4 3" xfId="28843"/>
    <cellStyle name="Currency 2 5 3 5 5" xfId="10494"/>
    <cellStyle name="Currency 2 5 3 5 5 2" xfId="28844"/>
    <cellStyle name="Currency 2 5 3 5 6" xfId="10495"/>
    <cellStyle name="Currency 2 5 3 6" xfId="10496"/>
    <cellStyle name="Currency 2 5 3 6 2" xfId="10497"/>
    <cellStyle name="Currency 2 5 3 6 2 2" xfId="28845"/>
    <cellStyle name="Currency 2 5 3 6 3" xfId="28846"/>
    <cellStyle name="Currency 2 5 3 7" xfId="10498"/>
    <cellStyle name="Currency 2 5 3 7 2" xfId="10499"/>
    <cellStyle name="Currency 2 5 3 7 2 2" xfId="28847"/>
    <cellStyle name="Currency 2 5 3 7 3" xfId="28848"/>
    <cellStyle name="Currency 2 5 3 8" xfId="10500"/>
    <cellStyle name="Currency 2 5 3 8 2" xfId="10501"/>
    <cellStyle name="Currency 2 5 3 8 2 2" xfId="28849"/>
    <cellStyle name="Currency 2 5 3 8 3" xfId="28850"/>
    <cellStyle name="Currency 2 5 3 9" xfId="10502"/>
    <cellStyle name="Currency 2 5 3 9 2" xfId="28851"/>
    <cellStyle name="Currency 2 5 4" xfId="169"/>
    <cellStyle name="Currency 2 5 4 2" xfId="957"/>
    <cellStyle name="Currency 2 5 4 2 2" xfId="1742"/>
    <cellStyle name="Currency 2 5 4 2 2 2" xfId="10503"/>
    <cellStyle name="Currency 2 5 4 2 2 2 2" xfId="10504"/>
    <cellStyle name="Currency 2 5 4 2 2 2 2 2" xfId="28852"/>
    <cellStyle name="Currency 2 5 4 2 2 2 3" xfId="28853"/>
    <cellStyle name="Currency 2 5 4 2 2 3" xfId="10505"/>
    <cellStyle name="Currency 2 5 4 2 2 3 2" xfId="10506"/>
    <cellStyle name="Currency 2 5 4 2 2 3 2 2" xfId="28854"/>
    <cellStyle name="Currency 2 5 4 2 2 3 3" xfId="28855"/>
    <cellStyle name="Currency 2 5 4 2 2 4" xfId="10507"/>
    <cellStyle name="Currency 2 5 4 2 2 4 2" xfId="10508"/>
    <cellStyle name="Currency 2 5 4 2 2 4 2 2" xfId="28856"/>
    <cellStyle name="Currency 2 5 4 2 2 4 3" xfId="28857"/>
    <cellStyle name="Currency 2 5 4 2 2 5" xfId="10509"/>
    <cellStyle name="Currency 2 5 4 2 2 5 2" xfId="28858"/>
    <cellStyle name="Currency 2 5 4 2 2 6" xfId="10510"/>
    <cellStyle name="Currency 2 5 4 2 3" xfId="10511"/>
    <cellStyle name="Currency 2 5 4 2 3 2" xfId="10512"/>
    <cellStyle name="Currency 2 5 4 2 3 2 2" xfId="28859"/>
    <cellStyle name="Currency 2 5 4 2 3 3" xfId="28860"/>
    <cellStyle name="Currency 2 5 4 2 4" xfId="10513"/>
    <cellStyle name="Currency 2 5 4 2 4 2" xfId="10514"/>
    <cellStyle name="Currency 2 5 4 2 4 2 2" xfId="28861"/>
    <cellStyle name="Currency 2 5 4 2 4 3" xfId="28862"/>
    <cellStyle name="Currency 2 5 4 2 5" xfId="10515"/>
    <cellStyle name="Currency 2 5 4 2 5 2" xfId="10516"/>
    <cellStyle name="Currency 2 5 4 2 5 2 2" xfId="28863"/>
    <cellStyle name="Currency 2 5 4 2 5 3" xfId="28864"/>
    <cellStyle name="Currency 2 5 4 2 6" xfId="10517"/>
    <cellStyle name="Currency 2 5 4 2 6 2" xfId="28865"/>
    <cellStyle name="Currency 2 5 4 2 7" xfId="10518"/>
    <cellStyle name="Currency 2 5 4 3" xfId="589"/>
    <cellStyle name="Currency 2 5 4 3 2" xfId="1743"/>
    <cellStyle name="Currency 2 5 4 3 2 2" xfId="10519"/>
    <cellStyle name="Currency 2 5 4 3 2 2 2" xfId="10520"/>
    <cellStyle name="Currency 2 5 4 3 2 2 2 2" xfId="28866"/>
    <cellStyle name="Currency 2 5 4 3 2 2 3" xfId="28867"/>
    <cellStyle name="Currency 2 5 4 3 2 3" xfId="10521"/>
    <cellStyle name="Currency 2 5 4 3 2 3 2" xfId="10522"/>
    <cellStyle name="Currency 2 5 4 3 2 3 2 2" xfId="28868"/>
    <cellStyle name="Currency 2 5 4 3 2 3 3" xfId="28869"/>
    <cellStyle name="Currency 2 5 4 3 2 4" xfId="10523"/>
    <cellStyle name="Currency 2 5 4 3 2 4 2" xfId="10524"/>
    <cellStyle name="Currency 2 5 4 3 2 4 2 2" xfId="28870"/>
    <cellStyle name="Currency 2 5 4 3 2 4 3" xfId="28871"/>
    <cellStyle name="Currency 2 5 4 3 2 5" xfId="10525"/>
    <cellStyle name="Currency 2 5 4 3 2 5 2" xfId="28872"/>
    <cellStyle name="Currency 2 5 4 3 2 6" xfId="10526"/>
    <cellStyle name="Currency 2 5 4 3 3" xfId="10527"/>
    <cellStyle name="Currency 2 5 4 3 3 2" xfId="10528"/>
    <cellStyle name="Currency 2 5 4 3 3 2 2" xfId="28873"/>
    <cellStyle name="Currency 2 5 4 3 3 3" xfId="28874"/>
    <cellStyle name="Currency 2 5 4 3 4" xfId="10529"/>
    <cellStyle name="Currency 2 5 4 3 4 2" xfId="10530"/>
    <cellStyle name="Currency 2 5 4 3 4 2 2" xfId="28875"/>
    <cellStyle name="Currency 2 5 4 3 4 3" xfId="28876"/>
    <cellStyle name="Currency 2 5 4 3 5" xfId="10531"/>
    <cellStyle name="Currency 2 5 4 3 5 2" xfId="10532"/>
    <cellStyle name="Currency 2 5 4 3 5 2 2" xfId="28877"/>
    <cellStyle name="Currency 2 5 4 3 5 3" xfId="28878"/>
    <cellStyle name="Currency 2 5 4 3 6" xfId="10533"/>
    <cellStyle name="Currency 2 5 4 3 6 2" xfId="28879"/>
    <cellStyle name="Currency 2 5 4 3 7" xfId="10534"/>
    <cellStyle name="Currency 2 5 4 4" xfId="1744"/>
    <cellStyle name="Currency 2 5 4 4 2" xfId="10535"/>
    <cellStyle name="Currency 2 5 4 4 2 2" xfId="10536"/>
    <cellStyle name="Currency 2 5 4 4 2 2 2" xfId="28880"/>
    <cellStyle name="Currency 2 5 4 4 2 3" xfId="28881"/>
    <cellStyle name="Currency 2 5 4 4 3" xfId="10537"/>
    <cellStyle name="Currency 2 5 4 4 3 2" xfId="10538"/>
    <cellStyle name="Currency 2 5 4 4 3 2 2" xfId="28882"/>
    <cellStyle name="Currency 2 5 4 4 3 3" xfId="28883"/>
    <cellStyle name="Currency 2 5 4 4 4" xfId="10539"/>
    <cellStyle name="Currency 2 5 4 4 4 2" xfId="10540"/>
    <cellStyle name="Currency 2 5 4 4 4 2 2" xfId="28884"/>
    <cellStyle name="Currency 2 5 4 4 4 3" xfId="28885"/>
    <cellStyle name="Currency 2 5 4 4 5" xfId="10541"/>
    <cellStyle name="Currency 2 5 4 4 5 2" xfId="28886"/>
    <cellStyle name="Currency 2 5 4 4 6" xfId="10542"/>
    <cellStyle name="Currency 2 5 4 5" xfId="10543"/>
    <cellStyle name="Currency 2 5 4 5 2" xfId="10544"/>
    <cellStyle name="Currency 2 5 4 5 2 2" xfId="28887"/>
    <cellStyle name="Currency 2 5 4 5 3" xfId="28888"/>
    <cellStyle name="Currency 2 5 4 6" xfId="10545"/>
    <cellStyle name="Currency 2 5 4 6 2" xfId="10546"/>
    <cellStyle name="Currency 2 5 4 6 2 2" xfId="28889"/>
    <cellStyle name="Currency 2 5 4 6 3" xfId="28890"/>
    <cellStyle name="Currency 2 5 4 7" xfId="10547"/>
    <cellStyle name="Currency 2 5 4 7 2" xfId="10548"/>
    <cellStyle name="Currency 2 5 4 7 2 2" xfId="28891"/>
    <cellStyle name="Currency 2 5 4 7 3" xfId="28892"/>
    <cellStyle name="Currency 2 5 4 8" xfId="10549"/>
    <cellStyle name="Currency 2 5 4 8 2" xfId="28893"/>
    <cellStyle name="Currency 2 5 4 9" xfId="10550"/>
    <cellStyle name="Currency 2 5 5" xfId="327"/>
    <cellStyle name="Currency 2 5 5 2" xfId="1115"/>
    <cellStyle name="Currency 2 5 5 2 2" xfId="1745"/>
    <cellStyle name="Currency 2 5 5 2 2 2" xfId="10551"/>
    <cellStyle name="Currency 2 5 5 2 2 2 2" xfId="10552"/>
    <cellStyle name="Currency 2 5 5 2 2 2 2 2" xfId="28894"/>
    <cellStyle name="Currency 2 5 5 2 2 2 3" xfId="28895"/>
    <cellStyle name="Currency 2 5 5 2 2 3" xfId="10553"/>
    <cellStyle name="Currency 2 5 5 2 2 3 2" xfId="10554"/>
    <cellStyle name="Currency 2 5 5 2 2 3 2 2" xfId="28896"/>
    <cellStyle name="Currency 2 5 5 2 2 3 3" xfId="28897"/>
    <cellStyle name="Currency 2 5 5 2 2 4" xfId="10555"/>
    <cellStyle name="Currency 2 5 5 2 2 4 2" xfId="10556"/>
    <cellStyle name="Currency 2 5 5 2 2 4 2 2" xfId="28898"/>
    <cellStyle name="Currency 2 5 5 2 2 4 3" xfId="28899"/>
    <cellStyle name="Currency 2 5 5 2 2 5" xfId="10557"/>
    <cellStyle name="Currency 2 5 5 2 2 5 2" xfId="28900"/>
    <cellStyle name="Currency 2 5 5 2 2 6" xfId="10558"/>
    <cellStyle name="Currency 2 5 5 2 3" xfId="10559"/>
    <cellStyle name="Currency 2 5 5 2 3 2" xfId="10560"/>
    <cellStyle name="Currency 2 5 5 2 3 2 2" xfId="28901"/>
    <cellStyle name="Currency 2 5 5 2 3 3" xfId="28902"/>
    <cellStyle name="Currency 2 5 5 2 4" xfId="10561"/>
    <cellStyle name="Currency 2 5 5 2 4 2" xfId="10562"/>
    <cellStyle name="Currency 2 5 5 2 4 2 2" xfId="28903"/>
    <cellStyle name="Currency 2 5 5 2 4 3" xfId="28904"/>
    <cellStyle name="Currency 2 5 5 2 5" xfId="10563"/>
    <cellStyle name="Currency 2 5 5 2 5 2" xfId="10564"/>
    <cellStyle name="Currency 2 5 5 2 5 2 2" xfId="28905"/>
    <cellStyle name="Currency 2 5 5 2 5 3" xfId="28906"/>
    <cellStyle name="Currency 2 5 5 2 6" xfId="10565"/>
    <cellStyle name="Currency 2 5 5 2 6 2" xfId="28907"/>
    <cellStyle name="Currency 2 5 5 2 7" xfId="10566"/>
    <cellStyle name="Currency 2 5 5 3" xfId="747"/>
    <cellStyle name="Currency 2 5 5 3 2" xfId="1746"/>
    <cellStyle name="Currency 2 5 5 3 2 2" xfId="10567"/>
    <cellStyle name="Currency 2 5 5 3 2 2 2" xfId="10568"/>
    <cellStyle name="Currency 2 5 5 3 2 2 2 2" xfId="28908"/>
    <cellStyle name="Currency 2 5 5 3 2 2 3" xfId="28909"/>
    <cellStyle name="Currency 2 5 5 3 2 3" xfId="10569"/>
    <cellStyle name="Currency 2 5 5 3 2 3 2" xfId="10570"/>
    <cellStyle name="Currency 2 5 5 3 2 3 2 2" xfId="28910"/>
    <cellStyle name="Currency 2 5 5 3 2 3 3" xfId="28911"/>
    <cellStyle name="Currency 2 5 5 3 2 4" xfId="10571"/>
    <cellStyle name="Currency 2 5 5 3 2 4 2" xfId="10572"/>
    <cellStyle name="Currency 2 5 5 3 2 4 2 2" xfId="28912"/>
    <cellStyle name="Currency 2 5 5 3 2 4 3" xfId="28913"/>
    <cellStyle name="Currency 2 5 5 3 2 5" xfId="10573"/>
    <cellStyle name="Currency 2 5 5 3 2 5 2" xfId="28914"/>
    <cellStyle name="Currency 2 5 5 3 2 6" xfId="10574"/>
    <cellStyle name="Currency 2 5 5 3 3" xfId="10575"/>
    <cellStyle name="Currency 2 5 5 3 3 2" xfId="10576"/>
    <cellStyle name="Currency 2 5 5 3 3 2 2" xfId="28915"/>
    <cellStyle name="Currency 2 5 5 3 3 3" xfId="28916"/>
    <cellStyle name="Currency 2 5 5 3 4" xfId="10577"/>
    <cellStyle name="Currency 2 5 5 3 4 2" xfId="10578"/>
    <cellStyle name="Currency 2 5 5 3 4 2 2" xfId="28917"/>
    <cellStyle name="Currency 2 5 5 3 4 3" xfId="28918"/>
    <cellStyle name="Currency 2 5 5 3 5" xfId="10579"/>
    <cellStyle name="Currency 2 5 5 3 5 2" xfId="10580"/>
    <cellStyle name="Currency 2 5 5 3 5 2 2" xfId="28919"/>
    <cellStyle name="Currency 2 5 5 3 5 3" xfId="28920"/>
    <cellStyle name="Currency 2 5 5 3 6" xfId="10581"/>
    <cellStyle name="Currency 2 5 5 3 6 2" xfId="28921"/>
    <cellStyle name="Currency 2 5 5 3 7" xfId="10582"/>
    <cellStyle name="Currency 2 5 5 4" xfId="1747"/>
    <cellStyle name="Currency 2 5 5 4 2" xfId="10583"/>
    <cellStyle name="Currency 2 5 5 4 2 2" xfId="10584"/>
    <cellStyle name="Currency 2 5 5 4 2 2 2" xfId="28922"/>
    <cellStyle name="Currency 2 5 5 4 2 3" xfId="28923"/>
    <cellStyle name="Currency 2 5 5 4 3" xfId="10585"/>
    <cellStyle name="Currency 2 5 5 4 3 2" xfId="10586"/>
    <cellStyle name="Currency 2 5 5 4 3 2 2" xfId="28924"/>
    <cellStyle name="Currency 2 5 5 4 3 3" xfId="28925"/>
    <cellStyle name="Currency 2 5 5 4 4" xfId="10587"/>
    <cellStyle name="Currency 2 5 5 4 4 2" xfId="10588"/>
    <cellStyle name="Currency 2 5 5 4 4 2 2" xfId="28926"/>
    <cellStyle name="Currency 2 5 5 4 4 3" xfId="28927"/>
    <cellStyle name="Currency 2 5 5 4 5" xfId="10589"/>
    <cellStyle name="Currency 2 5 5 4 5 2" xfId="28928"/>
    <cellStyle name="Currency 2 5 5 4 6" xfId="10590"/>
    <cellStyle name="Currency 2 5 5 5" xfId="10591"/>
    <cellStyle name="Currency 2 5 5 5 2" xfId="10592"/>
    <cellStyle name="Currency 2 5 5 5 2 2" xfId="28929"/>
    <cellStyle name="Currency 2 5 5 5 3" xfId="28930"/>
    <cellStyle name="Currency 2 5 5 6" xfId="10593"/>
    <cellStyle name="Currency 2 5 5 6 2" xfId="10594"/>
    <cellStyle name="Currency 2 5 5 6 2 2" xfId="28931"/>
    <cellStyle name="Currency 2 5 5 6 3" xfId="28932"/>
    <cellStyle name="Currency 2 5 5 7" xfId="10595"/>
    <cellStyle name="Currency 2 5 5 7 2" xfId="10596"/>
    <cellStyle name="Currency 2 5 5 7 2 2" xfId="28933"/>
    <cellStyle name="Currency 2 5 5 7 3" xfId="28934"/>
    <cellStyle name="Currency 2 5 5 8" xfId="10597"/>
    <cellStyle name="Currency 2 5 5 8 2" xfId="28935"/>
    <cellStyle name="Currency 2 5 5 9" xfId="10598"/>
    <cellStyle name="Currency 2 5 6" xfId="116"/>
    <cellStyle name="Currency 2 5 6 2" xfId="537"/>
    <cellStyle name="Currency 2 5 6 2 2" xfId="1748"/>
    <cellStyle name="Currency 2 5 6 2 2 2" xfId="10599"/>
    <cellStyle name="Currency 2 5 6 2 2 2 2" xfId="10600"/>
    <cellStyle name="Currency 2 5 6 2 2 2 2 2" xfId="28936"/>
    <cellStyle name="Currency 2 5 6 2 2 2 3" xfId="28937"/>
    <cellStyle name="Currency 2 5 6 2 2 3" xfId="10601"/>
    <cellStyle name="Currency 2 5 6 2 2 3 2" xfId="10602"/>
    <cellStyle name="Currency 2 5 6 2 2 3 2 2" xfId="28938"/>
    <cellStyle name="Currency 2 5 6 2 2 3 3" xfId="28939"/>
    <cellStyle name="Currency 2 5 6 2 2 4" xfId="10603"/>
    <cellStyle name="Currency 2 5 6 2 2 4 2" xfId="10604"/>
    <cellStyle name="Currency 2 5 6 2 2 4 2 2" xfId="28940"/>
    <cellStyle name="Currency 2 5 6 2 2 4 3" xfId="28941"/>
    <cellStyle name="Currency 2 5 6 2 2 5" xfId="10605"/>
    <cellStyle name="Currency 2 5 6 2 2 5 2" xfId="28942"/>
    <cellStyle name="Currency 2 5 6 2 2 6" xfId="10606"/>
    <cellStyle name="Currency 2 5 6 2 3" xfId="10607"/>
    <cellStyle name="Currency 2 5 6 2 3 2" xfId="10608"/>
    <cellStyle name="Currency 2 5 6 2 3 2 2" xfId="28943"/>
    <cellStyle name="Currency 2 5 6 2 3 3" xfId="28944"/>
    <cellStyle name="Currency 2 5 6 2 4" xfId="10609"/>
    <cellStyle name="Currency 2 5 6 2 4 2" xfId="10610"/>
    <cellStyle name="Currency 2 5 6 2 4 2 2" xfId="28945"/>
    <cellStyle name="Currency 2 5 6 2 4 3" xfId="28946"/>
    <cellStyle name="Currency 2 5 6 2 5" xfId="10611"/>
    <cellStyle name="Currency 2 5 6 2 5 2" xfId="10612"/>
    <cellStyle name="Currency 2 5 6 2 5 2 2" xfId="28947"/>
    <cellStyle name="Currency 2 5 6 2 5 3" xfId="28948"/>
    <cellStyle name="Currency 2 5 6 2 6" xfId="10613"/>
    <cellStyle name="Currency 2 5 6 2 6 2" xfId="28949"/>
    <cellStyle name="Currency 2 5 6 2 7" xfId="10614"/>
    <cellStyle name="Currency 2 5 6 3" xfId="1749"/>
    <cellStyle name="Currency 2 5 6 3 2" xfId="10615"/>
    <cellStyle name="Currency 2 5 6 3 2 2" xfId="10616"/>
    <cellStyle name="Currency 2 5 6 3 2 2 2" xfId="28950"/>
    <cellStyle name="Currency 2 5 6 3 2 3" xfId="28951"/>
    <cellStyle name="Currency 2 5 6 3 3" xfId="10617"/>
    <cellStyle name="Currency 2 5 6 3 3 2" xfId="10618"/>
    <cellStyle name="Currency 2 5 6 3 3 2 2" xfId="28952"/>
    <cellStyle name="Currency 2 5 6 3 3 3" xfId="28953"/>
    <cellStyle name="Currency 2 5 6 3 4" xfId="10619"/>
    <cellStyle name="Currency 2 5 6 3 4 2" xfId="10620"/>
    <cellStyle name="Currency 2 5 6 3 4 2 2" xfId="28954"/>
    <cellStyle name="Currency 2 5 6 3 4 3" xfId="28955"/>
    <cellStyle name="Currency 2 5 6 3 5" xfId="10621"/>
    <cellStyle name="Currency 2 5 6 3 5 2" xfId="28956"/>
    <cellStyle name="Currency 2 5 6 3 6" xfId="10622"/>
    <cellStyle name="Currency 2 5 6 4" xfId="10623"/>
    <cellStyle name="Currency 2 5 6 4 2" xfId="10624"/>
    <cellStyle name="Currency 2 5 6 4 2 2" xfId="28957"/>
    <cellStyle name="Currency 2 5 6 4 3" xfId="28958"/>
    <cellStyle name="Currency 2 5 6 5" xfId="10625"/>
    <cellStyle name="Currency 2 5 6 5 2" xfId="10626"/>
    <cellStyle name="Currency 2 5 6 5 2 2" xfId="28959"/>
    <cellStyle name="Currency 2 5 6 5 3" xfId="28960"/>
    <cellStyle name="Currency 2 5 6 6" xfId="10627"/>
    <cellStyle name="Currency 2 5 6 6 2" xfId="10628"/>
    <cellStyle name="Currency 2 5 6 6 2 2" xfId="28961"/>
    <cellStyle name="Currency 2 5 6 6 3" xfId="28962"/>
    <cellStyle name="Currency 2 5 6 7" xfId="10629"/>
    <cellStyle name="Currency 2 5 6 7 2" xfId="28963"/>
    <cellStyle name="Currency 2 5 6 8" xfId="10630"/>
    <cellStyle name="Currency 2 5 7" xfId="905"/>
    <cellStyle name="Currency 2 5 7 2" xfId="1750"/>
    <cellStyle name="Currency 2 5 7 2 2" xfId="10631"/>
    <cellStyle name="Currency 2 5 7 2 2 2" xfId="10632"/>
    <cellStyle name="Currency 2 5 7 2 2 2 2" xfId="28964"/>
    <cellStyle name="Currency 2 5 7 2 2 3" xfId="28965"/>
    <cellStyle name="Currency 2 5 7 2 3" xfId="10633"/>
    <cellStyle name="Currency 2 5 7 2 3 2" xfId="10634"/>
    <cellStyle name="Currency 2 5 7 2 3 2 2" xfId="28966"/>
    <cellStyle name="Currency 2 5 7 2 3 3" xfId="28967"/>
    <cellStyle name="Currency 2 5 7 2 4" xfId="10635"/>
    <cellStyle name="Currency 2 5 7 2 4 2" xfId="10636"/>
    <cellStyle name="Currency 2 5 7 2 4 2 2" xfId="28968"/>
    <cellStyle name="Currency 2 5 7 2 4 3" xfId="28969"/>
    <cellStyle name="Currency 2 5 7 2 5" xfId="10637"/>
    <cellStyle name="Currency 2 5 7 2 5 2" xfId="28970"/>
    <cellStyle name="Currency 2 5 7 2 6" xfId="10638"/>
    <cellStyle name="Currency 2 5 7 3" xfId="10639"/>
    <cellStyle name="Currency 2 5 7 3 2" xfId="10640"/>
    <cellStyle name="Currency 2 5 7 3 2 2" xfId="28971"/>
    <cellStyle name="Currency 2 5 7 3 3" xfId="28972"/>
    <cellStyle name="Currency 2 5 7 4" xfId="10641"/>
    <cellStyle name="Currency 2 5 7 4 2" xfId="10642"/>
    <cellStyle name="Currency 2 5 7 4 2 2" xfId="28973"/>
    <cellStyle name="Currency 2 5 7 4 3" xfId="28974"/>
    <cellStyle name="Currency 2 5 7 5" xfId="10643"/>
    <cellStyle name="Currency 2 5 7 5 2" xfId="10644"/>
    <cellStyle name="Currency 2 5 7 5 2 2" xfId="28975"/>
    <cellStyle name="Currency 2 5 7 5 3" xfId="28976"/>
    <cellStyle name="Currency 2 5 7 6" xfId="10645"/>
    <cellStyle name="Currency 2 5 7 6 2" xfId="28977"/>
    <cellStyle name="Currency 2 5 7 7" xfId="10646"/>
    <cellStyle name="Currency 2 5 8" xfId="479"/>
    <cellStyle name="Currency 2 5 8 2" xfId="1751"/>
    <cellStyle name="Currency 2 5 8 2 2" xfId="10647"/>
    <cellStyle name="Currency 2 5 8 2 2 2" xfId="10648"/>
    <cellStyle name="Currency 2 5 8 2 2 2 2" xfId="28978"/>
    <cellStyle name="Currency 2 5 8 2 2 3" xfId="28979"/>
    <cellStyle name="Currency 2 5 8 2 3" xfId="10649"/>
    <cellStyle name="Currency 2 5 8 2 3 2" xfId="10650"/>
    <cellStyle name="Currency 2 5 8 2 3 2 2" xfId="28980"/>
    <cellStyle name="Currency 2 5 8 2 3 3" xfId="28981"/>
    <cellStyle name="Currency 2 5 8 2 4" xfId="10651"/>
    <cellStyle name="Currency 2 5 8 2 4 2" xfId="10652"/>
    <cellStyle name="Currency 2 5 8 2 4 2 2" xfId="28982"/>
    <cellStyle name="Currency 2 5 8 2 4 3" xfId="28983"/>
    <cellStyle name="Currency 2 5 8 2 5" xfId="10653"/>
    <cellStyle name="Currency 2 5 8 2 5 2" xfId="28984"/>
    <cellStyle name="Currency 2 5 8 2 6" xfId="10654"/>
    <cellStyle name="Currency 2 5 8 3" xfId="10655"/>
    <cellStyle name="Currency 2 5 8 3 2" xfId="10656"/>
    <cellStyle name="Currency 2 5 8 3 2 2" xfId="28985"/>
    <cellStyle name="Currency 2 5 8 3 3" xfId="28986"/>
    <cellStyle name="Currency 2 5 8 4" xfId="10657"/>
    <cellStyle name="Currency 2 5 8 4 2" xfId="10658"/>
    <cellStyle name="Currency 2 5 8 4 2 2" xfId="28987"/>
    <cellStyle name="Currency 2 5 8 4 3" xfId="28988"/>
    <cellStyle name="Currency 2 5 8 5" xfId="10659"/>
    <cellStyle name="Currency 2 5 8 5 2" xfId="10660"/>
    <cellStyle name="Currency 2 5 8 5 2 2" xfId="28989"/>
    <cellStyle name="Currency 2 5 8 5 3" xfId="28990"/>
    <cellStyle name="Currency 2 5 8 6" xfId="10661"/>
    <cellStyle name="Currency 2 5 8 6 2" xfId="28991"/>
    <cellStyle name="Currency 2 5 8 7" xfId="10662"/>
    <cellStyle name="Currency 2 5 9" xfId="1752"/>
    <cellStyle name="Currency 2 5 9 2" xfId="10663"/>
    <cellStyle name="Currency 2 5 9 2 2" xfId="10664"/>
    <cellStyle name="Currency 2 5 9 2 2 2" xfId="28992"/>
    <cellStyle name="Currency 2 5 9 2 3" xfId="28993"/>
    <cellStyle name="Currency 2 5 9 3" xfId="10665"/>
    <cellStyle name="Currency 2 5 9 3 2" xfId="10666"/>
    <cellStyle name="Currency 2 5 9 3 2 2" xfId="28994"/>
    <cellStyle name="Currency 2 5 9 3 3" xfId="28995"/>
    <cellStyle name="Currency 2 5 9 4" xfId="10667"/>
    <cellStyle name="Currency 2 5 9 4 2" xfId="10668"/>
    <cellStyle name="Currency 2 5 9 4 2 2" xfId="28996"/>
    <cellStyle name="Currency 2 5 9 4 3" xfId="28997"/>
    <cellStyle name="Currency 2 5 9 5" xfId="10669"/>
    <cellStyle name="Currency 2 5 9 5 2" xfId="28998"/>
    <cellStyle name="Currency 2 5 9 6" xfId="10670"/>
    <cellStyle name="Currency 2 6" xfId="46"/>
    <cellStyle name="Currency 2 6 10" xfId="10671"/>
    <cellStyle name="Currency 2 6 10 2" xfId="10672"/>
    <cellStyle name="Currency 2 6 10 2 2" xfId="28999"/>
    <cellStyle name="Currency 2 6 10 3" xfId="29000"/>
    <cellStyle name="Currency 2 6 11" xfId="10673"/>
    <cellStyle name="Currency 2 6 11 2" xfId="10674"/>
    <cellStyle name="Currency 2 6 11 2 2" xfId="29001"/>
    <cellStyle name="Currency 2 6 11 3" xfId="29002"/>
    <cellStyle name="Currency 2 6 12" xfId="10675"/>
    <cellStyle name="Currency 2 6 12 2" xfId="10676"/>
    <cellStyle name="Currency 2 6 12 2 2" xfId="29003"/>
    <cellStyle name="Currency 2 6 12 3" xfId="29004"/>
    <cellStyle name="Currency 2 6 13" xfId="10677"/>
    <cellStyle name="Currency 2 6 13 2" xfId="29005"/>
    <cellStyle name="Currency 2 6 14" xfId="10678"/>
    <cellStyle name="Currency 2 6 2" xfId="213"/>
    <cellStyle name="Currency 2 6 2 10" xfId="10679"/>
    <cellStyle name="Currency 2 6 2 2" xfId="371"/>
    <cellStyle name="Currency 2 6 2 2 2" xfId="1159"/>
    <cellStyle name="Currency 2 6 2 2 2 2" xfId="1753"/>
    <cellStyle name="Currency 2 6 2 2 2 2 2" xfId="10680"/>
    <cellStyle name="Currency 2 6 2 2 2 2 2 2" xfId="10681"/>
    <cellStyle name="Currency 2 6 2 2 2 2 2 2 2" xfId="29006"/>
    <cellStyle name="Currency 2 6 2 2 2 2 2 3" xfId="29007"/>
    <cellStyle name="Currency 2 6 2 2 2 2 3" xfId="10682"/>
    <cellStyle name="Currency 2 6 2 2 2 2 3 2" xfId="10683"/>
    <cellStyle name="Currency 2 6 2 2 2 2 3 2 2" xfId="29008"/>
    <cellStyle name="Currency 2 6 2 2 2 2 3 3" xfId="29009"/>
    <cellStyle name="Currency 2 6 2 2 2 2 4" xfId="10684"/>
    <cellStyle name="Currency 2 6 2 2 2 2 4 2" xfId="10685"/>
    <cellStyle name="Currency 2 6 2 2 2 2 4 2 2" xfId="29010"/>
    <cellStyle name="Currency 2 6 2 2 2 2 4 3" xfId="29011"/>
    <cellStyle name="Currency 2 6 2 2 2 2 5" xfId="10686"/>
    <cellStyle name="Currency 2 6 2 2 2 2 5 2" xfId="29012"/>
    <cellStyle name="Currency 2 6 2 2 2 2 6" xfId="10687"/>
    <cellStyle name="Currency 2 6 2 2 2 3" xfId="10688"/>
    <cellStyle name="Currency 2 6 2 2 2 3 2" xfId="10689"/>
    <cellStyle name="Currency 2 6 2 2 2 3 2 2" xfId="29013"/>
    <cellStyle name="Currency 2 6 2 2 2 3 3" xfId="29014"/>
    <cellStyle name="Currency 2 6 2 2 2 4" xfId="10690"/>
    <cellStyle name="Currency 2 6 2 2 2 4 2" xfId="10691"/>
    <cellStyle name="Currency 2 6 2 2 2 4 2 2" xfId="29015"/>
    <cellStyle name="Currency 2 6 2 2 2 4 3" xfId="29016"/>
    <cellStyle name="Currency 2 6 2 2 2 5" xfId="10692"/>
    <cellStyle name="Currency 2 6 2 2 2 5 2" xfId="10693"/>
    <cellStyle name="Currency 2 6 2 2 2 5 2 2" xfId="29017"/>
    <cellStyle name="Currency 2 6 2 2 2 5 3" xfId="29018"/>
    <cellStyle name="Currency 2 6 2 2 2 6" xfId="10694"/>
    <cellStyle name="Currency 2 6 2 2 2 6 2" xfId="29019"/>
    <cellStyle name="Currency 2 6 2 2 2 7" xfId="10695"/>
    <cellStyle name="Currency 2 6 2 2 3" xfId="791"/>
    <cellStyle name="Currency 2 6 2 2 3 2" xfId="1754"/>
    <cellStyle name="Currency 2 6 2 2 3 2 2" xfId="10696"/>
    <cellStyle name="Currency 2 6 2 2 3 2 2 2" xfId="10697"/>
    <cellStyle name="Currency 2 6 2 2 3 2 2 2 2" xfId="29020"/>
    <cellStyle name="Currency 2 6 2 2 3 2 2 3" xfId="29021"/>
    <cellStyle name="Currency 2 6 2 2 3 2 3" xfId="10698"/>
    <cellStyle name="Currency 2 6 2 2 3 2 3 2" xfId="10699"/>
    <cellStyle name="Currency 2 6 2 2 3 2 3 2 2" xfId="29022"/>
    <cellStyle name="Currency 2 6 2 2 3 2 3 3" xfId="29023"/>
    <cellStyle name="Currency 2 6 2 2 3 2 4" xfId="10700"/>
    <cellStyle name="Currency 2 6 2 2 3 2 4 2" xfId="10701"/>
    <cellStyle name="Currency 2 6 2 2 3 2 4 2 2" xfId="29024"/>
    <cellStyle name="Currency 2 6 2 2 3 2 4 3" xfId="29025"/>
    <cellStyle name="Currency 2 6 2 2 3 2 5" xfId="10702"/>
    <cellStyle name="Currency 2 6 2 2 3 2 5 2" xfId="29026"/>
    <cellStyle name="Currency 2 6 2 2 3 2 6" xfId="10703"/>
    <cellStyle name="Currency 2 6 2 2 3 3" xfId="10704"/>
    <cellStyle name="Currency 2 6 2 2 3 3 2" xfId="10705"/>
    <cellStyle name="Currency 2 6 2 2 3 3 2 2" xfId="29027"/>
    <cellStyle name="Currency 2 6 2 2 3 3 3" xfId="29028"/>
    <cellStyle name="Currency 2 6 2 2 3 4" xfId="10706"/>
    <cellStyle name="Currency 2 6 2 2 3 4 2" xfId="10707"/>
    <cellStyle name="Currency 2 6 2 2 3 4 2 2" xfId="29029"/>
    <cellStyle name="Currency 2 6 2 2 3 4 3" xfId="29030"/>
    <cellStyle name="Currency 2 6 2 2 3 5" xfId="10708"/>
    <cellStyle name="Currency 2 6 2 2 3 5 2" xfId="10709"/>
    <cellStyle name="Currency 2 6 2 2 3 5 2 2" xfId="29031"/>
    <cellStyle name="Currency 2 6 2 2 3 5 3" xfId="29032"/>
    <cellStyle name="Currency 2 6 2 2 3 6" xfId="10710"/>
    <cellStyle name="Currency 2 6 2 2 3 6 2" xfId="29033"/>
    <cellStyle name="Currency 2 6 2 2 3 7" xfId="10711"/>
    <cellStyle name="Currency 2 6 2 2 4" xfId="1755"/>
    <cellStyle name="Currency 2 6 2 2 4 2" xfId="10712"/>
    <cellStyle name="Currency 2 6 2 2 4 2 2" xfId="10713"/>
    <cellStyle name="Currency 2 6 2 2 4 2 2 2" xfId="29034"/>
    <cellStyle name="Currency 2 6 2 2 4 2 3" xfId="29035"/>
    <cellStyle name="Currency 2 6 2 2 4 3" xfId="10714"/>
    <cellStyle name="Currency 2 6 2 2 4 3 2" xfId="10715"/>
    <cellStyle name="Currency 2 6 2 2 4 3 2 2" xfId="29036"/>
    <cellStyle name="Currency 2 6 2 2 4 3 3" xfId="29037"/>
    <cellStyle name="Currency 2 6 2 2 4 4" xfId="10716"/>
    <cellStyle name="Currency 2 6 2 2 4 4 2" xfId="10717"/>
    <cellStyle name="Currency 2 6 2 2 4 4 2 2" xfId="29038"/>
    <cellStyle name="Currency 2 6 2 2 4 4 3" xfId="29039"/>
    <cellStyle name="Currency 2 6 2 2 4 5" xfId="10718"/>
    <cellStyle name="Currency 2 6 2 2 4 5 2" xfId="29040"/>
    <cellStyle name="Currency 2 6 2 2 4 6" xfId="10719"/>
    <cellStyle name="Currency 2 6 2 2 5" xfId="10720"/>
    <cellStyle name="Currency 2 6 2 2 5 2" xfId="10721"/>
    <cellStyle name="Currency 2 6 2 2 5 2 2" xfId="29041"/>
    <cellStyle name="Currency 2 6 2 2 5 3" xfId="29042"/>
    <cellStyle name="Currency 2 6 2 2 6" xfId="10722"/>
    <cellStyle name="Currency 2 6 2 2 6 2" xfId="10723"/>
    <cellStyle name="Currency 2 6 2 2 6 2 2" xfId="29043"/>
    <cellStyle name="Currency 2 6 2 2 6 3" xfId="29044"/>
    <cellStyle name="Currency 2 6 2 2 7" xfId="10724"/>
    <cellStyle name="Currency 2 6 2 2 7 2" xfId="10725"/>
    <cellStyle name="Currency 2 6 2 2 7 2 2" xfId="29045"/>
    <cellStyle name="Currency 2 6 2 2 7 3" xfId="29046"/>
    <cellStyle name="Currency 2 6 2 2 8" xfId="10726"/>
    <cellStyle name="Currency 2 6 2 2 8 2" xfId="29047"/>
    <cellStyle name="Currency 2 6 2 2 9" xfId="10727"/>
    <cellStyle name="Currency 2 6 2 3" xfId="1001"/>
    <cellStyle name="Currency 2 6 2 3 2" xfId="1756"/>
    <cellStyle name="Currency 2 6 2 3 2 2" xfId="10728"/>
    <cellStyle name="Currency 2 6 2 3 2 2 2" xfId="10729"/>
    <cellStyle name="Currency 2 6 2 3 2 2 2 2" xfId="29048"/>
    <cellStyle name="Currency 2 6 2 3 2 2 3" xfId="29049"/>
    <cellStyle name="Currency 2 6 2 3 2 3" xfId="10730"/>
    <cellStyle name="Currency 2 6 2 3 2 3 2" xfId="10731"/>
    <cellStyle name="Currency 2 6 2 3 2 3 2 2" xfId="29050"/>
    <cellStyle name="Currency 2 6 2 3 2 3 3" xfId="29051"/>
    <cellStyle name="Currency 2 6 2 3 2 4" xfId="10732"/>
    <cellStyle name="Currency 2 6 2 3 2 4 2" xfId="10733"/>
    <cellStyle name="Currency 2 6 2 3 2 4 2 2" xfId="29052"/>
    <cellStyle name="Currency 2 6 2 3 2 4 3" xfId="29053"/>
    <cellStyle name="Currency 2 6 2 3 2 5" xfId="10734"/>
    <cellStyle name="Currency 2 6 2 3 2 5 2" xfId="29054"/>
    <cellStyle name="Currency 2 6 2 3 2 6" xfId="10735"/>
    <cellStyle name="Currency 2 6 2 3 3" xfId="10736"/>
    <cellStyle name="Currency 2 6 2 3 3 2" xfId="10737"/>
    <cellStyle name="Currency 2 6 2 3 3 2 2" xfId="29055"/>
    <cellStyle name="Currency 2 6 2 3 3 3" xfId="29056"/>
    <cellStyle name="Currency 2 6 2 3 4" xfId="10738"/>
    <cellStyle name="Currency 2 6 2 3 4 2" xfId="10739"/>
    <cellStyle name="Currency 2 6 2 3 4 2 2" xfId="29057"/>
    <cellStyle name="Currency 2 6 2 3 4 3" xfId="29058"/>
    <cellStyle name="Currency 2 6 2 3 5" xfId="10740"/>
    <cellStyle name="Currency 2 6 2 3 5 2" xfId="10741"/>
    <cellStyle name="Currency 2 6 2 3 5 2 2" xfId="29059"/>
    <cellStyle name="Currency 2 6 2 3 5 3" xfId="29060"/>
    <cellStyle name="Currency 2 6 2 3 6" xfId="10742"/>
    <cellStyle name="Currency 2 6 2 3 6 2" xfId="29061"/>
    <cellStyle name="Currency 2 6 2 3 7" xfId="10743"/>
    <cellStyle name="Currency 2 6 2 4" xfId="633"/>
    <cellStyle name="Currency 2 6 2 4 2" xfId="1757"/>
    <cellStyle name="Currency 2 6 2 4 2 2" xfId="10744"/>
    <cellStyle name="Currency 2 6 2 4 2 2 2" xfId="10745"/>
    <cellStyle name="Currency 2 6 2 4 2 2 2 2" xfId="29062"/>
    <cellStyle name="Currency 2 6 2 4 2 2 3" xfId="29063"/>
    <cellStyle name="Currency 2 6 2 4 2 3" xfId="10746"/>
    <cellStyle name="Currency 2 6 2 4 2 3 2" xfId="10747"/>
    <cellStyle name="Currency 2 6 2 4 2 3 2 2" xfId="29064"/>
    <cellStyle name="Currency 2 6 2 4 2 3 3" xfId="29065"/>
    <cellStyle name="Currency 2 6 2 4 2 4" xfId="10748"/>
    <cellStyle name="Currency 2 6 2 4 2 4 2" xfId="10749"/>
    <cellStyle name="Currency 2 6 2 4 2 4 2 2" xfId="29066"/>
    <cellStyle name="Currency 2 6 2 4 2 4 3" xfId="29067"/>
    <cellStyle name="Currency 2 6 2 4 2 5" xfId="10750"/>
    <cellStyle name="Currency 2 6 2 4 2 5 2" xfId="29068"/>
    <cellStyle name="Currency 2 6 2 4 2 6" xfId="10751"/>
    <cellStyle name="Currency 2 6 2 4 3" xfId="10752"/>
    <cellStyle name="Currency 2 6 2 4 3 2" xfId="10753"/>
    <cellStyle name="Currency 2 6 2 4 3 2 2" xfId="29069"/>
    <cellStyle name="Currency 2 6 2 4 3 3" xfId="29070"/>
    <cellStyle name="Currency 2 6 2 4 4" xfId="10754"/>
    <cellStyle name="Currency 2 6 2 4 4 2" xfId="10755"/>
    <cellStyle name="Currency 2 6 2 4 4 2 2" xfId="29071"/>
    <cellStyle name="Currency 2 6 2 4 4 3" xfId="29072"/>
    <cellStyle name="Currency 2 6 2 4 5" xfId="10756"/>
    <cellStyle name="Currency 2 6 2 4 5 2" xfId="10757"/>
    <cellStyle name="Currency 2 6 2 4 5 2 2" xfId="29073"/>
    <cellStyle name="Currency 2 6 2 4 5 3" xfId="29074"/>
    <cellStyle name="Currency 2 6 2 4 6" xfId="10758"/>
    <cellStyle name="Currency 2 6 2 4 6 2" xfId="29075"/>
    <cellStyle name="Currency 2 6 2 4 7" xfId="10759"/>
    <cellStyle name="Currency 2 6 2 5" xfId="1758"/>
    <cellStyle name="Currency 2 6 2 5 2" xfId="10760"/>
    <cellStyle name="Currency 2 6 2 5 2 2" xfId="10761"/>
    <cellStyle name="Currency 2 6 2 5 2 2 2" xfId="29076"/>
    <cellStyle name="Currency 2 6 2 5 2 3" xfId="29077"/>
    <cellStyle name="Currency 2 6 2 5 3" xfId="10762"/>
    <cellStyle name="Currency 2 6 2 5 3 2" xfId="10763"/>
    <cellStyle name="Currency 2 6 2 5 3 2 2" xfId="29078"/>
    <cellStyle name="Currency 2 6 2 5 3 3" xfId="29079"/>
    <cellStyle name="Currency 2 6 2 5 4" xfId="10764"/>
    <cellStyle name="Currency 2 6 2 5 4 2" xfId="10765"/>
    <cellStyle name="Currency 2 6 2 5 4 2 2" xfId="29080"/>
    <cellStyle name="Currency 2 6 2 5 4 3" xfId="29081"/>
    <cellStyle name="Currency 2 6 2 5 5" xfId="10766"/>
    <cellStyle name="Currency 2 6 2 5 5 2" xfId="29082"/>
    <cellStyle name="Currency 2 6 2 5 6" xfId="10767"/>
    <cellStyle name="Currency 2 6 2 6" xfId="10768"/>
    <cellStyle name="Currency 2 6 2 6 2" xfId="10769"/>
    <cellStyle name="Currency 2 6 2 6 2 2" xfId="29083"/>
    <cellStyle name="Currency 2 6 2 6 3" xfId="29084"/>
    <cellStyle name="Currency 2 6 2 7" xfId="10770"/>
    <cellStyle name="Currency 2 6 2 7 2" xfId="10771"/>
    <cellStyle name="Currency 2 6 2 7 2 2" xfId="29085"/>
    <cellStyle name="Currency 2 6 2 7 3" xfId="29086"/>
    <cellStyle name="Currency 2 6 2 8" xfId="10772"/>
    <cellStyle name="Currency 2 6 2 8 2" xfId="10773"/>
    <cellStyle name="Currency 2 6 2 8 2 2" xfId="29087"/>
    <cellStyle name="Currency 2 6 2 8 3" xfId="29088"/>
    <cellStyle name="Currency 2 6 2 9" xfId="10774"/>
    <cellStyle name="Currency 2 6 2 9 2" xfId="29089"/>
    <cellStyle name="Currency 2 6 3" xfId="264"/>
    <cellStyle name="Currency 2 6 3 10" xfId="10775"/>
    <cellStyle name="Currency 2 6 3 2" xfId="422"/>
    <cellStyle name="Currency 2 6 3 2 2" xfId="1210"/>
    <cellStyle name="Currency 2 6 3 2 2 2" xfId="1759"/>
    <cellStyle name="Currency 2 6 3 2 2 2 2" xfId="10776"/>
    <cellStyle name="Currency 2 6 3 2 2 2 2 2" xfId="10777"/>
    <cellStyle name="Currency 2 6 3 2 2 2 2 2 2" xfId="29090"/>
    <cellStyle name="Currency 2 6 3 2 2 2 2 3" xfId="29091"/>
    <cellStyle name="Currency 2 6 3 2 2 2 3" xfId="10778"/>
    <cellStyle name="Currency 2 6 3 2 2 2 3 2" xfId="10779"/>
    <cellStyle name="Currency 2 6 3 2 2 2 3 2 2" xfId="29092"/>
    <cellStyle name="Currency 2 6 3 2 2 2 3 3" xfId="29093"/>
    <cellStyle name="Currency 2 6 3 2 2 2 4" xfId="10780"/>
    <cellStyle name="Currency 2 6 3 2 2 2 4 2" xfId="10781"/>
    <cellStyle name="Currency 2 6 3 2 2 2 4 2 2" xfId="29094"/>
    <cellStyle name="Currency 2 6 3 2 2 2 4 3" xfId="29095"/>
    <cellStyle name="Currency 2 6 3 2 2 2 5" xfId="10782"/>
    <cellStyle name="Currency 2 6 3 2 2 2 5 2" xfId="29096"/>
    <cellStyle name="Currency 2 6 3 2 2 2 6" xfId="10783"/>
    <cellStyle name="Currency 2 6 3 2 2 3" xfId="10784"/>
    <cellStyle name="Currency 2 6 3 2 2 3 2" xfId="10785"/>
    <cellStyle name="Currency 2 6 3 2 2 3 2 2" xfId="29097"/>
    <cellStyle name="Currency 2 6 3 2 2 3 3" xfId="29098"/>
    <cellStyle name="Currency 2 6 3 2 2 4" xfId="10786"/>
    <cellStyle name="Currency 2 6 3 2 2 4 2" xfId="10787"/>
    <cellStyle name="Currency 2 6 3 2 2 4 2 2" xfId="29099"/>
    <cellStyle name="Currency 2 6 3 2 2 4 3" xfId="29100"/>
    <cellStyle name="Currency 2 6 3 2 2 5" xfId="10788"/>
    <cellStyle name="Currency 2 6 3 2 2 5 2" xfId="10789"/>
    <cellStyle name="Currency 2 6 3 2 2 5 2 2" xfId="29101"/>
    <cellStyle name="Currency 2 6 3 2 2 5 3" xfId="29102"/>
    <cellStyle name="Currency 2 6 3 2 2 6" xfId="10790"/>
    <cellStyle name="Currency 2 6 3 2 2 6 2" xfId="29103"/>
    <cellStyle name="Currency 2 6 3 2 2 7" xfId="10791"/>
    <cellStyle name="Currency 2 6 3 2 3" xfId="842"/>
    <cellStyle name="Currency 2 6 3 2 3 2" xfId="1760"/>
    <cellStyle name="Currency 2 6 3 2 3 2 2" xfId="10792"/>
    <cellStyle name="Currency 2 6 3 2 3 2 2 2" xfId="10793"/>
    <cellStyle name="Currency 2 6 3 2 3 2 2 2 2" xfId="29104"/>
    <cellStyle name="Currency 2 6 3 2 3 2 2 3" xfId="29105"/>
    <cellStyle name="Currency 2 6 3 2 3 2 3" xfId="10794"/>
    <cellStyle name="Currency 2 6 3 2 3 2 3 2" xfId="10795"/>
    <cellStyle name="Currency 2 6 3 2 3 2 3 2 2" xfId="29106"/>
    <cellStyle name="Currency 2 6 3 2 3 2 3 3" xfId="29107"/>
    <cellStyle name="Currency 2 6 3 2 3 2 4" xfId="10796"/>
    <cellStyle name="Currency 2 6 3 2 3 2 4 2" xfId="10797"/>
    <cellStyle name="Currency 2 6 3 2 3 2 4 2 2" xfId="29108"/>
    <cellStyle name="Currency 2 6 3 2 3 2 4 3" xfId="29109"/>
    <cellStyle name="Currency 2 6 3 2 3 2 5" xfId="10798"/>
    <cellStyle name="Currency 2 6 3 2 3 2 5 2" xfId="29110"/>
    <cellStyle name="Currency 2 6 3 2 3 2 6" xfId="10799"/>
    <cellStyle name="Currency 2 6 3 2 3 3" xfId="10800"/>
    <cellStyle name="Currency 2 6 3 2 3 3 2" xfId="10801"/>
    <cellStyle name="Currency 2 6 3 2 3 3 2 2" xfId="29111"/>
    <cellStyle name="Currency 2 6 3 2 3 3 3" xfId="29112"/>
    <cellStyle name="Currency 2 6 3 2 3 4" xfId="10802"/>
    <cellStyle name="Currency 2 6 3 2 3 4 2" xfId="10803"/>
    <cellStyle name="Currency 2 6 3 2 3 4 2 2" xfId="29113"/>
    <cellStyle name="Currency 2 6 3 2 3 4 3" xfId="29114"/>
    <cellStyle name="Currency 2 6 3 2 3 5" xfId="10804"/>
    <cellStyle name="Currency 2 6 3 2 3 5 2" xfId="10805"/>
    <cellStyle name="Currency 2 6 3 2 3 5 2 2" xfId="29115"/>
    <cellStyle name="Currency 2 6 3 2 3 5 3" xfId="29116"/>
    <cellStyle name="Currency 2 6 3 2 3 6" xfId="10806"/>
    <cellStyle name="Currency 2 6 3 2 3 6 2" xfId="29117"/>
    <cellStyle name="Currency 2 6 3 2 3 7" xfId="10807"/>
    <cellStyle name="Currency 2 6 3 2 4" xfId="1761"/>
    <cellStyle name="Currency 2 6 3 2 4 2" xfId="10808"/>
    <cellStyle name="Currency 2 6 3 2 4 2 2" xfId="10809"/>
    <cellStyle name="Currency 2 6 3 2 4 2 2 2" xfId="29118"/>
    <cellStyle name="Currency 2 6 3 2 4 2 3" xfId="29119"/>
    <cellStyle name="Currency 2 6 3 2 4 3" xfId="10810"/>
    <cellStyle name="Currency 2 6 3 2 4 3 2" xfId="10811"/>
    <cellStyle name="Currency 2 6 3 2 4 3 2 2" xfId="29120"/>
    <cellStyle name="Currency 2 6 3 2 4 3 3" xfId="29121"/>
    <cellStyle name="Currency 2 6 3 2 4 4" xfId="10812"/>
    <cellStyle name="Currency 2 6 3 2 4 4 2" xfId="10813"/>
    <cellStyle name="Currency 2 6 3 2 4 4 2 2" xfId="29122"/>
    <cellStyle name="Currency 2 6 3 2 4 4 3" xfId="29123"/>
    <cellStyle name="Currency 2 6 3 2 4 5" xfId="10814"/>
    <cellStyle name="Currency 2 6 3 2 4 5 2" xfId="29124"/>
    <cellStyle name="Currency 2 6 3 2 4 6" xfId="10815"/>
    <cellStyle name="Currency 2 6 3 2 5" xfId="10816"/>
    <cellStyle name="Currency 2 6 3 2 5 2" xfId="10817"/>
    <cellStyle name="Currency 2 6 3 2 5 2 2" xfId="29125"/>
    <cellStyle name="Currency 2 6 3 2 5 3" xfId="29126"/>
    <cellStyle name="Currency 2 6 3 2 6" xfId="10818"/>
    <cellStyle name="Currency 2 6 3 2 6 2" xfId="10819"/>
    <cellStyle name="Currency 2 6 3 2 6 2 2" xfId="29127"/>
    <cellStyle name="Currency 2 6 3 2 6 3" xfId="29128"/>
    <cellStyle name="Currency 2 6 3 2 7" xfId="10820"/>
    <cellStyle name="Currency 2 6 3 2 7 2" xfId="10821"/>
    <cellStyle name="Currency 2 6 3 2 7 2 2" xfId="29129"/>
    <cellStyle name="Currency 2 6 3 2 7 3" xfId="29130"/>
    <cellStyle name="Currency 2 6 3 2 8" xfId="10822"/>
    <cellStyle name="Currency 2 6 3 2 8 2" xfId="29131"/>
    <cellStyle name="Currency 2 6 3 2 9" xfId="10823"/>
    <cellStyle name="Currency 2 6 3 3" xfId="1052"/>
    <cellStyle name="Currency 2 6 3 3 2" xfId="1762"/>
    <cellStyle name="Currency 2 6 3 3 2 2" xfId="10824"/>
    <cellStyle name="Currency 2 6 3 3 2 2 2" xfId="10825"/>
    <cellStyle name="Currency 2 6 3 3 2 2 2 2" xfId="29132"/>
    <cellStyle name="Currency 2 6 3 3 2 2 3" xfId="29133"/>
    <cellStyle name="Currency 2 6 3 3 2 3" xfId="10826"/>
    <cellStyle name="Currency 2 6 3 3 2 3 2" xfId="10827"/>
    <cellStyle name="Currency 2 6 3 3 2 3 2 2" xfId="29134"/>
    <cellStyle name="Currency 2 6 3 3 2 3 3" xfId="29135"/>
    <cellStyle name="Currency 2 6 3 3 2 4" xfId="10828"/>
    <cellStyle name="Currency 2 6 3 3 2 4 2" xfId="10829"/>
    <cellStyle name="Currency 2 6 3 3 2 4 2 2" xfId="29136"/>
    <cellStyle name="Currency 2 6 3 3 2 4 3" xfId="29137"/>
    <cellStyle name="Currency 2 6 3 3 2 5" xfId="10830"/>
    <cellStyle name="Currency 2 6 3 3 2 5 2" xfId="29138"/>
    <cellStyle name="Currency 2 6 3 3 2 6" xfId="10831"/>
    <cellStyle name="Currency 2 6 3 3 3" xfId="10832"/>
    <cellStyle name="Currency 2 6 3 3 3 2" xfId="10833"/>
    <cellStyle name="Currency 2 6 3 3 3 2 2" xfId="29139"/>
    <cellStyle name="Currency 2 6 3 3 3 3" xfId="29140"/>
    <cellStyle name="Currency 2 6 3 3 4" xfId="10834"/>
    <cellStyle name="Currency 2 6 3 3 4 2" xfId="10835"/>
    <cellStyle name="Currency 2 6 3 3 4 2 2" xfId="29141"/>
    <cellStyle name="Currency 2 6 3 3 4 3" xfId="29142"/>
    <cellStyle name="Currency 2 6 3 3 5" xfId="10836"/>
    <cellStyle name="Currency 2 6 3 3 5 2" xfId="10837"/>
    <cellStyle name="Currency 2 6 3 3 5 2 2" xfId="29143"/>
    <cellStyle name="Currency 2 6 3 3 5 3" xfId="29144"/>
    <cellStyle name="Currency 2 6 3 3 6" xfId="10838"/>
    <cellStyle name="Currency 2 6 3 3 6 2" xfId="29145"/>
    <cellStyle name="Currency 2 6 3 3 7" xfId="10839"/>
    <cellStyle name="Currency 2 6 3 4" xfId="684"/>
    <cellStyle name="Currency 2 6 3 4 2" xfId="1763"/>
    <cellStyle name="Currency 2 6 3 4 2 2" xfId="10840"/>
    <cellStyle name="Currency 2 6 3 4 2 2 2" xfId="10841"/>
    <cellStyle name="Currency 2 6 3 4 2 2 2 2" xfId="29146"/>
    <cellStyle name="Currency 2 6 3 4 2 2 3" xfId="29147"/>
    <cellStyle name="Currency 2 6 3 4 2 3" xfId="10842"/>
    <cellStyle name="Currency 2 6 3 4 2 3 2" xfId="10843"/>
    <cellStyle name="Currency 2 6 3 4 2 3 2 2" xfId="29148"/>
    <cellStyle name="Currency 2 6 3 4 2 3 3" xfId="29149"/>
    <cellStyle name="Currency 2 6 3 4 2 4" xfId="10844"/>
    <cellStyle name="Currency 2 6 3 4 2 4 2" xfId="10845"/>
    <cellStyle name="Currency 2 6 3 4 2 4 2 2" xfId="29150"/>
    <cellStyle name="Currency 2 6 3 4 2 4 3" xfId="29151"/>
    <cellStyle name="Currency 2 6 3 4 2 5" xfId="10846"/>
    <cellStyle name="Currency 2 6 3 4 2 5 2" xfId="29152"/>
    <cellStyle name="Currency 2 6 3 4 2 6" xfId="10847"/>
    <cellStyle name="Currency 2 6 3 4 3" xfId="10848"/>
    <cellStyle name="Currency 2 6 3 4 3 2" xfId="10849"/>
    <cellStyle name="Currency 2 6 3 4 3 2 2" xfId="29153"/>
    <cellStyle name="Currency 2 6 3 4 3 3" xfId="29154"/>
    <cellStyle name="Currency 2 6 3 4 4" xfId="10850"/>
    <cellStyle name="Currency 2 6 3 4 4 2" xfId="10851"/>
    <cellStyle name="Currency 2 6 3 4 4 2 2" xfId="29155"/>
    <cellStyle name="Currency 2 6 3 4 4 3" xfId="29156"/>
    <cellStyle name="Currency 2 6 3 4 5" xfId="10852"/>
    <cellStyle name="Currency 2 6 3 4 5 2" xfId="10853"/>
    <cellStyle name="Currency 2 6 3 4 5 2 2" xfId="29157"/>
    <cellStyle name="Currency 2 6 3 4 5 3" xfId="29158"/>
    <cellStyle name="Currency 2 6 3 4 6" xfId="10854"/>
    <cellStyle name="Currency 2 6 3 4 6 2" xfId="29159"/>
    <cellStyle name="Currency 2 6 3 4 7" xfId="10855"/>
    <cellStyle name="Currency 2 6 3 5" xfId="1764"/>
    <cellStyle name="Currency 2 6 3 5 2" xfId="10856"/>
    <cellStyle name="Currency 2 6 3 5 2 2" xfId="10857"/>
    <cellStyle name="Currency 2 6 3 5 2 2 2" xfId="29160"/>
    <cellStyle name="Currency 2 6 3 5 2 3" xfId="29161"/>
    <cellStyle name="Currency 2 6 3 5 3" xfId="10858"/>
    <cellStyle name="Currency 2 6 3 5 3 2" xfId="10859"/>
    <cellStyle name="Currency 2 6 3 5 3 2 2" xfId="29162"/>
    <cellStyle name="Currency 2 6 3 5 3 3" xfId="29163"/>
    <cellStyle name="Currency 2 6 3 5 4" xfId="10860"/>
    <cellStyle name="Currency 2 6 3 5 4 2" xfId="10861"/>
    <cellStyle name="Currency 2 6 3 5 4 2 2" xfId="29164"/>
    <cellStyle name="Currency 2 6 3 5 4 3" xfId="29165"/>
    <cellStyle name="Currency 2 6 3 5 5" xfId="10862"/>
    <cellStyle name="Currency 2 6 3 5 5 2" xfId="29166"/>
    <cellStyle name="Currency 2 6 3 5 6" xfId="10863"/>
    <cellStyle name="Currency 2 6 3 6" xfId="10864"/>
    <cellStyle name="Currency 2 6 3 6 2" xfId="10865"/>
    <cellStyle name="Currency 2 6 3 6 2 2" xfId="29167"/>
    <cellStyle name="Currency 2 6 3 6 3" xfId="29168"/>
    <cellStyle name="Currency 2 6 3 7" xfId="10866"/>
    <cellStyle name="Currency 2 6 3 7 2" xfId="10867"/>
    <cellStyle name="Currency 2 6 3 7 2 2" xfId="29169"/>
    <cellStyle name="Currency 2 6 3 7 3" xfId="29170"/>
    <cellStyle name="Currency 2 6 3 8" xfId="10868"/>
    <cellStyle name="Currency 2 6 3 8 2" xfId="10869"/>
    <cellStyle name="Currency 2 6 3 8 2 2" xfId="29171"/>
    <cellStyle name="Currency 2 6 3 8 3" xfId="29172"/>
    <cellStyle name="Currency 2 6 3 9" xfId="10870"/>
    <cellStyle name="Currency 2 6 3 9 2" xfId="29173"/>
    <cellStyle name="Currency 2 6 4" xfId="153"/>
    <cellStyle name="Currency 2 6 4 2" xfId="941"/>
    <cellStyle name="Currency 2 6 4 2 2" xfId="1765"/>
    <cellStyle name="Currency 2 6 4 2 2 2" xfId="10871"/>
    <cellStyle name="Currency 2 6 4 2 2 2 2" xfId="10872"/>
    <cellStyle name="Currency 2 6 4 2 2 2 2 2" xfId="29174"/>
    <cellStyle name="Currency 2 6 4 2 2 2 3" xfId="29175"/>
    <cellStyle name="Currency 2 6 4 2 2 3" xfId="10873"/>
    <cellStyle name="Currency 2 6 4 2 2 3 2" xfId="10874"/>
    <cellStyle name="Currency 2 6 4 2 2 3 2 2" xfId="29176"/>
    <cellStyle name="Currency 2 6 4 2 2 3 3" xfId="29177"/>
    <cellStyle name="Currency 2 6 4 2 2 4" xfId="10875"/>
    <cellStyle name="Currency 2 6 4 2 2 4 2" xfId="10876"/>
    <cellStyle name="Currency 2 6 4 2 2 4 2 2" xfId="29178"/>
    <cellStyle name="Currency 2 6 4 2 2 4 3" xfId="29179"/>
    <cellStyle name="Currency 2 6 4 2 2 5" xfId="10877"/>
    <cellStyle name="Currency 2 6 4 2 2 5 2" xfId="29180"/>
    <cellStyle name="Currency 2 6 4 2 2 6" xfId="10878"/>
    <cellStyle name="Currency 2 6 4 2 3" xfId="10879"/>
    <cellStyle name="Currency 2 6 4 2 3 2" xfId="10880"/>
    <cellStyle name="Currency 2 6 4 2 3 2 2" xfId="29181"/>
    <cellStyle name="Currency 2 6 4 2 3 3" xfId="29182"/>
    <cellStyle name="Currency 2 6 4 2 4" xfId="10881"/>
    <cellStyle name="Currency 2 6 4 2 4 2" xfId="10882"/>
    <cellStyle name="Currency 2 6 4 2 4 2 2" xfId="29183"/>
    <cellStyle name="Currency 2 6 4 2 4 3" xfId="29184"/>
    <cellStyle name="Currency 2 6 4 2 5" xfId="10883"/>
    <cellStyle name="Currency 2 6 4 2 5 2" xfId="10884"/>
    <cellStyle name="Currency 2 6 4 2 5 2 2" xfId="29185"/>
    <cellStyle name="Currency 2 6 4 2 5 3" xfId="29186"/>
    <cellStyle name="Currency 2 6 4 2 6" xfId="10885"/>
    <cellStyle name="Currency 2 6 4 2 6 2" xfId="29187"/>
    <cellStyle name="Currency 2 6 4 2 7" xfId="10886"/>
    <cellStyle name="Currency 2 6 4 3" xfId="573"/>
    <cellStyle name="Currency 2 6 4 3 2" xfId="1766"/>
    <cellStyle name="Currency 2 6 4 3 2 2" xfId="10887"/>
    <cellStyle name="Currency 2 6 4 3 2 2 2" xfId="10888"/>
    <cellStyle name="Currency 2 6 4 3 2 2 2 2" xfId="29188"/>
    <cellStyle name="Currency 2 6 4 3 2 2 3" xfId="29189"/>
    <cellStyle name="Currency 2 6 4 3 2 3" xfId="10889"/>
    <cellStyle name="Currency 2 6 4 3 2 3 2" xfId="10890"/>
    <cellStyle name="Currency 2 6 4 3 2 3 2 2" xfId="29190"/>
    <cellStyle name="Currency 2 6 4 3 2 3 3" xfId="29191"/>
    <cellStyle name="Currency 2 6 4 3 2 4" xfId="10891"/>
    <cellStyle name="Currency 2 6 4 3 2 4 2" xfId="10892"/>
    <cellStyle name="Currency 2 6 4 3 2 4 2 2" xfId="29192"/>
    <cellStyle name="Currency 2 6 4 3 2 4 3" xfId="29193"/>
    <cellStyle name="Currency 2 6 4 3 2 5" xfId="10893"/>
    <cellStyle name="Currency 2 6 4 3 2 5 2" xfId="29194"/>
    <cellStyle name="Currency 2 6 4 3 2 6" xfId="10894"/>
    <cellStyle name="Currency 2 6 4 3 3" xfId="10895"/>
    <cellStyle name="Currency 2 6 4 3 3 2" xfId="10896"/>
    <cellStyle name="Currency 2 6 4 3 3 2 2" xfId="29195"/>
    <cellStyle name="Currency 2 6 4 3 3 3" xfId="29196"/>
    <cellStyle name="Currency 2 6 4 3 4" xfId="10897"/>
    <cellStyle name="Currency 2 6 4 3 4 2" xfId="10898"/>
    <cellStyle name="Currency 2 6 4 3 4 2 2" xfId="29197"/>
    <cellStyle name="Currency 2 6 4 3 4 3" xfId="29198"/>
    <cellStyle name="Currency 2 6 4 3 5" xfId="10899"/>
    <cellStyle name="Currency 2 6 4 3 5 2" xfId="10900"/>
    <cellStyle name="Currency 2 6 4 3 5 2 2" xfId="29199"/>
    <cellStyle name="Currency 2 6 4 3 5 3" xfId="29200"/>
    <cellStyle name="Currency 2 6 4 3 6" xfId="10901"/>
    <cellStyle name="Currency 2 6 4 3 6 2" xfId="29201"/>
    <cellStyle name="Currency 2 6 4 3 7" xfId="10902"/>
    <cellStyle name="Currency 2 6 4 4" xfId="1767"/>
    <cellStyle name="Currency 2 6 4 4 2" xfId="10903"/>
    <cellStyle name="Currency 2 6 4 4 2 2" xfId="10904"/>
    <cellStyle name="Currency 2 6 4 4 2 2 2" xfId="29202"/>
    <cellStyle name="Currency 2 6 4 4 2 3" xfId="29203"/>
    <cellStyle name="Currency 2 6 4 4 3" xfId="10905"/>
    <cellStyle name="Currency 2 6 4 4 3 2" xfId="10906"/>
    <cellStyle name="Currency 2 6 4 4 3 2 2" xfId="29204"/>
    <cellStyle name="Currency 2 6 4 4 3 3" xfId="29205"/>
    <cellStyle name="Currency 2 6 4 4 4" xfId="10907"/>
    <cellStyle name="Currency 2 6 4 4 4 2" xfId="10908"/>
    <cellStyle name="Currency 2 6 4 4 4 2 2" xfId="29206"/>
    <cellStyle name="Currency 2 6 4 4 4 3" xfId="29207"/>
    <cellStyle name="Currency 2 6 4 4 5" xfId="10909"/>
    <cellStyle name="Currency 2 6 4 4 5 2" xfId="29208"/>
    <cellStyle name="Currency 2 6 4 4 6" xfId="10910"/>
    <cellStyle name="Currency 2 6 4 5" xfId="10911"/>
    <cellStyle name="Currency 2 6 4 5 2" xfId="10912"/>
    <cellStyle name="Currency 2 6 4 5 2 2" xfId="29209"/>
    <cellStyle name="Currency 2 6 4 5 3" xfId="29210"/>
    <cellStyle name="Currency 2 6 4 6" xfId="10913"/>
    <cellStyle name="Currency 2 6 4 6 2" xfId="10914"/>
    <cellStyle name="Currency 2 6 4 6 2 2" xfId="29211"/>
    <cellStyle name="Currency 2 6 4 6 3" xfId="29212"/>
    <cellStyle name="Currency 2 6 4 7" xfId="10915"/>
    <cellStyle name="Currency 2 6 4 7 2" xfId="10916"/>
    <cellStyle name="Currency 2 6 4 7 2 2" xfId="29213"/>
    <cellStyle name="Currency 2 6 4 7 3" xfId="29214"/>
    <cellStyle name="Currency 2 6 4 8" xfId="10917"/>
    <cellStyle name="Currency 2 6 4 8 2" xfId="29215"/>
    <cellStyle name="Currency 2 6 4 9" xfId="10918"/>
    <cellStyle name="Currency 2 6 5" xfId="311"/>
    <cellStyle name="Currency 2 6 5 2" xfId="1099"/>
    <cellStyle name="Currency 2 6 5 2 2" xfId="1768"/>
    <cellStyle name="Currency 2 6 5 2 2 2" xfId="10919"/>
    <cellStyle name="Currency 2 6 5 2 2 2 2" xfId="10920"/>
    <cellStyle name="Currency 2 6 5 2 2 2 2 2" xfId="29216"/>
    <cellStyle name="Currency 2 6 5 2 2 2 3" xfId="29217"/>
    <cellStyle name="Currency 2 6 5 2 2 3" xfId="10921"/>
    <cellStyle name="Currency 2 6 5 2 2 3 2" xfId="10922"/>
    <cellStyle name="Currency 2 6 5 2 2 3 2 2" xfId="29218"/>
    <cellStyle name="Currency 2 6 5 2 2 3 3" xfId="29219"/>
    <cellStyle name="Currency 2 6 5 2 2 4" xfId="10923"/>
    <cellStyle name="Currency 2 6 5 2 2 4 2" xfId="10924"/>
    <cellStyle name="Currency 2 6 5 2 2 4 2 2" xfId="29220"/>
    <cellStyle name="Currency 2 6 5 2 2 4 3" xfId="29221"/>
    <cellStyle name="Currency 2 6 5 2 2 5" xfId="10925"/>
    <cellStyle name="Currency 2 6 5 2 2 5 2" xfId="29222"/>
    <cellStyle name="Currency 2 6 5 2 2 6" xfId="10926"/>
    <cellStyle name="Currency 2 6 5 2 3" xfId="10927"/>
    <cellStyle name="Currency 2 6 5 2 3 2" xfId="10928"/>
    <cellStyle name="Currency 2 6 5 2 3 2 2" xfId="29223"/>
    <cellStyle name="Currency 2 6 5 2 3 3" xfId="29224"/>
    <cellStyle name="Currency 2 6 5 2 4" xfId="10929"/>
    <cellStyle name="Currency 2 6 5 2 4 2" xfId="10930"/>
    <cellStyle name="Currency 2 6 5 2 4 2 2" xfId="29225"/>
    <cellStyle name="Currency 2 6 5 2 4 3" xfId="29226"/>
    <cellStyle name="Currency 2 6 5 2 5" xfId="10931"/>
    <cellStyle name="Currency 2 6 5 2 5 2" xfId="10932"/>
    <cellStyle name="Currency 2 6 5 2 5 2 2" xfId="29227"/>
    <cellStyle name="Currency 2 6 5 2 5 3" xfId="29228"/>
    <cellStyle name="Currency 2 6 5 2 6" xfId="10933"/>
    <cellStyle name="Currency 2 6 5 2 6 2" xfId="29229"/>
    <cellStyle name="Currency 2 6 5 2 7" xfId="10934"/>
    <cellStyle name="Currency 2 6 5 3" xfId="731"/>
    <cellStyle name="Currency 2 6 5 3 2" xfId="1769"/>
    <cellStyle name="Currency 2 6 5 3 2 2" xfId="10935"/>
    <cellStyle name="Currency 2 6 5 3 2 2 2" xfId="10936"/>
    <cellStyle name="Currency 2 6 5 3 2 2 2 2" xfId="29230"/>
    <cellStyle name="Currency 2 6 5 3 2 2 3" xfId="29231"/>
    <cellStyle name="Currency 2 6 5 3 2 3" xfId="10937"/>
    <cellStyle name="Currency 2 6 5 3 2 3 2" xfId="10938"/>
    <cellStyle name="Currency 2 6 5 3 2 3 2 2" xfId="29232"/>
    <cellStyle name="Currency 2 6 5 3 2 3 3" xfId="29233"/>
    <cellStyle name="Currency 2 6 5 3 2 4" xfId="10939"/>
    <cellStyle name="Currency 2 6 5 3 2 4 2" xfId="10940"/>
    <cellStyle name="Currency 2 6 5 3 2 4 2 2" xfId="29234"/>
    <cellStyle name="Currency 2 6 5 3 2 4 3" xfId="29235"/>
    <cellStyle name="Currency 2 6 5 3 2 5" xfId="10941"/>
    <cellStyle name="Currency 2 6 5 3 2 5 2" xfId="29236"/>
    <cellStyle name="Currency 2 6 5 3 2 6" xfId="10942"/>
    <cellStyle name="Currency 2 6 5 3 3" xfId="10943"/>
    <cellStyle name="Currency 2 6 5 3 3 2" xfId="10944"/>
    <cellStyle name="Currency 2 6 5 3 3 2 2" xfId="29237"/>
    <cellStyle name="Currency 2 6 5 3 3 3" xfId="29238"/>
    <cellStyle name="Currency 2 6 5 3 4" xfId="10945"/>
    <cellStyle name="Currency 2 6 5 3 4 2" xfId="10946"/>
    <cellStyle name="Currency 2 6 5 3 4 2 2" xfId="29239"/>
    <cellStyle name="Currency 2 6 5 3 4 3" xfId="29240"/>
    <cellStyle name="Currency 2 6 5 3 5" xfId="10947"/>
    <cellStyle name="Currency 2 6 5 3 5 2" xfId="10948"/>
    <cellStyle name="Currency 2 6 5 3 5 2 2" xfId="29241"/>
    <cellStyle name="Currency 2 6 5 3 5 3" xfId="29242"/>
    <cellStyle name="Currency 2 6 5 3 6" xfId="10949"/>
    <cellStyle name="Currency 2 6 5 3 6 2" xfId="29243"/>
    <cellStyle name="Currency 2 6 5 3 7" xfId="10950"/>
    <cellStyle name="Currency 2 6 5 4" xfId="1770"/>
    <cellStyle name="Currency 2 6 5 4 2" xfId="10951"/>
    <cellStyle name="Currency 2 6 5 4 2 2" xfId="10952"/>
    <cellStyle name="Currency 2 6 5 4 2 2 2" xfId="29244"/>
    <cellStyle name="Currency 2 6 5 4 2 3" xfId="29245"/>
    <cellStyle name="Currency 2 6 5 4 3" xfId="10953"/>
    <cellStyle name="Currency 2 6 5 4 3 2" xfId="10954"/>
    <cellStyle name="Currency 2 6 5 4 3 2 2" xfId="29246"/>
    <cellStyle name="Currency 2 6 5 4 3 3" xfId="29247"/>
    <cellStyle name="Currency 2 6 5 4 4" xfId="10955"/>
    <cellStyle name="Currency 2 6 5 4 4 2" xfId="10956"/>
    <cellStyle name="Currency 2 6 5 4 4 2 2" xfId="29248"/>
    <cellStyle name="Currency 2 6 5 4 4 3" xfId="29249"/>
    <cellStyle name="Currency 2 6 5 4 5" xfId="10957"/>
    <cellStyle name="Currency 2 6 5 4 5 2" xfId="29250"/>
    <cellStyle name="Currency 2 6 5 4 6" xfId="10958"/>
    <cellStyle name="Currency 2 6 5 5" xfId="10959"/>
    <cellStyle name="Currency 2 6 5 5 2" xfId="10960"/>
    <cellStyle name="Currency 2 6 5 5 2 2" xfId="29251"/>
    <cellStyle name="Currency 2 6 5 5 3" xfId="29252"/>
    <cellStyle name="Currency 2 6 5 6" xfId="10961"/>
    <cellStyle name="Currency 2 6 5 6 2" xfId="10962"/>
    <cellStyle name="Currency 2 6 5 6 2 2" xfId="29253"/>
    <cellStyle name="Currency 2 6 5 6 3" xfId="29254"/>
    <cellStyle name="Currency 2 6 5 7" xfId="10963"/>
    <cellStyle name="Currency 2 6 5 7 2" xfId="10964"/>
    <cellStyle name="Currency 2 6 5 7 2 2" xfId="29255"/>
    <cellStyle name="Currency 2 6 5 7 3" xfId="29256"/>
    <cellStyle name="Currency 2 6 5 8" xfId="10965"/>
    <cellStyle name="Currency 2 6 5 8 2" xfId="29257"/>
    <cellStyle name="Currency 2 6 5 9" xfId="10966"/>
    <cellStyle name="Currency 2 6 6" xfId="100"/>
    <cellStyle name="Currency 2 6 6 2" xfId="521"/>
    <cellStyle name="Currency 2 6 6 2 2" xfId="1771"/>
    <cellStyle name="Currency 2 6 6 2 2 2" xfId="10967"/>
    <cellStyle name="Currency 2 6 6 2 2 2 2" xfId="10968"/>
    <cellStyle name="Currency 2 6 6 2 2 2 2 2" xfId="29258"/>
    <cellStyle name="Currency 2 6 6 2 2 2 3" xfId="29259"/>
    <cellStyle name="Currency 2 6 6 2 2 3" xfId="10969"/>
    <cellStyle name="Currency 2 6 6 2 2 3 2" xfId="10970"/>
    <cellStyle name="Currency 2 6 6 2 2 3 2 2" xfId="29260"/>
    <cellStyle name="Currency 2 6 6 2 2 3 3" xfId="29261"/>
    <cellStyle name="Currency 2 6 6 2 2 4" xfId="10971"/>
    <cellStyle name="Currency 2 6 6 2 2 4 2" xfId="10972"/>
    <cellStyle name="Currency 2 6 6 2 2 4 2 2" xfId="29262"/>
    <cellStyle name="Currency 2 6 6 2 2 4 3" xfId="29263"/>
    <cellStyle name="Currency 2 6 6 2 2 5" xfId="10973"/>
    <cellStyle name="Currency 2 6 6 2 2 5 2" xfId="29264"/>
    <cellStyle name="Currency 2 6 6 2 2 6" xfId="10974"/>
    <cellStyle name="Currency 2 6 6 2 3" xfId="10975"/>
    <cellStyle name="Currency 2 6 6 2 3 2" xfId="10976"/>
    <cellStyle name="Currency 2 6 6 2 3 2 2" xfId="29265"/>
    <cellStyle name="Currency 2 6 6 2 3 3" xfId="29266"/>
    <cellStyle name="Currency 2 6 6 2 4" xfId="10977"/>
    <cellStyle name="Currency 2 6 6 2 4 2" xfId="10978"/>
    <cellStyle name="Currency 2 6 6 2 4 2 2" xfId="29267"/>
    <cellStyle name="Currency 2 6 6 2 4 3" xfId="29268"/>
    <cellStyle name="Currency 2 6 6 2 5" xfId="10979"/>
    <cellStyle name="Currency 2 6 6 2 5 2" xfId="10980"/>
    <cellStyle name="Currency 2 6 6 2 5 2 2" xfId="29269"/>
    <cellStyle name="Currency 2 6 6 2 5 3" xfId="29270"/>
    <cellStyle name="Currency 2 6 6 2 6" xfId="10981"/>
    <cellStyle name="Currency 2 6 6 2 6 2" xfId="29271"/>
    <cellStyle name="Currency 2 6 6 2 7" xfId="10982"/>
    <cellStyle name="Currency 2 6 6 3" xfId="1772"/>
    <cellStyle name="Currency 2 6 6 3 2" xfId="10983"/>
    <cellStyle name="Currency 2 6 6 3 2 2" xfId="10984"/>
    <cellStyle name="Currency 2 6 6 3 2 2 2" xfId="29272"/>
    <cellStyle name="Currency 2 6 6 3 2 3" xfId="29273"/>
    <cellStyle name="Currency 2 6 6 3 3" xfId="10985"/>
    <cellStyle name="Currency 2 6 6 3 3 2" xfId="10986"/>
    <cellStyle name="Currency 2 6 6 3 3 2 2" xfId="29274"/>
    <cellStyle name="Currency 2 6 6 3 3 3" xfId="29275"/>
    <cellStyle name="Currency 2 6 6 3 4" xfId="10987"/>
    <cellStyle name="Currency 2 6 6 3 4 2" xfId="10988"/>
    <cellStyle name="Currency 2 6 6 3 4 2 2" xfId="29276"/>
    <cellStyle name="Currency 2 6 6 3 4 3" xfId="29277"/>
    <cellStyle name="Currency 2 6 6 3 5" xfId="10989"/>
    <cellStyle name="Currency 2 6 6 3 5 2" xfId="29278"/>
    <cellStyle name="Currency 2 6 6 3 6" xfId="10990"/>
    <cellStyle name="Currency 2 6 6 4" xfId="10991"/>
    <cellStyle name="Currency 2 6 6 4 2" xfId="10992"/>
    <cellStyle name="Currency 2 6 6 4 2 2" xfId="29279"/>
    <cellStyle name="Currency 2 6 6 4 3" xfId="29280"/>
    <cellStyle name="Currency 2 6 6 5" xfId="10993"/>
    <cellStyle name="Currency 2 6 6 5 2" xfId="10994"/>
    <cellStyle name="Currency 2 6 6 5 2 2" xfId="29281"/>
    <cellStyle name="Currency 2 6 6 5 3" xfId="29282"/>
    <cellStyle name="Currency 2 6 6 6" xfId="10995"/>
    <cellStyle name="Currency 2 6 6 6 2" xfId="10996"/>
    <cellStyle name="Currency 2 6 6 6 2 2" xfId="29283"/>
    <cellStyle name="Currency 2 6 6 6 3" xfId="29284"/>
    <cellStyle name="Currency 2 6 6 7" xfId="10997"/>
    <cellStyle name="Currency 2 6 6 7 2" xfId="29285"/>
    <cellStyle name="Currency 2 6 6 8" xfId="10998"/>
    <cellStyle name="Currency 2 6 7" xfId="889"/>
    <cellStyle name="Currency 2 6 7 2" xfId="1773"/>
    <cellStyle name="Currency 2 6 7 2 2" xfId="10999"/>
    <cellStyle name="Currency 2 6 7 2 2 2" xfId="11000"/>
    <cellStyle name="Currency 2 6 7 2 2 2 2" xfId="29286"/>
    <cellStyle name="Currency 2 6 7 2 2 3" xfId="29287"/>
    <cellStyle name="Currency 2 6 7 2 3" xfId="11001"/>
    <cellStyle name="Currency 2 6 7 2 3 2" xfId="11002"/>
    <cellStyle name="Currency 2 6 7 2 3 2 2" xfId="29288"/>
    <cellStyle name="Currency 2 6 7 2 3 3" xfId="29289"/>
    <cellStyle name="Currency 2 6 7 2 4" xfId="11003"/>
    <cellStyle name="Currency 2 6 7 2 4 2" xfId="11004"/>
    <cellStyle name="Currency 2 6 7 2 4 2 2" xfId="29290"/>
    <cellStyle name="Currency 2 6 7 2 4 3" xfId="29291"/>
    <cellStyle name="Currency 2 6 7 2 5" xfId="11005"/>
    <cellStyle name="Currency 2 6 7 2 5 2" xfId="29292"/>
    <cellStyle name="Currency 2 6 7 2 6" xfId="11006"/>
    <cellStyle name="Currency 2 6 7 3" xfId="11007"/>
    <cellStyle name="Currency 2 6 7 3 2" xfId="11008"/>
    <cellStyle name="Currency 2 6 7 3 2 2" xfId="29293"/>
    <cellStyle name="Currency 2 6 7 3 3" xfId="29294"/>
    <cellStyle name="Currency 2 6 7 4" xfId="11009"/>
    <cellStyle name="Currency 2 6 7 4 2" xfId="11010"/>
    <cellStyle name="Currency 2 6 7 4 2 2" xfId="29295"/>
    <cellStyle name="Currency 2 6 7 4 3" xfId="29296"/>
    <cellStyle name="Currency 2 6 7 5" xfId="11011"/>
    <cellStyle name="Currency 2 6 7 5 2" xfId="11012"/>
    <cellStyle name="Currency 2 6 7 5 2 2" xfId="29297"/>
    <cellStyle name="Currency 2 6 7 5 3" xfId="29298"/>
    <cellStyle name="Currency 2 6 7 6" xfId="11013"/>
    <cellStyle name="Currency 2 6 7 6 2" xfId="29299"/>
    <cellStyle name="Currency 2 6 7 7" xfId="11014"/>
    <cellStyle name="Currency 2 6 8" xfId="480"/>
    <cellStyle name="Currency 2 6 8 2" xfId="1774"/>
    <cellStyle name="Currency 2 6 8 2 2" xfId="11015"/>
    <cellStyle name="Currency 2 6 8 2 2 2" xfId="11016"/>
    <cellStyle name="Currency 2 6 8 2 2 2 2" xfId="29300"/>
    <cellStyle name="Currency 2 6 8 2 2 3" xfId="29301"/>
    <cellStyle name="Currency 2 6 8 2 3" xfId="11017"/>
    <cellStyle name="Currency 2 6 8 2 3 2" xfId="11018"/>
    <cellStyle name="Currency 2 6 8 2 3 2 2" xfId="29302"/>
    <cellStyle name="Currency 2 6 8 2 3 3" xfId="29303"/>
    <cellStyle name="Currency 2 6 8 2 4" xfId="11019"/>
    <cellStyle name="Currency 2 6 8 2 4 2" xfId="11020"/>
    <cellStyle name="Currency 2 6 8 2 4 2 2" xfId="29304"/>
    <cellStyle name="Currency 2 6 8 2 4 3" xfId="29305"/>
    <cellStyle name="Currency 2 6 8 2 5" xfId="11021"/>
    <cellStyle name="Currency 2 6 8 2 5 2" xfId="29306"/>
    <cellStyle name="Currency 2 6 8 2 6" xfId="11022"/>
    <cellStyle name="Currency 2 6 8 3" xfId="11023"/>
    <cellStyle name="Currency 2 6 8 3 2" xfId="11024"/>
    <cellStyle name="Currency 2 6 8 3 2 2" xfId="29307"/>
    <cellStyle name="Currency 2 6 8 3 3" xfId="29308"/>
    <cellStyle name="Currency 2 6 8 4" xfId="11025"/>
    <cellStyle name="Currency 2 6 8 4 2" xfId="11026"/>
    <cellStyle name="Currency 2 6 8 4 2 2" xfId="29309"/>
    <cellStyle name="Currency 2 6 8 4 3" xfId="29310"/>
    <cellStyle name="Currency 2 6 8 5" xfId="11027"/>
    <cellStyle name="Currency 2 6 8 5 2" xfId="11028"/>
    <cellStyle name="Currency 2 6 8 5 2 2" xfId="29311"/>
    <cellStyle name="Currency 2 6 8 5 3" xfId="29312"/>
    <cellStyle name="Currency 2 6 8 6" xfId="11029"/>
    <cellStyle name="Currency 2 6 8 6 2" xfId="29313"/>
    <cellStyle name="Currency 2 6 8 7" xfId="11030"/>
    <cellStyle name="Currency 2 6 9" xfId="1775"/>
    <cellStyle name="Currency 2 6 9 2" xfId="11031"/>
    <cellStyle name="Currency 2 6 9 2 2" xfId="11032"/>
    <cellStyle name="Currency 2 6 9 2 2 2" xfId="29314"/>
    <cellStyle name="Currency 2 6 9 2 3" xfId="29315"/>
    <cellStyle name="Currency 2 6 9 3" xfId="11033"/>
    <cellStyle name="Currency 2 6 9 3 2" xfId="11034"/>
    <cellStyle name="Currency 2 6 9 3 2 2" xfId="29316"/>
    <cellStyle name="Currency 2 6 9 3 3" xfId="29317"/>
    <cellStyle name="Currency 2 6 9 4" xfId="11035"/>
    <cellStyle name="Currency 2 6 9 4 2" xfId="11036"/>
    <cellStyle name="Currency 2 6 9 4 2 2" xfId="29318"/>
    <cellStyle name="Currency 2 6 9 4 3" xfId="29319"/>
    <cellStyle name="Currency 2 6 9 5" xfId="11037"/>
    <cellStyle name="Currency 2 6 9 5 2" xfId="29320"/>
    <cellStyle name="Currency 2 6 9 6" xfId="11038"/>
    <cellStyle name="Currency 2 7" xfId="190"/>
    <cellStyle name="Currency 2 7 10" xfId="11039"/>
    <cellStyle name="Currency 2 7 2" xfId="348"/>
    <cellStyle name="Currency 2 7 2 2" xfId="1136"/>
    <cellStyle name="Currency 2 7 2 2 2" xfId="1776"/>
    <cellStyle name="Currency 2 7 2 2 2 2" xfId="11040"/>
    <cellStyle name="Currency 2 7 2 2 2 2 2" xfId="11041"/>
    <cellStyle name="Currency 2 7 2 2 2 2 2 2" xfId="29321"/>
    <cellStyle name="Currency 2 7 2 2 2 2 3" xfId="29322"/>
    <cellStyle name="Currency 2 7 2 2 2 3" xfId="11042"/>
    <cellStyle name="Currency 2 7 2 2 2 3 2" xfId="11043"/>
    <cellStyle name="Currency 2 7 2 2 2 3 2 2" xfId="29323"/>
    <cellStyle name="Currency 2 7 2 2 2 3 3" xfId="29324"/>
    <cellStyle name="Currency 2 7 2 2 2 4" xfId="11044"/>
    <cellStyle name="Currency 2 7 2 2 2 4 2" xfId="11045"/>
    <cellStyle name="Currency 2 7 2 2 2 4 2 2" xfId="29325"/>
    <cellStyle name="Currency 2 7 2 2 2 4 3" xfId="29326"/>
    <cellStyle name="Currency 2 7 2 2 2 5" xfId="11046"/>
    <cellStyle name="Currency 2 7 2 2 2 5 2" xfId="29327"/>
    <cellStyle name="Currency 2 7 2 2 2 6" xfId="11047"/>
    <cellStyle name="Currency 2 7 2 2 3" xfId="11048"/>
    <cellStyle name="Currency 2 7 2 2 3 2" xfId="11049"/>
    <cellStyle name="Currency 2 7 2 2 3 2 2" xfId="29328"/>
    <cellStyle name="Currency 2 7 2 2 3 3" xfId="29329"/>
    <cellStyle name="Currency 2 7 2 2 4" xfId="11050"/>
    <cellStyle name="Currency 2 7 2 2 4 2" xfId="11051"/>
    <cellStyle name="Currency 2 7 2 2 4 2 2" xfId="29330"/>
    <cellStyle name="Currency 2 7 2 2 4 3" xfId="29331"/>
    <cellStyle name="Currency 2 7 2 2 5" xfId="11052"/>
    <cellStyle name="Currency 2 7 2 2 5 2" xfId="11053"/>
    <cellStyle name="Currency 2 7 2 2 5 2 2" xfId="29332"/>
    <cellStyle name="Currency 2 7 2 2 5 3" xfId="29333"/>
    <cellStyle name="Currency 2 7 2 2 6" xfId="11054"/>
    <cellStyle name="Currency 2 7 2 2 6 2" xfId="29334"/>
    <cellStyle name="Currency 2 7 2 2 7" xfId="11055"/>
    <cellStyle name="Currency 2 7 2 3" xfId="768"/>
    <cellStyle name="Currency 2 7 2 3 2" xfId="1777"/>
    <cellStyle name="Currency 2 7 2 3 2 2" xfId="11056"/>
    <cellStyle name="Currency 2 7 2 3 2 2 2" xfId="11057"/>
    <cellStyle name="Currency 2 7 2 3 2 2 2 2" xfId="29335"/>
    <cellStyle name="Currency 2 7 2 3 2 2 3" xfId="29336"/>
    <cellStyle name="Currency 2 7 2 3 2 3" xfId="11058"/>
    <cellStyle name="Currency 2 7 2 3 2 3 2" xfId="11059"/>
    <cellStyle name="Currency 2 7 2 3 2 3 2 2" xfId="29337"/>
    <cellStyle name="Currency 2 7 2 3 2 3 3" xfId="29338"/>
    <cellStyle name="Currency 2 7 2 3 2 4" xfId="11060"/>
    <cellStyle name="Currency 2 7 2 3 2 4 2" xfId="11061"/>
    <cellStyle name="Currency 2 7 2 3 2 4 2 2" xfId="29339"/>
    <cellStyle name="Currency 2 7 2 3 2 4 3" xfId="29340"/>
    <cellStyle name="Currency 2 7 2 3 2 5" xfId="11062"/>
    <cellStyle name="Currency 2 7 2 3 2 5 2" xfId="29341"/>
    <cellStyle name="Currency 2 7 2 3 2 6" xfId="11063"/>
    <cellStyle name="Currency 2 7 2 3 3" xfId="11064"/>
    <cellStyle name="Currency 2 7 2 3 3 2" xfId="11065"/>
    <cellStyle name="Currency 2 7 2 3 3 2 2" xfId="29342"/>
    <cellStyle name="Currency 2 7 2 3 3 3" xfId="29343"/>
    <cellStyle name="Currency 2 7 2 3 4" xfId="11066"/>
    <cellStyle name="Currency 2 7 2 3 4 2" xfId="11067"/>
    <cellStyle name="Currency 2 7 2 3 4 2 2" xfId="29344"/>
    <cellStyle name="Currency 2 7 2 3 4 3" xfId="29345"/>
    <cellStyle name="Currency 2 7 2 3 5" xfId="11068"/>
    <cellStyle name="Currency 2 7 2 3 5 2" xfId="11069"/>
    <cellStyle name="Currency 2 7 2 3 5 2 2" xfId="29346"/>
    <cellStyle name="Currency 2 7 2 3 5 3" xfId="29347"/>
    <cellStyle name="Currency 2 7 2 3 6" xfId="11070"/>
    <cellStyle name="Currency 2 7 2 3 6 2" xfId="29348"/>
    <cellStyle name="Currency 2 7 2 3 7" xfId="11071"/>
    <cellStyle name="Currency 2 7 2 4" xfId="1778"/>
    <cellStyle name="Currency 2 7 2 4 2" xfId="11072"/>
    <cellStyle name="Currency 2 7 2 4 2 2" xfId="11073"/>
    <cellStyle name="Currency 2 7 2 4 2 2 2" xfId="29349"/>
    <cellStyle name="Currency 2 7 2 4 2 3" xfId="29350"/>
    <cellStyle name="Currency 2 7 2 4 3" xfId="11074"/>
    <cellStyle name="Currency 2 7 2 4 3 2" xfId="11075"/>
    <cellStyle name="Currency 2 7 2 4 3 2 2" xfId="29351"/>
    <cellStyle name="Currency 2 7 2 4 3 3" xfId="29352"/>
    <cellStyle name="Currency 2 7 2 4 4" xfId="11076"/>
    <cellStyle name="Currency 2 7 2 4 4 2" xfId="11077"/>
    <cellStyle name="Currency 2 7 2 4 4 2 2" xfId="29353"/>
    <cellStyle name="Currency 2 7 2 4 4 3" xfId="29354"/>
    <cellStyle name="Currency 2 7 2 4 5" xfId="11078"/>
    <cellStyle name="Currency 2 7 2 4 5 2" xfId="29355"/>
    <cellStyle name="Currency 2 7 2 4 6" xfId="11079"/>
    <cellStyle name="Currency 2 7 2 5" xfId="11080"/>
    <cellStyle name="Currency 2 7 2 5 2" xfId="11081"/>
    <cellStyle name="Currency 2 7 2 5 2 2" xfId="29356"/>
    <cellStyle name="Currency 2 7 2 5 3" xfId="29357"/>
    <cellStyle name="Currency 2 7 2 6" xfId="11082"/>
    <cellStyle name="Currency 2 7 2 6 2" xfId="11083"/>
    <cellStyle name="Currency 2 7 2 6 2 2" xfId="29358"/>
    <cellStyle name="Currency 2 7 2 6 3" xfId="29359"/>
    <cellStyle name="Currency 2 7 2 7" xfId="11084"/>
    <cellStyle name="Currency 2 7 2 7 2" xfId="11085"/>
    <cellStyle name="Currency 2 7 2 7 2 2" xfId="29360"/>
    <cellStyle name="Currency 2 7 2 7 3" xfId="29361"/>
    <cellStyle name="Currency 2 7 2 8" xfId="11086"/>
    <cellStyle name="Currency 2 7 2 8 2" xfId="29362"/>
    <cellStyle name="Currency 2 7 2 9" xfId="11087"/>
    <cellStyle name="Currency 2 7 3" xfId="978"/>
    <cellStyle name="Currency 2 7 3 2" xfId="1779"/>
    <cellStyle name="Currency 2 7 3 2 2" xfId="11088"/>
    <cellStyle name="Currency 2 7 3 2 2 2" xfId="11089"/>
    <cellStyle name="Currency 2 7 3 2 2 2 2" xfId="29363"/>
    <cellStyle name="Currency 2 7 3 2 2 3" xfId="29364"/>
    <cellStyle name="Currency 2 7 3 2 3" xfId="11090"/>
    <cellStyle name="Currency 2 7 3 2 3 2" xfId="11091"/>
    <cellStyle name="Currency 2 7 3 2 3 2 2" xfId="29365"/>
    <cellStyle name="Currency 2 7 3 2 3 3" xfId="29366"/>
    <cellStyle name="Currency 2 7 3 2 4" xfId="11092"/>
    <cellStyle name="Currency 2 7 3 2 4 2" xfId="11093"/>
    <cellStyle name="Currency 2 7 3 2 4 2 2" xfId="29367"/>
    <cellStyle name="Currency 2 7 3 2 4 3" xfId="29368"/>
    <cellStyle name="Currency 2 7 3 2 5" xfId="11094"/>
    <cellStyle name="Currency 2 7 3 2 5 2" xfId="29369"/>
    <cellStyle name="Currency 2 7 3 2 6" xfId="11095"/>
    <cellStyle name="Currency 2 7 3 3" xfId="11096"/>
    <cellStyle name="Currency 2 7 3 3 2" xfId="11097"/>
    <cellStyle name="Currency 2 7 3 3 2 2" xfId="29370"/>
    <cellStyle name="Currency 2 7 3 3 3" xfId="29371"/>
    <cellStyle name="Currency 2 7 3 4" xfId="11098"/>
    <cellStyle name="Currency 2 7 3 4 2" xfId="11099"/>
    <cellStyle name="Currency 2 7 3 4 2 2" xfId="29372"/>
    <cellStyle name="Currency 2 7 3 4 3" xfId="29373"/>
    <cellStyle name="Currency 2 7 3 5" xfId="11100"/>
    <cellStyle name="Currency 2 7 3 5 2" xfId="11101"/>
    <cellStyle name="Currency 2 7 3 5 2 2" xfId="29374"/>
    <cellStyle name="Currency 2 7 3 5 3" xfId="29375"/>
    <cellStyle name="Currency 2 7 3 6" xfId="11102"/>
    <cellStyle name="Currency 2 7 3 6 2" xfId="29376"/>
    <cellStyle name="Currency 2 7 3 7" xfId="11103"/>
    <cellStyle name="Currency 2 7 4" xfId="610"/>
    <cellStyle name="Currency 2 7 4 2" xfId="1780"/>
    <cellStyle name="Currency 2 7 4 2 2" xfId="11104"/>
    <cellStyle name="Currency 2 7 4 2 2 2" xfId="11105"/>
    <cellStyle name="Currency 2 7 4 2 2 2 2" xfId="29377"/>
    <cellStyle name="Currency 2 7 4 2 2 3" xfId="29378"/>
    <cellStyle name="Currency 2 7 4 2 3" xfId="11106"/>
    <cellStyle name="Currency 2 7 4 2 3 2" xfId="11107"/>
    <cellStyle name="Currency 2 7 4 2 3 2 2" xfId="29379"/>
    <cellStyle name="Currency 2 7 4 2 3 3" xfId="29380"/>
    <cellStyle name="Currency 2 7 4 2 4" xfId="11108"/>
    <cellStyle name="Currency 2 7 4 2 4 2" xfId="11109"/>
    <cellStyle name="Currency 2 7 4 2 4 2 2" xfId="29381"/>
    <cellStyle name="Currency 2 7 4 2 4 3" xfId="29382"/>
    <cellStyle name="Currency 2 7 4 2 5" xfId="11110"/>
    <cellStyle name="Currency 2 7 4 2 5 2" xfId="29383"/>
    <cellStyle name="Currency 2 7 4 2 6" xfId="11111"/>
    <cellStyle name="Currency 2 7 4 3" xfId="11112"/>
    <cellStyle name="Currency 2 7 4 3 2" xfId="11113"/>
    <cellStyle name="Currency 2 7 4 3 2 2" xfId="29384"/>
    <cellStyle name="Currency 2 7 4 3 3" xfId="29385"/>
    <cellStyle name="Currency 2 7 4 4" xfId="11114"/>
    <cellStyle name="Currency 2 7 4 4 2" xfId="11115"/>
    <cellStyle name="Currency 2 7 4 4 2 2" xfId="29386"/>
    <cellStyle name="Currency 2 7 4 4 3" xfId="29387"/>
    <cellStyle name="Currency 2 7 4 5" xfId="11116"/>
    <cellStyle name="Currency 2 7 4 5 2" xfId="11117"/>
    <cellStyle name="Currency 2 7 4 5 2 2" xfId="29388"/>
    <cellStyle name="Currency 2 7 4 5 3" xfId="29389"/>
    <cellStyle name="Currency 2 7 4 6" xfId="11118"/>
    <cellStyle name="Currency 2 7 4 6 2" xfId="29390"/>
    <cellStyle name="Currency 2 7 4 7" xfId="11119"/>
    <cellStyle name="Currency 2 7 5" xfId="1781"/>
    <cellStyle name="Currency 2 7 5 2" xfId="11120"/>
    <cellStyle name="Currency 2 7 5 2 2" xfId="11121"/>
    <cellStyle name="Currency 2 7 5 2 2 2" xfId="29391"/>
    <cellStyle name="Currency 2 7 5 2 3" xfId="29392"/>
    <cellStyle name="Currency 2 7 5 3" xfId="11122"/>
    <cellStyle name="Currency 2 7 5 3 2" xfId="11123"/>
    <cellStyle name="Currency 2 7 5 3 2 2" xfId="29393"/>
    <cellStyle name="Currency 2 7 5 3 3" xfId="29394"/>
    <cellStyle name="Currency 2 7 5 4" xfId="11124"/>
    <cellStyle name="Currency 2 7 5 4 2" xfId="11125"/>
    <cellStyle name="Currency 2 7 5 4 2 2" xfId="29395"/>
    <cellStyle name="Currency 2 7 5 4 3" xfId="29396"/>
    <cellStyle name="Currency 2 7 5 5" xfId="11126"/>
    <cellStyle name="Currency 2 7 5 5 2" xfId="29397"/>
    <cellStyle name="Currency 2 7 5 6" xfId="11127"/>
    <cellStyle name="Currency 2 7 6" xfId="11128"/>
    <cellStyle name="Currency 2 7 6 2" xfId="11129"/>
    <cellStyle name="Currency 2 7 6 2 2" xfId="29398"/>
    <cellStyle name="Currency 2 7 6 3" xfId="29399"/>
    <cellStyle name="Currency 2 7 7" xfId="11130"/>
    <cellStyle name="Currency 2 7 7 2" xfId="11131"/>
    <cellStyle name="Currency 2 7 7 2 2" xfId="29400"/>
    <cellStyle name="Currency 2 7 7 3" xfId="29401"/>
    <cellStyle name="Currency 2 7 8" xfId="11132"/>
    <cellStyle name="Currency 2 7 8 2" xfId="11133"/>
    <cellStyle name="Currency 2 7 8 2 2" xfId="29402"/>
    <cellStyle name="Currency 2 7 8 3" xfId="29403"/>
    <cellStyle name="Currency 2 7 9" xfId="11134"/>
    <cellStyle name="Currency 2 7 9 2" xfId="29404"/>
    <cellStyle name="Currency 2 8" xfId="241"/>
    <cellStyle name="Currency 2 8 10" xfId="11135"/>
    <cellStyle name="Currency 2 8 2" xfId="399"/>
    <cellStyle name="Currency 2 8 2 2" xfId="1187"/>
    <cellStyle name="Currency 2 8 2 2 2" xfId="1782"/>
    <cellStyle name="Currency 2 8 2 2 2 2" xfId="11136"/>
    <cellStyle name="Currency 2 8 2 2 2 2 2" xfId="11137"/>
    <cellStyle name="Currency 2 8 2 2 2 2 2 2" xfId="29405"/>
    <cellStyle name="Currency 2 8 2 2 2 2 3" xfId="29406"/>
    <cellStyle name="Currency 2 8 2 2 2 3" xfId="11138"/>
    <cellStyle name="Currency 2 8 2 2 2 3 2" xfId="11139"/>
    <cellStyle name="Currency 2 8 2 2 2 3 2 2" xfId="29407"/>
    <cellStyle name="Currency 2 8 2 2 2 3 3" xfId="29408"/>
    <cellStyle name="Currency 2 8 2 2 2 4" xfId="11140"/>
    <cellStyle name="Currency 2 8 2 2 2 4 2" xfId="11141"/>
    <cellStyle name="Currency 2 8 2 2 2 4 2 2" xfId="29409"/>
    <cellStyle name="Currency 2 8 2 2 2 4 3" xfId="29410"/>
    <cellStyle name="Currency 2 8 2 2 2 5" xfId="11142"/>
    <cellStyle name="Currency 2 8 2 2 2 5 2" xfId="29411"/>
    <cellStyle name="Currency 2 8 2 2 2 6" xfId="11143"/>
    <cellStyle name="Currency 2 8 2 2 3" xfId="11144"/>
    <cellStyle name="Currency 2 8 2 2 3 2" xfId="11145"/>
    <cellStyle name="Currency 2 8 2 2 3 2 2" xfId="29412"/>
    <cellStyle name="Currency 2 8 2 2 3 3" xfId="29413"/>
    <cellStyle name="Currency 2 8 2 2 4" xfId="11146"/>
    <cellStyle name="Currency 2 8 2 2 4 2" xfId="11147"/>
    <cellStyle name="Currency 2 8 2 2 4 2 2" xfId="29414"/>
    <cellStyle name="Currency 2 8 2 2 4 3" xfId="29415"/>
    <cellStyle name="Currency 2 8 2 2 5" xfId="11148"/>
    <cellStyle name="Currency 2 8 2 2 5 2" xfId="11149"/>
    <cellStyle name="Currency 2 8 2 2 5 2 2" xfId="29416"/>
    <cellStyle name="Currency 2 8 2 2 5 3" xfId="29417"/>
    <cellStyle name="Currency 2 8 2 2 6" xfId="11150"/>
    <cellStyle name="Currency 2 8 2 2 6 2" xfId="29418"/>
    <cellStyle name="Currency 2 8 2 2 7" xfId="11151"/>
    <cellStyle name="Currency 2 8 2 3" xfId="819"/>
    <cellStyle name="Currency 2 8 2 3 2" xfId="1783"/>
    <cellStyle name="Currency 2 8 2 3 2 2" xfId="11152"/>
    <cellStyle name="Currency 2 8 2 3 2 2 2" xfId="11153"/>
    <cellStyle name="Currency 2 8 2 3 2 2 2 2" xfId="29419"/>
    <cellStyle name="Currency 2 8 2 3 2 2 3" xfId="29420"/>
    <cellStyle name="Currency 2 8 2 3 2 3" xfId="11154"/>
    <cellStyle name="Currency 2 8 2 3 2 3 2" xfId="11155"/>
    <cellStyle name="Currency 2 8 2 3 2 3 2 2" xfId="29421"/>
    <cellStyle name="Currency 2 8 2 3 2 3 3" xfId="29422"/>
    <cellStyle name="Currency 2 8 2 3 2 4" xfId="11156"/>
    <cellStyle name="Currency 2 8 2 3 2 4 2" xfId="11157"/>
    <cellStyle name="Currency 2 8 2 3 2 4 2 2" xfId="29423"/>
    <cellStyle name="Currency 2 8 2 3 2 4 3" xfId="29424"/>
    <cellStyle name="Currency 2 8 2 3 2 5" xfId="11158"/>
    <cellStyle name="Currency 2 8 2 3 2 5 2" xfId="29425"/>
    <cellStyle name="Currency 2 8 2 3 2 6" xfId="11159"/>
    <cellStyle name="Currency 2 8 2 3 3" xfId="11160"/>
    <cellStyle name="Currency 2 8 2 3 3 2" xfId="11161"/>
    <cellStyle name="Currency 2 8 2 3 3 2 2" xfId="29426"/>
    <cellStyle name="Currency 2 8 2 3 3 3" xfId="29427"/>
    <cellStyle name="Currency 2 8 2 3 4" xfId="11162"/>
    <cellStyle name="Currency 2 8 2 3 4 2" xfId="11163"/>
    <cellStyle name="Currency 2 8 2 3 4 2 2" xfId="29428"/>
    <cellStyle name="Currency 2 8 2 3 4 3" xfId="29429"/>
    <cellStyle name="Currency 2 8 2 3 5" xfId="11164"/>
    <cellStyle name="Currency 2 8 2 3 5 2" xfId="11165"/>
    <cellStyle name="Currency 2 8 2 3 5 2 2" xfId="29430"/>
    <cellStyle name="Currency 2 8 2 3 5 3" xfId="29431"/>
    <cellStyle name="Currency 2 8 2 3 6" xfId="11166"/>
    <cellStyle name="Currency 2 8 2 3 6 2" xfId="29432"/>
    <cellStyle name="Currency 2 8 2 3 7" xfId="11167"/>
    <cellStyle name="Currency 2 8 2 4" xfId="1784"/>
    <cellStyle name="Currency 2 8 2 4 2" xfId="11168"/>
    <cellStyle name="Currency 2 8 2 4 2 2" xfId="11169"/>
    <cellStyle name="Currency 2 8 2 4 2 2 2" xfId="29433"/>
    <cellStyle name="Currency 2 8 2 4 2 3" xfId="29434"/>
    <cellStyle name="Currency 2 8 2 4 3" xfId="11170"/>
    <cellStyle name="Currency 2 8 2 4 3 2" xfId="11171"/>
    <cellStyle name="Currency 2 8 2 4 3 2 2" xfId="29435"/>
    <cellStyle name="Currency 2 8 2 4 3 3" xfId="29436"/>
    <cellStyle name="Currency 2 8 2 4 4" xfId="11172"/>
    <cellStyle name="Currency 2 8 2 4 4 2" xfId="11173"/>
    <cellStyle name="Currency 2 8 2 4 4 2 2" xfId="29437"/>
    <cellStyle name="Currency 2 8 2 4 4 3" xfId="29438"/>
    <cellStyle name="Currency 2 8 2 4 5" xfId="11174"/>
    <cellStyle name="Currency 2 8 2 4 5 2" xfId="29439"/>
    <cellStyle name="Currency 2 8 2 4 6" xfId="11175"/>
    <cellStyle name="Currency 2 8 2 5" xfId="11176"/>
    <cellStyle name="Currency 2 8 2 5 2" xfId="11177"/>
    <cellStyle name="Currency 2 8 2 5 2 2" xfId="29440"/>
    <cellStyle name="Currency 2 8 2 5 3" xfId="29441"/>
    <cellStyle name="Currency 2 8 2 6" xfId="11178"/>
    <cellStyle name="Currency 2 8 2 6 2" xfId="11179"/>
    <cellStyle name="Currency 2 8 2 6 2 2" xfId="29442"/>
    <cellStyle name="Currency 2 8 2 6 3" xfId="29443"/>
    <cellStyle name="Currency 2 8 2 7" xfId="11180"/>
    <cellStyle name="Currency 2 8 2 7 2" xfId="11181"/>
    <cellStyle name="Currency 2 8 2 7 2 2" xfId="29444"/>
    <cellStyle name="Currency 2 8 2 7 3" xfId="29445"/>
    <cellStyle name="Currency 2 8 2 8" xfId="11182"/>
    <cellStyle name="Currency 2 8 2 8 2" xfId="29446"/>
    <cellStyle name="Currency 2 8 2 9" xfId="11183"/>
    <cellStyle name="Currency 2 8 3" xfId="1029"/>
    <cellStyle name="Currency 2 8 3 2" xfId="1785"/>
    <cellStyle name="Currency 2 8 3 2 2" xfId="11184"/>
    <cellStyle name="Currency 2 8 3 2 2 2" xfId="11185"/>
    <cellStyle name="Currency 2 8 3 2 2 2 2" xfId="29447"/>
    <cellStyle name="Currency 2 8 3 2 2 3" xfId="29448"/>
    <cellStyle name="Currency 2 8 3 2 3" xfId="11186"/>
    <cellStyle name="Currency 2 8 3 2 3 2" xfId="11187"/>
    <cellStyle name="Currency 2 8 3 2 3 2 2" xfId="29449"/>
    <cellStyle name="Currency 2 8 3 2 3 3" xfId="29450"/>
    <cellStyle name="Currency 2 8 3 2 4" xfId="11188"/>
    <cellStyle name="Currency 2 8 3 2 4 2" xfId="11189"/>
    <cellStyle name="Currency 2 8 3 2 4 2 2" xfId="29451"/>
    <cellStyle name="Currency 2 8 3 2 4 3" xfId="29452"/>
    <cellStyle name="Currency 2 8 3 2 5" xfId="11190"/>
    <cellStyle name="Currency 2 8 3 2 5 2" xfId="29453"/>
    <cellStyle name="Currency 2 8 3 2 6" xfId="11191"/>
    <cellStyle name="Currency 2 8 3 3" xfId="11192"/>
    <cellStyle name="Currency 2 8 3 3 2" xfId="11193"/>
    <cellStyle name="Currency 2 8 3 3 2 2" xfId="29454"/>
    <cellStyle name="Currency 2 8 3 3 3" xfId="29455"/>
    <cellStyle name="Currency 2 8 3 4" xfId="11194"/>
    <cellStyle name="Currency 2 8 3 4 2" xfId="11195"/>
    <cellStyle name="Currency 2 8 3 4 2 2" xfId="29456"/>
    <cellStyle name="Currency 2 8 3 4 3" xfId="29457"/>
    <cellStyle name="Currency 2 8 3 5" xfId="11196"/>
    <cellStyle name="Currency 2 8 3 5 2" xfId="11197"/>
    <cellStyle name="Currency 2 8 3 5 2 2" xfId="29458"/>
    <cellStyle name="Currency 2 8 3 5 3" xfId="29459"/>
    <cellStyle name="Currency 2 8 3 6" xfId="11198"/>
    <cellStyle name="Currency 2 8 3 6 2" xfId="29460"/>
    <cellStyle name="Currency 2 8 3 7" xfId="11199"/>
    <cellStyle name="Currency 2 8 4" xfId="661"/>
    <cellStyle name="Currency 2 8 4 2" xfId="1786"/>
    <cellStyle name="Currency 2 8 4 2 2" xfId="11200"/>
    <cellStyle name="Currency 2 8 4 2 2 2" xfId="11201"/>
    <cellStyle name="Currency 2 8 4 2 2 2 2" xfId="29461"/>
    <cellStyle name="Currency 2 8 4 2 2 3" xfId="29462"/>
    <cellStyle name="Currency 2 8 4 2 3" xfId="11202"/>
    <cellStyle name="Currency 2 8 4 2 3 2" xfId="11203"/>
    <cellStyle name="Currency 2 8 4 2 3 2 2" xfId="29463"/>
    <cellStyle name="Currency 2 8 4 2 3 3" xfId="29464"/>
    <cellStyle name="Currency 2 8 4 2 4" xfId="11204"/>
    <cellStyle name="Currency 2 8 4 2 4 2" xfId="11205"/>
    <cellStyle name="Currency 2 8 4 2 4 2 2" xfId="29465"/>
    <cellStyle name="Currency 2 8 4 2 4 3" xfId="29466"/>
    <cellStyle name="Currency 2 8 4 2 5" xfId="11206"/>
    <cellStyle name="Currency 2 8 4 2 5 2" xfId="29467"/>
    <cellStyle name="Currency 2 8 4 2 6" xfId="11207"/>
    <cellStyle name="Currency 2 8 4 3" xfId="11208"/>
    <cellStyle name="Currency 2 8 4 3 2" xfId="11209"/>
    <cellStyle name="Currency 2 8 4 3 2 2" xfId="29468"/>
    <cellStyle name="Currency 2 8 4 3 3" xfId="29469"/>
    <cellStyle name="Currency 2 8 4 4" xfId="11210"/>
    <cellStyle name="Currency 2 8 4 4 2" xfId="11211"/>
    <cellStyle name="Currency 2 8 4 4 2 2" xfId="29470"/>
    <cellStyle name="Currency 2 8 4 4 3" xfId="29471"/>
    <cellStyle name="Currency 2 8 4 5" xfId="11212"/>
    <cellStyle name="Currency 2 8 4 5 2" xfId="11213"/>
    <cellStyle name="Currency 2 8 4 5 2 2" xfId="29472"/>
    <cellStyle name="Currency 2 8 4 5 3" xfId="29473"/>
    <cellStyle name="Currency 2 8 4 6" xfId="11214"/>
    <cellStyle name="Currency 2 8 4 6 2" xfId="29474"/>
    <cellStyle name="Currency 2 8 4 7" xfId="11215"/>
    <cellStyle name="Currency 2 8 5" xfId="1787"/>
    <cellStyle name="Currency 2 8 5 2" xfId="11216"/>
    <cellStyle name="Currency 2 8 5 2 2" xfId="11217"/>
    <cellStyle name="Currency 2 8 5 2 2 2" xfId="29475"/>
    <cellStyle name="Currency 2 8 5 2 3" xfId="29476"/>
    <cellStyle name="Currency 2 8 5 3" xfId="11218"/>
    <cellStyle name="Currency 2 8 5 3 2" xfId="11219"/>
    <cellStyle name="Currency 2 8 5 3 2 2" xfId="29477"/>
    <cellStyle name="Currency 2 8 5 3 3" xfId="29478"/>
    <cellStyle name="Currency 2 8 5 4" xfId="11220"/>
    <cellStyle name="Currency 2 8 5 4 2" xfId="11221"/>
    <cellStyle name="Currency 2 8 5 4 2 2" xfId="29479"/>
    <cellStyle name="Currency 2 8 5 4 3" xfId="29480"/>
    <cellStyle name="Currency 2 8 5 5" xfId="11222"/>
    <cellStyle name="Currency 2 8 5 5 2" xfId="29481"/>
    <cellStyle name="Currency 2 8 5 6" xfId="11223"/>
    <cellStyle name="Currency 2 8 6" xfId="11224"/>
    <cellStyle name="Currency 2 8 6 2" xfId="11225"/>
    <cellStyle name="Currency 2 8 6 2 2" xfId="29482"/>
    <cellStyle name="Currency 2 8 6 3" xfId="29483"/>
    <cellStyle name="Currency 2 8 7" xfId="11226"/>
    <cellStyle name="Currency 2 8 7 2" xfId="11227"/>
    <cellStyle name="Currency 2 8 7 2 2" xfId="29484"/>
    <cellStyle name="Currency 2 8 7 3" xfId="29485"/>
    <cellStyle name="Currency 2 8 8" xfId="11228"/>
    <cellStyle name="Currency 2 8 8 2" xfId="11229"/>
    <cellStyle name="Currency 2 8 8 2 2" xfId="29486"/>
    <cellStyle name="Currency 2 8 8 3" xfId="29487"/>
    <cellStyle name="Currency 2 8 9" xfId="11230"/>
    <cellStyle name="Currency 2 8 9 2" xfId="29488"/>
    <cellStyle name="Currency 2 9" xfId="135"/>
    <cellStyle name="Currency 2 9 2" xfId="923"/>
    <cellStyle name="Currency 2 9 2 2" xfId="1788"/>
    <cellStyle name="Currency 2 9 2 2 2" xfId="11231"/>
    <cellStyle name="Currency 2 9 2 2 2 2" xfId="11232"/>
    <cellStyle name="Currency 2 9 2 2 2 2 2" xfId="29489"/>
    <cellStyle name="Currency 2 9 2 2 2 3" xfId="29490"/>
    <cellStyle name="Currency 2 9 2 2 3" xfId="11233"/>
    <cellStyle name="Currency 2 9 2 2 3 2" xfId="11234"/>
    <cellStyle name="Currency 2 9 2 2 3 2 2" xfId="29491"/>
    <cellStyle name="Currency 2 9 2 2 3 3" xfId="29492"/>
    <cellStyle name="Currency 2 9 2 2 4" xfId="11235"/>
    <cellStyle name="Currency 2 9 2 2 4 2" xfId="11236"/>
    <cellStyle name="Currency 2 9 2 2 4 2 2" xfId="29493"/>
    <cellStyle name="Currency 2 9 2 2 4 3" xfId="29494"/>
    <cellStyle name="Currency 2 9 2 2 5" xfId="11237"/>
    <cellStyle name="Currency 2 9 2 2 5 2" xfId="29495"/>
    <cellStyle name="Currency 2 9 2 2 6" xfId="11238"/>
    <cellStyle name="Currency 2 9 2 3" xfId="11239"/>
    <cellStyle name="Currency 2 9 2 3 2" xfId="11240"/>
    <cellStyle name="Currency 2 9 2 3 2 2" xfId="29496"/>
    <cellStyle name="Currency 2 9 2 3 3" xfId="29497"/>
    <cellStyle name="Currency 2 9 2 4" xfId="11241"/>
    <cellStyle name="Currency 2 9 2 4 2" xfId="11242"/>
    <cellStyle name="Currency 2 9 2 4 2 2" xfId="29498"/>
    <cellStyle name="Currency 2 9 2 4 3" xfId="29499"/>
    <cellStyle name="Currency 2 9 2 5" xfId="11243"/>
    <cellStyle name="Currency 2 9 2 5 2" xfId="11244"/>
    <cellStyle name="Currency 2 9 2 5 2 2" xfId="29500"/>
    <cellStyle name="Currency 2 9 2 5 3" xfId="29501"/>
    <cellStyle name="Currency 2 9 2 6" xfId="11245"/>
    <cellStyle name="Currency 2 9 2 6 2" xfId="29502"/>
    <cellStyle name="Currency 2 9 2 7" xfId="11246"/>
    <cellStyle name="Currency 2 9 3" xfId="555"/>
    <cellStyle name="Currency 2 9 3 2" xfId="1789"/>
    <cellStyle name="Currency 2 9 3 2 2" xfId="11247"/>
    <cellStyle name="Currency 2 9 3 2 2 2" xfId="11248"/>
    <cellStyle name="Currency 2 9 3 2 2 2 2" xfId="29503"/>
    <cellStyle name="Currency 2 9 3 2 2 3" xfId="29504"/>
    <cellStyle name="Currency 2 9 3 2 3" xfId="11249"/>
    <cellStyle name="Currency 2 9 3 2 3 2" xfId="11250"/>
    <cellStyle name="Currency 2 9 3 2 3 2 2" xfId="29505"/>
    <cellStyle name="Currency 2 9 3 2 3 3" xfId="29506"/>
    <cellStyle name="Currency 2 9 3 2 4" xfId="11251"/>
    <cellStyle name="Currency 2 9 3 2 4 2" xfId="11252"/>
    <cellStyle name="Currency 2 9 3 2 4 2 2" xfId="29507"/>
    <cellStyle name="Currency 2 9 3 2 4 3" xfId="29508"/>
    <cellStyle name="Currency 2 9 3 2 5" xfId="11253"/>
    <cellStyle name="Currency 2 9 3 2 5 2" xfId="29509"/>
    <cellStyle name="Currency 2 9 3 2 6" xfId="11254"/>
    <cellStyle name="Currency 2 9 3 3" xfId="11255"/>
    <cellStyle name="Currency 2 9 3 3 2" xfId="11256"/>
    <cellStyle name="Currency 2 9 3 3 2 2" xfId="29510"/>
    <cellStyle name="Currency 2 9 3 3 3" xfId="29511"/>
    <cellStyle name="Currency 2 9 3 4" xfId="11257"/>
    <cellStyle name="Currency 2 9 3 4 2" xfId="11258"/>
    <cellStyle name="Currency 2 9 3 4 2 2" xfId="29512"/>
    <cellStyle name="Currency 2 9 3 4 3" xfId="29513"/>
    <cellStyle name="Currency 2 9 3 5" xfId="11259"/>
    <cellStyle name="Currency 2 9 3 5 2" xfId="11260"/>
    <cellStyle name="Currency 2 9 3 5 2 2" xfId="29514"/>
    <cellStyle name="Currency 2 9 3 5 3" xfId="29515"/>
    <cellStyle name="Currency 2 9 3 6" xfId="11261"/>
    <cellStyle name="Currency 2 9 3 6 2" xfId="29516"/>
    <cellStyle name="Currency 2 9 3 7" xfId="11262"/>
    <cellStyle name="Currency 2 9 4" xfId="1790"/>
    <cellStyle name="Currency 2 9 4 2" xfId="11263"/>
    <cellStyle name="Currency 2 9 4 2 2" xfId="11264"/>
    <cellStyle name="Currency 2 9 4 2 2 2" xfId="29517"/>
    <cellStyle name="Currency 2 9 4 2 3" xfId="29518"/>
    <cellStyle name="Currency 2 9 4 3" xfId="11265"/>
    <cellStyle name="Currency 2 9 4 3 2" xfId="11266"/>
    <cellStyle name="Currency 2 9 4 3 2 2" xfId="29519"/>
    <cellStyle name="Currency 2 9 4 3 3" xfId="29520"/>
    <cellStyle name="Currency 2 9 4 4" xfId="11267"/>
    <cellStyle name="Currency 2 9 4 4 2" xfId="11268"/>
    <cellStyle name="Currency 2 9 4 4 2 2" xfId="29521"/>
    <cellStyle name="Currency 2 9 4 4 3" xfId="29522"/>
    <cellStyle name="Currency 2 9 4 5" xfId="11269"/>
    <cellStyle name="Currency 2 9 4 5 2" xfId="29523"/>
    <cellStyle name="Currency 2 9 4 6" xfId="11270"/>
    <cellStyle name="Currency 2 9 5" xfId="11271"/>
    <cellStyle name="Currency 2 9 5 2" xfId="11272"/>
    <cellStyle name="Currency 2 9 5 2 2" xfId="29524"/>
    <cellStyle name="Currency 2 9 5 3" xfId="29525"/>
    <cellStyle name="Currency 2 9 6" xfId="11273"/>
    <cellStyle name="Currency 2 9 6 2" xfId="11274"/>
    <cellStyle name="Currency 2 9 6 2 2" xfId="29526"/>
    <cellStyle name="Currency 2 9 6 3" xfId="29527"/>
    <cellStyle name="Currency 2 9 7" xfId="11275"/>
    <cellStyle name="Currency 2 9 7 2" xfId="11276"/>
    <cellStyle name="Currency 2 9 7 2 2" xfId="29528"/>
    <cellStyle name="Currency 2 9 7 3" xfId="29529"/>
    <cellStyle name="Currency 2 9 8" xfId="11277"/>
    <cellStyle name="Currency 2 9 8 2" xfId="29530"/>
    <cellStyle name="Currency 2 9 9" xfId="11278"/>
    <cellStyle name="Currency 3" xfId="24"/>
    <cellStyle name="Currency 3 2" xfId="134"/>
    <cellStyle name="Currency 3 2 2" xfId="29531"/>
    <cellStyle name="Currency 3 3" xfId="11279"/>
    <cellStyle name="Currency 3 3 2" xfId="29532"/>
    <cellStyle name="Currency 3 4" xfId="11280"/>
    <cellStyle name="Currency 3 4 2" xfId="29533"/>
    <cellStyle name="Currency 3 5" xfId="29534"/>
    <cellStyle name="Currency 4" xfId="11281"/>
    <cellStyle name="Currency 4 2" xfId="29535"/>
    <cellStyle name="Currency 5" xfId="11282"/>
    <cellStyle name="Currency 5 2" xfId="11283"/>
    <cellStyle name="Currency 5 2 2" xfId="29536"/>
    <cellStyle name="Currency 5 3" xfId="29537"/>
    <cellStyle name="Normal" xfId="0" builtinId="0"/>
    <cellStyle name="Normal 10" xfId="11284"/>
    <cellStyle name="Normal 10 2" xfId="11285"/>
    <cellStyle name="Normal 10 2 2" xfId="29538"/>
    <cellStyle name="Normal 10 3" xfId="29539"/>
    <cellStyle name="Normal 11" xfId="21816"/>
    <cellStyle name="Normal 2" xfId="13"/>
    <cellStyle name="Normal 2 10" xfId="294"/>
    <cellStyle name="Normal 2 10 2" xfId="1082"/>
    <cellStyle name="Normal 2 10 2 2" xfId="1791"/>
    <cellStyle name="Normal 2 10 2 2 2" xfId="11286"/>
    <cellStyle name="Normal 2 10 2 2 2 2" xfId="11287"/>
    <cellStyle name="Normal 2 10 2 2 2 2 2" xfId="29540"/>
    <cellStyle name="Normal 2 10 2 2 2 3" xfId="29541"/>
    <cellStyle name="Normal 2 10 2 2 3" xfId="11288"/>
    <cellStyle name="Normal 2 10 2 2 3 2" xfId="11289"/>
    <cellStyle name="Normal 2 10 2 2 3 2 2" xfId="29542"/>
    <cellStyle name="Normal 2 10 2 2 3 3" xfId="29543"/>
    <cellStyle name="Normal 2 10 2 2 4" xfId="11290"/>
    <cellStyle name="Normal 2 10 2 2 4 2" xfId="11291"/>
    <cellStyle name="Normal 2 10 2 2 4 2 2" xfId="29544"/>
    <cellStyle name="Normal 2 10 2 2 4 3" xfId="29545"/>
    <cellStyle name="Normal 2 10 2 2 5" xfId="11292"/>
    <cellStyle name="Normal 2 10 2 2 5 2" xfId="29546"/>
    <cellStyle name="Normal 2 10 2 2 6" xfId="11293"/>
    <cellStyle name="Normal 2 10 2 3" xfId="11294"/>
    <cellStyle name="Normal 2 10 2 3 2" xfId="11295"/>
    <cellStyle name="Normal 2 10 2 3 2 2" xfId="29547"/>
    <cellStyle name="Normal 2 10 2 3 3" xfId="29548"/>
    <cellStyle name="Normal 2 10 2 4" xfId="11296"/>
    <cellStyle name="Normal 2 10 2 4 2" xfId="11297"/>
    <cellStyle name="Normal 2 10 2 4 2 2" xfId="29549"/>
    <cellStyle name="Normal 2 10 2 4 3" xfId="29550"/>
    <cellStyle name="Normal 2 10 2 5" xfId="11298"/>
    <cellStyle name="Normal 2 10 2 5 2" xfId="11299"/>
    <cellStyle name="Normal 2 10 2 5 2 2" xfId="29551"/>
    <cellStyle name="Normal 2 10 2 5 3" xfId="29552"/>
    <cellStyle name="Normal 2 10 2 6" xfId="11300"/>
    <cellStyle name="Normal 2 10 2 6 2" xfId="29553"/>
    <cellStyle name="Normal 2 10 2 7" xfId="11301"/>
    <cellStyle name="Normal 2 10 3" xfId="714"/>
    <cellStyle name="Normal 2 10 3 2" xfId="1792"/>
    <cellStyle name="Normal 2 10 3 2 2" xfId="11302"/>
    <cellStyle name="Normal 2 10 3 2 2 2" xfId="11303"/>
    <cellStyle name="Normal 2 10 3 2 2 2 2" xfId="29554"/>
    <cellStyle name="Normal 2 10 3 2 2 3" xfId="29555"/>
    <cellStyle name="Normal 2 10 3 2 3" xfId="11304"/>
    <cellStyle name="Normal 2 10 3 2 3 2" xfId="11305"/>
    <cellStyle name="Normal 2 10 3 2 3 2 2" xfId="29556"/>
    <cellStyle name="Normal 2 10 3 2 3 3" xfId="29557"/>
    <cellStyle name="Normal 2 10 3 2 4" xfId="11306"/>
    <cellStyle name="Normal 2 10 3 2 4 2" xfId="11307"/>
    <cellStyle name="Normal 2 10 3 2 4 2 2" xfId="29558"/>
    <cellStyle name="Normal 2 10 3 2 4 3" xfId="29559"/>
    <cellStyle name="Normal 2 10 3 2 5" xfId="11308"/>
    <cellStyle name="Normal 2 10 3 2 5 2" xfId="29560"/>
    <cellStyle name="Normal 2 10 3 2 6" xfId="11309"/>
    <cellStyle name="Normal 2 10 3 3" xfId="11310"/>
    <cellStyle name="Normal 2 10 3 3 2" xfId="11311"/>
    <cellStyle name="Normal 2 10 3 3 2 2" xfId="29561"/>
    <cellStyle name="Normal 2 10 3 3 3" xfId="29562"/>
    <cellStyle name="Normal 2 10 3 4" xfId="11312"/>
    <cellStyle name="Normal 2 10 3 4 2" xfId="11313"/>
    <cellStyle name="Normal 2 10 3 4 2 2" xfId="29563"/>
    <cellStyle name="Normal 2 10 3 4 3" xfId="29564"/>
    <cellStyle name="Normal 2 10 3 5" xfId="11314"/>
    <cellStyle name="Normal 2 10 3 5 2" xfId="11315"/>
    <cellStyle name="Normal 2 10 3 5 2 2" xfId="29565"/>
    <cellStyle name="Normal 2 10 3 5 3" xfId="29566"/>
    <cellStyle name="Normal 2 10 3 6" xfId="11316"/>
    <cellStyle name="Normal 2 10 3 6 2" xfId="29567"/>
    <cellStyle name="Normal 2 10 3 7" xfId="11317"/>
    <cellStyle name="Normal 2 10 4" xfId="1793"/>
    <cellStyle name="Normal 2 10 4 2" xfId="11318"/>
    <cellStyle name="Normal 2 10 4 2 2" xfId="11319"/>
    <cellStyle name="Normal 2 10 4 2 2 2" xfId="29568"/>
    <cellStyle name="Normal 2 10 4 2 3" xfId="29569"/>
    <cellStyle name="Normal 2 10 4 3" xfId="11320"/>
    <cellStyle name="Normal 2 10 4 3 2" xfId="11321"/>
    <cellStyle name="Normal 2 10 4 3 2 2" xfId="29570"/>
    <cellStyle name="Normal 2 10 4 3 3" xfId="29571"/>
    <cellStyle name="Normal 2 10 4 4" xfId="11322"/>
    <cellStyle name="Normal 2 10 4 4 2" xfId="11323"/>
    <cellStyle name="Normal 2 10 4 4 2 2" xfId="29572"/>
    <cellStyle name="Normal 2 10 4 4 3" xfId="29573"/>
    <cellStyle name="Normal 2 10 4 5" xfId="11324"/>
    <cellStyle name="Normal 2 10 4 5 2" xfId="29574"/>
    <cellStyle name="Normal 2 10 4 6" xfId="11325"/>
    <cellStyle name="Normal 2 10 5" xfId="11326"/>
    <cellStyle name="Normal 2 10 5 2" xfId="11327"/>
    <cellStyle name="Normal 2 10 5 2 2" xfId="29575"/>
    <cellStyle name="Normal 2 10 5 3" xfId="29576"/>
    <cellStyle name="Normal 2 10 6" xfId="11328"/>
    <cellStyle name="Normal 2 10 6 2" xfId="11329"/>
    <cellStyle name="Normal 2 10 6 2 2" xfId="29577"/>
    <cellStyle name="Normal 2 10 6 3" xfId="29578"/>
    <cellStyle name="Normal 2 10 7" xfId="11330"/>
    <cellStyle name="Normal 2 10 7 2" xfId="11331"/>
    <cellStyle name="Normal 2 10 7 2 2" xfId="29579"/>
    <cellStyle name="Normal 2 10 7 3" xfId="29580"/>
    <cellStyle name="Normal 2 10 8" xfId="11332"/>
    <cellStyle name="Normal 2 10 8 2" xfId="29581"/>
    <cellStyle name="Normal 2 10 9" xfId="11333"/>
    <cellStyle name="Normal 2 11" xfId="73"/>
    <cellStyle name="Normal 2 11 2" xfId="504"/>
    <cellStyle name="Normal 2 11 2 2" xfId="1794"/>
    <cellStyle name="Normal 2 11 2 2 2" xfId="11334"/>
    <cellStyle name="Normal 2 11 2 2 2 2" xfId="11335"/>
    <cellStyle name="Normal 2 11 2 2 2 2 2" xfId="29582"/>
    <cellStyle name="Normal 2 11 2 2 2 3" xfId="29583"/>
    <cellStyle name="Normal 2 11 2 2 3" xfId="11336"/>
    <cellStyle name="Normal 2 11 2 2 3 2" xfId="11337"/>
    <cellStyle name="Normal 2 11 2 2 3 2 2" xfId="29584"/>
    <cellStyle name="Normal 2 11 2 2 3 3" xfId="29585"/>
    <cellStyle name="Normal 2 11 2 2 4" xfId="11338"/>
    <cellStyle name="Normal 2 11 2 2 4 2" xfId="11339"/>
    <cellStyle name="Normal 2 11 2 2 4 2 2" xfId="29586"/>
    <cellStyle name="Normal 2 11 2 2 4 3" xfId="29587"/>
    <cellStyle name="Normal 2 11 2 2 5" xfId="11340"/>
    <cellStyle name="Normal 2 11 2 2 5 2" xfId="29588"/>
    <cellStyle name="Normal 2 11 2 2 6" xfId="11341"/>
    <cellStyle name="Normal 2 11 2 3" xfId="11342"/>
    <cellStyle name="Normal 2 11 2 3 2" xfId="11343"/>
    <cellStyle name="Normal 2 11 2 3 2 2" xfId="29589"/>
    <cellStyle name="Normal 2 11 2 3 3" xfId="29590"/>
    <cellStyle name="Normal 2 11 2 4" xfId="11344"/>
    <cellStyle name="Normal 2 11 2 4 2" xfId="11345"/>
    <cellStyle name="Normal 2 11 2 4 2 2" xfId="29591"/>
    <cellStyle name="Normal 2 11 2 4 3" xfId="29592"/>
    <cellStyle name="Normal 2 11 2 5" xfId="11346"/>
    <cellStyle name="Normal 2 11 2 5 2" xfId="11347"/>
    <cellStyle name="Normal 2 11 2 5 2 2" xfId="29593"/>
    <cellStyle name="Normal 2 11 2 5 3" xfId="29594"/>
    <cellStyle name="Normal 2 11 2 6" xfId="11348"/>
    <cellStyle name="Normal 2 11 2 6 2" xfId="29595"/>
    <cellStyle name="Normal 2 11 2 7" xfId="11349"/>
    <cellStyle name="Normal 2 11 3" xfId="1795"/>
    <cellStyle name="Normal 2 11 3 2" xfId="11350"/>
    <cellStyle name="Normal 2 11 3 2 2" xfId="11351"/>
    <cellStyle name="Normal 2 11 3 2 2 2" xfId="29596"/>
    <cellStyle name="Normal 2 11 3 2 3" xfId="29597"/>
    <cellStyle name="Normal 2 11 3 3" xfId="11352"/>
    <cellStyle name="Normal 2 11 3 3 2" xfId="11353"/>
    <cellStyle name="Normal 2 11 3 3 2 2" xfId="29598"/>
    <cellStyle name="Normal 2 11 3 3 3" xfId="29599"/>
    <cellStyle name="Normal 2 11 3 4" xfId="11354"/>
    <cellStyle name="Normal 2 11 3 4 2" xfId="11355"/>
    <cellStyle name="Normal 2 11 3 4 2 2" xfId="29600"/>
    <cellStyle name="Normal 2 11 3 4 3" xfId="29601"/>
    <cellStyle name="Normal 2 11 3 5" xfId="11356"/>
    <cellStyle name="Normal 2 11 3 5 2" xfId="29602"/>
    <cellStyle name="Normal 2 11 3 6" xfId="11357"/>
    <cellStyle name="Normal 2 11 4" xfId="11358"/>
    <cellStyle name="Normal 2 11 4 2" xfId="11359"/>
    <cellStyle name="Normal 2 11 4 2 2" xfId="29603"/>
    <cellStyle name="Normal 2 11 4 3" xfId="29604"/>
    <cellStyle name="Normal 2 11 5" xfId="11360"/>
    <cellStyle name="Normal 2 11 5 2" xfId="11361"/>
    <cellStyle name="Normal 2 11 5 2 2" xfId="29605"/>
    <cellStyle name="Normal 2 11 5 3" xfId="29606"/>
    <cellStyle name="Normal 2 11 6" xfId="11362"/>
    <cellStyle name="Normal 2 11 6 2" xfId="11363"/>
    <cellStyle name="Normal 2 11 6 2 2" xfId="29607"/>
    <cellStyle name="Normal 2 11 6 3" xfId="29608"/>
    <cellStyle name="Normal 2 11 7" xfId="11364"/>
    <cellStyle name="Normal 2 11 7 2" xfId="29609"/>
    <cellStyle name="Normal 2 11 8" xfId="11365"/>
    <cellStyle name="Normal 2 12" xfId="872"/>
    <cellStyle name="Normal 2 12 2" xfId="1796"/>
    <cellStyle name="Normal 2 12 2 2" xfId="11366"/>
    <cellStyle name="Normal 2 12 2 2 2" xfId="11367"/>
    <cellStyle name="Normal 2 12 2 2 2 2" xfId="29610"/>
    <cellStyle name="Normal 2 12 2 2 3" xfId="29611"/>
    <cellStyle name="Normal 2 12 2 3" xfId="11368"/>
    <cellStyle name="Normal 2 12 2 3 2" xfId="11369"/>
    <cellStyle name="Normal 2 12 2 3 2 2" xfId="29612"/>
    <cellStyle name="Normal 2 12 2 3 3" xfId="29613"/>
    <cellStyle name="Normal 2 12 2 4" xfId="11370"/>
    <cellStyle name="Normal 2 12 2 4 2" xfId="11371"/>
    <cellStyle name="Normal 2 12 2 4 2 2" xfId="29614"/>
    <cellStyle name="Normal 2 12 2 4 3" xfId="29615"/>
    <cellStyle name="Normal 2 12 2 5" xfId="11372"/>
    <cellStyle name="Normal 2 12 2 5 2" xfId="29616"/>
    <cellStyle name="Normal 2 12 2 6" xfId="11373"/>
    <cellStyle name="Normal 2 12 3" xfId="11374"/>
    <cellStyle name="Normal 2 12 3 2" xfId="11375"/>
    <cellStyle name="Normal 2 12 3 2 2" xfId="29617"/>
    <cellStyle name="Normal 2 12 3 3" xfId="29618"/>
    <cellStyle name="Normal 2 12 4" xfId="11376"/>
    <cellStyle name="Normal 2 12 4 2" xfId="11377"/>
    <cellStyle name="Normal 2 12 4 2 2" xfId="29619"/>
    <cellStyle name="Normal 2 12 4 3" xfId="29620"/>
    <cellStyle name="Normal 2 12 5" xfId="11378"/>
    <cellStyle name="Normal 2 12 5 2" xfId="11379"/>
    <cellStyle name="Normal 2 12 5 2 2" xfId="29621"/>
    <cellStyle name="Normal 2 12 5 3" xfId="29622"/>
    <cellStyle name="Normal 2 12 6" xfId="11380"/>
    <cellStyle name="Normal 2 12 6 2" xfId="29623"/>
    <cellStyle name="Normal 2 12 7" xfId="11381"/>
    <cellStyle name="Normal 2 13" xfId="455"/>
    <cellStyle name="Normal 2 13 2" xfId="1797"/>
    <cellStyle name="Normal 2 13 2 2" xfId="11382"/>
    <cellStyle name="Normal 2 13 2 2 2" xfId="11383"/>
    <cellStyle name="Normal 2 13 2 2 2 2" xfId="29624"/>
    <cellStyle name="Normal 2 13 2 2 3" xfId="29625"/>
    <cellStyle name="Normal 2 13 2 3" xfId="11384"/>
    <cellStyle name="Normal 2 13 2 3 2" xfId="11385"/>
    <cellStyle name="Normal 2 13 2 3 2 2" xfId="29626"/>
    <cellStyle name="Normal 2 13 2 3 3" xfId="29627"/>
    <cellStyle name="Normal 2 13 2 4" xfId="11386"/>
    <cellStyle name="Normal 2 13 2 4 2" xfId="11387"/>
    <cellStyle name="Normal 2 13 2 4 2 2" xfId="29628"/>
    <cellStyle name="Normal 2 13 2 4 3" xfId="29629"/>
    <cellStyle name="Normal 2 13 2 5" xfId="11388"/>
    <cellStyle name="Normal 2 13 2 5 2" xfId="29630"/>
    <cellStyle name="Normal 2 13 2 6" xfId="11389"/>
    <cellStyle name="Normal 2 13 3" xfId="11390"/>
    <cellStyle name="Normal 2 13 3 2" xfId="11391"/>
    <cellStyle name="Normal 2 13 3 2 2" xfId="29631"/>
    <cellStyle name="Normal 2 13 3 3" xfId="29632"/>
    <cellStyle name="Normal 2 13 4" xfId="11392"/>
    <cellStyle name="Normal 2 13 4 2" xfId="11393"/>
    <cellStyle name="Normal 2 13 4 2 2" xfId="29633"/>
    <cellStyle name="Normal 2 13 4 3" xfId="29634"/>
    <cellStyle name="Normal 2 13 5" xfId="11394"/>
    <cellStyle name="Normal 2 13 5 2" xfId="11395"/>
    <cellStyle name="Normal 2 13 5 2 2" xfId="29635"/>
    <cellStyle name="Normal 2 13 5 3" xfId="29636"/>
    <cellStyle name="Normal 2 13 6" xfId="11396"/>
    <cellStyle name="Normal 2 13 6 2" xfId="29637"/>
    <cellStyle name="Normal 2 13 7" xfId="11397"/>
    <cellStyle name="Normal 2 14" xfId="1798"/>
    <cellStyle name="Normal 2 14 2" xfId="11398"/>
    <cellStyle name="Normal 2 14 2 2" xfId="11399"/>
    <cellStyle name="Normal 2 14 2 2 2" xfId="29638"/>
    <cellStyle name="Normal 2 14 2 3" xfId="29639"/>
    <cellStyle name="Normal 2 14 3" xfId="11400"/>
    <cellStyle name="Normal 2 14 3 2" xfId="11401"/>
    <cellStyle name="Normal 2 14 3 2 2" xfId="29640"/>
    <cellStyle name="Normal 2 14 3 3" xfId="29641"/>
    <cellStyle name="Normal 2 14 4" xfId="11402"/>
    <cellStyle name="Normal 2 14 4 2" xfId="11403"/>
    <cellStyle name="Normal 2 14 4 2 2" xfId="29642"/>
    <cellStyle name="Normal 2 14 4 3" xfId="29643"/>
    <cellStyle name="Normal 2 14 5" xfId="11404"/>
    <cellStyle name="Normal 2 14 5 2" xfId="29644"/>
    <cellStyle name="Normal 2 14 6" xfId="11405"/>
    <cellStyle name="Normal 2 15" xfId="11406"/>
    <cellStyle name="Normal 2 15 2" xfId="29645"/>
    <cellStyle name="Normal 2 16" xfId="11407"/>
    <cellStyle name="Normal 2 16 2" xfId="11408"/>
    <cellStyle name="Normal 2 16 2 2" xfId="29646"/>
    <cellStyle name="Normal 2 16 3" xfId="29647"/>
    <cellStyle name="Normal 2 17" xfId="11409"/>
    <cellStyle name="Normal 2 17 2" xfId="11410"/>
    <cellStyle name="Normal 2 17 2 2" xfId="29648"/>
    <cellStyle name="Normal 2 17 3" xfId="29649"/>
    <cellStyle name="Normal 2 18" xfId="11411"/>
    <cellStyle name="Normal 2 18 2" xfId="11412"/>
    <cellStyle name="Normal 2 18 2 2" xfId="29650"/>
    <cellStyle name="Normal 2 18 3" xfId="29651"/>
    <cellStyle name="Normal 2 19" xfId="11413"/>
    <cellStyle name="Normal 2 19 2" xfId="29652"/>
    <cellStyle name="Normal 2 2" xfId="14"/>
    <cellStyle name="Normal 2 2 10" xfId="79"/>
    <cellStyle name="Normal 2 2 10 2" xfId="506"/>
    <cellStyle name="Normal 2 2 10 2 2" xfId="1799"/>
    <cellStyle name="Normal 2 2 10 2 2 2" xfId="11414"/>
    <cellStyle name="Normal 2 2 10 2 2 2 2" xfId="11415"/>
    <cellStyle name="Normal 2 2 10 2 2 2 2 2" xfId="29653"/>
    <cellStyle name="Normal 2 2 10 2 2 2 3" xfId="29654"/>
    <cellStyle name="Normal 2 2 10 2 2 3" xfId="11416"/>
    <cellStyle name="Normal 2 2 10 2 2 3 2" xfId="11417"/>
    <cellStyle name="Normal 2 2 10 2 2 3 2 2" xfId="29655"/>
    <cellStyle name="Normal 2 2 10 2 2 3 3" xfId="29656"/>
    <cellStyle name="Normal 2 2 10 2 2 4" xfId="11418"/>
    <cellStyle name="Normal 2 2 10 2 2 4 2" xfId="11419"/>
    <cellStyle name="Normal 2 2 10 2 2 4 2 2" xfId="29657"/>
    <cellStyle name="Normal 2 2 10 2 2 4 3" xfId="29658"/>
    <cellStyle name="Normal 2 2 10 2 2 5" xfId="11420"/>
    <cellStyle name="Normal 2 2 10 2 2 5 2" xfId="29659"/>
    <cellStyle name="Normal 2 2 10 2 2 6" xfId="11421"/>
    <cellStyle name="Normal 2 2 10 2 3" xfId="11422"/>
    <cellStyle name="Normal 2 2 10 2 3 2" xfId="11423"/>
    <cellStyle name="Normal 2 2 10 2 3 2 2" xfId="29660"/>
    <cellStyle name="Normal 2 2 10 2 3 3" xfId="29661"/>
    <cellStyle name="Normal 2 2 10 2 4" xfId="11424"/>
    <cellStyle name="Normal 2 2 10 2 4 2" xfId="11425"/>
    <cellStyle name="Normal 2 2 10 2 4 2 2" xfId="29662"/>
    <cellStyle name="Normal 2 2 10 2 4 3" xfId="29663"/>
    <cellStyle name="Normal 2 2 10 2 5" xfId="11426"/>
    <cellStyle name="Normal 2 2 10 2 5 2" xfId="11427"/>
    <cellStyle name="Normal 2 2 10 2 5 2 2" xfId="29664"/>
    <cellStyle name="Normal 2 2 10 2 5 3" xfId="29665"/>
    <cellStyle name="Normal 2 2 10 2 6" xfId="11428"/>
    <cellStyle name="Normal 2 2 10 2 6 2" xfId="29666"/>
    <cellStyle name="Normal 2 2 10 2 7" xfId="11429"/>
    <cellStyle name="Normal 2 2 10 3" xfId="1800"/>
    <cellStyle name="Normal 2 2 10 3 2" xfId="11430"/>
    <cellStyle name="Normal 2 2 10 3 2 2" xfId="11431"/>
    <cellStyle name="Normal 2 2 10 3 2 2 2" xfId="29667"/>
    <cellStyle name="Normal 2 2 10 3 2 3" xfId="29668"/>
    <cellStyle name="Normal 2 2 10 3 3" xfId="11432"/>
    <cellStyle name="Normal 2 2 10 3 3 2" xfId="11433"/>
    <cellStyle name="Normal 2 2 10 3 3 2 2" xfId="29669"/>
    <cellStyle name="Normal 2 2 10 3 3 3" xfId="29670"/>
    <cellStyle name="Normal 2 2 10 3 4" xfId="11434"/>
    <cellStyle name="Normal 2 2 10 3 4 2" xfId="11435"/>
    <cellStyle name="Normal 2 2 10 3 4 2 2" xfId="29671"/>
    <cellStyle name="Normal 2 2 10 3 4 3" xfId="29672"/>
    <cellStyle name="Normal 2 2 10 3 5" xfId="11436"/>
    <cellStyle name="Normal 2 2 10 3 5 2" xfId="29673"/>
    <cellStyle name="Normal 2 2 10 3 6" xfId="11437"/>
    <cellStyle name="Normal 2 2 10 4" xfId="11438"/>
    <cellStyle name="Normal 2 2 10 4 2" xfId="11439"/>
    <cellStyle name="Normal 2 2 10 4 2 2" xfId="29674"/>
    <cellStyle name="Normal 2 2 10 4 3" xfId="29675"/>
    <cellStyle name="Normal 2 2 10 5" xfId="11440"/>
    <cellStyle name="Normal 2 2 10 5 2" xfId="11441"/>
    <cellStyle name="Normal 2 2 10 5 2 2" xfId="29676"/>
    <cellStyle name="Normal 2 2 10 5 3" xfId="29677"/>
    <cellStyle name="Normal 2 2 10 6" xfId="11442"/>
    <cellStyle name="Normal 2 2 10 6 2" xfId="11443"/>
    <cellStyle name="Normal 2 2 10 6 2 2" xfId="29678"/>
    <cellStyle name="Normal 2 2 10 6 3" xfId="29679"/>
    <cellStyle name="Normal 2 2 10 7" xfId="11444"/>
    <cellStyle name="Normal 2 2 10 7 2" xfId="29680"/>
    <cellStyle name="Normal 2 2 10 8" xfId="11445"/>
    <cellStyle name="Normal 2 2 11" xfId="874"/>
    <cellStyle name="Normal 2 2 11 2" xfId="1801"/>
    <cellStyle name="Normal 2 2 11 2 2" xfId="11446"/>
    <cellStyle name="Normal 2 2 11 2 2 2" xfId="11447"/>
    <cellStyle name="Normal 2 2 11 2 2 2 2" xfId="29681"/>
    <cellStyle name="Normal 2 2 11 2 2 3" xfId="29682"/>
    <cellStyle name="Normal 2 2 11 2 3" xfId="11448"/>
    <cellStyle name="Normal 2 2 11 2 3 2" xfId="11449"/>
    <cellStyle name="Normal 2 2 11 2 3 2 2" xfId="29683"/>
    <cellStyle name="Normal 2 2 11 2 3 3" xfId="29684"/>
    <cellStyle name="Normal 2 2 11 2 4" xfId="11450"/>
    <cellStyle name="Normal 2 2 11 2 4 2" xfId="11451"/>
    <cellStyle name="Normal 2 2 11 2 4 2 2" xfId="29685"/>
    <cellStyle name="Normal 2 2 11 2 4 3" xfId="29686"/>
    <cellStyle name="Normal 2 2 11 2 5" xfId="11452"/>
    <cellStyle name="Normal 2 2 11 2 5 2" xfId="29687"/>
    <cellStyle name="Normal 2 2 11 2 6" xfId="11453"/>
    <cellStyle name="Normal 2 2 11 3" xfId="11454"/>
    <cellStyle name="Normal 2 2 11 3 2" xfId="11455"/>
    <cellStyle name="Normal 2 2 11 3 2 2" xfId="29688"/>
    <cellStyle name="Normal 2 2 11 3 3" xfId="29689"/>
    <cellStyle name="Normal 2 2 11 4" xfId="11456"/>
    <cellStyle name="Normal 2 2 11 4 2" xfId="11457"/>
    <cellStyle name="Normal 2 2 11 4 2 2" xfId="29690"/>
    <cellStyle name="Normal 2 2 11 4 3" xfId="29691"/>
    <cellStyle name="Normal 2 2 11 5" xfId="11458"/>
    <cellStyle name="Normal 2 2 11 5 2" xfId="11459"/>
    <cellStyle name="Normal 2 2 11 5 2 2" xfId="29692"/>
    <cellStyle name="Normal 2 2 11 5 3" xfId="29693"/>
    <cellStyle name="Normal 2 2 11 6" xfId="11460"/>
    <cellStyle name="Normal 2 2 11 6 2" xfId="29694"/>
    <cellStyle name="Normal 2 2 11 7" xfId="11461"/>
    <cellStyle name="Normal 2 2 12" xfId="456"/>
    <cellStyle name="Normal 2 2 12 2" xfId="1802"/>
    <cellStyle name="Normal 2 2 12 2 2" xfId="11462"/>
    <cellStyle name="Normal 2 2 12 2 2 2" xfId="11463"/>
    <cellStyle name="Normal 2 2 12 2 2 2 2" xfId="29695"/>
    <cellStyle name="Normal 2 2 12 2 2 3" xfId="29696"/>
    <cellStyle name="Normal 2 2 12 2 3" xfId="11464"/>
    <cellStyle name="Normal 2 2 12 2 3 2" xfId="11465"/>
    <cellStyle name="Normal 2 2 12 2 3 2 2" xfId="29697"/>
    <cellStyle name="Normal 2 2 12 2 3 3" xfId="29698"/>
    <cellStyle name="Normal 2 2 12 2 4" xfId="11466"/>
    <cellStyle name="Normal 2 2 12 2 4 2" xfId="11467"/>
    <cellStyle name="Normal 2 2 12 2 4 2 2" xfId="29699"/>
    <cellStyle name="Normal 2 2 12 2 4 3" xfId="29700"/>
    <cellStyle name="Normal 2 2 12 2 5" xfId="11468"/>
    <cellStyle name="Normal 2 2 12 2 5 2" xfId="29701"/>
    <cellStyle name="Normal 2 2 12 2 6" xfId="11469"/>
    <cellStyle name="Normal 2 2 12 3" xfId="11470"/>
    <cellStyle name="Normal 2 2 12 3 2" xfId="11471"/>
    <cellStyle name="Normal 2 2 12 3 2 2" xfId="29702"/>
    <cellStyle name="Normal 2 2 12 3 3" xfId="29703"/>
    <cellStyle name="Normal 2 2 12 4" xfId="11472"/>
    <cellStyle name="Normal 2 2 12 4 2" xfId="11473"/>
    <cellStyle name="Normal 2 2 12 4 2 2" xfId="29704"/>
    <cellStyle name="Normal 2 2 12 4 3" xfId="29705"/>
    <cellStyle name="Normal 2 2 12 5" xfId="11474"/>
    <cellStyle name="Normal 2 2 12 5 2" xfId="11475"/>
    <cellStyle name="Normal 2 2 12 5 2 2" xfId="29706"/>
    <cellStyle name="Normal 2 2 12 5 3" xfId="29707"/>
    <cellStyle name="Normal 2 2 12 6" xfId="11476"/>
    <cellStyle name="Normal 2 2 12 6 2" xfId="29708"/>
    <cellStyle name="Normal 2 2 12 7" xfId="11477"/>
    <cellStyle name="Normal 2 2 13" xfId="1803"/>
    <cellStyle name="Normal 2 2 13 2" xfId="11478"/>
    <cellStyle name="Normal 2 2 13 2 2" xfId="11479"/>
    <cellStyle name="Normal 2 2 13 2 2 2" xfId="29709"/>
    <cellStyle name="Normal 2 2 13 2 3" xfId="29710"/>
    <cellStyle name="Normal 2 2 13 3" xfId="11480"/>
    <cellStyle name="Normal 2 2 13 3 2" xfId="11481"/>
    <cellStyle name="Normal 2 2 13 3 2 2" xfId="29711"/>
    <cellStyle name="Normal 2 2 13 3 3" xfId="29712"/>
    <cellStyle name="Normal 2 2 13 4" xfId="11482"/>
    <cellStyle name="Normal 2 2 13 4 2" xfId="11483"/>
    <cellStyle name="Normal 2 2 13 4 2 2" xfId="29713"/>
    <cellStyle name="Normal 2 2 13 4 3" xfId="29714"/>
    <cellStyle name="Normal 2 2 13 5" xfId="11484"/>
    <cellStyle name="Normal 2 2 13 5 2" xfId="29715"/>
    <cellStyle name="Normal 2 2 13 6" xfId="11485"/>
    <cellStyle name="Normal 2 2 14" xfId="11486"/>
    <cellStyle name="Normal 2 2 14 2" xfId="11487"/>
    <cellStyle name="Normal 2 2 14 2 2" xfId="29716"/>
    <cellStyle name="Normal 2 2 14 3" xfId="29717"/>
    <cellStyle name="Normal 2 2 15" xfId="11488"/>
    <cellStyle name="Normal 2 2 15 2" xfId="11489"/>
    <cellStyle name="Normal 2 2 15 2 2" xfId="29718"/>
    <cellStyle name="Normal 2 2 15 3" xfId="29719"/>
    <cellStyle name="Normal 2 2 16" xfId="11490"/>
    <cellStyle name="Normal 2 2 16 2" xfId="11491"/>
    <cellStyle name="Normal 2 2 16 2 2" xfId="29720"/>
    <cellStyle name="Normal 2 2 16 3" xfId="29721"/>
    <cellStyle name="Normal 2 2 17" xfId="11492"/>
    <cellStyle name="Normal 2 2 17 2" xfId="29722"/>
    <cellStyle name="Normal 2 2 18" xfId="11493"/>
    <cellStyle name="Normal 2 2 2" xfId="15"/>
    <cellStyle name="Normal 2 2 2 10" xfId="878"/>
    <cellStyle name="Normal 2 2 2 10 2" xfId="1804"/>
    <cellStyle name="Normal 2 2 2 10 2 2" xfId="11494"/>
    <cellStyle name="Normal 2 2 2 10 2 2 2" xfId="11495"/>
    <cellStyle name="Normal 2 2 2 10 2 2 2 2" xfId="29723"/>
    <cellStyle name="Normal 2 2 2 10 2 2 3" xfId="29724"/>
    <cellStyle name="Normal 2 2 2 10 2 3" xfId="11496"/>
    <cellStyle name="Normal 2 2 2 10 2 3 2" xfId="11497"/>
    <cellStyle name="Normal 2 2 2 10 2 3 2 2" xfId="29725"/>
    <cellStyle name="Normal 2 2 2 10 2 3 3" xfId="29726"/>
    <cellStyle name="Normal 2 2 2 10 2 4" xfId="11498"/>
    <cellStyle name="Normal 2 2 2 10 2 4 2" xfId="11499"/>
    <cellStyle name="Normal 2 2 2 10 2 4 2 2" xfId="29727"/>
    <cellStyle name="Normal 2 2 2 10 2 4 3" xfId="29728"/>
    <cellStyle name="Normal 2 2 2 10 2 5" xfId="11500"/>
    <cellStyle name="Normal 2 2 2 10 2 5 2" xfId="29729"/>
    <cellStyle name="Normal 2 2 2 10 2 6" xfId="11501"/>
    <cellStyle name="Normal 2 2 2 10 3" xfId="11502"/>
    <cellStyle name="Normal 2 2 2 10 3 2" xfId="11503"/>
    <cellStyle name="Normal 2 2 2 10 3 2 2" xfId="29730"/>
    <cellStyle name="Normal 2 2 2 10 3 3" xfId="29731"/>
    <cellStyle name="Normal 2 2 2 10 4" xfId="11504"/>
    <cellStyle name="Normal 2 2 2 10 4 2" xfId="11505"/>
    <cellStyle name="Normal 2 2 2 10 4 2 2" xfId="29732"/>
    <cellStyle name="Normal 2 2 2 10 4 3" xfId="29733"/>
    <cellStyle name="Normal 2 2 2 10 5" xfId="11506"/>
    <cellStyle name="Normal 2 2 2 10 5 2" xfId="11507"/>
    <cellStyle name="Normal 2 2 2 10 5 2 2" xfId="29734"/>
    <cellStyle name="Normal 2 2 2 10 5 3" xfId="29735"/>
    <cellStyle name="Normal 2 2 2 10 6" xfId="11508"/>
    <cellStyle name="Normal 2 2 2 10 6 2" xfId="29736"/>
    <cellStyle name="Normal 2 2 2 10 7" xfId="11509"/>
    <cellStyle name="Normal 2 2 2 11" xfId="457"/>
    <cellStyle name="Normal 2 2 2 11 2" xfId="1805"/>
    <cellStyle name="Normal 2 2 2 11 2 2" xfId="11510"/>
    <cellStyle name="Normal 2 2 2 11 2 2 2" xfId="11511"/>
    <cellStyle name="Normal 2 2 2 11 2 2 2 2" xfId="29737"/>
    <cellStyle name="Normal 2 2 2 11 2 2 3" xfId="29738"/>
    <cellStyle name="Normal 2 2 2 11 2 3" xfId="11512"/>
    <cellStyle name="Normal 2 2 2 11 2 3 2" xfId="11513"/>
    <cellStyle name="Normal 2 2 2 11 2 3 2 2" xfId="29739"/>
    <cellStyle name="Normal 2 2 2 11 2 3 3" xfId="29740"/>
    <cellStyle name="Normal 2 2 2 11 2 4" xfId="11514"/>
    <cellStyle name="Normal 2 2 2 11 2 4 2" xfId="11515"/>
    <cellStyle name="Normal 2 2 2 11 2 4 2 2" xfId="29741"/>
    <cellStyle name="Normal 2 2 2 11 2 4 3" xfId="29742"/>
    <cellStyle name="Normal 2 2 2 11 2 5" xfId="11516"/>
    <cellStyle name="Normal 2 2 2 11 2 5 2" xfId="29743"/>
    <cellStyle name="Normal 2 2 2 11 2 6" xfId="11517"/>
    <cellStyle name="Normal 2 2 2 11 3" xfId="11518"/>
    <cellStyle name="Normal 2 2 2 11 3 2" xfId="11519"/>
    <cellStyle name="Normal 2 2 2 11 3 2 2" xfId="29744"/>
    <cellStyle name="Normal 2 2 2 11 3 3" xfId="29745"/>
    <cellStyle name="Normal 2 2 2 11 4" xfId="11520"/>
    <cellStyle name="Normal 2 2 2 11 4 2" xfId="11521"/>
    <cellStyle name="Normal 2 2 2 11 4 2 2" xfId="29746"/>
    <cellStyle name="Normal 2 2 2 11 4 3" xfId="29747"/>
    <cellStyle name="Normal 2 2 2 11 5" xfId="11522"/>
    <cellStyle name="Normal 2 2 2 11 5 2" xfId="11523"/>
    <cellStyle name="Normal 2 2 2 11 5 2 2" xfId="29748"/>
    <cellStyle name="Normal 2 2 2 11 5 3" xfId="29749"/>
    <cellStyle name="Normal 2 2 2 11 6" xfId="11524"/>
    <cellStyle name="Normal 2 2 2 11 6 2" xfId="29750"/>
    <cellStyle name="Normal 2 2 2 11 7" xfId="11525"/>
    <cellStyle name="Normal 2 2 2 12" xfId="1806"/>
    <cellStyle name="Normal 2 2 2 12 2" xfId="11526"/>
    <cellStyle name="Normal 2 2 2 12 2 2" xfId="11527"/>
    <cellStyle name="Normal 2 2 2 12 2 2 2" xfId="29751"/>
    <cellStyle name="Normal 2 2 2 12 2 3" xfId="29752"/>
    <cellStyle name="Normal 2 2 2 12 3" xfId="11528"/>
    <cellStyle name="Normal 2 2 2 12 3 2" xfId="11529"/>
    <cellStyle name="Normal 2 2 2 12 3 2 2" xfId="29753"/>
    <cellStyle name="Normal 2 2 2 12 3 3" xfId="29754"/>
    <cellStyle name="Normal 2 2 2 12 4" xfId="11530"/>
    <cellStyle name="Normal 2 2 2 12 4 2" xfId="11531"/>
    <cellStyle name="Normal 2 2 2 12 4 2 2" xfId="29755"/>
    <cellStyle name="Normal 2 2 2 12 4 3" xfId="29756"/>
    <cellStyle name="Normal 2 2 2 12 5" xfId="11532"/>
    <cellStyle name="Normal 2 2 2 12 5 2" xfId="29757"/>
    <cellStyle name="Normal 2 2 2 12 6" xfId="11533"/>
    <cellStyle name="Normal 2 2 2 13" xfId="11534"/>
    <cellStyle name="Normal 2 2 2 13 2" xfId="11535"/>
    <cellStyle name="Normal 2 2 2 13 2 2" xfId="29758"/>
    <cellStyle name="Normal 2 2 2 13 3" xfId="29759"/>
    <cellStyle name="Normal 2 2 2 14" xfId="11536"/>
    <cellStyle name="Normal 2 2 2 14 2" xfId="11537"/>
    <cellStyle name="Normal 2 2 2 14 2 2" xfId="29760"/>
    <cellStyle name="Normal 2 2 2 14 3" xfId="29761"/>
    <cellStyle name="Normal 2 2 2 15" xfId="11538"/>
    <cellStyle name="Normal 2 2 2 15 2" xfId="11539"/>
    <cellStyle name="Normal 2 2 2 15 2 2" xfId="29762"/>
    <cellStyle name="Normal 2 2 2 15 3" xfId="29763"/>
    <cellStyle name="Normal 2 2 2 16" xfId="11540"/>
    <cellStyle name="Normal 2 2 2 16 2" xfId="29764"/>
    <cellStyle name="Normal 2 2 2 17" xfId="11541"/>
    <cellStyle name="Normal 2 2 2 2" xfId="47"/>
    <cellStyle name="Normal 2 2 2 2 10" xfId="481"/>
    <cellStyle name="Normal 2 2 2 2 10 2" xfId="1807"/>
    <cellStyle name="Normal 2 2 2 2 10 2 2" xfId="11542"/>
    <cellStyle name="Normal 2 2 2 2 10 2 2 2" xfId="11543"/>
    <cellStyle name="Normal 2 2 2 2 10 2 2 2 2" xfId="29765"/>
    <cellStyle name="Normal 2 2 2 2 10 2 2 3" xfId="29766"/>
    <cellStyle name="Normal 2 2 2 2 10 2 3" xfId="11544"/>
    <cellStyle name="Normal 2 2 2 2 10 2 3 2" xfId="11545"/>
    <cellStyle name="Normal 2 2 2 2 10 2 3 2 2" xfId="29767"/>
    <cellStyle name="Normal 2 2 2 2 10 2 3 3" xfId="29768"/>
    <cellStyle name="Normal 2 2 2 2 10 2 4" xfId="11546"/>
    <cellStyle name="Normal 2 2 2 2 10 2 4 2" xfId="11547"/>
    <cellStyle name="Normal 2 2 2 2 10 2 4 2 2" xfId="29769"/>
    <cellStyle name="Normal 2 2 2 2 10 2 4 3" xfId="29770"/>
    <cellStyle name="Normal 2 2 2 2 10 2 5" xfId="11548"/>
    <cellStyle name="Normal 2 2 2 2 10 2 5 2" xfId="29771"/>
    <cellStyle name="Normal 2 2 2 2 10 2 6" xfId="11549"/>
    <cellStyle name="Normal 2 2 2 2 10 3" xfId="11550"/>
    <cellStyle name="Normal 2 2 2 2 10 3 2" xfId="11551"/>
    <cellStyle name="Normal 2 2 2 2 10 3 2 2" xfId="29772"/>
    <cellStyle name="Normal 2 2 2 2 10 3 3" xfId="29773"/>
    <cellStyle name="Normal 2 2 2 2 10 4" xfId="11552"/>
    <cellStyle name="Normal 2 2 2 2 10 4 2" xfId="11553"/>
    <cellStyle name="Normal 2 2 2 2 10 4 2 2" xfId="29774"/>
    <cellStyle name="Normal 2 2 2 2 10 4 3" xfId="29775"/>
    <cellStyle name="Normal 2 2 2 2 10 5" xfId="11554"/>
    <cellStyle name="Normal 2 2 2 2 10 5 2" xfId="11555"/>
    <cellStyle name="Normal 2 2 2 2 10 5 2 2" xfId="29776"/>
    <cellStyle name="Normal 2 2 2 2 10 5 3" xfId="29777"/>
    <cellStyle name="Normal 2 2 2 2 10 6" xfId="11556"/>
    <cellStyle name="Normal 2 2 2 2 10 6 2" xfId="29778"/>
    <cellStyle name="Normal 2 2 2 2 10 7" xfId="11557"/>
    <cellStyle name="Normal 2 2 2 2 11" xfId="1808"/>
    <cellStyle name="Normal 2 2 2 2 11 2" xfId="11558"/>
    <cellStyle name="Normal 2 2 2 2 11 2 2" xfId="11559"/>
    <cellStyle name="Normal 2 2 2 2 11 2 2 2" xfId="29779"/>
    <cellStyle name="Normal 2 2 2 2 11 2 3" xfId="29780"/>
    <cellStyle name="Normal 2 2 2 2 11 3" xfId="11560"/>
    <cellStyle name="Normal 2 2 2 2 11 3 2" xfId="11561"/>
    <cellStyle name="Normal 2 2 2 2 11 3 2 2" xfId="29781"/>
    <cellStyle name="Normal 2 2 2 2 11 3 3" xfId="29782"/>
    <cellStyle name="Normal 2 2 2 2 11 4" xfId="11562"/>
    <cellStyle name="Normal 2 2 2 2 11 4 2" xfId="11563"/>
    <cellStyle name="Normal 2 2 2 2 11 4 2 2" xfId="29783"/>
    <cellStyle name="Normal 2 2 2 2 11 4 3" xfId="29784"/>
    <cellStyle name="Normal 2 2 2 2 11 5" xfId="11564"/>
    <cellStyle name="Normal 2 2 2 2 11 5 2" xfId="29785"/>
    <cellStyle name="Normal 2 2 2 2 11 6" xfId="11565"/>
    <cellStyle name="Normal 2 2 2 2 12" xfId="11566"/>
    <cellStyle name="Normal 2 2 2 2 12 2" xfId="11567"/>
    <cellStyle name="Normal 2 2 2 2 12 2 2" xfId="29786"/>
    <cellStyle name="Normal 2 2 2 2 12 3" xfId="29787"/>
    <cellStyle name="Normal 2 2 2 2 13" xfId="11568"/>
    <cellStyle name="Normal 2 2 2 2 13 2" xfId="11569"/>
    <cellStyle name="Normal 2 2 2 2 13 2 2" xfId="29788"/>
    <cellStyle name="Normal 2 2 2 2 13 3" xfId="29789"/>
    <cellStyle name="Normal 2 2 2 2 14" xfId="11570"/>
    <cellStyle name="Normal 2 2 2 2 14 2" xfId="11571"/>
    <cellStyle name="Normal 2 2 2 2 14 2 2" xfId="29790"/>
    <cellStyle name="Normal 2 2 2 2 14 3" xfId="29791"/>
    <cellStyle name="Normal 2 2 2 2 15" xfId="11572"/>
    <cellStyle name="Normal 2 2 2 2 15 2" xfId="29792"/>
    <cellStyle name="Normal 2 2 2 2 16" xfId="11573"/>
    <cellStyle name="Normal 2 2 2 2 2" xfId="48"/>
    <cellStyle name="Normal 2 2 2 2 2 10" xfId="11574"/>
    <cellStyle name="Normal 2 2 2 2 2 10 2" xfId="11575"/>
    <cellStyle name="Normal 2 2 2 2 2 10 2 2" xfId="29793"/>
    <cellStyle name="Normal 2 2 2 2 2 10 3" xfId="29794"/>
    <cellStyle name="Normal 2 2 2 2 2 11" xfId="11576"/>
    <cellStyle name="Normal 2 2 2 2 2 11 2" xfId="11577"/>
    <cellStyle name="Normal 2 2 2 2 2 11 2 2" xfId="29795"/>
    <cellStyle name="Normal 2 2 2 2 2 11 3" xfId="29796"/>
    <cellStyle name="Normal 2 2 2 2 2 12" xfId="11578"/>
    <cellStyle name="Normal 2 2 2 2 2 12 2" xfId="11579"/>
    <cellStyle name="Normal 2 2 2 2 2 12 2 2" xfId="29797"/>
    <cellStyle name="Normal 2 2 2 2 2 12 3" xfId="29798"/>
    <cellStyle name="Normal 2 2 2 2 2 13" xfId="11580"/>
    <cellStyle name="Normal 2 2 2 2 2 13 2" xfId="29799"/>
    <cellStyle name="Normal 2 2 2 2 2 14" xfId="11581"/>
    <cellStyle name="Normal 2 2 2 2 2 2" xfId="218"/>
    <cellStyle name="Normal 2 2 2 2 2 2 10" xfId="11582"/>
    <cellStyle name="Normal 2 2 2 2 2 2 2" xfId="376"/>
    <cellStyle name="Normal 2 2 2 2 2 2 2 2" xfId="1164"/>
    <cellStyle name="Normal 2 2 2 2 2 2 2 2 2" xfId="1809"/>
    <cellStyle name="Normal 2 2 2 2 2 2 2 2 2 2" xfId="11583"/>
    <cellStyle name="Normal 2 2 2 2 2 2 2 2 2 2 2" xfId="11584"/>
    <cellStyle name="Normal 2 2 2 2 2 2 2 2 2 2 2 2" xfId="29800"/>
    <cellStyle name="Normal 2 2 2 2 2 2 2 2 2 2 3" xfId="29801"/>
    <cellStyle name="Normal 2 2 2 2 2 2 2 2 2 3" xfId="11585"/>
    <cellStyle name="Normal 2 2 2 2 2 2 2 2 2 3 2" xfId="11586"/>
    <cellStyle name="Normal 2 2 2 2 2 2 2 2 2 3 2 2" xfId="29802"/>
    <cellStyle name="Normal 2 2 2 2 2 2 2 2 2 3 3" xfId="29803"/>
    <cellStyle name="Normal 2 2 2 2 2 2 2 2 2 4" xfId="11587"/>
    <cellStyle name="Normal 2 2 2 2 2 2 2 2 2 4 2" xfId="11588"/>
    <cellStyle name="Normal 2 2 2 2 2 2 2 2 2 4 2 2" xfId="29804"/>
    <cellStyle name="Normal 2 2 2 2 2 2 2 2 2 4 3" xfId="29805"/>
    <cellStyle name="Normal 2 2 2 2 2 2 2 2 2 5" xfId="11589"/>
    <cellStyle name="Normal 2 2 2 2 2 2 2 2 2 5 2" xfId="29806"/>
    <cellStyle name="Normal 2 2 2 2 2 2 2 2 2 6" xfId="11590"/>
    <cellStyle name="Normal 2 2 2 2 2 2 2 2 3" xfId="11591"/>
    <cellStyle name="Normal 2 2 2 2 2 2 2 2 3 2" xfId="11592"/>
    <cellStyle name="Normal 2 2 2 2 2 2 2 2 3 2 2" xfId="29807"/>
    <cellStyle name="Normal 2 2 2 2 2 2 2 2 3 3" xfId="29808"/>
    <cellStyle name="Normal 2 2 2 2 2 2 2 2 4" xfId="11593"/>
    <cellStyle name="Normal 2 2 2 2 2 2 2 2 4 2" xfId="11594"/>
    <cellStyle name="Normal 2 2 2 2 2 2 2 2 4 2 2" xfId="29809"/>
    <cellStyle name="Normal 2 2 2 2 2 2 2 2 4 3" xfId="29810"/>
    <cellStyle name="Normal 2 2 2 2 2 2 2 2 5" xfId="11595"/>
    <cellStyle name="Normal 2 2 2 2 2 2 2 2 5 2" xfId="11596"/>
    <cellStyle name="Normal 2 2 2 2 2 2 2 2 5 2 2" xfId="29811"/>
    <cellStyle name="Normal 2 2 2 2 2 2 2 2 5 3" xfId="29812"/>
    <cellStyle name="Normal 2 2 2 2 2 2 2 2 6" xfId="11597"/>
    <cellStyle name="Normal 2 2 2 2 2 2 2 2 6 2" xfId="29813"/>
    <cellStyle name="Normal 2 2 2 2 2 2 2 2 7" xfId="11598"/>
    <cellStyle name="Normal 2 2 2 2 2 2 2 3" xfId="796"/>
    <cellStyle name="Normal 2 2 2 2 2 2 2 3 2" xfId="1810"/>
    <cellStyle name="Normal 2 2 2 2 2 2 2 3 2 2" xfId="11599"/>
    <cellStyle name="Normal 2 2 2 2 2 2 2 3 2 2 2" xfId="11600"/>
    <cellStyle name="Normal 2 2 2 2 2 2 2 3 2 2 2 2" xfId="29814"/>
    <cellStyle name="Normal 2 2 2 2 2 2 2 3 2 2 3" xfId="29815"/>
    <cellStyle name="Normal 2 2 2 2 2 2 2 3 2 3" xfId="11601"/>
    <cellStyle name="Normal 2 2 2 2 2 2 2 3 2 3 2" xfId="11602"/>
    <cellStyle name="Normal 2 2 2 2 2 2 2 3 2 3 2 2" xfId="29816"/>
    <cellStyle name="Normal 2 2 2 2 2 2 2 3 2 3 3" xfId="29817"/>
    <cellStyle name="Normal 2 2 2 2 2 2 2 3 2 4" xfId="11603"/>
    <cellStyle name="Normal 2 2 2 2 2 2 2 3 2 4 2" xfId="11604"/>
    <cellStyle name="Normal 2 2 2 2 2 2 2 3 2 4 2 2" xfId="29818"/>
    <cellStyle name="Normal 2 2 2 2 2 2 2 3 2 4 3" xfId="29819"/>
    <cellStyle name="Normal 2 2 2 2 2 2 2 3 2 5" xfId="11605"/>
    <cellStyle name="Normal 2 2 2 2 2 2 2 3 2 5 2" xfId="29820"/>
    <cellStyle name="Normal 2 2 2 2 2 2 2 3 2 6" xfId="11606"/>
    <cellStyle name="Normal 2 2 2 2 2 2 2 3 3" xfId="11607"/>
    <cellStyle name="Normal 2 2 2 2 2 2 2 3 3 2" xfId="11608"/>
    <cellStyle name="Normal 2 2 2 2 2 2 2 3 3 2 2" xfId="29821"/>
    <cellStyle name="Normal 2 2 2 2 2 2 2 3 3 3" xfId="29822"/>
    <cellStyle name="Normal 2 2 2 2 2 2 2 3 4" xfId="11609"/>
    <cellStyle name="Normal 2 2 2 2 2 2 2 3 4 2" xfId="11610"/>
    <cellStyle name="Normal 2 2 2 2 2 2 2 3 4 2 2" xfId="29823"/>
    <cellStyle name="Normal 2 2 2 2 2 2 2 3 4 3" xfId="29824"/>
    <cellStyle name="Normal 2 2 2 2 2 2 2 3 5" xfId="11611"/>
    <cellStyle name="Normal 2 2 2 2 2 2 2 3 5 2" xfId="11612"/>
    <cellStyle name="Normal 2 2 2 2 2 2 2 3 5 2 2" xfId="29825"/>
    <cellStyle name="Normal 2 2 2 2 2 2 2 3 5 3" xfId="29826"/>
    <cellStyle name="Normal 2 2 2 2 2 2 2 3 6" xfId="11613"/>
    <cellStyle name="Normal 2 2 2 2 2 2 2 3 6 2" xfId="29827"/>
    <cellStyle name="Normal 2 2 2 2 2 2 2 3 7" xfId="11614"/>
    <cellStyle name="Normal 2 2 2 2 2 2 2 4" xfId="1811"/>
    <cellStyle name="Normal 2 2 2 2 2 2 2 4 2" xfId="11615"/>
    <cellStyle name="Normal 2 2 2 2 2 2 2 4 2 2" xfId="11616"/>
    <cellStyle name="Normal 2 2 2 2 2 2 2 4 2 2 2" xfId="29828"/>
    <cellStyle name="Normal 2 2 2 2 2 2 2 4 2 3" xfId="29829"/>
    <cellStyle name="Normal 2 2 2 2 2 2 2 4 3" xfId="11617"/>
    <cellStyle name="Normal 2 2 2 2 2 2 2 4 3 2" xfId="11618"/>
    <cellStyle name="Normal 2 2 2 2 2 2 2 4 3 2 2" xfId="29830"/>
    <cellStyle name="Normal 2 2 2 2 2 2 2 4 3 3" xfId="29831"/>
    <cellStyle name="Normal 2 2 2 2 2 2 2 4 4" xfId="11619"/>
    <cellStyle name="Normal 2 2 2 2 2 2 2 4 4 2" xfId="11620"/>
    <cellStyle name="Normal 2 2 2 2 2 2 2 4 4 2 2" xfId="29832"/>
    <cellStyle name="Normal 2 2 2 2 2 2 2 4 4 3" xfId="29833"/>
    <cellStyle name="Normal 2 2 2 2 2 2 2 4 5" xfId="11621"/>
    <cellStyle name="Normal 2 2 2 2 2 2 2 4 5 2" xfId="29834"/>
    <cellStyle name="Normal 2 2 2 2 2 2 2 4 6" xfId="11622"/>
    <cellStyle name="Normal 2 2 2 2 2 2 2 5" xfId="11623"/>
    <cellStyle name="Normal 2 2 2 2 2 2 2 5 2" xfId="11624"/>
    <cellStyle name="Normal 2 2 2 2 2 2 2 5 2 2" xfId="29835"/>
    <cellStyle name="Normal 2 2 2 2 2 2 2 5 3" xfId="29836"/>
    <cellStyle name="Normal 2 2 2 2 2 2 2 6" xfId="11625"/>
    <cellStyle name="Normal 2 2 2 2 2 2 2 6 2" xfId="11626"/>
    <cellStyle name="Normal 2 2 2 2 2 2 2 6 2 2" xfId="29837"/>
    <cellStyle name="Normal 2 2 2 2 2 2 2 6 3" xfId="29838"/>
    <cellStyle name="Normal 2 2 2 2 2 2 2 7" xfId="11627"/>
    <cellStyle name="Normal 2 2 2 2 2 2 2 7 2" xfId="11628"/>
    <cellStyle name="Normal 2 2 2 2 2 2 2 7 2 2" xfId="29839"/>
    <cellStyle name="Normal 2 2 2 2 2 2 2 7 3" xfId="29840"/>
    <cellStyle name="Normal 2 2 2 2 2 2 2 8" xfId="11629"/>
    <cellStyle name="Normal 2 2 2 2 2 2 2 8 2" xfId="29841"/>
    <cellStyle name="Normal 2 2 2 2 2 2 2 9" xfId="11630"/>
    <cellStyle name="Normal 2 2 2 2 2 2 3" xfId="1006"/>
    <cellStyle name="Normal 2 2 2 2 2 2 3 2" xfId="1812"/>
    <cellStyle name="Normal 2 2 2 2 2 2 3 2 2" xfId="11631"/>
    <cellStyle name="Normal 2 2 2 2 2 2 3 2 2 2" xfId="11632"/>
    <cellStyle name="Normal 2 2 2 2 2 2 3 2 2 2 2" xfId="29842"/>
    <cellStyle name="Normal 2 2 2 2 2 2 3 2 2 3" xfId="29843"/>
    <cellStyle name="Normal 2 2 2 2 2 2 3 2 3" xfId="11633"/>
    <cellStyle name="Normal 2 2 2 2 2 2 3 2 3 2" xfId="11634"/>
    <cellStyle name="Normal 2 2 2 2 2 2 3 2 3 2 2" xfId="29844"/>
    <cellStyle name="Normal 2 2 2 2 2 2 3 2 3 3" xfId="29845"/>
    <cellStyle name="Normal 2 2 2 2 2 2 3 2 4" xfId="11635"/>
    <cellStyle name="Normal 2 2 2 2 2 2 3 2 4 2" xfId="11636"/>
    <cellStyle name="Normal 2 2 2 2 2 2 3 2 4 2 2" xfId="29846"/>
    <cellStyle name="Normal 2 2 2 2 2 2 3 2 4 3" xfId="29847"/>
    <cellStyle name="Normal 2 2 2 2 2 2 3 2 5" xfId="11637"/>
    <cellStyle name="Normal 2 2 2 2 2 2 3 2 5 2" xfId="29848"/>
    <cellStyle name="Normal 2 2 2 2 2 2 3 2 6" xfId="11638"/>
    <cellStyle name="Normal 2 2 2 2 2 2 3 3" xfId="11639"/>
    <cellStyle name="Normal 2 2 2 2 2 2 3 3 2" xfId="11640"/>
    <cellStyle name="Normal 2 2 2 2 2 2 3 3 2 2" xfId="29849"/>
    <cellStyle name="Normal 2 2 2 2 2 2 3 3 3" xfId="29850"/>
    <cellStyle name="Normal 2 2 2 2 2 2 3 4" xfId="11641"/>
    <cellStyle name="Normal 2 2 2 2 2 2 3 4 2" xfId="11642"/>
    <cellStyle name="Normal 2 2 2 2 2 2 3 4 2 2" xfId="29851"/>
    <cellStyle name="Normal 2 2 2 2 2 2 3 4 3" xfId="29852"/>
    <cellStyle name="Normal 2 2 2 2 2 2 3 5" xfId="11643"/>
    <cellStyle name="Normal 2 2 2 2 2 2 3 5 2" xfId="11644"/>
    <cellStyle name="Normal 2 2 2 2 2 2 3 5 2 2" xfId="29853"/>
    <cellStyle name="Normal 2 2 2 2 2 2 3 5 3" xfId="29854"/>
    <cellStyle name="Normal 2 2 2 2 2 2 3 6" xfId="11645"/>
    <cellStyle name="Normal 2 2 2 2 2 2 3 6 2" xfId="29855"/>
    <cellStyle name="Normal 2 2 2 2 2 2 3 7" xfId="11646"/>
    <cellStyle name="Normal 2 2 2 2 2 2 4" xfId="638"/>
    <cellStyle name="Normal 2 2 2 2 2 2 4 2" xfId="1813"/>
    <cellStyle name="Normal 2 2 2 2 2 2 4 2 2" xfId="11647"/>
    <cellStyle name="Normal 2 2 2 2 2 2 4 2 2 2" xfId="11648"/>
    <cellStyle name="Normal 2 2 2 2 2 2 4 2 2 2 2" xfId="29856"/>
    <cellStyle name="Normal 2 2 2 2 2 2 4 2 2 3" xfId="29857"/>
    <cellStyle name="Normal 2 2 2 2 2 2 4 2 3" xfId="11649"/>
    <cellStyle name="Normal 2 2 2 2 2 2 4 2 3 2" xfId="11650"/>
    <cellStyle name="Normal 2 2 2 2 2 2 4 2 3 2 2" xfId="29858"/>
    <cellStyle name="Normal 2 2 2 2 2 2 4 2 3 3" xfId="29859"/>
    <cellStyle name="Normal 2 2 2 2 2 2 4 2 4" xfId="11651"/>
    <cellStyle name="Normal 2 2 2 2 2 2 4 2 4 2" xfId="11652"/>
    <cellStyle name="Normal 2 2 2 2 2 2 4 2 4 2 2" xfId="29860"/>
    <cellStyle name="Normal 2 2 2 2 2 2 4 2 4 3" xfId="29861"/>
    <cellStyle name="Normal 2 2 2 2 2 2 4 2 5" xfId="11653"/>
    <cellStyle name="Normal 2 2 2 2 2 2 4 2 5 2" xfId="29862"/>
    <cellStyle name="Normal 2 2 2 2 2 2 4 2 6" xfId="11654"/>
    <cellStyle name="Normal 2 2 2 2 2 2 4 3" xfId="11655"/>
    <cellStyle name="Normal 2 2 2 2 2 2 4 3 2" xfId="11656"/>
    <cellStyle name="Normal 2 2 2 2 2 2 4 3 2 2" xfId="29863"/>
    <cellStyle name="Normal 2 2 2 2 2 2 4 3 3" xfId="29864"/>
    <cellStyle name="Normal 2 2 2 2 2 2 4 4" xfId="11657"/>
    <cellStyle name="Normal 2 2 2 2 2 2 4 4 2" xfId="11658"/>
    <cellStyle name="Normal 2 2 2 2 2 2 4 4 2 2" xfId="29865"/>
    <cellStyle name="Normal 2 2 2 2 2 2 4 4 3" xfId="29866"/>
    <cellStyle name="Normal 2 2 2 2 2 2 4 5" xfId="11659"/>
    <cellStyle name="Normal 2 2 2 2 2 2 4 5 2" xfId="11660"/>
    <cellStyle name="Normal 2 2 2 2 2 2 4 5 2 2" xfId="29867"/>
    <cellStyle name="Normal 2 2 2 2 2 2 4 5 3" xfId="29868"/>
    <cellStyle name="Normal 2 2 2 2 2 2 4 6" xfId="11661"/>
    <cellStyle name="Normal 2 2 2 2 2 2 4 6 2" xfId="29869"/>
    <cellStyle name="Normal 2 2 2 2 2 2 4 7" xfId="11662"/>
    <cellStyle name="Normal 2 2 2 2 2 2 5" xfId="1814"/>
    <cellStyle name="Normal 2 2 2 2 2 2 5 2" xfId="11663"/>
    <cellStyle name="Normal 2 2 2 2 2 2 5 2 2" xfId="11664"/>
    <cellStyle name="Normal 2 2 2 2 2 2 5 2 2 2" xfId="29870"/>
    <cellStyle name="Normal 2 2 2 2 2 2 5 2 3" xfId="29871"/>
    <cellStyle name="Normal 2 2 2 2 2 2 5 3" xfId="11665"/>
    <cellStyle name="Normal 2 2 2 2 2 2 5 3 2" xfId="11666"/>
    <cellStyle name="Normal 2 2 2 2 2 2 5 3 2 2" xfId="29872"/>
    <cellStyle name="Normal 2 2 2 2 2 2 5 3 3" xfId="29873"/>
    <cellStyle name="Normal 2 2 2 2 2 2 5 4" xfId="11667"/>
    <cellStyle name="Normal 2 2 2 2 2 2 5 4 2" xfId="11668"/>
    <cellStyle name="Normal 2 2 2 2 2 2 5 4 2 2" xfId="29874"/>
    <cellStyle name="Normal 2 2 2 2 2 2 5 4 3" xfId="29875"/>
    <cellStyle name="Normal 2 2 2 2 2 2 5 5" xfId="11669"/>
    <cellStyle name="Normal 2 2 2 2 2 2 5 5 2" xfId="29876"/>
    <cellStyle name="Normal 2 2 2 2 2 2 5 6" xfId="11670"/>
    <cellStyle name="Normal 2 2 2 2 2 2 6" xfId="11671"/>
    <cellStyle name="Normal 2 2 2 2 2 2 6 2" xfId="11672"/>
    <cellStyle name="Normal 2 2 2 2 2 2 6 2 2" xfId="29877"/>
    <cellStyle name="Normal 2 2 2 2 2 2 6 3" xfId="29878"/>
    <cellStyle name="Normal 2 2 2 2 2 2 7" xfId="11673"/>
    <cellStyle name="Normal 2 2 2 2 2 2 7 2" xfId="11674"/>
    <cellStyle name="Normal 2 2 2 2 2 2 7 2 2" xfId="29879"/>
    <cellStyle name="Normal 2 2 2 2 2 2 7 3" xfId="29880"/>
    <cellStyle name="Normal 2 2 2 2 2 2 8" xfId="11675"/>
    <cellStyle name="Normal 2 2 2 2 2 2 8 2" xfId="11676"/>
    <cellStyle name="Normal 2 2 2 2 2 2 8 2 2" xfId="29881"/>
    <cellStyle name="Normal 2 2 2 2 2 2 8 3" xfId="29882"/>
    <cellStyle name="Normal 2 2 2 2 2 2 9" xfId="11677"/>
    <cellStyle name="Normal 2 2 2 2 2 2 9 2" xfId="29883"/>
    <cellStyle name="Normal 2 2 2 2 2 3" xfId="269"/>
    <cellStyle name="Normal 2 2 2 2 2 3 10" xfId="11678"/>
    <cellStyle name="Normal 2 2 2 2 2 3 2" xfId="427"/>
    <cellStyle name="Normal 2 2 2 2 2 3 2 2" xfId="1215"/>
    <cellStyle name="Normal 2 2 2 2 2 3 2 2 2" xfId="1815"/>
    <cellStyle name="Normal 2 2 2 2 2 3 2 2 2 2" xfId="11679"/>
    <cellStyle name="Normal 2 2 2 2 2 3 2 2 2 2 2" xfId="11680"/>
    <cellStyle name="Normal 2 2 2 2 2 3 2 2 2 2 2 2" xfId="29884"/>
    <cellStyle name="Normal 2 2 2 2 2 3 2 2 2 2 3" xfId="29885"/>
    <cellStyle name="Normal 2 2 2 2 2 3 2 2 2 3" xfId="11681"/>
    <cellStyle name="Normal 2 2 2 2 2 3 2 2 2 3 2" xfId="11682"/>
    <cellStyle name="Normal 2 2 2 2 2 3 2 2 2 3 2 2" xfId="29886"/>
    <cellStyle name="Normal 2 2 2 2 2 3 2 2 2 3 3" xfId="29887"/>
    <cellStyle name="Normal 2 2 2 2 2 3 2 2 2 4" xfId="11683"/>
    <cellStyle name="Normal 2 2 2 2 2 3 2 2 2 4 2" xfId="11684"/>
    <cellStyle name="Normal 2 2 2 2 2 3 2 2 2 4 2 2" xfId="29888"/>
    <cellStyle name="Normal 2 2 2 2 2 3 2 2 2 4 3" xfId="29889"/>
    <cellStyle name="Normal 2 2 2 2 2 3 2 2 2 5" xfId="11685"/>
    <cellStyle name="Normal 2 2 2 2 2 3 2 2 2 5 2" xfId="29890"/>
    <cellStyle name="Normal 2 2 2 2 2 3 2 2 2 6" xfId="11686"/>
    <cellStyle name="Normal 2 2 2 2 2 3 2 2 3" xfId="11687"/>
    <cellStyle name="Normal 2 2 2 2 2 3 2 2 3 2" xfId="11688"/>
    <cellStyle name="Normal 2 2 2 2 2 3 2 2 3 2 2" xfId="29891"/>
    <cellStyle name="Normal 2 2 2 2 2 3 2 2 3 3" xfId="29892"/>
    <cellStyle name="Normal 2 2 2 2 2 3 2 2 4" xfId="11689"/>
    <cellStyle name="Normal 2 2 2 2 2 3 2 2 4 2" xfId="11690"/>
    <cellStyle name="Normal 2 2 2 2 2 3 2 2 4 2 2" xfId="29893"/>
    <cellStyle name="Normal 2 2 2 2 2 3 2 2 4 3" xfId="29894"/>
    <cellStyle name="Normal 2 2 2 2 2 3 2 2 5" xfId="11691"/>
    <cellStyle name="Normal 2 2 2 2 2 3 2 2 5 2" xfId="11692"/>
    <cellStyle name="Normal 2 2 2 2 2 3 2 2 5 2 2" xfId="29895"/>
    <cellStyle name="Normal 2 2 2 2 2 3 2 2 5 3" xfId="29896"/>
    <cellStyle name="Normal 2 2 2 2 2 3 2 2 6" xfId="11693"/>
    <cellStyle name="Normal 2 2 2 2 2 3 2 2 6 2" xfId="29897"/>
    <cellStyle name="Normal 2 2 2 2 2 3 2 2 7" xfId="11694"/>
    <cellStyle name="Normal 2 2 2 2 2 3 2 3" xfId="847"/>
    <cellStyle name="Normal 2 2 2 2 2 3 2 3 2" xfId="1816"/>
    <cellStyle name="Normal 2 2 2 2 2 3 2 3 2 2" xfId="11695"/>
    <cellStyle name="Normal 2 2 2 2 2 3 2 3 2 2 2" xfId="11696"/>
    <cellStyle name="Normal 2 2 2 2 2 3 2 3 2 2 2 2" xfId="29898"/>
    <cellStyle name="Normal 2 2 2 2 2 3 2 3 2 2 3" xfId="29899"/>
    <cellStyle name="Normal 2 2 2 2 2 3 2 3 2 3" xfId="11697"/>
    <cellStyle name="Normal 2 2 2 2 2 3 2 3 2 3 2" xfId="11698"/>
    <cellStyle name="Normal 2 2 2 2 2 3 2 3 2 3 2 2" xfId="29900"/>
    <cellStyle name="Normal 2 2 2 2 2 3 2 3 2 3 3" xfId="29901"/>
    <cellStyle name="Normal 2 2 2 2 2 3 2 3 2 4" xfId="11699"/>
    <cellStyle name="Normal 2 2 2 2 2 3 2 3 2 4 2" xfId="11700"/>
    <cellStyle name="Normal 2 2 2 2 2 3 2 3 2 4 2 2" xfId="29902"/>
    <cellStyle name="Normal 2 2 2 2 2 3 2 3 2 4 3" xfId="29903"/>
    <cellStyle name="Normal 2 2 2 2 2 3 2 3 2 5" xfId="11701"/>
    <cellStyle name="Normal 2 2 2 2 2 3 2 3 2 5 2" xfId="29904"/>
    <cellStyle name="Normal 2 2 2 2 2 3 2 3 2 6" xfId="11702"/>
    <cellStyle name="Normal 2 2 2 2 2 3 2 3 3" xfId="11703"/>
    <cellStyle name="Normal 2 2 2 2 2 3 2 3 3 2" xfId="11704"/>
    <cellStyle name="Normal 2 2 2 2 2 3 2 3 3 2 2" xfId="29905"/>
    <cellStyle name="Normal 2 2 2 2 2 3 2 3 3 3" xfId="29906"/>
    <cellStyle name="Normal 2 2 2 2 2 3 2 3 4" xfId="11705"/>
    <cellStyle name="Normal 2 2 2 2 2 3 2 3 4 2" xfId="11706"/>
    <cellStyle name="Normal 2 2 2 2 2 3 2 3 4 2 2" xfId="29907"/>
    <cellStyle name="Normal 2 2 2 2 2 3 2 3 4 3" xfId="29908"/>
    <cellStyle name="Normal 2 2 2 2 2 3 2 3 5" xfId="11707"/>
    <cellStyle name="Normal 2 2 2 2 2 3 2 3 5 2" xfId="11708"/>
    <cellStyle name="Normal 2 2 2 2 2 3 2 3 5 2 2" xfId="29909"/>
    <cellStyle name="Normal 2 2 2 2 2 3 2 3 5 3" xfId="29910"/>
    <cellStyle name="Normal 2 2 2 2 2 3 2 3 6" xfId="11709"/>
    <cellStyle name="Normal 2 2 2 2 2 3 2 3 6 2" xfId="29911"/>
    <cellStyle name="Normal 2 2 2 2 2 3 2 3 7" xfId="11710"/>
    <cellStyle name="Normal 2 2 2 2 2 3 2 4" xfId="1817"/>
    <cellStyle name="Normal 2 2 2 2 2 3 2 4 2" xfId="11711"/>
    <cellStyle name="Normal 2 2 2 2 2 3 2 4 2 2" xfId="11712"/>
    <cellStyle name="Normal 2 2 2 2 2 3 2 4 2 2 2" xfId="29912"/>
    <cellStyle name="Normal 2 2 2 2 2 3 2 4 2 3" xfId="29913"/>
    <cellStyle name="Normal 2 2 2 2 2 3 2 4 3" xfId="11713"/>
    <cellStyle name="Normal 2 2 2 2 2 3 2 4 3 2" xfId="11714"/>
    <cellStyle name="Normal 2 2 2 2 2 3 2 4 3 2 2" xfId="29914"/>
    <cellStyle name="Normal 2 2 2 2 2 3 2 4 3 3" xfId="29915"/>
    <cellStyle name="Normal 2 2 2 2 2 3 2 4 4" xfId="11715"/>
    <cellStyle name="Normal 2 2 2 2 2 3 2 4 4 2" xfId="11716"/>
    <cellStyle name="Normal 2 2 2 2 2 3 2 4 4 2 2" xfId="29916"/>
    <cellStyle name="Normal 2 2 2 2 2 3 2 4 4 3" xfId="29917"/>
    <cellStyle name="Normal 2 2 2 2 2 3 2 4 5" xfId="11717"/>
    <cellStyle name="Normal 2 2 2 2 2 3 2 4 5 2" xfId="29918"/>
    <cellStyle name="Normal 2 2 2 2 2 3 2 4 6" xfId="11718"/>
    <cellStyle name="Normal 2 2 2 2 2 3 2 5" xfId="11719"/>
    <cellStyle name="Normal 2 2 2 2 2 3 2 5 2" xfId="11720"/>
    <cellStyle name="Normal 2 2 2 2 2 3 2 5 2 2" xfId="29919"/>
    <cellStyle name="Normal 2 2 2 2 2 3 2 5 3" xfId="29920"/>
    <cellStyle name="Normal 2 2 2 2 2 3 2 6" xfId="11721"/>
    <cellStyle name="Normal 2 2 2 2 2 3 2 6 2" xfId="11722"/>
    <cellStyle name="Normal 2 2 2 2 2 3 2 6 2 2" xfId="29921"/>
    <cellStyle name="Normal 2 2 2 2 2 3 2 6 3" xfId="29922"/>
    <cellStyle name="Normal 2 2 2 2 2 3 2 7" xfId="11723"/>
    <cellStyle name="Normal 2 2 2 2 2 3 2 7 2" xfId="11724"/>
    <cellStyle name="Normal 2 2 2 2 2 3 2 7 2 2" xfId="29923"/>
    <cellStyle name="Normal 2 2 2 2 2 3 2 7 3" xfId="29924"/>
    <cellStyle name="Normal 2 2 2 2 2 3 2 8" xfId="11725"/>
    <cellStyle name="Normal 2 2 2 2 2 3 2 8 2" xfId="29925"/>
    <cellStyle name="Normal 2 2 2 2 2 3 2 9" xfId="11726"/>
    <cellStyle name="Normal 2 2 2 2 2 3 3" xfId="1057"/>
    <cellStyle name="Normal 2 2 2 2 2 3 3 2" xfId="1818"/>
    <cellStyle name="Normal 2 2 2 2 2 3 3 2 2" xfId="11727"/>
    <cellStyle name="Normal 2 2 2 2 2 3 3 2 2 2" xfId="11728"/>
    <cellStyle name="Normal 2 2 2 2 2 3 3 2 2 2 2" xfId="29926"/>
    <cellStyle name="Normal 2 2 2 2 2 3 3 2 2 3" xfId="29927"/>
    <cellStyle name="Normal 2 2 2 2 2 3 3 2 3" xfId="11729"/>
    <cellStyle name="Normal 2 2 2 2 2 3 3 2 3 2" xfId="11730"/>
    <cellStyle name="Normal 2 2 2 2 2 3 3 2 3 2 2" xfId="29928"/>
    <cellStyle name="Normal 2 2 2 2 2 3 3 2 3 3" xfId="29929"/>
    <cellStyle name="Normal 2 2 2 2 2 3 3 2 4" xfId="11731"/>
    <cellStyle name="Normal 2 2 2 2 2 3 3 2 4 2" xfId="11732"/>
    <cellStyle name="Normal 2 2 2 2 2 3 3 2 4 2 2" xfId="29930"/>
    <cellStyle name="Normal 2 2 2 2 2 3 3 2 4 3" xfId="29931"/>
    <cellStyle name="Normal 2 2 2 2 2 3 3 2 5" xfId="11733"/>
    <cellStyle name="Normal 2 2 2 2 2 3 3 2 5 2" xfId="29932"/>
    <cellStyle name="Normal 2 2 2 2 2 3 3 2 6" xfId="11734"/>
    <cellStyle name="Normal 2 2 2 2 2 3 3 3" xfId="11735"/>
    <cellStyle name="Normal 2 2 2 2 2 3 3 3 2" xfId="11736"/>
    <cellStyle name="Normal 2 2 2 2 2 3 3 3 2 2" xfId="29933"/>
    <cellStyle name="Normal 2 2 2 2 2 3 3 3 3" xfId="29934"/>
    <cellStyle name="Normal 2 2 2 2 2 3 3 4" xfId="11737"/>
    <cellStyle name="Normal 2 2 2 2 2 3 3 4 2" xfId="11738"/>
    <cellStyle name="Normal 2 2 2 2 2 3 3 4 2 2" xfId="29935"/>
    <cellStyle name="Normal 2 2 2 2 2 3 3 4 3" xfId="29936"/>
    <cellStyle name="Normal 2 2 2 2 2 3 3 5" xfId="11739"/>
    <cellStyle name="Normal 2 2 2 2 2 3 3 5 2" xfId="11740"/>
    <cellStyle name="Normal 2 2 2 2 2 3 3 5 2 2" xfId="29937"/>
    <cellStyle name="Normal 2 2 2 2 2 3 3 5 3" xfId="29938"/>
    <cellStyle name="Normal 2 2 2 2 2 3 3 6" xfId="11741"/>
    <cellStyle name="Normal 2 2 2 2 2 3 3 6 2" xfId="29939"/>
    <cellStyle name="Normal 2 2 2 2 2 3 3 7" xfId="11742"/>
    <cellStyle name="Normal 2 2 2 2 2 3 4" xfId="689"/>
    <cellStyle name="Normal 2 2 2 2 2 3 4 2" xfId="1819"/>
    <cellStyle name="Normal 2 2 2 2 2 3 4 2 2" xfId="11743"/>
    <cellStyle name="Normal 2 2 2 2 2 3 4 2 2 2" xfId="11744"/>
    <cellStyle name="Normal 2 2 2 2 2 3 4 2 2 2 2" xfId="29940"/>
    <cellStyle name="Normal 2 2 2 2 2 3 4 2 2 3" xfId="29941"/>
    <cellStyle name="Normal 2 2 2 2 2 3 4 2 3" xfId="11745"/>
    <cellStyle name="Normal 2 2 2 2 2 3 4 2 3 2" xfId="11746"/>
    <cellStyle name="Normal 2 2 2 2 2 3 4 2 3 2 2" xfId="29942"/>
    <cellStyle name="Normal 2 2 2 2 2 3 4 2 3 3" xfId="29943"/>
    <cellStyle name="Normal 2 2 2 2 2 3 4 2 4" xfId="11747"/>
    <cellStyle name="Normal 2 2 2 2 2 3 4 2 4 2" xfId="11748"/>
    <cellStyle name="Normal 2 2 2 2 2 3 4 2 4 2 2" xfId="29944"/>
    <cellStyle name="Normal 2 2 2 2 2 3 4 2 4 3" xfId="29945"/>
    <cellStyle name="Normal 2 2 2 2 2 3 4 2 5" xfId="11749"/>
    <cellStyle name="Normal 2 2 2 2 2 3 4 2 5 2" xfId="29946"/>
    <cellStyle name="Normal 2 2 2 2 2 3 4 2 6" xfId="11750"/>
    <cellStyle name="Normal 2 2 2 2 2 3 4 3" xfId="11751"/>
    <cellStyle name="Normal 2 2 2 2 2 3 4 3 2" xfId="11752"/>
    <cellStyle name="Normal 2 2 2 2 2 3 4 3 2 2" xfId="29947"/>
    <cellStyle name="Normal 2 2 2 2 2 3 4 3 3" xfId="29948"/>
    <cellStyle name="Normal 2 2 2 2 2 3 4 4" xfId="11753"/>
    <cellStyle name="Normal 2 2 2 2 2 3 4 4 2" xfId="11754"/>
    <cellStyle name="Normal 2 2 2 2 2 3 4 4 2 2" xfId="29949"/>
    <cellStyle name="Normal 2 2 2 2 2 3 4 4 3" xfId="29950"/>
    <cellStyle name="Normal 2 2 2 2 2 3 4 5" xfId="11755"/>
    <cellStyle name="Normal 2 2 2 2 2 3 4 5 2" xfId="11756"/>
    <cellStyle name="Normal 2 2 2 2 2 3 4 5 2 2" xfId="29951"/>
    <cellStyle name="Normal 2 2 2 2 2 3 4 5 3" xfId="29952"/>
    <cellStyle name="Normal 2 2 2 2 2 3 4 6" xfId="11757"/>
    <cellStyle name="Normal 2 2 2 2 2 3 4 6 2" xfId="29953"/>
    <cellStyle name="Normal 2 2 2 2 2 3 4 7" xfId="11758"/>
    <cellStyle name="Normal 2 2 2 2 2 3 5" xfId="1820"/>
    <cellStyle name="Normal 2 2 2 2 2 3 5 2" xfId="11759"/>
    <cellStyle name="Normal 2 2 2 2 2 3 5 2 2" xfId="11760"/>
    <cellStyle name="Normal 2 2 2 2 2 3 5 2 2 2" xfId="29954"/>
    <cellStyle name="Normal 2 2 2 2 2 3 5 2 3" xfId="29955"/>
    <cellStyle name="Normal 2 2 2 2 2 3 5 3" xfId="11761"/>
    <cellStyle name="Normal 2 2 2 2 2 3 5 3 2" xfId="11762"/>
    <cellStyle name="Normal 2 2 2 2 2 3 5 3 2 2" xfId="29956"/>
    <cellStyle name="Normal 2 2 2 2 2 3 5 3 3" xfId="29957"/>
    <cellStyle name="Normal 2 2 2 2 2 3 5 4" xfId="11763"/>
    <cellStyle name="Normal 2 2 2 2 2 3 5 4 2" xfId="11764"/>
    <cellStyle name="Normal 2 2 2 2 2 3 5 4 2 2" xfId="29958"/>
    <cellStyle name="Normal 2 2 2 2 2 3 5 4 3" xfId="29959"/>
    <cellStyle name="Normal 2 2 2 2 2 3 5 5" xfId="11765"/>
    <cellStyle name="Normal 2 2 2 2 2 3 5 5 2" xfId="29960"/>
    <cellStyle name="Normal 2 2 2 2 2 3 5 6" xfId="11766"/>
    <cellStyle name="Normal 2 2 2 2 2 3 6" xfId="11767"/>
    <cellStyle name="Normal 2 2 2 2 2 3 6 2" xfId="11768"/>
    <cellStyle name="Normal 2 2 2 2 2 3 6 2 2" xfId="29961"/>
    <cellStyle name="Normal 2 2 2 2 2 3 6 3" xfId="29962"/>
    <cellStyle name="Normal 2 2 2 2 2 3 7" xfId="11769"/>
    <cellStyle name="Normal 2 2 2 2 2 3 7 2" xfId="11770"/>
    <cellStyle name="Normal 2 2 2 2 2 3 7 2 2" xfId="29963"/>
    <cellStyle name="Normal 2 2 2 2 2 3 7 3" xfId="29964"/>
    <cellStyle name="Normal 2 2 2 2 2 3 8" xfId="11771"/>
    <cellStyle name="Normal 2 2 2 2 2 3 8 2" xfId="11772"/>
    <cellStyle name="Normal 2 2 2 2 2 3 8 2 2" xfId="29965"/>
    <cellStyle name="Normal 2 2 2 2 2 3 8 3" xfId="29966"/>
    <cellStyle name="Normal 2 2 2 2 2 3 9" xfId="11773"/>
    <cellStyle name="Normal 2 2 2 2 2 3 9 2" xfId="29967"/>
    <cellStyle name="Normal 2 2 2 2 2 4" xfId="184"/>
    <cellStyle name="Normal 2 2 2 2 2 4 2" xfId="972"/>
    <cellStyle name="Normal 2 2 2 2 2 4 2 2" xfId="1821"/>
    <cellStyle name="Normal 2 2 2 2 2 4 2 2 2" xfId="11774"/>
    <cellStyle name="Normal 2 2 2 2 2 4 2 2 2 2" xfId="11775"/>
    <cellStyle name="Normal 2 2 2 2 2 4 2 2 2 2 2" xfId="29968"/>
    <cellStyle name="Normal 2 2 2 2 2 4 2 2 2 3" xfId="29969"/>
    <cellStyle name="Normal 2 2 2 2 2 4 2 2 3" xfId="11776"/>
    <cellStyle name="Normal 2 2 2 2 2 4 2 2 3 2" xfId="11777"/>
    <cellStyle name="Normal 2 2 2 2 2 4 2 2 3 2 2" xfId="29970"/>
    <cellStyle name="Normal 2 2 2 2 2 4 2 2 3 3" xfId="29971"/>
    <cellStyle name="Normal 2 2 2 2 2 4 2 2 4" xfId="11778"/>
    <cellStyle name="Normal 2 2 2 2 2 4 2 2 4 2" xfId="11779"/>
    <cellStyle name="Normal 2 2 2 2 2 4 2 2 4 2 2" xfId="29972"/>
    <cellStyle name="Normal 2 2 2 2 2 4 2 2 4 3" xfId="29973"/>
    <cellStyle name="Normal 2 2 2 2 2 4 2 2 5" xfId="11780"/>
    <cellStyle name="Normal 2 2 2 2 2 4 2 2 5 2" xfId="29974"/>
    <cellStyle name="Normal 2 2 2 2 2 4 2 2 6" xfId="11781"/>
    <cellStyle name="Normal 2 2 2 2 2 4 2 3" xfId="11782"/>
    <cellStyle name="Normal 2 2 2 2 2 4 2 3 2" xfId="11783"/>
    <cellStyle name="Normal 2 2 2 2 2 4 2 3 2 2" xfId="29975"/>
    <cellStyle name="Normal 2 2 2 2 2 4 2 3 3" xfId="29976"/>
    <cellStyle name="Normal 2 2 2 2 2 4 2 4" xfId="11784"/>
    <cellStyle name="Normal 2 2 2 2 2 4 2 4 2" xfId="11785"/>
    <cellStyle name="Normal 2 2 2 2 2 4 2 4 2 2" xfId="29977"/>
    <cellStyle name="Normal 2 2 2 2 2 4 2 4 3" xfId="29978"/>
    <cellStyle name="Normal 2 2 2 2 2 4 2 5" xfId="11786"/>
    <cellStyle name="Normal 2 2 2 2 2 4 2 5 2" xfId="11787"/>
    <cellStyle name="Normal 2 2 2 2 2 4 2 5 2 2" xfId="29979"/>
    <cellStyle name="Normal 2 2 2 2 2 4 2 5 3" xfId="29980"/>
    <cellStyle name="Normal 2 2 2 2 2 4 2 6" xfId="11788"/>
    <cellStyle name="Normal 2 2 2 2 2 4 2 6 2" xfId="29981"/>
    <cellStyle name="Normal 2 2 2 2 2 4 2 7" xfId="11789"/>
    <cellStyle name="Normal 2 2 2 2 2 4 3" xfId="604"/>
    <cellStyle name="Normal 2 2 2 2 2 4 3 2" xfId="1822"/>
    <cellStyle name="Normal 2 2 2 2 2 4 3 2 2" xfId="11790"/>
    <cellStyle name="Normal 2 2 2 2 2 4 3 2 2 2" xfId="11791"/>
    <cellStyle name="Normal 2 2 2 2 2 4 3 2 2 2 2" xfId="29982"/>
    <cellStyle name="Normal 2 2 2 2 2 4 3 2 2 3" xfId="29983"/>
    <cellStyle name="Normal 2 2 2 2 2 4 3 2 3" xfId="11792"/>
    <cellStyle name="Normal 2 2 2 2 2 4 3 2 3 2" xfId="11793"/>
    <cellStyle name="Normal 2 2 2 2 2 4 3 2 3 2 2" xfId="29984"/>
    <cellStyle name="Normal 2 2 2 2 2 4 3 2 3 3" xfId="29985"/>
    <cellStyle name="Normal 2 2 2 2 2 4 3 2 4" xfId="11794"/>
    <cellStyle name="Normal 2 2 2 2 2 4 3 2 4 2" xfId="11795"/>
    <cellStyle name="Normal 2 2 2 2 2 4 3 2 4 2 2" xfId="29986"/>
    <cellStyle name="Normal 2 2 2 2 2 4 3 2 4 3" xfId="29987"/>
    <cellStyle name="Normal 2 2 2 2 2 4 3 2 5" xfId="11796"/>
    <cellStyle name="Normal 2 2 2 2 2 4 3 2 5 2" xfId="29988"/>
    <cellStyle name="Normal 2 2 2 2 2 4 3 2 6" xfId="11797"/>
    <cellStyle name="Normal 2 2 2 2 2 4 3 3" xfId="11798"/>
    <cellStyle name="Normal 2 2 2 2 2 4 3 3 2" xfId="11799"/>
    <cellStyle name="Normal 2 2 2 2 2 4 3 3 2 2" xfId="29989"/>
    <cellStyle name="Normal 2 2 2 2 2 4 3 3 3" xfId="29990"/>
    <cellStyle name="Normal 2 2 2 2 2 4 3 4" xfId="11800"/>
    <cellStyle name="Normal 2 2 2 2 2 4 3 4 2" xfId="11801"/>
    <cellStyle name="Normal 2 2 2 2 2 4 3 4 2 2" xfId="29991"/>
    <cellStyle name="Normal 2 2 2 2 2 4 3 4 3" xfId="29992"/>
    <cellStyle name="Normal 2 2 2 2 2 4 3 5" xfId="11802"/>
    <cellStyle name="Normal 2 2 2 2 2 4 3 5 2" xfId="11803"/>
    <cellStyle name="Normal 2 2 2 2 2 4 3 5 2 2" xfId="29993"/>
    <cellStyle name="Normal 2 2 2 2 2 4 3 5 3" xfId="29994"/>
    <cellStyle name="Normal 2 2 2 2 2 4 3 6" xfId="11804"/>
    <cellStyle name="Normal 2 2 2 2 2 4 3 6 2" xfId="29995"/>
    <cellStyle name="Normal 2 2 2 2 2 4 3 7" xfId="11805"/>
    <cellStyle name="Normal 2 2 2 2 2 4 4" xfId="1823"/>
    <cellStyle name="Normal 2 2 2 2 2 4 4 2" xfId="11806"/>
    <cellStyle name="Normal 2 2 2 2 2 4 4 2 2" xfId="11807"/>
    <cellStyle name="Normal 2 2 2 2 2 4 4 2 2 2" xfId="29996"/>
    <cellStyle name="Normal 2 2 2 2 2 4 4 2 3" xfId="29997"/>
    <cellStyle name="Normal 2 2 2 2 2 4 4 3" xfId="11808"/>
    <cellStyle name="Normal 2 2 2 2 2 4 4 3 2" xfId="11809"/>
    <cellStyle name="Normal 2 2 2 2 2 4 4 3 2 2" xfId="29998"/>
    <cellStyle name="Normal 2 2 2 2 2 4 4 3 3" xfId="29999"/>
    <cellStyle name="Normal 2 2 2 2 2 4 4 4" xfId="11810"/>
    <cellStyle name="Normal 2 2 2 2 2 4 4 4 2" xfId="11811"/>
    <cellStyle name="Normal 2 2 2 2 2 4 4 4 2 2" xfId="30000"/>
    <cellStyle name="Normal 2 2 2 2 2 4 4 4 3" xfId="30001"/>
    <cellStyle name="Normal 2 2 2 2 2 4 4 5" xfId="11812"/>
    <cellStyle name="Normal 2 2 2 2 2 4 4 5 2" xfId="30002"/>
    <cellStyle name="Normal 2 2 2 2 2 4 4 6" xfId="11813"/>
    <cellStyle name="Normal 2 2 2 2 2 4 5" xfId="11814"/>
    <cellStyle name="Normal 2 2 2 2 2 4 5 2" xfId="11815"/>
    <cellStyle name="Normal 2 2 2 2 2 4 5 2 2" xfId="30003"/>
    <cellStyle name="Normal 2 2 2 2 2 4 5 3" xfId="30004"/>
    <cellStyle name="Normal 2 2 2 2 2 4 6" xfId="11816"/>
    <cellStyle name="Normal 2 2 2 2 2 4 6 2" xfId="11817"/>
    <cellStyle name="Normal 2 2 2 2 2 4 6 2 2" xfId="30005"/>
    <cellStyle name="Normal 2 2 2 2 2 4 6 3" xfId="30006"/>
    <cellStyle name="Normal 2 2 2 2 2 4 7" xfId="11818"/>
    <cellStyle name="Normal 2 2 2 2 2 4 7 2" xfId="11819"/>
    <cellStyle name="Normal 2 2 2 2 2 4 7 2 2" xfId="30007"/>
    <cellStyle name="Normal 2 2 2 2 2 4 7 3" xfId="30008"/>
    <cellStyle name="Normal 2 2 2 2 2 4 8" xfId="11820"/>
    <cellStyle name="Normal 2 2 2 2 2 4 8 2" xfId="30009"/>
    <cellStyle name="Normal 2 2 2 2 2 4 9" xfId="11821"/>
    <cellStyle name="Normal 2 2 2 2 2 5" xfId="342"/>
    <cellStyle name="Normal 2 2 2 2 2 5 2" xfId="1130"/>
    <cellStyle name="Normal 2 2 2 2 2 5 2 2" xfId="1824"/>
    <cellStyle name="Normal 2 2 2 2 2 5 2 2 2" xfId="11822"/>
    <cellStyle name="Normal 2 2 2 2 2 5 2 2 2 2" xfId="11823"/>
    <cellStyle name="Normal 2 2 2 2 2 5 2 2 2 2 2" xfId="30010"/>
    <cellStyle name="Normal 2 2 2 2 2 5 2 2 2 3" xfId="30011"/>
    <cellStyle name="Normal 2 2 2 2 2 5 2 2 3" xfId="11824"/>
    <cellStyle name="Normal 2 2 2 2 2 5 2 2 3 2" xfId="11825"/>
    <cellStyle name="Normal 2 2 2 2 2 5 2 2 3 2 2" xfId="30012"/>
    <cellStyle name="Normal 2 2 2 2 2 5 2 2 3 3" xfId="30013"/>
    <cellStyle name="Normal 2 2 2 2 2 5 2 2 4" xfId="11826"/>
    <cellStyle name="Normal 2 2 2 2 2 5 2 2 4 2" xfId="11827"/>
    <cellStyle name="Normal 2 2 2 2 2 5 2 2 4 2 2" xfId="30014"/>
    <cellStyle name="Normal 2 2 2 2 2 5 2 2 4 3" xfId="30015"/>
    <cellStyle name="Normal 2 2 2 2 2 5 2 2 5" xfId="11828"/>
    <cellStyle name="Normal 2 2 2 2 2 5 2 2 5 2" xfId="30016"/>
    <cellStyle name="Normal 2 2 2 2 2 5 2 2 6" xfId="11829"/>
    <cellStyle name="Normal 2 2 2 2 2 5 2 3" xfId="11830"/>
    <cellStyle name="Normal 2 2 2 2 2 5 2 3 2" xfId="11831"/>
    <cellStyle name="Normal 2 2 2 2 2 5 2 3 2 2" xfId="30017"/>
    <cellStyle name="Normal 2 2 2 2 2 5 2 3 3" xfId="30018"/>
    <cellStyle name="Normal 2 2 2 2 2 5 2 4" xfId="11832"/>
    <cellStyle name="Normal 2 2 2 2 2 5 2 4 2" xfId="11833"/>
    <cellStyle name="Normal 2 2 2 2 2 5 2 4 2 2" xfId="30019"/>
    <cellStyle name="Normal 2 2 2 2 2 5 2 4 3" xfId="30020"/>
    <cellStyle name="Normal 2 2 2 2 2 5 2 5" xfId="11834"/>
    <cellStyle name="Normal 2 2 2 2 2 5 2 5 2" xfId="11835"/>
    <cellStyle name="Normal 2 2 2 2 2 5 2 5 2 2" xfId="30021"/>
    <cellStyle name="Normal 2 2 2 2 2 5 2 5 3" xfId="30022"/>
    <cellStyle name="Normal 2 2 2 2 2 5 2 6" xfId="11836"/>
    <cellStyle name="Normal 2 2 2 2 2 5 2 6 2" xfId="30023"/>
    <cellStyle name="Normal 2 2 2 2 2 5 2 7" xfId="11837"/>
    <cellStyle name="Normal 2 2 2 2 2 5 3" xfId="762"/>
    <cellStyle name="Normal 2 2 2 2 2 5 3 2" xfId="1825"/>
    <cellStyle name="Normal 2 2 2 2 2 5 3 2 2" xfId="11838"/>
    <cellStyle name="Normal 2 2 2 2 2 5 3 2 2 2" xfId="11839"/>
    <cellStyle name="Normal 2 2 2 2 2 5 3 2 2 2 2" xfId="30024"/>
    <cellStyle name="Normal 2 2 2 2 2 5 3 2 2 3" xfId="30025"/>
    <cellStyle name="Normal 2 2 2 2 2 5 3 2 3" xfId="11840"/>
    <cellStyle name="Normal 2 2 2 2 2 5 3 2 3 2" xfId="11841"/>
    <cellStyle name="Normal 2 2 2 2 2 5 3 2 3 2 2" xfId="30026"/>
    <cellStyle name="Normal 2 2 2 2 2 5 3 2 3 3" xfId="30027"/>
    <cellStyle name="Normal 2 2 2 2 2 5 3 2 4" xfId="11842"/>
    <cellStyle name="Normal 2 2 2 2 2 5 3 2 4 2" xfId="11843"/>
    <cellStyle name="Normal 2 2 2 2 2 5 3 2 4 2 2" xfId="30028"/>
    <cellStyle name="Normal 2 2 2 2 2 5 3 2 4 3" xfId="30029"/>
    <cellStyle name="Normal 2 2 2 2 2 5 3 2 5" xfId="11844"/>
    <cellStyle name="Normal 2 2 2 2 2 5 3 2 5 2" xfId="30030"/>
    <cellStyle name="Normal 2 2 2 2 2 5 3 2 6" xfId="11845"/>
    <cellStyle name="Normal 2 2 2 2 2 5 3 3" xfId="11846"/>
    <cellStyle name="Normal 2 2 2 2 2 5 3 3 2" xfId="11847"/>
    <cellStyle name="Normal 2 2 2 2 2 5 3 3 2 2" xfId="30031"/>
    <cellStyle name="Normal 2 2 2 2 2 5 3 3 3" xfId="30032"/>
    <cellStyle name="Normal 2 2 2 2 2 5 3 4" xfId="11848"/>
    <cellStyle name="Normal 2 2 2 2 2 5 3 4 2" xfId="11849"/>
    <cellStyle name="Normal 2 2 2 2 2 5 3 4 2 2" xfId="30033"/>
    <cellStyle name="Normal 2 2 2 2 2 5 3 4 3" xfId="30034"/>
    <cellStyle name="Normal 2 2 2 2 2 5 3 5" xfId="11850"/>
    <cellStyle name="Normal 2 2 2 2 2 5 3 5 2" xfId="11851"/>
    <cellStyle name="Normal 2 2 2 2 2 5 3 5 2 2" xfId="30035"/>
    <cellStyle name="Normal 2 2 2 2 2 5 3 5 3" xfId="30036"/>
    <cellStyle name="Normal 2 2 2 2 2 5 3 6" xfId="11852"/>
    <cellStyle name="Normal 2 2 2 2 2 5 3 6 2" xfId="30037"/>
    <cellStyle name="Normal 2 2 2 2 2 5 3 7" xfId="11853"/>
    <cellStyle name="Normal 2 2 2 2 2 5 4" xfId="1826"/>
    <cellStyle name="Normal 2 2 2 2 2 5 4 2" xfId="11854"/>
    <cellStyle name="Normal 2 2 2 2 2 5 4 2 2" xfId="11855"/>
    <cellStyle name="Normal 2 2 2 2 2 5 4 2 2 2" xfId="30038"/>
    <cellStyle name="Normal 2 2 2 2 2 5 4 2 3" xfId="30039"/>
    <cellStyle name="Normal 2 2 2 2 2 5 4 3" xfId="11856"/>
    <cellStyle name="Normal 2 2 2 2 2 5 4 3 2" xfId="11857"/>
    <cellStyle name="Normal 2 2 2 2 2 5 4 3 2 2" xfId="30040"/>
    <cellStyle name="Normal 2 2 2 2 2 5 4 3 3" xfId="30041"/>
    <cellStyle name="Normal 2 2 2 2 2 5 4 4" xfId="11858"/>
    <cellStyle name="Normal 2 2 2 2 2 5 4 4 2" xfId="11859"/>
    <cellStyle name="Normal 2 2 2 2 2 5 4 4 2 2" xfId="30042"/>
    <cellStyle name="Normal 2 2 2 2 2 5 4 4 3" xfId="30043"/>
    <cellStyle name="Normal 2 2 2 2 2 5 4 5" xfId="11860"/>
    <cellStyle name="Normal 2 2 2 2 2 5 4 5 2" xfId="30044"/>
    <cellStyle name="Normal 2 2 2 2 2 5 4 6" xfId="11861"/>
    <cellStyle name="Normal 2 2 2 2 2 5 5" xfId="11862"/>
    <cellStyle name="Normal 2 2 2 2 2 5 5 2" xfId="11863"/>
    <cellStyle name="Normal 2 2 2 2 2 5 5 2 2" xfId="30045"/>
    <cellStyle name="Normal 2 2 2 2 2 5 5 3" xfId="30046"/>
    <cellStyle name="Normal 2 2 2 2 2 5 6" xfId="11864"/>
    <cellStyle name="Normal 2 2 2 2 2 5 6 2" xfId="11865"/>
    <cellStyle name="Normal 2 2 2 2 2 5 6 2 2" xfId="30047"/>
    <cellStyle name="Normal 2 2 2 2 2 5 6 3" xfId="30048"/>
    <cellStyle name="Normal 2 2 2 2 2 5 7" xfId="11866"/>
    <cellStyle name="Normal 2 2 2 2 2 5 7 2" xfId="11867"/>
    <cellStyle name="Normal 2 2 2 2 2 5 7 2 2" xfId="30049"/>
    <cellStyle name="Normal 2 2 2 2 2 5 7 3" xfId="30050"/>
    <cellStyle name="Normal 2 2 2 2 2 5 8" xfId="11868"/>
    <cellStyle name="Normal 2 2 2 2 2 5 8 2" xfId="30051"/>
    <cellStyle name="Normal 2 2 2 2 2 5 9" xfId="11869"/>
    <cellStyle name="Normal 2 2 2 2 2 6" xfId="131"/>
    <cellStyle name="Normal 2 2 2 2 2 6 2" xfId="552"/>
    <cellStyle name="Normal 2 2 2 2 2 6 2 2" xfId="1827"/>
    <cellStyle name="Normal 2 2 2 2 2 6 2 2 2" xfId="11870"/>
    <cellStyle name="Normal 2 2 2 2 2 6 2 2 2 2" xfId="11871"/>
    <cellStyle name="Normal 2 2 2 2 2 6 2 2 2 2 2" xfId="30052"/>
    <cellStyle name="Normal 2 2 2 2 2 6 2 2 2 3" xfId="30053"/>
    <cellStyle name="Normal 2 2 2 2 2 6 2 2 3" xfId="11872"/>
    <cellStyle name="Normal 2 2 2 2 2 6 2 2 3 2" xfId="11873"/>
    <cellStyle name="Normal 2 2 2 2 2 6 2 2 3 2 2" xfId="30054"/>
    <cellStyle name="Normal 2 2 2 2 2 6 2 2 3 3" xfId="30055"/>
    <cellStyle name="Normal 2 2 2 2 2 6 2 2 4" xfId="11874"/>
    <cellStyle name="Normal 2 2 2 2 2 6 2 2 4 2" xfId="11875"/>
    <cellStyle name="Normal 2 2 2 2 2 6 2 2 4 2 2" xfId="30056"/>
    <cellStyle name="Normal 2 2 2 2 2 6 2 2 4 3" xfId="30057"/>
    <cellStyle name="Normal 2 2 2 2 2 6 2 2 5" xfId="11876"/>
    <cellStyle name="Normal 2 2 2 2 2 6 2 2 5 2" xfId="30058"/>
    <cellStyle name="Normal 2 2 2 2 2 6 2 2 6" xfId="11877"/>
    <cellStyle name="Normal 2 2 2 2 2 6 2 3" xfId="11878"/>
    <cellStyle name="Normal 2 2 2 2 2 6 2 3 2" xfId="11879"/>
    <cellStyle name="Normal 2 2 2 2 2 6 2 3 2 2" xfId="30059"/>
    <cellStyle name="Normal 2 2 2 2 2 6 2 3 3" xfId="30060"/>
    <cellStyle name="Normal 2 2 2 2 2 6 2 4" xfId="11880"/>
    <cellStyle name="Normal 2 2 2 2 2 6 2 4 2" xfId="11881"/>
    <cellStyle name="Normal 2 2 2 2 2 6 2 4 2 2" xfId="30061"/>
    <cellStyle name="Normal 2 2 2 2 2 6 2 4 3" xfId="30062"/>
    <cellStyle name="Normal 2 2 2 2 2 6 2 5" xfId="11882"/>
    <cellStyle name="Normal 2 2 2 2 2 6 2 5 2" xfId="11883"/>
    <cellStyle name="Normal 2 2 2 2 2 6 2 5 2 2" xfId="30063"/>
    <cellStyle name="Normal 2 2 2 2 2 6 2 5 3" xfId="30064"/>
    <cellStyle name="Normal 2 2 2 2 2 6 2 6" xfId="11884"/>
    <cellStyle name="Normal 2 2 2 2 2 6 2 6 2" xfId="30065"/>
    <cellStyle name="Normal 2 2 2 2 2 6 2 7" xfId="11885"/>
    <cellStyle name="Normal 2 2 2 2 2 6 3" xfId="1828"/>
    <cellStyle name="Normal 2 2 2 2 2 6 3 2" xfId="11886"/>
    <cellStyle name="Normal 2 2 2 2 2 6 3 2 2" xfId="11887"/>
    <cellStyle name="Normal 2 2 2 2 2 6 3 2 2 2" xfId="30066"/>
    <cellStyle name="Normal 2 2 2 2 2 6 3 2 3" xfId="30067"/>
    <cellStyle name="Normal 2 2 2 2 2 6 3 3" xfId="11888"/>
    <cellStyle name="Normal 2 2 2 2 2 6 3 3 2" xfId="11889"/>
    <cellStyle name="Normal 2 2 2 2 2 6 3 3 2 2" xfId="30068"/>
    <cellStyle name="Normal 2 2 2 2 2 6 3 3 3" xfId="30069"/>
    <cellStyle name="Normal 2 2 2 2 2 6 3 4" xfId="11890"/>
    <cellStyle name="Normal 2 2 2 2 2 6 3 4 2" xfId="11891"/>
    <cellStyle name="Normal 2 2 2 2 2 6 3 4 2 2" xfId="30070"/>
    <cellStyle name="Normal 2 2 2 2 2 6 3 4 3" xfId="30071"/>
    <cellStyle name="Normal 2 2 2 2 2 6 3 5" xfId="11892"/>
    <cellStyle name="Normal 2 2 2 2 2 6 3 5 2" xfId="30072"/>
    <cellStyle name="Normal 2 2 2 2 2 6 3 6" xfId="11893"/>
    <cellStyle name="Normal 2 2 2 2 2 6 4" xfId="11894"/>
    <cellStyle name="Normal 2 2 2 2 2 6 4 2" xfId="11895"/>
    <cellStyle name="Normal 2 2 2 2 2 6 4 2 2" xfId="30073"/>
    <cellStyle name="Normal 2 2 2 2 2 6 4 3" xfId="30074"/>
    <cellStyle name="Normal 2 2 2 2 2 6 5" xfId="11896"/>
    <cellStyle name="Normal 2 2 2 2 2 6 5 2" xfId="11897"/>
    <cellStyle name="Normal 2 2 2 2 2 6 5 2 2" xfId="30075"/>
    <cellStyle name="Normal 2 2 2 2 2 6 5 3" xfId="30076"/>
    <cellStyle name="Normal 2 2 2 2 2 6 6" xfId="11898"/>
    <cellStyle name="Normal 2 2 2 2 2 6 6 2" xfId="11899"/>
    <cellStyle name="Normal 2 2 2 2 2 6 6 2 2" xfId="30077"/>
    <cellStyle name="Normal 2 2 2 2 2 6 6 3" xfId="30078"/>
    <cellStyle name="Normal 2 2 2 2 2 6 7" xfId="11900"/>
    <cellStyle name="Normal 2 2 2 2 2 6 7 2" xfId="30079"/>
    <cellStyle name="Normal 2 2 2 2 2 6 8" xfId="11901"/>
    <cellStyle name="Normal 2 2 2 2 2 7" xfId="920"/>
    <cellStyle name="Normal 2 2 2 2 2 7 2" xfId="1829"/>
    <cellStyle name="Normal 2 2 2 2 2 7 2 2" xfId="11902"/>
    <cellStyle name="Normal 2 2 2 2 2 7 2 2 2" xfId="11903"/>
    <cellStyle name="Normal 2 2 2 2 2 7 2 2 2 2" xfId="30080"/>
    <cellStyle name="Normal 2 2 2 2 2 7 2 2 3" xfId="30081"/>
    <cellStyle name="Normal 2 2 2 2 2 7 2 3" xfId="11904"/>
    <cellStyle name="Normal 2 2 2 2 2 7 2 3 2" xfId="11905"/>
    <cellStyle name="Normal 2 2 2 2 2 7 2 3 2 2" xfId="30082"/>
    <cellStyle name="Normal 2 2 2 2 2 7 2 3 3" xfId="30083"/>
    <cellStyle name="Normal 2 2 2 2 2 7 2 4" xfId="11906"/>
    <cellStyle name="Normal 2 2 2 2 2 7 2 4 2" xfId="11907"/>
    <cellStyle name="Normal 2 2 2 2 2 7 2 4 2 2" xfId="30084"/>
    <cellStyle name="Normal 2 2 2 2 2 7 2 4 3" xfId="30085"/>
    <cellStyle name="Normal 2 2 2 2 2 7 2 5" xfId="11908"/>
    <cellStyle name="Normal 2 2 2 2 2 7 2 5 2" xfId="30086"/>
    <cellStyle name="Normal 2 2 2 2 2 7 2 6" xfId="11909"/>
    <cellStyle name="Normal 2 2 2 2 2 7 3" xfId="11910"/>
    <cellStyle name="Normal 2 2 2 2 2 7 3 2" xfId="11911"/>
    <cellStyle name="Normal 2 2 2 2 2 7 3 2 2" xfId="30087"/>
    <cellStyle name="Normal 2 2 2 2 2 7 3 3" xfId="30088"/>
    <cellStyle name="Normal 2 2 2 2 2 7 4" xfId="11912"/>
    <cellStyle name="Normal 2 2 2 2 2 7 4 2" xfId="11913"/>
    <cellStyle name="Normal 2 2 2 2 2 7 4 2 2" xfId="30089"/>
    <cellStyle name="Normal 2 2 2 2 2 7 4 3" xfId="30090"/>
    <cellStyle name="Normal 2 2 2 2 2 7 5" xfId="11914"/>
    <cellStyle name="Normal 2 2 2 2 2 7 5 2" xfId="11915"/>
    <cellStyle name="Normal 2 2 2 2 2 7 5 2 2" xfId="30091"/>
    <cellStyle name="Normal 2 2 2 2 2 7 5 3" xfId="30092"/>
    <cellStyle name="Normal 2 2 2 2 2 7 6" xfId="11916"/>
    <cellStyle name="Normal 2 2 2 2 2 7 6 2" xfId="30093"/>
    <cellStyle name="Normal 2 2 2 2 2 7 7" xfId="11917"/>
    <cellStyle name="Normal 2 2 2 2 2 8" xfId="482"/>
    <cellStyle name="Normal 2 2 2 2 2 8 2" xfId="1830"/>
    <cellStyle name="Normal 2 2 2 2 2 8 2 2" xfId="11918"/>
    <cellStyle name="Normal 2 2 2 2 2 8 2 2 2" xfId="11919"/>
    <cellStyle name="Normal 2 2 2 2 2 8 2 2 2 2" xfId="30094"/>
    <cellStyle name="Normal 2 2 2 2 2 8 2 2 3" xfId="30095"/>
    <cellStyle name="Normal 2 2 2 2 2 8 2 3" xfId="11920"/>
    <cellStyle name="Normal 2 2 2 2 2 8 2 3 2" xfId="11921"/>
    <cellStyle name="Normal 2 2 2 2 2 8 2 3 2 2" xfId="30096"/>
    <cellStyle name="Normal 2 2 2 2 2 8 2 3 3" xfId="30097"/>
    <cellStyle name="Normal 2 2 2 2 2 8 2 4" xfId="11922"/>
    <cellStyle name="Normal 2 2 2 2 2 8 2 4 2" xfId="11923"/>
    <cellStyle name="Normal 2 2 2 2 2 8 2 4 2 2" xfId="30098"/>
    <cellStyle name="Normal 2 2 2 2 2 8 2 4 3" xfId="30099"/>
    <cellStyle name="Normal 2 2 2 2 2 8 2 5" xfId="11924"/>
    <cellStyle name="Normal 2 2 2 2 2 8 2 5 2" xfId="30100"/>
    <cellStyle name="Normal 2 2 2 2 2 8 2 6" xfId="11925"/>
    <cellStyle name="Normal 2 2 2 2 2 8 3" xfId="11926"/>
    <cellStyle name="Normal 2 2 2 2 2 8 3 2" xfId="11927"/>
    <cellStyle name="Normal 2 2 2 2 2 8 3 2 2" xfId="30101"/>
    <cellStyle name="Normal 2 2 2 2 2 8 3 3" xfId="30102"/>
    <cellStyle name="Normal 2 2 2 2 2 8 4" xfId="11928"/>
    <cellStyle name="Normal 2 2 2 2 2 8 4 2" xfId="11929"/>
    <cellStyle name="Normal 2 2 2 2 2 8 4 2 2" xfId="30103"/>
    <cellStyle name="Normal 2 2 2 2 2 8 4 3" xfId="30104"/>
    <cellStyle name="Normal 2 2 2 2 2 8 5" xfId="11930"/>
    <cellStyle name="Normal 2 2 2 2 2 8 5 2" xfId="11931"/>
    <cellStyle name="Normal 2 2 2 2 2 8 5 2 2" xfId="30105"/>
    <cellStyle name="Normal 2 2 2 2 2 8 5 3" xfId="30106"/>
    <cellStyle name="Normal 2 2 2 2 2 8 6" xfId="11932"/>
    <cellStyle name="Normal 2 2 2 2 2 8 6 2" xfId="30107"/>
    <cellStyle name="Normal 2 2 2 2 2 8 7" xfId="11933"/>
    <cellStyle name="Normal 2 2 2 2 2 9" xfId="1831"/>
    <cellStyle name="Normal 2 2 2 2 2 9 2" xfId="11934"/>
    <cellStyle name="Normal 2 2 2 2 2 9 2 2" xfId="11935"/>
    <cellStyle name="Normal 2 2 2 2 2 9 2 2 2" xfId="30108"/>
    <cellStyle name="Normal 2 2 2 2 2 9 2 3" xfId="30109"/>
    <cellStyle name="Normal 2 2 2 2 2 9 3" xfId="11936"/>
    <cellStyle name="Normal 2 2 2 2 2 9 3 2" xfId="11937"/>
    <cellStyle name="Normal 2 2 2 2 2 9 3 2 2" xfId="30110"/>
    <cellStyle name="Normal 2 2 2 2 2 9 3 3" xfId="30111"/>
    <cellStyle name="Normal 2 2 2 2 2 9 4" xfId="11938"/>
    <cellStyle name="Normal 2 2 2 2 2 9 4 2" xfId="11939"/>
    <cellStyle name="Normal 2 2 2 2 2 9 4 2 2" xfId="30112"/>
    <cellStyle name="Normal 2 2 2 2 2 9 4 3" xfId="30113"/>
    <cellStyle name="Normal 2 2 2 2 2 9 5" xfId="11940"/>
    <cellStyle name="Normal 2 2 2 2 2 9 5 2" xfId="30114"/>
    <cellStyle name="Normal 2 2 2 2 2 9 6" xfId="11941"/>
    <cellStyle name="Normal 2 2 2 2 3" xfId="49"/>
    <cellStyle name="Normal 2 2 2 2 3 10" xfId="11942"/>
    <cellStyle name="Normal 2 2 2 2 3 10 2" xfId="11943"/>
    <cellStyle name="Normal 2 2 2 2 3 10 2 2" xfId="30115"/>
    <cellStyle name="Normal 2 2 2 2 3 10 3" xfId="30116"/>
    <cellStyle name="Normal 2 2 2 2 3 11" xfId="11944"/>
    <cellStyle name="Normal 2 2 2 2 3 11 2" xfId="11945"/>
    <cellStyle name="Normal 2 2 2 2 3 11 2 2" xfId="30117"/>
    <cellStyle name="Normal 2 2 2 2 3 11 3" xfId="30118"/>
    <cellStyle name="Normal 2 2 2 2 3 12" xfId="11946"/>
    <cellStyle name="Normal 2 2 2 2 3 12 2" xfId="11947"/>
    <cellStyle name="Normal 2 2 2 2 3 12 2 2" xfId="30119"/>
    <cellStyle name="Normal 2 2 2 2 3 12 3" xfId="30120"/>
    <cellStyle name="Normal 2 2 2 2 3 13" xfId="11948"/>
    <cellStyle name="Normal 2 2 2 2 3 13 2" xfId="30121"/>
    <cellStyle name="Normal 2 2 2 2 3 14" xfId="11949"/>
    <cellStyle name="Normal 2 2 2 2 3 2" xfId="219"/>
    <cellStyle name="Normal 2 2 2 2 3 2 10" xfId="11950"/>
    <cellStyle name="Normal 2 2 2 2 3 2 2" xfId="377"/>
    <cellStyle name="Normal 2 2 2 2 3 2 2 2" xfId="1165"/>
    <cellStyle name="Normal 2 2 2 2 3 2 2 2 2" xfId="1832"/>
    <cellStyle name="Normal 2 2 2 2 3 2 2 2 2 2" xfId="11951"/>
    <cellStyle name="Normal 2 2 2 2 3 2 2 2 2 2 2" xfId="11952"/>
    <cellStyle name="Normal 2 2 2 2 3 2 2 2 2 2 2 2" xfId="30122"/>
    <cellStyle name="Normal 2 2 2 2 3 2 2 2 2 2 3" xfId="30123"/>
    <cellStyle name="Normal 2 2 2 2 3 2 2 2 2 3" xfId="11953"/>
    <cellStyle name="Normal 2 2 2 2 3 2 2 2 2 3 2" xfId="11954"/>
    <cellStyle name="Normal 2 2 2 2 3 2 2 2 2 3 2 2" xfId="30124"/>
    <cellStyle name="Normal 2 2 2 2 3 2 2 2 2 3 3" xfId="30125"/>
    <cellStyle name="Normal 2 2 2 2 3 2 2 2 2 4" xfId="11955"/>
    <cellStyle name="Normal 2 2 2 2 3 2 2 2 2 4 2" xfId="11956"/>
    <cellStyle name="Normal 2 2 2 2 3 2 2 2 2 4 2 2" xfId="30126"/>
    <cellStyle name="Normal 2 2 2 2 3 2 2 2 2 4 3" xfId="30127"/>
    <cellStyle name="Normal 2 2 2 2 3 2 2 2 2 5" xfId="11957"/>
    <cellStyle name="Normal 2 2 2 2 3 2 2 2 2 5 2" xfId="30128"/>
    <cellStyle name="Normal 2 2 2 2 3 2 2 2 2 6" xfId="11958"/>
    <cellStyle name="Normal 2 2 2 2 3 2 2 2 3" xfId="11959"/>
    <cellStyle name="Normal 2 2 2 2 3 2 2 2 3 2" xfId="11960"/>
    <cellStyle name="Normal 2 2 2 2 3 2 2 2 3 2 2" xfId="30129"/>
    <cellStyle name="Normal 2 2 2 2 3 2 2 2 3 3" xfId="30130"/>
    <cellStyle name="Normal 2 2 2 2 3 2 2 2 4" xfId="11961"/>
    <cellStyle name="Normal 2 2 2 2 3 2 2 2 4 2" xfId="11962"/>
    <cellStyle name="Normal 2 2 2 2 3 2 2 2 4 2 2" xfId="30131"/>
    <cellStyle name="Normal 2 2 2 2 3 2 2 2 4 3" xfId="30132"/>
    <cellStyle name="Normal 2 2 2 2 3 2 2 2 5" xfId="11963"/>
    <cellStyle name="Normal 2 2 2 2 3 2 2 2 5 2" xfId="11964"/>
    <cellStyle name="Normal 2 2 2 2 3 2 2 2 5 2 2" xfId="30133"/>
    <cellStyle name="Normal 2 2 2 2 3 2 2 2 5 3" xfId="30134"/>
    <cellStyle name="Normal 2 2 2 2 3 2 2 2 6" xfId="11965"/>
    <cellStyle name="Normal 2 2 2 2 3 2 2 2 6 2" xfId="30135"/>
    <cellStyle name="Normal 2 2 2 2 3 2 2 2 7" xfId="11966"/>
    <cellStyle name="Normal 2 2 2 2 3 2 2 3" xfId="797"/>
    <cellStyle name="Normal 2 2 2 2 3 2 2 3 2" xfId="1833"/>
    <cellStyle name="Normal 2 2 2 2 3 2 2 3 2 2" xfId="11967"/>
    <cellStyle name="Normal 2 2 2 2 3 2 2 3 2 2 2" xfId="11968"/>
    <cellStyle name="Normal 2 2 2 2 3 2 2 3 2 2 2 2" xfId="30136"/>
    <cellStyle name="Normal 2 2 2 2 3 2 2 3 2 2 3" xfId="30137"/>
    <cellStyle name="Normal 2 2 2 2 3 2 2 3 2 3" xfId="11969"/>
    <cellStyle name="Normal 2 2 2 2 3 2 2 3 2 3 2" xfId="11970"/>
    <cellStyle name="Normal 2 2 2 2 3 2 2 3 2 3 2 2" xfId="30138"/>
    <cellStyle name="Normal 2 2 2 2 3 2 2 3 2 3 3" xfId="30139"/>
    <cellStyle name="Normal 2 2 2 2 3 2 2 3 2 4" xfId="11971"/>
    <cellStyle name="Normal 2 2 2 2 3 2 2 3 2 4 2" xfId="11972"/>
    <cellStyle name="Normal 2 2 2 2 3 2 2 3 2 4 2 2" xfId="30140"/>
    <cellStyle name="Normal 2 2 2 2 3 2 2 3 2 4 3" xfId="30141"/>
    <cellStyle name="Normal 2 2 2 2 3 2 2 3 2 5" xfId="11973"/>
    <cellStyle name="Normal 2 2 2 2 3 2 2 3 2 5 2" xfId="30142"/>
    <cellStyle name="Normal 2 2 2 2 3 2 2 3 2 6" xfId="11974"/>
    <cellStyle name="Normal 2 2 2 2 3 2 2 3 3" xfId="11975"/>
    <cellStyle name="Normal 2 2 2 2 3 2 2 3 3 2" xfId="11976"/>
    <cellStyle name="Normal 2 2 2 2 3 2 2 3 3 2 2" xfId="30143"/>
    <cellStyle name="Normal 2 2 2 2 3 2 2 3 3 3" xfId="30144"/>
    <cellStyle name="Normal 2 2 2 2 3 2 2 3 4" xfId="11977"/>
    <cellStyle name="Normal 2 2 2 2 3 2 2 3 4 2" xfId="11978"/>
    <cellStyle name="Normal 2 2 2 2 3 2 2 3 4 2 2" xfId="30145"/>
    <cellStyle name="Normal 2 2 2 2 3 2 2 3 4 3" xfId="30146"/>
    <cellStyle name="Normal 2 2 2 2 3 2 2 3 5" xfId="11979"/>
    <cellStyle name="Normal 2 2 2 2 3 2 2 3 5 2" xfId="11980"/>
    <cellStyle name="Normal 2 2 2 2 3 2 2 3 5 2 2" xfId="30147"/>
    <cellStyle name="Normal 2 2 2 2 3 2 2 3 5 3" xfId="30148"/>
    <cellStyle name="Normal 2 2 2 2 3 2 2 3 6" xfId="11981"/>
    <cellStyle name="Normal 2 2 2 2 3 2 2 3 6 2" xfId="30149"/>
    <cellStyle name="Normal 2 2 2 2 3 2 2 3 7" xfId="11982"/>
    <cellStyle name="Normal 2 2 2 2 3 2 2 4" xfId="1834"/>
    <cellStyle name="Normal 2 2 2 2 3 2 2 4 2" xfId="11983"/>
    <cellStyle name="Normal 2 2 2 2 3 2 2 4 2 2" xfId="11984"/>
    <cellStyle name="Normal 2 2 2 2 3 2 2 4 2 2 2" xfId="30150"/>
    <cellStyle name="Normal 2 2 2 2 3 2 2 4 2 3" xfId="30151"/>
    <cellStyle name="Normal 2 2 2 2 3 2 2 4 3" xfId="11985"/>
    <cellStyle name="Normal 2 2 2 2 3 2 2 4 3 2" xfId="11986"/>
    <cellStyle name="Normal 2 2 2 2 3 2 2 4 3 2 2" xfId="30152"/>
    <cellStyle name="Normal 2 2 2 2 3 2 2 4 3 3" xfId="30153"/>
    <cellStyle name="Normal 2 2 2 2 3 2 2 4 4" xfId="11987"/>
    <cellStyle name="Normal 2 2 2 2 3 2 2 4 4 2" xfId="11988"/>
    <cellStyle name="Normal 2 2 2 2 3 2 2 4 4 2 2" xfId="30154"/>
    <cellStyle name="Normal 2 2 2 2 3 2 2 4 4 3" xfId="30155"/>
    <cellStyle name="Normal 2 2 2 2 3 2 2 4 5" xfId="11989"/>
    <cellStyle name="Normal 2 2 2 2 3 2 2 4 5 2" xfId="30156"/>
    <cellStyle name="Normal 2 2 2 2 3 2 2 4 6" xfId="11990"/>
    <cellStyle name="Normal 2 2 2 2 3 2 2 5" xfId="11991"/>
    <cellStyle name="Normal 2 2 2 2 3 2 2 5 2" xfId="11992"/>
    <cellStyle name="Normal 2 2 2 2 3 2 2 5 2 2" xfId="30157"/>
    <cellStyle name="Normal 2 2 2 2 3 2 2 5 3" xfId="30158"/>
    <cellStyle name="Normal 2 2 2 2 3 2 2 6" xfId="11993"/>
    <cellStyle name="Normal 2 2 2 2 3 2 2 6 2" xfId="11994"/>
    <cellStyle name="Normal 2 2 2 2 3 2 2 6 2 2" xfId="30159"/>
    <cellStyle name="Normal 2 2 2 2 3 2 2 6 3" xfId="30160"/>
    <cellStyle name="Normal 2 2 2 2 3 2 2 7" xfId="11995"/>
    <cellStyle name="Normal 2 2 2 2 3 2 2 7 2" xfId="11996"/>
    <cellStyle name="Normal 2 2 2 2 3 2 2 7 2 2" xfId="30161"/>
    <cellStyle name="Normal 2 2 2 2 3 2 2 7 3" xfId="30162"/>
    <cellStyle name="Normal 2 2 2 2 3 2 2 8" xfId="11997"/>
    <cellStyle name="Normal 2 2 2 2 3 2 2 8 2" xfId="30163"/>
    <cellStyle name="Normal 2 2 2 2 3 2 2 9" xfId="11998"/>
    <cellStyle name="Normal 2 2 2 2 3 2 3" xfId="1007"/>
    <cellStyle name="Normal 2 2 2 2 3 2 3 2" xfId="1835"/>
    <cellStyle name="Normal 2 2 2 2 3 2 3 2 2" xfId="11999"/>
    <cellStyle name="Normal 2 2 2 2 3 2 3 2 2 2" xfId="12000"/>
    <cellStyle name="Normal 2 2 2 2 3 2 3 2 2 2 2" xfId="30164"/>
    <cellStyle name="Normal 2 2 2 2 3 2 3 2 2 3" xfId="30165"/>
    <cellStyle name="Normal 2 2 2 2 3 2 3 2 3" xfId="12001"/>
    <cellStyle name="Normal 2 2 2 2 3 2 3 2 3 2" xfId="12002"/>
    <cellStyle name="Normal 2 2 2 2 3 2 3 2 3 2 2" xfId="30166"/>
    <cellStyle name="Normal 2 2 2 2 3 2 3 2 3 3" xfId="30167"/>
    <cellStyle name="Normal 2 2 2 2 3 2 3 2 4" xfId="12003"/>
    <cellStyle name="Normal 2 2 2 2 3 2 3 2 4 2" xfId="12004"/>
    <cellStyle name="Normal 2 2 2 2 3 2 3 2 4 2 2" xfId="30168"/>
    <cellStyle name="Normal 2 2 2 2 3 2 3 2 4 3" xfId="30169"/>
    <cellStyle name="Normal 2 2 2 2 3 2 3 2 5" xfId="12005"/>
    <cellStyle name="Normal 2 2 2 2 3 2 3 2 5 2" xfId="30170"/>
    <cellStyle name="Normal 2 2 2 2 3 2 3 2 6" xfId="12006"/>
    <cellStyle name="Normal 2 2 2 2 3 2 3 3" xfId="12007"/>
    <cellStyle name="Normal 2 2 2 2 3 2 3 3 2" xfId="12008"/>
    <cellStyle name="Normal 2 2 2 2 3 2 3 3 2 2" xfId="30171"/>
    <cellStyle name="Normal 2 2 2 2 3 2 3 3 3" xfId="30172"/>
    <cellStyle name="Normal 2 2 2 2 3 2 3 4" xfId="12009"/>
    <cellStyle name="Normal 2 2 2 2 3 2 3 4 2" xfId="12010"/>
    <cellStyle name="Normal 2 2 2 2 3 2 3 4 2 2" xfId="30173"/>
    <cellStyle name="Normal 2 2 2 2 3 2 3 4 3" xfId="30174"/>
    <cellStyle name="Normal 2 2 2 2 3 2 3 5" xfId="12011"/>
    <cellStyle name="Normal 2 2 2 2 3 2 3 5 2" xfId="12012"/>
    <cellStyle name="Normal 2 2 2 2 3 2 3 5 2 2" xfId="30175"/>
    <cellStyle name="Normal 2 2 2 2 3 2 3 5 3" xfId="30176"/>
    <cellStyle name="Normal 2 2 2 2 3 2 3 6" xfId="12013"/>
    <cellStyle name="Normal 2 2 2 2 3 2 3 6 2" xfId="30177"/>
    <cellStyle name="Normal 2 2 2 2 3 2 3 7" xfId="12014"/>
    <cellStyle name="Normal 2 2 2 2 3 2 4" xfId="639"/>
    <cellStyle name="Normal 2 2 2 2 3 2 4 2" xfId="1836"/>
    <cellStyle name="Normal 2 2 2 2 3 2 4 2 2" xfId="12015"/>
    <cellStyle name="Normal 2 2 2 2 3 2 4 2 2 2" xfId="12016"/>
    <cellStyle name="Normal 2 2 2 2 3 2 4 2 2 2 2" xfId="30178"/>
    <cellStyle name="Normal 2 2 2 2 3 2 4 2 2 3" xfId="30179"/>
    <cellStyle name="Normal 2 2 2 2 3 2 4 2 3" xfId="12017"/>
    <cellStyle name="Normal 2 2 2 2 3 2 4 2 3 2" xfId="12018"/>
    <cellStyle name="Normal 2 2 2 2 3 2 4 2 3 2 2" xfId="30180"/>
    <cellStyle name="Normal 2 2 2 2 3 2 4 2 3 3" xfId="30181"/>
    <cellStyle name="Normal 2 2 2 2 3 2 4 2 4" xfId="12019"/>
    <cellStyle name="Normal 2 2 2 2 3 2 4 2 4 2" xfId="12020"/>
    <cellStyle name="Normal 2 2 2 2 3 2 4 2 4 2 2" xfId="30182"/>
    <cellStyle name="Normal 2 2 2 2 3 2 4 2 4 3" xfId="30183"/>
    <cellStyle name="Normal 2 2 2 2 3 2 4 2 5" xfId="12021"/>
    <cellStyle name="Normal 2 2 2 2 3 2 4 2 5 2" xfId="30184"/>
    <cellStyle name="Normal 2 2 2 2 3 2 4 2 6" xfId="12022"/>
    <cellStyle name="Normal 2 2 2 2 3 2 4 3" xfId="12023"/>
    <cellStyle name="Normal 2 2 2 2 3 2 4 3 2" xfId="12024"/>
    <cellStyle name="Normal 2 2 2 2 3 2 4 3 2 2" xfId="30185"/>
    <cellStyle name="Normal 2 2 2 2 3 2 4 3 3" xfId="30186"/>
    <cellStyle name="Normal 2 2 2 2 3 2 4 4" xfId="12025"/>
    <cellStyle name="Normal 2 2 2 2 3 2 4 4 2" xfId="12026"/>
    <cellStyle name="Normal 2 2 2 2 3 2 4 4 2 2" xfId="30187"/>
    <cellStyle name="Normal 2 2 2 2 3 2 4 4 3" xfId="30188"/>
    <cellStyle name="Normal 2 2 2 2 3 2 4 5" xfId="12027"/>
    <cellStyle name="Normal 2 2 2 2 3 2 4 5 2" xfId="12028"/>
    <cellStyle name="Normal 2 2 2 2 3 2 4 5 2 2" xfId="30189"/>
    <cellStyle name="Normal 2 2 2 2 3 2 4 5 3" xfId="30190"/>
    <cellStyle name="Normal 2 2 2 2 3 2 4 6" xfId="12029"/>
    <cellStyle name="Normal 2 2 2 2 3 2 4 6 2" xfId="30191"/>
    <cellStyle name="Normal 2 2 2 2 3 2 4 7" xfId="12030"/>
    <cellStyle name="Normal 2 2 2 2 3 2 5" xfId="1837"/>
    <cellStyle name="Normal 2 2 2 2 3 2 5 2" xfId="12031"/>
    <cellStyle name="Normal 2 2 2 2 3 2 5 2 2" xfId="12032"/>
    <cellStyle name="Normal 2 2 2 2 3 2 5 2 2 2" xfId="30192"/>
    <cellStyle name="Normal 2 2 2 2 3 2 5 2 3" xfId="30193"/>
    <cellStyle name="Normal 2 2 2 2 3 2 5 3" xfId="12033"/>
    <cellStyle name="Normal 2 2 2 2 3 2 5 3 2" xfId="12034"/>
    <cellStyle name="Normal 2 2 2 2 3 2 5 3 2 2" xfId="30194"/>
    <cellStyle name="Normal 2 2 2 2 3 2 5 3 3" xfId="30195"/>
    <cellStyle name="Normal 2 2 2 2 3 2 5 4" xfId="12035"/>
    <cellStyle name="Normal 2 2 2 2 3 2 5 4 2" xfId="12036"/>
    <cellStyle name="Normal 2 2 2 2 3 2 5 4 2 2" xfId="30196"/>
    <cellStyle name="Normal 2 2 2 2 3 2 5 4 3" xfId="30197"/>
    <cellStyle name="Normal 2 2 2 2 3 2 5 5" xfId="12037"/>
    <cellStyle name="Normal 2 2 2 2 3 2 5 5 2" xfId="30198"/>
    <cellStyle name="Normal 2 2 2 2 3 2 5 6" xfId="12038"/>
    <cellStyle name="Normal 2 2 2 2 3 2 6" xfId="12039"/>
    <cellStyle name="Normal 2 2 2 2 3 2 6 2" xfId="12040"/>
    <cellStyle name="Normal 2 2 2 2 3 2 6 2 2" xfId="30199"/>
    <cellStyle name="Normal 2 2 2 2 3 2 6 3" xfId="30200"/>
    <cellStyle name="Normal 2 2 2 2 3 2 7" xfId="12041"/>
    <cellStyle name="Normal 2 2 2 2 3 2 7 2" xfId="12042"/>
    <cellStyle name="Normal 2 2 2 2 3 2 7 2 2" xfId="30201"/>
    <cellStyle name="Normal 2 2 2 2 3 2 7 3" xfId="30202"/>
    <cellStyle name="Normal 2 2 2 2 3 2 8" xfId="12043"/>
    <cellStyle name="Normal 2 2 2 2 3 2 8 2" xfId="12044"/>
    <cellStyle name="Normal 2 2 2 2 3 2 8 2 2" xfId="30203"/>
    <cellStyle name="Normal 2 2 2 2 3 2 8 3" xfId="30204"/>
    <cellStyle name="Normal 2 2 2 2 3 2 9" xfId="12045"/>
    <cellStyle name="Normal 2 2 2 2 3 2 9 2" xfId="30205"/>
    <cellStyle name="Normal 2 2 2 2 3 3" xfId="270"/>
    <cellStyle name="Normal 2 2 2 2 3 3 10" xfId="12046"/>
    <cellStyle name="Normal 2 2 2 2 3 3 2" xfId="428"/>
    <cellStyle name="Normal 2 2 2 2 3 3 2 2" xfId="1216"/>
    <cellStyle name="Normal 2 2 2 2 3 3 2 2 2" xfId="1838"/>
    <cellStyle name="Normal 2 2 2 2 3 3 2 2 2 2" xfId="12047"/>
    <cellStyle name="Normal 2 2 2 2 3 3 2 2 2 2 2" xfId="12048"/>
    <cellStyle name="Normal 2 2 2 2 3 3 2 2 2 2 2 2" xfId="30206"/>
    <cellStyle name="Normal 2 2 2 2 3 3 2 2 2 2 3" xfId="30207"/>
    <cellStyle name="Normal 2 2 2 2 3 3 2 2 2 3" xfId="12049"/>
    <cellStyle name="Normal 2 2 2 2 3 3 2 2 2 3 2" xfId="12050"/>
    <cellStyle name="Normal 2 2 2 2 3 3 2 2 2 3 2 2" xfId="30208"/>
    <cellStyle name="Normal 2 2 2 2 3 3 2 2 2 3 3" xfId="30209"/>
    <cellStyle name="Normal 2 2 2 2 3 3 2 2 2 4" xfId="12051"/>
    <cellStyle name="Normal 2 2 2 2 3 3 2 2 2 4 2" xfId="12052"/>
    <cellStyle name="Normal 2 2 2 2 3 3 2 2 2 4 2 2" xfId="30210"/>
    <cellStyle name="Normal 2 2 2 2 3 3 2 2 2 4 3" xfId="30211"/>
    <cellStyle name="Normal 2 2 2 2 3 3 2 2 2 5" xfId="12053"/>
    <cellStyle name="Normal 2 2 2 2 3 3 2 2 2 5 2" xfId="30212"/>
    <cellStyle name="Normal 2 2 2 2 3 3 2 2 2 6" xfId="12054"/>
    <cellStyle name="Normal 2 2 2 2 3 3 2 2 3" xfId="12055"/>
    <cellStyle name="Normal 2 2 2 2 3 3 2 2 3 2" xfId="12056"/>
    <cellStyle name="Normal 2 2 2 2 3 3 2 2 3 2 2" xfId="30213"/>
    <cellStyle name="Normal 2 2 2 2 3 3 2 2 3 3" xfId="30214"/>
    <cellStyle name="Normal 2 2 2 2 3 3 2 2 4" xfId="12057"/>
    <cellStyle name="Normal 2 2 2 2 3 3 2 2 4 2" xfId="12058"/>
    <cellStyle name="Normal 2 2 2 2 3 3 2 2 4 2 2" xfId="30215"/>
    <cellStyle name="Normal 2 2 2 2 3 3 2 2 4 3" xfId="30216"/>
    <cellStyle name="Normal 2 2 2 2 3 3 2 2 5" xfId="12059"/>
    <cellStyle name="Normal 2 2 2 2 3 3 2 2 5 2" xfId="12060"/>
    <cellStyle name="Normal 2 2 2 2 3 3 2 2 5 2 2" xfId="30217"/>
    <cellStyle name="Normal 2 2 2 2 3 3 2 2 5 3" xfId="30218"/>
    <cellStyle name="Normal 2 2 2 2 3 3 2 2 6" xfId="12061"/>
    <cellStyle name="Normal 2 2 2 2 3 3 2 2 6 2" xfId="30219"/>
    <cellStyle name="Normal 2 2 2 2 3 3 2 2 7" xfId="12062"/>
    <cellStyle name="Normal 2 2 2 2 3 3 2 3" xfId="848"/>
    <cellStyle name="Normal 2 2 2 2 3 3 2 3 2" xfId="1839"/>
    <cellStyle name="Normal 2 2 2 2 3 3 2 3 2 2" xfId="12063"/>
    <cellStyle name="Normal 2 2 2 2 3 3 2 3 2 2 2" xfId="12064"/>
    <cellStyle name="Normal 2 2 2 2 3 3 2 3 2 2 2 2" xfId="30220"/>
    <cellStyle name="Normal 2 2 2 2 3 3 2 3 2 2 3" xfId="30221"/>
    <cellStyle name="Normal 2 2 2 2 3 3 2 3 2 3" xfId="12065"/>
    <cellStyle name="Normal 2 2 2 2 3 3 2 3 2 3 2" xfId="12066"/>
    <cellStyle name="Normal 2 2 2 2 3 3 2 3 2 3 2 2" xfId="30222"/>
    <cellStyle name="Normal 2 2 2 2 3 3 2 3 2 3 3" xfId="30223"/>
    <cellStyle name="Normal 2 2 2 2 3 3 2 3 2 4" xfId="12067"/>
    <cellStyle name="Normal 2 2 2 2 3 3 2 3 2 4 2" xfId="12068"/>
    <cellStyle name="Normal 2 2 2 2 3 3 2 3 2 4 2 2" xfId="30224"/>
    <cellStyle name="Normal 2 2 2 2 3 3 2 3 2 4 3" xfId="30225"/>
    <cellStyle name="Normal 2 2 2 2 3 3 2 3 2 5" xfId="12069"/>
    <cellStyle name="Normal 2 2 2 2 3 3 2 3 2 5 2" xfId="30226"/>
    <cellStyle name="Normal 2 2 2 2 3 3 2 3 2 6" xfId="12070"/>
    <cellStyle name="Normal 2 2 2 2 3 3 2 3 3" xfId="12071"/>
    <cellStyle name="Normal 2 2 2 2 3 3 2 3 3 2" xfId="12072"/>
    <cellStyle name="Normal 2 2 2 2 3 3 2 3 3 2 2" xfId="30227"/>
    <cellStyle name="Normal 2 2 2 2 3 3 2 3 3 3" xfId="30228"/>
    <cellStyle name="Normal 2 2 2 2 3 3 2 3 4" xfId="12073"/>
    <cellStyle name="Normal 2 2 2 2 3 3 2 3 4 2" xfId="12074"/>
    <cellStyle name="Normal 2 2 2 2 3 3 2 3 4 2 2" xfId="30229"/>
    <cellStyle name="Normal 2 2 2 2 3 3 2 3 4 3" xfId="30230"/>
    <cellStyle name="Normal 2 2 2 2 3 3 2 3 5" xfId="12075"/>
    <cellStyle name="Normal 2 2 2 2 3 3 2 3 5 2" xfId="12076"/>
    <cellStyle name="Normal 2 2 2 2 3 3 2 3 5 2 2" xfId="30231"/>
    <cellStyle name="Normal 2 2 2 2 3 3 2 3 5 3" xfId="30232"/>
    <cellStyle name="Normal 2 2 2 2 3 3 2 3 6" xfId="12077"/>
    <cellStyle name="Normal 2 2 2 2 3 3 2 3 6 2" xfId="30233"/>
    <cellStyle name="Normal 2 2 2 2 3 3 2 3 7" xfId="12078"/>
    <cellStyle name="Normal 2 2 2 2 3 3 2 4" xfId="1840"/>
    <cellStyle name="Normal 2 2 2 2 3 3 2 4 2" xfId="12079"/>
    <cellStyle name="Normal 2 2 2 2 3 3 2 4 2 2" xfId="12080"/>
    <cellStyle name="Normal 2 2 2 2 3 3 2 4 2 2 2" xfId="30234"/>
    <cellStyle name="Normal 2 2 2 2 3 3 2 4 2 3" xfId="30235"/>
    <cellStyle name="Normal 2 2 2 2 3 3 2 4 3" xfId="12081"/>
    <cellStyle name="Normal 2 2 2 2 3 3 2 4 3 2" xfId="12082"/>
    <cellStyle name="Normal 2 2 2 2 3 3 2 4 3 2 2" xfId="30236"/>
    <cellStyle name="Normal 2 2 2 2 3 3 2 4 3 3" xfId="30237"/>
    <cellStyle name="Normal 2 2 2 2 3 3 2 4 4" xfId="12083"/>
    <cellStyle name="Normal 2 2 2 2 3 3 2 4 4 2" xfId="12084"/>
    <cellStyle name="Normal 2 2 2 2 3 3 2 4 4 2 2" xfId="30238"/>
    <cellStyle name="Normal 2 2 2 2 3 3 2 4 4 3" xfId="30239"/>
    <cellStyle name="Normal 2 2 2 2 3 3 2 4 5" xfId="12085"/>
    <cellStyle name="Normal 2 2 2 2 3 3 2 4 5 2" xfId="30240"/>
    <cellStyle name="Normal 2 2 2 2 3 3 2 4 6" xfId="12086"/>
    <cellStyle name="Normal 2 2 2 2 3 3 2 5" xfId="12087"/>
    <cellStyle name="Normal 2 2 2 2 3 3 2 5 2" xfId="12088"/>
    <cellStyle name="Normal 2 2 2 2 3 3 2 5 2 2" xfId="30241"/>
    <cellStyle name="Normal 2 2 2 2 3 3 2 5 3" xfId="30242"/>
    <cellStyle name="Normal 2 2 2 2 3 3 2 6" xfId="12089"/>
    <cellStyle name="Normal 2 2 2 2 3 3 2 6 2" xfId="12090"/>
    <cellStyle name="Normal 2 2 2 2 3 3 2 6 2 2" xfId="30243"/>
    <cellStyle name="Normal 2 2 2 2 3 3 2 6 3" xfId="30244"/>
    <cellStyle name="Normal 2 2 2 2 3 3 2 7" xfId="12091"/>
    <cellStyle name="Normal 2 2 2 2 3 3 2 7 2" xfId="12092"/>
    <cellStyle name="Normal 2 2 2 2 3 3 2 7 2 2" xfId="30245"/>
    <cellStyle name="Normal 2 2 2 2 3 3 2 7 3" xfId="30246"/>
    <cellStyle name="Normal 2 2 2 2 3 3 2 8" xfId="12093"/>
    <cellStyle name="Normal 2 2 2 2 3 3 2 8 2" xfId="30247"/>
    <cellStyle name="Normal 2 2 2 2 3 3 2 9" xfId="12094"/>
    <cellStyle name="Normal 2 2 2 2 3 3 3" xfId="1058"/>
    <cellStyle name="Normal 2 2 2 2 3 3 3 2" xfId="1841"/>
    <cellStyle name="Normal 2 2 2 2 3 3 3 2 2" xfId="12095"/>
    <cellStyle name="Normal 2 2 2 2 3 3 3 2 2 2" xfId="12096"/>
    <cellStyle name="Normal 2 2 2 2 3 3 3 2 2 2 2" xfId="30248"/>
    <cellStyle name="Normal 2 2 2 2 3 3 3 2 2 3" xfId="30249"/>
    <cellStyle name="Normal 2 2 2 2 3 3 3 2 3" xfId="12097"/>
    <cellStyle name="Normal 2 2 2 2 3 3 3 2 3 2" xfId="12098"/>
    <cellStyle name="Normal 2 2 2 2 3 3 3 2 3 2 2" xfId="30250"/>
    <cellStyle name="Normal 2 2 2 2 3 3 3 2 3 3" xfId="30251"/>
    <cellStyle name="Normal 2 2 2 2 3 3 3 2 4" xfId="12099"/>
    <cellStyle name="Normal 2 2 2 2 3 3 3 2 4 2" xfId="12100"/>
    <cellStyle name="Normal 2 2 2 2 3 3 3 2 4 2 2" xfId="30252"/>
    <cellStyle name="Normal 2 2 2 2 3 3 3 2 4 3" xfId="30253"/>
    <cellStyle name="Normal 2 2 2 2 3 3 3 2 5" xfId="12101"/>
    <cellStyle name="Normal 2 2 2 2 3 3 3 2 5 2" xfId="30254"/>
    <cellStyle name="Normal 2 2 2 2 3 3 3 2 6" xfId="12102"/>
    <cellStyle name="Normal 2 2 2 2 3 3 3 3" xfId="12103"/>
    <cellStyle name="Normal 2 2 2 2 3 3 3 3 2" xfId="12104"/>
    <cellStyle name="Normal 2 2 2 2 3 3 3 3 2 2" xfId="30255"/>
    <cellStyle name="Normal 2 2 2 2 3 3 3 3 3" xfId="30256"/>
    <cellStyle name="Normal 2 2 2 2 3 3 3 4" xfId="12105"/>
    <cellStyle name="Normal 2 2 2 2 3 3 3 4 2" xfId="12106"/>
    <cellStyle name="Normal 2 2 2 2 3 3 3 4 2 2" xfId="30257"/>
    <cellStyle name="Normal 2 2 2 2 3 3 3 4 3" xfId="30258"/>
    <cellStyle name="Normal 2 2 2 2 3 3 3 5" xfId="12107"/>
    <cellStyle name="Normal 2 2 2 2 3 3 3 5 2" xfId="12108"/>
    <cellStyle name="Normal 2 2 2 2 3 3 3 5 2 2" xfId="30259"/>
    <cellStyle name="Normal 2 2 2 2 3 3 3 5 3" xfId="30260"/>
    <cellStyle name="Normal 2 2 2 2 3 3 3 6" xfId="12109"/>
    <cellStyle name="Normal 2 2 2 2 3 3 3 6 2" xfId="30261"/>
    <cellStyle name="Normal 2 2 2 2 3 3 3 7" xfId="12110"/>
    <cellStyle name="Normal 2 2 2 2 3 3 4" xfId="690"/>
    <cellStyle name="Normal 2 2 2 2 3 3 4 2" xfId="1842"/>
    <cellStyle name="Normal 2 2 2 2 3 3 4 2 2" xfId="12111"/>
    <cellStyle name="Normal 2 2 2 2 3 3 4 2 2 2" xfId="12112"/>
    <cellStyle name="Normal 2 2 2 2 3 3 4 2 2 2 2" xfId="30262"/>
    <cellStyle name="Normal 2 2 2 2 3 3 4 2 2 3" xfId="30263"/>
    <cellStyle name="Normal 2 2 2 2 3 3 4 2 3" xfId="12113"/>
    <cellStyle name="Normal 2 2 2 2 3 3 4 2 3 2" xfId="12114"/>
    <cellStyle name="Normal 2 2 2 2 3 3 4 2 3 2 2" xfId="30264"/>
    <cellStyle name="Normal 2 2 2 2 3 3 4 2 3 3" xfId="30265"/>
    <cellStyle name="Normal 2 2 2 2 3 3 4 2 4" xfId="12115"/>
    <cellStyle name="Normal 2 2 2 2 3 3 4 2 4 2" xfId="12116"/>
    <cellStyle name="Normal 2 2 2 2 3 3 4 2 4 2 2" xfId="30266"/>
    <cellStyle name="Normal 2 2 2 2 3 3 4 2 4 3" xfId="30267"/>
    <cellStyle name="Normal 2 2 2 2 3 3 4 2 5" xfId="12117"/>
    <cellStyle name="Normal 2 2 2 2 3 3 4 2 5 2" xfId="30268"/>
    <cellStyle name="Normal 2 2 2 2 3 3 4 2 6" xfId="12118"/>
    <cellStyle name="Normal 2 2 2 2 3 3 4 3" xfId="12119"/>
    <cellStyle name="Normal 2 2 2 2 3 3 4 3 2" xfId="12120"/>
    <cellStyle name="Normal 2 2 2 2 3 3 4 3 2 2" xfId="30269"/>
    <cellStyle name="Normal 2 2 2 2 3 3 4 3 3" xfId="30270"/>
    <cellStyle name="Normal 2 2 2 2 3 3 4 4" xfId="12121"/>
    <cellStyle name="Normal 2 2 2 2 3 3 4 4 2" xfId="12122"/>
    <cellStyle name="Normal 2 2 2 2 3 3 4 4 2 2" xfId="30271"/>
    <cellStyle name="Normal 2 2 2 2 3 3 4 4 3" xfId="30272"/>
    <cellStyle name="Normal 2 2 2 2 3 3 4 5" xfId="12123"/>
    <cellStyle name="Normal 2 2 2 2 3 3 4 5 2" xfId="12124"/>
    <cellStyle name="Normal 2 2 2 2 3 3 4 5 2 2" xfId="30273"/>
    <cellStyle name="Normal 2 2 2 2 3 3 4 5 3" xfId="30274"/>
    <cellStyle name="Normal 2 2 2 2 3 3 4 6" xfId="12125"/>
    <cellStyle name="Normal 2 2 2 2 3 3 4 6 2" xfId="30275"/>
    <cellStyle name="Normal 2 2 2 2 3 3 4 7" xfId="12126"/>
    <cellStyle name="Normal 2 2 2 2 3 3 5" xfId="1843"/>
    <cellStyle name="Normal 2 2 2 2 3 3 5 2" xfId="12127"/>
    <cellStyle name="Normal 2 2 2 2 3 3 5 2 2" xfId="12128"/>
    <cellStyle name="Normal 2 2 2 2 3 3 5 2 2 2" xfId="30276"/>
    <cellStyle name="Normal 2 2 2 2 3 3 5 2 3" xfId="30277"/>
    <cellStyle name="Normal 2 2 2 2 3 3 5 3" xfId="12129"/>
    <cellStyle name="Normal 2 2 2 2 3 3 5 3 2" xfId="12130"/>
    <cellStyle name="Normal 2 2 2 2 3 3 5 3 2 2" xfId="30278"/>
    <cellStyle name="Normal 2 2 2 2 3 3 5 3 3" xfId="30279"/>
    <cellStyle name="Normal 2 2 2 2 3 3 5 4" xfId="12131"/>
    <cellStyle name="Normal 2 2 2 2 3 3 5 4 2" xfId="12132"/>
    <cellStyle name="Normal 2 2 2 2 3 3 5 4 2 2" xfId="30280"/>
    <cellStyle name="Normal 2 2 2 2 3 3 5 4 3" xfId="30281"/>
    <cellStyle name="Normal 2 2 2 2 3 3 5 5" xfId="12133"/>
    <cellStyle name="Normal 2 2 2 2 3 3 5 5 2" xfId="30282"/>
    <cellStyle name="Normal 2 2 2 2 3 3 5 6" xfId="12134"/>
    <cellStyle name="Normal 2 2 2 2 3 3 6" xfId="12135"/>
    <cellStyle name="Normal 2 2 2 2 3 3 6 2" xfId="12136"/>
    <cellStyle name="Normal 2 2 2 2 3 3 6 2 2" xfId="30283"/>
    <cellStyle name="Normal 2 2 2 2 3 3 6 3" xfId="30284"/>
    <cellStyle name="Normal 2 2 2 2 3 3 7" xfId="12137"/>
    <cellStyle name="Normal 2 2 2 2 3 3 7 2" xfId="12138"/>
    <cellStyle name="Normal 2 2 2 2 3 3 7 2 2" xfId="30285"/>
    <cellStyle name="Normal 2 2 2 2 3 3 7 3" xfId="30286"/>
    <cellStyle name="Normal 2 2 2 2 3 3 8" xfId="12139"/>
    <cellStyle name="Normal 2 2 2 2 3 3 8 2" xfId="12140"/>
    <cellStyle name="Normal 2 2 2 2 3 3 8 2 2" xfId="30287"/>
    <cellStyle name="Normal 2 2 2 2 3 3 8 3" xfId="30288"/>
    <cellStyle name="Normal 2 2 2 2 3 3 9" xfId="12141"/>
    <cellStyle name="Normal 2 2 2 2 3 3 9 2" xfId="30289"/>
    <cellStyle name="Normal 2 2 2 2 3 4" xfId="168"/>
    <cellStyle name="Normal 2 2 2 2 3 4 2" xfId="956"/>
    <cellStyle name="Normal 2 2 2 2 3 4 2 2" xfId="1844"/>
    <cellStyle name="Normal 2 2 2 2 3 4 2 2 2" xfId="12142"/>
    <cellStyle name="Normal 2 2 2 2 3 4 2 2 2 2" xfId="12143"/>
    <cellStyle name="Normal 2 2 2 2 3 4 2 2 2 2 2" xfId="30290"/>
    <cellStyle name="Normal 2 2 2 2 3 4 2 2 2 3" xfId="30291"/>
    <cellStyle name="Normal 2 2 2 2 3 4 2 2 3" xfId="12144"/>
    <cellStyle name="Normal 2 2 2 2 3 4 2 2 3 2" xfId="12145"/>
    <cellStyle name="Normal 2 2 2 2 3 4 2 2 3 2 2" xfId="30292"/>
    <cellStyle name="Normal 2 2 2 2 3 4 2 2 3 3" xfId="30293"/>
    <cellStyle name="Normal 2 2 2 2 3 4 2 2 4" xfId="12146"/>
    <cellStyle name="Normal 2 2 2 2 3 4 2 2 4 2" xfId="12147"/>
    <cellStyle name="Normal 2 2 2 2 3 4 2 2 4 2 2" xfId="30294"/>
    <cellStyle name="Normal 2 2 2 2 3 4 2 2 4 3" xfId="30295"/>
    <cellStyle name="Normal 2 2 2 2 3 4 2 2 5" xfId="12148"/>
    <cellStyle name="Normal 2 2 2 2 3 4 2 2 5 2" xfId="30296"/>
    <cellStyle name="Normal 2 2 2 2 3 4 2 2 6" xfId="12149"/>
    <cellStyle name="Normal 2 2 2 2 3 4 2 3" xfId="12150"/>
    <cellStyle name="Normal 2 2 2 2 3 4 2 3 2" xfId="12151"/>
    <cellStyle name="Normal 2 2 2 2 3 4 2 3 2 2" xfId="30297"/>
    <cellStyle name="Normal 2 2 2 2 3 4 2 3 3" xfId="30298"/>
    <cellStyle name="Normal 2 2 2 2 3 4 2 4" xfId="12152"/>
    <cellStyle name="Normal 2 2 2 2 3 4 2 4 2" xfId="12153"/>
    <cellStyle name="Normal 2 2 2 2 3 4 2 4 2 2" xfId="30299"/>
    <cellStyle name="Normal 2 2 2 2 3 4 2 4 3" xfId="30300"/>
    <cellStyle name="Normal 2 2 2 2 3 4 2 5" xfId="12154"/>
    <cellStyle name="Normal 2 2 2 2 3 4 2 5 2" xfId="12155"/>
    <cellStyle name="Normal 2 2 2 2 3 4 2 5 2 2" xfId="30301"/>
    <cellStyle name="Normal 2 2 2 2 3 4 2 5 3" xfId="30302"/>
    <cellStyle name="Normal 2 2 2 2 3 4 2 6" xfId="12156"/>
    <cellStyle name="Normal 2 2 2 2 3 4 2 6 2" xfId="30303"/>
    <cellStyle name="Normal 2 2 2 2 3 4 2 7" xfId="12157"/>
    <cellStyle name="Normal 2 2 2 2 3 4 3" xfId="588"/>
    <cellStyle name="Normal 2 2 2 2 3 4 3 2" xfId="1845"/>
    <cellStyle name="Normal 2 2 2 2 3 4 3 2 2" xfId="12158"/>
    <cellStyle name="Normal 2 2 2 2 3 4 3 2 2 2" xfId="12159"/>
    <cellStyle name="Normal 2 2 2 2 3 4 3 2 2 2 2" xfId="30304"/>
    <cellStyle name="Normal 2 2 2 2 3 4 3 2 2 3" xfId="30305"/>
    <cellStyle name="Normal 2 2 2 2 3 4 3 2 3" xfId="12160"/>
    <cellStyle name="Normal 2 2 2 2 3 4 3 2 3 2" xfId="12161"/>
    <cellStyle name="Normal 2 2 2 2 3 4 3 2 3 2 2" xfId="30306"/>
    <cellStyle name="Normal 2 2 2 2 3 4 3 2 3 3" xfId="30307"/>
    <cellStyle name="Normal 2 2 2 2 3 4 3 2 4" xfId="12162"/>
    <cellStyle name="Normal 2 2 2 2 3 4 3 2 4 2" xfId="12163"/>
    <cellStyle name="Normal 2 2 2 2 3 4 3 2 4 2 2" xfId="30308"/>
    <cellStyle name="Normal 2 2 2 2 3 4 3 2 4 3" xfId="30309"/>
    <cellStyle name="Normal 2 2 2 2 3 4 3 2 5" xfId="12164"/>
    <cellStyle name="Normal 2 2 2 2 3 4 3 2 5 2" xfId="30310"/>
    <cellStyle name="Normal 2 2 2 2 3 4 3 2 6" xfId="12165"/>
    <cellStyle name="Normal 2 2 2 2 3 4 3 3" xfId="12166"/>
    <cellStyle name="Normal 2 2 2 2 3 4 3 3 2" xfId="12167"/>
    <cellStyle name="Normal 2 2 2 2 3 4 3 3 2 2" xfId="30311"/>
    <cellStyle name="Normal 2 2 2 2 3 4 3 3 3" xfId="30312"/>
    <cellStyle name="Normal 2 2 2 2 3 4 3 4" xfId="12168"/>
    <cellStyle name="Normal 2 2 2 2 3 4 3 4 2" xfId="12169"/>
    <cellStyle name="Normal 2 2 2 2 3 4 3 4 2 2" xfId="30313"/>
    <cellStyle name="Normal 2 2 2 2 3 4 3 4 3" xfId="30314"/>
    <cellStyle name="Normal 2 2 2 2 3 4 3 5" xfId="12170"/>
    <cellStyle name="Normal 2 2 2 2 3 4 3 5 2" xfId="12171"/>
    <cellStyle name="Normal 2 2 2 2 3 4 3 5 2 2" xfId="30315"/>
    <cellStyle name="Normal 2 2 2 2 3 4 3 5 3" xfId="30316"/>
    <cellStyle name="Normal 2 2 2 2 3 4 3 6" xfId="12172"/>
    <cellStyle name="Normal 2 2 2 2 3 4 3 6 2" xfId="30317"/>
    <cellStyle name="Normal 2 2 2 2 3 4 3 7" xfId="12173"/>
    <cellStyle name="Normal 2 2 2 2 3 4 4" xfId="1846"/>
    <cellStyle name="Normal 2 2 2 2 3 4 4 2" xfId="12174"/>
    <cellStyle name="Normal 2 2 2 2 3 4 4 2 2" xfId="12175"/>
    <cellStyle name="Normal 2 2 2 2 3 4 4 2 2 2" xfId="30318"/>
    <cellStyle name="Normal 2 2 2 2 3 4 4 2 3" xfId="30319"/>
    <cellStyle name="Normal 2 2 2 2 3 4 4 3" xfId="12176"/>
    <cellStyle name="Normal 2 2 2 2 3 4 4 3 2" xfId="12177"/>
    <cellStyle name="Normal 2 2 2 2 3 4 4 3 2 2" xfId="30320"/>
    <cellStyle name="Normal 2 2 2 2 3 4 4 3 3" xfId="30321"/>
    <cellStyle name="Normal 2 2 2 2 3 4 4 4" xfId="12178"/>
    <cellStyle name="Normal 2 2 2 2 3 4 4 4 2" xfId="12179"/>
    <cellStyle name="Normal 2 2 2 2 3 4 4 4 2 2" xfId="30322"/>
    <cellStyle name="Normal 2 2 2 2 3 4 4 4 3" xfId="30323"/>
    <cellStyle name="Normal 2 2 2 2 3 4 4 5" xfId="12180"/>
    <cellStyle name="Normal 2 2 2 2 3 4 4 5 2" xfId="30324"/>
    <cellStyle name="Normal 2 2 2 2 3 4 4 6" xfId="12181"/>
    <cellStyle name="Normal 2 2 2 2 3 4 5" xfId="12182"/>
    <cellStyle name="Normal 2 2 2 2 3 4 5 2" xfId="12183"/>
    <cellStyle name="Normal 2 2 2 2 3 4 5 2 2" xfId="30325"/>
    <cellStyle name="Normal 2 2 2 2 3 4 5 3" xfId="30326"/>
    <cellStyle name="Normal 2 2 2 2 3 4 6" xfId="12184"/>
    <cellStyle name="Normal 2 2 2 2 3 4 6 2" xfId="12185"/>
    <cellStyle name="Normal 2 2 2 2 3 4 6 2 2" xfId="30327"/>
    <cellStyle name="Normal 2 2 2 2 3 4 6 3" xfId="30328"/>
    <cellStyle name="Normal 2 2 2 2 3 4 7" xfId="12186"/>
    <cellStyle name="Normal 2 2 2 2 3 4 7 2" xfId="12187"/>
    <cellStyle name="Normal 2 2 2 2 3 4 7 2 2" xfId="30329"/>
    <cellStyle name="Normal 2 2 2 2 3 4 7 3" xfId="30330"/>
    <cellStyle name="Normal 2 2 2 2 3 4 8" xfId="12188"/>
    <cellStyle name="Normal 2 2 2 2 3 4 8 2" xfId="30331"/>
    <cellStyle name="Normal 2 2 2 2 3 4 9" xfId="12189"/>
    <cellStyle name="Normal 2 2 2 2 3 5" xfId="326"/>
    <cellStyle name="Normal 2 2 2 2 3 5 2" xfId="1114"/>
    <cellStyle name="Normal 2 2 2 2 3 5 2 2" xfId="1847"/>
    <cellStyle name="Normal 2 2 2 2 3 5 2 2 2" xfId="12190"/>
    <cellStyle name="Normal 2 2 2 2 3 5 2 2 2 2" xfId="12191"/>
    <cellStyle name="Normal 2 2 2 2 3 5 2 2 2 2 2" xfId="30332"/>
    <cellStyle name="Normal 2 2 2 2 3 5 2 2 2 3" xfId="30333"/>
    <cellStyle name="Normal 2 2 2 2 3 5 2 2 3" xfId="12192"/>
    <cellStyle name="Normal 2 2 2 2 3 5 2 2 3 2" xfId="12193"/>
    <cellStyle name="Normal 2 2 2 2 3 5 2 2 3 2 2" xfId="30334"/>
    <cellStyle name="Normal 2 2 2 2 3 5 2 2 3 3" xfId="30335"/>
    <cellStyle name="Normal 2 2 2 2 3 5 2 2 4" xfId="12194"/>
    <cellStyle name="Normal 2 2 2 2 3 5 2 2 4 2" xfId="12195"/>
    <cellStyle name="Normal 2 2 2 2 3 5 2 2 4 2 2" xfId="30336"/>
    <cellStyle name="Normal 2 2 2 2 3 5 2 2 4 3" xfId="30337"/>
    <cellStyle name="Normal 2 2 2 2 3 5 2 2 5" xfId="12196"/>
    <cellStyle name="Normal 2 2 2 2 3 5 2 2 5 2" xfId="30338"/>
    <cellStyle name="Normal 2 2 2 2 3 5 2 2 6" xfId="12197"/>
    <cellStyle name="Normal 2 2 2 2 3 5 2 3" xfId="12198"/>
    <cellStyle name="Normal 2 2 2 2 3 5 2 3 2" xfId="12199"/>
    <cellStyle name="Normal 2 2 2 2 3 5 2 3 2 2" xfId="30339"/>
    <cellStyle name="Normal 2 2 2 2 3 5 2 3 3" xfId="30340"/>
    <cellStyle name="Normal 2 2 2 2 3 5 2 4" xfId="12200"/>
    <cellStyle name="Normal 2 2 2 2 3 5 2 4 2" xfId="12201"/>
    <cellStyle name="Normal 2 2 2 2 3 5 2 4 2 2" xfId="30341"/>
    <cellStyle name="Normal 2 2 2 2 3 5 2 4 3" xfId="30342"/>
    <cellStyle name="Normal 2 2 2 2 3 5 2 5" xfId="12202"/>
    <cellStyle name="Normal 2 2 2 2 3 5 2 5 2" xfId="12203"/>
    <cellStyle name="Normal 2 2 2 2 3 5 2 5 2 2" xfId="30343"/>
    <cellStyle name="Normal 2 2 2 2 3 5 2 5 3" xfId="30344"/>
    <cellStyle name="Normal 2 2 2 2 3 5 2 6" xfId="12204"/>
    <cellStyle name="Normal 2 2 2 2 3 5 2 6 2" xfId="30345"/>
    <cellStyle name="Normal 2 2 2 2 3 5 2 7" xfId="12205"/>
    <cellStyle name="Normal 2 2 2 2 3 5 3" xfId="746"/>
    <cellStyle name="Normal 2 2 2 2 3 5 3 2" xfId="1848"/>
    <cellStyle name="Normal 2 2 2 2 3 5 3 2 2" xfId="12206"/>
    <cellStyle name="Normal 2 2 2 2 3 5 3 2 2 2" xfId="12207"/>
    <cellStyle name="Normal 2 2 2 2 3 5 3 2 2 2 2" xfId="30346"/>
    <cellStyle name="Normal 2 2 2 2 3 5 3 2 2 3" xfId="30347"/>
    <cellStyle name="Normal 2 2 2 2 3 5 3 2 3" xfId="12208"/>
    <cellStyle name="Normal 2 2 2 2 3 5 3 2 3 2" xfId="12209"/>
    <cellStyle name="Normal 2 2 2 2 3 5 3 2 3 2 2" xfId="30348"/>
    <cellStyle name="Normal 2 2 2 2 3 5 3 2 3 3" xfId="30349"/>
    <cellStyle name="Normal 2 2 2 2 3 5 3 2 4" xfId="12210"/>
    <cellStyle name="Normal 2 2 2 2 3 5 3 2 4 2" xfId="12211"/>
    <cellStyle name="Normal 2 2 2 2 3 5 3 2 4 2 2" xfId="30350"/>
    <cellStyle name="Normal 2 2 2 2 3 5 3 2 4 3" xfId="30351"/>
    <cellStyle name="Normal 2 2 2 2 3 5 3 2 5" xfId="12212"/>
    <cellStyle name="Normal 2 2 2 2 3 5 3 2 5 2" xfId="30352"/>
    <cellStyle name="Normal 2 2 2 2 3 5 3 2 6" xfId="12213"/>
    <cellStyle name="Normal 2 2 2 2 3 5 3 3" xfId="12214"/>
    <cellStyle name="Normal 2 2 2 2 3 5 3 3 2" xfId="12215"/>
    <cellStyle name="Normal 2 2 2 2 3 5 3 3 2 2" xfId="30353"/>
    <cellStyle name="Normal 2 2 2 2 3 5 3 3 3" xfId="30354"/>
    <cellStyle name="Normal 2 2 2 2 3 5 3 4" xfId="12216"/>
    <cellStyle name="Normal 2 2 2 2 3 5 3 4 2" xfId="12217"/>
    <cellStyle name="Normal 2 2 2 2 3 5 3 4 2 2" xfId="30355"/>
    <cellStyle name="Normal 2 2 2 2 3 5 3 4 3" xfId="30356"/>
    <cellStyle name="Normal 2 2 2 2 3 5 3 5" xfId="12218"/>
    <cellStyle name="Normal 2 2 2 2 3 5 3 5 2" xfId="12219"/>
    <cellStyle name="Normal 2 2 2 2 3 5 3 5 2 2" xfId="30357"/>
    <cellStyle name="Normal 2 2 2 2 3 5 3 5 3" xfId="30358"/>
    <cellStyle name="Normal 2 2 2 2 3 5 3 6" xfId="12220"/>
    <cellStyle name="Normal 2 2 2 2 3 5 3 6 2" xfId="30359"/>
    <cellStyle name="Normal 2 2 2 2 3 5 3 7" xfId="12221"/>
    <cellStyle name="Normal 2 2 2 2 3 5 4" xfId="1849"/>
    <cellStyle name="Normal 2 2 2 2 3 5 4 2" xfId="12222"/>
    <cellStyle name="Normal 2 2 2 2 3 5 4 2 2" xfId="12223"/>
    <cellStyle name="Normal 2 2 2 2 3 5 4 2 2 2" xfId="30360"/>
    <cellStyle name="Normal 2 2 2 2 3 5 4 2 3" xfId="30361"/>
    <cellStyle name="Normal 2 2 2 2 3 5 4 3" xfId="12224"/>
    <cellStyle name="Normal 2 2 2 2 3 5 4 3 2" xfId="12225"/>
    <cellStyle name="Normal 2 2 2 2 3 5 4 3 2 2" xfId="30362"/>
    <cellStyle name="Normal 2 2 2 2 3 5 4 3 3" xfId="30363"/>
    <cellStyle name="Normal 2 2 2 2 3 5 4 4" xfId="12226"/>
    <cellStyle name="Normal 2 2 2 2 3 5 4 4 2" xfId="12227"/>
    <cellStyle name="Normal 2 2 2 2 3 5 4 4 2 2" xfId="30364"/>
    <cellStyle name="Normal 2 2 2 2 3 5 4 4 3" xfId="30365"/>
    <cellStyle name="Normal 2 2 2 2 3 5 4 5" xfId="12228"/>
    <cellStyle name="Normal 2 2 2 2 3 5 4 5 2" xfId="30366"/>
    <cellStyle name="Normal 2 2 2 2 3 5 4 6" xfId="12229"/>
    <cellStyle name="Normal 2 2 2 2 3 5 5" xfId="12230"/>
    <cellStyle name="Normal 2 2 2 2 3 5 5 2" xfId="12231"/>
    <cellStyle name="Normal 2 2 2 2 3 5 5 2 2" xfId="30367"/>
    <cellStyle name="Normal 2 2 2 2 3 5 5 3" xfId="30368"/>
    <cellStyle name="Normal 2 2 2 2 3 5 6" xfId="12232"/>
    <cellStyle name="Normal 2 2 2 2 3 5 6 2" xfId="12233"/>
    <cellStyle name="Normal 2 2 2 2 3 5 6 2 2" xfId="30369"/>
    <cellStyle name="Normal 2 2 2 2 3 5 6 3" xfId="30370"/>
    <cellStyle name="Normal 2 2 2 2 3 5 7" xfId="12234"/>
    <cellStyle name="Normal 2 2 2 2 3 5 7 2" xfId="12235"/>
    <cellStyle name="Normal 2 2 2 2 3 5 7 2 2" xfId="30371"/>
    <cellStyle name="Normal 2 2 2 2 3 5 7 3" xfId="30372"/>
    <cellStyle name="Normal 2 2 2 2 3 5 8" xfId="12236"/>
    <cellStyle name="Normal 2 2 2 2 3 5 8 2" xfId="30373"/>
    <cellStyle name="Normal 2 2 2 2 3 5 9" xfId="12237"/>
    <cellStyle name="Normal 2 2 2 2 3 6" xfId="115"/>
    <cellStyle name="Normal 2 2 2 2 3 6 2" xfId="536"/>
    <cellStyle name="Normal 2 2 2 2 3 6 2 2" xfId="1850"/>
    <cellStyle name="Normal 2 2 2 2 3 6 2 2 2" xfId="12238"/>
    <cellStyle name="Normal 2 2 2 2 3 6 2 2 2 2" xfId="12239"/>
    <cellStyle name="Normal 2 2 2 2 3 6 2 2 2 2 2" xfId="30374"/>
    <cellStyle name="Normal 2 2 2 2 3 6 2 2 2 3" xfId="30375"/>
    <cellStyle name="Normal 2 2 2 2 3 6 2 2 3" xfId="12240"/>
    <cellStyle name="Normal 2 2 2 2 3 6 2 2 3 2" xfId="12241"/>
    <cellStyle name="Normal 2 2 2 2 3 6 2 2 3 2 2" xfId="30376"/>
    <cellStyle name="Normal 2 2 2 2 3 6 2 2 3 3" xfId="30377"/>
    <cellStyle name="Normal 2 2 2 2 3 6 2 2 4" xfId="12242"/>
    <cellStyle name="Normal 2 2 2 2 3 6 2 2 4 2" xfId="12243"/>
    <cellStyle name="Normal 2 2 2 2 3 6 2 2 4 2 2" xfId="30378"/>
    <cellStyle name="Normal 2 2 2 2 3 6 2 2 4 3" xfId="30379"/>
    <cellStyle name="Normal 2 2 2 2 3 6 2 2 5" xfId="12244"/>
    <cellStyle name="Normal 2 2 2 2 3 6 2 2 5 2" xfId="30380"/>
    <cellStyle name="Normal 2 2 2 2 3 6 2 2 6" xfId="12245"/>
    <cellStyle name="Normal 2 2 2 2 3 6 2 3" xfId="12246"/>
    <cellStyle name="Normal 2 2 2 2 3 6 2 3 2" xfId="12247"/>
    <cellStyle name="Normal 2 2 2 2 3 6 2 3 2 2" xfId="30381"/>
    <cellStyle name="Normal 2 2 2 2 3 6 2 3 3" xfId="30382"/>
    <cellStyle name="Normal 2 2 2 2 3 6 2 4" xfId="12248"/>
    <cellStyle name="Normal 2 2 2 2 3 6 2 4 2" xfId="12249"/>
    <cellStyle name="Normal 2 2 2 2 3 6 2 4 2 2" xfId="30383"/>
    <cellStyle name="Normal 2 2 2 2 3 6 2 4 3" xfId="30384"/>
    <cellStyle name="Normal 2 2 2 2 3 6 2 5" xfId="12250"/>
    <cellStyle name="Normal 2 2 2 2 3 6 2 5 2" xfId="12251"/>
    <cellStyle name="Normal 2 2 2 2 3 6 2 5 2 2" xfId="30385"/>
    <cellStyle name="Normal 2 2 2 2 3 6 2 5 3" xfId="30386"/>
    <cellStyle name="Normal 2 2 2 2 3 6 2 6" xfId="12252"/>
    <cellStyle name="Normal 2 2 2 2 3 6 2 6 2" xfId="30387"/>
    <cellStyle name="Normal 2 2 2 2 3 6 2 7" xfId="12253"/>
    <cellStyle name="Normal 2 2 2 2 3 6 3" xfId="1851"/>
    <cellStyle name="Normal 2 2 2 2 3 6 3 2" xfId="12254"/>
    <cellStyle name="Normal 2 2 2 2 3 6 3 2 2" xfId="12255"/>
    <cellStyle name="Normal 2 2 2 2 3 6 3 2 2 2" xfId="30388"/>
    <cellStyle name="Normal 2 2 2 2 3 6 3 2 3" xfId="30389"/>
    <cellStyle name="Normal 2 2 2 2 3 6 3 3" xfId="12256"/>
    <cellStyle name="Normal 2 2 2 2 3 6 3 3 2" xfId="12257"/>
    <cellStyle name="Normal 2 2 2 2 3 6 3 3 2 2" xfId="30390"/>
    <cellStyle name="Normal 2 2 2 2 3 6 3 3 3" xfId="30391"/>
    <cellStyle name="Normal 2 2 2 2 3 6 3 4" xfId="12258"/>
    <cellStyle name="Normal 2 2 2 2 3 6 3 4 2" xfId="12259"/>
    <cellStyle name="Normal 2 2 2 2 3 6 3 4 2 2" xfId="30392"/>
    <cellStyle name="Normal 2 2 2 2 3 6 3 4 3" xfId="30393"/>
    <cellStyle name="Normal 2 2 2 2 3 6 3 5" xfId="12260"/>
    <cellStyle name="Normal 2 2 2 2 3 6 3 5 2" xfId="30394"/>
    <cellStyle name="Normal 2 2 2 2 3 6 3 6" xfId="12261"/>
    <cellStyle name="Normal 2 2 2 2 3 6 4" xfId="12262"/>
    <cellStyle name="Normal 2 2 2 2 3 6 4 2" xfId="12263"/>
    <cellStyle name="Normal 2 2 2 2 3 6 4 2 2" xfId="30395"/>
    <cellStyle name="Normal 2 2 2 2 3 6 4 3" xfId="30396"/>
    <cellStyle name="Normal 2 2 2 2 3 6 5" xfId="12264"/>
    <cellStyle name="Normal 2 2 2 2 3 6 5 2" xfId="12265"/>
    <cellStyle name="Normal 2 2 2 2 3 6 5 2 2" xfId="30397"/>
    <cellStyle name="Normal 2 2 2 2 3 6 5 3" xfId="30398"/>
    <cellStyle name="Normal 2 2 2 2 3 6 6" xfId="12266"/>
    <cellStyle name="Normal 2 2 2 2 3 6 6 2" xfId="12267"/>
    <cellStyle name="Normal 2 2 2 2 3 6 6 2 2" xfId="30399"/>
    <cellStyle name="Normal 2 2 2 2 3 6 6 3" xfId="30400"/>
    <cellStyle name="Normal 2 2 2 2 3 6 7" xfId="12268"/>
    <cellStyle name="Normal 2 2 2 2 3 6 7 2" xfId="30401"/>
    <cellStyle name="Normal 2 2 2 2 3 6 8" xfId="12269"/>
    <cellStyle name="Normal 2 2 2 2 3 7" xfId="904"/>
    <cellStyle name="Normal 2 2 2 2 3 7 2" xfId="1852"/>
    <cellStyle name="Normal 2 2 2 2 3 7 2 2" xfId="12270"/>
    <cellStyle name="Normal 2 2 2 2 3 7 2 2 2" xfId="12271"/>
    <cellStyle name="Normal 2 2 2 2 3 7 2 2 2 2" xfId="30402"/>
    <cellStyle name="Normal 2 2 2 2 3 7 2 2 3" xfId="30403"/>
    <cellStyle name="Normal 2 2 2 2 3 7 2 3" xfId="12272"/>
    <cellStyle name="Normal 2 2 2 2 3 7 2 3 2" xfId="12273"/>
    <cellStyle name="Normal 2 2 2 2 3 7 2 3 2 2" xfId="30404"/>
    <cellStyle name="Normal 2 2 2 2 3 7 2 3 3" xfId="30405"/>
    <cellStyle name="Normal 2 2 2 2 3 7 2 4" xfId="12274"/>
    <cellStyle name="Normal 2 2 2 2 3 7 2 4 2" xfId="12275"/>
    <cellStyle name="Normal 2 2 2 2 3 7 2 4 2 2" xfId="30406"/>
    <cellStyle name="Normal 2 2 2 2 3 7 2 4 3" xfId="30407"/>
    <cellStyle name="Normal 2 2 2 2 3 7 2 5" xfId="12276"/>
    <cellStyle name="Normal 2 2 2 2 3 7 2 5 2" xfId="30408"/>
    <cellStyle name="Normal 2 2 2 2 3 7 2 6" xfId="12277"/>
    <cellStyle name="Normal 2 2 2 2 3 7 3" xfId="12278"/>
    <cellStyle name="Normal 2 2 2 2 3 7 3 2" xfId="12279"/>
    <cellStyle name="Normal 2 2 2 2 3 7 3 2 2" xfId="30409"/>
    <cellStyle name="Normal 2 2 2 2 3 7 3 3" xfId="30410"/>
    <cellStyle name="Normal 2 2 2 2 3 7 4" xfId="12280"/>
    <cellStyle name="Normal 2 2 2 2 3 7 4 2" xfId="12281"/>
    <cellStyle name="Normal 2 2 2 2 3 7 4 2 2" xfId="30411"/>
    <cellStyle name="Normal 2 2 2 2 3 7 4 3" xfId="30412"/>
    <cellStyle name="Normal 2 2 2 2 3 7 5" xfId="12282"/>
    <cellStyle name="Normal 2 2 2 2 3 7 5 2" xfId="12283"/>
    <cellStyle name="Normal 2 2 2 2 3 7 5 2 2" xfId="30413"/>
    <cellStyle name="Normal 2 2 2 2 3 7 5 3" xfId="30414"/>
    <cellStyle name="Normal 2 2 2 2 3 7 6" xfId="12284"/>
    <cellStyle name="Normal 2 2 2 2 3 7 6 2" xfId="30415"/>
    <cellStyle name="Normal 2 2 2 2 3 7 7" xfId="12285"/>
    <cellStyle name="Normal 2 2 2 2 3 8" xfId="483"/>
    <cellStyle name="Normal 2 2 2 2 3 8 2" xfId="1853"/>
    <cellStyle name="Normal 2 2 2 2 3 8 2 2" xfId="12286"/>
    <cellStyle name="Normal 2 2 2 2 3 8 2 2 2" xfId="12287"/>
    <cellStyle name="Normal 2 2 2 2 3 8 2 2 2 2" xfId="30416"/>
    <cellStyle name="Normal 2 2 2 2 3 8 2 2 3" xfId="30417"/>
    <cellStyle name="Normal 2 2 2 2 3 8 2 3" xfId="12288"/>
    <cellStyle name="Normal 2 2 2 2 3 8 2 3 2" xfId="12289"/>
    <cellStyle name="Normal 2 2 2 2 3 8 2 3 2 2" xfId="30418"/>
    <cellStyle name="Normal 2 2 2 2 3 8 2 3 3" xfId="30419"/>
    <cellStyle name="Normal 2 2 2 2 3 8 2 4" xfId="12290"/>
    <cellStyle name="Normal 2 2 2 2 3 8 2 4 2" xfId="12291"/>
    <cellStyle name="Normal 2 2 2 2 3 8 2 4 2 2" xfId="30420"/>
    <cellStyle name="Normal 2 2 2 2 3 8 2 4 3" xfId="30421"/>
    <cellStyle name="Normal 2 2 2 2 3 8 2 5" xfId="12292"/>
    <cellStyle name="Normal 2 2 2 2 3 8 2 5 2" xfId="30422"/>
    <cellStyle name="Normal 2 2 2 2 3 8 2 6" xfId="12293"/>
    <cellStyle name="Normal 2 2 2 2 3 8 3" xfId="12294"/>
    <cellStyle name="Normal 2 2 2 2 3 8 3 2" xfId="12295"/>
    <cellStyle name="Normal 2 2 2 2 3 8 3 2 2" xfId="30423"/>
    <cellStyle name="Normal 2 2 2 2 3 8 3 3" xfId="30424"/>
    <cellStyle name="Normal 2 2 2 2 3 8 4" xfId="12296"/>
    <cellStyle name="Normal 2 2 2 2 3 8 4 2" xfId="12297"/>
    <cellStyle name="Normal 2 2 2 2 3 8 4 2 2" xfId="30425"/>
    <cellStyle name="Normal 2 2 2 2 3 8 4 3" xfId="30426"/>
    <cellStyle name="Normal 2 2 2 2 3 8 5" xfId="12298"/>
    <cellStyle name="Normal 2 2 2 2 3 8 5 2" xfId="12299"/>
    <cellStyle name="Normal 2 2 2 2 3 8 5 2 2" xfId="30427"/>
    <cellStyle name="Normal 2 2 2 2 3 8 5 3" xfId="30428"/>
    <cellStyle name="Normal 2 2 2 2 3 8 6" xfId="12300"/>
    <cellStyle name="Normal 2 2 2 2 3 8 6 2" xfId="30429"/>
    <cellStyle name="Normal 2 2 2 2 3 8 7" xfId="12301"/>
    <cellStyle name="Normal 2 2 2 2 3 9" xfId="1854"/>
    <cellStyle name="Normal 2 2 2 2 3 9 2" xfId="12302"/>
    <cellStyle name="Normal 2 2 2 2 3 9 2 2" xfId="12303"/>
    <cellStyle name="Normal 2 2 2 2 3 9 2 2 2" xfId="30430"/>
    <cellStyle name="Normal 2 2 2 2 3 9 2 3" xfId="30431"/>
    <cellStyle name="Normal 2 2 2 2 3 9 3" xfId="12304"/>
    <cellStyle name="Normal 2 2 2 2 3 9 3 2" xfId="12305"/>
    <cellStyle name="Normal 2 2 2 2 3 9 3 2 2" xfId="30432"/>
    <cellStyle name="Normal 2 2 2 2 3 9 3 3" xfId="30433"/>
    <cellStyle name="Normal 2 2 2 2 3 9 4" xfId="12306"/>
    <cellStyle name="Normal 2 2 2 2 3 9 4 2" xfId="12307"/>
    <cellStyle name="Normal 2 2 2 2 3 9 4 2 2" xfId="30434"/>
    <cellStyle name="Normal 2 2 2 2 3 9 4 3" xfId="30435"/>
    <cellStyle name="Normal 2 2 2 2 3 9 5" xfId="12308"/>
    <cellStyle name="Normal 2 2 2 2 3 9 5 2" xfId="30436"/>
    <cellStyle name="Normal 2 2 2 2 3 9 6" xfId="12309"/>
    <cellStyle name="Normal 2 2 2 2 4" xfId="217"/>
    <cellStyle name="Normal 2 2 2 2 4 10" xfId="12310"/>
    <cellStyle name="Normal 2 2 2 2 4 2" xfId="375"/>
    <cellStyle name="Normal 2 2 2 2 4 2 2" xfId="1163"/>
    <cellStyle name="Normal 2 2 2 2 4 2 2 2" xfId="1855"/>
    <cellStyle name="Normal 2 2 2 2 4 2 2 2 2" xfId="12311"/>
    <cellStyle name="Normal 2 2 2 2 4 2 2 2 2 2" xfId="12312"/>
    <cellStyle name="Normal 2 2 2 2 4 2 2 2 2 2 2" xfId="30437"/>
    <cellStyle name="Normal 2 2 2 2 4 2 2 2 2 3" xfId="30438"/>
    <cellStyle name="Normal 2 2 2 2 4 2 2 2 3" xfId="12313"/>
    <cellStyle name="Normal 2 2 2 2 4 2 2 2 3 2" xfId="12314"/>
    <cellStyle name="Normal 2 2 2 2 4 2 2 2 3 2 2" xfId="30439"/>
    <cellStyle name="Normal 2 2 2 2 4 2 2 2 3 3" xfId="30440"/>
    <cellStyle name="Normal 2 2 2 2 4 2 2 2 4" xfId="12315"/>
    <cellStyle name="Normal 2 2 2 2 4 2 2 2 4 2" xfId="12316"/>
    <cellStyle name="Normal 2 2 2 2 4 2 2 2 4 2 2" xfId="30441"/>
    <cellStyle name="Normal 2 2 2 2 4 2 2 2 4 3" xfId="30442"/>
    <cellStyle name="Normal 2 2 2 2 4 2 2 2 5" xfId="12317"/>
    <cellStyle name="Normal 2 2 2 2 4 2 2 2 5 2" xfId="30443"/>
    <cellStyle name="Normal 2 2 2 2 4 2 2 2 6" xfId="12318"/>
    <cellStyle name="Normal 2 2 2 2 4 2 2 3" xfId="12319"/>
    <cellStyle name="Normal 2 2 2 2 4 2 2 3 2" xfId="12320"/>
    <cellStyle name="Normal 2 2 2 2 4 2 2 3 2 2" xfId="30444"/>
    <cellStyle name="Normal 2 2 2 2 4 2 2 3 3" xfId="30445"/>
    <cellStyle name="Normal 2 2 2 2 4 2 2 4" xfId="12321"/>
    <cellStyle name="Normal 2 2 2 2 4 2 2 4 2" xfId="12322"/>
    <cellStyle name="Normal 2 2 2 2 4 2 2 4 2 2" xfId="30446"/>
    <cellStyle name="Normal 2 2 2 2 4 2 2 4 3" xfId="30447"/>
    <cellStyle name="Normal 2 2 2 2 4 2 2 5" xfId="12323"/>
    <cellStyle name="Normal 2 2 2 2 4 2 2 5 2" xfId="12324"/>
    <cellStyle name="Normal 2 2 2 2 4 2 2 5 2 2" xfId="30448"/>
    <cellStyle name="Normal 2 2 2 2 4 2 2 5 3" xfId="30449"/>
    <cellStyle name="Normal 2 2 2 2 4 2 2 6" xfId="12325"/>
    <cellStyle name="Normal 2 2 2 2 4 2 2 6 2" xfId="30450"/>
    <cellStyle name="Normal 2 2 2 2 4 2 2 7" xfId="12326"/>
    <cellStyle name="Normal 2 2 2 2 4 2 3" xfId="795"/>
    <cellStyle name="Normal 2 2 2 2 4 2 3 2" xfId="1856"/>
    <cellStyle name="Normal 2 2 2 2 4 2 3 2 2" xfId="12327"/>
    <cellStyle name="Normal 2 2 2 2 4 2 3 2 2 2" xfId="12328"/>
    <cellStyle name="Normal 2 2 2 2 4 2 3 2 2 2 2" xfId="30451"/>
    <cellStyle name="Normal 2 2 2 2 4 2 3 2 2 3" xfId="30452"/>
    <cellStyle name="Normal 2 2 2 2 4 2 3 2 3" xfId="12329"/>
    <cellStyle name="Normal 2 2 2 2 4 2 3 2 3 2" xfId="12330"/>
    <cellStyle name="Normal 2 2 2 2 4 2 3 2 3 2 2" xfId="30453"/>
    <cellStyle name="Normal 2 2 2 2 4 2 3 2 3 3" xfId="30454"/>
    <cellStyle name="Normal 2 2 2 2 4 2 3 2 4" xfId="12331"/>
    <cellStyle name="Normal 2 2 2 2 4 2 3 2 4 2" xfId="12332"/>
    <cellStyle name="Normal 2 2 2 2 4 2 3 2 4 2 2" xfId="30455"/>
    <cellStyle name="Normal 2 2 2 2 4 2 3 2 4 3" xfId="30456"/>
    <cellStyle name="Normal 2 2 2 2 4 2 3 2 5" xfId="12333"/>
    <cellStyle name="Normal 2 2 2 2 4 2 3 2 5 2" xfId="30457"/>
    <cellStyle name="Normal 2 2 2 2 4 2 3 2 6" xfId="12334"/>
    <cellStyle name="Normal 2 2 2 2 4 2 3 3" xfId="12335"/>
    <cellStyle name="Normal 2 2 2 2 4 2 3 3 2" xfId="12336"/>
    <cellStyle name="Normal 2 2 2 2 4 2 3 3 2 2" xfId="30458"/>
    <cellStyle name="Normal 2 2 2 2 4 2 3 3 3" xfId="30459"/>
    <cellStyle name="Normal 2 2 2 2 4 2 3 4" xfId="12337"/>
    <cellStyle name="Normal 2 2 2 2 4 2 3 4 2" xfId="12338"/>
    <cellStyle name="Normal 2 2 2 2 4 2 3 4 2 2" xfId="30460"/>
    <cellStyle name="Normal 2 2 2 2 4 2 3 4 3" xfId="30461"/>
    <cellStyle name="Normal 2 2 2 2 4 2 3 5" xfId="12339"/>
    <cellStyle name="Normal 2 2 2 2 4 2 3 5 2" xfId="12340"/>
    <cellStyle name="Normal 2 2 2 2 4 2 3 5 2 2" xfId="30462"/>
    <cellStyle name="Normal 2 2 2 2 4 2 3 5 3" xfId="30463"/>
    <cellStyle name="Normal 2 2 2 2 4 2 3 6" xfId="12341"/>
    <cellStyle name="Normal 2 2 2 2 4 2 3 6 2" xfId="30464"/>
    <cellStyle name="Normal 2 2 2 2 4 2 3 7" xfId="12342"/>
    <cellStyle name="Normal 2 2 2 2 4 2 4" xfId="1857"/>
    <cellStyle name="Normal 2 2 2 2 4 2 4 2" xfId="12343"/>
    <cellStyle name="Normal 2 2 2 2 4 2 4 2 2" xfId="12344"/>
    <cellStyle name="Normal 2 2 2 2 4 2 4 2 2 2" xfId="30465"/>
    <cellStyle name="Normal 2 2 2 2 4 2 4 2 3" xfId="30466"/>
    <cellStyle name="Normal 2 2 2 2 4 2 4 3" xfId="12345"/>
    <cellStyle name="Normal 2 2 2 2 4 2 4 3 2" xfId="12346"/>
    <cellStyle name="Normal 2 2 2 2 4 2 4 3 2 2" xfId="30467"/>
    <cellStyle name="Normal 2 2 2 2 4 2 4 3 3" xfId="30468"/>
    <cellStyle name="Normal 2 2 2 2 4 2 4 4" xfId="12347"/>
    <cellStyle name="Normal 2 2 2 2 4 2 4 4 2" xfId="12348"/>
    <cellStyle name="Normal 2 2 2 2 4 2 4 4 2 2" xfId="30469"/>
    <cellStyle name="Normal 2 2 2 2 4 2 4 4 3" xfId="30470"/>
    <cellStyle name="Normal 2 2 2 2 4 2 4 5" xfId="12349"/>
    <cellStyle name="Normal 2 2 2 2 4 2 4 5 2" xfId="30471"/>
    <cellStyle name="Normal 2 2 2 2 4 2 4 6" xfId="12350"/>
    <cellStyle name="Normal 2 2 2 2 4 2 5" xfId="12351"/>
    <cellStyle name="Normal 2 2 2 2 4 2 5 2" xfId="12352"/>
    <cellStyle name="Normal 2 2 2 2 4 2 5 2 2" xfId="30472"/>
    <cellStyle name="Normal 2 2 2 2 4 2 5 3" xfId="30473"/>
    <cellStyle name="Normal 2 2 2 2 4 2 6" xfId="12353"/>
    <cellStyle name="Normal 2 2 2 2 4 2 6 2" xfId="12354"/>
    <cellStyle name="Normal 2 2 2 2 4 2 6 2 2" xfId="30474"/>
    <cellStyle name="Normal 2 2 2 2 4 2 6 3" xfId="30475"/>
    <cellStyle name="Normal 2 2 2 2 4 2 7" xfId="12355"/>
    <cellStyle name="Normal 2 2 2 2 4 2 7 2" xfId="12356"/>
    <cellStyle name="Normal 2 2 2 2 4 2 7 2 2" xfId="30476"/>
    <cellStyle name="Normal 2 2 2 2 4 2 7 3" xfId="30477"/>
    <cellStyle name="Normal 2 2 2 2 4 2 8" xfId="12357"/>
    <cellStyle name="Normal 2 2 2 2 4 2 8 2" xfId="30478"/>
    <cellStyle name="Normal 2 2 2 2 4 2 9" xfId="12358"/>
    <cellStyle name="Normal 2 2 2 2 4 3" xfId="1005"/>
    <cellStyle name="Normal 2 2 2 2 4 3 2" xfId="1858"/>
    <cellStyle name="Normal 2 2 2 2 4 3 2 2" xfId="12359"/>
    <cellStyle name="Normal 2 2 2 2 4 3 2 2 2" xfId="12360"/>
    <cellStyle name="Normal 2 2 2 2 4 3 2 2 2 2" xfId="30479"/>
    <cellStyle name="Normal 2 2 2 2 4 3 2 2 3" xfId="30480"/>
    <cellStyle name="Normal 2 2 2 2 4 3 2 3" xfId="12361"/>
    <cellStyle name="Normal 2 2 2 2 4 3 2 3 2" xfId="12362"/>
    <cellStyle name="Normal 2 2 2 2 4 3 2 3 2 2" xfId="30481"/>
    <cellStyle name="Normal 2 2 2 2 4 3 2 3 3" xfId="30482"/>
    <cellStyle name="Normal 2 2 2 2 4 3 2 4" xfId="12363"/>
    <cellStyle name="Normal 2 2 2 2 4 3 2 4 2" xfId="12364"/>
    <cellStyle name="Normal 2 2 2 2 4 3 2 4 2 2" xfId="30483"/>
    <cellStyle name="Normal 2 2 2 2 4 3 2 4 3" xfId="30484"/>
    <cellStyle name="Normal 2 2 2 2 4 3 2 5" xfId="12365"/>
    <cellStyle name="Normal 2 2 2 2 4 3 2 5 2" xfId="30485"/>
    <cellStyle name="Normal 2 2 2 2 4 3 2 6" xfId="12366"/>
    <cellStyle name="Normal 2 2 2 2 4 3 3" xfId="12367"/>
    <cellStyle name="Normal 2 2 2 2 4 3 3 2" xfId="12368"/>
    <cellStyle name="Normal 2 2 2 2 4 3 3 2 2" xfId="30486"/>
    <cellStyle name="Normal 2 2 2 2 4 3 3 3" xfId="30487"/>
    <cellStyle name="Normal 2 2 2 2 4 3 4" xfId="12369"/>
    <cellStyle name="Normal 2 2 2 2 4 3 4 2" xfId="12370"/>
    <cellStyle name="Normal 2 2 2 2 4 3 4 2 2" xfId="30488"/>
    <cellStyle name="Normal 2 2 2 2 4 3 4 3" xfId="30489"/>
    <cellStyle name="Normal 2 2 2 2 4 3 5" xfId="12371"/>
    <cellStyle name="Normal 2 2 2 2 4 3 5 2" xfId="12372"/>
    <cellStyle name="Normal 2 2 2 2 4 3 5 2 2" xfId="30490"/>
    <cellStyle name="Normal 2 2 2 2 4 3 5 3" xfId="30491"/>
    <cellStyle name="Normal 2 2 2 2 4 3 6" xfId="12373"/>
    <cellStyle name="Normal 2 2 2 2 4 3 6 2" xfId="30492"/>
    <cellStyle name="Normal 2 2 2 2 4 3 7" xfId="12374"/>
    <cellStyle name="Normal 2 2 2 2 4 4" xfId="637"/>
    <cellStyle name="Normal 2 2 2 2 4 4 2" xfId="1859"/>
    <cellStyle name="Normal 2 2 2 2 4 4 2 2" xfId="12375"/>
    <cellStyle name="Normal 2 2 2 2 4 4 2 2 2" xfId="12376"/>
    <cellStyle name="Normal 2 2 2 2 4 4 2 2 2 2" xfId="30493"/>
    <cellStyle name="Normal 2 2 2 2 4 4 2 2 3" xfId="30494"/>
    <cellStyle name="Normal 2 2 2 2 4 4 2 3" xfId="12377"/>
    <cellStyle name="Normal 2 2 2 2 4 4 2 3 2" xfId="12378"/>
    <cellStyle name="Normal 2 2 2 2 4 4 2 3 2 2" xfId="30495"/>
    <cellStyle name="Normal 2 2 2 2 4 4 2 3 3" xfId="30496"/>
    <cellStyle name="Normal 2 2 2 2 4 4 2 4" xfId="12379"/>
    <cellStyle name="Normal 2 2 2 2 4 4 2 4 2" xfId="12380"/>
    <cellStyle name="Normal 2 2 2 2 4 4 2 4 2 2" xfId="30497"/>
    <cellStyle name="Normal 2 2 2 2 4 4 2 4 3" xfId="30498"/>
    <cellStyle name="Normal 2 2 2 2 4 4 2 5" xfId="12381"/>
    <cellStyle name="Normal 2 2 2 2 4 4 2 5 2" xfId="30499"/>
    <cellStyle name="Normal 2 2 2 2 4 4 2 6" xfId="12382"/>
    <cellStyle name="Normal 2 2 2 2 4 4 3" xfId="12383"/>
    <cellStyle name="Normal 2 2 2 2 4 4 3 2" xfId="12384"/>
    <cellStyle name="Normal 2 2 2 2 4 4 3 2 2" xfId="30500"/>
    <cellStyle name="Normal 2 2 2 2 4 4 3 3" xfId="30501"/>
    <cellStyle name="Normal 2 2 2 2 4 4 4" xfId="12385"/>
    <cellStyle name="Normal 2 2 2 2 4 4 4 2" xfId="12386"/>
    <cellStyle name="Normal 2 2 2 2 4 4 4 2 2" xfId="30502"/>
    <cellStyle name="Normal 2 2 2 2 4 4 4 3" xfId="30503"/>
    <cellStyle name="Normal 2 2 2 2 4 4 5" xfId="12387"/>
    <cellStyle name="Normal 2 2 2 2 4 4 5 2" xfId="12388"/>
    <cellStyle name="Normal 2 2 2 2 4 4 5 2 2" xfId="30504"/>
    <cellStyle name="Normal 2 2 2 2 4 4 5 3" xfId="30505"/>
    <cellStyle name="Normal 2 2 2 2 4 4 6" xfId="12389"/>
    <cellStyle name="Normal 2 2 2 2 4 4 6 2" xfId="30506"/>
    <cellStyle name="Normal 2 2 2 2 4 4 7" xfId="12390"/>
    <cellStyle name="Normal 2 2 2 2 4 5" xfId="1860"/>
    <cellStyle name="Normal 2 2 2 2 4 5 2" xfId="12391"/>
    <cellStyle name="Normal 2 2 2 2 4 5 2 2" xfId="12392"/>
    <cellStyle name="Normal 2 2 2 2 4 5 2 2 2" xfId="30507"/>
    <cellStyle name="Normal 2 2 2 2 4 5 2 3" xfId="30508"/>
    <cellStyle name="Normal 2 2 2 2 4 5 3" xfId="12393"/>
    <cellStyle name="Normal 2 2 2 2 4 5 3 2" xfId="12394"/>
    <cellStyle name="Normal 2 2 2 2 4 5 3 2 2" xfId="30509"/>
    <cellStyle name="Normal 2 2 2 2 4 5 3 3" xfId="30510"/>
    <cellStyle name="Normal 2 2 2 2 4 5 4" xfId="12395"/>
    <cellStyle name="Normal 2 2 2 2 4 5 4 2" xfId="12396"/>
    <cellStyle name="Normal 2 2 2 2 4 5 4 2 2" xfId="30511"/>
    <cellStyle name="Normal 2 2 2 2 4 5 4 3" xfId="30512"/>
    <cellStyle name="Normal 2 2 2 2 4 5 5" xfId="12397"/>
    <cellStyle name="Normal 2 2 2 2 4 5 5 2" xfId="30513"/>
    <cellStyle name="Normal 2 2 2 2 4 5 6" xfId="12398"/>
    <cellStyle name="Normal 2 2 2 2 4 6" xfId="12399"/>
    <cellStyle name="Normal 2 2 2 2 4 6 2" xfId="12400"/>
    <cellStyle name="Normal 2 2 2 2 4 6 2 2" xfId="30514"/>
    <cellStyle name="Normal 2 2 2 2 4 6 3" xfId="30515"/>
    <cellStyle name="Normal 2 2 2 2 4 7" xfId="12401"/>
    <cellStyle name="Normal 2 2 2 2 4 7 2" xfId="12402"/>
    <cellStyle name="Normal 2 2 2 2 4 7 2 2" xfId="30516"/>
    <cellStyle name="Normal 2 2 2 2 4 7 3" xfId="30517"/>
    <cellStyle name="Normal 2 2 2 2 4 8" xfId="12403"/>
    <cellStyle name="Normal 2 2 2 2 4 8 2" xfId="12404"/>
    <cellStyle name="Normal 2 2 2 2 4 8 2 2" xfId="30518"/>
    <cellStyle name="Normal 2 2 2 2 4 8 3" xfId="30519"/>
    <cellStyle name="Normal 2 2 2 2 4 9" xfId="12405"/>
    <cellStyle name="Normal 2 2 2 2 4 9 2" xfId="30520"/>
    <cellStyle name="Normal 2 2 2 2 5" xfId="268"/>
    <cellStyle name="Normal 2 2 2 2 5 10" xfId="12406"/>
    <cellStyle name="Normal 2 2 2 2 5 2" xfId="426"/>
    <cellStyle name="Normal 2 2 2 2 5 2 2" xfId="1214"/>
    <cellStyle name="Normal 2 2 2 2 5 2 2 2" xfId="1861"/>
    <cellStyle name="Normal 2 2 2 2 5 2 2 2 2" xfId="12407"/>
    <cellStyle name="Normal 2 2 2 2 5 2 2 2 2 2" xfId="12408"/>
    <cellStyle name="Normal 2 2 2 2 5 2 2 2 2 2 2" xfId="30521"/>
    <cellStyle name="Normal 2 2 2 2 5 2 2 2 2 3" xfId="30522"/>
    <cellStyle name="Normal 2 2 2 2 5 2 2 2 3" xfId="12409"/>
    <cellStyle name="Normal 2 2 2 2 5 2 2 2 3 2" xfId="12410"/>
    <cellStyle name="Normal 2 2 2 2 5 2 2 2 3 2 2" xfId="30523"/>
    <cellStyle name="Normal 2 2 2 2 5 2 2 2 3 3" xfId="30524"/>
    <cellStyle name="Normal 2 2 2 2 5 2 2 2 4" xfId="12411"/>
    <cellStyle name="Normal 2 2 2 2 5 2 2 2 4 2" xfId="12412"/>
    <cellStyle name="Normal 2 2 2 2 5 2 2 2 4 2 2" xfId="30525"/>
    <cellStyle name="Normal 2 2 2 2 5 2 2 2 4 3" xfId="30526"/>
    <cellStyle name="Normal 2 2 2 2 5 2 2 2 5" xfId="12413"/>
    <cellStyle name="Normal 2 2 2 2 5 2 2 2 5 2" xfId="30527"/>
    <cellStyle name="Normal 2 2 2 2 5 2 2 2 6" xfId="12414"/>
    <cellStyle name="Normal 2 2 2 2 5 2 2 3" xfId="12415"/>
    <cellStyle name="Normal 2 2 2 2 5 2 2 3 2" xfId="12416"/>
    <cellStyle name="Normal 2 2 2 2 5 2 2 3 2 2" xfId="30528"/>
    <cellStyle name="Normal 2 2 2 2 5 2 2 3 3" xfId="30529"/>
    <cellStyle name="Normal 2 2 2 2 5 2 2 4" xfId="12417"/>
    <cellStyle name="Normal 2 2 2 2 5 2 2 4 2" xfId="12418"/>
    <cellStyle name="Normal 2 2 2 2 5 2 2 4 2 2" xfId="30530"/>
    <cellStyle name="Normal 2 2 2 2 5 2 2 4 3" xfId="30531"/>
    <cellStyle name="Normal 2 2 2 2 5 2 2 5" xfId="12419"/>
    <cellStyle name="Normal 2 2 2 2 5 2 2 5 2" xfId="12420"/>
    <cellStyle name="Normal 2 2 2 2 5 2 2 5 2 2" xfId="30532"/>
    <cellStyle name="Normal 2 2 2 2 5 2 2 5 3" xfId="30533"/>
    <cellStyle name="Normal 2 2 2 2 5 2 2 6" xfId="12421"/>
    <cellStyle name="Normal 2 2 2 2 5 2 2 6 2" xfId="30534"/>
    <cellStyle name="Normal 2 2 2 2 5 2 2 7" xfId="12422"/>
    <cellStyle name="Normal 2 2 2 2 5 2 3" xfId="846"/>
    <cellStyle name="Normal 2 2 2 2 5 2 3 2" xfId="1862"/>
    <cellStyle name="Normal 2 2 2 2 5 2 3 2 2" xfId="12423"/>
    <cellStyle name="Normal 2 2 2 2 5 2 3 2 2 2" xfId="12424"/>
    <cellStyle name="Normal 2 2 2 2 5 2 3 2 2 2 2" xfId="30535"/>
    <cellStyle name="Normal 2 2 2 2 5 2 3 2 2 3" xfId="30536"/>
    <cellStyle name="Normal 2 2 2 2 5 2 3 2 3" xfId="12425"/>
    <cellStyle name="Normal 2 2 2 2 5 2 3 2 3 2" xfId="12426"/>
    <cellStyle name="Normal 2 2 2 2 5 2 3 2 3 2 2" xfId="30537"/>
    <cellStyle name="Normal 2 2 2 2 5 2 3 2 3 3" xfId="30538"/>
    <cellStyle name="Normal 2 2 2 2 5 2 3 2 4" xfId="12427"/>
    <cellStyle name="Normal 2 2 2 2 5 2 3 2 4 2" xfId="12428"/>
    <cellStyle name="Normal 2 2 2 2 5 2 3 2 4 2 2" xfId="30539"/>
    <cellStyle name="Normal 2 2 2 2 5 2 3 2 4 3" xfId="30540"/>
    <cellStyle name="Normal 2 2 2 2 5 2 3 2 5" xfId="12429"/>
    <cellStyle name="Normal 2 2 2 2 5 2 3 2 5 2" xfId="30541"/>
    <cellStyle name="Normal 2 2 2 2 5 2 3 2 6" xfId="12430"/>
    <cellStyle name="Normal 2 2 2 2 5 2 3 3" xfId="12431"/>
    <cellStyle name="Normal 2 2 2 2 5 2 3 3 2" xfId="12432"/>
    <cellStyle name="Normal 2 2 2 2 5 2 3 3 2 2" xfId="30542"/>
    <cellStyle name="Normal 2 2 2 2 5 2 3 3 3" xfId="30543"/>
    <cellStyle name="Normal 2 2 2 2 5 2 3 4" xfId="12433"/>
    <cellStyle name="Normal 2 2 2 2 5 2 3 4 2" xfId="12434"/>
    <cellStyle name="Normal 2 2 2 2 5 2 3 4 2 2" xfId="30544"/>
    <cellStyle name="Normal 2 2 2 2 5 2 3 4 3" xfId="30545"/>
    <cellStyle name="Normal 2 2 2 2 5 2 3 5" xfId="12435"/>
    <cellStyle name="Normal 2 2 2 2 5 2 3 5 2" xfId="12436"/>
    <cellStyle name="Normal 2 2 2 2 5 2 3 5 2 2" xfId="30546"/>
    <cellStyle name="Normal 2 2 2 2 5 2 3 5 3" xfId="30547"/>
    <cellStyle name="Normal 2 2 2 2 5 2 3 6" xfId="12437"/>
    <cellStyle name="Normal 2 2 2 2 5 2 3 6 2" xfId="30548"/>
    <cellStyle name="Normal 2 2 2 2 5 2 3 7" xfId="12438"/>
    <cellStyle name="Normal 2 2 2 2 5 2 4" xfId="1863"/>
    <cellStyle name="Normal 2 2 2 2 5 2 4 2" xfId="12439"/>
    <cellStyle name="Normal 2 2 2 2 5 2 4 2 2" xfId="12440"/>
    <cellStyle name="Normal 2 2 2 2 5 2 4 2 2 2" xfId="30549"/>
    <cellStyle name="Normal 2 2 2 2 5 2 4 2 3" xfId="30550"/>
    <cellStyle name="Normal 2 2 2 2 5 2 4 3" xfId="12441"/>
    <cellStyle name="Normal 2 2 2 2 5 2 4 3 2" xfId="12442"/>
    <cellStyle name="Normal 2 2 2 2 5 2 4 3 2 2" xfId="30551"/>
    <cellStyle name="Normal 2 2 2 2 5 2 4 3 3" xfId="30552"/>
    <cellStyle name="Normal 2 2 2 2 5 2 4 4" xfId="12443"/>
    <cellStyle name="Normal 2 2 2 2 5 2 4 4 2" xfId="12444"/>
    <cellStyle name="Normal 2 2 2 2 5 2 4 4 2 2" xfId="30553"/>
    <cellStyle name="Normal 2 2 2 2 5 2 4 4 3" xfId="30554"/>
    <cellStyle name="Normal 2 2 2 2 5 2 4 5" xfId="12445"/>
    <cellStyle name="Normal 2 2 2 2 5 2 4 5 2" xfId="30555"/>
    <cellStyle name="Normal 2 2 2 2 5 2 4 6" xfId="12446"/>
    <cellStyle name="Normal 2 2 2 2 5 2 5" xfId="12447"/>
    <cellStyle name="Normal 2 2 2 2 5 2 5 2" xfId="12448"/>
    <cellStyle name="Normal 2 2 2 2 5 2 5 2 2" xfId="30556"/>
    <cellStyle name="Normal 2 2 2 2 5 2 5 3" xfId="30557"/>
    <cellStyle name="Normal 2 2 2 2 5 2 6" xfId="12449"/>
    <cellStyle name="Normal 2 2 2 2 5 2 6 2" xfId="12450"/>
    <cellStyle name="Normal 2 2 2 2 5 2 6 2 2" xfId="30558"/>
    <cellStyle name="Normal 2 2 2 2 5 2 6 3" xfId="30559"/>
    <cellStyle name="Normal 2 2 2 2 5 2 7" xfId="12451"/>
    <cellStyle name="Normal 2 2 2 2 5 2 7 2" xfId="12452"/>
    <cellStyle name="Normal 2 2 2 2 5 2 7 2 2" xfId="30560"/>
    <cellStyle name="Normal 2 2 2 2 5 2 7 3" xfId="30561"/>
    <cellStyle name="Normal 2 2 2 2 5 2 8" xfId="12453"/>
    <cellStyle name="Normal 2 2 2 2 5 2 8 2" xfId="30562"/>
    <cellStyle name="Normal 2 2 2 2 5 2 9" xfId="12454"/>
    <cellStyle name="Normal 2 2 2 2 5 3" xfId="1056"/>
    <cellStyle name="Normal 2 2 2 2 5 3 2" xfId="1864"/>
    <cellStyle name="Normal 2 2 2 2 5 3 2 2" xfId="12455"/>
    <cellStyle name="Normal 2 2 2 2 5 3 2 2 2" xfId="12456"/>
    <cellStyle name="Normal 2 2 2 2 5 3 2 2 2 2" xfId="30563"/>
    <cellStyle name="Normal 2 2 2 2 5 3 2 2 3" xfId="30564"/>
    <cellStyle name="Normal 2 2 2 2 5 3 2 3" xfId="12457"/>
    <cellStyle name="Normal 2 2 2 2 5 3 2 3 2" xfId="12458"/>
    <cellStyle name="Normal 2 2 2 2 5 3 2 3 2 2" xfId="30565"/>
    <cellStyle name="Normal 2 2 2 2 5 3 2 3 3" xfId="30566"/>
    <cellStyle name="Normal 2 2 2 2 5 3 2 4" xfId="12459"/>
    <cellStyle name="Normal 2 2 2 2 5 3 2 4 2" xfId="12460"/>
    <cellStyle name="Normal 2 2 2 2 5 3 2 4 2 2" xfId="30567"/>
    <cellStyle name="Normal 2 2 2 2 5 3 2 4 3" xfId="30568"/>
    <cellStyle name="Normal 2 2 2 2 5 3 2 5" xfId="12461"/>
    <cellStyle name="Normal 2 2 2 2 5 3 2 5 2" xfId="30569"/>
    <cellStyle name="Normal 2 2 2 2 5 3 2 6" xfId="12462"/>
    <cellStyle name="Normal 2 2 2 2 5 3 3" xfId="12463"/>
    <cellStyle name="Normal 2 2 2 2 5 3 3 2" xfId="12464"/>
    <cellStyle name="Normal 2 2 2 2 5 3 3 2 2" xfId="30570"/>
    <cellStyle name="Normal 2 2 2 2 5 3 3 3" xfId="30571"/>
    <cellStyle name="Normal 2 2 2 2 5 3 4" xfId="12465"/>
    <cellStyle name="Normal 2 2 2 2 5 3 4 2" xfId="12466"/>
    <cellStyle name="Normal 2 2 2 2 5 3 4 2 2" xfId="30572"/>
    <cellStyle name="Normal 2 2 2 2 5 3 4 3" xfId="30573"/>
    <cellStyle name="Normal 2 2 2 2 5 3 5" xfId="12467"/>
    <cellStyle name="Normal 2 2 2 2 5 3 5 2" xfId="12468"/>
    <cellStyle name="Normal 2 2 2 2 5 3 5 2 2" xfId="30574"/>
    <cellStyle name="Normal 2 2 2 2 5 3 5 3" xfId="30575"/>
    <cellStyle name="Normal 2 2 2 2 5 3 6" xfId="12469"/>
    <cellStyle name="Normal 2 2 2 2 5 3 6 2" xfId="30576"/>
    <cellStyle name="Normal 2 2 2 2 5 3 7" xfId="12470"/>
    <cellStyle name="Normal 2 2 2 2 5 4" xfId="688"/>
    <cellStyle name="Normal 2 2 2 2 5 4 2" xfId="1865"/>
    <cellStyle name="Normal 2 2 2 2 5 4 2 2" xfId="12471"/>
    <cellStyle name="Normal 2 2 2 2 5 4 2 2 2" xfId="12472"/>
    <cellStyle name="Normal 2 2 2 2 5 4 2 2 2 2" xfId="30577"/>
    <cellStyle name="Normal 2 2 2 2 5 4 2 2 3" xfId="30578"/>
    <cellStyle name="Normal 2 2 2 2 5 4 2 3" xfId="12473"/>
    <cellStyle name="Normal 2 2 2 2 5 4 2 3 2" xfId="12474"/>
    <cellStyle name="Normal 2 2 2 2 5 4 2 3 2 2" xfId="30579"/>
    <cellStyle name="Normal 2 2 2 2 5 4 2 3 3" xfId="30580"/>
    <cellStyle name="Normal 2 2 2 2 5 4 2 4" xfId="12475"/>
    <cellStyle name="Normal 2 2 2 2 5 4 2 4 2" xfId="12476"/>
    <cellStyle name="Normal 2 2 2 2 5 4 2 4 2 2" xfId="30581"/>
    <cellStyle name="Normal 2 2 2 2 5 4 2 4 3" xfId="30582"/>
    <cellStyle name="Normal 2 2 2 2 5 4 2 5" xfId="12477"/>
    <cellStyle name="Normal 2 2 2 2 5 4 2 5 2" xfId="30583"/>
    <cellStyle name="Normal 2 2 2 2 5 4 2 6" xfId="12478"/>
    <cellStyle name="Normal 2 2 2 2 5 4 3" xfId="12479"/>
    <cellStyle name="Normal 2 2 2 2 5 4 3 2" xfId="12480"/>
    <cellStyle name="Normal 2 2 2 2 5 4 3 2 2" xfId="30584"/>
    <cellStyle name="Normal 2 2 2 2 5 4 3 3" xfId="30585"/>
    <cellStyle name="Normal 2 2 2 2 5 4 4" xfId="12481"/>
    <cellStyle name="Normal 2 2 2 2 5 4 4 2" xfId="12482"/>
    <cellStyle name="Normal 2 2 2 2 5 4 4 2 2" xfId="30586"/>
    <cellStyle name="Normal 2 2 2 2 5 4 4 3" xfId="30587"/>
    <cellStyle name="Normal 2 2 2 2 5 4 5" xfId="12483"/>
    <cellStyle name="Normal 2 2 2 2 5 4 5 2" xfId="12484"/>
    <cellStyle name="Normal 2 2 2 2 5 4 5 2 2" xfId="30588"/>
    <cellStyle name="Normal 2 2 2 2 5 4 5 3" xfId="30589"/>
    <cellStyle name="Normal 2 2 2 2 5 4 6" xfId="12485"/>
    <cellStyle name="Normal 2 2 2 2 5 4 6 2" xfId="30590"/>
    <cellStyle name="Normal 2 2 2 2 5 4 7" xfId="12486"/>
    <cellStyle name="Normal 2 2 2 2 5 5" xfId="1866"/>
    <cellStyle name="Normal 2 2 2 2 5 5 2" xfId="12487"/>
    <cellStyle name="Normal 2 2 2 2 5 5 2 2" xfId="12488"/>
    <cellStyle name="Normal 2 2 2 2 5 5 2 2 2" xfId="30591"/>
    <cellStyle name="Normal 2 2 2 2 5 5 2 3" xfId="30592"/>
    <cellStyle name="Normal 2 2 2 2 5 5 3" xfId="12489"/>
    <cellStyle name="Normal 2 2 2 2 5 5 3 2" xfId="12490"/>
    <cellStyle name="Normal 2 2 2 2 5 5 3 2 2" xfId="30593"/>
    <cellStyle name="Normal 2 2 2 2 5 5 3 3" xfId="30594"/>
    <cellStyle name="Normal 2 2 2 2 5 5 4" xfId="12491"/>
    <cellStyle name="Normal 2 2 2 2 5 5 4 2" xfId="12492"/>
    <cellStyle name="Normal 2 2 2 2 5 5 4 2 2" xfId="30595"/>
    <cellStyle name="Normal 2 2 2 2 5 5 4 3" xfId="30596"/>
    <cellStyle name="Normal 2 2 2 2 5 5 5" xfId="12493"/>
    <cellStyle name="Normal 2 2 2 2 5 5 5 2" xfId="30597"/>
    <cellStyle name="Normal 2 2 2 2 5 5 6" xfId="12494"/>
    <cellStyle name="Normal 2 2 2 2 5 6" xfId="12495"/>
    <cellStyle name="Normal 2 2 2 2 5 6 2" xfId="12496"/>
    <cellStyle name="Normal 2 2 2 2 5 6 2 2" xfId="30598"/>
    <cellStyle name="Normal 2 2 2 2 5 6 3" xfId="30599"/>
    <cellStyle name="Normal 2 2 2 2 5 7" xfId="12497"/>
    <cellStyle name="Normal 2 2 2 2 5 7 2" xfId="12498"/>
    <cellStyle name="Normal 2 2 2 2 5 7 2 2" xfId="30600"/>
    <cellStyle name="Normal 2 2 2 2 5 7 3" xfId="30601"/>
    <cellStyle name="Normal 2 2 2 2 5 8" xfId="12499"/>
    <cellStyle name="Normal 2 2 2 2 5 8 2" xfId="12500"/>
    <cellStyle name="Normal 2 2 2 2 5 8 2 2" xfId="30602"/>
    <cellStyle name="Normal 2 2 2 2 5 8 3" xfId="30603"/>
    <cellStyle name="Normal 2 2 2 2 5 9" xfId="12501"/>
    <cellStyle name="Normal 2 2 2 2 5 9 2" xfId="30604"/>
    <cellStyle name="Normal 2 2 2 2 6" xfId="150"/>
    <cellStyle name="Normal 2 2 2 2 6 2" xfId="938"/>
    <cellStyle name="Normal 2 2 2 2 6 2 2" xfId="1867"/>
    <cellStyle name="Normal 2 2 2 2 6 2 2 2" xfId="12502"/>
    <cellStyle name="Normal 2 2 2 2 6 2 2 2 2" xfId="12503"/>
    <cellStyle name="Normal 2 2 2 2 6 2 2 2 2 2" xfId="30605"/>
    <cellStyle name="Normal 2 2 2 2 6 2 2 2 3" xfId="30606"/>
    <cellStyle name="Normal 2 2 2 2 6 2 2 3" xfId="12504"/>
    <cellStyle name="Normal 2 2 2 2 6 2 2 3 2" xfId="12505"/>
    <cellStyle name="Normal 2 2 2 2 6 2 2 3 2 2" xfId="30607"/>
    <cellStyle name="Normal 2 2 2 2 6 2 2 3 3" xfId="30608"/>
    <cellStyle name="Normal 2 2 2 2 6 2 2 4" xfId="12506"/>
    <cellStyle name="Normal 2 2 2 2 6 2 2 4 2" xfId="12507"/>
    <cellStyle name="Normal 2 2 2 2 6 2 2 4 2 2" xfId="30609"/>
    <cellStyle name="Normal 2 2 2 2 6 2 2 4 3" xfId="30610"/>
    <cellStyle name="Normal 2 2 2 2 6 2 2 5" xfId="12508"/>
    <cellStyle name="Normal 2 2 2 2 6 2 2 5 2" xfId="30611"/>
    <cellStyle name="Normal 2 2 2 2 6 2 2 6" xfId="12509"/>
    <cellStyle name="Normal 2 2 2 2 6 2 3" xfId="12510"/>
    <cellStyle name="Normal 2 2 2 2 6 2 3 2" xfId="12511"/>
    <cellStyle name="Normal 2 2 2 2 6 2 3 2 2" xfId="30612"/>
    <cellStyle name="Normal 2 2 2 2 6 2 3 3" xfId="30613"/>
    <cellStyle name="Normal 2 2 2 2 6 2 4" xfId="12512"/>
    <cellStyle name="Normal 2 2 2 2 6 2 4 2" xfId="12513"/>
    <cellStyle name="Normal 2 2 2 2 6 2 4 2 2" xfId="30614"/>
    <cellStyle name="Normal 2 2 2 2 6 2 4 3" xfId="30615"/>
    <cellStyle name="Normal 2 2 2 2 6 2 5" xfId="12514"/>
    <cellStyle name="Normal 2 2 2 2 6 2 5 2" xfId="12515"/>
    <cellStyle name="Normal 2 2 2 2 6 2 5 2 2" xfId="30616"/>
    <cellStyle name="Normal 2 2 2 2 6 2 5 3" xfId="30617"/>
    <cellStyle name="Normal 2 2 2 2 6 2 6" xfId="12516"/>
    <cellStyle name="Normal 2 2 2 2 6 2 6 2" xfId="30618"/>
    <cellStyle name="Normal 2 2 2 2 6 2 7" xfId="12517"/>
    <cellStyle name="Normal 2 2 2 2 6 3" xfId="570"/>
    <cellStyle name="Normal 2 2 2 2 6 3 2" xfId="1868"/>
    <cellStyle name="Normal 2 2 2 2 6 3 2 2" xfId="12518"/>
    <cellStyle name="Normal 2 2 2 2 6 3 2 2 2" xfId="12519"/>
    <cellStyle name="Normal 2 2 2 2 6 3 2 2 2 2" xfId="30619"/>
    <cellStyle name="Normal 2 2 2 2 6 3 2 2 3" xfId="30620"/>
    <cellStyle name="Normal 2 2 2 2 6 3 2 3" xfId="12520"/>
    <cellStyle name="Normal 2 2 2 2 6 3 2 3 2" xfId="12521"/>
    <cellStyle name="Normal 2 2 2 2 6 3 2 3 2 2" xfId="30621"/>
    <cellStyle name="Normal 2 2 2 2 6 3 2 3 3" xfId="30622"/>
    <cellStyle name="Normal 2 2 2 2 6 3 2 4" xfId="12522"/>
    <cellStyle name="Normal 2 2 2 2 6 3 2 4 2" xfId="12523"/>
    <cellStyle name="Normal 2 2 2 2 6 3 2 4 2 2" xfId="30623"/>
    <cellStyle name="Normal 2 2 2 2 6 3 2 4 3" xfId="30624"/>
    <cellStyle name="Normal 2 2 2 2 6 3 2 5" xfId="12524"/>
    <cellStyle name="Normal 2 2 2 2 6 3 2 5 2" xfId="30625"/>
    <cellStyle name="Normal 2 2 2 2 6 3 2 6" xfId="12525"/>
    <cellStyle name="Normal 2 2 2 2 6 3 3" xfId="12526"/>
    <cellStyle name="Normal 2 2 2 2 6 3 3 2" xfId="12527"/>
    <cellStyle name="Normal 2 2 2 2 6 3 3 2 2" xfId="30626"/>
    <cellStyle name="Normal 2 2 2 2 6 3 3 3" xfId="30627"/>
    <cellStyle name="Normal 2 2 2 2 6 3 4" xfId="12528"/>
    <cellStyle name="Normal 2 2 2 2 6 3 4 2" xfId="12529"/>
    <cellStyle name="Normal 2 2 2 2 6 3 4 2 2" xfId="30628"/>
    <cellStyle name="Normal 2 2 2 2 6 3 4 3" xfId="30629"/>
    <cellStyle name="Normal 2 2 2 2 6 3 5" xfId="12530"/>
    <cellStyle name="Normal 2 2 2 2 6 3 5 2" xfId="12531"/>
    <cellStyle name="Normal 2 2 2 2 6 3 5 2 2" xfId="30630"/>
    <cellStyle name="Normal 2 2 2 2 6 3 5 3" xfId="30631"/>
    <cellStyle name="Normal 2 2 2 2 6 3 6" xfId="12532"/>
    <cellStyle name="Normal 2 2 2 2 6 3 6 2" xfId="30632"/>
    <cellStyle name="Normal 2 2 2 2 6 3 7" xfId="12533"/>
    <cellStyle name="Normal 2 2 2 2 6 4" xfId="1869"/>
    <cellStyle name="Normal 2 2 2 2 6 4 2" xfId="12534"/>
    <cellStyle name="Normal 2 2 2 2 6 4 2 2" xfId="12535"/>
    <cellStyle name="Normal 2 2 2 2 6 4 2 2 2" xfId="30633"/>
    <cellStyle name="Normal 2 2 2 2 6 4 2 3" xfId="30634"/>
    <cellStyle name="Normal 2 2 2 2 6 4 3" xfId="12536"/>
    <cellStyle name="Normal 2 2 2 2 6 4 3 2" xfId="12537"/>
    <cellStyle name="Normal 2 2 2 2 6 4 3 2 2" xfId="30635"/>
    <cellStyle name="Normal 2 2 2 2 6 4 3 3" xfId="30636"/>
    <cellStyle name="Normal 2 2 2 2 6 4 4" xfId="12538"/>
    <cellStyle name="Normal 2 2 2 2 6 4 4 2" xfId="12539"/>
    <cellStyle name="Normal 2 2 2 2 6 4 4 2 2" xfId="30637"/>
    <cellStyle name="Normal 2 2 2 2 6 4 4 3" xfId="30638"/>
    <cellStyle name="Normal 2 2 2 2 6 4 5" xfId="12540"/>
    <cellStyle name="Normal 2 2 2 2 6 4 5 2" xfId="30639"/>
    <cellStyle name="Normal 2 2 2 2 6 4 6" xfId="12541"/>
    <cellStyle name="Normal 2 2 2 2 6 5" xfId="12542"/>
    <cellStyle name="Normal 2 2 2 2 6 5 2" xfId="12543"/>
    <cellStyle name="Normal 2 2 2 2 6 5 2 2" xfId="30640"/>
    <cellStyle name="Normal 2 2 2 2 6 5 3" xfId="30641"/>
    <cellStyle name="Normal 2 2 2 2 6 6" xfId="12544"/>
    <cellStyle name="Normal 2 2 2 2 6 6 2" xfId="12545"/>
    <cellStyle name="Normal 2 2 2 2 6 6 2 2" xfId="30642"/>
    <cellStyle name="Normal 2 2 2 2 6 6 3" xfId="30643"/>
    <cellStyle name="Normal 2 2 2 2 6 7" xfId="12546"/>
    <cellStyle name="Normal 2 2 2 2 6 7 2" xfId="12547"/>
    <cellStyle name="Normal 2 2 2 2 6 7 2 2" xfId="30644"/>
    <cellStyle name="Normal 2 2 2 2 6 7 3" xfId="30645"/>
    <cellStyle name="Normal 2 2 2 2 6 8" xfId="12548"/>
    <cellStyle name="Normal 2 2 2 2 6 8 2" xfId="30646"/>
    <cellStyle name="Normal 2 2 2 2 6 9" xfId="12549"/>
    <cellStyle name="Normal 2 2 2 2 7" xfId="308"/>
    <cellStyle name="Normal 2 2 2 2 7 2" xfId="1096"/>
    <cellStyle name="Normal 2 2 2 2 7 2 2" xfId="1870"/>
    <cellStyle name="Normal 2 2 2 2 7 2 2 2" xfId="12550"/>
    <cellStyle name="Normal 2 2 2 2 7 2 2 2 2" xfId="12551"/>
    <cellStyle name="Normal 2 2 2 2 7 2 2 2 2 2" xfId="30647"/>
    <cellStyle name="Normal 2 2 2 2 7 2 2 2 3" xfId="30648"/>
    <cellStyle name="Normal 2 2 2 2 7 2 2 3" xfId="12552"/>
    <cellStyle name="Normal 2 2 2 2 7 2 2 3 2" xfId="12553"/>
    <cellStyle name="Normal 2 2 2 2 7 2 2 3 2 2" xfId="30649"/>
    <cellStyle name="Normal 2 2 2 2 7 2 2 3 3" xfId="30650"/>
    <cellStyle name="Normal 2 2 2 2 7 2 2 4" xfId="12554"/>
    <cellStyle name="Normal 2 2 2 2 7 2 2 4 2" xfId="12555"/>
    <cellStyle name="Normal 2 2 2 2 7 2 2 4 2 2" xfId="30651"/>
    <cellStyle name="Normal 2 2 2 2 7 2 2 4 3" xfId="30652"/>
    <cellStyle name="Normal 2 2 2 2 7 2 2 5" xfId="12556"/>
    <cellStyle name="Normal 2 2 2 2 7 2 2 5 2" xfId="30653"/>
    <cellStyle name="Normal 2 2 2 2 7 2 2 6" xfId="12557"/>
    <cellStyle name="Normal 2 2 2 2 7 2 3" xfId="12558"/>
    <cellStyle name="Normal 2 2 2 2 7 2 3 2" xfId="12559"/>
    <cellStyle name="Normal 2 2 2 2 7 2 3 2 2" xfId="30654"/>
    <cellStyle name="Normal 2 2 2 2 7 2 3 3" xfId="30655"/>
    <cellStyle name="Normal 2 2 2 2 7 2 4" xfId="12560"/>
    <cellStyle name="Normal 2 2 2 2 7 2 4 2" xfId="12561"/>
    <cellStyle name="Normal 2 2 2 2 7 2 4 2 2" xfId="30656"/>
    <cellStyle name="Normal 2 2 2 2 7 2 4 3" xfId="30657"/>
    <cellStyle name="Normal 2 2 2 2 7 2 5" xfId="12562"/>
    <cellStyle name="Normal 2 2 2 2 7 2 5 2" xfId="12563"/>
    <cellStyle name="Normal 2 2 2 2 7 2 5 2 2" xfId="30658"/>
    <cellStyle name="Normal 2 2 2 2 7 2 5 3" xfId="30659"/>
    <cellStyle name="Normal 2 2 2 2 7 2 6" xfId="12564"/>
    <cellStyle name="Normal 2 2 2 2 7 2 6 2" xfId="30660"/>
    <cellStyle name="Normal 2 2 2 2 7 2 7" xfId="12565"/>
    <cellStyle name="Normal 2 2 2 2 7 3" xfId="728"/>
    <cellStyle name="Normal 2 2 2 2 7 3 2" xfId="1871"/>
    <cellStyle name="Normal 2 2 2 2 7 3 2 2" xfId="12566"/>
    <cellStyle name="Normal 2 2 2 2 7 3 2 2 2" xfId="12567"/>
    <cellStyle name="Normal 2 2 2 2 7 3 2 2 2 2" xfId="30661"/>
    <cellStyle name="Normal 2 2 2 2 7 3 2 2 3" xfId="30662"/>
    <cellStyle name="Normal 2 2 2 2 7 3 2 3" xfId="12568"/>
    <cellStyle name="Normal 2 2 2 2 7 3 2 3 2" xfId="12569"/>
    <cellStyle name="Normal 2 2 2 2 7 3 2 3 2 2" xfId="30663"/>
    <cellStyle name="Normal 2 2 2 2 7 3 2 3 3" xfId="30664"/>
    <cellStyle name="Normal 2 2 2 2 7 3 2 4" xfId="12570"/>
    <cellStyle name="Normal 2 2 2 2 7 3 2 4 2" xfId="12571"/>
    <cellStyle name="Normal 2 2 2 2 7 3 2 4 2 2" xfId="30665"/>
    <cellStyle name="Normal 2 2 2 2 7 3 2 4 3" xfId="30666"/>
    <cellStyle name="Normal 2 2 2 2 7 3 2 5" xfId="12572"/>
    <cellStyle name="Normal 2 2 2 2 7 3 2 5 2" xfId="30667"/>
    <cellStyle name="Normal 2 2 2 2 7 3 2 6" xfId="12573"/>
    <cellStyle name="Normal 2 2 2 2 7 3 3" xfId="12574"/>
    <cellStyle name="Normal 2 2 2 2 7 3 3 2" xfId="12575"/>
    <cellStyle name="Normal 2 2 2 2 7 3 3 2 2" xfId="30668"/>
    <cellStyle name="Normal 2 2 2 2 7 3 3 3" xfId="30669"/>
    <cellStyle name="Normal 2 2 2 2 7 3 4" xfId="12576"/>
    <cellStyle name="Normal 2 2 2 2 7 3 4 2" xfId="12577"/>
    <cellStyle name="Normal 2 2 2 2 7 3 4 2 2" xfId="30670"/>
    <cellStyle name="Normal 2 2 2 2 7 3 4 3" xfId="30671"/>
    <cellStyle name="Normal 2 2 2 2 7 3 5" xfId="12578"/>
    <cellStyle name="Normal 2 2 2 2 7 3 5 2" xfId="12579"/>
    <cellStyle name="Normal 2 2 2 2 7 3 5 2 2" xfId="30672"/>
    <cellStyle name="Normal 2 2 2 2 7 3 5 3" xfId="30673"/>
    <cellStyle name="Normal 2 2 2 2 7 3 6" xfId="12580"/>
    <cellStyle name="Normal 2 2 2 2 7 3 6 2" xfId="30674"/>
    <cellStyle name="Normal 2 2 2 2 7 3 7" xfId="12581"/>
    <cellStyle name="Normal 2 2 2 2 7 4" xfId="1872"/>
    <cellStyle name="Normal 2 2 2 2 7 4 2" xfId="12582"/>
    <cellStyle name="Normal 2 2 2 2 7 4 2 2" xfId="12583"/>
    <cellStyle name="Normal 2 2 2 2 7 4 2 2 2" xfId="30675"/>
    <cellStyle name="Normal 2 2 2 2 7 4 2 3" xfId="30676"/>
    <cellStyle name="Normal 2 2 2 2 7 4 3" xfId="12584"/>
    <cellStyle name="Normal 2 2 2 2 7 4 3 2" xfId="12585"/>
    <cellStyle name="Normal 2 2 2 2 7 4 3 2 2" xfId="30677"/>
    <cellStyle name="Normal 2 2 2 2 7 4 3 3" xfId="30678"/>
    <cellStyle name="Normal 2 2 2 2 7 4 4" xfId="12586"/>
    <cellStyle name="Normal 2 2 2 2 7 4 4 2" xfId="12587"/>
    <cellStyle name="Normal 2 2 2 2 7 4 4 2 2" xfId="30679"/>
    <cellStyle name="Normal 2 2 2 2 7 4 4 3" xfId="30680"/>
    <cellStyle name="Normal 2 2 2 2 7 4 5" xfId="12588"/>
    <cellStyle name="Normal 2 2 2 2 7 4 5 2" xfId="30681"/>
    <cellStyle name="Normal 2 2 2 2 7 4 6" xfId="12589"/>
    <cellStyle name="Normal 2 2 2 2 7 5" xfId="12590"/>
    <cellStyle name="Normal 2 2 2 2 7 5 2" xfId="12591"/>
    <cellStyle name="Normal 2 2 2 2 7 5 2 2" xfId="30682"/>
    <cellStyle name="Normal 2 2 2 2 7 5 3" xfId="30683"/>
    <cellStyle name="Normal 2 2 2 2 7 6" xfId="12592"/>
    <cellStyle name="Normal 2 2 2 2 7 6 2" xfId="12593"/>
    <cellStyle name="Normal 2 2 2 2 7 6 2 2" xfId="30684"/>
    <cellStyle name="Normal 2 2 2 2 7 6 3" xfId="30685"/>
    <cellStyle name="Normal 2 2 2 2 7 7" xfId="12594"/>
    <cellStyle name="Normal 2 2 2 2 7 7 2" xfId="12595"/>
    <cellStyle name="Normal 2 2 2 2 7 7 2 2" xfId="30686"/>
    <cellStyle name="Normal 2 2 2 2 7 7 3" xfId="30687"/>
    <cellStyle name="Normal 2 2 2 2 7 8" xfId="12596"/>
    <cellStyle name="Normal 2 2 2 2 7 8 2" xfId="30688"/>
    <cellStyle name="Normal 2 2 2 2 7 9" xfId="12597"/>
    <cellStyle name="Normal 2 2 2 2 8" xfId="97"/>
    <cellStyle name="Normal 2 2 2 2 8 2" xfId="518"/>
    <cellStyle name="Normal 2 2 2 2 8 2 2" xfId="1873"/>
    <cellStyle name="Normal 2 2 2 2 8 2 2 2" xfId="12598"/>
    <cellStyle name="Normal 2 2 2 2 8 2 2 2 2" xfId="12599"/>
    <cellStyle name="Normal 2 2 2 2 8 2 2 2 2 2" xfId="30689"/>
    <cellStyle name="Normal 2 2 2 2 8 2 2 2 3" xfId="30690"/>
    <cellStyle name="Normal 2 2 2 2 8 2 2 3" xfId="12600"/>
    <cellStyle name="Normal 2 2 2 2 8 2 2 3 2" xfId="12601"/>
    <cellStyle name="Normal 2 2 2 2 8 2 2 3 2 2" xfId="30691"/>
    <cellStyle name="Normal 2 2 2 2 8 2 2 3 3" xfId="30692"/>
    <cellStyle name="Normal 2 2 2 2 8 2 2 4" xfId="12602"/>
    <cellStyle name="Normal 2 2 2 2 8 2 2 4 2" xfId="12603"/>
    <cellStyle name="Normal 2 2 2 2 8 2 2 4 2 2" xfId="30693"/>
    <cellStyle name="Normal 2 2 2 2 8 2 2 4 3" xfId="30694"/>
    <cellStyle name="Normal 2 2 2 2 8 2 2 5" xfId="12604"/>
    <cellStyle name="Normal 2 2 2 2 8 2 2 5 2" xfId="30695"/>
    <cellStyle name="Normal 2 2 2 2 8 2 2 6" xfId="12605"/>
    <cellStyle name="Normal 2 2 2 2 8 2 3" xfId="12606"/>
    <cellStyle name="Normal 2 2 2 2 8 2 3 2" xfId="12607"/>
    <cellStyle name="Normal 2 2 2 2 8 2 3 2 2" xfId="30696"/>
    <cellStyle name="Normal 2 2 2 2 8 2 3 3" xfId="30697"/>
    <cellStyle name="Normal 2 2 2 2 8 2 4" xfId="12608"/>
    <cellStyle name="Normal 2 2 2 2 8 2 4 2" xfId="12609"/>
    <cellStyle name="Normal 2 2 2 2 8 2 4 2 2" xfId="30698"/>
    <cellStyle name="Normal 2 2 2 2 8 2 4 3" xfId="30699"/>
    <cellStyle name="Normal 2 2 2 2 8 2 5" xfId="12610"/>
    <cellStyle name="Normal 2 2 2 2 8 2 5 2" xfId="12611"/>
    <cellStyle name="Normal 2 2 2 2 8 2 5 2 2" xfId="30700"/>
    <cellStyle name="Normal 2 2 2 2 8 2 5 3" xfId="30701"/>
    <cellStyle name="Normal 2 2 2 2 8 2 6" xfId="12612"/>
    <cellStyle name="Normal 2 2 2 2 8 2 6 2" xfId="30702"/>
    <cellStyle name="Normal 2 2 2 2 8 2 7" xfId="12613"/>
    <cellStyle name="Normal 2 2 2 2 8 3" xfId="1874"/>
    <cellStyle name="Normal 2 2 2 2 8 3 2" xfId="12614"/>
    <cellStyle name="Normal 2 2 2 2 8 3 2 2" xfId="12615"/>
    <cellStyle name="Normal 2 2 2 2 8 3 2 2 2" xfId="30703"/>
    <cellStyle name="Normal 2 2 2 2 8 3 2 3" xfId="30704"/>
    <cellStyle name="Normal 2 2 2 2 8 3 3" xfId="12616"/>
    <cellStyle name="Normal 2 2 2 2 8 3 3 2" xfId="12617"/>
    <cellStyle name="Normal 2 2 2 2 8 3 3 2 2" xfId="30705"/>
    <cellStyle name="Normal 2 2 2 2 8 3 3 3" xfId="30706"/>
    <cellStyle name="Normal 2 2 2 2 8 3 4" xfId="12618"/>
    <cellStyle name="Normal 2 2 2 2 8 3 4 2" xfId="12619"/>
    <cellStyle name="Normal 2 2 2 2 8 3 4 2 2" xfId="30707"/>
    <cellStyle name="Normal 2 2 2 2 8 3 4 3" xfId="30708"/>
    <cellStyle name="Normal 2 2 2 2 8 3 5" xfId="12620"/>
    <cellStyle name="Normal 2 2 2 2 8 3 5 2" xfId="30709"/>
    <cellStyle name="Normal 2 2 2 2 8 3 6" xfId="12621"/>
    <cellStyle name="Normal 2 2 2 2 8 4" xfId="12622"/>
    <cellStyle name="Normal 2 2 2 2 8 4 2" xfId="12623"/>
    <cellStyle name="Normal 2 2 2 2 8 4 2 2" xfId="30710"/>
    <cellStyle name="Normal 2 2 2 2 8 4 3" xfId="30711"/>
    <cellStyle name="Normal 2 2 2 2 8 5" xfId="12624"/>
    <cellStyle name="Normal 2 2 2 2 8 5 2" xfId="12625"/>
    <cellStyle name="Normal 2 2 2 2 8 5 2 2" xfId="30712"/>
    <cellStyle name="Normal 2 2 2 2 8 5 3" xfId="30713"/>
    <cellStyle name="Normal 2 2 2 2 8 6" xfId="12626"/>
    <cellStyle name="Normal 2 2 2 2 8 6 2" xfId="12627"/>
    <cellStyle name="Normal 2 2 2 2 8 6 2 2" xfId="30714"/>
    <cellStyle name="Normal 2 2 2 2 8 6 3" xfId="30715"/>
    <cellStyle name="Normal 2 2 2 2 8 7" xfId="12628"/>
    <cellStyle name="Normal 2 2 2 2 8 7 2" xfId="30716"/>
    <cellStyle name="Normal 2 2 2 2 8 8" xfId="12629"/>
    <cellStyle name="Normal 2 2 2 2 9" xfId="886"/>
    <cellStyle name="Normal 2 2 2 2 9 2" xfId="1875"/>
    <cellStyle name="Normal 2 2 2 2 9 2 2" xfId="12630"/>
    <cellStyle name="Normal 2 2 2 2 9 2 2 2" xfId="12631"/>
    <cellStyle name="Normal 2 2 2 2 9 2 2 2 2" xfId="30717"/>
    <cellStyle name="Normal 2 2 2 2 9 2 2 3" xfId="30718"/>
    <cellStyle name="Normal 2 2 2 2 9 2 3" xfId="12632"/>
    <cellStyle name="Normal 2 2 2 2 9 2 3 2" xfId="12633"/>
    <cellStyle name="Normal 2 2 2 2 9 2 3 2 2" xfId="30719"/>
    <cellStyle name="Normal 2 2 2 2 9 2 3 3" xfId="30720"/>
    <cellStyle name="Normal 2 2 2 2 9 2 4" xfId="12634"/>
    <cellStyle name="Normal 2 2 2 2 9 2 4 2" xfId="12635"/>
    <cellStyle name="Normal 2 2 2 2 9 2 4 2 2" xfId="30721"/>
    <cellStyle name="Normal 2 2 2 2 9 2 4 3" xfId="30722"/>
    <cellStyle name="Normal 2 2 2 2 9 2 5" xfId="12636"/>
    <cellStyle name="Normal 2 2 2 2 9 2 5 2" xfId="30723"/>
    <cellStyle name="Normal 2 2 2 2 9 2 6" xfId="12637"/>
    <cellStyle name="Normal 2 2 2 2 9 3" xfId="12638"/>
    <cellStyle name="Normal 2 2 2 2 9 3 2" xfId="12639"/>
    <cellStyle name="Normal 2 2 2 2 9 3 2 2" xfId="30724"/>
    <cellStyle name="Normal 2 2 2 2 9 3 3" xfId="30725"/>
    <cellStyle name="Normal 2 2 2 2 9 4" xfId="12640"/>
    <cellStyle name="Normal 2 2 2 2 9 4 2" xfId="12641"/>
    <cellStyle name="Normal 2 2 2 2 9 4 2 2" xfId="30726"/>
    <cellStyle name="Normal 2 2 2 2 9 4 3" xfId="30727"/>
    <cellStyle name="Normal 2 2 2 2 9 5" xfId="12642"/>
    <cellStyle name="Normal 2 2 2 2 9 5 2" xfId="12643"/>
    <cellStyle name="Normal 2 2 2 2 9 5 2 2" xfId="30728"/>
    <cellStyle name="Normal 2 2 2 2 9 5 3" xfId="30729"/>
    <cellStyle name="Normal 2 2 2 2 9 6" xfId="12644"/>
    <cellStyle name="Normal 2 2 2 2 9 6 2" xfId="30730"/>
    <cellStyle name="Normal 2 2 2 2 9 7" xfId="12645"/>
    <cellStyle name="Normal 2 2 2 3" xfId="50"/>
    <cellStyle name="Normal 2 2 2 3 10" xfId="12646"/>
    <cellStyle name="Normal 2 2 2 3 10 2" xfId="12647"/>
    <cellStyle name="Normal 2 2 2 3 10 2 2" xfId="30731"/>
    <cellStyle name="Normal 2 2 2 3 10 3" xfId="30732"/>
    <cellStyle name="Normal 2 2 2 3 11" xfId="12648"/>
    <cellStyle name="Normal 2 2 2 3 11 2" xfId="12649"/>
    <cellStyle name="Normal 2 2 2 3 11 2 2" xfId="30733"/>
    <cellStyle name="Normal 2 2 2 3 11 3" xfId="30734"/>
    <cellStyle name="Normal 2 2 2 3 12" xfId="12650"/>
    <cellStyle name="Normal 2 2 2 3 12 2" xfId="12651"/>
    <cellStyle name="Normal 2 2 2 3 12 2 2" xfId="30735"/>
    <cellStyle name="Normal 2 2 2 3 12 3" xfId="30736"/>
    <cellStyle name="Normal 2 2 2 3 13" xfId="12652"/>
    <cellStyle name="Normal 2 2 2 3 13 2" xfId="30737"/>
    <cellStyle name="Normal 2 2 2 3 14" xfId="12653"/>
    <cellStyle name="Normal 2 2 2 3 2" xfId="220"/>
    <cellStyle name="Normal 2 2 2 3 2 10" xfId="12654"/>
    <cellStyle name="Normal 2 2 2 3 2 2" xfId="378"/>
    <cellStyle name="Normal 2 2 2 3 2 2 2" xfId="1166"/>
    <cellStyle name="Normal 2 2 2 3 2 2 2 2" xfId="1876"/>
    <cellStyle name="Normal 2 2 2 3 2 2 2 2 2" xfId="12655"/>
    <cellStyle name="Normal 2 2 2 3 2 2 2 2 2 2" xfId="12656"/>
    <cellStyle name="Normal 2 2 2 3 2 2 2 2 2 2 2" xfId="30738"/>
    <cellStyle name="Normal 2 2 2 3 2 2 2 2 2 3" xfId="30739"/>
    <cellStyle name="Normal 2 2 2 3 2 2 2 2 3" xfId="12657"/>
    <cellStyle name="Normal 2 2 2 3 2 2 2 2 3 2" xfId="12658"/>
    <cellStyle name="Normal 2 2 2 3 2 2 2 2 3 2 2" xfId="30740"/>
    <cellStyle name="Normal 2 2 2 3 2 2 2 2 3 3" xfId="30741"/>
    <cellStyle name="Normal 2 2 2 3 2 2 2 2 4" xfId="12659"/>
    <cellStyle name="Normal 2 2 2 3 2 2 2 2 4 2" xfId="12660"/>
    <cellStyle name="Normal 2 2 2 3 2 2 2 2 4 2 2" xfId="30742"/>
    <cellStyle name="Normal 2 2 2 3 2 2 2 2 4 3" xfId="30743"/>
    <cellStyle name="Normal 2 2 2 3 2 2 2 2 5" xfId="12661"/>
    <cellStyle name="Normal 2 2 2 3 2 2 2 2 5 2" xfId="30744"/>
    <cellStyle name="Normal 2 2 2 3 2 2 2 2 6" xfId="12662"/>
    <cellStyle name="Normal 2 2 2 3 2 2 2 3" xfId="12663"/>
    <cellStyle name="Normal 2 2 2 3 2 2 2 3 2" xfId="12664"/>
    <cellStyle name="Normal 2 2 2 3 2 2 2 3 2 2" xfId="30745"/>
    <cellStyle name="Normal 2 2 2 3 2 2 2 3 3" xfId="30746"/>
    <cellStyle name="Normal 2 2 2 3 2 2 2 4" xfId="12665"/>
    <cellStyle name="Normal 2 2 2 3 2 2 2 4 2" xfId="12666"/>
    <cellStyle name="Normal 2 2 2 3 2 2 2 4 2 2" xfId="30747"/>
    <cellStyle name="Normal 2 2 2 3 2 2 2 4 3" xfId="30748"/>
    <cellStyle name="Normal 2 2 2 3 2 2 2 5" xfId="12667"/>
    <cellStyle name="Normal 2 2 2 3 2 2 2 5 2" xfId="12668"/>
    <cellStyle name="Normal 2 2 2 3 2 2 2 5 2 2" xfId="30749"/>
    <cellStyle name="Normal 2 2 2 3 2 2 2 5 3" xfId="30750"/>
    <cellStyle name="Normal 2 2 2 3 2 2 2 6" xfId="12669"/>
    <cellStyle name="Normal 2 2 2 3 2 2 2 6 2" xfId="30751"/>
    <cellStyle name="Normal 2 2 2 3 2 2 2 7" xfId="12670"/>
    <cellStyle name="Normal 2 2 2 3 2 2 3" xfId="798"/>
    <cellStyle name="Normal 2 2 2 3 2 2 3 2" xfId="1877"/>
    <cellStyle name="Normal 2 2 2 3 2 2 3 2 2" xfId="12671"/>
    <cellStyle name="Normal 2 2 2 3 2 2 3 2 2 2" xfId="12672"/>
    <cellStyle name="Normal 2 2 2 3 2 2 3 2 2 2 2" xfId="30752"/>
    <cellStyle name="Normal 2 2 2 3 2 2 3 2 2 3" xfId="30753"/>
    <cellStyle name="Normal 2 2 2 3 2 2 3 2 3" xfId="12673"/>
    <cellStyle name="Normal 2 2 2 3 2 2 3 2 3 2" xfId="12674"/>
    <cellStyle name="Normal 2 2 2 3 2 2 3 2 3 2 2" xfId="30754"/>
    <cellStyle name="Normal 2 2 2 3 2 2 3 2 3 3" xfId="30755"/>
    <cellStyle name="Normal 2 2 2 3 2 2 3 2 4" xfId="12675"/>
    <cellStyle name="Normal 2 2 2 3 2 2 3 2 4 2" xfId="12676"/>
    <cellStyle name="Normal 2 2 2 3 2 2 3 2 4 2 2" xfId="30756"/>
    <cellStyle name="Normal 2 2 2 3 2 2 3 2 4 3" xfId="30757"/>
    <cellStyle name="Normal 2 2 2 3 2 2 3 2 5" xfId="12677"/>
    <cellStyle name="Normal 2 2 2 3 2 2 3 2 5 2" xfId="30758"/>
    <cellStyle name="Normal 2 2 2 3 2 2 3 2 6" xfId="12678"/>
    <cellStyle name="Normal 2 2 2 3 2 2 3 3" xfId="12679"/>
    <cellStyle name="Normal 2 2 2 3 2 2 3 3 2" xfId="12680"/>
    <cellStyle name="Normal 2 2 2 3 2 2 3 3 2 2" xfId="30759"/>
    <cellStyle name="Normal 2 2 2 3 2 2 3 3 3" xfId="30760"/>
    <cellStyle name="Normal 2 2 2 3 2 2 3 4" xfId="12681"/>
    <cellStyle name="Normal 2 2 2 3 2 2 3 4 2" xfId="12682"/>
    <cellStyle name="Normal 2 2 2 3 2 2 3 4 2 2" xfId="30761"/>
    <cellStyle name="Normal 2 2 2 3 2 2 3 4 3" xfId="30762"/>
    <cellStyle name="Normal 2 2 2 3 2 2 3 5" xfId="12683"/>
    <cellStyle name="Normal 2 2 2 3 2 2 3 5 2" xfId="12684"/>
    <cellStyle name="Normal 2 2 2 3 2 2 3 5 2 2" xfId="30763"/>
    <cellStyle name="Normal 2 2 2 3 2 2 3 5 3" xfId="30764"/>
    <cellStyle name="Normal 2 2 2 3 2 2 3 6" xfId="12685"/>
    <cellStyle name="Normal 2 2 2 3 2 2 3 6 2" xfId="30765"/>
    <cellStyle name="Normal 2 2 2 3 2 2 3 7" xfId="12686"/>
    <cellStyle name="Normal 2 2 2 3 2 2 4" xfId="1878"/>
    <cellStyle name="Normal 2 2 2 3 2 2 4 2" xfId="12687"/>
    <cellStyle name="Normal 2 2 2 3 2 2 4 2 2" xfId="12688"/>
    <cellStyle name="Normal 2 2 2 3 2 2 4 2 2 2" xfId="30766"/>
    <cellStyle name="Normal 2 2 2 3 2 2 4 2 3" xfId="30767"/>
    <cellStyle name="Normal 2 2 2 3 2 2 4 3" xfId="12689"/>
    <cellStyle name="Normal 2 2 2 3 2 2 4 3 2" xfId="12690"/>
    <cellStyle name="Normal 2 2 2 3 2 2 4 3 2 2" xfId="30768"/>
    <cellStyle name="Normal 2 2 2 3 2 2 4 3 3" xfId="30769"/>
    <cellStyle name="Normal 2 2 2 3 2 2 4 4" xfId="12691"/>
    <cellStyle name="Normal 2 2 2 3 2 2 4 4 2" xfId="12692"/>
    <cellStyle name="Normal 2 2 2 3 2 2 4 4 2 2" xfId="30770"/>
    <cellStyle name="Normal 2 2 2 3 2 2 4 4 3" xfId="30771"/>
    <cellStyle name="Normal 2 2 2 3 2 2 4 5" xfId="12693"/>
    <cellStyle name="Normal 2 2 2 3 2 2 4 5 2" xfId="30772"/>
    <cellStyle name="Normal 2 2 2 3 2 2 4 6" xfId="12694"/>
    <cellStyle name="Normal 2 2 2 3 2 2 5" xfId="12695"/>
    <cellStyle name="Normal 2 2 2 3 2 2 5 2" xfId="12696"/>
    <cellStyle name="Normal 2 2 2 3 2 2 5 2 2" xfId="30773"/>
    <cellStyle name="Normal 2 2 2 3 2 2 5 3" xfId="30774"/>
    <cellStyle name="Normal 2 2 2 3 2 2 6" xfId="12697"/>
    <cellStyle name="Normal 2 2 2 3 2 2 6 2" xfId="12698"/>
    <cellStyle name="Normal 2 2 2 3 2 2 6 2 2" xfId="30775"/>
    <cellStyle name="Normal 2 2 2 3 2 2 6 3" xfId="30776"/>
    <cellStyle name="Normal 2 2 2 3 2 2 7" xfId="12699"/>
    <cellStyle name="Normal 2 2 2 3 2 2 7 2" xfId="12700"/>
    <cellStyle name="Normal 2 2 2 3 2 2 7 2 2" xfId="30777"/>
    <cellStyle name="Normal 2 2 2 3 2 2 7 3" xfId="30778"/>
    <cellStyle name="Normal 2 2 2 3 2 2 8" xfId="12701"/>
    <cellStyle name="Normal 2 2 2 3 2 2 8 2" xfId="30779"/>
    <cellStyle name="Normal 2 2 2 3 2 2 9" xfId="12702"/>
    <cellStyle name="Normal 2 2 2 3 2 3" xfId="1008"/>
    <cellStyle name="Normal 2 2 2 3 2 3 2" xfId="1879"/>
    <cellStyle name="Normal 2 2 2 3 2 3 2 2" xfId="12703"/>
    <cellStyle name="Normal 2 2 2 3 2 3 2 2 2" xfId="12704"/>
    <cellStyle name="Normal 2 2 2 3 2 3 2 2 2 2" xfId="30780"/>
    <cellStyle name="Normal 2 2 2 3 2 3 2 2 3" xfId="30781"/>
    <cellStyle name="Normal 2 2 2 3 2 3 2 3" xfId="12705"/>
    <cellStyle name="Normal 2 2 2 3 2 3 2 3 2" xfId="12706"/>
    <cellStyle name="Normal 2 2 2 3 2 3 2 3 2 2" xfId="30782"/>
    <cellStyle name="Normal 2 2 2 3 2 3 2 3 3" xfId="30783"/>
    <cellStyle name="Normal 2 2 2 3 2 3 2 4" xfId="12707"/>
    <cellStyle name="Normal 2 2 2 3 2 3 2 4 2" xfId="12708"/>
    <cellStyle name="Normal 2 2 2 3 2 3 2 4 2 2" xfId="30784"/>
    <cellStyle name="Normal 2 2 2 3 2 3 2 4 3" xfId="30785"/>
    <cellStyle name="Normal 2 2 2 3 2 3 2 5" xfId="12709"/>
    <cellStyle name="Normal 2 2 2 3 2 3 2 5 2" xfId="30786"/>
    <cellStyle name="Normal 2 2 2 3 2 3 2 6" xfId="12710"/>
    <cellStyle name="Normal 2 2 2 3 2 3 3" xfId="12711"/>
    <cellStyle name="Normal 2 2 2 3 2 3 3 2" xfId="12712"/>
    <cellStyle name="Normal 2 2 2 3 2 3 3 2 2" xfId="30787"/>
    <cellStyle name="Normal 2 2 2 3 2 3 3 3" xfId="30788"/>
    <cellStyle name="Normal 2 2 2 3 2 3 4" xfId="12713"/>
    <cellStyle name="Normal 2 2 2 3 2 3 4 2" xfId="12714"/>
    <cellStyle name="Normal 2 2 2 3 2 3 4 2 2" xfId="30789"/>
    <cellStyle name="Normal 2 2 2 3 2 3 4 3" xfId="30790"/>
    <cellStyle name="Normal 2 2 2 3 2 3 5" xfId="12715"/>
    <cellStyle name="Normal 2 2 2 3 2 3 5 2" xfId="12716"/>
    <cellStyle name="Normal 2 2 2 3 2 3 5 2 2" xfId="30791"/>
    <cellStyle name="Normal 2 2 2 3 2 3 5 3" xfId="30792"/>
    <cellStyle name="Normal 2 2 2 3 2 3 6" xfId="12717"/>
    <cellStyle name="Normal 2 2 2 3 2 3 6 2" xfId="30793"/>
    <cellStyle name="Normal 2 2 2 3 2 3 7" xfId="12718"/>
    <cellStyle name="Normal 2 2 2 3 2 4" xfId="640"/>
    <cellStyle name="Normal 2 2 2 3 2 4 2" xfId="1880"/>
    <cellStyle name="Normal 2 2 2 3 2 4 2 2" xfId="12719"/>
    <cellStyle name="Normal 2 2 2 3 2 4 2 2 2" xfId="12720"/>
    <cellStyle name="Normal 2 2 2 3 2 4 2 2 2 2" xfId="30794"/>
    <cellStyle name="Normal 2 2 2 3 2 4 2 2 3" xfId="30795"/>
    <cellStyle name="Normal 2 2 2 3 2 4 2 3" xfId="12721"/>
    <cellStyle name="Normal 2 2 2 3 2 4 2 3 2" xfId="12722"/>
    <cellStyle name="Normal 2 2 2 3 2 4 2 3 2 2" xfId="30796"/>
    <cellStyle name="Normal 2 2 2 3 2 4 2 3 3" xfId="30797"/>
    <cellStyle name="Normal 2 2 2 3 2 4 2 4" xfId="12723"/>
    <cellStyle name="Normal 2 2 2 3 2 4 2 4 2" xfId="12724"/>
    <cellStyle name="Normal 2 2 2 3 2 4 2 4 2 2" xfId="30798"/>
    <cellStyle name="Normal 2 2 2 3 2 4 2 4 3" xfId="30799"/>
    <cellStyle name="Normal 2 2 2 3 2 4 2 5" xfId="12725"/>
    <cellStyle name="Normal 2 2 2 3 2 4 2 5 2" xfId="30800"/>
    <cellStyle name="Normal 2 2 2 3 2 4 2 6" xfId="12726"/>
    <cellStyle name="Normal 2 2 2 3 2 4 3" xfId="12727"/>
    <cellStyle name="Normal 2 2 2 3 2 4 3 2" xfId="12728"/>
    <cellStyle name="Normal 2 2 2 3 2 4 3 2 2" xfId="30801"/>
    <cellStyle name="Normal 2 2 2 3 2 4 3 3" xfId="30802"/>
    <cellStyle name="Normal 2 2 2 3 2 4 4" xfId="12729"/>
    <cellStyle name="Normal 2 2 2 3 2 4 4 2" xfId="12730"/>
    <cellStyle name="Normal 2 2 2 3 2 4 4 2 2" xfId="30803"/>
    <cellStyle name="Normal 2 2 2 3 2 4 4 3" xfId="30804"/>
    <cellStyle name="Normal 2 2 2 3 2 4 5" xfId="12731"/>
    <cellStyle name="Normal 2 2 2 3 2 4 5 2" xfId="12732"/>
    <cellStyle name="Normal 2 2 2 3 2 4 5 2 2" xfId="30805"/>
    <cellStyle name="Normal 2 2 2 3 2 4 5 3" xfId="30806"/>
    <cellStyle name="Normal 2 2 2 3 2 4 6" xfId="12733"/>
    <cellStyle name="Normal 2 2 2 3 2 4 6 2" xfId="30807"/>
    <cellStyle name="Normal 2 2 2 3 2 4 7" xfId="12734"/>
    <cellStyle name="Normal 2 2 2 3 2 5" xfId="1881"/>
    <cellStyle name="Normal 2 2 2 3 2 5 2" xfId="12735"/>
    <cellStyle name="Normal 2 2 2 3 2 5 2 2" xfId="12736"/>
    <cellStyle name="Normal 2 2 2 3 2 5 2 2 2" xfId="30808"/>
    <cellStyle name="Normal 2 2 2 3 2 5 2 3" xfId="30809"/>
    <cellStyle name="Normal 2 2 2 3 2 5 3" xfId="12737"/>
    <cellStyle name="Normal 2 2 2 3 2 5 3 2" xfId="12738"/>
    <cellStyle name="Normal 2 2 2 3 2 5 3 2 2" xfId="30810"/>
    <cellStyle name="Normal 2 2 2 3 2 5 3 3" xfId="30811"/>
    <cellStyle name="Normal 2 2 2 3 2 5 4" xfId="12739"/>
    <cellStyle name="Normal 2 2 2 3 2 5 4 2" xfId="12740"/>
    <cellStyle name="Normal 2 2 2 3 2 5 4 2 2" xfId="30812"/>
    <cellStyle name="Normal 2 2 2 3 2 5 4 3" xfId="30813"/>
    <cellStyle name="Normal 2 2 2 3 2 5 5" xfId="12741"/>
    <cellStyle name="Normal 2 2 2 3 2 5 5 2" xfId="30814"/>
    <cellStyle name="Normal 2 2 2 3 2 5 6" xfId="12742"/>
    <cellStyle name="Normal 2 2 2 3 2 6" xfId="12743"/>
    <cellStyle name="Normal 2 2 2 3 2 6 2" xfId="12744"/>
    <cellStyle name="Normal 2 2 2 3 2 6 2 2" xfId="30815"/>
    <cellStyle name="Normal 2 2 2 3 2 6 3" xfId="30816"/>
    <cellStyle name="Normal 2 2 2 3 2 7" xfId="12745"/>
    <cellStyle name="Normal 2 2 2 3 2 7 2" xfId="12746"/>
    <cellStyle name="Normal 2 2 2 3 2 7 2 2" xfId="30817"/>
    <cellStyle name="Normal 2 2 2 3 2 7 3" xfId="30818"/>
    <cellStyle name="Normal 2 2 2 3 2 8" xfId="12747"/>
    <cellStyle name="Normal 2 2 2 3 2 8 2" xfId="12748"/>
    <cellStyle name="Normal 2 2 2 3 2 8 2 2" xfId="30819"/>
    <cellStyle name="Normal 2 2 2 3 2 8 3" xfId="30820"/>
    <cellStyle name="Normal 2 2 2 3 2 9" xfId="12749"/>
    <cellStyle name="Normal 2 2 2 3 2 9 2" xfId="30821"/>
    <cellStyle name="Normal 2 2 2 3 3" xfId="271"/>
    <cellStyle name="Normal 2 2 2 3 3 10" xfId="12750"/>
    <cellStyle name="Normal 2 2 2 3 3 2" xfId="429"/>
    <cellStyle name="Normal 2 2 2 3 3 2 2" xfId="1217"/>
    <cellStyle name="Normal 2 2 2 3 3 2 2 2" xfId="1882"/>
    <cellStyle name="Normal 2 2 2 3 3 2 2 2 2" xfId="12751"/>
    <cellStyle name="Normal 2 2 2 3 3 2 2 2 2 2" xfId="12752"/>
    <cellStyle name="Normal 2 2 2 3 3 2 2 2 2 2 2" xfId="30822"/>
    <cellStyle name="Normal 2 2 2 3 3 2 2 2 2 3" xfId="30823"/>
    <cellStyle name="Normal 2 2 2 3 3 2 2 2 3" xfId="12753"/>
    <cellStyle name="Normal 2 2 2 3 3 2 2 2 3 2" xfId="12754"/>
    <cellStyle name="Normal 2 2 2 3 3 2 2 2 3 2 2" xfId="30824"/>
    <cellStyle name="Normal 2 2 2 3 3 2 2 2 3 3" xfId="30825"/>
    <cellStyle name="Normal 2 2 2 3 3 2 2 2 4" xfId="12755"/>
    <cellStyle name="Normal 2 2 2 3 3 2 2 2 4 2" xfId="12756"/>
    <cellStyle name="Normal 2 2 2 3 3 2 2 2 4 2 2" xfId="30826"/>
    <cellStyle name="Normal 2 2 2 3 3 2 2 2 4 3" xfId="30827"/>
    <cellStyle name="Normal 2 2 2 3 3 2 2 2 5" xfId="12757"/>
    <cellStyle name="Normal 2 2 2 3 3 2 2 2 5 2" xfId="30828"/>
    <cellStyle name="Normal 2 2 2 3 3 2 2 2 6" xfId="12758"/>
    <cellStyle name="Normal 2 2 2 3 3 2 2 3" xfId="12759"/>
    <cellStyle name="Normal 2 2 2 3 3 2 2 3 2" xfId="12760"/>
    <cellStyle name="Normal 2 2 2 3 3 2 2 3 2 2" xfId="30829"/>
    <cellStyle name="Normal 2 2 2 3 3 2 2 3 3" xfId="30830"/>
    <cellStyle name="Normal 2 2 2 3 3 2 2 4" xfId="12761"/>
    <cellStyle name="Normal 2 2 2 3 3 2 2 4 2" xfId="12762"/>
    <cellStyle name="Normal 2 2 2 3 3 2 2 4 2 2" xfId="30831"/>
    <cellStyle name="Normal 2 2 2 3 3 2 2 4 3" xfId="30832"/>
    <cellStyle name="Normal 2 2 2 3 3 2 2 5" xfId="12763"/>
    <cellStyle name="Normal 2 2 2 3 3 2 2 5 2" xfId="12764"/>
    <cellStyle name="Normal 2 2 2 3 3 2 2 5 2 2" xfId="30833"/>
    <cellStyle name="Normal 2 2 2 3 3 2 2 5 3" xfId="30834"/>
    <cellStyle name="Normal 2 2 2 3 3 2 2 6" xfId="12765"/>
    <cellStyle name="Normal 2 2 2 3 3 2 2 6 2" xfId="30835"/>
    <cellStyle name="Normal 2 2 2 3 3 2 2 7" xfId="12766"/>
    <cellStyle name="Normal 2 2 2 3 3 2 3" xfId="849"/>
    <cellStyle name="Normal 2 2 2 3 3 2 3 2" xfId="1883"/>
    <cellStyle name="Normal 2 2 2 3 3 2 3 2 2" xfId="12767"/>
    <cellStyle name="Normal 2 2 2 3 3 2 3 2 2 2" xfId="12768"/>
    <cellStyle name="Normal 2 2 2 3 3 2 3 2 2 2 2" xfId="30836"/>
    <cellStyle name="Normal 2 2 2 3 3 2 3 2 2 3" xfId="30837"/>
    <cellStyle name="Normal 2 2 2 3 3 2 3 2 3" xfId="12769"/>
    <cellStyle name="Normal 2 2 2 3 3 2 3 2 3 2" xfId="12770"/>
    <cellStyle name="Normal 2 2 2 3 3 2 3 2 3 2 2" xfId="30838"/>
    <cellStyle name="Normal 2 2 2 3 3 2 3 2 3 3" xfId="30839"/>
    <cellStyle name="Normal 2 2 2 3 3 2 3 2 4" xfId="12771"/>
    <cellStyle name="Normal 2 2 2 3 3 2 3 2 4 2" xfId="12772"/>
    <cellStyle name="Normal 2 2 2 3 3 2 3 2 4 2 2" xfId="30840"/>
    <cellStyle name="Normal 2 2 2 3 3 2 3 2 4 3" xfId="30841"/>
    <cellStyle name="Normal 2 2 2 3 3 2 3 2 5" xfId="12773"/>
    <cellStyle name="Normal 2 2 2 3 3 2 3 2 5 2" xfId="30842"/>
    <cellStyle name="Normal 2 2 2 3 3 2 3 2 6" xfId="12774"/>
    <cellStyle name="Normal 2 2 2 3 3 2 3 3" xfId="12775"/>
    <cellStyle name="Normal 2 2 2 3 3 2 3 3 2" xfId="12776"/>
    <cellStyle name="Normal 2 2 2 3 3 2 3 3 2 2" xfId="30843"/>
    <cellStyle name="Normal 2 2 2 3 3 2 3 3 3" xfId="30844"/>
    <cellStyle name="Normal 2 2 2 3 3 2 3 4" xfId="12777"/>
    <cellStyle name="Normal 2 2 2 3 3 2 3 4 2" xfId="12778"/>
    <cellStyle name="Normal 2 2 2 3 3 2 3 4 2 2" xfId="30845"/>
    <cellStyle name="Normal 2 2 2 3 3 2 3 4 3" xfId="30846"/>
    <cellStyle name="Normal 2 2 2 3 3 2 3 5" xfId="12779"/>
    <cellStyle name="Normal 2 2 2 3 3 2 3 5 2" xfId="12780"/>
    <cellStyle name="Normal 2 2 2 3 3 2 3 5 2 2" xfId="30847"/>
    <cellStyle name="Normal 2 2 2 3 3 2 3 5 3" xfId="30848"/>
    <cellStyle name="Normal 2 2 2 3 3 2 3 6" xfId="12781"/>
    <cellStyle name="Normal 2 2 2 3 3 2 3 6 2" xfId="30849"/>
    <cellStyle name="Normal 2 2 2 3 3 2 3 7" xfId="12782"/>
    <cellStyle name="Normal 2 2 2 3 3 2 4" xfId="1884"/>
    <cellStyle name="Normal 2 2 2 3 3 2 4 2" xfId="12783"/>
    <cellStyle name="Normal 2 2 2 3 3 2 4 2 2" xfId="12784"/>
    <cellStyle name="Normal 2 2 2 3 3 2 4 2 2 2" xfId="30850"/>
    <cellStyle name="Normal 2 2 2 3 3 2 4 2 3" xfId="30851"/>
    <cellStyle name="Normal 2 2 2 3 3 2 4 3" xfId="12785"/>
    <cellStyle name="Normal 2 2 2 3 3 2 4 3 2" xfId="12786"/>
    <cellStyle name="Normal 2 2 2 3 3 2 4 3 2 2" xfId="30852"/>
    <cellStyle name="Normal 2 2 2 3 3 2 4 3 3" xfId="30853"/>
    <cellStyle name="Normal 2 2 2 3 3 2 4 4" xfId="12787"/>
    <cellStyle name="Normal 2 2 2 3 3 2 4 4 2" xfId="12788"/>
    <cellStyle name="Normal 2 2 2 3 3 2 4 4 2 2" xfId="30854"/>
    <cellStyle name="Normal 2 2 2 3 3 2 4 4 3" xfId="30855"/>
    <cellStyle name="Normal 2 2 2 3 3 2 4 5" xfId="12789"/>
    <cellStyle name="Normal 2 2 2 3 3 2 4 5 2" xfId="30856"/>
    <cellStyle name="Normal 2 2 2 3 3 2 4 6" xfId="12790"/>
    <cellStyle name="Normal 2 2 2 3 3 2 5" xfId="12791"/>
    <cellStyle name="Normal 2 2 2 3 3 2 5 2" xfId="12792"/>
    <cellStyle name="Normal 2 2 2 3 3 2 5 2 2" xfId="30857"/>
    <cellStyle name="Normal 2 2 2 3 3 2 5 3" xfId="30858"/>
    <cellStyle name="Normal 2 2 2 3 3 2 6" xfId="12793"/>
    <cellStyle name="Normal 2 2 2 3 3 2 6 2" xfId="12794"/>
    <cellStyle name="Normal 2 2 2 3 3 2 6 2 2" xfId="30859"/>
    <cellStyle name="Normal 2 2 2 3 3 2 6 3" xfId="30860"/>
    <cellStyle name="Normal 2 2 2 3 3 2 7" xfId="12795"/>
    <cellStyle name="Normal 2 2 2 3 3 2 7 2" xfId="12796"/>
    <cellStyle name="Normal 2 2 2 3 3 2 7 2 2" xfId="30861"/>
    <cellStyle name="Normal 2 2 2 3 3 2 7 3" xfId="30862"/>
    <cellStyle name="Normal 2 2 2 3 3 2 8" xfId="12797"/>
    <cellStyle name="Normal 2 2 2 3 3 2 8 2" xfId="30863"/>
    <cellStyle name="Normal 2 2 2 3 3 2 9" xfId="12798"/>
    <cellStyle name="Normal 2 2 2 3 3 3" xfId="1059"/>
    <cellStyle name="Normal 2 2 2 3 3 3 2" xfId="1885"/>
    <cellStyle name="Normal 2 2 2 3 3 3 2 2" xfId="12799"/>
    <cellStyle name="Normal 2 2 2 3 3 3 2 2 2" xfId="12800"/>
    <cellStyle name="Normal 2 2 2 3 3 3 2 2 2 2" xfId="30864"/>
    <cellStyle name="Normal 2 2 2 3 3 3 2 2 3" xfId="30865"/>
    <cellStyle name="Normal 2 2 2 3 3 3 2 3" xfId="12801"/>
    <cellStyle name="Normal 2 2 2 3 3 3 2 3 2" xfId="12802"/>
    <cellStyle name="Normal 2 2 2 3 3 3 2 3 2 2" xfId="30866"/>
    <cellStyle name="Normal 2 2 2 3 3 3 2 3 3" xfId="30867"/>
    <cellStyle name="Normal 2 2 2 3 3 3 2 4" xfId="12803"/>
    <cellStyle name="Normal 2 2 2 3 3 3 2 4 2" xfId="12804"/>
    <cellStyle name="Normal 2 2 2 3 3 3 2 4 2 2" xfId="30868"/>
    <cellStyle name="Normal 2 2 2 3 3 3 2 4 3" xfId="30869"/>
    <cellStyle name="Normal 2 2 2 3 3 3 2 5" xfId="12805"/>
    <cellStyle name="Normal 2 2 2 3 3 3 2 5 2" xfId="30870"/>
    <cellStyle name="Normal 2 2 2 3 3 3 2 6" xfId="12806"/>
    <cellStyle name="Normal 2 2 2 3 3 3 3" xfId="12807"/>
    <cellStyle name="Normal 2 2 2 3 3 3 3 2" xfId="12808"/>
    <cellStyle name="Normal 2 2 2 3 3 3 3 2 2" xfId="30871"/>
    <cellStyle name="Normal 2 2 2 3 3 3 3 3" xfId="30872"/>
    <cellStyle name="Normal 2 2 2 3 3 3 4" xfId="12809"/>
    <cellStyle name="Normal 2 2 2 3 3 3 4 2" xfId="12810"/>
    <cellStyle name="Normal 2 2 2 3 3 3 4 2 2" xfId="30873"/>
    <cellStyle name="Normal 2 2 2 3 3 3 4 3" xfId="30874"/>
    <cellStyle name="Normal 2 2 2 3 3 3 5" xfId="12811"/>
    <cellStyle name="Normal 2 2 2 3 3 3 5 2" xfId="12812"/>
    <cellStyle name="Normal 2 2 2 3 3 3 5 2 2" xfId="30875"/>
    <cellStyle name="Normal 2 2 2 3 3 3 5 3" xfId="30876"/>
    <cellStyle name="Normal 2 2 2 3 3 3 6" xfId="12813"/>
    <cellStyle name="Normal 2 2 2 3 3 3 6 2" xfId="30877"/>
    <cellStyle name="Normal 2 2 2 3 3 3 7" xfId="12814"/>
    <cellStyle name="Normal 2 2 2 3 3 4" xfId="691"/>
    <cellStyle name="Normal 2 2 2 3 3 4 2" xfId="1886"/>
    <cellStyle name="Normal 2 2 2 3 3 4 2 2" xfId="12815"/>
    <cellStyle name="Normal 2 2 2 3 3 4 2 2 2" xfId="12816"/>
    <cellStyle name="Normal 2 2 2 3 3 4 2 2 2 2" xfId="30878"/>
    <cellStyle name="Normal 2 2 2 3 3 4 2 2 3" xfId="30879"/>
    <cellStyle name="Normal 2 2 2 3 3 4 2 3" xfId="12817"/>
    <cellStyle name="Normal 2 2 2 3 3 4 2 3 2" xfId="12818"/>
    <cellStyle name="Normal 2 2 2 3 3 4 2 3 2 2" xfId="30880"/>
    <cellStyle name="Normal 2 2 2 3 3 4 2 3 3" xfId="30881"/>
    <cellStyle name="Normal 2 2 2 3 3 4 2 4" xfId="12819"/>
    <cellStyle name="Normal 2 2 2 3 3 4 2 4 2" xfId="12820"/>
    <cellStyle name="Normal 2 2 2 3 3 4 2 4 2 2" xfId="30882"/>
    <cellStyle name="Normal 2 2 2 3 3 4 2 4 3" xfId="30883"/>
    <cellStyle name="Normal 2 2 2 3 3 4 2 5" xfId="12821"/>
    <cellStyle name="Normal 2 2 2 3 3 4 2 5 2" xfId="30884"/>
    <cellStyle name="Normal 2 2 2 3 3 4 2 6" xfId="12822"/>
    <cellStyle name="Normal 2 2 2 3 3 4 3" xfId="12823"/>
    <cellStyle name="Normal 2 2 2 3 3 4 3 2" xfId="12824"/>
    <cellStyle name="Normal 2 2 2 3 3 4 3 2 2" xfId="30885"/>
    <cellStyle name="Normal 2 2 2 3 3 4 3 3" xfId="30886"/>
    <cellStyle name="Normal 2 2 2 3 3 4 4" xfId="12825"/>
    <cellStyle name="Normal 2 2 2 3 3 4 4 2" xfId="12826"/>
    <cellStyle name="Normal 2 2 2 3 3 4 4 2 2" xfId="30887"/>
    <cellStyle name="Normal 2 2 2 3 3 4 4 3" xfId="30888"/>
    <cellStyle name="Normal 2 2 2 3 3 4 5" xfId="12827"/>
    <cellStyle name="Normal 2 2 2 3 3 4 5 2" xfId="12828"/>
    <cellStyle name="Normal 2 2 2 3 3 4 5 2 2" xfId="30889"/>
    <cellStyle name="Normal 2 2 2 3 3 4 5 3" xfId="30890"/>
    <cellStyle name="Normal 2 2 2 3 3 4 6" xfId="12829"/>
    <cellStyle name="Normal 2 2 2 3 3 4 6 2" xfId="30891"/>
    <cellStyle name="Normal 2 2 2 3 3 4 7" xfId="12830"/>
    <cellStyle name="Normal 2 2 2 3 3 5" xfId="1887"/>
    <cellStyle name="Normal 2 2 2 3 3 5 2" xfId="12831"/>
    <cellStyle name="Normal 2 2 2 3 3 5 2 2" xfId="12832"/>
    <cellStyle name="Normal 2 2 2 3 3 5 2 2 2" xfId="30892"/>
    <cellStyle name="Normal 2 2 2 3 3 5 2 3" xfId="30893"/>
    <cellStyle name="Normal 2 2 2 3 3 5 3" xfId="12833"/>
    <cellStyle name="Normal 2 2 2 3 3 5 3 2" xfId="12834"/>
    <cellStyle name="Normal 2 2 2 3 3 5 3 2 2" xfId="30894"/>
    <cellStyle name="Normal 2 2 2 3 3 5 3 3" xfId="30895"/>
    <cellStyle name="Normal 2 2 2 3 3 5 4" xfId="12835"/>
    <cellStyle name="Normal 2 2 2 3 3 5 4 2" xfId="12836"/>
    <cellStyle name="Normal 2 2 2 3 3 5 4 2 2" xfId="30896"/>
    <cellStyle name="Normal 2 2 2 3 3 5 4 3" xfId="30897"/>
    <cellStyle name="Normal 2 2 2 3 3 5 5" xfId="12837"/>
    <cellStyle name="Normal 2 2 2 3 3 5 5 2" xfId="30898"/>
    <cellStyle name="Normal 2 2 2 3 3 5 6" xfId="12838"/>
    <cellStyle name="Normal 2 2 2 3 3 6" xfId="12839"/>
    <cellStyle name="Normal 2 2 2 3 3 6 2" xfId="12840"/>
    <cellStyle name="Normal 2 2 2 3 3 6 2 2" xfId="30899"/>
    <cellStyle name="Normal 2 2 2 3 3 6 3" xfId="30900"/>
    <cellStyle name="Normal 2 2 2 3 3 7" xfId="12841"/>
    <cellStyle name="Normal 2 2 2 3 3 7 2" xfId="12842"/>
    <cellStyle name="Normal 2 2 2 3 3 7 2 2" xfId="30901"/>
    <cellStyle name="Normal 2 2 2 3 3 7 3" xfId="30902"/>
    <cellStyle name="Normal 2 2 2 3 3 8" xfId="12843"/>
    <cellStyle name="Normal 2 2 2 3 3 8 2" xfId="12844"/>
    <cellStyle name="Normal 2 2 2 3 3 8 2 2" xfId="30903"/>
    <cellStyle name="Normal 2 2 2 3 3 8 3" xfId="30904"/>
    <cellStyle name="Normal 2 2 2 3 3 9" xfId="12845"/>
    <cellStyle name="Normal 2 2 2 3 3 9 2" xfId="30905"/>
    <cellStyle name="Normal 2 2 2 3 4" xfId="176"/>
    <cellStyle name="Normal 2 2 2 3 4 2" xfId="964"/>
    <cellStyle name="Normal 2 2 2 3 4 2 2" xfId="1888"/>
    <cellStyle name="Normal 2 2 2 3 4 2 2 2" xfId="12846"/>
    <cellStyle name="Normal 2 2 2 3 4 2 2 2 2" xfId="12847"/>
    <cellStyle name="Normal 2 2 2 3 4 2 2 2 2 2" xfId="30906"/>
    <cellStyle name="Normal 2 2 2 3 4 2 2 2 3" xfId="30907"/>
    <cellStyle name="Normal 2 2 2 3 4 2 2 3" xfId="12848"/>
    <cellStyle name="Normal 2 2 2 3 4 2 2 3 2" xfId="12849"/>
    <cellStyle name="Normal 2 2 2 3 4 2 2 3 2 2" xfId="30908"/>
    <cellStyle name="Normal 2 2 2 3 4 2 2 3 3" xfId="30909"/>
    <cellStyle name="Normal 2 2 2 3 4 2 2 4" xfId="12850"/>
    <cellStyle name="Normal 2 2 2 3 4 2 2 4 2" xfId="12851"/>
    <cellStyle name="Normal 2 2 2 3 4 2 2 4 2 2" xfId="30910"/>
    <cellStyle name="Normal 2 2 2 3 4 2 2 4 3" xfId="30911"/>
    <cellStyle name="Normal 2 2 2 3 4 2 2 5" xfId="12852"/>
    <cellStyle name="Normal 2 2 2 3 4 2 2 5 2" xfId="30912"/>
    <cellStyle name="Normal 2 2 2 3 4 2 2 6" xfId="12853"/>
    <cellStyle name="Normal 2 2 2 3 4 2 3" xfId="12854"/>
    <cellStyle name="Normal 2 2 2 3 4 2 3 2" xfId="12855"/>
    <cellStyle name="Normal 2 2 2 3 4 2 3 2 2" xfId="30913"/>
    <cellStyle name="Normal 2 2 2 3 4 2 3 3" xfId="30914"/>
    <cellStyle name="Normal 2 2 2 3 4 2 4" xfId="12856"/>
    <cellStyle name="Normal 2 2 2 3 4 2 4 2" xfId="12857"/>
    <cellStyle name="Normal 2 2 2 3 4 2 4 2 2" xfId="30915"/>
    <cellStyle name="Normal 2 2 2 3 4 2 4 3" xfId="30916"/>
    <cellStyle name="Normal 2 2 2 3 4 2 5" xfId="12858"/>
    <cellStyle name="Normal 2 2 2 3 4 2 5 2" xfId="12859"/>
    <cellStyle name="Normal 2 2 2 3 4 2 5 2 2" xfId="30917"/>
    <cellStyle name="Normal 2 2 2 3 4 2 5 3" xfId="30918"/>
    <cellStyle name="Normal 2 2 2 3 4 2 6" xfId="12860"/>
    <cellStyle name="Normal 2 2 2 3 4 2 6 2" xfId="30919"/>
    <cellStyle name="Normal 2 2 2 3 4 2 7" xfId="12861"/>
    <cellStyle name="Normal 2 2 2 3 4 3" xfId="596"/>
    <cellStyle name="Normal 2 2 2 3 4 3 2" xfId="1889"/>
    <cellStyle name="Normal 2 2 2 3 4 3 2 2" xfId="12862"/>
    <cellStyle name="Normal 2 2 2 3 4 3 2 2 2" xfId="12863"/>
    <cellStyle name="Normal 2 2 2 3 4 3 2 2 2 2" xfId="30920"/>
    <cellStyle name="Normal 2 2 2 3 4 3 2 2 3" xfId="30921"/>
    <cellStyle name="Normal 2 2 2 3 4 3 2 3" xfId="12864"/>
    <cellStyle name="Normal 2 2 2 3 4 3 2 3 2" xfId="12865"/>
    <cellStyle name="Normal 2 2 2 3 4 3 2 3 2 2" xfId="30922"/>
    <cellStyle name="Normal 2 2 2 3 4 3 2 3 3" xfId="30923"/>
    <cellStyle name="Normal 2 2 2 3 4 3 2 4" xfId="12866"/>
    <cellStyle name="Normal 2 2 2 3 4 3 2 4 2" xfId="12867"/>
    <cellStyle name="Normal 2 2 2 3 4 3 2 4 2 2" xfId="30924"/>
    <cellStyle name="Normal 2 2 2 3 4 3 2 4 3" xfId="30925"/>
    <cellStyle name="Normal 2 2 2 3 4 3 2 5" xfId="12868"/>
    <cellStyle name="Normal 2 2 2 3 4 3 2 5 2" xfId="30926"/>
    <cellStyle name="Normal 2 2 2 3 4 3 2 6" xfId="12869"/>
    <cellStyle name="Normal 2 2 2 3 4 3 3" xfId="12870"/>
    <cellStyle name="Normal 2 2 2 3 4 3 3 2" xfId="12871"/>
    <cellStyle name="Normal 2 2 2 3 4 3 3 2 2" xfId="30927"/>
    <cellStyle name="Normal 2 2 2 3 4 3 3 3" xfId="30928"/>
    <cellStyle name="Normal 2 2 2 3 4 3 4" xfId="12872"/>
    <cellStyle name="Normal 2 2 2 3 4 3 4 2" xfId="12873"/>
    <cellStyle name="Normal 2 2 2 3 4 3 4 2 2" xfId="30929"/>
    <cellStyle name="Normal 2 2 2 3 4 3 4 3" xfId="30930"/>
    <cellStyle name="Normal 2 2 2 3 4 3 5" xfId="12874"/>
    <cellStyle name="Normal 2 2 2 3 4 3 5 2" xfId="12875"/>
    <cellStyle name="Normal 2 2 2 3 4 3 5 2 2" xfId="30931"/>
    <cellStyle name="Normal 2 2 2 3 4 3 5 3" xfId="30932"/>
    <cellStyle name="Normal 2 2 2 3 4 3 6" xfId="12876"/>
    <cellStyle name="Normal 2 2 2 3 4 3 6 2" xfId="30933"/>
    <cellStyle name="Normal 2 2 2 3 4 3 7" xfId="12877"/>
    <cellStyle name="Normal 2 2 2 3 4 4" xfId="1890"/>
    <cellStyle name="Normal 2 2 2 3 4 4 2" xfId="12878"/>
    <cellStyle name="Normal 2 2 2 3 4 4 2 2" xfId="12879"/>
    <cellStyle name="Normal 2 2 2 3 4 4 2 2 2" xfId="30934"/>
    <cellStyle name="Normal 2 2 2 3 4 4 2 3" xfId="30935"/>
    <cellStyle name="Normal 2 2 2 3 4 4 3" xfId="12880"/>
    <cellStyle name="Normal 2 2 2 3 4 4 3 2" xfId="12881"/>
    <cellStyle name="Normal 2 2 2 3 4 4 3 2 2" xfId="30936"/>
    <cellStyle name="Normal 2 2 2 3 4 4 3 3" xfId="30937"/>
    <cellStyle name="Normal 2 2 2 3 4 4 4" xfId="12882"/>
    <cellStyle name="Normal 2 2 2 3 4 4 4 2" xfId="12883"/>
    <cellStyle name="Normal 2 2 2 3 4 4 4 2 2" xfId="30938"/>
    <cellStyle name="Normal 2 2 2 3 4 4 4 3" xfId="30939"/>
    <cellStyle name="Normal 2 2 2 3 4 4 5" xfId="12884"/>
    <cellStyle name="Normal 2 2 2 3 4 4 5 2" xfId="30940"/>
    <cellStyle name="Normal 2 2 2 3 4 4 6" xfId="12885"/>
    <cellStyle name="Normal 2 2 2 3 4 5" xfId="12886"/>
    <cellStyle name="Normal 2 2 2 3 4 5 2" xfId="12887"/>
    <cellStyle name="Normal 2 2 2 3 4 5 2 2" xfId="30941"/>
    <cellStyle name="Normal 2 2 2 3 4 5 3" xfId="30942"/>
    <cellStyle name="Normal 2 2 2 3 4 6" xfId="12888"/>
    <cellStyle name="Normal 2 2 2 3 4 6 2" xfId="12889"/>
    <cellStyle name="Normal 2 2 2 3 4 6 2 2" xfId="30943"/>
    <cellStyle name="Normal 2 2 2 3 4 6 3" xfId="30944"/>
    <cellStyle name="Normal 2 2 2 3 4 7" xfId="12890"/>
    <cellStyle name="Normal 2 2 2 3 4 7 2" xfId="12891"/>
    <cellStyle name="Normal 2 2 2 3 4 7 2 2" xfId="30945"/>
    <cellStyle name="Normal 2 2 2 3 4 7 3" xfId="30946"/>
    <cellStyle name="Normal 2 2 2 3 4 8" xfId="12892"/>
    <cellStyle name="Normal 2 2 2 3 4 8 2" xfId="30947"/>
    <cellStyle name="Normal 2 2 2 3 4 9" xfId="12893"/>
    <cellStyle name="Normal 2 2 2 3 5" xfId="334"/>
    <cellStyle name="Normal 2 2 2 3 5 2" xfId="1122"/>
    <cellStyle name="Normal 2 2 2 3 5 2 2" xfId="1891"/>
    <cellStyle name="Normal 2 2 2 3 5 2 2 2" xfId="12894"/>
    <cellStyle name="Normal 2 2 2 3 5 2 2 2 2" xfId="12895"/>
    <cellStyle name="Normal 2 2 2 3 5 2 2 2 2 2" xfId="30948"/>
    <cellStyle name="Normal 2 2 2 3 5 2 2 2 3" xfId="30949"/>
    <cellStyle name="Normal 2 2 2 3 5 2 2 3" xfId="12896"/>
    <cellStyle name="Normal 2 2 2 3 5 2 2 3 2" xfId="12897"/>
    <cellStyle name="Normal 2 2 2 3 5 2 2 3 2 2" xfId="30950"/>
    <cellStyle name="Normal 2 2 2 3 5 2 2 3 3" xfId="30951"/>
    <cellStyle name="Normal 2 2 2 3 5 2 2 4" xfId="12898"/>
    <cellStyle name="Normal 2 2 2 3 5 2 2 4 2" xfId="12899"/>
    <cellStyle name="Normal 2 2 2 3 5 2 2 4 2 2" xfId="30952"/>
    <cellStyle name="Normal 2 2 2 3 5 2 2 4 3" xfId="30953"/>
    <cellStyle name="Normal 2 2 2 3 5 2 2 5" xfId="12900"/>
    <cellStyle name="Normal 2 2 2 3 5 2 2 5 2" xfId="30954"/>
    <cellStyle name="Normal 2 2 2 3 5 2 2 6" xfId="12901"/>
    <cellStyle name="Normal 2 2 2 3 5 2 3" xfId="12902"/>
    <cellStyle name="Normal 2 2 2 3 5 2 3 2" xfId="12903"/>
    <cellStyle name="Normal 2 2 2 3 5 2 3 2 2" xfId="30955"/>
    <cellStyle name="Normal 2 2 2 3 5 2 3 3" xfId="30956"/>
    <cellStyle name="Normal 2 2 2 3 5 2 4" xfId="12904"/>
    <cellStyle name="Normal 2 2 2 3 5 2 4 2" xfId="12905"/>
    <cellStyle name="Normal 2 2 2 3 5 2 4 2 2" xfId="30957"/>
    <cellStyle name="Normal 2 2 2 3 5 2 4 3" xfId="30958"/>
    <cellStyle name="Normal 2 2 2 3 5 2 5" xfId="12906"/>
    <cellStyle name="Normal 2 2 2 3 5 2 5 2" xfId="12907"/>
    <cellStyle name="Normal 2 2 2 3 5 2 5 2 2" xfId="30959"/>
    <cellStyle name="Normal 2 2 2 3 5 2 5 3" xfId="30960"/>
    <cellStyle name="Normal 2 2 2 3 5 2 6" xfId="12908"/>
    <cellStyle name="Normal 2 2 2 3 5 2 6 2" xfId="30961"/>
    <cellStyle name="Normal 2 2 2 3 5 2 7" xfId="12909"/>
    <cellStyle name="Normal 2 2 2 3 5 3" xfId="754"/>
    <cellStyle name="Normal 2 2 2 3 5 3 2" xfId="1892"/>
    <cellStyle name="Normal 2 2 2 3 5 3 2 2" xfId="12910"/>
    <cellStyle name="Normal 2 2 2 3 5 3 2 2 2" xfId="12911"/>
    <cellStyle name="Normal 2 2 2 3 5 3 2 2 2 2" xfId="30962"/>
    <cellStyle name="Normal 2 2 2 3 5 3 2 2 3" xfId="30963"/>
    <cellStyle name="Normal 2 2 2 3 5 3 2 3" xfId="12912"/>
    <cellStyle name="Normal 2 2 2 3 5 3 2 3 2" xfId="12913"/>
    <cellStyle name="Normal 2 2 2 3 5 3 2 3 2 2" xfId="30964"/>
    <cellStyle name="Normal 2 2 2 3 5 3 2 3 3" xfId="30965"/>
    <cellStyle name="Normal 2 2 2 3 5 3 2 4" xfId="12914"/>
    <cellStyle name="Normal 2 2 2 3 5 3 2 4 2" xfId="12915"/>
    <cellStyle name="Normal 2 2 2 3 5 3 2 4 2 2" xfId="30966"/>
    <cellStyle name="Normal 2 2 2 3 5 3 2 4 3" xfId="30967"/>
    <cellStyle name="Normal 2 2 2 3 5 3 2 5" xfId="12916"/>
    <cellStyle name="Normal 2 2 2 3 5 3 2 5 2" xfId="30968"/>
    <cellStyle name="Normal 2 2 2 3 5 3 2 6" xfId="12917"/>
    <cellStyle name="Normal 2 2 2 3 5 3 3" xfId="12918"/>
    <cellStyle name="Normal 2 2 2 3 5 3 3 2" xfId="12919"/>
    <cellStyle name="Normal 2 2 2 3 5 3 3 2 2" xfId="30969"/>
    <cellStyle name="Normal 2 2 2 3 5 3 3 3" xfId="30970"/>
    <cellStyle name="Normal 2 2 2 3 5 3 4" xfId="12920"/>
    <cellStyle name="Normal 2 2 2 3 5 3 4 2" xfId="12921"/>
    <cellStyle name="Normal 2 2 2 3 5 3 4 2 2" xfId="30971"/>
    <cellStyle name="Normal 2 2 2 3 5 3 4 3" xfId="30972"/>
    <cellStyle name="Normal 2 2 2 3 5 3 5" xfId="12922"/>
    <cellStyle name="Normal 2 2 2 3 5 3 5 2" xfId="12923"/>
    <cellStyle name="Normal 2 2 2 3 5 3 5 2 2" xfId="30973"/>
    <cellStyle name="Normal 2 2 2 3 5 3 5 3" xfId="30974"/>
    <cellStyle name="Normal 2 2 2 3 5 3 6" xfId="12924"/>
    <cellStyle name="Normal 2 2 2 3 5 3 6 2" xfId="30975"/>
    <cellStyle name="Normal 2 2 2 3 5 3 7" xfId="12925"/>
    <cellStyle name="Normal 2 2 2 3 5 4" xfId="1893"/>
    <cellStyle name="Normal 2 2 2 3 5 4 2" xfId="12926"/>
    <cellStyle name="Normal 2 2 2 3 5 4 2 2" xfId="12927"/>
    <cellStyle name="Normal 2 2 2 3 5 4 2 2 2" xfId="30976"/>
    <cellStyle name="Normal 2 2 2 3 5 4 2 3" xfId="30977"/>
    <cellStyle name="Normal 2 2 2 3 5 4 3" xfId="12928"/>
    <cellStyle name="Normal 2 2 2 3 5 4 3 2" xfId="12929"/>
    <cellStyle name="Normal 2 2 2 3 5 4 3 2 2" xfId="30978"/>
    <cellStyle name="Normal 2 2 2 3 5 4 3 3" xfId="30979"/>
    <cellStyle name="Normal 2 2 2 3 5 4 4" xfId="12930"/>
    <cellStyle name="Normal 2 2 2 3 5 4 4 2" xfId="12931"/>
    <cellStyle name="Normal 2 2 2 3 5 4 4 2 2" xfId="30980"/>
    <cellStyle name="Normal 2 2 2 3 5 4 4 3" xfId="30981"/>
    <cellStyle name="Normal 2 2 2 3 5 4 5" xfId="12932"/>
    <cellStyle name="Normal 2 2 2 3 5 4 5 2" xfId="30982"/>
    <cellStyle name="Normal 2 2 2 3 5 4 6" xfId="12933"/>
    <cellStyle name="Normal 2 2 2 3 5 5" xfId="12934"/>
    <cellStyle name="Normal 2 2 2 3 5 5 2" xfId="12935"/>
    <cellStyle name="Normal 2 2 2 3 5 5 2 2" xfId="30983"/>
    <cellStyle name="Normal 2 2 2 3 5 5 3" xfId="30984"/>
    <cellStyle name="Normal 2 2 2 3 5 6" xfId="12936"/>
    <cellStyle name="Normal 2 2 2 3 5 6 2" xfId="12937"/>
    <cellStyle name="Normal 2 2 2 3 5 6 2 2" xfId="30985"/>
    <cellStyle name="Normal 2 2 2 3 5 6 3" xfId="30986"/>
    <cellStyle name="Normal 2 2 2 3 5 7" xfId="12938"/>
    <cellStyle name="Normal 2 2 2 3 5 7 2" xfId="12939"/>
    <cellStyle name="Normal 2 2 2 3 5 7 2 2" xfId="30987"/>
    <cellStyle name="Normal 2 2 2 3 5 7 3" xfId="30988"/>
    <cellStyle name="Normal 2 2 2 3 5 8" xfId="12940"/>
    <cellStyle name="Normal 2 2 2 3 5 8 2" xfId="30989"/>
    <cellStyle name="Normal 2 2 2 3 5 9" xfId="12941"/>
    <cellStyle name="Normal 2 2 2 3 6" xfId="123"/>
    <cellStyle name="Normal 2 2 2 3 6 2" xfId="544"/>
    <cellStyle name="Normal 2 2 2 3 6 2 2" xfId="1894"/>
    <cellStyle name="Normal 2 2 2 3 6 2 2 2" xfId="12942"/>
    <cellStyle name="Normal 2 2 2 3 6 2 2 2 2" xfId="12943"/>
    <cellStyle name="Normal 2 2 2 3 6 2 2 2 2 2" xfId="30990"/>
    <cellStyle name="Normal 2 2 2 3 6 2 2 2 3" xfId="30991"/>
    <cellStyle name="Normal 2 2 2 3 6 2 2 3" xfId="12944"/>
    <cellStyle name="Normal 2 2 2 3 6 2 2 3 2" xfId="12945"/>
    <cellStyle name="Normal 2 2 2 3 6 2 2 3 2 2" xfId="30992"/>
    <cellStyle name="Normal 2 2 2 3 6 2 2 3 3" xfId="30993"/>
    <cellStyle name="Normal 2 2 2 3 6 2 2 4" xfId="12946"/>
    <cellStyle name="Normal 2 2 2 3 6 2 2 4 2" xfId="12947"/>
    <cellStyle name="Normal 2 2 2 3 6 2 2 4 2 2" xfId="30994"/>
    <cellStyle name="Normal 2 2 2 3 6 2 2 4 3" xfId="30995"/>
    <cellStyle name="Normal 2 2 2 3 6 2 2 5" xfId="12948"/>
    <cellStyle name="Normal 2 2 2 3 6 2 2 5 2" xfId="30996"/>
    <cellStyle name="Normal 2 2 2 3 6 2 2 6" xfId="12949"/>
    <cellStyle name="Normal 2 2 2 3 6 2 3" xfId="12950"/>
    <cellStyle name="Normal 2 2 2 3 6 2 3 2" xfId="12951"/>
    <cellStyle name="Normal 2 2 2 3 6 2 3 2 2" xfId="30997"/>
    <cellStyle name="Normal 2 2 2 3 6 2 3 3" xfId="30998"/>
    <cellStyle name="Normal 2 2 2 3 6 2 4" xfId="12952"/>
    <cellStyle name="Normal 2 2 2 3 6 2 4 2" xfId="12953"/>
    <cellStyle name="Normal 2 2 2 3 6 2 4 2 2" xfId="30999"/>
    <cellStyle name="Normal 2 2 2 3 6 2 4 3" xfId="31000"/>
    <cellStyle name="Normal 2 2 2 3 6 2 5" xfId="12954"/>
    <cellStyle name="Normal 2 2 2 3 6 2 5 2" xfId="12955"/>
    <cellStyle name="Normal 2 2 2 3 6 2 5 2 2" xfId="31001"/>
    <cellStyle name="Normal 2 2 2 3 6 2 5 3" xfId="31002"/>
    <cellStyle name="Normal 2 2 2 3 6 2 6" xfId="12956"/>
    <cellStyle name="Normal 2 2 2 3 6 2 6 2" xfId="31003"/>
    <cellStyle name="Normal 2 2 2 3 6 2 7" xfId="12957"/>
    <cellStyle name="Normal 2 2 2 3 6 3" xfId="1895"/>
    <cellStyle name="Normal 2 2 2 3 6 3 2" xfId="12958"/>
    <cellStyle name="Normal 2 2 2 3 6 3 2 2" xfId="12959"/>
    <cellStyle name="Normal 2 2 2 3 6 3 2 2 2" xfId="31004"/>
    <cellStyle name="Normal 2 2 2 3 6 3 2 3" xfId="31005"/>
    <cellStyle name="Normal 2 2 2 3 6 3 3" xfId="12960"/>
    <cellStyle name="Normal 2 2 2 3 6 3 3 2" xfId="12961"/>
    <cellStyle name="Normal 2 2 2 3 6 3 3 2 2" xfId="31006"/>
    <cellStyle name="Normal 2 2 2 3 6 3 3 3" xfId="31007"/>
    <cellStyle name="Normal 2 2 2 3 6 3 4" xfId="12962"/>
    <cellStyle name="Normal 2 2 2 3 6 3 4 2" xfId="12963"/>
    <cellStyle name="Normal 2 2 2 3 6 3 4 2 2" xfId="31008"/>
    <cellStyle name="Normal 2 2 2 3 6 3 4 3" xfId="31009"/>
    <cellStyle name="Normal 2 2 2 3 6 3 5" xfId="12964"/>
    <cellStyle name="Normal 2 2 2 3 6 3 5 2" xfId="31010"/>
    <cellStyle name="Normal 2 2 2 3 6 3 6" xfId="12965"/>
    <cellStyle name="Normal 2 2 2 3 6 4" xfId="12966"/>
    <cellStyle name="Normal 2 2 2 3 6 4 2" xfId="12967"/>
    <cellStyle name="Normal 2 2 2 3 6 4 2 2" xfId="31011"/>
    <cellStyle name="Normal 2 2 2 3 6 4 3" xfId="31012"/>
    <cellStyle name="Normal 2 2 2 3 6 5" xfId="12968"/>
    <cellStyle name="Normal 2 2 2 3 6 5 2" xfId="12969"/>
    <cellStyle name="Normal 2 2 2 3 6 5 2 2" xfId="31013"/>
    <cellStyle name="Normal 2 2 2 3 6 5 3" xfId="31014"/>
    <cellStyle name="Normal 2 2 2 3 6 6" xfId="12970"/>
    <cellStyle name="Normal 2 2 2 3 6 6 2" xfId="12971"/>
    <cellStyle name="Normal 2 2 2 3 6 6 2 2" xfId="31015"/>
    <cellStyle name="Normal 2 2 2 3 6 6 3" xfId="31016"/>
    <cellStyle name="Normal 2 2 2 3 6 7" xfId="12972"/>
    <cellStyle name="Normal 2 2 2 3 6 7 2" xfId="31017"/>
    <cellStyle name="Normal 2 2 2 3 6 8" xfId="12973"/>
    <cellStyle name="Normal 2 2 2 3 7" xfId="912"/>
    <cellStyle name="Normal 2 2 2 3 7 2" xfId="1896"/>
    <cellStyle name="Normal 2 2 2 3 7 2 2" xfId="12974"/>
    <cellStyle name="Normal 2 2 2 3 7 2 2 2" xfId="12975"/>
    <cellStyle name="Normal 2 2 2 3 7 2 2 2 2" xfId="31018"/>
    <cellStyle name="Normal 2 2 2 3 7 2 2 3" xfId="31019"/>
    <cellStyle name="Normal 2 2 2 3 7 2 3" xfId="12976"/>
    <cellStyle name="Normal 2 2 2 3 7 2 3 2" xfId="12977"/>
    <cellStyle name="Normal 2 2 2 3 7 2 3 2 2" xfId="31020"/>
    <cellStyle name="Normal 2 2 2 3 7 2 3 3" xfId="31021"/>
    <cellStyle name="Normal 2 2 2 3 7 2 4" xfId="12978"/>
    <cellStyle name="Normal 2 2 2 3 7 2 4 2" xfId="12979"/>
    <cellStyle name="Normal 2 2 2 3 7 2 4 2 2" xfId="31022"/>
    <cellStyle name="Normal 2 2 2 3 7 2 4 3" xfId="31023"/>
    <cellStyle name="Normal 2 2 2 3 7 2 5" xfId="12980"/>
    <cellStyle name="Normal 2 2 2 3 7 2 5 2" xfId="31024"/>
    <cellStyle name="Normal 2 2 2 3 7 2 6" xfId="12981"/>
    <cellStyle name="Normal 2 2 2 3 7 3" xfId="12982"/>
    <cellStyle name="Normal 2 2 2 3 7 3 2" xfId="12983"/>
    <cellStyle name="Normal 2 2 2 3 7 3 2 2" xfId="31025"/>
    <cellStyle name="Normal 2 2 2 3 7 3 3" xfId="31026"/>
    <cellStyle name="Normal 2 2 2 3 7 4" xfId="12984"/>
    <cellStyle name="Normal 2 2 2 3 7 4 2" xfId="12985"/>
    <cellStyle name="Normal 2 2 2 3 7 4 2 2" xfId="31027"/>
    <cellStyle name="Normal 2 2 2 3 7 4 3" xfId="31028"/>
    <cellStyle name="Normal 2 2 2 3 7 5" xfId="12986"/>
    <cellStyle name="Normal 2 2 2 3 7 5 2" xfId="12987"/>
    <cellStyle name="Normal 2 2 2 3 7 5 2 2" xfId="31029"/>
    <cellStyle name="Normal 2 2 2 3 7 5 3" xfId="31030"/>
    <cellStyle name="Normal 2 2 2 3 7 6" xfId="12988"/>
    <cellStyle name="Normal 2 2 2 3 7 6 2" xfId="31031"/>
    <cellStyle name="Normal 2 2 2 3 7 7" xfId="12989"/>
    <cellStyle name="Normal 2 2 2 3 8" xfId="484"/>
    <cellStyle name="Normal 2 2 2 3 8 2" xfId="1897"/>
    <cellStyle name="Normal 2 2 2 3 8 2 2" xfId="12990"/>
    <cellStyle name="Normal 2 2 2 3 8 2 2 2" xfId="12991"/>
    <cellStyle name="Normal 2 2 2 3 8 2 2 2 2" xfId="31032"/>
    <cellStyle name="Normal 2 2 2 3 8 2 2 3" xfId="31033"/>
    <cellStyle name="Normal 2 2 2 3 8 2 3" xfId="12992"/>
    <cellStyle name="Normal 2 2 2 3 8 2 3 2" xfId="12993"/>
    <cellStyle name="Normal 2 2 2 3 8 2 3 2 2" xfId="31034"/>
    <cellStyle name="Normal 2 2 2 3 8 2 3 3" xfId="31035"/>
    <cellStyle name="Normal 2 2 2 3 8 2 4" xfId="12994"/>
    <cellStyle name="Normal 2 2 2 3 8 2 4 2" xfId="12995"/>
    <cellStyle name="Normal 2 2 2 3 8 2 4 2 2" xfId="31036"/>
    <cellStyle name="Normal 2 2 2 3 8 2 4 3" xfId="31037"/>
    <cellStyle name="Normal 2 2 2 3 8 2 5" xfId="12996"/>
    <cellStyle name="Normal 2 2 2 3 8 2 5 2" xfId="31038"/>
    <cellStyle name="Normal 2 2 2 3 8 2 6" xfId="12997"/>
    <cellStyle name="Normal 2 2 2 3 8 3" xfId="12998"/>
    <cellStyle name="Normal 2 2 2 3 8 3 2" xfId="12999"/>
    <cellStyle name="Normal 2 2 2 3 8 3 2 2" xfId="31039"/>
    <cellStyle name="Normal 2 2 2 3 8 3 3" xfId="31040"/>
    <cellStyle name="Normal 2 2 2 3 8 4" xfId="13000"/>
    <cellStyle name="Normal 2 2 2 3 8 4 2" xfId="13001"/>
    <cellStyle name="Normal 2 2 2 3 8 4 2 2" xfId="31041"/>
    <cellStyle name="Normal 2 2 2 3 8 4 3" xfId="31042"/>
    <cellStyle name="Normal 2 2 2 3 8 5" xfId="13002"/>
    <cellStyle name="Normal 2 2 2 3 8 5 2" xfId="13003"/>
    <cellStyle name="Normal 2 2 2 3 8 5 2 2" xfId="31043"/>
    <cellStyle name="Normal 2 2 2 3 8 5 3" xfId="31044"/>
    <cellStyle name="Normal 2 2 2 3 8 6" xfId="13004"/>
    <cellStyle name="Normal 2 2 2 3 8 6 2" xfId="31045"/>
    <cellStyle name="Normal 2 2 2 3 8 7" xfId="13005"/>
    <cellStyle name="Normal 2 2 2 3 9" xfId="1898"/>
    <cellStyle name="Normal 2 2 2 3 9 2" xfId="13006"/>
    <cellStyle name="Normal 2 2 2 3 9 2 2" xfId="13007"/>
    <cellStyle name="Normal 2 2 2 3 9 2 2 2" xfId="31046"/>
    <cellStyle name="Normal 2 2 2 3 9 2 3" xfId="31047"/>
    <cellStyle name="Normal 2 2 2 3 9 3" xfId="13008"/>
    <cellStyle name="Normal 2 2 2 3 9 3 2" xfId="13009"/>
    <cellStyle name="Normal 2 2 2 3 9 3 2 2" xfId="31048"/>
    <cellStyle name="Normal 2 2 2 3 9 3 3" xfId="31049"/>
    <cellStyle name="Normal 2 2 2 3 9 4" xfId="13010"/>
    <cellStyle name="Normal 2 2 2 3 9 4 2" xfId="13011"/>
    <cellStyle name="Normal 2 2 2 3 9 4 2 2" xfId="31050"/>
    <cellStyle name="Normal 2 2 2 3 9 4 3" xfId="31051"/>
    <cellStyle name="Normal 2 2 2 3 9 5" xfId="13012"/>
    <cellStyle name="Normal 2 2 2 3 9 5 2" xfId="31052"/>
    <cellStyle name="Normal 2 2 2 3 9 6" xfId="13013"/>
    <cellStyle name="Normal 2 2 2 4" xfId="51"/>
    <cellStyle name="Normal 2 2 2 4 10" xfId="13014"/>
    <cellStyle name="Normal 2 2 2 4 10 2" xfId="13015"/>
    <cellStyle name="Normal 2 2 2 4 10 2 2" xfId="31053"/>
    <cellStyle name="Normal 2 2 2 4 10 3" xfId="31054"/>
    <cellStyle name="Normal 2 2 2 4 11" xfId="13016"/>
    <cellStyle name="Normal 2 2 2 4 11 2" xfId="13017"/>
    <cellStyle name="Normal 2 2 2 4 11 2 2" xfId="31055"/>
    <cellStyle name="Normal 2 2 2 4 11 3" xfId="31056"/>
    <cellStyle name="Normal 2 2 2 4 12" xfId="13018"/>
    <cellStyle name="Normal 2 2 2 4 12 2" xfId="13019"/>
    <cellStyle name="Normal 2 2 2 4 12 2 2" xfId="31057"/>
    <cellStyle name="Normal 2 2 2 4 12 3" xfId="31058"/>
    <cellStyle name="Normal 2 2 2 4 13" xfId="13020"/>
    <cellStyle name="Normal 2 2 2 4 13 2" xfId="31059"/>
    <cellStyle name="Normal 2 2 2 4 14" xfId="13021"/>
    <cellStyle name="Normal 2 2 2 4 2" xfId="221"/>
    <cellStyle name="Normal 2 2 2 4 2 10" xfId="13022"/>
    <cellStyle name="Normal 2 2 2 4 2 2" xfId="379"/>
    <cellStyle name="Normal 2 2 2 4 2 2 2" xfId="1167"/>
    <cellStyle name="Normal 2 2 2 4 2 2 2 2" xfId="1899"/>
    <cellStyle name="Normal 2 2 2 4 2 2 2 2 2" xfId="13023"/>
    <cellStyle name="Normal 2 2 2 4 2 2 2 2 2 2" xfId="13024"/>
    <cellStyle name="Normal 2 2 2 4 2 2 2 2 2 2 2" xfId="31060"/>
    <cellStyle name="Normal 2 2 2 4 2 2 2 2 2 3" xfId="31061"/>
    <cellStyle name="Normal 2 2 2 4 2 2 2 2 3" xfId="13025"/>
    <cellStyle name="Normal 2 2 2 4 2 2 2 2 3 2" xfId="13026"/>
    <cellStyle name="Normal 2 2 2 4 2 2 2 2 3 2 2" xfId="31062"/>
    <cellStyle name="Normal 2 2 2 4 2 2 2 2 3 3" xfId="31063"/>
    <cellStyle name="Normal 2 2 2 4 2 2 2 2 4" xfId="13027"/>
    <cellStyle name="Normal 2 2 2 4 2 2 2 2 4 2" xfId="13028"/>
    <cellStyle name="Normal 2 2 2 4 2 2 2 2 4 2 2" xfId="31064"/>
    <cellStyle name="Normal 2 2 2 4 2 2 2 2 4 3" xfId="31065"/>
    <cellStyle name="Normal 2 2 2 4 2 2 2 2 5" xfId="13029"/>
    <cellStyle name="Normal 2 2 2 4 2 2 2 2 5 2" xfId="31066"/>
    <cellStyle name="Normal 2 2 2 4 2 2 2 2 6" xfId="13030"/>
    <cellStyle name="Normal 2 2 2 4 2 2 2 3" xfId="13031"/>
    <cellStyle name="Normal 2 2 2 4 2 2 2 3 2" xfId="13032"/>
    <cellStyle name="Normal 2 2 2 4 2 2 2 3 2 2" xfId="31067"/>
    <cellStyle name="Normal 2 2 2 4 2 2 2 3 3" xfId="31068"/>
    <cellStyle name="Normal 2 2 2 4 2 2 2 4" xfId="13033"/>
    <cellStyle name="Normal 2 2 2 4 2 2 2 4 2" xfId="13034"/>
    <cellStyle name="Normal 2 2 2 4 2 2 2 4 2 2" xfId="31069"/>
    <cellStyle name="Normal 2 2 2 4 2 2 2 4 3" xfId="31070"/>
    <cellStyle name="Normal 2 2 2 4 2 2 2 5" xfId="13035"/>
    <cellStyle name="Normal 2 2 2 4 2 2 2 5 2" xfId="13036"/>
    <cellStyle name="Normal 2 2 2 4 2 2 2 5 2 2" xfId="31071"/>
    <cellStyle name="Normal 2 2 2 4 2 2 2 5 3" xfId="31072"/>
    <cellStyle name="Normal 2 2 2 4 2 2 2 6" xfId="13037"/>
    <cellStyle name="Normal 2 2 2 4 2 2 2 6 2" xfId="31073"/>
    <cellStyle name="Normal 2 2 2 4 2 2 2 7" xfId="13038"/>
    <cellStyle name="Normal 2 2 2 4 2 2 3" xfId="799"/>
    <cellStyle name="Normal 2 2 2 4 2 2 3 2" xfId="1900"/>
    <cellStyle name="Normal 2 2 2 4 2 2 3 2 2" xfId="13039"/>
    <cellStyle name="Normal 2 2 2 4 2 2 3 2 2 2" xfId="13040"/>
    <cellStyle name="Normal 2 2 2 4 2 2 3 2 2 2 2" xfId="31074"/>
    <cellStyle name="Normal 2 2 2 4 2 2 3 2 2 3" xfId="31075"/>
    <cellStyle name="Normal 2 2 2 4 2 2 3 2 3" xfId="13041"/>
    <cellStyle name="Normal 2 2 2 4 2 2 3 2 3 2" xfId="13042"/>
    <cellStyle name="Normal 2 2 2 4 2 2 3 2 3 2 2" xfId="31076"/>
    <cellStyle name="Normal 2 2 2 4 2 2 3 2 3 3" xfId="31077"/>
    <cellStyle name="Normal 2 2 2 4 2 2 3 2 4" xfId="13043"/>
    <cellStyle name="Normal 2 2 2 4 2 2 3 2 4 2" xfId="13044"/>
    <cellStyle name="Normal 2 2 2 4 2 2 3 2 4 2 2" xfId="31078"/>
    <cellStyle name="Normal 2 2 2 4 2 2 3 2 4 3" xfId="31079"/>
    <cellStyle name="Normal 2 2 2 4 2 2 3 2 5" xfId="13045"/>
    <cellStyle name="Normal 2 2 2 4 2 2 3 2 5 2" xfId="31080"/>
    <cellStyle name="Normal 2 2 2 4 2 2 3 2 6" xfId="13046"/>
    <cellStyle name="Normal 2 2 2 4 2 2 3 3" xfId="13047"/>
    <cellStyle name="Normal 2 2 2 4 2 2 3 3 2" xfId="13048"/>
    <cellStyle name="Normal 2 2 2 4 2 2 3 3 2 2" xfId="31081"/>
    <cellStyle name="Normal 2 2 2 4 2 2 3 3 3" xfId="31082"/>
    <cellStyle name="Normal 2 2 2 4 2 2 3 4" xfId="13049"/>
    <cellStyle name="Normal 2 2 2 4 2 2 3 4 2" xfId="13050"/>
    <cellStyle name="Normal 2 2 2 4 2 2 3 4 2 2" xfId="31083"/>
    <cellStyle name="Normal 2 2 2 4 2 2 3 4 3" xfId="31084"/>
    <cellStyle name="Normal 2 2 2 4 2 2 3 5" xfId="13051"/>
    <cellStyle name="Normal 2 2 2 4 2 2 3 5 2" xfId="13052"/>
    <cellStyle name="Normal 2 2 2 4 2 2 3 5 2 2" xfId="31085"/>
    <cellStyle name="Normal 2 2 2 4 2 2 3 5 3" xfId="31086"/>
    <cellStyle name="Normal 2 2 2 4 2 2 3 6" xfId="13053"/>
    <cellStyle name="Normal 2 2 2 4 2 2 3 6 2" xfId="31087"/>
    <cellStyle name="Normal 2 2 2 4 2 2 3 7" xfId="13054"/>
    <cellStyle name="Normal 2 2 2 4 2 2 4" xfId="1901"/>
    <cellStyle name="Normal 2 2 2 4 2 2 4 2" xfId="13055"/>
    <cellStyle name="Normal 2 2 2 4 2 2 4 2 2" xfId="13056"/>
    <cellStyle name="Normal 2 2 2 4 2 2 4 2 2 2" xfId="31088"/>
    <cellStyle name="Normal 2 2 2 4 2 2 4 2 3" xfId="31089"/>
    <cellStyle name="Normal 2 2 2 4 2 2 4 3" xfId="13057"/>
    <cellStyle name="Normal 2 2 2 4 2 2 4 3 2" xfId="13058"/>
    <cellStyle name="Normal 2 2 2 4 2 2 4 3 2 2" xfId="31090"/>
    <cellStyle name="Normal 2 2 2 4 2 2 4 3 3" xfId="31091"/>
    <cellStyle name="Normal 2 2 2 4 2 2 4 4" xfId="13059"/>
    <cellStyle name="Normal 2 2 2 4 2 2 4 4 2" xfId="13060"/>
    <cellStyle name="Normal 2 2 2 4 2 2 4 4 2 2" xfId="31092"/>
    <cellStyle name="Normal 2 2 2 4 2 2 4 4 3" xfId="31093"/>
    <cellStyle name="Normal 2 2 2 4 2 2 4 5" xfId="13061"/>
    <cellStyle name="Normal 2 2 2 4 2 2 4 5 2" xfId="31094"/>
    <cellStyle name="Normal 2 2 2 4 2 2 4 6" xfId="13062"/>
    <cellStyle name="Normal 2 2 2 4 2 2 5" xfId="13063"/>
    <cellStyle name="Normal 2 2 2 4 2 2 5 2" xfId="13064"/>
    <cellStyle name="Normal 2 2 2 4 2 2 5 2 2" xfId="31095"/>
    <cellStyle name="Normal 2 2 2 4 2 2 5 3" xfId="31096"/>
    <cellStyle name="Normal 2 2 2 4 2 2 6" xfId="13065"/>
    <cellStyle name="Normal 2 2 2 4 2 2 6 2" xfId="13066"/>
    <cellStyle name="Normal 2 2 2 4 2 2 6 2 2" xfId="31097"/>
    <cellStyle name="Normal 2 2 2 4 2 2 6 3" xfId="31098"/>
    <cellStyle name="Normal 2 2 2 4 2 2 7" xfId="13067"/>
    <cellStyle name="Normal 2 2 2 4 2 2 7 2" xfId="13068"/>
    <cellStyle name="Normal 2 2 2 4 2 2 7 2 2" xfId="31099"/>
    <cellStyle name="Normal 2 2 2 4 2 2 7 3" xfId="31100"/>
    <cellStyle name="Normal 2 2 2 4 2 2 8" xfId="13069"/>
    <cellStyle name="Normal 2 2 2 4 2 2 8 2" xfId="31101"/>
    <cellStyle name="Normal 2 2 2 4 2 2 9" xfId="13070"/>
    <cellStyle name="Normal 2 2 2 4 2 3" xfId="1009"/>
    <cellStyle name="Normal 2 2 2 4 2 3 2" xfId="1902"/>
    <cellStyle name="Normal 2 2 2 4 2 3 2 2" xfId="13071"/>
    <cellStyle name="Normal 2 2 2 4 2 3 2 2 2" xfId="13072"/>
    <cellStyle name="Normal 2 2 2 4 2 3 2 2 2 2" xfId="31102"/>
    <cellStyle name="Normal 2 2 2 4 2 3 2 2 3" xfId="31103"/>
    <cellStyle name="Normal 2 2 2 4 2 3 2 3" xfId="13073"/>
    <cellStyle name="Normal 2 2 2 4 2 3 2 3 2" xfId="13074"/>
    <cellStyle name="Normal 2 2 2 4 2 3 2 3 2 2" xfId="31104"/>
    <cellStyle name="Normal 2 2 2 4 2 3 2 3 3" xfId="31105"/>
    <cellStyle name="Normal 2 2 2 4 2 3 2 4" xfId="13075"/>
    <cellStyle name="Normal 2 2 2 4 2 3 2 4 2" xfId="13076"/>
    <cellStyle name="Normal 2 2 2 4 2 3 2 4 2 2" xfId="31106"/>
    <cellStyle name="Normal 2 2 2 4 2 3 2 4 3" xfId="31107"/>
    <cellStyle name="Normal 2 2 2 4 2 3 2 5" xfId="13077"/>
    <cellStyle name="Normal 2 2 2 4 2 3 2 5 2" xfId="31108"/>
    <cellStyle name="Normal 2 2 2 4 2 3 2 6" xfId="13078"/>
    <cellStyle name="Normal 2 2 2 4 2 3 3" xfId="13079"/>
    <cellStyle name="Normal 2 2 2 4 2 3 3 2" xfId="13080"/>
    <cellStyle name="Normal 2 2 2 4 2 3 3 2 2" xfId="31109"/>
    <cellStyle name="Normal 2 2 2 4 2 3 3 3" xfId="31110"/>
    <cellStyle name="Normal 2 2 2 4 2 3 4" xfId="13081"/>
    <cellStyle name="Normal 2 2 2 4 2 3 4 2" xfId="13082"/>
    <cellStyle name="Normal 2 2 2 4 2 3 4 2 2" xfId="31111"/>
    <cellStyle name="Normal 2 2 2 4 2 3 4 3" xfId="31112"/>
    <cellStyle name="Normal 2 2 2 4 2 3 5" xfId="13083"/>
    <cellStyle name="Normal 2 2 2 4 2 3 5 2" xfId="13084"/>
    <cellStyle name="Normal 2 2 2 4 2 3 5 2 2" xfId="31113"/>
    <cellStyle name="Normal 2 2 2 4 2 3 5 3" xfId="31114"/>
    <cellStyle name="Normal 2 2 2 4 2 3 6" xfId="13085"/>
    <cellStyle name="Normal 2 2 2 4 2 3 6 2" xfId="31115"/>
    <cellStyle name="Normal 2 2 2 4 2 3 7" xfId="13086"/>
    <cellStyle name="Normal 2 2 2 4 2 4" xfId="641"/>
    <cellStyle name="Normal 2 2 2 4 2 4 2" xfId="1903"/>
    <cellStyle name="Normal 2 2 2 4 2 4 2 2" xfId="13087"/>
    <cellStyle name="Normal 2 2 2 4 2 4 2 2 2" xfId="13088"/>
    <cellStyle name="Normal 2 2 2 4 2 4 2 2 2 2" xfId="31116"/>
    <cellStyle name="Normal 2 2 2 4 2 4 2 2 3" xfId="31117"/>
    <cellStyle name="Normal 2 2 2 4 2 4 2 3" xfId="13089"/>
    <cellStyle name="Normal 2 2 2 4 2 4 2 3 2" xfId="13090"/>
    <cellStyle name="Normal 2 2 2 4 2 4 2 3 2 2" xfId="31118"/>
    <cellStyle name="Normal 2 2 2 4 2 4 2 3 3" xfId="31119"/>
    <cellStyle name="Normal 2 2 2 4 2 4 2 4" xfId="13091"/>
    <cellStyle name="Normal 2 2 2 4 2 4 2 4 2" xfId="13092"/>
    <cellStyle name="Normal 2 2 2 4 2 4 2 4 2 2" xfId="31120"/>
    <cellStyle name="Normal 2 2 2 4 2 4 2 4 3" xfId="31121"/>
    <cellStyle name="Normal 2 2 2 4 2 4 2 5" xfId="13093"/>
    <cellStyle name="Normal 2 2 2 4 2 4 2 5 2" xfId="31122"/>
    <cellStyle name="Normal 2 2 2 4 2 4 2 6" xfId="13094"/>
    <cellStyle name="Normal 2 2 2 4 2 4 3" xfId="13095"/>
    <cellStyle name="Normal 2 2 2 4 2 4 3 2" xfId="13096"/>
    <cellStyle name="Normal 2 2 2 4 2 4 3 2 2" xfId="31123"/>
    <cellStyle name="Normal 2 2 2 4 2 4 3 3" xfId="31124"/>
    <cellStyle name="Normal 2 2 2 4 2 4 4" xfId="13097"/>
    <cellStyle name="Normal 2 2 2 4 2 4 4 2" xfId="13098"/>
    <cellStyle name="Normal 2 2 2 4 2 4 4 2 2" xfId="31125"/>
    <cellStyle name="Normal 2 2 2 4 2 4 4 3" xfId="31126"/>
    <cellStyle name="Normal 2 2 2 4 2 4 5" xfId="13099"/>
    <cellStyle name="Normal 2 2 2 4 2 4 5 2" xfId="13100"/>
    <cellStyle name="Normal 2 2 2 4 2 4 5 2 2" xfId="31127"/>
    <cellStyle name="Normal 2 2 2 4 2 4 5 3" xfId="31128"/>
    <cellStyle name="Normal 2 2 2 4 2 4 6" xfId="13101"/>
    <cellStyle name="Normal 2 2 2 4 2 4 6 2" xfId="31129"/>
    <cellStyle name="Normal 2 2 2 4 2 4 7" xfId="13102"/>
    <cellStyle name="Normal 2 2 2 4 2 5" xfId="1904"/>
    <cellStyle name="Normal 2 2 2 4 2 5 2" xfId="13103"/>
    <cellStyle name="Normal 2 2 2 4 2 5 2 2" xfId="13104"/>
    <cellStyle name="Normal 2 2 2 4 2 5 2 2 2" xfId="31130"/>
    <cellStyle name="Normal 2 2 2 4 2 5 2 3" xfId="31131"/>
    <cellStyle name="Normal 2 2 2 4 2 5 3" xfId="13105"/>
    <cellStyle name="Normal 2 2 2 4 2 5 3 2" xfId="13106"/>
    <cellStyle name="Normal 2 2 2 4 2 5 3 2 2" xfId="31132"/>
    <cellStyle name="Normal 2 2 2 4 2 5 3 3" xfId="31133"/>
    <cellStyle name="Normal 2 2 2 4 2 5 4" xfId="13107"/>
    <cellStyle name="Normal 2 2 2 4 2 5 4 2" xfId="13108"/>
    <cellStyle name="Normal 2 2 2 4 2 5 4 2 2" xfId="31134"/>
    <cellStyle name="Normal 2 2 2 4 2 5 4 3" xfId="31135"/>
    <cellStyle name="Normal 2 2 2 4 2 5 5" xfId="13109"/>
    <cellStyle name="Normal 2 2 2 4 2 5 5 2" xfId="31136"/>
    <cellStyle name="Normal 2 2 2 4 2 5 6" xfId="13110"/>
    <cellStyle name="Normal 2 2 2 4 2 6" xfId="13111"/>
    <cellStyle name="Normal 2 2 2 4 2 6 2" xfId="13112"/>
    <cellStyle name="Normal 2 2 2 4 2 6 2 2" xfId="31137"/>
    <cellStyle name="Normal 2 2 2 4 2 6 3" xfId="31138"/>
    <cellStyle name="Normal 2 2 2 4 2 7" xfId="13113"/>
    <cellStyle name="Normal 2 2 2 4 2 7 2" xfId="13114"/>
    <cellStyle name="Normal 2 2 2 4 2 7 2 2" xfId="31139"/>
    <cellStyle name="Normal 2 2 2 4 2 7 3" xfId="31140"/>
    <cellStyle name="Normal 2 2 2 4 2 8" xfId="13115"/>
    <cellStyle name="Normal 2 2 2 4 2 8 2" xfId="13116"/>
    <cellStyle name="Normal 2 2 2 4 2 8 2 2" xfId="31141"/>
    <cellStyle name="Normal 2 2 2 4 2 8 3" xfId="31142"/>
    <cellStyle name="Normal 2 2 2 4 2 9" xfId="13117"/>
    <cellStyle name="Normal 2 2 2 4 2 9 2" xfId="31143"/>
    <cellStyle name="Normal 2 2 2 4 3" xfId="272"/>
    <cellStyle name="Normal 2 2 2 4 3 10" xfId="13118"/>
    <cellStyle name="Normal 2 2 2 4 3 2" xfId="430"/>
    <cellStyle name="Normal 2 2 2 4 3 2 2" xfId="1218"/>
    <cellStyle name="Normal 2 2 2 4 3 2 2 2" xfId="1905"/>
    <cellStyle name="Normal 2 2 2 4 3 2 2 2 2" xfId="13119"/>
    <cellStyle name="Normal 2 2 2 4 3 2 2 2 2 2" xfId="13120"/>
    <cellStyle name="Normal 2 2 2 4 3 2 2 2 2 2 2" xfId="31144"/>
    <cellStyle name="Normal 2 2 2 4 3 2 2 2 2 3" xfId="31145"/>
    <cellStyle name="Normal 2 2 2 4 3 2 2 2 3" xfId="13121"/>
    <cellStyle name="Normal 2 2 2 4 3 2 2 2 3 2" xfId="13122"/>
    <cellStyle name="Normal 2 2 2 4 3 2 2 2 3 2 2" xfId="31146"/>
    <cellStyle name="Normal 2 2 2 4 3 2 2 2 3 3" xfId="31147"/>
    <cellStyle name="Normal 2 2 2 4 3 2 2 2 4" xfId="13123"/>
    <cellStyle name="Normal 2 2 2 4 3 2 2 2 4 2" xfId="13124"/>
    <cellStyle name="Normal 2 2 2 4 3 2 2 2 4 2 2" xfId="31148"/>
    <cellStyle name="Normal 2 2 2 4 3 2 2 2 4 3" xfId="31149"/>
    <cellStyle name="Normal 2 2 2 4 3 2 2 2 5" xfId="13125"/>
    <cellStyle name="Normal 2 2 2 4 3 2 2 2 5 2" xfId="31150"/>
    <cellStyle name="Normal 2 2 2 4 3 2 2 2 6" xfId="13126"/>
    <cellStyle name="Normal 2 2 2 4 3 2 2 3" xfId="13127"/>
    <cellStyle name="Normal 2 2 2 4 3 2 2 3 2" xfId="13128"/>
    <cellStyle name="Normal 2 2 2 4 3 2 2 3 2 2" xfId="31151"/>
    <cellStyle name="Normal 2 2 2 4 3 2 2 3 3" xfId="31152"/>
    <cellStyle name="Normal 2 2 2 4 3 2 2 4" xfId="13129"/>
    <cellStyle name="Normal 2 2 2 4 3 2 2 4 2" xfId="13130"/>
    <cellStyle name="Normal 2 2 2 4 3 2 2 4 2 2" xfId="31153"/>
    <cellStyle name="Normal 2 2 2 4 3 2 2 4 3" xfId="31154"/>
    <cellStyle name="Normal 2 2 2 4 3 2 2 5" xfId="13131"/>
    <cellStyle name="Normal 2 2 2 4 3 2 2 5 2" xfId="13132"/>
    <cellStyle name="Normal 2 2 2 4 3 2 2 5 2 2" xfId="31155"/>
    <cellStyle name="Normal 2 2 2 4 3 2 2 5 3" xfId="31156"/>
    <cellStyle name="Normal 2 2 2 4 3 2 2 6" xfId="13133"/>
    <cellStyle name="Normal 2 2 2 4 3 2 2 6 2" xfId="31157"/>
    <cellStyle name="Normal 2 2 2 4 3 2 2 7" xfId="13134"/>
    <cellStyle name="Normal 2 2 2 4 3 2 3" xfId="850"/>
    <cellStyle name="Normal 2 2 2 4 3 2 3 2" xfId="1906"/>
    <cellStyle name="Normal 2 2 2 4 3 2 3 2 2" xfId="13135"/>
    <cellStyle name="Normal 2 2 2 4 3 2 3 2 2 2" xfId="13136"/>
    <cellStyle name="Normal 2 2 2 4 3 2 3 2 2 2 2" xfId="31158"/>
    <cellStyle name="Normal 2 2 2 4 3 2 3 2 2 3" xfId="31159"/>
    <cellStyle name="Normal 2 2 2 4 3 2 3 2 3" xfId="13137"/>
    <cellStyle name="Normal 2 2 2 4 3 2 3 2 3 2" xfId="13138"/>
    <cellStyle name="Normal 2 2 2 4 3 2 3 2 3 2 2" xfId="31160"/>
    <cellStyle name="Normal 2 2 2 4 3 2 3 2 3 3" xfId="31161"/>
    <cellStyle name="Normal 2 2 2 4 3 2 3 2 4" xfId="13139"/>
    <cellStyle name="Normal 2 2 2 4 3 2 3 2 4 2" xfId="13140"/>
    <cellStyle name="Normal 2 2 2 4 3 2 3 2 4 2 2" xfId="31162"/>
    <cellStyle name="Normal 2 2 2 4 3 2 3 2 4 3" xfId="31163"/>
    <cellStyle name="Normal 2 2 2 4 3 2 3 2 5" xfId="13141"/>
    <cellStyle name="Normal 2 2 2 4 3 2 3 2 5 2" xfId="31164"/>
    <cellStyle name="Normal 2 2 2 4 3 2 3 2 6" xfId="13142"/>
    <cellStyle name="Normal 2 2 2 4 3 2 3 3" xfId="13143"/>
    <cellStyle name="Normal 2 2 2 4 3 2 3 3 2" xfId="13144"/>
    <cellStyle name="Normal 2 2 2 4 3 2 3 3 2 2" xfId="31165"/>
    <cellStyle name="Normal 2 2 2 4 3 2 3 3 3" xfId="31166"/>
    <cellStyle name="Normal 2 2 2 4 3 2 3 4" xfId="13145"/>
    <cellStyle name="Normal 2 2 2 4 3 2 3 4 2" xfId="13146"/>
    <cellStyle name="Normal 2 2 2 4 3 2 3 4 2 2" xfId="31167"/>
    <cellStyle name="Normal 2 2 2 4 3 2 3 4 3" xfId="31168"/>
    <cellStyle name="Normal 2 2 2 4 3 2 3 5" xfId="13147"/>
    <cellStyle name="Normal 2 2 2 4 3 2 3 5 2" xfId="13148"/>
    <cellStyle name="Normal 2 2 2 4 3 2 3 5 2 2" xfId="31169"/>
    <cellStyle name="Normal 2 2 2 4 3 2 3 5 3" xfId="31170"/>
    <cellStyle name="Normal 2 2 2 4 3 2 3 6" xfId="13149"/>
    <cellStyle name="Normal 2 2 2 4 3 2 3 6 2" xfId="31171"/>
    <cellStyle name="Normal 2 2 2 4 3 2 3 7" xfId="13150"/>
    <cellStyle name="Normal 2 2 2 4 3 2 4" xfId="1907"/>
    <cellStyle name="Normal 2 2 2 4 3 2 4 2" xfId="13151"/>
    <cellStyle name="Normal 2 2 2 4 3 2 4 2 2" xfId="13152"/>
    <cellStyle name="Normal 2 2 2 4 3 2 4 2 2 2" xfId="31172"/>
    <cellStyle name="Normal 2 2 2 4 3 2 4 2 3" xfId="31173"/>
    <cellStyle name="Normal 2 2 2 4 3 2 4 3" xfId="13153"/>
    <cellStyle name="Normal 2 2 2 4 3 2 4 3 2" xfId="13154"/>
    <cellStyle name="Normal 2 2 2 4 3 2 4 3 2 2" xfId="31174"/>
    <cellStyle name="Normal 2 2 2 4 3 2 4 3 3" xfId="31175"/>
    <cellStyle name="Normal 2 2 2 4 3 2 4 4" xfId="13155"/>
    <cellStyle name="Normal 2 2 2 4 3 2 4 4 2" xfId="13156"/>
    <cellStyle name="Normal 2 2 2 4 3 2 4 4 2 2" xfId="31176"/>
    <cellStyle name="Normal 2 2 2 4 3 2 4 4 3" xfId="31177"/>
    <cellStyle name="Normal 2 2 2 4 3 2 4 5" xfId="13157"/>
    <cellStyle name="Normal 2 2 2 4 3 2 4 5 2" xfId="31178"/>
    <cellStyle name="Normal 2 2 2 4 3 2 4 6" xfId="13158"/>
    <cellStyle name="Normal 2 2 2 4 3 2 5" xfId="13159"/>
    <cellStyle name="Normal 2 2 2 4 3 2 5 2" xfId="13160"/>
    <cellStyle name="Normal 2 2 2 4 3 2 5 2 2" xfId="31179"/>
    <cellStyle name="Normal 2 2 2 4 3 2 5 3" xfId="31180"/>
    <cellStyle name="Normal 2 2 2 4 3 2 6" xfId="13161"/>
    <cellStyle name="Normal 2 2 2 4 3 2 6 2" xfId="13162"/>
    <cellStyle name="Normal 2 2 2 4 3 2 6 2 2" xfId="31181"/>
    <cellStyle name="Normal 2 2 2 4 3 2 6 3" xfId="31182"/>
    <cellStyle name="Normal 2 2 2 4 3 2 7" xfId="13163"/>
    <cellStyle name="Normal 2 2 2 4 3 2 7 2" xfId="13164"/>
    <cellStyle name="Normal 2 2 2 4 3 2 7 2 2" xfId="31183"/>
    <cellStyle name="Normal 2 2 2 4 3 2 7 3" xfId="31184"/>
    <cellStyle name="Normal 2 2 2 4 3 2 8" xfId="13165"/>
    <cellStyle name="Normal 2 2 2 4 3 2 8 2" xfId="31185"/>
    <cellStyle name="Normal 2 2 2 4 3 2 9" xfId="13166"/>
    <cellStyle name="Normal 2 2 2 4 3 3" xfId="1060"/>
    <cellStyle name="Normal 2 2 2 4 3 3 2" xfId="1908"/>
    <cellStyle name="Normal 2 2 2 4 3 3 2 2" xfId="13167"/>
    <cellStyle name="Normal 2 2 2 4 3 3 2 2 2" xfId="13168"/>
    <cellStyle name="Normal 2 2 2 4 3 3 2 2 2 2" xfId="31186"/>
    <cellStyle name="Normal 2 2 2 4 3 3 2 2 3" xfId="31187"/>
    <cellStyle name="Normal 2 2 2 4 3 3 2 3" xfId="13169"/>
    <cellStyle name="Normal 2 2 2 4 3 3 2 3 2" xfId="13170"/>
    <cellStyle name="Normal 2 2 2 4 3 3 2 3 2 2" xfId="31188"/>
    <cellStyle name="Normal 2 2 2 4 3 3 2 3 3" xfId="31189"/>
    <cellStyle name="Normal 2 2 2 4 3 3 2 4" xfId="13171"/>
    <cellStyle name="Normal 2 2 2 4 3 3 2 4 2" xfId="13172"/>
    <cellStyle name="Normal 2 2 2 4 3 3 2 4 2 2" xfId="31190"/>
    <cellStyle name="Normal 2 2 2 4 3 3 2 4 3" xfId="31191"/>
    <cellStyle name="Normal 2 2 2 4 3 3 2 5" xfId="13173"/>
    <cellStyle name="Normal 2 2 2 4 3 3 2 5 2" xfId="31192"/>
    <cellStyle name="Normal 2 2 2 4 3 3 2 6" xfId="13174"/>
    <cellStyle name="Normal 2 2 2 4 3 3 3" xfId="13175"/>
    <cellStyle name="Normal 2 2 2 4 3 3 3 2" xfId="13176"/>
    <cellStyle name="Normal 2 2 2 4 3 3 3 2 2" xfId="31193"/>
    <cellStyle name="Normal 2 2 2 4 3 3 3 3" xfId="31194"/>
    <cellStyle name="Normal 2 2 2 4 3 3 4" xfId="13177"/>
    <cellStyle name="Normal 2 2 2 4 3 3 4 2" xfId="13178"/>
    <cellStyle name="Normal 2 2 2 4 3 3 4 2 2" xfId="31195"/>
    <cellStyle name="Normal 2 2 2 4 3 3 4 3" xfId="31196"/>
    <cellStyle name="Normal 2 2 2 4 3 3 5" xfId="13179"/>
    <cellStyle name="Normal 2 2 2 4 3 3 5 2" xfId="13180"/>
    <cellStyle name="Normal 2 2 2 4 3 3 5 2 2" xfId="31197"/>
    <cellStyle name="Normal 2 2 2 4 3 3 5 3" xfId="31198"/>
    <cellStyle name="Normal 2 2 2 4 3 3 6" xfId="13181"/>
    <cellStyle name="Normal 2 2 2 4 3 3 6 2" xfId="31199"/>
    <cellStyle name="Normal 2 2 2 4 3 3 7" xfId="13182"/>
    <cellStyle name="Normal 2 2 2 4 3 4" xfId="692"/>
    <cellStyle name="Normal 2 2 2 4 3 4 2" xfId="1909"/>
    <cellStyle name="Normal 2 2 2 4 3 4 2 2" xfId="13183"/>
    <cellStyle name="Normal 2 2 2 4 3 4 2 2 2" xfId="13184"/>
    <cellStyle name="Normal 2 2 2 4 3 4 2 2 2 2" xfId="31200"/>
    <cellStyle name="Normal 2 2 2 4 3 4 2 2 3" xfId="31201"/>
    <cellStyle name="Normal 2 2 2 4 3 4 2 3" xfId="13185"/>
    <cellStyle name="Normal 2 2 2 4 3 4 2 3 2" xfId="13186"/>
    <cellStyle name="Normal 2 2 2 4 3 4 2 3 2 2" xfId="31202"/>
    <cellStyle name="Normal 2 2 2 4 3 4 2 3 3" xfId="31203"/>
    <cellStyle name="Normal 2 2 2 4 3 4 2 4" xfId="13187"/>
    <cellStyle name="Normal 2 2 2 4 3 4 2 4 2" xfId="13188"/>
    <cellStyle name="Normal 2 2 2 4 3 4 2 4 2 2" xfId="31204"/>
    <cellStyle name="Normal 2 2 2 4 3 4 2 4 3" xfId="31205"/>
    <cellStyle name="Normal 2 2 2 4 3 4 2 5" xfId="13189"/>
    <cellStyle name="Normal 2 2 2 4 3 4 2 5 2" xfId="31206"/>
    <cellStyle name="Normal 2 2 2 4 3 4 2 6" xfId="13190"/>
    <cellStyle name="Normal 2 2 2 4 3 4 3" xfId="13191"/>
    <cellStyle name="Normal 2 2 2 4 3 4 3 2" xfId="13192"/>
    <cellStyle name="Normal 2 2 2 4 3 4 3 2 2" xfId="31207"/>
    <cellStyle name="Normal 2 2 2 4 3 4 3 3" xfId="31208"/>
    <cellStyle name="Normal 2 2 2 4 3 4 4" xfId="13193"/>
    <cellStyle name="Normal 2 2 2 4 3 4 4 2" xfId="13194"/>
    <cellStyle name="Normal 2 2 2 4 3 4 4 2 2" xfId="31209"/>
    <cellStyle name="Normal 2 2 2 4 3 4 4 3" xfId="31210"/>
    <cellStyle name="Normal 2 2 2 4 3 4 5" xfId="13195"/>
    <cellStyle name="Normal 2 2 2 4 3 4 5 2" xfId="13196"/>
    <cellStyle name="Normal 2 2 2 4 3 4 5 2 2" xfId="31211"/>
    <cellStyle name="Normal 2 2 2 4 3 4 5 3" xfId="31212"/>
    <cellStyle name="Normal 2 2 2 4 3 4 6" xfId="13197"/>
    <cellStyle name="Normal 2 2 2 4 3 4 6 2" xfId="31213"/>
    <cellStyle name="Normal 2 2 2 4 3 4 7" xfId="13198"/>
    <cellStyle name="Normal 2 2 2 4 3 5" xfId="1910"/>
    <cellStyle name="Normal 2 2 2 4 3 5 2" xfId="13199"/>
    <cellStyle name="Normal 2 2 2 4 3 5 2 2" xfId="13200"/>
    <cellStyle name="Normal 2 2 2 4 3 5 2 2 2" xfId="31214"/>
    <cellStyle name="Normal 2 2 2 4 3 5 2 3" xfId="31215"/>
    <cellStyle name="Normal 2 2 2 4 3 5 3" xfId="13201"/>
    <cellStyle name="Normal 2 2 2 4 3 5 3 2" xfId="13202"/>
    <cellStyle name="Normal 2 2 2 4 3 5 3 2 2" xfId="31216"/>
    <cellStyle name="Normal 2 2 2 4 3 5 3 3" xfId="31217"/>
    <cellStyle name="Normal 2 2 2 4 3 5 4" xfId="13203"/>
    <cellStyle name="Normal 2 2 2 4 3 5 4 2" xfId="13204"/>
    <cellStyle name="Normal 2 2 2 4 3 5 4 2 2" xfId="31218"/>
    <cellStyle name="Normal 2 2 2 4 3 5 4 3" xfId="31219"/>
    <cellStyle name="Normal 2 2 2 4 3 5 5" xfId="13205"/>
    <cellStyle name="Normal 2 2 2 4 3 5 5 2" xfId="31220"/>
    <cellStyle name="Normal 2 2 2 4 3 5 6" xfId="13206"/>
    <cellStyle name="Normal 2 2 2 4 3 6" xfId="13207"/>
    <cellStyle name="Normal 2 2 2 4 3 6 2" xfId="13208"/>
    <cellStyle name="Normal 2 2 2 4 3 6 2 2" xfId="31221"/>
    <cellStyle name="Normal 2 2 2 4 3 6 3" xfId="31222"/>
    <cellStyle name="Normal 2 2 2 4 3 7" xfId="13209"/>
    <cellStyle name="Normal 2 2 2 4 3 7 2" xfId="13210"/>
    <cellStyle name="Normal 2 2 2 4 3 7 2 2" xfId="31223"/>
    <cellStyle name="Normal 2 2 2 4 3 7 3" xfId="31224"/>
    <cellStyle name="Normal 2 2 2 4 3 8" xfId="13211"/>
    <cellStyle name="Normal 2 2 2 4 3 8 2" xfId="13212"/>
    <cellStyle name="Normal 2 2 2 4 3 8 2 2" xfId="31225"/>
    <cellStyle name="Normal 2 2 2 4 3 8 3" xfId="31226"/>
    <cellStyle name="Normal 2 2 2 4 3 9" xfId="13213"/>
    <cellStyle name="Normal 2 2 2 4 3 9 2" xfId="31227"/>
    <cellStyle name="Normal 2 2 2 4 4" xfId="160"/>
    <cellStyle name="Normal 2 2 2 4 4 2" xfId="948"/>
    <cellStyle name="Normal 2 2 2 4 4 2 2" xfId="1911"/>
    <cellStyle name="Normal 2 2 2 4 4 2 2 2" xfId="13214"/>
    <cellStyle name="Normal 2 2 2 4 4 2 2 2 2" xfId="13215"/>
    <cellStyle name="Normal 2 2 2 4 4 2 2 2 2 2" xfId="31228"/>
    <cellStyle name="Normal 2 2 2 4 4 2 2 2 3" xfId="31229"/>
    <cellStyle name="Normal 2 2 2 4 4 2 2 3" xfId="13216"/>
    <cellStyle name="Normal 2 2 2 4 4 2 2 3 2" xfId="13217"/>
    <cellStyle name="Normal 2 2 2 4 4 2 2 3 2 2" xfId="31230"/>
    <cellStyle name="Normal 2 2 2 4 4 2 2 3 3" xfId="31231"/>
    <cellStyle name="Normal 2 2 2 4 4 2 2 4" xfId="13218"/>
    <cellStyle name="Normal 2 2 2 4 4 2 2 4 2" xfId="13219"/>
    <cellStyle name="Normal 2 2 2 4 4 2 2 4 2 2" xfId="31232"/>
    <cellStyle name="Normal 2 2 2 4 4 2 2 4 3" xfId="31233"/>
    <cellStyle name="Normal 2 2 2 4 4 2 2 5" xfId="13220"/>
    <cellStyle name="Normal 2 2 2 4 4 2 2 5 2" xfId="31234"/>
    <cellStyle name="Normal 2 2 2 4 4 2 2 6" xfId="13221"/>
    <cellStyle name="Normal 2 2 2 4 4 2 3" xfId="13222"/>
    <cellStyle name="Normal 2 2 2 4 4 2 3 2" xfId="13223"/>
    <cellStyle name="Normal 2 2 2 4 4 2 3 2 2" xfId="31235"/>
    <cellStyle name="Normal 2 2 2 4 4 2 3 3" xfId="31236"/>
    <cellStyle name="Normal 2 2 2 4 4 2 4" xfId="13224"/>
    <cellStyle name="Normal 2 2 2 4 4 2 4 2" xfId="13225"/>
    <cellStyle name="Normal 2 2 2 4 4 2 4 2 2" xfId="31237"/>
    <cellStyle name="Normal 2 2 2 4 4 2 4 3" xfId="31238"/>
    <cellStyle name="Normal 2 2 2 4 4 2 5" xfId="13226"/>
    <cellStyle name="Normal 2 2 2 4 4 2 5 2" xfId="13227"/>
    <cellStyle name="Normal 2 2 2 4 4 2 5 2 2" xfId="31239"/>
    <cellStyle name="Normal 2 2 2 4 4 2 5 3" xfId="31240"/>
    <cellStyle name="Normal 2 2 2 4 4 2 6" xfId="13228"/>
    <cellStyle name="Normal 2 2 2 4 4 2 6 2" xfId="31241"/>
    <cellStyle name="Normal 2 2 2 4 4 2 7" xfId="13229"/>
    <cellStyle name="Normal 2 2 2 4 4 3" xfId="580"/>
    <cellStyle name="Normal 2 2 2 4 4 3 2" xfId="1912"/>
    <cellStyle name="Normal 2 2 2 4 4 3 2 2" xfId="13230"/>
    <cellStyle name="Normal 2 2 2 4 4 3 2 2 2" xfId="13231"/>
    <cellStyle name="Normal 2 2 2 4 4 3 2 2 2 2" xfId="31242"/>
    <cellStyle name="Normal 2 2 2 4 4 3 2 2 3" xfId="31243"/>
    <cellStyle name="Normal 2 2 2 4 4 3 2 3" xfId="13232"/>
    <cellStyle name="Normal 2 2 2 4 4 3 2 3 2" xfId="13233"/>
    <cellStyle name="Normal 2 2 2 4 4 3 2 3 2 2" xfId="31244"/>
    <cellStyle name="Normal 2 2 2 4 4 3 2 3 3" xfId="31245"/>
    <cellStyle name="Normal 2 2 2 4 4 3 2 4" xfId="13234"/>
    <cellStyle name="Normal 2 2 2 4 4 3 2 4 2" xfId="13235"/>
    <cellStyle name="Normal 2 2 2 4 4 3 2 4 2 2" xfId="31246"/>
    <cellStyle name="Normal 2 2 2 4 4 3 2 4 3" xfId="31247"/>
    <cellStyle name="Normal 2 2 2 4 4 3 2 5" xfId="13236"/>
    <cellStyle name="Normal 2 2 2 4 4 3 2 5 2" xfId="31248"/>
    <cellStyle name="Normal 2 2 2 4 4 3 2 6" xfId="13237"/>
    <cellStyle name="Normal 2 2 2 4 4 3 3" xfId="13238"/>
    <cellStyle name="Normal 2 2 2 4 4 3 3 2" xfId="13239"/>
    <cellStyle name="Normal 2 2 2 4 4 3 3 2 2" xfId="31249"/>
    <cellStyle name="Normal 2 2 2 4 4 3 3 3" xfId="31250"/>
    <cellStyle name="Normal 2 2 2 4 4 3 4" xfId="13240"/>
    <cellStyle name="Normal 2 2 2 4 4 3 4 2" xfId="13241"/>
    <cellStyle name="Normal 2 2 2 4 4 3 4 2 2" xfId="31251"/>
    <cellStyle name="Normal 2 2 2 4 4 3 4 3" xfId="31252"/>
    <cellStyle name="Normal 2 2 2 4 4 3 5" xfId="13242"/>
    <cellStyle name="Normal 2 2 2 4 4 3 5 2" xfId="13243"/>
    <cellStyle name="Normal 2 2 2 4 4 3 5 2 2" xfId="31253"/>
    <cellStyle name="Normal 2 2 2 4 4 3 5 3" xfId="31254"/>
    <cellStyle name="Normal 2 2 2 4 4 3 6" xfId="13244"/>
    <cellStyle name="Normal 2 2 2 4 4 3 6 2" xfId="31255"/>
    <cellStyle name="Normal 2 2 2 4 4 3 7" xfId="13245"/>
    <cellStyle name="Normal 2 2 2 4 4 4" xfId="1913"/>
    <cellStyle name="Normal 2 2 2 4 4 4 2" xfId="13246"/>
    <cellStyle name="Normal 2 2 2 4 4 4 2 2" xfId="13247"/>
    <cellStyle name="Normal 2 2 2 4 4 4 2 2 2" xfId="31256"/>
    <cellStyle name="Normal 2 2 2 4 4 4 2 3" xfId="31257"/>
    <cellStyle name="Normal 2 2 2 4 4 4 3" xfId="13248"/>
    <cellStyle name="Normal 2 2 2 4 4 4 3 2" xfId="13249"/>
    <cellStyle name="Normal 2 2 2 4 4 4 3 2 2" xfId="31258"/>
    <cellStyle name="Normal 2 2 2 4 4 4 3 3" xfId="31259"/>
    <cellStyle name="Normal 2 2 2 4 4 4 4" xfId="13250"/>
    <cellStyle name="Normal 2 2 2 4 4 4 4 2" xfId="13251"/>
    <cellStyle name="Normal 2 2 2 4 4 4 4 2 2" xfId="31260"/>
    <cellStyle name="Normal 2 2 2 4 4 4 4 3" xfId="31261"/>
    <cellStyle name="Normal 2 2 2 4 4 4 5" xfId="13252"/>
    <cellStyle name="Normal 2 2 2 4 4 4 5 2" xfId="31262"/>
    <cellStyle name="Normal 2 2 2 4 4 4 6" xfId="13253"/>
    <cellStyle name="Normal 2 2 2 4 4 5" xfId="13254"/>
    <cellStyle name="Normal 2 2 2 4 4 5 2" xfId="13255"/>
    <cellStyle name="Normal 2 2 2 4 4 5 2 2" xfId="31263"/>
    <cellStyle name="Normal 2 2 2 4 4 5 3" xfId="31264"/>
    <cellStyle name="Normal 2 2 2 4 4 6" xfId="13256"/>
    <cellStyle name="Normal 2 2 2 4 4 6 2" xfId="13257"/>
    <cellStyle name="Normal 2 2 2 4 4 6 2 2" xfId="31265"/>
    <cellStyle name="Normal 2 2 2 4 4 6 3" xfId="31266"/>
    <cellStyle name="Normal 2 2 2 4 4 7" xfId="13258"/>
    <cellStyle name="Normal 2 2 2 4 4 7 2" xfId="13259"/>
    <cellStyle name="Normal 2 2 2 4 4 7 2 2" xfId="31267"/>
    <cellStyle name="Normal 2 2 2 4 4 7 3" xfId="31268"/>
    <cellStyle name="Normal 2 2 2 4 4 8" xfId="13260"/>
    <cellStyle name="Normal 2 2 2 4 4 8 2" xfId="31269"/>
    <cellStyle name="Normal 2 2 2 4 4 9" xfId="13261"/>
    <cellStyle name="Normal 2 2 2 4 5" xfId="318"/>
    <cellStyle name="Normal 2 2 2 4 5 2" xfId="1106"/>
    <cellStyle name="Normal 2 2 2 4 5 2 2" xfId="1914"/>
    <cellStyle name="Normal 2 2 2 4 5 2 2 2" xfId="13262"/>
    <cellStyle name="Normal 2 2 2 4 5 2 2 2 2" xfId="13263"/>
    <cellStyle name="Normal 2 2 2 4 5 2 2 2 2 2" xfId="31270"/>
    <cellStyle name="Normal 2 2 2 4 5 2 2 2 3" xfId="31271"/>
    <cellStyle name="Normal 2 2 2 4 5 2 2 3" xfId="13264"/>
    <cellStyle name="Normal 2 2 2 4 5 2 2 3 2" xfId="13265"/>
    <cellStyle name="Normal 2 2 2 4 5 2 2 3 2 2" xfId="31272"/>
    <cellStyle name="Normal 2 2 2 4 5 2 2 3 3" xfId="31273"/>
    <cellStyle name="Normal 2 2 2 4 5 2 2 4" xfId="13266"/>
    <cellStyle name="Normal 2 2 2 4 5 2 2 4 2" xfId="13267"/>
    <cellStyle name="Normal 2 2 2 4 5 2 2 4 2 2" xfId="31274"/>
    <cellStyle name="Normal 2 2 2 4 5 2 2 4 3" xfId="31275"/>
    <cellStyle name="Normal 2 2 2 4 5 2 2 5" xfId="13268"/>
    <cellStyle name="Normal 2 2 2 4 5 2 2 5 2" xfId="31276"/>
    <cellStyle name="Normal 2 2 2 4 5 2 2 6" xfId="13269"/>
    <cellStyle name="Normal 2 2 2 4 5 2 3" xfId="13270"/>
    <cellStyle name="Normal 2 2 2 4 5 2 3 2" xfId="13271"/>
    <cellStyle name="Normal 2 2 2 4 5 2 3 2 2" xfId="31277"/>
    <cellStyle name="Normal 2 2 2 4 5 2 3 3" xfId="31278"/>
    <cellStyle name="Normal 2 2 2 4 5 2 4" xfId="13272"/>
    <cellStyle name="Normal 2 2 2 4 5 2 4 2" xfId="13273"/>
    <cellStyle name="Normal 2 2 2 4 5 2 4 2 2" xfId="31279"/>
    <cellStyle name="Normal 2 2 2 4 5 2 4 3" xfId="31280"/>
    <cellStyle name="Normal 2 2 2 4 5 2 5" xfId="13274"/>
    <cellStyle name="Normal 2 2 2 4 5 2 5 2" xfId="13275"/>
    <cellStyle name="Normal 2 2 2 4 5 2 5 2 2" xfId="31281"/>
    <cellStyle name="Normal 2 2 2 4 5 2 5 3" xfId="31282"/>
    <cellStyle name="Normal 2 2 2 4 5 2 6" xfId="13276"/>
    <cellStyle name="Normal 2 2 2 4 5 2 6 2" xfId="31283"/>
    <cellStyle name="Normal 2 2 2 4 5 2 7" xfId="13277"/>
    <cellStyle name="Normal 2 2 2 4 5 3" xfId="738"/>
    <cellStyle name="Normal 2 2 2 4 5 3 2" xfId="1915"/>
    <cellStyle name="Normal 2 2 2 4 5 3 2 2" xfId="13278"/>
    <cellStyle name="Normal 2 2 2 4 5 3 2 2 2" xfId="13279"/>
    <cellStyle name="Normal 2 2 2 4 5 3 2 2 2 2" xfId="31284"/>
    <cellStyle name="Normal 2 2 2 4 5 3 2 2 3" xfId="31285"/>
    <cellStyle name="Normal 2 2 2 4 5 3 2 3" xfId="13280"/>
    <cellStyle name="Normal 2 2 2 4 5 3 2 3 2" xfId="13281"/>
    <cellStyle name="Normal 2 2 2 4 5 3 2 3 2 2" xfId="31286"/>
    <cellStyle name="Normal 2 2 2 4 5 3 2 3 3" xfId="31287"/>
    <cellStyle name="Normal 2 2 2 4 5 3 2 4" xfId="13282"/>
    <cellStyle name="Normal 2 2 2 4 5 3 2 4 2" xfId="13283"/>
    <cellStyle name="Normal 2 2 2 4 5 3 2 4 2 2" xfId="31288"/>
    <cellStyle name="Normal 2 2 2 4 5 3 2 4 3" xfId="31289"/>
    <cellStyle name="Normal 2 2 2 4 5 3 2 5" xfId="13284"/>
    <cellStyle name="Normal 2 2 2 4 5 3 2 5 2" xfId="31290"/>
    <cellStyle name="Normal 2 2 2 4 5 3 2 6" xfId="13285"/>
    <cellStyle name="Normal 2 2 2 4 5 3 3" xfId="13286"/>
    <cellStyle name="Normal 2 2 2 4 5 3 3 2" xfId="13287"/>
    <cellStyle name="Normal 2 2 2 4 5 3 3 2 2" xfId="31291"/>
    <cellStyle name="Normal 2 2 2 4 5 3 3 3" xfId="31292"/>
    <cellStyle name="Normal 2 2 2 4 5 3 4" xfId="13288"/>
    <cellStyle name="Normal 2 2 2 4 5 3 4 2" xfId="13289"/>
    <cellStyle name="Normal 2 2 2 4 5 3 4 2 2" xfId="31293"/>
    <cellStyle name="Normal 2 2 2 4 5 3 4 3" xfId="31294"/>
    <cellStyle name="Normal 2 2 2 4 5 3 5" xfId="13290"/>
    <cellStyle name="Normal 2 2 2 4 5 3 5 2" xfId="13291"/>
    <cellStyle name="Normal 2 2 2 4 5 3 5 2 2" xfId="31295"/>
    <cellStyle name="Normal 2 2 2 4 5 3 5 3" xfId="31296"/>
    <cellStyle name="Normal 2 2 2 4 5 3 6" xfId="13292"/>
    <cellStyle name="Normal 2 2 2 4 5 3 6 2" xfId="31297"/>
    <cellStyle name="Normal 2 2 2 4 5 3 7" xfId="13293"/>
    <cellStyle name="Normal 2 2 2 4 5 4" xfId="1916"/>
    <cellStyle name="Normal 2 2 2 4 5 4 2" xfId="13294"/>
    <cellStyle name="Normal 2 2 2 4 5 4 2 2" xfId="13295"/>
    <cellStyle name="Normal 2 2 2 4 5 4 2 2 2" xfId="31298"/>
    <cellStyle name="Normal 2 2 2 4 5 4 2 3" xfId="31299"/>
    <cellStyle name="Normal 2 2 2 4 5 4 3" xfId="13296"/>
    <cellStyle name="Normal 2 2 2 4 5 4 3 2" xfId="13297"/>
    <cellStyle name="Normal 2 2 2 4 5 4 3 2 2" xfId="31300"/>
    <cellStyle name="Normal 2 2 2 4 5 4 3 3" xfId="31301"/>
    <cellStyle name="Normal 2 2 2 4 5 4 4" xfId="13298"/>
    <cellStyle name="Normal 2 2 2 4 5 4 4 2" xfId="13299"/>
    <cellStyle name="Normal 2 2 2 4 5 4 4 2 2" xfId="31302"/>
    <cellStyle name="Normal 2 2 2 4 5 4 4 3" xfId="31303"/>
    <cellStyle name="Normal 2 2 2 4 5 4 5" xfId="13300"/>
    <cellStyle name="Normal 2 2 2 4 5 4 5 2" xfId="31304"/>
    <cellStyle name="Normal 2 2 2 4 5 4 6" xfId="13301"/>
    <cellStyle name="Normal 2 2 2 4 5 5" xfId="13302"/>
    <cellStyle name="Normal 2 2 2 4 5 5 2" xfId="13303"/>
    <cellStyle name="Normal 2 2 2 4 5 5 2 2" xfId="31305"/>
    <cellStyle name="Normal 2 2 2 4 5 5 3" xfId="31306"/>
    <cellStyle name="Normal 2 2 2 4 5 6" xfId="13304"/>
    <cellStyle name="Normal 2 2 2 4 5 6 2" xfId="13305"/>
    <cellStyle name="Normal 2 2 2 4 5 6 2 2" xfId="31307"/>
    <cellStyle name="Normal 2 2 2 4 5 6 3" xfId="31308"/>
    <cellStyle name="Normal 2 2 2 4 5 7" xfId="13306"/>
    <cellStyle name="Normal 2 2 2 4 5 7 2" xfId="13307"/>
    <cellStyle name="Normal 2 2 2 4 5 7 2 2" xfId="31309"/>
    <cellStyle name="Normal 2 2 2 4 5 7 3" xfId="31310"/>
    <cellStyle name="Normal 2 2 2 4 5 8" xfId="13308"/>
    <cellStyle name="Normal 2 2 2 4 5 8 2" xfId="31311"/>
    <cellStyle name="Normal 2 2 2 4 5 9" xfId="13309"/>
    <cellStyle name="Normal 2 2 2 4 6" xfId="107"/>
    <cellStyle name="Normal 2 2 2 4 6 2" xfId="528"/>
    <cellStyle name="Normal 2 2 2 4 6 2 2" xfId="1917"/>
    <cellStyle name="Normal 2 2 2 4 6 2 2 2" xfId="13310"/>
    <cellStyle name="Normal 2 2 2 4 6 2 2 2 2" xfId="13311"/>
    <cellStyle name="Normal 2 2 2 4 6 2 2 2 2 2" xfId="31312"/>
    <cellStyle name="Normal 2 2 2 4 6 2 2 2 3" xfId="31313"/>
    <cellStyle name="Normal 2 2 2 4 6 2 2 3" xfId="13312"/>
    <cellStyle name="Normal 2 2 2 4 6 2 2 3 2" xfId="13313"/>
    <cellStyle name="Normal 2 2 2 4 6 2 2 3 2 2" xfId="31314"/>
    <cellStyle name="Normal 2 2 2 4 6 2 2 3 3" xfId="31315"/>
    <cellStyle name="Normal 2 2 2 4 6 2 2 4" xfId="13314"/>
    <cellStyle name="Normal 2 2 2 4 6 2 2 4 2" xfId="13315"/>
    <cellStyle name="Normal 2 2 2 4 6 2 2 4 2 2" xfId="31316"/>
    <cellStyle name="Normal 2 2 2 4 6 2 2 4 3" xfId="31317"/>
    <cellStyle name="Normal 2 2 2 4 6 2 2 5" xfId="13316"/>
    <cellStyle name="Normal 2 2 2 4 6 2 2 5 2" xfId="31318"/>
    <cellStyle name="Normal 2 2 2 4 6 2 2 6" xfId="13317"/>
    <cellStyle name="Normal 2 2 2 4 6 2 3" xfId="13318"/>
    <cellStyle name="Normal 2 2 2 4 6 2 3 2" xfId="13319"/>
    <cellStyle name="Normal 2 2 2 4 6 2 3 2 2" xfId="31319"/>
    <cellStyle name="Normal 2 2 2 4 6 2 3 3" xfId="31320"/>
    <cellStyle name="Normal 2 2 2 4 6 2 4" xfId="13320"/>
    <cellStyle name="Normal 2 2 2 4 6 2 4 2" xfId="13321"/>
    <cellStyle name="Normal 2 2 2 4 6 2 4 2 2" xfId="31321"/>
    <cellStyle name="Normal 2 2 2 4 6 2 4 3" xfId="31322"/>
    <cellStyle name="Normal 2 2 2 4 6 2 5" xfId="13322"/>
    <cellStyle name="Normal 2 2 2 4 6 2 5 2" xfId="13323"/>
    <cellStyle name="Normal 2 2 2 4 6 2 5 2 2" xfId="31323"/>
    <cellStyle name="Normal 2 2 2 4 6 2 5 3" xfId="31324"/>
    <cellStyle name="Normal 2 2 2 4 6 2 6" xfId="13324"/>
    <cellStyle name="Normal 2 2 2 4 6 2 6 2" xfId="31325"/>
    <cellStyle name="Normal 2 2 2 4 6 2 7" xfId="13325"/>
    <cellStyle name="Normal 2 2 2 4 6 3" xfId="1918"/>
    <cellStyle name="Normal 2 2 2 4 6 3 2" xfId="13326"/>
    <cellStyle name="Normal 2 2 2 4 6 3 2 2" xfId="13327"/>
    <cellStyle name="Normal 2 2 2 4 6 3 2 2 2" xfId="31326"/>
    <cellStyle name="Normal 2 2 2 4 6 3 2 3" xfId="31327"/>
    <cellStyle name="Normal 2 2 2 4 6 3 3" xfId="13328"/>
    <cellStyle name="Normal 2 2 2 4 6 3 3 2" xfId="13329"/>
    <cellStyle name="Normal 2 2 2 4 6 3 3 2 2" xfId="31328"/>
    <cellStyle name="Normal 2 2 2 4 6 3 3 3" xfId="31329"/>
    <cellStyle name="Normal 2 2 2 4 6 3 4" xfId="13330"/>
    <cellStyle name="Normal 2 2 2 4 6 3 4 2" xfId="13331"/>
    <cellStyle name="Normal 2 2 2 4 6 3 4 2 2" xfId="31330"/>
    <cellStyle name="Normal 2 2 2 4 6 3 4 3" xfId="31331"/>
    <cellStyle name="Normal 2 2 2 4 6 3 5" xfId="13332"/>
    <cellStyle name="Normal 2 2 2 4 6 3 5 2" xfId="31332"/>
    <cellStyle name="Normal 2 2 2 4 6 3 6" xfId="13333"/>
    <cellStyle name="Normal 2 2 2 4 6 4" xfId="13334"/>
    <cellStyle name="Normal 2 2 2 4 6 4 2" xfId="13335"/>
    <cellStyle name="Normal 2 2 2 4 6 4 2 2" xfId="31333"/>
    <cellStyle name="Normal 2 2 2 4 6 4 3" xfId="31334"/>
    <cellStyle name="Normal 2 2 2 4 6 5" xfId="13336"/>
    <cellStyle name="Normal 2 2 2 4 6 5 2" xfId="13337"/>
    <cellStyle name="Normal 2 2 2 4 6 5 2 2" xfId="31335"/>
    <cellStyle name="Normal 2 2 2 4 6 5 3" xfId="31336"/>
    <cellStyle name="Normal 2 2 2 4 6 6" xfId="13338"/>
    <cellStyle name="Normal 2 2 2 4 6 6 2" xfId="13339"/>
    <cellStyle name="Normal 2 2 2 4 6 6 2 2" xfId="31337"/>
    <cellStyle name="Normal 2 2 2 4 6 6 3" xfId="31338"/>
    <cellStyle name="Normal 2 2 2 4 6 7" xfId="13340"/>
    <cellStyle name="Normal 2 2 2 4 6 7 2" xfId="31339"/>
    <cellStyle name="Normal 2 2 2 4 6 8" xfId="13341"/>
    <cellStyle name="Normal 2 2 2 4 7" xfId="896"/>
    <cellStyle name="Normal 2 2 2 4 7 2" xfId="1919"/>
    <cellStyle name="Normal 2 2 2 4 7 2 2" xfId="13342"/>
    <cellStyle name="Normal 2 2 2 4 7 2 2 2" xfId="13343"/>
    <cellStyle name="Normal 2 2 2 4 7 2 2 2 2" xfId="31340"/>
    <cellStyle name="Normal 2 2 2 4 7 2 2 3" xfId="31341"/>
    <cellStyle name="Normal 2 2 2 4 7 2 3" xfId="13344"/>
    <cellStyle name="Normal 2 2 2 4 7 2 3 2" xfId="13345"/>
    <cellStyle name="Normal 2 2 2 4 7 2 3 2 2" xfId="31342"/>
    <cellStyle name="Normal 2 2 2 4 7 2 3 3" xfId="31343"/>
    <cellStyle name="Normal 2 2 2 4 7 2 4" xfId="13346"/>
    <cellStyle name="Normal 2 2 2 4 7 2 4 2" xfId="13347"/>
    <cellStyle name="Normal 2 2 2 4 7 2 4 2 2" xfId="31344"/>
    <cellStyle name="Normal 2 2 2 4 7 2 4 3" xfId="31345"/>
    <cellStyle name="Normal 2 2 2 4 7 2 5" xfId="13348"/>
    <cellStyle name="Normal 2 2 2 4 7 2 5 2" xfId="31346"/>
    <cellStyle name="Normal 2 2 2 4 7 2 6" xfId="13349"/>
    <cellStyle name="Normal 2 2 2 4 7 3" xfId="13350"/>
    <cellStyle name="Normal 2 2 2 4 7 3 2" xfId="13351"/>
    <cellStyle name="Normal 2 2 2 4 7 3 2 2" xfId="31347"/>
    <cellStyle name="Normal 2 2 2 4 7 3 3" xfId="31348"/>
    <cellStyle name="Normal 2 2 2 4 7 4" xfId="13352"/>
    <cellStyle name="Normal 2 2 2 4 7 4 2" xfId="13353"/>
    <cellStyle name="Normal 2 2 2 4 7 4 2 2" xfId="31349"/>
    <cellStyle name="Normal 2 2 2 4 7 4 3" xfId="31350"/>
    <cellStyle name="Normal 2 2 2 4 7 5" xfId="13354"/>
    <cellStyle name="Normal 2 2 2 4 7 5 2" xfId="13355"/>
    <cellStyle name="Normal 2 2 2 4 7 5 2 2" xfId="31351"/>
    <cellStyle name="Normal 2 2 2 4 7 5 3" xfId="31352"/>
    <cellStyle name="Normal 2 2 2 4 7 6" xfId="13356"/>
    <cellStyle name="Normal 2 2 2 4 7 6 2" xfId="31353"/>
    <cellStyle name="Normal 2 2 2 4 7 7" xfId="13357"/>
    <cellStyle name="Normal 2 2 2 4 8" xfId="485"/>
    <cellStyle name="Normal 2 2 2 4 8 2" xfId="1920"/>
    <cellStyle name="Normal 2 2 2 4 8 2 2" xfId="13358"/>
    <cellStyle name="Normal 2 2 2 4 8 2 2 2" xfId="13359"/>
    <cellStyle name="Normal 2 2 2 4 8 2 2 2 2" xfId="31354"/>
    <cellStyle name="Normal 2 2 2 4 8 2 2 3" xfId="31355"/>
    <cellStyle name="Normal 2 2 2 4 8 2 3" xfId="13360"/>
    <cellStyle name="Normal 2 2 2 4 8 2 3 2" xfId="13361"/>
    <cellStyle name="Normal 2 2 2 4 8 2 3 2 2" xfId="31356"/>
    <cellStyle name="Normal 2 2 2 4 8 2 3 3" xfId="31357"/>
    <cellStyle name="Normal 2 2 2 4 8 2 4" xfId="13362"/>
    <cellStyle name="Normal 2 2 2 4 8 2 4 2" xfId="13363"/>
    <cellStyle name="Normal 2 2 2 4 8 2 4 2 2" xfId="31358"/>
    <cellStyle name="Normal 2 2 2 4 8 2 4 3" xfId="31359"/>
    <cellStyle name="Normal 2 2 2 4 8 2 5" xfId="13364"/>
    <cellStyle name="Normal 2 2 2 4 8 2 5 2" xfId="31360"/>
    <cellStyle name="Normal 2 2 2 4 8 2 6" xfId="13365"/>
    <cellStyle name="Normal 2 2 2 4 8 3" xfId="13366"/>
    <cellStyle name="Normal 2 2 2 4 8 3 2" xfId="13367"/>
    <cellStyle name="Normal 2 2 2 4 8 3 2 2" xfId="31361"/>
    <cellStyle name="Normal 2 2 2 4 8 3 3" xfId="31362"/>
    <cellStyle name="Normal 2 2 2 4 8 4" xfId="13368"/>
    <cellStyle name="Normal 2 2 2 4 8 4 2" xfId="13369"/>
    <cellStyle name="Normal 2 2 2 4 8 4 2 2" xfId="31363"/>
    <cellStyle name="Normal 2 2 2 4 8 4 3" xfId="31364"/>
    <cellStyle name="Normal 2 2 2 4 8 5" xfId="13370"/>
    <cellStyle name="Normal 2 2 2 4 8 5 2" xfId="13371"/>
    <cellStyle name="Normal 2 2 2 4 8 5 2 2" xfId="31365"/>
    <cellStyle name="Normal 2 2 2 4 8 5 3" xfId="31366"/>
    <cellStyle name="Normal 2 2 2 4 8 6" xfId="13372"/>
    <cellStyle name="Normal 2 2 2 4 8 6 2" xfId="31367"/>
    <cellStyle name="Normal 2 2 2 4 8 7" xfId="13373"/>
    <cellStyle name="Normal 2 2 2 4 9" xfId="1921"/>
    <cellStyle name="Normal 2 2 2 4 9 2" xfId="13374"/>
    <cellStyle name="Normal 2 2 2 4 9 2 2" xfId="13375"/>
    <cellStyle name="Normal 2 2 2 4 9 2 2 2" xfId="31368"/>
    <cellStyle name="Normal 2 2 2 4 9 2 3" xfId="31369"/>
    <cellStyle name="Normal 2 2 2 4 9 3" xfId="13376"/>
    <cellStyle name="Normal 2 2 2 4 9 3 2" xfId="13377"/>
    <cellStyle name="Normal 2 2 2 4 9 3 2 2" xfId="31370"/>
    <cellStyle name="Normal 2 2 2 4 9 3 3" xfId="31371"/>
    <cellStyle name="Normal 2 2 2 4 9 4" xfId="13378"/>
    <cellStyle name="Normal 2 2 2 4 9 4 2" xfId="13379"/>
    <cellStyle name="Normal 2 2 2 4 9 4 2 2" xfId="31372"/>
    <cellStyle name="Normal 2 2 2 4 9 4 3" xfId="31373"/>
    <cellStyle name="Normal 2 2 2 4 9 5" xfId="13380"/>
    <cellStyle name="Normal 2 2 2 4 9 5 2" xfId="31374"/>
    <cellStyle name="Normal 2 2 2 4 9 6" xfId="13381"/>
    <cellStyle name="Normal 2 2 2 5" xfId="216"/>
    <cellStyle name="Normal 2 2 2 5 10" xfId="13382"/>
    <cellStyle name="Normal 2 2 2 5 2" xfId="374"/>
    <cellStyle name="Normal 2 2 2 5 2 2" xfId="1162"/>
    <cellStyle name="Normal 2 2 2 5 2 2 2" xfId="1922"/>
    <cellStyle name="Normal 2 2 2 5 2 2 2 2" xfId="13383"/>
    <cellStyle name="Normal 2 2 2 5 2 2 2 2 2" xfId="13384"/>
    <cellStyle name="Normal 2 2 2 5 2 2 2 2 2 2" xfId="31375"/>
    <cellStyle name="Normal 2 2 2 5 2 2 2 2 3" xfId="31376"/>
    <cellStyle name="Normal 2 2 2 5 2 2 2 3" xfId="13385"/>
    <cellStyle name="Normal 2 2 2 5 2 2 2 3 2" xfId="13386"/>
    <cellStyle name="Normal 2 2 2 5 2 2 2 3 2 2" xfId="31377"/>
    <cellStyle name="Normal 2 2 2 5 2 2 2 3 3" xfId="31378"/>
    <cellStyle name="Normal 2 2 2 5 2 2 2 4" xfId="13387"/>
    <cellStyle name="Normal 2 2 2 5 2 2 2 4 2" xfId="13388"/>
    <cellStyle name="Normal 2 2 2 5 2 2 2 4 2 2" xfId="31379"/>
    <cellStyle name="Normal 2 2 2 5 2 2 2 4 3" xfId="31380"/>
    <cellStyle name="Normal 2 2 2 5 2 2 2 5" xfId="13389"/>
    <cellStyle name="Normal 2 2 2 5 2 2 2 5 2" xfId="31381"/>
    <cellStyle name="Normal 2 2 2 5 2 2 2 6" xfId="13390"/>
    <cellStyle name="Normal 2 2 2 5 2 2 3" xfId="13391"/>
    <cellStyle name="Normal 2 2 2 5 2 2 3 2" xfId="13392"/>
    <cellStyle name="Normal 2 2 2 5 2 2 3 2 2" xfId="31382"/>
    <cellStyle name="Normal 2 2 2 5 2 2 3 3" xfId="31383"/>
    <cellStyle name="Normal 2 2 2 5 2 2 4" xfId="13393"/>
    <cellStyle name="Normal 2 2 2 5 2 2 4 2" xfId="13394"/>
    <cellStyle name="Normal 2 2 2 5 2 2 4 2 2" xfId="31384"/>
    <cellStyle name="Normal 2 2 2 5 2 2 4 3" xfId="31385"/>
    <cellStyle name="Normal 2 2 2 5 2 2 5" xfId="13395"/>
    <cellStyle name="Normal 2 2 2 5 2 2 5 2" xfId="13396"/>
    <cellStyle name="Normal 2 2 2 5 2 2 5 2 2" xfId="31386"/>
    <cellStyle name="Normal 2 2 2 5 2 2 5 3" xfId="31387"/>
    <cellStyle name="Normal 2 2 2 5 2 2 6" xfId="13397"/>
    <cellStyle name="Normal 2 2 2 5 2 2 6 2" xfId="31388"/>
    <cellStyle name="Normal 2 2 2 5 2 2 7" xfId="13398"/>
    <cellStyle name="Normal 2 2 2 5 2 3" xfId="794"/>
    <cellStyle name="Normal 2 2 2 5 2 3 2" xfId="1923"/>
    <cellStyle name="Normal 2 2 2 5 2 3 2 2" xfId="13399"/>
    <cellStyle name="Normal 2 2 2 5 2 3 2 2 2" xfId="13400"/>
    <cellStyle name="Normal 2 2 2 5 2 3 2 2 2 2" xfId="31389"/>
    <cellStyle name="Normal 2 2 2 5 2 3 2 2 3" xfId="31390"/>
    <cellStyle name="Normal 2 2 2 5 2 3 2 3" xfId="13401"/>
    <cellStyle name="Normal 2 2 2 5 2 3 2 3 2" xfId="13402"/>
    <cellStyle name="Normal 2 2 2 5 2 3 2 3 2 2" xfId="31391"/>
    <cellStyle name="Normal 2 2 2 5 2 3 2 3 3" xfId="31392"/>
    <cellStyle name="Normal 2 2 2 5 2 3 2 4" xfId="13403"/>
    <cellStyle name="Normal 2 2 2 5 2 3 2 4 2" xfId="13404"/>
    <cellStyle name="Normal 2 2 2 5 2 3 2 4 2 2" xfId="31393"/>
    <cellStyle name="Normal 2 2 2 5 2 3 2 4 3" xfId="31394"/>
    <cellStyle name="Normal 2 2 2 5 2 3 2 5" xfId="13405"/>
    <cellStyle name="Normal 2 2 2 5 2 3 2 5 2" xfId="31395"/>
    <cellStyle name="Normal 2 2 2 5 2 3 2 6" xfId="13406"/>
    <cellStyle name="Normal 2 2 2 5 2 3 3" xfId="13407"/>
    <cellStyle name="Normal 2 2 2 5 2 3 3 2" xfId="13408"/>
    <cellStyle name="Normal 2 2 2 5 2 3 3 2 2" xfId="31396"/>
    <cellStyle name="Normal 2 2 2 5 2 3 3 3" xfId="31397"/>
    <cellStyle name="Normal 2 2 2 5 2 3 4" xfId="13409"/>
    <cellStyle name="Normal 2 2 2 5 2 3 4 2" xfId="13410"/>
    <cellStyle name="Normal 2 2 2 5 2 3 4 2 2" xfId="31398"/>
    <cellStyle name="Normal 2 2 2 5 2 3 4 3" xfId="31399"/>
    <cellStyle name="Normal 2 2 2 5 2 3 5" xfId="13411"/>
    <cellStyle name="Normal 2 2 2 5 2 3 5 2" xfId="13412"/>
    <cellStyle name="Normal 2 2 2 5 2 3 5 2 2" xfId="31400"/>
    <cellStyle name="Normal 2 2 2 5 2 3 5 3" xfId="31401"/>
    <cellStyle name="Normal 2 2 2 5 2 3 6" xfId="13413"/>
    <cellStyle name="Normal 2 2 2 5 2 3 6 2" xfId="31402"/>
    <cellStyle name="Normal 2 2 2 5 2 3 7" xfId="13414"/>
    <cellStyle name="Normal 2 2 2 5 2 4" xfId="1924"/>
    <cellStyle name="Normal 2 2 2 5 2 4 2" xfId="13415"/>
    <cellStyle name="Normal 2 2 2 5 2 4 2 2" xfId="13416"/>
    <cellStyle name="Normal 2 2 2 5 2 4 2 2 2" xfId="31403"/>
    <cellStyle name="Normal 2 2 2 5 2 4 2 3" xfId="31404"/>
    <cellStyle name="Normal 2 2 2 5 2 4 3" xfId="13417"/>
    <cellStyle name="Normal 2 2 2 5 2 4 3 2" xfId="13418"/>
    <cellStyle name="Normal 2 2 2 5 2 4 3 2 2" xfId="31405"/>
    <cellStyle name="Normal 2 2 2 5 2 4 3 3" xfId="31406"/>
    <cellStyle name="Normal 2 2 2 5 2 4 4" xfId="13419"/>
    <cellStyle name="Normal 2 2 2 5 2 4 4 2" xfId="13420"/>
    <cellStyle name="Normal 2 2 2 5 2 4 4 2 2" xfId="31407"/>
    <cellStyle name="Normal 2 2 2 5 2 4 4 3" xfId="31408"/>
    <cellStyle name="Normal 2 2 2 5 2 4 5" xfId="13421"/>
    <cellStyle name="Normal 2 2 2 5 2 4 5 2" xfId="31409"/>
    <cellStyle name="Normal 2 2 2 5 2 4 6" xfId="13422"/>
    <cellStyle name="Normal 2 2 2 5 2 5" xfId="13423"/>
    <cellStyle name="Normal 2 2 2 5 2 5 2" xfId="13424"/>
    <cellStyle name="Normal 2 2 2 5 2 5 2 2" xfId="31410"/>
    <cellStyle name="Normal 2 2 2 5 2 5 3" xfId="31411"/>
    <cellStyle name="Normal 2 2 2 5 2 6" xfId="13425"/>
    <cellStyle name="Normal 2 2 2 5 2 6 2" xfId="13426"/>
    <cellStyle name="Normal 2 2 2 5 2 6 2 2" xfId="31412"/>
    <cellStyle name="Normal 2 2 2 5 2 6 3" xfId="31413"/>
    <cellStyle name="Normal 2 2 2 5 2 7" xfId="13427"/>
    <cellStyle name="Normal 2 2 2 5 2 7 2" xfId="13428"/>
    <cellStyle name="Normal 2 2 2 5 2 7 2 2" xfId="31414"/>
    <cellStyle name="Normal 2 2 2 5 2 7 3" xfId="31415"/>
    <cellStyle name="Normal 2 2 2 5 2 8" xfId="13429"/>
    <cellStyle name="Normal 2 2 2 5 2 8 2" xfId="31416"/>
    <cellStyle name="Normal 2 2 2 5 2 9" xfId="13430"/>
    <cellStyle name="Normal 2 2 2 5 3" xfId="1004"/>
    <cellStyle name="Normal 2 2 2 5 3 2" xfId="1925"/>
    <cellStyle name="Normal 2 2 2 5 3 2 2" xfId="13431"/>
    <cellStyle name="Normal 2 2 2 5 3 2 2 2" xfId="13432"/>
    <cellStyle name="Normal 2 2 2 5 3 2 2 2 2" xfId="31417"/>
    <cellStyle name="Normal 2 2 2 5 3 2 2 3" xfId="31418"/>
    <cellStyle name="Normal 2 2 2 5 3 2 3" xfId="13433"/>
    <cellStyle name="Normal 2 2 2 5 3 2 3 2" xfId="13434"/>
    <cellStyle name="Normal 2 2 2 5 3 2 3 2 2" xfId="31419"/>
    <cellStyle name="Normal 2 2 2 5 3 2 3 3" xfId="31420"/>
    <cellStyle name="Normal 2 2 2 5 3 2 4" xfId="13435"/>
    <cellStyle name="Normal 2 2 2 5 3 2 4 2" xfId="13436"/>
    <cellStyle name="Normal 2 2 2 5 3 2 4 2 2" xfId="31421"/>
    <cellStyle name="Normal 2 2 2 5 3 2 4 3" xfId="31422"/>
    <cellStyle name="Normal 2 2 2 5 3 2 5" xfId="13437"/>
    <cellStyle name="Normal 2 2 2 5 3 2 5 2" xfId="31423"/>
    <cellStyle name="Normal 2 2 2 5 3 2 6" xfId="13438"/>
    <cellStyle name="Normal 2 2 2 5 3 3" xfId="13439"/>
    <cellStyle name="Normal 2 2 2 5 3 3 2" xfId="13440"/>
    <cellStyle name="Normal 2 2 2 5 3 3 2 2" xfId="31424"/>
    <cellStyle name="Normal 2 2 2 5 3 3 3" xfId="31425"/>
    <cellStyle name="Normal 2 2 2 5 3 4" xfId="13441"/>
    <cellStyle name="Normal 2 2 2 5 3 4 2" xfId="13442"/>
    <cellStyle name="Normal 2 2 2 5 3 4 2 2" xfId="31426"/>
    <cellStyle name="Normal 2 2 2 5 3 4 3" xfId="31427"/>
    <cellStyle name="Normal 2 2 2 5 3 5" xfId="13443"/>
    <cellStyle name="Normal 2 2 2 5 3 5 2" xfId="13444"/>
    <cellStyle name="Normal 2 2 2 5 3 5 2 2" xfId="31428"/>
    <cellStyle name="Normal 2 2 2 5 3 5 3" xfId="31429"/>
    <cellStyle name="Normal 2 2 2 5 3 6" xfId="13445"/>
    <cellStyle name="Normal 2 2 2 5 3 6 2" xfId="31430"/>
    <cellStyle name="Normal 2 2 2 5 3 7" xfId="13446"/>
    <cellStyle name="Normal 2 2 2 5 4" xfId="636"/>
    <cellStyle name="Normal 2 2 2 5 4 2" xfId="1926"/>
    <cellStyle name="Normal 2 2 2 5 4 2 2" xfId="13447"/>
    <cellStyle name="Normal 2 2 2 5 4 2 2 2" xfId="13448"/>
    <cellStyle name="Normal 2 2 2 5 4 2 2 2 2" xfId="31431"/>
    <cellStyle name="Normal 2 2 2 5 4 2 2 3" xfId="31432"/>
    <cellStyle name="Normal 2 2 2 5 4 2 3" xfId="13449"/>
    <cellStyle name="Normal 2 2 2 5 4 2 3 2" xfId="13450"/>
    <cellStyle name="Normal 2 2 2 5 4 2 3 2 2" xfId="31433"/>
    <cellStyle name="Normal 2 2 2 5 4 2 3 3" xfId="31434"/>
    <cellStyle name="Normal 2 2 2 5 4 2 4" xfId="13451"/>
    <cellStyle name="Normal 2 2 2 5 4 2 4 2" xfId="13452"/>
    <cellStyle name="Normal 2 2 2 5 4 2 4 2 2" xfId="31435"/>
    <cellStyle name="Normal 2 2 2 5 4 2 4 3" xfId="31436"/>
    <cellStyle name="Normal 2 2 2 5 4 2 5" xfId="13453"/>
    <cellStyle name="Normal 2 2 2 5 4 2 5 2" xfId="31437"/>
    <cellStyle name="Normal 2 2 2 5 4 2 6" xfId="13454"/>
    <cellStyle name="Normal 2 2 2 5 4 3" xfId="13455"/>
    <cellStyle name="Normal 2 2 2 5 4 3 2" xfId="13456"/>
    <cellStyle name="Normal 2 2 2 5 4 3 2 2" xfId="31438"/>
    <cellStyle name="Normal 2 2 2 5 4 3 3" xfId="31439"/>
    <cellStyle name="Normal 2 2 2 5 4 4" xfId="13457"/>
    <cellStyle name="Normal 2 2 2 5 4 4 2" xfId="13458"/>
    <cellStyle name="Normal 2 2 2 5 4 4 2 2" xfId="31440"/>
    <cellStyle name="Normal 2 2 2 5 4 4 3" xfId="31441"/>
    <cellStyle name="Normal 2 2 2 5 4 5" xfId="13459"/>
    <cellStyle name="Normal 2 2 2 5 4 5 2" xfId="13460"/>
    <cellStyle name="Normal 2 2 2 5 4 5 2 2" xfId="31442"/>
    <cellStyle name="Normal 2 2 2 5 4 5 3" xfId="31443"/>
    <cellStyle name="Normal 2 2 2 5 4 6" xfId="13461"/>
    <cellStyle name="Normal 2 2 2 5 4 6 2" xfId="31444"/>
    <cellStyle name="Normal 2 2 2 5 4 7" xfId="13462"/>
    <cellStyle name="Normal 2 2 2 5 5" xfId="1927"/>
    <cellStyle name="Normal 2 2 2 5 5 2" xfId="13463"/>
    <cellStyle name="Normal 2 2 2 5 5 2 2" xfId="13464"/>
    <cellStyle name="Normal 2 2 2 5 5 2 2 2" xfId="31445"/>
    <cellStyle name="Normal 2 2 2 5 5 2 3" xfId="31446"/>
    <cellStyle name="Normal 2 2 2 5 5 3" xfId="13465"/>
    <cellStyle name="Normal 2 2 2 5 5 3 2" xfId="13466"/>
    <cellStyle name="Normal 2 2 2 5 5 3 2 2" xfId="31447"/>
    <cellStyle name="Normal 2 2 2 5 5 3 3" xfId="31448"/>
    <cellStyle name="Normal 2 2 2 5 5 4" xfId="13467"/>
    <cellStyle name="Normal 2 2 2 5 5 4 2" xfId="13468"/>
    <cellStyle name="Normal 2 2 2 5 5 4 2 2" xfId="31449"/>
    <cellStyle name="Normal 2 2 2 5 5 4 3" xfId="31450"/>
    <cellStyle name="Normal 2 2 2 5 5 5" xfId="13469"/>
    <cellStyle name="Normal 2 2 2 5 5 5 2" xfId="31451"/>
    <cellStyle name="Normal 2 2 2 5 5 6" xfId="13470"/>
    <cellStyle name="Normal 2 2 2 5 6" xfId="13471"/>
    <cellStyle name="Normal 2 2 2 5 6 2" xfId="13472"/>
    <cellStyle name="Normal 2 2 2 5 6 2 2" xfId="31452"/>
    <cellStyle name="Normal 2 2 2 5 6 3" xfId="31453"/>
    <cellStyle name="Normal 2 2 2 5 7" xfId="13473"/>
    <cellStyle name="Normal 2 2 2 5 7 2" xfId="13474"/>
    <cellStyle name="Normal 2 2 2 5 7 2 2" xfId="31454"/>
    <cellStyle name="Normal 2 2 2 5 7 3" xfId="31455"/>
    <cellStyle name="Normal 2 2 2 5 8" xfId="13475"/>
    <cellStyle name="Normal 2 2 2 5 8 2" xfId="13476"/>
    <cellStyle name="Normal 2 2 2 5 8 2 2" xfId="31456"/>
    <cellStyle name="Normal 2 2 2 5 8 3" xfId="31457"/>
    <cellStyle name="Normal 2 2 2 5 9" xfId="13477"/>
    <cellStyle name="Normal 2 2 2 5 9 2" xfId="31458"/>
    <cellStyle name="Normal 2 2 2 6" xfId="267"/>
    <cellStyle name="Normal 2 2 2 6 10" xfId="13478"/>
    <cellStyle name="Normal 2 2 2 6 2" xfId="425"/>
    <cellStyle name="Normal 2 2 2 6 2 2" xfId="1213"/>
    <cellStyle name="Normal 2 2 2 6 2 2 2" xfId="1928"/>
    <cellStyle name="Normal 2 2 2 6 2 2 2 2" xfId="13479"/>
    <cellStyle name="Normal 2 2 2 6 2 2 2 2 2" xfId="13480"/>
    <cellStyle name="Normal 2 2 2 6 2 2 2 2 2 2" xfId="31459"/>
    <cellStyle name="Normal 2 2 2 6 2 2 2 2 3" xfId="31460"/>
    <cellStyle name="Normal 2 2 2 6 2 2 2 3" xfId="13481"/>
    <cellStyle name="Normal 2 2 2 6 2 2 2 3 2" xfId="13482"/>
    <cellStyle name="Normal 2 2 2 6 2 2 2 3 2 2" xfId="31461"/>
    <cellStyle name="Normal 2 2 2 6 2 2 2 3 3" xfId="31462"/>
    <cellStyle name="Normal 2 2 2 6 2 2 2 4" xfId="13483"/>
    <cellStyle name="Normal 2 2 2 6 2 2 2 4 2" xfId="13484"/>
    <cellStyle name="Normal 2 2 2 6 2 2 2 4 2 2" xfId="31463"/>
    <cellStyle name="Normal 2 2 2 6 2 2 2 4 3" xfId="31464"/>
    <cellStyle name="Normal 2 2 2 6 2 2 2 5" xfId="13485"/>
    <cellStyle name="Normal 2 2 2 6 2 2 2 5 2" xfId="31465"/>
    <cellStyle name="Normal 2 2 2 6 2 2 2 6" xfId="13486"/>
    <cellStyle name="Normal 2 2 2 6 2 2 3" xfId="13487"/>
    <cellStyle name="Normal 2 2 2 6 2 2 3 2" xfId="13488"/>
    <cellStyle name="Normal 2 2 2 6 2 2 3 2 2" xfId="31466"/>
    <cellStyle name="Normal 2 2 2 6 2 2 3 3" xfId="31467"/>
    <cellStyle name="Normal 2 2 2 6 2 2 4" xfId="13489"/>
    <cellStyle name="Normal 2 2 2 6 2 2 4 2" xfId="13490"/>
    <cellStyle name="Normal 2 2 2 6 2 2 4 2 2" xfId="31468"/>
    <cellStyle name="Normal 2 2 2 6 2 2 4 3" xfId="31469"/>
    <cellStyle name="Normal 2 2 2 6 2 2 5" xfId="13491"/>
    <cellStyle name="Normal 2 2 2 6 2 2 5 2" xfId="13492"/>
    <cellStyle name="Normal 2 2 2 6 2 2 5 2 2" xfId="31470"/>
    <cellStyle name="Normal 2 2 2 6 2 2 5 3" xfId="31471"/>
    <cellStyle name="Normal 2 2 2 6 2 2 6" xfId="13493"/>
    <cellStyle name="Normal 2 2 2 6 2 2 6 2" xfId="31472"/>
    <cellStyle name="Normal 2 2 2 6 2 2 7" xfId="13494"/>
    <cellStyle name="Normal 2 2 2 6 2 3" xfId="845"/>
    <cellStyle name="Normal 2 2 2 6 2 3 2" xfId="1929"/>
    <cellStyle name="Normal 2 2 2 6 2 3 2 2" xfId="13495"/>
    <cellStyle name="Normal 2 2 2 6 2 3 2 2 2" xfId="13496"/>
    <cellStyle name="Normal 2 2 2 6 2 3 2 2 2 2" xfId="31473"/>
    <cellStyle name="Normal 2 2 2 6 2 3 2 2 3" xfId="31474"/>
    <cellStyle name="Normal 2 2 2 6 2 3 2 3" xfId="13497"/>
    <cellStyle name="Normal 2 2 2 6 2 3 2 3 2" xfId="13498"/>
    <cellStyle name="Normal 2 2 2 6 2 3 2 3 2 2" xfId="31475"/>
    <cellStyle name="Normal 2 2 2 6 2 3 2 3 3" xfId="31476"/>
    <cellStyle name="Normal 2 2 2 6 2 3 2 4" xfId="13499"/>
    <cellStyle name="Normal 2 2 2 6 2 3 2 4 2" xfId="13500"/>
    <cellStyle name="Normal 2 2 2 6 2 3 2 4 2 2" xfId="31477"/>
    <cellStyle name="Normal 2 2 2 6 2 3 2 4 3" xfId="31478"/>
    <cellStyle name="Normal 2 2 2 6 2 3 2 5" xfId="13501"/>
    <cellStyle name="Normal 2 2 2 6 2 3 2 5 2" xfId="31479"/>
    <cellStyle name="Normal 2 2 2 6 2 3 2 6" xfId="13502"/>
    <cellStyle name="Normal 2 2 2 6 2 3 3" xfId="13503"/>
    <cellStyle name="Normal 2 2 2 6 2 3 3 2" xfId="13504"/>
    <cellStyle name="Normal 2 2 2 6 2 3 3 2 2" xfId="31480"/>
    <cellStyle name="Normal 2 2 2 6 2 3 3 3" xfId="31481"/>
    <cellStyle name="Normal 2 2 2 6 2 3 4" xfId="13505"/>
    <cellStyle name="Normal 2 2 2 6 2 3 4 2" xfId="13506"/>
    <cellStyle name="Normal 2 2 2 6 2 3 4 2 2" xfId="31482"/>
    <cellStyle name="Normal 2 2 2 6 2 3 4 3" xfId="31483"/>
    <cellStyle name="Normal 2 2 2 6 2 3 5" xfId="13507"/>
    <cellStyle name="Normal 2 2 2 6 2 3 5 2" xfId="13508"/>
    <cellStyle name="Normal 2 2 2 6 2 3 5 2 2" xfId="31484"/>
    <cellStyle name="Normal 2 2 2 6 2 3 5 3" xfId="31485"/>
    <cellStyle name="Normal 2 2 2 6 2 3 6" xfId="13509"/>
    <cellStyle name="Normal 2 2 2 6 2 3 6 2" xfId="31486"/>
    <cellStyle name="Normal 2 2 2 6 2 3 7" xfId="13510"/>
    <cellStyle name="Normal 2 2 2 6 2 4" xfId="1930"/>
    <cellStyle name="Normal 2 2 2 6 2 4 2" xfId="13511"/>
    <cellStyle name="Normal 2 2 2 6 2 4 2 2" xfId="13512"/>
    <cellStyle name="Normal 2 2 2 6 2 4 2 2 2" xfId="31487"/>
    <cellStyle name="Normal 2 2 2 6 2 4 2 3" xfId="31488"/>
    <cellStyle name="Normal 2 2 2 6 2 4 3" xfId="13513"/>
    <cellStyle name="Normal 2 2 2 6 2 4 3 2" xfId="13514"/>
    <cellStyle name="Normal 2 2 2 6 2 4 3 2 2" xfId="31489"/>
    <cellStyle name="Normal 2 2 2 6 2 4 3 3" xfId="31490"/>
    <cellStyle name="Normal 2 2 2 6 2 4 4" xfId="13515"/>
    <cellStyle name="Normal 2 2 2 6 2 4 4 2" xfId="13516"/>
    <cellStyle name="Normal 2 2 2 6 2 4 4 2 2" xfId="31491"/>
    <cellStyle name="Normal 2 2 2 6 2 4 4 3" xfId="31492"/>
    <cellStyle name="Normal 2 2 2 6 2 4 5" xfId="13517"/>
    <cellStyle name="Normal 2 2 2 6 2 4 5 2" xfId="31493"/>
    <cellStyle name="Normal 2 2 2 6 2 4 6" xfId="13518"/>
    <cellStyle name="Normal 2 2 2 6 2 5" xfId="13519"/>
    <cellStyle name="Normal 2 2 2 6 2 5 2" xfId="13520"/>
    <cellStyle name="Normal 2 2 2 6 2 5 2 2" xfId="31494"/>
    <cellStyle name="Normal 2 2 2 6 2 5 3" xfId="31495"/>
    <cellStyle name="Normal 2 2 2 6 2 6" xfId="13521"/>
    <cellStyle name="Normal 2 2 2 6 2 6 2" xfId="13522"/>
    <cellStyle name="Normal 2 2 2 6 2 6 2 2" xfId="31496"/>
    <cellStyle name="Normal 2 2 2 6 2 6 3" xfId="31497"/>
    <cellStyle name="Normal 2 2 2 6 2 7" xfId="13523"/>
    <cellStyle name="Normal 2 2 2 6 2 7 2" xfId="13524"/>
    <cellStyle name="Normal 2 2 2 6 2 7 2 2" xfId="31498"/>
    <cellStyle name="Normal 2 2 2 6 2 7 3" xfId="31499"/>
    <cellStyle name="Normal 2 2 2 6 2 8" xfId="13525"/>
    <cellStyle name="Normal 2 2 2 6 2 8 2" xfId="31500"/>
    <cellStyle name="Normal 2 2 2 6 2 9" xfId="13526"/>
    <cellStyle name="Normal 2 2 2 6 3" xfId="1055"/>
    <cellStyle name="Normal 2 2 2 6 3 2" xfId="1931"/>
    <cellStyle name="Normal 2 2 2 6 3 2 2" xfId="13527"/>
    <cellStyle name="Normal 2 2 2 6 3 2 2 2" xfId="13528"/>
    <cellStyle name="Normal 2 2 2 6 3 2 2 2 2" xfId="31501"/>
    <cellStyle name="Normal 2 2 2 6 3 2 2 3" xfId="31502"/>
    <cellStyle name="Normal 2 2 2 6 3 2 3" xfId="13529"/>
    <cellStyle name="Normal 2 2 2 6 3 2 3 2" xfId="13530"/>
    <cellStyle name="Normal 2 2 2 6 3 2 3 2 2" xfId="31503"/>
    <cellStyle name="Normal 2 2 2 6 3 2 3 3" xfId="31504"/>
    <cellStyle name="Normal 2 2 2 6 3 2 4" xfId="13531"/>
    <cellStyle name="Normal 2 2 2 6 3 2 4 2" xfId="13532"/>
    <cellStyle name="Normal 2 2 2 6 3 2 4 2 2" xfId="31505"/>
    <cellStyle name="Normal 2 2 2 6 3 2 4 3" xfId="31506"/>
    <cellStyle name="Normal 2 2 2 6 3 2 5" xfId="13533"/>
    <cellStyle name="Normal 2 2 2 6 3 2 5 2" xfId="31507"/>
    <cellStyle name="Normal 2 2 2 6 3 2 6" xfId="13534"/>
    <cellStyle name="Normal 2 2 2 6 3 3" xfId="13535"/>
    <cellStyle name="Normal 2 2 2 6 3 3 2" xfId="13536"/>
    <cellStyle name="Normal 2 2 2 6 3 3 2 2" xfId="31508"/>
    <cellStyle name="Normal 2 2 2 6 3 3 3" xfId="31509"/>
    <cellStyle name="Normal 2 2 2 6 3 4" xfId="13537"/>
    <cellStyle name="Normal 2 2 2 6 3 4 2" xfId="13538"/>
    <cellStyle name="Normal 2 2 2 6 3 4 2 2" xfId="31510"/>
    <cellStyle name="Normal 2 2 2 6 3 4 3" xfId="31511"/>
    <cellStyle name="Normal 2 2 2 6 3 5" xfId="13539"/>
    <cellStyle name="Normal 2 2 2 6 3 5 2" xfId="13540"/>
    <cellStyle name="Normal 2 2 2 6 3 5 2 2" xfId="31512"/>
    <cellStyle name="Normal 2 2 2 6 3 5 3" xfId="31513"/>
    <cellStyle name="Normal 2 2 2 6 3 6" xfId="13541"/>
    <cellStyle name="Normal 2 2 2 6 3 6 2" xfId="31514"/>
    <cellStyle name="Normal 2 2 2 6 3 7" xfId="13542"/>
    <cellStyle name="Normal 2 2 2 6 4" xfId="687"/>
    <cellStyle name="Normal 2 2 2 6 4 2" xfId="1932"/>
    <cellStyle name="Normal 2 2 2 6 4 2 2" xfId="13543"/>
    <cellStyle name="Normal 2 2 2 6 4 2 2 2" xfId="13544"/>
    <cellStyle name="Normal 2 2 2 6 4 2 2 2 2" xfId="31515"/>
    <cellStyle name="Normal 2 2 2 6 4 2 2 3" xfId="31516"/>
    <cellStyle name="Normal 2 2 2 6 4 2 3" xfId="13545"/>
    <cellStyle name="Normal 2 2 2 6 4 2 3 2" xfId="13546"/>
    <cellStyle name="Normal 2 2 2 6 4 2 3 2 2" xfId="31517"/>
    <cellStyle name="Normal 2 2 2 6 4 2 3 3" xfId="31518"/>
    <cellStyle name="Normal 2 2 2 6 4 2 4" xfId="13547"/>
    <cellStyle name="Normal 2 2 2 6 4 2 4 2" xfId="13548"/>
    <cellStyle name="Normal 2 2 2 6 4 2 4 2 2" xfId="31519"/>
    <cellStyle name="Normal 2 2 2 6 4 2 4 3" xfId="31520"/>
    <cellStyle name="Normal 2 2 2 6 4 2 5" xfId="13549"/>
    <cellStyle name="Normal 2 2 2 6 4 2 5 2" xfId="31521"/>
    <cellStyle name="Normal 2 2 2 6 4 2 6" xfId="13550"/>
    <cellStyle name="Normal 2 2 2 6 4 3" xfId="13551"/>
    <cellStyle name="Normal 2 2 2 6 4 3 2" xfId="13552"/>
    <cellStyle name="Normal 2 2 2 6 4 3 2 2" xfId="31522"/>
    <cellStyle name="Normal 2 2 2 6 4 3 3" xfId="31523"/>
    <cellStyle name="Normal 2 2 2 6 4 4" xfId="13553"/>
    <cellStyle name="Normal 2 2 2 6 4 4 2" xfId="13554"/>
    <cellStyle name="Normal 2 2 2 6 4 4 2 2" xfId="31524"/>
    <cellStyle name="Normal 2 2 2 6 4 4 3" xfId="31525"/>
    <cellStyle name="Normal 2 2 2 6 4 5" xfId="13555"/>
    <cellStyle name="Normal 2 2 2 6 4 5 2" xfId="13556"/>
    <cellStyle name="Normal 2 2 2 6 4 5 2 2" xfId="31526"/>
    <cellStyle name="Normal 2 2 2 6 4 5 3" xfId="31527"/>
    <cellStyle name="Normal 2 2 2 6 4 6" xfId="13557"/>
    <cellStyle name="Normal 2 2 2 6 4 6 2" xfId="31528"/>
    <cellStyle name="Normal 2 2 2 6 4 7" xfId="13558"/>
    <cellStyle name="Normal 2 2 2 6 5" xfId="1933"/>
    <cellStyle name="Normal 2 2 2 6 5 2" xfId="13559"/>
    <cellStyle name="Normal 2 2 2 6 5 2 2" xfId="13560"/>
    <cellStyle name="Normal 2 2 2 6 5 2 2 2" xfId="31529"/>
    <cellStyle name="Normal 2 2 2 6 5 2 3" xfId="31530"/>
    <cellStyle name="Normal 2 2 2 6 5 3" xfId="13561"/>
    <cellStyle name="Normal 2 2 2 6 5 3 2" xfId="13562"/>
    <cellStyle name="Normal 2 2 2 6 5 3 2 2" xfId="31531"/>
    <cellStyle name="Normal 2 2 2 6 5 3 3" xfId="31532"/>
    <cellStyle name="Normal 2 2 2 6 5 4" xfId="13563"/>
    <cellStyle name="Normal 2 2 2 6 5 4 2" xfId="13564"/>
    <cellStyle name="Normal 2 2 2 6 5 4 2 2" xfId="31533"/>
    <cellStyle name="Normal 2 2 2 6 5 4 3" xfId="31534"/>
    <cellStyle name="Normal 2 2 2 6 5 5" xfId="13565"/>
    <cellStyle name="Normal 2 2 2 6 5 5 2" xfId="31535"/>
    <cellStyle name="Normal 2 2 2 6 5 6" xfId="13566"/>
    <cellStyle name="Normal 2 2 2 6 6" xfId="13567"/>
    <cellStyle name="Normal 2 2 2 6 6 2" xfId="13568"/>
    <cellStyle name="Normal 2 2 2 6 6 2 2" xfId="31536"/>
    <cellStyle name="Normal 2 2 2 6 6 3" xfId="31537"/>
    <cellStyle name="Normal 2 2 2 6 7" xfId="13569"/>
    <cellStyle name="Normal 2 2 2 6 7 2" xfId="13570"/>
    <cellStyle name="Normal 2 2 2 6 7 2 2" xfId="31538"/>
    <cellStyle name="Normal 2 2 2 6 7 3" xfId="31539"/>
    <cellStyle name="Normal 2 2 2 6 8" xfId="13571"/>
    <cellStyle name="Normal 2 2 2 6 8 2" xfId="13572"/>
    <cellStyle name="Normal 2 2 2 6 8 2 2" xfId="31540"/>
    <cellStyle name="Normal 2 2 2 6 8 3" xfId="31541"/>
    <cellStyle name="Normal 2 2 2 6 9" xfId="13573"/>
    <cellStyle name="Normal 2 2 2 6 9 2" xfId="31542"/>
    <cellStyle name="Normal 2 2 2 7" xfId="142"/>
    <cellStyle name="Normal 2 2 2 7 2" xfId="930"/>
    <cellStyle name="Normal 2 2 2 7 2 2" xfId="1934"/>
    <cellStyle name="Normal 2 2 2 7 2 2 2" xfId="13574"/>
    <cellStyle name="Normal 2 2 2 7 2 2 2 2" xfId="13575"/>
    <cellStyle name="Normal 2 2 2 7 2 2 2 2 2" xfId="31543"/>
    <cellStyle name="Normal 2 2 2 7 2 2 2 3" xfId="31544"/>
    <cellStyle name="Normal 2 2 2 7 2 2 3" xfId="13576"/>
    <cellStyle name="Normal 2 2 2 7 2 2 3 2" xfId="13577"/>
    <cellStyle name="Normal 2 2 2 7 2 2 3 2 2" xfId="31545"/>
    <cellStyle name="Normal 2 2 2 7 2 2 3 3" xfId="31546"/>
    <cellStyle name="Normal 2 2 2 7 2 2 4" xfId="13578"/>
    <cellStyle name="Normal 2 2 2 7 2 2 4 2" xfId="13579"/>
    <cellStyle name="Normal 2 2 2 7 2 2 4 2 2" xfId="31547"/>
    <cellStyle name="Normal 2 2 2 7 2 2 4 3" xfId="31548"/>
    <cellStyle name="Normal 2 2 2 7 2 2 5" xfId="13580"/>
    <cellStyle name="Normal 2 2 2 7 2 2 5 2" xfId="31549"/>
    <cellStyle name="Normal 2 2 2 7 2 2 6" xfId="13581"/>
    <cellStyle name="Normal 2 2 2 7 2 3" xfId="13582"/>
    <cellStyle name="Normal 2 2 2 7 2 3 2" xfId="13583"/>
    <cellStyle name="Normal 2 2 2 7 2 3 2 2" xfId="31550"/>
    <cellStyle name="Normal 2 2 2 7 2 3 3" xfId="31551"/>
    <cellStyle name="Normal 2 2 2 7 2 4" xfId="13584"/>
    <cellStyle name="Normal 2 2 2 7 2 4 2" xfId="13585"/>
    <cellStyle name="Normal 2 2 2 7 2 4 2 2" xfId="31552"/>
    <cellStyle name="Normal 2 2 2 7 2 4 3" xfId="31553"/>
    <cellStyle name="Normal 2 2 2 7 2 5" xfId="13586"/>
    <cellStyle name="Normal 2 2 2 7 2 5 2" xfId="13587"/>
    <cellStyle name="Normal 2 2 2 7 2 5 2 2" xfId="31554"/>
    <cellStyle name="Normal 2 2 2 7 2 5 3" xfId="31555"/>
    <cellStyle name="Normal 2 2 2 7 2 6" xfId="13588"/>
    <cellStyle name="Normal 2 2 2 7 2 6 2" xfId="31556"/>
    <cellStyle name="Normal 2 2 2 7 2 7" xfId="13589"/>
    <cellStyle name="Normal 2 2 2 7 3" xfId="562"/>
    <cellStyle name="Normal 2 2 2 7 3 2" xfId="1935"/>
    <cellStyle name="Normal 2 2 2 7 3 2 2" xfId="13590"/>
    <cellStyle name="Normal 2 2 2 7 3 2 2 2" xfId="13591"/>
    <cellStyle name="Normal 2 2 2 7 3 2 2 2 2" xfId="31557"/>
    <cellStyle name="Normal 2 2 2 7 3 2 2 3" xfId="31558"/>
    <cellStyle name="Normal 2 2 2 7 3 2 3" xfId="13592"/>
    <cellStyle name="Normal 2 2 2 7 3 2 3 2" xfId="13593"/>
    <cellStyle name="Normal 2 2 2 7 3 2 3 2 2" xfId="31559"/>
    <cellStyle name="Normal 2 2 2 7 3 2 3 3" xfId="31560"/>
    <cellStyle name="Normal 2 2 2 7 3 2 4" xfId="13594"/>
    <cellStyle name="Normal 2 2 2 7 3 2 4 2" xfId="13595"/>
    <cellStyle name="Normal 2 2 2 7 3 2 4 2 2" xfId="31561"/>
    <cellStyle name="Normal 2 2 2 7 3 2 4 3" xfId="31562"/>
    <cellStyle name="Normal 2 2 2 7 3 2 5" xfId="13596"/>
    <cellStyle name="Normal 2 2 2 7 3 2 5 2" xfId="31563"/>
    <cellStyle name="Normal 2 2 2 7 3 2 6" xfId="13597"/>
    <cellStyle name="Normal 2 2 2 7 3 3" xfId="13598"/>
    <cellStyle name="Normal 2 2 2 7 3 3 2" xfId="13599"/>
    <cellStyle name="Normal 2 2 2 7 3 3 2 2" xfId="31564"/>
    <cellStyle name="Normal 2 2 2 7 3 3 3" xfId="31565"/>
    <cellStyle name="Normal 2 2 2 7 3 4" xfId="13600"/>
    <cellStyle name="Normal 2 2 2 7 3 4 2" xfId="13601"/>
    <cellStyle name="Normal 2 2 2 7 3 4 2 2" xfId="31566"/>
    <cellStyle name="Normal 2 2 2 7 3 4 3" xfId="31567"/>
    <cellStyle name="Normal 2 2 2 7 3 5" xfId="13602"/>
    <cellStyle name="Normal 2 2 2 7 3 5 2" xfId="13603"/>
    <cellStyle name="Normal 2 2 2 7 3 5 2 2" xfId="31568"/>
    <cellStyle name="Normal 2 2 2 7 3 5 3" xfId="31569"/>
    <cellStyle name="Normal 2 2 2 7 3 6" xfId="13604"/>
    <cellStyle name="Normal 2 2 2 7 3 6 2" xfId="31570"/>
    <cellStyle name="Normal 2 2 2 7 3 7" xfId="13605"/>
    <cellStyle name="Normal 2 2 2 7 4" xfId="1936"/>
    <cellStyle name="Normal 2 2 2 7 4 2" xfId="13606"/>
    <cellStyle name="Normal 2 2 2 7 4 2 2" xfId="13607"/>
    <cellStyle name="Normal 2 2 2 7 4 2 2 2" xfId="31571"/>
    <cellStyle name="Normal 2 2 2 7 4 2 3" xfId="31572"/>
    <cellStyle name="Normal 2 2 2 7 4 3" xfId="13608"/>
    <cellStyle name="Normal 2 2 2 7 4 3 2" xfId="13609"/>
    <cellStyle name="Normal 2 2 2 7 4 3 2 2" xfId="31573"/>
    <cellStyle name="Normal 2 2 2 7 4 3 3" xfId="31574"/>
    <cellStyle name="Normal 2 2 2 7 4 4" xfId="13610"/>
    <cellStyle name="Normal 2 2 2 7 4 4 2" xfId="13611"/>
    <cellStyle name="Normal 2 2 2 7 4 4 2 2" xfId="31575"/>
    <cellStyle name="Normal 2 2 2 7 4 4 3" xfId="31576"/>
    <cellStyle name="Normal 2 2 2 7 4 5" xfId="13612"/>
    <cellStyle name="Normal 2 2 2 7 4 5 2" xfId="31577"/>
    <cellStyle name="Normal 2 2 2 7 4 6" xfId="13613"/>
    <cellStyle name="Normal 2 2 2 7 5" xfId="13614"/>
    <cellStyle name="Normal 2 2 2 7 5 2" xfId="13615"/>
    <cellStyle name="Normal 2 2 2 7 5 2 2" xfId="31578"/>
    <cellStyle name="Normal 2 2 2 7 5 3" xfId="31579"/>
    <cellStyle name="Normal 2 2 2 7 6" xfId="13616"/>
    <cellStyle name="Normal 2 2 2 7 6 2" xfId="13617"/>
    <cellStyle name="Normal 2 2 2 7 6 2 2" xfId="31580"/>
    <cellStyle name="Normal 2 2 2 7 6 3" xfId="31581"/>
    <cellStyle name="Normal 2 2 2 7 7" xfId="13618"/>
    <cellStyle name="Normal 2 2 2 7 7 2" xfId="13619"/>
    <cellStyle name="Normal 2 2 2 7 7 2 2" xfId="31582"/>
    <cellStyle name="Normal 2 2 2 7 7 3" xfId="31583"/>
    <cellStyle name="Normal 2 2 2 7 8" xfId="13620"/>
    <cellStyle name="Normal 2 2 2 7 8 2" xfId="31584"/>
    <cellStyle name="Normal 2 2 2 7 9" xfId="13621"/>
    <cellStyle name="Normal 2 2 2 8" xfId="300"/>
    <cellStyle name="Normal 2 2 2 8 2" xfId="1088"/>
    <cellStyle name="Normal 2 2 2 8 2 2" xfId="1937"/>
    <cellStyle name="Normal 2 2 2 8 2 2 2" xfId="13622"/>
    <cellStyle name="Normal 2 2 2 8 2 2 2 2" xfId="13623"/>
    <cellStyle name="Normal 2 2 2 8 2 2 2 2 2" xfId="31585"/>
    <cellStyle name="Normal 2 2 2 8 2 2 2 3" xfId="31586"/>
    <cellStyle name="Normal 2 2 2 8 2 2 3" xfId="13624"/>
    <cellStyle name="Normal 2 2 2 8 2 2 3 2" xfId="13625"/>
    <cellStyle name="Normal 2 2 2 8 2 2 3 2 2" xfId="31587"/>
    <cellStyle name="Normal 2 2 2 8 2 2 3 3" xfId="31588"/>
    <cellStyle name="Normal 2 2 2 8 2 2 4" xfId="13626"/>
    <cellStyle name="Normal 2 2 2 8 2 2 4 2" xfId="13627"/>
    <cellStyle name="Normal 2 2 2 8 2 2 4 2 2" xfId="31589"/>
    <cellStyle name="Normal 2 2 2 8 2 2 4 3" xfId="31590"/>
    <cellStyle name="Normal 2 2 2 8 2 2 5" xfId="13628"/>
    <cellStyle name="Normal 2 2 2 8 2 2 5 2" xfId="31591"/>
    <cellStyle name="Normal 2 2 2 8 2 2 6" xfId="13629"/>
    <cellStyle name="Normal 2 2 2 8 2 3" xfId="13630"/>
    <cellStyle name="Normal 2 2 2 8 2 3 2" xfId="13631"/>
    <cellStyle name="Normal 2 2 2 8 2 3 2 2" xfId="31592"/>
    <cellStyle name="Normal 2 2 2 8 2 3 3" xfId="31593"/>
    <cellStyle name="Normal 2 2 2 8 2 4" xfId="13632"/>
    <cellStyle name="Normal 2 2 2 8 2 4 2" xfId="13633"/>
    <cellStyle name="Normal 2 2 2 8 2 4 2 2" xfId="31594"/>
    <cellStyle name="Normal 2 2 2 8 2 4 3" xfId="31595"/>
    <cellStyle name="Normal 2 2 2 8 2 5" xfId="13634"/>
    <cellStyle name="Normal 2 2 2 8 2 5 2" xfId="13635"/>
    <cellStyle name="Normal 2 2 2 8 2 5 2 2" xfId="31596"/>
    <cellStyle name="Normal 2 2 2 8 2 5 3" xfId="31597"/>
    <cellStyle name="Normal 2 2 2 8 2 6" xfId="13636"/>
    <cellStyle name="Normal 2 2 2 8 2 6 2" xfId="31598"/>
    <cellStyle name="Normal 2 2 2 8 2 7" xfId="13637"/>
    <cellStyle name="Normal 2 2 2 8 3" xfId="720"/>
    <cellStyle name="Normal 2 2 2 8 3 2" xfId="1938"/>
    <cellStyle name="Normal 2 2 2 8 3 2 2" xfId="13638"/>
    <cellStyle name="Normal 2 2 2 8 3 2 2 2" xfId="13639"/>
    <cellStyle name="Normal 2 2 2 8 3 2 2 2 2" xfId="31599"/>
    <cellStyle name="Normal 2 2 2 8 3 2 2 3" xfId="31600"/>
    <cellStyle name="Normal 2 2 2 8 3 2 3" xfId="13640"/>
    <cellStyle name="Normal 2 2 2 8 3 2 3 2" xfId="13641"/>
    <cellStyle name="Normal 2 2 2 8 3 2 3 2 2" xfId="31601"/>
    <cellStyle name="Normal 2 2 2 8 3 2 3 3" xfId="31602"/>
    <cellStyle name="Normal 2 2 2 8 3 2 4" xfId="13642"/>
    <cellStyle name="Normal 2 2 2 8 3 2 4 2" xfId="13643"/>
    <cellStyle name="Normal 2 2 2 8 3 2 4 2 2" xfId="31603"/>
    <cellStyle name="Normal 2 2 2 8 3 2 4 3" xfId="31604"/>
    <cellStyle name="Normal 2 2 2 8 3 2 5" xfId="13644"/>
    <cellStyle name="Normal 2 2 2 8 3 2 5 2" xfId="31605"/>
    <cellStyle name="Normal 2 2 2 8 3 2 6" xfId="13645"/>
    <cellStyle name="Normal 2 2 2 8 3 3" xfId="13646"/>
    <cellStyle name="Normal 2 2 2 8 3 3 2" xfId="13647"/>
    <cellStyle name="Normal 2 2 2 8 3 3 2 2" xfId="31606"/>
    <cellStyle name="Normal 2 2 2 8 3 3 3" xfId="31607"/>
    <cellStyle name="Normal 2 2 2 8 3 4" xfId="13648"/>
    <cellStyle name="Normal 2 2 2 8 3 4 2" xfId="13649"/>
    <cellStyle name="Normal 2 2 2 8 3 4 2 2" xfId="31608"/>
    <cellStyle name="Normal 2 2 2 8 3 4 3" xfId="31609"/>
    <cellStyle name="Normal 2 2 2 8 3 5" xfId="13650"/>
    <cellStyle name="Normal 2 2 2 8 3 5 2" xfId="13651"/>
    <cellStyle name="Normal 2 2 2 8 3 5 2 2" xfId="31610"/>
    <cellStyle name="Normal 2 2 2 8 3 5 3" xfId="31611"/>
    <cellStyle name="Normal 2 2 2 8 3 6" xfId="13652"/>
    <cellStyle name="Normal 2 2 2 8 3 6 2" xfId="31612"/>
    <cellStyle name="Normal 2 2 2 8 3 7" xfId="13653"/>
    <cellStyle name="Normal 2 2 2 8 4" xfId="1939"/>
    <cellStyle name="Normal 2 2 2 8 4 2" xfId="13654"/>
    <cellStyle name="Normal 2 2 2 8 4 2 2" xfId="13655"/>
    <cellStyle name="Normal 2 2 2 8 4 2 2 2" xfId="31613"/>
    <cellStyle name="Normal 2 2 2 8 4 2 3" xfId="31614"/>
    <cellStyle name="Normal 2 2 2 8 4 3" xfId="13656"/>
    <cellStyle name="Normal 2 2 2 8 4 3 2" xfId="13657"/>
    <cellStyle name="Normal 2 2 2 8 4 3 2 2" xfId="31615"/>
    <cellStyle name="Normal 2 2 2 8 4 3 3" xfId="31616"/>
    <cellStyle name="Normal 2 2 2 8 4 4" xfId="13658"/>
    <cellStyle name="Normal 2 2 2 8 4 4 2" xfId="13659"/>
    <cellStyle name="Normal 2 2 2 8 4 4 2 2" xfId="31617"/>
    <cellStyle name="Normal 2 2 2 8 4 4 3" xfId="31618"/>
    <cellStyle name="Normal 2 2 2 8 4 5" xfId="13660"/>
    <cellStyle name="Normal 2 2 2 8 4 5 2" xfId="31619"/>
    <cellStyle name="Normal 2 2 2 8 4 6" xfId="13661"/>
    <cellStyle name="Normal 2 2 2 8 5" xfId="13662"/>
    <cellStyle name="Normal 2 2 2 8 5 2" xfId="13663"/>
    <cellStyle name="Normal 2 2 2 8 5 2 2" xfId="31620"/>
    <cellStyle name="Normal 2 2 2 8 5 3" xfId="31621"/>
    <cellStyle name="Normal 2 2 2 8 6" xfId="13664"/>
    <cellStyle name="Normal 2 2 2 8 6 2" xfId="13665"/>
    <cellStyle name="Normal 2 2 2 8 6 2 2" xfId="31622"/>
    <cellStyle name="Normal 2 2 2 8 6 3" xfId="31623"/>
    <cellStyle name="Normal 2 2 2 8 7" xfId="13666"/>
    <cellStyle name="Normal 2 2 2 8 7 2" xfId="13667"/>
    <cellStyle name="Normal 2 2 2 8 7 2 2" xfId="31624"/>
    <cellStyle name="Normal 2 2 2 8 7 3" xfId="31625"/>
    <cellStyle name="Normal 2 2 2 8 8" xfId="13668"/>
    <cellStyle name="Normal 2 2 2 8 8 2" xfId="31626"/>
    <cellStyle name="Normal 2 2 2 8 9" xfId="13669"/>
    <cellStyle name="Normal 2 2 2 9" xfId="89"/>
    <cellStyle name="Normal 2 2 2 9 2" xfId="510"/>
    <cellStyle name="Normal 2 2 2 9 2 2" xfId="1940"/>
    <cellStyle name="Normal 2 2 2 9 2 2 2" xfId="13670"/>
    <cellStyle name="Normal 2 2 2 9 2 2 2 2" xfId="13671"/>
    <cellStyle name="Normal 2 2 2 9 2 2 2 2 2" xfId="31627"/>
    <cellStyle name="Normal 2 2 2 9 2 2 2 3" xfId="31628"/>
    <cellStyle name="Normal 2 2 2 9 2 2 3" xfId="13672"/>
    <cellStyle name="Normal 2 2 2 9 2 2 3 2" xfId="13673"/>
    <cellStyle name="Normal 2 2 2 9 2 2 3 2 2" xfId="31629"/>
    <cellStyle name="Normal 2 2 2 9 2 2 3 3" xfId="31630"/>
    <cellStyle name="Normal 2 2 2 9 2 2 4" xfId="13674"/>
    <cellStyle name="Normal 2 2 2 9 2 2 4 2" xfId="13675"/>
    <cellStyle name="Normal 2 2 2 9 2 2 4 2 2" xfId="31631"/>
    <cellStyle name="Normal 2 2 2 9 2 2 4 3" xfId="31632"/>
    <cellStyle name="Normal 2 2 2 9 2 2 5" xfId="13676"/>
    <cellStyle name="Normal 2 2 2 9 2 2 5 2" xfId="31633"/>
    <cellStyle name="Normal 2 2 2 9 2 2 6" xfId="13677"/>
    <cellStyle name="Normal 2 2 2 9 2 3" xfId="13678"/>
    <cellStyle name="Normal 2 2 2 9 2 3 2" xfId="13679"/>
    <cellStyle name="Normal 2 2 2 9 2 3 2 2" xfId="31634"/>
    <cellStyle name="Normal 2 2 2 9 2 3 3" xfId="31635"/>
    <cellStyle name="Normal 2 2 2 9 2 4" xfId="13680"/>
    <cellStyle name="Normal 2 2 2 9 2 4 2" xfId="13681"/>
    <cellStyle name="Normal 2 2 2 9 2 4 2 2" xfId="31636"/>
    <cellStyle name="Normal 2 2 2 9 2 4 3" xfId="31637"/>
    <cellStyle name="Normal 2 2 2 9 2 5" xfId="13682"/>
    <cellStyle name="Normal 2 2 2 9 2 5 2" xfId="13683"/>
    <cellStyle name="Normal 2 2 2 9 2 5 2 2" xfId="31638"/>
    <cellStyle name="Normal 2 2 2 9 2 5 3" xfId="31639"/>
    <cellStyle name="Normal 2 2 2 9 2 6" xfId="13684"/>
    <cellStyle name="Normal 2 2 2 9 2 6 2" xfId="31640"/>
    <cellStyle name="Normal 2 2 2 9 2 7" xfId="13685"/>
    <cellStyle name="Normal 2 2 2 9 3" xfId="1941"/>
    <cellStyle name="Normal 2 2 2 9 3 2" xfId="13686"/>
    <cellStyle name="Normal 2 2 2 9 3 2 2" xfId="13687"/>
    <cellStyle name="Normal 2 2 2 9 3 2 2 2" xfId="31641"/>
    <cellStyle name="Normal 2 2 2 9 3 2 3" xfId="31642"/>
    <cellStyle name="Normal 2 2 2 9 3 3" xfId="13688"/>
    <cellStyle name="Normal 2 2 2 9 3 3 2" xfId="13689"/>
    <cellStyle name="Normal 2 2 2 9 3 3 2 2" xfId="31643"/>
    <cellStyle name="Normal 2 2 2 9 3 3 3" xfId="31644"/>
    <cellStyle name="Normal 2 2 2 9 3 4" xfId="13690"/>
    <cellStyle name="Normal 2 2 2 9 3 4 2" xfId="13691"/>
    <cellStyle name="Normal 2 2 2 9 3 4 2 2" xfId="31645"/>
    <cellStyle name="Normal 2 2 2 9 3 4 3" xfId="31646"/>
    <cellStyle name="Normal 2 2 2 9 3 5" xfId="13692"/>
    <cellStyle name="Normal 2 2 2 9 3 5 2" xfId="31647"/>
    <cellStyle name="Normal 2 2 2 9 3 6" xfId="13693"/>
    <cellStyle name="Normal 2 2 2 9 4" xfId="13694"/>
    <cellStyle name="Normal 2 2 2 9 4 2" xfId="13695"/>
    <cellStyle name="Normal 2 2 2 9 4 2 2" xfId="31648"/>
    <cellStyle name="Normal 2 2 2 9 4 3" xfId="31649"/>
    <cellStyle name="Normal 2 2 2 9 5" xfId="13696"/>
    <cellStyle name="Normal 2 2 2 9 5 2" xfId="13697"/>
    <cellStyle name="Normal 2 2 2 9 5 2 2" xfId="31650"/>
    <cellStyle name="Normal 2 2 2 9 5 3" xfId="31651"/>
    <cellStyle name="Normal 2 2 2 9 6" xfId="13698"/>
    <cellStyle name="Normal 2 2 2 9 6 2" xfId="13699"/>
    <cellStyle name="Normal 2 2 2 9 6 2 2" xfId="31652"/>
    <cellStyle name="Normal 2 2 2 9 6 3" xfId="31653"/>
    <cellStyle name="Normal 2 2 2 9 7" xfId="13700"/>
    <cellStyle name="Normal 2 2 2 9 7 2" xfId="31654"/>
    <cellStyle name="Normal 2 2 2 9 8" xfId="13701"/>
    <cellStyle name="Normal 2 2 3" xfId="52"/>
    <cellStyle name="Normal 2 2 3 10" xfId="486"/>
    <cellStyle name="Normal 2 2 3 10 2" xfId="1942"/>
    <cellStyle name="Normal 2 2 3 10 2 2" xfId="13702"/>
    <cellStyle name="Normal 2 2 3 10 2 2 2" xfId="13703"/>
    <cellStyle name="Normal 2 2 3 10 2 2 2 2" xfId="31655"/>
    <cellStyle name="Normal 2 2 3 10 2 2 3" xfId="31656"/>
    <cellStyle name="Normal 2 2 3 10 2 3" xfId="13704"/>
    <cellStyle name="Normal 2 2 3 10 2 3 2" xfId="13705"/>
    <cellStyle name="Normal 2 2 3 10 2 3 2 2" xfId="31657"/>
    <cellStyle name="Normal 2 2 3 10 2 3 3" xfId="31658"/>
    <cellStyle name="Normal 2 2 3 10 2 4" xfId="13706"/>
    <cellStyle name="Normal 2 2 3 10 2 4 2" xfId="13707"/>
    <cellStyle name="Normal 2 2 3 10 2 4 2 2" xfId="31659"/>
    <cellStyle name="Normal 2 2 3 10 2 4 3" xfId="31660"/>
    <cellStyle name="Normal 2 2 3 10 2 5" xfId="13708"/>
    <cellStyle name="Normal 2 2 3 10 2 5 2" xfId="31661"/>
    <cellStyle name="Normal 2 2 3 10 2 6" xfId="13709"/>
    <cellStyle name="Normal 2 2 3 10 3" xfId="13710"/>
    <cellStyle name="Normal 2 2 3 10 3 2" xfId="13711"/>
    <cellStyle name="Normal 2 2 3 10 3 2 2" xfId="31662"/>
    <cellStyle name="Normal 2 2 3 10 3 3" xfId="31663"/>
    <cellStyle name="Normal 2 2 3 10 4" xfId="13712"/>
    <cellStyle name="Normal 2 2 3 10 4 2" xfId="13713"/>
    <cellStyle name="Normal 2 2 3 10 4 2 2" xfId="31664"/>
    <cellStyle name="Normal 2 2 3 10 4 3" xfId="31665"/>
    <cellStyle name="Normal 2 2 3 10 5" xfId="13714"/>
    <cellStyle name="Normal 2 2 3 10 5 2" xfId="13715"/>
    <cellStyle name="Normal 2 2 3 10 5 2 2" xfId="31666"/>
    <cellStyle name="Normal 2 2 3 10 5 3" xfId="31667"/>
    <cellStyle name="Normal 2 2 3 10 6" xfId="13716"/>
    <cellStyle name="Normal 2 2 3 10 6 2" xfId="31668"/>
    <cellStyle name="Normal 2 2 3 10 7" xfId="13717"/>
    <cellStyle name="Normal 2 2 3 11" xfId="1943"/>
    <cellStyle name="Normal 2 2 3 11 2" xfId="13718"/>
    <cellStyle name="Normal 2 2 3 11 2 2" xfId="13719"/>
    <cellStyle name="Normal 2 2 3 11 2 2 2" xfId="31669"/>
    <cellStyle name="Normal 2 2 3 11 2 3" xfId="31670"/>
    <cellStyle name="Normal 2 2 3 11 3" xfId="13720"/>
    <cellStyle name="Normal 2 2 3 11 3 2" xfId="13721"/>
    <cellStyle name="Normal 2 2 3 11 3 2 2" xfId="31671"/>
    <cellStyle name="Normal 2 2 3 11 3 3" xfId="31672"/>
    <cellStyle name="Normal 2 2 3 11 4" xfId="13722"/>
    <cellStyle name="Normal 2 2 3 11 4 2" xfId="13723"/>
    <cellStyle name="Normal 2 2 3 11 4 2 2" xfId="31673"/>
    <cellStyle name="Normal 2 2 3 11 4 3" xfId="31674"/>
    <cellStyle name="Normal 2 2 3 11 5" xfId="13724"/>
    <cellStyle name="Normal 2 2 3 11 5 2" xfId="31675"/>
    <cellStyle name="Normal 2 2 3 11 6" xfId="13725"/>
    <cellStyle name="Normal 2 2 3 12" xfId="13726"/>
    <cellStyle name="Normal 2 2 3 12 2" xfId="13727"/>
    <cellStyle name="Normal 2 2 3 12 2 2" xfId="31676"/>
    <cellStyle name="Normal 2 2 3 12 3" xfId="31677"/>
    <cellStyle name="Normal 2 2 3 13" xfId="13728"/>
    <cellStyle name="Normal 2 2 3 13 2" xfId="13729"/>
    <cellStyle name="Normal 2 2 3 13 2 2" xfId="31678"/>
    <cellStyle name="Normal 2 2 3 13 3" xfId="31679"/>
    <cellStyle name="Normal 2 2 3 14" xfId="13730"/>
    <cellStyle name="Normal 2 2 3 14 2" xfId="13731"/>
    <cellStyle name="Normal 2 2 3 14 2 2" xfId="31680"/>
    <cellStyle name="Normal 2 2 3 14 3" xfId="31681"/>
    <cellStyle name="Normal 2 2 3 15" xfId="13732"/>
    <cellStyle name="Normal 2 2 3 15 2" xfId="31682"/>
    <cellStyle name="Normal 2 2 3 16" xfId="13733"/>
    <cellStyle name="Normal 2 2 3 2" xfId="53"/>
    <cellStyle name="Normal 2 2 3 2 10" xfId="13734"/>
    <cellStyle name="Normal 2 2 3 2 10 2" xfId="13735"/>
    <cellStyle name="Normal 2 2 3 2 10 2 2" xfId="31683"/>
    <cellStyle name="Normal 2 2 3 2 10 3" xfId="31684"/>
    <cellStyle name="Normal 2 2 3 2 11" xfId="13736"/>
    <cellStyle name="Normal 2 2 3 2 11 2" xfId="13737"/>
    <cellStyle name="Normal 2 2 3 2 11 2 2" xfId="31685"/>
    <cellStyle name="Normal 2 2 3 2 11 3" xfId="31686"/>
    <cellStyle name="Normal 2 2 3 2 12" xfId="13738"/>
    <cellStyle name="Normal 2 2 3 2 12 2" xfId="13739"/>
    <cellStyle name="Normal 2 2 3 2 12 2 2" xfId="31687"/>
    <cellStyle name="Normal 2 2 3 2 12 3" xfId="31688"/>
    <cellStyle name="Normal 2 2 3 2 13" xfId="13740"/>
    <cellStyle name="Normal 2 2 3 2 13 2" xfId="31689"/>
    <cellStyle name="Normal 2 2 3 2 14" xfId="13741"/>
    <cellStyle name="Normal 2 2 3 2 2" xfId="223"/>
    <cellStyle name="Normal 2 2 3 2 2 10" xfId="13742"/>
    <cellStyle name="Normal 2 2 3 2 2 2" xfId="381"/>
    <cellStyle name="Normal 2 2 3 2 2 2 2" xfId="1169"/>
    <cellStyle name="Normal 2 2 3 2 2 2 2 2" xfId="1944"/>
    <cellStyle name="Normal 2 2 3 2 2 2 2 2 2" xfId="13743"/>
    <cellStyle name="Normal 2 2 3 2 2 2 2 2 2 2" xfId="13744"/>
    <cellStyle name="Normal 2 2 3 2 2 2 2 2 2 2 2" xfId="31690"/>
    <cellStyle name="Normal 2 2 3 2 2 2 2 2 2 3" xfId="31691"/>
    <cellStyle name="Normal 2 2 3 2 2 2 2 2 3" xfId="13745"/>
    <cellStyle name="Normal 2 2 3 2 2 2 2 2 3 2" xfId="13746"/>
    <cellStyle name="Normal 2 2 3 2 2 2 2 2 3 2 2" xfId="31692"/>
    <cellStyle name="Normal 2 2 3 2 2 2 2 2 3 3" xfId="31693"/>
    <cellStyle name="Normal 2 2 3 2 2 2 2 2 4" xfId="13747"/>
    <cellStyle name="Normal 2 2 3 2 2 2 2 2 4 2" xfId="13748"/>
    <cellStyle name="Normal 2 2 3 2 2 2 2 2 4 2 2" xfId="31694"/>
    <cellStyle name="Normal 2 2 3 2 2 2 2 2 4 3" xfId="31695"/>
    <cellStyle name="Normal 2 2 3 2 2 2 2 2 5" xfId="13749"/>
    <cellStyle name="Normal 2 2 3 2 2 2 2 2 5 2" xfId="31696"/>
    <cellStyle name="Normal 2 2 3 2 2 2 2 2 6" xfId="13750"/>
    <cellStyle name="Normal 2 2 3 2 2 2 2 3" xfId="13751"/>
    <cellStyle name="Normal 2 2 3 2 2 2 2 3 2" xfId="13752"/>
    <cellStyle name="Normal 2 2 3 2 2 2 2 3 2 2" xfId="31697"/>
    <cellStyle name="Normal 2 2 3 2 2 2 2 3 3" xfId="31698"/>
    <cellStyle name="Normal 2 2 3 2 2 2 2 4" xfId="13753"/>
    <cellStyle name="Normal 2 2 3 2 2 2 2 4 2" xfId="13754"/>
    <cellStyle name="Normal 2 2 3 2 2 2 2 4 2 2" xfId="31699"/>
    <cellStyle name="Normal 2 2 3 2 2 2 2 4 3" xfId="31700"/>
    <cellStyle name="Normal 2 2 3 2 2 2 2 5" xfId="13755"/>
    <cellStyle name="Normal 2 2 3 2 2 2 2 5 2" xfId="13756"/>
    <cellStyle name="Normal 2 2 3 2 2 2 2 5 2 2" xfId="31701"/>
    <cellStyle name="Normal 2 2 3 2 2 2 2 5 3" xfId="31702"/>
    <cellStyle name="Normal 2 2 3 2 2 2 2 6" xfId="13757"/>
    <cellStyle name="Normal 2 2 3 2 2 2 2 6 2" xfId="31703"/>
    <cellStyle name="Normal 2 2 3 2 2 2 2 7" xfId="13758"/>
    <cellStyle name="Normal 2 2 3 2 2 2 3" xfId="801"/>
    <cellStyle name="Normal 2 2 3 2 2 2 3 2" xfId="1945"/>
    <cellStyle name="Normal 2 2 3 2 2 2 3 2 2" xfId="13759"/>
    <cellStyle name="Normal 2 2 3 2 2 2 3 2 2 2" xfId="13760"/>
    <cellStyle name="Normal 2 2 3 2 2 2 3 2 2 2 2" xfId="31704"/>
    <cellStyle name="Normal 2 2 3 2 2 2 3 2 2 3" xfId="31705"/>
    <cellStyle name="Normal 2 2 3 2 2 2 3 2 3" xfId="13761"/>
    <cellStyle name="Normal 2 2 3 2 2 2 3 2 3 2" xfId="13762"/>
    <cellStyle name="Normal 2 2 3 2 2 2 3 2 3 2 2" xfId="31706"/>
    <cellStyle name="Normal 2 2 3 2 2 2 3 2 3 3" xfId="31707"/>
    <cellStyle name="Normal 2 2 3 2 2 2 3 2 4" xfId="13763"/>
    <cellStyle name="Normal 2 2 3 2 2 2 3 2 4 2" xfId="13764"/>
    <cellStyle name="Normal 2 2 3 2 2 2 3 2 4 2 2" xfId="31708"/>
    <cellStyle name="Normal 2 2 3 2 2 2 3 2 4 3" xfId="31709"/>
    <cellStyle name="Normal 2 2 3 2 2 2 3 2 5" xfId="13765"/>
    <cellStyle name="Normal 2 2 3 2 2 2 3 2 5 2" xfId="31710"/>
    <cellStyle name="Normal 2 2 3 2 2 2 3 2 6" xfId="13766"/>
    <cellStyle name="Normal 2 2 3 2 2 2 3 3" xfId="13767"/>
    <cellStyle name="Normal 2 2 3 2 2 2 3 3 2" xfId="13768"/>
    <cellStyle name="Normal 2 2 3 2 2 2 3 3 2 2" xfId="31711"/>
    <cellStyle name="Normal 2 2 3 2 2 2 3 3 3" xfId="31712"/>
    <cellStyle name="Normal 2 2 3 2 2 2 3 4" xfId="13769"/>
    <cellStyle name="Normal 2 2 3 2 2 2 3 4 2" xfId="13770"/>
    <cellStyle name="Normal 2 2 3 2 2 2 3 4 2 2" xfId="31713"/>
    <cellStyle name="Normal 2 2 3 2 2 2 3 4 3" xfId="31714"/>
    <cellStyle name="Normal 2 2 3 2 2 2 3 5" xfId="13771"/>
    <cellStyle name="Normal 2 2 3 2 2 2 3 5 2" xfId="13772"/>
    <cellStyle name="Normal 2 2 3 2 2 2 3 5 2 2" xfId="31715"/>
    <cellStyle name="Normal 2 2 3 2 2 2 3 5 3" xfId="31716"/>
    <cellStyle name="Normal 2 2 3 2 2 2 3 6" xfId="13773"/>
    <cellStyle name="Normal 2 2 3 2 2 2 3 6 2" xfId="31717"/>
    <cellStyle name="Normal 2 2 3 2 2 2 3 7" xfId="13774"/>
    <cellStyle name="Normal 2 2 3 2 2 2 4" xfId="1946"/>
    <cellStyle name="Normal 2 2 3 2 2 2 4 2" xfId="13775"/>
    <cellStyle name="Normal 2 2 3 2 2 2 4 2 2" xfId="13776"/>
    <cellStyle name="Normal 2 2 3 2 2 2 4 2 2 2" xfId="31718"/>
    <cellStyle name="Normal 2 2 3 2 2 2 4 2 3" xfId="31719"/>
    <cellStyle name="Normal 2 2 3 2 2 2 4 3" xfId="13777"/>
    <cellStyle name="Normal 2 2 3 2 2 2 4 3 2" xfId="13778"/>
    <cellStyle name="Normal 2 2 3 2 2 2 4 3 2 2" xfId="31720"/>
    <cellStyle name="Normal 2 2 3 2 2 2 4 3 3" xfId="31721"/>
    <cellStyle name="Normal 2 2 3 2 2 2 4 4" xfId="13779"/>
    <cellStyle name="Normal 2 2 3 2 2 2 4 4 2" xfId="13780"/>
    <cellStyle name="Normal 2 2 3 2 2 2 4 4 2 2" xfId="31722"/>
    <cellStyle name="Normal 2 2 3 2 2 2 4 4 3" xfId="31723"/>
    <cellStyle name="Normal 2 2 3 2 2 2 4 5" xfId="13781"/>
    <cellStyle name="Normal 2 2 3 2 2 2 4 5 2" xfId="31724"/>
    <cellStyle name="Normal 2 2 3 2 2 2 4 6" xfId="13782"/>
    <cellStyle name="Normal 2 2 3 2 2 2 5" xfId="13783"/>
    <cellStyle name="Normal 2 2 3 2 2 2 5 2" xfId="13784"/>
    <cellStyle name="Normal 2 2 3 2 2 2 5 2 2" xfId="31725"/>
    <cellStyle name="Normal 2 2 3 2 2 2 5 3" xfId="31726"/>
    <cellStyle name="Normal 2 2 3 2 2 2 6" xfId="13785"/>
    <cellStyle name="Normal 2 2 3 2 2 2 6 2" xfId="13786"/>
    <cellStyle name="Normal 2 2 3 2 2 2 6 2 2" xfId="31727"/>
    <cellStyle name="Normal 2 2 3 2 2 2 6 3" xfId="31728"/>
    <cellStyle name="Normal 2 2 3 2 2 2 7" xfId="13787"/>
    <cellStyle name="Normal 2 2 3 2 2 2 7 2" xfId="13788"/>
    <cellStyle name="Normal 2 2 3 2 2 2 7 2 2" xfId="31729"/>
    <cellStyle name="Normal 2 2 3 2 2 2 7 3" xfId="31730"/>
    <cellStyle name="Normal 2 2 3 2 2 2 8" xfId="13789"/>
    <cellStyle name="Normal 2 2 3 2 2 2 8 2" xfId="31731"/>
    <cellStyle name="Normal 2 2 3 2 2 2 9" xfId="13790"/>
    <cellStyle name="Normal 2 2 3 2 2 3" xfId="1011"/>
    <cellStyle name="Normal 2 2 3 2 2 3 2" xfId="1947"/>
    <cellStyle name="Normal 2 2 3 2 2 3 2 2" xfId="13791"/>
    <cellStyle name="Normal 2 2 3 2 2 3 2 2 2" xfId="13792"/>
    <cellStyle name="Normal 2 2 3 2 2 3 2 2 2 2" xfId="31732"/>
    <cellStyle name="Normal 2 2 3 2 2 3 2 2 3" xfId="31733"/>
    <cellStyle name="Normal 2 2 3 2 2 3 2 3" xfId="13793"/>
    <cellStyle name="Normal 2 2 3 2 2 3 2 3 2" xfId="13794"/>
    <cellStyle name="Normal 2 2 3 2 2 3 2 3 2 2" xfId="31734"/>
    <cellStyle name="Normal 2 2 3 2 2 3 2 3 3" xfId="31735"/>
    <cellStyle name="Normal 2 2 3 2 2 3 2 4" xfId="13795"/>
    <cellStyle name="Normal 2 2 3 2 2 3 2 4 2" xfId="13796"/>
    <cellStyle name="Normal 2 2 3 2 2 3 2 4 2 2" xfId="31736"/>
    <cellStyle name="Normal 2 2 3 2 2 3 2 4 3" xfId="31737"/>
    <cellStyle name="Normal 2 2 3 2 2 3 2 5" xfId="13797"/>
    <cellStyle name="Normal 2 2 3 2 2 3 2 5 2" xfId="31738"/>
    <cellStyle name="Normal 2 2 3 2 2 3 2 6" xfId="13798"/>
    <cellStyle name="Normal 2 2 3 2 2 3 3" xfId="13799"/>
    <cellStyle name="Normal 2 2 3 2 2 3 3 2" xfId="13800"/>
    <cellStyle name="Normal 2 2 3 2 2 3 3 2 2" xfId="31739"/>
    <cellStyle name="Normal 2 2 3 2 2 3 3 3" xfId="31740"/>
    <cellStyle name="Normal 2 2 3 2 2 3 4" xfId="13801"/>
    <cellStyle name="Normal 2 2 3 2 2 3 4 2" xfId="13802"/>
    <cellStyle name="Normal 2 2 3 2 2 3 4 2 2" xfId="31741"/>
    <cellStyle name="Normal 2 2 3 2 2 3 4 3" xfId="31742"/>
    <cellStyle name="Normal 2 2 3 2 2 3 5" xfId="13803"/>
    <cellStyle name="Normal 2 2 3 2 2 3 5 2" xfId="13804"/>
    <cellStyle name="Normal 2 2 3 2 2 3 5 2 2" xfId="31743"/>
    <cellStyle name="Normal 2 2 3 2 2 3 5 3" xfId="31744"/>
    <cellStyle name="Normal 2 2 3 2 2 3 6" xfId="13805"/>
    <cellStyle name="Normal 2 2 3 2 2 3 6 2" xfId="31745"/>
    <cellStyle name="Normal 2 2 3 2 2 3 7" xfId="13806"/>
    <cellStyle name="Normal 2 2 3 2 2 4" xfId="643"/>
    <cellStyle name="Normal 2 2 3 2 2 4 2" xfId="1948"/>
    <cellStyle name="Normal 2 2 3 2 2 4 2 2" xfId="13807"/>
    <cellStyle name="Normal 2 2 3 2 2 4 2 2 2" xfId="13808"/>
    <cellStyle name="Normal 2 2 3 2 2 4 2 2 2 2" xfId="31746"/>
    <cellStyle name="Normal 2 2 3 2 2 4 2 2 3" xfId="31747"/>
    <cellStyle name="Normal 2 2 3 2 2 4 2 3" xfId="13809"/>
    <cellStyle name="Normal 2 2 3 2 2 4 2 3 2" xfId="13810"/>
    <cellStyle name="Normal 2 2 3 2 2 4 2 3 2 2" xfId="31748"/>
    <cellStyle name="Normal 2 2 3 2 2 4 2 3 3" xfId="31749"/>
    <cellStyle name="Normal 2 2 3 2 2 4 2 4" xfId="13811"/>
    <cellStyle name="Normal 2 2 3 2 2 4 2 4 2" xfId="13812"/>
    <cellStyle name="Normal 2 2 3 2 2 4 2 4 2 2" xfId="31750"/>
    <cellStyle name="Normal 2 2 3 2 2 4 2 4 3" xfId="31751"/>
    <cellStyle name="Normal 2 2 3 2 2 4 2 5" xfId="13813"/>
    <cellStyle name="Normal 2 2 3 2 2 4 2 5 2" xfId="31752"/>
    <cellStyle name="Normal 2 2 3 2 2 4 2 6" xfId="13814"/>
    <cellStyle name="Normal 2 2 3 2 2 4 3" xfId="13815"/>
    <cellStyle name="Normal 2 2 3 2 2 4 3 2" xfId="13816"/>
    <cellStyle name="Normal 2 2 3 2 2 4 3 2 2" xfId="31753"/>
    <cellStyle name="Normal 2 2 3 2 2 4 3 3" xfId="31754"/>
    <cellStyle name="Normal 2 2 3 2 2 4 4" xfId="13817"/>
    <cellStyle name="Normal 2 2 3 2 2 4 4 2" xfId="13818"/>
    <cellStyle name="Normal 2 2 3 2 2 4 4 2 2" xfId="31755"/>
    <cellStyle name="Normal 2 2 3 2 2 4 4 3" xfId="31756"/>
    <cellStyle name="Normal 2 2 3 2 2 4 5" xfId="13819"/>
    <cellStyle name="Normal 2 2 3 2 2 4 5 2" xfId="13820"/>
    <cellStyle name="Normal 2 2 3 2 2 4 5 2 2" xfId="31757"/>
    <cellStyle name="Normal 2 2 3 2 2 4 5 3" xfId="31758"/>
    <cellStyle name="Normal 2 2 3 2 2 4 6" xfId="13821"/>
    <cellStyle name="Normal 2 2 3 2 2 4 6 2" xfId="31759"/>
    <cellStyle name="Normal 2 2 3 2 2 4 7" xfId="13822"/>
    <cellStyle name="Normal 2 2 3 2 2 5" xfId="1949"/>
    <cellStyle name="Normal 2 2 3 2 2 5 2" xfId="13823"/>
    <cellStyle name="Normal 2 2 3 2 2 5 2 2" xfId="13824"/>
    <cellStyle name="Normal 2 2 3 2 2 5 2 2 2" xfId="31760"/>
    <cellStyle name="Normal 2 2 3 2 2 5 2 3" xfId="31761"/>
    <cellStyle name="Normal 2 2 3 2 2 5 3" xfId="13825"/>
    <cellStyle name="Normal 2 2 3 2 2 5 3 2" xfId="13826"/>
    <cellStyle name="Normal 2 2 3 2 2 5 3 2 2" xfId="31762"/>
    <cellStyle name="Normal 2 2 3 2 2 5 3 3" xfId="31763"/>
    <cellStyle name="Normal 2 2 3 2 2 5 4" xfId="13827"/>
    <cellStyle name="Normal 2 2 3 2 2 5 4 2" xfId="13828"/>
    <cellStyle name="Normal 2 2 3 2 2 5 4 2 2" xfId="31764"/>
    <cellStyle name="Normal 2 2 3 2 2 5 4 3" xfId="31765"/>
    <cellStyle name="Normal 2 2 3 2 2 5 5" xfId="13829"/>
    <cellStyle name="Normal 2 2 3 2 2 5 5 2" xfId="31766"/>
    <cellStyle name="Normal 2 2 3 2 2 5 6" xfId="13830"/>
    <cellStyle name="Normal 2 2 3 2 2 6" xfId="13831"/>
    <cellStyle name="Normal 2 2 3 2 2 6 2" xfId="13832"/>
    <cellStyle name="Normal 2 2 3 2 2 6 2 2" xfId="31767"/>
    <cellStyle name="Normal 2 2 3 2 2 6 3" xfId="31768"/>
    <cellStyle name="Normal 2 2 3 2 2 7" xfId="13833"/>
    <cellStyle name="Normal 2 2 3 2 2 7 2" xfId="13834"/>
    <cellStyle name="Normal 2 2 3 2 2 7 2 2" xfId="31769"/>
    <cellStyle name="Normal 2 2 3 2 2 7 3" xfId="31770"/>
    <cellStyle name="Normal 2 2 3 2 2 8" xfId="13835"/>
    <cellStyle name="Normal 2 2 3 2 2 8 2" xfId="13836"/>
    <cellStyle name="Normal 2 2 3 2 2 8 2 2" xfId="31771"/>
    <cellStyle name="Normal 2 2 3 2 2 8 3" xfId="31772"/>
    <cellStyle name="Normal 2 2 3 2 2 9" xfId="13837"/>
    <cellStyle name="Normal 2 2 3 2 2 9 2" xfId="31773"/>
    <cellStyle name="Normal 2 2 3 2 3" xfId="274"/>
    <cellStyle name="Normal 2 2 3 2 3 10" xfId="13838"/>
    <cellStyle name="Normal 2 2 3 2 3 2" xfId="432"/>
    <cellStyle name="Normal 2 2 3 2 3 2 2" xfId="1220"/>
    <cellStyle name="Normal 2 2 3 2 3 2 2 2" xfId="1950"/>
    <cellStyle name="Normal 2 2 3 2 3 2 2 2 2" xfId="13839"/>
    <cellStyle name="Normal 2 2 3 2 3 2 2 2 2 2" xfId="13840"/>
    <cellStyle name="Normal 2 2 3 2 3 2 2 2 2 2 2" xfId="31774"/>
    <cellStyle name="Normal 2 2 3 2 3 2 2 2 2 3" xfId="31775"/>
    <cellStyle name="Normal 2 2 3 2 3 2 2 2 3" xfId="13841"/>
    <cellStyle name="Normal 2 2 3 2 3 2 2 2 3 2" xfId="13842"/>
    <cellStyle name="Normal 2 2 3 2 3 2 2 2 3 2 2" xfId="31776"/>
    <cellStyle name="Normal 2 2 3 2 3 2 2 2 3 3" xfId="31777"/>
    <cellStyle name="Normal 2 2 3 2 3 2 2 2 4" xfId="13843"/>
    <cellStyle name="Normal 2 2 3 2 3 2 2 2 4 2" xfId="13844"/>
    <cellStyle name="Normal 2 2 3 2 3 2 2 2 4 2 2" xfId="31778"/>
    <cellStyle name="Normal 2 2 3 2 3 2 2 2 4 3" xfId="31779"/>
    <cellStyle name="Normal 2 2 3 2 3 2 2 2 5" xfId="13845"/>
    <cellStyle name="Normal 2 2 3 2 3 2 2 2 5 2" xfId="31780"/>
    <cellStyle name="Normal 2 2 3 2 3 2 2 2 6" xfId="13846"/>
    <cellStyle name="Normal 2 2 3 2 3 2 2 3" xfId="13847"/>
    <cellStyle name="Normal 2 2 3 2 3 2 2 3 2" xfId="13848"/>
    <cellStyle name="Normal 2 2 3 2 3 2 2 3 2 2" xfId="31781"/>
    <cellStyle name="Normal 2 2 3 2 3 2 2 3 3" xfId="31782"/>
    <cellStyle name="Normal 2 2 3 2 3 2 2 4" xfId="13849"/>
    <cellStyle name="Normal 2 2 3 2 3 2 2 4 2" xfId="13850"/>
    <cellStyle name="Normal 2 2 3 2 3 2 2 4 2 2" xfId="31783"/>
    <cellStyle name="Normal 2 2 3 2 3 2 2 4 3" xfId="31784"/>
    <cellStyle name="Normal 2 2 3 2 3 2 2 5" xfId="13851"/>
    <cellStyle name="Normal 2 2 3 2 3 2 2 5 2" xfId="13852"/>
    <cellStyle name="Normal 2 2 3 2 3 2 2 5 2 2" xfId="31785"/>
    <cellStyle name="Normal 2 2 3 2 3 2 2 5 3" xfId="31786"/>
    <cellStyle name="Normal 2 2 3 2 3 2 2 6" xfId="13853"/>
    <cellStyle name="Normal 2 2 3 2 3 2 2 6 2" xfId="31787"/>
    <cellStyle name="Normal 2 2 3 2 3 2 2 7" xfId="13854"/>
    <cellStyle name="Normal 2 2 3 2 3 2 3" xfId="852"/>
    <cellStyle name="Normal 2 2 3 2 3 2 3 2" xfId="1951"/>
    <cellStyle name="Normal 2 2 3 2 3 2 3 2 2" xfId="13855"/>
    <cellStyle name="Normal 2 2 3 2 3 2 3 2 2 2" xfId="13856"/>
    <cellStyle name="Normal 2 2 3 2 3 2 3 2 2 2 2" xfId="31788"/>
    <cellStyle name="Normal 2 2 3 2 3 2 3 2 2 3" xfId="31789"/>
    <cellStyle name="Normal 2 2 3 2 3 2 3 2 3" xfId="13857"/>
    <cellStyle name="Normal 2 2 3 2 3 2 3 2 3 2" xfId="13858"/>
    <cellStyle name="Normal 2 2 3 2 3 2 3 2 3 2 2" xfId="31790"/>
    <cellStyle name="Normal 2 2 3 2 3 2 3 2 3 3" xfId="31791"/>
    <cellStyle name="Normal 2 2 3 2 3 2 3 2 4" xfId="13859"/>
    <cellStyle name="Normal 2 2 3 2 3 2 3 2 4 2" xfId="13860"/>
    <cellStyle name="Normal 2 2 3 2 3 2 3 2 4 2 2" xfId="31792"/>
    <cellStyle name="Normal 2 2 3 2 3 2 3 2 4 3" xfId="31793"/>
    <cellStyle name="Normal 2 2 3 2 3 2 3 2 5" xfId="13861"/>
    <cellStyle name="Normal 2 2 3 2 3 2 3 2 5 2" xfId="31794"/>
    <cellStyle name="Normal 2 2 3 2 3 2 3 2 6" xfId="13862"/>
    <cellStyle name="Normal 2 2 3 2 3 2 3 3" xfId="13863"/>
    <cellStyle name="Normal 2 2 3 2 3 2 3 3 2" xfId="13864"/>
    <cellStyle name="Normal 2 2 3 2 3 2 3 3 2 2" xfId="31795"/>
    <cellStyle name="Normal 2 2 3 2 3 2 3 3 3" xfId="31796"/>
    <cellStyle name="Normal 2 2 3 2 3 2 3 4" xfId="13865"/>
    <cellStyle name="Normal 2 2 3 2 3 2 3 4 2" xfId="13866"/>
    <cellStyle name="Normal 2 2 3 2 3 2 3 4 2 2" xfId="31797"/>
    <cellStyle name="Normal 2 2 3 2 3 2 3 4 3" xfId="31798"/>
    <cellStyle name="Normal 2 2 3 2 3 2 3 5" xfId="13867"/>
    <cellStyle name="Normal 2 2 3 2 3 2 3 5 2" xfId="13868"/>
    <cellStyle name="Normal 2 2 3 2 3 2 3 5 2 2" xfId="31799"/>
    <cellStyle name="Normal 2 2 3 2 3 2 3 5 3" xfId="31800"/>
    <cellStyle name="Normal 2 2 3 2 3 2 3 6" xfId="13869"/>
    <cellStyle name="Normal 2 2 3 2 3 2 3 6 2" xfId="31801"/>
    <cellStyle name="Normal 2 2 3 2 3 2 3 7" xfId="13870"/>
    <cellStyle name="Normal 2 2 3 2 3 2 4" xfId="1952"/>
    <cellStyle name="Normal 2 2 3 2 3 2 4 2" xfId="13871"/>
    <cellStyle name="Normal 2 2 3 2 3 2 4 2 2" xfId="13872"/>
    <cellStyle name="Normal 2 2 3 2 3 2 4 2 2 2" xfId="31802"/>
    <cellStyle name="Normal 2 2 3 2 3 2 4 2 3" xfId="31803"/>
    <cellStyle name="Normal 2 2 3 2 3 2 4 3" xfId="13873"/>
    <cellStyle name="Normal 2 2 3 2 3 2 4 3 2" xfId="13874"/>
    <cellStyle name="Normal 2 2 3 2 3 2 4 3 2 2" xfId="31804"/>
    <cellStyle name="Normal 2 2 3 2 3 2 4 3 3" xfId="31805"/>
    <cellStyle name="Normal 2 2 3 2 3 2 4 4" xfId="13875"/>
    <cellStyle name="Normal 2 2 3 2 3 2 4 4 2" xfId="13876"/>
    <cellStyle name="Normal 2 2 3 2 3 2 4 4 2 2" xfId="31806"/>
    <cellStyle name="Normal 2 2 3 2 3 2 4 4 3" xfId="31807"/>
    <cellStyle name="Normal 2 2 3 2 3 2 4 5" xfId="13877"/>
    <cellStyle name="Normal 2 2 3 2 3 2 4 5 2" xfId="31808"/>
    <cellStyle name="Normal 2 2 3 2 3 2 4 6" xfId="13878"/>
    <cellStyle name="Normal 2 2 3 2 3 2 5" xfId="13879"/>
    <cellStyle name="Normal 2 2 3 2 3 2 5 2" xfId="13880"/>
    <cellStyle name="Normal 2 2 3 2 3 2 5 2 2" xfId="31809"/>
    <cellStyle name="Normal 2 2 3 2 3 2 5 3" xfId="31810"/>
    <cellStyle name="Normal 2 2 3 2 3 2 6" xfId="13881"/>
    <cellStyle name="Normal 2 2 3 2 3 2 6 2" xfId="13882"/>
    <cellStyle name="Normal 2 2 3 2 3 2 6 2 2" xfId="31811"/>
    <cellStyle name="Normal 2 2 3 2 3 2 6 3" xfId="31812"/>
    <cellStyle name="Normal 2 2 3 2 3 2 7" xfId="13883"/>
    <cellStyle name="Normal 2 2 3 2 3 2 7 2" xfId="13884"/>
    <cellStyle name="Normal 2 2 3 2 3 2 7 2 2" xfId="31813"/>
    <cellStyle name="Normal 2 2 3 2 3 2 7 3" xfId="31814"/>
    <cellStyle name="Normal 2 2 3 2 3 2 8" xfId="13885"/>
    <cellStyle name="Normal 2 2 3 2 3 2 8 2" xfId="31815"/>
    <cellStyle name="Normal 2 2 3 2 3 2 9" xfId="13886"/>
    <cellStyle name="Normal 2 2 3 2 3 3" xfId="1062"/>
    <cellStyle name="Normal 2 2 3 2 3 3 2" xfId="1953"/>
    <cellStyle name="Normal 2 2 3 2 3 3 2 2" xfId="13887"/>
    <cellStyle name="Normal 2 2 3 2 3 3 2 2 2" xfId="13888"/>
    <cellStyle name="Normal 2 2 3 2 3 3 2 2 2 2" xfId="31816"/>
    <cellStyle name="Normal 2 2 3 2 3 3 2 2 3" xfId="31817"/>
    <cellStyle name="Normal 2 2 3 2 3 3 2 3" xfId="13889"/>
    <cellStyle name="Normal 2 2 3 2 3 3 2 3 2" xfId="13890"/>
    <cellStyle name="Normal 2 2 3 2 3 3 2 3 2 2" xfId="31818"/>
    <cellStyle name="Normal 2 2 3 2 3 3 2 3 3" xfId="31819"/>
    <cellStyle name="Normal 2 2 3 2 3 3 2 4" xfId="13891"/>
    <cellStyle name="Normal 2 2 3 2 3 3 2 4 2" xfId="13892"/>
    <cellStyle name="Normal 2 2 3 2 3 3 2 4 2 2" xfId="31820"/>
    <cellStyle name="Normal 2 2 3 2 3 3 2 4 3" xfId="31821"/>
    <cellStyle name="Normal 2 2 3 2 3 3 2 5" xfId="13893"/>
    <cellStyle name="Normal 2 2 3 2 3 3 2 5 2" xfId="31822"/>
    <cellStyle name="Normal 2 2 3 2 3 3 2 6" xfId="13894"/>
    <cellStyle name="Normal 2 2 3 2 3 3 3" xfId="13895"/>
    <cellStyle name="Normal 2 2 3 2 3 3 3 2" xfId="13896"/>
    <cellStyle name="Normal 2 2 3 2 3 3 3 2 2" xfId="31823"/>
    <cellStyle name="Normal 2 2 3 2 3 3 3 3" xfId="31824"/>
    <cellStyle name="Normal 2 2 3 2 3 3 4" xfId="13897"/>
    <cellStyle name="Normal 2 2 3 2 3 3 4 2" xfId="13898"/>
    <cellStyle name="Normal 2 2 3 2 3 3 4 2 2" xfId="31825"/>
    <cellStyle name="Normal 2 2 3 2 3 3 4 3" xfId="31826"/>
    <cellStyle name="Normal 2 2 3 2 3 3 5" xfId="13899"/>
    <cellStyle name="Normal 2 2 3 2 3 3 5 2" xfId="13900"/>
    <cellStyle name="Normal 2 2 3 2 3 3 5 2 2" xfId="31827"/>
    <cellStyle name="Normal 2 2 3 2 3 3 5 3" xfId="31828"/>
    <cellStyle name="Normal 2 2 3 2 3 3 6" xfId="13901"/>
    <cellStyle name="Normal 2 2 3 2 3 3 6 2" xfId="31829"/>
    <cellStyle name="Normal 2 2 3 2 3 3 7" xfId="13902"/>
    <cellStyle name="Normal 2 2 3 2 3 4" xfId="694"/>
    <cellStyle name="Normal 2 2 3 2 3 4 2" xfId="1954"/>
    <cellStyle name="Normal 2 2 3 2 3 4 2 2" xfId="13903"/>
    <cellStyle name="Normal 2 2 3 2 3 4 2 2 2" xfId="13904"/>
    <cellStyle name="Normal 2 2 3 2 3 4 2 2 2 2" xfId="31830"/>
    <cellStyle name="Normal 2 2 3 2 3 4 2 2 3" xfId="31831"/>
    <cellStyle name="Normal 2 2 3 2 3 4 2 3" xfId="13905"/>
    <cellStyle name="Normal 2 2 3 2 3 4 2 3 2" xfId="13906"/>
    <cellStyle name="Normal 2 2 3 2 3 4 2 3 2 2" xfId="31832"/>
    <cellStyle name="Normal 2 2 3 2 3 4 2 3 3" xfId="31833"/>
    <cellStyle name="Normal 2 2 3 2 3 4 2 4" xfId="13907"/>
    <cellStyle name="Normal 2 2 3 2 3 4 2 4 2" xfId="13908"/>
    <cellStyle name="Normal 2 2 3 2 3 4 2 4 2 2" xfId="31834"/>
    <cellStyle name="Normal 2 2 3 2 3 4 2 4 3" xfId="31835"/>
    <cellStyle name="Normal 2 2 3 2 3 4 2 5" xfId="13909"/>
    <cellStyle name="Normal 2 2 3 2 3 4 2 5 2" xfId="31836"/>
    <cellStyle name="Normal 2 2 3 2 3 4 2 6" xfId="13910"/>
    <cellStyle name="Normal 2 2 3 2 3 4 3" xfId="13911"/>
    <cellStyle name="Normal 2 2 3 2 3 4 3 2" xfId="13912"/>
    <cellStyle name="Normal 2 2 3 2 3 4 3 2 2" xfId="31837"/>
    <cellStyle name="Normal 2 2 3 2 3 4 3 3" xfId="31838"/>
    <cellStyle name="Normal 2 2 3 2 3 4 4" xfId="13913"/>
    <cellStyle name="Normal 2 2 3 2 3 4 4 2" xfId="13914"/>
    <cellStyle name="Normal 2 2 3 2 3 4 4 2 2" xfId="31839"/>
    <cellStyle name="Normal 2 2 3 2 3 4 4 3" xfId="31840"/>
    <cellStyle name="Normal 2 2 3 2 3 4 5" xfId="13915"/>
    <cellStyle name="Normal 2 2 3 2 3 4 5 2" xfId="13916"/>
    <cellStyle name="Normal 2 2 3 2 3 4 5 2 2" xfId="31841"/>
    <cellStyle name="Normal 2 2 3 2 3 4 5 3" xfId="31842"/>
    <cellStyle name="Normal 2 2 3 2 3 4 6" xfId="13917"/>
    <cellStyle name="Normal 2 2 3 2 3 4 6 2" xfId="31843"/>
    <cellStyle name="Normal 2 2 3 2 3 4 7" xfId="13918"/>
    <cellStyle name="Normal 2 2 3 2 3 5" xfId="1955"/>
    <cellStyle name="Normal 2 2 3 2 3 5 2" xfId="13919"/>
    <cellStyle name="Normal 2 2 3 2 3 5 2 2" xfId="13920"/>
    <cellStyle name="Normal 2 2 3 2 3 5 2 2 2" xfId="31844"/>
    <cellStyle name="Normal 2 2 3 2 3 5 2 3" xfId="31845"/>
    <cellStyle name="Normal 2 2 3 2 3 5 3" xfId="13921"/>
    <cellStyle name="Normal 2 2 3 2 3 5 3 2" xfId="13922"/>
    <cellStyle name="Normal 2 2 3 2 3 5 3 2 2" xfId="31846"/>
    <cellStyle name="Normal 2 2 3 2 3 5 3 3" xfId="31847"/>
    <cellStyle name="Normal 2 2 3 2 3 5 4" xfId="13923"/>
    <cellStyle name="Normal 2 2 3 2 3 5 4 2" xfId="13924"/>
    <cellStyle name="Normal 2 2 3 2 3 5 4 2 2" xfId="31848"/>
    <cellStyle name="Normal 2 2 3 2 3 5 4 3" xfId="31849"/>
    <cellStyle name="Normal 2 2 3 2 3 5 5" xfId="13925"/>
    <cellStyle name="Normal 2 2 3 2 3 5 5 2" xfId="31850"/>
    <cellStyle name="Normal 2 2 3 2 3 5 6" xfId="13926"/>
    <cellStyle name="Normal 2 2 3 2 3 6" xfId="13927"/>
    <cellStyle name="Normal 2 2 3 2 3 6 2" xfId="13928"/>
    <cellStyle name="Normal 2 2 3 2 3 6 2 2" xfId="31851"/>
    <cellStyle name="Normal 2 2 3 2 3 6 3" xfId="31852"/>
    <cellStyle name="Normal 2 2 3 2 3 7" xfId="13929"/>
    <cellStyle name="Normal 2 2 3 2 3 7 2" xfId="13930"/>
    <cellStyle name="Normal 2 2 3 2 3 7 2 2" xfId="31853"/>
    <cellStyle name="Normal 2 2 3 2 3 7 3" xfId="31854"/>
    <cellStyle name="Normal 2 2 3 2 3 8" xfId="13931"/>
    <cellStyle name="Normal 2 2 3 2 3 8 2" xfId="13932"/>
    <cellStyle name="Normal 2 2 3 2 3 8 2 2" xfId="31855"/>
    <cellStyle name="Normal 2 2 3 2 3 8 3" xfId="31856"/>
    <cellStyle name="Normal 2 2 3 2 3 9" xfId="13933"/>
    <cellStyle name="Normal 2 2 3 2 3 9 2" xfId="31857"/>
    <cellStyle name="Normal 2 2 3 2 4" xfId="180"/>
    <cellStyle name="Normal 2 2 3 2 4 2" xfId="968"/>
    <cellStyle name="Normal 2 2 3 2 4 2 2" xfId="1956"/>
    <cellStyle name="Normal 2 2 3 2 4 2 2 2" xfId="13934"/>
    <cellStyle name="Normal 2 2 3 2 4 2 2 2 2" xfId="13935"/>
    <cellStyle name="Normal 2 2 3 2 4 2 2 2 2 2" xfId="31858"/>
    <cellStyle name="Normal 2 2 3 2 4 2 2 2 3" xfId="31859"/>
    <cellStyle name="Normal 2 2 3 2 4 2 2 3" xfId="13936"/>
    <cellStyle name="Normal 2 2 3 2 4 2 2 3 2" xfId="13937"/>
    <cellStyle name="Normal 2 2 3 2 4 2 2 3 2 2" xfId="31860"/>
    <cellStyle name="Normal 2 2 3 2 4 2 2 3 3" xfId="31861"/>
    <cellStyle name="Normal 2 2 3 2 4 2 2 4" xfId="13938"/>
    <cellStyle name="Normal 2 2 3 2 4 2 2 4 2" xfId="13939"/>
    <cellStyle name="Normal 2 2 3 2 4 2 2 4 2 2" xfId="31862"/>
    <cellStyle name="Normal 2 2 3 2 4 2 2 4 3" xfId="31863"/>
    <cellStyle name="Normal 2 2 3 2 4 2 2 5" xfId="13940"/>
    <cellStyle name="Normal 2 2 3 2 4 2 2 5 2" xfId="31864"/>
    <cellStyle name="Normal 2 2 3 2 4 2 2 6" xfId="13941"/>
    <cellStyle name="Normal 2 2 3 2 4 2 3" xfId="13942"/>
    <cellStyle name="Normal 2 2 3 2 4 2 3 2" xfId="13943"/>
    <cellStyle name="Normal 2 2 3 2 4 2 3 2 2" xfId="31865"/>
    <cellStyle name="Normal 2 2 3 2 4 2 3 3" xfId="31866"/>
    <cellStyle name="Normal 2 2 3 2 4 2 4" xfId="13944"/>
    <cellStyle name="Normal 2 2 3 2 4 2 4 2" xfId="13945"/>
    <cellStyle name="Normal 2 2 3 2 4 2 4 2 2" xfId="31867"/>
    <cellStyle name="Normal 2 2 3 2 4 2 4 3" xfId="31868"/>
    <cellStyle name="Normal 2 2 3 2 4 2 5" xfId="13946"/>
    <cellStyle name="Normal 2 2 3 2 4 2 5 2" xfId="13947"/>
    <cellStyle name="Normal 2 2 3 2 4 2 5 2 2" xfId="31869"/>
    <cellStyle name="Normal 2 2 3 2 4 2 5 3" xfId="31870"/>
    <cellStyle name="Normal 2 2 3 2 4 2 6" xfId="13948"/>
    <cellStyle name="Normal 2 2 3 2 4 2 6 2" xfId="31871"/>
    <cellStyle name="Normal 2 2 3 2 4 2 7" xfId="13949"/>
    <cellStyle name="Normal 2 2 3 2 4 3" xfId="600"/>
    <cellStyle name="Normal 2 2 3 2 4 3 2" xfId="1957"/>
    <cellStyle name="Normal 2 2 3 2 4 3 2 2" xfId="13950"/>
    <cellStyle name="Normal 2 2 3 2 4 3 2 2 2" xfId="13951"/>
    <cellStyle name="Normal 2 2 3 2 4 3 2 2 2 2" xfId="31872"/>
    <cellStyle name="Normal 2 2 3 2 4 3 2 2 3" xfId="31873"/>
    <cellStyle name="Normal 2 2 3 2 4 3 2 3" xfId="13952"/>
    <cellStyle name="Normal 2 2 3 2 4 3 2 3 2" xfId="13953"/>
    <cellStyle name="Normal 2 2 3 2 4 3 2 3 2 2" xfId="31874"/>
    <cellStyle name="Normal 2 2 3 2 4 3 2 3 3" xfId="31875"/>
    <cellStyle name="Normal 2 2 3 2 4 3 2 4" xfId="13954"/>
    <cellStyle name="Normal 2 2 3 2 4 3 2 4 2" xfId="13955"/>
    <cellStyle name="Normal 2 2 3 2 4 3 2 4 2 2" xfId="31876"/>
    <cellStyle name="Normal 2 2 3 2 4 3 2 4 3" xfId="31877"/>
    <cellStyle name="Normal 2 2 3 2 4 3 2 5" xfId="13956"/>
    <cellStyle name="Normal 2 2 3 2 4 3 2 5 2" xfId="31878"/>
    <cellStyle name="Normal 2 2 3 2 4 3 2 6" xfId="13957"/>
    <cellStyle name="Normal 2 2 3 2 4 3 3" xfId="13958"/>
    <cellStyle name="Normal 2 2 3 2 4 3 3 2" xfId="13959"/>
    <cellStyle name="Normal 2 2 3 2 4 3 3 2 2" xfId="31879"/>
    <cellStyle name="Normal 2 2 3 2 4 3 3 3" xfId="31880"/>
    <cellStyle name="Normal 2 2 3 2 4 3 4" xfId="13960"/>
    <cellStyle name="Normal 2 2 3 2 4 3 4 2" xfId="13961"/>
    <cellStyle name="Normal 2 2 3 2 4 3 4 2 2" xfId="31881"/>
    <cellStyle name="Normal 2 2 3 2 4 3 4 3" xfId="31882"/>
    <cellStyle name="Normal 2 2 3 2 4 3 5" xfId="13962"/>
    <cellStyle name="Normal 2 2 3 2 4 3 5 2" xfId="13963"/>
    <cellStyle name="Normal 2 2 3 2 4 3 5 2 2" xfId="31883"/>
    <cellStyle name="Normal 2 2 3 2 4 3 5 3" xfId="31884"/>
    <cellStyle name="Normal 2 2 3 2 4 3 6" xfId="13964"/>
    <cellStyle name="Normal 2 2 3 2 4 3 6 2" xfId="31885"/>
    <cellStyle name="Normal 2 2 3 2 4 3 7" xfId="13965"/>
    <cellStyle name="Normal 2 2 3 2 4 4" xfId="1958"/>
    <cellStyle name="Normal 2 2 3 2 4 4 2" xfId="13966"/>
    <cellStyle name="Normal 2 2 3 2 4 4 2 2" xfId="13967"/>
    <cellStyle name="Normal 2 2 3 2 4 4 2 2 2" xfId="31886"/>
    <cellStyle name="Normal 2 2 3 2 4 4 2 3" xfId="31887"/>
    <cellStyle name="Normal 2 2 3 2 4 4 3" xfId="13968"/>
    <cellStyle name="Normal 2 2 3 2 4 4 3 2" xfId="13969"/>
    <cellStyle name="Normal 2 2 3 2 4 4 3 2 2" xfId="31888"/>
    <cellStyle name="Normal 2 2 3 2 4 4 3 3" xfId="31889"/>
    <cellStyle name="Normal 2 2 3 2 4 4 4" xfId="13970"/>
    <cellStyle name="Normal 2 2 3 2 4 4 4 2" xfId="13971"/>
    <cellStyle name="Normal 2 2 3 2 4 4 4 2 2" xfId="31890"/>
    <cellStyle name="Normal 2 2 3 2 4 4 4 3" xfId="31891"/>
    <cellStyle name="Normal 2 2 3 2 4 4 5" xfId="13972"/>
    <cellStyle name="Normal 2 2 3 2 4 4 5 2" xfId="31892"/>
    <cellStyle name="Normal 2 2 3 2 4 4 6" xfId="13973"/>
    <cellStyle name="Normal 2 2 3 2 4 5" xfId="13974"/>
    <cellStyle name="Normal 2 2 3 2 4 5 2" xfId="13975"/>
    <cellStyle name="Normal 2 2 3 2 4 5 2 2" xfId="31893"/>
    <cellStyle name="Normal 2 2 3 2 4 5 3" xfId="31894"/>
    <cellStyle name="Normal 2 2 3 2 4 6" xfId="13976"/>
    <cellStyle name="Normal 2 2 3 2 4 6 2" xfId="13977"/>
    <cellStyle name="Normal 2 2 3 2 4 6 2 2" xfId="31895"/>
    <cellStyle name="Normal 2 2 3 2 4 6 3" xfId="31896"/>
    <cellStyle name="Normal 2 2 3 2 4 7" xfId="13978"/>
    <cellStyle name="Normal 2 2 3 2 4 7 2" xfId="13979"/>
    <cellStyle name="Normal 2 2 3 2 4 7 2 2" xfId="31897"/>
    <cellStyle name="Normal 2 2 3 2 4 7 3" xfId="31898"/>
    <cellStyle name="Normal 2 2 3 2 4 8" xfId="13980"/>
    <cellStyle name="Normal 2 2 3 2 4 8 2" xfId="31899"/>
    <cellStyle name="Normal 2 2 3 2 4 9" xfId="13981"/>
    <cellStyle name="Normal 2 2 3 2 5" xfId="338"/>
    <cellStyle name="Normal 2 2 3 2 5 2" xfId="1126"/>
    <cellStyle name="Normal 2 2 3 2 5 2 2" xfId="1959"/>
    <cellStyle name="Normal 2 2 3 2 5 2 2 2" xfId="13982"/>
    <cellStyle name="Normal 2 2 3 2 5 2 2 2 2" xfId="13983"/>
    <cellStyle name="Normal 2 2 3 2 5 2 2 2 2 2" xfId="31900"/>
    <cellStyle name="Normal 2 2 3 2 5 2 2 2 3" xfId="31901"/>
    <cellStyle name="Normal 2 2 3 2 5 2 2 3" xfId="13984"/>
    <cellStyle name="Normal 2 2 3 2 5 2 2 3 2" xfId="13985"/>
    <cellStyle name="Normal 2 2 3 2 5 2 2 3 2 2" xfId="31902"/>
    <cellStyle name="Normal 2 2 3 2 5 2 2 3 3" xfId="31903"/>
    <cellStyle name="Normal 2 2 3 2 5 2 2 4" xfId="13986"/>
    <cellStyle name="Normal 2 2 3 2 5 2 2 4 2" xfId="13987"/>
    <cellStyle name="Normal 2 2 3 2 5 2 2 4 2 2" xfId="31904"/>
    <cellStyle name="Normal 2 2 3 2 5 2 2 4 3" xfId="31905"/>
    <cellStyle name="Normal 2 2 3 2 5 2 2 5" xfId="13988"/>
    <cellStyle name="Normal 2 2 3 2 5 2 2 5 2" xfId="31906"/>
    <cellStyle name="Normal 2 2 3 2 5 2 2 6" xfId="13989"/>
    <cellStyle name="Normal 2 2 3 2 5 2 3" xfId="13990"/>
    <cellStyle name="Normal 2 2 3 2 5 2 3 2" xfId="13991"/>
    <cellStyle name="Normal 2 2 3 2 5 2 3 2 2" xfId="31907"/>
    <cellStyle name="Normal 2 2 3 2 5 2 3 3" xfId="31908"/>
    <cellStyle name="Normal 2 2 3 2 5 2 4" xfId="13992"/>
    <cellStyle name="Normal 2 2 3 2 5 2 4 2" xfId="13993"/>
    <cellStyle name="Normal 2 2 3 2 5 2 4 2 2" xfId="31909"/>
    <cellStyle name="Normal 2 2 3 2 5 2 4 3" xfId="31910"/>
    <cellStyle name="Normal 2 2 3 2 5 2 5" xfId="13994"/>
    <cellStyle name="Normal 2 2 3 2 5 2 5 2" xfId="13995"/>
    <cellStyle name="Normal 2 2 3 2 5 2 5 2 2" xfId="31911"/>
    <cellStyle name="Normal 2 2 3 2 5 2 5 3" xfId="31912"/>
    <cellStyle name="Normal 2 2 3 2 5 2 6" xfId="13996"/>
    <cellStyle name="Normal 2 2 3 2 5 2 6 2" xfId="31913"/>
    <cellStyle name="Normal 2 2 3 2 5 2 7" xfId="13997"/>
    <cellStyle name="Normal 2 2 3 2 5 3" xfId="758"/>
    <cellStyle name="Normal 2 2 3 2 5 3 2" xfId="1960"/>
    <cellStyle name="Normal 2 2 3 2 5 3 2 2" xfId="13998"/>
    <cellStyle name="Normal 2 2 3 2 5 3 2 2 2" xfId="13999"/>
    <cellStyle name="Normal 2 2 3 2 5 3 2 2 2 2" xfId="31914"/>
    <cellStyle name="Normal 2 2 3 2 5 3 2 2 3" xfId="31915"/>
    <cellStyle name="Normal 2 2 3 2 5 3 2 3" xfId="14000"/>
    <cellStyle name="Normal 2 2 3 2 5 3 2 3 2" xfId="14001"/>
    <cellStyle name="Normal 2 2 3 2 5 3 2 3 2 2" xfId="31916"/>
    <cellStyle name="Normal 2 2 3 2 5 3 2 3 3" xfId="31917"/>
    <cellStyle name="Normal 2 2 3 2 5 3 2 4" xfId="14002"/>
    <cellStyle name="Normal 2 2 3 2 5 3 2 4 2" xfId="14003"/>
    <cellStyle name="Normal 2 2 3 2 5 3 2 4 2 2" xfId="31918"/>
    <cellStyle name="Normal 2 2 3 2 5 3 2 4 3" xfId="31919"/>
    <cellStyle name="Normal 2 2 3 2 5 3 2 5" xfId="14004"/>
    <cellStyle name="Normal 2 2 3 2 5 3 2 5 2" xfId="31920"/>
    <cellStyle name="Normal 2 2 3 2 5 3 2 6" xfId="14005"/>
    <cellStyle name="Normal 2 2 3 2 5 3 3" xfId="14006"/>
    <cellStyle name="Normal 2 2 3 2 5 3 3 2" xfId="14007"/>
    <cellStyle name="Normal 2 2 3 2 5 3 3 2 2" xfId="31921"/>
    <cellStyle name="Normal 2 2 3 2 5 3 3 3" xfId="31922"/>
    <cellStyle name="Normal 2 2 3 2 5 3 4" xfId="14008"/>
    <cellStyle name="Normal 2 2 3 2 5 3 4 2" xfId="14009"/>
    <cellStyle name="Normal 2 2 3 2 5 3 4 2 2" xfId="31923"/>
    <cellStyle name="Normal 2 2 3 2 5 3 4 3" xfId="31924"/>
    <cellStyle name="Normal 2 2 3 2 5 3 5" xfId="14010"/>
    <cellStyle name="Normal 2 2 3 2 5 3 5 2" xfId="14011"/>
    <cellStyle name="Normal 2 2 3 2 5 3 5 2 2" xfId="31925"/>
    <cellStyle name="Normal 2 2 3 2 5 3 5 3" xfId="31926"/>
    <cellStyle name="Normal 2 2 3 2 5 3 6" xfId="14012"/>
    <cellStyle name="Normal 2 2 3 2 5 3 6 2" xfId="31927"/>
    <cellStyle name="Normal 2 2 3 2 5 3 7" xfId="14013"/>
    <cellStyle name="Normal 2 2 3 2 5 4" xfId="1961"/>
    <cellStyle name="Normal 2 2 3 2 5 4 2" xfId="14014"/>
    <cellStyle name="Normal 2 2 3 2 5 4 2 2" xfId="14015"/>
    <cellStyle name="Normal 2 2 3 2 5 4 2 2 2" xfId="31928"/>
    <cellStyle name="Normal 2 2 3 2 5 4 2 3" xfId="31929"/>
    <cellStyle name="Normal 2 2 3 2 5 4 3" xfId="14016"/>
    <cellStyle name="Normal 2 2 3 2 5 4 3 2" xfId="14017"/>
    <cellStyle name="Normal 2 2 3 2 5 4 3 2 2" xfId="31930"/>
    <cellStyle name="Normal 2 2 3 2 5 4 3 3" xfId="31931"/>
    <cellStyle name="Normal 2 2 3 2 5 4 4" xfId="14018"/>
    <cellStyle name="Normal 2 2 3 2 5 4 4 2" xfId="14019"/>
    <cellStyle name="Normal 2 2 3 2 5 4 4 2 2" xfId="31932"/>
    <cellStyle name="Normal 2 2 3 2 5 4 4 3" xfId="31933"/>
    <cellStyle name="Normal 2 2 3 2 5 4 5" xfId="14020"/>
    <cellStyle name="Normal 2 2 3 2 5 4 5 2" xfId="31934"/>
    <cellStyle name="Normal 2 2 3 2 5 4 6" xfId="14021"/>
    <cellStyle name="Normal 2 2 3 2 5 5" xfId="14022"/>
    <cellStyle name="Normal 2 2 3 2 5 5 2" xfId="14023"/>
    <cellStyle name="Normal 2 2 3 2 5 5 2 2" xfId="31935"/>
    <cellStyle name="Normal 2 2 3 2 5 5 3" xfId="31936"/>
    <cellStyle name="Normal 2 2 3 2 5 6" xfId="14024"/>
    <cellStyle name="Normal 2 2 3 2 5 6 2" xfId="14025"/>
    <cellStyle name="Normal 2 2 3 2 5 6 2 2" xfId="31937"/>
    <cellStyle name="Normal 2 2 3 2 5 6 3" xfId="31938"/>
    <cellStyle name="Normal 2 2 3 2 5 7" xfId="14026"/>
    <cellStyle name="Normal 2 2 3 2 5 7 2" xfId="14027"/>
    <cellStyle name="Normal 2 2 3 2 5 7 2 2" xfId="31939"/>
    <cellStyle name="Normal 2 2 3 2 5 7 3" xfId="31940"/>
    <cellStyle name="Normal 2 2 3 2 5 8" xfId="14028"/>
    <cellStyle name="Normal 2 2 3 2 5 8 2" xfId="31941"/>
    <cellStyle name="Normal 2 2 3 2 5 9" xfId="14029"/>
    <cellStyle name="Normal 2 2 3 2 6" xfId="127"/>
    <cellStyle name="Normal 2 2 3 2 6 2" xfId="548"/>
    <cellStyle name="Normal 2 2 3 2 6 2 2" xfId="1962"/>
    <cellStyle name="Normal 2 2 3 2 6 2 2 2" xfId="14030"/>
    <cellStyle name="Normal 2 2 3 2 6 2 2 2 2" xfId="14031"/>
    <cellStyle name="Normal 2 2 3 2 6 2 2 2 2 2" xfId="31942"/>
    <cellStyle name="Normal 2 2 3 2 6 2 2 2 3" xfId="31943"/>
    <cellStyle name="Normal 2 2 3 2 6 2 2 3" xfId="14032"/>
    <cellStyle name="Normal 2 2 3 2 6 2 2 3 2" xfId="14033"/>
    <cellStyle name="Normal 2 2 3 2 6 2 2 3 2 2" xfId="31944"/>
    <cellStyle name="Normal 2 2 3 2 6 2 2 3 3" xfId="31945"/>
    <cellStyle name="Normal 2 2 3 2 6 2 2 4" xfId="14034"/>
    <cellStyle name="Normal 2 2 3 2 6 2 2 4 2" xfId="14035"/>
    <cellStyle name="Normal 2 2 3 2 6 2 2 4 2 2" xfId="31946"/>
    <cellStyle name="Normal 2 2 3 2 6 2 2 4 3" xfId="31947"/>
    <cellStyle name="Normal 2 2 3 2 6 2 2 5" xfId="14036"/>
    <cellStyle name="Normal 2 2 3 2 6 2 2 5 2" xfId="31948"/>
    <cellStyle name="Normal 2 2 3 2 6 2 2 6" xfId="14037"/>
    <cellStyle name="Normal 2 2 3 2 6 2 3" xfId="14038"/>
    <cellStyle name="Normal 2 2 3 2 6 2 3 2" xfId="14039"/>
    <cellStyle name="Normal 2 2 3 2 6 2 3 2 2" xfId="31949"/>
    <cellStyle name="Normal 2 2 3 2 6 2 3 3" xfId="31950"/>
    <cellStyle name="Normal 2 2 3 2 6 2 4" xfId="14040"/>
    <cellStyle name="Normal 2 2 3 2 6 2 4 2" xfId="14041"/>
    <cellStyle name="Normal 2 2 3 2 6 2 4 2 2" xfId="31951"/>
    <cellStyle name="Normal 2 2 3 2 6 2 4 3" xfId="31952"/>
    <cellStyle name="Normal 2 2 3 2 6 2 5" xfId="14042"/>
    <cellStyle name="Normal 2 2 3 2 6 2 5 2" xfId="14043"/>
    <cellStyle name="Normal 2 2 3 2 6 2 5 2 2" xfId="31953"/>
    <cellStyle name="Normal 2 2 3 2 6 2 5 3" xfId="31954"/>
    <cellStyle name="Normal 2 2 3 2 6 2 6" xfId="14044"/>
    <cellStyle name="Normal 2 2 3 2 6 2 6 2" xfId="31955"/>
    <cellStyle name="Normal 2 2 3 2 6 2 7" xfId="14045"/>
    <cellStyle name="Normal 2 2 3 2 6 3" xfId="1963"/>
    <cellStyle name="Normal 2 2 3 2 6 3 2" xfId="14046"/>
    <cellStyle name="Normal 2 2 3 2 6 3 2 2" xfId="14047"/>
    <cellStyle name="Normal 2 2 3 2 6 3 2 2 2" xfId="31956"/>
    <cellStyle name="Normal 2 2 3 2 6 3 2 3" xfId="31957"/>
    <cellStyle name="Normal 2 2 3 2 6 3 3" xfId="14048"/>
    <cellStyle name="Normal 2 2 3 2 6 3 3 2" xfId="14049"/>
    <cellStyle name="Normal 2 2 3 2 6 3 3 2 2" xfId="31958"/>
    <cellStyle name="Normal 2 2 3 2 6 3 3 3" xfId="31959"/>
    <cellStyle name="Normal 2 2 3 2 6 3 4" xfId="14050"/>
    <cellStyle name="Normal 2 2 3 2 6 3 4 2" xfId="14051"/>
    <cellStyle name="Normal 2 2 3 2 6 3 4 2 2" xfId="31960"/>
    <cellStyle name="Normal 2 2 3 2 6 3 4 3" xfId="31961"/>
    <cellStyle name="Normal 2 2 3 2 6 3 5" xfId="14052"/>
    <cellStyle name="Normal 2 2 3 2 6 3 5 2" xfId="31962"/>
    <cellStyle name="Normal 2 2 3 2 6 3 6" xfId="14053"/>
    <cellStyle name="Normal 2 2 3 2 6 4" xfId="14054"/>
    <cellStyle name="Normal 2 2 3 2 6 4 2" xfId="14055"/>
    <cellStyle name="Normal 2 2 3 2 6 4 2 2" xfId="31963"/>
    <cellStyle name="Normal 2 2 3 2 6 4 3" xfId="31964"/>
    <cellStyle name="Normal 2 2 3 2 6 5" xfId="14056"/>
    <cellStyle name="Normal 2 2 3 2 6 5 2" xfId="14057"/>
    <cellStyle name="Normal 2 2 3 2 6 5 2 2" xfId="31965"/>
    <cellStyle name="Normal 2 2 3 2 6 5 3" xfId="31966"/>
    <cellStyle name="Normal 2 2 3 2 6 6" xfId="14058"/>
    <cellStyle name="Normal 2 2 3 2 6 6 2" xfId="14059"/>
    <cellStyle name="Normal 2 2 3 2 6 6 2 2" xfId="31967"/>
    <cellStyle name="Normal 2 2 3 2 6 6 3" xfId="31968"/>
    <cellStyle name="Normal 2 2 3 2 6 7" xfId="14060"/>
    <cellStyle name="Normal 2 2 3 2 6 7 2" xfId="31969"/>
    <cellStyle name="Normal 2 2 3 2 6 8" xfId="14061"/>
    <cellStyle name="Normal 2 2 3 2 7" xfId="916"/>
    <cellStyle name="Normal 2 2 3 2 7 2" xfId="1964"/>
    <cellStyle name="Normal 2 2 3 2 7 2 2" xfId="14062"/>
    <cellStyle name="Normal 2 2 3 2 7 2 2 2" xfId="14063"/>
    <cellStyle name="Normal 2 2 3 2 7 2 2 2 2" xfId="31970"/>
    <cellStyle name="Normal 2 2 3 2 7 2 2 3" xfId="31971"/>
    <cellStyle name="Normal 2 2 3 2 7 2 3" xfId="14064"/>
    <cellStyle name="Normal 2 2 3 2 7 2 3 2" xfId="14065"/>
    <cellStyle name="Normal 2 2 3 2 7 2 3 2 2" xfId="31972"/>
    <cellStyle name="Normal 2 2 3 2 7 2 3 3" xfId="31973"/>
    <cellStyle name="Normal 2 2 3 2 7 2 4" xfId="14066"/>
    <cellStyle name="Normal 2 2 3 2 7 2 4 2" xfId="14067"/>
    <cellStyle name="Normal 2 2 3 2 7 2 4 2 2" xfId="31974"/>
    <cellStyle name="Normal 2 2 3 2 7 2 4 3" xfId="31975"/>
    <cellStyle name="Normal 2 2 3 2 7 2 5" xfId="14068"/>
    <cellStyle name="Normal 2 2 3 2 7 2 5 2" xfId="31976"/>
    <cellStyle name="Normal 2 2 3 2 7 2 6" xfId="14069"/>
    <cellStyle name="Normal 2 2 3 2 7 3" xfId="14070"/>
    <cellStyle name="Normal 2 2 3 2 7 3 2" xfId="14071"/>
    <cellStyle name="Normal 2 2 3 2 7 3 2 2" xfId="31977"/>
    <cellStyle name="Normal 2 2 3 2 7 3 3" xfId="31978"/>
    <cellStyle name="Normal 2 2 3 2 7 4" xfId="14072"/>
    <cellStyle name="Normal 2 2 3 2 7 4 2" xfId="14073"/>
    <cellStyle name="Normal 2 2 3 2 7 4 2 2" xfId="31979"/>
    <cellStyle name="Normal 2 2 3 2 7 4 3" xfId="31980"/>
    <cellStyle name="Normal 2 2 3 2 7 5" xfId="14074"/>
    <cellStyle name="Normal 2 2 3 2 7 5 2" xfId="14075"/>
    <cellStyle name="Normal 2 2 3 2 7 5 2 2" xfId="31981"/>
    <cellStyle name="Normal 2 2 3 2 7 5 3" xfId="31982"/>
    <cellStyle name="Normal 2 2 3 2 7 6" xfId="14076"/>
    <cellStyle name="Normal 2 2 3 2 7 6 2" xfId="31983"/>
    <cellStyle name="Normal 2 2 3 2 7 7" xfId="14077"/>
    <cellStyle name="Normal 2 2 3 2 8" xfId="487"/>
    <cellStyle name="Normal 2 2 3 2 8 2" xfId="1965"/>
    <cellStyle name="Normal 2 2 3 2 8 2 2" xfId="14078"/>
    <cellStyle name="Normal 2 2 3 2 8 2 2 2" xfId="14079"/>
    <cellStyle name="Normal 2 2 3 2 8 2 2 2 2" xfId="31984"/>
    <cellStyle name="Normal 2 2 3 2 8 2 2 3" xfId="31985"/>
    <cellStyle name="Normal 2 2 3 2 8 2 3" xfId="14080"/>
    <cellStyle name="Normal 2 2 3 2 8 2 3 2" xfId="14081"/>
    <cellStyle name="Normal 2 2 3 2 8 2 3 2 2" xfId="31986"/>
    <cellStyle name="Normal 2 2 3 2 8 2 3 3" xfId="31987"/>
    <cellStyle name="Normal 2 2 3 2 8 2 4" xfId="14082"/>
    <cellStyle name="Normal 2 2 3 2 8 2 4 2" xfId="14083"/>
    <cellStyle name="Normal 2 2 3 2 8 2 4 2 2" xfId="31988"/>
    <cellStyle name="Normal 2 2 3 2 8 2 4 3" xfId="31989"/>
    <cellStyle name="Normal 2 2 3 2 8 2 5" xfId="14084"/>
    <cellStyle name="Normal 2 2 3 2 8 2 5 2" xfId="31990"/>
    <cellStyle name="Normal 2 2 3 2 8 2 6" xfId="14085"/>
    <cellStyle name="Normal 2 2 3 2 8 3" xfId="14086"/>
    <cellStyle name="Normal 2 2 3 2 8 3 2" xfId="14087"/>
    <cellStyle name="Normal 2 2 3 2 8 3 2 2" xfId="31991"/>
    <cellStyle name="Normal 2 2 3 2 8 3 3" xfId="31992"/>
    <cellStyle name="Normal 2 2 3 2 8 4" xfId="14088"/>
    <cellStyle name="Normal 2 2 3 2 8 4 2" xfId="14089"/>
    <cellStyle name="Normal 2 2 3 2 8 4 2 2" xfId="31993"/>
    <cellStyle name="Normal 2 2 3 2 8 4 3" xfId="31994"/>
    <cellStyle name="Normal 2 2 3 2 8 5" xfId="14090"/>
    <cellStyle name="Normal 2 2 3 2 8 5 2" xfId="14091"/>
    <cellStyle name="Normal 2 2 3 2 8 5 2 2" xfId="31995"/>
    <cellStyle name="Normal 2 2 3 2 8 5 3" xfId="31996"/>
    <cellStyle name="Normal 2 2 3 2 8 6" xfId="14092"/>
    <cellStyle name="Normal 2 2 3 2 8 6 2" xfId="31997"/>
    <cellStyle name="Normal 2 2 3 2 8 7" xfId="14093"/>
    <cellStyle name="Normal 2 2 3 2 9" xfId="1966"/>
    <cellStyle name="Normal 2 2 3 2 9 2" xfId="14094"/>
    <cellStyle name="Normal 2 2 3 2 9 2 2" xfId="14095"/>
    <cellStyle name="Normal 2 2 3 2 9 2 2 2" xfId="31998"/>
    <cellStyle name="Normal 2 2 3 2 9 2 3" xfId="31999"/>
    <cellStyle name="Normal 2 2 3 2 9 3" xfId="14096"/>
    <cellStyle name="Normal 2 2 3 2 9 3 2" xfId="14097"/>
    <cellStyle name="Normal 2 2 3 2 9 3 2 2" xfId="32000"/>
    <cellStyle name="Normal 2 2 3 2 9 3 3" xfId="32001"/>
    <cellStyle name="Normal 2 2 3 2 9 4" xfId="14098"/>
    <cellStyle name="Normal 2 2 3 2 9 4 2" xfId="14099"/>
    <cellStyle name="Normal 2 2 3 2 9 4 2 2" xfId="32002"/>
    <cellStyle name="Normal 2 2 3 2 9 4 3" xfId="32003"/>
    <cellStyle name="Normal 2 2 3 2 9 5" xfId="14100"/>
    <cellStyle name="Normal 2 2 3 2 9 5 2" xfId="32004"/>
    <cellStyle name="Normal 2 2 3 2 9 6" xfId="14101"/>
    <cellStyle name="Normal 2 2 3 3" xfId="54"/>
    <cellStyle name="Normal 2 2 3 3 10" xfId="14102"/>
    <cellStyle name="Normal 2 2 3 3 10 2" xfId="14103"/>
    <cellStyle name="Normal 2 2 3 3 10 2 2" xfId="32005"/>
    <cellStyle name="Normal 2 2 3 3 10 3" xfId="32006"/>
    <cellStyle name="Normal 2 2 3 3 11" xfId="14104"/>
    <cellStyle name="Normal 2 2 3 3 11 2" xfId="14105"/>
    <cellStyle name="Normal 2 2 3 3 11 2 2" xfId="32007"/>
    <cellStyle name="Normal 2 2 3 3 11 3" xfId="32008"/>
    <cellStyle name="Normal 2 2 3 3 12" xfId="14106"/>
    <cellStyle name="Normal 2 2 3 3 12 2" xfId="14107"/>
    <cellStyle name="Normal 2 2 3 3 12 2 2" xfId="32009"/>
    <cellStyle name="Normal 2 2 3 3 12 3" xfId="32010"/>
    <cellStyle name="Normal 2 2 3 3 13" xfId="14108"/>
    <cellStyle name="Normal 2 2 3 3 13 2" xfId="32011"/>
    <cellStyle name="Normal 2 2 3 3 14" xfId="14109"/>
    <cellStyle name="Normal 2 2 3 3 2" xfId="224"/>
    <cellStyle name="Normal 2 2 3 3 2 10" xfId="14110"/>
    <cellStyle name="Normal 2 2 3 3 2 2" xfId="382"/>
    <cellStyle name="Normal 2 2 3 3 2 2 2" xfId="1170"/>
    <cellStyle name="Normal 2 2 3 3 2 2 2 2" xfId="1967"/>
    <cellStyle name="Normal 2 2 3 3 2 2 2 2 2" xfId="14111"/>
    <cellStyle name="Normal 2 2 3 3 2 2 2 2 2 2" xfId="14112"/>
    <cellStyle name="Normal 2 2 3 3 2 2 2 2 2 2 2" xfId="32012"/>
    <cellStyle name="Normal 2 2 3 3 2 2 2 2 2 3" xfId="32013"/>
    <cellStyle name="Normal 2 2 3 3 2 2 2 2 3" xfId="14113"/>
    <cellStyle name="Normal 2 2 3 3 2 2 2 2 3 2" xfId="14114"/>
    <cellStyle name="Normal 2 2 3 3 2 2 2 2 3 2 2" xfId="32014"/>
    <cellStyle name="Normal 2 2 3 3 2 2 2 2 3 3" xfId="32015"/>
    <cellStyle name="Normal 2 2 3 3 2 2 2 2 4" xfId="14115"/>
    <cellStyle name="Normal 2 2 3 3 2 2 2 2 4 2" xfId="14116"/>
    <cellStyle name="Normal 2 2 3 3 2 2 2 2 4 2 2" xfId="32016"/>
    <cellStyle name="Normal 2 2 3 3 2 2 2 2 4 3" xfId="32017"/>
    <cellStyle name="Normal 2 2 3 3 2 2 2 2 5" xfId="14117"/>
    <cellStyle name="Normal 2 2 3 3 2 2 2 2 5 2" xfId="32018"/>
    <cellStyle name="Normal 2 2 3 3 2 2 2 2 6" xfId="14118"/>
    <cellStyle name="Normal 2 2 3 3 2 2 2 3" xfId="14119"/>
    <cellStyle name="Normal 2 2 3 3 2 2 2 3 2" xfId="14120"/>
    <cellStyle name="Normal 2 2 3 3 2 2 2 3 2 2" xfId="32019"/>
    <cellStyle name="Normal 2 2 3 3 2 2 2 3 3" xfId="32020"/>
    <cellStyle name="Normal 2 2 3 3 2 2 2 4" xfId="14121"/>
    <cellStyle name="Normal 2 2 3 3 2 2 2 4 2" xfId="14122"/>
    <cellStyle name="Normal 2 2 3 3 2 2 2 4 2 2" xfId="32021"/>
    <cellStyle name="Normal 2 2 3 3 2 2 2 4 3" xfId="32022"/>
    <cellStyle name="Normal 2 2 3 3 2 2 2 5" xfId="14123"/>
    <cellStyle name="Normal 2 2 3 3 2 2 2 5 2" xfId="14124"/>
    <cellStyle name="Normal 2 2 3 3 2 2 2 5 2 2" xfId="32023"/>
    <cellStyle name="Normal 2 2 3 3 2 2 2 5 3" xfId="32024"/>
    <cellStyle name="Normal 2 2 3 3 2 2 2 6" xfId="14125"/>
    <cellStyle name="Normal 2 2 3 3 2 2 2 6 2" xfId="32025"/>
    <cellStyle name="Normal 2 2 3 3 2 2 2 7" xfId="14126"/>
    <cellStyle name="Normal 2 2 3 3 2 2 3" xfId="802"/>
    <cellStyle name="Normal 2 2 3 3 2 2 3 2" xfId="1968"/>
    <cellStyle name="Normal 2 2 3 3 2 2 3 2 2" xfId="14127"/>
    <cellStyle name="Normal 2 2 3 3 2 2 3 2 2 2" xfId="14128"/>
    <cellStyle name="Normal 2 2 3 3 2 2 3 2 2 2 2" xfId="32026"/>
    <cellStyle name="Normal 2 2 3 3 2 2 3 2 2 3" xfId="32027"/>
    <cellStyle name="Normal 2 2 3 3 2 2 3 2 3" xfId="14129"/>
    <cellStyle name="Normal 2 2 3 3 2 2 3 2 3 2" xfId="14130"/>
    <cellStyle name="Normal 2 2 3 3 2 2 3 2 3 2 2" xfId="32028"/>
    <cellStyle name="Normal 2 2 3 3 2 2 3 2 3 3" xfId="32029"/>
    <cellStyle name="Normal 2 2 3 3 2 2 3 2 4" xfId="14131"/>
    <cellStyle name="Normal 2 2 3 3 2 2 3 2 4 2" xfId="14132"/>
    <cellStyle name="Normal 2 2 3 3 2 2 3 2 4 2 2" xfId="32030"/>
    <cellStyle name="Normal 2 2 3 3 2 2 3 2 4 3" xfId="32031"/>
    <cellStyle name="Normal 2 2 3 3 2 2 3 2 5" xfId="14133"/>
    <cellStyle name="Normal 2 2 3 3 2 2 3 2 5 2" xfId="32032"/>
    <cellStyle name="Normal 2 2 3 3 2 2 3 2 6" xfId="14134"/>
    <cellStyle name="Normal 2 2 3 3 2 2 3 3" xfId="14135"/>
    <cellStyle name="Normal 2 2 3 3 2 2 3 3 2" xfId="14136"/>
    <cellStyle name="Normal 2 2 3 3 2 2 3 3 2 2" xfId="32033"/>
    <cellStyle name="Normal 2 2 3 3 2 2 3 3 3" xfId="32034"/>
    <cellStyle name="Normal 2 2 3 3 2 2 3 4" xfId="14137"/>
    <cellStyle name="Normal 2 2 3 3 2 2 3 4 2" xfId="14138"/>
    <cellStyle name="Normal 2 2 3 3 2 2 3 4 2 2" xfId="32035"/>
    <cellStyle name="Normal 2 2 3 3 2 2 3 4 3" xfId="32036"/>
    <cellStyle name="Normal 2 2 3 3 2 2 3 5" xfId="14139"/>
    <cellStyle name="Normal 2 2 3 3 2 2 3 5 2" xfId="14140"/>
    <cellStyle name="Normal 2 2 3 3 2 2 3 5 2 2" xfId="32037"/>
    <cellStyle name="Normal 2 2 3 3 2 2 3 5 3" xfId="32038"/>
    <cellStyle name="Normal 2 2 3 3 2 2 3 6" xfId="14141"/>
    <cellStyle name="Normal 2 2 3 3 2 2 3 6 2" xfId="32039"/>
    <cellStyle name="Normal 2 2 3 3 2 2 3 7" xfId="14142"/>
    <cellStyle name="Normal 2 2 3 3 2 2 4" xfId="1969"/>
    <cellStyle name="Normal 2 2 3 3 2 2 4 2" xfId="14143"/>
    <cellStyle name="Normal 2 2 3 3 2 2 4 2 2" xfId="14144"/>
    <cellStyle name="Normal 2 2 3 3 2 2 4 2 2 2" xfId="32040"/>
    <cellStyle name="Normal 2 2 3 3 2 2 4 2 3" xfId="32041"/>
    <cellStyle name="Normal 2 2 3 3 2 2 4 3" xfId="14145"/>
    <cellStyle name="Normal 2 2 3 3 2 2 4 3 2" xfId="14146"/>
    <cellStyle name="Normal 2 2 3 3 2 2 4 3 2 2" xfId="32042"/>
    <cellStyle name="Normal 2 2 3 3 2 2 4 3 3" xfId="32043"/>
    <cellStyle name="Normal 2 2 3 3 2 2 4 4" xfId="14147"/>
    <cellStyle name="Normal 2 2 3 3 2 2 4 4 2" xfId="14148"/>
    <cellStyle name="Normal 2 2 3 3 2 2 4 4 2 2" xfId="32044"/>
    <cellStyle name="Normal 2 2 3 3 2 2 4 4 3" xfId="32045"/>
    <cellStyle name="Normal 2 2 3 3 2 2 4 5" xfId="14149"/>
    <cellStyle name="Normal 2 2 3 3 2 2 4 5 2" xfId="32046"/>
    <cellStyle name="Normal 2 2 3 3 2 2 4 6" xfId="14150"/>
    <cellStyle name="Normal 2 2 3 3 2 2 5" xfId="14151"/>
    <cellStyle name="Normal 2 2 3 3 2 2 5 2" xfId="14152"/>
    <cellStyle name="Normal 2 2 3 3 2 2 5 2 2" xfId="32047"/>
    <cellStyle name="Normal 2 2 3 3 2 2 5 3" xfId="32048"/>
    <cellStyle name="Normal 2 2 3 3 2 2 6" xfId="14153"/>
    <cellStyle name="Normal 2 2 3 3 2 2 6 2" xfId="14154"/>
    <cellStyle name="Normal 2 2 3 3 2 2 6 2 2" xfId="32049"/>
    <cellStyle name="Normal 2 2 3 3 2 2 6 3" xfId="32050"/>
    <cellStyle name="Normal 2 2 3 3 2 2 7" xfId="14155"/>
    <cellStyle name="Normal 2 2 3 3 2 2 7 2" xfId="14156"/>
    <cellStyle name="Normal 2 2 3 3 2 2 7 2 2" xfId="32051"/>
    <cellStyle name="Normal 2 2 3 3 2 2 7 3" xfId="32052"/>
    <cellStyle name="Normal 2 2 3 3 2 2 8" xfId="14157"/>
    <cellStyle name="Normal 2 2 3 3 2 2 8 2" xfId="32053"/>
    <cellStyle name="Normal 2 2 3 3 2 2 9" xfId="14158"/>
    <cellStyle name="Normal 2 2 3 3 2 3" xfId="1012"/>
    <cellStyle name="Normal 2 2 3 3 2 3 2" xfId="1970"/>
    <cellStyle name="Normal 2 2 3 3 2 3 2 2" xfId="14159"/>
    <cellStyle name="Normal 2 2 3 3 2 3 2 2 2" xfId="14160"/>
    <cellStyle name="Normal 2 2 3 3 2 3 2 2 2 2" xfId="32054"/>
    <cellStyle name="Normal 2 2 3 3 2 3 2 2 3" xfId="32055"/>
    <cellStyle name="Normal 2 2 3 3 2 3 2 3" xfId="14161"/>
    <cellStyle name="Normal 2 2 3 3 2 3 2 3 2" xfId="14162"/>
    <cellStyle name="Normal 2 2 3 3 2 3 2 3 2 2" xfId="32056"/>
    <cellStyle name="Normal 2 2 3 3 2 3 2 3 3" xfId="32057"/>
    <cellStyle name="Normal 2 2 3 3 2 3 2 4" xfId="14163"/>
    <cellStyle name="Normal 2 2 3 3 2 3 2 4 2" xfId="14164"/>
    <cellStyle name="Normal 2 2 3 3 2 3 2 4 2 2" xfId="32058"/>
    <cellStyle name="Normal 2 2 3 3 2 3 2 4 3" xfId="32059"/>
    <cellStyle name="Normal 2 2 3 3 2 3 2 5" xfId="14165"/>
    <cellStyle name="Normal 2 2 3 3 2 3 2 5 2" xfId="32060"/>
    <cellStyle name="Normal 2 2 3 3 2 3 2 6" xfId="14166"/>
    <cellStyle name="Normal 2 2 3 3 2 3 3" xfId="14167"/>
    <cellStyle name="Normal 2 2 3 3 2 3 3 2" xfId="14168"/>
    <cellStyle name="Normal 2 2 3 3 2 3 3 2 2" xfId="32061"/>
    <cellStyle name="Normal 2 2 3 3 2 3 3 3" xfId="32062"/>
    <cellStyle name="Normal 2 2 3 3 2 3 4" xfId="14169"/>
    <cellStyle name="Normal 2 2 3 3 2 3 4 2" xfId="14170"/>
    <cellStyle name="Normal 2 2 3 3 2 3 4 2 2" xfId="32063"/>
    <cellStyle name="Normal 2 2 3 3 2 3 4 3" xfId="32064"/>
    <cellStyle name="Normal 2 2 3 3 2 3 5" xfId="14171"/>
    <cellStyle name="Normal 2 2 3 3 2 3 5 2" xfId="14172"/>
    <cellStyle name="Normal 2 2 3 3 2 3 5 2 2" xfId="32065"/>
    <cellStyle name="Normal 2 2 3 3 2 3 5 3" xfId="32066"/>
    <cellStyle name="Normal 2 2 3 3 2 3 6" xfId="14173"/>
    <cellStyle name="Normal 2 2 3 3 2 3 6 2" xfId="32067"/>
    <cellStyle name="Normal 2 2 3 3 2 3 7" xfId="14174"/>
    <cellStyle name="Normal 2 2 3 3 2 4" xfId="644"/>
    <cellStyle name="Normal 2 2 3 3 2 4 2" xfId="1971"/>
    <cellStyle name="Normal 2 2 3 3 2 4 2 2" xfId="14175"/>
    <cellStyle name="Normal 2 2 3 3 2 4 2 2 2" xfId="14176"/>
    <cellStyle name="Normal 2 2 3 3 2 4 2 2 2 2" xfId="32068"/>
    <cellStyle name="Normal 2 2 3 3 2 4 2 2 3" xfId="32069"/>
    <cellStyle name="Normal 2 2 3 3 2 4 2 3" xfId="14177"/>
    <cellStyle name="Normal 2 2 3 3 2 4 2 3 2" xfId="14178"/>
    <cellStyle name="Normal 2 2 3 3 2 4 2 3 2 2" xfId="32070"/>
    <cellStyle name="Normal 2 2 3 3 2 4 2 3 3" xfId="32071"/>
    <cellStyle name="Normal 2 2 3 3 2 4 2 4" xfId="14179"/>
    <cellStyle name="Normal 2 2 3 3 2 4 2 4 2" xfId="14180"/>
    <cellStyle name="Normal 2 2 3 3 2 4 2 4 2 2" xfId="32072"/>
    <cellStyle name="Normal 2 2 3 3 2 4 2 4 3" xfId="32073"/>
    <cellStyle name="Normal 2 2 3 3 2 4 2 5" xfId="14181"/>
    <cellStyle name="Normal 2 2 3 3 2 4 2 5 2" xfId="32074"/>
    <cellStyle name="Normal 2 2 3 3 2 4 2 6" xfId="14182"/>
    <cellStyle name="Normal 2 2 3 3 2 4 3" xfId="14183"/>
    <cellStyle name="Normal 2 2 3 3 2 4 3 2" xfId="14184"/>
    <cellStyle name="Normal 2 2 3 3 2 4 3 2 2" xfId="32075"/>
    <cellStyle name="Normal 2 2 3 3 2 4 3 3" xfId="32076"/>
    <cellStyle name="Normal 2 2 3 3 2 4 4" xfId="14185"/>
    <cellStyle name="Normal 2 2 3 3 2 4 4 2" xfId="14186"/>
    <cellStyle name="Normal 2 2 3 3 2 4 4 2 2" xfId="32077"/>
    <cellStyle name="Normal 2 2 3 3 2 4 4 3" xfId="32078"/>
    <cellStyle name="Normal 2 2 3 3 2 4 5" xfId="14187"/>
    <cellStyle name="Normal 2 2 3 3 2 4 5 2" xfId="14188"/>
    <cellStyle name="Normal 2 2 3 3 2 4 5 2 2" xfId="32079"/>
    <cellStyle name="Normal 2 2 3 3 2 4 5 3" xfId="32080"/>
    <cellStyle name="Normal 2 2 3 3 2 4 6" xfId="14189"/>
    <cellStyle name="Normal 2 2 3 3 2 4 6 2" xfId="32081"/>
    <cellStyle name="Normal 2 2 3 3 2 4 7" xfId="14190"/>
    <cellStyle name="Normal 2 2 3 3 2 5" xfId="1972"/>
    <cellStyle name="Normal 2 2 3 3 2 5 2" xfId="14191"/>
    <cellStyle name="Normal 2 2 3 3 2 5 2 2" xfId="14192"/>
    <cellStyle name="Normal 2 2 3 3 2 5 2 2 2" xfId="32082"/>
    <cellStyle name="Normal 2 2 3 3 2 5 2 3" xfId="32083"/>
    <cellStyle name="Normal 2 2 3 3 2 5 3" xfId="14193"/>
    <cellStyle name="Normal 2 2 3 3 2 5 3 2" xfId="14194"/>
    <cellStyle name="Normal 2 2 3 3 2 5 3 2 2" xfId="32084"/>
    <cellStyle name="Normal 2 2 3 3 2 5 3 3" xfId="32085"/>
    <cellStyle name="Normal 2 2 3 3 2 5 4" xfId="14195"/>
    <cellStyle name="Normal 2 2 3 3 2 5 4 2" xfId="14196"/>
    <cellStyle name="Normal 2 2 3 3 2 5 4 2 2" xfId="32086"/>
    <cellStyle name="Normal 2 2 3 3 2 5 4 3" xfId="32087"/>
    <cellStyle name="Normal 2 2 3 3 2 5 5" xfId="14197"/>
    <cellStyle name="Normal 2 2 3 3 2 5 5 2" xfId="32088"/>
    <cellStyle name="Normal 2 2 3 3 2 5 6" xfId="14198"/>
    <cellStyle name="Normal 2 2 3 3 2 6" xfId="14199"/>
    <cellStyle name="Normal 2 2 3 3 2 6 2" xfId="14200"/>
    <cellStyle name="Normal 2 2 3 3 2 6 2 2" xfId="32089"/>
    <cellStyle name="Normal 2 2 3 3 2 6 3" xfId="32090"/>
    <cellStyle name="Normal 2 2 3 3 2 7" xfId="14201"/>
    <cellStyle name="Normal 2 2 3 3 2 7 2" xfId="14202"/>
    <cellStyle name="Normal 2 2 3 3 2 7 2 2" xfId="32091"/>
    <cellStyle name="Normal 2 2 3 3 2 7 3" xfId="32092"/>
    <cellStyle name="Normal 2 2 3 3 2 8" xfId="14203"/>
    <cellStyle name="Normal 2 2 3 3 2 8 2" xfId="14204"/>
    <cellStyle name="Normal 2 2 3 3 2 8 2 2" xfId="32093"/>
    <cellStyle name="Normal 2 2 3 3 2 8 3" xfId="32094"/>
    <cellStyle name="Normal 2 2 3 3 2 9" xfId="14205"/>
    <cellStyle name="Normal 2 2 3 3 2 9 2" xfId="32095"/>
    <cellStyle name="Normal 2 2 3 3 3" xfId="275"/>
    <cellStyle name="Normal 2 2 3 3 3 10" xfId="14206"/>
    <cellStyle name="Normal 2 2 3 3 3 2" xfId="433"/>
    <cellStyle name="Normal 2 2 3 3 3 2 2" xfId="1221"/>
    <cellStyle name="Normal 2 2 3 3 3 2 2 2" xfId="1973"/>
    <cellStyle name="Normal 2 2 3 3 3 2 2 2 2" xfId="14207"/>
    <cellStyle name="Normal 2 2 3 3 3 2 2 2 2 2" xfId="14208"/>
    <cellStyle name="Normal 2 2 3 3 3 2 2 2 2 2 2" xfId="32096"/>
    <cellStyle name="Normal 2 2 3 3 3 2 2 2 2 3" xfId="32097"/>
    <cellStyle name="Normal 2 2 3 3 3 2 2 2 3" xfId="14209"/>
    <cellStyle name="Normal 2 2 3 3 3 2 2 2 3 2" xfId="14210"/>
    <cellStyle name="Normal 2 2 3 3 3 2 2 2 3 2 2" xfId="32098"/>
    <cellStyle name="Normal 2 2 3 3 3 2 2 2 3 3" xfId="32099"/>
    <cellStyle name="Normal 2 2 3 3 3 2 2 2 4" xfId="14211"/>
    <cellStyle name="Normal 2 2 3 3 3 2 2 2 4 2" xfId="14212"/>
    <cellStyle name="Normal 2 2 3 3 3 2 2 2 4 2 2" xfId="32100"/>
    <cellStyle name="Normal 2 2 3 3 3 2 2 2 4 3" xfId="32101"/>
    <cellStyle name="Normal 2 2 3 3 3 2 2 2 5" xfId="14213"/>
    <cellStyle name="Normal 2 2 3 3 3 2 2 2 5 2" xfId="32102"/>
    <cellStyle name="Normal 2 2 3 3 3 2 2 2 6" xfId="14214"/>
    <cellStyle name="Normal 2 2 3 3 3 2 2 3" xfId="14215"/>
    <cellStyle name="Normal 2 2 3 3 3 2 2 3 2" xfId="14216"/>
    <cellStyle name="Normal 2 2 3 3 3 2 2 3 2 2" xfId="32103"/>
    <cellStyle name="Normal 2 2 3 3 3 2 2 3 3" xfId="32104"/>
    <cellStyle name="Normal 2 2 3 3 3 2 2 4" xfId="14217"/>
    <cellStyle name="Normal 2 2 3 3 3 2 2 4 2" xfId="14218"/>
    <cellStyle name="Normal 2 2 3 3 3 2 2 4 2 2" xfId="32105"/>
    <cellStyle name="Normal 2 2 3 3 3 2 2 4 3" xfId="32106"/>
    <cellStyle name="Normal 2 2 3 3 3 2 2 5" xfId="14219"/>
    <cellStyle name="Normal 2 2 3 3 3 2 2 5 2" xfId="14220"/>
    <cellStyle name="Normal 2 2 3 3 3 2 2 5 2 2" xfId="32107"/>
    <cellStyle name="Normal 2 2 3 3 3 2 2 5 3" xfId="32108"/>
    <cellStyle name="Normal 2 2 3 3 3 2 2 6" xfId="14221"/>
    <cellStyle name="Normal 2 2 3 3 3 2 2 6 2" xfId="32109"/>
    <cellStyle name="Normal 2 2 3 3 3 2 2 7" xfId="14222"/>
    <cellStyle name="Normal 2 2 3 3 3 2 3" xfId="853"/>
    <cellStyle name="Normal 2 2 3 3 3 2 3 2" xfId="1974"/>
    <cellStyle name="Normal 2 2 3 3 3 2 3 2 2" xfId="14223"/>
    <cellStyle name="Normal 2 2 3 3 3 2 3 2 2 2" xfId="14224"/>
    <cellStyle name="Normal 2 2 3 3 3 2 3 2 2 2 2" xfId="32110"/>
    <cellStyle name="Normal 2 2 3 3 3 2 3 2 2 3" xfId="32111"/>
    <cellStyle name="Normal 2 2 3 3 3 2 3 2 3" xfId="14225"/>
    <cellStyle name="Normal 2 2 3 3 3 2 3 2 3 2" xfId="14226"/>
    <cellStyle name="Normal 2 2 3 3 3 2 3 2 3 2 2" xfId="32112"/>
    <cellStyle name="Normal 2 2 3 3 3 2 3 2 3 3" xfId="32113"/>
    <cellStyle name="Normal 2 2 3 3 3 2 3 2 4" xfId="14227"/>
    <cellStyle name="Normal 2 2 3 3 3 2 3 2 4 2" xfId="14228"/>
    <cellStyle name="Normal 2 2 3 3 3 2 3 2 4 2 2" xfId="32114"/>
    <cellStyle name="Normal 2 2 3 3 3 2 3 2 4 3" xfId="32115"/>
    <cellStyle name="Normal 2 2 3 3 3 2 3 2 5" xfId="14229"/>
    <cellStyle name="Normal 2 2 3 3 3 2 3 2 5 2" xfId="32116"/>
    <cellStyle name="Normal 2 2 3 3 3 2 3 2 6" xfId="14230"/>
    <cellStyle name="Normal 2 2 3 3 3 2 3 3" xfId="14231"/>
    <cellStyle name="Normal 2 2 3 3 3 2 3 3 2" xfId="14232"/>
    <cellStyle name="Normal 2 2 3 3 3 2 3 3 2 2" xfId="32117"/>
    <cellStyle name="Normal 2 2 3 3 3 2 3 3 3" xfId="32118"/>
    <cellStyle name="Normal 2 2 3 3 3 2 3 4" xfId="14233"/>
    <cellStyle name="Normal 2 2 3 3 3 2 3 4 2" xfId="14234"/>
    <cellStyle name="Normal 2 2 3 3 3 2 3 4 2 2" xfId="32119"/>
    <cellStyle name="Normal 2 2 3 3 3 2 3 4 3" xfId="32120"/>
    <cellStyle name="Normal 2 2 3 3 3 2 3 5" xfId="14235"/>
    <cellStyle name="Normal 2 2 3 3 3 2 3 5 2" xfId="14236"/>
    <cellStyle name="Normal 2 2 3 3 3 2 3 5 2 2" xfId="32121"/>
    <cellStyle name="Normal 2 2 3 3 3 2 3 5 3" xfId="32122"/>
    <cellStyle name="Normal 2 2 3 3 3 2 3 6" xfId="14237"/>
    <cellStyle name="Normal 2 2 3 3 3 2 3 6 2" xfId="32123"/>
    <cellStyle name="Normal 2 2 3 3 3 2 3 7" xfId="14238"/>
    <cellStyle name="Normal 2 2 3 3 3 2 4" xfId="1975"/>
    <cellStyle name="Normal 2 2 3 3 3 2 4 2" xfId="14239"/>
    <cellStyle name="Normal 2 2 3 3 3 2 4 2 2" xfId="14240"/>
    <cellStyle name="Normal 2 2 3 3 3 2 4 2 2 2" xfId="32124"/>
    <cellStyle name="Normal 2 2 3 3 3 2 4 2 3" xfId="32125"/>
    <cellStyle name="Normal 2 2 3 3 3 2 4 3" xfId="14241"/>
    <cellStyle name="Normal 2 2 3 3 3 2 4 3 2" xfId="14242"/>
    <cellStyle name="Normal 2 2 3 3 3 2 4 3 2 2" xfId="32126"/>
    <cellStyle name="Normal 2 2 3 3 3 2 4 3 3" xfId="32127"/>
    <cellStyle name="Normal 2 2 3 3 3 2 4 4" xfId="14243"/>
    <cellStyle name="Normal 2 2 3 3 3 2 4 4 2" xfId="14244"/>
    <cellStyle name="Normal 2 2 3 3 3 2 4 4 2 2" xfId="32128"/>
    <cellStyle name="Normal 2 2 3 3 3 2 4 4 3" xfId="32129"/>
    <cellStyle name="Normal 2 2 3 3 3 2 4 5" xfId="14245"/>
    <cellStyle name="Normal 2 2 3 3 3 2 4 5 2" xfId="32130"/>
    <cellStyle name="Normal 2 2 3 3 3 2 4 6" xfId="14246"/>
    <cellStyle name="Normal 2 2 3 3 3 2 5" xfId="14247"/>
    <cellStyle name="Normal 2 2 3 3 3 2 5 2" xfId="14248"/>
    <cellStyle name="Normal 2 2 3 3 3 2 5 2 2" xfId="32131"/>
    <cellStyle name="Normal 2 2 3 3 3 2 5 3" xfId="32132"/>
    <cellStyle name="Normal 2 2 3 3 3 2 6" xfId="14249"/>
    <cellStyle name="Normal 2 2 3 3 3 2 6 2" xfId="14250"/>
    <cellStyle name="Normal 2 2 3 3 3 2 6 2 2" xfId="32133"/>
    <cellStyle name="Normal 2 2 3 3 3 2 6 3" xfId="32134"/>
    <cellStyle name="Normal 2 2 3 3 3 2 7" xfId="14251"/>
    <cellStyle name="Normal 2 2 3 3 3 2 7 2" xfId="14252"/>
    <cellStyle name="Normal 2 2 3 3 3 2 7 2 2" xfId="32135"/>
    <cellStyle name="Normal 2 2 3 3 3 2 7 3" xfId="32136"/>
    <cellStyle name="Normal 2 2 3 3 3 2 8" xfId="14253"/>
    <cellStyle name="Normal 2 2 3 3 3 2 8 2" xfId="32137"/>
    <cellStyle name="Normal 2 2 3 3 3 2 9" xfId="14254"/>
    <cellStyle name="Normal 2 2 3 3 3 3" xfId="1063"/>
    <cellStyle name="Normal 2 2 3 3 3 3 2" xfId="1976"/>
    <cellStyle name="Normal 2 2 3 3 3 3 2 2" xfId="14255"/>
    <cellStyle name="Normal 2 2 3 3 3 3 2 2 2" xfId="14256"/>
    <cellStyle name="Normal 2 2 3 3 3 3 2 2 2 2" xfId="32138"/>
    <cellStyle name="Normal 2 2 3 3 3 3 2 2 3" xfId="32139"/>
    <cellStyle name="Normal 2 2 3 3 3 3 2 3" xfId="14257"/>
    <cellStyle name="Normal 2 2 3 3 3 3 2 3 2" xfId="14258"/>
    <cellStyle name="Normal 2 2 3 3 3 3 2 3 2 2" xfId="32140"/>
    <cellStyle name="Normal 2 2 3 3 3 3 2 3 3" xfId="32141"/>
    <cellStyle name="Normal 2 2 3 3 3 3 2 4" xfId="14259"/>
    <cellStyle name="Normal 2 2 3 3 3 3 2 4 2" xfId="14260"/>
    <cellStyle name="Normal 2 2 3 3 3 3 2 4 2 2" xfId="32142"/>
    <cellStyle name="Normal 2 2 3 3 3 3 2 4 3" xfId="32143"/>
    <cellStyle name="Normal 2 2 3 3 3 3 2 5" xfId="14261"/>
    <cellStyle name="Normal 2 2 3 3 3 3 2 5 2" xfId="32144"/>
    <cellStyle name="Normal 2 2 3 3 3 3 2 6" xfId="14262"/>
    <cellStyle name="Normal 2 2 3 3 3 3 3" xfId="14263"/>
    <cellStyle name="Normal 2 2 3 3 3 3 3 2" xfId="14264"/>
    <cellStyle name="Normal 2 2 3 3 3 3 3 2 2" xfId="32145"/>
    <cellStyle name="Normal 2 2 3 3 3 3 3 3" xfId="32146"/>
    <cellStyle name="Normal 2 2 3 3 3 3 4" xfId="14265"/>
    <cellStyle name="Normal 2 2 3 3 3 3 4 2" xfId="14266"/>
    <cellStyle name="Normal 2 2 3 3 3 3 4 2 2" xfId="32147"/>
    <cellStyle name="Normal 2 2 3 3 3 3 4 3" xfId="32148"/>
    <cellStyle name="Normal 2 2 3 3 3 3 5" xfId="14267"/>
    <cellStyle name="Normal 2 2 3 3 3 3 5 2" xfId="14268"/>
    <cellStyle name="Normal 2 2 3 3 3 3 5 2 2" xfId="32149"/>
    <cellStyle name="Normal 2 2 3 3 3 3 5 3" xfId="32150"/>
    <cellStyle name="Normal 2 2 3 3 3 3 6" xfId="14269"/>
    <cellStyle name="Normal 2 2 3 3 3 3 6 2" xfId="32151"/>
    <cellStyle name="Normal 2 2 3 3 3 3 7" xfId="14270"/>
    <cellStyle name="Normal 2 2 3 3 3 4" xfId="695"/>
    <cellStyle name="Normal 2 2 3 3 3 4 2" xfId="1977"/>
    <cellStyle name="Normal 2 2 3 3 3 4 2 2" xfId="14271"/>
    <cellStyle name="Normal 2 2 3 3 3 4 2 2 2" xfId="14272"/>
    <cellStyle name="Normal 2 2 3 3 3 4 2 2 2 2" xfId="32152"/>
    <cellStyle name="Normal 2 2 3 3 3 4 2 2 3" xfId="32153"/>
    <cellStyle name="Normal 2 2 3 3 3 4 2 3" xfId="14273"/>
    <cellStyle name="Normal 2 2 3 3 3 4 2 3 2" xfId="14274"/>
    <cellStyle name="Normal 2 2 3 3 3 4 2 3 2 2" xfId="32154"/>
    <cellStyle name="Normal 2 2 3 3 3 4 2 3 3" xfId="32155"/>
    <cellStyle name="Normal 2 2 3 3 3 4 2 4" xfId="14275"/>
    <cellStyle name="Normal 2 2 3 3 3 4 2 4 2" xfId="14276"/>
    <cellStyle name="Normal 2 2 3 3 3 4 2 4 2 2" xfId="32156"/>
    <cellStyle name="Normal 2 2 3 3 3 4 2 4 3" xfId="32157"/>
    <cellStyle name="Normal 2 2 3 3 3 4 2 5" xfId="14277"/>
    <cellStyle name="Normal 2 2 3 3 3 4 2 5 2" xfId="32158"/>
    <cellStyle name="Normal 2 2 3 3 3 4 2 6" xfId="14278"/>
    <cellStyle name="Normal 2 2 3 3 3 4 3" xfId="14279"/>
    <cellStyle name="Normal 2 2 3 3 3 4 3 2" xfId="14280"/>
    <cellStyle name="Normal 2 2 3 3 3 4 3 2 2" xfId="32159"/>
    <cellStyle name="Normal 2 2 3 3 3 4 3 3" xfId="32160"/>
    <cellStyle name="Normal 2 2 3 3 3 4 4" xfId="14281"/>
    <cellStyle name="Normal 2 2 3 3 3 4 4 2" xfId="14282"/>
    <cellStyle name="Normal 2 2 3 3 3 4 4 2 2" xfId="32161"/>
    <cellStyle name="Normal 2 2 3 3 3 4 4 3" xfId="32162"/>
    <cellStyle name="Normal 2 2 3 3 3 4 5" xfId="14283"/>
    <cellStyle name="Normal 2 2 3 3 3 4 5 2" xfId="14284"/>
    <cellStyle name="Normal 2 2 3 3 3 4 5 2 2" xfId="32163"/>
    <cellStyle name="Normal 2 2 3 3 3 4 5 3" xfId="32164"/>
    <cellStyle name="Normal 2 2 3 3 3 4 6" xfId="14285"/>
    <cellStyle name="Normal 2 2 3 3 3 4 6 2" xfId="32165"/>
    <cellStyle name="Normal 2 2 3 3 3 4 7" xfId="14286"/>
    <cellStyle name="Normal 2 2 3 3 3 5" xfId="1978"/>
    <cellStyle name="Normal 2 2 3 3 3 5 2" xfId="14287"/>
    <cellStyle name="Normal 2 2 3 3 3 5 2 2" xfId="14288"/>
    <cellStyle name="Normal 2 2 3 3 3 5 2 2 2" xfId="32166"/>
    <cellStyle name="Normal 2 2 3 3 3 5 2 3" xfId="32167"/>
    <cellStyle name="Normal 2 2 3 3 3 5 3" xfId="14289"/>
    <cellStyle name="Normal 2 2 3 3 3 5 3 2" xfId="14290"/>
    <cellStyle name="Normal 2 2 3 3 3 5 3 2 2" xfId="32168"/>
    <cellStyle name="Normal 2 2 3 3 3 5 3 3" xfId="32169"/>
    <cellStyle name="Normal 2 2 3 3 3 5 4" xfId="14291"/>
    <cellStyle name="Normal 2 2 3 3 3 5 4 2" xfId="14292"/>
    <cellStyle name="Normal 2 2 3 3 3 5 4 2 2" xfId="32170"/>
    <cellStyle name="Normal 2 2 3 3 3 5 4 3" xfId="32171"/>
    <cellStyle name="Normal 2 2 3 3 3 5 5" xfId="14293"/>
    <cellStyle name="Normal 2 2 3 3 3 5 5 2" xfId="32172"/>
    <cellStyle name="Normal 2 2 3 3 3 5 6" xfId="14294"/>
    <cellStyle name="Normal 2 2 3 3 3 6" xfId="14295"/>
    <cellStyle name="Normal 2 2 3 3 3 6 2" xfId="14296"/>
    <cellStyle name="Normal 2 2 3 3 3 6 2 2" xfId="32173"/>
    <cellStyle name="Normal 2 2 3 3 3 6 3" xfId="32174"/>
    <cellStyle name="Normal 2 2 3 3 3 7" xfId="14297"/>
    <cellStyle name="Normal 2 2 3 3 3 7 2" xfId="14298"/>
    <cellStyle name="Normal 2 2 3 3 3 7 2 2" xfId="32175"/>
    <cellStyle name="Normal 2 2 3 3 3 7 3" xfId="32176"/>
    <cellStyle name="Normal 2 2 3 3 3 8" xfId="14299"/>
    <cellStyle name="Normal 2 2 3 3 3 8 2" xfId="14300"/>
    <cellStyle name="Normal 2 2 3 3 3 8 2 2" xfId="32177"/>
    <cellStyle name="Normal 2 2 3 3 3 8 3" xfId="32178"/>
    <cellStyle name="Normal 2 2 3 3 3 9" xfId="14301"/>
    <cellStyle name="Normal 2 2 3 3 3 9 2" xfId="32179"/>
    <cellStyle name="Normal 2 2 3 3 4" xfId="164"/>
    <cellStyle name="Normal 2 2 3 3 4 2" xfId="952"/>
    <cellStyle name="Normal 2 2 3 3 4 2 2" xfId="1979"/>
    <cellStyle name="Normal 2 2 3 3 4 2 2 2" xfId="14302"/>
    <cellStyle name="Normal 2 2 3 3 4 2 2 2 2" xfId="14303"/>
    <cellStyle name="Normal 2 2 3 3 4 2 2 2 2 2" xfId="32180"/>
    <cellStyle name="Normal 2 2 3 3 4 2 2 2 3" xfId="32181"/>
    <cellStyle name="Normal 2 2 3 3 4 2 2 3" xfId="14304"/>
    <cellStyle name="Normal 2 2 3 3 4 2 2 3 2" xfId="14305"/>
    <cellStyle name="Normal 2 2 3 3 4 2 2 3 2 2" xfId="32182"/>
    <cellStyle name="Normal 2 2 3 3 4 2 2 3 3" xfId="32183"/>
    <cellStyle name="Normal 2 2 3 3 4 2 2 4" xfId="14306"/>
    <cellStyle name="Normal 2 2 3 3 4 2 2 4 2" xfId="14307"/>
    <cellStyle name="Normal 2 2 3 3 4 2 2 4 2 2" xfId="32184"/>
    <cellStyle name="Normal 2 2 3 3 4 2 2 4 3" xfId="32185"/>
    <cellStyle name="Normal 2 2 3 3 4 2 2 5" xfId="14308"/>
    <cellStyle name="Normal 2 2 3 3 4 2 2 5 2" xfId="32186"/>
    <cellStyle name="Normal 2 2 3 3 4 2 2 6" xfId="14309"/>
    <cellStyle name="Normal 2 2 3 3 4 2 3" xfId="14310"/>
    <cellStyle name="Normal 2 2 3 3 4 2 3 2" xfId="14311"/>
    <cellStyle name="Normal 2 2 3 3 4 2 3 2 2" xfId="32187"/>
    <cellStyle name="Normal 2 2 3 3 4 2 3 3" xfId="32188"/>
    <cellStyle name="Normal 2 2 3 3 4 2 4" xfId="14312"/>
    <cellStyle name="Normal 2 2 3 3 4 2 4 2" xfId="14313"/>
    <cellStyle name="Normal 2 2 3 3 4 2 4 2 2" xfId="32189"/>
    <cellStyle name="Normal 2 2 3 3 4 2 4 3" xfId="32190"/>
    <cellStyle name="Normal 2 2 3 3 4 2 5" xfId="14314"/>
    <cellStyle name="Normal 2 2 3 3 4 2 5 2" xfId="14315"/>
    <cellStyle name="Normal 2 2 3 3 4 2 5 2 2" xfId="32191"/>
    <cellStyle name="Normal 2 2 3 3 4 2 5 3" xfId="32192"/>
    <cellStyle name="Normal 2 2 3 3 4 2 6" xfId="14316"/>
    <cellStyle name="Normal 2 2 3 3 4 2 6 2" xfId="32193"/>
    <cellStyle name="Normal 2 2 3 3 4 2 7" xfId="14317"/>
    <cellStyle name="Normal 2 2 3 3 4 3" xfId="584"/>
    <cellStyle name="Normal 2 2 3 3 4 3 2" xfId="1980"/>
    <cellStyle name="Normal 2 2 3 3 4 3 2 2" xfId="14318"/>
    <cellStyle name="Normal 2 2 3 3 4 3 2 2 2" xfId="14319"/>
    <cellStyle name="Normal 2 2 3 3 4 3 2 2 2 2" xfId="32194"/>
    <cellStyle name="Normal 2 2 3 3 4 3 2 2 3" xfId="32195"/>
    <cellStyle name="Normal 2 2 3 3 4 3 2 3" xfId="14320"/>
    <cellStyle name="Normal 2 2 3 3 4 3 2 3 2" xfId="14321"/>
    <cellStyle name="Normal 2 2 3 3 4 3 2 3 2 2" xfId="32196"/>
    <cellStyle name="Normal 2 2 3 3 4 3 2 3 3" xfId="32197"/>
    <cellStyle name="Normal 2 2 3 3 4 3 2 4" xfId="14322"/>
    <cellStyle name="Normal 2 2 3 3 4 3 2 4 2" xfId="14323"/>
    <cellStyle name="Normal 2 2 3 3 4 3 2 4 2 2" xfId="32198"/>
    <cellStyle name="Normal 2 2 3 3 4 3 2 4 3" xfId="32199"/>
    <cellStyle name="Normal 2 2 3 3 4 3 2 5" xfId="14324"/>
    <cellStyle name="Normal 2 2 3 3 4 3 2 5 2" xfId="32200"/>
    <cellStyle name="Normal 2 2 3 3 4 3 2 6" xfId="14325"/>
    <cellStyle name="Normal 2 2 3 3 4 3 3" xfId="14326"/>
    <cellStyle name="Normal 2 2 3 3 4 3 3 2" xfId="14327"/>
    <cellStyle name="Normal 2 2 3 3 4 3 3 2 2" xfId="32201"/>
    <cellStyle name="Normal 2 2 3 3 4 3 3 3" xfId="32202"/>
    <cellStyle name="Normal 2 2 3 3 4 3 4" xfId="14328"/>
    <cellStyle name="Normal 2 2 3 3 4 3 4 2" xfId="14329"/>
    <cellStyle name="Normal 2 2 3 3 4 3 4 2 2" xfId="32203"/>
    <cellStyle name="Normal 2 2 3 3 4 3 4 3" xfId="32204"/>
    <cellStyle name="Normal 2 2 3 3 4 3 5" xfId="14330"/>
    <cellStyle name="Normal 2 2 3 3 4 3 5 2" xfId="14331"/>
    <cellStyle name="Normal 2 2 3 3 4 3 5 2 2" xfId="32205"/>
    <cellStyle name="Normal 2 2 3 3 4 3 5 3" xfId="32206"/>
    <cellStyle name="Normal 2 2 3 3 4 3 6" xfId="14332"/>
    <cellStyle name="Normal 2 2 3 3 4 3 6 2" xfId="32207"/>
    <cellStyle name="Normal 2 2 3 3 4 3 7" xfId="14333"/>
    <cellStyle name="Normal 2 2 3 3 4 4" xfId="1981"/>
    <cellStyle name="Normal 2 2 3 3 4 4 2" xfId="14334"/>
    <cellStyle name="Normal 2 2 3 3 4 4 2 2" xfId="14335"/>
    <cellStyle name="Normal 2 2 3 3 4 4 2 2 2" xfId="32208"/>
    <cellStyle name="Normal 2 2 3 3 4 4 2 3" xfId="32209"/>
    <cellStyle name="Normal 2 2 3 3 4 4 3" xfId="14336"/>
    <cellStyle name="Normal 2 2 3 3 4 4 3 2" xfId="14337"/>
    <cellStyle name="Normal 2 2 3 3 4 4 3 2 2" xfId="32210"/>
    <cellStyle name="Normal 2 2 3 3 4 4 3 3" xfId="32211"/>
    <cellStyle name="Normal 2 2 3 3 4 4 4" xfId="14338"/>
    <cellStyle name="Normal 2 2 3 3 4 4 4 2" xfId="14339"/>
    <cellStyle name="Normal 2 2 3 3 4 4 4 2 2" xfId="32212"/>
    <cellStyle name="Normal 2 2 3 3 4 4 4 3" xfId="32213"/>
    <cellStyle name="Normal 2 2 3 3 4 4 5" xfId="14340"/>
    <cellStyle name="Normal 2 2 3 3 4 4 5 2" xfId="32214"/>
    <cellStyle name="Normal 2 2 3 3 4 4 6" xfId="14341"/>
    <cellStyle name="Normal 2 2 3 3 4 5" xfId="14342"/>
    <cellStyle name="Normal 2 2 3 3 4 5 2" xfId="14343"/>
    <cellStyle name="Normal 2 2 3 3 4 5 2 2" xfId="32215"/>
    <cellStyle name="Normal 2 2 3 3 4 5 3" xfId="32216"/>
    <cellStyle name="Normal 2 2 3 3 4 6" xfId="14344"/>
    <cellStyle name="Normal 2 2 3 3 4 6 2" xfId="14345"/>
    <cellStyle name="Normal 2 2 3 3 4 6 2 2" xfId="32217"/>
    <cellStyle name="Normal 2 2 3 3 4 6 3" xfId="32218"/>
    <cellStyle name="Normal 2 2 3 3 4 7" xfId="14346"/>
    <cellStyle name="Normal 2 2 3 3 4 7 2" xfId="14347"/>
    <cellStyle name="Normal 2 2 3 3 4 7 2 2" xfId="32219"/>
    <cellStyle name="Normal 2 2 3 3 4 7 3" xfId="32220"/>
    <cellStyle name="Normal 2 2 3 3 4 8" xfId="14348"/>
    <cellStyle name="Normal 2 2 3 3 4 8 2" xfId="32221"/>
    <cellStyle name="Normal 2 2 3 3 4 9" xfId="14349"/>
    <cellStyle name="Normal 2 2 3 3 5" xfId="322"/>
    <cellStyle name="Normal 2 2 3 3 5 2" xfId="1110"/>
    <cellStyle name="Normal 2 2 3 3 5 2 2" xfId="1982"/>
    <cellStyle name="Normal 2 2 3 3 5 2 2 2" xfId="14350"/>
    <cellStyle name="Normal 2 2 3 3 5 2 2 2 2" xfId="14351"/>
    <cellStyle name="Normal 2 2 3 3 5 2 2 2 2 2" xfId="32222"/>
    <cellStyle name="Normal 2 2 3 3 5 2 2 2 3" xfId="32223"/>
    <cellStyle name="Normal 2 2 3 3 5 2 2 3" xfId="14352"/>
    <cellStyle name="Normal 2 2 3 3 5 2 2 3 2" xfId="14353"/>
    <cellStyle name="Normal 2 2 3 3 5 2 2 3 2 2" xfId="32224"/>
    <cellStyle name="Normal 2 2 3 3 5 2 2 3 3" xfId="32225"/>
    <cellStyle name="Normal 2 2 3 3 5 2 2 4" xfId="14354"/>
    <cellStyle name="Normal 2 2 3 3 5 2 2 4 2" xfId="14355"/>
    <cellStyle name="Normal 2 2 3 3 5 2 2 4 2 2" xfId="32226"/>
    <cellStyle name="Normal 2 2 3 3 5 2 2 4 3" xfId="32227"/>
    <cellStyle name="Normal 2 2 3 3 5 2 2 5" xfId="14356"/>
    <cellStyle name="Normal 2 2 3 3 5 2 2 5 2" xfId="32228"/>
    <cellStyle name="Normal 2 2 3 3 5 2 2 6" xfId="14357"/>
    <cellStyle name="Normal 2 2 3 3 5 2 3" xfId="14358"/>
    <cellStyle name="Normal 2 2 3 3 5 2 3 2" xfId="14359"/>
    <cellStyle name="Normal 2 2 3 3 5 2 3 2 2" xfId="32229"/>
    <cellStyle name="Normal 2 2 3 3 5 2 3 3" xfId="32230"/>
    <cellStyle name="Normal 2 2 3 3 5 2 4" xfId="14360"/>
    <cellStyle name="Normal 2 2 3 3 5 2 4 2" xfId="14361"/>
    <cellStyle name="Normal 2 2 3 3 5 2 4 2 2" xfId="32231"/>
    <cellStyle name="Normal 2 2 3 3 5 2 4 3" xfId="32232"/>
    <cellStyle name="Normal 2 2 3 3 5 2 5" xfId="14362"/>
    <cellStyle name="Normal 2 2 3 3 5 2 5 2" xfId="14363"/>
    <cellStyle name="Normal 2 2 3 3 5 2 5 2 2" xfId="32233"/>
    <cellStyle name="Normal 2 2 3 3 5 2 5 3" xfId="32234"/>
    <cellStyle name="Normal 2 2 3 3 5 2 6" xfId="14364"/>
    <cellStyle name="Normal 2 2 3 3 5 2 6 2" xfId="32235"/>
    <cellStyle name="Normal 2 2 3 3 5 2 7" xfId="14365"/>
    <cellStyle name="Normal 2 2 3 3 5 3" xfId="742"/>
    <cellStyle name="Normal 2 2 3 3 5 3 2" xfId="1983"/>
    <cellStyle name="Normal 2 2 3 3 5 3 2 2" xfId="14366"/>
    <cellStyle name="Normal 2 2 3 3 5 3 2 2 2" xfId="14367"/>
    <cellStyle name="Normal 2 2 3 3 5 3 2 2 2 2" xfId="32236"/>
    <cellStyle name="Normal 2 2 3 3 5 3 2 2 3" xfId="32237"/>
    <cellStyle name="Normal 2 2 3 3 5 3 2 3" xfId="14368"/>
    <cellStyle name="Normal 2 2 3 3 5 3 2 3 2" xfId="14369"/>
    <cellStyle name="Normal 2 2 3 3 5 3 2 3 2 2" xfId="32238"/>
    <cellStyle name="Normal 2 2 3 3 5 3 2 3 3" xfId="32239"/>
    <cellStyle name="Normal 2 2 3 3 5 3 2 4" xfId="14370"/>
    <cellStyle name="Normal 2 2 3 3 5 3 2 4 2" xfId="14371"/>
    <cellStyle name="Normal 2 2 3 3 5 3 2 4 2 2" xfId="32240"/>
    <cellStyle name="Normal 2 2 3 3 5 3 2 4 3" xfId="32241"/>
    <cellStyle name="Normal 2 2 3 3 5 3 2 5" xfId="14372"/>
    <cellStyle name="Normal 2 2 3 3 5 3 2 5 2" xfId="32242"/>
    <cellStyle name="Normal 2 2 3 3 5 3 2 6" xfId="14373"/>
    <cellStyle name="Normal 2 2 3 3 5 3 3" xfId="14374"/>
    <cellStyle name="Normal 2 2 3 3 5 3 3 2" xfId="14375"/>
    <cellStyle name="Normal 2 2 3 3 5 3 3 2 2" xfId="32243"/>
    <cellStyle name="Normal 2 2 3 3 5 3 3 3" xfId="32244"/>
    <cellStyle name="Normal 2 2 3 3 5 3 4" xfId="14376"/>
    <cellStyle name="Normal 2 2 3 3 5 3 4 2" xfId="14377"/>
    <cellStyle name="Normal 2 2 3 3 5 3 4 2 2" xfId="32245"/>
    <cellStyle name="Normal 2 2 3 3 5 3 4 3" xfId="32246"/>
    <cellStyle name="Normal 2 2 3 3 5 3 5" xfId="14378"/>
    <cellStyle name="Normal 2 2 3 3 5 3 5 2" xfId="14379"/>
    <cellStyle name="Normal 2 2 3 3 5 3 5 2 2" xfId="32247"/>
    <cellStyle name="Normal 2 2 3 3 5 3 5 3" xfId="32248"/>
    <cellStyle name="Normal 2 2 3 3 5 3 6" xfId="14380"/>
    <cellStyle name="Normal 2 2 3 3 5 3 6 2" xfId="32249"/>
    <cellStyle name="Normal 2 2 3 3 5 3 7" xfId="14381"/>
    <cellStyle name="Normal 2 2 3 3 5 4" xfId="1984"/>
    <cellStyle name="Normal 2 2 3 3 5 4 2" xfId="14382"/>
    <cellStyle name="Normal 2 2 3 3 5 4 2 2" xfId="14383"/>
    <cellStyle name="Normal 2 2 3 3 5 4 2 2 2" xfId="32250"/>
    <cellStyle name="Normal 2 2 3 3 5 4 2 3" xfId="32251"/>
    <cellStyle name="Normal 2 2 3 3 5 4 3" xfId="14384"/>
    <cellStyle name="Normal 2 2 3 3 5 4 3 2" xfId="14385"/>
    <cellStyle name="Normal 2 2 3 3 5 4 3 2 2" xfId="32252"/>
    <cellStyle name="Normal 2 2 3 3 5 4 3 3" xfId="32253"/>
    <cellStyle name="Normal 2 2 3 3 5 4 4" xfId="14386"/>
    <cellStyle name="Normal 2 2 3 3 5 4 4 2" xfId="14387"/>
    <cellStyle name="Normal 2 2 3 3 5 4 4 2 2" xfId="32254"/>
    <cellStyle name="Normal 2 2 3 3 5 4 4 3" xfId="32255"/>
    <cellStyle name="Normal 2 2 3 3 5 4 5" xfId="14388"/>
    <cellStyle name="Normal 2 2 3 3 5 4 5 2" xfId="32256"/>
    <cellStyle name="Normal 2 2 3 3 5 4 6" xfId="14389"/>
    <cellStyle name="Normal 2 2 3 3 5 5" xfId="14390"/>
    <cellStyle name="Normal 2 2 3 3 5 5 2" xfId="14391"/>
    <cellStyle name="Normal 2 2 3 3 5 5 2 2" xfId="32257"/>
    <cellStyle name="Normal 2 2 3 3 5 5 3" xfId="32258"/>
    <cellStyle name="Normal 2 2 3 3 5 6" xfId="14392"/>
    <cellStyle name="Normal 2 2 3 3 5 6 2" xfId="14393"/>
    <cellStyle name="Normal 2 2 3 3 5 6 2 2" xfId="32259"/>
    <cellStyle name="Normal 2 2 3 3 5 6 3" xfId="32260"/>
    <cellStyle name="Normal 2 2 3 3 5 7" xfId="14394"/>
    <cellStyle name="Normal 2 2 3 3 5 7 2" xfId="14395"/>
    <cellStyle name="Normal 2 2 3 3 5 7 2 2" xfId="32261"/>
    <cellStyle name="Normal 2 2 3 3 5 7 3" xfId="32262"/>
    <cellStyle name="Normal 2 2 3 3 5 8" xfId="14396"/>
    <cellStyle name="Normal 2 2 3 3 5 8 2" xfId="32263"/>
    <cellStyle name="Normal 2 2 3 3 5 9" xfId="14397"/>
    <cellStyle name="Normal 2 2 3 3 6" xfId="111"/>
    <cellStyle name="Normal 2 2 3 3 6 2" xfId="532"/>
    <cellStyle name="Normal 2 2 3 3 6 2 2" xfId="1985"/>
    <cellStyle name="Normal 2 2 3 3 6 2 2 2" xfId="14398"/>
    <cellStyle name="Normal 2 2 3 3 6 2 2 2 2" xfId="14399"/>
    <cellStyle name="Normal 2 2 3 3 6 2 2 2 2 2" xfId="32264"/>
    <cellStyle name="Normal 2 2 3 3 6 2 2 2 3" xfId="32265"/>
    <cellStyle name="Normal 2 2 3 3 6 2 2 3" xfId="14400"/>
    <cellStyle name="Normal 2 2 3 3 6 2 2 3 2" xfId="14401"/>
    <cellStyle name="Normal 2 2 3 3 6 2 2 3 2 2" xfId="32266"/>
    <cellStyle name="Normal 2 2 3 3 6 2 2 3 3" xfId="32267"/>
    <cellStyle name="Normal 2 2 3 3 6 2 2 4" xfId="14402"/>
    <cellStyle name="Normal 2 2 3 3 6 2 2 4 2" xfId="14403"/>
    <cellStyle name="Normal 2 2 3 3 6 2 2 4 2 2" xfId="32268"/>
    <cellStyle name="Normal 2 2 3 3 6 2 2 4 3" xfId="32269"/>
    <cellStyle name="Normal 2 2 3 3 6 2 2 5" xfId="14404"/>
    <cellStyle name="Normal 2 2 3 3 6 2 2 5 2" xfId="32270"/>
    <cellStyle name="Normal 2 2 3 3 6 2 2 6" xfId="14405"/>
    <cellStyle name="Normal 2 2 3 3 6 2 3" xfId="14406"/>
    <cellStyle name="Normal 2 2 3 3 6 2 3 2" xfId="14407"/>
    <cellStyle name="Normal 2 2 3 3 6 2 3 2 2" xfId="32271"/>
    <cellStyle name="Normal 2 2 3 3 6 2 3 3" xfId="32272"/>
    <cellStyle name="Normal 2 2 3 3 6 2 4" xfId="14408"/>
    <cellStyle name="Normal 2 2 3 3 6 2 4 2" xfId="14409"/>
    <cellStyle name="Normal 2 2 3 3 6 2 4 2 2" xfId="32273"/>
    <cellStyle name="Normal 2 2 3 3 6 2 4 3" xfId="32274"/>
    <cellStyle name="Normal 2 2 3 3 6 2 5" xfId="14410"/>
    <cellStyle name="Normal 2 2 3 3 6 2 5 2" xfId="14411"/>
    <cellStyle name="Normal 2 2 3 3 6 2 5 2 2" xfId="32275"/>
    <cellStyle name="Normal 2 2 3 3 6 2 5 3" xfId="32276"/>
    <cellStyle name="Normal 2 2 3 3 6 2 6" xfId="14412"/>
    <cellStyle name="Normal 2 2 3 3 6 2 6 2" xfId="32277"/>
    <cellStyle name="Normal 2 2 3 3 6 2 7" xfId="14413"/>
    <cellStyle name="Normal 2 2 3 3 6 3" xfId="1986"/>
    <cellStyle name="Normal 2 2 3 3 6 3 2" xfId="14414"/>
    <cellStyle name="Normal 2 2 3 3 6 3 2 2" xfId="14415"/>
    <cellStyle name="Normal 2 2 3 3 6 3 2 2 2" xfId="32278"/>
    <cellStyle name="Normal 2 2 3 3 6 3 2 3" xfId="32279"/>
    <cellStyle name="Normal 2 2 3 3 6 3 3" xfId="14416"/>
    <cellStyle name="Normal 2 2 3 3 6 3 3 2" xfId="14417"/>
    <cellStyle name="Normal 2 2 3 3 6 3 3 2 2" xfId="32280"/>
    <cellStyle name="Normal 2 2 3 3 6 3 3 3" xfId="32281"/>
    <cellStyle name="Normal 2 2 3 3 6 3 4" xfId="14418"/>
    <cellStyle name="Normal 2 2 3 3 6 3 4 2" xfId="14419"/>
    <cellStyle name="Normal 2 2 3 3 6 3 4 2 2" xfId="32282"/>
    <cellStyle name="Normal 2 2 3 3 6 3 4 3" xfId="32283"/>
    <cellStyle name="Normal 2 2 3 3 6 3 5" xfId="14420"/>
    <cellStyle name="Normal 2 2 3 3 6 3 5 2" xfId="32284"/>
    <cellStyle name="Normal 2 2 3 3 6 3 6" xfId="14421"/>
    <cellStyle name="Normal 2 2 3 3 6 4" xfId="14422"/>
    <cellStyle name="Normal 2 2 3 3 6 4 2" xfId="14423"/>
    <cellStyle name="Normal 2 2 3 3 6 4 2 2" xfId="32285"/>
    <cellStyle name="Normal 2 2 3 3 6 4 3" xfId="32286"/>
    <cellStyle name="Normal 2 2 3 3 6 5" xfId="14424"/>
    <cellStyle name="Normal 2 2 3 3 6 5 2" xfId="14425"/>
    <cellStyle name="Normal 2 2 3 3 6 5 2 2" xfId="32287"/>
    <cellStyle name="Normal 2 2 3 3 6 5 3" xfId="32288"/>
    <cellStyle name="Normal 2 2 3 3 6 6" xfId="14426"/>
    <cellStyle name="Normal 2 2 3 3 6 6 2" xfId="14427"/>
    <cellStyle name="Normal 2 2 3 3 6 6 2 2" xfId="32289"/>
    <cellStyle name="Normal 2 2 3 3 6 6 3" xfId="32290"/>
    <cellStyle name="Normal 2 2 3 3 6 7" xfId="14428"/>
    <cellStyle name="Normal 2 2 3 3 6 7 2" xfId="32291"/>
    <cellStyle name="Normal 2 2 3 3 6 8" xfId="14429"/>
    <cellStyle name="Normal 2 2 3 3 7" xfId="900"/>
    <cellStyle name="Normal 2 2 3 3 7 2" xfId="1987"/>
    <cellStyle name="Normal 2 2 3 3 7 2 2" xfId="14430"/>
    <cellStyle name="Normal 2 2 3 3 7 2 2 2" xfId="14431"/>
    <cellStyle name="Normal 2 2 3 3 7 2 2 2 2" xfId="32292"/>
    <cellStyle name="Normal 2 2 3 3 7 2 2 3" xfId="32293"/>
    <cellStyle name="Normal 2 2 3 3 7 2 3" xfId="14432"/>
    <cellStyle name="Normal 2 2 3 3 7 2 3 2" xfId="14433"/>
    <cellStyle name="Normal 2 2 3 3 7 2 3 2 2" xfId="32294"/>
    <cellStyle name="Normal 2 2 3 3 7 2 3 3" xfId="32295"/>
    <cellStyle name="Normal 2 2 3 3 7 2 4" xfId="14434"/>
    <cellStyle name="Normal 2 2 3 3 7 2 4 2" xfId="14435"/>
    <cellStyle name="Normal 2 2 3 3 7 2 4 2 2" xfId="32296"/>
    <cellStyle name="Normal 2 2 3 3 7 2 4 3" xfId="32297"/>
    <cellStyle name="Normal 2 2 3 3 7 2 5" xfId="14436"/>
    <cellStyle name="Normal 2 2 3 3 7 2 5 2" xfId="32298"/>
    <cellStyle name="Normal 2 2 3 3 7 2 6" xfId="14437"/>
    <cellStyle name="Normal 2 2 3 3 7 3" xfId="14438"/>
    <cellStyle name="Normal 2 2 3 3 7 3 2" xfId="14439"/>
    <cellStyle name="Normal 2 2 3 3 7 3 2 2" xfId="32299"/>
    <cellStyle name="Normal 2 2 3 3 7 3 3" xfId="32300"/>
    <cellStyle name="Normal 2 2 3 3 7 4" xfId="14440"/>
    <cellStyle name="Normal 2 2 3 3 7 4 2" xfId="14441"/>
    <cellStyle name="Normal 2 2 3 3 7 4 2 2" xfId="32301"/>
    <cellStyle name="Normal 2 2 3 3 7 4 3" xfId="32302"/>
    <cellStyle name="Normal 2 2 3 3 7 5" xfId="14442"/>
    <cellStyle name="Normal 2 2 3 3 7 5 2" xfId="14443"/>
    <cellStyle name="Normal 2 2 3 3 7 5 2 2" xfId="32303"/>
    <cellStyle name="Normal 2 2 3 3 7 5 3" xfId="32304"/>
    <cellStyle name="Normal 2 2 3 3 7 6" xfId="14444"/>
    <cellStyle name="Normal 2 2 3 3 7 6 2" xfId="32305"/>
    <cellStyle name="Normal 2 2 3 3 7 7" xfId="14445"/>
    <cellStyle name="Normal 2 2 3 3 8" xfId="488"/>
    <cellStyle name="Normal 2 2 3 3 8 2" xfId="1988"/>
    <cellStyle name="Normal 2 2 3 3 8 2 2" xfId="14446"/>
    <cellStyle name="Normal 2 2 3 3 8 2 2 2" xfId="14447"/>
    <cellStyle name="Normal 2 2 3 3 8 2 2 2 2" xfId="32306"/>
    <cellStyle name="Normal 2 2 3 3 8 2 2 3" xfId="32307"/>
    <cellStyle name="Normal 2 2 3 3 8 2 3" xfId="14448"/>
    <cellStyle name="Normal 2 2 3 3 8 2 3 2" xfId="14449"/>
    <cellStyle name="Normal 2 2 3 3 8 2 3 2 2" xfId="32308"/>
    <cellStyle name="Normal 2 2 3 3 8 2 3 3" xfId="32309"/>
    <cellStyle name="Normal 2 2 3 3 8 2 4" xfId="14450"/>
    <cellStyle name="Normal 2 2 3 3 8 2 4 2" xfId="14451"/>
    <cellStyle name="Normal 2 2 3 3 8 2 4 2 2" xfId="32310"/>
    <cellStyle name="Normal 2 2 3 3 8 2 4 3" xfId="32311"/>
    <cellStyle name="Normal 2 2 3 3 8 2 5" xfId="14452"/>
    <cellStyle name="Normal 2 2 3 3 8 2 5 2" xfId="32312"/>
    <cellStyle name="Normal 2 2 3 3 8 2 6" xfId="14453"/>
    <cellStyle name="Normal 2 2 3 3 8 3" xfId="14454"/>
    <cellStyle name="Normal 2 2 3 3 8 3 2" xfId="14455"/>
    <cellStyle name="Normal 2 2 3 3 8 3 2 2" xfId="32313"/>
    <cellStyle name="Normal 2 2 3 3 8 3 3" xfId="32314"/>
    <cellStyle name="Normal 2 2 3 3 8 4" xfId="14456"/>
    <cellStyle name="Normal 2 2 3 3 8 4 2" xfId="14457"/>
    <cellStyle name="Normal 2 2 3 3 8 4 2 2" xfId="32315"/>
    <cellStyle name="Normal 2 2 3 3 8 4 3" xfId="32316"/>
    <cellStyle name="Normal 2 2 3 3 8 5" xfId="14458"/>
    <cellStyle name="Normal 2 2 3 3 8 5 2" xfId="14459"/>
    <cellStyle name="Normal 2 2 3 3 8 5 2 2" xfId="32317"/>
    <cellStyle name="Normal 2 2 3 3 8 5 3" xfId="32318"/>
    <cellStyle name="Normal 2 2 3 3 8 6" xfId="14460"/>
    <cellStyle name="Normal 2 2 3 3 8 6 2" xfId="32319"/>
    <cellStyle name="Normal 2 2 3 3 8 7" xfId="14461"/>
    <cellStyle name="Normal 2 2 3 3 9" xfId="1989"/>
    <cellStyle name="Normal 2 2 3 3 9 2" xfId="14462"/>
    <cellStyle name="Normal 2 2 3 3 9 2 2" xfId="14463"/>
    <cellStyle name="Normal 2 2 3 3 9 2 2 2" xfId="32320"/>
    <cellStyle name="Normal 2 2 3 3 9 2 3" xfId="32321"/>
    <cellStyle name="Normal 2 2 3 3 9 3" xfId="14464"/>
    <cellStyle name="Normal 2 2 3 3 9 3 2" xfId="14465"/>
    <cellStyle name="Normal 2 2 3 3 9 3 2 2" xfId="32322"/>
    <cellStyle name="Normal 2 2 3 3 9 3 3" xfId="32323"/>
    <cellStyle name="Normal 2 2 3 3 9 4" xfId="14466"/>
    <cellStyle name="Normal 2 2 3 3 9 4 2" xfId="14467"/>
    <cellStyle name="Normal 2 2 3 3 9 4 2 2" xfId="32324"/>
    <cellStyle name="Normal 2 2 3 3 9 4 3" xfId="32325"/>
    <cellStyle name="Normal 2 2 3 3 9 5" xfId="14468"/>
    <cellStyle name="Normal 2 2 3 3 9 5 2" xfId="32326"/>
    <cellStyle name="Normal 2 2 3 3 9 6" xfId="14469"/>
    <cellStyle name="Normal 2 2 3 4" xfId="222"/>
    <cellStyle name="Normal 2 2 3 4 10" xfId="14470"/>
    <cellStyle name="Normal 2 2 3 4 2" xfId="380"/>
    <cellStyle name="Normal 2 2 3 4 2 2" xfId="1168"/>
    <cellStyle name="Normal 2 2 3 4 2 2 2" xfId="1990"/>
    <cellStyle name="Normal 2 2 3 4 2 2 2 2" xfId="14471"/>
    <cellStyle name="Normal 2 2 3 4 2 2 2 2 2" xfId="14472"/>
    <cellStyle name="Normal 2 2 3 4 2 2 2 2 2 2" xfId="32327"/>
    <cellStyle name="Normal 2 2 3 4 2 2 2 2 3" xfId="32328"/>
    <cellStyle name="Normal 2 2 3 4 2 2 2 3" xfId="14473"/>
    <cellStyle name="Normal 2 2 3 4 2 2 2 3 2" xfId="14474"/>
    <cellStyle name="Normal 2 2 3 4 2 2 2 3 2 2" xfId="32329"/>
    <cellStyle name="Normal 2 2 3 4 2 2 2 3 3" xfId="32330"/>
    <cellStyle name="Normal 2 2 3 4 2 2 2 4" xfId="14475"/>
    <cellStyle name="Normal 2 2 3 4 2 2 2 4 2" xfId="14476"/>
    <cellStyle name="Normal 2 2 3 4 2 2 2 4 2 2" xfId="32331"/>
    <cellStyle name="Normal 2 2 3 4 2 2 2 4 3" xfId="32332"/>
    <cellStyle name="Normal 2 2 3 4 2 2 2 5" xfId="14477"/>
    <cellStyle name="Normal 2 2 3 4 2 2 2 5 2" xfId="32333"/>
    <cellStyle name="Normal 2 2 3 4 2 2 2 6" xfId="14478"/>
    <cellStyle name="Normal 2 2 3 4 2 2 3" xfId="14479"/>
    <cellStyle name="Normal 2 2 3 4 2 2 3 2" xfId="14480"/>
    <cellStyle name="Normal 2 2 3 4 2 2 3 2 2" xfId="32334"/>
    <cellStyle name="Normal 2 2 3 4 2 2 3 3" xfId="32335"/>
    <cellStyle name="Normal 2 2 3 4 2 2 4" xfId="14481"/>
    <cellStyle name="Normal 2 2 3 4 2 2 4 2" xfId="14482"/>
    <cellStyle name="Normal 2 2 3 4 2 2 4 2 2" xfId="32336"/>
    <cellStyle name="Normal 2 2 3 4 2 2 4 3" xfId="32337"/>
    <cellStyle name="Normal 2 2 3 4 2 2 5" xfId="14483"/>
    <cellStyle name="Normal 2 2 3 4 2 2 5 2" xfId="14484"/>
    <cellStyle name="Normal 2 2 3 4 2 2 5 2 2" xfId="32338"/>
    <cellStyle name="Normal 2 2 3 4 2 2 5 3" xfId="32339"/>
    <cellStyle name="Normal 2 2 3 4 2 2 6" xfId="14485"/>
    <cellStyle name="Normal 2 2 3 4 2 2 6 2" xfId="32340"/>
    <cellStyle name="Normal 2 2 3 4 2 2 7" xfId="14486"/>
    <cellStyle name="Normal 2 2 3 4 2 3" xfId="800"/>
    <cellStyle name="Normal 2 2 3 4 2 3 2" xfId="1991"/>
    <cellStyle name="Normal 2 2 3 4 2 3 2 2" xfId="14487"/>
    <cellStyle name="Normal 2 2 3 4 2 3 2 2 2" xfId="14488"/>
    <cellStyle name="Normal 2 2 3 4 2 3 2 2 2 2" xfId="32341"/>
    <cellStyle name="Normal 2 2 3 4 2 3 2 2 3" xfId="32342"/>
    <cellStyle name="Normal 2 2 3 4 2 3 2 3" xfId="14489"/>
    <cellStyle name="Normal 2 2 3 4 2 3 2 3 2" xfId="14490"/>
    <cellStyle name="Normal 2 2 3 4 2 3 2 3 2 2" xfId="32343"/>
    <cellStyle name="Normal 2 2 3 4 2 3 2 3 3" xfId="32344"/>
    <cellStyle name="Normal 2 2 3 4 2 3 2 4" xfId="14491"/>
    <cellStyle name="Normal 2 2 3 4 2 3 2 4 2" xfId="14492"/>
    <cellStyle name="Normal 2 2 3 4 2 3 2 4 2 2" xfId="32345"/>
    <cellStyle name="Normal 2 2 3 4 2 3 2 4 3" xfId="32346"/>
    <cellStyle name="Normal 2 2 3 4 2 3 2 5" xfId="14493"/>
    <cellStyle name="Normal 2 2 3 4 2 3 2 5 2" xfId="32347"/>
    <cellStyle name="Normal 2 2 3 4 2 3 2 6" xfId="14494"/>
    <cellStyle name="Normal 2 2 3 4 2 3 3" xfId="14495"/>
    <cellStyle name="Normal 2 2 3 4 2 3 3 2" xfId="14496"/>
    <cellStyle name="Normal 2 2 3 4 2 3 3 2 2" xfId="32348"/>
    <cellStyle name="Normal 2 2 3 4 2 3 3 3" xfId="32349"/>
    <cellStyle name="Normal 2 2 3 4 2 3 4" xfId="14497"/>
    <cellStyle name="Normal 2 2 3 4 2 3 4 2" xfId="14498"/>
    <cellStyle name="Normal 2 2 3 4 2 3 4 2 2" xfId="32350"/>
    <cellStyle name="Normal 2 2 3 4 2 3 4 3" xfId="32351"/>
    <cellStyle name="Normal 2 2 3 4 2 3 5" xfId="14499"/>
    <cellStyle name="Normal 2 2 3 4 2 3 5 2" xfId="14500"/>
    <cellStyle name="Normal 2 2 3 4 2 3 5 2 2" xfId="32352"/>
    <cellStyle name="Normal 2 2 3 4 2 3 5 3" xfId="32353"/>
    <cellStyle name="Normal 2 2 3 4 2 3 6" xfId="14501"/>
    <cellStyle name="Normal 2 2 3 4 2 3 6 2" xfId="32354"/>
    <cellStyle name="Normal 2 2 3 4 2 3 7" xfId="14502"/>
    <cellStyle name="Normal 2 2 3 4 2 4" xfId="1992"/>
    <cellStyle name="Normal 2 2 3 4 2 4 2" xfId="14503"/>
    <cellStyle name="Normal 2 2 3 4 2 4 2 2" xfId="14504"/>
    <cellStyle name="Normal 2 2 3 4 2 4 2 2 2" xfId="32355"/>
    <cellStyle name="Normal 2 2 3 4 2 4 2 3" xfId="32356"/>
    <cellStyle name="Normal 2 2 3 4 2 4 3" xfId="14505"/>
    <cellStyle name="Normal 2 2 3 4 2 4 3 2" xfId="14506"/>
    <cellStyle name="Normal 2 2 3 4 2 4 3 2 2" xfId="32357"/>
    <cellStyle name="Normal 2 2 3 4 2 4 3 3" xfId="32358"/>
    <cellStyle name="Normal 2 2 3 4 2 4 4" xfId="14507"/>
    <cellStyle name="Normal 2 2 3 4 2 4 4 2" xfId="14508"/>
    <cellStyle name="Normal 2 2 3 4 2 4 4 2 2" xfId="32359"/>
    <cellStyle name="Normal 2 2 3 4 2 4 4 3" xfId="32360"/>
    <cellStyle name="Normal 2 2 3 4 2 4 5" xfId="14509"/>
    <cellStyle name="Normal 2 2 3 4 2 4 5 2" xfId="32361"/>
    <cellStyle name="Normal 2 2 3 4 2 4 6" xfId="14510"/>
    <cellStyle name="Normal 2 2 3 4 2 5" xfId="14511"/>
    <cellStyle name="Normal 2 2 3 4 2 5 2" xfId="14512"/>
    <cellStyle name="Normal 2 2 3 4 2 5 2 2" xfId="32362"/>
    <cellStyle name="Normal 2 2 3 4 2 5 3" xfId="32363"/>
    <cellStyle name="Normal 2 2 3 4 2 6" xfId="14513"/>
    <cellStyle name="Normal 2 2 3 4 2 6 2" xfId="14514"/>
    <cellStyle name="Normal 2 2 3 4 2 6 2 2" xfId="32364"/>
    <cellStyle name="Normal 2 2 3 4 2 6 3" xfId="32365"/>
    <cellStyle name="Normal 2 2 3 4 2 7" xfId="14515"/>
    <cellStyle name="Normal 2 2 3 4 2 7 2" xfId="14516"/>
    <cellStyle name="Normal 2 2 3 4 2 7 2 2" xfId="32366"/>
    <cellStyle name="Normal 2 2 3 4 2 7 3" xfId="32367"/>
    <cellStyle name="Normal 2 2 3 4 2 8" xfId="14517"/>
    <cellStyle name="Normal 2 2 3 4 2 8 2" xfId="32368"/>
    <cellStyle name="Normal 2 2 3 4 2 9" xfId="14518"/>
    <cellStyle name="Normal 2 2 3 4 3" xfId="1010"/>
    <cellStyle name="Normal 2 2 3 4 3 2" xfId="1993"/>
    <cellStyle name="Normal 2 2 3 4 3 2 2" xfId="14519"/>
    <cellStyle name="Normal 2 2 3 4 3 2 2 2" xfId="14520"/>
    <cellStyle name="Normal 2 2 3 4 3 2 2 2 2" xfId="32369"/>
    <cellStyle name="Normal 2 2 3 4 3 2 2 3" xfId="32370"/>
    <cellStyle name="Normal 2 2 3 4 3 2 3" xfId="14521"/>
    <cellStyle name="Normal 2 2 3 4 3 2 3 2" xfId="14522"/>
    <cellStyle name="Normal 2 2 3 4 3 2 3 2 2" xfId="32371"/>
    <cellStyle name="Normal 2 2 3 4 3 2 3 3" xfId="32372"/>
    <cellStyle name="Normal 2 2 3 4 3 2 4" xfId="14523"/>
    <cellStyle name="Normal 2 2 3 4 3 2 4 2" xfId="14524"/>
    <cellStyle name="Normal 2 2 3 4 3 2 4 2 2" xfId="32373"/>
    <cellStyle name="Normal 2 2 3 4 3 2 4 3" xfId="32374"/>
    <cellStyle name="Normal 2 2 3 4 3 2 5" xfId="14525"/>
    <cellStyle name="Normal 2 2 3 4 3 2 5 2" xfId="32375"/>
    <cellStyle name="Normal 2 2 3 4 3 2 6" xfId="14526"/>
    <cellStyle name="Normal 2 2 3 4 3 3" xfId="14527"/>
    <cellStyle name="Normal 2 2 3 4 3 3 2" xfId="14528"/>
    <cellStyle name="Normal 2 2 3 4 3 3 2 2" xfId="32376"/>
    <cellStyle name="Normal 2 2 3 4 3 3 3" xfId="32377"/>
    <cellStyle name="Normal 2 2 3 4 3 4" xfId="14529"/>
    <cellStyle name="Normal 2 2 3 4 3 4 2" xfId="14530"/>
    <cellStyle name="Normal 2 2 3 4 3 4 2 2" xfId="32378"/>
    <cellStyle name="Normal 2 2 3 4 3 4 3" xfId="32379"/>
    <cellStyle name="Normal 2 2 3 4 3 5" xfId="14531"/>
    <cellStyle name="Normal 2 2 3 4 3 5 2" xfId="14532"/>
    <cellStyle name="Normal 2 2 3 4 3 5 2 2" xfId="32380"/>
    <cellStyle name="Normal 2 2 3 4 3 5 3" xfId="32381"/>
    <cellStyle name="Normal 2 2 3 4 3 6" xfId="14533"/>
    <cellStyle name="Normal 2 2 3 4 3 6 2" xfId="32382"/>
    <cellStyle name="Normal 2 2 3 4 3 7" xfId="14534"/>
    <cellStyle name="Normal 2 2 3 4 4" xfId="642"/>
    <cellStyle name="Normal 2 2 3 4 4 2" xfId="1994"/>
    <cellStyle name="Normal 2 2 3 4 4 2 2" xfId="14535"/>
    <cellStyle name="Normal 2 2 3 4 4 2 2 2" xfId="14536"/>
    <cellStyle name="Normal 2 2 3 4 4 2 2 2 2" xfId="32383"/>
    <cellStyle name="Normal 2 2 3 4 4 2 2 3" xfId="32384"/>
    <cellStyle name="Normal 2 2 3 4 4 2 3" xfId="14537"/>
    <cellStyle name="Normal 2 2 3 4 4 2 3 2" xfId="14538"/>
    <cellStyle name="Normal 2 2 3 4 4 2 3 2 2" xfId="32385"/>
    <cellStyle name="Normal 2 2 3 4 4 2 3 3" xfId="32386"/>
    <cellStyle name="Normal 2 2 3 4 4 2 4" xfId="14539"/>
    <cellStyle name="Normal 2 2 3 4 4 2 4 2" xfId="14540"/>
    <cellStyle name="Normal 2 2 3 4 4 2 4 2 2" xfId="32387"/>
    <cellStyle name="Normal 2 2 3 4 4 2 4 3" xfId="32388"/>
    <cellStyle name="Normal 2 2 3 4 4 2 5" xfId="14541"/>
    <cellStyle name="Normal 2 2 3 4 4 2 5 2" xfId="32389"/>
    <cellStyle name="Normal 2 2 3 4 4 2 6" xfId="14542"/>
    <cellStyle name="Normal 2 2 3 4 4 3" xfId="14543"/>
    <cellStyle name="Normal 2 2 3 4 4 3 2" xfId="14544"/>
    <cellStyle name="Normal 2 2 3 4 4 3 2 2" xfId="32390"/>
    <cellStyle name="Normal 2 2 3 4 4 3 3" xfId="32391"/>
    <cellStyle name="Normal 2 2 3 4 4 4" xfId="14545"/>
    <cellStyle name="Normal 2 2 3 4 4 4 2" xfId="14546"/>
    <cellStyle name="Normal 2 2 3 4 4 4 2 2" xfId="32392"/>
    <cellStyle name="Normal 2 2 3 4 4 4 3" xfId="32393"/>
    <cellStyle name="Normal 2 2 3 4 4 5" xfId="14547"/>
    <cellStyle name="Normal 2 2 3 4 4 5 2" xfId="14548"/>
    <cellStyle name="Normal 2 2 3 4 4 5 2 2" xfId="32394"/>
    <cellStyle name="Normal 2 2 3 4 4 5 3" xfId="32395"/>
    <cellStyle name="Normal 2 2 3 4 4 6" xfId="14549"/>
    <cellStyle name="Normal 2 2 3 4 4 6 2" xfId="32396"/>
    <cellStyle name="Normal 2 2 3 4 4 7" xfId="14550"/>
    <cellStyle name="Normal 2 2 3 4 5" xfId="1995"/>
    <cellStyle name="Normal 2 2 3 4 5 2" xfId="14551"/>
    <cellStyle name="Normal 2 2 3 4 5 2 2" xfId="14552"/>
    <cellStyle name="Normal 2 2 3 4 5 2 2 2" xfId="32397"/>
    <cellStyle name="Normal 2 2 3 4 5 2 3" xfId="32398"/>
    <cellStyle name="Normal 2 2 3 4 5 3" xfId="14553"/>
    <cellStyle name="Normal 2 2 3 4 5 3 2" xfId="14554"/>
    <cellStyle name="Normal 2 2 3 4 5 3 2 2" xfId="32399"/>
    <cellStyle name="Normal 2 2 3 4 5 3 3" xfId="32400"/>
    <cellStyle name="Normal 2 2 3 4 5 4" xfId="14555"/>
    <cellStyle name="Normal 2 2 3 4 5 4 2" xfId="14556"/>
    <cellStyle name="Normal 2 2 3 4 5 4 2 2" xfId="32401"/>
    <cellStyle name="Normal 2 2 3 4 5 4 3" xfId="32402"/>
    <cellStyle name="Normal 2 2 3 4 5 5" xfId="14557"/>
    <cellStyle name="Normal 2 2 3 4 5 5 2" xfId="32403"/>
    <cellStyle name="Normal 2 2 3 4 5 6" xfId="14558"/>
    <cellStyle name="Normal 2 2 3 4 6" xfId="14559"/>
    <cellStyle name="Normal 2 2 3 4 6 2" xfId="14560"/>
    <cellStyle name="Normal 2 2 3 4 6 2 2" xfId="32404"/>
    <cellStyle name="Normal 2 2 3 4 6 3" xfId="32405"/>
    <cellStyle name="Normal 2 2 3 4 7" xfId="14561"/>
    <cellStyle name="Normal 2 2 3 4 7 2" xfId="14562"/>
    <cellStyle name="Normal 2 2 3 4 7 2 2" xfId="32406"/>
    <cellStyle name="Normal 2 2 3 4 7 3" xfId="32407"/>
    <cellStyle name="Normal 2 2 3 4 8" xfId="14563"/>
    <cellStyle name="Normal 2 2 3 4 8 2" xfId="14564"/>
    <cellStyle name="Normal 2 2 3 4 8 2 2" xfId="32408"/>
    <cellStyle name="Normal 2 2 3 4 8 3" xfId="32409"/>
    <cellStyle name="Normal 2 2 3 4 9" xfId="14565"/>
    <cellStyle name="Normal 2 2 3 4 9 2" xfId="32410"/>
    <cellStyle name="Normal 2 2 3 5" xfId="273"/>
    <cellStyle name="Normal 2 2 3 5 10" xfId="14566"/>
    <cellStyle name="Normal 2 2 3 5 2" xfId="431"/>
    <cellStyle name="Normal 2 2 3 5 2 2" xfId="1219"/>
    <cellStyle name="Normal 2 2 3 5 2 2 2" xfId="1996"/>
    <cellStyle name="Normal 2 2 3 5 2 2 2 2" xfId="14567"/>
    <cellStyle name="Normal 2 2 3 5 2 2 2 2 2" xfId="14568"/>
    <cellStyle name="Normal 2 2 3 5 2 2 2 2 2 2" xfId="32411"/>
    <cellStyle name="Normal 2 2 3 5 2 2 2 2 3" xfId="32412"/>
    <cellStyle name="Normal 2 2 3 5 2 2 2 3" xfId="14569"/>
    <cellStyle name="Normal 2 2 3 5 2 2 2 3 2" xfId="14570"/>
    <cellStyle name="Normal 2 2 3 5 2 2 2 3 2 2" xfId="32413"/>
    <cellStyle name="Normal 2 2 3 5 2 2 2 3 3" xfId="32414"/>
    <cellStyle name="Normal 2 2 3 5 2 2 2 4" xfId="14571"/>
    <cellStyle name="Normal 2 2 3 5 2 2 2 4 2" xfId="14572"/>
    <cellStyle name="Normal 2 2 3 5 2 2 2 4 2 2" xfId="32415"/>
    <cellStyle name="Normal 2 2 3 5 2 2 2 4 3" xfId="32416"/>
    <cellStyle name="Normal 2 2 3 5 2 2 2 5" xfId="14573"/>
    <cellStyle name="Normal 2 2 3 5 2 2 2 5 2" xfId="32417"/>
    <cellStyle name="Normal 2 2 3 5 2 2 2 6" xfId="14574"/>
    <cellStyle name="Normal 2 2 3 5 2 2 3" xfId="14575"/>
    <cellStyle name="Normal 2 2 3 5 2 2 3 2" xfId="14576"/>
    <cellStyle name="Normal 2 2 3 5 2 2 3 2 2" xfId="32418"/>
    <cellStyle name="Normal 2 2 3 5 2 2 3 3" xfId="32419"/>
    <cellStyle name="Normal 2 2 3 5 2 2 4" xfId="14577"/>
    <cellStyle name="Normal 2 2 3 5 2 2 4 2" xfId="14578"/>
    <cellStyle name="Normal 2 2 3 5 2 2 4 2 2" xfId="32420"/>
    <cellStyle name="Normal 2 2 3 5 2 2 4 3" xfId="32421"/>
    <cellStyle name="Normal 2 2 3 5 2 2 5" xfId="14579"/>
    <cellStyle name="Normal 2 2 3 5 2 2 5 2" xfId="14580"/>
    <cellStyle name="Normal 2 2 3 5 2 2 5 2 2" xfId="32422"/>
    <cellStyle name="Normal 2 2 3 5 2 2 5 3" xfId="32423"/>
    <cellStyle name="Normal 2 2 3 5 2 2 6" xfId="14581"/>
    <cellStyle name="Normal 2 2 3 5 2 2 6 2" xfId="32424"/>
    <cellStyle name="Normal 2 2 3 5 2 2 7" xfId="14582"/>
    <cellStyle name="Normal 2 2 3 5 2 3" xfId="851"/>
    <cellStyle name="Normal 2 2 3 5 2 3 2" xfId="1997"/>
    <cellStyle name="Normal 2 2 3 5 2 3 2 2" xfId="14583"/>
    <cellStyle name="Normal 2 2 3 5 2 3 2 2 2" xfId="14584"/>
    <cellStyle name="Normal 2 2 3 5 2 3 2 2 2 2" xfId="32425"/>
    <cellStyle name="Normal 2 2 3 5 2 3 2 2 3" xfId="32426"/>
    <cellStyle name="Normal 2 2 3 5 2 3 2 3" xfId="14585"/>
    <cellStyle name="Normal 2 2 3 5 2 3 2 3 2" xfId="14586"/>
    <cellStyle name="Normal 2 2 3 5 2 3 2 3 2 2" xfId="32427"/>
    <cellStyle name="Normal 2 2 3 5 2 3 2 3 3" xfId="32428"/>
    <cellStyle name="Normal 2 2 3 5 2 3 2 4" xfId="14587"/>
    <cellStyle name="Normal 2 2 3 5 2 3 2 4 2" xfId="14588"/>
    <cellStyle name="Normal 2 2 3 5 2 3 2 4 2 2" xfId="32429"/>
    <cellStyle name="Normal 2 2 3 5 2 3 2 4 3" xfId="32430"/>
    <cellStyle name="Normal 2 2 3 5 2 3 2 5" xfId="14589"/>
    <cellStyle name="Normal 2 2 3 5 2 3 2 5 2" xfId="32431"/>
    <cellStyle name="Normal 2 2 3 5 2 3 2 6" xfId="14590"/>
    <cellStyle name="Normal 2 2 3 5 2 3 3" xfId="14591"/>
    <cellStyle name="Normal 2 2 3 5 2 3 3 2" xfId="14592"/>
    <cellStyle name="Normal 2 2 3 5 2 3 3 2 2" xfId="32432"/>
    <cellStyle name="Normal 2 2 3 5 2 3 3 3" xfId="32433"/>
    <cellStyle name="Normal 2 2 3 5 2 3 4" xfId="14593"/>
    <cellStyle name="Normal 2 2 3 5 2 3 4 2" xfId="14594"/>
    <cellStyle name="Normal 2 2 3 5 2 3 4 2 2" xfId="32434"/>
    <cellStyle name="Normal 2 2 3 5 2 3 4 3" xfId="32435"/>
    <cellStyle name="Normal 2 2 3 5 2 3 5" xfId="14595"/>
    <cellStyle name="Normal 2 2 3 5 2 3 5 2" xfId="14596"/>
    <cellStyle name="Normal 2 2 3 5 2 3 5 2 2" xfId="32436"/>
    <cellStyle name="Normal 2 2 3 5 2 3 5 3" xfId="32437"/>
    <cellStyle name="Normal 2 2 3 5 2 3 6" xfId="14597"/>
    <cellStyle name="Normal 2 2 3 5 2 3 6 2" xfId="32438"/>
    <cellStyle name="Normal 2 2 3 5 2 3 7" xfId="14598"/>
    <cellStyle name="Normal 2 2 3 5 2 4" xfId="1998"/>
    <cellStyle name="Normal 2 2 3 5 2 4 2" xfId="14599"/>
    <cellStyle name="Normal 2 2 3 5 2 4 2 2" xfId="14600"/>
    <cellStyle name="Normal 2 2 3 5 2 4 2 2 2" xfId="32439"/>
    <cellStyle name="Normal 2 2 3 5 2 4 2 3" xfId="32440"/>
    <cellStyle name="Normal 2 2 3 5 2 4 3" xfId="14601"/>
    <cellStyle name="Normal 2 2 3 5 2 4 3 2" xfId="14602"/>
    <cellStyle name="Normal 2 2 3 5 2 4 3 2 2" xfId="32441"/>
    <cellStyle name="Normal 2 2 3 5 2 4 3 3" xfId="32442"/>
    <cellStyle name="Normal 2 2 3 5 2 4 4" xfId="14603"/>
    <cellStyle name="Normal 2 2 3 5 2 4 4 2" xfId="14604"/>
    <cellStyle name="Normal 2 2 3 5 2 4 4 2 2" xfId="32443"/>
    <cellStyle name="Normal 2 2 3 5 2 4 4 3" xfId="32444"/>
    <cellStyle name="Normal 2 2 3 5 2 4 5" xfId="14605"/>
    <cellStyle name="Normal 2 2 3 5 2 4 5 2" xfId="32445"/>
    <cellStyle name="Normal 2 2 3 5 2 4 6" xfId="14606"/>
    <cellStyle name="Normal 2 2 3 5 2 5" xfId="14607"/>
    <cellStyle name="Normal 2 2 3 5 2 5 2" xfId="14608"/>
    <cellStyle name="Normal 2 2 3 5 2 5 2 2" xfId="32446"/>
    <cellStyle name="Normal 2 2 3 5 2 5 3" xfId="32447"/>
    <cellStyle name="Normal 2 2 3 5 2 6" xfId="14609"/>
    <cellStyle name="Normal 2 2 3 5 2 6 2" xfId="14610"/>
    <cellStyle name="Normal 2 2 3 5 2 6 2 2" xfId="32448"/>
    <cellStyle name="Normal 2 2 3 5 2 6 3" xfId="32449"/>
    <cellStyle name="Normal 2 2 3 5 2 7" xfId="14611"/>
    <cellStyle name="Normal 2 2 3 5 2 7 2" xfId="14612"/>
    <cellStyle name="Normal 2 2 3 5 2 7 2 2" xfId="32450"/>
    <cellStyle name="Normal 2 2 3 5 2 7 3" xfId="32451"/>
    <cellStyle name="Normal 2 2 3 5 2 8" xfId="14613"/>
    <cellStyle name="Normal 2 2 3 5 2 8 2" xfId="32452"/>
    <cellStyle name="Normal 2 2 3 5 2 9" xfId="14614"/>
    <cellStyle name="Normal 2 2 3 5 3" xfId="1061"/>
    <cellStyle name="Normal 2 2 3 5 3 2" xfId="1999"/>
    <cellStyle name="Normal 2 2 3 5 3 2 2" xfId="14615"/>
    <cellStyle name="Normal 2 2 3 5 3 2 2 2" xfId="14616"/>
    <cellStyle name="Normal 2 2 3 5 3 2 2 2 2" xfId="32453"/>
    <cellStyle name="Normal 2 2 3 5 3 2 2 3" xfId="32454"/>
    <cellStyle name="Normal 2 2 3 5 3 2 3" xfId="14617"/>
    <cellStyle name="Normal 2 2 3 5 3 2 3 2" xfId="14618"/>
    <cellStyle name="Normal 2 2 3 5 3 2 3 2 2" xfId="32455"/>
    <cellStyle name="Normal 2 2 3 5 3 2 3 3" xfId="32456"/>
    <cellStyle name="Normal 2 2 3 5 3 2 4" xfId="14619"/>
    <cellStyle name="Normal 2 2 3 5 3 2 4 2" xfId="14620"/>
    <cellStyle name="Normal 2 2 3 5 3 2 4 2 2" xfId="32457"/>
    <cellStyle name="Normal 2 2 3 5 3 2 4 3" xfId="32458"/>
    <cellStyle name="Normal 2 2 3 5 3 2 5" xfId="14621"/>
    <cellStyle name="Normal 2 2 3 5 3 2 5 2" xfId="32459"/>
    <cellStyle name="Normal 2 2 3 5 3 2 6" xfId="14622"/>
    <cellStyle name="Normal 2 2 3 5 3 3" xfId="14623"/>
    <cellStyle name="Normal 2 2 3 5 3 3 2" xfId="14624"/>
    <cellStyle name="Normal 2 2 3 5 3 3 2 2" xfId="32460"/>
    <cellStyle name="Normal 2 2 3 5 3 3 3" xfId="32461"/>
    <cellStyle name="Normal 2 2 3 5 3 4" xfId="14625"/>
    <cellStyle name="Normal 2 2 3 5 3 4 2" xfId="14626"/>
    <cellStyle name="Normal 2 2 3 5 3 4 2 2" xfId="32462"/>
    <cellStyle name="Normal 2 2 3 5 3 4 3" xfId="32463"/>
    <cellStyle name="Normal 2 2 3 5 3 5" xfId="14627"/>
    <cellStyle name="Normal 2 2 3 5 3 5 2" xfId="14628"/>
    <cellStyle name="Normal 2 2 3 5 3 5 2 2" xfId="32464"/>
    <cellStyle name="Normal 2 2 3 5 3 5 3" xfId="32465"/>
    <cellStyle name="Normal 2 2 3 5 3 6" xfId="14629"/>
    <cellStyle name="Normal 2 2 3 5 3 6 2" xfId="32466"/>
    <cellStyle name="Normal 2 2 3 5 3 7" xfId="14630"/>
    <cellStyle name="Normal 2 2 3 5 4" xfId="693"/>
    <cellStyle name="Normal 2 2 3 5 4 2" xfId="2000"/>
    <cellStyle name="Normal 2 2 3 5 4 2 2" xfId="14631"/>
    <cellStyle name="Normal 2 2 3 5 4 2 2 2" xfId="14632"/>
    <cellStyle name="Normal 2 2 3 5 4 2 2 2 2" xfId="32467"/>
    <cellStyle name="Normal 2 2 3 5 4 2 2 3" xfId="32468"/>
    <cellStyle name="Normal 2 2 3 5 4 2 3" xfId="14633"/>
    <cellStyle name="Normal 2 2 3 5 4 2 3 2" xfId="14634"/>
    <cellStyle name="Normal 2 2 3 5 4 2 3 2 2" xfId="32469"/>
    <cellStyle name="Normal 2 2 3 5 4 2 3 3" xfId="32470"/>
    <cellStyle name="Normal 2 2 3 5 4 2 4" xfId="14635"/>
    <cellStyle name="Normal 2 2 3 5 4 2 4 2" xfId="14636"/>
    <cellStyle name="Normal 2 2 3 5 4 2 4 2 2" xfId="32471"/>
    <cellStyle name="Normal 2 2 3 5 4 2 4 3" xfId="32472"/>
    <cellStyle name="Normal 2 2 3 5 4 2 5" xfId="14637"/>
    <cellStyle name="Normal 2 2 3 5 4 2 5 2" xfId="32473"/>
    <cellStyle name="Normal 2 2 3 5 4 2 6" xfId="14638"/>
    <cellStyle name="Normal 2 2 3 5 4 3" xfId="14639"/>
    <cellStyle name="Normal 2 2 3 5 4 3 2" xfId="14640"/>
    <cellStyle name="Normal 2 2 3 5 4 3 2 2" xfId="32474"/>
    <cellStyle name="Normal 2 2 3 5 4 3 3" xfId="32475"/>
    <cellStyle name="Normal 2 2 3 5 4 4" xfId="14641"/>
    <cellStyle name="Normal 2 2 3 5 4 4 2" xfId="14642"/>
    <cellStyle name="Normal 2 2 3 5 4 4 2 2" xfId="32476"/>
    <cellStyle name="Normal 2 2 3 5 4 4 3" xfId="32477"/>
    <cellStyle name="Normal 2 2 3 5 4 5" xfId="14643"/>
    <cellStyle name="Normal 2 2 3 5 4 5 2" xfId="14644"/>
    <cellStyle name="Normal 2 2 3 5 4 5 2 2" xfId="32478"/>
    <cellStyle name="Normal 2 2 3 5 4 5 3" xfId="32479"/>
    <cellStyle name="Normal 2 2 3 5 4 6" xfId="14645"/>
    <cellStyle name="Normal 2 2 3 5 4 6 2" xfId="32480"/>
    <cellStyle name="Normal 2 2 3 5 4 7" xfId="14646"/>
    <cellStyle name="Normal 2 2 3 5 5" xfId="2001"/>
    <cellStyle name="Normal 2 2 3 5 5 2" xfId="14647"/>
    <cellStyle name="Normal 2 2 3 5 5 2 2" xfId="14648"/>
    <cellStyle name="Normal 2 2 3 5 5 2 2 2" xfId="32481"/>
    <cellStyle name="Normal 2 2 3 5 5 2 3" xfId="32482"/>
    <cellStyle name="Normal 2 2 3 5 5 3" xfId="14649"/>
    <cellStyle name="Normal 2 2 3 5 5 3 2" xfId="14650"/>
    <cellStyle name="Normal 2 2 3 5 5 3 2 2" xfId="32483"/>
    <cellStyle name="Normal 2 2 3 5 5 3 3" xfId="32484"/>
    <cellStyle name="Normal 2 2 3 5 5 4" xfId="14651"/>
    <cellStyle name="Normal 2 2 3 5 5 4 2" xfId="14652"/>
    <cellStyle name="Normal 2 2 3 5 5 4 2 2" xfId="32485"/>
    <cellStyle name="Normal 2 2 3 5 5 4 3" xfId="32486"/>
    <cellStyle name="Normal 2 2 3 5 5 5" xfId="14653"/>
    <cellStyle name="Normal 2 2 3 5 5 5 2" xfId="32487"/>
    <cellStyle name="Normal 2 2 3 5 5 6" xfId="14654"/>
    <cellStyle name="Normal 2 2 3 5 6" xfId="14655"/>
    <cellStyle name="Normal 2 2 3 5 6 2" xfId="14656"/>
    <cellStyle name="Normal 2 2 3 5 6 2 2" xfId="32488"/>
    <cellStyle name="Normal 2 2 3 5 6 3" xfId="32489"/>
    <cellStyle name="Normal 2 2 3 5 7" xfId="14657"/>
    <cellStyle name="Normal 2 2 3 5 7 2" xfId="14658"/>
    <cellStyle name="Normal 2 2 3 5 7 2 2" xfId="32490"/>
    <cellStyle name="Normal 2 2 3 5 7 3" xfId="32491"/>
    <cellStyle name="Normal 2 2 3 5 8" xfId="14659"/>
    <cellStyle name="Normal 2 2 3 5 8 2" xfId="14660"/>
    <cellStyle name="Normal 2 2 3 5 8 2 2" xfId="32492"/>
    <cellStyle name="Normal 2 2 3 5 8 3" xfId="32493"/>
    <cellStyle name="Normal 2 2 3 5 9" xfId="14661"/>
    <cellStyle name="Normal 2 2 3 5 9 2" xfId="32494"/>
    <cellStyle name="Normal 2 2 3 6" xfId="146"/>
    <cellStyle name="Normal 2 2 3 6 2" xfId="934"/>
    <cellStyle name="Normal 2 2 3 6 2 2" xfId="2002"/>
    <cellStyle name="Normal 2 2 3 6 2 2 2" xfId="14662"/>
    <cellStyle name="Normal 2 2 3 6 2 2 2 2" xfId="14663"/>
    <cellStyle name="Normal 2 2 3 6 2 2 2 2 2" xfId="32495"/>
    <cellStyle name="Normal 2 2 3 6 2 2 2 3" xfId="32496"/>
    <cellStyle name="Normal 2 2 3 6 2 2 3" xfId="14664"/>
    <cellStyle name="Normal 2 2 3 6 2 2 3 2" xfId="14665"/>
    <cellStyle name="Normal 2 2 3 6 2 2 3 2 2" xfId="32497"/>
    <cellStyle name="Normal 2 2 3 6 2 2 3 3" xfId="32498"/>
    <cellStyle name="Normal 2 2 3 6 2 2 4" xfId="14666"/>
    <cellStyle name="Normal 2 2 3 6 2 2 4 2" xfId="14667"/>
    <cellStyle name="Normal 2 2 3 6 2 2 4 2 2" xfId="32499"/>
    <cellStyle name="Normal 2 2 3 6 2 2 4 3" xfId="32500"/>
    <cellStyle name="Normal 2 2 3 6 2 2 5" xfId="14668"/>
    <cellStyle name="Normal 2 2 3 6 2 2 5 2" xfId="32501"/>
    <cellStyle name="Normal 2 2 3 6 2 2 6" xfId="14669"/>
    <cellStyle name="Normal 2 2 3 6 2 3" xfId="14670"/>
    <cellStyle name="Normal 2 2 3 6 2 3 2" xfId="14671"/>
    <cellStyle name="Normal 2 2 3 6 2 3 2 2" xfId="32502"/>
    <cellStyle name="Normal 2 2 3 6 2 3 3" xfId="32503"/>
    <cellStyle name="Normal 2 2 3 6 2 4" xfId="14672"/>
    <cellStyle name="Normal 2 2 3 6 2 4 2" xfId="14673"/>
    <cellStyle name="Normal 2 2 3 6 2 4 2 2" xfId="32504"/>
    <cellStyle name="Normal 2 2 3 6 2 4 3" xfId="32505"/>
    <cellStyle name="Normal 2 2 3 6 2 5" xfId="14674"/>
    <cellStyle name="Normal 2 2 3 6 2 5 2" xfId="14675"/>
    <cellStyle name="Normal 2 2 3 6 2 5 2 2" xfId="32506"/>
    <cellStyle name="Normal 2 2 3 6 2 5 3" xfId="32507"/>
    <cellStyle name="Normal 2 2 3 6 2 6" xfId="14676"/>
    <cellStyle name="Normal 2 2 3 6 2 6 2" xfId="32508"/>
    <cellStyle name="Normal 2 2 3 6 2 7" xfId="14677"/>
    <cellStyle name="Normal 2 2 3 6 3" xfId="566"/>
    <cellStyle name="Normal 2 2 3 6 3 2" xfId="2003"/>
    <cellStyle name="Normal 2 2 3 6 3 2 2" xfId="14678"/>
    <cellStyle name="Normal 2 2 3 6 3 2 2 2" xfId="14679"/>
    <cellStyle name="Normal 2 2 3 6 3 2 2 2 2" xfId="32509"/>
    <cellStyle name="Normal 2 2 3 6 3 2 2 3" xfId="32510"/>
    <cellStyle name="Normal 2 2 3 6 3 2 3" xfId="14680"/>
    <cellStyle name="Normal 2 2 3 6 3 2 3 2" xfId="14681"/>
    <cellStyle name="Normal 2 2 3 6 3 2 3 2 2" xfId="32511"/>
    <cellStyle name="Normal 2 2 3 6 3 2 3 3" xfId="32512"/>
    <cellStyle name="Normal 2 2 3 6 3 2 4" xfId="14682"/>
    <cellStyle name="Normal 2 2 3 6 3 2 4 2" xfId="14683"/>
    <cellStyle name="Normal 2 2 3 6 3 2 4 2 2" xfId="32513"/>
    <cellStyle name="Normal 2 2 3 6 3 2 4 3" xfId="32514"/>
    <cellStyle name="Normal 2 2 3 6 3 2 5" xfId="14684"/>
    <cellStyle name="Normal 2 2 3 6 3 2 5 2" xfId="32515"/>
    <cellStyle name="Normal 2 2 3 6 3 2 6" xfId="14685"/>
    <cellStyle name="Normal 2 2 3 6 3 3" xfId="14686"/>
    <cellStyle name="Normal 2 2 3 6 3 3 2" xfId="14687"/>
    <cellStyle name="Normal 2 2 3 6 3 3 2 2" xfId="32516"/>
    <cellStyle name="Normal 2 2 3 6 3 3 3" xfId="32517"/>
    <cellStyle name="Normal 2 2 3 6 3 4" xfId="14688"/>
    <cellStyle name="Normal 2 2 3 6 3 4 2" xfId="14689"/>
    <cellStyle name="Normal 2 2 3 6 3 4 2 2" xfId="32518"/>
    <cellStyle name="Normal 2 2 3 6 3 4 3" xfId="32519"/>
    <cellStyle name="Normal 2 2 3 6 3 5" xfId="14690"/>
    <cellStyle name="Normal 2 2 3 6 3 5 2" xfId="14691"/>
    <cellStyle name="Normal 2 2 3 6 3 5 2 2" xfId="32520"/>
    <cellStyle name="Normal 2 2 3 6 3 5 3" xfId="32521"/>
    <cellStyle name="Normal 2 2 3 6 3 6" xfId="14692"/>
    <cellStyle name="Normal 2 2 3 6 3 6 2" xfId="32522"/>
    <cellStyle name="Normal 2 2 3 6 3 7" xfId="14693"/>
    <cellStyle name="Normal 2 2 3 6 4" xfId="2004"/>
    <cellStyle name="Normal 2 2 3 6 4 2" xfId="14694"/>
    <cellStyle name="Normal 2 2 3 6 4 2 2" xfId="14695"/>
    <cellStyle name="Normal 2 2 3 6 4 2 2 2" xfId="32523"/>
    <cellStyle name="Normal 2 2 3 6 4 2 3" xfId="32524"/>
    <cellStyle name="Normal 2 2 3 6 4 3" xfId="14696"/>
    <cellStyle name="Normal 2 2 3 6 4 3 2" xfId="14697"/>
    <cellStyle name="Normal 2 2 3 6 4 3 2 2" xfId="32525"/>
    <cellStyle name="Normal 2 2 3 6 4 3 3" xfId="32526"/>
    <cellStyle name="Normal 2 2 3 6 4 4" xfId="14698"/>
    <cellStyle name="Normal 2 2 3 6 4 4 2" xfId="14699"/>
    <cellStyle name="Normal 2 2 3 6 4 4 2 2" xfId="32527"/>
    <cellStyle name="Normal 2 2 3 6 4 4 3" xfId="32528"/>
    <cellStyle name="Normal 2 2 3 6 4 5" xfId="14700"/>
    <cellStyle name="Normal 2 2 3 6 4 5 2" xfId="32529"/>
    <cellStyle name="Normal 2 2 3 6 4 6" xfId="14701"/>
    <cellStyle name="Normal 2 2 3 6 5" xfId="14702"/>
    <cellStyle name="Normal 2 2 3 6 5 2" xfId="14703"/>
    <cellStyle name="Normal 2 2 3 6 5 2 2" xfId="32530"/>
    <cellStyle name="Normal 2 2 3 6 5 3" xfId="32531"/>
    <cellStyle name="Normal 2 2 3 6 6" xfId="14704"/>
    <cellStyle name="Normal 2 2 3 6 6 2" xfId="14705"/>
    <cellStyle name="Normal 2 2 3 6 6 2 2" xfId="32532"/>
    <cellStyle name="Normal 2 2 3 6 6 3" xfId="32533"/>
    <cellStyle name="Normal 2 2 3 6 7" xfId="14706"/>
    <cellStyle name="Normal 2 2 3 6 7 2" xfId="14707"/>
    <cellStyle name="Normal 2 2 3 6 7 2 2" xfId="32534"/>
    <cellStyle name="Normal 2 2 3 6 7 3" xfId="32535"/>
    <cellStyle name="Normal 2 2 3 6 8" xfId="14708"/>
    <cellStyle name="Normal 2 2 3 6 8 2" xfId="32536"/>
    <cellStyle name="Normal 2 2 3 6 9" xfId="14709"/>
    <cellStyle name="Normal 2 2 3 7" xfId="304"/>
    <cellStyle name="Normal 2 2 3 7 2" xfId="1092"/>
    <cellStyle name="Normal 2 2 3 7 2 2" xfId="2005"/>
    <cellStyle name="Normal 2 2 3 7 2 2 2" xfId="14710"/>
    <cellStyle name="Normal 2 2 3 7 2 2 2 2" xfId="14711"/>
    <cellStyle name="Normal 2 2 3 7 2 2 2 2 2" xfId="32537"/>
    <cellStyle name="Normal 2 2 3 7 2 2 2 3" xfId="32538"/>
    <cellStyle name="Normal 2 2 3 7 2 2 3" xfId="14712"/>
    <cellStyle name="Normal 2 2 3 7 2 2 3 2" xfId="14713"/>
    <cellStyle name="Normal 2 2 3 7 2 2 3 2 2" xfId="32539"/>
    <cellStyle name="Normal 2 2 3 7 2 2 3 3" xfId="32540"/>
    <cellStyle name="Normal 2 2 3 7 2 2 4" xfId="14714"/>
    <cellStyle name="Normal 2 2 3 7 2 2 4 2" xfId="14715"/>
    <cellStyle name="Normal 2 2 3 7 2 2 4 2 2" xfId="32541"/>
    <cellStyle name="Normal 2 2 3 7 2 2 4 3" xfId="32542"/>
    <cellStyle name="Normal 2 2 3 7 2 2 5" xfId="14716"/>
    <cellStyle name="Normal 2 2 3 7 2 2 5 2" xfId="32543"/>
    <cellStyle name="Normal 2 2 3 7 2 2 6" xfId="14717"/>
    <cellStyle name="Normal 2 2 3 7 2 3" xfId="14718"/>
    <cellStyle name="Normal 2 2 3 7 2 3 2" xfId="14719"/>
    <cellStyle name="Normal 2 2 3 7 2 3 2 2" xfId="32544"/>
    <cellStyle name="Normal 2 2 3 7 2 3 3" xfId="32545"/>
    <cellStyle name="Normal 2 2 3 7 2 4" xfId="14720"/>
    <cellStyle name="Normal 2 2 3 7 2 4 2" xfId="14721"/>
    <cellStyle name="Normal 2 2 3 7 2 4 2 2" xfId="32546"/>
    <cellStyle name="Normal 2 2 3 7 2 4 3" xfId="32547"/>
    <cellStyle name="Normal 2 2 3 7 2 5" xfId="14722"/>
    <cellStyle name="Normal 2 2 3 7 2 5 2" xfId="14723"/>
    <cellStyle name="Normal 2 2 3 7 2 5 2 2" xfId="32548"/>
    <cellStyle name="Normal 2 2 3 7 2 5 3" xfId="32549"/>
    <cellStyle name="Normal 2 2 3 7 2 6" xfId="14724"/>
    <cellStyle name="Normal 2 2 3 7 2 6 2" xfId="32550"/>
    <cellStyle name="Normal 2 2 3 7 2 7" xfId="14725"/>
    <cellStyle name="Normal 2 2 3 7 3" xfId="724"/>
    <cellStyle name="Normal 2 2 3 7 3 2" xfId="2006"/>
    <cellStyle name="Normal 2 2 3 7 3 2 2" xfId="14726"/>
    <cellStyle name="Normal 2 2 3 7 3 2 2 2" xfId="14727"/>
    <cellStyle name="Normal 2 2 3 7 3 2 2 2 2" xfId="32551"/>
    <cellStyle name="Normal 2 2 3 7 3 2 2 3" xfId="32552"/>
    <cellStyle name="Normal 2 2 3 7 3 2 3" xfId="14728"/>
    <cellStyle name="Normal 2 2 3 7 3 2 3 2" xfId="14729"/>
    <cellStyle name="Normal 2 2 3 7 3 2 3 2 2" xfId="32553"/>
    <cellStyle name="Normal 2 2 3 7 3 2 3 3" xfId="32554"/>
    <cellStyle name="Normal 2 2 3 7 3 2 4" xfId="14730"/>
    <cellStyle name="Normal 2 2 3 7 3 2 4 2" xfId="14731"/>
    <cellStyle name="Normal 2 2 3 7 3 2 4 2 2" xfId="32555"/>
    <cellStyle name="Normal 2 2 3 7 3 2 4 3" xfId="32556"/>
    <cellStyle name="Normal 2 2 3 7 3 2 5" xfId="14732"/>
    <cellStyle name="Normal 2 2 3 7 3 2 5 2" xfId="32557"/>
    <cellStyle name="Normal 2 2 3 7 3 2 6" xfId="14733"/>
    <cellStyle name="Normal 2 2 3 7 3 3" xfId="14734"/>
    <cellStyle name="Normal 2 2 3 7 3 3 2" xfId="14735"/>
    <cellStyle name="Normal 2 2 3 7 3 3 2 2" xfId="32558"/>
    <cellStyle name="Normal 2 2 3 7 3 3 3" xfId="32559"/>
    <cellStyle name="Normal 2 2 3 7 3 4" xfId="14736"/>
    <cellStyle name="Normal 2 2 3 7 3 4 2" xfId="14737"/>
    <cellStyle name="Normal 2 2 3 7 3 4 2 2" xfId="32560"/>
    <cellStyle name="Normal 2 2 3 7 3 4 3" xfId="32561"/>
    <cellStyle name="Normal 2 2 3 7 3 5" xfId="14738"/>
    <cellStyle name="Normal 2 2 3 7 3 5 2" xfId="14739"/>
    <cellStyle name="Normal 2 2 3 7 3 5 2 2" xfId="32562"/>
    <cellStyle name="Normal 2 2 3 7 3 5 3" xfId="32563"/>
    <cellStyle name="Normal 2 2 3 7 3 6" xfId="14740"/>
    <cellStyle name="Normal 2 2 3 7 3 6 2" xfId="32564"/>
    <cellStyle name="Normal 2 2 3 7 3 7" xfId="14741"/>
    <cellStyle name="Normal 2 2 3 7 4" xfId="2007"/>
    <cellStyle name="Normal 2 2 3 7 4 2" xfId="14742"/>
    <cellStyle name="Normal 2 2 3 7 4 2 2" xfId="14743"/>
    <cellStyle name="Normal 2 2 3 7 4 2 2 2" xfId="32565"/>
    <cellStyle name="Normal 2 2 3 7 4 2 3" xfId="32566"/>
    <cellStyle name="Normal 2 2 3 7 4 3" xfId="14744"/>
    <cellStyle name="Normal 2 2 3 7 4 3 2" xfId="14745"/>
    <cellStyle name="Normal 2 2 3 7 4 3 2 2" xfId="32567"/>
    <cellStyle name="Normal 2 2 3 7 4 3 3" xfId="32568"/>
    <cellStyle name="Normal 2 2 3 7 4 4" xfId="14746"/>
    <cellStyle name="Normal 2 2 3 7 4 4 2" xfId="14747"/>
    <cellStyle name="Normal 2 2 3 7 4 4 2 2" xfId="32569"/>
    <cellStyle name="Normal 2 2 3 7 4 4 3" xfId="32570"/>
    <cellStyle name="Normal 2 2 3 7 4 5" xfId="14748"/>
    <cellStyle name="Normal 2 2 3 7 4 5 2" xfId="32571"/>
    <cellStyle name="Normal 2 2 3 7 4 6" xfId="14749"/>
    <cellStyle name="Normal 2 2 3 7 5" xfId="14750"/>
    <cellStyle name="Normal 2 2 3 7 5 2" xfId="14751"/>
    <cellStyle name="Normal 2 2 3 7 5 2 2" xfId="32572"/>
    <cellStyle name="Normal 2 2 3 7 5 3" xfId="32573"/>
    <cellStyle name="Normal 2 2 3 7 6" xfId="14752"/>
    <cellStyle name="Normal 2 2 3 7 6 2" xfId="14753"/>
    <cellStyle name="Normal 2 2 3 7 6 2 2" xfId="32574"/>
    <cellStyle name="Normal 2 2 3 7 6 3" xfId="32575"/>
    <cellStyle name="Normal 2 2 3 7 7" xfId="14754"/>
    <cellStyle name="Normal 2 2 3 7 7 2" xfId="14755"/>
    <cellStyle name="Normal 2 2 3 7 7 2 2" xfId="32576"/>
    <cellStyle name="Normal 2 2 3 7 7 3" xfId="32577"/>
    <cellStyle name="Normal 2 2 3 7 8" xfId="14756"/>
    <cellStyle name="Normal 2 2 3 7 8 2" xfId="32578"/>
    <cellStyle name="Normal 2 2 3 7 9" xfId="14757"/>
    <cellStyle name="Normal 2 2 3 8" xfId="93"/>
    <cellStyle name="Normal 2 2 3 8 2" xfId="514"/>
    <cellStyle name="Normal 2 2 3 8 2 2" xfId="2008"/>
    <cellStyle name="Normal 2 2 3 8 2 2 2" xfId="14758"/>
    <cellStyle name="Normal 2 2 3 8 2 2 2 2" xfId="14759"/>
    <cellStyle name="Normal 2 2 3 8 2 2 2 2 2" xfId="32579"/>
    <cellStyle name="Normal 2 2 3 8 2 2 2 3" xfId="32580"/>
    <cellStyle name="Normal 2 2 3 8 2 2 3" xfId="14760"/>
    <cellStyle name="Normal 2 2 3 8 2 2 3 2" xfId="14761"/>
    <cellStyle name="Normal 2 2 3 8 2 2 3 2 2" xfId="32581"/>
    <cellStyle name="Normal 2 2 3 8 2 2 3 3" xfId="32582"/>
    <cellStyle name="Normal 2 2 3 8 2 2 4" xfId="14762"/>
    <cellStyle name="Normal 2 2 3 8 2 2 4 2" xfId="14763"/>
    <cellStyle name="Normal 2 2 3 8 2 2 4 2 2" xfId="32583"/>
    <cellStyle name="Normal 2 2 3 8 2 2 4 3" xfId="32584"/>
    <cellStyle name="Normal 2 2 3 8 2 2 5" xfId="14764"/>
    <cellStyle name="Normal 2 2 3 8 2 2 5 2" xfId="32585"/>
    <cellStyle name="Normal 2 2 3 8 2 2 6" xfId="14765"/>
    <cellStyle name="Normal 2 2 3 8 2 3" xfId="14766"/>
    <cellStyle name="Normal 2 2 3 8 2 3 2" xfId="14767"/>
    <cellStyle name="Normal 2 2 3 8 2 3 2 2" xfId="32586"/>
    <cellStyle name="Normal 2 2 3 8 2 3 3" xfId="32587"/>
    <cellStyle name="Normal 2 2 3 8 2 4" xfId="14768"/>
    <cellStyle name="Normal 2 2 3 8 2 4 2" xfId="14769"/>
    <cellStyle name="Normal 2 2 3 8 2 4 2 2" xfId="32588"/>
    <cellStyle name="Normal 2 2 3 8 2 4 3" xfId="32589"/>
    <cellStyle name="Normal 2 2 3 8 2 5" xfId="14770"/>
    <cellStyle name="Normal 2 2 3 8 2 5 2" xfId="14771"/>
    <cellStyle name="Normal 2 2 3 8 2 5 2 2" xfId="32590"/>
    <cellStyle name="Normal 2 2 3 8 2 5 3" xfId="32591"/>
    <cellStyle name="Normal 2 2 3 8 2 6" xfId="14772"/>
    <cellStyle name="Normal 2 2 3 8 2 6 2" xfId="32592"/>
    <cellStyle name="Normal 2 2 3 8 2 7" xfId="14773"/>
    <cellStyle name="Normal 2 2 3 8 3" xfId="2009"/>
    <cellStyle name="Normal 2 2 3 8 3 2" xfId="14774"/>
    <cellStyle name="Normal 2 2 3 8 3 2 2" xfId="14775"/>
    <cellStyle name="Normal 2 2 3 8 3 2 2 2" xfId="32593"/>
    <cellStyle name="Normal 2 2 3 8 3 2 3" xfId="32594"/>
    <cellStyle name="Normal 2 2 3 8 3 3" xfId="14776"/>
    <cellStyle name="Normal 2 2 3 8 3 3 2" xfId="14777"/>
    <cellStyle name="Normal 2 2 3 8 3 3 2 2" xfId="32595"/>
    <cellStyle name="Normal 2 2 3 8 3 3 3" xfId="32596"/>
    <cellStyle name="Normal 2 2 3 8 3 4" xfId="14778"/>
    <cellStyle name="Normal 2 2 3 8 3 4 2" xfId="14779"/>
    <cellStyle name="Normal 2 2 3 8 3 4 2 2" xfId="32597"/>
    <cellStyle name="Normal 2 2 3 8 3 4 3" xfId="32598"/>
    <cellStyle name="Normal 2 2 3 8 3 5" xfId="14780"/>
    <cellStyle name="Normal 2 2 3 8 3 5 2" xfId="32599"/>
    <cellStyle name="Normal 2 2 3 8 3 6" xfId="14781"/>
    <cellStyle name="Normal 2 2 3 8 4" xfId="14782"/>
    <cellStyle name="Normal 2 2 3 8 4 2" xfId="14783"/>
    <cellStyle name="Normal 2 2 3 8 4 2 2" xfId="32600"/>
    <cellStyle name="Normal 2 2 3 8 4 3" xfId="32601"/>
    <cellStyle name="Normal 2 2 3 8 5" xfId="14784"/>
    <cellStyle name="Normal 2 2 3 8 5 2" xfId="14785"/>
    <cellStyle name="Normal 2 2 3 8 5 2 2" xfId="32602"/>
    <cellStyle name="Normal 2 2 3 8 5 3" xfId="32603"/>
    <cellStyle name="Normal 2 2 3 8 6" xfId="14786"/>
    <cellStyle name="Normal 2 2 3 8 6 2" xfId="14787"/>
    <cellStyle name="Normal 2 2 3 8 6 2 2" xfId="32604"/>
    <cellStyle name="Normal 2 2 3 8 6 3" xfId="32605"/>
    <cellStyle name="Normal 2 2 3 8 7" xfId="14788"/>
    <cellStyle name="Normal 2 2 3 8 7 2" xfId="32606"/>
    <cellStyle name="Normal 2 2 3 8 8" xfId="14789"/>
    <cellStyle name="Normal 2 2 3 9" xfId="882"/>
    <cellStyle name="Normal 2 2 3 9 2" xfId="2010"/>
    <cellStyle name="Normal 2 2 3 9 2 2" xfId="14790"/>
    <cellStyle name="Normal 2 2 3 9 2 2 2" xfId="14791"/>
    <cellStyle name="Normal 2 2 3 9 2 2 2 2" xfId="32607"/>
    <cellStyle name="Normal 2 2 3 9 2 2 3" xfId="32608"/>
    <cellStyle name="Normal 2 2 3 9 2 3" xfId="14792"/>
    <cellStyle name="Normal 2 2 3 9 2 3 2" xfId="14793"/>
    <cellStyle name="Normal 2 2 3 9 2 3 2 2" xfId="32609"/>
    <cellStyle name="Normal 2 2 3 9 2 3 3" xfId="32610"/>
    <cellStyle name="Normal 2 2 3 9 2 4" xfId="14794"/>
    <cellStyle name="Normal 2 2 3 9 2 4 2" xfId="14795"/>
    <cellStyle name="Normal 2 2 3 9 2 4 2 2" xfId="32611"/>
    <cellStyle name="Normal 2 2 3 9 2 4 3" xfId="32612"/>
    <cellStyle name="Normal 2 2 3 9 2 5" xfId="14796"/>
    <cellStyle name="Normal 2 2 3 9 2 5 2" xfId="32613"/>
    <cellStyle name="Normal 2 2 3 9 2 6" xfId="14797"/>
    <cellStyle name="Normal 2 2 3 9 3" xfId="14798"/>
    <cellStyle name="Normal 2 2 3 9 3 2" xfId="14799"/>
    <cellStyle name="Normal 2 2 3 9 3 2 2" xfId="32614"/>
    <cellStyle name="Normal 2 2 3 9 3 3" xfId="32615"/>
    <cellStyle name="Normal 2 2 3 9 4" xfId="14800"/>
    <cellStyle name="Normal 2 2 3 9 4 2" xfId="14801"/>
    <cellStyle name="Normal 2 2 3 9 4 2 2" xfId="32616"/>
    <cellStyle name="Normal 2 2 3 9 4 3" xfId="32617"/>
    <cellStyle name="Normal 2 2 3 9 5" xfId="14802"/>
    <cellStyle name="Normal 2 2 3 9 5 2" xfId="14803"/>
    <cellStyle name="Normal 2 2 3 9 5 2 2" xfId="32618"/>
    <cellStyle name="Normal 2 2 3 9 5 3" xfId="32619"/>
    <cellStyle name="Normal 2 2 3 9 6" xfId="14804"/>
    <cellStyle name="Normal 2 2 3 9 6 2" xfId="32620"/>
    <cellStyle name="Normal 2 2 3 9 7" xfId="14805"/>
    <cellStyle name="Normal 2 2 4" xfId="55"/>
    <cellStyle name="Normal 2 2 4 10" xfId="14806"/>
    <cellStyle name="Normal 2 2 4 10 2" xfId="14807"/>
    <cellStyle name="Normal 2 2 4 10 2 2" xfId="32621"/>
    <cellStyle name="Normal 2 2 4 10 3" xfId="32622"/>
    <cellStyle name="Normal 2 2 4 11" xfId="14808"/>
    <cellStyle name="Normal 2 2 4 11 2" xfId="14809"/>
    <cellStyle name="Normal 2 2 4 11 2 2" xfId="32623"/>
    <cellStyle name="Normal 2 2 4 11 3" xfId="32624"/>
    <cellStyle name="Normal 2 2 4 12" xfId="14810"/>
    <cellStyle name="Normal 2 2 4 12 2" xfId="14811"/>
    <cellStyle name="Normal 2 2 4 12 2 2" xfId="32625"/>
    <cellStyle name="Normal 2 2 4 12 3" xfId="32626"/>
    <cellStyle name="Normal 2 2 4 13" xfId="14812"/>
    <cellStyle name="Normal 2 2 4 13 2" xfId="32627"/>
    <cellStyle name="Normal 2 2 4 14" xfId="14813"/>
    <cellStyle name="Normal 2 2 4 2" xfId="225"/>
    <cellStyle name="Normal 2 2 4 2 10" xfId="14814"/>
    <cellStyle name="Normal 2 2 4 2 2" xfId="383"/>
    <cellStyle name="Normal 2 2 4 2 2 2" xfId="1171"/>
    <cellStyle name="Normal 2 2 4 2 2 2 2" xfId="2011"/>
    <cellStyle name="Normal 2 2 4 2 2 2 2 2" xfId="14815"/>
    <cellStyle name="Normal 2 2 4 2 2 2 2 2 2" xfId="14816"/>
    <cellStyle name="Normal 2 2 4 2 2 2 2 2 2 2" xfId="32628"/>
    <cellStyle name="Normal 2 2 4 2 2 2 2 2 3" xfId="32629"/>
    <cellStyle name="Normal 2 2 4 2 2 2 2 3" xfId="14817"/>
    <cellStyle name="Normal 2 2 4 2 2 2 2 3 2" xfId="14818"/>
    <cellStyle name="Normal 2 2 4 2 2 2 2 3 2 2" xfId="32630"/>
    <cellStyle name="Normal 2 2 4 2 2 2 2 3 3" xfId="32631"/>
    <cellStyle name="Normal 2 2 4 2 2 2 2 4" xfId="14819"/>
    <cellStyle name="Normal 2 2 4 2 2 2 2 4 2" xfId="14820"/>
    <cellStyle name="Normal 2 2 4 2 2 2 2 4 2 2" xfId="32632"/>
    <cellStyle name="Normal 2 2 4 2 2 2 2 4 3" xfId="32633"/>
    <cellStyle name="Normal 2 2 4 2 2 2 2 5" xfId="14821"/>
    <cellStyle name="Normal 2 2 4 2 2 2 2 5 2" xfId="32634"/>
    <cellStyle name="Normal 2 2 4 2 2 2 2 6" xfId="14822"/>
    <cellStyle name="Normal 2 2 4 2 2 2 3" xfId="14823"/>
    <cellStyle name="Normal 2 2 4 2 2 2 3 2" xfId="14824"/>
    <cellStyle name="Normal 2 2 4 2 2 2 3 2 2" xfId="32635"/>
    <cellStyle name="Normal 2 2 4 2 2 2 3 3" xfId="32636"/>
    <cellStyle name="Normal 2 2 4 2 2 2 4" xfId="14825"/>
    <cellStyle name="Normal 2 2 4 2 2 2 4 2" xfId="14826"/>
    <cellStyle name="Normal 2 2 4 2 2 2 4 2 2" xfId="32637"/>
    <cellStyle name="Normal 2 2 4 2 2 2 4 3" xfId="32638"/>
    <cellStyle name="Normal 2 2 4 2 2 2 5" xfId="14827"/>
    <cellStyle name="Normal 2 2 4 2 2 2 5 2" xfId="14828"/>
    <cellStyle name="Normal 2 2 4 2 2 2 5 2 2" xfId="32639"/>
    <cellStyle name="Normal 2 2 4 2 2 2 5 3" xfId="32640"/>
    <cellStyle name="Normal 2 2 4 2 2 2 6" xfId="14829"/>
    <cellStyle name="Normal 2 2 4 2 2 2 6 2" xfId="32641"/>
    <cellStyle name="Normal 2 2 4 2 2 2 7" xfId="14830"/>
    <cellStyle name="Normal 2 2 4 2 2 3" xfId="803"/>
    <cellStyle name="Normal 2 2 4 2 2 3 2" xfId="2012"/>
    <cellStyle name="Normal 2 2 4 2 2 3 2 2" xfId="14831"/>
    <cellStyle name="Normal 2 2 4 2 2 3 2 2 2" xfId="14832"/>
    <cellStyle name="Normal 2 2 4 2 2 3 2 2 2 2" xfId="32642"/>
    <cellStyle name="Normal 2 2 4 2 2 3 2 2 3" xfId="32643"/>
    <cellStyle name="Normal 2 2 4 2 2 3 2 3" xfId="14833"/>
    <cellStyle name="Normal 2 2 4 2 2 3 2 3 2" xfId="14834"/>
    <cellStyle name="Normal 2 2 4 2 2 3 2 3 2 2" xfId="32644"/>
    <cellStyle name="Normal 2 2 4 2 2 3 2 3 3" xfId="32645"/>
    <cellStyle name="Normal 2 2 4 2 2 3 2 4" xfId="14835"/>
    <cellStyle name="Normal 2 2 4 2 2 3 2 4 2" xfId="14836"/>
    <cellStyle name="Normal 2 2 4 2 2 3 2 4 2 2" xfId="32646"/>
    <cellStyle name="Normal 2 2 4 2 2 3 2 4 3" xfId="32647"/>
    <cellStyle name="Normal 2 2 4 2 2 3 2 5" xfId="14837"/>
    <cellStyle name="Normal 2 2 4 2 2 3 2 5 2" xfId="32648"/>
    <cellStyle name="Normal 2 2 4 2 2 3 2 6" xfId="14838"/>
    <cellStyle name="Normal 2 2 4 2 2 3 3" xfId="14839"/>
    <cellStyle name="Normal 2 2 4 2 2 3 3 2" xfId="14840"/>
    <cellStyle name="Normal 2 2 4 2 2 3 3 2 2" xfId="32649"/>
    <cellStyle name="Normal 2 2 4 2 2 3 3 3" xfId="32650"/>
    <cellStyle name="Normal 2 2 4 2 2 3 4" xfId="14841"/>
    <cellStyle name="Normal 2 2 4 2 2 3 4 2" xfId="14842"/>
    <cellStyle name="Normal 2 2 4 2 2 3 4 2 2" xfId="32651"/>
    <cellStyle name="Normal 2 2 4 2 2 3 4 3" xfId="32652"/>
    <cellStyle name="Normal 2 2 4 2 2 3 5" xfId="14843"/>
    <cellStyle name="Normal 2 2 4 2 2 3 5 2" xfId="14844"/>
    <cellStyle name="Normal 2 2 4 2 2 3 5 2 2" xfId="32653"/>
    <cellStyle name="Normal 2 2 4 2 2 3 5 3" xfId="32654"/>
    <cellStyle name="Normal 2 2 4 2 2 3 6" xfId="14845"/>
    <cellStyle name="Normal 2 2 4 2 2 3 6 2" xfId="32655"/>
    <cellStyle name="Normal 2 2 4 2 2 3 7" xfId="14846"/>
    <cellStyle name="Normal 2 2 4 2 2 4" xfId="2013"/>
    <cellStyle name="Normal 2 2 4 2 2 4 2" xfId="14847"/>
    <cellStyle name="Normal 2 2 4 2 2 4 2 2" xfId="14848"/>
    <cellStyle name="Normal 2 2 4 2 2 4 2 2 2" xfId="32656"/>
    <cellStyle name="Normal 2 2 4 2 2 4 2 3" xfId="32657"/>
    <cellStyle name="Normal 2 2 4 2 2 4 3" xfId="14849"/>
    <cellStyle name="Normal 2 2 4 2 2 4 3 2" xfId="14850"/>
    <cellStyle name="Normal 2 2 4 2 2 4 3 2 2" xfId="32658"/>
    <cellStyle name="Normal 2 2 4 2 2 4 3 3" xfId="32659"/>
    <cellStyle name="Normal 2 2 4 2 2 4 4" xfId="14851"/>
    <cellStyle name="Normal 2 2 4 2 2 4 4 2" xfId="14852"/>
    <cellStyle name="Normal 2 2 4 2 2 4 4 2 2" xfId="32660"/>
    <cellStyle name="Normal 2 2 4 2 2 4 4 3" xfId="32661"/>
    <cellStyle name="Normal 2 2 4 2 2 4 5" xfId="14853"/>
    <cellStyle name="Normal 2 2 4 2 2 4 5 2" xfId="32662"/>
    <cellStyle name="Normal 2 2 4 2 2 4 6" xfId="14854"/>
    <cellStyle name="Normal 2 2 4 2 2 5" xfId="14855"/>
    <cellStyle name="Normal 2 2 4 2 2 5 2" xfId="14856"/>
    <cellStyle name="Normal 2 2 4 2 2 5 2 2" xfId="32663"/>
    <cellStyle name="Normal 2 2 4 2 2 5 3" xfId="32664"/>
    <cellStyle name="Normal 2 2 4 2 2 6" xfId="14857"/>
    <cellStyle name="Normal 2 2 4 2 2 6 2" xfId="14858"/>
    <cellStyle name="Normal 2 2 4 2 2 6 2 2" xfId="32665"/>
    <cellStyle name="Normal 2 2 4 2 2 6 3" xfId="32666"/>
    <cellStyle name="Normal 2 2 4 2 2 7" xfId="14859"/>
    <cellStyle name="Normal 2 2 4 2 2 7 2" xfId="14860"/>
    <cellStyle name="Normal 2 2 4 2 2 7 2 2" xfId="32667"/>
    <cellStyle name="Normal 2 2 4 2 2 7 3" xfId="32668"/>
    <cellStyle name="Normal 2 2 4 2 2 8" xfId="14861"/>
    <cellStyle name="Normal 2 2 4 2 2 8 2" xfId="32669"/>
    <cellStyle name="Normal 2 2 4 2 2 9" xfId="14862"/>
    <cellStyle name="Normal 2 2 4 2 3" xfId="1013"/>
    <cellStyle name="Normal 2 2 4 2 3 2" xfId="2014"/>
    <cellStyle name="Normal 2 2 4 2 3 2 2" xfId="14863"/>
    <cellStyle name="Normal 2 2 4 2 3 2 2 2" xfId="14864"/>
    <cellStyle name="Normal 2 2 4 2 3 2 2 2 2" xfId="32670"/>
    <cellStyle name="Normal 2 2 4 2 3 2 2 3" xfId="32671"/>
    <cellStyle name="Normal 2 2 4 2 3 2 3" xfId="14865"/>
    <cellStyle name="Normal 2 2 4 2 3 2 3 2" xfId="14866"/>
    <cellStyle name="Normal 2 2 4 2 3 2 3 2 2" xfId="32672"/>
    <cellStyle name="Normal 2 2 4 2 3 2 3 3" xfId="32673"/>
    <cellStyle name="Normal 2 2 4 2 3 2 4" xfId="14867"/>
    <cellStyle name="Normal 2 2 4 2 3 2 4 2" xfId="14868"/>
    <cellStyle name="Normal 2 2 4 2 3 2 4 2 2" xfId="32674"/>
    <cellStyle name="Normal 2 2 4 2 3 2 4 3" xfId="32675"/>
    <cellStyle name="Normal 2 2 4 2 3 2 5" xfId="14869"/>
    <cellStyle name="Normal 2 2 4 2 3 2 5 2" xfId="32676"/>
    <cellStyle name="Normal 2 2 4 2 3 2 6" xfId="14870"/>
    <cellStyle name="Normal 2 2 4 2 3 3" xfId="14871"/>
    <cellStyle name="Normal 2 2 4 2 3 3 2" xfId="14872"/>
    <cellStyle name="Normal 2 2 4 2 3 3 2 2" xfId="32677"/>
    <cellStyle name="Normal 2 2 4 2 3 3 3" xfId="32678"/>
    <cellStyle name="Normal 2 2 4 2 3 4" xfId="14873"/>
    <cellStyle name="Normal 2 2 4 2 3 4 2" xfId="14874"/>
    <cellStyle name="Normal 2 2 4 2 3 4 2 2" xfId="32679"/>
    <cellStyle name="Normal 2 2 4 2 3 4 3" xfId="32680"/>
    <cellStyle name="Normal 2 2 4 2 3 5" xfId="14875"/>
    <cellStyle name="Normal 2 2 4 2 3 5 2" xfId="14876"/>
    <cellStyle name="Normal 2 2 4 2 3 5 2 2" xfId="32681"/>
    <cellStyle name="Normal 2 2 4 2 3 5 3" xfId="32682"/>
    <cellStyle name="Normal 2 2 4 2 3 6" xfId="14877"/>
    <cellStyle name="Normal 2 2 4 2 3 6 2" xfId="32683"/>
    <cellStyle name="Normal 2 2 4 2 3 7" xfId="14878"/>
    <cellStyle name="Normal 2 2 4 2 4" xfId="645"/>
    <cellStyle name="Normal 2 2 4 2 4 2" xfId="2015"/>
    <cellStyle name="Normal 2 2 4 2 4 2 2" xfId="14879"/>
    <cellStyle name="Normal 2 2 4 2 4 2 2 2" xfId="14880"/>
    <cellStyle name="Normal 2 2 4 2 4 2 2 2 2" xfId="32684"/>
    <cellStyle name="Normal 2 2 4 2 4 2 2 3" xfId="32685"/>
    <cellStyle name="Normal 2 2 4 2 4 2 3" xfId="14881"/>
    <cellStyle name="Normal 2 2 4 2 4 2 3 2" xfId="14882"/>
    <cellStyle name="Normal 2 2 4 2 4 2 3 2 2" xfId="32686"/>
    <cellStyle name="Normal 2 2 4 2 4 2 3 3" xfId="32687"/>
    <cellStyle name="Normal 2 2 4 2 4 2 4" xfId="14883"/>
    <cellStyle name="Normal 2 2 4 2 4 2 4 2" xfId="14884"/>
    <cellStyle name="Normal 2 2 4 2 4 2 4 2 2" xfId="32688"/>
    <cellStyle name="Normal 2 2 4 2 4 2 4 3" xfId="32689"/>
    <cellStyle name="Normal 2 2 4 2 4 2 5" xfId="14885"/>
    <cellStyle name="Normal 2 2 4 2 4 2 5 2" xfId="32690"/>
    <cellStyle name="Normal 2 2 4 2 4 2 6" xfId="14886"/>
    <cellStyle name="Normal 2 2 4 2 4 3" xfId="14887"/>
    <cellStyle name="Normal 2 2 4 2 4 3 2" xfId="14888"/>
    <cellStyle name="Normal 2 2 4 2 4 3 2 2" xfId="32691"/>
    <cellStyle name="Normal 2 2 4 2 4 3 3" xfId="32692"/>
    <cellStyle name="Normal 2 2 4 2 4 4" xfId="14889"/>
    <cellStyle name="Normal 2 2 4 2 4 4 2" xfId="14890"/>
    <cellStyle name="Normal 2 2 4 2 4 4 2 2" xfId="32693"/>
    <cellStyle name="Normal 2 2 4 2 4 4 3" xfId="32694"/>
    <cellStyle name="Normal 2 2 4 2 4 5" xfId="14891"/>
    <cellStyle name="Normal 2 2 4 2 4 5 2" xfId="14892"/>
    <cellStyle name="Normal 2 2 4 2 4 5 2 2" xfId="32695"/>
    <cellStyle name="Normal 2 2 4 2 4 5 3" xfId="32696"/>
    <cellStyle name="Normal 2 2 4 2 4 6" xfId="14893"/>
    <cellStyle name="Normal 2 2 4 2 4 6 2" xfId="32697"/>
    <cellStyle name="Normal 2 2 4 2 4 7" xfId="14894"/>
    <cellStyle name="Normal 2 2 4 2 5" xfId="2016"/>
    <cellStyle name="Normal 2 2 4 2 5 2" xfId="14895"/>
    <cellStyle name="Normal 2 2 4 2 5 2 2" xfId="14896"/>
    <cellStyle name="Normal 2 2 4 2 5 2 2 2" xfId="32698"/>
    <cellStyle name="Normal 2 2 4 2 5 2 3" xfId="32699"/>
    <cellStyle name="Normal 2 2 4 2 5 3" xfId="14897"/>
    <cellStyle name="Normal 2 2 4 2 5 3 2" xfId="14898"/>
    <cellStyle name="Normal 2 2 4 2 5 3 2 2" xfId="32700"/>
    <cellStyle name="Normal 2 2 4 2 5 3 3" xfId="32701"/>
    <cellStyle name="Normal 2 2 4 2 5 4" xfId="14899"/>
    <cellStyle name="Normal 2 2 4 2 5 4 2" xfId="14900"/>
    <cellStyle name="Normal 2 2 4 2 5 4 2 2" xfId="32702"/>
    <cellStyle name="Normal 2 2 4 2 5 4 3" xfId="32703"/>
    <cellStyle name="Normal 2 2 4 2 5 5" xfId="14901"/>
    <cellStyle name="Normal 2 2 4 2 5 5 2" xfId="32704"/>
    <cellStyle name="Normal 2 2 4 2 5 6" xfId="14902"/>
    <cellStyle name="Normal 2 2 4 2 6" xfId="14903"/>
    <cellStyle name="Normal 2 2 4 2 6 2" xfId="14904"/>
    <cellStyle name="Normal 2 2 4 2 6 2 2" xfId="32705"/>
    <cellStyle name="Normal 2 2 4 2 6 3" xfId="32706"/>
    <cellStyle name="Normal 2 2 4 2 7" xfId="14905"/>
    <cellStyle name="Normal 2 2 4 2 7 2" xfId="14906"/>
    <cellStyle name="Normal 2 2 4 2 7 2 2" xfId="32707"/>
    <cellStyle name="Normal 2 2 4 2 7 3" xfId="32708"/>
    <cellStyle name="Normal 2 2 4 2 8" xfId="14907"/>
    <cellStyle name="Normal 2 2 4 2 8 2" xfId="14908"/>
    <cellStyle name="Normal 2 2 4 2 8 2 2" xfId="32709"/>
    <cellStyle name="Normal 2 2 4 2 8 3" xfId="32710"/>
    <cellStyle name="Normal 2 2 4 2 9" xfId="14909"/>
    <cellStyle name="Normal 2 2 4 2 9 2" xfId="32711"/>
    <cellStyle name="Normal 2 2 4 3" xfId="276"/>
    <cellStyle name="Normal 2 2 4 3 10" xfId="14910"/>
    <cellStyle name="Normal 2 2 4 3 2" xfId="434"/>
    <cellStyle name="Normal 2 2 4 3 2 2" xfId="1222"/>
    <cellStyle name="Normal 2 2 4 3 2 2 2" xfId="2017"/>
    <cellStyle name="Normal 2 2 4 3 2 2 2 2" xfId="14911"/>
    <cellStyle name="Normal 2 2 4 3 2 2 2 2 2" xfId="14912"/>
    <cellStyle name="Normal 2 2 4 3 2 2 2 2 2 2" xfId="32712"/>
    <cellStyle name="Normal 2 2 4 3 2 2 2 2 3" xfId="32713"/>
    <cellStyle name="Normal 2 2 4 3 2 2 2 3" xfId="14913"/>
    <cellStyle name="Normal 2 2 4 3 2 2 2 3 2" xfId="14914"/>
    <cellStyle name="Normal 2 2 4 3 2 2 2 3 2 2" xfId="32714"/>
    <cellStyle name="Normal 2 2 4 3 2 2 2 3 3" xfId="32715"/>
    <cellStyle name="Normal 2 2 4 3 2 2 2 4" xfId="14915"/>
    <cellStyle name="Normal 2 2 4 3 2 2 2 4 2" xfId="14916"/>
    <cellStyle name="Normal 2 2 4 3 2 2 2 4 2 2" xfId="32716"/>
    <cellStyle name="Normal 2 2 4 3 2 2 2 4 3" xfId="32717"/>
    <cellStyle name="Normal 2 2 4 3 2 2 2 5" xfId="14917"/>
    <cellStyle name="Normal 2 2 4 3 2 2 2 5 2" xfId="32718"/>
    <cellStyle name="Normal 2 2 4 3 2 2 2 6" xfId="14918"/>
    <cellStyle name="Normal 2 2 4 3 2 2 3" xfId="14919"/>
    <cellStyle name="Normal 2 2 4 3 2 2 3 2" xfId="14920"/>
    <cellStyle name="Normal 2 2 4 3 2 2 3 2 2" xfId="32719"/>
    <cellStyle name="Normal 2 2 4 3 2 2 3 3" xfId="32720"/>
    <cellStyle name="Normal 2 2 4 3 2 2 4" xfId="14921"/>
    <cellStyle name="Normal 2 2 4 3 2 2 4 2" xfId="14922"/>
    <cellStyle name="Normal 2 2 4 3 2 2 4 2 2" xfId="32721"/>
    <cellStyle name="Normal 2 2 4 3 2 2 4 3" xfId="32722"/>
    <cellStyle name="Normal 2 2 4 3 2 2 5" xfId="14923"/>
    <cellStyle name="Normal 2 2 4 3 2 2 5 2" xfId="14924"/>
    <cellStyle name="Normal 2 2 4 3 2 2 5 2 2" xfId="32723"/>
    <cellStyle name="Normal 2 2 4 3 2 2 5 3" xfId="32724"/>
    <cellStyle name="Normal 2 2 4 3 2 2 6" xfId="14925"/>
    <cellStyle name="Normal 2 2 4 3 2 2 6 2" xfId="32725"/>
    <cellStyle name="Normal 2 2 4 3 2 2 7" xfId="14926"/>
    <cellStyle name="Normal 2 2 4 3 2 3" xfId="854"/>
    <cellStyle name="Normal 2 2 4 3 2 3 2" xfId="2018"/>
    <cellStyle name="Normal 2 2 4 3 2 3 2 2" xfId="14927"/>
    <cellStyle name="Normal 2 2 4 3 2 3 2 2 2" xfId="14928"/>
    <cellStyle name="Normal 2 2 4 3 2 3 2 2 2 2" xfId="32726"/>
    <cellStyle name="Normal 2 2 4 3 2 3 2 2 3" xfId="32727"/>
    <cellStyle name="Normal 2 2 4 3 2 3 2 3" xfId="14929"/>
    <cellStyle name="Normal 2 2 4 3 2 3 2 3 2" xfId="14930"/>
    <cellStyle name="Normal 2 2 4 3 2 3 2 3 2 2" xfId="32728"/>
    <cellStyle name="Normal 2 2 4 3 2 3 2 3 3" xfId="32729"/>
    <cellStyle name="Normal 2 2 4 3 2 3 2 4" xfId="14931"/>
    <cellStyle name="Normal 2 2 4 3 2 3 2 4 2" xfId="14932"/>
    <cellStyle name="Normal 2 2 4 3 2 3 2 4 2 2" xfId="32730"/>
    <cellStyle name="Normal 2 2 4 3 2 3 2 4 3" xfId="32731"/>
    <cellStyle name="Normal 2 2 4 3 2 3 2 5" xfId="14933"/>
    <cellStyle name="Normal 2 2 4 3 2 3 2 5 2" xfId="32732"/>
    <cellStyle name="Normal 2 2 4 3 2 3 2 6" xfId="14934"/>
    <cellStyle name="Normal 2 2 4 3 2 3 3" xfId="14935"/>
    <cellStyle name="Normal 2 2 4 3 2 3 3 2" xfId="14936"/>
    <cellStyle name="Normal 2 2 4 3 2 3 3 2 2" xfId="32733"/>
    <cellStyle name="Normal 2 2 4 3 2 3 3 3" xfId="32734"/>
    <cellStyle name="Normal 2 2 4 3 2 3 4" xfId="14937"/>
    <cellStyle name="Normal 2 2 4 3 2 3 4 2" xfId="14938"/>
    <cellStyle name="Normal 2 2 4 3 2 3 4 2 2" xfId="32735"/>
    <cellStyle name="Normal 2 2 4 3 2 3 4 3" xfId="32736"/>
    <cellStyle name="Normal 2 2 4 3 2 3 5" xfId="14939"/>
    <cellStyle name="Normal 2 2 4 3 2 3 5 2" xfId="14940"/>
    <cellStyle name="Normal 2 2 4 3 2 3 5 2 2" xfId="32737"/>
    <cellStyle name="Normal 2 2 4 3 2 3 5 3" xfId="32738"/>
    <cellStyle name="Normal 2 2 4 3 2 3 6" xfId="14941"/>
    <cellStyle name="Normal 2 2 4 3 2 3 6 2" xfId="32739"/>
    <cellStyle name="Normal 2 2 4 3 2 3 7" xfId="14942"/>
    <cellStyle name="Normal 2 2 4 3 2 4" xfId="2019"/>
    <cellStyle name="Normal 2 2 4 3 2 4 2" xfId="14943"/>
    <cellStyle name="Normal 2 2 4 3 2 4 2 2" xfId="14944"/>
    <cellStyle name="Normal 2 2 4 3 2 4 2 2 2" xfId="32740"/>
    <cellStyle name="Normal 2 2 4 3 2 4 2 3" xfId="32741"/>
    <cellStyle name="Normal 2 2 4 3 2 4 3" xfId="14945"/>
    <cellStyle name="Normal 2 2 4 3 2 4 3 2" xfId="14946"/>
    <cellStyle name="Normal 2 2 4 3 2 4 3 2 2" xfId="32742"/>
    <cellStyle name="Normal 2 2 4 3 2 4 3 3" xfId="32743"/>
    <cellStyle name="Normal 2 2 4 3 2 4 4" xfId="14947"/>
    <cellStyle name="Normal 2 2 4 3 2 4 4 2" xfId="14948"/>
    <cellStyle name="Normal 2 2 4 3 2 4 4 2 2" xfId="32744"/>
    <cellStyle name="Normal 2 2 4 3 2 4 4 3" xfId="32745"/>
    <cellStyle name="Normal 2 2 4 3 2 4 5" xfId="14949"/>
    <cellStyle name="Normal 2 2 4 3 2 4 5 2" xfId="32746"/>
    <cellStyle name="Normal 2 2 4 3 2 4 6" xfId="14950"/>
    <cellStyle name="Normal 2 2 4 3 2 5" xfId="14951"/>
    <cellStyle name="Normal 2 2 4 3 2 5 2" xfId="14952"/>
    <cellStyle name="Normal 2 2 4 3 2 5 2 2" xfId="32747"/>
    <cellStyle name="Normal 2 2 4 3 2 5 3" xfId="32748"/>
    <cellStyle name="Normal 2 2 4 3 2 6" xfId="14953"/>
    <cellStyle name="Normal 2 2 4 3 2 6 2" xfId="14954"/>
    <cellStyle name="Normal 2 2 4 3 2 6 2 2" xfId="32749"/>
    <cellStyle name="Normal 2 2 4 3 2 6 3" xfId="32750"/>
    <cellStyle name="Normal 2 2 4 3 2 7" xfId="14955"/>
    <cellStyle name="Normal 2 2 4 3 2 7 2" xfId="14956"/>
    <cellStyle name="Normal 2 2 4 3 2 7 2 2" xfId="32751"/>
    <cellStyle name="Normal 2 2 4 3 2 7 3" xfId="32752"/>
    <cellStyle name="Normal 2 2 4 3 2 8" xfId="14957"/>
    <cellStyle name="Normal 2 2 4 3 2 8 2" xfId="32753"/>
    <cellStyle name="Normal 2 2 4 3 2 9" xfId="14958"/>
    <cellStyle name="Normal 2 2 4 3 3" xfId="1064"/>
    <cellStyle name="Normal 2 2 4 3 3 2" xfId="2020"/>
    <cellStyle name="Normal 2 2 4 3 3 2 2" xfId="14959"/>
    <cellStyle name="Normal 2 2 4 3 3 2 2 2" xfId="14960"/>
    <cellStyle name="Normal 2 2 4 3 3 2 2 2 2" xfId="32754"/>
    <cellStyle name="Normal 2 2 4 3 3 2 2 3" xfId="32755"/>
    <cellStyle name="Normal 2 2 4 3 3 2 3" xfId="14961"/>
    <cellStyle name="Normal 2 2 4 3 3 2 3 2" xfId="14962"/>
    <cellStyle name="Normal 2 2 4 3 3 2 3 2 2" xfId="32756"/>
    <cellStyle name="Normal 2 2 4 3 3 2 3 3" xfId="32757"/>
    <cellStyle name="Normal 2 2 4 3 3 2 4" xfId="14963"/>
    <cellStyle name="Normal 2 2 4 3 3 2 4 2" xfId="14964"/>
    <cellStyle name="Normal 2 2 4 3 3 2 4 2 2" xfId="32758"/>
    <cellStyle name="Normal 2 2 4 3 3 2 4 3" xfId="32759"/>
    <cellStyle name="Normal 2 2 4 3 3 2 5" xfId="14965"/>
    <cellStyle name="Normal 2 2 4 3 3 2 5 2" xfId="32760"/>
    <cellStyle name="Normal 2 2 4 3 3 2 6" xfId="14966"/>
    <cellStyle name="Normal 2 2 4 3 3 3" xfId="14967"/>
    <cellStyle name="Normal 2 2 4 3 3 3 2" xfId="14968"/>
    <cellStyle name="Normal 2 2 4 3 3 3 2 2" xfId="32761"/>
    <cellStyle name="Normal 2 2 4 3 3 3 3" xfId="32762"/>
    <cellStyle name="Normal 2 2 4 3 3 4" xfId="14969"/>
    <cellStyle name="Normal 2 2 4 3 3 4 2" xfId="14970"/>
    <cellStyle name="Normal 2 2 4 3 3 4 2 2" xfId="32763"/>
    <cellStyle name="Normal 2 2 4 3 3 4 3" xfId="32764"/>
    <cellStyle name="Normal 2 2 4 3 3 5" xfId="14971"/>
    <cellStyle name="Normal 2 2 4 3 3 5 2" xfId="14972"/>
    <cellStyle name="Normal 2 2 4 3 3 5 2 2" xfId="32765"/>
    <cellStyle name="Normal 2 2 4 3 3 5 3" xfId="32766"/>
    <cellStyle name="Normal 2 2 4 3 3 6" xfId="14973"/>
    <cellStyle name="Normal 2 2 4 3 3 6 2" xfId="32767"/>
    <cellStyle name="Normal 2 2 4 3 3 7" xfId="14974"/>
    <cellStyle name="Normal 2 2 4 3 4" xfId="696"/>
    <cellStyle name="Normal 2 2 4 3 4 2" xfId="2021"/>
    <cellStyle name="Normal 2 2 4 3 4 2 2" xfId="14975"/>
    <cellStyle name="Normal 2 2 4 3 4 2 2 2" xfId="14976"/>
    <cellStyle name="Normal 2 2 4 3 4 2 2 2 2" xfId="32768"/>
    <cellStyle name="Normal 2 2 4 3 4 2 2 3" xfId="32769"/>
    <cellStyle name="Normal 2 2 4 3 4 2 3" xfId="14977"/>
    <cellStyle name="Normal 2 2 4 3 4 2 3 2" xfId="14978"/>
    <cellStyle name="Normal 2 2 4 3 4 2 3 2 2" xfId="32770"/>
    <cellStyle name="Normal 2 2 4 3 4 2 3 3" xfId="32771"/>
    <cellStyle name="Normal 2 2 4 3 4 2 4" xfId="14979"/>
    <cellStyle name="Normal 2 2 4 3 4 2 4 2" xfId="14980"/>
    <cellStyle name="Normal 2 2 4 3 4 2 4 2 2" xfId="32772"/>
    <cellStyle name="Normal 2 2 4 3 4 2 4 3" xfId="32773"/>
    <cellStyle name="Normal 2 2 4 3 4 2 5" xfId="14981"/>
    <cellStyle name="Normal 2 2 4 3 4 2 5 2" xfId="32774"/>
    <cellStyle name="Normal 2 2 4 3 4 2 6" xfId="14982"/>
    <cellStyle name="Normal 2 2 4 3 4 3" xfId="14983"/>
    <cellStyle name="Normal 2 2 4 3 4 3 2" xfId="14984"/>
    <cellStyle name="Normal 2 2 4 3 4 3 2 2" xfId="32775"/>
    <cellStyle name="Normal 2 2 4 3 4 3 3" xfId="32776"/>
    <cellStyle name="Normal 2 2 4 3 4 4" xfId="14985"/>
    <cellStyle name="Normal 2 2 4 3 4 4 2" xfId="14986"/>
    <cellStyle name="Normal 2 2 4 3 4 4 2 2" xfId="32777"/>
    <cellStyle name="Normal 2 2 4 3 4 4 3" xfId="32778"/>
    <cellStyle name="Normal 2 2 4 3 4 5" xfId="14987"/>
    <cellStyle name="Normal 2 2 4 3 4 5 2" xfId="14988"/>
    <cellStyle name="Normal 2 2 4 3 4 5 2 2" xfId="32779"/>
    <cellStyle name="Normal 2 2 4 3 4 5 3" xfId="32780"/>
    <cellStyle name="Normal 2 2 4 3 4 6" xfId="14989"/>
    <cellStyle name="Normal 2 2 4 3 4 6 2" xfId="32781"/>
    <cellStyle name="Normal 2 2 4 3 4 7" xfId="14990"/>
    <cellStyle name="Normal 2 2 4 3 5" xfId="2022"/>
    <cellStyle name="Normal 2 2 4 3 5 2" xfId="14991"/>
    <cellStyle name="Normal 2 2 4 3 5 2 2" xfId="14992"/>
    <cellStyle name="Normal 2 2 4 3 5 2 2 2" xfId="32782"/>
    <cellStyle name="Normal 2 2 4 3 5 2 3" xfId="32783"/>
    <cellStyle name="Normal 2 2 4 3 5 3" xfId="14993"/>
    <cellStyle name="Normal 2 2 4 3 5 3 2" xfId="14994"/>
    <cellStyle name="Normal 2 2 4 3 5 3 2 2" xfId="32784"/>
    <cellStyle name="Normal 2 2 4 3 5 3 3" xfId="32785"/>
    <cellStyle name="Normal 2 2 4 3 5 4" xfId="14995"/>
    <cellStyle name="Normal 2 2 4 3 5 4 2" xfId="14996"/>
    <cellStyle name="Normal 2 2 4 3 5 4 2 2" xfId="32786"/>
    <cellStyle name="Normal 2 2 4 3 5 4 3" xfId="32787"/>
    <cellStyle name="Normal 2 2 4 3 5 5" xfId="14997"/>
    <cellStyle name="Normal 2 2 4 3 5 5 2" xfId="32788"/>
    <cellStyle name="Normal 2 2 4 3 5 6" xfId="14998"/>
    <cellStyle name="Normal 2 2 4 3 6" xfId="14999"/>
    <cellStyle name="Normal 2 2 4 3 6 2" xfId="15000"/>
    <cellStyle name="Normal 2 2 4 3 6 2 2" xfId="32789"/>
    <cellStyle name="Normal 2 2 4 3 6 3" xfId="32790"/>
    <cellStyle name="Normal 2 2 4 3 7" xfId="15001"/>
    <cellStyle name="Normal 2 2 4 3 7 2" xfId="15002"/>
    <cellStyle name="Normal 2 2 4 3 7 2 2" xfId="32791"/>
    <cellStyle name="Normal 2 2 4 3 7 3" xfId="32792"/>
    <cellStyle name="Normal 2 2 4 3 8" xfId="15003"/>
    <cellStyle name="Normal 2 2 4 3 8 2" xfId="15004"/>
    <cellStyle name="Normal 2 2 4 3 8 2 2" xfId="32793"/>
    <cellStyle name="Normal 2 2 4 3 8 3" xfId="32794"/>
    <cellStyle name="Normal 2 2 4 3 9" xfId="15005"/>
    <cellStyle name="Normal 2 2 4 3 9 2" xfId="32795"/>
    <cellStyle name="Normal 2 2 4 4" xfId="172"/>
    <cellStyle name="Normal 2 2 4 4 2" xfId="960"/>
    <cellStyle name="Normal 2 2 4 4 2 2" xfId="2023"/>
    <cellStyle name="Normal 2 2 4 4 2 2 2" xfId="15006"/>
    <cellStyle name="Normal 2 2 4 4 2 2 2 2" xfId="15007"/>
    <cellStyle name="Normal 2 2 4 4 2 2 2 2 2" xfId="32796"/>
    <cellStyle name="Normal 2 2 4 4 2 2 2 3" xfId="32797"/>
    <cellStyle name="Normal 2 2 4 4 2 2 3" xfId="15008"/>
    <cellStyle name="Normal 2 2 4 4 2 2 3 2" xfId="15009"/>
    <cellStyle name="Normal 2 2 4 4 2 2 3 2 2" xfId="32798"/>
    <cellStyle name="Normal 2 2 4 4 2 2 3 3" xfId="32799"/>
    <cellStyle name="Normal 2 2 4 4 2 2 4" xfId="15010"/>
    <cellStyle name="Normal 2 2 4 4 2 2 4 2" xfId="15011"/>
    <cellStyle name="Normal 2 2 4 4 2 2 4 2 2" xfId="32800"/>
    <cellStyle name="Normal 2 2 4 4 2 2 4 3" xfId="32801"/>
    <cellStyle name="Normal 2 2 4 4 2 2 5" xfId="15012"/>
    <cellStyle name="Normal 2 2 4 4 2 2 5 2" xfId="32802"/>
    <cellStyle name="Normal 2 2 4 4 2 2 6" xfId="15013"/>
    <cellStyle name="Normal 2 2 4 4 2 3" xfId="15014"/>
    <cellStyle name="Normal 2 2 4 4 2 3 2" xfId="15015"/>
    <cellStyle name="Normal 2 2 4 4 2 3 2 2" xfId="32803"/>
    <cellStyle name="Normal 2 2 4 4 2 3 3" xfId="32804"/>
    <cellStyle name="Normal 2 2 4 4 2 4" xfId="15016"/>
    <cellStyle name="Normal 2 2 4 4 2 4 2" xfId="15017"/>
    <cellStyle name="Normal 2 2 4 4 2 4 2 2" xfId="32805"/>
    <cellStyle name="Normal 2 2 4 4 2 4 3" xfId="32806"/>
    <cellStyle name="Normal 2 2 4 4 2 5" xfId="15018"/>
    <cellStyle name="Normal 2 2 4 4 2 5 2" xfId="15019"/>
    <cellStyle name="Normal 2 2 4 4 2 5 2 2" xfId="32807"/>
    <cellStyle name="Normal 2 2 4 4 2 5 3" xfId="32808"/>
    <cellStyle name="Normal 2 2 4 4 2 6" xfId="15020"/>
    <cellStyle name="Normal 2 2 4 4 2 6 2" xfId="32809"/>
    <cellStyle name="Normal 2 2 4 4 2 7" xfId="15021"/>
    <cellStyle name="Normal 2 2 4 4 3" xfId="592"/>
    <cellStyle name="Normal 2 2 4 4 3 2" xfId="2024"/>
    <cellStyle name="Normal 2 2 4 4 3 2 2" xfId="15022"/>
    <cellStyle name="Normal 2 2 4 4 3 2 2 2" xfId="15023"/>
    <cellStyle name="Normal 2 2 4 4 3 2 2 2 2" xfId="32810"/>
    <cellStyle name="Normal 2 2 4 4 3 2 2 3" xfId="32811"/>
    <cellStyle name="Normal 2 2 4 4 3 2 3" xfId="15024"/>
    <cellStyle name="Normal 2 2 4 4 3 2 3 2" xfId="15025"/>
    <cellStyle name="Normal 2 2 4 4 3 2 3 2 2" xfId="32812"/>
    <cellStyle name="Normal 2 2 4 4 3 2 3 3" xfId="32813"/>
    <cellStyle name="Normal 2 2 4 4 3 2 4" xfId="15026"/>
    <cellStyle name="Normal 2 2 4 4 3 2 4 2" xfId="15027"/>
    <cellStyle name="Normal 2 2 4 4 3 2 4 2 2" xfId="32814"/>
    <cellStyle name="Normal 2 2 4 4 3 2 4 3" xfId="32815"/>
    <cellStyle name="Normal 2 2 4 4 3 2 5" xfId="15028"/>
    <cellStyle name="Normal 2 2 4 4 3 2 5 2" xfId="32816"/>
    <cellStyle name="Normal 2 2 4 4 3 2 6" xfId="15029"/>
    <cellStyle name="Normal 2 2 4 4 3 3" xfId="15030"/>
    <cellStyle name="Normal 2 2 4 4 3 3 2" xfId="15031"/>
    <cellStyle name="Normal 2 2 4 4 3 3 2 2" xfId="32817"/>
    <cellStyle name="Normal 2 2 4 4 3 3 3" xfId="32818"/>
    <cellStyle name="Normal 2 2 4 4 3 4" xfId="15032"/>
    <cellStyle name="Normal 2 2 4 4 3 4 2" xfId="15033"/>
    <cellStyle name="Normal 2 2 4 4 3 4 2 2" xfId="32819"/>
    <cellStyle name="Normal 2 2 4 4 3 4 3" xfId="32820"/>
    <cellStyle name="Normal 2 2 4 4 3 5" xfId="15034"/>
    <cellStyle name="Normal 2 2 4 4 3 5 2" xfId="15035"/>
    <cellStyle name="Normal 2 2 4 4 3 5 2 2" xfId="32821"/>
    <cellStyle name="Normal 2 2 4 4 3 5 3" xfId="32822"/>
    <cellStyle name="Normal 2 2 4 4 3 6" xfId="15036"/>
    <cellStyle name="Normal 2 2 4 4 3 6 2" xfId="32823"/>
    <cellStyle name="Normal 2 2 4 4 3 7" xfId="15037"/>
    <cellStyle name="Normal 2 2 4 4 4" xfId="2025"/>
    <cellStyle name="Normal 2 2 4 4 4 2" xfId="15038"/>
    <cellStyle name="Normal 2 2 4 4 4 2 2" xfId="15039"/>
    <cellStyle name="Normal 2 2 4 4 4 2 2 2" xfId="32824"/>
    <cellStyle name="Normal 2 2 4 4 4 2 3" xfId="32825"/>
    <cellStyle name="Normal 2 2 4 4 4 3" xfId="15040"/>
    <cellStyle name="Normal 2 2 4 4 4 3 2" xfId="15041"/>
    <cellStyle name="Normal 2 2 4 4 4 3 2 2" xfId="32826"/>
    <cellStyle name="Normal 2 2 4 4 4 3 3" xfId="32827"/>
    <cellStyle name="Normal 2 2 4 4 4 4" xfId="15042"/>
    <cellStyle name="Normal 2 2 4 4 4 4 2" xfId="15043"/>
    <cellStyle name="Normal 2 2 4 4 4 4 2 2" xfId="32828"/>
    <cellStyle name="Normal 2 2 4 4 4 4 3" xfId="32829"/>
    <cellStyle name="Normal 2 2 4 4 4 5" xfId="15044"/>
    <cellStyle name="Normal 2 2 4 4 4 5 2" xfId="32830"/>
    <cellStyle name="Normal 2 2 4 4 4 6" xfId="15045"/>
    <cellStyle name="Normal 2 2 4 4 5" xfId="15046"/>
    <cellStyle name="Normal 2 2 4 4 5 2" xfId="15047"/>
    <cellStyle name="Normal 2 2 4 4 5 2 2" xfId="32831"/>
    <cellStyle name="Normal 2 2 4 4 5 3" xfId="32832"/>
    <cellStyle name="Normal 2 2 4 4 6" xfId="15048"/>
    <cellStyle name="Normal 2 2 4 4 6 2" xfId="15049"/>
    <cellStyle name="Normal 2 2 4 4 6 2 2" xfId="32833"/>
    <cellStyle name="Normal 2 2 4 4 6 3" xfId="32834"/>
    <cellStyle name="Normal 2 2 4 4 7" xfId="15050"/>
    <cellStyle name="Normal 2 2 4 4 7 2" xfId="15051"/>
    <cellStyle name="Normal 2 2 4 4 7 2 2" xfId="32835"/>
    <cellStyle name="Normal 2 2 4 4 7 3" xfId="32836"/>
    <cellStyle name="Normal 2 2 4 4 8" xfId="15052"/>
    <cellStyle name="Normal 2 2 4 4 8 2" xfId="32837"/>
    <cellStyle name="Normal 2 2 4 4 9" xfId="15053"/>
    <cellStyle name="Normal 2 2 4 5" xfId="330"/>
    <cellStyle name="Normal 2 2 4 5 2" xfId="1118"/>
    <cellStyle name="Normal 2 2 4 5 2 2" xfId="2026"/>
    <cellStyle name="Normal 2 2 4 5 2 2 2" xfId="15054"/>
    <cellStyle name="Normal 2 2 4 5 2 2 2 2" xfId="15055"/>
    <cellStyle name="Normal 2 2 4 5 2 2 2 2 2" xfId="32838"/>
    <cellStyle name="Normal 2 2 4 5 2 2 2 3" xfId="32839"/>
    <cellStyle name="Normal 2 2 4 5 2 2 3" xfId="15056"/>
    <cellStyle name="Normal 2 2 4 5 2 2 3 2" xfId="15057"/>
    <cellStyle name="Normal 2 2 4 5 2 2 3 2 2" xfId="32840"/>
    <cellStyle name="Normal 2 2 4 5 2 2 3 3" xfId="32841"/>
    <cellStyle name="Normal 2 2 4 5 2 2 4" xfId="15058"/>
    <cellStyle name="Normal 2 2 4 5 2 2 4 2" xfId="15059"/>
    <cellStyle name="Normal 2 2 4 5 2 2 4 2 2" xfId="32842"/>
    <cellStyle name="Normal 2 2 4 5 2 2 4 3" xfId="32843"/>
    <cellStyle name="Normal 2 2 4 5 2 2 5" xfId="15060"/>
    <cellStyle name="Normal 2 2 4 5 2 2 5 2" xfId="32844"/>
    <cellStyle name="Normal 2 2 4 5 2 2 6" xfId="15061"/>
    <cellStyle name="Normal 2 2 4 5 2 3" xfId="15062"/>
    <cellStyle name="Normal 2 2 4 5 2 3 2" xfId="15063"/>
    <cellStyle name="Normal 2 2 4 5 2 3 2 2" xfId="32845"/>
    <cellStyle name="Normal 2 2 4 5 2 3 3" xfId="32846"/>
    <cellStyle name="Normal 2 2 4 5 2 4" xfId="15064"/>
    <cellStyle name="Normal 2 2 4 5 2 4 2" xfId="15065"/>
    <cellStyle name="Normal 2 2 4 5 2 4 2 2" xfId="32847"/>
    <cellStyle name="Normal 2 2 4 5 2 4 3" xfId="32848"/>
    <cellStyle name="Normal 2 2 4 5 2 5" xfId="15066"/>
    <cellStyle name="Normal 2 2 4 5 2 5 2" xfId="15067"/>
    <cellStyle name="Normal 2 2 4 5 2 5 2 2" xfId="32849"/>
    <cellStyle name="Normal 2 2 4 5 2 5 3" xfId="32850"/>
    <cellStyle name="Normal 2 2 4 5 2 6" xfId="15068"/>
    <cellStyle name="Normal 2 2 4 5 2 6 2" xfId="32851"/>
    <cellStyle name="Normal 2 2 4 5 2 7" xfId="15069"/>
    <cellStyle name="Normal 2 2 4 5 3" xfId="750"/>
    <cellStyle name="Normal 2 2 4 5 3 2" xfId="2027"/>
    <cellStyle name="Normal 2 2 4 5 3 2 2" xfId="15070"/>
    <cellStyle name="Normal 2 2 4 5 3 2 2 2" xfId="15071"/>
    <cellStyle name="Normal 2 2 4 5 3 2 2 2 2" xfId="32852"/>
    <cellStyle name="Normal 2 2 4 5 3 2 2 3" xfId="32853"/>
    <cellStyle name="Normal 2 2 4 5 3 2 3" xfId="15072"/>
    <cellStyle name="Normal 2 2 4 5 3 2 3 2" xfId="15073"/>
    <cellStyle name="Normal 2 2 4 5 3 2 3 2 2" xfId="32854"/>
    <cellStyle name="Normal 2 2 4 5 3 2 3 3" xfId="32855"/>
    <cellStyle name="Normal 2 2 4 5 3 2 4" xfId="15074"/>
    <cellStyle name="Normal 2 2 4 5 3 2 4 2" xfId="15075"/>
    <cellStyle name="Normal 2 2 4 5 3 2 4 2 2" xfId="32856"/>
    <cellStyle name="Normal 2 2 4 5 3 2 4 3" xfId="32857"/>
    <cellStyle name="Normal 2 2 4 5 3 2 5" xfId="15076"/>
    <cellStyle name="Normal 2 2 4 5 3 2 5 2" xfId="32858"/>
    <cellStyle name="Normal 2 2 4 5 3 2 6" xfId="15077"/>
    <cellStyle name="Normal 2 2 4 5 3 3" xfId="15078"/>
    <cellStyle name="Normal 2 2 4 5 3 3 2" xfId="15079"/>
    <cellStyle name="Normal 2 2 4 5 3 3 2 2" xfId="32859"/>
    <cellStyle name="Normal 2 2 4 5 3 3 3" xfId="32860"/>
    <cellStyle name="Normal 2 2 4 5 3 4" xfId="15080"/>
    <cellStyle name="Normal 2 2 4 5 3 4 2" xfId="15081"/>
    <cellStyle name="Normal 2 2 4 5 3 4 2 2" xfId="32861"/>
    <cellStyle name="Normal 2 2 4 5 3 4 3" xfId="32862"/>
    <cellStyle name="Normal 2 2 4 5 3 5" xfId="15082"/>
    <cellStyle name="Normal 2 2 4 5 3 5 2" xfId="15083"/>
    <cellStyle name="Normal 2 2 4 5 3 5 2 2" xfId="32863"/>
    <cellStyle name="Normal 2 2 4 5 3 5 3" xfId="32864"/>
    <cellStyle name="Normal 2 2 4 5 3 6" xfId="15084"/>
    <cellStyle name="Normal 2 2 4 5 3 6 2" xfId="32865"/>
    <cellStyle name="Normal 2 2 4 5 3 7" xfId="15085"/>
    <cellStyle name="Normal 2 2 4 5 4" xfId="2028"/>
    <cellStyle name="Normal 2 2 4 5 4 2" xfId="15086"/>
    <cellStyle name="Normal 2 2 4 5 4 2 2" xfId="15087"/>
    <cellStyle name="Normal 2 2 4 5 4 2 2 2" xfId="32866"/>
    <cellStyle name="Normal 2 2 4 5 4 2 3" xfId="32867"/>
    <cellStyle name="Normal 2 2 4 5 4 3" xfId="15088"/>
    <cellStyle name="Normal 2 2 4 5 4 3 2" xfId="15089"/>
    <cellStyle name="Normal 2 2 4 5 4 3 2 2" xfId="32868"/>
    <cellStyle name="Normal 2 2 4 5 4 3 3" xfId="32869"/>
    <cellStyle name="Normal 2 2 4 5 4 4" xfId="15090"/>
    <cellStyle name="Normal 2 2 4 5 4 4 2" xfId="15091"/>
    <cellStyle name="Normal 2 2 4 5 4 4 2 2" xfId="32870"/>
    <cellStyle name="Normal 2 2 4 5 4 4 3" xfId="32871"/>
    <cellStyle name="Normal 2 2 4 5 4 5" xfId="15092"/>
    <cellStyle name="Normal 2 2 4 5 4 5 2" xfId="32872"/>
    <cellStyle name="Normal 2 2 4 5 4 6" xfId="15093"/>
    <cellStyle name="Normal 2 2 4 5 5" xfId="15094"/>
    <cellStyle name="Normal 2 2 4 5 5 2" xfId="15095"/>
    <cellStyle name="Normal 2 2 4 5 5 2 2" xfId="32873"/>
    <cellStyle name="Normal 2 2 4 5 5 3" xfId="32874"/>
    <cellStyle name="Normal 2 2 4 5 6" xfId="15096"/>
    <cellStyle name="Normal 2 2 4 5 6 2" xfId="15097"/>
    <cellStyle name="Normal 2 2 4 5 6 2 2" xfId="32875"/>
    <cellStyle name="Normal 2 2 4 5 6 3" xfId="32876"/>
    <cellStyle name="Normal 2 2 4 5 7" xfId="15098"/>
    <cellStyle name="Normal 2 2 4 5 7 2" xfId="15099"/>
    <cellStyle name="Normal 2 2 4 5 7 2 2" xfId="32877"/>
    <cellStyle name="Normal 2 2 4 5 7 3" xfId="32878"/>
    <cellStyle name="Normal 2 2 4 5 8" xfId="15100"/>
    <cellStyle name="Normal 2 2 4 5 8 2" xfId="32879"/>
    <cellStyle name="Normal 2 2 4 5 9" xfId="15101"/>
    <cellStyle name="Normal 2 2 4 6" xfId="119"/>
    <cellStyle name="Normal 2 2 4 6 2" xfId="540"/>
    <cellStyle name="Normal 2 2 4 6 2 2" xfId="2029"/>
    <cellStyle name="Normal 2 2 4 6 2 2 2" xfId="15102"/>
    <cellStyle name="Normal 2 2 4 6 2 2 2 2" xfId="15103"/>
    <cellStyle name="Normal 2 2 4 6 2 2 2 2 2" xfId="32880"/>
    <cellStyle name="Normal 2 2 4 6 2 2 2 3" xfId="32881"/>
    <cellStyle name="Normal 2 2 4 6 2 2 3" xfId="15104"/>
    <cellStyle name="Normal 2 2 4 6 2 2 3 2" xfId="15105"/>
    <cellStyle name="Normal 2 2 4 6 2 2 3 2 2" xfId="32882"/>
    <cellStyle name="Normal 2 2 4 6 2 2 3 3" xfId="32883"/>
    <cellStyle name="Normal 2 2 4 6 2 2 4" xfId="15106"/>
    <cellStyle name="Normal 2 2 4 6 2 2 4 2" xfId="15107"/>
    <cellStyle name="Normal 2 2 4 6 2 2 4 2 2" xfId="32884"/>
    <cellStyle name="Normal 2 2 4 6 2 2 4 3" xfId="32885"/>
    <cellStyle name="Normal 2 2 4 6 2 2 5" xfId="15108"/>
    <cellStyle name="Normal 2 2 4 6 2 2 5 2" xfId="32886"/>
    <cellStyle name="Normal 2 2 4 6 2 2 6" xfId="15109"/>
    <cellStyle name="Normal 2 2 4 6 2 3" xfId="15110"/>
    <cellStyle name="Normal 2 2 4 6 2 3 2" xfId="15111"/>
    <cellStyle name="Normal 2 2 4 6 2 3 2 2" xfId="32887"/>
    <cellStyle name="Normal 2 2 4 6 2 3 3" xfId="32888"/>
    <cellStyle name="Normal 2 2 4 6 2 4" xfId="15112"/>
    <cellStyle name="Normal 2 2 4 6 2 4 2" xfId="15113"/>
    <cellStyle name="Normal 2 2 4 6 2 4 2 2" xfId="32889"/>
    <cellStyle name="Normal 2 2 4 6 2 4 3" xfId="32890"/>
    <cellStyle name="Normal 2 2 4 6 2 5" xfId="15114"/>
    <cellStyle name="Normal 2 2 4 6 2 5 2" xfId="15115"/>
    <cellStyle name="Normal 2 2 4 6 2 5 2 2" xfId="32891"/>
    <cellStyle name="Normal 2 2 4 6 2 5 3" xfId="32892"/>
    <cellStyle name="Normal 2 2 4 6 2 6" xfId="15116"/>
    <cellStyle name="Normal 2 2 4 6 2 6 2" xfId="32893"/>
    <cellStyle name="Normal 2 2 4 6 2 7" xfId="15117"/>
    <cellStyle name="Normal 2 2 4 6 3" xfId="2030"/>
    <cellStyle name="Normal 2 2 4 6 3 2" xfId="15118"/>
    <cellStyle name="Normal 2 2 4 6 3 2 2" xfId="15119"/>
    <cellStyle name="Normal 2 2 4 6 3 2 2 2" xfId="32894"/>
    <cellStyle name="Normal 2 2 4 6 3 2 3" xfId="32895"/>
    <cellStyle name="Normal 2 2 4 6 3 3" xfId="15120"/>
    <cellStyle name="Normal 2 2 4 6 3 3 2" xfId="15121"/>
    <cellStyle name="Normal 2 2 4 6 3 3 2 2" xfId="32896"/>
    <cellStyle name="Normal 2 2 4 6 3 3 3" xfId="32897"/>
    <cellStyle name="Normal 2 2 4 6 3 4" xfId="15122"/>
    <cellStyle name="Normal 2 2 4 6 3 4 2" xfId="15123"/>
    <cellStyle name="Normal 2 2 4 6 3 4 2 2" xfId="32898"/>
    <cellStyle name="Normal 2 2 4 6 3 4 3" xfId="32899"/>
    <cellStyle name="Normal 2 2 4 6 3 5" xfId="15124"/>
    <cellStyle name="Normal 2 2 4 6 3 5 2" xfId="32900"/>
    <cellStyle name="Normal 2 2 4 6 3 6" xfId="15125"/>
    <cellStyle name="Normal 2 2 4 6 4" xfId="15126"/>
    <cellStyle name="Normal 2 2 4 6 4 2" xfId="15127"/>
    <cellStyle name="Normal 2 2 4 6 4 2 2" xfId="32901"/>
    <cellStyle name="Normal 2 2 4 6 4 3" xfId="32902"/>
    <cellStyle name="Normal 2 2 4 6 5" xfId="15128"/>
    <cellStyle name="Normal 2 2 4 6 5 2" xfId="15129"/>
    <cellStyle name="Normal 2 2 4 6 5 2 2" xfId="32903"/>
    <cellStyle name="Normal 2 2 4 6 5 3" xfId="32904"/>
    <cellStyle name="Normal 2 2 4 6 6" xfId="15130"/>
    <cellStyle name="Normal 2 2 4 6 6 2" xfId="15131"/>
    <cellStyle name="Normal 2 2 4 6 6 2 2" xfId="32905"/>
    <cellStyle name="Normal 2 2 4 6 6 3" xfId="32906"/>
    <cellStyle name="Normal 2 2 4 6 7" xfId="15132"/>
    <cellStyle name="Normal 2 2 4 6 7 2" xfId="32907"/>
    <cellStyle name="Normal 2 2 4 6 8" xfId="15133"/>
    <cellStyle name="Normal 2 2 4 7" xfId="908"/>
    <cellStyle name="Normal 2 2 4 7 2" xfId="2031"/>
    <cellStyle name="Normal 2 2 4 7 2 2" xfId="15134"/>
    <cellStyle name="Normal 2 2 4 7 2 2 2" xfId="15135"/>
    <cellStyle name="Normal 2 2 4 7 2 2 2 2" xfId="32908"/>
    <cellStyle name="Normal 2 2 4 7 2 2 3" xfId="32909"/>
    <cellStyle name="Normal 2 2 4 7 2 3" xfId="15136"/>
    <cellStyle name="Normal 2 2 4 7 2 3 2" xfId="15137"/>
    <cellStyle name="Normal 2 2 4 7 2 3 2 2" xfId="32910"/>
    <cellStyle name="Normal 2 2 4 7 2 3 3" xfId="32911"/>
    <cellStyle name="Normal 2 2 4 7 2 4" xfId="15138"/>
    <cellStyle name="Normal 2 2 4 7 2 4 2" xfId="15139"/>
    <cellStyle name="Normal 2 2 4 7 2 4 2 2" xfId="32912"/>
    <cellStyle name="Normal 2 2 4 7 2 4 3" xfId="32913"/>
    <cellStyle name="Normal 2 2 4 7 2 5" xfId="15140"/>
    <cellStyle name="Normal 2 2 4 7 2 5 2" xfId="32914"/>
    <cellStyle name="Normal 2 2 4 7 2 6" xfId="15141"/>
    <cellStyle name="Normal 2 2 4 7 3" xfId="15142"/>
    <cellStyle name="Normal 2 2 4 7 3 2" xfId="15143"/>
    <cellStyle name="Normal 2 2 4 7 3 2 2" xfId="32915"/>
    <cellStyle name="Normal 2 2 4 7 3 3" xfId="32916"/>
    <cellStyle name="Normal 2 2 4 7 4" xfId="15144"/>
    <cellStyle name="Normal 2 2 4 7 4 2" xfId="15145"/>
    <cellStyle name="Normal 2 2 4 7 4 2 2" xfId="32917"/>
    <cellStyle name="Normal 2 2 4 7 4 3" xfId="32918"/>
    <cellStyle name="Normal 2 2 4 7 5" xfId="15146"/>
    <cellStyle name="Normal 2 2 4 7 5 2" xfId="15147"/>
    <cellStyle name="Normal 2 2 4 7 5 2 2" xfId="32919"/>
    <cellStyle name="Normal 2 2 4 7 5 3" xfId="32920"/>
    <cellStyle name="Normal 2 2 4 7 6" xfId="15148"/>
    <cellStyle name="Normal 2 2 4 7 6 2" xfId="32921"/>
    <cellStyle name="Normal 2 2 4 7 7" xfId="15149"/>
    <cellStyle name="Normal 2 2 4 8" xfId="489"/>
    <cellStyle name="Normal 2 2 4 8 2" xfId="2032"/>
    <cellStyle name="Normal 2 2 4 8 2 2" xfId="15150"/>
    <cellStyle name="Normal 2 2 4 8 2 2 2" xfId="15151"/>
    <cellStyle name="Normal 2 2 4 8 2 2 2 2" xfId="32922"/>
    <cellStyle name="Normal 2 2 4 8 2 2 3" xfId="32923"/>
    <cellStyle name="Normal 2 2 4 8 2 3" xfId="15152"/>
    <cellStyle name="Normal 2 2 4 8 2 3 2" xfId="15153"/>
    <cellStyle name="Normal 2 2 4 8 2 3 2 2" xfId="32924"/>
    <cellStyle name="Normal 2 2 4 8 2 3 3" xfId="32925"/>
    <cellStyle name="Normal 2 2 4 8 2 4" xfId="15154"/>
    <cellStyle name="Normal 2 2 4 8 2 4 2" xfId="15155"/>
    <cellStyle name="Normal 2 2 4 8 2 4 2 2" xfId="32926"/>
    <cellStyle name="Normal 2 2 4 8 2 4 3" xfId="32927"/>
    <cellStyle name="Normal 2 2 4 8 2 5" xfId="15156"/>
    <cellStyle name="Normal 2 2 4 8 2 5 2" xfId="32928"/>
    <cellStyle name="Normal 2 2 4 8 2 6" xfId="15157"/>
    <cellStyle name="Normal 2 2 4 8 3" xfId="15158"/>
    <cellStyle name="Normal 2 2 4 8 3 2" xfId="15159"/>
    <cellStyle name="Normal 2 2 4 8 3 2 2" xfId="32929"/>
    <cellStyle name="Normal 2 2 4 8 3 3" xfId="32930"/>
    <cellStyle name="Normal 2 2 4 8 4" xfId="15160"/>
    <cellStyle name="Normal 2 2 4 8 4 2" xfId="15161"/>
    <cellStyle name="Normal 2 2 4 8 4 2 2" xfId="32931"/>
    <cellStyle name="Normal 2 2 4 8 4 3" xfId="32932"/>
    <cellStyle name="Normal 2 2 4 8 5" xfId="15162"/>
    <cellStyle name="Normal 2 2 4 8 5 2" xfId="15163"/>
    <cellStyle name="Normal 2 2 4 8 5 2 2" xfId="32933"/>
    <cellStyle name="Normal 2 2 4 8 5 3" xfId="32934"/>
    <cellStyle name="Normal 2 2 4 8 6" xfId="15164"/>
    <cellStyle name="Normal 2 2 4 8 6 2" xfId="32935"/>
    <cellStyle name="Normal 2 2 4 8 7" xfId="15165"/>
    <cellStyle name="Normal 2 2 4 9" xfId="2033"/>
    <cellStyle name="Normal 2 2 4 9 2" xfId="15166"/>
    <cellStyle name="Normal 2 2 4 9 2 2" xfId="15167"/>
    <cellStyle name="Normal 2 2 4 9 2 2 2" xfId="32936"/>
    <cellStyle name="Normal 2 2 4 9 2 3" xfId="32937"/>
    <cellStyle name="Normal 2 2 4 9 3" xfId="15168"/>
    <cellStyle name="Normal 2 2 4 9 3 2" xfId="15169"/>
    <cellStyle name="Normal 2 2 4 9 3 2 2" xfId="32938"/>
    <cellStyle name="Normal 2 2 4 9 3 3" xfId="32939"/>
    <cellStyle name="Normal 2 2 4 9 4" xfId="15170"/>
    <cellStyle name="Normal 2 2 4 9 4 2" xfId="15171"/>
    <cellStyle name="Normal 2 2 4 9 4 2 2" xfId="32940"/>
    <cellStyle name="Normal 2 2 4 9 4 3" xfId="32941"/>
    <cellStyle name="Normal 2 2 4 9 5" xfId="15172"/>
    <cellStyle name="Normal 2 2 4 9 5 2" xfId="32942"/>
    <cellStyle name="Normal 2 2 4 9 6" xfId="15173"/>
    <cellStyle name="Normal 2 2 5" xfId="56"/>
    <cellStyle name="Normal 2 2 5 10" xfId="15174"/>
    <cellStyle name="Normal 2 2 5 10 2" xfId="15175"/>
    <cellStyle name="Normal 2 2 5 10 2 2" xfId="32943"/>
    <cellStyle name="Normal 2 2 5 10 3" xfId="32944"/>
    <cellStyle name="Normal 2 2 5 11" xfId="15176"/>
    <cellStyle name="Normal 2 2 5 11 2" xfId="15177"/>
    <cellStyle name="Normal 2 2 5 11 2 2" xfId="32945"/>
    <cellStyle name="Normal 2 2 5 11 3" xfId="32946"/>
    <cellStyle name="Normal 2 2 5 12" xfId="15178"/>
    <cellStyle name="Normal 2 2 5 12 2" xfId="15179"/>
    <cellStyle name="Normal 2 2 5 12 2 2" xfId="32947"/>
    <cellStyle name="Normal 2 2 5 12 3" xfId="32948"/>
    <cellStyle name="Normal 2 2 5 13" xfId="15180"/>
    <cellStyle name="Normal 2 2 5 13 2" xfId="32949"/>
    <cellStyle name="Normal 2 2 5 14" xfId="15181"/>
    <cellStyle name="Normal 2 2 5 2" xfId="226"/>
    <cellStyle name="Normal 2 2 5 2 10" xfId="15182"/>
    <cellStyle name="Normal 2 2 5 2 2" xfId="384"/>
    <cellStyle name="Normal 2 2 5 2 2 2" xfId="1172"/>
    <cellStyle name="Normal 2 2 5 2 2 2 2" xfId="2034"/>
    <cellStyle name="Normal 2 2 5 2 2 2 2 2" xfId="15183"/>
    <cellStyle name="Normal 2 2 5 2 2 2 2 2 2" xfId="15184"/>
    <cellStyle name="Normal 2 2 5 2 2 2 2 2 2 2" xfId="32950"/>
    <cellStyle name="Normal 2 2 5 2 2 2 2 2 3" xfId="32951"/>
    <cellStyle name="Normal 2 2 5 2 2 2 2 3" xfId="15185"/>
    <cellStyle name="Normal 2 2 5 2 2 2 2 3 2" xfId="15186"/>
    <cellStyle name="Normal 2 2 5 2 2 2 2 3 2 2" xfId="32952"/>
    <cellStyle name="Normal 2 2 5 2 2 2 2 3 3" xfId="32953"/>
    <cellStyle name="Normal 2 2 5 2 2 2 2 4" xfId="15187"/>
    <cellStyle name="Normal 2 2 5 2 2 2 2 4 2" xfId="15188"/>
    <cellStyle name="Normal 2 2 5 2 2 2 2 4 2 2" xfId="32954"/>
    <cellStyle name="Normal 2 2 5 2 2 2 2 4 3" xfId="32955"/>
    <cellStyle name="Normal 2 2 5 2 2 2 2 5" xfId="15189"/>
    <cellStyle name="Normal 2 2 5 2 2 2 2 5 2" xfId="32956"/>
    <cellStyle name="Normal 2 2 5 2 2 2 2 6" xfId="15190"/>
    <cellStyle name="Normal 2 2 5 2 2 2 3" xfId="15191"/>
    <cellStyle name="Normal 2 2 5 2 2 2 3 2" xfId="15192"/>
    <cellStyle name="Normal 2 2 5 2 2 2 3 2 2" xfId="32957"/>
    <cellStyle name="Normal 2 2 5 2 2 2 3 3" xfId="32958"/>
    <cellStyle name="Normal 2 2 5 2 2 2 4" xfId="15193"/>
    <cellStyle name="Normal 2 2 5 2 2 2 4 2" xfId="15194"/>
    <cellStyle name="Normal 2 2 5 2 2 2 4 2 2" xfId="32959"/>
    <cellStyle name="Normal 2 2 5 2 2 2 4 3" xfId="32960"/>
    <cellStyle name="Normal 2 2 5 2 2 2 5" xfId="15195"/>
    <cellStyle name="Normal 2 2 5 2 2 2 5 2" xfId="15196"/>
    <cellStyle name="Normal 2 2 5 2 2 2 5 2 2" xfId="32961"/>
    <cellStyle name="Normal 2 2 5 2 2 2 5 3" xfId="32962"/>
    <cellStyle name="Normal 2 2 5 2 2 2 6" xfId="15197"/>
    <cellStyle name="Normal 2 2 5 2 2 2 6 2" xfId="32963"/>
    <cellStyle name="Normal 2 2 5 2 2 2 7" xfId="15198"/>
    <cellStyle name="Normal 2 2 5 2 2 3" xfId="804"/>
    <cellStyle name="Normal 2 2 5 2 2 3 2" xfId="2035"/>
    <cellStyle name="Normal 2 2 5 2 2 3 2 2" xfId="15199"/>
    <cellStyle name="Normal 2 2 5 2 2 3 2 2 2" xfId="15200"/>
    <cellStyle name="Normal 2 2 5 2 2 3 2 2 2 2" xfId="32964"/>
    <cellStyle name="Normal 2 2 5 2 2 3 2 2 3" xfId="32965"/>
    <cellStyle name="Normal 2 2 5 2 2 3 2 3" xfId="15201"/>
    <cellStyle name="Normal 2 2 5 2 2 3 2 3 2" xfId="15202"/>
    <cellStyle name="Normal 2 2 5 2 2 3 2 3 2 2" xfId="32966"/>
    <cellStyle name="Normal 2 2 5 2 2 3 2 3 3" xfId="32967"/>
    <cellStyle name="Normal 2 2 5 2 2 3 2 4" xfId="15203"/>
    <cellStyle name="Normal 2 2 5 2 2 3 2 4 2" xfId="15204"/>
    <cellStyle name="Normal 2 2 5 2 2 3 2 4 2 2" xfId="32968"/>
    <cellStyle name="Normal 2 2 5 2 2 3 2 4 3" xfId="32969"/>
    <cellStyle name="Normal 2 2 5 2 2 3 2 5" xfId="15205"/>
    <cellStyle name="Normal 2 2 5 2 2 3 2 5 2" xfId="32970"/>
    <cellStyle name="Normal 2 2 5 2 2 3 2 6" xfId="15206"/>
    <cellStyle name="Normal 2 2 5 2 2 3 3" xfId="15207"/>
    <cellStyle name="Normal 2 2 5 2 2 3 3 2" xfId="15208"/>
    <cellStyle name="Normal 2 2 5 2 2 3 3 2 2" xfId="32971"/>
    <cellStyle name="Normal 2 2 5 2 2 3 3 3" xfId="32972"/>
    <cellStyle name="Normal 2 2 5 2 2 3 4" xfId="15209"/>
    <cellStyle name="Normal 2 2 5 2 2 3 4 2" xfId="15210"/>
    <cellStyle name="Normal 2 2 5 2 2 3 4 2 2" xfId="32973"/>
    <cellStyle name="Normal 2 2 5 2 2 3 4 3" xfId="32974"/>
    <cellStyle name="Normal 2 2 5 2 2 3 5" xfId="15211"/>
    <cellStyle name="Normal 2 2 5 2 2 3 5 2" xfId="15212"/>
    <cellStyle name="Normal 2 2 5 2 2 3 5 2 2" xfId="32975"/>
    <cellStyle name="Normal 2 2 5 2 2 3 5 3" xfId="32976"/>
    <cellStyle name="Normal 2 2 5 2 2 3 6" xfId="15213"/>
    <cellStyle name="Normal 2 2 5 2 2 3 6 2" xfId="32977"/>
    <cellStyle name="Normal 2 2 5 2 2 3 7" xfId="15214"/>
    <cellStyle name="Normal 2 2 5 2 2 4" xfId="2036"/>
    <cellStyle name="Normal 2 2 5 2 2 4 2" xfId="15215"/>
    <cellStyle name="Normal 2 2 5 2 2 4 2 2" xfId="15216"/>
    <cellStyle name="Normal 2 2 5 2 2 4 2 2 2" xfId="32978"/>
    <cellStyle name="Normal 2 2 5 2 2 4 2 3" xfId="32979"/>
    <cellStyle name="Normal 2 2 5 2 2 4 3" xfId="15217"/>
    <cellStyle name="Normal 2 2 5 2 2 4 3 2" xfId="15218"/>
    <cellStyle name="Normal 2 2 5 2 2 4 3 2 2" xfId="32980"/>
    <cellStyle name="Normal 2 2 5 2 2 4 3 3" xfId="32981"/>
    <cellStyle name="Normal 2 2 5 2 2 4 4" xfId="15219"/>
    <cellStyle name="Normal 2 2 5 2 2 4 4 2" xfId="15220"/>
    <cellStyle name="Normal 2 2 5 2 2 4 4 2 2" xfId="32982"/>
    <cellStyle name="Normal 2 2 5 2 2 4 4 3" xfId="32983"/>
    <cellStyle name="Normal 2 2 5 2 2 4 5" xfId="15221"/>
    <cellStyle name="Normal 2 2 5 2 2 4 5 2" xfId="32984"/>
    <cellStyle name="Normal 2 2 5 2 2 4 6" xfId="15222"/>
    <cellStyle name="Normal 2 2 5 2 2 5" xfId="15223"/>
    <cellStyle name="Normal 2 2 5 2 2 5 2" xfId="15224"/>
    <cellStyle name="Normal 2 2 5 2 2 5 2 2" xfId="32985"/>
    <cellStyle name="Normal 2 2 5 2 2 5 3" xfId="32986"/>
    <cellStyle name="Normal 2 2 5 2 2 6" xfId="15225"/>
    <cellStyle name="Normal 2 2 5 2 2 6 2" xfId="15226"/>
    <cellStyle name="Normal 2 2 5 2 2 6 2 2" xfId="32987"/>
    <cellStyle name="Normal 2 2 5 2 2 6 3" xfId="32988"/>
    <cellStyle name="Normal 2 2 5 2 2 7" xfId="15227"/>
    <cellStyle name="Normal 2 2 5 2 2 7 2" xfId="15228"/>
    <cellStyle name="Normal 2 2 5 2 2 7 2 2" xfId="32989"/>
    <cellStyle name="Normal 2 2 5 2 2 7 3" xfId="32990"/>
    <cellStyle name="Normal 2 2 5 2 2 8" xfId="15229"/>
    <cellStyle name="Normal 2 2 5 2 2 8 2" xfId="32991"/>
    <cellStyle name="Normal 2 2 5 2 2 9" xfId="15230"/>
    <cellStyle name="Normal 2 2 5 2 3" xfId="1014"/>
    <cellStyle name="Normal 2 2 5 2 3 2" xfId="2037"/>
    <cellStyle name="Normal 2 2 5 2 3 2 2" xfId="15231"/>
    <cellStyle name="Normal 2 2 5 2 3 2 2 2" xfId="15232"/>
    <cellStyle name="Normal 2 2 5 2 3 2 2 2 2" xfId="32992"/>
    <cellStyle name="Normal 2 2 5 2 3 2 2 3" xfId="32993"/>
    <cellStyle name="Normal 2 2 5 2 3 2 3" xfId="15233"/>
    <cellStyle name="Normal 2 2 5 2 3 2 3 2" xfId="15234"/>
    <cellStyle name="Normal 2 2 5 2 3 2 3 2 2" xfId="32994"/>
    <cellStyle name="Normal 2 2 5 2 3 2 3 3" xfId="32995"/>
    <cellStyle name="Normal 2 2 5 2 3 2 4" xfId="15235"/>
    <cellStyle name="Normal 2 2 5 2 3 2 4 2" xfId="15236"/>
    <cellStyle name="Normal 2 2 5 2 3 2 4 2 2" xfId="32996"/>
    <cellStyle name="Normal 2 2 5 2 3 2 4 3" xfId="32997"/>
    <cellStyle name="Normal 2 2 5 2 3 2 5" xfId="15237"/>
    <cellStyle name="Normal 2 2 5 2 3 2 5 2" xfId="32998"/>
    <cellStyle name="Normal 2 2 5 2 3 2 6" xfId="15238"/>
    <cellStyle name="Normal 2 2 5 2 3 3" xfId="15239"/>
    <cellStyle name="Normal 2 2 5 2 3 3 2" xfId="15240"/>
    <cellStyle name="Normal 2 2 5 2 3 3 2 2" xfId="32999"/>
    <cellStyle name="Normal 2 2 5 2 3 3 3" xfId="33000"/>
    <cellStyle name="Normal 2 2 5 2 3 4" xfId="15241"/>
    <cellStyle name="Normal 2 2 5 2 3 4 2" xfId="15242"/>
    <cellStyle name="Normal 2 2 5 2 3 4 2 2" xfId="33001"/>
    <cellStyle name="Normal 2 2 5 2 3 4 3" xfId="33002"/>
    <cellStyle name="Normal 2 2 5 2 3 5" xfId="15243"/>
    <cellStyle name="Normal 2 2 5 2 3 5 2" xfId="15244"/>
    <cellStyle name="Normal 2 2 5 2 3 5 2 2" xfId="33003"/>
    <cellStyle name="Normal 2 2 5 2 3 5 3" xfId="33004"/>
    <cellStyle name="Normal 2 2 5 2 3 6" xfId="15245"/>
    <cellStyle name="Normal 2 2 5 2 3 6 2" xfId="33005"/>
    <cellStyle name="Normal 2 2 5 2 3 7" xfId="15246"/>
    <cellStyle name="Normal 2 2 5 2 4" xfId="646"/>
    <cellStyle name="Normal 2 2 5 2 4 2" xfId="2038"/>
    <cellStyle name="Normal 2 2 5 2 4 2 2" xfId="15247"/>
    <cellStyle name="Normal 2 2 5 2 4 2 2 2" xfId="15248"/>
    <cellStyle name="Normal 2 2 5 2 4 2 2 2 2" xfId="33006"/>
    <cellStyle name="Normal 2 2 5 2 4 2 2 3" xfId="33007"/>
    <cellStyle name="Normal 2 2 5 2 4 2 3" xfId="15249"/>
    <cellStyle name="Normal 2 2 5 2 4 2 3 2" xfId="15250"/>
    <cellStyle name="Normal 2 2 5 2 4 2 3 2 2" xfId="33008"/>
    <cellStyle name="Normal 2 2 5 2 4 2 3 3" xfId="33009"/>
    <cellStyle name="Normal 2 2 5 2 4 2 4" xfId="15251"/>
    <cellStyle name="Normal 2 2 5 2 4 2 4 2" xfId="15252"/>
    <cellStyle name="Normal 2 2 5 2 4 2 4 2 2" xfId="33010"/>
    <cellStyle name="Normal 2 2 5 2 4 2 4 3" xfId="33011"/>
    <cellStyle name="Normal 2 2 5 2 4 2 5" xfId="15253"/>
    <cellStyle name="Normal 2 2 5 2 4 2 5 2" xfId="33012"/>
    <cellStyle name="Normal 2 2 5 2 4 2 6" xfId="15254"/>
    <cellStyle name="Normal 2 2 5 2 4 3" xfId="15255"/>
    <cellStyle name="Normal 2 2 5 2 4 3 2" xfId="15256"/>
    <cellStyle name="Normal 2 2 5 2 4 3 2 2" xfId="33013"/>
    <cellStyle name="Normal 2 2 5 2 4 3 3" xfId="33014"/>
    <cellStyle name="Normal 2 2 5 2 4 4" xfId="15257"/>
    <cellStyle name="Normal 2 2 5 2 4 4 2" xfId="15258"/>
    <cellStyle name="Normal 2 2 5 2 4 4 2 2" xfId="33015"/>
    <cellStyle name="Normal 2 2 5 2 4 4 3" xfId="33016"/>
    <cellStyle name="Normal 2 2 5 2 4 5" xfId="15259"/>
    <cellStyle name="Normal 2 2 5 2 4 5 2" xfId="15260"/>
    <cellStyle name="Normal 2 2 5 2 4 5 2 2" xfId="33017"/>
    <cellStyle name="Normal 2 2 5 2 4 5 3" xfId="33018"/>
    <cellStyle name="Normal 2 2 5 2 4 6" xfId="15261"/>
    <cellStyle name="Normal 2 2 5 2 4 6 2" xfId="33019"/>
    <cellStyle name="Normal 2 2 5 2 4 7" xfId="15262"/>
    <cellStyle name="Normal 2 2 5 2 5" xfId="2039"/>
    <cellStyle name="Normal 2 2 5 2 5 2" xfId="15263"/>
    <cellStyle name="Normal 2 2 5 2 5 2 2" xfId="15264"/>
    <cellStyle name="Normal 2 2 5 2 5 2 2 2" xfId="33020"/>
    <cellStyle name="Normal 2 2 5 2 5 2 3" xfId="33021"/>
    <cellStyle name="Normal 2 2 5 2 5 3" xfId="15265"/>
    <cellStyle name="Normal 2 2 5 2 5 3 2" xfId="15266"/>
    <cellStyle name="Normal 2 2 5 2 5 3 2 2" xfId="33022"/>
    <cellStyle name="Normal 2 2 5 2 5 3 3" xfId="33023"/>
    <cellStyle name="Normal 2 2 5 2 5 4" xfId="15267"/>
    <cellStyle name="Normal 2 2 5 2 5 4 2" xfId="15268"/>
    <cellStyle name="Normal 2 2 5 2 5 4 2 2" xfId="33024"/>
    <cellStyle name="Normal 2 2 5 2 5 4 3" xfId="33025"/>
    <cellStyle name="Normal 2 2 5 2 5 5" xfId="15269"/>
    <cellStyle name="Normal 2 2 5 2 5 5 2" xfId="33026"/>
    <cellStyle name="Normal 2 2 5 2 5 6" xfId="15270"/>
    <cellStyle name="Normal 2 2 5 2 6" xfId="15271"/>
    <cellStyle name="Normal 2 2 5 2 6 2" xfId="15272"/>
    <cellStyle name="Normal 2 2 5 2 6 2 2" xfId="33027"/>
    <cellStyle name="Normal 2 2 5 2 6 3" xfId="33028"/>
    <cellStyle name="Normal 2 2 5 2 7" xfId="15273"/>
    <cellStyle name="Normal 2 2 5 2 7 2" xfId="15274"/>
    <cellStyle name="Normal 2 2 5 2 7 2 2" xfId="33029"/>
    <cellStyle name="Normal 2 2 5 2 7 3" xfId="33030"/>
    <cellStyle name="Normal 2 2 5 2 8" xfId="15275"/>
    <cellStyle name="Normal 2 2 5 2 8 2" xfId="15276"/>
    <cellStyle name="Normal 2 2 5 2 8 2 2" xfId="33031"/>
    <cellStyle name="Normal 2 2 5 2 8 3" xfId="33032"/>
    <cellStyle name="Normal 2 2 5 2 9" xfId="15277"/>
    <cellStyle name="Normal 2 2 5 2 9 2" xfId="33033"/>
    <cellStyle name="Normal 2 2 5 3" xfId="277"/>
    <cellStyle name="Normal 2 2 5 3 10" xfId="15278"/>
    <cellStyle name="Normal 2 2 5 3 2" xfId="435"/>
    <cellStyle name="Normal 2 2 5 3 2 2" xfId="1223"/>
    <cellStyle name="Normal 2 2 5 3 2 2 2" xfId="2040"/>
    <cellStyle name="Normal 2 2 5 3 2 2 2 2" xfId="15279"/>
    <cellStyle name="Normal 2 2 5 3 2 2 2 2 2" xfId="15280"/>
    <cellStyle name="Normal 2 2 5 3 2 2 2 2 2 2" xfId="33034"/>
    <cellStyle name="Normal 2 2 5 3 2 2 2 2 3" xfId="33035"/>
    <cellStyle name="Normal 2 2 5 3 2 2 2 3" xfId="15281"/>
    <cellStyle name="Normal 2 2 5 3 2 2 2 3 2" xfId="15282"/>
    <cellStyle name="Normal 2 2 5 3 2 2 2 3 2 2" xfId="33036"/>
    <cellStyle name="Normal 2 2 5 3 2 2 2 3 3" xfId="33037"/>
    <cellStyle name="Normal 2 2 5 3 2 2 2 4" xfId="15283"/>
    <cellStyle name="Normal 2 2 5 3 2 2 2 4 2" xfId="15284"/>
    <cellStyle name="Normal 2 2 5 3 2 2 2 4 2 2" xfId="33038"/>
    <cellStyle name="Normal 2 2 5 3 2 2 2 4 3" xfId="33039"/>
    <cellStyle name="Normal 2 2 5 3 2 2 2 5" xfId="15285"/>
    <cellStyle name="Normal 2 2 5 3 2 2 2 5 2" xfId="33040"/>
    <cellStyle name="Normal 2 2 5 3 2 2 2 6" xfId="15286"/>
    <cellStyle name="Normal 2 2 5 3 2 2 3" xfId="15287"/>
    <cellStyle name="Normal 2 2 5 3 2 2 3 2" xfId="15288"/>
    <cellStyle name="Normal 2 2 5 3 2 2 3 2 2" xfId="33041"/>
    <cellStyle name="Normal 2 2 5 3 2 2 3 3" xfId="33042"/>
    <cellStyle name="Normal 2 2 5 3 2 2 4" xfId="15289"/>
    <cellStyle name="Normal 2 2 5 3 2 2 4 2" xfId="15290"/>
    <cellStyle name="Normal 2 2 5 3 2 2 4 2 2" xfId="33043"/>
    <cellStyle name="Normal 2 2 5 3 2 2 4 3" xfId="33044"/>
    <cellStyle name="Normal 2 2 5 3 2 2 5" xfId="15291"/>
    <cellStyle name="Normal 2 2 5 3 2 2 5 2" xfId="15292"/>
    <cellStyle name="Normal 2 2 5 3 2 2 5 2 2" xfId="33045"/>
    <cellStyle name="Normal 2 2 5 3 2 2 5 3" xfId="33046"/>
    <cellStyle name="Normal 2 2 5 3 2 2 6" xfId="15293"/>
    <cellStyle name="Normal 2 2 5 3 2 2 6 2" xfId="33047"/>
    <cellStyle name="Normal 2 2 5 3 2 2 7" xfId="15294"/>
    <cellStyle name="Normal 2 2 5 3 2 3" xfId="855"/>
    <cellStyle name="Normal 2 2 5 3 2 3 2" xfId="2041"/>
    <cellStyle name="Normal 2 2 5 3 2 3 2 2" xfId="15295"/>
    <cellStyle name="Normal 2 2 5 3 2 3 2 2 2" xfId="15296"/>
    <cellStyle name="Normal 2 2 5 3 2 3 2 2 2 2" xfId="33048"/>
    <cellStyle name="Normal 2 2 5 3 2 3 2 2 3" xfId="33049"/>
    <cellStyle name="Normal 2 2 5 3 2 3 2 3" xfId="15297"/>
    <cellStyle name="Normal 2 2 5 3 2 3 2 3 2" xfId="15298"/>
    <cellStyle name="Normal 2 2 5 3 2 3 2 3 2 2" xfId="33050"/>
    <cellStyle name="Normal 2 2 5 3 2 3 2 3 3" xfId="33051"/>
    <cellStyle name="Normal 2 2 5 3 2 3 2 4" xfId="15299"/>
    <cellStyle name="Normal 2 2 5 3 2 3 2 4 2" xfId="15300"/>
    <cellStyle name="Normal 2 2 5 3 2 3 2 4 2 2" xfId="33052"/>
    <cellStyle name="Normal 2 2 5 3 2 3 2 4 3" xfId="33053"/>
    <cellStyle name="Normal 2 2 5 3 2 3 2 5" xfId="15301"/>
    <cellStyle name="Normal 2 2 5 3 2 3 2 5 2" xfId="33054"/>
    <cellStyle name="Normal 2 2 5 3 2 3 2 6" xfId="15302"/>
    <cellStyle name="Normal 2 2 5 3 2 3 3" xfId="15303"/>
    <cellStyle name="Normal 2 2 5 3 2 3 3 2" xfId="15304"/>
    <cellStyle name="Normal 2 2 5 3 2 3 3 2 2" xfId="33055"/>
    <cellStyle name="Normal 2 2 5 3 2 3 3 3" xfId="33056"/>
    <cellStyle name="Normal 2 2 5 3 2 3 4" xfId="15305"/>
    <cellStyle name="Normal 2 2 5 3 2 3 4 2" xfId="15306"/>
    <cellStyle name="Normal 2 2 5 3 2 3 4 2 2" xfId="33057"/>
    <cellStyle name="Normal 2 2 5 3 2 3 4 3" xfId="33058"/>
    <cellStyle name="Normal 2 2 5 3 2 3 5" xfId="15307"/>
    <cellStyle name="Normal 2 2 5 3 2 3 5 2" xfId="15308"/>
    <cellStyle name="Normal 2 2 5 3 2 3 5 2 2" xfId="33059"/>
    <cellStyle name="Normal 2 2 5 3 2 3 5 3" xfId="33060"/>
    <cellStyle name="Normal 2 2 5 3 2 3 6" xfId="15309"/>
    <cellStyle name="Normal 2 2 5 3 2 3 6 2" xfId="33061"/>
    <cellStyle name="Normal 2 2 5 3 2 3 7" xfId="15310"/>
    <cellStyle name="Normal 2 2 5 3 2 4" xfId="2042"/>
    <cellStyle name="Normal 2 2 5 3 2 4 2" xfId="15311"/>
    <cellStyle name="Normal 2 2 5 3 2 4 2 2" xfId="15312"/>
    <cellStyle name="Normal 2 2 5 3 2 4 2 2 2" xfId="33062"/>
    <cellStyle name="Normal 2 2 5 3 2 4 2 3" xfId="33063"/>
    <cellStyle name="Normal 2 2 5 3 2 4 3" xfId="15313"/>
    <cellStyle name="Normal 2 2 5 3 2 4 3 2" xfId="15314"/>
    <cellStyle name="Normal 2 2 5 3 2 4 3 2 2" xfId="33064"/>
    <cellStyle name="Normal 2 2 5 3 2 4 3 3" xfId="33065"/>
    <cellStyle name="Normal 2 2 5 3 2 4 4" xfId="15315"/>
    <cellStyle name="Normal 2 2 5 3 2 4 4 2" xfId="15316"/>
    <cellStyle name="Normal 2 2 5 3 2 4 4 2 2" xfId="33066"/>
    <cellStyle name="Normal 2 2 5 3 2 4 4 3" xfId="33067"/>
    <cellStyle name="Normal 2 2 5 3 2 4 5" xfId="15317"/>
    <cellStyle name="Normal 2 2 5 3 2 4 5 2" xfId="33068"/>
    <cellStyle name="Normal 2 2 5 3 2 4 6" xfId="15318"/>
    <cellStyle name="Normal 2 2 5 3 2 5" xfId="15319"/>
    <cellStyle name="Normal 2 2 5 3 2 5 2" xfId="15320"/>
    <cellStyle name="Normal 2 2 5 3 2 5 2 2" xfId="33069"/>
    <cellStyle name="Normal 2 2 5 3 2 5 3" xfId="33070"/>
    <cellStyle name="Normal 2 2 5 3 2 6" xfId="15321"/>
    <cellStyle name="Normal 2 2 5 3 2 6 2" xfId="15322"/>
    <cellStyle name="Normal 2 2 5 3 2 6 2 2" xfId="33071"/>
    <cellStyle name="Normal 2 2 5 3 2 6 3" xfId="33072"/>
    <cellStyle name="Normal 2 2 5 3 2 7" xfId="15323"/>
    <cellStyle name="Normal 2 2 5 3 2 7 2" xfId="15324"/>
    <cellStyle name="Normal 2 2 5 3 2 7 2 2" xfId="33073"/>
    <cellStyle name="Normal 2 2 5 3 2 7 3" xfId="33074"/>
    <cellStyle name="Normal 2 2 5 3 2 8" xfId="15325"/>
    <cellStyle name="Normal 2 2 5 3 2 8 2" xfId="33075"/>
    <cellStyle name="Normal 2 2 5 3 2 9" xfId="15326"/>
    <cellStyle name="Normal 2 2 5 3 3" xfId="1065"/>
    <cellStyle name="Normal 2 2 5 3 3 2" xfId="2043"/>
    <cellStyle name="Normal 2 2 5 3 3 2 2" xfId="15327"/>
    <cellStyle name="Normal 2 2 5 3 3 2 2 2" xfId="15328"/>
    <cellStyle name="Normal 2 2 5 3 3 2 2 2 2" xfId="33076"/>
    <cellStyle name="Normal 2 2 5 3 3 2 2 3" xfId="33077"/>
    <cellStyle name="Normal 2 2 5 3 3 2 3" xfId="15329"/>
    <cellStyle name="Normal 2 2 5 3 3 2 3 2" xfId="15330"/>
    <cellStyle name="Normal 2 2 5 3 3 2 3 2 2" xfId="33078"/>
    <cellStyle name="Normal 2 2 5 3 3 2 3 3" xfId="33079"/>
    <cellStyle name="Normal 2 2 5 3 3 2 4" xfId="15331"/>
    <cellStyle name="Normal 2 2 5 3 3 2 4 2" xfId="15332"/>
    <cellStyle name="Normal 2 2 5 3 3 2 4 2 2" xfId="33080"/>
    <cellStyle name="Normal 2 2 5 3 3 2 4 3" xfId="33081"/>
    <cellStyle name="Normal 2 2 5 3 3 2 5" xfId="15333"/>
    <cellStyle name="Normal 2 2 5 3 3 2 5 2" xfId="33082"/>
    <cellStyle name="Normal 2 2 5 3 3 2 6" xfId="15334"/>
    <cellStyle name="Normal 2 2 5 3 3 3" xfId="15335"/>
    <cellStyle name="Normal 2 2 5 3 3 3 2" xfId="15336"/>
    <cellStyle name="Normal 2 2 5 3 3 3 2 2" xfId="33083"/>
    <cellStyle name="Normal 2 2 5 3 3 3 3" xfId="33084"/>
    <cellStyle name="Normal 2 2 5 3 3 4" xfId="15337"/>
    <cellStyle name="Normal 2 2 5 3 3 4 2" xfId="15338"/>
    <cellStyle name="Normal 2 2 5 3 3 4 2 2" xfId="33085"/>
    <cellStyle name="Normal 2 2 5 3 3 4 3" xfId="33086"/>
    <cellStyle name="Normal 2 2 5 3 3 5" xfId="15339"/>
    <cellStyle name="Normal 2 2 5 3 3 5 2" xfId="15340"/>
    <cellStyle name="Normal 2 2 5 3 3 5 2 2" xfId="33087"/>
    <cellStyle name="Normal 2 2 5 3 3 5 3" xfId="33088"/>
    <cellStyle name="Normal 2 2 5 3 3 6" xfId="15341"/>
    <cellStyle name="Normal 2 2 5 3 3 6 2" xfId="33089"/>
    <cellStyle name="Normal 2 2 5 3 3 7" xfId="15342"/>
    <cellStyle name="Normal 2 2 5 3 4" xfId="697"/>
    <cellStyle name="Normal 2 2 5 3 4 2" xfId="2044"/>
    <cellStyle name="Normal 2 2 5 3 4 2 2" xfId="15343"/>
    <cellStyle name="Normal 2 2 5 3 4 2 2 2" xfId="15344"/>
    <cellStyle name="Normal 2 2 5 3 4 2 2 2 2" xfId="33090"/>
    <cellStyle name="Normal 2 2 5 3 4 2 2 3" xfId="33091"/>
    <cellStyle name="Normal 2 2 5 3 4 2 3" xfId="15345"/>
    <cellStyle name="Normal 2 2 5 3 4 2 3 2" xfId="15346"/>
    <cellStyle name="Normal 2 2 5 3 4 2 3 2 2" xfId="33092"/>
    <cellStyle name="Normal 2 2 5 3 4 2 3 3" xfId="33093"/>
    <cellStyle name="Normal 2 2 5 3 4 2 4" xfId="15347"/>
    <cellStyle name="Normal 2 2 5 3 4 2 4 2" xfId="15348"/>
    <cellStyle name="Normal 2 2 5 3 4 2 4 2 2" xfId="33094"/>
    <cellStyle name="Normal 2 2 5 3 4 2 4 3" xfId="33095"/>
    <cellStyle name="Normal 2 2 5 3 4 2 5" xfId="15349"/>
    <cellStyle name="Normal 2 2 5 3 4 2 5 2" xfId="33096"/>
    <cellStyle name="Normal 2 2 5 3 4 2 6" xfId="15350"/>
    <cellStyle name="Normal 2 2 5 3 4 3" xfId="15351"/>
    <cellStyle name="Normal 2 2 5 3 4 3 2" xfId="15352"/>
    <cellStyle name="Normal 2 2 5 3 4 3 2 2" xfId="33097"/>
    <cellStyle name="Normal 2 2 5 3 4 3 3" xfId="33098"/>
    <cellStyle name="Normal 2 2 5 3 4 4" xfId="15353"/>
    <cellStyle name="Normal 2 2 5 3 4 4 2" xfId="15354"/>
    <cellStyle name="Normal 2 2 5 3 4 4 2 2" xfId="33099"/>
    <cellStyle name="Normal 2 2 5 3 4 4 3" xfId="33100"/>
    <cellStyle name="Normal 2 2 5 3 4 5" xfId="15355"/>
    <cellStyle name="Normal 2 2 5 3 4 5 2" xfId="15356"/>
    <cellStyle name="Normal 2 2 5 3 4 5 2 2" xfId="33101"/>
    <cellStyle name="Normal 2 2 5 3 4 5 3" xfId="33102"/>
    <cellStyle name="Normal 2 2 5 3 4 6" xfId="15357"/>
    <cellStyle name="Normal 2 2 5 3 4 6 2" xfId="33103"/>
    <cellStyle name="Normal 2 2 5 3 4 7" xfId="15358"/>
    <cellStyle name="Normal 2 2 5 3 5" xfId="2045"/>
    <cellStyle name="Normal 2 2 5 3 5 2" xfId="15359"/>
    <cellStyle name="Normal 2 2 5 3 5 2 2" xfId="15360"/>
    <cellStyle name="Normal 2 2 5 3 5 2 2 2" xfId="33104"/>
    <cellStyle name="Normal 2 2 5 3 5 2 3" xfId="33105"/>
    <cellStyle name="Normal 2 2 5 3 5 3" xfId="15361"/>
    <cellStyle name="Normal 2 2 5 3 5 3 2" xfId="15362"/>
    <cellStyle name="Normal 2 2 5 3 5 3 2 2" xfId="33106"/>
    <cellStyle name="Normal 2 2 5 3 5 3 3" xfId="33107"/>
    <cellStyle name="Normal 2 2 5 3 5 4" xfId="15363"/>
    <cellStyle name="Normal 2 2 5 3 5 4 2" xfId="15364"/>
    <cellStyle name="Normal 2 2 5 3 5 4 2 2" xfId="33108"/>
    <cellStyle name="Normal 2 2 5 3 5 4 3" xfId="33109"/>
    <cellStyle name="Normal 2 2 5 3 5 5" xfId="15365"/>
    <cellStyle name="Normal 2 2 5 3 5 5 2" xfId="33110"/>
    <cellStyle name="Normal 2 2 5 3 5 6" xfId="15366"/>
    <cellStyle name="Normal 2 2 5 3 6" xfId="15367"/>
    <cellStyle name="Normal 2 2 5 3 6 2" xfId="15368"/>
    <cellStyle name="Normal 2 2 5 3 6 2 2" xfId="33111"/>
    <cellStyle name="Normal 2 2 5 3 6 3" xfId="33112"/>
    <cellStyle name="Normal 2 2 5 3 7" xfId="15369"/>
    <cellStyle name="Normal 2 2 5 3 7 2" xfId="15370"/>
    <cellStyle name="Normal 2 2 5 3 7 2 2" xfId="33113"/>
    <cellStyle name="Normal 2 2 5 3 7 3" xfId="33114"/>
    <cellStyle name="Normal 2 2 5 3 8" xfId="15371"/>
    <cellStyle name="Normal 2 2 5 3 8 2" xfId="15372"/>
    <cellStyle name="Normal 2 2 5 3 8 2 2" xfId="33115"/>
    <cellStyle name="Normal 2 2 5 3 8 3" xfId="33116"/>
    <cellStyle name="Normal 2 2 5 3 9" xfId="15373"/>
    <cellStyle name="Normal 2 2 5 3 9 2" xfId="33117"/>
    <cellStyle name="Normal 2 2 5 4" xfId="156"/>
    <cellStyle name="Normal 2 2 5 4 2" xfId="944"/>
    <cellStyle name="Normal 2 2 5 4 2 2" xfId="2046"/>
    <cellStyle name="Normal 2 2 5 4 2 2 2" xfId="15374"/>
    <cellStyle name="Normal 2 2 5 4 2 2 2 2" xfId="15375"/>
    <cellStyle name="Normal 2 2 5 4 2 2 2 2 2" xfId="33118"/>
    <cellStyle name="Normal 2 2 5 4 2 2 2 3" xfId="33119"/>
    <cellStyle name="Normal 2 2 5 4 2 2 3" xfId="15376"/>
    <cellStyle name="Normal 2 2 5 4 2 2 3 2" xfId="15377"/>
    <cellStyle name="Normal 2 2 5 4 2 2 3 2 2" xfId="33120"/>
    <cellStyle name="Normal 2 2 5 4 2 2 3 3" xfId="33121"/>
    <cellStyle name="Normal 2 2 5 4 2 2 4" xfId="15378"/>
    <cellStyle name="Normal 2 2 5 4 2 2 4 2" xfId="15379"/>
    <cellStyle name="Normal 2 2 5 4 2 2 4 2 2" xfId="33122"/>
    <cellStyle name="Normal 2 2 5 4 2 2 4 3" xfId="33123"/>
    <cellStyle name="Normal 2 2 5 4 2 2 5" xfId="15380"/>
    <cellStyle name="Normal 2 2 5 4 2 2 5 2" xfId="33124"/>
    <cellStyle name="Normal 2 2 5 4 2 2 6" xfId="15381"/>
    <cellStyle name="Normal 2 2 5 4 2 3" xfId="15382"/>
    <cellStyle name="Normal 2 2 5 4 2 3 2" xfId="15383"/>
    <cellStyle name="Normal 2 2 5 4 2 3 2 2" xfId="33125"/>
    <cellStyle name="Normal 2 2 5 4 2 3 3" xfId="33126"/>
    <cellStyle name="Normal 2 2 5 4 2 4" xfId="15384"/>
    <cellStyle name="Normal 2 2 5 4 2 4 2" xfId="15385"/>
    <cellStyle name="Normal 2 2 5 4 2 4 2 2" xfId="33127"/>
    <cellStyle name="Normal 2 2 5 4 2 4 3" xfId="33128"/>
    <cellStyle name="Normal 2 2 5 4 2 5" xfId="15386"/>
    <cellStyle name="Normal 2 2 5 4 2 5 2" xfId="15387"/>
    <cellStyle name="Normal 2 2 5 4 2 5 2 2" xfId="33129"/>
    <cellStyle name="Normal 2 2 5 4 2 5 3" xfId="33130"/>
    <cellStyle name="Normal 2 2 5 4 2 6" xfId="15388"/>
    <cellStyle name="Normal 2 2 5 4 2 6 2" xfId="33131"/>
    <cellStyle name="Normal 2 2 5 4 2 7" xfId="15389"/>
    <cellStyle name="Normal 2 2 5 4 3" xfId="576"/>
    <cellStyle name="Normal 2 2 5 4 3 2" xfId="2047"/>
    <cellStyle name="Normal 2 2 5 4 3 2 2" xfId="15390"/>
    <cellStyle name="Normal 2 2 5 4 3 2 2 2" xfId="15391"/>
    <cellStyle name="Normal 2 2 5 4 3 2 2 2 2" xfId="33132"/>
    <cellStyle name="Normal 2 2 5 4 3 2 2 3" xfId="33133"/>
    <cellStyle name="Normal 2 2 5 4 3 2 3" xfId="15392"/>
    <cellStyle name="Normal 2 2 5 4 3 2 3 2" xfId="15393"/>
    <cellStyle name="Normal 2 2 5 4 3 2 3 2 2" xfId="33134"/>
    <cellStyle name="Normal 2 2 5 4 3 2 3 3" xfId="33135"/>
    <cellStyle name="Normal 2 2 5 4 3 2 4" xfId="15394"/>
    <cellStyle name="Normal 2 2 5 4 3 2 4 2" xfId="15395"/>
    <cellStyle name="Normal 2 2 5 4 3 2 4 2 2" xfId="33136"/>
    <cellStyle name="Normal 2 2 5 4 3 2 4 3" xfId="33137"/>
    <cellStyle name="Normal 2 2 5 4 3 2 5" xfId="15396"/>
    <cellStyle name="Normal 2 2 5 4 3 2 5 2" xfId="33138"/>
    <cellStyle name="Normal 2 2 5 4 3 2 6" xfId="15397"/>
    <cellStyle name="Normal 2 2 5 4 3 3" xfId="15398"/>
    <cellStyle name="Normal 2 2 5 4 3 3 2" xfId="15399"/>
    <cellStyle name="Normal 2 2 5 4 3 3 2 2" xfId="33139"/>
    <cellStyle name="Normal 2 2 5 4 3 3 3" xfId="33140"/>
    <cellStyle name="Normal 2 2 5 4 3 4" xfId="15400"/>
    <cellStyle name="Normal 2 2 5 4 3 4 2" xfId="15401"/>
    <cellStyle name="Normal 2 2 5 4 3 4 2 2" xfId="33141"/>
    <cellStyle name="Normal 2 2 5 4 3 4 3" xfId="33142"/>
    <cellStyle name="Normal 2 2 5 4 3 5" xfId="15402"/>
    <cellStyle name="Normal 2 2 5 4 3 5 2" xfId="15403"/>
    <cellStyle name="Normal 2 2 5 4 3 5 2 2" xfId="33143"/>
    <cellStyle name="Normal 2 2 5 4 3 5 3" xfId="33144"/>
    <cellStyle name="Normal 2 2 5 4 3 6" xfId="15404"/>
    <cellStyle name="Normal 2 2 5 4 3 6 2" xfId="33145"/>
    <cellStyle name="Normal 2 2 5 4 3 7" xfId="15405"/>
    <cellStyle name="Normal 2 2 5 4 4" xfId="2048"/>
    <cellStyle name="Normal 2 2 5 4 4 2" xfId="15406"/>
    <cellStyle name="Normal 2 2 5 4 4 2 2" xfId="15407"/>
    <cellStyle name="Normal 2 2 5 4 4 2 2 2" xfId="33146"/>
    <cellStyle name="Normal 2 2 5 4 4 2 3" xfId="33147"/>
    <cellStyle name="Normal 2 2 5 4 4 3" xfId="15408"/>
    <cellStyle name="Normal 2 2 5 4 4 3 2" xfId="15409"/>
    <cellStyle name="Normal 2 2 5 4 4 3 2 2" xfId="33148"/>
    <cellStyle name="Normal 2 2 5 4 4 3 3" xfId="33149"/>
    <cellStyle name="Normal 2 2 5 4 4 4" xfId="15410"/>
    <cellStyle name="Normal 2 2 5 4 4 4 2" xfId="15411"/>
    <cellStyle name="Normal 2 2 5 4 4 4 2 2" xfId="33150"/>
    <cellStyle name="Normal 2 2 5 4 4 4 3" xfId="33151"/>
    <cellStyle name="Normal 2 2 5 4 4 5" xfId="15412"/>
    <cellStyle name="Normal 2 2 5 4 4 5 2" xfId="33152"/>
    <cellStyle name="Normal 2 2 5 4 4 6" xfId="15413"/>
    <cellStyle name="Normal 2 2 5 4 5" xfId="15414"/>
    <cellStyle name="Normal 2 2 5 4 5 2" xfId="15415"/>
    <cellStyle name="Normal 2 2 5 4 5 2 2" xfId="33153"/>
    <cellStyle name="Normal 2 2 5 4 5 3" xfId="33154"/>
    <cellStyle name="Normal 2 2 5 4 6" xfId="15416"/>
    <cellStyle name="Normal 2 2 5 4 6 2" xfId="15417"/>
    <cellStyle name="Normal 2 2 5 4 6 2 2" xfId="33155"/>
    <cellStyle name="Normal 2 2 5 4 6 3" xfId="33156"/>
    <cellStyle name="Normal 2 2 5 4 7" xfId="15418"/>
    <cellStyle name="Normal 2 2 5 4 7 2" xfId="15419"/>
    <cellStyle name="Normal 2 2 5 4 7 2 2" xfId="33157"/>
    <cellStyle name="Normal 2 2 5 4 7 3" xfId="33158"/>
    <cellStyle name="Normal 2 2 5 4 8" xfId="15420"/>
    <cellStyle name="Normal 2 2 5 4 8 2" xfId="33159"/>
    <cellStyle name="Normal 2 2 5 4 9" xfId="15421"/>
    <cellStyle name="Normal 2 2 5 5" xfId="314"/>
    <cellStyle name="Normal 2 2 5 5 2" xfId="1102"/>
    <cellStyle name="Normal 2 2 5 5 2 2" xfId="2049"/>
    <cellStyle name="Normal 2 2 5 5 2 2 2" xfId="15422"/>
    <cellStyle name="Normal 2 2 5 5 2 2 2 2" xfId="15423"/>
    <cellStyle name="Normal 2 2 5 5 2 2 2 2 2" xfId="33160"/>
    <cellStyle name="Normal 2 2 5 5 2 2 2 3" xfId="33161"/>
    <cellStyle name="Normal 2 2 5 5 2 2 3" xfId="15424"/>
    <cellStyle name="Normal 2 2 5 5 2 2 3 2" xfId="15425"/>
    <cellStyle name="Normal 2 2 5 5 2 2 3 2 2" xfId="33162"/>
    <cellStyle name="Normal 2 2 5 5 2 2 3 3" xfId="33163"/>
    <cellStyle name="Normal 2 2 5 5 2 2 4" xfId="15426"/>
    <cellStyle name="Normal 2 2 5 5 2 2 4 2" xfId="15427"/>
    <cellStyle name="Normal 2 2 5 5 2 2 4 2 2" xfId="33164"/>
    <cellStyle name="Normal 2 2 5 5 2 2 4 3" xfId="33165"/>
    <cellStyle name="Normal 2 2 5 5 2 2 5" xfId="15428"/>
    <cellStyle name="Normal 2 2 5 5 2 2 5 2" xfId="33166"/>
    <cellStyle name="Normal 2 2 5 5 2 2 6" xfId="15429"/>
    <cellStyle name="Normal 2 2 5 5 2 3" xfId="15430"/>
    <cellStyle name="Normal 2 2 5 5 2 3 2" xfId="15431"/>
    <cellStyle name="Normal 2 2 5 5 2 3 2 2" xfId="33167"/>
    <cellStyle name="Normal 2 2 5 5 2 3 3" xfId="33168"/>
    <cellStyle name="Normal 2 2 5 5 2 4" xfId="15432"/>
    <cellStyle name="Normal 2 2 5 5 2 4 2" xfId="15433"/>
    <cellStyle name="Normal 2 2 5 5 2 4 2 2" xfId="33169"/>
    <cellStyle name="Normal 2 2 5 5 2 4 3" xfId="33170"/>
    <cellStyle name="Normal 2 2 5 5 2 5" xfId="15434"/>
    <cellStyle name="Normal 2 2 5 5 2 5 2" xfId="15435"/>
    <cellStyle name="Normal 2 2 5 5 2 5 2 2" xfId="33171"/>
    <cellStyle name="Normal 2 2 5 5 2 5 3" xfId="33172"/>
    <cellStyle name="Normal 2 2 5 5 2 6" xfId="15436"/>
    <cellStyle name="Normal 2 2 5 5 2 6 2" xfId="33173"/>
    <cellStyle name="Normal 2 2 5 5 2 7" xfId="15437"/>
    <cellStyle name="Normal 2 2 5 5 3" xfId="734"/>
    <cellStyle name="Normal 2 2 5 5 3 2" xfId="2050"/>
    <cellStyle name="Normal 2 2 5 5 3 2 2" xfId="15438"/>
    <cellStyle name="Normal 2 2 5 5 3 2 2 2" xfId="15439"/>
    <cellStyle name="Normal 2 2 5 5 3 2 2 2 2" xfId="33174"/>
    <cellStyle name="Normal 2 2 5 5 3 2 2 3" xfId="33175"/>
    <cellStyle name="Normal 2 2 5 5 3 2 3" xfId="15440"/>
    <cellStyle name="Normal 2 2 5 5 3 2 3 2" xfId="15441"/>
    <cellStyle name="Normal 2 2 5 5 3 2 3 2 2" xfId="33176"/>
    <cellStyle name="Normal 2 2 5 5 3 2 3 3" xfId="33177"/>
    <cellStyle name="Normal 2 2 5 5 3 2 4" xfId="15442"/>
    <cellStyle name="Normal 2 2 5 5 3 2 4 2" xfId="15443"/>
    <cellStyle name="Normal 2 2 5 5 3 2 4 2 2" xfId="33178"/>
    <cellStyle name="Normal 2 2 5 5 3 2 4 3" xfId="33179"/>
    <cellStyle name="Normal 2 2 5 5 3 2 5" xfId="15444"/>
    <cellStyle name="Normal 2 2 5 5 3 2 5 2" xfId="33180"/>
    <cellStyle name="Normal 2 2 5 5 3 2 6" xfId="15445"/>
    <cellStyle name="Normal 2 2 5 5 3 3" xfId="15446"/>
    <cellStyle name="Normal 2 2 5 5 3 3 2" xfId="15447"/>
    <cellStyle name="Normal 2 2 5 5 3 3 2 2" xfId="33181"/>
    <cellStyle name="Normal 2 2 5 5 3 3 3" xfId="33182"/>
    <cellStyle name="Normal 2 2 5 5 3 4" xfId="15448"/>
    <cellStyle name="Normal 2 2 5 5 3 4 2" xfId="15449"/>
    <cellStyle name="Normal 2 2 5 5 3 4 2 2" xfId="33183"/>
    <cellStyle name="Normal 2 2 5 5 3 4 3" xfId="33184"/>
    <cellStyle name="Normal 2 2 5 5 3 5" xfId="15450"/>
    <cellStyle name="Normal 2 2 5 5 3 5 2" xfId="15451"/>
    <cellStyle name="Normal 2 2 5 5 3 5 2 2" xfId="33185"/>
    <cellStyle name="Normal 2 2 5 5 3 5 3" xfId="33186"/>
    <cellStyle name="Normal 2 2 5 5 3 6" xfId="15452"/>
    <cellStyle name="Normal 2 2 5 5 3 6 2" xfId="33187"/>
    <cellStyle name="Normal 2 2 5 5 3 7" xfId="15453"/>
    <cellStyle name="Normal 2 2 5 5 4" xfId="2051"/>
    <cellStyle name="Normal 2 2 5 5 4 2" xfId="15454"/>
    <cellStyle name="Normal 2 2 5 5 4 2 2" xfId="15455"/>
    <cellStyle name="Normal 2 2 5 5 4 2 2 2" xfId="33188"/>
    <cellStyle name="Normal 2 2 5 5 4 2 3" xfId="33189"/>
    <cellStyle name="Normal 2 2 5 5 4 3" xfId="15456"/>
    <cellStyle name="Normal 2 2 5 5 4 3 2" xfId="15457"/>
    <cellStyle name="Normal 2 2 5 5 4 3 2 2" xfId="33190"/>
    <cellStyle name="Normal 2 2 5 5 4 3 3" xfId="33191"/>
    <cellStyle name="Normal 2 2 5 5 4 4" xfId="15458"/>
    <cellStyle name="Normal 2 2 5 5 4 4 2" xfId="15459"/>
    <cellStyle name="Normal 2 2 5 5 4 4 2 2" xfId="33192"/>
    <cellStyle name="Normal 2 2 5 5 4 4 3" xfId="33193"/>
    <cellStyle name="Normal 2 2 5 5 4 5" xfId="15460"/>
    <cellStyle name="Normal 2 2 5 5 4 5 2" xfId="33194"/>
    <cellStyle name="Normal 2 2 5 5 4 6" xfId="15461"/>
    <cellStyle name="Normal 2 2 5 5 5" xfId="15462"/>
    <cellStyle name="Normal 2 2 5 5 5 2" xfId="15463"/>
    <cellStyle name="Normal 2 2 5 5 5 2 2" xfId="33195"/>
    <cellStyle name="Normal 2 2 5 5 5 3" xfId="33196"/>
    <cellStyle name="Normal 2 2 5 5 6" xfId="15464"/>
    <cellStyle name="Normal 2 2 5 5 6 2" xfId="15465"/>
    <cellStyle name="Normal 2 2 5 5 6 2 2" xfId="33197"/>
    <cellStyle name="Normal 2 2 5 5 6 3" xfId="33198"/>
    <cellStyle name="Normal 2 2 5 5 7" xfId="15466"/>
    <cellStyle name="Normal 2 2 5 5 7 2" xfId="15467"/>
    <cellStyle name="Normal 2 2 5 5 7 2 2" xfId="33199"/>
    <cellStyle name="Normal 2 2 5 5 7 3" xfId="33200"/>
    <cellStyle name="Normal 2 2 5 5 8" xfId="15468"/>
    <cellStyle name="Normal 2 2 5 5 8 2" xfId="33201"/>
    <cellStyle name="Normal 2 2 5 5 9" xfId="15469"/>
    <cellStyle name="Normal 2 2 5 6" xfId="103"/>
    <cellStyle name="Normal 2 2 5 6 2" xfId="524"/>
    <cellStyle name="Normal 2 2 5 6 2 2" xfId="2052"/>
    <cellStyle name="Normal 2 2 5 6 2 2 2" xfId="15470"/>
    <cellStyle name="Normal 2 2 5 6 2 2 2 2" xfId="15471"/>
    <cellStyle name="Normal 2 2 5 6 2 2 2 2 2" xfId="33202"/>
    <cellStyle name="Normal 2 2 5 6 2 2 2 3" xfId="33203"/>
    <cellStyle name="Normal 2 2 5 6 2 2 3" xfId="15472"/>
    <cellStyle name="Normal 2 2 5 6 2 2 3 2" xfId="15473"/>
    <cellStyle name="Normal 2 2 5 6 2 2 3 2 2" xfId="33204"/>
    <cellStyle name="Normal 2 2 5 6 2 2 3 3" xfId="33205"/>
    <cellStyle name="Normal 2 2 5 6 2 2 4" xfId="15474"/>
    <cellStyle name="Normal 2 2 5 6 2 2 4 2" xfId="15475"/>
    <cellStyle name="Normal 2 2 5 6 2 2 4 2 2" xfId="33206"/>
    <cellStyle name="Normal 2 2 5 6 2 2 4 3" xfId="33207"/>
    <cellStyle name="Normal 2 2 5 6 2 2 5" xfId="15476"/>
    <cellStyle name="Normal 2 2 5 6 2 2 5 2" xfId="33208"/>
    <cellStyle name="Normal 2 2 5 6 2 2 6" xfId="15477"/>
    <cellStyle name="Normal 2 2 5 6 2 3" xfId="15478"/>
    <cellStyle name="Normal 2 2 5 6 2 3 2" xfId="15479"/>
    <cellStyle name="Normal 2 2 5 6 2 3 2 2" xfId="33209"/>
    <cellStyle name="Normal 2 2 5 6 2 3 3" xfId="33210"/>
    <cellStyle name="Normal 2 2 5 6 2 4" xfId="15480"/>
    <cellStyle name="Normal 2 2 5 6 2 4 2" xfId="15481"/>
    <cellStyle name="Normal 2 2 5 6 2 4 2 2" xfId="33211"/>
    <cellStyle name="Normal 2 2 5 6 2 4 3" xfId="33212"/>
    <cellStyle name="Normal 2 2 5 6 2 5" xfId="15482"/>
    <cellStyle name="Normal 2 2 5 6 2 5 2" xfId="15483"/>
    <cellStyle name="Normal 2 2 5 6 2 5 2 2" xfId="33213"/>
    <cellStyle name="Normal 2 2 5 6 2 5 3" xfId="33214"/>
    <cellStyle name="Normal 2 2 5 6 2 6" xfId="15484"/>
    <cellStyle name="Normal 2 2 5 6 2 6 2" xfId="33215"/>
    <cellStyle name="Normal 2 2 5 6 2 7" xfId="15485"/>
    <cellStyle name="Normal 2 2 5 6 3" xfId="2053"/>
    <cellStyle name="Normal 2 2 5 6 3 2" xfId="15486"/>
    <cellStyle name="Normal 2 2 5 6 3 2 2" xfId="15487"/>
    <cellStyle name="Normal 2 2 5 6 3 2 2 2" xfId="33216"/>
    <cellStyle name="Normal 2 2 5 6 3 2 3" xfId="33217"/>
    <cellStyle name="Normal 2 2 5 6 3 3" xfId="15488"/>
    <cellStyle name="Normal 2 2 5 6 3 3 2" xfId="15489"/>
    <cellStyle name="Normal 2 2 5 6 3 3 2 2" xfId="33218"/>
    <cellStyle name="Normal 2 2 5 6 3 3 3" xfId="33219"/>
    <cellStyle name="Normal 2 2 5 6 3 4" xfId="15490"/>
    <cellStyle name="Normal 2 2 5 6 3 4 2" xfId="15491"/>
    <cellStyle name="Normal 2 2 5 6 3 4 2 2" xfId="33220"/>
    <cellStyle name="Normal 2 2 5 6 3 4 3" xfId="33221"/>
    <cellStyle name="Normal 2 2 5 6 3 5" xfId="15492"/>
    <cellStyle name="Normal 2 2 5 6 3 5 2" xfId="33222"/>
    <cellStyle name="Normal 2 2 5 6 3 6" xfId="15493"/>
    <cellStyle name="Normal 2 2 5 6 4" xfId="15494"/>
    <cellStyle name="Normal 2 2 5 6 4 2" xfId="15495"/>
    <cellStyle name="Normal 2 2 5 6 4 2 2" xfId="33223"/>
    <cellStyle name="Normal 2 2 5 6 4 3" xfId="33224"/>
    <cellStyle name="Normal 2 2 5 6 5" xfId="15496"/>
    <cellStyle name="Normal 2 2 5 6 5 2" xfId="15497"/>
    <cellStyle name="Normal 2 2 5 6 5 2 2" xfId="33225"/>
    <cellStyle name="Normal 2 2 5 6 5 3" xfId="33226"/>
    <cellStyle name="Normal 2 2 5 6 6" xfId="15498"/>
    <cellStyle name="Normal 2 2 5 6 6 2" xfId="15499"/>
    <cellStyle name="Normal 2 2 5 6 6 2 2" xfId="33227"/>
    <cellStyle name="Normal 2 2 5 6 6 3" xfId="33228"/>
    <cellStyle name="Normal 2 2 5 6 7" xfId="15500"/>
    <cellStyle name="Normal 2 2 5 6 7 2" xfId="33229"/>
    <cellStyle name="Normal 2 2 5 6 8" xfId="15501"/>
    <cellStyle name="Normal 2 2 5 7" xfId="892"/>
    <cellStyle name="Normal 2 2 5 7 2" xfId="2054"/>
    <cellStyle name="Normal 2 2 5 7 2 2" xfId="15502"/>
    <cellStyle name="Normal 2 2 5 7 2 2 2" xfId="15503"/>
    <cellStyle name="Normal 2 2 5 7 2 2 2 2" xfId="33230"/>
    <cellStyle name="Normal 2 2 5 7 2 2 3" xfId="33231"/>
    <cellStyle name="Normal 2 2 5 7 2 3" xfId="15504"/>
    <cellStyle name="Normal 2 2 5 7 2 3 2" xfId="15505"/>
    <cellStyle name="Normal 2 2 5 7 2 3 2 2" xfId="33232"/>
    <cellStyle name="Normal 2 2 5 7 2 3 3" xfId="33233"/>
    <cellStyle name="Normal 2 2 5 7 2 4" xfId="15506"/>
    <cellStyle name="Normal 2 2 5 7 2 4 2" xfId="15507"/>
    <cellStyle name="Normal 2 2 5 7 2 4 2 2" xfId="33234"/>
    <cellStyle name="Normal 2 2 5 7 2 4 3" xfId="33235"/>
    <cellStyle name="Normal 2 2 5 7 2 5" xfId="15508"/>
    <cellStyle name="Normal 2 2 5 7 2 5 2" xfId="33236"/>
    <cellStyle name="Normal 2 2 5 7 2 6" xfId="15509"/>
    <cellStyle name="Normal 2 2 5 7 3" xfId="15510"/>
    <cellStyle name="Normal 2 2 5 7 3 2" xfId="15511"/>
    <cellStyle name="Normal 2 2 5 7 3 2 2" xfId="33237"/>
    <cellStyle name="Normal 2 2 5 7 3 3" xfId="33238"/>
    <cellStyle name="Normal 2 2 5 7 4" xfId="15512"/>
    <cellStyle name="Normal 2 2 5 7 4 2" xfId="15513"/>
    <cellStyle name="Normal 2 2 5 7 4 2 2" xfId="33239"/>
    <cellStyle name="Normal 2 2 5 7 4 3" xfId="33240"/>
    <cellStyle name="Normal 2 2 5 7 5" xfId="15514"/>
    <cellStyle name="Normal 2 2 5 7 5 2" xfId="15515"/>
    <cellStyle name="Normal 2 2 5 7 5 2 2" xfId="33241"/>
    <cellStyle name="Normal 2 2 5 7 5 3" xfId="33242"/>
    <cellStyle name="Normal 2 2 5 7 6" xfId="15516"/>
    <cellStyle name="Normal 2 2 5 7 6 2" xfId="33243"/>
    <cellStyle name="Normal 2 2 5 7 7" xfId="15517"/>
    <cellStyle name="Normal 2 2 5 8" xfId="490"/>
    <cellStyle name="Normal 2 2 5 8 2" xfId="2055"/>
    <cellStyle name="Normal 2 2 5 8 2 2" xfId="15518"/>
    <cellStyle name="Normal 2 2 5 8 2 2 2" xfId="15519"/>
    <cellStyle name="Normal 2 2 5 8 2 2 2 2" xfId="33244"/>
    <cellStyle name="Normal 2 2 5 8 2 2 3" xfId="33245"/>
    <cellStyle name="Normal 2 2 5 8 2 3" xfId="15520"/>
    <cellStyle name="Normal 2 2 5 8 2 3 2" xfId="15521"/>
    <cellStyle name="Normal 2 2 5 8 2 3 2 2" xfId="33246"/>
    <cellStyle name="Normal 2 2 5 8 2 3 3" xfId="33247"/>
    <cellStyle name="Normal 2 2 5 8 2 4" xfId="15522"/>
    <cellStyle name="Normal 2 2 5 8 2 4 2" xfId="15523"/>
    <cellStyle name="Normal 2 2 5 8 2 4 2 2" xfId="33248"/>
    <cellStyle name="Normal 2 2 5 8 2 4 3" xfId="33249"/>
    <cellStyle name="Normal 2 2 5 8 2 5" xfId="15524"/>
    <cellStyle name="Normal 2 2 5 8 2 5 2" xfId="33250"/>
    <cellStyle name="Normal 2 2 5 8 2 6" xfId="15525"/>
    <cellStyle name="Normal 2 2 5 8 3" xfId="15526"/>
    <cellStyle name="Normal 2 2 5 8 3 2" xfId="15527"/>
    <cellStyle name="Normal 2 2 5 8 3 2 2" xfId="33251"/>
    <cellStyle name="Normal 2 2 5 8 3 3" xfId="33252"/>
    <cellStyle name="Normal 2 2 5 8 4" xfId="15528"/>
    <cellStyle name="Normal 2 2 5 8 4 2" xfId="15529"/>
    <cellStyle name="Normal 2 2 5 8 4 2 2" xfId="33253"/>
    <cellStyle name="Normal 2 2 5 8 4 3" xfId="33254"/>
    <cellStyle name="Normal 2 2 5 8 5" xfId="15530"/>
    <cellStyle name="Normal 2 2 5 8 5 2" xfId="15531"/>
    <cellStyle name="Normal 2 2 5 8 5 2 2" xfId="33255"/>
    <cellStyle name="Normal 2 2 5 8 5 3" xfId="33256"/>
    <cellStyle name="Normal 2 2 5 8 6" xfId="15532"/>
    <cellStyle name="Normal 2 2 5 8 6 2" xfId="33257"/>
    <cellStyle name="Normal 2 2 5 8 7" xfId="15533"/>
    <cellStyle name="Normal 2 2 5 9" xfId="2056"/>
    <cellStyle name="Normal 2 2 5 9 2" xfId="15534"/>
    <cellStyle name="Normal 2 2 5 9 2 2" xfId="15535"/>
    <cellStyle name="Normal 2 2 5 9 2 2 2" xfId="33258"/>
    <cellStyle name="Normal 2 2 5 9 2 3" xfId="33259"/>
    <cellStyle name="Normal 2 2 5 9 3" xfId="15536"/>
    <cellStyle name="Normal 2 2 5 9 3 2" xfId="15537"/>
    <cellStyle name="Normal 2 2 5 9 3 2 2" xfId="33260"/>
    <cellStyle name="Normal 2 2 5 9 3 3" xfId="33261"/>
    <cellStyle name="Normal 2 2 5 9 4" xfId="15538"/>
    <cellStyle name="Normal 2 2 5 9 4 2" xfId="15539"/>
    <cellStyle name="Normal 2 2 5 9 4 2 2" xfId="33262"/>
    <cellStyle name="Normal 2 2 5 9 4 3" xfId="33263"/>
    <cellStyle name="Normal 2 2 5 9 5" xfId="15540"/>
    <cellStyle name="Normal 2 2 5 9 5 2" xfId="33264"/>
    <cellStyle name="Normal 2 2 5 9 6" xfId="15541"/>
    <cellStyle name="Normal 2 2 6" xfId="215"/>
    <cellStyle name="Normal 2 2 6 10" xfId="15542"/>
    <cellStyle name="Normal 2 2 6 2" xfId="373"/>
    <cellStyle name="Normal 2 2 6 2 2" xfId="1161"/>
    <cellStyle name="Normal 2 2 6 2 2 2" xfId="2057"/>
    <cellStyle name="Normal 2 2 6 2 2 2 2" xfId="15543"/>
    <cellStyle name="Normal 2 2 6 2 2 2 2 2" xfId="15544"/>
    <cellStyle name="Normal 2 2 6 2 2 2 2 2 2" xfId="33265"/>
    <cellStyle name="Normal 2 2 6 2 2 2 2 3" xfId="33266"/>
    <cellStyle name="Normal 2 2 6 2 2 2 3" xfId="15545"/>
    <cellStyle name="Normal 2 2 6 2 2 2 3 2" xfId="15546"/>
    <cellStyle name="Normal 2 2 6 2 2 2 3 2 2" xfId="33267"/>
    <cellStyle name="Normal 2 2 6 2 2 2 3 3" xfId="33268"/>
    <cellStyle name="Normal 2 2 6 2 2 2 4" xfId="15547"/>
    <cellStyle name="Normal 2 2 6 2 2 2 4 2" xfId="15548"/>
    <cellStyle name="Normal 2 2 6 2 2 2 4 2 2" xfId="33269"/>
    <cellStyle name="Normal 2 2 6 2 2 2 4 3" xfId="33270"/>
    <cellStyle name="Normal 2 2 6 2 2 2 5" xfId="15549"/>
    <cellStyle name="Normal 2 2 6 2 2 2 5 2" xfId="33271"/>
    <cellStyle name="Normal 2 2 6 2 2 2 6" xfId="15550"/>
    <cellStyle name="Normal 2 2 6 2 2 3" xfId="15551"/>
    <cellStyle name="Normal 2 2 6 2 2 3 2" xfId="15552"/>
    <cellStyle name="Normal 2 2 6 2 2 3 2 2" xfId="33272"/>
    <cellStyle name="Normal 2 2 6 2 2 3 3" xfId="33273"/>
    <cellStyle name="Normal 2 2 6 2 2 4" xfId="15553"/>
    <cellStyle name="Normal 2 2 6 2 2 4 2" xfId="15554"/>
    <cellStyle name="Normal 2 2 6 2 2 4 2 2" xfId="33274"/>
    <cellStyle name="Normal 2 2 6 2 2 4 3" xfId="33275"/>
    <cellStyle name="Normal 2 2 6 2 2 5" xfId="15555"/>
    <cellStyle name="Normal 2 2 6 2 2 5 2" xfId="15556"/>
    <cellStyle name="Normal 2 2 6 2 2 5 2 2" xfId="33276"/>
    <cellStyle name="Normal 2 2 6 2 2 5 3" xfId="33277"/>
    <cellStyle name="Normal 2 2 6 2 2 6" xfId="15557"/>
    <cellStyle name="Normal 2 2 6 2 2 6 2" xfId="33278"/>
    <cellStyle name="Normal 2 2 6 2 2 7" xfId="15558"/>
    <cellStyle name="Normal 2 2 6 2 3" xfId="793"/>
    <cellStyle name="Normal 2 2 6 2 3 2" xfId="2058"/>
    <cellStyle name="Normal 2 2 6 2 3 2 2" xfId="15559"/>
    <cellStyle name="Normal 2 2 6 2 3 2 2 2" xfId="15560"/>
    <cellStyle name="Normal 2 2 6 2 3 2 2 2 2" xfId="33279"/>
    <cellStyle name="Normal 2 2 6 2 3 2 2 3" xfId="33280"/>
    <cellStyle name="Normal 2 2 6 2 3 2 3" xfId="15561"/>
    <cellStyle name="Normal 2 2 6 2 3 2 3 2" xfId="15562"/>
    <cellStyle name="Normal 2 2 6 2 3 2 3 2 2" xfId="33281"/>
    <cellStyle name="Normal 2 2 6 2 3 2 3 3" xfId="33282"/>
    <cellStyle name="Normal 2 2 6 2 3 2 4" xfId="15563"/>
    <cellStyle name="Normal 2 2 6 2 3 2 4 2" xfId="15564"/>
    <cellStyle name="Normal 2 2 6 2 3 2 4 2 2" xfId="33283"/>
    <cellStyle name="Normal 2 2 6 2 3 2 4 3" xfId="33284"/>
    <cellStyle name="Normal 2 2 6 2 3 2 5" xfId="15565"/>
    <cellStyle name="Normal 2 2 6 2 3 2 5 2" xfId="33285"/>
    <cellStyle name="Normal 2 2 6 2 3 2 6" xfId="15566"/>
    <cellStyle name="Normal 2 2 6 2 3 3" xfId="15567"/>
    <cellStyle name="Normal 2 2 6 2 3 3 2" xfId="15568"/>
    <cellStyle name="Normal 2 2 6 2 3 3 2 2" xfId="33286"/>
    <cellStyle name="Normal 2 2 6 2 3 3 3" xfId="33287"/>
    <cellStyle name="Normal 2 2 6 2 3 4" xfId="15569"/>
    <cellStyle name="Normal 2 2 6 2 3 4 2" xfId="15570"/>
    <cellStyle name="Normal 2 2 6 2 3 4 2 2" xfId="33288"/>
    <cellStyle name="Normal 2 2 6 2 3 4 3" xfId="33289"/>
    <cellStyle name="Normal 2 2 6 2 3 5" xfId="15571"/>
    <cellStyle name="Normal 2 2 6 2 3 5 2" xfId="15572"/>
    <cellStyle name="Normal 2 2 6 2 3 5 2 2" xfId="33290"/>
    <cellStyle name="Normal 2 2 6 2 3 5 3" xfId="33291"/>
    <cellStyle name="Normal 2 2 6 2 3 6" xfId="15573"/>
    <cellStyle name="Normal 2 2 6 2 3 6 2" xfId="33292"/>
    <cellStyle name="Normal 2 2 6 2 3 7" xfId="15574"/>
    <cellStyle name="Normal 2 2 6 2 4" xfId="2059"/>
    <cellStyle name="Normal 2 2 6 2 4 2" xfId="15575"/>
    <cellStyle name="Normal 2 2 6 2 4 2 2" xfId="15576"/>
    <cellStyle name="Normal 2 2 6 2 4 2 2 2" xfId="33293"/>
    <cellStyle name="Normal 2 2 6 2 4 2 3" xfId="33294"/>
    <cellStyle name="Normal 2 2 6 2 4 3" xfId="15577"/>
    <cellStyle name="Normal 2 2 6 2 4 3 2" xfId="15578"/>
    <cellStyle name="Normal 2 2 6 2 4 3 2 2" xfId="33295"/>
    <cellStyle name="Normal 2 2 6 2 4 3 3" xfId="33296"/>
    <cellStyle name="Normal 2 2 6 2 4 4" xfId="15579"/>
    <cellStyle name="Normal 2 2 6 2 4 4 2" xfId="15580"/>
    <cellStyle name="Normal 2 2 6 2 4 4 2 2" xfId="33297"/>
    <cellStyle name="Normal 2 2 6 2 4 4 3" xfId="33298"/>
    <cellStyle name="Normal 2 2 6 2 4 5" xfId="15581"/>
    <cellStyle name="Normal 2 2 6 2 4 5 2" xfId="33299"/>
    <cellStyle name="Normal 2 2 6 2 4 6" xfId="15582"/>
    <cellStyle name="Normal 2 2 6 2 5" xfId="15583"/>
    <cellStyle name="Normal 2 2 6 2 5 2" xfId="15584"/>
    <cellStyle name="Normal 2 2 6 2 5 2 2" xfId="33300"/>
    <cellStyle name="Normal 2 2 6 2 5 3" xfId="33301"/>
    <cellStyle name="Normal 2 2 6 2 6" xfId="15585"/>
    <cellStyle name="Normal 2 2 6 2 6 2" xfId="15586"/>
    <cellStyle name="Normal 2 2 6 2 6 2 2" xfId="33302"/>
    <cellStyle name="Normal 2 2 6 2 6 3" xfId="33303"/>
    <cellStyle name="Normal 2 2 6 2 7" xfId="15587"/>
    <cellStyle name="Normal 2 2 6 2 7 2" xfId="15588"/>
    <cellStyle name="Normal 2 2 6 2 7 2 2" xfId="33304"/>
    <cellStyle name="Normal 2 2 6 2 7 3" xfId="33305"/>
    <cellStyle name="Normal 2 2 6 2 8" xfId="15589"/>
    <cellStyle name="Normal 2 2 6 2 8 2" xfId="33306"/>
    <cellStyle name="Normal 2 2 6 2 9" xfId="15590"/>
    <cellStyle name="Normal 2 2 6 3" xfId="1003"/>
    <cellStyle name="Normal 2 2 6 3 2" xfId="2060"/>
    <cellStyle name="Normal 2 2 6 3 2 2" xfId="15591"/>
    <cellStyle name="Normal 2 2 6 3 2 2 2" xfId="15592"/>
    <cellStyle name="Normal 2 2 6 3 2 2 2 2" xfId="33307"/>
    <cellStyle name="Normal 2 2 6 3 2 2 3" xfId="33308"/>
    <cellStyle name="Normal 2 2 6 3 2 3" xfId="15593"/>
    <cellStyle name="Normal 2 2 6 3 2 3 2" xfId="15594"/>
    <cellStyle name="Normal 2 2 6 3 2 3 2 2" xfId="33309"/>
    <cellStyle name="Normal 2 2 6 3 2 3 3" xfId="33310"/>
    <cellStyle name="Normal 2 2 6 3 2 4" xfId="15595"/>
    <cellStyle name="Normal 2 2 6 3 2 4 2" xfId="15596"/>
    <cellStyle name="Normal 2 2 6 3 2 4 2 2" xfId="33311"/>
    <cellStyle name="Normal 2 2 6 3 2 4 3" xfId="33312"/>
    <cellStyle name="Normal 2 2 6 3 2 5" xfId="15597"/>
    <cellStyle name="Normal 2 2 6 3 2 5 2" xfId="33313"/>
    <cellStyle name="Normal 2 2 6 3 2 6" xfId="15598"/>
    <cellStyle name="Normal 2 2 6 3 3" xfId="15599"/>
    <cellStyle name="Normal 2 2 6 3 3 2" xfId="15600"/>
    <cellStyle name="Normal 2 2 6 3 3 2 2" xfId="33314"/>
    <cellStyle name="Normal 2 2 6 3 3 3" xfId="33315"/>
    <cellStyle name="Normal 2 2 6 3 4" xfId="15601"/>
    <cellStyle name="Normal 2 2 6 3 4 2" xfId="15602"/>
    <cellStyle name="Normal 2 2 6 3 4 2 2" xfId="33316"/>
    <cellStyle name="Normal 2 2 6 3 4 3" xfId="33317"/>
    <cellStyle name="Normal 2 2 6 3 5" xfId="15603"/>
    <cellStyle name="Normal 2 2 6 3 5 2" xfId="15604"/>
    <cellStyle name="Normal 2 2 6 3 5 2 2" xfId="33318"/>
    <cellStyle name="Normal 2 2 6 3 5 3" xfId="33319"/>
    <cellStyle name="Normal 2 2 6 3 6" xfId="15605"/>
    <cellStyle name="Normal 2 2 6 3 6 2" xfId="33320"/>
    <cellStyle name="Normal 2 2 6 3 7" xfId="15606"/>
    <cellStyle name="Normal 2 2 6 4" xfId="635"/>
    <cellStyle name="Normal 2 2 6 4 2" xfId="2061"/>
    <cellStyle name="Normal 2 2 6 4 2 2" xfId="15607"/>
    <cellStyle name="Normal 2 2 6 4 2 2 2" xfId="15608"/>
    <cellStyle name="Normal 2 2 6 4 2 2 2 2" xfId="33321"/>
    <cellStyle name="Normal 2 2 6 4 2 2 3" xfId="33322"/>
    <cellStyle name="Normal 2 2 6 4 2 3" xfId="15609"/>
    <cellStyle name="Normal 2 2 6 4 2 3 2" xfId="15610"/>
    <cellStyle name="Normal 2 2 6 4 2 3 2 2" xfId="33323"/>
    <cellStyle name="Normal 2 2 6 4 2 3 3" xfId="33324"/>
    <cellStyle name="Normal 2 2 6 4 2 4" xfId="15611"/>
    <cellStyle name="Normal 2 2 6 4 2 4 2" xfId="15612"/>
    <cellStyle name="Normal 2 2 6 4 2 4 2 2" xfId="33325"/>
    <cellStyle name="Normal 2 2 6 4 2 4 3" xfId="33326"/>
    <cellStyle name="Normal 2 2 6 4 2 5" xfId="15613"/>
    <cellStyle name="Normal 2 2 6 4 2 5 2" xfId="33327"/>
    <cellStyle name="Normal 2 2 6 4 2 6" xfId="15614"/>
    <cellStyle name="Normal 2 2 6 4 3" xfId="15615"/>
    <cellStyle name="Normal 2 2 6 4 3 2" xfId="15616"/>
    <cellStyle name="Normal 2 2 6 4 3 2 2" xfId="33328"/>
    <cellStyle name="Normal 2 2 6 4 3 3" xfId="33329"/>
    <cellStyle name="Normal 2 2 6 4 4" xfId="15617"/>
    <cellStyle name="Normal 2 2 6 4 4 2" xfId="15618"/>
    <cellStyle name="Normal 2 2 6 4 4 2 2" xfId="33330"/>
    <cellStyle name="Normal 2 2 6 4 4 3" xfId="33331"/>
    <cellStyle name="Normal 2 2 6 4 5" xfId="15619"/>
    <cellStyle name="Normal 2 2 6 4 5 2" xfId="15620"/>
    <cellStyle name="Normal 2 2 6 4 5 2 2" xfId="33332"/>
    <cellStyle name="Normal 2 2 6 4 5 3" xfId="33333"/>
    <cellStyle name="Normal 2 2 6 4 6" xfId="15621"/>
    <cellStyle name="Normal 2 2 6 4 6 2" xfId="33334"/>
    <cellStyle name="Normal 2 2 6 4 7" xfId="15622"/>
    <cellStyle name="Normal 2 2 6 5" xfId="2062"/>
    <cellStyle name="Normal 2 2 6 5 2" xfId="15623"/>
    <cellStyle name="Normal 2 2 6 5 2 2" xfId="15624"/>
    <cellStyle name="Normal 2 2 6 5 2 2 2" xfId="33335"/>
    <cellStyle name="Normal 2 2 6 5 2 3" xfId="33336"/>
    <cellStyle name="Normal 2 2 6 5 3" xfId="15625"/>
    <cellStyle name="Normal 2 2 6 5 3 2" xfId="15626"/>
    <cellStyle name="Normal 2 2 6 5 3 2 2" xfId="33337"/>
    <cellStyle name="Normal 2 2 6 5 3 3" xfId="33338"/>
    <cellStyle name="Normal 2 2 6 5 4" xfId="15627"/>
    <cellStyle name="Normal 2 2 6 5 4 2" xfId="15628"/>
    <cellStyle name="Normal 2 2 6 5 4 2 2" xfId="33339"/>
    <cellStyle name="Normal 2 2 6 5 4 3" xfId="33340"/>
    <cellStyle name="Normal 2 2 6 5 5" xfId="15629"/>
    <cellStyle name="Normal 2 2 6 5 5 2" xfId="33341"/>
    <cellStyle name="Normal 2 2 6 5 6" xfId="15630"/>
    <cellStyle name="Normal 2 2 6 6" xfId="15631"/>
    <cellStyle name="Normal 2 2 6 6 2" xfId="15632"/>
    <cellStyle name="Normal 2 2 6 6 2 2" xfId="33342"/>
    <cellStyle name="Normal 2 2 6 6 3" xfId="33343"/>
    <cellStyle name="Normal 2 2 6 7" xfId="15633"/>
    <cellStyle name="Normal 2 2 6 7 2" xfId="15634"/>
    <cellStyle name="Normal 2 2 6 7 2 2" xfId="33344"/>
    <cellStyle name="Normal 2 2 6 7 3" xfId="33345"/>
    <cellStyle name="Normal 2 2 6 8" xfId="15635"/>
    <cellStyle name="Normal 2 2 6 8 2" xfId="15636"/>
    <cellStyle name="Normal 2 2 6 8 2 2" xfId="33346"/>
    <cellStyle name="Normal 2 2 6 8 3" xfId="33347"/>
    <cellStyle name="Normal 2 2 6 9" xfId="15637"/>
    <cellStyle name="Normal 2 2 6 9 2" xfId="33348"/>
    <cellStyle name="Normal 2 2 7" xfId="266"/>
    <cellStyle name="Normal 2 2 7 10" xfId="15638"/>
    <cellStyle name="Normal 2 2 7 2" xfId="424"/>
    <cellStyle name="Normal 2 2 7 2 2" xfId="1212"/>
    <cellStyle name="Normal 2 2 7 2 2 2" xfId="2063"/>
    <cellStyle name="Normal 2 2 7 2 2 2 2" xfId="15639"/>
    <cellStyle name="Normal 2 2 7 2 2 2 2 2" xfId="15640"/>
    <cellStyle name="Normal 2 2 7 2 2 2 2 2 2" xfId="33349"/>
    <cellStyle name="Normal 2 2 7 2 2 2 2 3" xfId="33350"/>
    <cellStyle name="Normal 2 2 7 2 2 2 3" xfId="15641"/>
    <cellStyle name="Normal 2 2 7 2 2 2 3 2" xfId="15642"/>
    <cellStyle name="Normal 2 2 7 2 2 2 3 2 2" xfId="33351"/>
    <cellStyle name="Normal 2 2 7 2 2 2 3 3" xfId="33352"/>
    <cellStyle name="Normal 2 2 7 2 2 2 4" xfId="15643"/>
    <cellStyle name="Normal 2 2 7 2 2 2 4 2" xfId="15644"/>
    <cellStyle name="Normal 2 2 7 2 2 2 4 2 2" xfId="33353"/>
    <cellStyle name="Normal 2 2 7 2 2 2 4 3" xfId="33354"/>
    <cellStyle name="Normal 2 2 7 2 2 2 5" xfId="15645"/>
    <cellStyle name="Normal 2 2 7 2 2 2 5 2" xfId="33355"/>
    <cellStyle name="Normal 2 2 7 2 2 2 6" xfId="15646"/>
    <cellStyle name="Normal 2 2 7 2 2 3" xfId="15647"/>
    <cellStyle name="Normal 2 2 7 2 2 3 2" xfId="15648"/>
    <cellStyle name="Normal 2 2 7 2 2 3 2 2" xfId="33356"/>
    <cellStyle name="Normal 2 2 7 2 2 3 3" xfId="33357"/>
    <cellStyle name="Normal 2 2 7 2 2 4" xfId="15649"/>
    <cellStyle name="Normal 2 2 7 2 2 4 2" xfId="15650"/>
    <cellStyle name="Normal 2 2 7 2 2 4 2 2" xfId="33358"/>
    <cellStyle name="Normal 2 2 7 2 2 4 3" xfId="33359"/>
    <cellStyle name="Normal 2 2 7 2 2 5" xfId="15651"/>
    <cellStyle name="Normal 2 2 7 2 2 5 2" xfId="15652"/>
    <cellStyle name="Normal 2 2 7 2 2 5 2 2" xfId="33360"/>
    <cellStyle name="Normal 2 2 7 2 2 5 3" xfId="33361"/>
    <cellStyle name="Normal 2 2 7 2 2 6" xfId="15653"/>
    <cellStyle name="Normal 2 2 7 2 2 6 2" xfId="33362"/>
    <cellStyle name="Normal 2 2 7 2 2 7" xfId="15654"/>
    <cellStyle name="Normal 2 2 7 2 3" xfId="844"/>
    <cellStyle name="Normal 2 2 7 2 3 2" xfId="2064"/>
    <cellStyle name="Normal 2 2 7 2 3 2 2" xfId="15655"/>
    <cellStyle name="Normal 2 2 7 2 3 2 2 2" xfId="15656"/>
    <cellStyle name="Normal 2 2 7 2 3 2 2 2 2" xfId="33363"/>
    <cellStyle name="Normal 2 2 7 2 3 2 2 3" xfId="33364"/>
    <cellStyle name="Normal 2 2 7 2 3 2 3" xfId="15657"/>
    <cellStyle name="Normal 2 2 7 2 3 2 3 2" xfId="15658"/>
    <cellStyle name="Normal 2 2 7 2 3 2 3 2 2" xfId="33365"/>
    <cellStyle name="Normal 2 2 7 2 3 2 3 3" xfId="33366"/>
    <cellStyle name="Normal 2 2 7 2 3 2 4" xfId="15659"/>
    <cellStyle name="Normal 2 2 7 2 3 2 4 2" xfId="15660"/>
    <cellStyle name="Normal 2 2 7 2 3 2 4 2 2" xfId="33367"/>
    <cellStyle name="Normal 2 2 7 2 3 2 4 3" xfId="33368"/>
    <cellStyle name="Normal 2 2 7 2 3 2 5" xfId="15661"/>
    <cellStyle name="Normal 2 2 7 2 3 2 5 2" xfId="33369"/>
    <cellStyle name="Normal 2 2 7 2 3 2 6" xfId="15662"/>
    <cellStyle name="Normal 2 2 7 2 3 3" xfId="15663"/>
    <cellStyle name="Normal 2 2 7 2 3 3 2" xfId="15664"/>
    <cellStyle name="Normal 2 2 7 2 3 3 2 2" xfId="33370"/>
    <cellStyle name="Normal 2 2 7 2 3 3 3" xfId="33371"/>
    <cellStyle name="Normal 2 2 7 2 3 4" xfId="15665"/>
    <cellStyle name="Normal 2 2 7 2 3 4 2" xfId="15666"/>
    <cellStyle name="Normal 2 2 7 2 3 4 2 2" xfId="33372"/>
    <cellStyle name="Normal 2 2 7 2 3 4 3" xfId="33373"/>
    <cellStyle name="Normal 2 2 7 2 3 5" xfId="15667"/>
    <cellStyle name="Normal 2 2 7 2 3 5 2" xfId="15668"/>
    <cellStyle name="Normal 2 2 7 2 3 5 2 2" xfId="33374"/>
    <cellStyle name="Normal 2 2 7 2 3 5 3" xfId="33375"/>
    <cellStyle name="Normal 2 2 7 2 3 6" xfId="15669"/>
    <cellStyle name="Normal 2 2 7 2 3 6 2" xfId="33376"/>
    <cellStyle name="Normal 2 2 7 2 3 7" xfId="15670"/>
    <cellStyle name="Normal 2 2 7 2 4" xfId="2065"/>
    <cellStyle name="Normal 2 2 7 2 4 2" xfId="15671"/>
    <cellStyle name="Normal 2 2 7 2 4 2 2" xfId="15672"/>
    <cellStyle name="Normal 2 2 7 2 4 2 2 2" xfId="33377"/>
    <cellStyle name="Normal 2 2 7 2 4 2 3" xfId="33378"/>
    <cellStyle name="Normal 2 2 7 2 4 3" xfId="15673"/>
    <cellStyle name="Normal 2 2 7 2 4 3 2" xfId="15674"/>
    <cellStyle name="Normal 2 2 7 2 4 3 2 2" xfId="33379"/>
    <cellStyle name="Normal 2 2 7 2 4 3 3" xfId="33380"/>
    <cellStyle name="Normal 2 2 7 2 4 4" xfId="15675"/>
    <cellStyle name="Normal 2 2 7 2 4 4 2" xfId="15676"/>
    <cellStyle name="Normal 2 2 7 2 4 4 2 2" xfId="33381"/>
    <cellStyle name="Normal 2 2 7 2 4 4 3" xfId="33382"/>
    <cellStyle name="Normal 2 2 7 2 4 5" xfId="15677"/>
    <cellStyle name="Normal 2 2 7 2 4 5 2" xfId="33383"/>
    <cellStyle name="Normal 2 2 7 2 4 6" xfId="15678"/>
    <cellStyle name="Normal 2 2 7 2 5" xfId="15679"/>
    <cellStyle name="Normal 2 2 7 2 5 2" xfId="15680"/>
    <cellStyle name="Normal 2 2 7 2 5 2 2" xfId="33384"/>
    <cellStyle name="Normal 2 2 7 2 5 3" xfId="33385"/>
    <cellStyle name="Normal 2 2 7 2 6" xfId="15681"/>
    <cellStyle name="Normal 2 2 7 2 6 2" xfId="15682"/>
    <cellStyle name="Normal 2 2 7 2 6 2 2" xfId="33386"/>
    <cellStyle name="Normal 2 2 7 2 6 3" xfId="33387"/>
    <cellStyle name="Normal 2 2 7 2 7" xfId="15683"/>
    <cellStyle name="Normal 2 2 7 2 7 2" xfId="15684"/>
    <cellStyle name="Normal 2 2 7 2 7 2 2" xfId="33388"/>
    <cellStyle name="Normal 2 2 7 2 7 3" xfId="33389"/>
    <cellStyle name="Normal 2 2 7 2 8" xfId="15685"/>
    <cellStyle name="Normal 2 2 7 2 8 2" xfId="33390"/>
    <cellStyle name="Normal 2 2 7 2 9" xfId="15686"/>
    <cellStyle name="Normal 2 2 7 3" xfId="1054"/>
    <cellStyle name="Normal 2 2 7 3 2" xfId="2066"/>
    <cellStyle name="Normal 2 2 7 3 2 2" xfId="15687"/>
    <cellStyle name="Normal 2 2 7 3 2 2 2" xfId="15688"/>
    <cellStyle name="Normal 2 2 7 3 2 2 2 2" xfId="33391"/>
    <cellStyle name="Normal 2 2 7 3 2 2 3" xfId="33392"/>
    <cellStyle name="Normal 2 2 7 3 2 3" xfId="15689"/>
    <cellStyle name="Normal 2 2 7 3 2 3 2" xfId="15690"/>
    <cellStyle name="Normal 2 2 7 3 2 3 2 2" xfId="33393"/>
    <cellStyle name="Normal 2 2 7 3 2 3 3" xfId="33394"/>
    <cellStyle name="Normal 2 2 7 3 2 4" xfId="15691"/>
    <cellStyle name="Normal 2 2 7 3 2 4 2" xfId="15692"/>
    <cellStyle name="Normal 2 2 7 3 2 4 2 2" xfId="33395"/>
    <cellStyle name="Normal 2 2 7 3 2 4 3" xfId="33396"/>
    <cellStyle name="Normal 2 2 7 3 2 5" xfId="15693"/>
    <cellStyle name="Normal 2 2 7 3 2 5 2" xfId="33397"/>
    <cellStyle name="Normal 2 2 7 3 2 6" xfId="15694"/>
    <cellStyle name="Normal 2 2 7 3 3" xfId="15695"/>
    <cellStyle name="Normal 2 2 7 3 3 2" xfId="15696"/>
    <cellStyle name="Normal 2 2 7 3 3 2 2" xfId="33398"/>
    <cellStyle name="Normal 2 2 7 3 3 3" xfId="33399"/>
    <cellStyle name="Normal 2 2 7 3 4" xfId="15697"/>
    <cellStyle name="Normal 2 2 7 3 4 2" xfId="15698"/>
    <cellStyle name="Normal 2 2 7 3 4 2 2" xfId="33400"/>
    <cellStyle name="Normal 2 2 7 3 4 3" xfId="33401"/>
    <cellStyle name="Normal 2 2 7 3 5" xfId="15699"/>
    <cellStyle name="Normal 2 2 7 3 5 2" xfId="15700"/>
    <cellStyle name="Normal 2 2 7 3 5 2 2" xfId="33402"/>
    <cellStyle name="Normal 2 2 7 3 5 3" xfId="33403"/>
    <cellStyle name="Normal 2 2 7 3 6" xfId="15701"/>
    <cellStyle name="Normal 2 2 7 3 6 2" xfId="33404"/>
    <cellStyle name="Normal 2 2 7 3 7" xfId="15702"/>
    <cellStyle name="Normal 2 2 7 4" xfId="686"/>
    <cellStyle name="Normal 2 2 7 4 2" xfId="2067"/>
    <cellStyle name="Normal 2 2 7 4 2 2" xfId="15703"/>
    <cellStyle name="Normal 2 2 7 4 2 2 2" xfId="15704"/>
    <cellStyle name="Normal 2 2 7 4 2 2 2 2" xfId="33405"/>
    <cellStyle name="Normal 2 2 7 4 2 2 3" xfId="33406"/>
    <cellStyle name="Normal 2 2 7 4 2 3" xfId="15705"/>
    <cellStyle name="Normal 2 2 7 4 2 3 2" xfId="15706"/>
    <cellStyle name="Normal 2 2 7 4 2 3 2 2" xfId="33407"/>
    <cellStyle name="Normal 2 2 7 4 2 3 3" xfId="33408"/>
    <cellStyle name="Normal 2 2 7 4 2 4" xfId="15707"/>
    <cellStyle name="Normal 2 2 7 4 2 4 2" xfId="15708"/>
    <cellStyle name="Normal 2 2 7 4 2 4 2 2" xfId="33409"/>
    <cellStyle name="Normal 2 2 7 4 2 4 3" xfId="33410"/>
    <cellStyle name="Normal 2 2 7 4 2 5" xfId="15709"/>
    <cellStyle name="Normal 2 2 7 4 2 5 2" xfId="33411"/>
    <cellStyle name="Normal 2 2 7 4 2 6" xfId="15710"/>
    <cellStyle name="Normal 2 2 7 4 3" xfId="15711"/>
    <cellStyle name="Normal 2 2 7 4 3 2" xfId="15712"/>
    <cellStyle name="Normal 2 2 7 4 3 2 2" xfId="33412"/>
    <cellStyle name="Normal 2 2 7 4 3 3" xfId="33413"/>
    <cellStyle name="Normal 2 2 7 4 4" xfId="15713"/>
    <cellStyle name="Normal 2 2 7 4 4 2" xfId="15714"/>
    <cellStyle name="Normal 2 2 7 4 4 2 2" xfId="33414"/>
    <cellStyle name="Normal 2 2 7 4 4 3" xfId="33415"/>
    <cellStyle name="Normal 2 2 7 4 5" xfId="15715"/>
    <cellStyle name="Normal 2 2 7 4 5 2" xfId="15716"/>
    <cellStyle name="Normal 2 2 7 4 5 2 2" xfId="33416"/>
    <cellStyle name="Normal 2 2 7 4 5 3" xfId="33417"/>
    <cellStyle name="Normal 2 2 7 4 6" xfId="15717"/>
    <cellStyle name="Normal 2 2 7 4 6 2" xfId="33418"/>
    <cellStyle name="Normal 2 2 7 4 7" xfId="15718"/>
    <cellStyle name="Normal 2 2 7 5" xfId="2068"/>
    <cellStyle name="Normal 2 2 7 5 2" xfId="15719"/>
    <cellStyle name="Normal 2 2 7 5 2 2" xfId="15720"/>
    <cellStyle name="Normal 2 2 7 5 2 2 2" xfId="33419"/>
    <cellStyle name="Normal 2 2 7 5 2 3" xfId="33420"/>
    <cellStyle name="Normal 2 2 7 5 3" xfId="15721"/>
    <cellStyle name="Normal 2 2 7 5 3 2" xfId="15722"/>
    <cellStyle name="Normal 2 2 7 5 3 2 2" xfId="33421"/>
    <cellStyle name="Normal 2 2 7 5 3 3" xfId="33422"/>
    <cellStyle name="Normal 2 2 7 5 4" xfId="15723"/>
    <cellStyle name="Normal 2 2 7 5 4 2" xfId="15724"/>
    <cellStyle name="Normal 2 2 7 5 4 2 2" xfId="33423"/>
    <cellStyle name="Normal 2 2 7 5 4 3" xfId="33424"/>
    <cellStyle name="Normal 2 2 7 5 5" xfId="15725"/>
    <cellStyle name="Normal 2 2 7 5 5 2" xfId="33425"/>
    <cellStyle name="Normal 2 2 7 5 6" xfId="15726"/>
    <cellStyle name="Normal 2 2 7 6" xfId="15727"/>
    <cellStyle name="Normal 2 2 7 6 2" xfId="15728"/>
    <cellStyle name="Normal 2 2 7 6 2 2" xfId="33426"/>
    <cellStyle name="Normal 2 2 7 6 3" xfId="33427"/>
    <cellStyle name="Normal 2 2 7 7" xfId="15729"/>
    <cellStyle name="Normal 2 2 7 7 2" xfId="15730"/>
    <cellStyle name="Normal 2 2 7 7 2 2" xfId="33428"/>
    <cellStyle name="Normal 2 2 7 7 3" xfId="33429"/>
    <cellStyle name="Normal 2 2 7 8" xfId="15731"/>
    <cellStyle name="Normal 2 2 7 8 2" xfId="15732"/>
    <cellStyle name="Normal 2 2 7 8 2 2" xfId="33430"/>
    <cellStyle name="Normal 2 2 7 8 3" xfId="33431"/>
    <cellStyle name="Normal 2 2 7 9" xfId="15733"/>
    <cellStyle name="Normal 2 2 7 9 2" xfId="33432"/>
    <cellStyle name="Normal 2 2 8" xfId="138"/>
    <cellStyle name="Normal 2 2 8 2" xfId="926"/>
    <cellStyle name="Normal 2 2 8 2 2" xfId="2069"/>
    <cellStyle name="Normal 2 2 8 2 2 2" xfId="15734"/>
    <cellStyle name="Normal 2 2 8 2 2 2 2" xfId="15735"/>
    <cellStyle name="Normal 2 2 8 2 2 2 2 2" xfId="33433"/>
    <cellStyle name="Normal 2 2 8 2 2 2 3" xfId="33434"/>
    <cellStyle name="Normal 2 2 8 2 2 3" xfId="15736"/>
    <cellStyle name="Normal 2 2 8 2 2 3 2" xfId="15737"/>
    <cellStyle name="Normal 2 2 8 2 2 3 2 2" xfId="33435"/>
    <cellStyle name="Normal 2 2 8 2 2 3 3" xfId="33436"/>
    <cellStyle name="Normal 2 2 8 2 2 4" xfId="15738"/>
    <cellStyle name="Normal 2 2 8 2 2 4 2" xfId="15739"/>
    <cellStyle name="Normal 2 2 8 2 2 4 2 2" xfId="33437"/>
    <cellStyle name="Normal 2 2 8 2 2 4 3" xfId="33438"/>
    <cellStyle name="Normal 2 2 8 2 2 5" xfId="15740"/>
    <cellStyle name="Normal 2 2 8 2 2 5 2" xfId="33439"/>
    <cellStyle name="Normal 2 2 8 2 2 6" xfId="15741"/>
    <cellStyle name="Normal 2 2 8 2 3" xfId="15742"/>
    <cellStyle name="Normal 2 2 8 2 3 2" xfId="15743"/>
    <cellStyle name="Normal 2 2 8 2 3 2 2" xfId="33440"/>
    <cellStyle name="Normal 2 2 8 2 3 3" xfId="33441"/>
    <cellStyle name="Normal 2 2 8 2 4" xfId="15744"/>
    <cellStyle name="Normal 2 2 8 2 4 2" xfId="15745"/>
    <cellStyle name="Normal 2 2 8 2 4 2 2" xfId="33442"/>
    <cellStyle name="Normal 2 2 8 2 4 3" xfId="33443"/>
    <cellStyle name="Normal 2 2 8 2 5" xfId="15746"/>
    <cellStyle name="Normal 2 2 8 2 5 2" xfId="15747"/>
    <cellStyle name="Normal 2 2 8 2 5 2 2" xfId="33444"/>
    <cellStyle name="Normal 2 2 8 2 5 3" xfId="33445"/>
    <cellStyle name="Normal 2 2 8 2 6" xfId="15748"/>
    <cellStyle name="Normal 2 2 8 2 6 2" xfId="33446"/>
    <cellStyle name="Normal 2 2 8 2 7" xfId="15749"/>
    <cellStyle name="Normal 2 2 8 3" xfId="558"/>
    <cellStyle name="Normal 2 2 8 3 2" xfId="2070"/>
    <cellStyle name="Normal 2 2 8 3 2 2" xfId="15750"/>
    <cellStyle name="Normal 2 2 8 3 2 2 2" xfId="15751"/>
    <cellStyle name="Normal 2 2 8 3 2 2 2 2" xfId="33447"/>
    <cellStyle name="Normal 2 2 8 3 2 2 3" xfId="33448"/>
    <cellStyle name="Normal 2 2 8 3 2 3" xfId="15752"/>
    <cellStyle name="Normal 2 2 8 3 2 3 2" xfId="15753"/>
    <cellStyle name="Normal 2 2 8 3 2 3 2 2" xfId="33449"/>
    <cellStyle name="Normal 2 2 8 3 2 3 3" xfId="33450"/>
    <cellStyle name="Normal 2 2 8 3 2 4" xfId="15754"/>
    <cellStyle name="Normal 2 2 8 3 2 4 2" xfId="15755"/>
    <cellStyle name="Normal 2 2 8 3 2 4 2 2" xfId="33451"/>
    <cellStyle name="Normal 2 2 8 3 2 4 3" xfId="33452"/>
    <cellStyle name="Normal 2 2 8 3 2 5" xfId="15756"/>
    <cellStyle name="Normal 2 2 8 3 2 5 2" xfId="33453"/>
    <cellStyle name="Normal 2 2 8 3 2 6" xfId="15757"/>
    <cellStyle name="Normal 2 2 8 3 3" xfId="15758"/>
    <cellStyle name="Normal 2 2 8 3 3 2" xfId="15759"/>
    <cellStyle name="Normal 2 2 8 3 3 2 2" xfId="33454"/>
    <cellStyle name="Normal 2 2 8 3 3 3" xfId="33455"/>
    <cellStyle name="Normal 2 2 8 3 4" xfId="15760"/>
    <cellStyle name="Normal 2 2 8 3 4 2" xfId="15761"/>
    <cellStyle name="Normal 2 2 8 3 4 2 2" xfId="33456"/>
    <cellStyle name="Normal 2 2 8 3 4 3" xfId="33457"/>
    <cellStyle name="Normal 2 2 8 3 5" xfId="15762"/>
    <cellStyle name="Normal 2 2 8 3 5 2" xfId="15763"/>
    <cellStyle name="Normal 2 2 8 3 5 2 2" xfId="33458"/>
    <cellStyle name="Normal 2 2 8 3 5 3" xfId="33459"/>
    <cellStyle name="Normal 2 2 8 3 6" xfId="15764"/>
    <cellStyle name="Normal 2 2 8 3 6 2" xfId="33460"/>
    <cellStyle name="Normal 2 2 8 3 7" xfId="15765"/>
    <cellStyle name="Normal 2 2 8 4" xfId="2071"/>
    <cellStyle name="Normal 2 2 8 4 2" xfId="15766"/>
    <cellStyle name="Normal 2 2 8 4 2 2" xfId="15767"/>
    <cellStyle name="Normal 2 2 8 4 2 2 2" xfId="33461"/>
    <cellStyle name="Normal 2 2 8 4 2 3" xfId="33462"/>
    <cellStyle name="Normal 2 2 8 4 3" xfId="15768"/>
    <cellStyle name="Normal 2 2 8 4 3 2" xfId="15769"/>
    <cellStyle name="Normal 2 2 8 4 3 2 2" xfId="33463"/>
    <cellStyle name="Normal 2 2 8 4 3 3" xfId="33464"/>
    <cellStyle name="Normal 2 2 8 4 4" xfId="15770"/>
    <cellStyle name="Normal 2 2 8 4 4 2" xfId="15771"/>
    <cellStyle name="Normal 2 2 8 4 4 2 2" xfId="33465"/>
    <cellStyle name="Normal 2 2 8 4 4 3" xfId="33466"/>
    <cellStyle name="Normal 2 2 8 4 5" xfId="15772"/>
    <cellStyle name="Normal 2 2 8 4 5 2" xfId="33467"/>
    <cellStyle name="Normal 2 2 8 4 6" xfId="15773"/>
    <cellStyle name="Normal 2 2 8 5" xfId="15774"/>
    <cellStyle name="Normal 2 2 8 5 2" xfId="15775"/>
    <cellStyle name="Normal 2 2 8 5 2 2" xfId="33468"/>
    <cellStyle name="Normal 2 2 8 5 3" xfId="33469"/>
    <cellStyle name="Normal 2 2 8 6" xfId="15776"/>
    <cellStyle name="Normal 2 2 8 6 2" xfId="15777"/>
    <cellStyle name="Normal 2 2 8 6 2 2" xfId="33470"/>
    <cellStyle name="Normal 2 2 8 6 3" xfId="33471"/>
    <cellStyle name="Normal 2 2 8 7" xfId="15778"/>
    <cellStyle name="Normal 2 2 8 7 2" xfId="15779"/>
    <cellStyle name="Normal 2 2 8 7 2 2" xfId="33472"/>
    <cellStyle name="Normal 2 2 8 7 3" xfId="33473"/>
    <cellStyle name="Normal 2 2 8 8" xfId="15780"/>
    <cellStyle name="Normal 2 2 8 8 2" xfId="33474"/>
    <cellStyle name="Normal 2 2 8 9" xfId="15781"/>
    <cellStyle name="Normal 2 2 9" xfId="296"/>
    <cellStyle name="Normal 2 2 9 2" xfId="1084"/>
    <cellStyle name="Normal 2 2 9 2 2" xfId="2072"/>
    <cellStyle name="Normal 2 2 9 2 2 2" xfId="15782"/>
    <cellStyle name="Normal 2 2 9 2 2 2 2" xfId="15783"/>
    <cellStyle name="Normal 2 2 9 2 2 2 2 2" xfId="33475"/>
    <cellStyle name="Normal 2 2 9 2 2 2 3" xfId="33476"/>
    <cellStyle name="Normal 2 2 9 2 2 3" xfId="15784"/>
    <cellStyle name="Normal 2 2 9 2 2 3 2" xfId="15785"/>
    <cellStyle name="Normal 2 2 9 2 2 3 2 2" xfId="33477"/>
    <cellStyle name="Normal 2 2 9 2 2 3 3" xfId="33478"/>
    <cellStyle name="Normal 2 2 9 2 2 4" xfId="15786"/>
    <cellStyle name="Normal 2 2 9 2 2 4 2" xfId="15787"/>
    <cellStyle name="Normal 2 2 9 2 2 4 2 2" xfId="33479"/>
    <cellStyle name="Normal 2 2 9 2 2 4 3" xfId="33480"/>
    <cellStyle name="Normal 2 2 9 2 2 5" xfId="15788"/>
    <cellStyle name="Normal 2 2 9 2 2 5 2" xfId="33481"/>
    <cellStyle name="Normal 2 2 9 2 2 6" xfId="15789"/>
    <cellStyle name="Normal 2 2 9 2 3" xfId="15790"/>
    <cellStyle name="Normal 2 2 9 2 3 2" xfId="15791"/>
    <cellStyle name="Normal 2 2 9 2 3 2 2" xfId="33482"/>
    <cellStyle name="Normal 2 2 9 2 3 3" xfId="33483"/>
    <cellStyle name="Normal 2 2 9 2 4" xfId="15792"/>
    <cellStyle name="Normal 2 2 9 2 4 2" xfId="15793"/>
    <cellStyle name="Normal 2 2 9 2 4 2 2" xfId="33484"/>
    <cellStyle name="Normal 2 2 9 2 4 3" xfId="33485"/>
    <cellStyle name="Normal 2 2 9 2 5" xfId="15794"/>
    <cellStyle name="Normal 2 2 9 2 5 2" xfId="15795"/>
    <cellStyle name="Normal 2 2 9 2 5 2 2" xfId="33486"/>
    <cellStyle name="Normal 2 2 9 2 5 3" xfId="33487"/>
    <cellStyle name="Normal 2 2 9 2 6" xfId="15796"/>
    <cellStyle name="Normal 2 2 9 2 6 2" xfId="33488"/>
    <cellStyle name="Normal 2 2 9 2 7" xfId="15797"/>
    <cellStyle name="Normal 2 2 9 3" xfId="716"/>
    <cellStyle name="Normal 2 2 9 3 2" xfId="2073"/>
    <cellStyle name="Normal 2 2 9 3 2 2" xfId="15798"/>
    <cellStyle name="Normal 2 2 9 3 2 2 2" xfId="15799"/>
    <cellStyle name="Normal 2 2 9 3 2 2 2 2" xfId="33489"/>
    <cellStyle name="Normal 2 2 9 3 2 2 3" xfId="33490"/>
    <cellStyle name="Normal 2 2 9 3 2 3" xfId="15800"/>
    <cellStyle name="Normal 2 2 9 3 2 3 2" xfId="15801"/>
    <cellStyle name="Normal 2 2 9 3 2 3 2 2" xfId="33491"/>
    <cellStyle name="Normal 2 2 9 3 2 3 3" xfId="33492"/>
    <cellStyle name="Normal 2 2 9 3 2 4" xfId="15802"/>
    <cellStyle name="Normal 2 2 9 3 2 4 2" xfId="15803"/>
    <cellStyle name="Normal 2 2 9 3 2 4 2 2" xfId="33493"/>
    <cellStyle name="Normal 2 2 9 3 2 4 3" xfId="33494"/>
    <cellStyle name="Normal 2 2 9 3 2 5" xfId="15804"/>
    <cellStyle name="Normal 2 2 9 3 2 5 2" xfId="33495"/>
    <cellStyle name="Normal 2 2 9 3 2 6" xfId="15805"/>
    <cellStyle name="Normal 2 2 9 3 3" xfId="15806"/>
    <cellStyle name="Normal 2 2 9 3 3 2" xfId="15807"/>
    <cellStyle name="Normal 2 2 9 3 3 2 2" xfId="33496"/>
    <cellStyle name="Normal 2 2 9 3 3 3" xfId="33497"/>
    <cellStyle name="Normal 2 2 9 3 4" xfId="15808"/>
    <cellStyle name="Normal 2 2 9 3 4 2" xfId="15809"/>
    <cellStyle name="Normal 2 2 9 3 4 2 2" xfId="33498"/>
    <cellStyle name="Normal 2 2 9 3 4 3" xfId="33499"/>
    <cellStyle name="Normal 2 2 9 3 5" xfId="15810"/>
    <cellStyle name="Normal 2 2 9 3 5 2" xfId="15811"/>
    <cellStyle name="Normal 2 2 9 3 5 2 2" xfId="33500"/>
    <cellStyle name="Normal 2 2 9 3 5 3" xfId="33501"/>
    <cellStyle name="Normal 2 2 9 3 6" xfId="15812"/>
    <cellStyle name="Normal 2 2 9 3 6 2" xfId="33502"/>
    <cellStyle name="Normal 2 2 9 3 7" xfId="15813"/>
    <cellStyle name="Normal 2 2 9 4" xfId="2074"/>
    <cellStyle name="Normal 2 2 9 4 2" xfId="15814"/>
    <cellStyle name="Normal 2 2 9 4 2 2" xfId="15815"/>
    <cellStyle name="Normal 2 2 9 4 2 2 2" xfId="33503"/>
    <cellStyle name="Normal 2 2 9 4 2 3" xfId="33504"/>
    <cellStyle name="Normal 2 2 9 4 3" xfId="15816"/>
    <cellStyle name="Normal 2 2 9 4 3 2" xfId="15817"/>
    <cellStyle name="Normal 2 2 9 4 3 2 2" xfId="33505"/>
    <cellStyle name="Normal 2 2 9 4 3 3" xfId="33506"/>
    <cellStyle name="Normal 2 2 9 4 4" xfId="15818"/>
    <cellStyle name="Normal 2 2 9 4 4 2" xfId="15819"/>
    <cellStyle name="Normal 2 2 9 4 4 2 2" xfId="33507"/>
    <cellStyle name="Normal 2 2 9 4 4 3" xfId="33508"/>
    <cellStyle name="Normal 2 2 9 4 5" xfId="15820"/>
    <cellStyle name="Normal 2 2 9 4 5 2" xfId="33509"/>
    <cellStyle name="Normal 2 2 9 4 6" xfId="15821"/>
    <cellStyle name="Normal 2 2 9 5" xfId="15822"/>
    <cellStyle name="Normal 2 2 9 5 2" xfId="15823"/>
    <cellStyle name="Normal 2 2 9 5 2 2" xfId="33510"/>
    <cellStyle name="Normal 2 2 9 5 3" xfId="33511"/>
    <cellStyle name="Normal 2 2 9 6" xfId="15824"/>
    <cellStyle name="Normal 2 2 9 6 2" xfId="15825"/>
    <cellStyle name="Normal 2 2 9 6 2 2" xfId="33512"/>
    <cellStyle name="Normal 2 2 9 6 3" xfId="33513"/>
    <cellStyle name="Normal 2 2 9 7" xfId="15826"/>
    <cellStyle name="Normal 2 2 9 7 2" xfId="15827"/>
    <cellStyle name="Normal 2 2 9 7 2 2" xfId="33514"/>
    <cellStyle name="Normal 2 2 9 7 3" xfId="33515"/>
    <cellStyle name="Normal 2 2 9 8" xfId="15828"/>
    <cellStyle name="Normal 2 2 9 8 2" xfId="33516"/>
    <cellStyle name="Normal 2 2 9 9" xfId="15829"/>
    <cellStyle name="Normal 2 20" xfId="15830"/>
    <cellStyle name="Normal 2 3" xfId="16"/>
    <cellStyle name="Normal 2 3 10" xfId="876"/>
    <cellStyle name="Normal 2 3 10 2" xfId="2075"/>
    <cellStyle name="Normal 2 3 10 2 2" xfId="15831"/>
    <cellStyle name="Normal 2 3 10 2 2 2" xfId="15832"/>
    <cellStyle name="Normal 2 3 10 2 2 2 2" xfId="33517"/>
    <cellStyle name="Normal 2 3 10 2 2 3" xfId="33518"/>
    <cellStyle name="Normal 2 3 10 2 3" xfId="15833"/>
    <cellStyle name="Normal 2 3 10 2 3 2" xfId="15834"/>
    <cellStyle name="Normal 2 3 10 2 3 2 2" xfId="33519"/>
    <cellStyle name="Normal 2 3 10 2 3 3" xfId="33520"/>
    <cellStyle name="Normal 2 3 10 2 4" xfId="15835"/>
    <cellStyle name="Normal 2 3 10 2 4 2" xfId="15836"/>
    <cellStyle name="Normal 2 3 10 2 4 2 2" xfId="33521"/>
    <cellStyle name="Normal 2 3 10 2 4 3" xfId="33522"/>
    <cellStyle name="Normal 2 3 10 2 5" xfId="15837"/>
    <cellStyle name="Normal 2 3 10 2 5 2" xfId="33523"/>
    <cellStyle name="Normal 2 3 10 2 6" xfId="15838"/>
    <cellStyle name="Normal 2 3 10 3" xfId="15839"/>
    <cellStyle name="Normal 2 3 10 3 2" xfId="15840"/>
    <cellStyle name="Normal 2 3 10 3 2 2" xfId="33524"/>
    <cellStyle name="Normal 2 3 10 3 3" xfId="33525"/>
    <cellStyle name="Normal 2 3 10 4" xfId="15841"/>
    <cellStyle name="Normal 2 3 10 4 2" xfId="15842"/>
    <cellStyle name="Normal 2 3 10 4 2 2" xfId="33526"/>
    <cellStyle name="Normal 2 3 10 4 3" xfId="33527"/>
    <cellStyle name="Normal 2 3 10 5" xfId="15843"/>
    <cellStyle name="Normal 2 3 10 5 2" xfId="15844"/>
    <cellStyle name="Normal 2 3 10 5 2 2" xfId="33528"/>
    <cellStyle name="Normal 2 3 10 5 3" xfId="33529"/>
    <cellStyle name="Normal 2 3 10 6" xfId="15845"/>
    <cellStyle name="Normal 2 3 10 6 2" xfId="33530"/>
    <cellStyle name="Normal 2 3 10 7" xfId="15846"/>
    <cellStyle name="Normal 2 3 11" xfId="458"/>
    <cellStyle name="Normal 2 3 11 2" xfId="2076"/>
    <cellStyle name="Normal 2 3 11 2 2" xfId="15847"/>
    <cellStyle name="Normal 2 3 11 2 2 2" xfId="15848"/>
    <cellStyle name="Normal 2 3 11 2 2 2 2" xfId="33531"/>
    <cellStyle name="Normal 2 3 11 2 2 3" xfId="33532"/>
    <cellStyle name="Normal 2 3 11 2 3" xfId="15849"/>
    <cellStyle name="Normal 2 3 11 2 3 2" xfId="15850"/>
    <cellStyle name="Normal 2 3 11 2 3 2 2" xfId="33533"/>
    <cellStyle name="Normal 2 3 11 2 3 3" xfId="33534"/>
    <cellStyle name="Normal 2 3 11 2 4" xfId="15851"/>
    <cellStyle name="Normal 2 3 11 2 4 2" xfId="15852"/>
    <cellStyle name="Normal 2 3 11 2 4 2 2" xfId="33535"/>
    <cellStyle name="Normal 2 3 11 2 4 3" xfId="33536"/>
    <cellStyle name="Normal 2 3 11 2 5" xfId="15853"/>
    <cellStyle name="Normal 2 3 11 2 5 2" xfId="33537"/>
    <cellStyle name="Normal 2 3 11 2 6" xfId="15854"/>
    <cellStyle name="Normal 2 3 11 3" xfId="15855"/>
    <cellStyle name="Normal 2 3 11 3 2" xfId="15856"/>
    <cellStyle name="Normal 2 3 11 3 2 2" xfId="33538"/>
    <cellStyle name="Normal 2 3 11 3 3" xfId="33539"/>
    <cellStyle name="Normal 2 3 11 4" xfId="15857"/>
    <cellStyle name="Normal 2 3 11 4 2" xfId="15858"/>
    <cellStyle name="Normal 2 3 11 4 2 2" xfId="33540"/>
    <cellStyle name="Normal 2 3 11 4 3" xfId="33541"/>
    <cellStyle name="Normal 2 3 11 5" xfId="15859"/>
    <cellStyle name="Normal 2 3 11 5 2" xfId="15860"/>
    <cellStyle name="Normal 2 3 11 5 2 2" xfId="33542"/>
    <cellStyle name="Normal 2 3 11 5 3" xfId="33543"/>
    <cellStyle name="Normal 2 3 11 6" xfId="15861"/>
    <cellStyle name="Normal 2 3 11 6 2" xfId="33544"/>
    <cellStyle name="Normal 2 3 11 7" xfId="15862"/>
    <cellStyle name="Normal 2 3 12" xfId="2077"/>
    <cellStyle name="Normal 2 3 12 2" xfId="15863"/>
    <cellStyle name="Normal 2 3 12 2 2" xfId="15864"/>
    <cellStyle name="Normal 2 3 12 2 2 2" xfId="33545"/>
    <cellStyle name="Normal 2 3 12 2 3" xfId="33546"/>
    <cellStyle name="Normal 2 3 12 3" xfId="15865"/>
    <cellStyle name="Normal 2 3 12 3 2" xfId="15866"/>
    <cellStyle name="Normal 2 3 12 3 2 2" xfId="33547"/>
    <cellStyle name="Normal 2 3 12 3 3" xfId="33548"/>
    <cellStyle name="Normal 2 3 12 4" xfId="15867"/>
    <cellStyle name="Normal 2 3 12 4 2" xfId="15868"/>
    <cellStyle name="Normal 2 3 12 4 2 2" xfId="33549"/>
    <cellStyle name="Normal 2 3 12 4 3" xfId="33550"/>
    <cellStyle name="Normal 2 3 12 5" xfId="15869"/>
    <cellStyle name="Normal 2 3 12 5 2" xfId="33551"/>
    <cellStyle name="Normal 2 3 12 6" xfId="15870"/>
    <cellStyle name="Normal 2 3 13" xfId="15871"/>
    <cellStyle name="Normal 2 3 13 2" xfId="15872"/>
    <cellStyle name="Normal 2 3 13 2 2" xfId="33552"/>
    <cellStyle name="Normal 2 3 13 3" xfId="33553"/>
    <cellStyle name="Normal 2 3 14" xfId="15873"/>
    <cellStyle name="Normal 2 3 14 2" xfId="15874"/>
    <cellStyle name="Normal 2 3 14 2 2" xfId="33554"/>
    <cellStyle name="Normal 2 3 14 3" xfId="33555"/>
    <cellStyle name="Normal 2 3 15" xfId="15875"/>
    <cellStyle name="Normal 2 3 15 2" xfId="15876"/>
    <cellStyle name="Normal 2 3 15 2 2" xfId="33556"/>
    <cellStyle name="Normal 2 3 15 3" xfId="33557"/>
    <cellStyle name="Normal 2 3 16" xfId="15877"/>
    <cellStyle name="Normal 2 3 16 2" xfId="33558"/>
    <cellStyle name="Normal 2 3 17" xfId="15878"/>
    <cellStyle name="Normal 2 3 2" xfId="57"/>
    <cellStyle name="Normal 2 3 2 10" xfId="491"/>
    <cellStyle name="Normal 2 3 2 10 2" xfId="2078"/>
    <cellStyle name="Normal 2 3 2 10 2 2" xfId="15879"/>
    <cellStyle name="Normal 2 3 2 10 2 2 2" xfId="15880"/>
    <cellStyle name="Normal 2 3 2 10 2 2 2 2" xfId="33559"/>
    <cellStyle name="Normal 2 3 2 10 2 2 3" xfId="33560"/>
    <cellStyle name="Normal 2 3 2 10 2 3" xfId="15881"/>
    <cellStyle name="Normal 2 3 2 10 2 3 2" xfId="15882"/>
    <cellStyle name="Normal 2 3 2 10 2 3 2 2" xfId="33561"/>
    <cellStyle name="Normal 2 3 2 10 2 3 3" xfId="33562"/>
    <cellStyle name="Normal 2 3 2 10 2 4" xfId="15883"/>
    <cellStyle name="Normal 2 3 2 10 2 4 2" xfId="15884"/>
    <cellStyle name="Normal 2 3 2 10 2 4 2 2" xfId="33563"/>
    <cellStyle name="Normal 2 3 2 10 2 4 3" xfId="33564"/>
    <cellStyle name="Normal 2 3 2 10 2 5" xfId="15885"/>
    <cellStyle name="Normal 2 3 2 10 2 5 2" xfId="33565"/>
    <cellStyle name="Normal 2 3 2 10 2 6" xfId="15886"/>
    <cellStyle name="Normal 2 3 2 10 3" xfId="15887"/>
    <cellStyle name="Normal 2 3 2 10 3 2" xfId="15888"/>
    <cellStyle name="Normal 2 3 2 10 3 2 2" xfId="33566"/>
    <cellStyle name="Normal 2 3 2 10 3 3" xfId="33567"/>
    <cellStyle name="Normal 2 3 2 10 4" xfId="15889"/>
    <cellStyle name="Normal 2 3 2 10 4 2" xfId="15890"/>
    <cellStyle name="Normal 2 3 2 10 4 2 2" xfId="33568"/>
    <cellStyle name="Normal 2 3 2 10 4 3" xfId="33569"/>
    <cellStyle name="Normal 2 3 2 10 5" xfId="15891"/>
    <cellStyle name="Normal 2 3 2 10 5 2" xfId="15892"/>
    <cellStyle name="Normal 2 3 2 10 5 2 2" xfId="33570"/>
    <cellStyle name="Normal 2 3 2 10 5 3" xfId="33571"/>
    <cellStyle name="Normal 2 3 2 10 6" xfId="15893"/>
    <cellStyle name="Normal 2 3 2 10 6 2" xfId="33572"/>
    <cellStyle name="Normal 2 3 2 10 7" xfId="15894"/>
    <cellStyle name="Normal 2 3 2 11" xfId="2079"/>
    <cellStyle name="Normal 2 3 2 11 2" xfId="15895"/>
    <cellStyle name="Normal 2 3 2 11 2 2" xfId="15896"/>
    <cellStyle name="Normal 2 3 2 11 2 2 2" xfId="33573"/>
    <cellStyle name="Normal 2 3 2 11 2 3" xfId="33574"/>
    <cellStyle name="Normal 2 3 2 11 3" xfId="15897"/>
    <cellStyle name="Normal 2 3 2 11 3 2" xfId="15898"/>
    <cellStyle name="Normal 2 3 2 11 3 2 2" xfId="33575"/>
    <cellStyle name="Normal 2 3 2 11 3 3" xfId="33576"/>
    <cellStyle name="Normal 2 3 2 11 4" xfId="15899"/>
    <cellStyle name="Normal 2 3 2 11 4 2" xfId="15900"/>
    <cellStyle name="Normal 2 3 2 11 4 2 2" xfId="33577"/>
    <cellStyle name="Normal 2 3 2 11 4 3" xfId="33578"/>
    <cellStyle name="Normal 2 3 2 11 5" xfId="15901"/>
    <cellStyle name="Normal 2 3 2 11 5 2" xfId="33579"/>
    <cellStyle name="Normal 2 3 2 11 6" xfId="15902"/>
    <cellStyle name="Normal 2 3 2 12" xfId="15903"/>
    <cellStyle name="Normal 2 3 2 12 2" xfId="15904"/>
    <cellStyle name="Normal 2 3 2 12 2 2" xfId="33580"/>
    <cellStyle name="Normal 2 3 2 12 3" xfId="33581"/>
    <cellStyle name="Normal 2 3 2 13" xfId="15905"/>
    <cellStyle name="Normal 2 3 2 13 2" xfId="15906"/>
    <cellStyle name="Normal 2 3 2 13 2 2" xfId="33582"/>
    <cellStyle name="Normal 2 3 2 13 3" xfId="33583"/>
    <cellStyle name="Normal 2 3 2 14" xfId="15907"/>
    <cellStyle name="Normal 2 3 2 14 2" xfId="15908"/>
    <cellStyle name="Normal 2 3 2 14 2 2" xfId="33584"/>
    <cellStyle name="Normal 2 3 2 14 3" xfId="33585"/>
    <cellStyle name="Normal 2 3 2 15" xfId="15909"/>
    <cellStyle name="Normal 2 3 2 15 2" xfId="33586"/>
    <cellStyle name="Normal 2 3 2 16" xfId="15910"/>
    <cellStyle name="Normal 2 3 2 2" xfId="58"/>
    <cellStyle name="Normal 2 3 2 2 10" xfId="15911"/>
    <cellStyle name="Normal 2 3 2 2 10 2" xfId="15912"/>
    <cellStyle name="Normal 2 3 2 2 10 2 2" xfId="33587"/>
    <cellStyle name="Normal 2 3 2 2 10 3" xfId="33588"/>
    <cellStyle name="Normal 2 3 2 2 11" xfId="15913"/>
    <cellStyle name="Normal 2 3 2 2 11 2" xfId="15914"/>
    <cellStyle name="Normal 2 3 2 2 11 2 2" xfId="33589"/>
    <cellStyle name="Normal 2 3 2 2 11 3" xfId="33590"/>
    <cellStyle name="Normal 2 3 2 2 12" xfId="15915"/>
    <cellStyle name="Normal 2 3 2 2 12 2" xfId="15916"/>
    <cellStyle name="Normal 2 3 2 2 12 2 2" xfId="33591"/>
    <cellStyle name="Normal 2 3 2 2 12 3" xfId="33592"/>
    <cellStyle name="Normal 2 3 2 2 13" xfId="15917"/>
    <cellStyle name="Normal 2 3 2 2 13 2" xfId="33593"/>
    <cellStyle name="Normal 2 3 2 2 14" xfId="15918"/>
    <cellStyle name="Normal 2 3 2 2 2" xfId="229"/>
    <cellStyle name="Normal 2 3 2 2 2 10" xfId="15919"/>
    <cellStyle name="Normal 2 3 2 2 2 2" xfId="387"/>
    <cellStyle name="Normal 2 3 2 2 2 2 2" xfId="1175"/>
    <cellStyle name="Normal 2 3 2 2 2 2 2 2" xfId="2080"/>
    <cellStyle name="Normal 2 3 2 2 2 2 2 2 2" xfId="15920"/>
    <cellStyle name="Normal 2 3 2 2 2 2 2 2 2 2" xfId="15921"/>
    <cellStyle name="Normal 2 3 2 2 2 2 2 2 2 2 2" xfId="33594"/>
    <cellStyle name="Normal 2 3 2 2 2 2 2 2 2 3" xfId="33595"/>
    <cellStyle name="Normal 2 3 2 2 2 2 2 2 3" xfId="15922"/>
    <cellStyle name="Normal 2 3 2 2 2 2 2 2 3 2" xfId="15923"/>
    <cellStyle name="Normal 2 3 2 2 2 2 2 2 3 2 2" xfId="33596"/>
    <cellStyle name="Normal 2 3 2 2 2 2 2 2 3 3" xfId="33597"/>
    <cellStyle name="Normal 2 3 2 2 2 2 2 2 4" xfId="15924"/>
    <cellStyle name="Normal 2 3 2 2 2 2 2 2 4 2" xfId="15925"/>
    <cellStyle name="Normal 2 3 2 2 2 2 2 2 4 2 2" xfId="33598"/>
    <cellStyle name="Normal 2 3 2 2 2 2 2 2 4 3" xfId="33599"/>
    <cellStyle name="Normal 2 3 2 2 2 2 2 2 5" xfId="15926"/>
    <cellStyle name="Normal 2 3 2 2 2 2 2 2 5 2" xfId="33600"/>
    <cellStyle name="Normal 2 3 2 2 2 2 2 2 6" xfId="15927"/>
    <cellStyle name="Normal 2 3 2 2 2 2 2 3" xfId="15928"/>
    <cellStyle name="Normal 2 3 2 2 2 2 2 3 2" xfId="15929"/>
    <cellStyle name="Normal 2 3 2 2 2 2 2 3 2 2" xfId="33601"/>
    <cellStyle name="Normal 2 3 2 2 2 2 2 3 3" xfId="33602"/>
    <cellStyle name="Normal 2 3 2 2 2 2 2 4" xfId="15930"/>
    <cellStyle name="Normal 2 3 2 2 2 2 2 4 2" xfId="15931"/>
    <cellStyle name="Normal 2 3 2 2 2 2 2 4 2 2" xfId="33603"/>
    <cellStyle name="Normal 2 3 2 2 2 2 2 4 3" xfId="33604"/>
    <cellStyle name="Normal 2 3 2 2 2 2 2 5" xfId="15932"/>
    <cellStyle name="Normal 2 3 2 2 2 2 2 5 2" xfId="15933"/>
    <cellStyle name="Normal 2 3 2 2 2 2 2 5 2 2" xfId="33605"/>
    <cellStyle name="Normal 2 3 2 2 2 2 2 5 3" xfId="33606"/>
    <cellStyle name="Normal 2 3 2 2 2 2 2 6" xfId="15934"/>
    <cellStyle name="Normal 2 3 2 2 2 2 2 6 2" xfId="33607"/>
    <cellStyle name="Normal 2 3 2 2 2 2 2 7" xfId="15935"/>
    <cellStyle name="Normal 2 3 2 2 2 2 3" xfId="807"/>
    <cellStyle name="Normal 2 3 2 2 2 2 3 2" xfId="2081"/>
    <cellStyle name="Normal 2 3 2 2 2 2 3 2 2" xfId="15936"/>
    <cellStyle name="Normal 2 3 2 2 2 2 3 2 2 2" xfId="15937"/>
    <cellStyle name="Normal 2 3 2 2 2 2 3 2 2 2 2" xfId="33608"/>
    <cellStyle name="Normal 2 3 2 2 2 2 3 2 2 3" xfId="33609"/>
    <cellStyle name="Normal 2 3 2 2 2 2 3 2 3" xfId="15938"/>
    <cellStyle name="Normal 2 3 2 2 2 2 3 2 3 2" xfId="15939"/>
    <cellStyle name="Normal 2 3 2 2 2 2 3 2 3 2 2" xfId="33610"/>
    <cellStyle name="Normal 2 3 2 2 2 2 3 2 3 3" xfId="33611"/>
    <cellStyle name="Normal 2 3 2 2 2 2 3 2 4" xfId="15940"/>
    <cellStyle name="Normal 2 3 2 2 2 2 3 2 4 2" xfId="15941"/>
    <cellStyle name="Normal 2 3 2 2 2 2 3 2 4 2 2" xfId="33612"/>
    <cellStyle name="Normal 2 3 2 2 2 2 3 2 4 3" xfId="33613"/>
    <cellStyle name="Normal 2 3 2 2 2 2 3 2 5" xfId="15942"/>
    <cellStyle name="Normal 2 3 2 2 2 2 3 2 5 2" xfId="33614"/>
    <cellStyle name="Normal 2 3 2 2 2 2 3 2 6" xfId="15943"/>
    <cellStyle name="Normal 2 3 2 2 2 2 3 3" xfId="15944"/>
    <cellStyle name="Normal 2 3 2 2 2 2 3 3 2" xfId="15945"/>
    <cellStyle name="Normal 2 3 2 2 2 2 3 3 2 2" xfId="33615"/>
    <cellStyle name="Normal 2 3 2 2 2 2 3 3 3" xfId="33616"/>
    <cellStyle name="Normal 2 3 2 2 2 2 3 4" xfId="15946"/>
    <cellStyle name="Normal 2 3 2 2 2 2 3 4 2" xfId="15947"/>
    <cellStyle name="Normal 2 3 2 2 2 2 3 4 2 2" xfId="33617"/>
    <cellStyle name="Normal 2 3 2 2 2 2 3 4 3" xfId="33618"/>
    <cellStyle name="Normal 2 3 2 2 2 2 3 5" xfId="15948"/>
    <cellStyle name="Normal 2 3 2 2 2 2 3 5 2" xfId="15949"/>
    <cellStyle name="Normal 2 3 2 2 2 2 3 5 2 2" xfId="33619"/>
    <cellStyle name="Normal 2 3 2 2 2 2 3 5 3" xfId="33620"/>
    <cellStyle name="Normal 2 3 2 2 2 2 3 6" xfId="15950"/>
    <cellStyle name="Normal 2 3 2 2 2 2 3 6 2" xfId="33621"/>
    <cellStyle name="Normal 2 3 2 2 2 2 3 7" xfId="15951"/>
    <cellStyle name="Normal 2 3 2 2 2 2 4" xfId="2082"/>
    <cellStyle name="Normal 2 3 2 2 2 2 4 2" xfId="15952"/>
    <cellStyle name="Normal 2 3 2 2 2 2 4 2 2" xfId="15953"/>
    <cellStyle name="Normal 2 3 2 2 2 2 4 2 2 2" xfId="33622"/>
    <cellStyle name="Normal 2 3 2 2 2 2 4 2 3" xfId="33623"/>
    <cellStyle name="Normal 2 3 2 2 2 2 4 3" xfId="15954"/>
    <cellStyle name="Normal 2 3 2 2 2 2 4 3 2" xfId="15955"/>
    <cellStyle name="Normal 2 3 2 2 2 2 4 3 2 2" xfId="33624"/>
    <cellStyle name="Normal 2 3 2 2 2 2 4 3 3" xfId="33625"/>
    <cellStyle name="Normal 2 3 2 2 2 2 4 4" xfId="15956"/>
    <cellStyle name="Normal 2 3 2 2 2 2 4 4 2" xfId="15957"/>
    <cellStyle name="Normal 2 3 2 2 2 2 4 4 2 2" xfId="33626"/>
    <cellStyle name="Normal 2 3 2 2 2 2 4 4 3" xfId="33627"/>
    <cellStyle name="Normal 2 3 2 2 2 2 4 5" xfId="15958"/>
    <cellStyle name="Normal 2 3 2 2 2 2 4 5 2" xfId="33628"/>
    <cellStyle name="Normal 2 3 2 2 2 2 4 6" xfId="15959"/>
    <cellStyle name="Normal 2 3 2 2 2 2 5" xfId="15960"/>
    <cellStyle name="Normal 2 3 2 2 2 2 5 2" xfId="15961"/>
    <cellStyle name="Normal 2 3 2 2 2 2 5 2 2" xfId="33629"/>
    <cellStyle name="Normal 2 3 2 2 2 2 5 3" xfId="33630"/>
    <cellStyle name="Normal 2 3 2 2 2 2 6" xfId="15962"/>
    <cellStyle name="Normal 2 3 2 2 2 2 6 2" xfId="15963"/>
    <cellStyle name="Normal 2 3 2 2 2 2 6 2 2" xfId="33631"/>
    <cellStyle name="Normal 2 3 2 2 2 2 6 3" xfId="33632"/>
    <cellStyle name="Normal 2 3 2 2 2 2 7" xfId="15964"/>
    <cellStyle name="Normal 2 3 2 2 2 2 7 2" xfId="15965"/>
    <cellStyle name="Normal 2 3 2 2 2 2 7 2 2" xfId="33633"/>
    <cellStyle name="Normal 2 3 2 2 2 2 7 3" xfId="33634"/>
    <cellStyle name="Normal 2 3 2 2 2 2 8" xfId="15966"/>
    <cellStyle name="Normal 2 3 2 2 2 2 8 2" xfId="33635"/>
    <cellStyle name="Normal 2 3 2 2 2 2 9" xfId="15967"/>
    <cellStyle name="Normal 2 3 2 2 2 3" xfId="1017"/>
    <cellStyle name="Normal 2 3 2 2 2 3 2" xfId="2083"/>
    <cellStyle name="Normal 2 3 2 2 2 3 2 2" xfId="15968"/>
    <cellStyle name="Normal 2 3 2 2 2 3 2 2 2" xfId="15969"/>
    <cellStyle name="Normal 2 3 2 2 2 3 2 2 2 2" xfId="33636"/>
    <cellStyle name="Normal 2 3 2 2 2 3 2 2 3" xfId="33637"/>
    <cellStyle name="Normal 2 3 2 2 2 3 2 3" xfId="15970"/>
    <cellStyle name="Normal 2 3 2 2 2 3 2 3 2" xfId="15971"/>
    <cellStyle name="Normal 2 3 2 2 2 3 2 3 2 2" xfId="33638"/>
    <cellStyle name="Normal 2 3 2 2 2 3 2 3 3" xfId="33639"/>
    <cellStyle name="Normal 2 3 2 2 2 3 2 4" xfId="15972"/>
    <cellStyle name="Normal 2 3 2 2 2 3 2 4 2" xfId="15973"/>
    <cellStyle name="Normal 2 3 2 2 2 3 2 4 2 2" xfId="33640"/>
    <cellStyle name="Normal 2 3 2 2 2 3 2 4 3" xfId="33641"/>
    <cellStyle name="Normal 2 3 2 2 2 3 2 5" xfId="15974"/>
    <cellStyle name="Normal 2 3 2 2 2 3 2 5 2" xfId="33642"/>
    <cellStyle name="Normal 2 3 2 2 2 3 2 6" xfId="15975"/>
    <cellStyle name="Normal 2 3 2 2 2 3 3" xfId="15976"/>
    <cellStyle name="Normal 2 3 2 2 2 3 3 2" xfId="15977"/>
    <cellStyle name="Normal 2 3 2 2 2 3 3 2 2" xfId="33643"/>
    <cellStyle name="Normal 2 3 2 2 2 3 3 3" xfId="33644"/>
    <cellStyle name="Normal 2 3 2 2 2 3 4" xfId="15978"/>
    <cellStyle name="Normal 2 3 2 2 2 3 4 2" xfId="15979"/>
    <cellStyle name="Normal 2 3 2 2 2 3 4 2 2" xfId="33645"/>
    <cellStyle name="Normal 2 3 2 2 2 3 4 3" xfId="33646"/>
    <cellStyle name="Normal 2 3 2 2 2 3 5" xfId="15980"/>
    <cellStyle name="Normal 2 3 2 2 2 3 5 2" xfId="15981"/>
    <cellStyle name="Normal 2 3 2 2 2 3 5 2 2" xfId="33647"/>
    <cellStyle name="Normal 2 3 2 2 2 3 5 3" xfId="33648"/>
    <cellStyle name="Normal 2 3 2 2 2 3 6" xfId="15982"/>
    <cellStyle name="Normal 2 3 2 2 2 3 6 2" xfId="33649"/>
    <cellStyle name="Normal 2 3 2 2 2 3 7" xfId="15983"/>
    <cellStyle name="Normal 2 3 2 2 2 4" xfId="649"/>
    <cellStyle name="Normal 2 3 2 2 2 4 2" xfId="2084"/>
    <cellStyle name="Normal 2 3 2 2 2 4 2 2" xfId="15984"/>
    <cellStyle name="Normal 2 3 2 2 2 4 2 2 2" xfId="15985"/>
    <cellStyle name="Normal 2 3 2 2 2 4 2 2 2 2" xfId="33650"/>
    <cellStyle name="Normal 2 3 2 2 2 4 2 2 3" xfId="33651"/>
    <cellStyle name="Normal 2 3 2 2 2 4 2 3" xfId="15986"/>
    <cellStyle name="Normal 2 3 2 2 2 4 2 3 2" xfId="15987"/>
    <cellStyle name="Normal 2 3 2 2 2 4 2 3 2 2" xfId="33652"/>
    <cellStyle name="Normal 2 3 2 2 2 4 2 3 3" xfId="33653"/>
    <cellStyle name="Normal 2 3 2 2 2 4 2 4" xfId="15988"/>
    <cellStyle name="Normal 2 3 2 2 2 4 2 4 2" xfId="15989"/>
    <cellStyle name="Normal 2 3 2 2 2 4 2 4 2 2" xfId="33654"/>
    <cellStyle name="Normal 2 3 2 2 2 4 2 4 3" xfId="33655"/>
    <cellStyle name="Normal 2 3 2 2 2 4 2 5" xfId="15990"/>
    <cellStyle name="Normal 2 3 2 2 2 4 2 5 2" xfId="33656"/>
    <cellStyle name="Normal 2 3 2 2 2 4 2 6" xfId="15991"/>
    <cellStyle name="Normal 2 3 2 2 2 4 3" xfId="15992"/>
    <cellStyle name="Normal 2 3 2 2 2 4 3 2" xfId="15993"/>
    <cellStyle name="Normal 2 3 2 2 2 4 3 2 2" xfId="33657"/>
    <cellStyle name="Normal 2 3 2 2 2 4 3 3" xfId="33658"/>
    <cellStyle name="Normal 2 3 2 2 2 4 4" xfId="15994"/>
    <cellStyle name="Normal 2 3 2 2 2 4 4 2" xfId="15995"/>
    <cellStyle name="Normal 2 3 2 2 2 4 4 2 2" xfId="33659"/>
    <cellStyle name="Normal 2 3 2 2 2 4 4 3" xfId="33660"/>
    <cellStyle name="Normal 2 3 2 2 2 4 5" xfId="15996"/>
    <cellStyle name="Normal 2 3 2 2 2 4 5 2" xfId="15997"/>
    <cellStyle name="Normal 2 3 2 2 2 4 5 2 2" xfId="33661"/>
    <cellStyle name="Normal 2 3 2 2 2 4 5 3" xfId="33662"/>
    <cellStyle name="Normal 2 3 2 2 2 4 6" xfId="15998"/>
    <cellStyle name="Normal 2 3 2 2 2 4 6 2" xfId="33663"/>
    <cellStyle name="Normal 2 3 2 2 2 4 7" xfId="15999"/>
    <cellStyle name="Normal 2 3 2 2 2 5" xfId="2085"/>
    <cellStyle name="Normal 2 3 2 2 2 5 2" xfId="16000"/>
    <cellStyle name="Normal 2 3 2 2 2 5 2 2" xfId="16001"/>
    <cellStyle name="Normal 2 3 2 2 2 5 2 2 2" xfId="33664"/>
    <cellStyle name="Normal 2 3 2 2 2 5 2 3" xfId="33665"/>
    <cellStyle name="Normal 2 3 2 2 2 5 3" xfId="16002"/>
    <cellStyle name="Normal 2 3 2 2 2 5 3 2" xfId="16003"/>
    <cellStyle name="Normal 2 3 2 2 2 5 3 2 2" xfId="33666"/>
    <cellStyle name="Normal 2 3 2 2 2 5 3 3" xfId="33667"/>
    <cellStyle name="Normal 2 3 2 2 2 5 4" xfId="16004"/>
    <cellStyle name="Normal 2 3 2 2 2 5 4 2" xfId="16005"/>
    <cellStyle name="Normal 2 3 2 2 2 5 4 2 2" xfId="33668"/>
    <cellStyle name="Normal 2 3 2 2 2 5 4 3" xfId="33669"/>
    <cellStyle name="Normal 2 3 2 2 2 5 5" xfId="16006"/>
    <cellStyle name="Normal 2 3 2 2 2 5 5 2" xfId="33670"/>
    <cellStyle name="Normal 2 3 2 2 2 5 6" xfId="16007"/>
    <cellStyle name="Normal 2 3 2 2 2 6" xfId="16008"/>
    <cellStyle name="Normal 2 3 2 2 2 6 2" xfId="16009"/>
    <cellStyle name="Normal 2 3 2 2 2 6 2 2" xfId="33671"/>
    <cellStyle name="Normal 2 3 2 2 2 6 3" xfId="33672"/>
    <cellStyle name="Normal 2 3 2 2 2 7" xfId="16010"/>
    <cellStyle name="Normal 2 3 2 2 2 7 2" xfId="16011"/>
    <cellStyle name="Normal 2 3 2 2 2 7 2 2" xfId="33673"/>
    <cellStyle name="Normal 2 3 2 2 2 7 3" xfId="33674"/>
    <cellStyle name="Normal 2 3 2 2 2 8" xfId="16012"/>
    <cellStyle name="Normal 2 3 2 2 2 8 2" xfId="16013"/>
    <cellStyle name="Normal 2 3 2 2 2 8 2 2" xfId="33675"/>
    <cellStyle name="Normal 2 3 2 2 2 8 3" xfId="33676"/>
    <cellStyle name="Normal 2 3 2 2 2 9" xfId="16014"/>
    <cellStyle name="Normal 2 3 2 2 2 9 2" xfId="33677"/>
    <cellStyle name="Normal 2 3 2 2 3" xfId="280"/>
    <cellStyle name="Normal 2 3 2 2 3 10" xfId="16015"/>
    <cellStyle name="Normal 2 3 2 2 3 2" xfId="438"/>
    <cellStyle name="Normal 2 3 2 2 3 2 2" xfId="1226"/>
    <cellStyle name="Normal 2 3 2 2 3 2 2 2" xfId="2086"/>
    <cellStyle name="Normal 2 3 2 2 3 2 2 2 2" xfId="16016"/>
    <cellStyle name="Normal 2 3 2 2 3 2 2 2 2 2" xfId="16017"/>
    <cellStyle name="Normal 2 3 2 2 3 2 2 2 2 2 2" xfId="33678"/>
    <cellStyle name="Normal 2 3 2 2 3 2 2 2 2 3" xfId="33679"/>
    <cellStyle name="Normal 2 3 2 2 3 2 2 2 3" xfId="16018"/>
    <cellStyle name="Normal 2 3 2 2 3 2 2 2 3 2" xfId="16019"/>
    <cellStyle name="Normal 2 3 2 2 3 2 2 2 3 2 2" xfId="33680"/>
    <cellStyle name="Normal 2 3 2 2 3 2 2 2 3 3" xfId="33681"/>
    <cellStyle name="Normal 2 3 2 2 3 2 2 2 4" xfId="16020"/>
    <cellStyle name="Normal 2 3 2 2 3 2 2 2 4 2" xfId="16021"/>
    <cellStyle name="Normal 2 3 2 2 3 2 2 2 4 2 2" xfId="33682"/>
    <cellStyle name="Normal 2 3 2 2 3 2 2 2 4 3" xfId="33683"/>
    <cellStyle name="Normal 2 3 2 2 3 2 2 2 5" xfId="16022"/>
    <cellStyle name="Normal 2 3 2 2 3 2 2 2 5 2" xfId="33684"/>
    <cellStyle name="Normal 2 3 2 2 3 2 2 2 6" xfId="16023"/>
    <cellStyle name="Normal 2 3 2 2 3 2 2 3" xfId="16024"/>
    <cellStyle name="Normal 2 3 2 2 3 2 2 3 2" xfId="16025"/>
    <cellStyle name="Normal 2 3 2 2 3 2 2 3 2 2" xfId="33685"/>
    <cellStyle name="Normal 2 3 2 2 3 2 2 3 3" xfId="33686"/>
    <cellStyle name="Normal 2 3 2 2 3 2 2 4" xfId="16026"/>
    <cellStyle name="Normal 2 3 2 2 3 2 2 4 2" xfId="16027"/>
    <cellStyle name="Normal 2 3 2 2 3 2 2 4 2 2" xfId="33687"/>
    <cellStyle name="Normal 2 3 2 2 3 2 2 4 3" xfId="33688"/>
    <cellStyle name="Normal 2 3 2 2 3 2 2 5" xfId="16028"/>
    <cellStyle name="Normal 2 3 2 2 3 2 2 5 2" xfId="16029"/>
    <cellStyle name="Normal 2 3 2 2 3 2 2 5 2 2" xfId="33689"/>
    <cellStyle name="Normal 2 3 2 2 3 2 2 5 3" xfId="33690"/>
    <cellStyle name="Normal 2 3 2 2 3 2 2 6" xfId="16030"/>
    <cellStyle name="Normal 2 3 2 2 3 2 2 6 2" xfId="33691"/>
    <cellStyle name="Normal 2 3 2 2 3 2 2 7" xfId="16031"/>
    <cellStyle name="Normal 2 3 2 2 3 2 3" xfId="858"/>
    <cellStyle name="Normal 2 3 2 2 3 2 3 2" xfId="2087"/>
    <cellStyle name="Normal 2 3 2 2 3 2 3 2 2" xfId="16032"/>
    <cellStyle name="Normal 2 3 2 2 3 2 3 2 2 2" xfId="16033"/>
    <cellStyle name="Normal 2 3 2 2 3 2 3 2 2 2 2" xfId="33692"/>
    <cellStyle name="Normal 2 3 2 2 3 2 3 2 2 3" xfId="33693"/>
    <cellStyle name="Normal 2 3 2 2 3 2 3 2 3" xfId="16034"/>
    <cellStyle name="Normal 2 3 2 2 3 2 3 2 3 2" xfId="16035"/>
    <cellStyle name="Normal 2 3 2 2 3 2 3 2 3 2 2" xfId="33694"/>
    <cellStyle name="Normal 2 3 2 2 3 2 3 2 3 3" xfId="33695"/>
    <cellStyle name="Normal 2 3 2 2 3 2 3 2 4" xfId="16036"/>
    <cellStyle name="Normal 2 3 2 2 3 2 3 2 4 2" xfId="16037"/>
    <cellStyle name="Normal 2 3 2 2 3 2 3 2 4 2 2" xfId="33696"/>
    <cellStyle name="Normal 2 3 2 2 3 2 3 2 4 3" xfId="33697"/>
    <cellStyle name="Normal 2 3 2 2 3 2 3 2 5" xfId="16038"/>
    <cellStyle name="Normal 2 3 2 2 3 2 3 2 5 2" xfId="33698"/>
    <cellStyle name="Normal 2 3 2 2 3 2 3 2 6" xfId="16039"/>
    <cellStyle name="Normal 2 3 2 2 3 2 3 3" xfId="16040"/>
    <cellStyle name="Normal 2 3 2 2 3 2 3 3 2" xfId="16041"/>
    <cellStyle name="Normal 2 3 2 2 3 2 3 3 2 2" xfId="33699"/>
    <cellStyle name="Normal 2 3 2 2 3 2 3 3 3" xfId="33700"/>
    <cellStyle name="Normal 2 3 2 2 3 2 3 4" xfId="16042"/>
    <cellStyle name="Normal 2 3 2 2 3 2 3 4 2" xfId="16043"/>
    <cellStyle name="Normal 2 3 2 2 3 2 3 4 2 2" xfId="33701"/>
    <cellStyle name="Normal 2 3 2 2 3 2 3 4 3" xfId="33702"/>
    <cellStyle name="Normal 2 3 2 2 3 2 3 5" xfId="16044"/>
    <cellStyle name="Normal 2 3 2 2 3 2 3 5 2" xfId="16045"/>
    <cellStyle name="Normal 2 3 2 2 3 2 3 5 2 2" xfId="33703"/>
    <cellStyle name="Normal 2 3 2 2 3 2 3 5 3" xfId="33704"/>
    <cellStyle name="Normal 2 3 2 2 3 2 3 6" xfId="16046"/>
    <cellStyle name="Normal 2 3 2 2 3 2 3 6 2" xfId="33705"/>
    <cellStyle name="Normal 2 3 2 2 3 2 3 7" xfId="16047"/>
    <cellStyle name="Normal 2 3 2 2 3 2 4" xfId="2088"/>
    <cellStyle name="Normal 2 3 2 2 3 2 4 2" xfId="16048"/>
    <cellStyle name="Normal 2 3 2 2 3 2 4 2 2" xfId="16049"/>
    <cellStyle name="Normal 2 3 2 2 3 2 4 2 2 2" xfId="33706"/>
    <cellStyle name="Normal 2 3 2 2 3 2 4 2 3" xfId="33707"/>
    <cellStyle name="Normal 2 3 2 2 3 2 4 3" xfId="16050"/>
    <cellStyle name="Normal 2 3 2 2 3 2 4 3 2" xfId="16051"/>
    <cellStyle name="Normal 2 3 2 2 3 2 4 3 2 2" xfId="33708"/>
    <cellStyle name="Normal 2 3 2 2 3 2 4 3 3" xfId="33709"/>
    <cellStyle name="Normal 2 3 2 2 3 2 4 4" xfId="16052"/>
    <cellStyle name="Normal 2 3 2 2 3 2 4 4 2" xfId="16053"/>
    <cellStyle name="Normal 2 3 2 2 3 2 4 4 2 2" xfId="33710"/>
    <cellStyle name="Normal 2 3 2 2 3 2 4 4 3" xfId="33711"/>
    <cellStyle name="Normal 2 3 2 2 3 2 4 5" xfId="16054"/>
    <cellStyle name="Normal 2 3 2 2 3 2 4 5 2" xfId="33712"/>
    <cellStyle name="Normal 2 3 2 2 3 2 4 6" xfId="16055"/>
    <cellStyle name="Normal 2 3 2 2 3 2 5" xfId="16056"/>
    <cellStyle name="Normal 2 3 2 2 3 2 5 2" xfId="16057"/>
    <cellStyle name="Normal 2 3 2 2 3 2 5 2 2" xfId="33713"/>
    <cellStyle name="Normal 2 3 2 2 3 2 5 3" xfId="33714"/>
    <cellStyle name="Normal 2 3 2 2 3 2 6" xfId="16058"/>
    <cellStyle name="Normal 2 3 2 2 3 2 6 2" xfId="16059"/>
    <cellStyle name="Normal 2 3 2 2 3 2 6 2 2" xfId="33715"/>
    <cellStyle name="Normal 2 3 2 2 3 2 6 3" xfId="33716"/>
    <cellStyle name="Normal 2 3 2 2 3 2 7" xfId="16060"/>
    <cellStyle name="Normal 2 3 2 2 3 2 7 2" xfId="16061"/>
    <cellStyle name="Normal 2 3 2 2 3 2 7 2 2" xfId="33717"/>
    <cellStyle name="Normal 2 3 2 2 3 2 7 3" xfId="33718"/>
    <cellStyle name="Normal 2 3 2 2 3 2 8" xfId="16062"/>
    <cellStyle name="Normal 2 3 2 2 3 2 8 2" xfId="33719"/>
    <cellStyle name="Normal 2 3 2 2 3 2 9" xfId="16063"/>
    <cellStyle name="Normal 2 3 2 2 3 3" xfId="1068"/>
    <cellStyle name="Normal 2 3 2 2 3 3 2" xfId="2089"/>
    <cellStyle name="Normal 2 3 2 2 3 3 2 2" xfId="16064"/>
    <cellStyle name="Normal 2 3 2 2 3 3 2 2 2" xfId="16065"/>
    <cellStyle name="Normal 2 3 2 2 3 3 2 2 2 2" xfId="33720"/>
    <cellStyle name="Normal 2 3 2 2 3 3 2 2 3" xfId="33721"/>
    <cellStyle name="Normal 2 3 2 2 3 3 2 3" xfId="16066"/>
    <cellStyle name="Normal 2 3 2 2 3 3 2 3 2" xfId="16067"/>
    <cellStyle name="Normal 2 3 2 2 3 3 2 3 2 2" xfId="33722"/>
    <cellStyle name="Normal 2 3 2 2 3 3 2 3 3" xfId="33723"/>
    <cellStyle name="Normal 2 3 2 2 3 3 2 4" xfId="16068"/>
    <cellStyle name="Normal 2 3 2 2 3 3 2 4 2" xfId="16069"/>
    <cellStyle name="Normal 2 3 2 2 3 3 2 4 2 2" xfId="33724"/>
    <cellStyle name="Normal 2 3 2 2 3 3 2 4 3" xfId="33725"/>
    <cellStyle name="Normal 2 3 2 2 3 3 2 5" xfId="16070"/>
    <cellStyle name="Normal 2 3 2 2 3 3 2 5 2" xfId="33726"/>
    <cellStyle name="Normal 2 3 2 2 3 3 2 6" xfId="16071"/>
    <cellStyle name="Normal 2 3 2 2 3 3 3" xfId="16072"/>
    <cellStyle name="Normal 2 3 2 2 3 3 3 2" xfId="16073"/>
    <cellStyle name="Normal 2 3 2 2 3 3 3 2 2" xfId="33727"/>
    <cellStyle name="Normal 2 3 2 2 3 3 3 3" xfId="33728"/>
    <cellStyle name="Normal 2 3 2 2 3 3 4" xfId="16074"/>
    <cellStyle name="Normal 2 3 2 2 3 3 4 2" xfId="16075"/>
    <cellStyle name="Normal 2 3 2 2 3 3 4 2 2" xfId="33729"/>
    <cellStyle name="Normal 2 3 2 2 3 3 4 3" xfId="33730"/>
    <cellStyle name="Normal 2 3 2 2 3 3 5" xfId="16076"/>
    <cellStyle name="Normal 2 3 2 2 3 3 5 2" xfId="16077"/>
    <cellStyle name="Normal 2 3 2 2 3 3 5 2 2" xfId="33731"/>
    <cellStyle name="Normal 2 3 2 2 3 3 5 3" xfId="33732"/>
    <cellStyle name="Normal 2 3 2 2 3 3 6" xfId="16078"/>
    <cellStyle name="Normal 2 3 2 2 3 3 6 2" xfId="33733"/>
    <cellStyle name="Normal 2 3 2 2 3 3 7" xfId="16079"/>
    <cellStyle name="Normal 2 3 2 2 3 4" xfId="700"/>
    <cellStyle name="Normal 2 3 2 2 3 4 2" xfId="2090"/>
    <cellStyle name="Normal 2 3 2 2 3 4 2 2" xfId="16080"/>
    <cellStyle name="Normal 2 3 2 2 3 4 2 2 2" xfId="16081"/>
    <cellStyle name="Normal 2 3 2 2 3 4 2 2 2 2" xfId="33734"/>
    <cellStyle name="Normal 2 3 2 2 3 4 2 2 3" xfId="33735"/>
    <cellStyle name="Normal 2 3 2 2 3 4 2 3" xfId="16082"/>
    <cellStyle name="Normal 2 3 2 2 3 4 2 3 2" xfId="16083"/>
    <cellStyle name="Normal 2 3 2 2 3 4 2 3 2 2" xfId="33736"/>
    <cellStyle name="Normal 2 3 2 2 3 4 2 3 3" xfId="33737"/>
    <cellStyle name="Normal 2 3 2 2 3 4 2 4" xfId="16084"/>
    <cellStyle name="Normal 2 3 2 2 3 4 2 4 2" xfId="16085"/>
    <cellStyle name="Normal 2 3 2 2 3 4 2 4 2 2" xfId="33738"/>
    <cellStyle name="Normal 2 3 2 2 3 4 2 4 3" xfId="33739"/>
    <cellStyle name="Normal 2 3 2 2 3 4 2 5" xfId="16086"/>
    <cellStyle name="Normal 2 3 2 2 3 4 2 5 2" xfId="33740"/>
    <cellStyle name="Normal 2 3 2 2 3 4 2 6" xfId="16087"/>
    <cellStyle name="Normal 2 3 2 2 3 4 3" xfId="16088"/>
    <cellStyle name="Normal 2 3 2 2 3 4 3 2" xfId="16089"/>
    <cellStyle name="Normal 2 3 2 2 3 4 3 2 2" xfId="33741"/>
    <cellStyle name="Normal 2 3 2 2 3 4 3 3" xfId="33742"/>
    <cellStyle name="Normal 2 3 2 2 3 4 4" xfId="16090"/>
    <cellStyle name="Normal 2 3 2 2 3 4 4 2" xfId="16091"/>
    <cellStyle name="Normal 2 3 2 2 3 4 4 2 2" xfId="33743"/>
    <cellStyle name="Normal 2 3 2 2 3 4 4 3" xfId="33744"/>
    <cellStyle name="Normal 2 3 2 2 3 4 5" xfId="16092"/>
    <cellStyle name="Normal 2 3 2 2 3 4 5 2" xfId="16093"/>
    <cellStyle name="Normal 2 3 2 2 3 4 5 2 2" xfId="33745"/>
    <cellStyle name="Normal 2 3 2 2 3 4 5 3" xfId="33746"/>
    <cellStyle name="Normal 2 3 2 2 3 4 6" xfId="16094"/>
    <cellStyle name="Normal 2 3 2 2 3 4 6 2" xfId="33747"/>
    <cellStyle name="Normal 2 3 2 2 3 4 7" xfId="16095"/>
    <cellStyle name="Normal 2 3 2 2 3 5" xfId="2091"/>
    <cellStyle name="Normal 2 3 2 2 3 5 2" xfId="16096"/>
    <cellStyle name="Normal 2 3 2 2 3 5 2 2" xfId="16097"/>
    <cellStyle name="Normal 2 3 2 2 3 5 2 2 2" xfId="33748"/>
    <cellStyle name="Normal 2 3 2 2 3 5 2 3" xfId="33749"/>
    <cellStyle name="Normal 2 3 2 2 3 5 3" xfId="16098"/>
    <cellStyle name="Normal 2 3 2 2 3 5 3 2" xfId="16099"/>
    <cellStyle name="Normal 2 3 2 2 3 5 3 2 2" xfId="33750"/>
    <cellStyle name="Normal 2 3 2 2 3 5 3 3" xfId="33751"/>
    <cellStyle name="Normal 2 3 2 2 3 5 4" xfId="16100"/>
    <cellStyle name="Normal 2 3 2 2 3 5 4 2" xfId="16101"/>
    <cellStyle name="Normal 2 3 2 2 3 5 4 2 2" xfId="33752"/>
    <cellStyle name="Normal 2 3 2 2 3 5 4 3" xfId="33753"/>
    <cellStyle name="Normal 2 3 2 2 3 5 5" xfId="16102"/>
    <cellStyle name="Normal 2 3 2 2 3 5 5 2" xfId="33754"/>
    <cellStyle name="Normal 2 3 2 2 3 5 6" xfId="16103"/>
    <cellStyle name="Normal 2 3 2 2 3 6" xfId="16104"/>
    <cellStyle name="Normal 2 3 2 2 3 6 2" xfId="16105"/>
    <cellStyle name="Normal 2 3 2 2 3 6 2 2" xfId="33755"/>
    <cellStyle name="Normal 2 3 2 2 3 6 3" xfId="33756"/>
    <cellStyle name="Normal 2 3 2 2 3 7" xfId="16106"/>
    <cellStyle name="Normal 2 3 2 2 3 7 2" xfId="16107"/>
    <cellStyle name="Normal 2 3 2 2 3 7 2 2" xfId="33757"/>
    <cellStyle name="Normal 2 3 2 2 3 7 3" xfId="33758"/>
    <cellStyle name="Normal 2 3 2 2 3 8" xfId="16108"/>
    <cellStyle name="Normal 2 3 2 2 3 8 2" xfId="16109"/>
    <cellStyle name="Normal 2 3 2 2 3 8 2 2" xfId="33759"/>
    <cellStyle name="Normal 2 3 2 2 3 8 3" xfId="33760"/>
    <cellStyle name="Normal 2 3 2 2 3 9" xfId="16110"/>
    <cellStyle name="Normal 2 3 2 2 3 9 2" xfId="33761"/>
    <cellStyle name="Normal 2 3 2 2 4" xfId="182"/>
    <cellStyle name="Normal 2 3 2 2 4 2" xfId="970"/>
    <cellStyle name="Normal 2 3 2 2 4 2 2" xfId="2092"/>
    <cellStyle name="Normal 2 3 2 2 4 2 2 2" xfId="16111"/>
    <cellStyle name="Normal 2 3 2 2 4 2 2 2 2" xfId="16112"/>
    <cellStyle name="Normal 2 3 2 2 4 2 2 2 2 2" xfId="33762"/>
    <cellStyle name="Normal 2 3 2 2 4 2 2 2 3" xfId="33763"/>
    <cellStyle name="Normal 2 3 2 2 4 2 2 3" xfId="16113"/>
    <cellStyle name="Normal 2 3 2 2 4 2 2 3 2" xfId="16114"/>
    <cellStyle name="Normal 2 3 2 2 4 2 2 3 2 2" xfId="33764"/>
    <cellStyle name="Normal 2 3 2 2 4 2 2 3 3" xfId="33765"/>
    <cellStyle name="Normal 2 3 2 2 4 2 2 4" xfId="16115"/>
    <cellStyle name="Normal 2 3 2 2 4 2 2 4 2" xfId="16116"/>
    <cellStyle name="Normal 2 3 2 2 4 2 2 4 2 2" xfId="33766"/>
    <cellStyle name="Normal 2 3 2 2 4 2 2 4 3" xfId="33767"/>
    <cellStyle name="Normal 2 3 2 2 4 2 2 5" xfId="16117"/>
    <cellStyle name="Normal 2 3 2 2 4 2 2 5 2" xfId="33768"/>
    <cellStyle name="Normal 2 3 2 2 4 2 2 6" xfId="16118"/>
    <cellStyle name="Normal 2 3 2 2 4 2 3" xfId="16119"/>
    <cellStyle name="Normal 2 3 2 2 4 2 3 2" xfId="16120"/>
    <cellStyle name="Normal 2 3 2 2 4 2 3 2 2" xfId="33769"/>
    <cellStyle name="Normal 2 3 2 2 4 2 3 3" xfId="33770"/>
    <cellStyle name="Normal 2 3 2 2 4 2 4" xfId="16121"/>
    <cellStyle name="Normal 2 3 2 2 4 2 4 2" xfId="16122"/>
    <cellStyle name="Normal 2 3 2 2 4 2 4 2 2" xfId="33771"/>
    <cellStyle name="Normal 2 3 2 2 4 2 4 3" xfId="33772"/>
    <cellStyle name="Normal 2 3 2 2 4 2 5" xfId="16123"/>
    <cellStyle name="Normal 2 3 2 2 4 2 5 2" xfId="16124"/>
    <cellStyle name="Normal 2 3 2 2 4 2 5 2 2" xfId="33773"/>
    <cellStyle name="Normal 2 3 2 2 4 2 5 3" xfId="33774"/>
    <cellStyle name="Normal 2 3 2 2 4 2 6" xfId="16125"/>
    <cellStyle name="Normal 2 3 2 2 4 2 6 2" xfId="33775"/>
    <cellStyle name="Normal 2 3 2 2 4 2 7" xfId="16126"/>
    <cellStyle name="Normal 2 3 2 2 4 3" xfId="602"/>
    <cellStyle name="Normal 2 3 2 2 4 3 2" xfId="2093"/>
    <cellStyle name="Normal 2 3 2 2 4 3 2 2" xfId="16127"/>
    <cellStyle name="Normal 2 3 2 2 4 3 2 2 2" xfId="16128"/>
    <cellStyle name="Normal 2 3 2 2 4 3 2 2 2 2" xfId="33776"/>
    <cellStyle name="Normal 2 3 2 2 4 3 2 2 3" xfId="33777"/>
    <cellStyle name="Normal 2 3 2 2 4 3 2 3" xfId="16129"/>
    <cellStyle name="Normal 2 3 2 2 4 3 2 3 2" xfId="16130"/>
    <cellStyle name="Normal 2 3 2 2 4 3 2 3 2 2" xfId="33778"/>
    <cellStyle name="Normal 2 3 2 2 4 3 2 3 3" xfId="33779"/>
    <cellStyle name="Normal 2 3 2 2 4 3 2 4" xfId="16131"/>
    <cellStyle name="Normal 2 3 2 2 4 3 2 4 2" xfId="16132"/>
    <cellStyle name="Normal 2 3 2 2 4 3 2 4 2 2" xfId="33780"/>
    <cellStyle name="Normal 2 3 2 2 4 3 2 4 3" xfId="33781"/>
    <cellStyle name="Normal 2 3 2 2 4 3 2 5" xfId="16133"/>
    <cellStyle name="Normal 2 3 2 2 4 3 2 5 2" xfId="33782"/>
    <cellStyle name="Normal 2 3 2 2 4 3 2 6" xfId="16134"/>
    <cellStyle name="Normal 2 3 2 2 4 3 3" xfId="16135"/>
    <cellStyle name="Normal 2 3 2 2 4 3 3 2" xfId="16136"/>
    <cellStyle name="Normal 2 3 2 2 4 3 3 2 2" xfId="33783"/>
    <cellStyle name="Normal 2 3 2 2 4 3 3 3" xfId="33784"/>
    <cellStyle name="Normal 2 3 2 2 4 3 4" xfId="16137"/>
    <cellStyle name="Normal 2 3 2 2 4 3 4 2" xfId="16138"/>
    <cellStyle name="Normal 2 3 2 2 4 3 4 2 2" xfId="33785"/>
    <cellStyle name="Normal 2 3 2 2 4 3 4 3" xfId="33786"/>
    <cellStyle name="Normal 2 3 2 2 4 3 5" xfId="16139"/>
    <cellStyle name="Normal 2 3 2 2 4 3 5 2" xfId="16140"/>
    <cellStyle name="Normal 2 3 2 2 4 3 5 2 2" xfId="33787"/>
    <cellStyle name="Normal 2 3 2 2 4 3 5 3" xfId="33788"/>
    <cellStyle name="Normal 2 3 2 2 4 3 6" xfId="16141"/>
    <cellStyle name="Normal 2 3 2 2 4 3 6 2" xfId="33789"/>
    <cellStyle name="Normal 2 3 2 2 4 3 7" xfId="16142"/>
    <cellStyle name="Normal 2 3 2 2 4 4" xfId="2094"/>
    <cellStyle name="Normal 2 3 2 2 4 4 2" xfId="16143"/>
    <cellStyle name="Normal 2 3 2 2 4 4 2 2" xfId="16144"/>
    <cellStyle name="Normal 2 3 2 2 4 4 2 2 2" xfId="33790"/>
    <cellStyle name="Normal 2 3 2 2 4 4 2 3" xfId="33791"/>
    <cellStyle name="Normal 2 3 2 2 4 4 3" xfId="16145"/>
    <cellStyle name="Normal 2 3 2 2 4 4 3 2" xfId="16146"/>
    <cellStyle name="Normal 2 3 2 2 4 4 3 2 2" xfId="33792"/>
    <cellStyle name="Normal 2 3 2 2 4 4 3 3" xfId="33793"/>
    <cellStyle name="Normal 2 3 2 2 4 4 4" xfId="16147"/>
    <cellStyle name="Normal 2 3 2 2 4 4 4 2" xfId="16148"/>
    <cellStyle name="Normal 2 3 2 2 4 4 4 2 2" xfId="33794"/>
    <cellStyle name="Normal 2 3 2 2 4 4 4 3" xfId="33795"/>
    <cellStyle name="Normal 2 3 2 2 4 4 5" xfId="16149"/>
    <cellStyle name="Normal 2 3 2 2 4 4 5 2" xfId="33796"/>
    <cellStyle name="Normal 2 3 2 2 4 4 6" xfId="16150"/>
    <cellStyle name="Normal 2 3 2 2 4 5" xfId="16151"/>
    <cellStyle name="Normal 2 3 2 2 4 5 2" xfId="16152"/>
    <cellStyle name="Normal 2 3 2 2 4 5 2 2" xfId="33797"/>
    <cellStyle name="Normal 2 3 2 2 4 5 3" xfId="33798"/>
    <cellStyle name="Normal 2 3 2 2 4 6" xfId="16153"/>
    <cellStyle name="Normal 2 3 2 2 4 6 2" xfId="16154"/>
    <cellStyle name="Normal 2 3 2 2 4 6 2 2" xfId="33799"/>
    <cellStyle name="Normal 2 3 2 2 4 6 3" xfId="33800"/>
    <cellStyle name="Normal 2 3 2 2 4 7" xfId="16155"/>
    <cellStyle name="Normal 2 3 2 2 4 7 2" xfId="16156"/>
    <cellStyle name="Normal 2 3 2 2 4 7 2 2" xfId="33801"/>
    <cellStyle name="Normal 2 3 2 2 4 7 3" xfId="33802"/>
    <cellStyle name="Normal 2 3 2 2 4 8" xfId="16157"/>
    <cellStyle name="Normal 2 3 2 2 4 8 2" xfId="33803"/>
    <cellStyle name="Normal 2 3 2 2 4 9" xfId="16158"/>
    <cellStyle name="Normal 2 3 2 2 5" xfId="340"/>
    <cellStyle name="Normal 2 3 2 2 5 2" xfId="1128"/>
    <cellStyle name="Normal 2 3 2 2 5 2 2" xfId="2095"/>
    <cellStyle name="Normal 2 3 2 2 5 2 2 2" xfId="16159"/>
    <cellStyle name="Normal 2 3 2 2 5 2 2 2 2" xfId="16160"/>
    <cellStyle name="Normal 2 3 2 2 5 2 2 2 2 2" xfId="33804"/>
    <cellStyle name="Normal 2 3 2 2 5 2 2 2 3" xfId="33805"/>
    <cellStyle name="Normal 2 3 2 2 5 2 2 3" xfId="16161"/>
    <cellStyle name="Normal 2 3 2 2 5 2 2 3 2" xfId="16162"/>
    <cellStyle name="Normal 2 3 2 2 5 2 2 3 2 2" xfId="33806"/>
    <cellStyle name="Normal 2 3 2 2 5 2 2 3 3" xfId="33807"/>
    <cellStyle name="Normal 2 3 2 2 5 2 2 4" xfId="16163"/>
    <cellStyle name="Normal 2 3 2 2 5 2 2 4 2" xfId="16164"/>
    <cellStyle name="Normal 2 3 2 2 5 2 2 4 2 2" xfId="33808"/>
    <cellStyle name="Normal 2 3 2 2 5 2 2 4 3" xfId="33809"/>
    <cellStyle name="Normal 2 3 2 2 5 2 2 5" xfId="16165"/>
    <cellStyle name="Normal 2 3 2 2 5 2 2 5 2" xfId="33810"/>
    <cellStyle name="Normal 2 3 2 2 5 2 2 6" xfId="16166"/>
    <cellStyle name="Normal 2 3 2 2 5 2 3" xfId="16167"/>
    <cellStyle name="Normal 2 3 2 2 5 2 3 2" xfId="16168"/>
    <cellStyle name="Normal 2 3 2 2 5 2 3 2 2" xfId="33811"/>
    <cellStyle name="Normal 2 3 2 2 5 2 3 3" xfId="33812"/>
    <cellStyle name="Normal 2 3 2 2 5 2 4" xfId="16169"/>
    <cellStyle name="Normal 2 3 2 2 5 2 4 2" xfId="16170"/>
    <cellStyle name="Normal 2 3 2 2 5 2 4 2 2" xfId="33813"/>
    <cellStyle name="Normal 2 3 2 2 5 2 4 3" xfId="33814"/>
    <cellStyle name="Normal 2 3 2 2 5 2 5" xfId="16171"/>
    <cellStyle name="Normal 2 3 2 2 5 2 5 2" xfId="16172"/>
    <cellStyle name="Normal 2 3 2 2 5 2 5 2 2" xfId="33815"/>
    <cellStyle name="Normal 2 3 2 2 5 2 5 3" xfId="33816"/>
    <cellStyle name="Normal 2 3 2 2 5 2 6" xfId="16173"/>
    <cellStyle name="Normal 2 3 2 2 5 2 6 2" xfId="33817"/>
    <cellStyle name="Normal 2 3 2 2 5 2 7" xfId="16174"/>
    <cellStyle name="Normal 2 3 2 2 5 3" xfId="760"/>
    <cellStyle name="Normal 2 3 2 2 5 3 2" xfId="2096"/>
    <cellStyle name="Normal 2 3 2 2 5 3 2 2" xfId="16175"/>
    <cellStyle name="Normal 2 3 2 2 5 3 2 2 2" xfId="16176"/>
    <cellStyle name="Normal 2 3 2 2 5 3 2 2 2 2" xfId="33818"/>
    <cellStyle name="Normal 2 3 2 2 5 3 2 2 3" xfId="33819"/>
    <cellStyle name="Normal 2 3 2 2 5 3 2 3" xfId="16177"/>
    <cellStyle name="Normal 2 3 2 2 5 3 2 3 2" xfId="16178"/>
    <cellStyle name="Normal 2 3 2 2 5 3 2 3 2 2" xfId="33820"/>
    <cellStyle name="Normal 2 3 2 2 5 3 2 3 3" xfId="33821"/>
    <cellStyle name="Normal 2 3 2 2 5 3 2 4" xfId="16179"/>
    <cellStyle name="Normal 2 3 2 2 5 3 2 4 2" xfId="16180"/>
    <cellStyle name="Normal 2 3 2 2 5 3 2 4 2 2" xfId="33822"/>
    <cellStyle name="Normal 2 3 2 2 5 3 2 4 3" xfId="33823"/>
    <cellStyle name="Normal 2 3 2 2 5 3 2 5" xfId="16181"/>
    <cellStyle name="Normal 2 3 2 2 5 3 2 5 2" xfId="33824"/>
    <cellStyle name="Normal 2 3 2 2 5 3 2 6" xfId="16182"/>
    <cellStyle name="Normal 2 3 2 2 5 3 3" xfId="16183"/>
    <cellStyle name="Normal 2 3 2 2 5 3 3 2" xfId="16184"/>
    <cellStyle name="Normal 2 3 2 2 5 3 3 2 2" xfId="33825"/>
    <cellStyle name="Normal 2 3 2 2 5 3 3 3" xfId="33826"/>
    <cellStyle name="Normal 2 3 2 2 5 3 4" xfId="16185"/>
    <cellStyle name="Normal 2 3 2 2 5 3 4 2" xfId="16186"/>
    <cellStyle name="Normal 2 3 2 2 5 3 4 2 2" xfId="33827"/>
    <cellStyle name="Normal 2 3 2 2 5 3 4 3" xfId="33828"/>
    <cellStyle name="Normal 2 3 2 2 5 3 5" xfId="16187"/>
    <cellStyle name="Normal 2 3 2 2 5 3 5 2" xfId="16188"/>
    <cellStyle name="Normal 2 3 2 2 5 3 5 2 2" xfId="33829"/>
    <cellStyle name="Normal 2 3 2 2 5 3 5 3" xfId="33830"/>
    <cellStyle name="Normal 2 3 2 2 5 3 6" xfId="16189"/>
    <cellStyle name="Normal 2 3 2 2 5 3 6 2" xfId="33831"/>
    <cellStyle name="Normal 2 3 2 2 5 3 7" xfId="16190"/>
    <cellStyle name="Normal 2 3 2 2 5 4" xfId="2097"/>
    <cellStyle name="Normal 2 3 2 2 5 4 2" xfId="16191"/>
    <cellStyle name="Normal 2 3 2 2 5 4 2 2" xfId="16192"/>
    <cellStyle name="Normal 2 3 2 2 5 4 2 2 2" xfId="33832"/>
    <cellStyle name="Normal 2 3 2 2 5 4 2 3" xfId="33833"/>
    <cellStyle name="Normal 2 3 2 2 5 4 3" xfId="16193"/>
    <cellStyle name="Normal 2 3 2 2 5 4 3 2" xfId="16194"/>
    <cellStyle name="Normal 2 3 2 2 5 4 3 2 2" xfId="33834"/>
    <cellStyle name="Normal 2 3 2 2 5 4 3 3" xfId="33835"/>
    <cellStyle name="Normal 2 3 2 2 5 4 4" xfId="16195"/>
    <cellStyle name="Normal 2 3 2 2 5 4 4 2" xfId="16196"/>
    <cellStyle name="Normal 2 3 2 2 5 4 4 2 2" xfId="33836"/>
    <cellStyle name="Normal 2 3 2 2 5 4 4 3" xfId="33837"/>
    <cellStyle name="Normal 2 3 2 2 5 4 5" xfId="16197"/>
    <cellStyle name="Normal 2 3 2 2 5 4 5 2" xfId="33838"/>
    <cellStyle name="Normal 2 3 2 2 5 4 6" xfId="16198"/>
    <cellStyle name="Normal 2 3 2 2 5 5" xfId="16199"/>
    <cellStyle name="Normal 2 3 2 2 5 5 2" xfId="16200"/>
    <cellStyle name="Normal 2 3 2 2 5 5 2 2" xfId="33839"/>
    <cellStyle name="Normal 2 3 2 2 5 5 3" xfId="33840"/>
    <cellStyle name="Normal 2 3 2 2 5 6" xfId="16201"/>
    <cellStyle name="Normal 2 3 2 2 5 6 2" xfId="16202"/>
    <cellStyle name="Normal 2 3 2 2 5 6 2 2" xfId="33841"/>
    <cellStyle name="Normal 2 3 2 2 5 6 3" xfId="33842"/>
    <cellStyle name="Normal 2 3 2 2 5 7" xfId="16203"/>
    <cellStyle name="Normal 2 3 2 2 5 7 2" xfId="16204"/>
    <cellStyle name="Normal 2 3 2 2 5 7 2 2" xfId="33843"/>
    <cellStyle name="Normal 2 3 2 2 5 7 3" xfId="33844"/>
    <cellStyle name="Normal 2 3 2 2 5 8" xfId="16205"/>
    <cellStyle name="Normal 2 3 2 2 5 8 2" xfId="33845"/>
    <cellStyle name="Normal 2 3 2 2 5 9" xfId="16206"/>
    <cellStyle name="Normal 2 3 2 2 6" xfId="129"/>
    <cellStyle name="Normal 2 3 2 2 6 2" xfId="550"/>
    <cellStyle name="Normal 2 3 2 2 6 2 2" xfId="2098"/>
    <cellStyle name="Normal 2 3 2 2 6 2 2 2" xfId="16207"/>
    <cellStyle name="Normal 2 3 2 2 6 2 2 2 2" xfId="16208"/>
    <cellStyle name="Normal 2 3 2 2 6 2 2 2 2 2" xfId="33846"/>
    <cellStyle name="Normal 2 3 2 2 6 2 2 2 3" xfId="33847"/>
    <cellStyle name="Normal 2 3 2 2 6 2 2 3" xfId="16209"/>
    <cellStyle name="Normal 2 3 2 2 6 2 2 3 2" xfId="16210"/>
    <cellStyle name="Normal 2 3 2 2 6 2 2 3 2 2" xfId="33848"/>
    <cellStyle name="Normal 2 3 2 2 6 2 2 3 3" xfId="33849"/>
    <cellStyle name="Normal 2 3 2 2 6 2 2 4" xfId="16211"/>
    <cellStyle name="Normal 2 3 2 2 6 2 2 4 2" xfId="16212"/>
    <cellStyle name="Normal 2 3 2 2 6 2 2 4 2 2" xfId="33850"/>
    <cellStyle name="Normal 2 3 2 2 6 2 2 4 3" xfId="33851"/>
    <cellStyle name="Normal 2 3 2 2 6 2 2 5" xfId="16213"/>
    <cellStyle name="Normal 2 3 2 2 6 2 2 5 2" xfId="33852"/>
    <cellStyle name="Normal 2 3 2 2 6 2 2 6" xfId="16214"/>
    <cellStyle name="Normal 2 3 2 2 6 2 3" xfId="16215"/>
    <cellStyle name="Normal 2 3 2 2 6 2 3 2" xfId="16216"/>
    <cellStyle name="Normal 2 3 2 2 6 2 3 2 2" xfId="33853"/>
    <cellStyle name="Normal 2 3 2 2 6 2 3 3" xfId="33854"/>
    <cellStyle name="Normal 2 3 2 2 6 2 4" xfId="16217"/>
    <cellStyle name="Normal 2 3 2 2 6 2 4 2" xfId="16218"/>
    <cellStyle name="Normal 2 3 2 2 6 2 4 2 2" xfId="33855"/>
    <cellStyle name="Normal 2 3 2 2 6 2 4 3" xfId="33856"/>
    <cellStyle name="Normal 2 3 2 2 6 2 5" xfId="16219"/>
    <cellStyle name="Normal 2 3 2 2 6 2 5 2" xfId="16220"/>
    <cellStyle name="Normal 2 3 2 2 6 2 5 2 2" xfId="33857"/>
    <cellStyle name="Normal 2 3 2 2 6 2 5 3" xfId="33858"/>
    <cellStyle name="Normal 2 3 2 2 6 2 6" xfId="16221"/>
    <cellStyle name="Normal 2 3 2 2 6 2 6 2" xfId="33859"/>
    <cellStyle name="Normal 2 3 2 2 6 2 7" xfId="16222"/>
    <cellStyle name="Normal 2 3 2 2 6 3" xfId="2099"/>
    <cellStyle name="Normal 2 3 2 2 6 3 2" xfId="16223"/>
    <cellStyle name="Normal 2 3 2 2 6 3 2 2" xfId="16224"/>
    <cellStyle name="Normal 2 3 2 2 6 3 2 2 2" xfId="33860"/>
    <cellStyle name="Normal 2 3 2 2 6 3 2 3" xfId="33861"/>
    <cellStyle name="Normal 2 3 2 2 6 3 3" xfId="16225"/>
    <cellStyle name="Normal 2 3 2 2 6 3 3 2" xfId="16226"/>
    <cellStyle name="Normal 2 3 2 2 6 3 3 2 2" xfId="33862"/>
    <cellStyle name="Normal 2 3 2 2 6 3 3 3" xfId="33863"/>
    <cellStyle name="Normal 2 3 2 2 6 3 4" xfId="16227"/>
    <cellStyle name="Normal 2 3 2 2 6 3 4 2" xfId="16228"/>
    <cellStyle name="Normal 2 3 2 2 6 3 4 2 2" xfId="33864"/>
    <cellStyle name="Normal 2 3 2 2 6 3 4 3" xfId="33865"/>
    <cellStyle name="Normal 2 3 2 2 6 3 5" xfId="16229"/>
    <cellStyle name="Normal 2 3 2 2 6 3 5 2" xfId="33866"/>
    <cellStyle name="Normal 2 3 2 2 6 3 6" xfId="16230"/>
    <cellStyle name="Normal 2 3 2 2 6 4" xfId="16231"/>
    <cellStyle name="Normal 2 3 2 2 6 4 2" xfId="16232"/>
    <cellStyle name="Normal 2 3 2 2 6 4 2 2" xfId="33867"/>
    <cellStyle name="Normal 2 3 2 2 6 4 3" xfId="33868"/>
    <cellStyle name="Normal 2 3 2 2 6 5" xfId="16233"/>
    <cellStyle name="Normal 2 3 2 2 6 5 2" xfId="16234"/>
    <cellStyle name="Normal 2 3 2 2 6 5 2 2" xfId="33869"/>
    <cellStyle name="Normal 2 3 2 2 6 5 3" xfId="33870"/>
    <cellStyle name="Normal 2 3 2 2 6 6" xfId="16235"/>
    <cellStyle name="Normal 2 3 2 2 6 6 2" xfId="16236"/>
    <cellStyle name="Normal 2 3 2 2 6 6 2 2" xfId="33871"/>
    <cellStyle name="Normal 2 3 2 2 6 6 3" xfId="33872"/>
    <cellStyle name="Normal 2 3 2 2 6 7" xfId="16237"/>
    <cellStyle name="Normal 2 3 2 2 6 7 2" xfId="33873"/>
    <cellStyle name="Normal 2 3 2 2 6 8" xfId="16238"/>
    <cellStyle name="Normal 2 3 2 2 7" xfId="918"/>
    <cellStyle name="Normal 2 3 2 2 7 2" xfId="2100"/>
    <cellStyle name="Normal 2 3 2 2 7 2 2" xfId="16239"/>
    <cellStyle name="Normal 2 3 2 2 7 2 2 2" xfId="16240"/>
    <cellStyle name="Normal 2 3 2 2 7 2 2 2 2" xfId="33874"/>
    <cellStyle name="Normal 2 3 2 2 7 2 2 3" xfId="33875"/>
    <cellStyle name="Normal 2 3 2 2 7 2 3" xfId="16241"/>
    <cellStyle name="Normal 2 3 2 2 7 2 3 2" xfId="16242"/>
    <cellStyle name="Normal 2 3 2 2 7 2 3 2 2" xfId="33876"/>
    <cellStyle name="Normal 2 3 2 2 7 2 3 3" xfId="33877"/>
    <cellStyle name="Normal 2 3 2 2 7 2 4" xfId="16243"/>
    <cellStyle name="Normal 2 3 2 2 7 2 4 2" xfId="16244"/>
    <cellStyle name="Normal 2 3 2 2 7 2 4 2 2" xfId="33878"/>
    <cellStyle name="Normal 2 3 2 2 7 2 4 3" xfId="33879"/>
    <cellStyle name="Normal 2 3 2 2 7 2 5" xfId="16245"/>
    <cellStyle name="Normal 2 3 2 2 7 2 5 2" xfId="33880"/>
    <cellStyle name="Normal 2 3 2 2 7 2 6" xfId="16246"/>
    <cellStyle name="Normal 2 3 2 2 7 3" xfId="16247"/>
    <cellStyle name="Normal 2 3 2 2 7 3 2" xfId="16248"/>
    <cellStyle name="Normal 2 3 2 2 7 3 2 2" xfId="33881"/>
    <cellStyle name="Normal 2 3 2 2 7 3 3" xfId="33882"/>
    <cellStyle name="Normal 2 3 2 2 7 4" xfId="16249"/>
    <cellStyle name="Normal 2 3 2 2 7 4 2" xfId="16250"/>
    <cellStyle name="Normal 2 3 2 2 7 4 2 2" xfId="33883"/>
    <cellStyle name="Normal 2 3 2 2 7 4 3" xfId="33884"/>
    <cellStyle name="Normal 2 3 2 2 7 5" xfId="16251"/>
    <cellStyle name="Normal 2 3 2 2 7 5 2" xfId="16252"/>
    <cellStyle name="Normal 2 3 2 2 7 5 2 2" xfId="33885"/>
    <cellStyle name="Normal 2 3 2 2 7 5 3" xfId="33886"/>
    <cellStyle name="Normal 2 3 2 2 7 6" xfId="16253"/>
    <cellStyle name="Normal 2 3 2 2 7 6 2" xfId="33887"/>
    <cellStyle name="Normal 2 3 2 2 7 7" xfId="16254"/>
    <cellStyle name="Normal 2 3 2 2 8" xfId="492"/>
    <cellStyle name="Normal 2 3 2 2 8 2" xfId="2101"/>
    <cellStyle name="Normal 2 3 2 2 8 2 2" xfId="16255"/>
    <cellStyle name="Normal 2 3 2 2 8 2 2 2" xfId="16256"/>
    <cellStyle name="Normal 2 3 2 2 8 2 2 2 2" xfId="33888"/>
    <cellStyle name="Normal 2 3 2 2 8 2 2 3" xfId="33889"/>
    <cellStyle name="Normal 2 3 2 2 8 2 3" xfId="16257"/>
    <cellStyle name="Normal 2 3 2 2 8 2 3 2" xfId="16258"/>
    <cellStyle name="Normal 2 3 2 2 8 2 3 2 2" xfId="33890"/>
    <cellStyle name="Normal 2 3 2 2 8 2 3 3" xfId="33891"/>
    <cellStyle name="Normal 2 3 2 2 8 2 4" xfId="16259"/>
    <cellStyle name="Normal 2 3 2 2 8 2 4 2" xfId="16260"/>
    <cellStyle name="Normal 2 3 2 2 8 2 4 2 2" xfId="33892"/>
    <cellStyle name="Normal 2 3 2 2 8 2 4 3" xfId="33893"/>
    <cellStyle name="Normal 2 3 2 2 8 2 5" xfId="16261"/>
    <cellStyle name="Normal 2 3 2 2 8 2 5 2" xfId="33894"/>
    <cellStyle name="Normal 2 3 2 2 8 2 6" xfId="16262"/>
    <cellStyle name="Normal 2 3 2 2 8 3" xfId="16263"/>
    <cellStyle name="Normal 2 3 2 2 8 3 2" xfId="16264"/>
    <cellStyle name="Normal 2 3 2 2 8 3 2 2" xfId="33895"/>
    <cellStyle name="Normal 2 3 2 2 8 3 3" xfId="33896"/>
    <cellStyle name="Normal 2 3 2 2 8 4" xfId="16265"/>
    <cellStyle name="Normal 2 3 2 2 8 4 2" xfId="16266"/>
    <cellStyle name="Normal 2 3 2 2 8 4 2 2" xfId="33897"/>
    <cellStyle name="Normal 2 3 2 2 8 4 3" xfId="33898"/>
    <cellStyle name="Normal 2 3 2 2 8 5" xfId="16267"/>
    <cellStyle name="Normal 2 3 2 2 8 5 2" xfId="16268"/>
    <cellStyle name="Normal 2 3 2 2 8 5 2 2" xfId="33899"/>
    <cellStyle name="Normal 2 3 2 2 8 5 3" xfId="33900"/>
    <cellStyle name="Normal 2 3 2 2 8 6" xfId="16269"/>
    <cellStyle name="Normal 2 3 2 2 8 6 2" xfId="33901"/>
    <cellStyle name="Normal 2 3 2 2 8 7" xfId="16270"/>
    <cellStyle name="Normal 2 3 2 2 9" xfId="2102"/>
    <cellStyle name="Normal 2 3 2 2 9 2" xfId="16271"/>
    <cellStyle name="Normal 2 3 2 2 9 2 2" xfId="16272"/>
    <cellStyle name="Normal 2 3 2 2 9 2 2 2" xfId="33902"/>
    <cellStyle name="Normal 2 3 2 2 9 2 3" xfId="33903"/>
    <cellStyle name="Normal 2 3 2 2 9 3" xfId="16273"/>
    <cellStyle name="Normal 2 3 2 2 9 3 2" xfId="16274"/>
    <cellStyle name="Normal 2 3 2 2 9 3 2 2" xfId="33904"/>
    <cellStyle name="Normal 2 3 2 2 9 3 3" xfId="33905"/>
    <cellStyle name="Normal 2 3 2 2 9 4" xfId="16275"/>
    <cellStyle name="Normal 2 3 2 2 9 4 2" xfId="16276"/>
    <cellStyle name="Normal 2 3 2 2 9 4 2 2" xfId="33906"/>
    <cellStyle name="Normal 2 3 2 2 9 4 3" xfId="33907"/>
    <cellStyle name="Normal 2 3 2 2 9 5" xfId="16277"/>
    <cellStyle name="Normal 2 3 2 2 9 5 2" xfId="33908"/>
    <cellStyle name="Normal 2 3 2 2 9 6" xfId="16278"/>
    <cellStyle name="Normal 2 3 2 3" xfId="59"/>
    <cellStyle name="Normal 2 3 2 3 10" xfId="16279"/>
    <cellStyle name="Normal 2 3 2 3 10 2" xfId="16280"/>
    <cellStyle name="Normal 2 3 2 3 10 2 2" xfId="33909"/>
    <cellStyle name="Normal 2 3 2 3 10 3" xfId="33910"/>
    <cellStyle name="Normal 2 3 2 3 11" xfId="16281"/>
    <cellStyle name="Normal 2 3 2 3 11 2" xfId="16282"/>
    <cellStyle name="Normal 2 3 2 3 11 2 2" xfId="33911"/>
    <cellStyle name="Normal 2 3 2 3 11 3" xfId="33912"/>
    <cellStyle name="Normal 2 3 2 3 12" xfId="16283"/>
    <cellStyle name="Normal 2 3 2 3 12 2" xfId="16284"/>
    <cellStyle name="Normal 2 3 2 3 12 2 2" xfId="33913"/>
    <cellStyle name="Normal 2 3 2 3 12 3" xfId="33914"/>
    <cellStyle name="Normal 2 3 2 3 13" xfId="16285"/>
    <cellStyle name="Normal 2 3 2 3 13 2" xfId="33915"/>
    <cellStyle name="Normal 2 3 2 3 14" xfId="16286"/>
    <cellStyle name="Normal 2 3 2 3 2" xfId="230"/>
    <cellStyle name="Normal 2 3 2 3 2 10" xfId="16287"/>
    <cellStyle name="Normal 2 3 2 3 2 2" xfId="388"/>
    <cellStyle name="Normal 2 3 2 3 2 2 2" xfId="1176"/>
    <cellStyle name="Normal 2 3 2 3 2 2 2 2" xfId="2103"/>
    <cellStyle name="Normal 2 3 2 3 2 2 2 2 2" xfId="16288"/>
    <cellStyle name="Normal 2 3 2 3 2 2 2 2 2 2" xfId="16289"/>
    <cellStyle name="Normal 2 3 2 3 2 2 2 2 2 2 2" xfId="33916"/>
    <cellStyle name="Normal 2 3 2 3 2 2 2 2 2 3" xfId="33917"/>
    <cellStyle name="Normal 2 3 2 3 2 2 2 2 3" xfId="16290"/>
    <cellStyle name="Normal 2 3 2 3 2 2 2 2 3 2" xfId="16291"/>
    <cellStyle name="Normal 2 3 2 3 2 2 2 2 3 2 2" xfId="33918"/>
    <cellStyle name="Normal 2 3 2 3 2 2 2 2 3 3" xfId="33919"/>
    <cellStyle name="Normal 2 3 2 3 2 2 2 2 4" xfId="16292"/>
    <cellStyle name="Normal 2 3 2 3 2 2 2 2 4 2" xfId="16293"/>
    <cellStyle name="Normal 2 3 2 3 2 2 2 2 4 2 2" xfId="33920"/>
    <cellStyle name="Normal 2 3 2 3 2 2 2 2 4 3" xfId="33921"/>
    <cellStyle name="Normal 2 3 2 3 2 2 2 2 5" xfId="16294"/>
    <cellStyle name="Normal 2 3 2 3 2 2 2 2 5 2" xfId="33922"/>
    <cellStyle name="Normal 2 3 2 3 2 2 2 2 6" xfId="16295"/>
    <cellStyle name="Normal 2 3 2 3 2 2 2 3" xfId="16296"/>
    <cellStyle name="Normal 2 3 2 3 2 2 2 3 2" xfId="16297"/>
    <cellStyle name="Normal 2 3 2 3 2 2 2 3 2 2" xfId="33923"/>
    <cellStyle name="Normal 2 3 2 3 2 2 2 3 3" xfId="33924"/>
    <cellStyle name="Normal 2 3 2 3 2 2 2 4" xfId="16298"/>
    <cellStyle name="Normal 2 3 2 3 2 2 2 4 2" xfId="16299"/>
    <cellStyle name="Normal 2 3 2 3 2 2 2 4 2 2" xfId="33925"/>
    <cellStyle name="Normal 2 3 2 3 2 2 2 4 3" xfId="33926"/>
    <cellStyle name="Normal 2 3 2 3 2 2 2 5" xfId="16300"/>
    <cellStyle name="Normal 2 3 2 3 2 2 2 5 2" xfId="16301"/>
    <cellStyle name="Normal 2 3 2 3 2 2 2 5 2 2" xfId="33927"/>
    <cellStyle name="Normal 2 3 2 3 2 2 2 5 3" xfId="33928"/>
    <cellStyle name="Normal 2 3 2 3 2 2 2 6" xfId="16302"/>
    <cellStyle name="Normal 2 3 2 3 2 2 2 6 2" xfId="33929"/>
    <cellStyle name="Normal 2 3 2 3 2 2 2 7" xfId="16303"/>
    <cellStyle name="Normal 2 3 2 3 2 2 3" xfId="808"/>
    <cellStyle name="Normal 2 3 2 3 2 2 3 2" xfId="2104"/>
    <cellStyle name="Normal 2 3 2 3 2 2 3 2 2" xfId="16304"/>
    <cellStyle name="Normal 2 3 2 3 2 2 3 2 2 2" xfId="16305"/>
    <cellStyle name="Normal 2 3 2 3 2 2 3 2 2 2 2" xfId="33930"/>
    <cellStyle name="Normal 2 3 2 3 2 2 3 2 2 3" xfId="33931"/>
    <cellStyle name="Normal 2 3 2 3 2 2 3 2 3" xfId="16306"/>
    <cellStyle name="Normal 2 3 2 3 2 2 3 2 3 2" xfId="16307"/>
    <cellStyle name="Normal 2 3 2 3 2 2 3 2 3 2 2" xfId="33932"/>
    <cellStyle name="Normal 2 3 2 3 2 2 3 2 3 3" xfId="33933"/>
    <cellStyle name="Normal 2 3 2 3 2 2 3 2 4" xfId="16308"/>
    <cellStyle name="Normal 2 3 2 3 2 2 3 2 4 2" xfId="16309"/>
    <cellStyle name="Normal 2 3 2 3 2 2 3 2 4 2 2" xfId="33934"/>
    <cellStyle name="Normal 2 3 2 3 2 2 3 2 4 3" xfId="33935"/>
    <cellStyle name="Normal 2 3 2 3 2 2 3 2 5" xfId="16310"/>
    <cellStyle name="Normal 2 3 2 3 2 2 3 2 5 2" xfId="33936"/>
    <cellStyle name="Normal 2 3 2 3 2 2 3 2 6" xfId="16311"/>
    <cellStyle name="Normal 2 3 2 3 2 2 3 3" xfId="16312"/>
    <cellStyle name="Normal 2 3 2 3 2 2 3 3 2" xfId="16313"/>
    <cellStyle name="Normal 2 3 2 3 2 2 3 3 2 2" xfId="33937"/>
    <cellStyle name="Normal 2 3 2 3 2 2 3 3 3" xfId="33938"/>
    <cellStyle name="Normal 2 3 2 3 2 2 3 4" xfId="16314"/>
    <cellStyle name="Normal 2 3 2 3 2 2 3 4 2" xfId="16315"/>
    <cellStyle name="Normal 2 3 2 3 2 2 3 4 2 2" xfId="33939"/>
    <cellStyle name="Normal 2 3 2 3 2 2 3 4 3" xfId="33940"/>
    <cellStyle name="Normal 2 3 2 3 2 2 3 5" xfId="16316"/>
    <cellStyle name="Normal 2 3 2 3 2 2 3 5 2" xfId="16317"/>
    <cellStyle name="Normal 2 3 2 3 2 2 3 5 2 2" xfId="33941"/>
    <cellStyle name="Normal 2 3 2 3 2 2 3 5 3" xfId="33942"/>
    <cellStyle name="Normal 2 3 2 3 2 2 3 6" xfId="16318"/>
    <cellStyle name="Normal 2 3 2 3 2 2 3 6 2" xfId="33943"/>
    <cellStyle name="Normal 2 3 2 3 2 2 3 7" xfId="16319"/>
    <cellStyle name="Normal 2 3 2 3 2 2 4" xfId="2105"/>
    <cellStyle name="Normal 2 3 2 3 2 2 4 2" xfId="16320"/>
    <cellStyle name="Normal 2 3 2 3 2 2 4 2 2" xfId="16321"/>
    <cellStyle name="Normal 2 3 2 3 2 2 4 2 2 2" xfId="33944"/>
    <cellStyle name="Normal 2 3 2 3 2 2 4 2 3" xfId="33945"/>
    <cellStyle name="Normal 2 3 2 3 2 2 4 3" xfId="16322"/>
    <cellStyle name="Normal 2 3 2 3 2 2 4 3 2" xfId="16323"/>
    <cellStyle name="Normal 2 3 2 3 2 2 4 3 2 2" xfId="33946"/>
    <cellStyle name="Normal 2 3 2 3 2 2 4 3 3" xfId="33947"/>
    <cellStyle name="Normal 2 3 2 3 2 2 4 4" xfId="16324"/>
    <cellStyle name="Normal 2 3 2 3 2 2 4 4 2" xfId="16325"/>
    <cellStyle name="Normal 2 3 2 3 2 2 4 4 2 2" xfId="33948"/>
    <cellStyle name="Normal 2 3 2 3 2 2 4 4 3" xfId="33949"/>
    <cellStyle name="Normal 2 3 2 3 2 2 4 5" xfId="16326"/>
    <cellStyle name="Normal 2 3 2 3 2 2 4 5 2" xfId="33950"/>
    <cellStyle name="Normal 2 3 2 3 2 2 4 6" xfId="16327"/>
    <cellStyle name="Normal 2 3 2 3 2 2 5" xfId="16328"/>
    <cellStyle name="Normal 2 3 2 3 2 2 5 2" xfId="16329"/>
    <cellStyle name="Normal 2 3 2 3 2 2 5 2 2" xfId="33951"/>
    <cellStyle name="Normal 2 3 2 3 2 2 5 3" xfId="33952"/>
    <cellStyle name="Normal 2 3 2 3 2 2 6" xfId="16330"/>
    <cellStyle name="Normal 2 3 2 3 2 2 6 2" xfId="16331"/>
    <cellStyle name="Normal 2 3 2 3 2 2 6 2 2" xfId="33953"/>
    <cellStyle name="Normal 2 3 2 3 2 2 6 3" xfId="33954"/>
    <cellStyle name="Normal 2 3 2 3 2 2 7" xfId="16332"/>
    <cellStyle name="Normal 2 3 2 3 2 2 7 2" xfId="16333"/>
    <cellStyle name="Normal 2 3 2 3 2 2 7 2 2" xfId="33955"/>
    <cellStyle name="Normal 2 3 2 3 2 2 7 3" xfId="33956"/>
    <cellStyle name="Normal 2 3 2 3 2 2 8" xfId="16334"/>
    <cellStyle name="Normal 2 3 2 3 2 2 8 2" xfId="33957"/>
    <cellStyle name="Normal 2 3 2 3 2 2 9" xfId="16335"/>
    <cellStyle name="Normal 2 3 2 3 2 3" xfId="1018"/>
    <cellStyle name="Normal 2 3 2 3 2 3 2" xfId="2106"/>
    <cellStyle name="Normal 2 3 2 3 2 3 2 2" xfId="16336"/>
    <cellStyle name="Normal 2 3 2 3 2 3 2 2 2" xfId="16337"/>
    <cellStyle name="Normal 2 3 2 3 2 3 2 2 2 2" xfId="33958"/>
    <cellStyle name="Normal 2 3 2 3 2 3 2 2 3" xfId="33959"/>
    <cellStyle name="Normal 2 3 2 3 2 3 2 3" xfId="16338"/>
    <cellStyle name="Normal 2 3 2 3 2 3 2 3 2" xfId="16339"/>
    <cellStyle name="Normal 2 3 2 3 2 3 2 3 2 2" xfId="33960"/>
    <cellStyle name="Normal 2 3 2 3 2 3 2 3 3" xfId="33961"/>
    <cellStyle name="Normal 2 3 2 3 2 3 2 4" xfId="16340"/>
    <cellStyle name="Normal 2 3 2 3 2 3 2 4 2" xfId="16341"/>
    <cellStyle name="Normal 2 3 2 3 2 3 2 4 2 2" xfId="33962"/>
    <cellStyle name="Normal 2 3 2 3 2 3 2 4 3" xfId="33963"/>
    <cellStyle name="Normal 2 3 2 3 2 3 2 5" xfId="16342"/>
    <cellStyle name="Normal 2 3 2 3 2 3 2 5 2" xfId="33964"/>
    <cellStyle name="Normal 2 3 2 3 2 3 2 6" xfId="16343"/>
    <cellStyle name="Normal 2 3 2 3 2 3 3" xfId="16344"/>
    <cellStyle name="Normal 2 3 2 3 2 3 3 2" xfId="16345"/>
    <cellStyle name="Normal 2 3 2 3 2 3 3 2 2" xfId="33965"/>
    <cellStyle name="Normal 2 3 2 3 2 3 3 3" xfId="33966"/>
    <cellStyle name="Normal 2 3 2 3 2 3 4" xfId="16346"/>
    <cellStyle name="Normal 2 3 2 3 2 3 4 2" xfId="16347"/>
    <cellStyle name="Normal 2 3 2 3 2 3 4 2 2" xfId="33967"/>
    <cellStyle name="Normal 2 3 2 3 2 3 4 3" xfId="33968"/>
    <cellStyle name="Normal 2 3 2 3 2 3 5" xfId="16348"/>
    <cellStyle name="Normal 2 3 2 3 2 3 5 2" xfId="16349"/>
    <cellStyle name="Normal 2 3 2 3 2 3 5 2 2" xfId="33969"/>
    <cellStyle name="Normal 2 3 2 3 2 3 5 3" xfId="33970"/>
    <cellStyle name="Normal 2 3 2 3 2 3 6" xfId="16350"/>
    <cellStyle name="Normal 2 3 2 3 2 3 6 2" xfId="33971"/>
    <cellStyle name="Normal 2 3 2 3 2 3 7" xfId="16351"/>
    <cellStyle name="Normal 2 3 2 3 2 4" xfId="650"/>
    <cellStyle name="Normal 2 3 2 3 2 4 2" xfId="2107"/>
    <cellStyle name="Normal 2 3 2 3 2 4 2 2" xfId="16352"/>
    <cellStyle name="Normal 2 3 2 3 2 4 2 2 2" xfId="16353"/>
    <cellStyle name="Normal 2 3 2 3 2 4 2 2 2 2" xfId="33972"/>
    <cellStyle name="Normal 2 3 2 3 2 4 2 2 3" xfId="33973"/>
    <cellStyle name="Normal 2 3 2 3 2 4 2 3" xfId="16354"/>
    <cellStyle name="Normal 2 3 2 3 2 4 2 3 2" xfId="16355"/>
    <cellStyle name="Normal 2 3 2 3 2 4 2 3 2 2" xfId="33974"/>
    <cellStyle name="Normal 2 3 2 3 2 4 2 3 3" xfId="33975"/>
    <cellStyle name="Normal 2 3 2 3 2 4 2 4" xfId="16356"/>
    <cellStyle name="Normal 2 3 2 3 2 4 2 4 2" xfId="16357"/>
    <cellStyle name="Normal 2 3 2 3 2 4 2 4 2 2" xfId="33976"/>
    <cellStyle name="Normal 2 3 2 3 2 4 2 4 3" xfId="33977"/>
    <cellStyle name="Normal 2 3 2 3 2 4 2 5" xfId="16358"/>
    <cellStyle name="Normal 2 3 2 3 2 4 2 5 2" xfId="33978"/>
    <cellStyle name="Normal 2 3 2 3 2 4 2 6" xfId="16359"/>
    <cellStyle name="Normal 2 3 2 3 2 4 3" xfId="16360"/>
    <cellStyle name="Normal 2 3 2 3 2 4 3 2" xfId="16361"/>
    <cellStyle name="Normal 2 3 2 3 2 4 3 2 2" xfId="33979"/>
    <cellStyle name="Normal 2 3 2 3 2 4 3 3" xfId="33980"/>
    <cellStyle name="Normal 2 3 2 3 2 4 4" xfId="16362"/>
    <cellStyle name="Normal 2 3 2 3 2 4 4 2" xfId="16363"/>
    <cellStyle name="Normal 2 3 2 3 2 4 4 2 2" xfId="33981"/>
    <cellStyle name="Normal 2 3 2 3 2 4 4 3" xfId="33982"/>
    <cellStyle name="Normal 2 3 2 3 2 4 5" xfId="16364"/>
    <cellStyle name="Normal 2 3 2 3 2 4 5 2" xfId="16365"/>
    <cellStyle name="Normal 2 3 2 3 2 4 5 2 2" xfId="33983"/>
    <cellStyle name="Normal 2 3 2 3 2 4 5 3" xfId="33984"/>
    <cellStyle name="Normal 2 3 2 3 2 4 6" xfId="16366"/>
    <cellStyle name="Normal 2 3 2 3 2 4 6 2" xfId="33985"/>
    <cellStyle name="Normal 2 3 2 3 2 4 7" xfId="16367"/>
    <cellStyle name="Normal 2 3 2 3 2 5" xfId="2108"/>
    <cellStyle name="Normal 2 3 2 3 2 5 2" xfId="16368"/>
    <cellStyle name="Normal 2 3 2 3 2 5 2 2" xfId="16369"/>
    <cellStyle name="Normal 2 3 2 3 2 5 2 2 2" xfId="33986"/>
    <cellStyle name="Normal 2 3 2 3 2 5 2 3" xfId="33987"/>
    <cellStyle name="Normal 2 3 2 3 2 5 3" xfId="16370"/>
    <cellStyle name="Normal 2 3 2 3 2 5 3 2" xfId="16371"/>
    <cellStyle name="Normal 2 3 2 3 2 5 3 2 2" xfId="33988"/>
    <cellStyle name="Normal 2 3 2 3 2 5 3 3" xfId="33989"/>
    <cellStyle name="Normal 2 3 2 3 2 5 4" xfId="16372"/>
    <cellStyle name="Normal 2 3 2 3 2 5 4 2" xfId="16373"/>
    <cellStyle name="Normal 2 3 2 3 2 5 4 2 2" xfId="33990"/>
    <cellStyle name="Normal 2 3 2 3 2 5 4 3" xfId="33991"/>
    <cellStyle name="Normal 2 3 2 3 2 5 5" xfId="16374"/>
    <cellStyle name="Normal 2 3 2 3 2 5 5 2" xfId="33992"/>
    <cellStyle name="Normal 2 3 2 3 2 5 6" xfId="16375"/>
    <cellStyle name="Normal 2 3 2 3 2 6" xfId="16376"/>
    <cellStyle name="Normal 2 3 2 3 2 6 2" xfId="16377"/>
    <cellStyle name="Normal 2 3 2 3 2 6 2 2" xfId="33993"/>
    <cellStyle name="Normal 2 3 2 3 2 6 3" xfId="33994"/>
    <cellStyle name="Normal 2 3 2 3 2 7" xfId="16378"/>
    <cellStyle name="Normal 2 3 2 3 2 7 2" xfId="16379"/>
    <cellStyle name="Normal 2 3 2 3 2 7 2 2" xfId="33995"/>
    <cellStyle name="Normal 2 3 2 3 2 7 3" xfId="33996"/>
    <cellStyle name="Normal 2 3 2 3 2 8" xfId="16380"/>
    <cellStyle name="Normal 2 3 2 3 2 8 2" xfId="16381"/>
    <cellStyle name="Normal 2 3 2 3 2 8 2 2" xfId="33997"/>
    <cellStyle name="Normal 2 3 2 3 2 8 3" xfId="33998"/>
    <cellStyle name="Normal 2 3 2 3 2 9" xfId="16382"/>
    <cellStyle name="Normal 2 3 2 3 2 9 2" xfId="33999"/>
    <cellStyle name="Normal 2 3 2 3 3" xfId="281"/>
    <cellStyle name="Normal 2 3 2 3 3 10" xfId="16383"/>
    <cellStyle name="Normal 2 3 2 3 3 2" xfId="439"/>
    <cellStyle name="Normal 2 3 2 3 3 2 2" xfId="1227"/>
    <cellStyle name="Normal 2 3 2 3 3 2 2 2" xfId="2109"/>
    <cellStyle name="Normal 2 3 2 3 3 2 2 2 2" xfId="16384"/>
    <cellStyle name="Normal 2 3 2 3 3 2 2 2 2 2" xfId="16385"/>
    <cellStyle name="Normal 2 3 2 3 3 2 2 2 2 2 2" xfId="34000"/>
    <cellStyle name="Normal 2 3 2 3 3 2 2 2 2 3" xfId="34001"/>
    <cellStyle name="Normal 2 3 2 3 3 2 2 2 3" xfId="16386"/>
    <cellStyle name="Normal 2 3 2 3 3 2 2 2 3 2" xfId="16387"/>
    <cellStyle name="Normal 2 3 2 3 3 2 2 2 3 2 2" xfId="34002"/>
    <cellStyle name="Normal 2 3 2 3 3 2 2 2 3 3" xfId="34003"/>
    <cellStyle name="Normal 2 3 2 3 3 2 2 2 4" xfId="16388"/>
    <cellStyle name="Normal 2 3 2 3 3 2 2 2 4 2" xfId="16389"/>
    <cellStyle name="Normal 2 3 2 3 3 2 2 2 4 2 2" xfId="34004"/>
    <cellStyle name="Normal 2 3 2 3 3 2 2 2 4 3" xfId="34005"/>
    <cellStyle name="Normal 2 3 2 3 3 2 2 2 5" xfId="16390"/>
    <cellStyle name="Normal 2 3 2 3 3 2 2 2 5 2" xfId="34006"/>
    <cellStyle name="Normal 2 3 2 3 3 2 2 2 6" xfId="16391"/>
    <cellStyle name="Normal 2 3 2 3 3 2 2 3" xfId="16392"/>
    <cellStyle name="Normal 2 3 2 3 3 2 2 3 2" xfId="16393"/>
    <cellStyle name="Normal 2 3 2 3 3 2 2 3 2 2" xfId="34007"/>
    <cellStyle name="Normal 2 3 2 3 3 2 2 3 3" xfId="34008"/>
    <cellStyle name="Normal 2 3 2 3 3 2 2 4" xfId="16394"/>
    <cellStyle name="Normal 2 3 2 3 3 2 2 4 2" xfId="16395"/>
    <cellStyle name="Normal 2 3 2 3 3 2 2 4 2 2" xfId="34009"/>
    <cellStyle name="Normal 2 3 2 3 3 2 2 4 3" xfId="34010"/>
    <cellStyle name="Normal 2 3 2 3 3 2 2 5" xfId="16396"/>
    <cellStyle name="Normal 2 3 2 3 3 2 2 5 2" xfId="16397"/>
    <cellStyle name="Normal 2 3 2 3 3 2 2 5 2 2" xfId="34011"/>
    <cellStyle name="Normal 2 3 2 3 3 2 2 5 3" xfId="34012"/>
    <cellStyle name="Normal 2 3 2 3 3 2 2 6" xfId="16398"/>
    <cellStyle name="Normal 2 3 2 3 3 2 2 6 2" xfId="34013"/>
    <cellStyle name="Normal 2 3 2 3 3 2 2 7" xfId="16399"/>
    <cellStyle name="Normal 2 3 2 3 3 2 3" xfId="859"/>
    <cellStyle name="Normal 2 3 2 3 3 2 3 2" xfId="2110"/>
    <cellStyle name="Normal 2 3 2 3 3 2 3 2 2" xfId="16400"/>
    <cellStyle name="Normal 2 3 2 3 3 2 3 2 2 2" xfId="16401"/>
    <cellStyle name="Normal 2 3 2 3 3 2 3 2 2 2 2" xfId="34014"/>
    <cellStyle name="Normal 2 3 2 3 3 2 3 2 2 3" xfId="34015"/>
    <cellStyle name="Normal 2 3 2 3 3 2 3 2 3" xfId="16402"/>
    <cellStyle name="Normal 2 3 2 3 3 2 3 2 3 2" xfId="16403"/>
    <cellStyle name="Normal 2 3 2 3 3 2 3 2 3 2 2" xfId="34016"/>
    <cellStyle name="Normal 2 3 2 3 3 2 3 2 3 3" xfId="34017"/>
    <cellStyle name="Normal 2 3 2 3 3 2 3 2 4" xfId="16404"/>
    <cellStyle name="Normal 2 3 2 3 3 2 3 2 4 2" xfId="16405"/>
    <cellStyle name="Normal 2 3 2 3 3 2 3 2 4 2 2" xfId="34018"/>
    <cellStyle name="Normal 2 3 2 3 3 2 3 2 4 3" xfId="34019"/>
    <cellStyle name="Normal 2 3 2 3 3 2 3 2 5" xfId="16406"/>
    <cellStyle name="Normal 2 3 2 3 3 2 3 2 5 2" xfId="34020"/>
    <cellStyle name="Normal 2 3 2 3 3 2 3 2 6" xfId="16407"/>
    <cellStyle name="Normal 2 3 2 3 3 2 3 3" xfId="16408"/>
    <cellStyle name="Normal 2 3 2 3 3 2 3 3 2" xfId="16409"/>
    <cellStyle name="Normal 2 3 2 3 3 2 3 3 2 2" xfId="34021"/>
    <cellStyle name="Normal 2 3 2 3 3 2 3 3 3" xfId="34022"/>
    <cellStyle name="Normal 2 3 2 3 3 2 3 4" xfId="16410"/>
    <cellStyle name="Normal 2 3 2 3 3 2 3 4 2" xfId="16411"/>
    <cellStyle name="Normal 2 3 2 3 3 2 3 4 2 2" xfId="34023"/>
    <cellStyle name="Normal 2 3 2 3 3 2 3 4 3" xfId="34024"/>
    <cellStyle name="Normal 2 3 2 3 3 2 3 5" xfId="16412"/>
    <cellStyle name="Normal 2 3 2 3 3 2 3 5 2" xfId="16413"/>
    <cellStyle name="Normal 2 3 2 3 3 2 3 5 2 2" xfId="34025"/>
    <cellStyle name="Normal 2 3 2 3 3 2 3 5 3" xfId="34026"/>
    <cellStyle name="Normal 2 3 2 3 3 2 3 6" xfId="16414"/>
    <cellStyle name="Normal 2 3 2 3 3 2 3 6 2" xfId="34027"/>
    <cellStyle name="Normal 2 3 2 3 3 2 3 7" xfId="16415"/>
    <cellStyle name="Normal 2 3 2 3 3 2 4" xfId="2111"/>
    <cellStyle name="Normal 2 3 2 3 3 2 4 2" xfId="16416"/>
    <cellStyle name="Normal 2 3 2 3 3 2 4 2 2" xfId="16417"/>
    <cellStyle name="Normal 2 3 2 3 3 2 4 2 2 2" xfId="34028"/>
    <cellStyle name="Normal 2 3 2 3 3 2 4 2 3" xfId="34029"/>
    <cellStyle name="Normal 2 3 2 3 3 2 4 3" xfId="16418"/>
    <cellStyle name="Normal 2 3 2 3 3 2 4 3 2" xfId="16419"/>
    <cellStyle name="Normal 2 3 2 3 3 2 4 3 2 2" xfId="34030"/>
    <cellStyle name="Normal 2 3 2 3 3 2 4 3 3" xfId="34031"/>
    <cellStyle name="Normal 2 3 2 3 3 2 4 4" xfId="16420"/>
    <cellStyle name="Normal 2 3 2 3 3 2 4 4 2" xfId="16421"/>
    <cellStyle name="Normal 2 3 2 3 3 2 4 4 2 2" xfId="34032"/>
    <cellStyle name="Normal 2 3 2 3 3 2 4 4 3" xfId="34033"/>
    <cellStyle name="Normal 2 3 2 3 3 2 4 5" xfId="16422"/>
    <cellStyle name="Normal 2 3 2 3 3 2 4 5 2" xfId="34034"/>
    <cellStyle name="Normal 2 3 2 3 3 2 4 6" xfId="16423"/>
    <cellStyle name="Normal 2 3 2 3 3 2 5" xfId="16424"/>
    <cellStyle name="Normal 2 3 2 3 3 2 5 2" xfId="16425"/>
    <cellStyle name="Normal 2 3 2 3 3 2 5 2 2" xfId="34035"/>
    <cellStyle name="Normal 2 3 2 3 3 2 5 3" xfId="34036"/>
    <cellStyle name="Normal 2 3 2 3 3 2 6" xfId="16426"/>
    <cellStyle name="Normal 2 3 2 3 3 2 6 2" xfId="16427"/>
    <cellStyle name="Normal 2 3 2 3 3 2 6 2 2" xfId="34037"/>
    <cellStyle name="Normal 2 3 2 3 3 2 6 3" xfId="34038"/>
    <cellStyle name="Normal 2 3 2 3 3 2 7" xfId="16428"/>
    <cellStyle name="Normal 2 3 2 3 3 2 7 2" xfId="16429"/>
    <cellStyle name="Normal 2 3 2 3 3 2 7 2 2" xfId="34039"/>
    <cellStyle name="Normal 2 3 2 3 3 2 7 3" xfId="34040"/>
    <cellStyle name="Normal 2 3 2 3 3 2 8" xfId="16430"/>
    <cellStyle name="Normal 2 3 2 3 3 2 8 2" xfId="34041"/>
    <cellStyle name="Normal 2 3 2 3 3 2 9" xfId="16431"/>
    <cellStyle name="Normal 2 3 2 3 3 3" xfId="1069"/>
    <cellStyle name="Normal 2 3 2 3 3 3 2" xfId="2112"/>
    <cellStyle name="Normal 2 3 2 3 3 3 2 2" xfId="16432"/>
    <cellStyle name="Normal 2 3 2 3 3 3 2 2 2" xfId="16433"/>
    <cellStyle name="Normal 2 3 2 3 3 3 2 2 2 2" xfId="34042"/>
    <cellStyle name="Normal 2 3 2 3 3 3 2 2 3" xfId="34043"/>
    <cellStyle name="Normal 2 3 2 3 3 3 2 3" xfId="16434"/>
    <cellStyle name="Normal 2 3 2 3 3 3 2 3 2" xfId="16435"/>
    <cellStyle name="Normal 2 3 2 3 3 3 2 3 2 2" xfId="34044"/>
    <cellStyle name="Normal 2 3 2 3 3 3 2 3 3" xfId="34045"/>
    <cellStyle name="Normal 2 3 2 3 3 3 2 4" xfId="16436"/>
    <cellStyle name="Normal 2 3 2 3 3 3 2 4 2" xfId="16437"/>
    <cellStyle name="Normal 2 3 2 3 3 3 2 4 2 2" xfId="34046"/>
    <cellStyle name="Normal 2 3 2 3 3 3 2 4 3" xfId="34047"/>
    <cellStyle name="Normal 2 3 2 3 3 3 2 5" xfId="16438"/>
    <cellStyle name="Normal 2 3 2 3 3 3 2 5 2" xfId="34048"/>
    <cellStyle name="Normal 2 3 2 3 3 3 2 6" xfId="16439"/>
    <cellStyle name="Normal 2 3 2 3 3 3 3" xfId="16440"/>
    <cellStyle name="Normal 2 3 2 3 3 3 3 2" xfId="16441"/>
    <cellStyle name="Normal 2 3 2 3 3 3 3 2 2" xfId="34049"/>
    <cellStyle name="Normal 2 3 2 3 3 3 3 3" xfId="34050"/>
    <cellStyle name="Normal 2 3 2 3 3 3 4" xfId="16442"/>
    <cellStyle name="Normal 2 3 2 3 3 3 4 2" xfId="16443"/>
    <cellStyle name="Normal 2 3 2 3 3 3 4 2 2" xfId="34051"/>
    <cellStyle name="Normal 2 3 2 3 3 3 4 3" xfId="34052"/>
    <cellStyle name="Normal 2 3 2 3 3 3 5" xfId="16444"/>
    <cellStyle name="Normal 2 3 2 3 3 3 5 2" xfId="16445"/>
    <cellStyle name="Normal 2 3 2 3 3 3 5 2 2" xfId="34053"/>
    <cellStyle name="Normal 2 3 2 3 3 3 5 3" xfId="34054"/>
    <cellStyle name="Normal 2 3 2 3 3 3 6" xfId="16446"/>
    <cellStyle name="Normal 2 3 2 3 3 3 6 2" xfId="34055"/>
    <cellStyle name="Normal 2 3 2 3 3 3 7" xfId="16447"/>
    <cellStyle name="Normal 2 3 2 3 3 4" xfId="701"/>
    <cellStyle name="Normal 2 3 2 3 3 4 2" xfId="2113"/>
    <cellStyle name="Normal 2 3 2 3 3 4 2 2" xfId="16448"/>
    <cellStyle name="Normal 2 3 2 3 3 4 2 2 2" xfId="16449"/>
    <cellStyle name="Normal 2 3 2 3 3 4 2 2 2 2" xfId="34056"/>
    <cellStyle name="Normal 2 3 2 3 3 4 2 2 3" xfId="34057"/>
    <cellStyle name="Normal 2 3 2 3 3 4 2 3" xfId="16450"/>
    <cellStyle name="Normal 2 3 2 3 3 4 2 3 2" xfId="16451"/>
    <cellStyle name="Normal 2 3 2 3 3 4 2 3 2 2" xfId="34058"/>
    <cellStyle name="Normal 2 3 2 3 3 4 2 3 3" xfId="34059"/>
    <cellStyle name="Normal 2 3 2 3 3 4 2 4" xfId="16452"/>
    <cellStyle name="Normal 2 3 2 3 3 4 2 4 2" xfId="16453"/>
    <cellStyle name="Normal 2 3 2 3 3 4 2 4 2 2" xfId="34060"/>
    <cellStyle name="Normal 2 3 2 3 3 4 2 4 3" xfId="34061"/>
    <cellStyle name="Normal 2 3 2 3 3 4 2 5" xfId="16454"/>
    <cellStyle name="Normal 2 3 2 3 3 4 2 5 2" xfId="34062"/>
    <cellStyle name="Normal 2 3 2 3 3 4 2 6" xfId="16455"/>
    <cellStyle name="Normal 2 3 2 3 3 4 3" xfId="16456"/>
    <cellStyle name="Normal 2 3 2 3 3 4 3 2" xfId="16457"/>
    <cellStyle name="Normal 2 3 2 3 3 4 3 2 2" xfId="34063"/>
    <cellStyle name="Normal 2 3 2 3 3 4 3 3" xfId="34064"/>
    <cellStyle name="Normal 2 3 2 3 3 4 4" xfId="16458"/>
    <cellStyle name="Normal 2 3 2 3 3 4 4 2" xfId="16459"/>
    <cellStyle name="Normal 2 3 2 3 3 4 4 2 2" xfId="34065"/>
    <cellStyle name="Normal 2 3 2 3 3 4 4 3" xfId="34066"/>
    <cellStyle name="Normal 2 3 2 3 3 4 5" xfId="16460"/>
    <cellStyle name="Normal 2 3 2 3 3 4 5 2" xfId="16461"/>
    <cellStyle name="Normal 2 3 2 3 3 4 5 2 2" xfId="34067"/>
    <cellStyle name="Normal 2 3 2 3 3 4 5 3" xfId="34068"/>
    <cellStyle name="Normal 2 3 2 3 3 4 6" xfId="16462"/>
    <cellStyle name="Normal 2 3 2 3 3 4 6 2" xfId="34069"/>
    <cellStyle name="Normal 2 3 2 3 3 4 7" xfId="16463"/>
    <cellStyle name="Normal 2 3 2 3 3 5" xfId="2114"/>
    <cellStyle name="Normal 2 3 2 3 3 5 2" xfId="16464"/>
    <cellStyle name="Normal 2 3 2 3 3 5 2 2" xfId="16465"/>
    <cellStyle name="Normal 2 3 2 3 3 5 2 2 2" xfId="34070"/>
    <cellStyle name="Normal 2 3 2 3 3 5 2 3" xfId="34071"/>
    <cellStyle name="Normal 2 3 2 3 3 5 3" xfId="16466"/>
    <cellStyle name="Normal 2 3 2 3 3 5 3 2" xfId="16467"/>
    <cellStyle name="Normal 2 3 2 3 3 5 3 2 2" xfId="34072"/>
    <cellStyle name="Normal 2 3 2 3 3 5 3 3" xfId="34073"/>
    <cellStyle name="Normal 2 3 2 3 3 5 4" xfId="16468"/>
    <cellStyle name="Normal 2 3 2 3 3 5 4 2" xfId="16469"/>
    <cellStyle name="Normal 2 3 2 3 3 5 4 2 2" xfId="34074"/>
    <cellStyle name="Normal 2 3 2 3 3 5 4 3" xfId="34075"/>
    <cellStyle name="Normal 2 3 2 3 3 5 5" xfId="16470"/>
    <cellStyle name="Normal 2 3 2 3 3 5 5 2" xfId="34076"/>
    <cellStyle name="Normal 2 3 2 3 3 5 6" xfId="16471"/>
    <cellStyle name="Normal 2 3 2 3 3 6" xfId="16472"/>
    <cellStyle name="Normal 2 3 2 3 3 6 2" xfId="16473"/>
    <cellStyle name="Normal 2 3 2 3 3 6 2 2" xfId="34077"/>
    <cellStyle name="Normal 2 3 2 3 3 6 3" xfId="34078"/>
    <cellStyle name="Normal 2 3 2 3 3 7" xfId="16474"/>
    <cellStyle name="Normal 2 3 2 3 3 7 2" xfId="16475"/>
    <cellStyle name="Normal 2 3 2 3 3 7 2 2" xfId="34079"/>
    <cellStyle name="Normal 2 3 2 3 3 7 3" xfId="34080"/>
    <cellStyle name="Normal 2 3 2 3 3 8" xfId="16476"/>
    <cellStyle name="Normal 2 3 2 3 3 8 2" xfId="16477"/>
    <cellStyle name="Normal 2 3 2 3 3 8 2 2" xfId="34081"/>
    <cellStyle name="Normal 2 3 2 3 3 8 3" xfId="34082"/>
    <cellStyle name="Normal 2 3 2 3 3 9" xfId="16478"/>
    <cellStyle name="Normal 2 3 2 3 3 9 2" xfId="34083"/>
    <cellStyle name="Normal 2 3 2 3 4" xfId="166"/>
    <cellStyle name="Normal 2 3 2 3 4 2" xfId="954"/>
    <cellStyle name="Normal 2 3 2 3 4 2 2" xfId="2115"/>
    <cellStyle name="Normal 2 3 2 3 4 2 2 2" xfId="16479"/>
    <cellStyle name="Normal 2 3 2 3 4 2 2 2 2" xfId="16480"/>
    <cellStyle name="Normal 2 3 2 3 4 2 2 2 2 2" xfId="34084"/>
    <cellStyle name="Normal 2 3 2 3 4 2 2 2 3" xfId="34085"/>
    <cellStyle name="Normal 2 3 2 3 4 2 2 3" xfId="16481"/>
    <cellStyle name="Normal 2 3 2 3 4 2 2 3 2" xfId="16482"/>
    <cellStyle name="Normal 2 3 2 3 4 2 2 3 2 2" xfId="34086"/>
    <cellStyle name="Normal 2 3 2 3 4 2 2 3 3" xfId="34087"/>
    <cellStyle name="Normal 2 3 2 3 4 2 2 4" xfId="16483"/>
    <cellStyle name="Normal 2 3 2 3 4 2 2 4 2" xfId="16484"/>
    <cellStyle name="Normal 2 3 2 3 4 2 2 4 2 2" xfId="34088"/>
    <cellStyle name="Normal 2 3 2 3 4 2 2 4 3" xfId="34089"/>
    <cellStyle name="Normal 2 3 2 3 4 2 2 5" xfId="16485"/>
    <cellStyle name="Normal 2 3 2 3 4 2 2 5 2" xfId="34090"/>
    <cellStyle name="Normal 2 3 2 3 4 2 2 6" xfId="16486"/>
    <cellStyle name="Normal 2 3 2 3 4 2 3" xfId="16487"/>
    <cellStyle name="Normal 2 3 2 3 4 2 3 2" xfId="16488"/>
    <cellStyle name="Normal 2 3 2 3 4 2 3 2 2" xfId="34091"/>
    <cellStyle name="Normal 2 3 2 3 4 2 3 3" xfId="34092"/>
    <cellStyle name="Normal 2 3 2 3 4 2 4" xfId="16489"/>
    <cellStyle name="Normal 2 3 2 3 4 2 4 2" xfId="16490"/>
    <cellStyle name="Normal 2 3 2 3 4 2 4 2 2" xfId="34093"/>
    <cellStyle name="Normal 2 3 2 3 4 2 4 3" xfId="34094"/>
    <cellStyle name="Normal 2 3 2 3 4 2 5" xfId="16491"/>
    <cellStyle name="Normal 2 3 2 3 4 2 5 2" xfId="16492"/>
    <cellStyle name="Normal 2 3 2 3 4 2 5 2 2" xfId="34095"/>
    <cellStyle name="Normal 2 3 2 3 4 2 5 3" xfId="34096"/>
    <cellStyle name="Normal 2 3 2 3 4 2 6" xfId="16493"/>
    <cellStyle name="Normal 2 3 2 3 4 2 6 2" xfId="34097"/>
    <cellStyle name="Normal 2 3 2 3 4 2 7" xfId="16494"/>
    <cellStyle name="Normal 2 3 2 3 4 3" xfId="586"/>
    <cellStyle name="Normal 2 3 2 3 4 3 2" xfId="2116"/>
    <cellStyle name="Normal 2 3 2 3 4 3 2 2" xfId="16495"/>
    <cellStyle name="Normal 2 3 2 3 4 3 2 2 2" xfId="16496"/>
    <cellStyle name="Normal 2 3 2 3 4 3 2 2 2 2" xfId="34098"/>
    <cellStyle name="Normal 2 3 2 3 4 3 2 2 3" xfId="34099"/>
    <cellStyle name="Normal 2 3 2 3 4 3 2 3" xfId="16497"/>
    <cellStyle name="Normal 2 3 2 3 4 3 2 3 2" xfId="16498"/>
    <cellStyle name="Normal 2 3 2 3 4 3 2 3 2 2" xfId="34100"/>
    <cellStyle name="Normal 2 3 2 3 4 3 2 3 3" xfId="34101"/>
    <cellStyle name="Normal 2 3 2 3 4 3 2 4" xfId="16499"/>
    <cellStyle name="Normal 2 3 2 3 4 3 2 4 2" xfId="16500"/>
    <cellStyle name="Normal 2 3 2 3 4 3 2 4 2 2" xfId="34102"/>
    <cellStyle name="Normal 2 3 2 3 4 3 2 4 3" xfId="34103"/>
    <cellStyle name="Normal 2 3 2 3 4 3 2 5" xfId="16501"/>
    <cellStyle name="Normal 2 3 2 3 4 3 2 5 2" xfId="34104"/>
    <cellStyle name="Normal 2 3 2 3 4 3 2 6" xfId="16502"/>
    <cellStyle name="Normal 2 3 2 3 4 3 3" xfId="16503"/>
    <cellStyle name="Normal 2 3 2 3 4 3 3 2" xfId="16504"/>
    <cellStyle name="Normal 2 3 2 3 4 3 3 2 2" xfId="34105"/>
    <cellStyle name="Normal 2 3 2 3 4 3 3 3" xfId="34106"/>
    <cellStyle name="Normal 2 3 2 3 4 3 4" xfId="16505"/>
    <cellStyle name="Normal 2 3 2 3 4 3 4 2" xfId="16506"/>
    <cellStyle name="Normal 2 3 2 3 4 3 4 2 2" xfId="34107"/>
    <cellStyle name="Normal 2 3 2 3 4 3 4 3" xfId="34108"/>
    <cellStyle name="Normal 2 3 2 3 4 3 5" xfId="16507"/>
    <cellStyle name="Normal 2 3 2 3 4 3 5 2" xfId="16508"/>
    <cellStyle name="Normal 2 3 2 3 4 3 5 2 2" xfId="34109"/>
    <cellStyle name="Normal 2 3 2 3 4 3 5 3" xfId="34110"/>
    <cellStyle name="Normal 2 3 2 3 4 3 6" xfId="16509"/>
    <cellStyle name="Normal 2 3 2 3 4 3 6 2" xfId="34111"/>
    <cellStyle name="Normal 2 3 2 3 4 3 7" xfId="16510"/>
    <cellStyle name="Normal 2 3 2 3 4 4" xfId="2117"/>
    <cellStyle name="Normal 2 3 2 3 4 4 2" xfId="16511"/>
    <cellStyle name="Normal 2 3 2 3 4 4 2 2" xfId="16512"/>
    <cellStyle name="Normal 2 3 2 3 4 4 2 2 2" xfId="34112"/>
    <cellStyle name="Normal 2 3 2 3 4 4 2 3" xfId="34113"/>
    <cellStyle name="Normal 2 3 2 3 4 4 3" xfId="16513"/>
    <cellStyle name="Normal 2 3 2 3 4 4 3 2" xfId="16514"/>
    <cellStyle name="Normal 2 3 2 3 4 4 3 2 2" xfId="34114"/>
    <cellStyle name="Normal 2 3 2 3 4 4 3 3" xfId="34115"/>
    <cellStyle name="Normal 2 3 2 3 4 4 4" xfId="16515"/>
    <cellStyle name="Normal 2 3 2 3 4 4 4 2" xfId="16516"/>
    <cellStyle name="Normal 2 3 2 3 4 4 4 2 2" xfId="34116"/>
    <cellStyle name="Normal 2 3 2 3 4 4 4 3" xfId="34117"/>
    <cellStyle name="Normal 2 3 2 3 4 4 5" xfId="16517"/>
    <cellStyle name="Normal 2 3 2 3 4 4 5 2" xfId="34118"/>
    <cellStyle name="Normal 2 3 2 3 4 4 6" xfId="16518"/>
    <cellStyle name="Normal 2 3 2 3 4 5" xfId="16519"/>
    <cellStyle name="Normal 2 3 2 3 4 5 2" xfId="16520"/>
    <cellStyle name="Normal 2 3 2 3 4 5 2 2" xfId="34119"/>
    <cellStyle name="Normal 2 3 2 3 4 5 3" xfId="34120"/>
    <cellStyle name="Normal 2 3 2 3 4 6" xfId="16521"/>
    <cellStyle name="Normal 2 3 2 3 4 6 2" xfId="16522"/>
    <cellStyle name="Normal 2 3 2 3 4 6 2 2" xfId="34121"/>
    <cellStyle name="Normal 2 3 2 3 4 6 3" xfId="34122"/>
    <cellStyle name="Normal 2 3 2 3 4 7" xfId="16523"/>
    <cellStyle name="Normal 2 3 2 3 4 7 2" xfId="16524"/>
    <cellStyle name="Normal 2 3 2 3 4 7 2 2" xfId="34123"/>
    <cellStyle name="Normal 2 3 2 3 4 7 3" xfId="34124"/>
    <cellStyle name="Normal 2 3 2 3 4 8" xfId="16525"/>
    <cellStyle name="Normal 2 3 2 3 4 8 2" xfId="34125"/>
    <cellStyle name="Normal 2 3 2 3 4 9" xfId="16526"/>
    <cellStyle name="Normal 2 3 2 3 5" xfId="324"/>
    <cellStyle name="Normal 2 3 2 3 5 2" xfId="1112"/>
    <cellStyle name="Normal 2 3 2 3 5 2 2" xfId="2118"/>
    <cellStyle name="Normal 2 3 2 3 5 2 2 2" xfId="16527"/>
    <cellStyle name="Normal 2 3 2 3 5 2 2 2 2" xfId="16528"/>
    <cellStyle name="Normal 2 3 2 3 5 2 2 2 2 2" xfId="34126"/>
    <cellStyle name="Normal 2 3 2 3 5 2 2 2 3" xfId="34127"/>
    <cellStyle name="Normal 2 3 2 3 5 2 2 3" xfId="16529"/>
    <cellStyle name="Normal 2 3 2 3 5 2 2 3 2" xfId="16530"/>
    <cellStyle name="Normal 2 3 2 3 5 2 2 3 2 2" xfId="34128"/>
    <cellStyle name="Normal 2 3 2 3 5 2 2 3 3" xfId="34129"/>
    <cellStyle name="Normal 2 3 2 3 5 2 2 4" xfId="16531"/>
    <cellStyle name="Normal 2 3 2 3 5 2 2 4 2" xfId="16532"/>
    <cellStyle name="Normal 2 3 2 3 5 2 2 4 2 2" xfId="34130"/>
    <cellStyle name="Normal 2 3 2 3 5 2 2 4 3" xfId="34131"/>
    <cellStyle name="Normal 2 3 2 3 5 2 2 5" xfId="16533"/>
    <cellStyle name="Normal 2 3 2 3 5 2 2 5 2" xfId="34132"/>
    <cellStyle name="Normal 2 3 2 3 5 2 2 6" xfId="16534"/>
    <cellStyle name="Normal 2 3 2 3 5 2 3" xfId="16535"/>
    <cellStyle name="Normal 2 3 2 3 5 2 3 2" xfId="16536"/>
    <cellStyle name="Normal 2 3 2 3 5 2 3 2 2" xfId="34133"/>
    <cellStyle name="Normal 2 3 2 3 5 2 3 3" xfId="34134"/>
    <cellStyle name="Normal 2 3 2 3 5 2 4" xfId="16537"/>
    <cellStyle name="Normal 2 3 2 3 5 2 4 2" xfId="16538"/>
    <cellStyle name="Normal 2 3 2 3 5 2 4 2 2" xfId="34135"/>
    <cellStyle name="Normal 2 3 2 3 5 2 4 3" xfId="34136"/>
    <cellStyle name="Normal 2 3 2 3 5 2 5" xfId="16539"/>
    <cellStyle name="Normal 2 3 2 3 5 2 5 2" xfId="16540"/>
    <cellStyle name="Normal 2 3 2 3 5 2 5 2 2" xfId="34137"/>
    <cellStyle name="Normal 2 3 2 3 5 2 5 3" xfId="34138"/>
    <cellStyle name="Normal 2 3 2 3 5 2 6" xfId="16541"/>
    <cellStyle name="Normal 2 3 2 3 5 2 6 2" xfId="34139"/>
    <cellStyle name="Normal 2 3 2 3 5 2 7" xfId="16542"/>
    <cellStyle name="Normal 2 3 2 3 5 3" xfId="744"/>
    <cellStyle name="Normal 2 3 2 3 5 3 2" xfId="2119"/>
    <cellStyle name="Normal 2 3 2 3 5 3 2 2" xfId="16543"/>
    <cellStyle name="Normal 2 3 2 3 5 3 2 2 2" xfId="16544"/>
    <cellStyle name="Normal 2 3 2 3 5 3 2 2 2 2" xfId="34140"/>
    <cellStyle name="Normal 2 3 2 3 5 3 2 2 3" xfId="34141"/>
    <cellStyle name="Normal 2 3 2 3 5 3 2 3" xfId="16545"/>
    <cellStyle name="Normal 2 3 2 3 5 3 2 3 2" xfId="16546"/>
    <cellStyle name="Normal 2 3 2 3 5 3 2 3 2 2" xfId="34142"/>
    <cellStyle name="Normal 2 3 2 3 5 3 2 3 3" xfId="34143"/>
    <cellStyle name="Normal 2 3 2 3 5 3 2 4" xfId="16547"/>
    <cellStyle name="Normal 2 3 2 3 5 3 2 4 2" xfId="16548"/>
    <cellStyle name="Normal 2 3 2 3 5 3 2 4 2 2" xfId="34144"/>
    <cellStyle name="Normal 2 3 2 3 5 3 2 4 3" xfId="34145"/>
    <cellStyle name="Normal 2 3 2 3 5 3 2 5" xfId="16549"/>
    <cellStyle name="Normal 2 3 2 3 5 3 2 5 2" xfId="34146"/>
    <cellStyle name="Normal 2 3 2 3 5 3 2 6" xfId="16550"/>
    <cellStyle name="Normal 2 3 2 3 5 3 3" xfId="16551"/>
    <cellStyle name="Normal 2 3 2 3 5 3 3 2" xfId="16552"/>
    <cellStyle name="Normal 2 3 2 3 5 3 3 2 2" xfId="34147"/>
    <cellStyle name="Normal 2 3 2 3 5 3 3 3" xfId="34148"/>
    <cellStyle name="Normal 2 3 2 3 5 3 4" xfId="16553"/>
    <cellStyle name="Normal 2 3 2 3 5 3 4 2" xfId="16554"/>
    <cellStyle name="Normal 2 3 2 3 5 3 4 2 2" xfId="34149"/>
    <cellStyle name="Normal 2 3 2 3 5 3 4 3" xfId="34150"/>
    <cellStyle name="Normal 2 3 2 3 5 3 5" xfId="16555"/>
    <cellStyle name="Normal 2 3 2 3 5 3 5 2" xfId="16556"/>
    <cellStyle name="Normal 2 3 2 3 5 3 5 2 2" xfId="34151"/>
    <cellStyle name="Normal 2 3 2 3 5 3 5 3" xfId="34152"/>
    <cellStyle name="Normal 2 3 2 3 5 3 6" xfId="16557"/>
    <cellStyle name="Normal 2 3 2 3 5 3 6 2" xfId="34153"/>
    <cellStyle name="Normal 2 3 2 3 5 3 7" xfId="16558"/>
    <cellStyle name="Normal 2 3 2 3 5 4" xfId="2120"/>
    <cellStyle name="Normal 2 3 2 3 5 4 2" xfId="16559"/>
    <cellStyle name="Normal 2 3 2 3 5 4 2 2" xfId="16560"/>
    <cellStyle name="Normal 2 3 2 3 5 4 2 2 2" xfId="34154"/>
    <cellStyle name="Normal 2 3 2 3 5 4 2 3" xfId="34155"/>
    <cellStyle name="Normal 2 3 2 3 5 4 3" xfId="16561"/>
    <cellStyle name="Normal 2 3 2 3 5 4 3 2" xfId="16562"/>
    <cellStyle name="Normal 2 3 2 3 5 4 3 2 2" xfId="34156"/>
    <cellStyle name="Normal 2 3 2 3 5 4 3 3" xfId="34157"/>
    <cellStyle name="Normal 2 3 2 3 5 4 4" xfId="16563"/>
    <cellStyle name="Normal 2 3 2 3 5 4 4 2" xfId="16564"/>
    <cellStyle name="Normal 2 3 2 3 5 4 4 2 2" xfId="34158"/>
    <cellStyle name="Normal 2 3 2 3 5 4 4 3" xfId="34159"/>
    <cellStyle name="Normal 2 3 2 3 5 4 5" xfId="16565"/>
    <cellStyle name="Normal 2 3 2 3 5 4 5 2" xfId="34160"/>
    <cellStyle name="Normal 2 3 2 3 5 4 6" xfId="16566"/>
    <cellStyle name="Normal 2 3 2 3 5 5" xfId="16567"/>
    <cellStyle name="Normal 2 3 2 3 5 5 2" xfId="16568"/>
    <cellStyle name="Normal 2 3 2 3 5 5 2 2" xfId="34161"/>
    <cellStyle name="Normal 2 3 2 3 5 5 3" xfId="34162"/>
    <cellStyle name="Normal 2 3 2 3 5 6" xfId="16569"/>
    <cellStyle name="Normal 2 3 2 3 5 6 2" xfId="16570"/>
    <cellStyle name="Normal 2 3 2 3 5 6 2 2" xfId="34163"/>
    <cellStyle name="Normal 2 3 2 3 5 6 3" xfId="34164"/>
    <cellStyle name="Normal 2 3 2 3 5 7" xfId="16571"/>
    <cellStyle name="Normal 2 3 2 3 5 7 2" xfId="16572"/>
    <cellStyle name="Normal 2 3 2 3 5 7 2 2" xfId="34165"/>
    <cellStyle name="Normal 2 3 2 3 5 7 3" xfId="34166"/>
    <cellStyle name="Normal 2 3 2 3 5 8" xfId="16573"/>
    <cellStyle name="Normal 2 3 2 3 5 8 2" xfId="34167"/>
    <cellStyle name="Normal 2 3 2 3 5 9" xfId="16574"/>
    <cellStyle name="Normal 2 3 2 3 6" xfId="113"/>
    <cellStyle name="Normal 2 3 2 3 6 2" xfId="534"/>
    <cellStyle name="Normal 2 3 2 3 6 2 2" xfId="2121"/>
    <cellStyle name="Normal 2 3 2 3 6 2 2 2" xfId="16575"/>
    <cellStyle name="Normal 2 3 2 3 6 2 2 2 2" xfId="16576"/>
    <cellStyle name="Normal 2 3 2 3 6 2 2 2 2 2" xfId="34168"/>
    <cellStyle name="Normal 2 3 2 3 6 2 2 2 3" xfId="34169"/>
    <cellStyle name="Normal 2 3 2 3 6 2 2 3" xfId="16577"/>
    <cellStyle name="Normal 2 3 2 3 6 2 2 3 2" xfId="16578"/>
    <cellStyle name="Normal 2 3 2 3 6 2 2 3 2 2" xfId="34170"/>
    <cellStyle name="Normal 2 3 2 3 6 2 2 3 3" xfId="34171"/>
    <cellStyle name="Normal 2 3 2 3 6 2 2 4" xfId="16579"/>
    <cellStyle name="Normal 2 3 2 3 6 2 2 4 2" xfId="16580"/>
    <cellStyle name="Normal 2 3 2 3 6 2 2 4 2 2" xfId="34172"/>
    <cellStyle name="Normal 2 3 2 3 6 2 2 4 3" xfId="34173"/>
    <cellStyle name="Normal 2 3 2 3 6 2 2 5" xfId="16581"/>
    <cellStyle name="Normal 2 3 2 3 6 2 2 5 2" xfId="34174"/>
    <cellStyle name="Normal 2 3 2 3 6 2 2 6" xfId="16582"/>
    <cellStyle name="Normal 2 3 2 3 6 2 3" xfId="16583"/>
    <cellStyle name="Normal 2 3 2 3 6 2 3 2" xfId="16584"/>
    <cellStyle name="Normal 2 3 2 3 6 2 3 2 2" xfId="34175"/>
    <cellStyle name="Normal 2 3 2 3 6 2 3 3" xfId="34176"/>
    <cellStyle name="Normal 2 3 2 3 6 2 4" xfId="16585"/>
    <cellStyle name="Normal 2 3 2 3 6 2 4 2" xfId="16586"/>
    <cellStyle name="Normal 2 3 2 3 6 2 4 2 2" xfId="34177"/>
    <cellStyle name="Normal 2 3 2 3 6 2 4 3" xfId="34178"/>
    <cellStyle name="Normal 2 3 2 3 6 2 5" xfId="16587"/>
    <cellStyle name="Normal 2 3 2 3 6 2 5 2" xfId="16588"/>
    <cellStyle name="Normal 2 3 2 3 6 2 5 2 2" xfId="34179"/>
    <cellStyle name="Normal 2 3 2 3 6 2 5 3" xfId="34180"/>
    <cellStyle name="Normal 2 3 2 3 6 2 6" xfId="16589"/>
    <cellStyle name="Normal 2 3 2 3 6 2 6 2" xfId="34181"/>
    <cellStyle name="Normal 2 3 2 3 6 2 7" xfId="16590"/>
    <cellStyle name="Normal 2 3 2 3 6 3" xfId="2122"/>
    <cellStyle name="Normal 2 3 2 3 6 3 2" xfId="16591"/>
    <cellStyle name="Normal 2 3 2 3 6 3 2 2" xfId="16592"/>
    <cellStyle name="Normal 2 3 2 3 6 3 2 2 2" xfId="34182"/>
    <cellStyle name="Normal 2 3 2 3 6 3 2 3" xfId="34183"/>
    <cellStyle name="Normal 2 3 2 3 6 3 3" xfId="16593"/>
    <cellStyle name="Normal 2 3 2 3 6 3 3 2" xfId="16594"/>
    <cellStyle name="Normal 2 3 2 3 6 3 3 2 2" xfId="34184"/>
    <cellStyle name="Normal 2 3 2 3 6 3 3 3" xfId="34185"/>
    <cellStyle name="Normal 2 3 2 3 6 3 4" xfId="16595"/>
    <cellStyle name="Normal 2 3 2 3 6 3 4 2" xfId="16596"/>
    <cellStyle name="Normal 2 3 2 3 6 3 4 2 2" xfId="34186"/>
    <cellStyle name="Normal 2 3 2 3 6 3 4 3" xfId="34187"/>
    <cellStyle name="Normal 2 3 2 3 6 3 5" xfId="16597"/>
    <cellStyle name="Normal 2 3 2 3 6 3 5 2" xfId="34188"/>
    <cellStyle name="Normal 2 3 2 3 6 3 6" xfId="16598"/>
    <cellStyle name="Normal 2 3 2 3 6 4" xfId="16599"/>
    <cellStyle name="Normal 2 3 2 3 6 4 2" xfId="16600"/>
    <cellStyle name="Normal 2 3 2 3 6 4 2 2" xfId="34189"/>
    <cellStyle name="Normal 2 3 2 3 6 4 3" xfId="34190"/>
    <cellStyle name="Normal 2 3 2 3 6 5" xfId="16601"/>
    <cellStyle name="Normal 2 3 2 3 6 5 2" xfId="16602"/>
    <cellStyle name="Normal 2 3 2 3 6 5 2 2" xfId="34191"/>
    <cellStyle name="Normal 2 3 2 3 6 5 3" xfId="34192"/>
    <cellStyle name="Normal 2 3 2 3 6 6" xfId="16603"/>
    <cellStyle name="Normal 2 3 2 3 6 6 2" xfId="16604"/>
    <cellStyle name="Normal 2 3 2 3 6 6 2 2" xfId="34193"/>
    <cellStyle name="Normal 2 3 2 3 6 6 3" xfId="34194"/>
    <cellStyle name="Normal 2 3 2 3 6 7" xfId="16605"/>
    <cellStyle name="Normal 2 3 2 3 6 7 2" xfId="34195"/>
    <cellStyle name="Normal 2 3 2 3 6 8" xfId="16606"/>
    <cellStyle name="Normal 2 3 2 3 7" xfId="902"/>
    <cellStyle name="Normal 2 3 2 3 7 2" xfId="2123"/>
    <cellStyle name="Normal 2 3 2 3 7 2 2" xfId="16607"/>
    <cellStyle name="Normal 2 3 2 3 7 2 2 2" xfId="16608"/>
    <cellStyle name="Normal 2 3 2 3 7 2 2 2 2" xfId="34196"/>
    <cellStyle name="Normal 2 3 2 3 7 2 2 3" xfId="34197"/>
    <cellStyle name="Normal 2 3 2 3 7 2 3" xfId="16609"/>
    <cellStyle name="Normal 2 3 2 3 7 2 3 2" xfId="16610"/>
    <cellStyle name="Normal 2 3 2 3 7 2 3 2 2" xfId="34198"/>
    <cellStyle name="Normal 2 3 2 3 7 2 3 3" xfId="34199"/>
    <cellStyle name="Normal 2 3 2 3 7 2 4" xfId="16611"/>
    <cellStyle name="Normal 2 3 2 3 7 2 4 2" xfId="16612"/>
    <cellStyle name="Normal 2 3 2 3 7 2 4 2 2" xfId="34200"/>
    <cellStyle name="Normal 2 3 2 3 7 2 4 3" xfId="34201"/>
    <cellStyle name="Normal 2 3 2 3 7 2 5" xfId="16613"/>
    <cellStyle name="Normal 2 3 2 3 7 2 5 2" xfId="34202"/>
    <cellStyle name="Normal 2 3 2 3 7 2 6" xfId="16614"/>
    <cellStyle name="Normal 2 3 2 3 7 3" xfId="16615"/>
    <cellStyle name="Normal 2 3 2 3 7 3 2" xfId="16616"/>
    <cellStyle name="Normal 2 3 2 3 7 3 2 2" xfId="34203"/>
    <cellStyle name="Normal 2 3 2 3 7 3 3" xfId="34204"/>
    <cellStyle name="Normal 2 3 2 3 7 4" xfId="16617"/>
    <cellStyle name="Normal 2 3 2 3 7 4 2" xfId="16618"/>
    <cellStyle name="Normal 2 3 2 3 7 4 2 2" xfId="34205"/>
    <cellStyle name="Normal 2 3 2 3 7 4 3" xfId="34206"/>
    <cellStyle name="Normal 2 3 2 3 7 5" xfId="16619"/>
    <cellStyle name="Normal 2 3 2 3 7 5 2" xfId="16620"/>
    <cellStyle name="Normal 2 3 2 3 7 5 2 2" xfId="34207"/>
    <cellStyle name="Normal 2 3 2 3 7 5 3" xfId="34208"/>
    <cellStyle name="Normal 2 3 2 3 7 6" xfId="16621"/>
    <cellStyle name="Normal 2 3 2 3 7 6 2" xfId="34209"/>
    <cellStyle name="Normal 2 3 2 3 7 7" xfId="16622"/>
    <cellStyle name="Normal 2 3 2 3 8" xfId="493"/>
    <cellStyle name="Normal 2 3 2 3 8 2" xfId="2124"/>
    <cellStyle name="Normal 2 3 2 3 8 2 2" xfId="16623"/>
    <cellStyle name="Normal 2 3 2 3 8 2 2 2" xfId="16624"/>
    <cellStyle name="Normal 2 3 2 3 8 2 2 2 2" xfId="34210"/>
    <cellStyle name="Normal 2 3 2 3 8 2 2 3" xfId="34211"/>
    <cellStyle name="Normal 2 3 2 3 8 2 3" xfId="16625"/>
    <cellStyle name="Normal 2 3 2 3 8 2 3 2" xfId="16626"/>
    <cellStyle name="Normal 2 3 2 3 8 2 3 2 2" xfId="34212"/>
    <cellStyle name="Normal 2 3 2 3 8 2 3 3" xfId="34213"/>
    <cellStyle name="Normal 2 3 2 3 8 2 4" xfId="16627"/>
    <cellStyle name="Normal 2 3 2 3 8 2 4 2" xfId="16628"/>
    <cellStyle name="Normal 2 3 2 3 8 2 4 2 2" xfId="34214"/>
    <cellStyle name="Normal 2 3 2 3 8 2 4 3" xfId="34215"/>
    <cellStyle name="Normal 2 3 2 3 8 2 5" xfId="16629"/>
    <cellStyle name="Normal 2 3 2 3 8 2 5 2" xfId="34216"/>
    <cellStyle name="Normal 2 3 2 3 8 2 6" xfId="16630"/>
    <cellStyle name="Normal 2 3 2 3 8 3" xfId="16631"/>
    <cellStyle name="Normal 2 3 2 3 8 3 2" xfId="16632"/>
    <cellStyle name="Normal 2 3 2 3 8 3 2 2" xfId="34217"/>
    <cellStyle name="Normal 2 3 2 3 8 3 3" xfId="34218"/>
    <cellStyle name="Normal 2 3 2 3 8 4" xfId="16633"/>
    <cellStyle name="Normal 2 3 2 3 8 4 2" xfId="16634"/>
    <cellStyle name="Normal 2 3 2 3 8 4 2 2" xfId="34219"/>
    <cellStyle name="Normal 2 3 2 3 8 4 3" xfId="34220"/>
    <cellStyle name="Normal 2 3 2 3 8 5" xfId="16635"/>
    <cellStyle name="Normal 2 3 2 3 8 5 2" xfId="16636"/>
    <cellStyle name="Normal 2 3 2 3 8 5 2 2" xfId="34221"/>
    <cellStyle name="Normal 2 3 2 3 8 5 3" xfId="34222"/>
    <cellStyle name="Normal 2 3 2 3 8 6" xfId="16637"/>
    <cellStyle name="Normal 2 3 2 3 8 6 2" xfId="34223"/>
    <cellStyle name="Normal 2 3 2 3 8 7" xfId="16638"/>
    <cellStyle name="Normal 2 3 2 3 9" xfId="2125"/>
    <cellStyle name="Normal 2 3 2 3 9 2" xfId="16639"/>
    <cellStyle name="Normal 2 3 2 3 9 2 2" xfId="16640"/>
    <cellStyle name="Normal 2 3 2 3 9 2 2 2" xfId="34224"/>
    <cellStyle name="Normal 2 3 2 3 9 2 3" xfId="34225"/>
    <cellStyle name="Normal 2 3 2 3 9 3" xfId="16641"/>
    <cellStyle name="Normal 2 3 2 3 9 3 2" xfId="16642"/>
    <cellStyle name="Normal 2 3 2 3 9 3 2 2" xfId="34226"/>
    <cellStyle name="Normal 2 3 2 3 9 3 3" xfId="34227"/>
    <cellStyle name="Normal 2 3 2 3 9 4" xfId="16643"/>
    <cellStyle name="Normal 2 3 2 3 9 4 2" xfId="16644"/>
    <cellStyle name="Normal 2 3 2 3 9 4 2 2" xfId="34228"/>
    <cellStyle name="Normal 2 3 2 3 9 4 3" xfId="34229"/>
    <cellStyle name="Normal 2 3 2 3 9 5" xfId="16645"/>
    <cellStyle name="Normal 2 3 2 3 9 5 2" xfId="34230"/>
    <cellStyle name="Normal 2 3 2 3 9 6" xfId="16646"/>
    <cellStyle name="Normal 2 3 2 4" xfId="228"/>
    <cellStyle name="Normal 2 3 2 4 10" xfId="16647"/>
    <cellStyle name="Normal 2 3 2 4 2" xfId="386"/>
    <cellStyle name="Normal 2 3 2 4 2 2" xfId="1174"/>
    <cellStyle name="Normal 2 3 2 4 2 2 2" xfId="2126"/>
    <cellStyle name="Normal 2 3 2 4 2 2 2 2" xfId="16648"/>
    <cellStyle name="Normal 2 3 2 4 2 2 2 2 2" xfId="16649"/>
    <cellStyle name="Normal 2 3 2 4 2 2 2 2 2 2" xfId="34231"/>
    <cellStyle name="Normal 2 3 2 4 2 2 2 2 3" xfId="34232"/>
    <cellStyle name="Normal 2 3 2 4 2 2 2 3" xfId="16650"/>
    <cellStyle name="Normal 2 3 2 4 2 2 2 3 2" xfId="16651"/>
    <cellStyle name="Normal 2 3 2 4 2 2 2 3 2 2" xfId="34233"/>
    <cellStyle name="Normal 2 3 2 4 2 2 2 3 3" xfId="34234"/>
    <cellStyle name="Normal 2 3 2 4 2 2 2 4" xfId="16652"/>
    <cellStyle name="Normal 2 3 2 4 2 2 2 4 2" xfId="16653"/>
    <cellStyle name="Normal 2 3 2 4 2 2 2 4 2 2" xfId="34235"/>
    <cellStyle name="Normal 2 3 2 4 2 2 2 4 3" xfId="34236"/>
    <cellStyle name="Normal 2 3 2 4 2 2 2 5" xfId="16654"/>
    <cellStyle name="Normal 2 3 2 4 2 2 2 5 2" xfId="34237"/>
    <cellStyle name="Normal 2 3 2 4 2 2 2 6" xfId="16655"/>
    <cellStyle name="Normal 2 3 2 4 2 2 3" xfId="16656"/>
    <cellStyle name="Normal 2 3 2 4 2 2 3 2" xfId="16657"/>
    <cellStyle name="Normal 2 3 2 4 2 2 3 2 2" xfId="34238"/>
    <cellStyle name="Normal 2 3 2 4 2 2 3 3" xfId="34239"/>
    <cellStyle name="Normal 2 3 2 4 2 2 4" xfId="16658"/>
    <cellStyle name="Normal 2 3 2 4 2 2 4 2" xfId="16659"/>
    <cellStyle name="Normal 2 3 2 4 2 2 4 2 2" xfId="34240"/>
    <cellStyle name="Normal 2 3 2 4 2 2 4 3" xfId="34241"/>
    <cellStyle name="Normal 2 3 2 4 2 2 5" xfId="16660"/>
    <cellStyle name="Normal 2 3 2 4 2 2 5 2" xfId="16661"/>
    <cellStyle name="Normal 2 3 2 4 2 2 5 2 2" xfId="34242"/>
    <cellStyle name="Normal 2 3 2 4 2 2 5 3" xfId="34243"/>
    <cellStyle name="Normal 2 3 2 4 2 2 6" xfId="16662"/>
    <cellStyle name="Normal 2 3 2 4 2 2 6 2" xfId="34244"/>
    <cellStyle name="Normal 2 3 2 4 2 2 7" xfId="16663"/>
    <cellStyle name="Normal 2 3 2 4 2 3" xfId="806"/>
    <cellStyle name="Normal 2 3 2 4 2 3 2" xfId="2127"/>
    <cellStyle name="Normal 2 3 2 4 2 3 2 2" xfId="16664"/>
    <cellStyle name="Normal 2 3 2 4 2 3 2 2 2" xfId="16665"/>
    <cellStyle name="Normal 2 3 2 4 2 3 2 2 2 2" xfId="34245"/>
    <cellStyle name="Normal 2 3 2 4 2 3 2 2 3" xfId="34246"/>
    <cellStyle name="Normal 2 3 2 4 2 3 2 3" xfId="16666"/>
    <cellStyle name="Normal 2 3 2 4 2 3 2 3 2" xfId="16667"/>
    <cellStyle name="Normal 2 3 2 4 2 3 2 3 2 2" xfId="34247"/>
    <cellStyle name="Normal 2 3 2 4 2 3 2 3 3" xfId="34248"/>
    <cellStyle name="Normal 2 3 2 4 2 3 2 4" xfId="16668"/>
    <cellStyle name="Normal 2 3 2 4 2 3 2 4 2" xfId="16669"/>
    <cellStyle name="Normal 2 3 2 4 2 3 2 4 2 2" xfId="34249"/>
    <cellStyle name="Normal 2 3 2 4 2 3 2 4 3" xfId="34250"/>
    <cellStyle name="Normal 2 3 2 4 2 3 2 5" xfId="16670"/>
    <cellStyle name="Normal 2 3 2 4 2 3 2 5 2" xfId="34251"/>
    <cellStyle name="Normal 2 3 2 4 2 3 2 6" xfId="16671"/>
    <cellStyle name="Normal 2 3 2 4 2 3 3" xfId="16672"/>
    <cellStyle name="Normal 2 3 2 4 2 3 3 2" xfId="16673"/>
    <cellStyle name="Normal 2 3 2 4 2 3 3 2 2" xfId="34252"/>
    <cellStyle name="Normal 2 3 2 4 2 3 3 3" xfId="34253"/>
    <cellStyle name="Normal 2 3 2 4 2 3 4" xfId="16674"/>
    <cellStyle name="Normal 2 3 2 4 2 3 4 2" xfId="16675"/>
    <cellStyle name="Normal 2 3 2 4 2 3 4 2 2" xfId="34254"/>
    <cellStyle name="Normal 2 3 2 4 2 3 4 3" xfId="34255"/>
    <cellStyle name="Normal 2 3 2 4 2 3 5" xfId="16676"/>
    <cellStyle name="Normal 2 3 2 4 2 3 5 2" xfId="16677"/>
    <cellStyle name="Normal 2 3 2 4 2 3 5 2 2" xfId="34256"/>
    <cellStyle name="Normal 2 3 2 4 2 3 5 3" xfId="34257"/>
    <cellStyle name="Normal 2 3 2 4 2 3 6" xfId="16678"/>
    <cellStyle name="Normal 2 3 2 4 2 3 6 2" xfId="34258"/>
    <cellStyle name="Normal 2 3 2 4 2 3 7" xfId="16679"/>
    <cellStyle name="Normal 2 3 2 4 2 4" xfId="2128"/>
    <cellStyle name="Normal 2 3 2 4 2 4 2" xfId="16680"/>
    <cellStyle name="Normal 2 3 2 4 2 4 2 2" xfId="16681"/>
    <cellStyle name="Normal 2 3 2 4 2 4 2 2 2" xfId="34259"/>
    <cellStyle name="Normal 2 3 2 4 2 4 2 3" xfId="34260"/>
    <cellStyle name="Normal 2 3 2 4 2 4 3" xfId="16682"/>
    <cellStyle name="Normal 2 3 2 4 2 4 3 2" xfId="16683"/>
    <cellStyle name="Normal 2 3 2 4 2 4 3 2 2" xfId="34261"/>
    <cellStyle name="Normal 2 3 2 4 2 4 3 3" xfId="34262"/>
    <cellStyle name="Normal 2 3 2 4 2 4 4" xfId="16684"/>
    <cellStyle name="Normal 2 3 2 4 2 4 4 2" xfId="16685"/>
    <cellStyle name="Normal 2 3 2 4 2 4 4 2 2" xfId="34263"/>
    <cellStyle name="Normal 2 3 2 4 2 4 4 3" xfId="34264"/>
    <cellStyle name="Normal 2 3 2 4 2 4 5" xfId="16686"/>
    <cellStyle name="Normal 2 3 2 4 2 4 5 2" xfId="34265"/>
    <cellStyle name="Normal 2 3 2 4 2 4 6" xfId="16687"/>
    <cellStyle name="Normal 2 3 2 4 2 5" xfId="16688"/>
    <cellStyle name="Normal 2 3 2 4 2 5 2" xfId="16689"/>
    <cellStyle name="Normal 2 3 2 4 2 5 2 2" xfId="34266"/>
    <cellStyle name="Normal 2 3 2 4 2 5 3" xfId="34267"/>
    <cellStyle name="Normal 2 3 2 4 2 6" xfId="16690"/>
    <cellStyle name="Normal 2 3 2 4 2 6 2" xfId="16691"/>
    <cellStyle name="Normal 2 3 2 4 2 6 2 2" xfId="34268"/>
    <cellStyle name="Normal 2 3 2 4 2 6 3" xfId="34269"/>
    <cellStyle name="Normal 2 3 2 4 2 7" xfId="16692"/>
    <cellStyle name="Normal 2 3 2 4 2 7 2" xfId="16693"/>
    <cellStyle name="Normal 2 3 2 4 2 7 2 2" xfId="34270"/>
    <cellStyle name="Normal 2 3 2 4 2 7 3" xfId="34271"/>
    <cellStyle name="Normal 2 3 2 4 2 8" xfId="16694"/>
    <cellStyle name="Normal 2 3 2 4 2 8 2" xfId="34272"/>
    <cellStyle name="Normal 2 3 2 4 2 9" xfId="16695"/>
    <cellStyle name="Normal 2 3 2 4 3" xfId="1016"/>
    <cellStyle name="Normal 2 3 2 4 3 2" xfId="2129"/>
    <cellStyle name="Normal 2 3 2 4 3 2 2" xfId="16696"/>
    <cellStyle name="Normal 2 3 2 4 3 2 2 2" xfId="16697"/>
    <cellStyle name="Normal 2 3 2 4 3 2 2 2 2" xfId="34273"/>
    <cellStyle name="Normal 2 3 2 4 3 2 2 3" xfId="34274"/>
    <cellStyle name="Normal 2 3 2 4 3 2 3" xfId="16698"/>
    <cellStyle name="Normal 2 3 2 4 3 2 3 2" xfId="16699"/>
    <cellStyle name="Normal 2 3 2 4 3 2 3 2 2" xfId="34275"/>
    <cellStyle name="Normal 2 3 2 4 3 2 3 3" xfId="34276"/>
    <cellStyle name="Normal 2 3 2 4 3 2 4" xfId="16700"/>
    <cellStyle name="Normal 2 3 2 4 3 2 4 2" xfId="16701"/>
    <cellStyle name="Normal 2 3 2 4 3 2 4 2 2" xfId="34277"/>
    <cellStyle name="Normal 2 3 2 4 3 2 4 3" xfId="34278"/>
    <cellStyle name="Normal 2 3 2 4 3 2 5" xfId="16702"/>
    <cellStyle name="Normal 2 3 2 4 3 2 5 2" xfId="34279"/>
    <cellStyle name="Normal 2 3 2 4 3 2 6" xfId="16703"/>
    <cellStyle name="Normal 2 3 2 4 3 3" xfId="16704"/>
    <cellStyle name="Normal 2 3 2 4 3 3 2" xfId="16705"/>
    <cellStyle name="Normal 2 3 2 4 3 3 2 2" xfId="34280"/>
    <cellStyle name="Normal 2 3 2 4 3 3 3" xfId="34281"/>
    <cellStyle name="Normal 2 3 2 4 3 4" xfId="16706"/>
    <cellStyle name="Normal 2 3 2 4 3 4 2" xfId="16707"/>
    <cellStyle name="Normal 2 3 2 4 3 4 2 2" xfId="34282"/>
    <cellStyle name="Normal 2 3 2 4 3 4 3" xfId="34283"/>
    <cellStyle name="Normal 2 3 2 4 3 5" xfId="16708"/>
    <cellStyle name="Normal 2 3 2 4 3 5 2" xfId="16709"/>
    <cellStyle name="Normal 2 3 2 4 3 5 2 2" xfId="34284"/>
    <cellStyle name="Normal 2 3 2 4 3 5 3" xfId="34285"/>
    <cellStyle name="Normal 2 3 2 4 3 6" xfId="16710"/>
    <cellStyle name="Normal 2 3 2 4 3 6 2" xfId="34286"/>
    <cellStyle name="Normal 2 3 2 4 3 7" xfId="16711"/>
    <cellStyle name="Normal 2 3 2 4 4" xfId="648"/>
    <cellStyle name="Normal 2 3 2 4 4 2" xfId="2130"/>
    <cellStyle name="Normal 2 3 2 4 4 2 2" xfId="16712"/>
    <cellStyle name="Normal 2 3 2 4 4 2 2 2" xfId="16713"/>
    <cellStyle name="Normal 2 3 2 4 4 2 2 2 2" xfId="34287"/>
    <cellStyle name="Normal 2 3 2 4 4 2 2 3" xfId="34288"/>
    <cellStyle name="Normal 2 3 2 4 4 2 3" xfId="16714"/>
    <cellStyle name="Normal 2 3 2 4 4 2 3 2" xfId="16715"/>
    <cellStyle name="Normal 2 3 2 4 4 2 3 2 2" xfId="34289"/>
    <cellStyle name="Normal 2 3 2 4 4 2 3 3" xfId="34290"/>
    <cellStyle name="Normal 2 3 2 4 4 2 4" xfId="16716"/>
    <cellStyle name="Normal 2 3 2 4 4 2 4 2" xfId="16717"/>
    <cellStyle name="Normal 2 3 2 4 4 2 4 2 2" xfId="34291"/>
    <cellStyle name="Normal 2 3 2 4 4 2 4 3" xfId="34292"/>
    <cellStyle name="Normal 2 3 2 4 4 2 5" xfId="16718"/>
    <cellStyle name="Normal 2 3 2 4 4 2 5 2" xfId="34293"/>
    <cellStyle name="Normal 2 3 2 4 4 2 6" xfId="16719"/>
    <cellStyle name="Normal 2 3 2 4 4 3" xfId="16720"/>
    <cellStyle name="Normal 2 3 2 4 4 3 2" xfId="16721"/>
    <cellStyle name="Normal 2 3 2 4 4 3 2 2" xfId="34294"/>
    <cellStyle name="Normal 2 3 2 4 4 3 3" xfId="34295"/>
    <cellStyle name="Normal 2 3 2 4 4 4" xfId="16722"/>
    <cellStyle name="Normal 2 3 2 4 4 4 2" xfId="16723"/>
    <cellStyle name="Normal 2 3 2 4 4 4 2 2" xfId="34296"/>
    <cellStyle name="Normal 2 3 2 4 4 4 3" xfId="34297"/>
    <cellStyle name="Normal 2 3 2 4 4 5" xfId="16724"/>
    <cellStyle name="Normal 2 3 2 4 4 5 2" xfId="16725"/>
    <cellStyle name="Normal 2 3 2 4 4 5 2 2" xfId="34298"/>
    <cellStyle name="Normal 2 3 2 4 4 5 3" xfId="34299"/>
    <cellStyle name="Normal 2 3 2 4 4 6" xfId="16726"/>
    <cellStyle name="Normal 2 3 2 4 4 6 2" xfId="34300"/>
    <cellStyle name="Normal 2 3 2 4 4 7" xfId="16727"/>
    <cellStyle name="Normal 2 3 2 4 5" xfId="2131"/>
    <cellStyle name="Normal 2 3 2 4 5 2" xfId="16728"/>
    <cellStyle name="Normal 2 3 2 4 5 2 2" xfId="16729"/>
    <cellStyle name="Normal 2 3 2 4 5 2 2 2" xfId="34301"/>
    <cellStyle name="Normal 2 3 2 4 5 2 3" xfId="34302"/>
    <cellStyle name="Normal 2 3 2 4 5 3" xfId="16730"/>
    <cellStyle name="Normal 2 3 2 4 5 3 2" xfId="16731"/>
    <cellStyle name="Normal 2 3 2 4 5 3 2 2" xfId="34303"/>
    <cellStyle name="Normal 2 3 2 4 5 3 3" xfId="34304"/>
    <cellStyle name="Normal 2 3 2 4 5 4" xfId="16732"/>
    <cellStyle name="Normal 2 3 2 4 5 4 2" xfId="16733"/>
    <cellStyle name="Normal 2 3 2 4 5 4 2 2" xfId="34305"/>
    <cellStyle name="Normal 2 3 2 4 5 4 3" xfId="34306"/>
    <cellStyle name="Normal 2 3 2 4 5 5" xfId="16734"/>
    <cellStyle name="Normal 2 3 2 4 5 5 2" xfId="34307"/>
    <cellStyle name="Normal 2 3 2 4 5 6" xfId="16735"/>
    <cellStyle name="Normal 2 3 2 4 6" xfId="16736"/>
    <cellStyle name="Normal 2 3 2 4 6 2" xfId="16737"/>
    <cellStyle name="Normal 2 3 2 4 6 2 2" xfId="34308"/>
    <cellStyle name="Normal 2 3 2 4 6 3" xfId="34309"/>
    <cellStyle name="Normal 2 3 2 4 7" xfId="16738"/>
    <cellStyle name="Normal 2 3 2 4 7 2" xfId="16739"/>
    <cellStyle name="Normal 2 3 2 4 7 2 2" xfId="34310"/>
    <cellStyle name="Normal 2 3 2 4 7 3" xfId="34311"/>
    <cellStyle name="Normal 2 3 2 4 8" xfId="16740"/>
    <cellStyle name="Normal 2 3 2 4 8 2" xfId="16741"/>
    <cellStyle name="Normal 2 3 2 4 8 2 2" xfId="34312"/>
    <cellStyle name="Normal 2 3 2 4 8 3" xfId="34313"/>
    <cellStyle name="Normal 2 3 2 4 9" xfId="16742"/>
    <cellStyle name="Normal 2 3 2 4 9 2" xfId="34314"/>
    <cellStyle name="Normal 2 3 2 5" xfId="279"/>
    <cellStyle name="Normal 2 3 2 5 10" xfId="16743"/>
    <cellStyle name="Normal 2 3 2 5 2" xfId="437"/>
    <cellStyle name="Normal 2 3 2 5 2 2" xfId="1225"/>
    <cellStyle name="Normal 2 3 2 5 2 2 2" xfId="2132"/>
    <cellStyle name="Normal 2 3 2 5 2 2 2 2" xfId="16744"/>
    <cellStyle name="Normal 2 3 2 5 2 2 2 2 2" xfId="16745"/>
    <cellStyle name="Normal 2 3 2 5 2 2 2 2 2 2" xfId="34315"/>
    <cellStyle name="Normal 2 3 2 5 2 2 2 2 3" xfId="34316"/>
    <cellStyle name="Normal 2 3 2 5 2 2 2 3" xfId="16746"/>
    <cellStyle name="Normal 2 3 2 5 2 2 2 3 2" xfId="16747"/>
    <cellStyle name="Normal 2 3 2 5 2 2 2 3 2 2" xfId="34317"/>
    <cellStyle name="Normal 2 3 2 5 2 2 2 3 3" xfId="34318"/>
    <cellStyle name="Normal 2 3 2 5 2 2 2 4" xfId="16748"/>
    <cellStyle name="Normal 2 3 2 5 2 2 2 4 2" xfId="16749"/>
    <cellStyle name="Normal 2 3 2 5 2 2 2 4 2 2" xfId="34319"/>
    <cellStyle name="Normal 2 3 2 5 2 2 2 4 3" xfId="34320"/>
    <cellStyle name="Normal 2 3 2 5 2 2 2 5" xfId="16750"/>
    <cellStyle name="Normal 2 3 2 5 2 2 2 5 2" xfId="34321"/>
    <cellStyle name="Normal 2 3 2 5 2 2 2 6" xfId="16751"/>
    <cellStyle name="Normal 2 3 2 5 2 2 3" xfId="16752"/>
    <cellStyle name="Normal 2 3 2 5 2 2 3 2" xfId="16753"/>
    <cellStyle name="Normal 2 3 2 5 2 2 3 2 2" xfId="34322"/>
    <cellStyle name="Normal 2 3 2 5 2 2 3 3" xfId="34323"/>
    <cellStyle name="Normal 2 3 2 5 2 2 4" xfId="16754"/>
    <cellStyle name="Normal 2 3 2 5 2 2 4 2" xfId="16755"/>
    <cellStyle name="Normal 2 3 2 5 2 2 4 2 2" xfId="34324"/>
    <cellStyle name="Normal 2 3 2 5 2 2 4 3" xfId="34325"/>
    <cellStyle name="Normal 2 3 2 5 2 2 5" xfId="16756"/>
    <cellStyle name="Normal 2 3 2 5 2 2 5 2" xfId="16757"/>
    <cellStyle name="Normal 2 3 2 5 2 2 5 2 2" xfId="34326"/>
    <cellStyle name="Normal 2 3 2 5 2 2 5 3" xfId="34327"/>
    <cellStyle name="Normal 2 3 2 5 2 2 6" xfId="16758"/>
    <cellStyle name="Normal 2 3 2 5 2 2 6 2" xfId="34328"/>
    <cellStyle name="Normal 2 3 2 5 2 2 7" xfId="16759"/>
    <cellStyle name="Normal 2 3 2 5 2 3" xfId="857"/>
    <cellStyle name="Normal 2 3 2 5 2 3 2" xfId="2133"/>
    <cellStyle name="Normal 2 3 2 5 2 3 2 2" xfId="16760"/>
    <cellStyle name="Normal 2 3 2 5 2 3 2 2 2" xfId="16761"/>
    <cellStyle name="Normal 2 3 2 5 2 3 2 2 2 2" xfId="34329"/>
    <cellStyle name="Normal 2 3 2 5 2 3 2 2 3" xfId="34330"/>
    <cellStyle name="Normal 2 3 2 5 2 3 2 3" xfId="16762"/>
    <cellStyle name="Normal 2 3 2 5 2 3 2 3 2" xfId="16763"/>
    <cellStyle name="Normal 2 3 2 5 2 3 2 3 2 2" xfId="34331"/>
    <cellStyle name="Normal 2 3 2 5 2 3 2 3 3" xfId="34332"/>
    <cellStyle name="Normal 2 3 2 5 2 3 2 4" xfId="16764"/>
    <cellStyle name="Normal 2 3 2 5 2 3 2 4 2" xfId="16765"/>
    <cellStyle name="Normal 2 3 2 5 2 3 2 4 2 2" xfId="34333"/>
    <cellStyle name="Normal 2 3 2 5 2 3 2 4 3" xfId="34334"/>
    <cellStyle name="Normal 2 3 2 5 2 3 2 5" xfId="16766"/>
    <cellStyle name="Normal 2 3 2 5 2 3 2 5 2" xfId="34335"/>
    <cellStyle name="Normal 2 3 2 5 2 3 2 6" xfId="16767"/>
    <cellStyle name="Normal 2 3 2 5 2 3 3" xfId="16768"/>
    <cellStyle name="Normal 2 3 2 5 2 3 3 2" xfId="16769"/>
    <cellStyle name="Normal 2 3 2 5 2 3 3 2 2" xfId="34336"/>
    <cellStyle name="Normal 2 3 2 5 2 3 3 3" xfId="34337"/>
    <cellStyle name="Normal 2 3 2 5 2 3 4" xfId="16770"/>
    <cellStyle name="Normal 2 3 2 5 2 3 4 2" xfId="16771"/>
    <cellStyle name="Normal 2 3 2 5 2 3 4 2 2" xfId="34338"/>
    <cellStyle name="Normal 2 3 2 5 2 3 4 3" xfId="34339"/>
    <cellStyle name="Normal 2 3 2 5 2 3 5" xfId="16772"/>
    <cellStyle name="Normal 2 3 2 5 2 3 5 2" xfId="16773"/>
    <cellStyle name="Normal 2 3 2 5 2 3 5 2 2" xfId="34340"/>
    <cellStyle name="Normal 2 3 2 5 2 3 5 3" xfId="34341"/>
    <cellStyle name="Normal 2 3 2 5 2 3 6" xfId="16774"/>
    <cellStyle name="Normal 2 3 2 5 2 3 6 2" xfId="34342"/>
    <cellStyle name="Normal 2 3 2 5 2 3 7" xfId="16775"/>
    <cellStyle name="Normal 2 3 2 5 2 4" xfId="2134"/>
    <cellStyle name="Normal 2 3 2 5 2 4 2" xfId="16776"/>
    <cellStyle name="Normal 2 3 2 5 2 4 2 2" xfId="16777"/>
    <cellStyle name="Normal 2 3 2 5 2 4 2 2 2" xfId="34343"/>
    <cellStyle name="Normal 2 3 2 5 2 4 2 3" xfId="34344"/>
    <cellStyle name="Normal 2 3 2 5 2 4 3" xfId="16778"/>
    <cellStyle name="Normal 2 3 2 5 2 4 3 2" xfId="16779"/>
    <cellStyle name="Normal 2 3 2 5 2 4 3 2 2" xfId="34345"/>
    <cellStyle name="Normal 2 3 2 5 2 4 3 3" xfId="34346"/>
    <cellStyle name="Normal 2 3 2 5 2 4 4" xfId="16780"/>
    <cellStyle name="Normal 2 3 2 5 2 4 4 2" xfId="16781"/>
    <cellStyle name="Normal 2 3 2 5 2 4 4 2 2" xfId="34347"/>
    <cellStyle name="Normal 2 3 2 5 2 4 4 3" xfId="34348"/>
    <cellStyle name="Normal 2 3 2 5 2 4 5" xfId="16782"/>
    <cellStyle name="Normal 2 3 2 5 2 4 5 2" xfId="34349"/>
    <cellStyle name="Normal 2 3 2 5 2 4 6" xfId="16783"/>
    <cellStyle name="Normal 2 3 2 5 2 5" xfId="16784"/>
    <cellStyle name="Normal 2 3 2 5 2 5 2" xfId="16785"/>
    <cellStyle name="Normal 2 3 2 5 2 5 2 2" xfId="34350"/>
    <cellStyle name="Normal 2 3 2 5 2 5 3" xfId="34351"/>
    <cellStyle name="Normal 2 3 2 5 2 6" xfId="16786"/>
    <cellStyle name="Normal 2 3 2 5 2 6 2" xfId="16787"/>
    <cellStyle name="Normal 2 3 2 5 2 6 2 2" xfId="34352"/>
    <cellStyle name="Normal 2 3 2 5 2 6 3" xfId="34353"/>
    <cellStyle name="Normal 2 3 2 5 2 7" xfId="16788"/>
    <cellStyle name="Normal 2 3 2 5 2 7 2" xfId="16789"/>
    <cellStyle name="Normal 2 3 2 5 2 7 2 2" xfId="34354"/>
    <cellStyle name="Normal 2 3 2 5 2 7 3" xfId="34355"/>
    <cellStyle name="Normal 2 3 2 5 2 8" xfId="16790"/>
    <cellStyle name="Normal 2 3 2 5 2 8 2" xfId="34356"/>
    <cellStyle name="Normal 2 3 2 5 2 9" xfId="16791"/>
    <cellStyle name="Normal 2 3 2 5 3" xfId="1067"/>
    <cellStyle name="Normal 2 3 2 5 3 2" xfId="2135"/>
    <cellStyle name="Normal 2 3 2 5 3 2 2" xfId="16792"/>
    <cellStyle name="Normal 2 3 2 5 3 2 2 2" xfId="16793"/>
    <cellStyle name="Normal 2 3 2 5 3 2 2 2 2" xfId="34357"/>
    <cellStyle name="Normal 2 3 2 5 3 2 2 3" xfId="34358"/>
    <cellStyle name="Normal 2 3 2 5 3 2 3" xfId="16794"/>
    <cellStyle name="Normal 2 3 2 5 3 2 3 2" xfId="16795"/>
    <cellStyle name="Normal 2 3 2 5 3 2 3 2 2" xfId="34359"/>
    <cellStyle name="Normal 2 3 2 5 3 2 3 3" xfId="34360"/>
    <cellStyle name="Normal 2 3 2 5 3 2 4" xfId="16796"/>
    <cellStyle name="Normal 2 3 2 5 3 2 4 2" xfId="16797"/>
    <cellStyle name="Normal 2 3 2 5 3 2 4 2 2" xfId="34361"/>
    <cellStyle name="Normal 2 3 2 5 3 2 4 3" xfId="34362"/>
    <cellStyle name="Normal 2 3 2 5 3 2 5" xfId="16798"/>
    <cellStyle name="Normal 2 3 2 5 3 2 5 2" xfId="34363"/>
    <cellStyle name="Normal 2 3 2 5 3 2 6" xfId="16799"/>
    <cellStyle name="Normal 2 3 2 5 3 3" xfId="16800"/>
    <cellStyle name="Normal 2 3 2 5 3 3 2" xfId="16801"/>
    <cellStyle name="Normal 2 3 2 5 3 3 2 2" xfId="34364"/>
    <cellStyle name="Normal 2 3 2 5 3 3 3" xfId="34365"/>
    <cellStyle name="Normal 2 3 2 5 3 4" xfId="16802"/>
    <cellStyle name="Normal 2 3 2 5 3 4 2" xfId="16803"/>
    <cellStyle name="Normal 2 3 2 5 3 4 2 2" xfId="34366"/>
    <cellStyle name="Normal 2 3 2 5 3 4 3" xfId="34367"/>
    <cellStyle name="Normal 2 3 2 5 3 5" xfId="16804"/>
    <cellStyle name="Normal 2 3 2 5 3 5 2" xfId="16805"/>
    <cellStyle name="Normal 2 3 2 5 3 5 2 2" xfId="34368"/>
    <cellStyle name="Normal 2 3 2 5 3 5 3" xfId="34369"/>
    <cellStyle name="Normal 2 3 2 5 3 6" xfId="16806"/>
    <cellStyle name="Normal 2 3 2 5 3 6 2" xfId="34370"/>
    <cellStyle name="Normal 2 3 2 5 3 7" xfId="16807"/>
    <cellStyle name="Normal 2 3 2 5 4" xfId="699"/>
    <cellStyle name="Normal 2 3 2 5 4 2" xfId="2136"/>
    <cellStyle name="Normal 2 3 2 5 4 2 2" xfId="16808"/>
    <cellStyle name="Normal 2 3 2 5 4 2 2 2" xfId="16809"/>
    <cellStyle name="Normal 2 3 2 5 4 2 2 2 2" xfId="34371"/>
    <cellStyle name="Normal 2 3 2 5 4 2 2 3" xfId="34372"/>
    <cellStyle name="Normal 2 3 2 5 4 2 3" xfId="16810"/>
    <cellStyle name="Normal 2 3 2 5 4 2 3 2" xfId="16811"/>
    <cellStyle name="Normal 2 3 2 5 4 2 3 2 2" xfId="34373"/>
    <cellStyle name="Normal 2 3 2 5 4 2 3 3" xfId="34374"/>
    <cellStyle name="Normal 2 3 2 5 4 2 4" xfId="16812"/>
    <cellStyle name="Normal 2 3 2 5 4 2 4 2" xfId="16813"/>
    <cellStyle name="Normal 2 3 2 5 4 2 4 2 2" xfId="34375"/>
    <cellStyle name="Normal 2 3 2 5 4 2 4 3" xfId="34376"/>
    <cellStyle name="Normal 2 3 2 5 4 2 5" xfId="16814"/>
    <cellStyle name="Normal 2 3 2 5 4 2 5 2" xfId="34377"/>
    <cellStyle name="Normal 2 3 2 5 4 2 6" xfId="16815"/>
    <cellStyle name="Normal 2 3 2 5 4 3" xfId="16816"/>
    <cellStyle name="Normal 2 3 2 5 4 3 2" xfId="16817"/>
    <cellStyle name="Normal 2 3 2 5 4 3 2 2" xfId="34378"/>
    <cellStyle name="Normal 2 3 2 5 4 3 3" xfId="34379"/>
    <cellStyle name="Normal 2 3 2 5 4 4" xfId="16818"/>
    <cellStyle name="Normal 2 3 2 5 4 4 2" xfId="16819"/>
    <cellStyle name="Normal 2 3 2 5 4 4 2 2" xfId="34380"/>
    <cellStyle name="Normal 2 3 2 5 4 4 3" xfId="34381"/>
    <cellStyle name="Normal 2 3 2 5 4 5" xfId="16820"/>
    <cellStyle name="Normal 2 3 2 5 4 5 2" xfId="16821"/>
    <cellStyle name="Normal 2 3 2 5 4 5 2 2" xfId="34382"/>
    <cellStyle name="Normal 2 3 2 5 4 5 3" xfId="34383"/>
    <cellStyle name="Normal 2 3 2 5 4 6" xfId="16822"/>
    <cellStyle name="Normal 2 3 2 5 4 6 2" xfId="34384"/>
    <cellStyle name="Normal 2 3 2 5 4 7" xfId="16823"/>
    <cellStyle name="Normal 2 3 2 5 5" xfId="2137"/>
    <cellStyle name="Normal 2 3 2 5 5 2" xfId="16824"/>
    <cellStyle name="Normal 2 3 2 5 5 2 2" xfId="16825"/>
    <cellStyle name="Normal 2 3 2 5 5 2 2 2" xfId="34385"/>
    <cellStyle name="Normal 2 3 2 5 5 2 3" xfId="34386"/>
    <cellStyle name="Normal 2 3 2 5 5 3" xfId="16826"/>
    <cellStyle name="Normal 2 3 2 5 5 3 2" xfId="16827"/>
    <cellStyle name="Normal 2 3 2 5 5 3 2 2" xfId="34387"/>
    <cellStyle name="Normal 2 3 2 5 5 3 3" xfId="34388"/>
    <cellStyle name="Normal 2 3 2 5 5 4" xfId="16828"/>
    <cellStyle name="Normal 2 3 2 5 5 4 2" xfId="16829"/>
    <cellStyle name="Normal 2 3 2 5 5 4 2 2" xfId="34389"/>
    <cellStyle name="Normal 2 3 2 5 5 4 3" xfId="34390"/>
    <cellStyle name="Normal 2 3 2 5 5 5" xfId="16830"/>
    <cellStyle name="Normal 2 3 2 5 5 5 2" xfId="34391"/>
    <cellStyle name="Normal 2 3 2 5 5 6" xfId="16831"/>
    <cellStyle name="Normal 2 3 2 5 6" xfId="16832"/>
    <cellStyle name="Normal 2 3 2 5 6 2" xfId="16833"/>
    <cellStyle name="Normal 2 3 2 5 6 2 2" xfId="34392"/>
    <cellStyle name="Normal 2 3 2 5 6 3" xfId="34393"/>
    <cellStyle name="Normal 2 3 2 5 7" xfId="16834"/>
    <cellStyle name="Normal 2 3 2 5 7 2" xfId="16835"/>
    <cellStyle name="Normal 2 3 2 5 7 2 2" xfId="34394"/>
    <cellStyle name="Normal 2 3 2 5 7 3" xfId="34395"/>
    <cellStyle name="Normal 2 3 2 5 8" xfId="16836"/>
    <cellStyle name="Normal 2 3 2 5 8 2" xfId="16837"/>
    <cellStyle name="Normal 2 3 2 5 8 2 2" xfId="34396"/>
    <cellStyle name="Normal 2 3 2 5 8 3" xfId="34397"/>
    <cellStyle name="Normal 2 3 2 5 9" xfId="16838"/>
    <cellStyle name="Normal 2 3 2 5 9 2" xfId="34398"/>
    <cellStyle name="Normal 2 3 2 6" xfId="148"/>
    <cellStyle name="Normal 2 3 2 6 2" xfId="936"/>
    <cellStyle name="Normal 2 3 2 6 2 2" xfId="2138"/>
    <cellStyle name="Normal 2 3 2 6 2 2 2" xfId="16839"/>
    <cellStyle name="Normal 2 3 2 6 2 2 2 2" xfId="16840"/>
    <cellStyle name="Normal 2 3 2 6 2 2 2 2 2" xfId="34399"/>
    <cellStyle name="Normal 2 3 2 6 2 2 2 3" xfId="34400"/>
    <cellStyle name="Normal 2 3 2 6 2 2 3" xfId="16841"/>
    <cellStyle name="Normal 2 3 2 6 2 2 3 2" xfId="16842"/>
    <cellStyle name="Normal 2 3 2 6 2 2 3 2 2" xfId="34401"/>
    <cellStyle name="Normal 2 3 2 6 2 2 3 3" xfId="34402"/>
    <cellStyle name="Normal 2 3 2 6 2 2 4" xfId="16843"/>
    <cellStyle name="Normal 2 3 2 6 2 2 4 2" xfId="16844"/>
    <cellStyle name="Normal 2 3 2 6 2 2 4 2 2" xfId="34403"/>
    <cellStyle name="Normal 2 3 2 6 2 2 4 3" xfId="34404"/>
    <cellStyle name="Normal 2 3 2 6 2 2 5" xfId="16845"/>
    <cellStyle name="Normal 2 3 2 6 2 2 5 2" xfId="34405"/>
    <cellStyle name="Normal 2 3 2 6 2 2 6" xfId="16846"/>
    <cellStyle name="Normal 2 3 2 6 2 3" xfId="16847"/>
    <cellStyle name="Normal 2 3 2 6 2 3 2" xfId="16848"/>
    <cellStyle name="Normal 2 3 2 6 2 3 2 2" xfId="34406"/>
    <cellStyle name="Normal 2 3 2 6 2 3 3" xfId="34407"/>
    <cellStyle name="Normal 2 3 2 6 2 4" xfId="16849"/>
    <cellStyle name="Normal 2 3 2 6 2 4 2" xfId="16850"/>
    <cellStyle name="Normal 2 3 2 6 2 4 2 2" xfId="34408"/>
    <cellStyle name="Normal 2 3 2 6 2 4 3" xfId="34409"/>
    <cellStyle name="Normal 2 3 2 6 2 5" xfId="16851"/>
    <cellStyle name="Normal 2 3 2 6 2 5 2" xfId="16852"/>
    <cellStyle name="Normal 2 3 2 6 2 5 2 2" xfId="34410"/>
    <cellStyle name="Normal 2 3 2 6 2 5 3" xfId="34411"/>
    <cellStyle name="Normal 2 3 2 6 2 6" xfId="16853"/>
    <cellStyle name="Normal 2 3 2 6 2 6 2" xfId="34412"/>
    <cellStyle name="Normal 2 3 2 6 2 7" xfId="16854"/>
    <cellStyle name="Normal 2 3 2 6 3" xfId="568"/>
    <cellStyle name="Normal 2 3 2 6 3 2" xfId="2139"/>
    <cellStyle name="Normal 2 3 2 6 3 2 2" xfId="16855"/>
    <cellStyle name="Normal 2 3 2 6 3 2 2 2" xfId="16856"/>
    <cellStyle name="Normal 2 3 2 6 3 2 2 2 2" xfId="34413"/>
    <cellStyle name="Normal 2 3 2 6 3 2 2 3" xfId="34414"/>
    <cellStyle name="Normal 2 3 2 6 3 2 3" xfId="16857"/>
    <cellStyle name="Normal 2 3 2 6 3 2 3 2" xfId="16858"/>
    <cellStyle name="Normal 2 3 2 6 3 2 3 2 2" xfId="34415"/>
    <cellStyle name="Normal 2 3 2 6 3 2 3 3" xfId="34416"/>
    <cellStyle name="Normal 2 3 2 6 3 2 4" xfId="16859"/>
    <cellStyle name="Normal 2 3 2 6 3 2 4 2" xfId="16860"/>
    <cellStyle name="Normal 2 3 2 6 3 2 4 2 2" xfId="34417"/>
    <cellStyle name="Normal 2 3 2 6 3 2 4 3" xfId="34418"/>
    <cellStyle name="Normal 2 3 2 6 3 2 5" xfId="16861"/>
    <cellStyle name="Normal 2 3 2 6 3 2 5 2" xfId="34419"/>
    <cellStyle name="Normal 2 3 2 6 3 2 6" xfId="16862"/>
    <cellStyle name="Normal 2 3 2 6 3 3" xfId="16863"/>
    <cellStyle name="Normal 2 3 2 6 3 3 2" xfId="16864"/>
    <cellStyle name="Normal 2 3 2 6 3 3 2 2" xfId="34420"/>
    <cellStyle name="Normal 2 3 2 6 3 3 3" xfId="34421"/>
    <cellStyle name="Normal 2 3 2 6 3 4" xfId="16865"/>
    <cellStyle name="Normal 2 3 2 6 3 4 2" xfId="16866"/>
    <cellStyle name="Normal 2 3 2 6 3 4 2 2" xfId="34422"/>
    <cellStyle name="Normal 2 3 2 6 3 4 3" xfId="34423"/>
    <cellStyle name="Normal 2 3 2 6 3 5" xfId="16867"/>
    <cellStyle name="Normal 2 3 2 6 3 5 2" xfId="16868"/>
    <cellStyle name="Normal 2 3 2 6 3 5 2 2" xfId="34424"/>
    <cellStyle name="Normal 2 3 2 6 3 5 3" xfId="34425"/>
    <cellStyle name="Normal 2 3 2 6 3 6" xfId="16869"/>
    <cellStyle name="Normal 2 3 2 6 3 6 2" xfId="34426"/>
    <cellStyle name="Normal 2 3 2 6 3 7" xfId="16870"/>
    <cellStyle name="Normal 2 3 2 6 4" xfId="2140"/>
    <cellStyle name="Normal 2 3 2 6 4 2" xfId="16871"/>
    <cellStyle name="Normal 2 3 2 6 4 2 2" xfId="16872"/>
    <cellStyle name="Normal 2 3 2 6 4 2 2 2" xfId="34427"/>
    <cellStyle name="Normal 2 3 2 6 4 2 3" xfId="34428"/>
    <cellStyle name="Normal 2 3 2 6 4 3" xfId="16873"/>
    <cellStyle name="Normal 2 3 2 6 4 3 2" xfId="16874"/>
    <cellStyle name="Normal 2 3 2 6 4 3 2 2" xfId="34429"/>
    <cellStyle name="Normal 2 3 2 6 4 3 3" xfId="34430"/>
    <cellStyle name="Normal 2 3 2 6 4 4" xfId="16875"/>
    <cellStyle name="Normal 2 3 2 6 4 4 2" xfId="16876"/>
    <cellStyle name="Normal 2 3 2 6 4 4 2 2" xfId="34431"/>
    <cellStyle name="Normal 2 3 2 6 4 4 3" xfId="34432"/>
    <cellStyle name="Normal 2 3 2 6 4 5" xfId="16877"/>
    <cellStyle name="Normal 2 3 2 6 4 5 2" xfId="34433"/>
    <cellStyle name="Normal 2 3 2 6 4 6" xfId="16878"/>
    <cellStyle name="Normal 2 3 2 6 5" xfId="16879"/>
    <cellStyle name="Normal 2 3 2 6 5 2" xfId="16880"/>
    <cellStyle name="Normal 2 3 2 6 5 2 2" xfId="34434"/>
    <cellStyle name="Normal 2 3 2 6 5 3" xfId="34435"/>
    <cellStyle name="Normal 2 3 2 6 6" xfId="16881"/>
    <cellStyle name="Normal 2 3 2 6 6 2" xfId="16882"/>
    <cellStyle name="Normal 2 3 2 6 6 2 2" xfId="34436"/>
    <cellStyle name="Normal 2 3 2 6 6 3" xfId="34437"/>
    <cellStyle name="Normal 2 3 2 6 7" xfId="16883"/>
    <cellStyle name="Normal 2 3 2 6 7 2" xfId="16884"/>
    <cellStyle name="Normal 2 3 2 6 7 2 2" xfId="34438"/>
    <cellStyle name="Normal 2 3 2 6 7 3" xfId="34439"/>
    <cellStyle name="Normal 2 3 2 6 8" xfId="16885"/>
    <cellStyle name="Normal 2 3 2 6 8 2" xfId="34440"/>
    <cellStyle name="Normal 2 3 2 6 9" xfId="16886"/>
    <cellStyle name="Normal 2 3 2 7" xfId="306"/>
    <cellStyle name="Normal 2 3 2 7 2" xfId="1094"/>
    <cellStyle name="Normal 2 3 2 7 2 2" xfId="2141"/>
    <cellStyle name="Normal 2 3 2 7 2 2 2" xfId="16887"/>
    <cellStyle name="Normal 2 3 2 7 2 2 2 2" xfId="16888"/>
    <cellStyle name="Normal 2 3 2 7 2 2 2 2 2" xfId="34441"/>
    <cellStyle name="Normal 2 3 2 7 2 2 2 3" xfId="34442"/>
    <cellStyle name="Normal 2 3 2 7 2 2 3" xfId="16889"/>
    <cellStyle name="Normal 2 3 2 7 2 2 3 2" xfId="16890"/>
    <cellStyle name="Normal 2 3 2 7 2 2 3 2 2" xfId="34443"/>
    <cellStyle name="Normal 2 3 2 7 2 2 3 3" xfId="34444"/>
    <cellStyle name="Normal 2 3 2 7 2 2 4" xfId="16891"/>
    <cellStyle name="Normal 2 3 2 7 2 2 4 2" xfId="16892"/>
    <cellStyle name="Normal 2 3 2 7 2 2 4 2 2" xfId="34445"/>
    <cellStyle name="Normal 2 3 2 7 2 2 4 3" xfId="34446"/>
    <cellStyle name="Normal 2 3 2 7 2 2 5" xfId="16893"/>
    <cellStyle name="Normal 2 3 2 7 2 2 5 2" xfId="34447"/>
    <cellStyle name="Normal 2 3 2 7 2 2 6" xfId="16894"/>
    <cellStyle name="Normal 2 3 2 7 2 3" xfId="16895"/>
    <cellStyle name="Normal 2 3 2 7 2 3 2" xfId="16896"/>
    <cellStyle name="Normal 2 3 2 7 2 3 2 2" xfId="34448"/>
    <cellStyle name="Normal 2 3 2 7 2 3 3" xfId="34449"/>
    <cellStyle name="Normal 2 3 2 7 2 4" xfId="16897"/>
    <cellStyle name="Normal 2 3 2 7 2 4 2" xfId="16898"/>
    <cellStyle name="Normal 2 3 2 7 2 4 2 2" xfId="34450"/>
    <cellStyle name="Normal 2 3 2 7 2 4 3" xfId="34451"/>
    <cellStyle name="Normal 2 3 2 7 2 5" xfId="16899"/>
    <cellStyle name="Normal 2 3 2 7 2 5 2" xfId="16900"/>
    <cellStyle name="Normal 2 3 2 7 2 5 2 2" xfId="34452"/>
    <cellStyle name="Normal 2 3 2 7 2 5 3" xfId="34453"/>
    <cellStyle name="Normal 2 3 2 7 2 6" xfId="16901"/>
    <cellStyle name="Normal 2 3 2 7 2 6 2" xfId="34454"/>
    <cellStyle name="Normal 2 3 2 7 2 7" xfId="16902"/>
    <cellStyle name="Normal 2 3 2 7 3" xfId="726"/>
    <cellStyle name="Normal 2 3 2 7 3 2" xfId="2142"/>
    <cellStyle name="Normal 2 3 2 7 3 2 2" xfId="16903"/>
    <cellStyle name="Normal 2 3 2 7 3 2 2 2" xfId="16904"/>
    <cellStyle name="Normal 2 3 2 7 3 2 2 2 2" xfId="34455"/>
    <cellStyle name="Normal 2 3 2 7 3 2 2 3" xfId="34456"/>
    <cellStyle name="Normal 2 3 2 7 3 2 3" xfId="16905"/>
    <cellStyle name="Normal 2 3 2 7 3 2 3 2" xfId="16906"/>
    <cellStyle name="Normal 2 3 2 7 3 2 3 2 2" xfId="34457"/>
    <cellStyle name="Normal 2 3 2 7 3 2 3 3" xfId="34458"/>
    <cellStyle name="Normal 2 3 2 7 3 2 4" xfId="16907"/>
    <cellStyle name="Normal 2 3 2 7 3 2 4 2" xfId="16908"/>
    <cellStyle name="Normal 2 3 2 7 3 2 4 2 2" xfId="34459"/>
    <cellStyle name="Normal 2 3 2 7 3 2 4 3" xfId="34460"/>
    <cellStyle name="Normal 2 3 2 7 3 2 5" xfId="16909"/>
    <cellStyle name="Normal 2 3 2 7 3 2 5 2" xfId="34461"/>
    <cellStyle name="Normal 2 3 2 7 3 2 6" xfId="16910"/>
    <cellStyle name="Normal 2 3 2 7 3 3" xfId="16911"/>
    <cellStyle name="Normal 2 3 2 7 3 3 2" xfId="16912"/>
    <cellStyle name="Normal 2 3 2 7 3 3 2 2" xfId="34462"/>
    <cellStyle name="Normal 2 3 2 7 3 3 3" xfId="34463"/>
    <cellStyle name="Normal 2 3 2 7 3 4" xfId="16913"/>
    <cellStyle name="Normal 2 3 2 7 3 4 2" xfId="16914"/>
    <cellStyle name="Normal 2 3 2 7 3 4 2 2" xfId="34464"/>
    <cellStyle name="Normal 2 3 2 7 3 4 3" xfId="34465"/>
    <cellStyle name="Normal 2 3 2 7 3 5" xfId="16915"/>
    <cellStyle name="Normal 2 3 2 7 3 5 2" xfId="16916"/>
    <cellStyle name="Normal 2 3 2 7 3 5 2 2" xfId="34466"/>
    <cellStyle name="Normal 2 3 2 7 3 5 3" xfId="34467"/>
    <cellStyle name="Normal 2 3 2 7 3 6" xfId="16917"/>
    <cellStyle name="Normal 2 3 2 7 3 6 2" xfId="34468"/>
    <cellStyle name="Normal 2 3 2 7 3 7" xfId="16918"/>
    <cellStyle name="Normal 2 3 2 7 4" xfId="2143"/>
    <cellStyle name="Normal 2 3 2 7 4 2" xfId="16919"/>
    <cellStyle name="Normal 2 3 2 7 4 2 2" xfId="16920"/>
    <cellStyle name="Normal 2 3 2 7 4 2 2 2" xfId="34469"/>
    <cellStyle name="Normal 2 3 2 7 4 2 3" xfId="34470"/>
    <cellStyle name="Normal 2 3 2 7 4 3" xfId="16921"/>
    <cellStyle name="Normal 2 3 2 7 4 3 2" xfId="16922"/>
    <cellStyle name="Normal 2 3 2 7 4 3 2 2" xfId="34471"/>
    <cellStyle name="Normal 2 3 2 7 4 3 3" xfId="34472"/>
    <cellStyle name="Normal 2 3 2 7 4 4" xfId="16923"/>
    <cellStyle name="Normal 2 3 2 7 4 4 2" xfId="16924"/>
    <cellStyle name="Normal 2 3 2 7 4 4 2 2" xfId="34473"/>
    <cellStyle name="Normal 2 3 2 7 4 4 3" xfId="34474"/>
    <cellStyle name="Normal 2 3 2 7 4 5" xfId="16925"/>
    <cellStyle name="Normal 2 3 2 7 4 5 2" xfId="34475"/>
    <cellStyle name="Normal 2 3 2 7 4 6" xfId="16926"/>
    <cellStyle name="Normal 2 3 2 7 5" xfId="16927"/>
    <cellStyle name="Normal 2 3 2 7 5 2" xfId="16928"/>
    <cellStyle name="Normal 2 3 2 7 5 2 2" xfId="34476"/>
    <cellStyle name="Normal 2 3 2 7 5 3" xfId="34477"/>
    <cellStyle name="Normal 2 3 2 7 6" xfId="16929"/>
    <cellStyle name="Normal 2 3 2 7 6 2" xfId="16930"/>
    <cellStyle name="Normal 2 3 2 7 6 2 2" xfId="34478"/>
    <cellStyle name="Normal 2 3 2 7 6 3" xfId="34479"/>
    <cellStyle name="Normal 2 3 2 7 7" xfId="16931"/>
    <cellStyle name="Normal 2 3 2 7 7 2" xfId="16932"/>
    <cellStyle name="Normal 2 3 2 7 7 2 2" xfId="34480"/>
    <cellStyle name="Normal 2 3 2 7 7 3" xfId="34481"/>
    <cellStyle name="Normal 2 3 2 7 8" xfId="16933"/>
    <cellStyle name="Normal 2 3 2 7 8 2" xfId="34482"/>
    <cellStyle name="Normal 2 3 2 7 9" xfId="16934"/>
    <cellStyle name="Normal 2 3 2 8" xfId="95"/>
    <cellStyle name="Normal 2 3 2 8 2" xfId="516"/>
    <cellStyle name="Normal 2 3 2 8 2 2" xfId="2144"/>
    <cellStyle name="Normal 2 3 2 8 2 2 2" xfId="16935"/>
    <cellStyle name="Normal 2 3 2 8 2 2 2 2" xfId="16936"/>
    <cellStyle name="Normal 2 3 2 8 2 2 2 2 2" xfId="34483"/>
    <cellStyle name="Normal 2 3 2 8 2 2 2 3" xfId="34484"/>
    <cellStyle name="Normal 2 3 2 8 2 2 3" xfId="16937"/>
    <cellStyle name="Normal 2 3 2 8 2 2 3 2" xfId="16938"/>
    <cellStyle name="Normal 2 3 2 8 2 2 3 2 2" xfId="34485"/>
    <cellStyle name="Normal 2 3 2 8 2 2 3 3" xfId="34486"/>
    <cellStyle name="Normal 2 3 2 8 2 2 4" xfId="16939"/>
    <cellStyle name="Normal 2 3 2 8 2 2 4 2" xfId="16940"/>
    <cellStyle name="Normal 2 3 2 8 2 2 4 2 2" xfId="34487"/>
    <cellStyle name="Normal 2 3 2 8 2 2 4 3" xfId="34488"/>
    <cellStyle name="Normal 2 3 2 8 2 2 5" xfId="16941"/>
    <cellStyle name="Normal 2 3 2 8 2 2 5 2" xfId="34489"/>
    <cellStyle name="Normal 2 3 2 8 2 2 6" xfId="16942"/>
    <cellStyle name="Normal 2 3 2 8 2 3" xfId="16943"/>
    <cellStyle name="Normal 2 3 2 8 2 3 2" xfId="16944"/>
    <cellStyle name="Normal 2 3 2 8 2 3 2 2" xfId="34490"/>
    <cellStyle name="Normal 2 3 2 8 2 3 3" xfId="34491"/>
    <cellStyle name="Normal 2 3 2 8 2 4" xfId="16945"/>
    <cellStyle name="Normal 2 3 2 8 2 4 2" xfId="16946"/>
    <cellStyle name="Normal 2 3 2 8 2 4 2 2" xfId="34492"/>
    <cellStyle name="Normal 2 3 2 8 2 4 3" xfId="34493"/>
    <cellStyle name="Normal 2 3 2 8 2 5" xfId="16947"/>
    <cellStyle name="Normal 2 3 2 8 2 5 2" xfId="16948"/>
    <cellStyle name="Normal 2 3 2 8 2 5 2 2" xfId="34494"/>
    <cellStyle name="Normal 2 3 2 8 2 5 3" xfId="34495"/>
    <cellStyle name="Normal 2 3 2 8 2 6" xfId="16949"/>
    <cellStyle name="Normal 2 3 2 8 2 6 2" xfId="34496"/>
    <cellStyle name="Normal 2 3 2 8 2 7" xfId="16950"/>
    <cellStyle name="Normal 2 3 2 8 3" xfId="2145"/>
    <cellStyle name="Normal 2 3 2 8 3 2" xfId="16951"/>
    <cellStyle name="Normal 2 3 2 8 3 2 2" xfId="16952"/>
    <cellStyle name="Normal 2 3 2 8 3 2 2 2" xfId="34497"/>
    <cellStyle name="Normal 2 3 2 8 3 2 3" xfId="34498"/>
    <cellStyle name="Normal 2 3 2 8 3 3" xfId="16953"/>
    <cellStyle name="Normal 2 3 2 8 3 3 2" xfId="16954"/>
    <cellStyle name="Normal 2 3 2 8 3 3 2 2" xfId="34499"/>
    <cellStyle name="Normal 2 3 2 8 3 3 3" xfId="34500"/>
    <cellStyle name="Normal 2 3 2 8 3 4" xfId="16955"/>
    <cellStyle name="Normal 2 3 2 8 3 4 2" xfId="16956"/>
    <cellStyle name="Normal 2 3 2 8 3 4 2 2" xfId="34501"/>
    <cellStyle name="Normal 2 3 2 8 3 4 3" xfId="34502"/>
    <cellStyle name="Normal 2 3 2 8 3 5" xfId="16957"/>
    <cellStyle name="Normal 2 3 2 8 3 5 2" xfId="34503"/>
    <cellStyle name="Normal 2 3 2 8 3 6" xfId="16958"/>
    <cellStyle name="Normal 2 3 2 8 4" xfId="16959"/>
    <cellStyle name="Normal 2 3 2 8 4 2" xfId="16960"/>
    <cellStyle name="Normal 2 3 2 8 4 2 2" xfId="34504"/>
    <cellStyle name="Normal 2 3 2 8 4 3" xfId="34505"/>
    <cellStyle name="Normal 2 3 2 8 5" xfId="16961"/>
    <cellStyle name="Normal 2 3 2 8 5 2" xfId="16962"/>
    <cellStyle name="Normal 2 3 2 8 5 2 2" xfId="34506"/>
    <cellStyle name="Normal 2 3 2 8 5 3" xfId="34507"/>
    <cellStyle name="Normal 2 3 2 8 6" xfId="16963"/>
    <cellStyle name="Normal 2 3 2 8 6 2" xfId="16964"/>
    <cellStyle name="Normal 2 3 2 8 6 2 2" xfId="34508"/>
    <cellStyle name="Normal 2 3 2 8 6 3" xfId="34509"/>
    <cellStyle name="Normal 2 3 2 8 7" xfId="16965"/>
    <cellStyle name="Normal 2 3 2 8 7 2" xfId="34510"/>
    <cellStyle name="Normal 2 3 2 8 8" xfId="16966"/>
    <cellStyle name="Normal 2 3 2 9" xfId="884"/>
    <cellStyle name="Normal 2 3 2 9 2" xfId="2146"/>
    <cellStyle name="Normal 2 3 2 9 2 2" xfId="16967"/>
    <cellStyle name="Normal 2 3 2 9 2 2 2" xfId="16968"/>
    <cellStyle name="Normal 2 3 2 9 2 2 2 2" xfId="34511"/>
    <cellStyle name="Normal 2 3 2 9 2 2 3" xfId="34512"/>
    <cellStyle name="Normal 2 3 2 9 2 3" xfId="16969"/>
    <cellStyle name="Normal 2 3 2 9 2 3 2" xfId="16970"/>
    <cellStyle name="Normal 2 3 2 9 2 3 2 2" xfId="34513"/>
    <cellStyle name="Normal 2 3 2 9 2 3 3" xfId="34514"/>
    <cellStyle name="Normal 2 3 2 9 2 4" xfId="16971"/>
    <cellStyle name="Normal 2 3 2 9 2 4 2" xfId="16972"/>
    <cellStyle name="Normal 2 3 2 9 2 4 2 2" xfId="34515"/>
    <cellStyle name="Normal 2 3 2 9 2 4 3" xfId="34516"/>
    <cellStyle name="Normal 2 3 2 9 2 5" xfId="16973"/>
    <cellStyle name="Normal 2 3 2 9 2 5 2" xfId="34517"/>
    <cellStyle name="Normal 2 3 2 9 2 6" xfId="16974"/>
    <cellStyle name="Normal 2 3 2 9 3" xfId="16975"/>
    <cellStyle name="Normal 2 3 2 9 3 2" xfId="16976"/>
    <cellStyle name="Normal 2 3 2 9 3 2 2" xfId="34518"/>
    <cellStyle name="Normal 2 3 2 9 3 3" xfId="34519"/>
    <cellStyle name="Normal 2 3 2 9 4" xfId="16977"/>
    <cellStyle name="Normal 2 3 2 9 4 2" xfId="16978"/>
    <cellStyle name="Normal 2 3 2 9 4 2 2" xfId="34520"/>
    <cellStyle name="Normal 2 3 2 9 4 3" xfId="34521"/>
    <cellStyle name="Normal 2 3 2 9 5" xfId="16979"/>
    <cellStyle name="Normal 2 3 2 9 5 2" xfId="16980"/>
    <cellStyle name="Normal 2 3 2 9 5 2 2" xfId="34522"/>
    <cellStyle name="Normal 2 3 2 9 5 3" xfId="34523"/>
    <cellStyle name="Normal 2 3 2 9 6" xfId="16981"/>
    <cellStyle name="Normal 2 3 2 9 6 2" xfId="34524"/>
    <cellStyle name="Normal 2 3 2 9 7" xfId="16982"/>
    <cellStyle name="Normal 2 3 3" xfId="60"/>
    <cellStyle name="Normal 2 3 3 10" xfId="16983"/>
    <cellStyle name="Normal 2 3 3 10 2" xfId="16984"/>
    <cellStyle name="Normal 2 3 3 10 2 2" xfId="34525"/>
    <cellStyle name="Normal 2 3 3 10 3" xfId="34526"/>
    <cellStyle name="Normal 2 3 3 11" xfId="16985"/>
    <cellStyle name="Normal 2 3 3 11 2" xfId="16986"/>
    <cellStyle name="Normal 2 3 3 11 2 2" xfId="34527"/>
    <cellStyle name="Normal 2 3 3 11 3" xfId="34528"/>
    <cellStyle name="Normal 2 3 3 12" xfId="16987"/>
    <cellStyle name="Normal 2 3 3 12 2" xfId="16988"/>
    <cellStyle name="Normal 2 3 3 12 2 2" xfId="34529"/>
    <cellStyle name="Normal 2 3 3 12 3" xfId="34530"/>
    <cellStyle name="Normal 2 3 3 13" xfId="16989"/>
    <cellStyle name="Normal 2 3 3 13 2" xfId="34531"/>
    <cellStyle name="Normal 2 3 3 14" xfId="16990"/>
    <cellStyle name="Normal 2 3 3 2" xfId="231"/>
    <cellStyle name="Normal 2 3 3 2 10" xfId="16991"/>
    <cellStyle name="Normal 2 3 3 2 2" xfId="389"/>
    <cellStyle name="Normal 2 3 3 2 2 2" xfId="1177"/>
    <cellStyle name="Normal 2 3 3 2 2 2 2" xfId="2147"/>
    <cellStyle name="Normal 2 3 3 2 2 2 2 2" xfId="16992"/>
    <cellStyle name="Normal 2 3 3 2 2 2 2 2 2" xfId="16993"/>
    <cellStyle name="Normal 2 3 3 2 2 2 2 2 2 2" xfId="34532"/>
    <cellStyle name="Normal 2 3 3 2 2 2 2 2 3" xfId="34533"/>
    <cellStyle name="Normal 2 3 3 2 2 2 2 3" xfId="16994"/>
    <cellStyle name="Normal 2 3 3 2 2 2 2 3 2" xfId="16995"/>
    <cellStyle name="Normal 2 3 3 2 2 2 2 3 2 2" xfId="34534"/>
    <cellStyle name="Normal 2 3 3 2 2 2 2 3 3" xfId="34535"/>
    <cellStyle name="Normal 2 3 3 2 2 2 2 4" xfId="16996"/>
    <cellStyle name="Normal 2 3 3 2 2 2 2 4 2" xfId="16997"/>
    <cellStyle name="Normal 2 3 3 2 2 2 2 4 2 2" xfId="34536"/>
    <cellStyle name="Normal 2 3 3 2 2 2 2 4 3" xfId="34537"/>
    <cellStyle name="Normal 2 3 3 2 2 2 2 5" xfId="16998"/>
    <cellStyle name="Normal 2 3 3 2 2 2 2 5 2" xfId="34538"/>
    <cellStyle name="Normal 2 3 3 2 2 2 2 6" xfId="16999"/>
    <cellStyle name="Normal 2 3 3 2 2 2 3" xfId="17000"/>
    <cellStyle name="Normal 2 3 3 2 2 2 3 2" xfId="17001"/>
    <cellStyle name="Normal 2 3 3 2 2 2 3 2 2" xfId="34539"/>
    <cellStyle name="Normal 2 3 3 2 2 2 3 3" xfId="34540"/>
    <cellStyle name="Normal 2 3 3 2 2 2 4" xfId="17002"/>
    <cellStyle name="Normal 2 3 3 2 2 2 4 2" xfId="17003"/>
    <cellStyle name="Normal 2 3 3 2 2 2 4 2 2" xfId="34541"/>
    <cellStyle name="Normal 2 3 3 2 2 2 4 3" xfId="34542"/>
    <cellStyle name="Normal 2 3 3 2 2 2 5" xfId="17004"/>
    <cellStyle name="Normal 2 3 3 2 2 2 5 2" xfId="17005"/>
    <cellStyle name="Normal 2 3 3 2 2 2 5 2 2" xfId="34543"/>
    <cellStyle name="Normal 2 3 3 2 2 2 5 3" xfId="34544"/>
    <cellStyle name="Normal 2 3 3 2 2 2 6" xfId="17006"/>
    <cellStyle name="Normal 2 3 3 2 2 2 6 2" xfId="34545"/>
    <cellStyle name="Normal 2 3 3 2 2 2 7" xfId="17007"/>
    <cellStyle name="Normal 2 3 3 2 2 3" xfId="809"/>
    <cellStyle name="Normal 2 3 3 2 2 3 2" xfId="2148"/>
    <cellStyle name="Normal 2 3 3 2 2 3 2 2" xfId="17008"/>
    <cellStyle name="Normal 2 3 3 2 2 3 2 2 2" xfId="17009"/>
    <cellStyle name="Normal 2 3 3 2 2 3 2 2 2 2" xfId="34546"/>
    <cellStyle name="Normal 2 3 3 2 2 3 2 2 3" xfId="34547"/>
    <cellStyle name="Normal 2 3 3 2 2 3 2 3" xfId="17010"/>
    <cellStyle name="Normal 2 3 3 2 2 3 2 3 2" xfId="17011"/>
    <cellStyle name="Normal 2 3 3 2 2 3 2 3 2 2" xfId="34548"/>
    <cellStyle name="Normal 2 3 3 2 2 3 2 3 3" xfId="34549"/>
    <cellStyle name="Normal 2 3 3 2 2 3 2 4" xfId="17012"/>
    <cellStyle name="Normal 2 3 3 2 2 3 2 4 2" xfId="17013"/>
    <cellStyle name="Normal 2 3 3 2 2 3 2 4 2 2" xfId="34550"/>
    <cellStyle name="Normal 2 3 3 2 2 3 2 4 3" xfId="34551"/>
    <cellStyle name="Normal 2 3 3 2 2 3 2 5" xfId="17014"/>
    <cellStyle name="Normal 2 3 3 2 2 3 2 5 2" xfId="34552"/>
    <cellStyle name="Normal 2 3 3 2 2 3 2 6" xfId="17015"/>
    <cellStyle name="Normal 2 3 3 2 2 3 3" xfId="17016"/>
    <cellStyle name="Normal 2 3 3 2 2 3 3 2" xfId="17017"/>
    <cellStyle name="Normal 2 3 3 2 2 3 3 2 2" xfId="34553"/>
    <cellStyle name="Normal 2 3 3 2 2 3 3 3" xfId="34554"/>
    <cellStyle name="Normal 2 3 3 2 2 3 4" xfId="17018"/>
    <cellStyle name="Normal 2 3 3 2 2 3 4 2" xfId="17019"/>
    <cellStyle name="Normal 2 3 3 2 2 3 4 2 2" xfId="34555"/>
    <cellStyle name="Normal 2 3 3 2 2 3 4 3" xfId="34556"/>
    <cellStyle name="Normal 2 3 3 2 2 3 5" xfId="17020"/>
    <cellStyle name="Normal 2 3 3 2 2 3 5 2" xfId="17021"/>
    <cellStyle name="Normal 2 3 3 2 2 3 5 2 2" xfId="34557"/>
    <cellStyle name="Normal 2 3 3 2 2 3 5 3" xfId="34558"/>
    <cellStyle name="Normal 2 3 3 2 2 3 6" xfId="17022"/>
    <cellStyle name="Normal 2 3 3 2 2 3 6 2" xfId="34559"/>
    <cellStyle name="Normal 2 3 3 2 2 3 7" xfId="17023"/>
    <cellStyle name="Normal 2 3 3 2 2 4" xfId="2149"/>
    <cellStyle name="Normal 2 3 3 2 2 4 2" xfId="17024"/>
    <cellStyle name="Normal 2 3 3 2 2 4 2 2" xfId="17025"/>
    <cellStyle name="Normal 2 3 3 2 2 4 2 2 2" xfId="34560"/>
    <cellStyle name="Normal 2 3 3 2 2 4 2 3" xfId="34561"/>
    <cellStyle name="Normal 2 3 3 2 2 4 3" xfId="17026"/>
    <cellStyle name="Normal 2 3 3 2 2 4 3 2" xfId="17027"/>
    <cellStyle name="Normal 2 3 3 2 2 4 3 2 2" xfId="34562"/>
    <cellStyle name="Normal 2 3 3 2 2 4 3 3" xfId="34563"/>
    <cellStyle name="Normal 2 3 3 2 2 4 4" xfId="17028"/>
    <cellStyle name="Normal 2 3 3 2 2 4 4 2" xfId="17029"/>
    <cellStyle name="Normal 2 3 3 2 2 4 4 2 2" xfId="34564"/>
    <cellStyle name="Normal 2 3 3 2 2 4 4 3" xfId="34565"/>
    <cellStyle name="Normal 2 3 3 2 2 4 5" xfId="17030"/>
    <cellStyle name="Normal 2 3 3 2 2 4 5 2" xfId="34566"/>
    <cellStyle name="Normal 2 3 3 2 2 4 6" xfId="17031"/>
    <cellStyle name="Normal 2 3 3 2 2 5" xfId="17032"/>
    <cellStyle name="Normal 2 3 3 2 2 5 2" xfId="17033"/>
    <cellStyle name="Normal 2 3 3 2 2 5 2 2" xfId="34567"/>
    <cellStyle name="Normal 2 3 3 2 2 5 3" xfId="34568"/>
    <cellStyle name="Normal 2 3 3 2 2 6" xfId="17034"/>
    <cellStyle name="Normal 2 3 3 2 2 6 2" xfId="17035"/>
    <cellStyle name="Normal 2 3 3 2 2 6 2 2" xfId="34569"/>
    <cellStyle name="Normal 2 3 3 2 2 6 3" xfId="34570"/>
    <cellStyle name="Normal 2 3 3 2 2 7" xfId="17036"/>
    <cellStyle name="Normal 2 3 3 2 2 7 2" xfId="17037"/>
    <cellStyle name="Normal 2 3 3 2 2 7 2 2" xfId="34571"/>
    <cellStyle name="Normal 2 3 3 2 2 7 3" xfId="34572"/>
    <cellStyle name="Normal 2 3 3 2 2 8" xfId="17038"/>
    <cellStyle name="Normal 2 3 3 2 2 8 2" xfId="34573"/>
    <cellStyle name="Normal 2 3 3 2 2 9" xfId="17039"/>
    <cellStyle name="Normal 2 3 3 2 3" xfId="1019"/>
    <cellStyle name="Normal 2 3 3 2 3 2" xfId="2150"/>
    <cellStyle name="Normal 2 3 3 2 3 2 2" xfId="17040"/>
    <cellStyle name="Normal 2 3 3 2 3 2 2 2" xfId="17041"/>
    <cellStyle name="Normal 2 3 3 2 3 2 2 2 2" xfId="34574"/>
    <cellStyle name="Normal 2 3 3 2 3 2 2 3" xfId="34575"/>
    <cellStyle name="Normal 2 3 3 2 3 2 3" xfId="17042"/>
    <cellStyle name="Normal 2 3 3 2 3 2 3 2" xfId="17043"/>
    <cellStyle name="Normal 2 3 3 2 3 2 3 2 2" xfId="34576"/>
    <cellStyle name="Normal 2 3 3 2 3 2 3 3" xfId="34577"/>
    <cellStyle name="Normal 2 3 3 2 3 2 4" xfId="17044"/>
    <cellStyle name="Normal 2 3 3 2 3 2 4 2" xfId="17045"/>
    <cellStyle name="Normal 2 3 3 2 3 2 4 2 2" xfId="34578"/>
    <cellStyle name="Normal 2 3 3 2 3 2 4 3" xfId="34579"/>
    <cellStyle name="Normal 2 3 3 2 3 2 5" xfId="17046"/>
    <cellStyle name="Normal 2 3 3 2 3 2 5 2" xfId="34580"/>
    <cellStyle name="Normal 2 3 3 2 3 2 6" xfId="17047"/>
    <cellStyle name="Normal 2 3 3 2 3 3" xfId="17048"/>
    <cellStyle name="Normal 2 3 3 2 3 3 2" xfId="17049"/>
    <cellStyle name="Normal 2 3 3 2 3 3 2 2" xfId="34581"/>
    <cellStyle name="Normal 2 3 3 2 3 3 3" xfId="34582"/>
    <cellStyle name="Normal 2 3 3 2 3 4" xfId="17050"/>
    <cellStyle name="Normal 2 3 3 2 3 4 2" xfId="17051"/>
    <cellStyle name="Normal 2 3 3 2 3 4 2 2" xfId="34583"/>
    <cellStyle name="Normal 2 3 3 2 3 4 3" xfId="34584"/>
    <cellStyle name="Normal 2 3 3 2 3 5" xfId="17052"/>
    <cellStyle name="Normal 2 3 3 2 3 5 2" xfId="17053"/>
    <cellStyle name="Normal 2 3 3 2 3 5 2 2" xfId="34585"/>
    <cellStyle name="Normal 2 3 3 2 3 5 3" xfId="34586"/>
    <cellStyle name="Normal 2 3 3 2 3 6" xfId="17054"/>
    <cellStyle name="Normal 2 3 3 2 3 6 2" xfId="34587"/>
    <cellStyle name="Normal 2 3 3 2 3 7" xfId="17055"/>
    <cellStyle name="Normal 2 3 3 2 4" xfId="651"/>
    <cellStyle name="Normal 2 3 3 2 4 2" xfId="2151"/>
    <cellStyle name="Normal 2 3 3 2 4 2 2" xfId="17056"/>
    <cellStyle name="Normal 2 3 3 2 4 2 2 2" xfId="17057"/>
    <cellStyle name="Normal 2 3 3 2 4 2 2 2 2" xfId="34588"/>
    <cellStyle name="Normal 2 3 3 2 4 2 2 3" xfId="34589"/>
    <cellStyle name="Normal 2 3 3 2 4 2 3" xfId="17058"/>
    <cellStyle name="Normal 2 3 3 2 4 2 3 2" xfId="17059"/>
    <cellStyle name="Normal 2 3 3 2 4 2 3 2 2" xfId="34590"/>
    <cellStyle name="Normal 2 3 3 2 4 2 3 3" xfId="34591"/>
    <cellStyle name="Normal 2 3 3 2 4 2 4" xfId="17060"/>
    <cellStyle name="Normal 2 3 3 2 4 2 4 2" xfId="17061"/>
    <cellStyle name="Normal 2 3 3 2 4 2 4 2 2" xfId="34592"/>
    <cellStyle name="Normal 2 3 3 2 4 2 4 3" xfId="34593"/>
    <cellStyle name="Normal 2 3 3 2 4 2 5" xfId="17062"/>
    <cellStyle name="Normal 2 3 3 2 4 2 5 2" xfId="34594"/>
    <cellStyle name="Normal 2 3 3 2 4 2 6" xfId="17063"/>
    <cellStyle name="Normal 2 3 3 2 4 3" xfId="17064"/>
    <cellStyle name="Normal 2 3 3 2 4 3 2" xfId="17065"/>
    <cellStyle name="Normal 2 3 3 2 4 3 2 2" xfId="34595"/>
    <cellStyle name="Normal 2 3 3 2 4 3 3" xfId="34596"/>
    <cellStyle name="Normal 2 3 3 2 4 4" xfId="17066"/>
    <cellStyle name="Normal 2 3 3 2 4 4 2" xfId="17067"/>
    <cellStyle name="Normal 2 3 3 2 4 4 2 2" xfId="34597"/>
    <cellStyle name="Normal 2 3 3 2 4 4 3" xfId="34598"/>
    <cellStyle name="Normal 2 3 3 2 4 5" xfId="17068"/>
    <cellStyle name="Normal 2 3 3 2 4 5 2" xfId="17069"/>
    <cellStyle name="Normal 2 3 3 2 4 5 2 2" xfId="34599"/>
    <cellStyle name="Normal 2 3 3 2 4 5 3" xfId="34600"/>
    <cellStyle name="Normal 2 3 3 2 4 6" xfId="17070"/>
    <cellStyle name="Normal 2 3 3 2 4 6 2" xfId="34601"/>
    <cellStyle name="Normal 2 3 3 2 4 7" xfId="17071"/>
    <cellStyle name="Normal 2 3 3 2 5" xfId="2152"/>
    <cellStyle name="Normal 2 3 3 2 5 2" xfId="17072"/>
    <cellStyle name="Normal 2 3 3 2 5 2 2" xfId="17073"/>
    <cellStyle name="Normal 2 3 3 2 5 2 2 2" xfId="34602"/>
    <cellStyle name="Normal 2 3 3 2 5 2 3" xfId="34603"/>
    <cellStyle name="Normal 2 3 3 2 5 3" xfId="17074"/>
    <cellStyle name="Normal 2 3 3 2 5 3 2" xfId="17075"/>
    <cellStyle name="Normal 2 3 3 2 5 3 2 2" xfId="34604"/>
    <cellStyle name="Normal 2 3 3 2 5 3 3" xfId="34605"/>
    <cellStyle name="Normal 2 3 3 2 5 4" xfId="17076"/>
    <cellStyle name="Normal 2 3 3 2 5 4 2" xfId="17077"/>
    <cellStyle name="Normal 2 3 3 2 5 4 2 2" xfId="34606"/>
    <cellStyle name="Normal 2 3 3 2 5 4 3" xfId="34607"/>
    <cellStyle name="Normal 2 3 3 2 5 5" xfId="17078"/>
    <cellStyle name="Normal 2 3 3 2 5 5 2" xfId="34608"/>
    <cellStyle name="Normal 2 3 3 2 5 6" xfId="17079"/>
    <cellStyle name="Normal 2 3 3 2 6" xfId="17080"/>
    <cellStyle name="Normal 2 3 3 2 6 2" xfId="17081"/>
    <cellStyle name="Normal 2 3 3 2 6 2 2" xfId="34609"/>
    <cellStyle name="Normal 2 3 3 2 6 3" xfId="34610"/>
    <cellStyle name="Normal 2 3 3 2 7" xfId="17082"/>
    <cellStyle name="Normal 2 3 3 2 7 2" xfId="17083"/>
    <cellStyle name="Normal 2 3 3 2 7 2 2" xfId="34611"/>
    <cellStyle name="Normal 2 3 3 2 7 3" xfId="34612"/>
    <cellStyle name="Normal 2 3 3 2 8" xfId="17084"/>
    <cellStyle name="Normal 2 3 3 2 8 2" xfId="17085"/>
    <cellStyle name="Normal 2 3 3 2 8 2 2" xfId="34613"/>
    <cellStyle name="Normal 2 3 3 2 8 3" xfId="34614"/>
    <cellStyle name="Normal 2 3 3 2 9" xfId="17086"/>
    <cellStyle name="Normal 2 3 3 2 9 2" xfId="34615"/>
    <cellStyle name="Normal 2 3 3 3" xfId="282"/>
    <cellStyle name="Normal 2 3 3 3 10" xfId="17087"/>
    <cellStyle name="Normal 2 3 3 3 2" xfId="440"/>
    <cellStyle name="Normal 2 3 3 3 2 2" xfId="1228"/>
    <cellStyle name="Normal 2 3 3 3 2 2 2" xfId="2153"/>
    <cellStyle name="Normal 2 3 3 3 2 2 2 2" xfId="17088"/>
    <cellStyle name="Normal 2 3 3 3 2 2 2 2 2" xfId="17089"/>
    <cellStyle name="Normal 2 3 3 3 2 2 2 2 2 2" xfId="34616"/>
    <cellStyle name="Normal 2 3 3 3 2 2 2 2 3" xfId="34617"/>
    <cellStyle name="Normal 2 3 3 3 2 2 2 3" xfId="17090"/>
    <cellStyle name="Normal 2 3 3 3 2 2 2 3 2" xfId="17091"/>
    <cellStyle name="Normal 2 3 3 3 2 2 2 3 2 2" xfId="34618"/>
    <cellStyle name="Normal 2 3 3 3 2 2 2 3 3" xfId="34619"/>
    <cellStyle name="Normal 2 3 3 3 2 2 2 4" xfId="17092"/>
    <cellStyle name="Normal 2 3 3 3 2 2 2 4 2" xfId="17093"/>
    <cellStyle name="Normal 2 3 3 3 2 2 2 4 2 2" xfId="34620"/>
    <cellStyle name="Normal 2 3 3 3 2 2 2 4 3" xfId="34621"/>
    <cellStyle name="Normal 2 3 3 3 2 2 2 5" xfId="17094"/>
    <cellStyle name="Normal 2 3 3 3 2 2 2 5 2" xfId="34622"/>
    <cellStyle name="Normal 2 3 3 3 2 2 2 6" xfId="17095"/>
    <cellStyle name="Normal 2 3 3 3 2 2 3" xfId="17096"/>
    <cellStyle name="Normal 2 3 3 3 2 2 3 2" xfId="17097"/>
    <cellStyle name="Normal 2 3 3 3 2 2 3 2 2" xfId="34623"/>
    <cellStyle name="Normal 2 3 3 3 2 2 3 3" xfId="34624"/>
    <cellStyle name="Normal 2 3 3 3 2 2 4" xfId="17098"/>
    <cellStyle name="Normal 2 3 3 3 2 2 4 2" xfId="17099"/>
    <cellStyle name="Normal 2 3 3 3 2 2 4 2 2" xfId="34625"/>
    <cellStyle name="Normal 2 3 3 3 2 2 4 3" xfId="34626"/>
    <cellStyle name="Normal 2 3 3 3 2 2 5" xfId="17100"/>
    <cellStyle name="Normal 2 3 3 3 2 2 5 2" xfId="17101"/>
    <cellStyle name="Normal 2 3 3 3 2 2 5 2 2" xfId="34627"/>
    <cellStyle name="Normal 2 3 3 3 2 2 5 3" xfId="34628"/>
    <cellStyle name="Normal 2 3 3 3 2 2 6" xfId="17102"/>
    <cellStyle name="Normal 2 3 3 3 2 2 6 2" xfId="34629"/>
    <cellStyle name="Normal 2 3 3 3 2 2 7" xfId="17103"/>
    <cellStyle name="Normal 2 3 3 3 2 3" xfId="860"/>
    <cellStyle name="Normal 2 3 3 3 2 3 2" xfId="2154"/>
    <cellStyle name="Normal 2 3 3 3 2 3 2 2" xfId="17104"/>
    <cellStyle name="Normal 2 3 3 3 2 3 2 2 2" xfId="17105"/>
    <cellStyle name="Normal 2 3 3 3 2 3 2 2 2 2" xfId="34630"/>
    <cellStyle name="Normal 2 3 3 3 2 3 2 2 3" xfId="34631"/>
    <cellStyle name="Normal 2 3 3 3 2 3 2 3" xfId="17106"/>
    <cellStyle name="Normal 2 3 3 3 2 3 2 3 2" xfId="17107"/>
    <cellStyle name="Normal 2 3 3 3 2 3 2 3 2 2" xfId="34632"/>
    <cellStyle name="Normal 2 3 3 3 2 3 2 3 3" xfId="34633"/>
    <cellStyle name="Normal 2 3 3 3 2 3 2 4" xfId="17108"/>
    <cellStyle name="Normal 2 3 3 3 2 3 2 4 2" xfId="17109"/>
    <cellStyle name="Normal 2 3 3 3 2 3 2 4 2 2" xfId="34634"/>
    <cellStyle name="Normal 2 3 3 3 2 3 2 4 3" xfId="34635"/>
    <cellStyle name="Normal 2 3 3 3 2 3 2 5" xfId="17110"/>
    <cellStyle name="Normal 2 3 3 3 2 3 2 5 2" xfId="34636"/>
    <cellStyle name="Normal 2 3 3 3 2 3 2 6" xfId="17111"/>
    <cellStyle name="Normal 2 3 3 3 2 3 3" xfId="17112"/>
    <cellStyle name="Normal 2 3 3 3 2 3 3 2" xfId="17113"/>
    <cellStyle name="Normal 2 3 3 3 2 3 3 2 2" xfId="34637"/>
    <cellStyle name="Normal 2 3 3 3 2 3 3 3" xfId="34638"/>
    <cellStyle name="Normal 2 3 3 3 2 3 4" xfId="17114"/>
    <cellStyle name="Normal 2 3 3 3 2 3 4 2" xfId="17115"/>
    <cellStyle name="Normal 2 3 3 3 2 3 4 2 2" xfId="34639"/>
    <cellStyle name="Normal 2 3 3 3 2 3 4 3" xfId="34640"/>
    <cellStyle name="Normal 2 3 3 3 2 3 5" xfId="17116"/>
    <cellStyle name="Normal 2 3 3 3 2 3 5 2" xfId="17117"/>
    <cellStyle name="Normal 2 3 3 3 2 3 5 2 2" xfId="34641"/>
    <cellStyle name="Normal 2 3 3 3 2 3 5 3" xfId="34642"/>
    <cellStyle name="Normal 2 3 3 3 2 3 6" xfId="17118"/>
    <cellStyle name="Normal 2 3 3 3 2 3 6 2" xfId="34643"/>
    <cellStyle name="Normal 2 3 3 3 2 3 7" xfId="17119"/>
    <cellStyle name="Normal 2 3 3 3 2 4" xfId="2155"/>
    <cellStyle name="Normal 2 3 3 3 2 4 2" xfId="17120"/>
    <cellStyle name="Normal 2 3 3 3 2 4 2 2" xfId="17121"/>
    <cellStyle name="Normal 2 3 3 3 2 4 2 2 2" xfId="34644"/>
    <cellStyle name="Normal 2 3 3 3 2 4 2 3" xfId="34645"/>
    <cellStyle name="Normal 2 3 3 3 2 4 3" xfId="17122"/>
    <cellStyle name="Normal 2 3 3 3 2 4 3 2" xfId="17123"/>
    <cellStyle name="Normal 2 3 3 3 2 4 3 2 2" xfId="34646"/>
    <cellStyle name="Normal 2 3 3 3 2 4 3 3" xfId="34647"/>
    <cellStyle name="Normal 2 3 3 3 2 4 4" xfId="17124"/>
    <cellStyle name="Normal 2 3 3 3 2 4 4 2" xfId="17125"/>
    <cellStyle name="Normal 2 3 3 3 2 4 4 2 2" xfId="34648"/>
    <cellStyle name="Normal 2 3 3 3 2 4 4 3" xfId="34649"/>
    <cellStyle name="Normal 2 3 3 3 2 4 5" xfId="17126"/>
    <cellStyle name="Normal 2 3 3 3 2 4 5 2" xfId="34650"/>
    <cellStyle name="Normal 2 3 3 3 2 4 6" xfId="17127"/>
    <cellStyle name="Normal 2 3 3 3 2 5" xfId="17128"/>
    <cellStyle name="Normal 2 3 3 3 2 5 2" xfId="17129"/>
    <cellStyle name="Normal 2 3 3 3 2 5 2 2" xfId="34651"/>
    <cellStyle name="Normal 2 3 3 3 2 5 3" xfId="34652"/>
    <cellStyle name="Normal 2 3 3 3 2 6" xfId="17130"/>
    <cellStyle name="Normal 2 3 3 3 2 6 2" xfId="17131"/>
    <cellStyle name="Normal 2 3 3 3 2 6 2 2" xfId="34653"/>
    <cellStyle name="Normal 2 3 3 3 2 6 3" xfId="34654"/>
    <cellStyle name="Normal 2 3 3 3 2 7" xfId="17132"/>
    <cellStyle name="Normal 2 3 3 3 2 7 2" xfId="17133"/>
    <cellStyle name="Normal 2 3 3 3 2 7 2 2" xfId="34655"/>
    <cellStyle name="Normal 2 3 3 3 2 7 3" xfId="34656"/>
    <cellStyle name="Normal 2 3 3 3 2 8" xfId="17134"/>
    <cellStyle name="Normal 2 3 3 3 2 8 2" xfId="34657"/>
    <cellStyle name="Normal 2 3 3 3 2 9" xfId="17135"/>
    <cellStyle name="Normal 2 3 3 3 3" xfId="1070"/>
    <cellStyle name="Normal 2 3 3 3 3 2" xfId="2156"/>
    <cellStyle name="Normal 2 3 3 3 3 2 2" xfId="17136"/>
    <cellStyle name="Normal 2 3 3 3 3 2 2 2" xfId="17137"/>
    <cellStyle name="Normal 2 3 3 3 3 2 2 2 2" xfId="34658"/>
    <cellStyle name="Normal 2 3 3 3 3 2 2 3" xfId="34659"/>
    <cellStyle name="Normal 2 3 3 3 3 2 3" xfId="17138"/>
    <cellStyle name="Normal 2 3 3 3 3 2 3 2" xfId="17139"/>
    <cellStyle name="Normal 2 3 3 3 3 2 3 2 2" xfId="34660"/>
    <cellStyle name="Normal 2 3 3 3 3 2 3 3" xfId="34661"/>
    <cellStyle name="Normal 2 3 3 3 3 2 4" xfId="17140"/>
    <cellStyle name="Normal 2 3 3 3 3 2 4 2" xfId="17141"/>
    <cellStyle name="Normal 2 3 3 3 3 2 4 2 2" xfId="34662"/>
    <cellStyle name="Normal 2 3 3 3 3 2 4 3" xfId="34663"/>
    <cellStyle name="Normal 2 3 3 3 3 2 5" xfId="17142"/>
    <cellStyle name="Normal 2 3 3 3 3 2 5 2" xfId="34664"/>
    <cellStyle name="Normal 2 3 3 3 3 2 6" xfId="17143"/>
    <cellStyle name="Normal 2 3 3 3 3 3" xfId="17144"/>
    <cellStyle name="Normal 2 3 3 3 3 3 2" xfId="17145"/>
    <cellStyle name="Normal 2 3 3 3 3 3 2 2" xfId="34665"/>
    <cellStyle name="Normal 2 3 3 3 3 3 3" xfId="34666"/>
    <cellStyle name="Normal 2 3 3 3 3 4" xfId="17146"/>
    <cellStyle name="Normal 2 3 3 3 3 4 2" xfId="17147"/>
    <cellStyle name="Normal 2 3 3 3 3 4 2 2" xfId="34667"/>
    <cellStyle name="Normal 2 3 3 3 3 4 3" xfId="34668"/>
    <cellStyle name="Normal 2 3 3 3 3 5" xfId="17148"/>
    <cellStyle name="Normal 2 3 3 3 3 5 2" xfId="17149"/>
    <cellStyle name="Normal 2 3 3 3 3 5 2 2" xfId="34669"/>
    <cellStyle name="Normal 2 3 3 3 3 5 3" xfId="34670"/>
    <cellStyle name="Normal 2 3 3 3 3 6" xfId="17150"/>
    <cellStyle name="Normal 2 3 3 3 3 6 2" xfId="34671"/>
    <cellStyle name="Normal 2 3 3 3 3 7" xfId="17151"/>
    <cellStyle name="Normal 2 3 3 3 4" xfId="702"/>
    <cellStyle name="Normal 2 3 3 3 4 2" xfId="2157"/>
    <cellStyle name="Normal 2 3 3 3 4 2 2" xfId="17152"/>
    <cellStyle name="Normal 2 3 3 3 4 2 2 2" xfId="17153"/>
    <cellStyle name="Normal 2 3 3 3 4 2 2 2 2" xfId="34672"/>
    <cellStyle name="Normal 2 3 3 3 4 2 2 3" xfId="34673"/>
    <cellStyle name="Normal 2 3 3 3 4 2 3" xfId="17154"/>
    <cellStyle name="Normal 2 3 3 3 4 2 3 2" xfId="17155"/>
    <cellStyle name="Normal 2 3 3 3 4 2 3 2 2" xfId="34674"/>
    <cellStyle name="Normal 2 3 3 3 4 2 3 3" xfId="34675"/>
    <cellStyle name="Normal 2 3 3 3 4 2 4" xfId="17156"/>
    <cellStyle name="Normal 2 3 3 3 4 2 4 2" xfId="17157"/>
    <cellStyle name="Normal 2 3 3 3 4 2 4 2 2" xfId="34676"/>
    <cellStyle name="Normal 2 3 3 3 4 2 4 3" xfId="34677"/>
    <cellStyle name="Normal 2 3 3 3 4 2 5" xfId="17158"/>
    <cellStyle name="Normal 2 3 3 3 4 2 5 2" xfId="34678"/>
    <cellStyle name="Normal 2 3 3 3 4 2 6" xfId="17159"/>
    <cellStyle name="Normal 2 3 3 3 4 3" xfId="17160"/>
    <cellStyle name="Normal 2 3 3 3 4 3 2" xfId="17161"/>
    <cellStyle name="Normal 2 3 3 3 4 3 2 2" xfId="34679"/>
    <cellStyle name="Normal 2 3 3 3 4 3 3" xfId="34680"/>
    <cellStyle name="Normal 2 3 3 3 4 4" xfId="17162"/>
    <cellStyle name="Normal 2 3 3 3 4 4 2" xfId="17163"/>
    <cellStyle name="Normal 2 3 3 3 4 4 2 2" xfId="34681"/>
    <cellStyle name="Normal 2 3 3 3 4 4 3" xfId="34682"/>
    <cellStyle name="Normal 2 3 3 3 4 5" xfId="17164"/>
    <cellStyle name="Normal 2 3 3 3 4 5 2" xfId="17165"/>
    <cellStyle name="Normal 2 3 3 3 4 5 2 2" xfId="34683"/>
    <cellStyle name="Normal 2 3 3 3 4 5 3" xfId="34684"/>
    <cellStyle name="Normal 2 3 3 3 4 6" xfId="17166"/>
    <cellStyle name="Normal 2 3 3 3 4 6 2" xfId="34685"/>
    <cellStyle name="Normal 2 3 3 3 4 7" xfId="17167"/>
    <cellStyle name="Normal 2 3 3 3 5" xfId="2158"/>
    <cellStyle name="Normal 2 3 3 3 5 2" xfId="17168"/>
    <cellStyle name="Normal 2 3 3 3 5 2 2" xfId="17169"/>
    <cellStyle name="Normal 2 3 3 3 5 2 2 2" xfId="34686"/>
    <cellStyle name="Normal 2 3 3 3 5 2 3" xfId="34687"/>
    <cellStyle name="Normal 2 3 3 3 5 3" xfId="17170"/>
    <cellStyle name="Normal 2 3 3 3 5 3 2" xfId="17171"/>
    <cellStyle name="Normal 2 3 3 3 5 3 2 2" xfId="34688"/>
    <cellStyle name="Normal 2 3 3 3 5 3 3" xfId="34689"/>
    <cellStyle name="Normal 2 3 3 3 5 4" xfId="17172"/>
    <cellStyle name="Normal 2 3 3 3 5 4 2" xfId="17173"/>
    <cellStyle name="Normal 2 3 3 3 5 4 2 2" xfId="34690"/>
    <cellStyle name="Normal 2 3 3 3 5 4 3" xfId="34691"/>
    <cellStyle name="Normal 2 3 3 3 5 5" xfId="17174"/>
    <cellStyle name="Normal 2 3 3 3 5 5 2" xfId="34692"/>
    <cellStyle name="Normal 2 3 3 3 5 6" xfId="17175"/>
    <cellStyle name="Normal 2 3 3 3 6" xfId="17176"/>
    <cellStyle name="Normal 2 3 3 3 6 2" xfId="17177"/>
    <cellStyle name="Normal 2 3 3 3 6 2 2" xfId="34693"/>
    <cellStyle name="Normal 2 3 3 3 6 3" xfId="34694"/>
    <cellStyle name="Normal 2 3 3 3 7" xfId="17178"/>
    <cellStyle name="Normal 2 3 3 3 7 2" xfId="17179"/>
    <cellStyle name="Normal 2 3 3 3 7 2 2" xfId="34695"/>
    <cellStyle name="Normal 2 3 3 3 7 3" xfId="34696"/>
    <cellStyle name="Normal 2 3 3 3 8" xfId="17180"/>
    <cellStyle name="Normal 2 3 3 3 8 2" xfId="17181"/>
    <cellStyle name="Normal 2 3 3 3 8 2 2" xfId="34697"/>
    <cellStyle name="Normal 2 3 3 3 8 3" xfId="34698"/>
    <cellStyle name="Normal 2 3 3 3 9" xfId="17182"/>
    <cellStyle name="Normal 2 3 3 3 9 2" xfId="34699"/>
    <cellStyle name="Normal 2 3 3 4" xfId="174"/>
    <cellStyle name="Normal 2 3 3 4 2" xfId="962"/>
    <cellStyle name="Normal 2 3 3 4 2 2" xfId="2159"/>
    <cellStyle name="Normal 2 3 3 4 2 2 2" xfId="17183"/>
    <cellStyle name="Normal 2 3 3 4 2 2 2 2" xfId="17184"/>
    <cellStyle name="Normal 2 3 3 4 2 2 2 2 2" xfId="34700"/>
    <cellStyle name="Normal 2 3 3 4 2 2 2 3" xfId="34701"/>
    <cellStyle name="Normal 2 3 3 4 2 2 3" xfId="17185"/>
    <cellStyle name="Normal 2 3 3 4 2 2 3 2" xfId="17186"/>
    <cellStyle name="Normal 2 3 3 4 2 2 3 2 2" xfId="34702"/>
    <cellStyle name="Normal 2 3 3 4 2 2 3 3" xfId="34703"/>
    <cellStyle name="Normal 2 3 3 4 2 2 4" xfId="17187"/>
    <cellStyle name="Normal 2 3 3 4 2 2 4 2" xfId="17188"/>
    <cellStyle name="Normal 2 3 3 4 2 2 4 2 2" xfId="34704"/>
    <cellStyle name="Normal 2 3 3 4 2 2 4 3" xfId="34705"/>
    <cellStyle name="Normal 2 3 3 4 2 2 5" xfId="17189"/>
    <cellStyle name="Normal 2 3 3 4 2 2 5 2" xfId="34706"/>
    <cellStyle name="Normal 2 3 3 4 2 2 6" xfId="17190"/>
    <cellStyle name="Normal 2 3 3 4 2 3" xfId="17191"/>
    <cellStyle name="Normal 2 3 3 4 2 3 2" xfId="17192"/>
    <cellStyle name="Normal 2 3 3 4 2 3 2 2" xfId="34707"/>
    <cellStyle name="Normal 2 3 3 4 2 3 3" xfId="34708"/>
    <cellStyle name="Normal 2 3 3 4 2 4" xfId="17193"/>
    <cellStyle name="Normal 2 3 3 4 2 4 2" xfId="17194"/>
    <cellStyle name="Normal 2 3 3 4 2 4 2 2" xfId="34709"/>
    <cellStyle name="Normal 2 3 3 4 2 4 3" xfId="34710"/>
    <cellStyle name="Normal 2 3 3 4 2 5" xfId="17195"/>
    <cellStyle name="Normal 2 3 3 4 2 5 2" xfId="17196"/>
    <cellStyle name="Normal 2 3 3 4 2 5 2 2" xfId="34711"/>
    <cellStyle name="Normal 2 3 3 4 2 5 3" xfId="34712"/>
    <cellStyle name="Normal 2 3 3 4 2 6" xfId="17197"/>
    <cellStyle name="Normal 2 3 3 4 2 6 2" xfId="34713"/>
    <cellStyle name="Normal 2 3 3 4 2 7" xfId="17198"/>
    <cellStyle name="Normal 2 3 3 4 3" xfId="594"/>
    <cellStyle name="Normal 2 3 3 4 3 2" xfId="2160"/>
    <cellStyle name="Normal 2 3 3 4 3 2 2" xfId="17199"/>
    <cellStyle name="Normal 2 3 3 4 3 2 2 2" xfId="17200"/>
    <cellStyle name="Normal 2 3 3 4 3 2 2 2 2" xfId="34714"/>
    <cellStyle name="Normal 2 3 3 4 3 2 2 3" xfId="34715"/>
    <cellStyle name="Normal 2 3 3 4 3 2 3" xfId="17201"/>
    <cellStyle name="Normal 2 3 3 4 3 2 3 2" xfId="17202"/>
    <cellStyle name="Normal 2 3 3 4 3 2 3 2 2" xfId="34716"/>
    <cellStyle name="Normal 2 3 3 4 3 2 3 3" xfId="34717"/>
    <cellStyle name="Normal 2 3 3 4 3 2 4" xfId="17203"/>
    <cellStyle name="Normal 2 3 3 4 3 2 4 2" xfId="17204"/>
    <cellStyle name="Normal 2 3 3 4 3 2 4 2 2" xfId="34718"/>
    <cellStyle name="Normal 2 3 3 4 3 2 4 3" xfId="34719"/>
    <cellStyle name="Normal 2 3 3 4 3 2 5" xfId="17205"/>
    <cellStyle name="Normal 2 3 3 4 3 2 5 2" xfId="34720"/>
    <cellStyle name="Normal 2 3 3 4 3 2 6" xfId="17206"/>
    <cellStyle name="Normal 2 3 3 4 3 3" xfId="17207"/>
    <cellStyle name="Normal 2 3 3 4 3 3 2" xfId="17208"/>
    <cellStyle name="Normal 2 3 3 4 3 3 2 2" xfId="34721"/>
    <cellStyle name="Normal 2 3 3 4 3 3 3" xfId="34722"/>
    <cellStyle name="Normal 2 3 3 4 3 4" xfId="17209"/>
    <cellStyle name="Normal 2 3 3 4 3 4 2" xfId="17210"/>
    <cellStyle name="Normal 2 3 3 4 3 4 2 2" xfId="34723"/>
    <cellStyle name="Normal 2 3 3 4 3 4 3" xfId="34724"/>
    <cellStyle name="Normal 2 3 3 4 3 5" xfId="17211"/>
    <cellStyle name="Normal 2 3 3 4 3 5 2" xfId="17212"/>
    <cellStyle name="Normal 2 3 3 4 3 5 2 2" xfId="34725"/>
    <cellStyle name="Normal 2 3 3 4 3 5 3" xfId="34726"/>
    <cellStyle name="Normal 2 3 3 4 3 6" xfId="17213"/>
    <cellStyle name="Normal 2 3 3 4 3 6 2" xfId="34727"/>
    <cellStyle name="Normal 2 3 3 4 3 7" xfId="17214"/>
    <cellStyle name="Normal 2 3 3 4 4" xfId="2161"/>
    <cellStyle name="Normal 2 3 3 4 4 2" xfId="17215"/>
    <cellStyle name="Normal 2 3 3 4 4 2 2" xfId="17216"/>
    <cellStyle name="Normal 2 3 3 4 4 2 2 2" xfId="34728"/>
    <cellStyle name="Normal 2 3 3 4 4 2 3" xfId="34729"/>
    <cellStyle name="Normal 2 3 3 4 4 3" xfId="17217"/>
    <cellStyle name="Normal 2 3 3 4 4 3 2" xfId="17218"/>
    <cellStyle name="Normal 2 3 3 4 4 3 2 2" xfId="34730"/>
    <cellStyle name="Normal 2 3 3 4 4 3 3" xfId="34731"/>
    <cellStyle name="Normal 2 3 3 4 4 4" xfId="17219"/>
    <cellStyle name="Normal 2 3 3 4 4 4 2" xfId="17220"/>
    <cellStyle name="Normal 2 3 3 4 4 4 2 2" xfId="34732"/>
    <cellStyle name="Normal 2 3 3 4 4 4 3" xfId="34733"/>
    <cellStyle name="Normal 2 3 3 4 4 5" xfId="17221"/>
    <cellStyle name="Normal 2 3 3 4 4 5 2" xfId="34734"/>
    <cellStyle name="Normal 2 3 3 4 4 6" xfId="17222"/>
    <cellStyle name="Normal 2 3 3 4 5" xfId="17223"/>
    <cellStyle name="Normal 2 3 3 4 5 2" xfId="17224"/>
    <cellStyle name="Normal 2 3 3 4 5 2 2" xfId="34735"/>
    <cellStyle name="Normal 2 3 3 4 5 3" xfId="34736"/>
    <cellStyle name="Normal 2 3 3 4 6" xfId="17225"/>
    <cellStyle name="Normal 2 3 3 4 6 2" xfId="17226"/>
    <cellStyle name="Normal 2 3 3 4 6 2 2" xfId="34737"/>
    <cellStyle name="Normal 2 3 3 4 6 3" xfId="34738"/>
    <cellStyle name="Normal 2 3 3 4 7" xfId="17227"/>
    <cellStyle name="Normal 2 3 3 4 7 2" xfId="17228"/>
    <cellStyle name="Normal 2 3 3 4 7 2 2" xfId="34739"/>
    <cellStyle name="Normal 2 3 3 4 7 3" xfId="34740"/>
    <cellStyle name="Normal 2 3 3 4 8" xfId="17229"/>
    <cellStyle name="Normal 2 3 3 4 8 2" xfId="34741"/>
    <cellStyle name="Normal 2 3 3 4 9" xfId="17230"/>
    <cellStyle name="Normal 2 3 3 5" xfId="332"/>
    <cellStyle name="Normal 2 3 3 5 2" xfId="1120"/>
    <cellStyle name="Normal 2 3 3 5 2 2" xfId="2162"/>
    <cellStyle name="Normal 2 3 3 5 2 2 2" xfId="17231"/>
    <cellStyle name="Normal 2 3 3 5 2 2 2 2" xfId="17232"/>
    <cellStyle name="Normal 2 3 3 5 2 2 2 2 2" xfId="34742"/>
    <cellStyle name="Normal 2 3 3 5 2 2 2 3" xfId="34743"/>
    <cellStyle name="Normal 2 3 3 5 2 2 3" xfId="17233"/>
    <cellStyle name="Normal 2 3 3 5 2 2 3 2" xfId="17234"/>
    <cellStyle name="Normal 2 3 3 5 2 2 3 2 2" xfId="34744"/>
    <cellStyle name="Normal 2 3 3 5 2 2 3 3" xfId="34745"/>
    <cellStyle name="Normal 2 3 3 5 2 2 4" xfId="17235"/>
    <cellStyle name="Normal 2 3 3 5 2 2 4 2" xfId="17236"/>
    <cellStyle name="Normal 2 3 3 5 2 2 4 2 2" xfId="34746"/>
    <cellStyle name="Normal 2 3 3 5 2 2 4 3" xfId="34747"/>
    <cellStyle name="Normal 2 3 3 5 2 2 5" xfId="17237"/>
    <cellStyle name="Normal 2 3 3 5 2 2 5 2" xfId="34748"/>
    <cellStyle name="Normal 2 3 3 5 2 2 6" xfId="17238"/>
    <cellStyle name="Normal 2 3 3 5 2 3" xfId="17239"/>
    <cellStyle name="Normal 2 3 3 5 2 3 2" xfId="17240"/>
    <cellStyle name="Normal 2 3 3 5 2 3 2 2" xfId="34749"/>
    <cellStyle name="Normal 2 3 3 5 2 3 3" xfId="34750"/>
    <cellStyle name="Normal 2 3 3 5 2 4" xfId="17241"/>
    <cellStyle name="Normal 2 3 3 5 2 4 2" xfId="17242"/>
    <cellStyle name="Normal 2 3 3 5 2 4 2 2" xfId="34751"/>
    <cellStyle name="Normal 2 3 3 5 2 4 3" xfId="34752"/>
    <cellStyle name="Normal 2 3 3 5 2 5" xfId="17243"/>
    <cellStyle name="Normal 2 3 3 5 2 5 2" xfId="17244"/>
    <cellStyle name="Normal 2 3 3 5 2 5 2 2" xfId="34753"/>
    <cellStyle name="Normal 2 3 3 5 2 5 3" xfId="34754"/>
    <cellStyle name="Normal 2 3 3 5 2 6" xfId="17245"/>
    <cellStyle name="Normal 2 3 3 5 2 6 2" xfId="34755"/>
    <cellStyle name="Normal 2 3 3 5 2 7" xfId="17246"/>
    <cellStyle name="Normal 2 3 3 5 3" xfId="752"/>
    <cellStyle name="Normal 2 3 3 5 3 2" xfId="2163"/>
    <cellStyle name="Normal 2 3 3 5 3 2 2" xfId="17247"/>
    <cellStyle name="Normal 2 3 3 5 3 2 2 2" xfId="17248"/>
    <cellStyle name="Normal 2 3 3 5 3 2 2 2 2" xfId="34756"/>
    <cellStyle name="Normal 2 3 3 5 3 2 2 3" xfId="34757"/>
    <cellStyle name="Normal 2 3 3 5 3 2 3" xfId="17249"/>
    <cellStyle name="Normal 2 3 3 5 3 2 3 2" xfId="17250"/>
    <cellStyle name="Normal 2 3 3 5 3 2 3 2 2" xfId="34758"/>
    <cellStyle name="Normal 2 3 3 5 3 2 3 3" xfId="34759"/>
    <cellStyle name="Normal 2 3 3 5 3 2 4" xfId="17251"/>
    <cellStyle name="Normal 2 3 3 5 3 2 4 2" xfId="17252"/>
    <cellStyle name="Normal 2 3 3 5 3 2 4 2 2" xfId="34760"/>
    <cellStyle name="Normal 2 3 3 5 3 2 4 3" xfId="34761"/>
    <cellStyle name="Normal 2 3 3 5 3 2 5" xfId="17253"/>
    <cellStyle name="Normal 2 3 3 5 3 2 5 2" xfId="34762"/>
    <cellStyle name="Normal 2 3 3 5 3 2 6" xfId="17254"/>
    <cellStyle name="Normal 2 3 3 5 3 3" xfId="17255"/>
    <cellStyle name="Normal 2 3 3 5 3 3 2" xfId="17256"/>
    <cellStyle name="Normal 2 3 3 5 3 3 2 2" xfId="34763"/>
    <cellStyle name="Normal 2 3 3 5 3 3 3" xfId="34764"/>
    <cellStyle name="Normal 2 3 3 5 3 4" xfId="17257"/>
    <cellStyle name="Normal 2 3 3 5 3 4 2" xfId="17258"/>
    <cellStyle name="Normal 2 3 3 5 3 4 2 2" xfId="34765"/>
    <cellStyle name="Normal 2 3 3 5 3 4 3" xfId="34766"/>
    <cellStyle name="Normal 2 3 3 5 3 5" xfId="17259"/>
    <cellStyle name="Normal 2 3 3 5 3 5 2" xfId="17260"/>
    <cellStyle name="Normal 2 3 3 5 3 5 2 2" xfId="34767"/>
    <cellStyle name="Normal 2 3 3 5 3 5 3" xfId="34768"/>
    <cellStyle name="Normal 2 3 3 5 3 6" xfId="17261"/>
    <cellStyle name="Normal 2 3 3 5 3 6 2" xfId="34769"/>
    <cellStyle name="Normal 2 3 3 5 3 7" xfId="17262"/>
    <cellStyle name="Normal 2 3 3 5 4" xfId="2164"/>
    <cellStyle name="Normal 2 3 3 5 4 2" xfId="17263"/>
    <cellStyle name="Normal 2 3 3 5 4 2 2" xfId="17264"/>
    <cellStyle name="Normal 2 3 3 5 4 2 2 2" xfId="34770"/>
    <cellStyle name="Normal 2 3 3 5 4 2 3" xfId="34771"/>
    <cellStyle name="Normal 2 3 3 5 4 3" xfId="17265"/>
    <cellStyle name="Normal 2 3 3 5 4 3 2" xfId="17266"/>
    <cellStyle name="Normal 2 3 3 5 4 3 2 2" xfId="34772"/>
    <cellStyle name="Normal 2 3 3 5 4 3 3" xfId="34773"/>
    <cellStyle name="Normal 2 3 3 5 4 4" xfId="17267"/>
    <cellStyle name="Normal 2 3 3 5 4 4 2" xfId="17268"/>
    <cellStyle name="Normal 2 3 3 5 4 4 2 2" xfId="34774"/>
    <cellStyle name="Normal 2 3 3 5 4 4 3" xfId="34775"/>
    <cellStyle name="Normal 2 3 3 5 4 5" xfId="17269"/>
    <cellStyle name="Normal 2 3 3 5 4 5 2" xfId="34776"/>
    <cellStyle name="Normal 2 3 3 5 4 6" xfId="17270"/>
    <cellStyle name="Normal 2 3 3 5 5" xfId="17271"/>
    <cellStyle name="Normal 2 3 3 5 5 2" xfId="17272"/>
    <cellStyle name="Normal 2 3 3 5 5 2 2" xfId="34777"/>
    <cellStyle name="Normal 2 3 3 5 5 3" xfId="34778"/>
    <cellStyle name="Normal 2 3 3 5 6" xfId="17273"/>
    <cellStyle name="Normal 2 3 3 5 6 2" xfId="17274"/>
    <cellStyle name="Normal 2 3 3 5 6 2 2" xfId="34779"/>
    <cellStyle name="Normal 2 3 3 5 6 3" xfId="34780"/>
    <cellStyle name="Normal 2 3 3 5 7" xfId="17275"/>
    <cellStyle name="Normal 2 3 3 5 7 2" xfId="17276"/>
    <cellStyle name="Normal 2 3 3 5 7 2 2" xfId="34781"/>
    <cellStyle name="Normal 2 3 3 5 7 3" xfId="34782"/>
    <cellStyle name="Normal 2 3 3 5 8" xfId="17277"/>
    <cellStyle name="Normal 2 3 3 5 8 2" xfId="34783"/>
    <cellStyle name="Normal 2 3 3 5 9" xfId="17278"/>
    <cellStyle name="Normal 2 3 3 6" xfId="121"/>
    <cellStyle name="Normal 2 3 3 6 2" xfId="542"/>
    <cellStyle name="Normal 2 3 3 6 2 2" xfId="2165"/>
    <cellStyle name="Normal 2 3 3 6 2 2 2" xfId="17279"/>
    <cellStyle name="Normal 2 3 3 6 2 2 2 2" xfId="17280"/>
    <cellStyle name="Normal 2 3 3 6 2 2 2 2 2" xfId="34784"/>
    <cellStyle name="Normal 2 3 3 6 2 2 2 3" xfId="34785"/>
    <cellStyle name="Normal 2 3 3 6 2 2 3" xfId="17281"/>
    <cellStyle name="Normal 2 3 3 6 2 2 3 2" xfId="17282"/>
    <cellStyle name="Normal 2 3 3 6 2 2 3 2 2" xfId="34786"/>
    <cellStyle name="Normal 2 3 3 6 2 2 3 3" xfId="34787"/>
    <cellStyle name="Normal 2 3 3 6 2 2 4" xfId="17283"/>
    <cellStyle name="Normal 2 3 3 6 2 2 4 2" xfId="17284"/>
    <cellStyle name="Normal 2 3 3 6 2 2 4 2 2" xfId="34788"/>
    <cellStyle name="Normal 2 3 3 6 2 2 4 3" xfId="34789"/>
    <cellStyle name="Normal 2 3 3 6 2 2 5" xfId="17285"/>
    <cellStyle name="Normal 2 3 3 6 2 2 5 2" xfId="34790"/>
    <cellStyle name="Normal 2 3 3 6 2 2 6" xfId="17286"/>
    <cellStyle name="Normal 2 3 3 6 2 3" xfId="17287"/>
    <cellStyle name="Normal 2 3 3 6 2 3 2" xfId="17288"/>
    <cellStyle name="Normal 2 3 3 6 2 3 2 2" xfId="34791"/>
    <cellStyle name="Normal 2 3 3 6 2 3 3" xfId="34792"/>
    <cellStyle name="Normal 2 3 3 6 2 4" xfId="17289"/>
    <cellStyle name="Normal 2 3 3 6 2 4 2" xfId="17290"/>
    <cellStyle name="Normal 2 3 3 6 2 4 2 2" xfId="34793"/>
    <cellStyle name="Normal 2 3 3 6 2 4 3" xfId="34794"/>
    <cellStyle name="Normal 2 3 3 6 2 5" xfId="17291"/>
    <cellStyle name="Normal 2 3 3 6 2 5 2" xfId="17292"/>
    <cellStyle name="Normal 2 3 3 6 2 5 2 2" xfId="34795"/>
    <cellStyle name="Normal 2 3 3 6 2 5 3" xfId="34796"/>
    <cellStyle name="Normal 2 3 3 6 2 6" xfId="17293"/>
    <cellStyle name="Normal 2 3 3 6 2 6 2" xfId="34797"/>
    <cellStyle name="Normal 2 3 3 6 2 7" xfId="17294"/>
    <cellStyle name="Normal 2 3 3 6 3" xfId="2166"/>
    <cellStyle name="Normal 2 3 3 6 3 2" xfId="17295"/>
    <cellStyle name="Normal 2 3 3 6 3 2 2" xfId="17296"/>
    <cellStyle name="Normal 2 3 3 6 3 2 2 2" xfId="34798"/>
    <cellStyle name="Normal 2 3 3 6 3 2 3" xfId="34799"/>
    <cellStyle name="Normal 2 3 3 6 3 3" xfId="17297"/>
    <cellStyle name="Normal 2 3 3 6 3 3 2" xfId="17298"/>
    <cellStyle name="Normal 2 3 3 6 3 3 2 2" xfId="34800"/>
    <cellStyle name="Normal 2 3 3 6 3 3 3" xfId="34801"/>
    <cellStyle name="Normal 2 3 3 6 3 4" xfId="17299"/>
    <cellStyle name="Normal 2 3 3 6 3 4 2" xfId="17300"/>
    <cellStyle name="Normal 2 3 3 6 3 4 2 2" xfId="34802"/>
    <cellStyle name="Normal 2 3 3 6 3 4 3" xfId="34803"/>
    <cellStyle name="Normal 2 3 3 6 3 5" xfId="17301"/>
    <cellStyle name="Normal 2 3 3 6 3 5 2" xfId="34804"/>
    <cellStyle name="Normal 2 3 3 6 3 6" xfId="17302"/>
    <cellStyle name="Normal 2 3 3 6 4" xfId="17303"/>
    <cellStyle name="Normal 2 3 3 6 4 2" xfId="17304"/>
    <cellStyle name="Normal 2 3 3 6 4 2 2" xfId="34805"/>
    <cellStyle name="Normal 2 3 3 6 4 3" xfId="34806"/>
    <cellStyle name="Normal 2 3 3 6 5" xfId="17305"/>
    <cellStyle name="Normal 2 3 3 6 5 2" xfId="17306"/>
    <cellStyle name="Normal 2 3 3 6 5 2 2" xfId="34807"/>
    <cellStyle name="Normal 2 3 3 6 5 3" xfId="34808"/>
    <cellStyle name="Normal 2 3 3 6 6" xfId="17307"/>
    <cellStyle name="Normal 2 3 3 6 6 2" xfId="17308"/>
    <cellStyle name="Normal 2 3 3 6 6 2 2" xfId="34809"/>
    <cellStyle name="Normal 2 3 3 6 6 3" xfId="34810"/>
    <cellStyle name="Normal 2 3 3 6 7" xfId="17309"/>
    <cellStyle name="Normal 2 3 3 6 7 2" xfId="34811"/>
    <cellStyle name="Normal 2 3 3 6 8" xfId="17310"/>
    <cellStyle name="Normal 2 3 3 7" xfId="910"/>
    <cellStyle name="Normal 2 3 3 7 2" xfId="2167"/>
    <cellStyle name="Normal 2 3 3 7 2 2" xfId="17311"/>
    <cellStyle name="Normal 2 3 3 7 2 2 2" xfId="17312"/>
    <cellStyle name="Normal 2 3 3 7 2 2 2 2" xfId="34812"/>
    <cellStyle name="Normal 2 3 3 7 2 2 3" xfId="34813"/>
    <cellStyle name="Normal 2 3 3 7 2 3" xfId="17313"/>
    <cellStyle name="Normal 2 3 3 7 2 3 2" xfId="17314"/>
    <cellStyle name="Normal 2 3 3 7 2 3 2 2" xfId="34814"/>
    <cellStyle name="Normal 2 3 3 7 2 3 3" xfId="34815"/>
    <cellStyle name="Normal 2 3 3 7 2 4" xfId="17315"/>
    <cellStyle name="Normal 2 3 3 7 2 4 2" xfId="17316"/>
    <cellStyle name="Normal 2 3 3 7 2 4 2 2" xfId="34816"/>
    <cellStyle name="Normal 2 3 3 7 2 4 3" xfId="34817"/>
    <cellStyle name="Normal 2 3 3 7 2 5" xfId="17317"/>
    <cellStyle name="Normal 2 3 3 7 2 5 2" xfId="34818"/>
    <cellStyle name="Normal 2 3 3 7 2 6" xfId="17318"/>
    <cellStyle name="Normal 2 3 3 7 3" xfId="17319"/>
    <cellStyle name="Normal 2 3 3 7 3 2" xfId="17320"/>
    <cellStyle name="Normal 2 3 3 7 3 2 2" xfId="34819"/>
    <cellStyle name="Normal 2 3 3 7 3 3" xfId="34820"/>
    <cellStyle name="Normal 2 3 3 7 4" xfId="17321"/>
    <cellStyle name="Normal 2 3 3 7 4 2" xfId="17322"/>
    <cellStyle name="Normal 2 3 3 7 4 2 2" xfId="34821"/>
    <cellStyle name="Normal 2 3 3 7 4 3" xfId="34822"/>
    <cellStyle name="Normal 2 3 3 7 5" xfId="17323"/>
    <cellStyle name="Normal 2 3 3 7 5 2" xfId="17324"/>
    <cellStyle name="Normal 2 3 3 7 5 2 2" xfId="34823"/>
    <cellStyle name="Normal 2 3 3 7 5 3" xfId="34824"/>
    <cellStyle name="Normal 2 3 3 7 6" xfId="17325"/>
    <cellStyle name="Normal 2 3 3 7 6 2" xfId="34825"/>
    <cellStyle name="Normal 2 3 3 7 7" xfId="17326"/>
    <cellStyle name="Normal 2 3 3 8" xfId="494"/>
    <cellStyle name="Normal 2 3 3 8 2" xfId="2168"/>
    <cellStyle name="Normal 2 3 3 8 2 2" xfId="17327"/>
    <cellStyle name="Normal 2 3 3 8 2 2 2" xfId="17328"/>
    <cellStyle name="Normal 2 3 3 8 2 2 2 2" xfId="34826"/>
    <cellStyle name="Normal 2 3 3 8 2 2 3" xfId="34827"/>
    <cellStyle name="Normal 2 3 3 8 2 3" xfId="17329"/>
    <cellStyle name="Normal 2 3 3 8 2 3 2" xfId="17330"/>
    <cellStyle name="Normal 2 3 3 8 2 3 2 2" xfId="34828"/>
    <cellStyle name="Normal 2 3 3 8 2 3 3" xfId="34829"/>
    <cellStyle name="Normal 2 3 3 8 2 4" xfId="17331"/>
    <cellStyle name="Normal 2 3 3 8 2 4 2" xfId="17332"/>
    <cellStyle name="Normal 2 3 3 8 2 4 2 2" xfId="34830"/>
    <cellStyle name="Normal 2 3 3 8 2 4 3" xfId="34831"/>
    <cellStyle name="Normal 2 3 3 8 2 5" xfId="17333"/>
    <cellStyle name="Normal 2 3 3 8 2 5 2" xfId="34832"/>
    <cellStyle name="Normal 2 3 3 8 2 6" xfId="17334"/>
    <cellStyle name="Normal 2 3 3 8 3" xfId="17335"/>
    <cellStyle name="Normal 2 3 3 8 3 2" xfId="17336"/>
    <cellStyle name="Normal 2 3 3 8 3 2 2" xfId="34833"/>
    <cellStyle name="Normal 2 3 3 8 3 3" xfId="34834"/>
    <cellStyle name="Normal 2 3 3 8 4" xfId="17337"/>
    <cellStyle name="Normal 2 3 3 8 4 2" xfId="17338"/>
    <cellStyle name="Normal 2 3 3 8 4 2 2" xfId="34835"/>
    <cellStyle name="Normal 2 3 3 8 4 3" xfId="34836"/>
    <cellStyle name="Normal 2 3 3 8 5" xfId="17339"/>
    <cellStyle name="Normal 2 3 3 8 5 2" xfId="17340"/>
    <cellStyle name="Normal 2 3 3 8 5 2 2" xfId="34837"/>
    <cellStyle name="Normal 2 3 3 8 5 3" xfId="34838"/>
    <cellStyle name="Normal 2 3 3 8 6" xfId="17341"/>
    <cellStyle name="Normal 2 3 3 8 6 2" xfId="34839"/>
    <cellStyle name="Normal 2 3 3 8 7" xfId="17342"/>
    <cellStyle name="Normal 2 3 3 9" xfId="2169"/>
    <cellStyle name="Normal 2 3 3 9 2" xfId="17343"/>
    <cellStyle name="Normal 2 3 3 9 2 2" xfId="17344"/>
    <cellStyle name="Normal 2 3 3 9 2 2 2" xfId="34840"/>
    <cellStyle name="Normal 2 3 3 9 2 3" xfId="34841"/>
    <cellStyle name="Normal 2 3 3 9 3" xfId="17345"/>
    <cellStyle name="Normal 2 3 3 9 3 2" xfId="17346"/>
    <cellStyle name="Normal 2 3 3 9 3 2 2" xfId="34842"/>
    <cellStyle name="Normal 2 3 3 9 3 3" xfId="34843"/>
    <cellStyle name="Normal 2 3 3 9 4" xfId="17347"/>
    <cellStyle name="Normal 2 3 3 9 4 2" xfId="17348"/>
    <cellStyle name="Normal 2 3 3 9 4 2 2" xfId="34844"/>
    <cellStyle name="Normal 2 3 3 9 4 3" xfId="34845"/>
    <cellStyle name="Normal 2 3 3 9 5" xfId="17349"/>
    <cellStyle name="Normal 2 3 3 9 5 2" xfId="34846"/>
    <cellStyle name="Normal 2 3 3 9 6" xfId="17350"/>
    <cellStyle name="Normal 2 3 4" xfId="61"/>
    <cellStyle name="Normal 2 3 4 10" xfId="17351"/>
    <cellStyle name="Normal 2 3 4 10 2" xfId="17352"/>
    <cellStyle name="Normal 2 3 4 10 2 2" xfId="34847"/>
    <cellStyle name="Normal 2 3 4 10 3" xfId="34848"/>
    <cellStyle name="Normal 2 3 4 11" xfId="17353"/>
    <cellStyle name="Normal 2 3 4 11 2" xfId="17354"/>
    <cellStyle name="Normal 2 3 4 11 2 2" xfId="34849"/>
    <cellStyle name="Normal 2 3 4 11 3" xfId="34850"/>
    <cellStyle name="Normal 2 3 4 12" xfId="17355"/>
    <cellStyle name="Normal 2 3 4 12 2" xfId="17356"/>
    <cellStyle name="Normal 2 3 4 12 2 2" xfId="34851"/>
    <cellStyle name="Normal 2 3 4 12 3" xfId="34852"/>
    <cellStyle name="Normal 2 3 4 13" xfId="17357"/>
    <cellStyle name="Normal 2 3 4 13 2" xfId="34853"/>
    <cellStyle name="Normal 2 3 4 14" xfId="17358"/>
    <cellStyle name="Normal 2 3 4 2" xfId="232"/>
    <cellStyle name="Normal 2 3 4 2 10" xfId="17359"/>
    <cellStyle name="Normal 2 3 4 2 2" xfId="390"/>
    <cellStyle name="Normal 2 3 4 2 2 2" xfId="1178"/>
    <cellStyle name="Normal 2 3 4 2 2 2 2" xfId="2170"/>
    <cellStyle name="Normal 2 3 4 2 2 2 2 2" xfId="17360"/>
    <cellStyle name="Normal 2 3 4 2 2 2 2 2 2" xfId="17361"/>
    <cellStyle name="Normal 2 3 4 2 2 2 2 2 2 2" xfId="34854"/>
    <cellStyle name="Normal 2 3 4 2 2 2 2 2 3" xfId="34855"/>
    <cellStyle name="Normal 2 3 4 2 2 2 2 3" xfId="17362"/>
    <cellStyle name="Normal 2 3 4 2 2 2 2 3 2" xfId="17363"/>
    <cellStyle name="Normal 2 3 4 2 2 2 2 3 2 2" xfId="34856"/>
    <cellStyle name="Normal 2 3 4 2 2 2 2 3 3" xfId="34857"/>
    <cellStyle name="Normal 2 3 4 2 2 2 2 4" xfId="17364"/>
    <cellStyle name="Normal 2 3 4 2 2 2 2 4 2" xfId="17365"/>
    <cellStyle name="Normal 2 3 4 2 2 2 2 4 2 2" xfId="34858"/>
    <cellStyle name="Normal 2 3 4 2 2 2 2 4 3" xfId="34859"/>
    <cellStyle name="Normal 2 3 4 2 2 2 2 5" xfId="17366"/>
    <cellStyle name="Normal 2 3 4 2 2 2 2 5 2" xfId="34860"/>
    <cellStyle name="Normal 2 3 4 2 2 2 2 6" xfId="17367"/>
    <cellStyle name="Normal 2 3 4 2 2 2 3" xfId="17368"/>
    <cellStyle name="Normal 2 3 4 2 2 2 3 2" xfId="17369"/>
    <cellStyle name="Normal 2 3 4 2 2 2 3 2 2" xfId="34861"/>
    <cellStyle name="Normal 2 3 4 2 2 2 3 3" xfId="34862"/>
    <cellStyle name="Normal 2 3 4 2 2 2 4" xfId="17370"/>
    <cellStyle name="Normal 2 3 4 2 2 2 4 2" xfId="17371"/>
    <cellStyle name="Normal 2 3 4 2 2 2 4 2 2" xfId="34863"/>
    <cellStyle name="Normal 2 3 4 2 2 2 4 3" xfId="34864"/>
    <cellStyle name="Normal 2 3 4 2 2 2 5" xfId="17372"/>
    <cellStyle name="Normal 2 3 4 2 2 2 5 2" xfId="17373"/>
    <cellStyle name="Normal 2 3 4 2 2 2 5 2 2" xfId="34865"/>
    <cellStyle name="Normal 2 3 4 2 2 2 5 3" xfId="34866"/>
    <cellStyle name="Normal 2 3 4 2 2 2 6" xfId="17374"/>
    <cellStyle name="Normal 2 3 4 2 2 2 6 2" xfId="34867"/>
    <cellStyle name="Normal 2 3 4 2 2 2 7" xfId="17375"/>
    <cellStyle name="Normal 2 3 4 2 2 3" xfId="810"/>
    <cellStyle name="Normal 2 3 4 2 2 3 2" xfId="2171"/>
    <cellStyle name="Normal 2 3 4 2 2 3 2 2" xfId="17376"/>
    <cellStyle name="Normal 2 3 4 2 2 3 2 2 2" xfId="17377"/>
    <cellStyle name="Normal 2 3 4 2 2 3 2 2 2 2" xfId="34868"/>
    <cellStyle name="Normal 2 3 4 2 2 3 2 2 3" xfId="34869"/>
    <cellStyle name="Normal 2 3 4 2 2 3 2 3" xfId="17378"/>
    <cellStyle name="Normal 2 3 4 2 2 3 2 3 2" xfId="17379"/>
    <cellStyle name="Normal 2 3 4 2 2 3 2 3 2 2" xfId="34870"/>
    <cellStyle name="Normal 2 3 4 2 2 3 2 3 3" xfId="34871"/>
    <cellStyle name="Normal 2 3 4 2 2 3 2 4" xfId="17380"/>
    <cellStyle name="Normal 2 3 4 2 2 3 2 4 2" xfId="17381"/>
    <cellStyle name="Normal 2 3 4 2 2 3 2 4 2 2" xfId="34872"/>
    <cellStyle name="Normal 2 3 4 2 2 3 2 4 3" xfId="34873"/>
    <cellStyle name="Normal 2 3 4 2 2 3 2 5" xfId="17382"/>
    <cellStyle name="Normal 2 3 4 2 2 3 2 5 2" xfId="34874"/>
    <cellStyle name="Normal 2 3 4 2 2 3 2 6" xfId="17383"/>
    <cellStyle name="Normal 2 3 4 2 2 3 3" xfId="17384"/>
    <cellStyle name="Normal 2 3 4 2 2 3 3 2" xfId="17385"/>
    <cellStyle name="Normal 2 3 4 2 2 3 3 2 2" xfId="34875"/>
    <cellStyle name="Normal 2 3 4 2 2 3 3 3" xfId="34876"/>
    <cellStyle name="Normal 2 3 4 2 2 3 4" xfId="17386"/>
    <cellStyle name="Normal 2 3 4 2 2 3 4 2" xfId="17387"/>
    <cellStyle name="Normal 2 3 4 2 2 3 4 2 2" xfId="34877"/>
    <cellStyle name="Normal 2 3 4 2 2 3 4 3" xfId="34878"/>
    <cellStyle name="Normal 2 3 4 2 2 3 5" xfId="17388"/>
    <cellStyle name="Normal 2 3 4 2 2 3 5 2" xfId="17389"/>
    <cellStyle name="Normal 2 3 4 2 2 3 5 2 2" xfId="34879"/>
    <cellStyle name="Normal 2 3 4 2 2 3 5 3" xfId="34880"/>
    <cellStyle name="Normal 2 3 4 2 2 3 6" xfId="17390"/>
    <cellStyle name="Normal 2 3 4 2 2 3 6 2" xfId="34881"/>
    <cellStyle name="Normal 2 3 4 2 2 3 7" xfId="17391"/>
    <cellStyle name="Normal 2 3 4 2 2 4" xfId="2172"/>
    <cellStyle name="Normal 2 3 4 2 2 4 2" xfId="17392"/>
    <cellStyle name="Normal 2 3 4 2 2 4 2 2" xfId="17393"/>
    <cellStyle name="Normal 2 3 4 2 2 4 2 2 2" xfId="34882"/>
    <cellStyle name="Normal 2 3 4 2 2 4 2 3" xfId="34883"/>
    <cellStyle name="Normal 2 3 4 2 2 4 3" xfId="17394"/>
    <cellStyle name="Normal 2 3 4 2 2 4 3 2" xfId="17395"/>
    <cellStyle name="Normal 2 3 4 2 2 4 3 2 2" xfId="34884"/>
    <cellStyle name="Normal 2 3 4 2 2 4 3 3" xfId="34885"/>
    <cellStyle name="Normal 2 3 4 2 2 4 4" xfId="17396"/>
    <cellStyle name="Normal 2 3 4 2 2 4 4 2" xfId="17397"/>
    <cellStyle name="Normal 2 3 4 2 2 4 4 2 2" xfId="34886"/>
    <cellStyle name="Normal 2 3 4 2 2 4 4 3" xfId="34887"/>
    <cellStyle name="Normal 2 3 4 2 2 4 5" xfId="17398"/>
    <cellStyle name="Normal 2 3 4 2 2 4 5 2" xfId="34888"/>
    <cellStyle name="Normal 2 3 4 2 2 4 6" xfId="17399"/>
    <cellStyle name="Normal 2 3 4 2 2 5" xfId="17400"/>
    <cellStyle name="Normal 2 3 4 2 2 5 2" xfId="17401"/>
    <cellStyle name="Normal 2 3 4 2 2 5 2 2" xfId="34889"/>
    <cellStyle name="Normal 2 3 4 2 2 5 3" xfId="34890"/>
    <cellStyle name="Normal 2 3 4 2 2 6" xfId="17402"/>
    <cellStyle name="Normal 2 3 4 2 2 6 2" xfId="17403"/>
    <cellStyle name="Normal 2 3 4 2 2 6 2 2" xfId="34891"/>
    <cellStyle name="Normal 2 3 4 2 2 6 3" xfId="34892"/>
    <cellStyle name="Normal 2 3 4 2 2 7" xfId="17404"/>
    <cellStyle name="Normal 2 3 4 2 2 7 2" xfId="17405"/>
    <cellStyle name="Normal 2 3 4 2 2 7 2 2" xfId="34893"/>
    <cellStyle name="Normal 2 3 4 2 2 7 3" xfId="34894"/>
    <cellStyle name="Normal 2 3 4 2 2 8" xfId="17406"/>
    <cellStyle name="Normal 2 3 4 2 2 8 2" xfId="34895"/>
    <cellStyle name="Normal 2 3 4 2 2 9" xfId="17407"/>
    <cellStyle name="Normal 2 3 4 2 3" xfId="1020"/>
    <cellStyle name="Normal 2 3 4 2 3 2" xfId="2173"/>
    <cellStyle name="Normal 2 3 4 2 3 2 2" xfId="17408"/>
    <cellStyle name="Normal 2 3 4 2 3 2 2 2" xfId="17409"/>
    <cellStyle name="Normal 2 3 4 2 3 2 2 2 2" xfId="34896"/>
    <cellStyle name="Normal 2 3 4 2 3 2 2 3" xfId="34897"/>
    <cellStyle name="Normal 2 3 4 2 3 2 3" xfId="17410"/>
    <cellStyle name="Normal 2 3 4 2 3 2 3 2" xfId="17411"/>
    <cellStyle name="Normal 2 3 4 2 3 2 3 2 2" xfId="34898"/>
    <cellStyle name="Normal 2 3 4 2 3 2 3 3" xfId="34899"/>
    <cellStyle name="Normal 2 3 4 2 3 2 4" xfId="17412"/>
    <cellStyle name="Normal 2 3 4 2 3 2 4 2" xfId="17413"/>
    <cellStyle name="Normal 2 3 4 2 3 2 4 2 2" xfId="34900"/>
    <cellStyle name="Normal 2 3 4 2 3 2 4 3" xfId="34901"/>
    <cellStyle name="Normal 2 3 4 2 3 2 5" xfId="17414"/>
    <cellStyle name="Normal 2 3 4 2 3 2 5 2" xfId="34902"/>
    <cellStyle name="Normal 2 3 4 2 3 2 6" xfId="17415"/>
    <cellStyle name="Normal 2 3 4 2 3 3" xfId="17416"/>
    <cellStyle name="Normal 2 3 4 2 3 3 2" xfId="17417"/>
    <cellStyle name="Normal 2 3 4 2 3 3 2 2" xfId="34903"/>
    <cellStyle name="Normal 2 3 4 2 3 3 3" xfId="34904"/>
    <cellStyle name="Normal 2 3 4 2 3 4" xfId="17418"/>
    <cellStyle name="Normal 2 3 4 2 3 4 2" xfId="17419"/>
    <cellStyle name="Normal 2 3 4 2 3 4 2 2" xfId="34905"/>
    <cellStyle name="Normal 2 3 4 2 3 4 3" xfId="34906"/>
    <cellStyle name="Normal 2 3 4 2 3 5" xfId="17420"/>
    <cellStyle name="Normal 2 3 4 2 3 5 2" xfId="17421"/>
    <cellStyle name="Normal 2 3 4 2 3 5 2 2" xfId="34907"/>
    <cellStyle name="Normal 2 3 4 2 3 5 3" xfId="34908"/>
    <cellStyle name="Normal 2 3 4 2 3 6" xfId="17422"/>
    <cellStyle name="Normal 2 3 4 2 3 6 2" xfId="34909"/>
    <cellStyle name="Normal 2 3 4 2 3 7" xfId="17423"/>
    <cellStyle name="Normal 2 3 4 2 4" xfId="652"/>
    <cellStyle name="Normal 2 3 4 2 4 2" xfId="2174"/>
    <cellStyle name="Normal 2 3 4 2 4 2 2" xfId="17424"/>
    <cellStyle name="Normal 2 3 4 2 4 2 2 2" xfId="17425"/>
    <cellStyle name="Normal 2 3 4 2 4 2 2 2 2" xfId="34910"/>
    <cellStyle name="Normal 2 3 4 2 4 2 2 3" xfId="34911"/>
    <cellStyle name="Normal 2 3 4 2 4 2 3" xfId="17426"/>
    <cellStyle name="Normal 2 3 4 2 4 2 3 2" xfId="17427"/>
    <cellStyle name="Normal 2 3 4 2 4 2 3 2 2" xfId="34912"/>
    <cellStyle name="Normal 2 3 4 2 4 2 3 3" xfId="34913"/>
    <cellStyle name="Normal 2 3 4 2 4 2 4" xfId="17428"/>
    <cellStyle name="Normal 2 3 4 2 4 2 4 2" xfId="17429"/>
    <cellStyle name="Normal 2 3 4 2 4 2 4 2 2" xfId="34914"/>
    <cellStyle name="Normal 2 3 4 2 4 2 4 3" xfId="34915"/>
    <cellStyle name="Normal 2 3 4 2 4 2 5" xfId="17430"/>
    <cellStyle name="Normal 2 3 4 2 4 2 5 2" xfId="34916"/>
    <cellStyle name="Normal 2 3 4 2 4 2 6" xfId="17431"/>
    <cellStyle name="Normal 2 3 4 2 4 3" xfId="17432"/>
    <cellStyle name="Normal 2 3 4 2 4 3 2" xfId="17433"/>
    <cellStyle name="Normal 2 3 4 2 4 3 2 2" xfId="34917"/>
    <cellStyle name="Normal 2 3 4 2 4 3 3" xfId="34918"/>
    <cellStyle name="Normal 2 3 4 2 4 4" xfId="17434"/>
    <cellStyle name="Normal 2 3 4 2 4 4 2" xfId="17435"/>
    <cellStyle name="Normal 2 3 4 2 4 4 2 2" xfId="34919"/>
    <cellStyle name="Normal 2 3 4 2 4 4 3" xfId="34920"/>
    <cellStyle name="Normal 2 3 4 2 4 5" xfId="17436"/>
    <cellStyle name="Normal 2 3 4 2 4 5 2" xfId="17437"/>
    <cellStyle name="Normal 2 3 4 2 4 5 2 2" xfId="34921"/>
    <cellStyle name="Normal 2 3 4 2 4 5 3" xfId="34922"/>
    <cellStyle name="Normal 2 3 4 2 4 6" xfId="17438"/>
    <cellStyle name="Normal 2 3 4 2 4 6 2" xfId="34923"/>
    <cellStyle name="Normal 2 3 4 2 4 7" xfId="17439"/>
    <cellStyle name="Normal 2 3 4 2 5" xfId="2175"/>
    <cellStyle name="Normal 2 3 4 2 5 2" xfId="17440"/>
    <cellStyle name="Normal 2 3 4 2 5 2 2" xfId="17441"/>
    <cellStyle name="Normal 2 3 4 2 5 2 2 2" xfId="34924"/>
    <cellStyle name="Normal 2 3 4 2 5 2 3" xfId="34925"/>
    <cellStyle name="Normal 2 3 4 2 5 3" xfId="17442"/>
    <cellStyle name="Normal 2 3 4 2 5 3 2" xfId="17443"/>
    <cellStyle name="Normal 2 3 4 2 5 3 2 2" xfId="34926"/>
    <cellStyle name="Normal 2 3 4 2 5 3 3" xfId="34927"/>
    <cellStyle name="Normal 2 3 4 2 5 4" xfId="17444"/>
    <cellStyle name="Normal 2 3 4 2 5 4 2" xfId="17445"/>
    <cellStyle name="Normal 2 3 4 2 5 4 2 2" xfId="34928"/>
    <cellStyle name="Normal 2 3 4 2 5 4 3" xfId="34929"/>
    <cellStyle name="Normal 2 3 4 2 5 5" xfId="17446"/>
    <cellStyle name="Normal 2 3 4 2 5 5 2" xfId="34930"/>
    <cellStyle name="Normal 2 3 4 2 5 6" xfId="17447"/>
    <cellStyle name="Normal 2 3 4 2 6" xfId="17448"/>
    <cellStyle name="Normal 2 3 4 2 6 2" xfId="17449"/>
    <cellStyle name="Normal 2 3 4 2 6 2 2" xfId="34931"/>
    <cellStyle name="Normal 2 3 4 2 6 3" xfId="34932"/>
    <cellStyle name="Normal 2 3 4 2 7" xfId="17450"/>
    <cellStyle name="Normal 2 3 4 2 7 2" xfId="17451"/>
    <cellStyle name="Normal 2 3 4 2 7 2 2" xfId="34933"/>
    <cellStyle name="Normal 2 3 4 2 7 3" xfId="34934"/>
    <cellStyle name="Normal 2 3 4 2 8" xfId="17452"/>
    <cellStyle name="Normal 2 3 4 2 8 2" xfId="17453"/>
    <cellStyle name="Normal 2 3 4 2 8 2 2" xfId="34935"/>
    <cellStyle name="Normal 2 3 4 2 8 3" xfId="34936"/>
    <cellStyle name="Normal 2 3 4 2 9" xfId="17454"/>
    <cellStyle name="Normal 2 3 4 2 9 2" xfId="34937"/>
    <cellStyle name="Normal 2 3 4 3" xfId="283"/>
    <cellStyle name="Normal 2 3 4 3 10" xfId="17455"/>
    <cellStyle name="Normal 2 3 4 3 2" xfId="441"/>
    <cellStyle name="Normal 2 3 4 3 2 2" xfId="1229"/>
    <cellStyle name="Normal 2 3 4 3 2 2 2" xfId="2176"/>
    <cellStyle name="Normal 2 3 4 3 2 2 2 2" xfId="17456"/>
    <cellStyle name="Normal 2 3 4 3 2 2 2 2 2" xfId="17457"/>
    <cellStyle name="Normal 2 3 4 3 2 2 2 2 2 2" xfId="34938"/>
    <cellStyle name="Normal 2 3 4 3 2 2 2 2 3" xfId="34939"/>
    <cellStyle name="Normal 2 3 4 3 2 2 2 3" xfId="17458"/>
    <cellStyle name="Normal 2 3 4 3 2 2 2 3 2" xfId="17459"/>
    <cellStyle name="Normal 2 3 4 3 2 2 2 3 2 2" xfId="34940"/>
    <cellStyle name="Normal 2 3 4 3 2 2 2 3 3" xfId="34941"/>
    <cellStyle name="Normal 2 3 4 3 2 2 2 4" xfId="17460"/>
    <cellStyle name="Normal 2 3 4 3 2 2 2 4 2" xfId="17461"/>
    <cellStyle name="Normal 2 3 4 3 2 2 2 4 2 2" xfId="34942"/>
    <cellStyle name="Normal 2 3 4 3 2 2 2 4 3" xfId="34943"/>
    <cellStyle name="Normal 2 3 4 3 2 2 2 5" xfId="17462"/>
    <cellStyle name="Normal 2 3 4 3 2 2 2 5 2" xfId="34944"/>
    <cellStyle name="Normal 2 3 4 3 2 2 2 6" xfId="17463"/>
    <cellStyle name="Normal 2 3 4 3 2 2 3" xfId="17464"/>
    <cellStyle name="Normal 2 3 4 3 2 2 3 2" xfId="17465"/>
    <cellStyle name="Normal 2 3 4 3 2 2 3 2 2" xfId="34945"/>
    <cellStyle name="Normal 2 3 4 3 2 2 3 3" xfId="34946"/>
    <cellStyle name="Normal 2 3 4 3 2 2 4" xfId="17466"/>
    <cellStyle name="Normal 2 3 4 3 2 2 4 2" xfId="17467"/>
    <cellStyle name="Normal 2 3 4 3 2 2 4 2 2" xfId="34947"/>
    <cellStyle name="Normal 2 3 4 3 2 2 4 3" xfId="34948"/>
    <cellStyle name="Normal 2 3 4 3 2 2 5" xfId="17468"/>
    <cellStyle name="Normal 2 3 4 3 2 2 5 2" xfId="17469"/>
    <cellStyle name="Normal 2 3 4 3 2 2 5 2 2" xfId="34949"/>
    <cellStyle name="Normal 2 3 4 3 2 2 5 3" xfId="34950"/>
    <cellStyle name="Normal 2 3 4 3 2 2 6" xfId="17470"/>
    <cellStyle name="Normal 2 3 4 3 2 2 6 2" xfId="34951"/>
    <cellStyle name="Normal 2 3 4 3 2 2 7" xfId="17471"/>
    <cellStyle name="Normal 2 3 4 3 2 3" xfId="861"/>
    <cellStyle name="Normal 2 3 4 3 2 3 2" xfId="2177"/>
    <cellStyle name="Normal 2 3 4 3 2 3 2 2" xfId="17472"/>
    <cellStyle name="Normal 2 3 4 3 2 3 2 2 2" xfId="17473"/>
    <cellStyle name="Normal 2 3 4 3 2 3 2 2 2 2" xfId="34952"/>
    <cellStyle name="Normal 2 3 4 3 2 3 2 2 3" xfId="34953"/>
    <cellStyle name="Normal 2 3 4 3 2 3 2 3" xfId="17474"/>
    <cellStyle name="Normal 2 3 4 3 2 3 2 3 2" xfId="17475"/>
    <cellStyle name="Normal 2 3 4 3 2 3 2 3 2 2" xfId="34954"/>
    <cellStyle name="Normal 2 3 4 3 2 3 2 3 3" xfId="34955"/>
    <cellStyle name="Normal 2 3 4 3 2 3 2 4" xfId="17476"/>
    <cellStyle name="Normal 2 3 4 3 2 3 2 4 2" xfId="17477"/>
    <cellStyle name="Normal 2 3 4 3 2 3 2 4 2 2" xfId="34956"/>
    <cellStyle name="Normal 2 3 4 3 2 3 2 4 3" xfId="34957"/>
    <cellStyle name="Normal 2 3 4 3 2 3 2 5" xfId="17478"/>
    <cellStyle name="Normal 2 3 4 3 2 3 2 5 2" xfId="34958"/>
    <cellStyle name="Normal 2 3 4 3 2 3 2 6" xfId="17479"/>
    <cellStyle name="Normal 2 3 4 3 2 3 3" xfId="17480"/>
    <cellStyle name="Normal 2 3 4 3 2 3 3 2" xfId="17481"/>
    <cellStyle name="Normal 2 3 4 3 2 3 3 2 2" xfId="34959"/>
    <cellStyle name="Normal 2 3 4 3 2 3 3 3" xfId="34960"/>
    <cellStyle name="Normal 2 3 4 3 2 3 4" xfId="17482"/>
    <cellStyle name="Normal 2 3 4 3 2 3 4 2" xfId="17483"/>
    <cellStyle name="Normal 2 3 4 3 2 3 4 2 2" xfId="34961"/>
    <cellStyle name="Normal 2 3 4 3 2 3 4 3" xfId="34962"/>
    <cellStyle name="Normal 2 3 4 3 2 3 5" xfId="17484"/>
    <cellStyle name="Normal 2 3 4 3 2 3 5 2" xfId="17485"/>
    <cellStyle name="Normal 2 3 4 3 2 3 5 2 2" xfId="34963"/>
    <cellStyle name="Normal 2 3 4 3 2 3 5 3" xfId="34964"/>
    <cellStyle name="Normal 2 3 4 3 2 3 6" xfId="17486"/>
    <cellStyle name="Normal 2 3 4 3 2 3 6 2" xfId="34965"/>
    <cellStyle name="Normal 2 3 4 3 2 3 7" xfId="17487"/>
    <cellStyle name="Normal 2 3 4 3 2 4" xfId="2178"/>
    <cellStyle name="Normal 2 3 4 3 2 4 2" xfId="17488"/>
    <cellStyle name="Normal 2 3 4 3 2 4 2 2" xfId="17489"/>
    <cellStyle name="Normal 2 3 4 3 2 4 2 2 2" xfId="34966"/>
    <cellStyle name="Normal 2 3 4 3 2 4 2 3" xfId="34967"/>
    <cellStyle name="Normal 2 3 4 3 2 4 3" xfId="17490"/>
    <cellStyle name="Normal 2 3 4 3 2 4 3 2" xfId="17491"/>
    <cellStyle name="Normal 2 3 4 3 2 4 3 2 2" xfId="34968"/>
    <cellStyle name="Normal 2 3 4 3 2 4 3 3" xfId="34969"/>
    <cellStyle name="Normal 2 3 4 3 2 4 4" xfId="17492"/>
    <cellStyle name="Normal 2 3 4 3 2 4 4 2" xfId="17493"/>
    <cellStyle name="Normal 2 3 4 3 2 4 4 2 2" xfId="34970"/>
    <cellStyle name="Normal 2 3 4 3 2 4 4 3" xfId="34971"/>
    <cellStyle name="Normal 2 3 4 3 2 4 5" xfId="17494"/>
    <cellStyle name="Normal 2 3 4 3 2 4 5 2" xfId="34972"/>
    <cellStyle name="Normal 2 3 4 3 2 4 6" xfId="17495"/>
    <cellStyle name="Normal 2 3 4 3 2 5" xfId="17496"/>
    <cellStyle name="Normal 2 3 4 3 2 5 2" xfId="17497"/>
    <cellStyle name="Normal 2 3 4 3 2 5 2 2" xfId="34973"/>
    <cellStyle name="Normal 2 3 4 3 2 5 3" xfId="34974"/>
    <cellStyle name="Normal 2 3 4 3 2 6" xfId="17498"/>
    <cellStyle name="Normal 2 3 4 3 2 6 2" xfId="17499"/>
    <cellStyle name="Normal 2 3 4 3 2 6 2 2" xfId="34975"/>
    <cellStyle name="Normal 2 3 4 3 2 6 3" xfId="34976"/>
    <cellStyle name="Normal 2 3 4 3 2 7" xfId="17500"/>
    <cellStyle name="Normal 2 3 4 3 2 7 2" xfId="17501"/>
    <cellStyle name="Normal 2 3 4 3 2 7 2 2" xfId="34977"/>
    <cellStyle name="Normal 2 3 4 3 2 7 3" xfId="34978"/>
    <cellStyle name="Normal 2 3 4 3 2 8" xfId="17502"/>
    <cellStyle name="Normal 2 3 4 3 2 8 2" xfId="34979"/>
    <cellStyle name="Normal 2 3 4 3 2 9" xfId="17503"/>
    <cellStyle name="Normal 2 3 4 3 3" xfId="1071"/>
    <cellStyle name="Normal 2 3 4 3 3 2" xfId="2179"/>
    <cellStyle name="Normal 2 3 4 3 3 2 2" xfId="17504"/>
    <cellStyle name="Normal 2 3 4 3 3 2 2 2" xfId="17505"/>
    <cellStyle name="Normal 2 3 4 3 3 2 2 2 2" xfId="34980"/>
    <cellStyle name="Normal 2 3 4 3 3 2 2 3" xfId="34981"/>
    <cellStyle name="Normal 2 3 4 3 3 2 3" xfId="17506"/>
    <cellStyle name="Normal 2 3 4 3 3 2 3 2" xfId="17507"/>
    <cellStyle name="Normal 2 3 4 3 3 2 3 2 2" xfId="34982"/>
    <cellStyle name="Normal 2 3 4 3 3 2 3 3" xfId="34983"/>
    <cellStyle name="Normal 2 3 4 3 3 2 4" xfId="17508"/>
    <cellStyle name="Normal 2 3 4 3 3 2 4 2" xfId="17509"/>
    <cellStyle name="Normal 2 3 4 3 3 2 4 2 2" xfId="34984"/>
    <cellStyle name="Normal 2 3 4 3 3 2 4 3" xfId="34985"/>
    <cellStyle name="Normal 2 3 4 3 3 2 5" xfId="17510"/>
    <cellStyle name="Normal 2 3 4 3 3 2 5 2" xfId="34986"/>
    <cellStyle name="Normal 2 3 4 3 3 2 6" xfId="17511"/>
    <cellStyle name="Normal 2 3 4 3 3 3" xfId="17512"/>
    <cellStyle name="Normal 2 3 4 3 3 3 2" xfId="17513"/>
    <cellStyle name="Normal 2 3 4 3 3 3 2 2" xfId="34987"/>
    <cellStyle name="Normal 2 3 4 3 3 3 3" xfId="34988"/>
    <cellStyle name="Normal 2 3 4 3 3 4" xfId="17514"/>
    <cellStyle name="Normal 2 3 4 3 3 4 2" xfId="17515"/>
    <cellStyle name="Normal 2 3 4 3 3 4 2 2" xfId="34989"/>
    <cellStyle name="Normal 2 3 4 3 3 4 3" xfId="34990"/>
    <cellStyle name="Normal 2 3 4 3 3 5" xfId="17516"/>
    <cellStyle name="Normal 2 3 4 3 3 5 2" xfId="17517"/>
    <cellStyle name="Normal 2 3 4 3 3 5 2 2" xfId="34991"/>
    <cellStyle name="Normal 2 3 4 3 3 5 3" xfId="34992"/>
    <cellStyle name="Normal 2 3 4 3 3 6" xfId="17518"/>
    <cellStyle name="Normal 2 3 4 3 3 6 2" xfId="34993"/>
    <cellStyle name="Normal 2 3 4 3 3 7" xfId="17519"/>
    <cellStyle name="Normal 2 3 4 3 4" xfId="703"/>
    <cellStyle name="Normal 2 3 4 3 4 2" xfId="2180"/>
    <cellStyle name="Normal 2 3 4 3 4 2 2" xfId="17520"/>
    <cellStyle name="Normal 2 3 4 3 4 2 2 2" xfId="17521"/>
    <cellStyle name="Normal 2 3 4 3 4 2 2 2 2" xfId="34994"/>
    <cellStyle name="Normal 2 3 4 3 4 2 2 3" xfId="34995"/>
    <cellStyle name="Normal 2 3 4 3 4 2 3" xfId="17522"/>
    <cellStyle name="Normal 2 3 4 3 4 2 3 2" xfId="17523"/>
    <cellStyle name="Normal 2 3 4 3 4 2 3 2 2" xfId="34996"/>
    <cellStyle name="Normal 2 3 4 3 4 2 3 3" xfId="34997"/>
    <cellStyle name="Normal 2 3 4 3 4 2 4" xfId="17524"/>
    <cellStyle name="Normal 2 3 4 3 4 2 4 2" xfId="17525"/>
    <cellStyle name="Normal 2 3 4 3 4 2 4 2 2" xfId="34998"/>
    <cellStyle name="Normal 2 3 4 3 4 2 4 3" xfId="34999"/>
    <cellStyle name="Normal 2 3 4 3 4 2 5" xfId="17526"/>
    <cellStyle name="Normal 2 3 4 3 4 2 5 2" xfId="35000"/>
    <cellStyle name="Normal 2 3 4 3 4 2 6" xfId="17527"/>
    <cellStyle name="Normal 2 3 4 3 4 3" xfId="17528"/>
    <cellStyle name="Normal 2 3 4 3 4 3 2" xfId="17529"/>
    <cellStyle name="Normal 2 3 4 3 4 3 2 2" xfId="35001"/>
    <cellStyle name="Normal 2 3 4 3 4 3 3" xfId="35002"/>
    <cellStyle name="Normal 2 3 4 3 4 4" xfId="17530"/>
    <cellStyle name="Normal 2 3 4 3 4 4 2" xfId="17531"/>
    <cellStyle name="Normal 2 3 4 3 4 4 2 2" xfId="35003"/>
    <cellStyle name="Normal 2 3 4 3 4 4 3" xfId="35004"/>
    <cellStyle name="Normal 2 3 4 3 4 5" xfId="17532"/>
    <cellStyle name="Normal 2 3 4 3 4 5 2" xfId="17533"/>
    <cellStyle name="Normal 2 3 4 3 4 5 2 2" xfId="35005"/>
    <cellStyle name="Normal 2 3 4 3 4 5 3" xfId="35006"/>
    <cellStyle name="Normal 2 3 4 3 4 6" xfId="17534"/>
    <cellStyle name="Normal 2 3 4 3 4 6 2" xfId="35007"/>
    <cellStyle name="Normal 2 3 4 3 4 7" xfId="17535"/>
    <cellStyle name="Normal 2 3 4 3 5" xfId="2181"/>
    <cellStyle name="Normal 2 3 4 3 5 2" xfId="17536"/>
    <cellStyle name="Normal 2 3 4 3 5 2 2" xfId="17537"/>
    <cellStyle name="Normal 2 3 4 3 5 2 2 2" xfId="35008"/>
    <cellStyle name="Normal 2 3 4 3 5 2 3" xfId="35009"/>
    <cellStyle name="Normal 2 3 4 3 5 3" xfId="17538"/>
    <cellStyle name="Normal 2 3 4 3 5 3 2" xfId="17539"/>
    <cellStyle name="Normal 2 3 4 3 5 3 2 2" xfId="35010"/>
    <cellStyle name="Normal 2 3 4 3 5 3 3" xfId="35011"/>
    <cellStyle name="Normal 2 3 4 3 5 4" xfId="17540"/>
    <cellStyle name="Normal 2 3 4 3 5 4 2" xfId="17541"/>
    <cellStyle name="Normal 2 3 4 3 5 4 2 2" xfId="35012"/>
    <cellStyle name="Normal 2 3 4 3 5 4 3" xfId="35013"/>
    <cellStyle name="Normal 2 3 4 3 5 5" xfId="17542"/>
    <cellStyle name="Normal 2 3 4 3 5 5 2" xfId="35014"/>
    <cellStyle name="Normal 2 3 4 3 5 6" xfId="17543"/>
    <cellStyle name="Normal 2 3 4 3 6" xfId="17544"/>
    <cellStyle name="Normal 2 3 4 3 6 2" xfId="17545"/>
    <cellStyle name="Normal 2 3 4 3 6 2 2" xfId="35015"/>
    <cellStyle name="Normal 2 3 4 3 6 3" xfId="35016"/>
    <cellStyle name="Normal 2 3 4 3 7" xfId="17546"/>
    <cellStyle name="Normal 2 3 4 3 7 2" xfId="17547"/>
    <cellStyle name="Normal 2 3 4 3 7 2 2" xfId="35017"/>
    <cellStyle name="Normal 2 3 4 3 7 3" xfId="35018"/>
    <cellStyle name="Normal 2 3 4 3 8" xfId="17548"/>
    <cellStyle name="Normal 2 3 4 3 8 2" xfId="17549"/>
    <cellStyle name="Normal 2 3 4 3 8 2 2" xfId="35019"/>
    <cellStyle name="Normal 2 3 4 3 8 3" xfId="35020"/>
    <cellStyle name="Normal 2 3 4 3 9" xfId="17550"/>
    <cellStyle name="Normal 2 3 4 3 9 2" xfId="35021"/>
    <cellStyle name="Normal 2 3 4 4" xfId="158"/>
    <cellStyle name="Normal 2 3 4 4 2" xfId="946"/>
    <cellStyle name="Normal 2 3 4 4 2 2" xfId="2182"/>
    <cellStyle name="Normal 2 3 4 4 2 2 2" xfId="17551"/>
    <cellStyle name="Normal 2 3 4 4 2 2 2 2" xfId="17552"/>
    <cellStyle name="Normal 2 3 4 4 2 2 2 2 2" xfId="35022"/>
    <cellStyle name="Normal 2 3 4 4 2 2 2 3" xfId="35023"/>
    <cellStyle name="Normal 2 3 4 4 2 2 3" xfId="17553"/>
    <cellStyle name="Normal 2 3 4 4 2 2 3 2" xfId="17554"/>
    <cellStyle name="Normal 2 3 4 4 2 2 3 2 2" xfId="35024"/>
    <cellStyle name="Normal 2 3 4 4 2 2 3 3" xfId="35025"/>
    <cellStyle name="Normal 2 3 4 4 2 2 4" xfId="17555"/>
    <cellStyle name="Normal 2 3 4 4 2 2 4 2" xfId="17556"/>
    <cellStyle name="Normal 2 3 4 4 2 2 4 2 2" xfId="35026"/>
    <cellStyle name="Normal 2 3 4 4 2 2 4 3" xfId="35027"/>
    <cellStyle name="Normal 2 3 4 4 2 2 5" xfId="17557"/>
    <cellStyle name="Normal 2 3 4 4 2 2 5 2" xfId="35028"/>
    <cellStyle name="Normal 2 3 4 4 2 2 6" xfId="17558"/>
    <cellStyle name="Normal 2 3 4 4 2 3" xfId="17559"/>
    <cellStyle name="Normal 2 3 4 4 2 3 2" xfId="17560"/>
    <cellStyle name="Normal 2 3 4 4 2 3 2 2" xfId="35029"/>
    <cellStyle name="Normal 2 3 4 4 2 3 3" xfId="35030"/>
    <cellStyle name="Normal 2 3 4 4 2 4" xfId="17561"/>
    <cellStyle name="Normal 2 3 4 4 2 4 2" xfId="17562"/>
    <cellStyle name="Normal 2 3 4 4 2 4 2 2" xfId="35031"/>
    <cellStyle name="Normal 2 3 4 4 2 4 3" xfId="35032"/>
    <cellStyle name="Normal 2 3 4 4 2 5" xfId="17563"/>
    <cellStyle name="Normal 2 3 4 4 2 5 2" xfId="17564"/>
    <cellStyle name="Normal 2 3 4 4 2 5 2 2" xfId="35033"/>
    <cellStyle name="Normal 2 3 4 4 2 5 3" xfId="35034"/>
    <cellStyle name="Normal 2 3 4 4 2 6" xfId="17565"/>
    <cellStyle name="Normal 2 3 4 4 2 6 2" xfId="35035"/>
    <cellStyle name="Normal 2 3 4 4 2 7" xfId="17566"/>
    <cellStyle name="Normal 2 3 4 4 3" xfId="578"/>
    <cellStyle name="Normal 2 3 4 4 3 2" xfId="2183"/>
    <cellStyle name="Normal 2 3 4 4 3 2 2" xfId="17567"/>
    <cellStyle name="Normal 2 3 4 4 3 2 2 2" xfId="17568"/>
    <cellStyle name="Normal 2 3 4 4 3 2 2 2 2" xfId="35036"/>
    <cellStyle name="Normal 2 3 4 4 3 2 2 3" xfId="35037"/>
    <cellStyle name="Normal 2 3 4 4 3 2 3" xfId="17569"/>
    <cellStyle name="Normal 2 3 4 4 3 2 3 2" xfId="17570"/>
    <cellStyle name="Normal 2 3 4 4 3 2 3 2 2" xfId="35038"/>
    <cellStyle name="Normal 2 3 4 4 3 2 3 3" xfId="35039"/>
    <cellStyle name="Normal 2 3 4 4 3 2 4" xfId="17571"/>
    <cellStyle name="Normal 2 3 4 4 3 2 4 2" xfId="17572"/>
    <cellStyle name="Normal 2 3 4 4 3 2 4 2 2" xfId="35040"/>
    <cellStyle name="Normal 2 3 4 4 3 2 4 3" xfId="35041"/>
    <cellStyle name="Normal 2 3 4 4 3 2 5" xfId="17573"/>
    <cellStyle name="Normal 2 3 4 4 3 2 5 2" xfId="35042"/>
    <cellStyle name="Normal 2 3 4 4 3 2 6" xfId="17574"/>
    <cellStyle name="Normal 2 3 4 4 3 3" xfId="17575"/>
    <cellStyle name="Normal 2 3 4 4 3 3 2" xfId="17576"/>
    <cellStyle name="Normal 2 3 4 4 3 3 2 2" xfId="35043"/>
    <cellStyle name="Normal 2 3 4 4 3 3 3" xfId="35044"/>
    <cellStyle name="Normal 2 3 4 4 3 4" xfId="17577"/>
    <cellStyle name="Normal 2 3 4 4 3 4 2" xfId="17578"/>
    <cellStyle name="Normal 2 3 4 4 3 4 2 2" xfId="35045"/>
    <cellStyle name="Normal 2 3 4 4 3 4 3" xfId="35046"/>
    <cellStyle name="Normal 2 3 4 4 3 5" xfId="17579"/>
    <cellStyle name="Normal 2 3 4 4 3 5 2" xfId="17580"/>
    <cellStyle name="Normal 2 3 4 4 3 5 2 2" xfId="35047"/>
    <cellStyle name="Normal 2 3 4 4 3 5 3" xfId="35048"/>
    <cellStyle name="Normal 2 3 4 4 3 6" xfId="17581"/>
    <cellStyle name="Normal 2 3 4 4 3 6 2" xfId="35049"/>
    <cellStyle name="Normal 2 3 4 4 3 7" xfId="17582"/>
    <cellStyle name="Normal 2 3 4 4 4" xfId="2184"/>
    <cellStyle name="Normal 2 3 4 4 4 2" xfId="17583"/>
    <cellStyle name="Normal 2 3 4 4 4 2 2" xfId="17584"/>
    <cellStyle name="Normal 2 3 4 4 4 2 2 2" xfId="35050"/>
    <cellStyle name="Normal 2 3 4 4 4 2 3" xfId="35051"/>
    <cellStyle name="Normal 2 3 4 4 4 3" xfId="17585"/>
    <cellStyle name="Normal 2 3 4 4 4 3 2" xfId="17586"/>
    <cellStyle name="Normal 2 3 4 4 4 3 2 2" xfId="35052"/>
    <cellStyle name="Normal 2 3 4 4 4 3 3" xfId="35053"/>
    <cellStyle name="Normal 2 3 4 4 4 4" xfId="17587"/>
    <cellStyle name="Normal 2 3 4 4 4 4 2" xfId="17588"/>
    <cellStyle name="Normal 2 3 4 4 4 4 2 2" xfId="35054"/>
    <cellStyle name="Normal 2 3 4 4 4 4 3" xfId="35055"/>
    <cellStyle name="Normal 2 3 4 4 4 5" xfId="17589"/>
    <cellStyle name="Normal 2 3 4 4 4 5 2" xfId="35056"/>
    <cellStyle name="Normal 2 3 4 4 4 6" xfId="17590"/>
    <cellStyle name="Normal 2 3 4 4 5" xfId="17591"/>
    <cellStyle name="Normal 2 3 4 4 5 2" xfId="17592"/>
    <cellStyle name="Normal 2 3 4 4 5 2 2" xfId="35057"/>
    <cellStyle name="Normal 2 3 4 4 5 3" xfId="35058"/>
    <cellStyle name="Normal 2 3 4 4 6" xfId="17593"/>
    <cellStyle name="Normal 2 3 4 4 6 2" xfId="17594"/>
    <cellStyle name="Normal 2 3 4 4 6 2 2" xfId="35059"/>
    <cellStyle name="Normal 2 3 4 4 6 3" xfId="35060"/>
    <cellStyle name="Normal 2 3 4 4 7" xfId="17595"/>
    <cellStyle name="Normal 2 3 4 4 7 2" xfId="17596"/>
    <cellStyle name="Normal 2 3 4 4 7 2 2" xfId="35061"/>
    <cellStyle name="Normal 2 3 4 4 7 3" xfId="35062"/>
    <cellStyle name="Normal 2 3 4 4 8" xfId="17597"/>
    <cellStyle name="Normal 2 3 4 4 8 2" xfId="35063"/>
    <cellStyle name="Normal 2 3 4 4 9" xfId="17598"/>
    <cellStyle name="Normal 2 3 4 5" xfId="316"/>
    <cellStyle name="Normal 2 3 4 5 2" xfId="1104"/>
    <cellStyle name="Normal 2 3 4 5 2 2" xfId="2185"/>
    <cellStyle name="Normal 2 3 4 5 2 2 2" xfId="17599"/>
    <cellStyle name="Normal 2 3 4 5 2 2 2 2" xfId="17600"/>
    <cellStyle name="Normal 2 3 4 5 2 2 2 2 2" xfId="35064"/>
    <cellStyle name="Normal 2 3 4 5 2 2 2 3" xfId="35065"/>
    <cellStyle name="Normal 2 3 4 5 2 2 3" xfId="17601"/>
    <cellStyle name="Normal 2 3 4 5 2 2 3 2" xfId="17602"/>
    <cellStyle name="Normal 2 3 4 5 2 2 3 2 2" xfId="35066"/>
    <cellStyle name="Normal 2 3 4 5 2 2 3 3" xfId="35067"/>
    <cellStyle name="Normal 2 3 4 5 2 2 4" xfId="17603"/>
    <cellStyle name="Normal 2 3 4 5 2 2 4 2" xfId="17604"/>
    <cellStyle name="Normal 2 3 4 5 2 2 4 2 2" xfId="35068"/>
    <cellStyle name="Normal 2 3 4 5 2 2 4 3" xfId="35069"/>
    <cellStyle name="Normal 2 3 4 5 2 2 5" xfId="17605"/>
    <cellStyle name="Normal 2 3 4 5 2 2 5 2" xfId="35070"/>
    <cellStyle name="Normal 2 3 4 5 2 2 6" xfId="17606"/>
    <cellStyle name="Normal 2 3 4 5 2 3" xfId="17607"/>
    <cellStyle name="Normal 2 3 4 5 2 3 2" xfId="17608"/>
    <cellStyle name="Normal 2 3 4 5 2 3 2 2" xfId="35071"/>
    <cellStyle name="Normal 2 3 4 5 2 3 3" xfId="35072"/>
    <cellStyle name="Normal 2 3 4 5 2 4" xfId="17609"/>
    <cellStyle name="Normal 2 3 4 5 2 4 2" xfId="17610"/>
    <cellStyle name="Normal 2 3 4 5 2 4 2 2" xfId="35073"/>
    <cellStyle name="Normal 2 3 4 5 2 4 3" xfId="35074"/>
    <cellStyle name="Normal 2 3 4 5 2 5" xfId="17611"/>
    <cellStyle name="Normal 2 3 4 5 2 5 2" xfId="17612"/>
    <cellStyle name="Normal 2 3 4 5 2 5 2 2" xfId="35075"/>
    <cellStyle name="Normal 2 3 4 5 2 5 3" xfId="35076"/>
    <cellStyle name="Normal 2 3 4 5 2 6" xfId="17613"/>
    <cellStyle name="Normal 2 3 4 5 2 6 2" xfId="35077"/>
    <cellStyle name="Normal 2 3 4 5 2 7" xfId="17614"/>
    <cellStyle name="Normal 2 3 4 5 3" xfId="736"/>
    <cellStyle name="Normal 2 3 4 5 3 2" xfId="2186"/>
    <cellStyle name="Normal 2 3 4 5 3 2 2" xfId="17615"/>
    <cellStyle name="Normal 2 3 4 5 3 2 2 2" xfId="17616"/>
    <cellStyle name="Normal 2 3 4 5 3 2 2 2 2" xfId="35078"/>
    <cellStyle name="Normal 2 3 4 5 3 2 2 3" xfId="35079"/>
    <cellStyle name="Normal 2 3 4 5 3 2 3" xfId="17617"/>
    <cellStyle name="Normal 2 3 4 5 3 2 3 2" xfId="17618"/>
    <cellStyle name="Normal 2 3 4 5 3 2 3 2 2" xfId="35080"/>
    <cellStyle name="Normal 2 3 4 5 3 2 3 3" xfId="35081"/>
    <cellStyle name="Normal 2 3 4 5 3 2 4" xfId="17619"/>
    <cellStyle name="Normal 2 3 4 5 3 2 4 2" xfId="17620"/>
    <cellStyle name="Normal 2 3 4 5 3 2 4 2 2" xfId="35082"/>
    <cellStyle name="Normal 2 3 4 5 3 2 4 3" xfId="35083"/>
    <cellStyle name="Normal 2 3 4 5 3 2 5" xfId="17621"/>
    <cellStyle name="Normal 2 3 4 5 3 2 5 2" xfId="35084"/>
    <cellStyle name="Normal 2 3 4 5 3 2 6" xfId="17622"/>
    <cellStyle name="Normal 2 3 4 5 3 3" xfId="17623"/>
    <cellStyle name="Normal 2 3 4 5 3 3 2" xfId="17624"/>
    <cellStyle name="Normal 2 3 4 5 3 3 2 2" xfId="35085"/>
    <cellStyle name="Normal 2 3 4 5 3 3 3" xfId="35086"/>
    <cellStyle name="Normal 2 3 4 5 3 4" xfId="17625"/>
    <cellStyle name="Normal 2 3 4 5 3 4 2" xfId="17626"/>
    <cellStyle name="Normal 2 3 4 5 3 4 2 2" xfId="35087"/>
    <cellStyle name="Normal 2 3 4 5 3 4 3" xfId="35088"/>
    <cellStyle name="Normal 2 3 4 5 3 5" xfId="17627"/>
    <cellStyle name="Normal 2 3 4 5 3 5 2" xfId="17628"/>
    <cellStyle name="Normal 2 3 4 5 3 5 2 2" xfId="35089"/>
    <cellStyle name="Normal 2 3 4 5 3 5 3" xfId="35090"/>
    <cellStyle name="Normal 2 3 4 5 3 6" xfId="17629"/>
    <cellStyle name="Normal 2 3 4 5 3 6 2" xfId="35091"/>
    <cellStyle name="Normal 2 3 4 5 3 7" xfId="17630"/>
    <cellStyle name="Normal 2 3 4 5 4" xfId="2187"/>
    <cellStyle name="Normal 2 3 4 5 4 2" xfId="17631"/>
    <cellStyle name="Normal 2 3 4 5 4 2 2" xfId="17632"/>
    <cellStyle name="Normal 2 3 4 5 4 2 2 2" xfId="35092"/>
    <cellStyle name="Normal 2 3 4 5 4 2 3" xfId="35093"/>
    <cellStyle name="Normal 2 3 4 5 4 3" xfId="17633"/>
    <cellStyle name="Normal 2 3 4 5 4 3 2" xfId="17634"/>
    <cellStyle name="Normal 2 3 4 5 4 3 2 2" xfId="35094"/>
    <cellStyle name="Normal 2 3 4 5 4 3 3" xfId="35095"/>
    <cellStyle name="Normal 2 3 4 5 4 4" xfId="17635"/>
    <cellStyle name="Normal 2 3 4 5 4 4 2" xfId="17636"/>
    <cellStyle name="Normal 2 3 4 5 4 4 2 2" xfId="35096"/>
    <cellStyle name="Normal 2 3 4 5 4 4 3" xfId="35097"/>
    <cellStyle name="Normal 2 3 4 5 4 5" xfId="17637"/>
    <cellStyle name="Normal 2 3 4 5 4 5 2" xfId="35098"/>
    <cellStyle name="Normal 2 3 4 5 4 6" xfId="17638"/>
    <cellStyle name="Normal 2 3 4 5 5" xfId="17639"/>
    <cellStyle name="Normal 2 3 4 5 5 2" xfId="17640"/>
    <cellStyle name="Normal 2 3 4 5 5 2 2" xfId="35099"/>
    <cellStyle name="Normal 2 3 4 5 5 3" xfId="35100"/>
    <cellStyle name="Normal 2 3 4 5 6" xfId="17641"/>
    <cellStyle name="Normal 2 3 4 5 6 2" xfId="17642"/>
    <cellStyle name="Normal 2 3 4 5 6 2 2" xfId="35101"/>
    <cellStyle name="Normal 2 3 4 5 6 3" xfId="35102"/>
    <cellStyle name="Normal 2 3 4 5 7" xfId="17643"/>
    <cellStyle name="Normal 2 3 4 5 7 2" xfId="17644"/>
    <cellStyle name="Normal 2 3 4 5 7 2 2" xfId="35103"/>
    <cellStyle name="Normal 2 3 4 5 7 3" xfId="35104"/>
    <cellStyle name="Normal 2 3 4 5 8" xfId="17645"/>
    <cellStyle name="Normal 2 3 4 5 8 2" xfId="35105"/>
    <cellStyle name="Normal 2 3 4 5 9" xfId="17646"/>
    <cellStyle name="Normal 2 3 4 6" xfId="105"/>
    <cellStyle name="Normal 2 3 4 6 2" xfId="526"/>
    <cellStyle name="Normal 2 3 4 6 2 2" xfId="2188"/>
    <cellStyle name="Normal 2 3 4 6 2 2 2" xfId="17647"/>
    <cellStyle name="Normal 2 3 4 6 2 2 2 2" xfId="17648"/>
    <cellStyle name="Normal 2 3 4 6 2 2 2 2 2" xfId="35106"/>
    <cellStyle name="Normal 2 3 4 6 2 2 2 3" xfId="35107"/>
    <cellStyle name="Normal 2 3 4 6 2 2 3" xfId="17649"/>
    <cellStyle name="Normal 2 3 4 6 2 2 3 2" xfId="17650"/>
    <cellStyle name="Normal 2 3 4 6 2 2 3 2 2" xfId="35108"/>
    <cellStyle name="Normal 2 3 4 6 2 2 3 3" xfId="35109"/>
    <cellStyle name="Normal 2 3 4 6 2 2 4" xfId="17651"/>
    <cellStyle name="Normal 2 3 4 6 2 2 4 2" xfId="17652"/>
    <cellStyle name="Normal 2 3 4 6 2 2 4 2 2" xfId="35110"/>
    <cellStyle name="Normal 2 3 4 6 2 2 4 3" xfId="35111"/>
    <cellStyle name="Normal 2 3 4 6 2 2 5" xfId="17653"/>
    <cellStyle name="Normal 2 3 4 6 2 2 5 2" xfId="35112"/>
    <cellStyle name="Normal 2 3 4 6 2 2 6" xfId="17654"/>
    <cellStyle name="Normal 2 3 4 6 2 3" xfId="17655"/>
    <cellStyle name="Normal 2 3 4 6 2 3 2" xfId="17656"/>
    <cellStyle name="Normal 2 3 4 6 2 3 2 2" xfId="35113"/>
    <cellStyle name="Normal 2 3 4 6 2 3 3" xfId="35114"/>
    <cellStyle name="Normal 2 3 4 6 2 4" xfId="17657"/>
    <cellStyle name="Normal 2 3 4 6 2 4 2" xfId="17658"/>
    <cellStyle name="Normal 2 3 4 6 2 4 2 2" xfId="35115"/>
    <cellStyle name="Normal 2 3 4 6 2 4 3" xfId="35116"/>
    <cellStyle name="Normal 2 3 4 6 2 5" xfId="17659"/>
    <cellStyle name="Normal 2 3 4 6 2 5 2" xfId="17660"/>
    <cellStyle name="Normal 2 3 4 6 2 5 2 2" xfId="35117"/>
    <cellStyle name="Normal 2 3 4 6 2 5 3" xfId="35118"/>
    <cellStyle name="Normal 2 3 4 6 2 6" xfId="17661"/>
    <cellStyle name="Normal 2 3 4 6 2 6 2" xfId="35119"/>
    <cellStyle name="Normal 2 3 4 6 2 7" xfId="17662"/>
    <cellStyle name="Normal 2 3 4 6 3" xfId="2189"/>
    <cellStyle name="Normal 2 3 4 6 3 2" xfId="17663"/>
    <cellStyle name="Normal 2 3 4 6 3 2 2" xfId="17664"/>
    <cellStyle name="Normal 2 3 4 6 3 2 2 2" xfId="35120"/>
    <cellStyle name="Normal 2 3 4 6 3 2 3" xfId="35121"/>
    <cellStyle name="Normal 2 3 4 6 3 3" xfId="17665"/>
    <cellStyle name="Normal 2 3 4 6 3 3 2" xfId="17666"/>
    <cellStyle name="Normal 2 3 4 6 3 3 2 2" xfId="35122"/>
    <cellStyle name="Normal 2 3 4 6 3 3 3" xfId="35123"/>
    <cellStyle name="Normal 2 3 4 6 3 4" xfId="17667"/>
    <cellStyle name="Normal 2 3 4 6 3 4 2" xfId="17668"/>
    <cellStyle name="Normal 2 3 4 6 3 4 2 2" xfId="35124"/>
    <cellStyle name="Normal 2 3 4 6 3 4 3" xfId="35125"/>
    <cellStyle name="Normal 2 3 4 6 3 5" xfId="17669"/>
    <cellStyle name="Normal 2 3 4 6 3 5 2" xfId="35126"/>
    <cellStyle name="Normal 2 3 4 6 3 6" xfId="17670"/>
    <cellStyle name="Normal 2 3 4 6 4" xfId="17671"/>
    <cellStyle name="Normal 2 3 4 6 4 2" xfId="17672"/>
    <cellStyle name="Normal 2 3 4 6 4 2 2" xfId="35127"/>
    <cellStyle name="Normal 2 3 4 6 4 3" xfId="35128"/>
    <cellStyle name="Normal 2 3 4 6 5" xfId="17673"/>
    <cellStyle name="Normal 2 3 4 6 5 2" xfId="17674"/>
    <cellStyle name="Normal 2 3 4 6 5 2 2" xfId="35129"/>
    <cellStyle name="Normal 2 3 4 6 5 3" xfId="35130"/>
    <cellStyle name="Normal 2 3 4 6 6" xfId="17675"/>
    <cellStyle name="Normal 2 3 4 6 6 2" xfId="17676"/>
    <cellStyle name="Normal 2 3 4 6 6 2 2" xfId="35131"/>
    <cellStyle name="Normal 2 3 4 6 6 3" xfId="35132"/>
    <cellStyle name="Normal 2 3 4 6 7" xfId="17677"/>
    <cellStyle name="Normal 2 3 4 6 7 2" xfId="35133"/>
    <cellStyle name="Normal 2 3 4 6 8" xfId="17678"/>
    <cellStyle name="Normal 2 3 4 7" xfId="894"/>
    <cellStyle name="Normal 2 3 4 7 2" xfId="2190"/>
    <cellStyle name="Normal 2 3 4 7 2 2" xfId="17679"/>
    <cellStyle name="Normal 2 3 4 7 2 2 2" xfId="17680"/>
    <cellStyle name="Normal 2 3 4 7 2 2 2 2" xfId="35134"/>
    <cellStyle name="Normal 2 3 4 7 2 2 3" xfId="35135"/>
    <cellStyle name="Normal 2 3 4 7 2 3" xfId="17681"/>
    <cellStyle name="Normal 2 3 4 7 2 3 2" xfId="17682"/>
    <cellStyle name="Normal 2 3 4 7 2 3 2 2" xfId="35136"/>
    <cellStyle name="Normal 2 3 4 7 2 3 3" xfId="35137"/>
    <cellStyle name="Normal 2 3 4 7 2 4" xfId="17683"/>
    <cellStyle name="Normal 2 3 4 7 2 4 2" xfId="17684"/>
    <cellStyle name="Normal 2 3 4 7 2 4 2 2" xfId="35138"/>
    <cellStyle name="Normal 2 3 4 7 2 4 3" xfId="35139"/>
    <cellStyle name="Normal 2 3 4 7 2 5" xfId="17685"/>
    <cellStyle name="Normal 2 3 4 7 2 5 2" xfId="35140"/>
    <cellStyle name="Normal 2 3 4 7 2 6" xfId="17686"/>
    <cellStyle name="Normal 2 3 4 7 3" xfId="17687"/>
    <cellStyle name="Normal 2 3 4 7 3 2" xfId="17688"/>
    <cellStyle name="Normal 2 3 4 7 3 2 2" xfId="35141"/>
    <cellStyle name="Normal 2 3 4 7 3 3" xfId="35142"/>
    <cellStyle name="Normal 2 3 4 7 4" xfId="17689"/>
    <cellStyle name="Normal 2 3 4 7 4 2" xfId="17690"/>
    <cellStyle name="Normal 2 3 4 7 4 2 2" xfId="35143"/>
    <cellStyle name="Normal 2 3 4 7 4 3" xfId="35144"/>
    <cellStyle name="Normal 2 3 4 7 5" xfId="17691"/>
    <cellStyle name="Normal 2 3 4 7 5 2" xfId="17692"/>
    <cellStyle name="Normal 2 3 4 7 5 2 2" xfId="35145"/>
    <cellStyle name="Normal 2 3 4 7 5 3" xfId="35146"/>
    <cellStyle name="Normal 2 3 4 7 6" xfId="17693"/>
    <cellStyle name="Normal 2 3 4 7 6 2" xfId="35147"/>
    <cellStyle name="Normal 2 3 4 7 7" xfId="17694"/>
    <cellStyle name="Normal 2 3 4 8" xfId="495"/>
    <cellStyle name="Normal 2 3 4 8 2" xfId="2191"/>
    <cellStyle name="Normal 2 3 4 8 2 2" xfId="17695"/>
    <cellStyle name="Normal 2 3 4 8 2 2 2" xfId="17696"/>
    <cellStyle name="Normal 2 3 4 8 2 2 2 2" xfId="35148"/>
    <cellStyle name="Normal 2 3 4 8 2 2 3" xfId="35149"/>
    <cellStyle name="Normal 2 3 4 8 2 3" xfId="17697"/>
    <cellStyle name="Normal 2 3 4 8 2 3 2" xfId="17698"/>
    <cellStyle name="Normal 2 3 4 8 2 3 2 2" xfId="35150"/>
    <cellStyle name="Normal 2 3 4 8 2 3 3" xfId="35151"/>
    <cellStyle name="Normal 2 3 4 8 2 4" xfId="17699"/>
    <cellStyle name="Normal 2 3 4 8 2 4 2" xfId="17700"/>
    <cellStyle name="Normal 2 3 4 8 2 4 2 2" xfId="35152"/>
    <cellStyle name="Normal 2 3 4 8 2 4 3" xfId="35153"/>
    <cellStyle name="Normal 2 3 4 8 2 5" xfId="17701"/>
    <cellStyle name="Normal 2 3 4 8 2 5 2" xfId="35154"/>
    <cellStyle name="Normal 2 3 4 8 2 6" xfId="17702"/>
    <cellStyle name="Normal 2 3 4 8 3" xfId="17703"/>
    <cellStyle name="Normal 2 3 4 8 3 2" xfId="17704"/>
    <cellStyle name="Normal 2 3 4 8 3 2 2" xfId="35155"/>
    <cellStyle name="Normal 2 3 4 8 3 3" xfId="35156"/>
    <cellStyle name="Normal 2 3 4 8 4" xfId="17705"/>
    <cellStyle name="Normal 2 3 4 8 4 2" xfId="17706"/>
    <cellStyle name="Normal 2 3 4 8 4 2 2" xfId="35157"/>
    <cellStyle name="Normal 2 3 4 8 4 3" xfId="35158"/>
    <cellStyle name="Normal 2 3 4 8 5" xfId="17707"/>
    <cellStyle name="Normal 2 3 4 8 5 2" xfId="17708"/>
    <cellStyle name="Normal 2 3 4 8 5 2 2" xfId="35159"/>
    <cellStyle name="Normal 2 3 4 8 5 3" xfId="35160"/>
    <cellStyle name="Normal 2 3 4 8 6" xfId="17709"/>
    <cellStyle name="Normal 2 3 4 8 6 2" xfId="35161"/>
    <cellStyle name="Normal 2 3 4 8 7" xfId="17710"/>
    <cellStyle name="Normal 2 3 4 9" xfId="2192"/>
    <cellStyle name="Normal 2 3 4 9 2" xfId="17711"/>
    <cellStyle name="Normal 2 3 4 9 2 2" xfId="17712"/>
    <cellStyle name="Normal 2 3 4 9 2 2 2" xfId="35162"/>
    <cellStyle name="Normal 2 3 4 9 2 3" xfId="35163"/>
    <cellStyle name="Normal 2 3 4 9 3" xfId="17713"/>
    <cellStyle name="Normal 2 3 4 9 3 2" xfId="17714"/>
    <cellStyle name="Normal 2 3 4 9 3 2 2" xfId="35164"/>
    <cellStyle name="Normal 2 3 4 9 3 3" xfId="35165"/>
    <cellStyle name="Normal 2 3 4 9 4" xfId="17715"/>
    <cellStyle name="Normal 2 3 4 9 4 2" xfId="17716"/>
    <cellStyle name="Normal 2 3 4 9 4 2 2" xfId="35166"/>
    <cellStyle name="Normal 2 3 4 9 4 3" xfId="35167"/>
    <cellStyle name="Normal 2 3 4 9 5" xfId="17717"/>
    <cellStyle name="Normal 2 3 4 9 5 2" xfId="35168"/>
    <cellStyle name="Normal 2 3 4 9 6" xfId="17718"/>
    <cellStyle name="Normal 2 3 5" xfId="227"/>
    <cellStyle name="Normal 2 3 5 10" xfId="17719"/>
    <cellStyle name="Normal 2 3 5 2" xfId="385"/>
    <cellStyle name="Normal 2 3 5 2 2" xfId="1173"/>
    <cellStyle name="Normal 2 3 5 2 2 2" xfId="2193"/>
    <cellStyle name="Normal 2 3 5 2 2 2 2" xfId="17720"/>
    <cellStyle name="Normal 2 3 5 2 2 2 2 2" xfId="17721"/>
    <cellStyle name="Normal 2 3 5 2 2 2 2 2 2" xfId="35169"/>
    <cellStyle name="Normal 2 3 5 2 2 2 2 3" xfId="35170"/>
    <cellStyle name="Normal 2 3 5 2 2 2 3" xfId="17722"/>
    <cellStyle name="Normal 2 3 5 2 2 2 3 2" xfId="17723"/>
    <cellStyle name="Normal 2 3 5 2 2 2 3 2 2" xfId="35171"/>
    <cellStyle name="Normal 2 3 5 2 2 2 3 3" xfId="35172"/>
    <cellStyle name="Normal 2 3 5 2 2 2 4" xfId="17724"/>
    <cellStyle name="Normal 2 3 5 2 2 2 4 2" xfId="17725"/>
    <cellStyle name="Normal 2 3 5 2 2 2 4 2 2" xfId="35173"/>
    <cellStyle name="Normal 2 3 5 2 2 2 4 3" xfId="35174"/>
    <cellStyle name="Normal 2 3 5 2 2 2 5" xfId="17726"/>
    <cellStyle name="Normal 2 3 5 2 2 2 5 2" xfId="35175"/>
    <cellStyle name="Normal 2 3 5 2 2 2 6" xfId="17727"/>
    <cellStyle name="Normal 2 3 5 2 2 3" xfId="17728"/>
    <cellStyle name="Normal 2 3 5 2 2 3 2" xfId="17729"/>
    <cellStyle name="Normal 2 3 5 2 2 3 2 2" xfId="35176"/>
    <cellStyle name="Normal 2 3 5 2 2 3 3" xfId="35177"/>
    <cellStyle name="Normal 2 3 5 2 2 4" xfId="17730"/>
    <cellStyle name="Normal 2 3 5 2 2 4 2" xfId="17731"/>
    <cellStyle name="Normal 2 3 5 2 2 4 2 2" xfId="35178"/>
    <cellStyle name="Normal 2 3 5 2 2 4 3" xfId="35179"/>
    <cellStyle name="Normal 2 3 5 2 2 5" xfId="17732"/>
    <cellStyle name="Normal 2 3 5 2 2 5 2" xfId="17733"/>
    <cellStyle name="Normal 2 3 5 2 2 5 2 2" xfId="35180"/>
    <cellStyle name="Normal 2 3 5 2 2 5 3" xfId="35181"/>
    <cellStyle name="Normal 2 3 5 2 2 6" xfId="17734"/>
    <cellStyle name="Normal 2 3 5 2 2 6 2" xfId="35182"/>
    <cellStyle name="Normal 2 3 5 2 2 7" xfId="17735"/>
    <cellStyle name="Normal 2 3 5 2 3" xfId="805"/>
    <cellStyle name="Normal 2 3 5 2 3 2" xfId="2194"/>
    <cellStyle name="Normal 2 3 5 2 3 2 2" xfId="17736"/>
    <cellStyle name="Normal 2 3 5 2 3 2 2 2" xfId="17737"/>
    <cellStyle name="Normal 2 3 5 2 3 2 2 2 2" xfId="35183"/>
    <cellStyle name="Normal 2 3 5 2 3 2 2 3" xfId="35184"/>
    <cellStyle name="Normal 2 3 5 2 3 2 3" xfId="17738"/>
    <cellStyle name="Normal 2 3 5 2 3 2 3 2" xfId="17739"/>
    <cellStyle name="Normal 2 3 5 2 3 2 3 2 2" xfId="35185"/>
    <cellStyle name="Normal 2 3 5 2 3 2 3 3" xfId="35186"/>
    <cellStyle name="Normal 2 3 5 2 3 2 4" xfId="17740"/>
    <cellStyle name="Normal 2 3 5 2 3 2 4 2" xfId="17741"/>
    <cellStyle name="Normal 2 3 5 2 3 2 4 2 2" xfId="35187"/>
    <cellStyle name="Normal 2 3 5 2 3 2 4 3" xfId="35188"/>
    <cellStyle name="Normal 2 3 5 2 3 2 5" xfId="17742"/>
    <cellStyle name="Normal 2 3 5 2 3 2 5 2" xfId="35189"/>
    <cellStyle name="Normal 2 3 5 2 3 2 6" xfId="17743"/>
    <cellStyle name="Normal 2 3 5 2 3 3" xfId="17744"/>
    <cellStyle name="Normal 2 3 5 2 3 3 2" xfId="17745"/>
    <cellStyle name="Normal 2 3 5 2 3 3 2 2" xfId="35190"/>
    <cellStyle name="Normal 2 3 5 2 3 3 3" xfId="35191"/>
    <cellStyle name="Normal 2 3 5 2 3 4" xfId="17746"/>
    <cellStyle name="Normal 2 3 5 2 3 4 2" xfId="17747"/>
    <cellStyle name="Normal 2 3 5 2 3 4 2 2" xfId="35192"/>
    <cellStyle name="Normal 2 3 5 2 3 4 3" xfId="35193"/>
    <cellStyle name="Normal 2 3 5 2 3 5" xfId="17748"/>
    <cellStyle name="Normal 2 3 5 2 3 5 2" xfId="17749"/>
    <cellStyle name="Normal 2 3 5 2 3 5 2 2" xfId="35194"/>
    <cellStyle name="Normal 2 3 5 2 3 5 3" xfId="35195"/>
    <cellStyle name="Normal 2 3 5 2 3 6" xfId="17750"/>
    <cellStyle name="Normal 2 3 5 2 3 6 2" xfId="35196"/>
    <cellStyle name="Normal 2 3 5 2 3 7" xfId="17751"/>
    <cellStyle name="Normal 2 3 5 2 4" xfId="2195"/>
    <cellStyle name="Normal 2 3 5 2 4 2" xfId="17752"/>
    <cellStyle name="Normal 2 3 5 2 4 2 2" xfId="17753"/>
    <cellStyle name="Normal 2 3 5 2 4 2 2 2" xfId="35197"/>
    <cellStyle name="Normal 2 3 5 2 4 2 3" xfId="35198"/>
    <cellStyle name="Normal 2 3 5 2 4 3" xfId="17754"/>
    <cellStyle name="Normal 2 3 5 2 4 3 2" xfId="17755"/>
    <cellStyle name="Normal 2 3 5 2 4 3 2 2" xfId="35199"/>
    <cellStyle name="Normal 2 3 5 2 4 3 3" xfId="35200"/>
    <cellStyle name="Normal 2 3 5 2 4 4" xfId="17756"/>
    <cellStyle name="Normal 2 3 5 2 4 4 2" xfId="17757"/>
    <cellStyle name="Normal 2 3 5 2 4 4 2 2" xfId="35201"/>
    <cellStyle name="Normal 2 3 5 2 4 4 3" xfId="35202"/>
    <cellStyle name="Normal 2 3 5 2 4 5" xfId="17758"/>
    <cellStyle name="Normal 2 3 5 2 4 5 2" xfId="35203"/>
    <cellStyle name="Normal 2 3 5 2 4 6" xfId="17759"/>
    <cellStyle name="Normal 2 3 5 2 5" xfId="17760"/>
    <cellStyle name="Normal 2 3 5 2 5 2" xfId="17761"/>
    <cellStyle name="Normal 2 3 5 2 5 2 2" xfId="35204"/>
    <cellStyle name="Normal 2 3 5 2 5 3" xfId="35205"/>
    <cellStyle name="Normal 2 3 5 2 6" xfId="17762"/>
    <cellStyle name="Normal 2 3 5 2 6 2" xfId="17763"/>
    <cellStyle name="Normal 2 3 5 2 6 2 2" xfId="35206"/>
    <cellStyle name="Normal 2 3 5 2 6 3" xfId="35207"/>
    <cellStyle name="Normal 2 3 5 2 7" xfId="17764"/>
    <cellStyle name="Normal 2 3 5 2 7 2" xfId="17765"/>
    <cellStyle name="Normal 2 3 5 2 7 2 2" xfId="35208"/>
    <cellStyle name="Normal 2 3 5 2 7 3" xfId="35209"/>
    <cellStyle name="Normal 2 3 5 2 8" xfId="17766"/>
    <cellStyle name="Normal 2 3 5 2 8 2" xfId="35210"/>
    <cellStyle name="Normal 2 3 5 2 9" xfId="17767"/>
    <cellStyle name="Normal 2 3 5 3" xfId="1015"/>
    <cellStyle name="Normal 2 3 5 3 2" xfId="2196"/>
    <cellStyle name="Normal 2 3 5 3 2 2" xfId="17768"/>
    <cellStyle name="Normal 2 3 5 3 2 2 2" xfId="17769"/>
    <cellStyle name="Normal 2 3 5 3 2 2 2 2" xfId="35211"/>
    <cellStyle name="Normal 2 3 5 3 2 2 3" xfId="35212"/>
    <cellStyle name="Normal 2 3 5 3 2 3" xfId="17770"/>
    <cellStyle name="Normal 2 3 5 3 2 3 2" xfId="17771"/>
    <cellStyle name="Normal 2 3 5 3 2 3 2 2" xfId="35213"/>
    <cellStyle name="Normal 2 3 5 3 2 3 3" xfId="35214"/>
    <cellStyle name="Normal 2 3 5 3 2 4" xfId="17772"/>
    <cellStyle name="Normal 2 3 5 3 2 4 2" xfId="17773"/>
    <cellStyle name="Normal 2 3 5 3 2 4 2 2" xfId="35215"/>
    <cellStyle name="Normal 2 3 5 3 2 4 3" xfId="35216"/>
    <cellStyle name="Normal 2 3 5 3 2 5" xfId="17774"/>
    <cellStyle name="Normal 2 3 5 3 2 5 2" xfId="35217"/>
    <cellStyle name="Normal 2 3 5 3 2 6" xfId="17775"/>
    <cellStyle name="Normal 2 3 5 3 3" xfId="17776"/>
    <cellStyle name="Normal 2 3 5 3 3 2" xfId="17777"/>
    <cellStyle name="Normal 2 3 5 3 3 2 2" xfId="35218"/>
    <cellStyle name="Normal 2 3 5 3 3 3" xfId="35219"/>
    <cellStyle name="Normal 2 3 5 3 4" xfId="17778"/>
    <cellStyle name="Normal 2 3 5 3 4 2" xfId="17779"/>
    <cellStyle name="Normal 2 3 5 3 4 2 2" xfId="35220"/>
    <cellStyle name="Normal 2 3 5 3 4 3" xfId="35221"/>
    <cellStyle name="Normal 2 3 5 3 5" xfId="17780"/>
    <cellStyle name="Normal 2 3 5 3 5 2" xfId="17781"/>
    <cellStyle name="Normal 2 3 5 3 5 2 2" xfId="35222"/>
    <cellStyle name="Normal 2 3 5 3 5 3" xfId="35223"/>
    <cellStyle name="Normal 2 3 5 3 6" xfId="17782"/>
    <cellStyle name="Normal 2 3 5 3 6 2" xfId="35224"/>
    <cellStyle name="Normal 2 3 5 3 7" xfId="17783"/>
    <cellStyle name="Normal 2 3 5 4" xfId="647"/>
    <cellStyle name="Normal 2 3 5 4 2" xfId="2197"/>
    <cellStyle name="Normal 2 3 5 4 2 2" xfId="17784"/>
    <cellStyle name="Normal 2 3 5 4 2 2 2" xfId="17785"/>
    <cellStyle name="Normal 2 3 5 4 2 2 2 2" xfId="35225"/>
    <cellStyle name="Normal 2 3 5 4 2 2 3" xfId="35226"/>
    <cellStyle name="Normal 2 3 5 4 2 3" xfId="17786"/>
    <cellStyle name="Normal 2 3 5 4 2 3 2" xfId="17787"/>
    <cellStyle name="Normal 2 3 5 4 2 3 2 2" xfId="35227"/>
    <cellStyle name="Normal 2 3 5 4 2 3 3" xfId="35228"/>
    <cellStyle name="Normal 2 3 5 4 2 4" xfId="17788"/>
    <cellStyle name="Normal 2 3 5 4 2 4 2" xfId="17789"/>
    <cellStyle name="Normal 2 3 5 4 2 4 2 2" xfId="35229"/>
    <cellStyle name="Normal 2 3 5 4 2 4 3" xfId="35230"/>
    <cellStyle name="Normal 2 3 5 4 2 5" xfId="17790"/>
    <cellStyle name="Normal 2 3 5 4 2 5 2" xfId="35231"/>
    <cellStyle name="Normal 2 3 5 4 2 6" xfId="17791"/>
    <cellStyle name="Normal 2 3 5 4 3" xfId="17792"/>
    <cellStyle name="Normal 2 3 5 4 3 2" xfId="17793"/>
    <cellStyle name="Normal 2 3 5 4 3 2 2" xfId="35232"/>
    <cellStyle name="Normal 2 3 5 4 3 3" xfId="35233"/>
    <cellStyle name="Normal 2 3 5 4 4" xfId="17794"/>
    <cellStyle name="Normal 2 3 5 4 4 2" xfId="17795"/>
    <cellStyle name="Normal 2 3 5 4 4 2 2" xfId="35234"/>
    <cellStyle name="Normal 2 3 5 4 4 3" xfId="35235"/>
    <cellStyle name="Normal 2 3 5 4 5" xfId="17796"/>
    <cellStyle name="Normal 2 3 5 4 5 2" xfId="17797"/>
    <cellStyle name="Normal 2 3 5 4 5 2 2" xfId="35236"/>
    <cellStyle name="Normal 2 3 5 4 5 3" xfId="35237"/>
    <cellStyle name="Normal 2 3 5 4 6" xfId="17798"/>
    <cellStyle name="Normal 2 3 5 4 6 2" xfId="35238"/>
    <cellStyle name="Normal 2 3 5 4 7" xfId="17799"/>
    <cellStyle name="Normal 2 3 5 5" xfId="2198"/>
    <cellStyle name="Normal 2 3 5 5 2" xfId="17800"/>
    <cellStyle name="Normal 2 3 5 5 2 2" xfId="17801"/>
    <cellStyle name="Normal 2 3 5 5 2 2 2" xfId="35239"/>
    <cellStyle name="Normal 2 3 5 5 2 3" xfId="35240"/>
    <cellStyle name="Normal 2 3 5 5 3" xfId="17802"/>
    <cellStyle name="Normal 2 3 5 5 3 2" xfId="17803"/>
    <cellStyle name="Normal 2 3 5 5 3 2 2" xfId="35241"/>
    <cellStyle name="Normal 2 3 5 5 3 3" xfId="35242"/>
    <cellStyle name="Normal 2 3 5 5 4" xfId="17804"/>
    <cellStyle name="Normal 2 3 5 5 4 2" xfId="17805"/>
    <cellStyle name="Normal 2 3 5 5 4 2 2" xfId="35243"/>
    <cellStyle name="Normal 2 3 5 5 4 3" xfId="35244"/>
    <cellStyle name="Normal 2 3 5 5 5" xfId="17806"/>
    <cellStyle name="Normal 2 3 5 5 5 2" xfId="35245"/>
    <cellStyle name="Normal 2 3 5 5 6" xfId="17807"/>
    <cellStyle name="Normal 2 3 5 6" xfId="17808"/>
    <cellStyle name="Normal 2 3 5 6 2" xfId="17809"/>
    <cellStyle name="Normal 2 3 5 6 2 2" xfId="35246"/>
    <cellStyle name="Normal 2 3 5 6 3" xfId="35247"/>
    <cellStyle name="Normal 2 3 5 7" xfId="17810"/>
    <cellStyle name="Normal 2 3 5 7 2" xfId="17811"/>
    <cellStyle name="Normal 2 3 5 7 2 2" xfId="35248"/>
    <cellStyle name="Normal 2 3 5 7 3" xfId="35249"/>
    <cellStyle name="Normal 2 3 5 8" xfId="17812"/>
    <cellStyle name="Normal 2 3 5 8 2" xfId="17813"/>
    <cellStyle name="Normal 2 3 5 8 2 2" xfId="35250"/>
    <cellStyle name="Normal 2 3 5 8 3" xfId="35251"/>
    <cellStyle name="Normal 2 3 5 9" xfId="17814"/>
    <cellStyle name="Normal 2 3 5 9 2" xfId="35252"/>
    <cellStyle name="Normal 2 3 6" xfId="278"/>
    <cellStyle name="Normal 2 3 6 10" xfId="17815"/>
    <cellStyle name="Normal 2 3 6 2" xfId="436"/>
    <cellStyle name="Normal 2 3 6 2 2" xfId="1224"/>
    <cellStyle name="Normal 2 3 6 2 2 2" xfId="2199"/>
    <cellStyle name="Normal 2 3 6 2 2 2 2" xfId="17816"/>
    <cellStyle name="Normal 2 3 6 2 2 2 2 2" xfId="17817"/>
    <cellStyle name="Normal 2 3 6 2 2 2 2 2 2" xfId="35253"/>
    <cellStyle name="Normal 2 3 6 2 2 2 2 3" xfId="35254"/>
    <cellStyle name="Normal 2 3 6 2 2 2 3" xfId="17818"/>
    <cellStyle name="Normal 2 3 6 2 2 2 3 2" xfId="17819"/>
    <cellStyle name="Normal 2 3 6 2 2 2 3 2 2" xfId="35255"/>
    <cellStyle name="Normal 2 3 6 2 2 2 3 3" xfId="35256"/>
    <cellStyle name="Normal 2 3 6 2 2 2 4" xfId="17820"/>
    <cellStyle name="Normal 2 3 6 2 2 2 4 2" xfId="17821"/>
    <cellStyle name="Normal 2 3 6 2 2 2 4 2 2" xfId="35257"/>
    <cellStyle name="Normal 2 3 6 2 2 2 4 3" xfId="35258"/>
    <cellStyle name="Normal 2 3 6 2 2 2 5" xfId="17822"/>
    <cellStyle name="Normal 2 3 6 2 2 2 5 2" xfId="35259"/>
    <cellStyle name="Normal 2 3 6 2 2 2 6" xfId="17823"/>
    <cellStyle name="Normal 2 3 6 2 2 3" xfId="17824"/>
    <cellStyle name="Normal 2 3 6 2 2 3 2" xfId="17825"/>
    <cellStyle name="Normal 2 3 6 2 2 3 2 2" xfId="35260"/>
    <cellStyle name="Normal 2 3 6 2 2 3 3" xfId="35261"/>
    <cellStyle name="Normal 2 3 6 2 2 4" xfId="17826"/>
    <cellStyle name="Normal 2 3 6 2 2 4 2" xfId="17827"/>
    <cellStyle name="Normal 2 3 6 2 2 4 2 2" xfId="35262"/>
    <cellStyle name="Normal 2 3 6 2 2 4 3" xfId="35263"/>
    <cellStyle name="Normal 2 3 6 2 2 5" xfId="17828"/>
    <cellStyle name="Normal 2 3 6 2 2 5 2" xfId="17829"/>
    <cellStyle name="Normal 2 3 6 2 2 5 2 2" xfId="35264"/>
    <cellStyle name="Normal 2 3 6 2 2 5 3" xfId="35265"/>
    <cellStyle name="Normal 2 3 6 2 2 6" xfId="17830"/>
    <cellStyle name="Normal 2 3 6 2 2 6 2" xfId="35266"/>
    <cellStyle name="Normal 2 3 6 2 2 7" xfId="17831"/>
    <cellStyle name="Normal 2 3 6 2 3" xfId="856"/>
    <cellStyle name="Normal 2 3 6 2 3 2" xfId="2200"/>
    <cellStyle name="Normal 2 3 6 2 3 2 2" xfId="17832"/>
    <cellStyle name="Normal 2 3 6 2 3 2 2 2" xfId="17833"/>
    <cellStyle name="Normal 2 3 6 2 3 2 2 2 2" xfId="35267"/>
    <cellStyle name="Normal 2 3 6 2 3 2 2 3" xfId="35268"/>
    <cellStyle name="Normal 2 3 6 2 3 2 3" xfId="17834"/>
    <cellStyle name="Normal 2 3 6 2 3 2 3 2" xfId="17835"/>
    <cellStyle name="Normal 2 3 6 2 3 2 3 2 2" xfId="35269"/>
    <cellStyle name="Normal 2 3 6 2 3 2 3 3" xfId="35270"/>
    <cellStyle name="Normal 2 3 6 2 3 2 4" xfId="17836"/>
    <cellStyle name="Normal 2 3 6 2 3 2 4 2" xfId="17837"/>
    <cellStyle name="Normal 2 3 6 2 3 2 4 2 2" xfId="35271"/>
    <cellStyle name="Normal 2 3 6 2 3 2 4 3" xfId="35272"/>
    <cellStyle name="Normal 2 3 6 2 3 2 5" xfId="17838"/>
    <cellStyle name="Normal 2 3 6 2 3 2 5 2" xfId="35273"/>
    <cellStyle name="Normal 2 3 6 2 3 2 6" xfId="17839"/>
    <cellStyle name="Normal 2 3 6 2 3 3" xfId="17840"/>
    <cellStyle name="Normal 2 3 6 2 3 3 2" xfId="17841"/>
    <cellStyle name="Normal 2 3 6 2 3 3 2 2" xfId="35274"/>
    <cellStyle name="Normal 2 3 6 2 3 3 3" xfId="35275"/>
    <cellStyle name="Normal 2 3 6 2 3 4" xfId="17842"/>
    <cellStyle name="Normal 2 3 6 2 3 4 2" xfId="17843"/>
    <cellStyle name="Normal 2 3 6 2 3 4 2 2" xfId="35276"/>
    <cellStyle name="Normal 2 3 6 2 3 4 3" xfId="35277"/>
    <cellStyle name="Normal 2 3 6 2 3 5" xfId="17844"/>
    <cellStyle name="Normal 2 3 6 2 3 5 2" xfId="17845"/>
    <cellStyle name="Normal 2 3 6 2 3 5 2 2" xfId="35278"/>
    <cellStyle name="Normal 2 3 6 2 3 5 3" xfId="35279"/>
    <cellStyle name="Normal 2 3 6 2 3 6" xfId="17846"/>
    <cellStyle name="Normal 2 3 6 2 3 6 2" xfId="35280"/>
    <cellStyle name="Normal 2 3 6 2 3 7" xfId="17847"/>
    <cellStyle name="Normal 2 3 6 2 4" xfId="2201"/>
    <cellStyle name="Normal 2 3 6 2 4 2" xfId="17848"/>
    <cellStyle name="Normal 2 3 6 2 4 2 2" xfId="17849"/>
    <cellStyle name="Normal 2 3 6 2 4 2 2 2" xfId="35281"/>
    <cellStyle name="Normal 2 3 6 2 4 2 3" xfId="35282"/>
    <cellStyle name="Normal 2 3 6 2 4 3" xfId="17850"/>
    <cellStyle name="Normal 2 3 6 2 4 3 2" xfId="17851"/>
    <cellStyle name="Normal 2 3 6 2 4 3 2 2" xfId="35283"/>
    <cellStyle name="Normal 2 3 6 2 4 3 3" xfId="35284"/>
    <cellStyle name="Normal 2 3 6 2 4 4" xfId="17852"/>
    <cellStyle name="Normal 2 3 6 2 4 4 2" xfId="17853"/>
    <cellStyle name="Normal 2 3 6 2 4 4 2 2" xfId="35285"/>
    <cellStyle name="Normal 2 3 6 2 4 4 3" xfId="35286"/>
    <cellStyle name="Normal 2 3 6 2 4 5" xfId="17854"/>
    <cellStyle name="Normal 2 3 6 2 4 5 2" xfId="35287"/>
    <cellStyle name="Normal 2 3 6 2 4 6" xfId="17855"/>
    <cellStyle name="Normal 2 3 6 2 5" xfId="17856"/>
    <cellStyle name="Normal 2 3 6 2 5 2" xfId="17857"/>
    <cellStyle name="Normal 2 3 6 2 5 2 2" xfId="35288"/>
    <cellStyle name="Normal 2 3 6 2 5 3" xfId="35289"/>
    <cellStyle name="Normal 2 3 6 2 6" xfId="17858"/>
    <cellStyle name="Normal 2 3 6 2 6 2" xfId="17859"/>
    <cellStyle name="Normal 2 3 6 2 6 2 2" xfId="35290"/>
    <cellStyle name="Normal 2 3 6 2 6 3" xfId="35291"/>
    <cellStyle name="Normal 2 3 6 2 7" xfId="17860"/>
    <cellStyle name="Normal 2 3 6 2 7 2" xfId="17861"/>
    <cellStyle name="Normal 2 3 6 2 7 2 2" xfId="35292"/>
    <cellStyle name="Normal 2 3 6 2 7 3" xfId="35293"/>
    <cellStyle name="Normal 2 3 6 2 8" xfId="17862"/>
    <cellStyle name="Normal 2 3 6 2 8 2" xfId="35294"/>
    <cellStyle name="Normal 2 3 6 2 9" xfId="17863"/>
    <cellStyle name="Normal 2 3 6 3" xfId="1066"/>
    <cellStyle name="Normal 2 3 6 3 2" xfId="2202"/>
    <cellStyle name="Normal 2 3 6 3 2 2" xfId="17864"/>
    <cellStyle name="Normal 2 3 6 3 2 2 2" xfId="17865"/>
    <cellStyle name="Normal 2 3 6 3 2 2 2 2" xfId="35295"/>
    <cellStyle name="Normal 2 3 6 3 2 2 3" xfId="35296"/>
    <cellStyle name="Normal 2 3 6 3 2 3" xfId="17866"/>
    <cellStyle name="Normal 2 3 6 3 2 3 2" xfId="17867"/>
    <cellStyle name="Normal 2 3 6 3 2 3 2 2" xfId="35297"/>
    <cellStyle name="Normal 2 3 6 3 2 3 3" xfId="35298"/>
    <cellStyle name="Normal 2 3 6 3 2 4" xfId="17868"/>
    <cellStyle name="Normal 2 3 6 3 2 4 2" xfId="17869"/>
    <cellStyle name="Normal 2 3 6 3 2 4 2 2" xfId="35299"/>
    <cellStyle name="Normal 2 3 6 3 2 4 3" xfId="35300"/>
    <cellStyle name="Normal 2 3 6 3 2 5" xfId="17870"/>
    <cellStyle name="Normal 2 3 6 3 2 5 2" xfId="35301"/>
    <cellStyle name="Normal 2 3 6 3 2 6" xfId="17871"/>
    <cellStyle name="Normal 2 3 6 3 3" xfId="17872"/>
    <cellStyle name="Normal 2 3 6 3 3 2" xfId="17873"/>
    <cellStyle name="Normal 2 3 6 3 3 2 2" xfId="35302"/>
    <cellStyle name="Normal 2 3 6 3 3 3" xfId="35303"/>
    <cellStyle name="Normal 2 3 6 3 4" xfId="17874"/>
    <cellStyle name="Normal 2 3 6 3 4 2" xfId="17875"/>
    <cellStyle name="Normal 2 3 6 3 4 2 2" xfId="35304"/>
    <cellStyle name="Normal 2 3 6 3 4 3" xfId="35305"/>
    <cellStyle name="Normal 2 3 6 3 5" xfId="17876"/>
    <cellStyle name="Normal 2 3 6 3 5 2" xfId="17877"/>
    <cellStyle name="Normal 2 3 6 3 5 2 2" xfId="35306"/>
    <cellStyle name="Normal 2 3 6 3 5 3" xfId="35307"/>
    <cellStyle name="Normal 2 3 6 3 6" xfId="17878"/>
    <cellStyle name="Normal 2 3 6 3 6 2" xfId="35308"/>
    <cellStyle name="Normal 2 3 6 3 7" xfId="17879"/>
    <cellStyle name="Normal 2 3 6 4" xfId="698"/>
    <cellStyle name="Normal 2 3 6 4 2" xfId="2203"/>
    <cellStyle name="Normal 2 3 6 4 2 2" xfId="17880"/>
    <cellStyle name="Normal 2 3 6 4 2 2 2" xfId="17881"/>
    <cellStyle name="Normal 2 3 6 4 2 2 2 2" xfId="35309"/>
    <cellStyle name="Normal 2 3 6 4 2 2 3" xfId="35310"/>
    <cellStyle name="Normal 2 3 6 4 2 3" xfId="17882"/>
    <cellStyle name="Normal 2 3 6 4 2 3 2" xfId="17883"/>
    <cellStyle name="Normal 2 3 6 4 2 3 2 2" xfId="35311"/>
    <cellStyle name="Normal 2 3 6 4 2 3 3" xfId="35312"/>
    <cellStyle name="Normal 2 3 6 4 2 4" xfId="17884"/>
    <cellStyle name="Normal 2 3 6 4 2 4 2" xfId="17885"/>
    <cellStyle name="Normal 2 3 6 4 2 4 2 2" xfId="35313"/>
    <cellStyle name="Normal 2 3 6 4 2 4 3" xfId="35314"/>
    <cellStyle name="Normal 2 3 6 4 2 5" xfId="17886"/>
    <cellStyle name="Normal 2 3 6 4 2 5 2" xfId="35315"/>
    <cellStyle name="Normal 2 3 6 4 2 6" xfId="17887"/>
    <cellStyle name="Normal 2 3 6 4 3" xfId="17888"/>
    <cellStyle name="Normal 2 3 6 4 3 2" xfId="17889"/>
    <cellStyle name="Normal 2 3 6 4 3 2 2" xfId="35316"/>
    <cellStyle name="Normal 2 3 6 4 3 3" xfId="35317"/>
    <cellStyle name="Normal 2 3 6 4 4" xfId="17890"/>
    <cellStyle name="Normal 2 3 6 4 4 2" xfId="17891"/>
    <cellStyle name="Normal 2 3 6 4 4 2 2" xfId="35318"/>
    <cellStyle name="Normal 2 3 6 4 4 3" xfId="35319"/>
    <cellStyle name="Normal 2 3 6 4 5" xfId="17892"/>
    <cellStyle name="Normal 2 3 6 4 5 2" xfId="17893"/>
    <cellStyle name="Normal 2 3 6 4 5 2 2" xfId="35320"/>
    <cellStyle name="Normal 2 3 6 4 5 3" xfId="35321"/>
    <cellStyle name="Normal 2 3 6 4 6" xfId="17894"/>
    <cellStyle name="Normal 2 3 6 4 6 2" xfId="35322"/>
    <cellStyle name="Normal 2 3 6 4 7" xfId="17895"/>
    <cellStyle name="Normal 2 3 6 5" xfId="2204"/>
    <cellStyle name="Normal 2 3 6 5 2" xfId="17896"/>
    <cellStyle name="Normal 2 3 6 5 2 2" xfId="17897"/>
    <cellStyle name="Normal 2 3 6 5 2 2 2" xfId="35323"/>
    <cellStyle name="Normal 2 3 6 5 2 3" xfId="35324"/>
    <cellStyle name="Normal 2 3 6 5 3" xfId="17898"/>
    <cellStyle name="Normal 2 3 6 5 3 2" xfId="17899"/>
    <cellStyle name="Normal 2 3 6 5 3 2 2" xfId="35325"/>
    <cellStyle name="Normal 2 3 6 5 3 3" xfId="35326"/>
    <cellStyle name="Normal 2 3 6 5 4" xfId="17900"/>
    <cellStyle name="Normal 2 3 6 5 4 2" xfId="17901"/>
    <cellStyle name="Normal 2 3 6 5 4 2 2" xfId="35327"/>
    <cellStyle name="Normal 2 3 6 5 4 3" xfId="35328"/>
    <cellStyle name="Normal 2 3 6 5 5" xfId="17902"/>
    <cellStyle name="Normal 2 3 6 5 5 2" xfId="35329"/>
    <cellStyle name="Normal 2 3 6 5 6" xfId="17903"/>
    <cellStyle name="Normal 2 3 6 6" xfId="17904"/>
    <cellStyle name="Normal 2 3 6 6 2" xfId="17905"/>
    <cellStyle name="Normal 2 3 6 6 2 2" xfId="35330"/>
    <cellStyle name="Normal 2 3 6 6 3" xfId="35331"/>
    <cellStyle name="Normal 2 3 6 7" xfId="17906"/>
    <cellStyle name="Normal 2 3 6 7 2" xfId="17907"/>
    <cellStyle name="Normal 2 3 6 7 2 2" xfId="35332"/>
    <cellStyle name="Normal 2 3 6 7 3" xfId="35333"/>
    <cellStyle name="Normal 2 3 6 8" xfId="17908"/>
    <cellStyle name="Normal 2 3 6 8 2" xfId="17909"/>
    <cellStyle name="Normal 2 3 6 8 2 2" xfId="35334"/>
    <cellStyle name="Normal 2 3 6 8 3" xfId="35335"/>
    <cellStyle name="Normal 2 3 6 9" xfId="17910"/>
    <cellStyle name="Normal 2 3 6 9 2" xfId="35336"/>
    <cellStyle name="Normal 2 3 7" xfId="140"/>
    <cellStyle name="Normal 2 3 7 2" xfId="928"/>
    <cellStyle name="Normal 2 3 7 2 2" xfId="2205"/>
    <cellStyle name="Normal 2 3 7 2 2 2" xfId="17911"/>
    <cellStyle name="Normal 2 3 7 2 2 2 2" xfId="17912"/>
    <cellStyle name="Normal 2 3 7 2 2 2 2 2" xfId="35337"/>
    <cellStyle name="Normal 2 3 7 2 2 2 3" xfId="35338"/>
    <cellStyle name="Normal 2 3 7 2 2 3" xfId="17913"/>
    <cellStyle name="Normal 2 3 7 2 2 3 2" xfId="17914"/>
    <cellStyle name="Normal 2 3 7 2 2 3 2 2" xfId="35339"/>
    <cellStyle name="Normal 2 3 7 2 2 3 3" xfId="35340"/>
    <cellStyle name="Normal 2 3 7 2 2 4" xfId="17915"/>
    <cellStyle name="Normal 2 3 7 2 2 4 2" xfId="17916"/>
    <cellStyle name="Normal 2 3 7 2 2 4 2 2" xfId="35341"/>
    <cellStyle name="Normal 2 3 7 2 2 4 3" xfId="35342"/>
    <cellStyle name="Normal 2 3 7 2 2 5" xfId="17917"/>
    <cellStyle name="Normal 2 3 7 2 2 5 2" xfId="35343"/>
    <cellStyle name="Normal 2 3 7 2 2 6" xfId="17918"/>
    <cellStyle name="Normal 2 3 7 2 3" xfId="17919"/>
    <cellStyle name="Normal 2 3 7 2 3 2" xfId="17920"/>
    <cellStyle name="Normal 2 3 7 2 3 2 2" xfId="35344"/>
    <cellStyle name="Normal 2 3 7 2 3 3" xfId="35345"/>
    <cellStyle name="Normal 2 3 7 2 4" xfId="17921"/>
    <cellStyle name="Normal 2 3 7 2 4 2" xfId="17922"/>
    <cellStyle name="Normal 2 3 7 2 4 2 2" xfId="35346"/>
    <cellStyle name="Normal 2 3 7 2 4 3" xfId="35347"/>
    <cellStyle name="Normal 2 3 7 2 5" xfId="17923"/>
    <cellStyle name="Normal 2 3 7 2 5 2" xfId="17924"/>
    <cellStyle name="Normal 2 3 7 2 5 2 2" xfId="35348"/>
    <cellStyle name="Normal 2 3 7 2 5 3" xfId="35349"/>
    <cellStyle name="Normal 2 3 7 2 6" xfId="17925"/>
    <cellStyle name="Normal 2 3 7 2 6 2" xfId="35350"/>
    <cellStyle name="Normal 2 3 7 2 7" xfId="17926"/>
    <cellStyle name="Normal 2 3 7 3" xfId="560"/>
    <cellStyle name="Normal 2 3 7 3 2" xfId="2206"/>
    <cellStyle name="Normal 2 3 7 3 2 2" xfId="17927"/>
    <cellStyle name="Normal 2 3 7 3 2 2 2" xfId="17928"/>
    <cellStyle name="Normal 2 3 7 3 2 2 2 2" xfId="35351"/>
    <cellStyle name="Normal 2 3 7 3 2 2 3" xfId="35352"/>
    <cellStyle name="Normal 2 3 7 3 2 3" xfId="17929"/>
    <cellStyle name="Normal 2 3 7 3 2 3 2" xfId="17930"/>
    <cellStyle name="Normal 2 3 7 3 2 3 2 2" xfId="35353"/>
    <cellStyle name="Normal 2 3 7 3 2 3 3" xfId="35354"/>
    <cellStyle name="Normal 2 3 7 3 2 4" xfId="17931"/>
    <cellStyle name="Normal 2 3 7 3 2 4 2" xfId="17932"/>
    <cellStyle name="Normal 2 3 7 3 2 4 2 2" xfId="35355"/>
    <cellStyle name="Normal 2 3 7 3 2 4 3" xfId="35356"/>
    <cellStyle name="Normal 2 3 7 3 2 5" xfId="17933"/>
    <cellStyle name="Normal 2 3 7 3 2 5 2" xfId="35357"/>
    <cellStyle name="Normal 2 3 7 3 2 6" xfId="17934"/>
    <cellStyle name="Normal 2 3 7 3 3" xfId="17935"/>
    <cellStyle name="Normal 2 3 7 3 3 2" xfId="17936"/>
    <cellStyle name="Normal 2 3 7 3 3 2 2" xfId="35358"/>
    <cellStyle name="Normal 2 3 7 3 3 3" xfId="35359"/>
    <cellStyle name="Normal 2 3 7 3 4" xfId="17937"/>
    <cellStyle name="Normal 2 3 7 3 4 2" xfId="17938"/>
    <cellStyle name="Normal 2 3 7 3 4 2 2" xfId="35360"/>
    <cellStyle name="Normal 2 3 7 3 4 3" xfId="35361"/>
    <cellStyle name="Normal 2 3 7 3 5" xfId="17939"/>
    <cellStyle name="Normal 2 3 7 3 5 2" xfId="17940"/>
    <cellStyle name="Normal 2 3 7 3 5 2 2" xfId="35362"/>
    <cellStyle name="Normal 2 3 7 3 5 3" xfId="35363"/>
    <cellStyle name="Normal 2 3 7 3 6" xfId="17941"/>
    <cellStyle name="Normal 2 3 7 3 6 2" xfId="35364"/>
    <cellStyle name="Normal 2 3 7 3 7" xfId="17942"/>
    <cellStyle name="Normal 2 3 7 4" xfId="2207"/>
    <cellStyle name="Normal 2 3 7 4 2" xfId="17943"/>
    <cellStyle name="Normal 2 3 7 4 2 2" xfId="17944"/>
    <cellStyle name="Normal 2 3 7 4 2 2 2" xfId="35365"/>
    <cellStyle name="Normal 2 3 7 4 2 3" xfId="35366"/>
    <cellStyle name="Normal 2 3 7 4 3" xfId="17945"/>
    <cellStyle name="Normal 2 3 7 4 3 2" xfId="17946"/>
    <cellStyle name="Normal 2 3 7 4 3 2 2" xfId="35367"/>
    <cellStyle name="Normal 2 3 7 4 3 3" xfId="35368"/>
    <cellStyle name="Normal 2 3 7 4 4" xfId="17947"/>
    <cellStyle name="Normal 2 3 7 4 4 2" xfId="17948"/>
    <cellStyle name="Normal 2 3 7 4 4 2 2" xfId="35369"/>
    <cellStyle name="Normal 2 3 7 4 4 3" xfId="35370"/>
    <cellStyle name="Normal 2 3 7 4 5" xfId="17949"/>
    <cellStyle name="Normal 2 3 7 4 5 2" xfId="35371"/>
    <cellStyle name="Normal 2 3 7 4 6" xfId="17950"/>
    <cellStyle name="Normal 2 3 7 5" xfId="17951"/>
    <cellStyle name="Normal 2 3 7 5 2" xfId="17952"/>
    <cellStyle name="Normal 2 3 7 5 2 2" xfId="35372"/>
    <cellStyle name="Normal 2 3 7 5 3" xfId="35373"/>
    <cellStyle name="Normal 2 3 7 6" xfId="17953"/>
    <cellStyle name="Normal 2 3 7 6 2" xfId="17954"/>
    <cellStyle name="Normal 2 3 7 6 2 2" xfId="35374"/>
    <cellStyle name="Normal 2 3 7 6 3" xfId="35375"/>
    <cellStyle name="Normal 2 3 7 7" xfId="17955"/>
    <cellStyle name="Normal 2 3 7 7 2" xfId="17956"/>
    <cellStyle name="Normal 2 3 7 7 2 2" xfId="35376"/>
    <cellStyle name="Normal 2 3 7 7 3" xfId="35377"/>
    <cellStyle name="Normal 2 3 7 8" xfId="17957"/>
    <cellStyle name="Normal 2 3 7 8 2" xfId="35378"/>
    <cellStyle name="Normal 2 3 7 9" xfId="17958"/>
    <cellStyle name="Normal 2 3 8" xfId="298"/>
    <cellStyle name="Normal 2 3 8 2" xfId="1086"/>
    <cellStyle name="Normal 2 3 8 2 2" xfId="2208"/>
    <cellStyle name="Normal 2 3 8 2 2 2" xfId="17959"/>
    <cellStyle name="Normal 2 3 8 2 2 2 2" xfId="17960"/>
    <cellStyle name="Normal 2 3 8 2 2 2 2 2" xfId="35379"/>
    <cellStyle name="Normal 2 3 8 2 2 2 3" xfId="35380"/>
    <cellStyle name="Normal 2 3 8 2 2 3" xfId="17961"/>
    <cellStyle name="Normal 2 3 8 2 2 3 2" xfId="17962"/>
    <cellStyle name="Normal 2 3 8 2 2 3 2 2" xfId="35381"/>
    <cellStyle name="Normal 2 3 8 2 2 3 3" xfId="35382"/>
    <cellStyle name="Normal 2 3 8 2 2 4" xfId="17963"/>
    <cellStyle name="Normal 2 3 8 2 2 4 2" xfId="17964"/>
    <cellStyle name="Normal 2 3 8 2 2 4 2 2" xfId="35383"/>
    <cellStyle name="Normal 2 3 8 2 2 4 3" xfId="35384"/>
    <cellStyle name="Normal 2 3 8 2 2 5" xfId="17965"/>
    <cellStyle name="Normal 2 3 8 2 2 5 2" xfId="35385"/>
    <cellStyle name="Normal 2 3 8 2 2 6" xfId="17966"/>
    <cellStyle name="Normal 2 3 8 2 3" xfId="17967"/>
    <cellStyle name="Normal 2 3 8 2 3 2" xfId="17968"/>
    <cellStyle name="Normal 2 3 8 2 3 2 2" xfId="35386"/>
    <cellStyle name="Normal 2 3 8 2 3 3" xfId="35387"/>
    <cellStyle name="Normal 2 3 8 2 4" xfId="17969"/>
    <cellStyle name="Normal 2 3 8 2 4 2" xfId="17970"/>
    <cellStyle name="Normal 2 3 8 2 4 2 2" xfId="35388"/>
    <cellStyle name="Normal 2 3 8 2 4 3" xfId="35389"/>
    <cellStyle name="Normal 2 3 8 2 5" xfId="17971"/>
    <cellStyle name="Normal 2 3 8 2 5 2" xfId="17972"/>
    <cellStyle name="Normal 2 3 8 2 5 2 2" xfId="35390"/>
    <cellStyle name="Normal 2 3 8 2 5 3" xfId="35391"/>
    <cellStyle name="Normal 2 3 8 2 6" xfId="17973"/>
    <cellStyle name="Normal 2 3 8 2 6 2" xfId="35392"/>
    <cellStyle name="Normal 2 3 8 2 7" xfId="17974"/>
    <cellStyle name="Normal 2 3 8 3" xfId="718"/>
    <cellStyle name="Normal 2 3 8 3 2" xfId="2209"/>
    <cellStyle name="Normal 2 3 8 3 2 2" xfId="17975"/>
    <cellStyle name="Normal 2 3 8 3 2 2 2" xfId="17976"/>
    <cellStyle name="Normal 2 3 8 3 2 2 2 2" xfId="35393"/>
    <cellStyle name="Normal 2 3 8 3 2 2 3" xfId="35394"/>
    <cellStyle name="Normal 2 3 8 3 2 3" xfId="17977"/>
    <cellStyle name="Normal 2 3 8 3 2 3 2" xfId="17978"/>
    <cellStyle name="Normal 2 3 8 3 2 3 2 2" xfId="35395"/>
    <cellStyle name="Normal 2 3 8 3 2 3 3" xfId="35396"/>
    <cellStyle name="Normal 2 3 8 3 2 4" xfId="17979"/>
    <cellStyle name="Normal 2 3 8 3 2 4 2" xfId="17980"/>
    <cellStyle name="Normal 2 3 8 3 2 4 2 2" xfId="35397"/>
    <cellStyle name="Normal 2 3 8 3 2 4 3" xfId="35398"/>
    <cellStyle name="Normal 2 3 8 3 2 5" xfId="17981"/>
    <cellStyle name="Normal 2 3 8 3 2 5 2" xfId="35399"/>
    <cellStyle name="Normal 2 3 8 3 2 6" xfId="17982"/>
    <cellStyle name="Normal 2 3 8 3 3" xfId="17983"/>
    <cellStyle name="Normal 2 3 8 3 3 2" xfId="17984"/>
    <cellStyle name="Normal 2 3 8 3 3 2 2" xfId="35400"/>
    <cellStyle name="Normal 2 3 8 3 3 3" xfId="35401"/>
    <cellStyle name="Normal 2 3 8 3 4" xfId="17985"/>
    <cellStyle name="Normal 2 3 8 3 4 2" xfId="17986"/>
    <cellStyle name="Normal 2 3 8 3 4 2 2" xfId="35402"/>
    <cellStyle name="Normal 2 3 8 3 4 3" xfId="35403"/>
    <cellStyle name="Normal 2 3 8 3 5" xfId="17987"/>
    <cellStyle name="Normal 2 3 8 3 5 2" xfId="17988"/>
    <cellStyle name="Normal 2 3 8 3 5 2 2" xfId="35404"/>
    <cellStyle name="Normal 2 3 8 3 5 3" xfId="35405"/>
    <cellStyle name="Normal 2 3 8 3 6" xfId="17989"/>
    <cellStyle name="Normal 2 3 8 3 6 2" xfId="35406"/>
    <cellStyle name="Normal 2 3 8 3 7" xfId="17990"/>
    <cellStyle name="Normal 2 3 8 4" xfId="2210"/>
    <cellStyle name="Normal 2 3 8 4 2" xfId="17991"/>
    <cellStyle name="Normal 2 3 8 4 2 2" xfId="17992"/>
    <cellStyle name="Normal 2 3 8 4 2 2 2" xfId="35407"/>
    <cellStyle name="Normal 2 3 8 4 2 3" xfId="35408"/>
    <cellStyle name="Normal 2 3 8 4 3" xfId="17993"/>
    <cellStyle name="Normal 2 3 8 4 3 2" xfId="17994"/>
    <cellStyle name="Normal 2 3 8 4 3 2 2" xfId="35409"/>
    <cellStyle name="Normal 2 3 8 4 3 3" xfId="35410"/>
    <cellStyle name="Normal 2 3 8 4 4" xfId="17995"/>
    <cellStyle name="Normal 2 3 8 4 4 2" xfId="17996"/>
    <cellStyle name="Normal 2 3 8 4 4 2 2" xfId="35411"/>
    <cellStyle name="Normal 2 3 8 4 4 3" xfId="35412"/>
    <cellStyle name="Normal 2 3 8 4 5" xfId="17997"/>
    <cellStyle name="Normal 2 3 8 4 5 2" xfId="35413"/>
    <cellStyle name="Normal 2 3 8 4 6" xfId="17998"/>
    <cellStyle name="Normal 2 3 8 5" xfId="17999"/>
    <cellStyle name="Normal 2 3 8 5 2" xfId="18000"/>
    <cellStyle name="Normal 2 3 8 5 2 2" xfId="35414"/>
    <cellStyle name="Normal 2 3 8 5 3" xfId="35415"/>
    <cellStyle name="Normal 2 3 8 6" xfId="18001"/>
    <cellStyle name="Normal 2 3 8 6 2" xfId="18002"/>
    <cellStyle name="Normal 2 3 8 6 2 2" xfId="35416"/>
    <cellStyle name="Normal 2 3 8 6 3" xfId="35417"/>
    <cellStyle name="Normal 2 3 8 7" xfId="18003"/>
    <cellStyle name="Normal 2 3 8 7 2" xfId="18004"/>
    <cellStyle name="Normal 2 3 8 7 2 2" xfId="35418"/>
    <cellStyle name="Normal 2 3 8 7 3" xfId="35419"/>
    <cellStyle name="Normal 2 3 8 8" xfId="18005"/>
    <cellStyle name="Normal 2 3 8 8 2" xfId="35420"/>
    <cellStyle name="Normal 2 3 8 9" xfId="18006"/>
    <cellStyle name="Normal 2 3 9" xfId="83"/>
    <cellStyle name="Normal 2 3 9 2" xfId="508"/>
    <cellStyle name="Normal 2 3 9 2 2" xfId="2211"/>
    <cellStyle name="Normal 2 3 9 2 2 2" xfId="18007"/>
    <cellStyle name="Normal 2 3 9 2 2 2 2" xfId="18008"/>
    <cellStyle name="Normal 2 3 9 2 2 2 2 2" xfId="35421"/>
    <cellStyle name="Normal 2 3 9 2 2 2 3" xfId="35422"/>
    <cellStyle name="Normal 2 3 9 2 2 3" xfId="18009"/>
    <cellStyle name="Normal 2 3 9 2 2 3 2" xfId="18010"/>
    <cellStyle name="Normal 2 3 9 2 2 3 2 2" xfId="35423"/>
    <cellStyle name="Normal 2 3 9 2 2 3 3" xfId="35424"/>
    <cellStyle name="Normal 2 3 9 2 2 4" xfId="18011"/>
    <cellStyle name="Normal 2 3 9 2 2 4 2" xfId="18012"/>
    <cellStyle name="Normal 2 3 9 2 2 4 2 2" xfId="35425"/>
    <cellStyle name="Normal 2 3 9 2 2 4 3" xfId="35426"/>
    <cellStyle name="Normal 2 3 9 2 2 5" xfId="18013"/>
    <cellStyle name="Normal 2 3 9 2 2 5 2" xfId="35427"/>
    <cellStyle name="Normal 2 3 9 2 2 6" xfId="18014"/>
    <cellStyle name="Normal 2 3 9 2 3" xfId="18015"/>
    <cellStyle name="Normal 2 3 9 2 3 2" xfId="18016"/>
    <cellStyle name="Normal 2 3 9 2 3 2 2" xfId="35428"/>
    <cellStyle name="Normal 2 3 9 2 3 3" xfId="35429"/>
    <cellStyle name="Normal 2 3 9 2 4" xfId="18017"/>
    <cellStyle name="Normal 2 3 9 2 4 2" xfId="18018"/>
    <cellStyle name="Normal 2 3 9 2 4 2 2" xfId="35430"/>
    <cellStyle name="Normal 2 3 9 2 4 3" xfId="35431"/>
    <cellStyle name="Normal 2 3 9 2 5" xfId="18019"/>
    <cellStyle name="Normal 2 3 9 2 5 2" xfId="18020"/>
    <cellStyle name="Normal 2 3 9 2 5 2 2" xfId="35432"/>
    <cellStyle name="Normal 2 3 9 2 5 3" xfId="35433"/>
    <cellStyle name="Normal 2 3 9 2 6" xfId="18021"/>
    <cellStyle name="Normal 2 3 9 2 6 2" xfId="35434"/>
    <cellStyle name="Normal 2 3 9 2 7" xfId="18022"/>
    <cellStyle name="Normal 2 3 9 3" xfId="2212"/>
    <cellStyle name="Normal 2 3 9 3 2" xfId="18023"/>
    <cellStyle name="Normal 2 3 9 3 2 2" xfId="18024"/>
    <cellStyle name="Normal 2 3 9 3 2 2 2" xfId="35435"/>
    <cellStyle name="Normal 2 3 9 3 2 3" xfId="35436"/>
    <cellStyle name="Normal 2 3 9 3 3" xfId="18025"/>
    <cellStyle name="Normal 2 3 9 3 3 2" xfId="18026"/>
    <cellStyle name="Normal 2 3 9 3 3 2 2" xfId="35437"/>
    <cellStyle name="Normal 2 3 9 3 3 3" xfId="35438"/>
    <cellStyle name="Normal 2 3 9 3 4" xfId="18027"/>
    <cellStyle name="Normal 2 3 9 3 4 2" xfId="18028"/>
    <cellStyle name="Normal 2 3 9 3 4 2 2" xfId="35439"/>
    <cellStyle name="Normal 2 3 9 3 4 3" xfId="35440"/>
    <cellStyle name="Normal 2 3 9 3 5" xfId="18029"/>
    <cellStyle name="Normal 2 3 9 3 5 2" xfId="35441"/>
    <cellStyle name="Normal 2 3 9 3 6" xfId="18030"/>
    <cellStyle name="Normal 2 3 9 4" xfId="18031"/>
    <cellStyle name="Normal 2 3 9 4 2" xfId="18032"/>
    <cellStyle name="Normal 2 3 9 4 2 2" xfId="35442"/>
    <cellStyle name="Normal 2 3 9 4 3" xfId="35443"/>
    <cellStyle name="Normal 2 3 9 5" xfId="18033"/>
    <cellStyle name="Normal 2 3 9 5 2" xfId="18034"/>
    <cellStyle name="Normal 2 3 9 5 2 2" xfId="35444"/>
    <cellStyle name="Normal 2 3 9 5 3" xfId="35445"/>
    <cellStyle name="Normal 2 3 9 6" xfId="18035"/>
    <cellStyle name="Normal 2 3 9 6 2" xfId="18036"/>
    <cellStyle name="Normal 2 3 9 6 2 2" xfId="35446"/>
    <cellStyle name="Normal 2 3 9 6 3" xfId="35447"/>
    <cellStyle name="Normal 2 3 9 7" xfId="18037"/>
    <cellStyle name="Normal 2 3 9 7 2" xfId="35448"/>
    <cellStyle name="Normal 2 3 9 8" xfId="18038"/>
    <cellStyle name="Normal 2 4" xfId="62"/>
    <cellStyle name="Normal 2 4 10" xfId="496"/>
    <cellStyle name="Normal 2 4 10 2" xfId="2213"/>
    <cellStyle name="Normal 2 4 10 2 2" xfId="18039"/>
    <cellStyle name="Normal 2 4 10 2 2 2" xfId="18040"/>
    <cellStyle name="Normal 2 4 10 2 2 2 2" xfId="35449"/>
    <cellStyle name="Normal 2 4 10 2 2 3" xfId="35450"/>
    <cellStyle name="Normal 2 4 10 2 3" xfId="18041"/>
    <cellStyle name="Normal 2 4 10 2 3 2" xfId="18042"/>
    <cellStyle name="Normal 2 4 10 2 3 2 2" xfId="35451"/>
    <cellStyle name="Normal 2 4 10 2 3 3" xfId="35452"/>
    <cellStyle name="Normal 2 4 10 2 4" xfId="18043"/>
    <cellStyle name="Normal 2 4 10 2 4 2" xfId="18044"/>
    <cellStyle name="Normal 2 4 10 2 4 2 2" xfId="35453"/>
    <cellStyle name="Normal 2 4 10 2 4 3" xfId="35454"/>
    <cellStyle name="Normal 2 4 10 2 5" xfId="18045"/>
    <cellStyle name="Normal 2 4 10 2 5 2" xfId="35455"/>
    <cellStyle name="Normal 2 4 10 2 6" xfId="18046"/>
    <cellStyle name="Normal 2 4 10 3" xfId="18047"/>
    <cellStyle name="Normal 2 4 10 3 2" xfId="18048"/>
    <cellStyle name="Normal 2 4 10 3 2 2" xfId="35456"/>
    <cellStyle name="Normal 2 4 10 3 3" xfId="35457"/>
    <cellStyle name="Normal 2 4 10 4" xfId="18049"/>
    <cellStyle name="Normal 2 4 10 4 2" xfId="18050"/>
    <cellStyle name="Normal 2 4 10 4 2 2" xfId="35458"/>
    <cellStyle name="Normal 2 4 10 4 3" xfId="35459"/>
    <cellStyle name="Normal 2 4 10 5" xfId="18051"/>
    <cellStyle name="Normal 2 4 10 5 2" xfId="18052"/>
    <cellStyle name="Normal 2 4 10 5 2 2" xfId="35460"/>
    <cellStyle name="Normal 2 4 10 5 3" xfId="35461"/>
    <cellStyle name="Normal 2 4 10 6" xfId="18053"/>
    <cellStyle name="Normal 2 4 10 6 2" xfId="35462"/>
    <cellStyle name="Normal 2 4 10 7" xfId="18054"/>
    <cellStyle name="Normal 2 4 11" xfId="2214"/>
    <cellStyle name="Normal 2 4 11 2" xfId="18055"/>
    <cellStyle name="Normal 2 4 11 2 2" xfId="18056"/>
    <cellStyle name="Normal 2 4 11 2 2 2" xfId="35463"/>
    <cellStyle name="Normal 2 4 11 2 3" xfId="35464"/>
    <cellStyle name="Normal 2 4 11 3" xfId="18057"/>
    <cellStyle name="Normal 2 4 11 3 2" xfId="18058"/>
    <cellStyle name="Normal 2 4 11 3 2 2" xfId="35465"/>
    <cellStyle name="Normal 2 4 11 3 3" xfId="35466"/>
    <cellStyle name="Normal 2 4 11 4" xfId="18059"/>
    <cellStyle name="Normal 2 4 11 4 2" xfId="18060"/>
    <cellStyle name="Normal 2 4 11 4 2 2" xfId="35467"/>
    <cellStyle name="Normal 2 4 11 4 3" xfId="35468"/>
    <cellStyle name="Normal 2 4 11 5" xfId="18061"/>
    <cellStyle name="Normal 2 4 11 5 2" xfId="35469"/>
    <cellStyle name="Normal 2 4 11 6" xfId="18062"/>
    <cellStyle name="Normal 2 4 12" xfId="18063"/>
    <cellStyle name="Normal 2 4 12 2" xfId="18064"/>
    <cellStyle name="Normal 2 4 12 2 2" xfId="35470"/>
    <cellStyle name="Normal 2 4 12 3" xfId="35471"/>
    <cellStyle name="Normal 2 4 13" xfId="18065"/>
    <cellStyle name="Normal 2 4 13 2" xfId="18066"/>
    <cellStyle name="Normal 2 4 13 2 2" xfId="35472"/>
    <cellStyle name="Normal 2 4 13 3" xfId="35473"/>
    <cellStyle name="Normal 2 4 14" xfId="18067"/>
    <cellStyle name="Normal 2 4 14 2" xfId="18068"/>
    <cellStyle name="Normal 2 4 14 2 2" xfId="35474"/>
    <cellStyle name="Normal 2 4 14 3" xfId="35475"/>
    <cellStyle name="Normal 2 4 15" xfId="18069"/>
    <cellStyle name="Normal 2 4 15 2" xfId="35476"/>
    <cellStyle name="Normal 2 4 16" xfId="18070"/>
    <cellStyle name="Normal 2 4 2" xfId="63"/>
    <cellStyle name="Normal 2 4 2 10" xfId="18071"/>
    <cellStyle name="Normal 2 4 2 10 2" xfId="18072"/>
    <cellStyle name="Normal 2 4 2 10 2 2" xfId="35477"/>
    <cellStyle name="Normal 2 4 2 10 3" xfId="35478"/>
    <cellStyle name="Normal 2 4 2 11" xfId="18073"/>
    <cellStyle name="Normal 2 4 2 11 2" xfId="18074"/>
    <cellStyle name="Normal 2 4 2 11 2 2" xfId="35479"/>
    <cellStyle name="Normal 2 4 2 11 3" xfId="35480"/>
    <cellStyle name="Normal 2 4 2 12" xfId="18075"/>
    <cellStyle name="Normal 2 4 2 12 2" xfId="18076"/>
    <cellStyle name="Normal 2 4 2 12 2 2" xfId="35481"/>
    <cellStyle name="Normal 2 4 2 12 3" xfId="35482"/>
    <cellStyle name="Normal 2 4 2 13" xfId="18077"/>
    <cellStyle name="Normal 2 4 2 13 2" xfId="35483"/>
    <cellStyle name="Normal 2 4 2 14" xfId="18078"/>
    <cellStyle name="Normal 2 4 2 2" xfId="234"/>
    <cellStyle name="Normal 2 4 2 2 10" xfId="18079"/>
    <cellStyle name="Normal 2 4 2 2 2" xfId="392"/>
    <cellStyle name="Normal 2 4 2 2 2 2" xfId="1180"/>
    <cellStyle name="Normal 2 4 2 2 2 2 2" xfId="2215"/>
    <cellStyle name="Normal 2 4 2 2 2 2 2 2" xfId="18080"/>
    <cellStyle name="Normal 2 4 2 2 2 2 2 2 2" xfId="18081"/>
    <cellStyle name="Normal 2 4 2 2 2 2 2 2 2 2" xfId="35484"/>
    <cellStyle name="Normal 2 4 2 2 2 2 2 2 3" xfId="35485"/>
    <cellStyle name="Normal 2 4 2 2 2 2 2 3" xfId="18082"/>
    <cellStyle name="Normal 2 4 2 2 2 2 2 3 2" xfId="18083"/>
    <cellStyle name="Normal 2 4 2 2 2 2 2 3 2 2" xfId="35486"/>
    <cellStyle name="Normal 2 4 2 2 2 2 2 3 3" xfId="35487"/>
    <cellStyle name="Normal 2 4 2 2 2 2 2 4" xfId="18084"/>
    <cellStyle name="Normal 2 4 2 2 2 2 2 4 2" xfId="18085"/>
    <cellStyle name="Normal 2 4 2 2 2 2 2 4 2 2" xfId="35488"/>
    <cellStyle name="Normal 2 4 2 2 2 2 2 4 3" xfId="35489"/>
    <cellStyle name="Normal 2 4 2 2 2 2 2 5" xfId="18086"/>
    <cellStyle name="Normal 2 4 2 2 2 2 2 5 2" xfId="35490"/>
    <cellStyle name="Normal 2 4 2 2 2 2 2 6" xfId="18087"/>
    <cellStyle name="Normal 2 4 2 2 2 2 3" xfId="18088"/>
    <cellStyle name="Normal 2 4 2 2 2 2 3 2" xfId="18089"/>
    <cellStyle name="Normal 2 4 2 2 2 2 3 2 2" xfId="35491"/>
    <cellStyle name="Normal 2 4 2 2 2 2 3 3" xfId="35492"/>
    <cellStyle name="Normal 2 4 2 2 2 2 4" xfId="18090"/>
    <cellStyle name="Normal 2 4 2 2 2 2 4 2" xfId="18091"/>
    <cellStyle name="Normal 2 4 2 2 2 2 4 2 2" xfId="35493"/>
    <cellStyle name="Normal 2 4 2 2 2 2 4 3" xfId="35494"/>
    <cellStyle name="Normal 2 4 2 2 2 2 5" xfId="18092"/>
    <cellStyle name="Normal 2 4 2 2 2 2 5 2" xfId="18093"/>
    <cellStyle name="Normal 2 4 2 2 2 2 5 2 2" xfId="35495"/>
    <cellStyle name="Normal 2 4 2 2 2 2 5 3" xfId="35496"/>
    <cellStyle name="Normal 2 4 2 2 2 2 6" xfId="18094"/>
    <cellStyle name="Normal 2 4 2 2 2 2 6 2" xfId="35497"/>
    <cellStyle name="Normal 2 4 2 2 2 2 7" xfId="18095"/>
    <cellStyle name="Normal 2 4 2 2 2 3" xfId="812"/>
    <cellStyle name="Normal 2 4 2 2 2 3 2" xfId="2216"/>
    <cellStyle name="Normal 2 4 2 2 2 3 2 2" xfId="18096"/>
    <cellStyle name="Normal 2 4 2 2 2 3 2 2 2" xfId="18097"/>
    <cellStyle name="Normal 2 4 2 2 2 3 2 2 2 2" xfId="35498"/>
    <cellStyle name="Normal 2 4 2 2 2 3 2 2 3" xfId="35499"/>
    <cellStyle name="Normal 2 4 2 2 2 3 2 3" xfId="18098"/>
    <cellStyle name="Normal 2 4 2 2 2 3 2 3 2" xfId="18099"/>
    <cellStyle name="Normal 2 4 2 2 2 3 2 3 2 2" xfId="35500"/>
    <cellStyle name="Normal 2 4 2 2 2 3 2 3 3" xfId="35501"/>
    <cellStyle name="Normal 2 4 2 2 2 3 2 4" xfId="18100"/>
    <cellStyle name="Normal 2 4 2 2 2 3 2 4 2" xfId="18101"/>
    <cellStyle name="Normal 2 4 2 2 2 3 2 4 2 2" xfId="35502"/>
    <cellStyle name="Normal 2 4 2 2 2 3 2 4 3" xfId="35503"/>
    <cellStyle name="Normal 2 4 2 2 2 3 2 5" xfId="18102"/>
    <cellStyle name="Normal 2 4 2 2 2 3 2 5 2" xfId="35504"/>
    <cellStyle name="Normal 2 4 2 2 2 3 2 6" xfId="18103"/>
    <cellStyle name="Normal 2 4 2 2 2 3 3" xfId="18104"/>
    <cellStyle name="Normal 2 4 2 2 2 3 3 2" xfId="18105"/>
    <cellStyle name="Normal 2 4 2 2 2 3 3 2 2" xfId="35505"/>
    <cellStyle name="Normal 2 4 2 2 2 3 3 3" xfId="35506"/>
    <cellStyle name="Normal 2 4 2 2 2 3 4" xfId="18106"/>
    <cellStyle name="Normal 2 4 2 2 2 3 4 2" xfId="18107"/>
    <cellStyle name="Normal 2 4 2 2 2 3 4 2 2" xfId="35507"/>
    <cellStyle name="Normal 2 4 2 2 2 3 4 3" xfId="35508"/>
    <cellStyle name="Normal 2 4 2 2 2 3 5" xfId="18108"/>
    <cellStyle name="Normal 2 4 2 2 2 3 5 2" xfId="18109"/>
    <cellStyle name="Normal 2 4 2 2 2 3 5 2 2" xfId="35509"/>
    <cellStyle name="Normal 2 4 2 2 2 3 5 3" xfId="35510"/>
    <cellStyle name="Normal 2 4 2 2 2 3 6" xfId="18110"/>
    <cellStyle name="Normal 2 4 2 2 2 3 6 2" xfId="35511"/>
    <cellStyle name="Normal 2 4 2 2 2 3 7" xfId="18111"/>
    <cellStyle name="Normal 2 4 2 2 2 4" xfId="2217"/>
    <cellStyle name="Normal 2 4 2 2 2 4 2" xfId="18112"/>
    <cellStyle name="Normal 2 4 2 2 2 4 2 2" xfId="18113"/>
    <cellStyle name="Normal 2 4 2 2 2 4 2 2 2" xfId="35512"/>
    <cellStyle name="Normal 2 4 2 2 2 4 2 3" xfId="35513"/>
    <cellStyle name="Normal 2 4 2 2 2 4 3" xfId="18114"/>
    <cellStyle name="Normal 2 4 2 2 2 4 3 2" xfId="18115"/>
    <cellStyle name="Normal 2 4 2 2 2 4 3 2 2" xfId="35514"/>
    <cellStyle name="Normal 2 4 2 2 2 4 3 3" xfId="35515"/>
    <cellStyle name="Normal 2 4 2 2 2 4 4" xfId="18116"/>
    <cellStyle name="Normal 2 4 2 2 2 4 4 2" xfId="18117"/>
    <cellStyle name="Normal 2 4 2 2 2 4 4 2 2" xfId="35516"/>
    <cellStyle name="Normal 2 4 2 2 2 4 4 3" xfId="35517"/>
    <cellStyle name="Normal 2 4 2 2 2 4 5" xfId="18118"/>
    <cellStyle name="Normal 2 4 2 2 2 4 5 2" xfId="35518"/>
    <cellStyle name="Normal 2 4 2 2 2 4 6" xfId="18119"/>
    <cellStyle name="Normal 2 4 2 2 2 5" xfId="18120"/>
    <cellStyle name="Normal 2 4 2 2 2 5 2" xfId="18121"/>
    <cellStyle name="Normal 2 4 2 2 2 5 2 2" xfId="35519"/>
    <cellStyle name="Normal 2 4 2 2 2 5 3" xfId="35520"/>
    <cellStyle name="Normal 2 4 2 2 2 6" xfId="18122"/>
    <cellStyle name="Normal 2 4 2 2 2 6 2" xfId="18123"/>
    <cellStyle name="Normal 2 4 2 2 2 6 2 2" xfId="35521"/>
    <cellStyle name="Normal 2 4 2 2 2 6 3" xfId="35522"/>
    <cellStyle name="Normal 2 4 2 2 2 7" xfId="18124"/>
    <cellStyle name="Normal 2 4 2 2 2 7 2" xfId="18125"/>
    <cellStyle name="Normal 2 4 2 2 2 7 2 2" xfId="35523"/>
    <cellStyle name="Normal 2 4 2 2 2 7 3" xfId="35524"/>
    <cellStyle name="Normal 2 4 2 2 2 8" xfId="18126"/>
    <cellStyle name="Normal 2 4 2 2 2 8 2" xfId="35525"/>
    <cellStyle name="Normal 2 4 2 2 2 9" xfId="18127"/>
    <cellStyle name="Normal 2 4 2 2 3" xfId="1022"/>
    <cellStyle name="Normal 2 4 2 2 3 2" xfId="2218"/>
    <cellStyle name="Normal 2 4 2 2 3 2 2" xfId="18128"/>
    <cellStyle name="Normal 2 4 2 2 3 2 2 2" xfId="18129"/>
    <cellStyle name="Normal 2 4 2 2 3 2 2 2 2" xfId="35526"/>
    <cellStyle name="Normal 2 4 2 2 3 2 2 3" xfId="35527"/>
    <cellStyle name="Normal 2 4 2 2 3 2 3" xfId="18130"/>
    <cellStyle name="Normal 2 4 2 2 3 2 3 2" xfId="18131"/>
    <cellStyle name="Normal 2 4 2 2 3 2 3 2 2" xfId="35528"/>
    <cellStyle name="Normal 2 4 2 2 3 2 3 3" xfId="35529"/>
    <cellStyle name="Normal 2 4 2 2 3 2 4" xfId="18132"/>
    <cellStyle name="Normal 2 4 2 2 3 2 4 2" xfId="18133"/>
    <cellStyle name="Normal 2 4 2 2 3 2 4 2 2" xfId="35530"/>
    <cellStyle name="Normal 2 4 2 2 3 2 4 3" xfId="35531"/>
    <cellStyle name="Normal 2 4 2 2 3 2 5" xfId="18134"/>
    <cellStyle name="Normal 2 4 2 2 3 2 5 2" xfId="35532"/>
    <cellStyle name="Normal 2 4 2 2 3 2 6" xfId="18135"/>
    <cellStyle name="Normal 2 4 2 2 3 3" xfId="18136"/>
    <cellStyle name="Normal 2 4 2 2 3 3 2" xfId="18137"/>
    <cellStyle name="Normal 2 4 2 2 3 3 2 2" xfId="35533"/>
    <cellStyle name="Normal 2 4 2 2 3 3 3" xfId="35534"/>
    <cellStyle name="Normal 2 4 2 2 3 4" xfId="18138"/>
    <cellStyle name="Normal 2 4 2 2 3 4 2" xfId="18139"/>
    <cellStyle name="Normal 2 4 2 2 3 4 2 2" xfId="35535"/>
    <cellStyle name="Normal 2 4 2 2 3 4 3" xfId="35536"/>
    <cellStyle name="Normal 2 4 2 2 3 5" xfId="18140"/>
    <cellStyle name="Normal 2 4 2 2 3 5 2" xfId="18141"/>
    <cellStyle name="Normal 2 4 2 2 3 5 2 2" xfId="35537"/>
    <cellStyle name="Normal 2 4 2 2 3 5 3" xfId="35538"/>
    <cellStyle name="Normal 2 4 2 2 3 6" xfId="18142"/>
    <cellStyle name="Normal 2 4 2 2 3 6 2" xfId="35539"/>
    <cellStyle name="Normal 2 4 2 2 3 7" xfId="18143"/>
    <cellStyle name="Normal 2 4 2 2 4" xfId="654"/>
    <cellStyle name="Normal 2 4 2 2 4 2" xfId="2219"/>
    <cellStyle name="Normal 2 4 2 2 4 2 2" xfId="18144"/>
    <cellStyle name="Normal 2 4 2 2 4 2 2 2" xfId="18145"/>
    <cellStyle name="Normal 2 4 2 2 4 2 2 2 2" xfId="35540"/>
    <cellStyle name="Normal 2 4 2 2 4 2 2 3" xfId="35541"/>
    <cellStyle name="Normal 2 4 2 2 4 2 3" xfId="18146"/>
    <cellStyle name="Normal 2 4 2 2 4 2 3 2" xfId="18147"/>
    <cellStyle name="Normal 2 4 2 2 4 2 3 2 2" xfId="35542"/>
    <cellStyle name="Normal 2 4 2 2 4 2 3 3" xfId="35543"/>
    <cellStyle name="Normal 2 4 2 2 4 2 4" xfId="18148"/>
    <cellStyle name="Normal 2 4 2 2 4 2 4 2" xfId="18149"/>
    <cellStyle name="Normal 2 4 2 2 4 2 4 2 2" xfId="35544"/>
    <cellStyle name="Normal 2 4 2 2 4 2 4 3" xfId="35545"/>
    <cellStyle name="Normal 2 4 2 2 4 2 5" xfId="18150"/>
    <cellStyle name="Normal 2 4 2 2 4 2 5 2" xfId="35546"/>
    <cellStyle name="Normal 2 4 2 2 4 2 6" xfId="18151"/>
    <cellStyle name="Normal 2 4 2 2 4 3" xfId="18152"/>
    <cellStyle name="Normal 2 4 2 2 4 3 2" xfId="18153"/>
    <cellStyle name="Normal 2 4 2 2 4 3 2 2" xfId="35547"/>
    <cellStyle name="Normal 2 4 2 2 4 3 3" xfId="35548"/>
    <cellStyle name="Normal 2 4 2 2 4 4" xfId="18154"/>
    <cellStyle name="Normal 2 4 2 2 4 4 2" xfId="18155"/>
    <cellStyle name="Normal 2 4 2 2 4 4 2 2" xfId="35549"/>
    <cellStyle name="Normal 2 4 2 2 4 4 3" xfId="35550"/>
    <cellStyle name="Normal 2 4 2 2 4 5" xfId="18156"/>
    <cellStyle name="Normal 2 4 2 2 4 5 2" xfId="18157"/>
    <cellStyle name="Normal 2 4 2 2 4 5 2 2" xfId="35551"/>
    <cellStyle name="Normal 2 4 2 2 4 5 3" xfId="35552"/>
    <cellStyle name="Normal 2 4 2 2 4 6" xfId="18158"/>
    <cellStyle name="Normal 2 4 2 2 4 6 2" xfId="35553"/>
    <cellStyle name="Normal 2 4 2 2 4 7" xfId="18159"/>
    <cellStyle name="Normal 2 4 2 2 5" xfId="2220"/>
    <cellStyle name="Normal 2 4 2 2 5 2" xfId="18160"/>
    <cellStyle name="Normal 2 4 2 2 5 2 2" xfId="18161"/>
    <cellStyle name="Normal 2 4 2 2 5 2 2 2" xfId="35554"/>
    <cellStyle name="Normal 2 4 2 2 5 2 3" xfId="35555"/>
    <cellStyle name="Normal 2 4 2 2 5 3" xfId="18162"/>
    <cellStyle name="Normal 2 4 2 2 5 3 2" xfId="18163"/>
    <cellStyle name="Normal 2 4 2 2 5 3 2 2" xfId="35556"/>
    <cellStyle name="Normal 2 4 2 2 5 3 3" xfId="35557"/>
    <cellStyle name="Normal 2 4 2 2 5 4" xfId="18164"/>
    <cellStyle name="Normal 2 4 2 2 5 4 2" xfId="18165"/>
    <cellStyle name="Normal 2 4 2 2 5 4 2 2" xfId="35558"/>
    <cellStyle name="Normal 2 4 2 2 5 4 3" xfId="35559"/>
    <cellStyle name="Normal 2 4 2 2 5 5" xfId="18166"/>
    <cellStyle name="Normal 2 4 2 2 5 5 2" xfId="35560"/>
    <cellStyle name="Normal 2 4 2 2 5 6" xfId="18167"/>
    <cellStyle name="Normal 2 4 2 2 6" xfId="18168"/>
    <cellStyle name="Normal 2 4 2 2 6 2" xfId="18169"/>
    <cellStyle name="Normal 2 4 2 2 6 2 2" xfId="35561"/>
    <cellStyle name="Normal 2 4 2 2 6 3" xfId="35562"/>
    <cellStyle name="Normal 2 4 2 2 7" xfId="18170"/>
    <cellStyle name="Normal 2 4 2 2 7 2" xfId="18171"/>
    <cellStyle name="Normal 2 4 2 2 7 2 2" xfId="35563"/>
    <cellStyle name="Normal 2 4 2 2 7 3" xfId="35564"/>
    <cellStyle name="Normal 2 4 2 2 8" xfId="18172"/>
    <cellStyle name="Normal 2 4 2 2 8 2" xfId="18173"/>
    <cellStyle name="Normal 2 4 2 2 8 2 2" xfId="35565"/>
    <cellStyle name="Normal 2 4 2 2 8 3" xfId="35566"/>
    <cellStyle name="Normal 2 4 2 2 9" xfId="18174"/>
    <cellStyle name="Normal 2 4 2 2 9 2" xfId="35567"/>
    <cellStyle name="Normal 2 4 2 3" xfId="285"/>
    <cellStyle name="Normal 2 4 2 3 10" xfId="18175"/>
    <cellStyle name="Normal 2 4 2 3 2" xfId="443"/>
    <cellStyle name="Normal 2 4 2 3 2 2" xfId="1231"/>
    <cellStyle name="Normal 2 4 2 3 2 2 2" xfId="2221"/>
    <cellStyle name="Normal 2 4 2 3 2 2 2 2" xfId="18176"/>
    <cellStyle name="Normal 2 4 2 3 2 2 2 2 2" xfId="18177"/>
    <cellStyle name="Normal 2 4 2 3 2 2 2 2 2 2" xfId="35568"/>
    <cellStyle name="Normal 2 4 2 3 2 2 2 2 3" xfId="35569"/>
    <cellStyle name="Normal 2 4 2 3 2 2 2 3" xfId="18178"/>
    <cellStyle name="Normal 2 4 2 3 2 2 2 3 2" xfId="18179"/>
    <cellStyle name="Normal 2 4 2 3 2 2 2 3 2 2" xfId="35570"/>
    <cellStyle name="Normal 2 4 2 3 2 2 2 3 3" xfId="35571"/>
    <cellStyle name="Normal 2 4 2 3 2 2 2 4" xfId="18180"/>
    <cellStyle name="Normal 2 4 2 3 2 2 2 4 2" xfId="18181"/>
    <cellStyle name="Normal 2 4 2 3 2 2 2 4 2 2" xfId="35572"/>
    <cellStyle name="Normal 2 4 2 3 2 2 2 4 3" xfId="35573"/>
    <cellStyle name="Normal 2 4 2 3 2 2 2 5" xfId="18182"/>
    <cellStyle name="Normal 2 4 2 3 2 2 2 5 2" xfId="35574"/>
    <cellStyle name="Normal 2 4 2 3 2 2 2 6" xfId="18183"/>
    <cellStyle name="Normal 2 4 2 3 2 2 3" xfId="18184"/>
    <cellStyle name="Normal 2 4 2 3 2 2 3 2" xfId="18185"/>
    <cellStyle name="Normal 2 4 2 3 2 2 3 2 2" xfId="35575"/>
    <cellStyle name="Normal 2 4 2 3 2 2 3 3" xfId="35576"/>
    <cellStyle name="Normal 2 4 2 3 2 2 4" xfId="18186"/>
    <cellStyle name="Normal 2 4 2 3 2 2 4 2" xfId="18187"/>
    <cellStyle name="Normal 2 4 2 3 2 2 4 2 2" xfId="35577"/>
    <cellStyle name="Normal 2 4 2 3 2 2 4 3" xfId="35578"/>
    <cellStyle name="Normal 2 4 2 3 2 2 5" xfId="18188"/>
    <cellStyle name="Normal 2 4 2 3 2 2 5 2" xfId="18189"/>
    <cellStyle name="Normal 2 4 2 3 2 2 5 2 2" xfId="35579"/>
    <cellStyle name="Normal 2 4 2 3 2 2 5 3" xfId="35580"/>
    <cellStyle name="Normal 2 4 2 3 2 2 6" xfId="18190"/>
    <cellStyle name="Normal 2 4 2 3 2 2 6 2" xfId="35581"/>
    <cellStyle name="Normal 2 4 2 3 2 2 7" xfId="18191"/>
    <cellStyle name="Normal 2 4 2 3 2 3" xfId="863"/>
    <cellStyle name="Normal 2 4 2 3 2 3 2" xfId="2222"/>
    <cellStyle name="Normal 2 4 2 3 2 3 2 2" xfId="18192"/>
    <cellStyle name="Normal 2 4 2 3 2 3 2 2 2" xfId="18193"/>
    <cellStyle name="Normal 2 4 2 3 2 3 2 2 2 2" xfId="35582"/>
    <cellStyle name="Normal 2 4 2 3 2 3 2 2 3" xfId="35583"/>
    <cellStyle name="Normal 2 4 2 3 2 3 2 3" xfId="18194"/>
    <cellStyle name="Normal 2 4 2 3 2 3 2 3 2" xfId="18195"/>
    <cellStyle name="Normal 2 4 2 3 2 3 2 3 2 2" xfId="35584"/>
    <cellStyle name="Normal 2 4 2 3 2 3 2 3 3" xfId="35585"/>
    <cellStyle name="Normal 2 4 2 3 2 3 2 4" xfId="18196"/>
    <cellStyle name="Normal 2 4 2 3 2 3 2 4 2" xfId="18197"/>
    <cellStyle name="Normal 2 4 2 3 2 3 2 4 2 2" xfId="35586"/>
    <cellStyle name="Normal 2 4 2 3 2 3 2 4 3" xfId="35587"/>
    <cellStyle name="Normal 2 4 2 3 2 3 2 5" xfId="18198"/>
    <cellStyle name="Normal 2 4 2 3 2 3 2 5 2" xfId="35588"/>
    <cellStyle name="Normal 2 4 2 3 2 3 2 6" xfId="18199"/>
    <cellStyle name="Normal 2 4 2 3 2 3 3" xfId="18200"/>
    <cellStyle name="Normal 2 4 2 3 2 3 3 2" xfId="18201"/>
    <cellStyle name="Normal 2 4 2 3 2 3 3 2 2" xfId="35589"/>
    <cellStyle name="Normal 2 4 2 3 2 3 3 3" xfId="35590"/>
    <cellStyle name="Normal 2 4 2 3 2 3 4" xfId="18202"/>
    <cellStyle name="Normal 2 4 2 3 2 3 4 2" xfId="18203"/>
    <cellStyle name="Normal 2 4 2 3 2 3 4 2 2" xfId="35591"/>
    <cellStyle name="Normal 2 4 2 3 2 3 4 3" xfId="35592"/>
    <cellStyle name="Normal 2 4 2 3 2 3 5" xfId="18204"/>
    <cellStyle name="Normal 2 4 2 3 2 3 5 2" xfId="18205"/>
    <cellStyle name="Normal 2 4 2 3 2 3 5 2 2" xfId="35593"/>
    <cellStyle name="Normal 2 4 2 3 2 3 5 3" xfId="35594"/>
    <cellStyle name="Normal 2 4 2 3 2 3 6" xfId="18206"/>
    <cellStyle name="Normal 2 4 2 3 2 3 6 2" xfId="35595"/>
    <cellStyle name="Normal 2 4 2 3 2 3 7" xfId="18207"/>
    <cellStyle name="Normal 2 4 2 3 2 4" xfId="2223"/>
    <cellStyle name="Normal 2 4 2 3 2 4 2" xfId="18208"/>
    <cellStyle name="Normal 2 4 2 3 2 4 2 2" xfId="18209"/>
    <cellStyle name="Normal 2 4 2 3 2 4 2 2 2" xfId="35596"/>
    <cellStyle name="Normal 2 4 2 3 2 4 2 3" xfId="35597"/>
    <cellStyle name="Normal 2 4 2 3 2 4 3" xfId="18210"/>
    <cellStyle name="Normal 2 4 2 3 2 4 3 2" xfId="18211"/>
    <cellStyle name="Normal 2 4 2 3 2 4 3 2 2" xfId="35598"/>
    <cellStyle name="Normal 2 4 2 3 2 4 3 3" xfId="35599"/>
    <cellStyle name="Normal 2 4 2 3 2 4 4" xfId="18212"/>
    <cellStyle name="Normal 2 4 2 3 2 4 4 2" xfId="18213"/>
    <cellStyle name="Normal 2 4 2 3 2 4 4 2 2" xfId="35600"/>
    <cellStyle name="Normal 2 4 2 3 2 4 4 3" xfId="35601"/>
    <cellStyle name="Normal 2 4 2 3 2 4 5" xfId="18214"/>
    <cellStyle name="Normal 2 4 2 3 2 4 5 2" xfId="35602"/>
    <cellStyle name="Normal 2 4 2 3 2 4 6" xfId="18215"/>
    <cellStyle name="Normal 2 4 2 3 2 5" xfId="18216"/>
    <cellStyle name="Normal 2 4 2 3 2 5 2" xfId="18217"/>
    <cellStyle name="Normal 2 4 2 3 2 5 2 2" xfId="35603"/>
    <cellStyle name="Normal 2 4 2 3 2 5 3" xfId="35604"/>
    <cellStyle name="Normal 2 4 2 3 2 6" xfId="18218"/>
    <cellStyle name="Normal 2 4 2 3 2 6 2" xfId="18219"/>
    <cellStyle name="Normal 2 4 2 3 2 6 2 2" xfId="35605"/>
    <cellStyle name="Normal 2 4 2 3 2 6 3" xfId="35606"/>
    <cellStyle name="Normal 2 4 2 3 2 7" xfId="18220"/>
    <cellStyle name="Normal 2 4 2 3 2 7 2" xfId="18221"/>
    <cellStyle name="Normal 2 4 2 3 2 7 2 2" xfId="35607"/>
    <cellStyle name="Normal 2 4 2 3 2 7 3" xfId="35608"/>
    <cellStyle name="Normal 2 4 2 3 2 8" xfId="18222"/>
    <cellStyle name="Normal 2 4 2 3 2 8 2" xfId="35609"/>
    <cellStyle name="Normal 2 4 2 3 2 9" xfId="18223"/>
    <cellStyle name="Normal 2 4 2 3 3" xfId="1073"/>
    <cellStyle name="Normal 2 4 2 3 3 2" xfId="2224"/>
    <cellStyle name="Normal 2 4 2 3 3 2 2" xfId="18224"/>
    <cellStyle name="Normal 2 4 2 3 3 2 2 2" xfId="18225"/>
    <cellStyle name="Normal 2 4 2 3 3 2 2 2 2" xfId="35610"/>
    <cellStyle name="Normal 2 4 2 3 3 2 2 3" xfId="35611"/>
    <cellStyle name="Normal 2 4 2 3 3 2 3" xfId="18226"/>
    <cellStyle name="Normal 2 4 2 3 3 2 3 2" xfId="18227"/>
    <cellStyle name="Normal 2 4 2 3 3 2 3 2 2" xfId="35612"/>
    <cellStyle name="Normal 2 4 2 3 3 2 3 3" xfId="35613"/>
    <cellStyle name="Normal 2 4 2 3 3 2 4" xfId="18228"/>
    <cellStyle name="Normal 2 4 2 3 3 2 4 2" xfId="18229"/>
    <cellStyle name="Normal 2 4 2 3 3 2 4 2 2" xfId="35614"/>
    <cellStyle name="Normal 2 4 2 3 3 2 4 3" xfId="35615"/>
    <cellStyle name="Normal 2 4 2 3 3 2 5" xfId="18230"/>
    <cellStyle name="Normal 2 4 2 3 3 2 5 2" xfId="35616"/>
    <cellStyle name="Normal 2 4 2 3 3 2 6" xfId="18231"/>
    <cellStyle name="Normal 2 4 2 3 3 3" xfId="18232"/>
    <cellStyle name="Normal 2 4 2 3 3 3 2" xfId="18233"/>
    <cellStyle name="Normal 2 4 2 3 3 3 2 2" xfId="35617"/>
    <cellStyle name="Normal 2 4 2 3 3 3 3" xfId="35618"/>
    <cellStyle name="Normal 2 4 2 3 3 4" xfId="18234"/>
    <cellStyle name="Normal 2 4 2 3 3 4 2" xfId="18235"/>
    <cellStyle name="Normal 2 4 2 3 3 4 2 2" xfId="35619"/>
    <cellStyle name="Normal 2 4 2 3 3 4 3" xfId="35620"/>
    <cellStyle name="Normal 2 4 2 3 3 5" xfId="18236"/>
    <cellStyle name="Normal 2 4 2 3 3 5 2" xfId="18237"/>
    <cellStyle name="Normal 2 4 2 3 3 5 2 2" xfId="35621"/>
    <cellStyle name="Normal 2 4 2 3 3 5 3" xfId="35622"/>
    <cellStyle name="Normal 2 4 2 3 3 6" xfId="18238"/>
    <cellStyle name="Normal 2 4 2 3 3 6 2" xfId="35623"/>
    <cellStyle name="Normal 2 4 2 3 3 7" xfId="18239"/>
    <cellStyle name="Normal 2 4 2 3 4" xfId="705"/>
    <cellStyle name="Normal 2 4 2 3 4 2" xfId="2225"/>
    <cellStyle name="Normal 2 4 2 3 4 2 2" xfId="18240"/>
    <cellStyle name="Normal 2 4 2 3 4 2 2 2" xfId="18241"/>
    <cellStyle name="Normal 2 4 2 3 4 2 2 2 2" xfId="35624"/>
    <cellStyle name="Normal 2 4 2 3 4 2 2 3" xfId="35625"/>
    <cellStyle name="Normal 2 4 2 3 4 2 3" xfId="18242"/>
    <cellStyle name="Normal 2 4 2 3 4 2 3 2" xfId="18243"/>
    <cellStyle name="Normal 2 4 2 3 4 2 3 2 2" xfId="35626"/>
    <cellStyle name="Normal 2 4 2 3 4 2 3 3" xfId="35627"/>
    <cellStyle name="Normal 2 4 2 3 4 2 4" xfId="18244"/>
    <cellStyle name="Normal 2 4 2 3 4 2 4 2" xfId="18245"/>
    <cellStyle name="Normal 2 4 2 3 4 2 4 2 2" xfId="35628"/>
    <cellStyle name="Normal 2 4 2 3 4 2 4 3" xfId="35629"/>
    <cellStyle name="Normal 2 4 2 3 4 2 5" xfId="18246"/>
    <cellStyle name="Normal 2 4 2 3 4 2 5 2" xfId="35630"/>
    <cellStyle name="Normal 2 4 2 3 4 2 6" xfId="18247"/>
    <cellStyle name="Normal 2 4 2 3 4 3" xfId="18248"/>
    <cellStyle name="Normal 2 4 2 3 4 3 2" xfId="18249"/>
    <cellStyle name="Normal 2 4 2 3 4 3 2 2" xfId="35631"/>
    <cellStyle name="Normal 2 4 2 3 4 3 3" xfId="35632"/>
    <cellStyle name="Normal 2 4 2 3 4 4" xfId="18250"/>
    <cellStyle name="Normal 2 4 2 3 4 4 2" xfId="18251"/>
    <cellStyle name="Normal 2 4 2 3 4 4 2 2" xfId="35633"/>
    <cellStyle name="Normal 2 4 2 3 4 4 3" xfId="35634"/>
    <cellStyle name="Normal 2 4 2 3 4 5" xfId="18252"/>
    <cellStyle name="Normal 2 4 2 3 4 5 2" xfId="18253"/>
    <cellStyle name="Normal 2 4 2 3 4 5 2 2" xfId="35635"/>
    <cellStyle name="Normal 2 4 2 3 4 5 3" xfId="35636"/>
    <cellStyle name="Normal 2 4 2 3 4 6" xfId="18254"/>
    <cellStyle name="Normal 2 4 2 3 4 6 2" xfId="35637"/>
    <cellStyle name="Normal 2 4 2 3 4 7" xfId="18255"/>
    <cellStyle name="Normal 2 4 2 3 5" xfId="2226"/>
    <cellStyle name="Normal 2 4 2 3 5 2" xfId="18256"/>
    <cellStyle name="Normal 2 4 2 3 5 2 2" xfId="18257"/>
    <cellStyle name="Normal 2 4 2 3 5 2 2 2" xfId="35638"/>
    <cellStyle name="Normal 2 4 2 3 5 2 3" xfId="35639"/>
    <cellStyle name="Normal 2 4 2 3 5 3" xfId="18258"/>
    <cellStyle name="Normal 2 4 2 3 5 3 2" xfId="18259"/>
    <cellStyle name="Normal 2 4 2 3 5 3 2 2" xfId="35640"/>
    <cellStyle name="Normal 2 4 2 3 5 3 3" xfId="35641"/>
    <cellStyle name="Normal 2 4 2 3 5 4" xfId="18260"/>
    <cellStyle name="Normal 2 4 2 3 5 4 2" xfId="18261"/>
    <cellStyle name="Normal 2 4 2 3 5 4 2 2" xfId="35642"/>
    <cellStyle name="Normal 2 4 2 3 5 4 3" xfId="35643"/>
    <cellStyle name="Normal 2 4 2 3 5 5" xfId="18262"/>
    <cellStyle name="Normal 2 4 2 3 5 5 2" xfId="35644"/>
    <cellStyle name="Normal 2 4 2 3 5 6" xfId="18263"/>
    <cellStyle name="Normal 2 4 2 3 6" xfId="18264"/>
    <cellStyle name="Normal 2 4 2 3 6 2" xfId="18265"/>
    <cellStyle name="Normal 2 4 2 3 6 2 2" xfId="35645"/>
    <cellStyle name="Normal 2 4 2 3 6 3" xfId="35646"/>
    <cellStyle name="Normal 2 4 2 3 7" xfId="18266"/>
    <cellStyle name="Normal 2 4 2 3 7 2" xfId="18267"/>
    <cellStyle name="Normal 2 4 2 3 7 2 2" xfId="35647"/>
    <cellStyle name="Normal 2 4 2 3 7 3" xfId="35648"/>
    <cellStyle name="Normal 2 4 2 3 8" xfId="18268"/>
    <cellStyle name="Normal 2 4 2 3 8 2" xfId="18269"/>
    <cellStyle name="Normal 2 4 2 3 8 2 2" xfId="35649"/>
    <cellStyle name="Normal 2 4 2 3 8 3" xfId="35650"/>
    <cellStyle name="Normal 2 4 2 3 9" xfId="18270"/>
    <cellStyle name="Normal 2 4 2 3 9 2" xfId="35651"/>
    <cellStyle name="Normal 2 4 2 4" xfId="178"/>
    <cellStyle name="Normal 2 4 2 4 2" xfId="966"/>
    <cellStyle name="Normal 2 4 2 4 2 2" xfId="2227"/>
    <cellStyle name="Normal 2 4 2 4 2 2 2" xfId="18271"/>
    <cellStyle name="Normal 2 4 2 4 2 2 2 2" xfId="18272"/>
    <cellStyle name="Normal 2 4 2 4 2 2 2 2 2" xfId="35652"/>
    <cellStyle name="Normal 2 4 2 4 2 2 2 3" xfId="35653"/>
    <cellStyle name="Normal 2 4 2 4 2 2 3" xfId="18273"/>
    <cellStyle name="Normal 2 4 2 4 2 2 3 2" xfId="18274"/>
    <cellStyle name="Normal 2 4 2 4 2 2 3 2 2" xfId="35654"/>
    <cellStyle name="Normal 2 4 2 4 2 2 3 3" xfId="35655"/>
    <cellStyle name="Normal 2 4 2 4 2 2 4" xfId="18275"/>
    <cellStyle name="Normal 2 4 2 4 2 2 4 2" xfId="18276"/>
    <cellStyle name="Normal 2 4 2 4 2 2 4 2 2" xfId="35656"/>
    <cellStyle name="Normal 2 4 2 4 2 2 4 3" xfId="35657"/>
    <cellStyle name="Normal 2 4 2 4 2 2 5" xfId="18277"/>
    <cellStyle name="Normal 2 4 2 4 2 2 5 2" xfId="35658"/>
    <cellStyle name="Normal 2 4 2 4 2 2 6" xfId="18278"/>
    <cellStyle name="Normal 2 4 2 4 2 3" xfId="18279"/>
    <cellStyle name="Normal 2 4 2 4 2 3 2" xfId="18280"/>
    <cellStyle name="Normal 2 4 2 4 2 3 2 2" xfId="35659"/>
    <cellStyle name="Normal 2 4 2 4 2 3 3" xfId="35660"/>
    <cellStyle name="Normal 2 4 2 4 2 4" xfId="18281"/>
    <cellStyle name="Normal 2 4 2 4 2 4 2" xfId="18282"/>
    <cellStyle name="Normal 2 4 2 4 2 4 2 2" xfId="35661"/>
    <cellStyle name="Normal 2 4 2 4 2 4 3" xfId="35662"/>
    <cellStyle name="Normal 2 4 2 4 2 5" xfId="18283"/>
    <cellStyle name="Normal 2 4 2 4 2 5 2" xfId="18284"/>
    <cellStyle name="Normal 2 4 2 4 2 5 2 2" xfId="35663"/>
    <cellStyle name="Normal 2 4 2 4 2 5 3" xfId="35664"/>
    <cellStyle name="Normal 2 4 2 4 2 6" xfId="18285"/>
    <cellStyle name="Normal 2 4 2 4 2 6 2" xfId="35665"/>
    <cellStyle name="Normal 2 4 2 4 2 7" xfId="18286"/>
    <cellStyle name="Normal 2 4 2 4 3" xfId="598"/>
    <cellStyle name="Normal 2 4 2 4 3 2" xfId="2228"/>
    <cellStyle name="Normal 2 4 2 4 3 2 2" xfId="18287"/>
    <cellStyle name="Normal 2 4 2 4 3 2 2 2" xfId="18288"/>
    <cellStyle name="Normal 2 4 2 4 3 2 2 2 2" xfId="35666"/>
    <cellStyle name="Normal 2 4 2 4 3 2 2 3" xfId="35667"/>
    <cellStyle name="Normal 2 4 2 4 3 2 3" xfId="18289"/>
    <cellStyle name="Normal 2 4 2 4 3 2 3 2" xfId="18290"/>
    <cellStyle name="Normal 2 4 2 4 3 2 3 2 2" xfId="35668"/>
    <cellStyle name="Normal 2 4 2 4 3 2 3 3" xfId="35669"/>
    <cellStyle name="Normal 2 4 2 4 3 2 4" xfId="18291"/>
    <cellStyle name="Normal 2 4 2 4 3 2 4 2" xfId="18292"/>
    <cellStyle name="Normal 2 4 2 4 3 2 4 2 2" xfId="35670"/>
    <cellStyle name="Normal 2 4 2 4 3 2 4 3" xfId="35671"/>
    <cellStyle name="Normal 2 4 2 4 3 2 5" xfId="18293"/>
    <cellStyle name="Normal 2 4 2 4 3 2 5 2" xfId="35672"/>
    <cellStyle name="Normal 2 4 2 4 3 2 6" xfId="18294"/>
    <cellStyle name="Normal 2 4 2 4 3 3" xfId="18295"/>
    <cellStyle name="Normal 2 4 2 4 3 3 2" xfId="18296"/>
    <cellStyle name="Normal 2 4 2 4 3 3 2 2" xfId="35673"/>
    <cellStyle name="Normal 2 4 2 4 3 3 3" xfId="35674"/>
    <cellStyle name="Normal 2 4 2 4 3 4" xfId="18297"/>
    <cellStyle name="Normal 2 4 2 4 3 4 2" xfId="18298"/>
    <cellStyle name="Normal 2 4 2 4 3 4 2 2" xfId="35675"/>
    <cellStyle name="Normal 2 4 2 4 3 4 3" xfId="35676"/>
    <cellStyle name="Normal 2 4 2 4 3 5" xfId="18299"/>
    <cellStyle name="Normal 2 4 2 4 3 5 2" xfId="18300"/>
    <cellStyle name="Normal 2 4 2 4 3 5 2 2" xfId="35677"/>
    <cellStyle name="Normal 2 4 2 4 3 5 3" xfId="35678"/>
    <cellStyle name="Normal 2 4 2 4 3 6" xfId="18301"/>
    <cellStyle name="Normal 2 4 2 4 3 6 2" xfId="35679"/>
    <cellStyle name="Normal 2 4 2 4 3 7" xfId="18302"/>
    <cellStyle name="Normal 2 4 2 4 4" xfId="2229"/>
    <cellStyle name="Normal 2 4 2 4 4 2" xfId="18303"/>
    <cellStyle name="Normal 2 4 2 4 4 2 2" xfId="18304"/>
    <cellStyle name="Normal 2 4 2 4 4 2 2 2" xfId="35680"/>
    <cellStyle name="Normal 2 4 2 4 4 2 3" xfId="35681"/>
    <cellStyle name="Normal 2 4 2 4 4 3" xfId="18305"/>
    <cellStyle name="Normal 2 4 2 4 4 3 2" xfId="18306"/>
    <cellStyle name="Normal 2 4 2 4 4 3 2 2" xfId="35682"/>
    <cellStyle name="Normal 2 4 2 4 4 3 3" xfId="35683"/>
    <cellStyle name="Normal 2 4 2 4 4 4" xfId="18307"/>
    <cellStyle name="Normal 2 4 2 4 4 4 2" xfId="18308"/>
    <cellStyle name="Normal 2 4 2 4 4 4 2 2" xfId="35684"/>
    <cellStyle name="Normal 2 4 2 4 4 4 3" xfId="35685"/>
    <cellStyle name="Normal 2 4 2 4 4 5" xfId="18309"/>
    <cellStyle name="Normal 2 4 2 4 4 5 2" xfId="35686"/>
    <cellStyle name="Normal 2 4 2 4 4 6" xfId="18310"/>
    <cellStyle name="Normal 2 4 2 4 5" xfId="18311"/>
    <cellStyle name="Normal 2 4 2 4 5 2" xfId="18312"/>
    <cellStyle name="Normal 2 4 2 4 5 2 2" xfId="35687"/>
    <cellStyle name="Normal 2 4 2 4 5 3" xfId="35688"/>
    <cellStyle name="Normal 2 4 2 4 6" xfId="18313"/>
    <cellStyle name="Normal 2 4 2 4 6 2" xfId="18314"/>
    <cellStyle name="Normal 2 4 2 4 6 2 2" xfId="35689"/>
    <cellStyle name="Normal 2 4 2 4 6 3" xfId="35690"/>
    <cellStyle name="Normal 2 4 2 4 7" xfId="18315"/>
    <cellStyle name="Normal 2 4 2 4 7 2" xfId="18316"/>
    <cellStyle name="Normal 2 4 2 4 7 2 2" xfId="35691"/>
    <cellStyle name="Normal 2 4 2 4 7 3" xfId="35692"/>
    <cellStyle name="Normal 2 4 2 4 8" xfId="18317"/>
    <cellStyle name="Normal 2 4 2 4 8 2" xfId="35693"/>
    <cellStyle name="Normal 2 4 2 4 9" xfId="18318"/>
    <cellStyle name="Normal 2 4 2 5" xfId="336"/>
    <cellStyle name="Normal 2 4 2 5 2" xfId="1124"/>
    <cellStyle name="Normal 2 4 2 5 2 2" xfId="2230"/>
    <cellStyle name="Normal 2 4 2 5 2 2 2" xfId="18319"/>
    <cellStyle name="Normal 2 4 2 5 2 2 2 2" xfId="18320"/>
    <cellStyle name="Normal 2 4 2 5 2 2 2 2 2" xfId="35694"/>
    <cellStyle name="Normal 2 4 2 5 2 2 2 3" xfId="35695"/>
    <cellStyle name="Normal 2 4 2 5 2 2 3" xfId="18321"/>
    <cellStyle name="Normal 2 4 2 5 2 2 3 2" xfId="18322"/>
    <cellStyle name="Normal 2 4 2 5 2 2 3 2 2" xfId="35696"/>
    <cellStyle name="Normal 2 4 2 5 2 2 3 3" xfId="35697"/>
    <cellStyle name="Normal 2 4 2 5 2 2 4" xfId="18323"/>
    <cellStyle name="Normal 2 4 2 5 2 2 4 2" xfId="18324"/>
    <cellStyle name="Normal 2 4 2 5 2 2 4 2 2" xfId="35698"/>
    <cellStyle name="Normal 2 4 2 5 2 2 4 3" xfId="35699"/>
    <cellStyle name="Normal 2 4 2 5 2 2 5" xfId="18325"/>
    <cellStyle name="Normal 2 4 2 5 2 2 5 2" xfId="35700"/>
    <cellStyle name="Normal 2 4 2 5 2 2 6" xfId="18326"/>
    <cellStyle name="Normal 2 4 2 5 2 3" xfId="18327"/>
    <cellStyle name="Normal 2 4 2 5 2 3 2" xfId="18328"/>
    <cellStyle name="Normal 2 4 2 5 2 3 2 2" xfId="35701"/>
    <cellStyle name="Normal 2 4 2 5 2 3 3" xfId="35702"/>
    <cellStyle name="Normal 2 4 2 5 2 4" xfId="18329"/>
    <cellStyle name="Normal 2 4 2 5 2 4 2" xfId="18330"/>
    <cellStyle name="Normal 2 4 2 5 2 4 2 2" xfId="35703"/>
    <cellStyle name="Normal 2 4 2 5 2 4 3" xfId="35704"/>
    <cellStyle name="Normal 2 4 2 5 2 5" xfId="18331"/>
    <cellStyle name="Normal 2 4 2 5 2 5 2" xfId="18332"/>
    <cellStyle name="Normal 2 4 2 5 2 5 2 2" xfId="35705"/>
    <cellStyle name="Normal 2 4 2 5 2 5 3" xfId="35706"/>
    <cellStyle name="Normal 2 4 2 5 2 6" xfId="18333"/>
    <cellStyle name="Normal 2 4 2 5 2 6 2" xfId="35707"/>
    <cellStyle name="Normal 2 4 2 5 2 7" xfId="18334"/>
    <cellStyle name="Normal 2 4 2 5 3" xfId="756"/>
    <cellStyle name="Normal 2 4 2 5 3 2" xfId="2231"/>
    <cellStyle name="Normal 2 4 2 5 3 2 2" xfId="18335"/>
    <cellStyle name="Normal 2 4 2 5 3 2 2 2" xfId="18336"/>
    <cellStyle name="Normal 2 4 2 5 3 2 2 2 2" xfId="35708"/>
    <cellStyle name="Normal 2 4 2 5 3 2 2 3" xfId="35709"/>
    <cellStyle name="Normal 2 4 2 5 3 2 3" xfId="18337"/>
    <cellStyle name="Normal 2 4 2 5 3 2 3 2" xfId="18338"/>
    <cellStyle name="Normal 2 4 2 5 3 2 3 2 2" xfId="35710"/>
    <cellStyle name="Normal 2 4 2 5 3 2 3 3" xfId="35711"/>
    <cellStyle name="Normal 2 4 2 5 3 2 4" xfId="18339"/>
    <cellStyle name="Normal 2 4 2 5 3 2 4 2" xfId="18340"/>
    <cellStyle name="Normal 2 4 2 5 3 2 4 2 2" xfId="35712"/>
    <cellStyle name="Normal 2 4 2 5 3 2 4 3" xfId="35713"/>
    <cellStyle name="Normal 2 4 2 5 3 2 5" xfId="18341"/>
    <cellStyle name="Normal 2 4 2 5 3 2 5 2" xfId="35714"/>
    <cellStyle name="Normal 2 4 2 5 3 2 6" xfId="18342"/>
    <cellStyle name="Normal 2 4 2 5 3 3" xfId="18343"/>
    <cellStyle name="Normal 2 4 2 5 3 3 2" xfId="18344"/>
    <cellStyle name="Normal 2 4 2 5 3 3 2 2" xfId="35715"/>
    <cellStyle name="Normal 2 4 2 5 3 3 3" xfId="35716"/>
    <cellStyle name="Normal 2 4 2 5 3 4" xfId="18345"/>
    <cellStyle name="Normal 2 4 2 5 3 4 2" xfId="18346"/>
    <cellStyle name="Normal 2 4 2 5 3 4 2 2" xfId="35717"/>
    <cellStyle name="Normal 2 4 2 5 3 4 3" xfId="35718"/>
    <cellStyle name="Normal 2 4 2 5 3 5" xfId="18347"/>
    <cellStyle name="Normal 2 4 2 5 3 5 2" xfId="18348"/>
    <cellStyle name="Normal 2 4 2 5 3 5 2 2" xfId="35719"/>
    <cellStyle name="Normal 2 4 2 5 3 5 3" xfId="35720"/>
    <cellStyle name="Normal 2 4 2 5 3 6" xfId="18349"/>
    <cellStyle name="Normal 2 4 2 5 3 6 2" xfId="35721"/>
    <cellStyle name="Normal 2 4 2 5 3 7" xfId="18350"/>
    <cellStyle name="Normal 2 4 2 5 4" xfId="2232"/>
    <cellStyle name="Normal 2 4 2 5 4 2" xfId="18351"/>
    <cellStyle name="Normal 2 4 2 5 4 2 2" xfId="18352"/>
    <cellStyle name="Normal 2 4 2 5 4 2 2 2" xfId="35722"/>
    <cellStyle name="Normal 2 4 2 5 4 2 3" xfId="35723"/>
    <cellStyle name="Normal 2 4 2 5 4 3" xfId="18353"/>
    <cellStyle name="Normal 2 4 2 5 4 3 2" xfId="18354"/>
    <cellStyle name="Normal 2 4 2 5 4 3 2 2" xfId="35724"/>
    <cellStyle name="Normal 2 4 2 5 4 3 3" xfId="35725"/>
    <cellStyle name="Normal 2 4 2 5 4 4" xfId="18355"/>
    <cellStyle name="Normal 2 4 2 5 4 4 2" xfId="18356"/>
    <cellStyle name="Normal 2 4 2 5 4 4 2 2" xfId="35726"/>
    <cellStyle name="Normal 2 4 2 5 4 4 3" xfId="35727"/>
    <cellStyle name="Normal 2 4 2 5 4 5" xfId="18357"/>
    <cellStyle name="Normal 2 4 2 5 4 5 2" xfId="35728"/>
    <cellStyle name="Normal 2 4 2 5 4 6" xfId="18358"/>
    <cellStyle name="Normal 2 4 2 5 5" xfId="18359"/>
    <cellStyle name="Normal 2 4 2 5 5 2" xfId="18360"/>
    <cellStyle name="Normal 2 4 2 5 5 2 2" xfId="35729"/>
    <cellStyle name="Normal 2 4 2 5 5 3" xfId="35730"/>
    <cellStyle name="Normal 2 4 2 5 6" xfId="18361"/>
    <cellStyle name="Normal 2 4 2 5 6 2" xfId="18362"/>
    <cellStyle name="Normal 2 4 2 5 6 2 2" xfId="35731"/>
    <cellStyle name="Normal 2 4 2 5 6 3" xfId="35732"/>
    <cellStyle name="Normal 2 4 2 5 7" xfId="18363"/>
    <cellStyle name="Normal 2 4 2 5 7 2" xfId="18364"/>
    <cellStyle name="Normal 2 4 2 5 7 2 2" xfId="35733"/>
    <cellStyle name="Normal 2 4 2 5 7 3" xfId="35734"/>
    <cellStyle name="Normal 2 4 2 5 8" xfId="18365"/>
    <cellStyle name="Normal 2 4 2 5 8 2" xfId="35735"/>
    <cellStyle name="Normal 2 4 2 5 9" xfId="18366"/>
    <cellStyle name="Normal 2 4 2 6" xfId="125"/>
    <cellStyle name="Normal 2 4 2 6 2" xfId="546"/>
    <cellStyle name="Normal 2 4 2 6 2 2" xfId="2233"/>
    <cellStyle name="Normal 2 4 2 6 2 2 2" xfId="18367"/>
    <cellStyle name="Normal 2 4 2 6 2 2 2 2" xfId="18368"/>
    <cellStyle name="Normal 2 4 2 6 2 2 2 2 2" xfId="35736"/>
    <cellStyle name="Normal 2 4 2 6 2 2 2 3" xfId="35737"/>
    <cellStyle name="Normal 2 4 2 6 2 2 3" xfId="18369"/>
    <cellStyle name="Normal 2 4 2 6 2 2 3 2" xfId="18370"/>
    <cellStyle name="Normal 2 4 2 6 2 2 3 2 2" xfId="35738"/>
    <cellStyle name="Normal 2 4 2 6 2 2 3 3" xfId="35739"/>
    <cellStyle name="Normal 2 4 2 6 2 2 4" xfId="18371"/>
    <cellStyle name="Normal 2 4 2 6 2 2 4 2" xfId="18372"/>
    <cellStyle name="Normal 2 4 2 6 2 2 4 2 2" xfId="35740"/>
    <cellStyle name="Normal 2 4 2 6 2 2 4 3" xfId="35741"/>
    <cellStyle name="Normal 2 4 2 6 2 2 5" xfId="18373"/>
    <cellStyle name="Normal 2 4 2 6 2 2 5 2" xfId="35742"/>
    <cellStyle name="Normal 2 4 2 6 2 2 6" xfId="18374"/>
    <cellStyle name="Normal 2 4 2 6 2 3" xfId="18375"/>
    <cellStyle name="Normal 2 4 2 6 2 3 2" xfId="18376"/>
    <cellStyle name="Normal 2 4 2 6 2 3 2 2" xfId="35743"/>
    <cellStyle name="Normal 2 4 2 6 2 3 3" xfId="35744"/>
    <cellStyle name="Normal 2 4 2 6 2 4" xfId="18377"/>
    <cellStyle name="Normal 2 4 2 6 2 4 2" xfId="18378"/>
    <cellStyle name="Normal 2 4 2 6 2 4 2 2" xfId="35745"/>
    <cellStyle name="Normal 2 4 2 6 2 4 3" xfId="35746"/>
    <cellStyle name="Normal 2 4 2 6 2 5" xfId="18379"/>
    <cellStyle name="Normal 2 4 2 6 2 5 2" xfId="18380"/>
    <cellStyle name="Normal 2 4 2 6 2 5 2 2" xfId="35747"/>
    <cellStyle name="Normal 2 4 2 6 2 5 3" xfId="35748"/>
    <cellStyle name="Normal 2 4 2 6 2 6" xfId="18381"/>
    <cellStyle name="Normal 2 4 2 6 2 6 2" xfId="35749"/>
    <cellStyle name="Normal 2 4 2 6 2 7" xfId="18382"/>
    <cellStyle name="Normal 2 4 2 6 3" xfId="2234"/>
    <cellStyle name="Normal 2 4 2 6 3 2" xfId="18383"/>
    <cellStyle name="Normal 2 4 2 6 3 2 2" xfId="18384"/>
    <cellStyle name="Normal 2 4 2 6 3 2 2 2" xfId="35750"/>
    <cellStyle name="Normal 2 4 2 6 3 2 3" xfId="35751"/>
    <cellStyle name="Normal 2 4 2 6 3 3" xfId="18385"/>
    <cellStyle name="Normal 2 4 2 6 3 3 2" xfId="18386"/>
    <cellStyle name="Normal 2 4 2 6 3 3 2 2" xfId="35752"/>
    <cellStyle name="Normal 2 4 2 6 3 3 3" xfId="35753"/>
    <cellStyle name="Normal 2 4 2 6 3 4" xfId="18387"/>
    <cellStyle name="Normal 2 4 2 6 3 4 2" xfId="18388"/>
    <cellStyle name="Normal 2 4 2 6 3 4 2 2" xfId="35754"/>
    <cellStyle name="Normal 2 4 2 6 3 4 3" xfId="35755"/>
    <cellStyle name="Normal 2 4 2 6 3 5" xfId="18389"/>
    <cellStyle name="Normal 2 4 2 6 3 5 2" xfId="35756"/>
    <cellStyle name="Normal 2 4 2 6 3 6" xfId="18390"/>
    <cellStyle name="Normal 2 4 2 6 4" xfId="18391"/>
    <cellStyle name="Normal 2 4 2 6 4 2" xfId="18392"/>
    <cellStyle name="Normal 2 4 2 6 4 2 2" xfId="35757"/>
    <cellStyle name="Normal 2 4 2 6 4 3" xfId="35758"/>
    <cellStyle name="Normal 2 4 2 6 5" xfId="18393"/>
    <cellStyle name="Normal 2 4 2 6 5 2" xfId="18394"/>
    <cellStyle name="Normal 2 4 2 6 5 2 2" xfId="35759"/>
    <cellStyle name="Normal 2 4 2 6 5 3" xfId="35760"/>
    <cellStyle name="Normal 2 4 2 6 6" xfId="18395"/>
    <cellStyle name="Normal 2 4 2 6 6 2" xfId="18396"/>
    <cellStyle name="Normal 2 4 2 6 6 2 2" xfId="35761"/>
    <cellStyle name="Normal 2 4 2 6 6 3" xfId="35762"/>
    <cellStyle name="Normal 2 4 2 6 7" xfId="18397"/>
    <cellStyle name="Normal 2 4 2 6 7 2" xfId="35763"/>
    <cellStyle name="Normal 2 4 2 6 8" xfId="18398"/>
    <cellStyle name="Normal 2 4 2 7" xfId="914"/>
    <cellStyle name="Normal 2 4 2 7 2" xfId="2235"/>
    <cellStyle name="Normal 2 4 2 7 2 2" xfId="18399"/>
    <cellStyle name="Normal 2 4 2 7 2 2 2" xfId="18400"/>
    <cellStyle name="Normal 2 4 2 7 2 2 2 2" xfId="35764"/>
    <cellStyle name="Normal 2 4 2 7 2 2 3" xfId="35765"/>
    <cellStyle name="Normal 2 4 2 7 2 3" xfId="18401"/>
    <cellStyle name="Normal 2 4 2 7 2 3 2" xfId="18402"/>
    <cellStyle name="Normal 2 4 2 7 2 3 2 2" xfId="35766"/>
    <cellStyle name="Normal 2 4 2 7 2 3 3" xfId="35767"/>
    <cellStyle name="Normal 2 4 2 7 2 4" xfId="18403"/>
    <cellStyle name="Normal 2 4 2 7 2 4 2" xfId="18404"/>
    <cellStyle name="Normal 2 4 2 7 2 4 2 2" xfId="35768"/>
    <cellStyle name="Normal 2 4 2 7 2 4 3" xfId="35769"/>
    <cellStyle name="Normal 2 4 2 7 2 5" xfId="18405"/>
    <cellStyle name="Normal 2 4 2 7 2 5 2" xfId="35770"/>
    <cellStyle name="Normal 2 4 2 7 2 6" xfId="18406"/>
    <cellStyle name="Normal 2 4 2 7 3" xfId="18407"/>
    <cellStyle name="Normal 2 4 2 7 3 2" xfId="18408"/>
    <cellStyle name="Normal 2 4 2 7 3 2 2" xfId="35771"/>
    <cellStyle name="Normal 2 4 2 7 3 3" xfId="35772"/>
    <cellStyle name="Normal 2 4 2 7 4" xfId="18409"/>
    <cellStyle name="Normal 2 4 2 7 4 2" xfId="18410"/>
    <cellStyle name="Normal 2 4 2 7 4 2 2" xfId="35773"/>
    <cellStyle name="Normal 2 4 2 7 4 3" xfId="35774"/>
    <cellStyle name="Normal 2 4 2 7 5" xfId="18411"/>
    <cellStyle name="Normal 2 4 2 7 5 2" xfId="18412"/>
    <cellStyle name="Normal 2 4 2 7 5 2 2" xfId="35775"/>
    <cellStyle name="Normal 2 4 2 7 5 3" xfId="35776"/>
    <cellStyle name="Normal 2 4 2 7 6" xfId="18413"/>
    <cellStyle name="Normal 2 4 2 7 6 2" xfId="35777"/>
    <cellStyle name="Normal 2 4 2 7 7" xfId="18414"/>
    <cellStyle name="Normal 2 4 2 8" xfId="497"/>
    <cellStyle name="Normal 2 4 2 8 2" xfId="2236"/>
    <cellStyle name="Normal 2 4 2 8 2 2" xfId="18415"/>
    <cellStyle name="Normal 2 4 2 8 2 2 2" xfId="18416"/>
    <cellStyle name="Normal 2 4 2 8 2 2 2 2" xfId="35778"/>
    <cellStyle name="Normal 2 4 2 8 2 2 3" xfId="35779"/>
    <cellStyle name="Normal 2 4 2 8 2 3" xfId="18417"/>
    <cellStyle name="Normal 2 4 2 8 2 3 2" xfId="18418"/>
    <cellStyle name="Normal 2 4 2 8 2 3 2 2" xfId="35780"/>
    <cellStyle name="Normal 2 4 2 8 2 3 3" xfId="35781"/>
    <cellStyle name="Normal 2 4 2 8 2 4" xfId="18419"/>
    <cellStyle name="Normal 2 4 2 8 2 4 2" xfId="18420"/>
    <cellStyle name="Normal 2 4 2 8 2 4 2 2" xfId="35782"/>
    <cellStyle name="Normal 2 4 2 8 2 4 3" xfId="35783"/>
    <cellStyle name="Normal 2 4 2 8 2 5" xfId="18421"/>
    <cellStyle name="Normal 2 4 2 8 2 5 2" xfId="35784"/>
    <cellStyle name="Normal 2 4 2 8 2 6" xfId="18422"/>
    <cellStyle name="Normal 2 4 2 8 3" xfId="18423"/>
    <cellStyle name="Normal 2 4 2 8 3 2" xfId="18424"/>
    <cellStyle name="Normal 2 4 2 8 3 2 2" xfId="35785"/>
    <cellStyle name="Normal 2 4 2 8 3 3" xfId="35786"/>
    <cellStyle name="Normal 2 4 2 8 4" xfId="18425"/>
    <cellStyle name="Normal 2 4 2 8 4 2" xfId="18426"/>
    <cellStyle name="Normal 2 4 2 8 4 2 2" xfId="35787"/>
    <cellStyle name="Normal 2 4 2 8 4 3" xfId="35788"/>
    <cellStyle name="Normal 2 4 2 8 5" xfId="18427"/>
    <cellStyle name="Normal 2 4 2 8 5 2" xfId="18428"/>
    <cellStyle name="Normal 2 4 2 8 5 2 2" xfId="35789"/>
    <cellStyle name="Normal 2 4 2 8 5 3" xfId="35790"/>
    <cellStyle name="Normal 2 4 2 8 6" xfId="18429"/>
    <cellStyle name="Normal 2 4 2 8 6 2" xfId="35791"/>
    <cellStyle name="Normal 2 4 2 8 7" xfId="18430"/>
    <cellStyle name="Normal 2 4 2 9" xfId="2237"/>
    <cellStyle name="Normal 2 4 2 9 2" xfId="18431"/>
    <cellStyle name="Normal 2 4 2 9 2 2" xfId="18432"/>
    <cellStyle name="Normal 2 4 2 9 2 2 2" xfId="35792"/>
    <cellStyle name="Normal 2 4 2 9 2 3" xfId="35793"/>
    <cellStyle name="Normal 2 4 2 9 3" xfId="18433"/>
    <cellStyle name="Normal 2 4 2 9 3 2" xfId="18434"/>
    <cellStyle name="Normal 2 4 2 9 3 2 2" xfId="35794"/>
    <cellStyle name="Normal 2 4 2 9 3 3" xfId="35795"/>
    <cellStyle name="Normal 2 4 2 9 4" xfId="18435"/>
    <cellStyle name="Normal 2 4 2 9 4 2" xfId="18436"/>
    <cellStyle name="Normal 2 4 2 9 4 2 2" xfId="35796"/>
    <cellStyle name="Normal 2 4 2 9 4 3" xfId="35797"/>
    <cellStyle name="Normal 2 4 2 9 5" xfId="18437"/>
    <cellStyle name="Normal 2 4 2 9 5 2" xfId="35798"/>
    <cellStyle name="Normal 2 4 2 9 6" xfId="18438"/>
    <cellStyle name="Normal 2 4 3" xfId="64"/>
    <cellStyle name="Normal 2 4 3 10" xfId="18439"/>
    <cellStyle name="Normal 2 4 3 10 2" xfId="18440"/>
    <cellStyle name="Normal 2 4 3 10 2 2" xfId="35799"/>
    <cellStyle name="Normal 2 4 3 10 3" xfId="35800"/>
    <cellStyle name="Normal 2 4 3 11" xfId="18441"/>
    <cellStyle name="Normal 2 4 3 11 2" xfId="18442"/>
    <cellStyle name="Normal 2 4 3 11 2 2" xfId="35801"/>
    <cellStyle name="Normal 2 4 3 11 3" xfId="35802"/>
    <cellStyle name="Normal 2 4 3 12" xfId="18443"/>
    <cellStyle name="Normal 2 4 3 12 2" xfId="18444"/>
    <cellStyle name="Normal 2 4 3 12 2 2" xfId="35803"/>
    <cellStyle name="Normal 2 4 3 12 3" xfId="35804"/>
    <cellStyle name="Normal 2 4 3 13" xfId="18445"/>
    <cellStyle name="Normal 2 4 3 13 2" xfId="35805"/>
    <cellStyle name="Normal 2 4 3 14" xfId="18446"/>
    <cellStyle name="Normal 2 4 3 2" xfId="235"/>
    <cellStyle name="Normal 2 4 3 2 10" xfId="18447"/>
    <cellStyle name="Normal 2 4 3 2 2" xfId="393"/>
    <cellStyle name="Normal 2 4 3 2 2 2" xfId="1181"/>
    <cellStyle name="Normal 2 4 3 2 2 2 2" xfId="2238"/>
    <cellStyle name="Normal 2 4 3 2 2 2 2 2" xfId="18448"/>
    <cellStyle name="Normal 2 4 3 2 2 2 2 2 2" xfId="18449"/>
    <cellStyle name="Normal 2 4 3 2 2 2 2 2 2 2" xfId="35806"/>
    <cellStyle name="Normal 2 4 3 2 2 2 2 2 3" xfId="35807"/>
    <cellStyle name="Normal 2 4 3 2 2 2 2 3" xfId="18450"/>
    <cellStyle name="Normal 2 4 3 2 2 2 2 3 2" xfId="18451"/>
    <cellStyle name="Normal 2 4 3 2 2 2 2 3 2 2" xfId="35808"/>
    <cellStyle name="Normal 2 4 3 2 2 2 2 3 3" xfId="35809"/>
    <cellStyle name="Normal 2 4 3 2 2 2 2 4" xfId="18452"/>
    <cellStyle name="Normal 2 4 3 2 2 2 2 4 2" xfId="18453"/>
    <cellStyle name="Normal 2 4 3 2 2 2 2 4 2 2" xfId="35810"/>
    <cellStyle name="Normal 2 4 3 2 2 2 2 4 3" xfId="35811"/>
    <cellStyle name="Normal 2 4 3 2 2 2 2 5" xfId="18454"/>
    <cellStyle name="Normal 2 4 3 2 2 2 2 5 2" xfId="35812"/>
    <cellStyle name="Normal 2 4 3 2 2 2 2 6" xfId="18455"/>
    <cellStyle name="Normal 2 4 3 2 2 2 3" xfId="18456"/>
    <cellStyle name="Normal 2 4 3 2 2 2 3 2" xfId="18457"/>
    <cellStyle name="Normal 2 4 3 2 2 2 3 2 2" xfId="35813"/>
    <cellStyle name="Normal 2 4 3 2 2 2 3 3" xfId="35814"/>
    <cellStyle name="Normal 2 4 3 2 2 2 4" xfId="18458"/>
    <cellStyle name="Normal 2 4 3 2 2 2 4 2" xfId="18459"/>
    <cellStyle name="Normal 2 4 3 2 2 2 4 2 2" xfId="35815"/>
    <cellStyle name="Normal 2 4 3 2 2 2 4 3" xfId="35816"/>
    <cellStyle name="Normal 2 4 3 2 2 2 5" xfId="18460"/>
    <cellStyle name="Normal 2 4 3 2 2 2 5 2" xfId="18461"/>
    <cellStyle name="Normal 2 4 3 2 2 2 5 2 2" xfId="35817"/>
    <cellStyle name="Normal 2 4 3 2 2 2 5 3" xfId="35818"/>
    <cellStyle name="Normal 2 4 3 2 2 2 6" xfId="18462"/>
    <cellStyle name="Normal 2 4 3 2 2 2 6 2" xfId="35819"/>
    <cellStyle name="Normal 2 4 3 2 2 2 7" xfId="18463"/>
    <cellStyle name="Normal 2 4 3 2 2 3" xfId="813"/>
    <cellStyle name="Normal 2 4 3 2 2 3 2" xfId="2239"/>
    <cellStyle name="Normal 2 4 3 2 2 3 2 2" xfId="18464"/>
    <cellStyle name="Normal 2 4 3 2 2 3 2 2 2" xfId="18465"/>
    <cellStyle name="Normal 2 4 3 2 2 3 2 2 2 2" xfId="35820"/>
    <cellStyle name="Normal 2 4 3 2 2 3 2 2 3" xfId="35821"/>
    <cellStyle name="Normal 2 4 3 2 2 3 2 3" xfId="18466"/>
    <cellStyle name="Normal 2 4 3 2 2 3 2 3 2" xfId="18467"/>
    <cellStyle name="Normal 2 4 3 2 2 3 2 3 2 2" xfId="35822"/>
    <cellStyle name="Normal 2 4 3 2 2 3 2 3 3" xfId="35823"/>
    <cellStyle name="Normal 2 4 3 2 2 3 2 4" xfId="18468"/>
    <cellStyle name="Normal 2 4 3 2 2 3 2 4 2" xfId="18469"/>
    <cellStyle name="Normal 2 4 3 2 2 3 2 4 2 2" xfId="35824"/>
    <cellStyle name="Normal 2 4 3 2 2 3 2 4 3" xfId="35825"/>
    <cellStyle name="Normal 2 4 3 2 2 3 2 5" xfId="18470"/>
    <cellStyle name="Normal 2 4 3 2 2 3 2 5 2" xfId="35826"/>
    <cellStyle name="Normal 2 4 3 2 2 3 2 6" xfId="18471"/>
    <cellStyle name="Normal 2 4 3 2 2 3 3" xfId="18472"/>
    <cellStyle name="Normal 2 4 3 2 2 3 3 2" xfId="18473"/>
    <cellStyle name="Normal 2 4 3 2 2 3 3 2 2" xfId="35827"/>
    <cellStyle name="Normal 2 4 3 2 2 3 3 3" xfId="35828"/>
    <cellStyle name="Normal 2 4 3 2 2 3 4" xfId="18474"/>
    <cellStyle name="Normal 2 4 3 2 2 3 4 2" xfId="18475"/>
    <cellStyle name="Normal 2 4 3 2 2 3 4 2 2" xfId="35829"/>
    <cellStyle name="Normal 2 4 3 2 2 3 4 3" xfId="35830"/>
    <cellStyle name="Normal 2 4 3 2 2 3 5" xfId="18476"/>
    <cellStyle name="Normal 2 4 3 2 2 3 5 2" xfId="18477"/>
    <cellStyle name="Normal 2 4 3 2 2 3 5 2 2" xfId="35831"/>
    <cellStyle name="Normal 2 4 3 2 2 3 5 3" xfId="35832"/>
    <cellStyle name="Normal 2 4 3 2 2 3 6" xfId="18478"/>
    <cellStyle name="Normal 2 4 3 2 2 3 6 2" xfId="35833"/>
    <cellStyle name="Normal 2 4 3 2 2 3 7" xfId="18479"/>
    <cellStyle name="Normal 2 4 3 2 2 4" xfId="2240"/>
    <cellStyle name="Normal 2 4 3 2 2 4 2" xfId="18480"/>
    <cellStyle name="Normal 2 4 3 2 2 4 2 2" xfId="18481"/>
    <cellStyle name="Normal 2 4 3 2 2 4 2 2 2" xfId="35834"/>
    <cellStyle name="Normal 2 4 3 2 2 4 2 3" xfId="35835"/>
    <cellStyle name="Normal 2 4 3 2 2 4 3" xfId="18482"/>
    <cellStyle name="Normal 2 4 3 2 2 4 3 2" xfId="18483"/>
    <cellStyle name="Normal 2 4 3 2 2 4 3 2 2" xfId="35836"/>
    <cellStyle name="Normal 2 4 3 2 2 4 3 3" xfId="35837"/>
    <cellStyle name="Normal 2 4 3 2 2 4 4" xfId="18484"/>
    <cellStyle name="Normal 2 4 3 2 2 4 4 2" xfId="18485"/>
    <cellStyle name="Normal 2 4 3 2 2 4 4 2 2" xfId="35838"/>
    <cellStyle name="Normal 2 4 3 2 2 4 4 3" xfId="35839"/>
    <cellStyle name="Normal 2 4 3 2 2 4 5" xfId="18486"/>
    <cellStyle name="Normal 2 4 3 2 2 4 5 2" xfId="35840"/>
    <cellStyle name="Normal 2 4 3 2 2 4 6" xfId="18487"/>
    <cellStyle name="Normal 2 4 3 2 2 5" xfId="18488"/>
    <cellStyle name="Normal 2 4 3 2 2 5 2" xfId="18489"/>
    <cellStyle name="Normal 2 4 3 2 2 5 2 2" xfId="35841"/>
    <cellStyle name="Normal 2 4 3 2 2 5 3" xfId="35842"/>
    <cellStyle name="Normal 2 4 3 2 2 6" xfId="18490"/>
    <cellStyle name="Normal 2 4 3 2 2 6 2" xfId="18491"/>
    <cellStyle name="Normal 2 4 3 2 2 6 2 2" xfId="35843"/>
    <cellStyle name="Normal 2 4 3 2 2 6 3" xfId="35844"/>
    <cellStyle name="Normal 2 4 3 2 2 7" xfId="18492"/>
    <cellStyle name="Normal 2 4 3 2 2 7 2" xfId="18493"/>
    <cellStyle name="Normal 2 4 3 2 2 7 2 2" xfId="35845"/>
    <cellStyle name="Normal 2 4 3 2 2 7 3" xfId="35846"/>
    <cellStyle name="Normal 2 4 3 2 2 8" xfId="18494"/>
    <cellStyle name="Normal 2 4 3 2 2 8 2" xfId="35847"/>
    <cellStyle name="Normal 2 4 3 2 2 9" xfId="18495"/>
    <cellStyle name="Normal 2 4 3 2 3" xfId="1023"/>
    <cellStyle name="Normal 2 4 3 2 3 2" xfId="2241"/>
    <cellStyle name="Normal 2 4 3 2 3 2 2" xfId="18496"/>
    <cellStyle name="Normal 2 4 3 2 3 2 2 2" xfId="18497"/>
    <cellStyle name="Normal 2 4 3 2 3 2 2 2 2" xfId="35848"/>
    <cellStyle name="Normal 2 4 3 2 3 2 2 3" xfId="35849"/>
    <cellStyle name="Normal 2 4 3 2 3 2 3" xfId="18498"/>
    <cellStyle name="Normal 2 4 3 2 3 2 3 2" xfId="18499"/>
    <cellStyle name="Normal 2 4 3 2 3 2 3 2 2" xfId="35850"/>
    <cellStyle name="Normal 2 4 3 2 3 2 3 3" xfId="35851"/>
    <cellStyle name="Normal 2 4 3 2 3 2 4" xfId="18500"/>
    <cellStyle name="Normal 2 4 3 2 3 2 4 2" xfId="18501"/>
    <cellStyle name="Normal 2 4 3 2 3 2 4 2 2" xfId="35852"/>
    <cellStyle name="Normal 2 4 3 2 3 2 4 3" xfId="35853"/>
    <cellStyle name="Normal 2 4 3 2 3 2 5" xfId="18502"/>
    <cellStyle name="Normal 2 4 3 2 3 2 5 2" xfId="35854"/>
    <cellStyle name="Normal 2 4 3 2 3 2 6" xfId="18503"/>
    <cellStyle name="Normal 2 4 3 2 3 3" xfId="18504"/>
    <cellStyle name="Normal 2 4 3 2 3 3 2" xfId="18505"/>
    <cellStyle name="Normal 2 4 3 2 3 3 2 2" xfId="35855"/>
    <cellStyle name="Normal 2 4 3 2 3 3 3" xfId="35856"/>
    <cellStyle name="Normal 2 4 3 2 3 4" xfId="18506"/>
    <cellStyle name="Normal 2 4 3 2 3 4 2" xfId="18507"/>
    <cellStyle name="Normal 2 4 3 2 3 4 2 2" xfId="35857"/>
    <cellStyle name="Normal 2 4 3 2 3 4 3" xfId="35858"/>
    <cellStyle name="Normal 2 4 3 2 3 5" xfId="18508"/>
    <cellStyle name="Normal 2 4 3 2 3 5 2" xfId="18509"/>
    <cellStyle name="Normal 2 4 3 2 3 5 2 2" xfId="35859"/>
    <cellStyle name="Normal 2 4 3 2 3 5 3" xfId="35860"/>
    <cellStyle name="Normal 2 4 3 2 3 6" xfId="18510"/>
    <cellStyle name="Normal 2 4 3 2 3 6 2" xfId="35861"/>
    <cellStyle name="Normal 2 4 3 2 3 7" xfId="18511"/>
    <cellStyle name="Normal 2 4 3 2 4" xfId="655"/>
    <cellStyle name="Normal 2 4 3 2 4 2" xfId="2242"/>
    <cellStyle name="Normal 2 4 3 2 4 2 2" xfId="18512"/>
    <cellStyle name="Normal 2 4 3 2 4 2 2 2" xfId="18513"/>
    <cellStyle name="Normal 2 4 3 2 4 2 2 2 2" xfId="35862"/>
    <cellStyle name="Normal 2 4 3 2 4 2 2 3" xfId="35863"/>
    <cellStyle name="Normal 2 4 3 2 4 2 3" xfId="18514"/>
    <cellStyle name="Normal 2 4 3 2 4 2 3 2" xfId="18515"/>
    <cellStyle name="Normal 2 4 3 2 4 2 3 2 2" xfId="35864"/>
    <cellStyle name="Normal 2 4 3 2 4 2 3 3" xfId="35865"/>
    <cellStyle name="Normal 2 4 3 2 4 2 4" xfId="18516"/>
    <cellStyle name="Normal 2 4 3 2 4 2 4 2" xfId="18517"/>
    <cellStyle name="Normal 2 4 3 2 4 2 4 2 2" xfId="35866"/>
    <cellStyle name="Normal 2 4 3 2 4 2 4 3" xfId="35867"/>
    <cellStyle name="Normal 2 4 3 2 4 2 5" xfId="18518"/>
    <cellStyle name="Normal 2 4 3 2 4 2 5 2" xfId="35868"/>
    <cellStyle name="Normal 2 4 3 2 4 2 6" xfId="18519"/>
    <cellStyle name="Normal 2 4 3 2 4 3" xfId="18520"/>
    <cellStyle name="Normal 2 4 3 2 4 3 2" xfId="18521"/>
    <cellStyle name="Normal 2 4 3 2 4 3 2 2" xfId="35869"/>
    <cellStyle name="Normal 2 4 3 2 4 3 3" xfId="35870"/>
    <cellStyle name="Normal 2 4 3 2 4 4" xfId="18522"/>
    <cellStyle name="Normal 2 4 3 2 4 4 2" xfId="18523"/>
    <cellStyle name="Normal 2 4 3 2 4 4 2 2" xfId="35871"/>
    <cellStyle name="Normal 2 4 3 2 4 4 3" xfId="35872"/>
    <cellStyle name="Normal 2 4 3 2 4 5" xfId="18524"/>
    <cellStyle name="Normal 2 4 3 2 4 5 2" xfId="18525"/>
    <cellStyle name="Normal 2 4 3 2 4 5 2 2" xfId="35873"/>
    <cellStyle name="Normal 2 4 3 2 4 5 3" xfId="35874"/>
    <cellStyle name="Normal 2 4 3 2 4 6" xfId="18526"/>
    <cellStyle name="Normal 2 4 3 2 4 6 2" xfId="35875"/>
    <cellStyle name="Normal 2 4 3 2 4 7" xfId="18527"/>
    <cellStyle name="Normal 2 4 3 2 5" xfId="2243"/>
    <cellStyle name="Normal 2 4 3 2 5 2" xfId="18528"/>
    <cellStyle name="Normal 2 4 3 2 5 2 2" xfId="18529"/>
    <cellStyle name="Normal 2 4 3 2 5 2 2 2" xfId="35876"/>
    <cellStyle name="Normal 2 4 3 2 5 2 3" xfId="35877"/>
    <cellStyle name="Normal 2 4 3 2 5 3" xfId="18530"/>
    <cellStyle name="Normal 2 4 3 2 5 3 2" xfId="18531"/>
    <cellStyle name="Normal 2 4 3 2 5 3 2 2" xfId="35878"/>
    <cellStyle name="Normal 2 4 3 2 5 3 3" xfId="35879"/>
    <cellStyle name="Normal 2 4 3 2 5 4" xfId="18532"/>
    <cellStyle name="Normal 2 4 3 2 5 4 2" xfId="18533"/>
    <cellStyle name="Normal 2 4 3 2 5 4 2 2" xfId="35880"/>
    <cellStyle name="Normal 2 4 3 2 5 4 3" xfId="35881"/>
    <cellStyle name="Normal 2 4 3 2 5 5" xfId="18534"/>
    <cellStyle name="Normal 2 4 3 2 5 5 2" xfId="35882"/>
    <cellStyle name="Normal 2 4 3 2 5 6" xfId="18535"/>
    <cellStyle name="Normal 2 4 3 2 6" xfId="18536"/>
    <cellStyle name="Normal 2 4 3 2 6 2" xfId="18537"/>
    <cellStyle name="Normal 2 4 3 2 6 2 2" xfId="35883"/>
    <cellStyle name="Normal 2 4 3 2 6 3" xfId="35884"/>
    <cellStyle name="Normal 2 4 3 2 7" xfId="18538"/>
    <cellStyle name="Normal 2 4 3 2 7 2" xfId="18539"/>
    <cellStyle name="Normal 2 4 3 2 7 2 2" xfId="35885"/>
    <cellStyle name="Normal 2 4 3 2 7 3" xfId="35886"/>
    <cellStyle name="Normal 2 4 3 2 8" xfId="18540"/>
    <cellStyle name="Normal 2 4 3 2 8 2" xfId="18541"/>
    <cellStyle name="Normal 2 4 3 2 8 2 2" xfId="35887"/>
    <cellStyle name="Normal 2 4 3 2 8 3" xfId="35888"/>
    <cellStyle name="Normal 2 4 3 2 9" xfId="18542"/>
    <cellStyle name="Normal 2 4 3 2 9 2" xfId="35889"/>
    <cellStyle name="Normal 2 4 3 3" xfId="286"/>
    <cellStyle name="Normal 2 4 3 3 10" xfId="18543"/>
    <cellStyle name="Normal 2 4 3 3 2" xfId="444"/>
    <cellStyle name="Normal 2 4 3 3 2 2" xfId="1232"/>
    <cellStyle name="Normal 2 4 3 3 2 2 2" xfId="2244"/>
    <cellStyle name="Normal 2 4 3 3 2 2 2 2" xfId="18544"/>
    <cellStyle name="Normal 2 4 3 3 2 2 2 2 2" xfId="18545"/>
    <cellStyle name="Normal 2 4 3 3 2 2 2 2 2 2" xfId="35890"/>
    <cellStyle name="Normal 2 4 3 3 2 2 2 2 3" xfId="35891"/>
    <cellStyle name="Normal 2 4 3 3 2 2 2 3" xfId="18546"/>
    <cellStyle name="Normal 2 4 3 3 2 2 2 3 2" xfId="18547"/>
    <cellStyle name="Normal 2 4 3 3 2 2 2 3 2 2" xfId="35892"/>
    <cellStyle name="Normal 2 4 3 3 2 2 2 3 3" xfId="35893"/>
    <cellStyle name="Normal 2 4 3 3 2 2 2 4" xfId="18548"/>
    <cellStyle name="Normal 2 4 3 3 2 2 2 4 2" xfId="18549"/>
    <cellStyle name="Normal 2 4 3 3 2 2 2 4 2 2" xfId="35894"/>
    <cellStyle name="Normal 2 4 3 3 2 2 2 4 3" xfId="35895"/>
    <cellStyle name="Normal 2 4 3 3 2 2 2 5" xfId="18550"/>
    <cellStyle name="Normal 2 4 3 3 2 2 2 5 2" xfId="35896"/>
    <cellStyle name="Normal 2 4 3 3 2 2 2 6" xfId="18551"/>
    <cellStyle name="Normal 2 4 3 3 2 2 3" xfId="18552"/>
    <cellStyle name="Normal 2 4 3 3 2 2 3 2" xfId="18553"/>
    <cellStyle name="Normal 2 4 3 3 2 2 3 2 2" xfId="35897"/>
    <cellStyle name="Normal 2 4 3 3 2 2 3 3" xfId="35898"/>
    <cellStyle name="Normal 2 4 3 3 2 2 4" xfId="18554"/>
    <cellStyle name="Normal 2 4 3 3 2 2 4 2" xfId="18555"/>
    <cellStyle name="Normal 2 4 3 3 2 2 4 2 2" xfId="35899"/>
    <cellStyle name="Normal 2 4 3 3 2 2 4 3" xfId="35900"/>
    <cellStyle name="Normal 2 4 3 3 2 2 5" xfId="18556"/>
    <cellStyle name="Normal 2 4 3 3 2 2 5 2" xfId="18557"/>
    <cellStyle name="Normal 2 4 3 3 2 2 5 2 2" xfId="35901"/>
    <cellStyle name="Normal 2 4 3 3 2 2 5 3" xfId="35902"/>
    <cellStyle name="Normal 2 4 3 3 2 2 6" xfId="18558"/>
    <cellStyle name="Normal 2 4 3 3 2 2 6 2" xfId="35903"/>
    <cellStyle name="Normal 2 4 3 3 2 2 7" xfId="18559"/>
    <cellStyle name="Normal 2 4 3 3 2 3" xfId="864"/>
    <cellStyle name="Normal 2 4 3 3 2 3 2" xfId="2245"/>
    <cellStyle name="Normal 2 4 3 3 2 3 2 2" xfId="18560"/>
    <cellStyle name="Normal 2 4 3 3 2 3 2 2 2" xfId="18561"/>
    <cellStyle name="Normal 2 4 3 3 2 3 2 2 2 2" xfId="35904"/>
    <cellStyle name="Normal 2 4 3 3 2 3 2 2 3" xfId="35905"/>
    <cellStyle name="Normal 2 4 3 3 2 3 2 3" xfId="18562"/>
    <cellStyle name="Normal 2 4 3 3 2 3 2 3 2" xfId="18563"/>
    <cellStyle name="Normal 2 4 3 3 2 3 2 3 2 2" xfId="35906"/>
    <cellStyle name="Normal 2 4 3 3 2 3 2 3 3" xfId="35907"/>
    <cellStyle name="Normal 2 4 3 3 2 3 2 4" xfId="18564"/>
    <cellStyle name="Normal 2 4 3 3 2 3 2 4 2" xfId="18565"/>
    <cellStyle name="Normal 2 4 3 3 2 3 2 4 2 2" xfId="35908"/>
    <cellStyle name="Normal 2 4 3 3 2 3 2 4 3" xfId="35909"/>
    <cellStyle name="Normal 2 4 3 3 2 3 2 5" xfId="18566"/>
    <cellStyle name="Normal 2 4 3 3 2 3 2 5 2" xfId="35910"/>
    <cellStyle name="Normal 2 4 3 3 2 3 2 6" xfId="18567"/>
    <cellStyle name="Normal 2 4 3 3 2 3 3" xfId="18568"/>
    <cellStyle name="Normal 2 4 3 3 2 3 3 2" xfId="18569"/>
    <cellStyle name="Normal 2 4 3 3 2 3 3 2 2" xfId="35911"/>
    <cellStyle name="Normal 2 4 3 3 2 3 3 3" xfId="35912"/>
    <cellStyle name="Normal 2 4 3 3 2 3 4" xfId="18570"/>
    <cellStyle name="Normal 2 4 3 3 2 3 4 2" xfId="18571"/>
    <cellStyle name="Normal 2 4 3 3 2 3 4 2 2" xfId="35913"/>
    <cellStyle name="Normal 2 4 3 3 2 3 4 3" xfId="35914"/>
    <cellStyle name="Normal 2 4 3 3 2 3 5" xfId="18572"/>
    <cellStyle name="Normal 2 4 3 3 2 3 5 2" xfId="18573"/>
    <cellStyle name="Normal 2 4 3 3 2 3 5 2 2" xfId="35915"/>
    <cellStyle name="Normal 2 4 3 3 2 3 5 3" xfId="35916"/>
    <cellStyle name="Normal 2 4 3 3 2 3 6" xfId="18574"/>
    <cellStyle name="Normal 2 4 3 3 2 3 6 2" xfId="35917"/>
    <cellStyle name="Normal 2 4 3 3 2 3 7" xfId="18575"/>
    <cellStyle name="Normal 2 4 3 3 2 4" xfId="2246"/>
    <cellStyle name="Normal 2 4 3 3 2 4 2" xfId="18576"/>
    <cellStyle name="Normal 2 4 3 3 2 4 2 2" xfId="18577"/>
    <cellStyle name="Normal 2 4 3 3 2 4 2 2 2" xfId="35918"/>
    <cellStyle name="Normal 2 4 3 3 2 4 2 3" xfId="35919"/>
    <cellStyle name="Normal 2 4 3 3 2 4 3" xfId="18578"/>
    <cellStyle name="Normal 2 4 3 3 2 4 3 2" xfId="18579"/>
    <cellStyle name="Normal 2 4 3 3 2 4 3 2 2" xfId="35920"/>
    <cellStyle name="Normal 2 4 3 3 2 4 3 3" xfId="35921"/>
    <cellStyle name="Normal 2 4 3 3 2 4 4" xfId="18580"/>
    <cellStyle name="Normal 2 4 3 3 2 4 4 2" xfId="18581"/>
    <cellStyle name="Normal 2 4 3 3 2 4 4 2 2" xfId="35922"/>
    <cellStyle name="Normal 2 4 3 3 2 4 4 3" xfId="35923"/>
    <cellStyle name="Normal 2 4 3 3 2 4 5" xfId="18582"/>
    <cellStyle name="Normal 2 4 3 3 2 4 5 2" xfId="35924"/>
    <cellStyle name="Normal 2 4 3 3 2 4 6" xfId="18583"/>
    <cellStyle name="Normal 2 4 3 3 2 5" xfId="18584"/>
    <cellStyle name="Normal 2 4 3 3 2 5 2" xfId="18585"/>
    <cellStyle name="Normal 2 4 3 3 2 5 2 2" xfId="35925"/>
    <cellStyle name="Normal 2 4 3 3 2 5 3" xfId="35926"/>
    <cellStyle name="Normal 2 4 3 3 2 6" xfId="18586"/>
    <cellStyle name="Normal 2 4 3 3 2 6 2" xfId="18587"/>
    <cellStyle name="Normal 2 4 3 3 2 6 2 2" xfId="35927"/>
    <cellStyle name="Normal 2 4 3 3 2 6 3" xfId="35928"/>
    <cellStyle name="Normal 2 4 3 3 2 7" xfId="18588"/>
    <cellStyle name="Normal 2 4 3 3 2 7 2" xfId="18589"/>
    <cellStyle name="Normal 2 4 3 3 2 7 2 2" xfId="35929"/>
    <cellStyle name="Normal 2 4 3 3 2 7 3" xfId="35930"/>
    <cellStyle name="Normal 2 4 3 3 2 8" xfId="18590"/>
    <cellStyle name="Normal 2 4 3 3 2 8 2" xfId="35931"/>
    <cellStyle name="Normal 2 4 3 3 2 9" xfId="18591"/>
    <cellStyle name="Normal 2 4 3 3 3" xfId="1074"/>
    <cellStyle name="Normal 2 4 3 3 3 2" xfId="2247"/>
    <cellStyle name="Normal 2 4 3 3 3 2 2" xfId="18592"/>
    <cellStyle name="Normal 2 4 3 3 3 2 2 2" xfId="18593"/>
    <cellStyle name="Normal 2 4 3 3 3 2 2 2 2" xfId="35932"/>
    <cellStyle name="Normal 2 4 3 3 3 2 2 3" xfId="35933"/>
    <cellStyle name="Normal 2 4 3 3 3 2 3" xfId="18594"/>
    <cellStyle name="Normal 2 4 3 3 3 2 3 2" xfId="18595"/>
    <cellStyle name="Normal 2 4 3 3 3 2 3 2 2" xfId="35934"/>
    <cellStyle name="Normal 2 4 3 3 3 2 3 3" xfId="35935"/>
    <cellStyle name="Normal 2 4 3 3 3 2 4" xfId="18596"/>
    <cellStyle name="Normal 2 4 3 3 3 2 4 2" xfId="18597"/>
    <cellStyle name="Normal 2 4 3 3 3 2 4 2 2" xfId="35936"/>
    <cellStyle name="Normal 2 4 3 3 3 2 4 3" xfId="35937"/>
    <cellStyle name="Normal 2 4 3 3 3 2 5" xfId="18598"/>
    <cellStyle name="Normal 2 4 3 3 3 2 5 2" xfId="35938"/>
    <cellStyle name="Normal 2 4 3 3 3 2 6" xfId="18599"/>
    <cellStyle name="Normal 2 4 3 3 3 3" xfId="18600"/>
    <cellStyle name="Normal 2 4 3 3 3 3 2" xfId="18601"/>
    <cellStyle name="Normal 2 4 3 3 3 3 2 2" xfId="35939"/>
    <cellStyle name="Normal 2 4 3 3 3 3 3" xfId="35940"/>
    <cellStyle name="Normal 2 4 3 3 3 4" xfId="18602"/>
    <cellStyle name="Normal 2 4 3 3 3 4 2" xfId="18603"/>
    <cellStyle name="Normal 2 4 3 3 3 4 2 2" xfId="35941"/>
    <cellStyle name="Normal 2 4 3 3 3 4 3" xfId="35942"/>
    <cellStyle name="Normal 2 4 3 3 3 5" xfId="18604"/>
    <cellStyle name="Normal 2 4 3 3 3 5 2" xfId="18605"/>
    <cellStyle name="Normal 2 4 3 3 3 5 2 2" xfId="35943"/>
    <cellStyle name="Normal 2 4 3 3 3 5 3" xfId="35944"/>
    <cellStyle name="Normal 2 4 3 3 3 6" xfId="18606"/>
    <cellStyle name="Normal 2 4 3 3 3 6 2" xfId="35945"/>
    <cellStyle name="Normal 2 4 3 3 3 7" xfId="18607"/>
    <cellStyle name="Normal 2 4 3 3 4" xfId="706"/>
    <cellStyle name="Normal 2 4 3 3 4 2" xfId="2248"/>
    <cellStyle name="Normal 2 4 3 3 4 2 2" xfId="18608"/>
    <cellStyle name="Normal 2 4 3 3 4 2 2 2" xfId="18609"/>
    <cellStyle name="Normal 2 4 3 3 4 2 2 2 2" xfId="35946"/>
    <cellStyle name="Normal 2 4 3 3 4 2 2 3" xfId="35947"/>
    <cellStyle name="Normal 2 4 3 3 4 2 3" xfId="18610"/>
    <cellStyle name="Normal 2 4 3 3 4 2 3 2" xfId="18611"/>
    <cellStyle name="Normal 2 4 3 3 4 2 3 2 2" xfId="35948"/>
    <cellStyle name="Normal 2 4 3 3 4 2 3 3" xfId="35949"/>
    <cellStyle name="Normal 2 4 3 3 4 2 4" xfId="18612"/>
    <cellStyle name="Normal 2 4 3 3 4 2 4 2" xfId="18613"/>
    <cellStyle name="Normal 2 4 3 3 4 2 4 2 2" xfId="35950"/>
    <cellStyle name="Normal 2 4 3 3 4 2 4 3" xfId="35951"/>
    <cellStyle name="Normal 2 4 3 3 4 2 5" xfId="18614"/>
    <cellStyle name="Normal 2 4 3 3 4 2 5 2" xfId="35952"/>
    <cellStyle name="Normal 2 4 3 3 4 2 6" xfId="18615"/>
    <cellStyle name="Normal 2 4 3 3 4 3" xfId="18616"/>
    <cellStyle name="Normal 2 4 3 3 4 3 2" xfId="18617"/>
    <cellStyle name="Normal 2 4 3 3 4 3 2 2" xfId="35953"/>
    <cellStyle name="Normal 2 4 3 3 4 3 3" xfId="35954"/>
    <cellStyle name="Normal 2 4 3 3 4 4" xfId="18618"/>
    <cellStyle name="Normal 2 4 3 3 4 4 2" xfId="18619"/>
    <cellStyle name="Normal 2 4 3 3 4 4 2 2" xfId="35955"/>
    <cellStyle name="Normal 2 4 3 3 4 4 3" xfId="35956"/>
    <cellStyle name="Normal 2 4 3 3 4 5" xfId="18620"/>
    <cellStyle name="Normal 2 4 3 3 4 5 2" xfId="18621"/>
    <cellStyle name="Normal 2 4 3 3 4 5 2 2" xfId="35957"/>
    <cellStyle name="Normal 2 4 3 3 4 5 3" xfId="35958"/>
    <cellStyle name="Normal 2 4 3 3 4 6" xfId="18622"/>
    <cellStyle name="Normal 2 4 3 3 4 6 2" xfId="35959"/>
    <cellStyle name="Normal 2 4 3 3 4 7" xfId="18623"/>
    <cellStyle name="Normal 2 4 3 3 5" xfId="2249"/>
    <cellStyle name="Normal 2 4 3 3 5 2" xfId="18624"/>
    <cellStyle name="Normal 2 4 3 3 5 2 2" xfId="18625"/>
    <cellStyle name="Normal 2 4 3 3 5 2 2 2" xfId="35960"/>
    <cellStyle name="Normal 2 4 3 3 5 2 3" xfId="35961"/>
    <cellStyle name="Normal 2 4 3 3 5 3" xfId="18626"/>
    <cellStyle name="Normal 2 4 3 3 5 3 2" xfId="18627"/>
    <cellStyle name="Normal 2 4 3 3 5 3 2 2" xfId="35962"/>
    <cellStyle name="Normal 2 4 3 3 5 3 3" xfId="35963"/>
    <cellStyle name="Normal 2 4 3 3 5 4" xfId="18628"/>
    <cellStyle name="Normal 2 4 3 3 5 4 2" xfId="18629"/>
    <cellStyle name="Normal 2 4 3 3 5 4 2 2" xfId="35964"/>
    <cellStyle name="Normal 2 4 3 3 5 4 3" xfId="35965"/>
    <cellStyle name="Normal 2 4 3 3 5 5" xfId="18630"/>
    <cellStyle name="Normal 2 4 3 3 5 5 2" xfId="35966"/>
    <cellStyle name="Normal 2 4 3 3 5 6" xfId="18631"/>
    <cellStyle name="Normal 2 4 3 3 6" xfId="18632"/>
    <cellStyle name="Normal 2 4 3 3 6 2" xfId="18633"/>
    <cellStyle name="Normal 2 4 3 3 6 2 2" xfId="35967"/>
    <cellStyle name="Normal 2 4 3 3 6 3" xfId="35968"/>
    <cellStyle name="Normal 2 4 3 3 7" xfId="18634"/>
    <cellStyle name="Normal 2 4 3 3 7 2" xfId="18635"/>
    <cellStyle name="Normal 2 4 3 3 7 2 2" xfId="35969"/>
    <cellStyle name="Normal 2 4 3 3 7 3" xfId="35970"/>
    <cellStyle name="Normal 2 4 3 3 8" xfId="18636"/>
    <cellStyle name="Normal 2 4 3 3 8 2" xfId="18637"/>
    <cellStyle name="Normal 2 4 3 3 8 2 2" xfId="35971"/>
    <cellStyle name="Normal 2 4 3 3 8 3" xfId="35972"/>
    <cellStyle name="Normal 2 4 3 3 9" xfId="18638"/>
    <cellStyle name="Normal 2 4 3 3 9 2" xfId="35973"/>
    <cellStyle name="Normal 2 4 3 4" xfId="162"/>
    <cellStyle name="Normal 2 4 3 4 2" xfId="950"/>
    <cellStyle name="Normal 2 4 3 4 2 2" xfId="2250"/>
    <cellStyle name="Normal 2 4 3 4 2 2 2" xfId="18639"/>
    <cellStyle name="Normal 2 4 3 4 2 2 2 2" xfId="18640"/>
    <cellStyle name="Normal 2 4 3 4 2 2 2 2 2" xfId="35974"/>
    <cellStyle name="Normal 2 4 3 4 2 2 2 3" xfId="35975"/>
    <cellStyle name="Normal 2 4 3 4 2 2 3" xfId="18641"/>
    <cellStyle name="Normal 2 4 3 4 2 2 3 2" xfId="18642"/>
    <cellStyle name="Normal 2 4 3 4 2 2 3 2 2" xfId="35976"/>
    <cellStyle name="Normal 2 4 3 4 2 2 3 3" xfId="35977"/>
    <cellStyle name="Normal 2 4 3 4 2 2 4" xfId="18643"/>
    <cellStyle name="Normal 2 4 3 4 2 2 4 2" xfId="18644"/>
    <cellStyle name="Normal 2 4 3 4 2 2 4 2 2" xfId="35978"/>
    <cellStyle name="Normal 2 4 3 4 2 2 4 3" xfId="35979"/>
    <cellStyle name="Normal 2 4 3 4 2 2 5" xfId="18645"/>
    <cellStyle name="Normal 2 4 3 4 2 2 5 2" xfId="35980"/>
    <cellStyle name="Normal 2 4 3 4 2 2 6" xfId="18646"/>
    <cellStyle name="Normal 2 4 3 4 2 3" xfId="18647"/>
    <cellStyle name="Normal 2 4 3 4 2 3 2" xfId="18648"/>
    <cellStyle name="Normal 2 4 3 4 2 3 2 2" xfId="35981"/>
    <cellStyle name="Normal 2 4 3 4 2 3 3" xfId="35982"/>
    <cellStyle name="Normal 2 4 3 4 2 4" xfId="18649"/>
    <cellStyle name="Normal 2 4 3 4 2 4 2" xfId="18650"/>
    <cellStyle name="Normal 2 4 3 4 2 4 2 2" xfId="35983"/>
    <cellStyle name="Normal 2 4 3 4 2 4 3" xfId="35984"/>
    <cellStyle name="Normal 2 4 3 4 2 5" xfId="18651"/>
    <cellStyle name="Normal 2 4 3 4 2 5 2" xfId="18652"/>
    <cellStyle name="Normal 2 4 3 4 2 5 2 2" xfId="35985"/>
    <cellStyle name="Normal 2 4 3 4 2 5 3" xfId="35986"/>
    <cellStyle name="Normal 2 4 3 4 2 6" xfId="18653"/>
    <cellStyle name="Normal 2 4 3 4 2 6 2" xfId="35987"/>
    <cellStyle name="Normal 2 4 3 4 2 7" xfId="18654"/>
    <cellStyle name="Normal 2 4 3 4 3" xfId="582"/>
    <cellStyle name="Normal 2 4 3 4 3 2" xfId="2251"/>
    <cellStyle name="Normal 2 4 3 4 3 2 2" xfId="18655"/>
    <cellStyle name="Normal 2 4 3 4 3 2 2 2" xfId="18656"/>
    <cellStyle name="Normal 2 4 3 4 3 2 2 2 2" xfId="35988"/>
    <cellStyle name="Normal 2 4 3 4 3 2 2 3" xfId="35989"/>
    <cellStyle name="Normal 2 4 3 4 3 2 3" xfId="18657"/>
    <cellStyle name="Normal 2 4 3 4 3 2 3 2" xfId="18658"/>
    <cellStyle name="Normal 2 4 3 4 3 2 3 2 2" xfId="35990"/>
    <cellStyle name="Normal 2 4 3 4 3 2 3 3" xfId="35991"/>
    <cellStyle name="Normal 2 4 3 4 3 2 4" xfId="18659"/>
    <cellStyle name="Normal 2 4 3 4 3 2 4 2" xfId="18660"/>
    <cellStyle name="Normal 2 4 3 4 3 2 4 2 2" xfId="35992"/>
    <cellStyle name="Normal 2 4 3 4 3 2 4 3" xfId="35993"/>
    <cellStyle name="Normal 2 4 3 4 3 2 5" xfId="18661"/>
    <cellStyle name="Normal 2 4 3 4 3 2 5 2" xfId="35994"/>
    <cellStyle name="Normal 2 4 3 4 3 2 6" xfId="18662"/>
    <cellStyle name="Normal 2 4 3 4 3 3" xfId="18663"/>
    <cellStyle name="Normal 2 4 3 4 3 3 2" xfId="18664"/>
    <cellStyle name="Normal 2 4 3 4 3 3 2 2" xfId="35995"/>
    <cellStyle name="Normal 2 4 3 4 3 3 3" xfId="35996"/>
    <cellStyle name="Normal 2 4 3 4 3 4" xfId="18665"/>
    <cellStyle name="Normal 2 4 3 4 3 4 2" xfId="18666"/>
    <cellStyle name="Normal 2 4 3 4 3 4 2 2" xfId="35997"/>
    <cellStyle name="Normal 2 4 3 4 3 4 3" xfId="35998"/>
    <cellStyle name="Normal 2 4 3 4 3 5" xfId="18667"/>
    <cellStyle name="Normal 2 4 3 4 3 5 2" xfId="18668"/>
    <cellStyle name="Normal 2 4 3 4 3 5 2 2" xfId="35999"/>
    <cellStyle name="Normal 2 4 3 4 3 5 3" xfId="36000"/>
    <cellStyle name="Normal 2 4 3 4 3 6" xfId="18669"/>
    <cellStyle name="Normal 2 4 3 4 3 6 2" xfId="36001"/>
    <cellStyle name="Normal 2 4 3 4 3 7" xfId="18670"/>
    <cellStyle name="Normal 2 4 3 4 4" xfId="2252"/>
    <cellStyle name="Normal 2 4 3 4 4 2" xfId="18671"/>
    <cellStyle name="Normal 2 4 3 4 4 2 2" xfId="18672"/>
    <cellStyle name="Normal 2 4 3 4 4 2 2 2" xfId="36002"/>
    <cellStyle name="Normal 2 4 3 4 4 2 3" xfId="36003"/>
    <cellStyle name="Normal 2 4 3 4 4 3" xfId="18673"/>
    <cellStyle name="Normal 2 4 3 4 4 3 2" xfId="18674"/>
    <cellStyle name="Normal 2 4 3 4 4 3 2 2" xfId="36004"/>
    <cellStyle name="Normal 2 4 3 4 4 3 3" xfId="36005"/>
    <cellStyle name="Normal 2 4 3 4 4 4" xfId="18675"/>
    <cellStyle name="Normal 2 4 3 4 4 4 2" xfId="18676"/>
    <cellStyle name="Normal 2 4 3 4 4 4 2 2" xfId="36006"/>
    <cellStyle name="Normal 2 4 3 4 4 4 3" xfId="36007"/>
    <cellStyle name="Normal 2 4 3 4 4 5" xfId="18677"/>
    <cellStyle name="Normal 2 4 3 4 4 5 2" xfId="36008"/>
    <cellStyle name="Normal 2 4 3 4 4 6" xfId="18678"/>
    <cellStyle name="Normal 2 4 3 4 5" xfId="18679"/>
    <cellStyle name="Normal 2 4 3 4 5 2" xfId="18680"/>
    <cellStyle name="Normal 2 4 3 4 5 2 2" xfId="36009"/>
    <cellStyle name="Normal 2 4 3 4 5 3" xfId="36010"/>
    <cellStyle name="Normal 2 4 3 4 6" xfId="18681"/>
    <cellStyle name="Normal 2 4 3 4 6 2" xfId="18682"/>
    <cellStyle name="Normal 2 4 3 4 6 2 2" xfId="36011"/>
    <cellStyle name="Normal 2 4 3 4 6 3" xfId="36012"/>
    <cellStyle name="Normal 2 4 3 4 7" xfId="18683"/>
    <cellStyle name="Normal 2 4 3 4 7 2" xfId="18684"/>
    <cellStyle name="Normal 2 4 3 4 7 2 2" xfId="36013"/>
    <cellStyle name="Normal 2 4 3 4 7 3" xfId="36014"/>
    <cellStyle name="Normal 2 4 3 4 8" xfId="18685"/>
    <cellStyle name="Normal 2 4 3 4 8 2" xfId="36015"/>
    <cellStyle name="Normal 2 4 3 4 9" xfId="18686"/>
    <cellStyle name="Normal 2 4 3 5" xfId="320"/>
    <cellStyle name="Normal 2 4 3 5 2" xfId="1108"/>
    <cellStyle name="Normal 2 4 3 5 2 2" xfId="2253"/>
    <cellStyle name="Normal 2 4 3 5 2 2 2" xfId="18687"/>
    <cellStyle name="Normal 2 4 3 5 2 2 2 2" xfId="18688"/>
    <cellStyle name="Normal 2 4 3 5 2 2 2 2 2" xfId="36016"/>
    <cellStyle name="Normal 2 4 3 5 2 2 2 3" xfId="36017"/>
    <cellStyle name="Normal 2 4 3 5 2 2 3" xfId="18689"/>
    <cellStyle name="Normal 2 4 3 5 2 2 3 2" xfId="18690"/>
    <cellStyle name="Normal 2 4 3 5 2 2 3 2 2" xfId="36018"/>
    <cellStyle name="Normal 2 4 3 5 2 2 3 3" xfId="36019"/>
    <cellStyle name="Normal 2 4 3 5 2 2 4" xfId="18691"/>
    <cellStyle name="Normal 2 4 3 5 2 2 4 2" xfId="18692"/>
    <cellStyle name="Normal 2 4 3 5 2 2 4 2 2" xfId="36020"/>
    <cellStyle name="Normal 2 4 3 5 2 2 4 3" xfId="36021"/>
    <cellStyle name="Normal 2 4 3 5 2 2 5" xfId="18693"/>
    <cellStyle name="Normal 2 4 3 5 2 2 5 2" xfId="36022"/>
    <cellStyle name="Normal 2 4 3 5 2 2 6" xfId="18694"/>
    <cellStyle name="Normal 2 4 3 5 2 3" xfId="18695"/>
    <cellStyle name="Normal 2 4 3 5 2 3 2" xfId="18696"/>
    <cellStyle name="Normal 2 4 3 5 2 3 2 2" xfId="36023"/>
    <cellStyle name="Normal 2 4 3 5 2 3 3" xfId="36024"/>
    <cellStyle name="Normal 2 4 3 5 2 4" xfId="18697"/>
    <cellStyle name="Normal 2 4 3 5 2 4 2" xfId="18698"/>
    <cellStyle name="Normal 2 4 3 5 2 4 2 2" xfId="36025"/>
    <cellStyle name="Normal 2 4 3 5 2 4 3" xfId="36026"/>
    <cellStyle name="Normal 2 4 3 5 2 5" xfId="18699"/>
    <cellStyle name="Normal 2 4 3 5 2 5 2" xfId="18700"/>
    <cellStyle name="Normal 2 4 3 5 2 5 2 2" xfId="36027"/>
    <cellStyle name="Normal 2 4 3 5 2 5 3" xfId="36028"/>
    <cellStyle name="Normal 2 4 3 5 2 6" xfId="18701"/>
    <cellStyle name="Normal 2 4 3 5 2 6 2" xfId="36029"/>
    <cellStyle name="Normal 2 4 3 5 2 7" xfId="18702"/>
    <cellStyle name="Normal 2 4 3 5 3" xfId="740"/>
    <cellStyle name="Normal 2 4 3 5 3 2" xfId="2254"/>
    <cellStyle name="Normal 2 4 3 5 3 2 2" xfId="18703"/>
    <cellStyle name="Normal 2 4 3 5 3 2 2 2" xfId="18704"/>
    <cellStyle name="Normal 2 4 3 5 3 2 2 2 2" xfId="36030"/>
    <cellStyle name="Normal 2 4 3 5 3 2 2 3" xfId="36031"/>
    <cellStyle name="Normal 2 4 3 5 3 2 3" xfId="18705"/>
    <cellStyle name="Normal 2 4 3 5 3 2 3 2" xfId="18706"/>
    <cellStyle name="Normal 2 4 3 5 3 2 3 2 2" xfId="36032"/>
    <cellStyle name="Normal 2 4 3 5 3 2 3 3" xfId="36033"/>
    <cellStyle name="Normal 2 4 3 5 3 2 4" xfId="18707"/>
    <cellStyle name="Normal 2 4 3 5 3 2 4 2" xfId="18708"/>
    <cellStyle name="Normal 2 4 3 5 3 2 4 2 2" xfId="36034"/>
    <cellStyle name="Normal 2 4 3 5 3 2 4 3" xfId="36035"/>
    <cellStyle name="Normal 2 4 3 5 3 2 5" xfId="18709"/>
    <cellStyle name="Normal 2 4 3 5 3 2 5 2" xfId="36036"/>
    <cellStyle name="Normal 2 4 3 5 3 2 6" xfId="18710"/>
    <cellStyle name="Normal 2 4 3 5 3 3" xfId="18711"/>
    <cellStyle name="Normal 2 4 3 5 3 3 2" xfId="18712"/>
    <cellStyle name="Normal 2 4 3 5 3 3 2 2" xfId="36037"/>
    <cellStyle name="Normal 2 4 3 5 3 3 3" xfId="36038"/>
    <cellStyle name="Normal 2 4 3 5 3 4" xfId="18713"/>
    <cellStyle name="Normal 2 4 3 5 3 4 2" xfId="18714"/>
    <cellStyle name="Normal 2 4 3 5 3 4 2 2" xfId="36039"/>
    <cellStyle name="Normal 2 4 3 5 3 4 3" xfId="36040"/>
    <cellStyle name="Normal 2 4 3 5 3 5" xfId="18715"/>
    <cellStyle name="Normal 2 4 3 5 3 5 2" xfId="18716"/>
    <cellStyle name="Normal 2 4 3 5 3 5 2 2" xfId="36041"/>
    <cellStyle name="Normal 2 4 3 5 3 5 3" xfId="36042"/>
    <cellStyle name="Normal 2 4 3 5 3 6" xfId="18717"/>
    <cellStyle name="Normal 2 4 3 5 3 6 2" xfId="36043"/>
    <cellStyle name="Normal 2 4 3 5 3 7" xfId="18718"/>
    <cellStyle name="Normal 2 4 3 5 4" xfId="2255"/>
    <cellStyle name="Normal 2 4 3 5 4 2" xfId="18719"/>
    <cellStyle name="Normal 2 4 3 5 4 2 2" xfId="18720"/>
    <cellStyle name="Normal 2 4 3 5 4 2 2 2" xfId="36044"/>
    <cellStyle name="Normal 2 4 3 5 4 2 3" xfId="36045"/>
    <cellStyle name="Normal 2 4 3 5 4 3" xfId="18721"/>
    <cellStyle name="Normal 2 4 3 5 4 3 2" xfId="18722"/>
    <cellStyle name="Normal 2 4 3 5 4 3 2 2" xfId="36046"/>
    <cellStyle name="Normal 2 4 3 5 4 3 3" xfId="36047"/>
    <cellStyle name="Normal 2 4 3 5 4 4" xfId="18723"/>
    <cellStyle name="Normal 2 4 3 5 4 4 2" xfId="18724"/>
    <cellStyle name="Normal 2 4 3 5 4 4 2 2" xfId="36048"/>
    <cellStyle name="Normal 2 4 3 5 4 4 3" xfId="36049"/>
    <cellStyle name="Normal 2 4 3 5 4 5" xfId="18725"/>
    <cellStyle name="Normal 2 4 3 5 4 5 2" xfId="36050"/>
    <cellStyle name="Normal 2 4 3 5 4 6" xfId="18726"/>
    <cellStyle name="Normal 2 4 3 5 5" xfId="18727"/>
    <cellStyle name="Normal 2 4 3 5 5 2" xfId="18728"/>
    <cellStyle name="Normal 2 4 3 5 5 2 2" xfId="36051"/>
    <cellStyle name="Normal 2 4 3 5 5 3" xfId="36052"/>
    <cellStyle name="Normal 2 4 3 5 6" xfId="18729"/>
    <cellStyle name="Normal 2 4 3 5 6 2" xfId="18730"/>
    <cellStyle name="Normal 2 4 3 5 6 2 2" xfId="36053"/>
    <cellStyle name="Normal 2 4 3 5 6 3" xfId="36054"/>
    <cellStyle name="Normal 2 4 3 5 7" xfId="18731"/>
    <cellStyle name="Normal 2 4 3 5 7 2" xfId="18732"/>
    <cellStyle name="Normal 2 4 3 5 7 2 2" xfId="36055"/>
    <cellStyle name="Normal 2 4 3 5 7 3" xfId="36056"/>
    <cellStyle name="Normal 2 4 3 5 8" xfId="18733"/>
    <cellStyle name="Normal 2 4 3 5 8 2" xfId="36057"/>
    <cellStyle name="Normal 2 4 3 5 9" xfId="18734"/>
    <cellStyle name="Normal 2 4 3 6" xfId="109"/>
    <cellStyle name="Normal 2 4 3 6 2" xfId="530"/>
    <cellStyle name="Normal 2 4 3 6 2 2" xfId="2256"/>
    <cellStyle name="Normal 2 4 3 6 2 2 2" xfId="18735"/>
    <cellStyle name="Normal 2 4 3 6 2 2 2 2" xfId="18736"/>
    <cellStyle name="Normal 2 4 3 6 2 2 2 2 2" xfId="36058"/>
    <cellStyle name="Normal 2 4 3 6 2 2 2 3" xfId="36059"/>
    <cellStyle name="Normal 2 4 3 6 2 2 3" xfId="18737"/>
    <cellStyle name="Normal 2 4 3 6 2 2 3 2" xfId="18738"/>
    <cellStyle name="Normal 2 4 3 6 2 2 3 2 2" xfId="36060"/>
    <cellStyle name="Normal 2 4 3 6 2 2 3 3" xfId="36061"/>
    <cellStyle name="Normal 2 4 3 6 2 2 4" xfId="18739"/>
    <cellStyle name="Normal 2 4 3 6 2 2 4 2" xfId="18740"/>
    <cellStyle name="Normal 2 4 3 6 2 2 4 2 2" xfId="36062"/>
    <cellStyle name="Normal 2 4 3 6 2 2 4 3" xfId="36063"/>
    <cellStyle name="Normal 2 4 3 6 2 2 5" xfId="18741"/>
    <cellStyle name="Normal 2 4 3 6 2 2 5 2" xfId="36064"/>
    <cellStyle name="Normal 2 4 3 6 2 2 6" xfId="18742"/>
    <cellStyle name="Normal 2 4 3 6 2 3" xfId="18743"/>
    <cellStyle name="Normal 2 4 3 6 2 3 2" xfId="18744"/>
    <cellStyle name="Normal 2 4 3 6 2 3 2 2" xfId="36065"/>
    <cellStyle name="Normal 2 4 3 6 2 3 3" xfId="36066"/>
    <cellStyle name="Normal 2 4 3 6 2 4" xfId="18745"/>
    <cellStyle name="Normal 2 4 3 6 2 4 2" xfId="18746"/>
    <cellStyle name="Normal 2 4 3 6 2 4 2 2" xfId="36067"/>
    <cellStyle name="Normal 2 4 3 6 2 4 3" xfId="36068"/>
    <cellStyle name="Normal 2 4 3 6 2 5" xfId="18747"/>
    <cellStyle name="Normal 2 4 3 6 2 5 2" xfId="18748"/>
    <cellStyle name="Normal 2 4 3 6 2 5 2 2" xfId="36069"/>
    <cellStyle name="Normal 2 4 3 6 2 5 3" xfId="36070"/>
    <cellStyle name="Normal 2 4 3 6 2 6" xfId="18749"/>
    <cellStyle name="Normal 2 4 3 6 2 6 2" xfId="36071"/>
    <cellStyle name="Normal 2 4 3 6 2 7" xfId="18750"/>
    <cellStyle name="Normal 2 4 3 6 3" xfId="2257"/>
    <cellStyle name="Normal 2 4 3 6 3 2" xfId="18751"/>
    <cellStyle name="Normal 2 4 3 6 3 2 2" xfId="18752"/>
    <cellStyle name="Normal 2 4 3 6 3 2 2 2" xfId="36072"/>
    <cellStyle name="Normal 2 4 3 6 3 2 3" xfId="36073"/>
    <cellStyle name="Normal 2 4 3 6 3 3" xfId="18753"/>
    <cellStyle name="Normal 2 4 3 6 3 3 2" xfId="18754"/>
    <cellStyle name="Normal 2 4 3 6 3 3 2 2" xfId="36074"/>
    <cellStyle name="Normal 2 4 3 6 3 3 3" xfId="36075"/>
    <cellStyle name="Normal 2 4 3 6 3 4" xfId="18755"/>
    <cellStyle name="Normal 2 4 3 6 3 4 2" xfId="18756"/>
    <cellStyle name="Normal 2 4 3 6 3 4 2 2" xfId="36076"/>
    <cellStyle name="Normal 2 4 3 6 3 4 3" xfId="36077"/>
    <cellStyle name="Normal 2 4 3 6 3 5" xfId="18757"/>
    <cellStyle name="Normal 2 4 3 6 3 5 2" xfId="36078"/>
    <cellStyle name="Normal 2 4 3 6 3 6" xfId="18758"/>
    <cellStyle name="Normal 2 4 3 6 4" xfId="18759"/>
    <cellStyle name="Normal 2 4 3 6 4 2" xfId="18760"/>
    <cellStyle name="Normal 2 4 3 6 4 2 2" xfId="36079"/>
    <cellStyle name="Normal 2 4 3 6 4 3" xfId="36080"/>
    <cellStyle name="Normal 2 4 3 6 5" xfId="18761"/>
    <cellStyle name="Normal 2 4 3 6 5 2" xfId="18762"/>
    <cellStyle name="Normal 2 4 3 6 5 2 2" xfId="36081"/>
    <cellStyle name="Normal 2 4 3 6 5 3" xfId="36082"/>
    <cellStyle name="Normal 2 4 3 6 6" xfId="18763"/>
    <cellStyle name="Normal 2 4 3 6 6 2" xfId="18764"/>
    <cellStyle name="Normal 2 4 3 6 6 2 2" xfId="36083"/>
    <cellStyle name="Normal 2 4 3 6 6 3" xfId="36084"/>
    <cellStyle name="Normal 2 4 3 6 7" xfId="18765"/>
    <cellStyle name="Normal 2 4 3 6 7 2" xfId="36085"/>
    <cellStyle name="Normal 2 4 3 6 8" xfId="18766"/>
    <cellStyle name="Normal 2 4 3 7" xfId="898"/>
    <cellStyle name="Normal 2 4 3 7 2" xfId="2258"/>
    <cellStyle name="Normal 2 4 3 7 2 2" xfId="18767"/>
    <cellStyle name="Normal 2 4 3 7 2 2 2" xfId="18768"/>
    <cellStyle name="Normal 2 4 3 7 2 2 2 2" xfId="36086"/>
    <cellStyle name="Normal 2 4 3 7 2 2 3" xfId="36087"/>
    <cellStyle name="Normal 2 4 3 7 2 3" xfId="18769"/>
    <cellStyle name="Normal 2 4 3 7 2 3 2" xfId="18770"/>
    <cellStyle name="Normal 2 4 3 7 2 3 2 2" xfId="36088"/>
    <cellStyle name="Normal 2 4 3 7 2 3 3" xfId="36089"/>
    <cellStyle name="Normal 2 4 3 7 2 4" xfId="18771"/>
    <cellStyle name="Normal 2 4 3 7 2 4 2" xfId="18772"/>
    <cellStyle name="Normal 2 4 3 7 2 4 2 2" xfId="36090"/>
    <cellStyle name="Normal 2 4 3 7 2 4 3" xfId="36091"/>
    <cellStyle name="Normal 2 4 3 7 2 5" xfId="18773"/>
    <cellStyle name="Normal 2 4 3 7 2 5 2" xfId="36092"/>
    <cellStyle name="Normal 2 4 3 7 2 6" xfId="18774"/>
    <cellStyle name="Normal 2 4 3 7 3" xfId="18775"/>
    <cellStyle name="Normal 2 4 3 7 3 2" xfId="18776"/>
    <cellStyle name="Normal 2 4 3 7 3 2 2" xfId="36093"/>
    <cellStyle name="Normal 2 4 3 7 3 3" xfId="36094"/>
    <cellStyle name="Normal 2 4 3 7 4" xfId="18777"/>
    <cellStyle name="Normal 2 4 3 7 4 2" xfId="18778"/>
    <cellStyle name="Normal 2 4 3 7 4 2 2" xfId="36095"/>
    <cellStyle name="Normal 2 4 3 7 4 3" xfId="36096"/>
    <cellStyle name="Normal 2 4 3 7 5" xfId="18779"/>
    <cellStyle name="Normal 2 4 3 7 5 2" xfId="18780"/>
    <cellStyle name="Normal 2 4 3 7 5 2 2" xfId="36097"/>
    <cellStyle name="Normal 2 4 3 7 5 3" xfId="36098"/>
    <cellStyle name="Normal 2 4 3 7 6" xfId="18781"/>
    <cellStyle name="Normal 2 4 3 7 6 2" xfId="36099"/>
    <cellStyle name="Normal 2 4 3 7 7" xfId="18782"/>
    <cellStyle name="Normal 2 4 3 8" xfId="498"/>
    <cellStyle name="Normal 2 4 3 8 2" xfId="2259"/>
    <cellStyle name="Normal 2 4 3 8 2 2" xfId="18783"/>
    <cellStyle name="Normal 2 4 3 8 2 2 2" xfId="18784"/>
    <cellStyle name="Normal 2 4 3 8 2 2 2 2" xfId="36100"/>
    <cellStyle name="Normal 2 4 3 8 2 2 3" xfId="36101"/>
    <cellStyle name="Normal 2 4 3 8 2 3" xfId="18785"/>
    <cellStyle name="Normal 2 4 3 8 2 3 2" xfId="18786"/>
    <cellStyle name="Normal 2 4 3 8 2 3 2 2" xfId="36102"/>
    <cellStyle name="Normal 2 4 3 8 2 3 3" xfId="36103"/>
    <cellStyle name="Normal 2 4 3 8 2 4" xfId="18787"/>
    <cellStyle name="Normal 2 4 3 8 2 4 2" xfId="18788"/>
    <cellStyle name="Normal 2 4 3 8 2 4 2 2" xfId="36104"/>
    <cellStyle name="Normal 2 4 3 8 2 4 3" xfId="36105"/>
    <cellStyle name="Normal 2 4 3 8 2 5" xfId="18789"/>
    <cellStyle name="Normal 2 4 3 8 2 5 2" xfId="36106"/>
    <cellStyle name="Normal 2 4 3 8 2 6" xfId="18790"/>
    <cellStyle name="Normal 2 4 3 8 3" xfId="18791"/>
    <cellStyle name="Normal 2 4 3 8 3 2" xfId="18792"/>
    <cellStyle name="Normal 2 4 3 8 3 2 2" xfId="36107"/>
    <cellStyle name="Normal 2 4 3 8 3 3" xfId="36108"/>
    <cellStyle name="Normal 2 4 3 8 4" xfId="18793"/>
    <cellStyle name="Normal 2 4 3 8 4 2" xfId="18794"/>
    <cellStyle name="Normal 2 4 3 8 4 2 2" xfId="36109"/>
    <cellStyle name="Normal 2 4 3 8 4 3" xfId="36110"/>
    <cellStyle name="Normal 2 4 3 8 5" xfId="18795"/>
    <cellStyle name="Normal 2 4 3 8 5 2" xfId="18796"/>
    <cellStyle name="Normal 2 4 3 8 5 2 2" xfId="36111"/>
    <cellStyle name="Normal 2 4 3 8 5 3" xfId="36112"/>
    <cellStyle name="Normal 2 4 3 8 6" xfId="18797"/>
    <cellStyle name="Normal 2 4 3 8 6 2" xfId="36113"/>
    <cellStyle name="Normal 2 4 3 8 7" xfId="18798"/>
    <cellStyle name="Normal 2 4 3 9" xfId="2260"/>
    <cellStyle name="Normal 2 4 3 9 2" xfId="18799"/>
    <cellStyle name="Normal 2 4 3 9 2 2" xfId="18800"/>
    <cellStyle name="Normal 2 4 3 9 2 2 2" xfId="36114"/>
    <cellStyle name="Normal 2 4 3 9 2 3" xfId="36115"/>
    <cellStyle name="Normal 2 4 3 9 3" xfId="18801"/>
    <cellStyle name="Normal 2 4 3 9 3 2" xfId="18802"/>
    <cellStyle name="Normal 2 4 3 9 3 2 2" xfId="36116"/>
    <cellStyle name="Normal 2 4 3 9 3 3" xfId="36117"/>
    <cellStyle name="Normal 2 4 3 9 4" xfId="18803"/>
    <cellStyle name="Normal 2 4 3 9 4 2" xfId="18804"/>
    <cellStyle name="Normal 2 4 3 9 4 2 2" xfId="36118"/>
    <cellStyle name="Normal 2 4 3 9 4 3" xfId="36119"/>
    <cellStyle name="Normal 2 4 3 9 5" xfId="18805"/>
    <cellStyle name="Normal 2 4 3 9 5 2" xfId="36120"/>
    <cellStyle name="Normal 2 4 3 9 6" xfId="18806"/>
    <cellStyle name="Normal 2 4 4" xfId="233"/>
    <cellStyle name="Normal 2 4 4 10" xfId="18807"/>
    <cellStyle name="Normal 2 4 4 2" xfId="391"/>
    <cellStyle name="Normal 2 4 4 2 2" xfId="1179"/>
    <cellStyle name="Normal 2 4 4 2 2 2" xfId="2261"/>
    <cellStyle name="Normal 2 4 4 2 2 2 2" xfId="18808"/>
    <cellStyle name="Normal 2 4 4 2 2 2 2 2" xfId="18809"/>
    <cellStyle name="Normal 2 4 4 2 2 2 2 2 2" xfId="36121"/>
    <cellStyle name="Normal 2 4 4 2 2 2 2 3" xfId="36122"/>
    <cellStyle name="Normal 2 4 4 2 2 2 3" xfId="18810"/>
    <cellStyle name="Normal 2 4 4 2 2 2 3 2" xfId="18811"/>
    <cellStyle name="Normal 2 4 4 2 2 2 3 2 2" xfId="36123"/>
    <cellStyle name="Normal 2 4 4 2 2 2 3 3" xfId="36124"/>
    <cellStyle name="Normal 2 4 4 2 2 2 4" xfId="18812"/>
    <cellStyle name="Normal 2 4 4 2 2 2 4 2" xfId="18813"/>
    <cellStyle name="Normal 2 4 4 2 2 2 4 2 2" xfId="36125"/>
    <cellStyle name="Normal 2 4 4 2 2 2 4 3" xfId="36126"/>
    <cellStyle name="Normal 2 4 4 2 2 2 5" xfId="18814"/>
    <cellStyle name="Normal 2 4 4 2 2 2 5 2" xfId="36127"/>
    <cellStyle name="Normal 2 4 4 2 2 2 6" xfId="18815"/>
    <cellStyle name="Normal 2 4 4 2 2 3" xfId="18816"/>
    <cellStyle name="Normal 2 4 4 2 2 3 2" xfId="18817"/>
    <cellStyle name="Normal 2 4 4 2 2 3 2 2" xfId="36128"/>
    <cellStyle name="Normal 2 4 4 2 2 3 3" xfId="36129"/>
    <cellStyle name="Normal 2 4 4 2 2 4" xfId="18818"/>
    <cellStyle name="Normal 2 4 4 2 2 4 2" xfId="18819"/>
    <cellStyle name="Normal 2 4 4 2 2 4 2 2" xfId="36130"/>
    <cellStyle name="Normal 2 4 4 2 2 4 3" xfId="36131"/>
    <cellStyle name="Normal 2 4 4 2 2 5" xfId="18820"/>
    <cellStyle name="Normal 2 4 4 2 2 5 2" xfId="18821"/>
    <cellStyle name="Normal 2 4 4 2 2 5 2 2" xfId="36132"/>
    <cellStyle name="Normal 2 4 4 2 2 5 3" xfId="36133"/>
    <cellStyle name="Normal 2 4 4 2 2 6" xfId="18822"/>
    <cellStyle name="Normal 2 4 4 2 2 6 2" xfId="36134"/>
    <cellStyle name="Normal 2 4 4 2 2 7" xfId="18823"/>
    <cellStyle name="Normal 2 4 4 2 3" xfId="811"/>
    <cellStyle name="Normal 2 4 4 2 3 2" xfId="2262"/>
    <cellStyle name="Normal 2 4 4 2 3 2 2" xfId="18824"/>
    <cellStyle name="Normal 2 4 4 2 3 2 2 2" xfId="18825"/>
    <cellStyle name="Normal 2 4 4 2 3 2 2 2 2" xfId="36135"/>
    <cellStyle name="Normal 2 4 4 2 3 2 2 3" xfId="36136"/>
    <cellStyle name="Normal 2 4 4 2 3 2 3" xfId="18826"/>
    <cellStyle name="Normal 2 4 4 2 3 2 3 2" xfId="18827"/>
    <cellStyle name="Normal 2 4 4 2 3 2 3 2 2" xfId="36137"/>
    <cellStyle name="Normal 2 4 4 2 3 2 3 3" xfId="36138"/>
    <cellStyle name="Normal 2 4 4 2 3 2 4" xfId="18828"/>
    <cellStyle name="Normal 2 4 4 2 3 2 4 2" xfId="18829"/>
    <cellStyle name="Normal 2 4 4 2 3 2 4 2 2" xfId="36139"/>
    <cellStyle name="Normal 2 4 4 2 3 2 4 3" xfId="36140"/>
    <cellStyle name="Normal 2 4 4 2 3 2 5" xfId="18830"/>
    <cellStyle name="Normal 2 4 4 2 3 2 5 2" xfId="36141"/>
    <cellStyle name="Normal 2 4 4 2 3 2 6" xfId="18831"/>
    <cellStyle name="Normal 2 4 4 2 3 3" xfId="18832"/>
    <cellStyle name="Normal 2 4 4 2 3 3 2" xfId="18833"/>
    <cellStyle name="Normal 2 4 4 2 3 3 2 2" xfId="36142"/>
    <cellStyle name="Normal 2 4 4 2 3 3 3" xfId="36143"/>
    <cellStyle name="Normal 2 4 4 2 3 4" xfId="18834"/>
    <cellStyle name="Normal 2 4 4 2 3 4 2" xfId="18835"/>
    <cellStyle name="Normal 2 4 4 2 3 4 2 2" xfId="36144"/>
    <cellStyle name="Normal 2 4 4 2 3 4 3" xfId="36145"/>
    <cellStyle name="Normal 2 4 4 2 3 5" xfId="18836"/>
    <cellStyle name="Normal 2 4 4 2 3 5 2" xfId="18837"/>
    <cellStyle name="Normal 2 4 4 2 3 5 2 2" xfId="36146"/>
    <cellStyle name="Normal 2 4 4 2 3 5 3" xfId="36147"/>
    <cellStyle name="Normal 2 4 4 2 3 6" xfId="18838"/>
    <cellStyle name="Normal 2 4 4 2 3 6 2" xfId="36148"/>
    <cellStyle name="Normal 2 4 4 2 3 7" xfId="18839"/>
    <cellStyle name="Normal 2 4 4 2 4" xfId="2263"/>
    <cellStyle name="Normal 2 4 4 2 4 2" xfId="18840"/>
    <cellStyle name="Normal 2 4 4 2 4 2 2" xfId="18841"/>
    <cellStyle name="Normal 2 4 4 2 4 2 2 2" xfId="36149"/>
    <cellStyle name="Normal 2 4 4 2 4 2 3" xfId="36150"/>
    <cellStyle name="Normal 2 4 4 2 4 3" xfId="18842"/>
    <cellStyle name="Normal 2 4 4 2 4 3 2" xfId="18843"/>
    <cellStyle name="Normal 2 4 4 2 4 3 2 2" xfId="36151"/>
    <cellStyle name="Normal 2 4 4 2 4 3 3" xfId="36152"/>
    <cellStyle name="Normal 2 4 4 2 4 4" xfId="18844"/>
    <cellStyle name="Normal 2 4 4 2 4 4 2" xfId="18845"/>
    <cellStyle name="Normal 2 4 4 2 4 4 2 2" xfId="36153"/>
    <cellStyle name="Normal 2 4 4 2 4 4 3" xfId="36154"/>
    <cellStyle name="Normal 2 4 4 2 4 5" xfId="18846"/>
    <cellStyle name="Normal 2 4 4 2 4 5 2" xfId="36155"/>
    <cellStyle name="Normal 2 4 4 2 4 6" xfId="18847"/>
    <cellStyle name="Normal 2 4 4 2 5" xfId="18848"/>
    <cellStyle name="Normal 2 4 4 2 5 2" xfId="18849"/>
    <cellStyle name="Normal 2 4 4 2 5 2 2" xfId="36156"/>
    <cellStyle name="Normal 2 4 4 2 5 3" xfId="36157"/>
    <cellStyle name="Normal 2 4 4 2 6" xfId="18850"/>
    <cellStyle name="Normal 2 4 4 2 6 2" xfId="18851"/>
    <cellStyle name="Normal 2 4 4 2 6 2 2" xfId="36158"/>
    <cellStyle name="Normal 2 4 4 2 6 3" xfId="36159"/>
    <cellStyle name="Normal 2 4 4 2 7" xfId="18852"/>
    <cellStyle name="Normal 2 4 4 2 7 2" xfId="18853"/>
    <cellStyle name="Normal 2 4 4 2 7 2 2" xfId="36160"/>
    <cellStyle name="Normal 2 4 4 2 7 3" xfId="36161"/>
    <cellStyle name="Normal 2 4 4 2 8" xfId="18854"/>
    <cellStyle name="Normal 2 4 4 2 8 2" xfId="36162"/>
    <cellStyle name="Normal 2 4 4 2 9" xfId="18855"/>
    <cellStyle name="Normal 2 4 4 3" xfId="1021"/>
    <cellStyle name="Normal 2 4 4 3 2" xfId="2264"/>
    <cellStyle name="Normal 2 4 4 3 2 2" xfId="18856"/>
    <cellStyle name="Normal 2 4 4 3 2 2 2" xfId="18857"/>
    <cellStyle name="Normal 2 4 4 3 2 2 2 2" xfId="36163"/>
    <cellStyle name="Normal 2 4 4 3 2 2 3" xfId="36164"/>
    <cellStyle name="Normal 2 4 4 3 2 3" xfId="18858"/>
    <cellStyle name="Normal 2 4 4 3 2 3 2" xfId="18859"/>
    <cellStyle name="Normal 2 4 4 3 2 3 2 2" xfId="36165"/>
    <cellStyle name="Normal 2 4 4 3 2 3 3" xfId="36166"/>
    <cellStyle name="Normal 2 4 4 3 2 4" xfId="18860"/>
    <cellStyle name="Normal 2 4 4 3 2 4 2" xfId="18861"/>
    <cellStyle name="Normal 2 4 4 3 2 4 2 2" xfId="36167"/>
    <cellStyle name="Normal 2 4 4 3 2 4 3" xfId="36168"/>
    <cellStyle name="Normal 2 4 4 3 2 5" xfId="18862"/>
    <cellStyle name="Normal 2 4 4 3 2 5 2" xfId="36169"/>
    <cellStyle name="Normal 2 4 4 3 2 6" xfId="18863"/>
    <cellStyle name="Normal 2 4 4 3 3" xfId="18864"/>
    <cellStyle name="Normal 2 4 4 3 3 2" xfId="18865"/>
    <cellStyle name="Normal 2 4 4 3 3 2 2" xfId="36170"/>
    <cellStyle name="Normal 2 4 4 3 3 3" xfId="36171"/>
    <cellStyle name="Normal 2 4 4 3 4" xfId="18866"/>
    <cellStyle name="Normal 2 4 4 3 4 2" xfId="18867"/>
    <cellStyle name="Normal 2 4 4 3 4 2 2" xfId="36172"/>
    <cellStyle name="Normal 2 4 4 3 4 3" xfId="36173"/>
    <cellStyle name="Normal 2 4 4 3 5" xfId="18868"/>
    <cellStyle name="Normal 2 4 4 3 5 2" xfId="18869"/>
    <cellStyle name="Normal 2 4 4 3 5 2 2" xfId="36174"/>
    <cellStyle name="Normal 2 4 4 3 5 3" xfId="36175"/>
    <cellStyle name="Normal 2 4 4 3 6" xfId="18870"/>
    <cellStyle name="Normal 2 4 4 3 6 2" xfId="36176"/>
    <cellStyle name="Normal 2 4 4 3 7" xfId="18871"/>
    <cellStyle name="Normal 2 4 4 4" xfId="653"/>
    <cellStyle name="Normal 2 4 4 4 2" xfId="2265"/>
    <cellStyle name="Normal 2 4 4 4 2 2" xfId="18872"/>
    <cellStyle name="Normal 2 4 4 4 2 2 2" xfId="18873"/>
    <cellStyle name="Normal 2 4 4 4 2 2 2 2" xfId="36177"/>
    <cellStyle name="Normal 2 4 4 4 2 2 3" xfId="36178"/>
    <cellStyle name="Normal 2 4 4 4 2 3" xfId="18874"/>
    <cellStyle name="Normal 2 4 4 4 2 3 2" xfId="18875"/>
    <cellStyle name="Normal 2 4 4 4 2 3 2 2" xfId="36179"/>
    <cellStyle name="Normal 2 4 4 4 2 3 3" xfId="36180"/>
    <cellStyle name="Normal 2 4 4 4 2 4" xfId="18876"/>
    <cellStyle name="Normal 2 4 4 4 2 4 2" xfId="18877"/>
    <cellStyle name="Normal 2 4 4 4 2 4 2 2" xfId="36181"/>
    <cellStyle name="Normal 2 4 4 4 2 4 3" xfId="36182"/>
    <cellStyle name="Normal 2 4 4 4 2 5" xfId="18878"/>
    <cellStyle name="Normal 2 4 4 4 2 5 2" xfId="36183"/>
    <cellStyle name="Normal 2 4 4 4 2 6" xfId="18879"/>
    <cellStyle name="Normal 2 4 4 4 3" xfId="18880"/>
    <cellStyle name="Normal 2 4 4 4 3 2" xfId="18881"/>
    <cellStyle name="Normal 2 4 4 4 3 2 2" xfId="36184"/>
    <cellStyle name="Normal 2 4 4 4 3 3" xfId="36185"/>
    <cellStyle name="Normal 2 4 4 4 4" xfId="18882"/>
    <cellStyle name="Normal 2 4 4 4 4 2" xfId="18883"/>
    <cellStyle name="Normal 2 4 4 4 4 2 2" xfId="36186"/>
    <cellStyle name="Normal 2 4 4 4 4 3" xfId="36187"/>
    <cellStyle name="Normal 2 4 4 4 5" xfId="18884"/>
    <cellStyle name="Normal 2 4 4 4 5 2" xfId="18885"/>
    <cellStyle name="Normal 2 4 4 4 5 2 2" xfId="36188"/>
    <cellStyle name="Normal 2 4 4 4 5 3" xfId="36189"/>
    <cellStyle name="Normal 2 4 4 4 6" xfId="18886"/>
    <cellStyle name="Normal 2 4 4 4 6 2" xfId="36190"/>
    <cellStyle name="Normal 2 4 4 4 7" xfId="18887"/>
    <cellStyle name="Normal 2 4 4 5" xfId="2266"/>
    <cellStyle name="Normal 2 4 4 5 2" xfId="18888"/>
    <cellStyle name="Normal 2 4 4 5 2 2" xfId="18889"/>
    <cellStyle name="Normal 2 4 4 5 2 2 2" xfId="36191"/>
    <cellStyle name="Normal 2 4 4 5 2 3" xfId="36192"/>
    <cellStyle name="Normal 2 4 4 5 3" xfId="18890"/>
    <cellStyle name="Normal 2 4 4 5 3 2" xfId="18891"/>
    <cellStyle name="Normal 2 4 4 5 3 2 2" xfId="36193"/>
    <cellStyle name="Normal 2 4 4 5 3 3" xfId="36194"/>
    <cellStyle name="Normal 2 4 4 5 4" xfId="18892"/>
    <cellStyle name="Normal 2 4 4 5 4 2" xfId="18893"/>
    <cellStyle name="Normal 2 4 4 5 4 2 2" xfId="36195"/>
    <cellStyle name="Normal 2 4 4 5 4 3" xfId="36196"/>
    <cellStyle name="Normal 2 4 4 5 5" xfId="18894"/>
    <cellStyle name="Normal 2 4 4 5 5 2" xfId="36197"/>
    <cellStyle name="Normal 2 4 4 5 6" xfId="18895"/>
    <cellStyle name="Normal 2 4 4 6" xfId="18896"/>
    <cellStyle name="Normal 2 4 4 6 2" xfId="18897"/>
    <cellStyle name="Normal 2 4 4 6 2 2" xfId="36198"/>
    <cellStyle name="Normal 2 4 4 6 3" xfId="36199"/>
    <cellStyle name="Normal 2 4 4 7" xfId="18898"/>
    <cellStyle name="Normal 2 4 4 7 2" xfId="18899"/>
    <cellStyle name="Normal 2 4 4 7 2 2" xfId="36200"/>
    <cellStyle name="Normal 2 4 4 7 3" xfId="36201"/>
    <cellStyle name="Normal 2 4 4 8" xfId="18900"/>
    <cellStyle name="Normal 2 4 4 8 2" xfId="18901"/>
    <cellStyle name="Normal 2 4 4 8 2 2" xfId="36202"/>
    <cellStyle name="Normal 2 4 4 8 3" xfId="36203"/>
    <cellStyle name="Normal 2 4 4 9" xfId="18902"/>
    <cellStyle name="Normal 2 4 4 9 2" xfId="36204"/>
    <cellStyle name="Normal 2 4 5" xfId="284"/>
    <cellStyle name="Normal 2 4 5 10" xfId="18903"/>
    <cellStyle name="Normal 2 4 5 2" xfId="442"/>
    <cellStyle name="Normal 2 4 5 2 2" xfId="1230"/>
    <cellStyle name="Normal 2 4 5 2 2 2" xfId="2267"/>
    <cellStyle name="Normal 2 4 5 2 2 2 2" xfId="18904"/>
    <cellStyle name="Normal 2 4 5 2 2 2 2 2" xfId="18905"/>
    <cellStyle name="Normal 2 4 5 2 2 2 2 2 2" xfId="36205"/>
    <cellStyle name="Normal 2 4 5 2 2 2 2 3" xfId="36206"/>
    <cellStyle name="Normal 2 4 5 2 2 2 3" xfId="18906"/>
    <cellStyle name="Normal 2 4 5 2 2 2 3 2" xfId="18907"/>
    <cellStyle name="Normal 2 4 5 2 2 2 3 2 2" xfId="36207"/>
    <cellStyle name="Normal 2 4 5 2 2 2 3 3" xfId="36208"/>
    <cellStyle name="Normal 2 4 5 2 2 2 4" xfId="18908"/>
    <cellStyle name="Normal 2 4 5 2 2 2 4 2" xfId="18909"/>
    <cellStyle name="Normal 2 4 5 2 2 2 4 2 2" xfId="36209"/>
    <cellStyle name="Normal 2 4 5 2 2 2 4 3" xfId="36210"/>
    <cellStyle name="Normal 2 4 5 2 2 2 5" xfId="18910"/>
    <cellStyle name="Normal 2 4 5 2 2 2 5 2" xfId="36211"/>
    <cellStyle name="Normal 2 4 5 2 2 2 6" xfId="18911"/>
    <cellStyle name="Normal 2 4 5 2 2 3" xfId="18912"/>
    <cellStyle name="Normal 2 4 5 2 2 3 2" xfId="18913"/>
    <cellStyle name="Normal 2 4 5 2 2 3 2 2" xfId="36212"/>
    <cellStyle name="Normal 2 4 5 2 2 3 3" xfId="36213"/>
    <cellStyle name="Normal 2 4 5 2 2 4" xfId="18914"/>
    <cellStyle name="Normal 2 4 5 2 2 4 2" xfId="18915"/>
    <cellStyle name="Normal 2 4 5 2 2 4 2 2" xfId="36214"/>
    <cellStyle name="Normal 2 4 5 2 2 4 3" xfId="36215"/>
    <cellStyle name="Normal 2 4 5 2 2 5" xfId="18916"/>
    <cellStyle name="Normal 2 4 5 2 2 5 2" xfId="18917"/>
    <cellStyle name="Normal 2 4 5 2 2 5 2 2" xfId="36216"/>
    <cellStyle name="Normal 2 4 5 2 2 5 3" xfId="36217"/>
    <cellStyle name="Normal 2 4 5 2 2 6" xfId="18918"/>
    <cellStyle name="Normal 2 4 5 2 2 6 2" xfId="36218"/>
    <cellStyle name="Normal 2 4 5 2 2 7" xfId="18919"/>
    <cellStyle name="Normal 2 4 5 2 3" xfId="862"/>
    <cellStyle name="Normal 2 4 5 2 3 2" xfId="2268"/>
    <cellStyle name="Normal 2 4 5 2 3 2 2" xfId="18920"/>
    <cellStyle name="Normal 2 4 5 2 3 2 2 2" xfId="18921"/>
    <cellStyle name="Normal 2 4 5 2 3 2 2 2 2" xfId="36219"/>
    <cellStyle name="Normal 2 4 5 2 3 2 2 3" xfId="36220"/>
    <cellStyle name="Normal 2 4 5 2 3 2 3" xfId="18922"/>
    <cellStyle name="Normal 2 4 5 2 3 2 3 2" xfId="18923"/>
    <cellStyle name="Normal 2 4 5 2 3 2 3 2 2" xfId="36221"/>
    <cellStyle name="Normal 2 4 5 2 3 2 3 3" xfId="36222"/>
    <cellStyle name="Normal 2 4 5 2 3 2 4" xfId="18924"/>
    <cellStyle name="Normal 2 4 5 2 3 2 4 2" xfId="18925"/>
    <cellStyle name="Normal 2 4 5 2 3 2 4 2 2" xfId="36223"/>
    <cellStyle name="Normal 2 4 5 2 3 2 4 3" xfId="36224"/>
    <cellStyle name="Normal 2 4 5 2 3 2 5" xfId="18926"/>
    <cellStyle name="Normal 2 4 5 2 3 2 5 2" xfId="36225"/>
    <cellStyle name="Normal 2 4 5 2 3 2 6" xfId="18927"/>
    <cellStyle name="Normal 2 4 5 2 3 3" xfId="18928"/>
    <cellStyle name="Normal 2 4 5 2 3 3 2" xfId="18929"/>
    <cellStyle name="Normal 2 4 5 2 3 3 2 2" xfId="36226"/>
    <cellStyle name="Normal 2 4 5 2 3 3 3" xfId="36227"/>
    <cellStyle name="Normal 2 4 5 2 3 4" xfId="18930"/>
    <cellStyle name="Normal 2 4 5 2 3 4 2" xfId="18931"/>
    <cellStyle name="Normal 2 4 5 2 3 4 2 2" xfId="36228"/>
    <cellStyle name="Normal 2 4 5 2 3 4 3" xfId="36229"/>
    <cellStyle name="Normal 2 4 5 2 3 5" xfId="18932"/>
    <cellStyle name="Normal 2 4 5 2 3 5 2" xfId="18933"/>
    <cellStyle name="Normal 2 4 5 2 3 5 2 2" xfId="36230"/>
    <cellStyle name="Normal 2 4 5 2 3 5 3" xfId="36231"/>
    <cellStyle name="Normal 2 4 5 2 3 6" xfId="18934"/>
    <cellStyle name="Normal 2 4 5 2 3 6 2" xfId="36232"/>
    <cellStyle name="Normal 2 4 5 2 3 7" xfId="18935"/>
    <cellStyle name="Normal 2 4 5 2 4" xfId="2269"/>
    <cellStyle name="Normal 2 4 5 2 4 2" xfId="18936"/>
    <cellStyle name="Normal 2 4 5 2 4 2 2" xfId="18937"/>
    <cellStyle name="Normal 2 4 5 2 4 2 2 2" xfId="36233"/>
    <cellStyle name="Normal 2 4 5 2 4 2 3" xfId="36234"/>
    <cellStyle name="Normal 2 4 5 2 4 3" xfId="18938"/>
    <cellStyle name="Normal 2 4 5 2 4 3 2" xfId="18939"/>
    <cellStyle name="Normal 2 4 5 2 4 3 2 2" xfId="36235"/>
    <cellStyle name="Normal 2 4 5 2 4 3 3" xfId="36236"/>
    <cellStyle name="Normal 2 4 5 2 4 4" xfId="18940"/>
    <cellStyle name="Normal 2 4 5 2 4 4 2" xfId="18941"/>
    <cellStyle name="Normal 2 4 5 2 4 4 2 2" xfId="36237"/>
    <cellStyle name="Normal 2 4 5 2 4 4 3" xfId="36238"/>
    <cellStyle name="Normal 2 4 5 2 4 5" xfId="18942"/>
    <cellStyle name="Normal 2 4 5 2 4 5 2" xfId="36239"/>
    <cellStyle name="Normal 2 4 5 2 4 6" xfId="18943"/>
    <cellStyle name="Normal 2 4 5 2 5" xfId="18944"/>
    <cellStyle name="Normal 2 4 5 2 5 2" xfId="18945"/>
    <cellStyle name="Normal 2 4 5 2 5 2 2" xfId="36240"/>
    <cellStyle name="Normal 2 4 5 2 5 3" xfId="36241"/>
    <cellStyle name="Normal 2 4 5 2 6" xfId="18946"/>
    <cellStyle name="Normal 2 4 5 2 6 2" xfId="18947"/>
    <cellStyle name="Normal 2 4 5 2 6 2 2" xfId="36242"/>
    <cellStyle name="Normal 2 4 5 2 6 3" xfId="36243"/>
    <cellStyle name="Normal 2 4 5 2 7" xfId="18948"/>
    <cellStyle name="Normal 2 4 5 2 7 2" xfId="18949"/>
    <cellStyle name="Normal 2 4 5 2 7 2 2" xfId="36244"/>
    <cellStyle name="Normal 2 4 5 2 7 3" xfId="36245"/>
    <cellStyle name="Normal 2 4 5 2 8" xfId="18950"/>
    <cellStyle name="Normal 2 4 5 2 8 2" xfId="36246"/>
    <cellStyle name="Normal 2 4 5 2 9" xfId="18951"/>
    <cellStyle name="Normal 2 4 5 3" xfId="1072"/>
    <cellStyle name="Normal 2 4 5 3 2" xfId="2270"/>
    <cellStyle name="Normal 2 4 5 3 2 2" xfId="18952"/>
    <cellStyle name="Normal 2 4 5 3 2 2 2" xfId="18953"/>
    <cellStyle name="Normal 2 4 5 3 2 2 2 2" xfId="36247"/>
    <cellStyle name="Normal 2 4 5 3 2 2 3" xfId="36248"/>
    <cellStyle name="Normal 2 4 5 3 2 3" xfId="18954"/>
    <cellStyle name="Normal 2 4 5 3 2 3 2" xfId="18955"/>
    <cellStyle name="Normal 2 4 5 3 2 3 2 2" xfId="36249"/>
    <cellStyle name="Normal 2 4 5 3 2 3 3" xfId="36250"/>
    <cellStyle name="Normal 2 4 5 3 2 4" xfId="18956"/>
    <cellStyle name="Normal 2 4 5 3 2 4 2" xfId="18957"/>
    <cellStyle name="Normal 2 4 5 3 2 4 2 2" xfId="36251"/>
    <cellStyle name="Normal 2 4 5 3 2 4 3" xfId="36252"/>
    <cellStyle name="Normal 2 4 5 3 2 5" xfId="18958"/>
    <cellStyle name="Normal 2 4 5 3 2 5 2" xfId="36253"/>
    <cellStyle name="Normal 2 4 5 3 2 6" xfId="18959"/>
    <cellStyle name="Normal 2 4 5 3 3" xfId="18960"/>
    <cellStyle name="Normal 2 4 5 3 3 2" xfId="18961"/>
    <cellStyle name="Normal 2 4 5 3 3 2 2" xfId="36254"/>
    <cellStyle name="Normal 2 4 5 3 3 3" xfId="36255"/>
    <cellStyle name="Normal 2 4 5 3 4" xfId="18962"/>
    <cellStyle name="Normal 2 4 5 3 4 2" xfId="18963"/>
    <cellStyle name="Normal 2 4 5 3 4 2 2" xfId="36256"/>
    <cellStyle name="Normal 2 4 5 3 4 3" xfId="36257"/>
    <cellStyle name="Normal 2 4 5 3 5" xfId="18964"/>
    <cellStyle name="Normal 2 4 5 3 5 2" xfId="18965"/>
    <cellStyle name="Normal 2 4 5 3 5 2 2" xfId="36258"/>
    <cellStyle name="Normal 2 4 5 3 5 3" xfId="36259"/>
    <cellStyle name="Normal 2 4 5 3 6" xfId="18966"/>
    <cellStyle name="Normal 2 4 5 3 6 2" xfId="36260"/>
    <cellStyle name="Normal 2 4 5 3 7" xfId="18967"/>
    <cellStyle name="Normal 2 4 5 4" xfId="704"/>
    <cellStyle name="Normal 2 4 5 4 2" xfId="2271"/>
    <cellStyle name="Normal 2 4 5 4 2 2" xfId="18968"/>
    <cellStyle name="Normal 2 4 5 4 2 2 2" xfId="18969"/>
    <cellStyle name="Normal 2 4 5 4 2 2 2 2" xfId="36261"/>
    <cellStyle name="Normal 2 4 5 4 2 2 3" xfId="36262"/>
    <cellStyle name="Normal 2 4 5 4 2 3" xfId="18970"/>
    <cellStyle name="Normal 2 4 5 4 2 3 2" xfId="18971"/>
    <cellStyle name="Normal 2 4 5 4 2 3 2 2" xfId="36263"/>
    <cellStyle name="Normal 2 4 5 4 2 3 3" xfId="36264"/>
    <cellStyle name="Normal 2 4 5 4 2 4" xfId="18972"/>
    <cellStyle name="Normal 2 4 5 4 2 4 2" xfId="18973"/>
    <cellStyle name="Normal 2 4 5 4 2 4 2 2" xfId="36265"/>
    <cellStyle name="Normal 2 4 5 4 2 4 3" xfId="36266"/>
    <cellStyle name="Normal 2 4 5 4 2 5" xfId="18974"/>
    <cellStyle name="Normal 2 4 5 4 2 5 2" xfId="36267"/>
    <cellStyle name="Normal 2 4 5 4 2 6" xfId="18975"/>
    <cellStyle name="Normal 2 4 5 4 3" xfId="18976"/>
    <cellStyle name="Normal 2 4 5 4 3 2" xfId="18977"/>
    <cellStyle name="Normal 2 4 5 4 3 2 2" xfId="36268"/>
    <cellStyle name="Normal 2 4 5 4 3 3" xfId="36269"/>
    <cellStyle name="Normal 2 4 5 4 4" xfId="18978"/>
    <cellStyle name="Normal 2 4 5 4 4 2" xfId="18979"/>
    <cellStyle name="Normal 2 4 5 4 4 2 2" xfId="36270"/>
    <cellStyle name="Normal 2 4 5 4 4 3" xfId="36271"/>
    <cellStyle name="Normal 2 4 5 4 5" xfId="18980"/>
    <cellStyle name="Normal 2 4 5 4 5 2" xfId="18981"/>
    <cellStyle name="Normal 2 4 5 4 5 2 2" xfId="36272"/>
    <cellStyle name="Normal 2 4 5 4 5 3" xfId="36273"/>
    <cellStyle name="Normal 2 4 5 4 6" xfId="18982"/>
    <cellStyle name="Normal 2 4 5 4 6 2" xfId="36274"/>
    <cellStyle name="Normal 2 4 5 4 7" xfId="18983"/>
    <cellStyle name="Normal 2 4 5 5" xfId="2272"/>
    <cellStyle name="Normal 2 4 5 5 2" xfId="18984"/>
    <cellStyle name="Normal 2 4 5 5 2 2" xfId="18985"/>
    <cellStyle name="Normal 2 4 5 5 2 2 2" xfId="36275"/>
    <cellStyle name="Normal 2 4 5 5 2 3" xfId="36276"/>
    <cellStyle name="Normal 2 4 5 5 3" xfId="18986"/>
    <cellStyle name="Normal 2 4 5 5 3 2" xfId="18987"/>
    <cellStyle name="Normal 2 4 5 5 3 2 2" xfId="36277"/>
    <cellStyle name="Normal 2 4 5 5 3 3" xfId="36278"/>
    <cellStyle name="Normal 2 4 5 5 4" xfId="18988"/>
    <cellStyle name="Normal 2 4 5 5 4 2" xfId="18989"/>
    <cellStyle name="Normal 2 4 5 5 4 2 2" xfId="36279"/>
    <cellStyle name="Normal 2 4 5 5 4 3" xfId="36280"/>
    <cellStyle name="Normal 2 4 5 5 5" xfId="18990"/>
    <cellStyle name="Normal 2 4 5 5 5 2" xfId="36281"/>
    <cellStyle name="Normal 2 4 5 5 6" xfId="18991"/>
    <cellStyle name="Normal 2 4 5 6" xfId="18992"/>
    <cellStyle name="Normal 2 4 5 6 2" xfId="18993"/>
    <cellStyle name="Normal 2 4 5 6 2 2" xfId="36282"/>
    <cellStyle name="Normal 2 4 5 6 3" xfId="36283"/>
    <cellStyle name="Normal 2 4 5 7" xfId="18994"/>
    <cellStyle name="Normal 2 4 5 7 2" xfId="18995"/>
    <cellStyle name="Normal 2 4 5 7 2 2" xfId="36284"/>
    <cellStyle name="Normal 2 4 5 7 3" xfId="36285"/>
    <cellStyle name="Normal 2 4 5 8" xfId="18996"/>
    <cellStyle name="Normal 2 4 5 8 2" xfId="18997"/>
    <cellStyle name="Normal 2 4 5 8 2 2" xfId="36286"/>
    <cellStyle name="Normal 2 4 5 8 3" xfId="36287"/>
    <cellStyle name="Normal 2 4 5 9" xfId="18998"/>
    <cellStyle name="Normal 2 4 5 9 2" xfId="36288"/>
    <cellStyle name="Normal 2 4 6" xfId="144"/>
    <cellStyle name="Normal 2 4 6 2" xfId="932"/>
    <cellStyle name="Normal 2 4 6 2 2" xfId="2273"/>
    <cellStyle name="Normal 2 4 6 2 2 2" xfId="18999"/>
    <cellStyle name="Normal 2 4 6 2 2 2 2" xfId="19000"/>
    <cellStyle name="Normal 2 4 6 2 2 2 2 2" xfId="36289"/>
    <cellStyle name="Normal 2 4 6 2 2 2 3" xfId="36290"/>
    <cellStyle name="Normal 2 4 6 2 2 3" xfId="19001"/>
    <cellStyle name="Normal 2 4 6 2 2 3 2" xfId="19002"/>
    <cellStyle name="Normal 2 4 6 2 2 3 2 2" xfId="36291"/>
    <cellStyle name="Normal 2 4 6 2 2 3 3" xfId="36292"/>
    <cellStyle name="Normal 2 4 6 2 2 4" xfId="19003"/>
    <cellStyle name="Normal 2 4 6 2 2 4 2" xfId="19004"/>
    <cellStyle name="Normal 2 4 6 2 2 4 2 2" xfId="36293"/>
    <cellStyle name="Normal 2 4 6 2 2 4 3" xfId="36294"/>
    <cellStyle name="Normal 2 4 6 2 2 5" xfId="19005"/>
    <cellStyle name="Normal 2 4 6 2 2 5 2" xfId="36295"/>
    <cellStyle name="Normal 2 4 6 2 2 6" xfId="19006"/>
    <cellStyle name="Normal 2 4 6 2 3" xfId="19007"/>
    <cellStyle name="Normal 2 4 6 2 3 2" xfId="19008"/>
    <cellStyle name="Normal 2 4 6 2 3 2 2" xfId="36296"/>
    <cellStyle name="Normal 2 4 6 2 3 3" xfId="36297"/>
    <cellStyle name="Normal 2 4 6 2 4" xfId="19009"/>
    <cellStyle name="Normal 2 4 6 2 4 2" xfId="19010"/>
    <cellStyle name="Normal 2 4 6 2 4 2 2" xfId="36298"/>
    <cellStyle name="Normal 2 4 6 2 4 3" xfId="36299"/>
    <cellStyle name="Normal 2 4 6 2 5" xfId="19011"/>
    <cellStyle name="Normal 2 4 6 2 5 2" xfId="19012"/>
    <cellStyle name="Normal 2 4 6 2 5 2 2" xfId="36300"/>
    <cellStyle name="Normal 2 4 6 2 5 3" xfId="36301"/>
    <cellStyle name="Normal 2 4 6 2 6" xfId="19013"/>
    <cellStyle name="Normal 2 4 6 2 6 2" xfId="36302"/>
    <cellStyle name="Normal 2 4 6 2 7" xfId="19014"/>
    <cellStyle name="Normal 2 4 6 3" xfId="564"/>
    <cellStyle name="Normal 2 4 6 3 2" xfId="2274"/>
    <cellStyle name="Normal 2 4 6 3 2 2" xfId="19015"/>
    <cellStyle name="Normal 2 4 6 3 2 2 2" xfId="19016"/>
    <cellStyle name="Normal 2 4 6 3 2 2 2 2" xfId="36303"/>
    <cellStyle name="Normal 2 4 6 3 2 2 3" xfId="36304"/>
    <cellStyle name="Normal 2 4 6 3 2 3" xfId="19017"/>
    <cellStyle name="Normal 2 4 6 3 2 3 2" xfId="19018"/>
    <cellStyle name="Normal 2 4 6 3 2 3 2 2" xfId="36305"/>
    <cellStyle name="Normal 2 4 6 3 2 3 3" xfId="36306"/>
    <cellStyle name="Normal 2 4 6 3 2 4" xfId="19019"/>
    <cellStyle name="Normal 2 4 6 3 2 4 2" xfId="19020"/>
    <cellStyle name="Normal 2 4 6 3 2 4 2 2" xfId="36307"/>
    <cellStyle name="Normal 2 4 6 3 2 4 3" xfId="36308"/>
    <cellStyle name="Normal 2 4 6 3 2 5" xfId="19021"/>
    <cellStyle name="Normal 2 4 6 3 2 5 2" xfId="36309"/>
    <cellStyle name="Normal 2 4 6 3 2 6" xfId="19022"/>
    <cellStyle name="Normal 2 4 6 3 3" xfId="19023"/>
    <cellStyle name="Normal 2 4 6 3 3 2" xfId="19024"/>
    <cellStyle name="Normal 2 4 6 3 3 2 2" xfId="36310"/>
    <cellStyle name="Normal 2 4 6 3 3 3" xfId="36311"/>
    <cellStyle name="Normal 2 4 6 3 4" xfId="19025"/>
    <cellStyle name="Normal 2 4 6 3 4 2" xfId="19026"/>
    <cellStyle name="Normal 2 4 6 3 4 2 2" xfId="36312"/>
    <cellStyle name="Normal 2 4 6 3 4 3" xfId="36313"/>
    <cellStyle name="Normal 2 4 6 3 5" xfId="19027"/>
    <cellStyle name="Normal 2 4 6 3 5 2" xfId="19028"/>
    <cellStyle name="Normal 2 4 6 3 5 2 2" xfId="36314"/>
    <cellStyle name="Normal 2 4 6 3 5 3" xfId="36315"/>
    <cellStyle name="Normal 2 4 6 3 6" xfId="19029"/>
    <cellStyle name="Normal 2 4 6 3 6 2" xfId="36316"/>
    <cellStyle name="Normal 2 4 6 3 7" xfId="19030"/>
    <cellStyle name="Normal 2 4 6 4" xfId="2275"/>
    <cellStyle name="Normal 2 4 6 4 2" xfId="19031"/>
    <cellStyle name="Normal 2 4 6 4 2 2" xfId="19032"/>
    <cellStyle name="Normal 2 4 6 4 2 2 2" xfId="36317"/>
    <cellStyle name="Normal 2 4 6 4 2 3" xfId="36318"/>
    <cellStyle name="Normal 2 4 6 4 3" xfId="19033"/>
    <cellStyle name="Normal 2 4 6 4 3 2" xfId="19034"/>
    <cellStyle name="Normal 2 4 6 4 3 2 2" xfId="36319"/>
    <cellStyle name="Normal 2 4 6 4 3 3" xfId="36320"/>
    <cellStyle name="Normal 2 4 6 4 4" xfId="19035"/>
    <cellStyle name="Normal 2 4 6 4 4 2" xfId="19036"/>
    <cellStyle name="Normal 2 4 6 4 4 2 2" xfId="36321"/>
    <cellStyle name="Normal 2 4 6 4 4 3" xfId="36322"/>
    <cellStyle name="Normal 2 4 6 4 5" xfId="19037"/>
    <cellStyle name="Normal 2 4 6 4 5 2" xfId="36323"/>
    <cellStyle name="Normal 2 4 6 4 6" xfId="19038"/>
    <cellStyle name="Normal 2 4 6 5" xfId="19039"/>
    <cellStyle name="Normal 2 4 6 5 2" xfId="19040"/>
    <cellStyle name="Normal 2 4 6 5 2 2" xfId="36324"/>
    <cellStyle name="Normal 2 4 6 5 3" xfId="36325"/>
    <cellStyle name="Normal 2 4 6 6" xfId="19041"/>
    <cellStyle name="Normal 2 4 6 6 2" xfId="19042"/>
    <cellStyle name="Normal 2 4 6 6 2 2" xfId="36326"/>
    <cellStyle name="Normal 2 4 6 6 3" xfId="36327"/>
    <cellStyle name="Normal 2 4 6 7" xfId="19043"/>
    <cellStyle name="Normal 2 4 6 7 2" xfId="19044"/>
    <cellStyle name="Normal 2 4 6 7 2 2" xfId="36328"/>
    <cellStyle name="Normal 2 4 6 7 3" xfId="36329"/>
    <cellStyle name="Normal 2 4 6 8" xfId="19045"/>
    <cellStyle name="Normal 2 4 6 8 2" xfId="36330"/>
    <cellStyle name="Normal 2 4 6 9" xfId="19046"/>
    <cellStyle name="Normal 2 4 7" xfId="302"/>
    <cellStyle name="Normal 2 4 7 2" xfId="1090"/>
    <cellStyle name="Normal 2 4 7 2 2" xfId="2276"/>
    <cellStyle name="Normal 2 4 7 2 2 2" xfId="19047"/>
    <cellStyle name="Normal 2 4 7 2 2 2 2" xfId="19048"/>
    <cellStyle name="Normal 2 4 7 2 2 2 2 2" xfId="36331"/>
    <cellStyle name="Normal 2 4 7 2 2 2 3" xfId="36332"/>
    <cellStyle name="Normal 2 4 7 2 2 3" xfId="19049"/>
    <cellStyle name="Normal 2 4 7 2 2 3 2" xfId="19050"/>
    <cellStyle name="Normal 2 4 7 2 2 3 2 2" xfId="36333"/>
    <cellStyle name="Normal 2 4 7 2 2 3 3" xfId="36334"/>
    <cellStyle name="Normal 2 4 7 2 2 4" xfId="19051"/>
    <cellStyle name="Normal 2 4 7 2 2 4 2" xfId="19052"/>
    <cellStyle name="Normal 2 4 7 2 2 4 2 2" xfId="36335"/>
    <cellStyle name="Normal 2 4 7 2 2 4 3" xfId="36336"/>
    <cellStyle name="Normal 2 4 7 2 2 5" xfId="19053"/>
    <cellStyle name="Normal 2 4 7 2 2 5 2" xfId="36337"/>
    <cellStyle name="Normal 2 4 7 2 2 6" xfId="19054"/>
    <cellStyle name="Normal 2 4 7 2 3" xfId="19055"/>
    <cellStyle name="Normal 2 4 7 2 3 2" xfId="19056"/>
    <cellStyle name="Normal 2 4 7 2 3 2 2" xfId="36338"/>
    <cellStyle name="Normal 2 4 7 2 3 3" xfId="36339"/>
    <cellStyle name="Normal 2 4 7 2 4" xfId="19057"/>
    <cellStyle name="Normal 2 4 7 2 4 2" xfId="19058"/>
    <cellStyle name="Normal 2 4 7 2 4 2 2" xfId="36340"/>
    <cellStyle name="Normal 2 4 7 2 4 3" xfId="36341"/>
    <cellStyle name="Normal 2 4 7 2 5" xfId="19059"/>
    <cellStyle name="Normal 2 4 7 2 5 2" xfId="19060"/>
    <cellStyle name="Normal 2 4 7 2 5 2 2" xfId="36342"/>
    <cellStyle name="Normal 2 4 7 2 5 3" xfId="36343"/>
    <cellStyle name="Normal 2 4 7 2 6" xfId="19061"/>
    <cellStyle name="Normal 2 4 7 2 6 2" xfId="36344"/>
    <cellStyle name="Normal 2 4 7 2 7" xfId="19062"/>
    <cellStyle name="Normal 2 4 7 3" xfId="722"/>
    <cellStyle name="Normal 2 4 7 3 2" xfId="2277"/>
    <cellStyle name="Normal 2 4 7 3 2 2" xfId="19063"/>
    <cellStyle name="Normal 2 4 7 3 2 2 2" xfId="19064"/>
    <cellStyle name="Normal 2 4 7 3 2 2 2 2" xfId="36345"/>
    <cellStyle name="Normal 2 4 7 3 2 2 3" xfId="36346"/>
    <cellStyle name="Normal 2 4 7 3 2 3" xfId="19065"/>
    <cellStyle name="Normal 2 4 7 3 2 3 2" xfId="19066"/>
    <cellStyle name="Normal 2 4 7 3 2 3 2 2" xfId="36347"/>
    <cellStyle name="Normal 2 4 7 3 2 3 3" xfId="36348"/>
    <cellStyle name="Normal 2 4 7 3 2 4" xfId="19067"/>
    <cellStyle name="Normal 2 4 7 3 2 4 2" xfId="19068"/>
    <cellStyle name="Normal 2 4 7 3 2 4 2 2" xfId="36349"/>
    <cellStyle name="Normal 2 4 7 3 2 4 3" xfId="36350"/>
    <cellStyle name="Normal 2 4 7 3 2 5" xfId="19069"/>
    <cellStyle name="Normal 2 4 7 3 2 5 2" xfId="36351"/>
    <cellStyle name="Normal 2 4 7 3 2 6" xfId="19070"/>
    <cellStyle name="Normal 2 4 7 3 3" xfId="19071"/>
    <cellStyle name="Normal 2 4 7 3 3 2" xfId="19072"/>
    <cellStyle name="Normal 2 4 7 3 3 2 2" xfId="36352"/>
    <cellStyle name="Normal 2 4 7 3 3 3" xfId="36353"/>
    <cellStyle name="Normal 2 4 7 3 4" xfId="19073"/>
    <cellStyle name="Normal 2 4 7 3 4 2" xfId="19074"/>
    <cellStyle name="Normal 2 4 7 3 4 2 2" xfId="36354"/>
    <cellStyle name="Normal 2 4 7 3 4 3" xfId="36355"/>
    <cellStyle name="Normal 2 4 7 3 5" xfId="19075"/>
    <cellStyle name="Normal 2 4 7 3 5 2" xfId="19076"/>
    <cellStyle name="Normal 2 4 7 3 5 2 2" xfId="36356"/>
    <cellStyle name="Normal 2 4 7 3 5 3" xfId="36357"/>
    <cellStyle name="Normal 2 4 7 3 6" xfId="19077"/>
    <cellStyle name="Normal 2 4 7 3 6 2" xfId="36358"/>
    <cellStyle name="Normal 2 4 7 3 7" xfId="19078"/>
    <cellStyle name="Normal 2 4 7 4" xfId="2278"/>
    <cellStyle name="Normal 2 4 7 4 2" xfId="19079"/>
    <cellStyle name="Normal 2 4 7 4 2 2" xfId="19080"/>
    <cellStyle name="Normal 2 4 7 4 2 2 2" xfId="36359"/>
    <cellStyle name="Normal 2 4 7 4 2 3" xfId="36360"/>
    <cellStyle name="Normal 2 4 7 4 3" xfId="19081"/>
    <cellStyle name="Normal 2 4 7 4 3 2" xfId="19082"/>
    <cellStyle name="Normal 2 4 7 4 3 2 2" xfId="36361"/>
    <cellStyle name="Normal 2 4 7 4 3 3" xfId="36362"/>
    <cellStyle name="Normal 2 4 7 4 4" xfId="19083"/>
    <cellStyle name="Normal 2 4 7 4 4 2" xfId="19084"/>
    <cellStyle name="Normal 2 4 7 4 4 2 2" xfId="36363"/>
    <cellStyle name="Normal 2 4 7 4 4 3" xfId="36364"/>
    <cellStyle name="Normal 2 4 7 4 5" xfId="19085"/>
    <cellStyle name="Normal 2 4 7 4 5 2" xfId="36365"/>
    <cellStyle name="Normal 2 4 7 4 6" xfId="19086"/>
    <cellStyle name="Normal 2 4 7 5" xfId="19087"/>
    <cellStyle name="Normal 2 4 7 5 2" xfId="19088"/>
    <cellStyle name="Normal 2 4 7 5 2 2" xfId="36366"/>
    <cellStyle name="Normal 2 4 7 5 3" xfId="36367"/>
    <cellStyle name="Normal 2 4 7 6" xfId="19089"/>
    <cellStyle name="Normal 2 4 7 6 2" xfId="19090"/>
    <cellStyle name="Normal 2 4 7 6 2 2" xfId="36368"/>
    <cellStyle name="Normal 2 4 7 6 3" xfId="36369"/>
    <cellStyle name="Normal 2 4 7 7" xfId="19091"/>
    <cellStyle name="Normal 2 4 7 7 2" xfId="19092"/>
    <cellStyle name="Normal 2 4 7 7 2 2" xfId="36370"/>
    <cellStyle name="Normal 2 4 7 7 3" xfId="36371"/>
    <cellStyle name="Normal 2 4 7 8" xfId="19093"/>
    <cellStyle name="Normal 2 4 7 8 2" xfId="36372"/>
    <cellStyle name="Normal 2 4 7 9" xfId="19094"/>
    <cellStyle name="Normal 2 4 8" xfId="91"/>
    <cellStyle name="Normal 2 4 8 2" xfId="512"/>
    <cellStyle name="Normal 2 4 8 2 2" xfId="2279"/>
    <cellStyle name="Normal 2 4 8 2 2 2" xfId="19095"/>
    <cellStyle name="Normal 2 4 8 2 2 2 2" xfId="19096"/>
    <cellStyle name="Normal 2 4 8 2 2 2 2 2" xfId="36373"/>
    <cellStyle name="Normal 2 4 8 2 2 2 3" xfId="36374"/>
    <cellStyle name="Normal 2 4 8 2 2 3" xfId="19097"/>
    <cellStyle name="Normal 2 4 8 2 2 3 2" xfId="19098"/>
    <cellStyle name="Normal 2 4 8 2 2 3 2 2" xfId="36375"/>
    <cellStyle name="Normal 2 4 8 2 2 3 3" xfId="36376"/>
    <cellStyle name="Normal 2 4 8 2 2 4" xfId="19099"/>
    <cellStyle name="Normal 2 4 8 2 2 4 2" xfId="19100"/>
    <cellStyle name="Normal 2 4 8 2 2 4 2 2" xfId="36377"/>
    <cellStyle name="Normal 2 4 8 2 2 4 3" xfId="36378"/>
    <cellStyle name="Normal 2 4 8 2 2 5" xfId="19101"/>
    <cellStyle name="Normal 2 4 8 2 2 5 2" xfId="36379"/>
    <cellStyle name="Normal 2 4 8 2 2 6" xfId="19102"/>
    <cellStyle name="Normal 2 4 8 2 3" xfId="19103"/>
    <cellStyle name="Normal 2 4 8 2 3 2" xfId="19104"/>
    <cellStyle name="Normal 2 4 8 2 3 2 2" xfId="36380"/>
    <cellStyle name="Normal 2 4 8 2 3 3" xfId="36381"/>
    <cellStyle name="Normal 2 4 8 2 4" xfId="19105"/>
    <cellStyle name="Normal 2 4 8 2 4 2" xfId="19106"/>
    <cellStyle name="Normal 2 4 8 2 4 2 2" xfId="36382"/>
    <cellStyle name="Normal 2 4 8 2 4 3" xfId="36383"/>
    <cellStyle name="Normal 2 4 8 2 5" xfId="19107"/>
    <cellStyle name="Normal 2 4 8 2 5 2" xfId="19108"/>
    <cellStyle name="Normal 2 4 8 2 5 2 2" xfId="36384"/>
    <cellStyle name="Normal 2 4 8 2 5 3" xfId="36385"/>
    <cellStyle name="Normal 2 4 8 2 6" xfId="19109"/>
    <cellStyle name="Normal 2 4 8 2 6 2" xfId="36386"/>
    <cellStyle name="Normal 2 4 8 2 7" xfId="19110"/>
    <cellStyle name="Normal 2 4 8 3" xfId="2280"/>
    <cellStyle name="Normal 2 4 8 3 2" xfId="19111"/>
    <cellStyle name="Normal 2 4 8 3 2 2" xfId="19112"/>
    <cellStyle name="Normal 2 4 8 3 2 2 2" xfId="36387"/>
    <cellStyle name="Normal 2 4 8 3 2 3" xfId="36388"/>
    <cellStyle name="Normal 2 4 8 3 3" xfId="19113"/>
    <cellStyle name="Normal 2 4 8 3 3 2" xfId="19114"/>
    <cellStyle name="Normal 2 4 8 3 3 2 2" xfId="36389"/>
    <cellStyle name="Normal 2 4 8 3 3 3" xfId="36390"/>
    <cellStyle name="Normal 2 4 8 3 4" xfId="19115"/>
    <cellStyle name="Normal 2 4 8 3 4 2" xfId="19116"/>
    <cellStyle name="Normal 2 4 8 3 4 2 2" xfId="36391"/>
    <cellStyle name="Normal 2 4 8 3 4 3" xfId="36392"/>
    <cellStyle name="Normal 2 4 8 3 5" xfId="19117"/>
    <cellStyle name="Normal 2 4 8 3 5 2" xfId="36393"/>
    <cellStyle name="Normal 2 4 8 3 6" xfId="19118"/>
    <cellStyle name="Normal 2 4 8 4" xfId="19119"/>
    <cellStyle name="Normal 2 4 8 4 2" xfId="19120"/>
    <cellStyle name="Normal 2 4 8 4 2 2" xfId="36394"/>
    <cellStyle name="Normal 2 4 8 4 3" xfId="36395"/>
    <cellStyle name="Normal 2 4 8 5" xfId="19121"/>
    <cellStyle name="Normal 2 4 8 5 2" xfId="19122"/>
    <cellStyle name="Normal 2 4 8 5 2 2" xfId="36396"/>
    <cellStyle name="Normal 2 4 8 5 3" xfId="36397"/>
    <cellStyle name="Normal 2 4 8 6" xfId="19123"/>
    <cellStyle name="Normal 2 4 8 6 2" xfId="19124"/>
    <cellStyle name="Normal 2 4 8 6 2 2" xfId="36398"/>
    <cellStyle name="Normal 2 4 8 6 3" xfId="36399"/>
    <cellStyle name="Normal 2 4 8 7" xfId="19125"/>
    <cellStyle name="Normal 2 4 8 7 2" xfId="36400"/>
    <cellStyle name="Normal 2 4 8 8" xfId="19126"/>
    <cellStyle name="Normal 2 4 9" xfId="880"/>
    <cellStyle name="Normal 2 4 9 2" xfId="2281"/>
    <cellStyle name="Normal 2 4 9 2 2" xfId="19127"/>
    <cellStyle name="Normal 2 4 9 2 2 2" xfId="19128"/>
    <cellStyle name="Normal 2 4 9 2 2 2 2" xfId="36401"/>
    <cellStyle name="Normal 2 4 9 2 2 3" xfId="36402"/>
    <cellStyle name="Normal 2 4 9 2 3" xfId="19129"/>
    <cellStyle name="Normal 2 4 9 2 3 2" xfId="19130"/>
    <cellStyle name="Normal 2 4 9 2 3 2 2" xfId="36403"/>
    <cellStyle name="Normal 2 4 9 2 3 3" xfId="36404"/>
    <cellStyle name="Normal 2 4 9 2 4" xfId="19131"/>
    <cellStyle name="Normal 2 4 9 2 4 2" xfId="19132"/>
    <cellStyle name="Normal 2 4 9 2 4 2 2" xfId="36405"/>
    <cellStyle name="Normal 2 4 9 2 4 3" xfId="36406"/>
    <cellStyle name="Normal 2 4 9 2 5" xfId="19133"/>
    <cellStyle name="Normal 2 4 9 2 5 2" xfId="36407"/>
    <cellStyle name="Normal 2 4 9 2 6" xfId="19134"/>
    <cellStyle name="Normal 2 4 9 3" xfId="19135"/>
    <cellStyle name="Normal 2 4 9 3 2" xfId="19136"/>
    <cellStyle name="Normal 2 4 9 3 2 2" xfId="36408"/>
    <cellStyle name="Normal 2 4 9 3 3" xfId="36409"/>
    <cellStyle name="Normal 2 4 9 4" xfId="19137"/>
    <cellStyle name="Normal 2 4 9 4 2" xfId="19138"/>
    <cellStyle name="Normal 2 4 9 4 2 2" xfId="36410"/>
    <cellStyle name="Normal 2 4 9 4 3" xfId="36411"/>
    <cellStyle name="Normal 2 4 9 5" xfId="19139"/>
    <cellStyle name="Normal 2 4 9 5 2" xfId="19140"/>
    <cellStyle name="Normal 2 4 9 5 2 2" xfId="36412"/>
    <cellStyle name="Normal 2 4 9 5 3" xfId="36413"/>
    <cellStyle name="Normal 2 4 9 6" xfId="19141"/>
    <cellStyle name="Normal 2 4 9 6 2" xfId="36414"/>
    <cellStyle name="Normal 2 4 9 7" xfId="19142"/>
    <cellStyle name="Normal 2 5" xfId="65"/>
    <cellStyle name="Normal 2 5 10" xfId="19143"/>
    <cellStyle name="Normal 2 5 10 2" xfId="19144"/>
    <cellStyle name="Normal 2 5 10 2 2" xfId="36415"/>
    <cellStyle name="Normal 2 5 10 3" xfId="36416"/>
    <cellStyle name="Normal 2 5 11" xfId="19145"/>
    <cellStyle name="Normal 2 5 11 2" xfId="19146"/>
    <cellStyle name="Normal 2 5 11 2 2" xfId="36417"/>
    <cellStyle name="Normal 2 5 11 3" xfId="36418"/>
    <cellStyle name="Normal 2 5 12" xfId="19147"/>
    <cellStyle name="Normal 2 5 12 2" xfId="19148"/>
    <cellStyle name="Normal 2 5 12 2 2" xfId="36419"/>
    <cellStyle name="Normal 2 5 12 3" xfId="36420"/>
    <cellStyle name="Normal 2 5 13" xfId="19149"/>
    <cellStyle name="Normal 2 5 13 2" xfId="36421"/>
    <cellStyle name="Normal 2 5 14" xfId="19150"/>
    <cellStyle name="Normal 2 5 2" xfId="236"/>
    <cellStyle name="Normal 2 5 2 10" xfId="19151"/>
    <cellStyle name="Normal 2 5 2 2" xfId="394"/>
    <cellStyle name="Normal 2 5 2 2 2" xfId="1182"/>
    <cellStyle name="Normal 2 5 2 2 2 2" xfId="2282"/>
    <cellStyle name="Normal 2 5 2 2 2 2 2" xfId="19152"/>
    <cellStyle name="Normal 2 5 2 2 2 2 2 2" xfId="19153"/>
    <cellStyle name="Normal 2 5 2 2 2 2 2 2 2" xfId="36422"/>
    <cellStyle name="Normal 2 5 2 2 2 2 2 3" xfId="36423"/>
    <cellStyle name="Normal 2 5 2 2 2 2 3" xfId="19154"/>
    <cellStyle name="Normal 2 5 2 2 2 2 3 2" xfId="19155"/>
    <cellStyle name="Normal 2 5 2 2 2 2 3 2 2" xfId="36424"/>
    <cellStyle name="Normal 2 5 2 2 2 2 3 3" xfId="36425"/>
    <cellStyle name="Normal 2 5 2 2 2 2 4" xfId="19156"/>
    <cellStyle name="Normal 2 5 2 2 2 2 4 2" xfId="19157"/>
    <cellStyle name="Normal 2 5 2 2 2 2 4 2 2" xfId="36426"/>
    <cellStyle name="Normal 2 5 2 2 2 2 4 3" xfId="36427"/>
    <cellStyle name="Normal 2 5 2 2 2 2 5" xfId="19158"/>
    <cellStyle name="Normal 2 5 2 2 2 2 5 2" xfId="36428"/>
    <cellStyle name="Normal 2 5 2 2 2 2 6" xfId="19159"/>
    <cellStyle name="Normal 2 5 2 2 2 3" xfId="19160"/>
    <cellStyle name="Normal 2 5 2 2 2 3 2" xfId="19161"/>
    <cellStyle name="Normal 2 5 2 2 2 3 2 2" xfId="36429"/>
    <cellStyle name="Normal 2 5 2 2 2 3 3" xfId="36430"/>
    <cellStyle name="Normal 2 5 2 2 2 4" xfId="19162"/>
    <cellStyle name="Normal 2 5 2 2 2 4 2" xfId="19163"/>
    <cellStyle name="Normal 2 5 2 2 2 4 2 2" xfId="36431"/>
    <cellStyle name="Normal 2 5 2 2 2 4 3" xfId="36432"/>
    <cellStyle name="Normal 2 5 2 2 2 5" xfId="19164"/>
    <cellStyle name="Normal 2 5 2 2 2 5 2" xfId="19165"/>
    <cellStyle name="Normal 2 5 2 2 2 5 2 2" xfId="36433"/>
    <cellStyle name="Normal 2 5 2 2 2 5 3" xfId="36434"/>
    <cellStyle name="Normal 2 5 2 2 2 6" xfId="19166"/>
    <cellStyle name="Normal 2 5 2 2 2 6 2" xfId="36435"/>
    <cellStyle name="Normal 2 5 2 2 2 7" xfId="19167"/>
    <cellStyle name="Normal 2 5 2 2 3" xfId="814"/>
    <cellStyle name="Normal 2 5 2 2 3 2" xfId="2283"/>
    <cellStyle name="Normal 2 5 2 2 3 2 2" xfId="19168"/>
    <cellStyle name="Normal 2 5 2 2 3 2 2 2" xfId="19169"/>
    <cellStyle name="Normal 2 5 2 2 3 2 2 2 2" xfId="36436"/>
    <cellStyle name="Normal 2 5 2 2 3 2 2 3" xfId="36437"/>
    <cellStyle name="Normal 2 5 2 2 3 2 3" xfId="19170"/>
    <cellStyle name="Normal 2 5 2 2 3 2 3 2" xfId="19171"/>
    <cellStyle name="Normal 2 5 2 2 3 2 3 2 2" xfId="36438"/>
    <cellStyle name="Normal 2 5 2 2 3 2 3 3" xfId="36439"/>
    <cellStyle name="Normal 2 5 2 2 3 2 4" xfId="19172"/>
    <cellStyle name="Normal 2 5 2 2 3 2 4 2" xfId="19173"/>
    <cellStyle name="Normal 2 5 2 2 3 2 4 2 2" xfId="36440"/>
    <cellStyle name="Normal 2 5 2 2 3 2 4 3" xfId="36441"/>
    <cellStyle name="Normal 2 5 2 2 3 2 5" xfId="19174"/>
    <cellStyle name="Normal 2 5 2 2 3 2 5 2" xfId="36442"/>
    <cellStyle name="Normal 2 5 2 2 3 2 6" xfId="19175"/>
    <cellStyle name="Normal 2 5 2 2 3 3" xfId="19176"/>
    <cellStyle name="Normal 2 5 2 2 3 3 2" xfId="19177"/>
    <cellStyle name="Normal 2 5 2 2 3 3 2 2" xfId="36443"/>
    <cellStyle name="Normal 2 5 2 2 3 3 3" xfId="36444"/>
    <cellStyle name="Normal 2 5 2 2 3 4" xfId="19178"/>
    <cellStyle name="Normal 2 5 2 2 3 4 2" xfId="19179"/>
    <cellStyle name="Normal 2 5 2 2 3 4 2 2" xfId="36445"/>
    <cellStyle name="Normal 2 5 2 2 3 4 3" xfId="36446"/>
    <cellStyle name="Normal 2 5 2 2 3 5" xfId="19180"/>
    <cellStyle name="Normal 2 5 2 2 3 5 2" xfId="19181"/>
    <cellStyle name="Normal 2 5 2 2 3 5 2 2" xfId="36447"/>
    <cellStyle name="Normal 2 5 2 2 3 5 3" xfId="36448"/>
    <cellStyle name="Normal 2 5 2 2 3 6" xfId="19182"/>
    <cellStyle name="Normal 2 5 2 2 3 6 2" xfId="36449"/>
    <cellStyle name="Normal 2 5 2 2 3 7" xfId="19183"/>
    <cellStyle name="Normal 2 5 2 2 4" xfId="2284"/>
    <cellStyle name="Normal 2 5 2 2 4 2" xfId="19184"/>
    <cellStyle name="Normal 2 5 2 2 4 2 2" xfId="19185"/>
    <cellStyle name="Normal 2 5 2 2 4 2 2 2" xfId="36450"/>
    <cellStyle name="Normal 2 5 2 2 4 2 3" xfId="36451"/>
    <cellStyle name="Normal 2 5 2 2 4 3" xfId="19186"/>
    <cellStyle name="Normal 2 5 2 2 4 3 2" xfId="19187"/>
    <cellStyle name="Normal 2 5 2 2 4 3 2 2" xfId="36452"/>
    <cellStyle name="Normal 2 5 2 2 4 3 3" xfId="36453"/>
    <cellStyle name="Normal 2 5 2 2 4 4" xfId="19188"/>
    <cellStyle name="Normal 2 5 2 2 4 4 2" xfId="19189"/>
    <cellStyle name="Normal 2 5 2 2 4 4 2 2" xfId="36454"/>
    <cellStyle name="Normal 2 5 2 2 4 4 3" xfId="36455"/>
    <cellStyle name="Normal 2 5 2 2 4 5" xfId="19190"/>
    <cellStyle name="Normal 2 5 2 2 4 5 2" xfId="36456"/>
    <cellStyle name="Normal 2 5 2 2 4 6" xfId="19191"/>
    <cellStyle name="Normal 2 5 2 2 5" xfId="19192"/>
    <cellStyle name="Normal 2 5 2 2 5 2" xfId="19193"/>
    <cellStyle name="Normal 2 5 2 2 5 2 2" xfId="36457"/>
    <cellStyle name="Normal 2 5 2 2 5 3" xfId="36458"/>
    <cellStyle name="Normal 2 5 2 2 6" xfId="19194"/>
    <cellStyle name="Normal 2 5 2 2 6 2" xfId="19195"/>
    <cellStyle name="Normal 2 5 2 2 6 2 2" xfId="36459"/>
    <cellStyle name="Normal 2 5 2 2 6 3" xfId="36460"/>
    <cellStyle name="Normal 2 5 2 2 7" xfId="19196"/>
    <cellStyle name="Normal 2 5 2 2 7 2" xfId="19197"/>
    <cellStyle name="Normal 2 5 2 2 7 2 2" xfId="36461"/>
    <cellStyle name="Normal 2 5 2 2 7 3" xfId="36462"/>
    <cellStyle name="Normal 2 5 2 2 8" xfId="19198"/>
    <cellStyle name="Normal 2 5 2 2 8 2" xfId="36463"/>
    <cellStyle name="Normal 2 5 2 2 9" xfId="19199"/>
    <cellStyle name="Normal 2 5 2 3" xfId="1024"/>
    <cellStyle name="Normal 2 5 2 3 2" xfId="2285"/>
    <cellStyle name="Normal 2 5 2 3 2 2" xfId="19200"/>
    <cellStyle name="Normal 2 5 2 3 2 2 2" xfId="19201"/>
    <cellStyle name="Normal 2 5 2 3 2 2 2 2" xfId="36464"/>
    <cellStyle name="Normal 2 5 2 3 2 2 3" xfId="36465"/>
    <cellStyle name="Normal 2 5 2 3 2 3" xfId="19202"/>
    <cellStyle name="Normal 2 5 2 3 2 3 2" xfId="19203"/>
    <cellStyle name="Normal 2 5 2 3 2 3 2 2" xfId="36466"/>
    <cellStyle name="Normal 2 5 2 3 2 3 3" xfId="36467"/>
    <cellStyle name="Normal 2 5 2 3 2 4" xfId="19204"/>
    <cellStyle name="Normal 2 5 2 3 2 4 2" xfId="19205"/>
    <cellStyle name="Normal 2 5 2 3 2 4 2 2" xfId="36468"/>
    <cellStyle name="Normal 2 5 2 3 2 4 3" xfId="36469"/>
    <cellStyle name="Normal 2 5 2 3 2 5" xfId="19206"/>
    <cellStyle name="Normal 2 5 2 3 2 5 2" xfId="36470"/>
    <cellStyle name="Normal 2 5 2 3 2 6" xfId="19207"/>
    <cellStyle name="Normal 2 5 2 3 3" xfId="19208"/>
    <cellStyle name="Normal 2 5 2 3 3 2" xfId="19209"/>
    <cellStyle name="Normal 2 5 2 3 3 2 2" xfId="36471"/>
    <cellStyle name="Normal 2 5 2 3 3 3" xfId="36472"/>
    <cellStyle name="Normal 2 5 2 3 4" xfId="19210"/>
    <cellStyle name="Normal 2 5 2 3 4 2" xfId="19211"/>
    <cellStyle name="Normal 2 5 2 3 4 2 2" xfId="36473"/>
    <cellStyle name="Normal 2 5 2 3 4 3" xfId="36474"/>
    <cellStyle name="Normal 2 5 2 3 5" xfId="19212"/>
    <cellStyle name="Normal 2 5 2 3 5 2" xfId="19213"/>
    <cellStyle name="Normal 2 5 2 3 5 2 2" xfId="36475"/>
    <cellStyle name="Normal 2 5 2 3 5 3" xfId="36476"/>
    <cellStyle name="Normal 2 5 2 3 6" xfId="19214"/>
    <cellStyle name="Normal 2 5 2 3 6 2" xfId="36477"/>
    <cellStyle name="Normal 2 5 2 3 7" xfId="19215"/>
    <cellStyle name="Normal 2 5 2 4" xfId="656"/>
    <cellStyle name="Normal 2 5 2 4 2" xfId="2286"/>
    <cellStyle name="Normal 2 5 2 4 2 2" xfId="19216"/>
    <cellStyle name="Normal 2 5 2 4 2 2 2" xfId="19217"/>
    <cellStyle name="Normal 2 5 2 4 2 2 2 2" xfId="36478"/>
    <cellStyle name="Normal 2 5 2 4 2 2 3" xfId="36479"/>
    <cellStyle name="Normal 2 5 2 4 2 3" xfId="19218"/>
    <cellStyle name="Normal 2 5 2 4 2 3 2" xfId="19219"/>
    <cellStyle name="Normal 2 5 2 4 2 3 2 2" xfId="36480"/>
    <cellStyle name="Normal 2 5 2 4 2 3 3" xfId="36481"/>
    <cellStyle name="Normal 2 5 2 4 2 4" xfId="19220"/>
    <cellStyle name="Normal 2 5 2 4 2 4 2" xfId="19221"/>
    <cellStyle name="Normal 2 5 2 4 2 4 2 2" xfId="36482"/>
    <cellStyle name="Normal 2 5 2 4 2 4 3" xfId="36483"/>
    <cellStyle name="Normal 2 5 2 4 2 5" xfId="19222"/>
    <cellStyle name="Normal 2 5 2 4 2 5 2" xfId="36484"/>
    <cellStyle name="Normal 2 5 2 4 2 6" xfId="19223"/>
    <cellStyle name="Normal 2 5 2 4 3" xfId="19224"/>
    <cellStyle name="Normal 2 5 2 4 3 2" xfId="19225"/>
    <cellStyle name="Normal 2 5 2 4 3 2 2" xfId="36485"/>
    <cellStyle name="Normal 2 5 2 4 3 3" xfId="36486"/>
    <cellStyle name="Normal 2 5 2 4 4" xfId="19226"/>
    <cellStyle name="Normal 2 5 2 4 4 2" xfId="19227"/>
    <cellStyle name="Normal 2 5 2 4 4 2 2" xfId="36487"/>
    <cellStyle name="Normal 2 5 2 4 4 3" xfId="36488"/>
    <cellStyle name="Normal 2 5 2 4 5" xfId="19228"/>
    <cellStyle name="Normal 2 5 2 4 5 2" xfId="19229"/>
    <cellStyle name="Normal 2 5 2 4 5 2 2" xfId="36489"/>
    <cellStyle name="Normal 2 5 2 4 5 3" xfId="36490"/>
    <cellStyle name="Normal 2 5 2 4 6" xfId="19230"/>
    <cellStyle name="Normal 2 5 2 4 6 2" xfId="36491"/>
    <cellStyle name="Normal 2 5 2 4 7" xfId="19231"/>
    <cellStyle name="Normal 2 5 2 5" xfId="2287"/>
    <cellStyle name="Normal 2 5 2 5 2" xfId="19232"/>
    <cellStyle name="Normal 2 5 2 5 2 2" xfId="19233"/>
    <cellStyle name="Normal 2 5 2 5 2 2 2" xfId="36492"/>
    <cellStyle name="Normal 2 5 2 5 2 3" xfId="36493"/>
    <cellStyle name="Normal 2 5 2 5 3" xfId="19234"/>
    <cellStyle name="Normal 2 5 2 5 3 2" xfId="19235"/>
    <cellStyle name="Normal 2 5 2 5 3 2 2" xfId="36494"/>
    <cellStyle name="Normal 2 5 2 5 3 3" xfId="36495"/>
    <cellStyle name="Normal 2 5 2 5 4" xfId="19236"/>
    <cellStyle name="Normal 2 5 2 5 4 2" xfId="19237"/>
    <cellStyle name="Normal 2 5 2 5 4 2 2" xfId="36496"/>
    <cellStyle name="Normal 2 5 2 5 4 3" xfId="36497"/>
    <cellStyle name="Normal 2 5 2 5 5" xfId="19238"/>
    <cellStyle name="Normal 2 5 2 5 5 2" xfId="36498"/>
    <cellStyle name="Normal 2 5 2 5 6" xfId="19239"/>
    <cellStyle name="Normal 2 5 2 6" xfId="19240"/>
    <cellStyle name="Normal 2 5 2 6 2" xfId="19241"/>
    <cellStyle name="Normal 2 5 2 6 2 2" xfId="36499"/>
    <cellStyle name="Normal 2 5 2 6 3" xfId="36500"/>
    <cellStyle name="Normal 2 5 2 7" xfId="19242"/>
    <cellStyle name="Normal 2 5 2 7 2" xfId="19243"/>
    <cellStyle name="Normal 2 5 2 7 2 2" xfId="36501"/>
    <cellStyle name="Normal 2 5 2 7 3" xfId="36502"/>
    <cellStyle name="Normal 2 5 2 8" xfId="19244"/>
    <cellStyle name="Normal 2 5 2 8 2" xfId="19245"/>
    <cellStyle name="Normal 2 5 2 8 2 2" xfId="36503"/>
    <cellStyle name="Normal 2 5 2 8 3" xfId="36504"/>
    <cellStyle name="Normal 2 5 2 9" xfId="19246"/>
    <cellStyle name="Normal 2 5 2 9 2" xfId="36505"/>
    <cellStyle name="Normal 2 5 3" xfId="287"/>
    <cellStyle name="Normal 2 5 3 10" xfId="19247"/>
    <cellStyle name="Normal 2 5 3 2" xfId="445"/>
    <cellStyle name="Normal 2 5 3 2 2" xfId="1233"/>
    <cellStyle name="Normal 2 5 3 2 2 2" xfId="2288"/>
    <cellStyle name="Normal 2 5 3 2 2 2 2" xfId="19248"/>
    <cellStyle name="Normal 2 5 3 2 2 2 2 2" xfId="19249"/>
    <cellStyle name="Normal 2 5 3 2 2 2 2 2 2" xfId="36506"/>
    <cellStyle name="Normal 2 5 3 2 2 2 2 3" xfId="36507"/>
    <cellStyle name="Normal 2 5 3 2 2 2 3" xfId="19250"/>
    <cellStyle name="Normal 2 5 3 2 2 2 3 2" xfId="19251"/>
    <cellStyle name="Normal 2 5 3 2 2 2 3 2 2" xfId="36508"/>
    <cellStyle name="Normal 2 5 3 2 2 2 3 3" xfId="36509"/>
    <cellStyle name="Normal 2 5 3 2 2 2 4" xfId="19252"/>
    <cellStyle name="Normal 2 5 3 2 2 2 4 2" xfId="19253"/>
    <cellStyle name="Normal 2 5 3 2 2 2 4 2 2" xfId="36510"/>
    <cellStyle name="Normal 2 5 3 2 2 2 4 3" xfId="36511"/>
    <cellStyle name="Normal 2 5 3 2 2 2 5" xfId="19254"/>
    <cellStyle name="Normal 2 5 3 2 2 2 5 2" xfId="36512"/>
    <cellStyle name="Normal 2 5 3 2 2 2 6" xfId="19255"/>
    <cellStyle name="Normal 2 5 3 2 2 3" xfId="19256"/>
    <cellStyle name="Normal 2 5 3 2 2 3 2" xfId="19257"/>
    <cellStyle name="Normal 2 5 3 2 2 3 2 2" xfId="36513"/>
    <cellStyle name="Normal 2 5 3 2 2 3 3" xfId="36514"/>
    <cellStyle name="Normal 2 5 3 2 2 4" xfId="19258"/>
    <cellStyle name="Normal 2 5 3 2 2 4 2" xfId="19259"/>
    <cellStyle name="Normal 2 5 3 2 2 4 2 2" xfId="36515"/>
    <cellStyle name="Normal 2 5 3 2 2 4 3" xfId="36516"/>
    <cellStyle name="Normal 2 5 3 2 2 5" xfId="19260"/>
    <cellStyle name="Normal 2 5 3 2 2 5 2" xfId="19261"/>
    <cellStyle name="Normal 2 5 3 2 2 5 2 2" xfId="36517"/>
    <cellStyle name="Normal 2 5 3 2 2 5 3" xfId="36518"/>
    <cellStyle name="Normal 2 5 3 2 2 6" xfId="19262"/>
    <cellStyle name="Normal 2 5 3 2 2 6 2" xfId="36519"/>
    <cellStyle name="Normal 2 5 3 2 2 7" xfId="19263"/>
    <cellStyle name="Normal 2 5 3 2 3" xfId="865"/>
    <cellStyle name="Normal 2 5 3 2 3 2" xfId="2289"/>
    <cellStyle name="Normal 2 5 3 2 3 2 2" xfId="19264"/>
    <cellStyle name="Normal 2 5 3 2 3 2 2 2" xfId="19265"/>
    <cellStyle name="Normal 2 5 3 2 3 2 2 2 2" xfId="36520"/>
    <cellStyle name="Normal 2 5 3 2 3 2 2 3" xfId="36521"/>
    <cellStyle name="Normal 2 5 3 2 3 2 3" xfId="19266"/>
    <cellStyle name="Normal 2 5 3 2 3 2 3 2" xfId="19267"/>
    <cellStyle name="Normal 2 5 3 2 3 2 3 2 2" xfId="36522"/>
    <cellStyle name="Normal 2 5 3 2 3 2 3 3" xfId="36523"/>
    <cellStyle name="Normal 2 5 3 2 3 2 4" xfId="19268"/>
    <cellStyle name="Normal 2 5 3 2 3 2 4 2" xfId="19269"/>
    <cellStyle name="Normal 2 5 3 2 3 2 4 2 2" xfId="36524"/>
    <cellStyle name="Normal 2 5 3 2 3 2 4 3" xfId="36525"/>
    <cellStyle name="Normal 2 5 3 2 3 2 5" xfId="19270"/>
    <cellStyle name="Normal 2 5 3 2 3 2 5 2" xfId="36526"/>
    <cellStyle name="Normal 2 5 3 2 3 2 6" xfId="19271"/>
    <cellStyle name="Normal 2 5 3 2 3 3" xfId="19272"/>
    <cellStyle name="Normal 2 5 3 2 3 3 2" xfId="19273"/>
    <cellStyle name="Normal 2 5 3 2 3 3 2 2" xfId="36527"/>
    <cellStyle name="Normal 2 5 3 2 3 3 3" xfId="36528"/>
    <cellStyle name="Normal 2 5 3 2 3 4" xfId="19274"/>
    <cellStyle name="Normal 2 5 3 2 3 4 2" xfId="19275"/>
    <cellStyle name="Normal 2 5 3 2 3 4 2 2" xfId="36529"/>
    <cellStyle name="Normal 2 5 3 2 3 4 3" xfId="36530"/>
    <cellStyle name="Normal 2 5 3 2 3 5" xfId="19276"/>
    <cellStyle name="Normal 2 5 3 2 3 5 2" xfId="19277"/>
    <cellStyle name="Normal 2 5 3 2 3 5 2 2" xfId="36531"/>
    <cellStyle name="Normal 2 5 3 2 3 5 3" xfId="36532"/>
    <cellStyle name="Normal 2 5 3 2 3 6" xfId="19278"/>
    <cellStyle name="Normal 2 5 3 2 3 6 2" xfId="36533"/>
    <cellStyle name="Normal 2 5 3 2 3 7" xfId="19279"/>
    <cellStyle name="Normal 2 5 3 2 4" xfId="2290"/>
    <cellStyle name="Normal 2 5 3 2 4 2" xfId="19280"/>
    <cellStyle name="Normal 2 5 3 2 4 2 2" xfId="19281"/>
    <cellStyle name="Normal 2 5 3 2 4 2 2 2" xfId="36534"/>
    <cellStyle name="Normal 2 5 3 2 4 2 3" xfId="36535"/>
    <cellStyle name="Normal 2 5 3 2 4 3" xfId="19282"/>
    <cellStyle name="Normal 2 5 3 2 4 3 2" xfId="19283"/>
    <cellStyle name="Normal 2 5 3 2 4 3 2 2" xfId="36536"/>
    <cellStyle name="Normal 2 5 3 2 4 3 3" xfId="36537"/>
    <cellStyle name="Normal 2 5 3 2 4 4" xfId="19284"/>
    <cellStyle name="Normal 2 5 3 2 4 4 2" xfId="19285"/>
    <cellStyle name="Normal 2 5 3 2 4 4 2 2" xfId="36538"/>
    <cellStyle name="Normal 2 5 3 2 4 4 3" xfId="36539"/>
    <cellStyle name="Normal 2 5 3 2 4 5" xfId="19286"/>
    <cellStyle name="Normal 2 5 3 2 4 5 2" xfId="36540"/>
    <cellStyle name="Normal 2 5 3 2 4 6" xfId="19287"/>
    <cellStyle name="Normal 2 5 3 2 5" xfId="19288"/>
    <cellStyle name="Normal 2 5 3 2 5 2" xfId="19289"/>
    <cellStyle name="Normal 2 5 3 2 5 2 2" xfId="36541"/>
    <cellStyle name="Normal 2 5 3 2 5 3" xfId="36542"/>
    <cellStyle name="Normal 2 5 3 2 6" xfId="19290"/>
    <cellStyle name="Normal 2 5 3 2 6 2" xfId="19291"/>
    <cellStyle name="Normal 2 5 3 2 6 2 2" xfId="36543"/>
    <cellStyle name="Normal 2 5 3 2 6 3" xfId="36544"/>
    <cellStyle name="Normal 2 5 3 2 7" xfId="19292"/>
    <cellStyle name="Normal 2 5 3 2 7 2" xfId="19293"/>
    <cellStyle name="Normal 2 5 3 2 7 2 2" xfId="36545"/>
    <cellStyle name="Normal 2 5 3 2 7 3" xfId="36546"/>
    <cellStyle name="Normal 2 5 3 2 8" xfId="19294"/>
    <cellStyle name="Normal 2 5 3 2 8 2" xfId="36547"/>
    <cellStyle name="Normal 2 5 3 2 9" xfId="19295"/>
    <cellStyle name="Normal 2 5 3 3" xfId="1075"/>
    <cellStyle name="Normal 2 5 3 3 2" xfId="2291"/>
    <cellStyle name="Normal 2 5 3 3 2 2" xfId="19296"/>
    <cellStyle name="Normal 2 5 3 3 2 2 2" xfId="19297"/>
    <cellStyle name="Normal 2 5 3 3 2 2 2 2" xfId="36548"/>
    <cellStyle name="Normal 2 5 3 3 2 2 3" xfId="36549"/>
    <cellStyle name="Normal 2 5 3 3 2 3" xfId="19298"/>
    <cellStyle name="Normal 2 5 3 3 2 3 2" xfId="19299"/>
    <cellStyle name="Normal 2 5 3 3 2 3 2 2" xfId="36550"/>
    <cellStyle name="Normal 2 5 3 3 2 3 3" xfId="36551"/>
    <cellStyle name="Normal 2 5 3 3 2 4" xfId="19300"/>
    <cellStyle name="Normal 2 5 3 3 2 4 2" xfId="19301"/>
    <cellStyle name="Normal 2 5 3 3 2 4 2 2" xfId="36552"/>
    <cellStyle name="Normal 2 5 3 3 2 4 3" xfId="36553"/>
    <cellStyle name="Normal 2 5 3 3 2 5" xfId="19302"/>
    <cellStyle name="Normal 2 5 3 3 2 5 2" xfId="36554"/>
    <cellStyle name="Normal 2 5 3 3 2 6" xfId="19303"/>
    <cellStyle name="Normal 2 5 3 3 3" xfId="19304"/>
    <cellStyle name="Normal 2 5 3 3 3 2" xfId="19305"/>
    <cellStyle name="Normal 2 5 3 3 3 2 2" xfId="36555"/>
    <cellStyle name="Normal 2 5 3 3 3 3" xfId="36556"/>
    <cellStyle name="Normal 2 5 3 3 4" xfId="19306"/>
    <cellStyle name="Normal 2 5 3 3 4 2" xfId="19307"/>
    <cellStyle name="Normal 2 5 3 3 4 2 2" xfId="36557"/>
    <cellStyle name="Normal 2 5 3 3 4 3" xfId="36558"/>
    <cellStyle name="Normal 2 5 3 3 5" xfId="19308"/>
    <cellStyle name="Normal 2 5 3 3 5 2" xfId="19309"/>
    <cellStyle name="Normal 2 5 3 3 5 2 2" xfId="36559"/>
    <cellStyle name="Normal 2 5 3 3 5 3" xfId="36560"/>
    <cellStyle name="Normal 2 5 3 3 6" xfId="19310"/>
    <cellStyle name="Normal 2 5 3 3 6 2" xfId="36561"/>
    <cellStyle name="Normal 2 5 3 3 7" xfId="19311"/>
    <cellStyle name="Normal 2 5 3 4" xfId="707"/>
    <cellStyle name="Normal 2 5 3 4 2" xfId="2292"/>
    <cellStyle name="Normal 2 5 3 4 2 2" xfId="19312"/>
    <cellStyle name="Normal 2 5 3 4 2 2 2" xfId="19313"/>
    <cellStyle name="Normal 2 5 3 4 2 2 2 2" xfId="36562"/>
    <cellStyle name="Normal 2 5 3 4 2 2 3" xfId="36563"/>
    <cellStyle name="Normal 2 5 3 4 2 3" xfId="19314"/>
    <cellStyle name="Normal 2 5 3 4 2 3 2" xfId="19315"/>
    <cellStyle name="Normal 2 5 3 4 2 3 2 2" xfId="36564"/>
    <cellStyle name="Normal 2 5 3 4 2 3 3" xfId="36565"/>
    <cellStyle name="Normal 2 5 3 4 2 4" xfId="19316"/>
    <cellStyle name="Normal 2 5 3 4 2 4 2" xfId="19317"/>
    <cellStyle name="Normal 2 5 3 4 2 4 2 2" xfId="36566"/>
    <cellStyle name="Normal 2 5 3 4 2 4 3" xfId="36567"/>
    <cellStyle name="Normal 2 5 3 4 2 5" xfId="19318"/>
    <cellStyle name="Normal 2 5 3 4 2 5 2" xfId="36568"/>
    <cellStyle name="Normal 2 5 3 4 2 6" xfId="19319"/>
    <cellStyle name="Normal 2 5 3 4 3" xfId="19320"/>
    <cellStyle name="Normal 2 5 3 4 3 2" xfId="19321"/>
    <cellStyle name="Normal 2 5 3 4 3 2 2" xfId="36569"/>
    <cellStyle name="Normal 2 5 3 4 3 3" xfId="36570"/>
    <cellStyle name="Normal 2 5 3 4 4" xfId="19322"/>
    <cellStyle name="Normal 2 5 3 4 4 2" xfId="19323"/>
    <cellStyle name="Normal 2 5 3 4 4 2 2" xfId="36571"/>
    <cellStyle name="Normal 2 5 3 4 4 3" xfId="36572"/>
    <cellStyle name="Normal 2 5 3 4 5" xfId="19324"/>
    <cellStyle name="Normal 2 5 3 4 5 2" xfId="19325"/>
    <cellStyle name="Normal 2 5 3 4 5 2 2" xfId="36573"/>
    <cellStyle name="Normal 2 5 3 4 5 3" xfId="36574"/>
    <cellStyle name="Normal 2 5 3 4 6" xfId="19326"/>
    <cellStyle name="Normal 2 5 3 4 6 2" xfId="36575"/>
    <cellStyle name="Normal 2 5 3 4 7" xfId="19327"/>
    <cellStyle name="Normal 2 5 3 5" xfId="2293"/>
    <cellStyle name="Normal 2 5 3 5 2" xfId="19328"/>
    <cellStyle name="Normal 2 5 3 5 2 2" xfId="19329"/>
    <cellStyle name="Normal 2 5 3 5 2 2 2" xfId="36576"/>
    <cellStyle name="Normal 2 5 3 5 2 3" xfId="36577"/>
    <cellStyle name="Normal 2 5 3 5 3" xfId="19330"/>
    <cellStyle name="Normal 2 5 3 5 3 2" xfId="19331"/>
    <cellStyle name="Normal 2 5 3 5 3 2 2" xfId="36578"/>
    <cellStyle name="Normal 2 5 3 5 3 3" xfId="36579"/>
    <cellStyle name="Normal 2 5 3 5 4" xfId="19332"/>
    <cellStyle name="Normal 2 5 3 5 4 2" xfId="19333"/>
    <cellStyle name="Normal 2 5 3 5 4 2 2" xfId="36580"/>
    <cellStyle name="Normal 2 5 3 5 4 3" xfId="36581"/>
    <cellStyle name="Normal 2 5 3 5 5" xfId="19334"/>
    <cellStyle name="Normal 2 5 3 5 5 2" xfId="36582"/>
    <cellStyle name="Normal 2 5 3 5 6" xfId="19335"/>
    <cellStyle name="Normal 2 5 3 6" xfId="19336"/>
    <cellStyle name="Normal 2 5 3 6 2" xfId="19337"/>
    <cellStyle name="Normal 2 5 3 6 2 2" xfId="36583"/>
    <cellStyle name="Normal 2 5 3 6 3" xfId="36584"/>
    <cellStyle name="Normal 2 5 3 7" xfId="19338"/>
    <cellStyle name="Normal 2 5 3 7 2" xfId="19339"/>
    <cellStyle name="Normal 2 5 3 7 2 2" xfId="36585"/>
    <cellStyle name="Normal 2 5 3 7 3" xfId="36586"/>
    <cellStyle name="Normal 2 5 3 8" xfId="19340"/>
    <cellStyle name="Normal 2 5 3 8 2" xfId="19341"/>
    <cellStyle name="Normal 2 5 3 8 2 2" xfId="36587"/>
    <cellStyle name="Normal 2 5 3 8 3" xfId="36588"/>
    <cellStyle name="Normal 2 5 3 9" xfId="19342"/>
    <cellStyle name="Normal 2 5 3 9 2" xfId="36589"/>
    <cellStyle name="Normal 2 5 4" xfId="170"/>
    <cellStyle name="Normal 2 5 4 2" xfId="958"/>
    <cellStyle name="Normal 2 5 4 2 2" xfId="2294"/>
    <cellStyle name="Normal 2 5 4 2 2 2" xfId="19343"/>
    <cellStyle name="Normal 2 5 4 2 2 2 2" xfId="19344"/>
    <cellStyle name="Normal 2 5 4 2 2 2 2 2" xfId="36590"/>
    <cellStyle name="Normal 2 5 4 2 2 2 3" xfId="36591"/>
    <cellStyle name="Normal 2 5 4 2 2 3" xfId="19345"/>
    <cellStyle name="Normal 2 5 4 2 2 3 2" xfId="19346"/>
    <cellStyle name="Normal 2 5 4 2 2 3 2 2" xfId="36592"/>
    <cellStyle name="Normal 2 5 4 2 2 3 3" xfId="36593"/>
    <cellStyle name="Normal 2 5 4 2 2 4" xfId="19347"/>
    <cellStyle name="Normal 2 5 4 2 2 4 2" xfId="19348"/>
    <cellStyle name="Normal 2 5 4 2 2 4 2 2" xfId="36594"/>
    <cellStyle name="Normal 2 5 4 2 2 4 3" xfId="36595"/>
    <cellStyle name="Normal 2 5 4 2 2 5" xfId="19349"/>
    <cellStyle name="Normal 2 5 4 2 2 5 2" xfId="36596"/>
    <cellStyle name="Normal 2 5 4 2 2 6" xfId="19350"/>
    <cellStyle name="Normal 2 5 4 2 3" xfId="19351"/>
    <cellStyle name="Normal 2 5 4 2 3 2" xfId="19352"/>
    <cellStyle name="Normal 2 5 4 2 3 2 2" xfId="36597"/>
    <cellStyle name="Normal 2 5 4 2 3 3" xfId="36598"/>
    <cellStyle name="Normal 2 5 4 2 4" xfId="19353"/>
    <cellStyle name="Normal 2 5 4 2 4 2" xfId="19354"/>
    <cellStyle name="Normal 2 5 4 2 4 2 2" xfId="36599"/>
    <cellStyle name="Normal 2 5 4 2 4 3" xfId="36600"/>
    <cellStyle name="Normal 2 5 4 2 5" xfId="19355"/>
    <cellStyle name="Normal 2 5 4 2 5 2" xfId="19356"/>
    <cellStyle name="Normal 2 5 4 2 5 2 2" xfId="36601"/>
    <cellStyle name="Normal 2 5 4 2 5 3" xfId="36602"/>
    <cellStyle name="Normal 2 5 4 2 6" xfId="19357"/>
    <cellStyle name="Normal 2 5 4 2 6 2" xfId="36603"/>
    <cellStyle name="Normal 2 5 4 2 7" xfId="19358"/>
    <cellStyle name="Normal 2 5 4 3" xfId="590"/>
    <cellStyle name="Normal 2 5 4 3 2" xfId="2295"/>
    <cellStyle name="Normal 2 5 4 3 2 2" xfId="19359"/>
    <cellStyle name="Normal 2 5 4 3 2 2 2" xfId="19360"/>
    <cellStyle name="Normal 2 5 4 3 2 2 2 2" xfId="36604"/>
    <cellStyle name="Normal 2 5 4 3 2 2 3" xfId="36605"/>
    <cellStyle name="Normal 2 5 4 3 2 3" xfId="19361"/>
    <cellStyle name="Normal 2 5 4 3 2 3 2" xfId="19362"/>
    <cellStyle name="Normal 2 5 4 3 2 3 2 2" xfId="36606"/>
    <cellStyle name="Normal 2 5 4 3 2 3 3" xfId="36607"/>
    <cellStyle name="Normal 2 5 4 3 2 4" xfId="19363"/>
    <cellStyle name="Normal 2 5 4 3 2 4 2" xfId="19364"/>
    <cellStyle name="Normal 2 5 4 3 2 4 2 2" xfId="36608"/>
    <cellStyle name="Normal 2 5 4 3 2 4 3" xfId="36609"/>
    <cellStyle name="Normal 2 5 4 3 2 5" xfId="19365"/>
    <cellStyle name="Normal 2 5 4 3 2 5 2" xfId="36610"/>
    <cellStyle name="Normal 2 5 4 3 2 6" xfId="19366"/>
    <cellStyle name="Normal 2 5 4 3 3" xfId="19367"/>
    <cellStyle name="Normal 2 5 4 3 3 2" xfId="19368"/>
    <cellStyle name="Normal 2 5 4 3 3 2 2" xfId="36611"/>
    <cellStyle name="Normal 2 5 4 3 3 3" xfId="36612"/>
    <cellStyle name="Normal 2 5 4 3 4" xfId="19369"/>
    <cellStyle name="Normal 2 5 4 3 4 2" xfId="19370"/>
    <cellStyle name="Normal 2 5 4 3 4 2 2" xfId="36613"/>
    <cellStyle name="Normal 2 5 4 3 4 3" xfId="36614"/>
    <cellStyle name="Normal 2 5 4 3 5" xfId="19371"/>
    <cellStyle name="Normal 2 5 4 3 5 2" xfId="19372"/>
    <cellStyle name="Normal 2 5 4 3 5 2 2" xfId="36615"/>
    <cellStyle name="Normal 2 5 4 3 5 3" xfId="36616"/>
    <cellStyle name="Normal 2 5 4 3 6" xfId="19373"/>
    <cellStyle name="Normal 2 5 4 3 6 2" xfId="36617"/>
    <cellStyle name="Normal 2 5 4 3 7" xfId="19374"/>
    <cellStyle name="Normal 2 5 4 4" xfId="2296"/>
    <cellStyle name="Normal 2 5 4 4 2" xfId="19375"/>
    <cellStyle name="Normal 2 5 4 4 2 2" xfId="19376"/>
    <cellStyle name="Normal 2 5 4 4 2 2 2" xfId="36618"/>
    <cellStyle name="Normal 2 5 4 4 2 3" xfId="36619"/>
    <cellStyle name="Normal 2 5 4 4 3" xfId="19377"/>
    <cellStyle name="Normal 2 5 4 4 3 2" xfId="19378"/>
    <cellStyle name="Normal 2 5 4 4 3 2 2" xfId="36620"/>
    <cellStyle name="Normal 2 5 4 4 3 3" xfId="36621"/>
    <cellStyle name="Normal 2 5 4 4 4" xfId="19379"/>
    <cellStyle name="Normal 2 5 4 4 4 2" xfId="19380"/>
    <cellStyle name="Normal 2 5 4 4 4 2 2" xfId="36622"/>
    <cellStyle name="Normal 2 5 4 4 4 3" xfId="36623"/>
    <cellStyle name="Normal 2 5 4 4 5" xfId="19381"/>
    <cellStyle name="Normal 2 5 4 4 5 2" xfId="36624"/>
    <cellStyle name="Normal 2 5 4 4 6" xfId="19382"/>
    <cellStyle name="Normal 2 5 4 5" xfId="19383"/>
    <cellStyle name="Normal 2 5 4 5 2" xfId="19384"/>
    <cellStyle name="Normal 2 5 4 5 2 2" xfId="36625"/>
    <cellStyle name="Normal 2 5 4 5 3" xfId="36626"/>
    <cellStyle name="Normal 2 5 4 6" xfId="19385"/>
    <cellStyle name="Normal 2 5 4 6 2" xfId="19386"/>
    <cellStyle name="Normal 2 5 4 6 2 2" xfId="36627"/>
    <cellStyle name="Normal 2 5 4 6 3" xfId="36628"/>
    <cellStyle name="Normal 2 5 4 7" xfId="19387"/>
    <cellStyle name="Normal 2 5 4 7 2" xfId="19388"/>
    <cellStyle name="Normal 2 5 4 7 2 2" xfId="36629"/>
    <cellStyle name="Normal 2 5 4 7 3" xfId="36630"/>
    <cellStyle name="Normal 2 5 4 8" xfId="19389"/>
    <cellStyle name="Normal 2 5 4 8 2" xfId="36631"/>
    <cellStyle name="Normal 2 5 4 9" xfId="19390"/>
    <cellStyle name="Normal 2 5 5" xfId="328"/>
    <cellStyle name="Normal 2 5 5 2" xfId="1116"/>
    <cellStyle name="Normal 2 5 5 2 2" xfId="2297"/>
    <cellStyle name="Normal 2 5 5 2 2 2" xfId="19391"/>
    <cellStyle name="Normal 2 5 5 2 2 2 2" xfId="19392"/>
    <cellStyle name="Normal 2 5 5 2 2 2 2 2" xfId="36632"/>
    <cellStyle name="Normal 2 5 5 2 2 2 3" xfId="36633"/>
    <cellStyle name="Normal 2 5 5 2 2 3" xfId="19393"/>
    <cellStyle name="Normal 2 5 5 2 2 3 2" xfId="19394"/>
    <cellStyle name="Normal 2 5 5 2 2 3 2 2" xfId="36634"/>
    <cellStyle name="Normal 2 5 5 2 2 3 3" xfId="36635"/>
    <cellStyle name="Normal 2 5 5 2 2 4" xfId="19395"/>
    <cellStyle name="Normal 2 5 5 2 2 4 2" xfId="19396"/>
    <cellStyle name="Normal 2 5 5 2 2 4 2 2" xfId="36636"/>
    <cellStyle name="Normal 2 5 5 2 2 4 3" xfId="36637"/>
    <cellStyle name="Normal 2 5 5 2 2 5" xfId="19397"/>
    <cellStyle name="Normal 2 5 5 2 2 5 2" xfId="36638"/>
    <cellStyle name="Normal 2 5 5 2 2 6" xfId="19398"/>
    <cellStyle name="Normal 2 5 5 2 3" xfId="19399"/>
    <cellStyle name="Normal 2 5 5 2 3 2" xfId="19400"/>
    <cellStyle name="Normal 2 5 5 2 3 2 2" xfId="36639"/>
    <cellStyle name="Normal 2 5 5 2 3 3" xfId="36640"/>
    <cellStyle name="Normal 2 5 5 2 4" xfId="19401"/>
    <cellStyle name="Normal 2 5 5 2 4 2" xfId="19402"/>
    <cellStyle name="Normal 2 5 5 2 4 2 2" xfId="36641"/>
    <cellStyle name="Normal 2 5 5 2 4 3" xfId="36642"/>
    <cellStyle name="Normal 2 5 5 2 5" xfId="19403"/>
    <cellStyle name="Normal 2 5 5 2 5 2" xfId="19404"/>
    <cellStyle name="Normal 2 5 5 2 5 2 2" xfId="36643"/>
    <cellStyle name="Normal 2 5 5 2 5 3" xfId="36644"/>
    <cellStyle name="Normal 2 5 5 2 6" xfId="19405"/>
    <cellStyle name="Normal 2 5 5 2 6 2" xfId="36645"/>
    <cellStyle name="Normal 2 5 5 2 7" xfId="19406"/>
    <cellStyle name="Normal 2 5 5 3" xfId="748"/>
    <cellStyle name="Normal 2 5 5 3 2" xfId="2298"/>
    <cellStyle name="Normal 2 5 5 3 2 2" xfId="19407"/>
    <cellStyle name="Normal 2 5 5 3 2 2 2" xfId="19408"/>
    <cellStyle name="Normal 2 5 5 3 2 2 2 2" xfId="36646"/>
    <cellStyle name="Normal 2 5 5 3 2 2 3" xfId="36647"/>
    <cellStyle name="Normal 2 5 5 3 2 3" xfId="19409"/>
    <cellStyle name="Normal 2 5 5 3 2 3 2" xfId="19410"/>
    <cellStyle name="Normal 2 5 5 3 2 3 2 2" xfId="36648"/>
    <cellStyle name="Normal 2 5 5 3 2 3 3" xfId="36649"/>
    <cellStyle name="Normal 2 5 5 3 2 4" xfId="19411"/>
    <cellStyle name="Normal 2 5 5 3 2 4 2" xfId="19412"/>
    <cellStyle name="Normal 2 5 5 3 2 4 2 2" xfId="36650"/>
    <cellStyle name="Normal 2 5 5 3 2 4 3" xfId="36651"/>
    <cellStyle name="Normal 2 5 5 3 2 5" xfId="19413"/>
    <cellStyle name="Normal 2 5 5 3 2 5 2" xfId="36652"/>
    <cellStyle name="Normal 2 5 5 3 2 6" xfId="19414"/>
    <cellStyle name="Normal 2 5 5 3 3" xfId="19415"/>
    <cellStyle name="Normal 2 5 5 3 3 2" xfId="19416"/>
    <cellStyle name="Normal 2 5 5 3 3 2 2" xfId="36653"/>
    <cellStyle name="Normal 2 5 5 3 3 3" xfId="36654"/>
    <cellStyle name="Normal 2 5 5 3 4" xfId="19417"/>
    <cellStyle name="Normal 2 5 5 3 4 2" xfId="19418"/>
    <cellStyle name="Normal 2 5 5 3 4 2 2" xfId="36655"/>
    <cellStyle name="Normal 2 5 5 3 4 3" xfId="36656"/>
    <cellStyle name="Normal 2 5 5 3 5" xfId="19419"/>
    <cellStyle name="Normal 2 5 5 3 5 2" xfId="19420"/>
    <cellStyle name="Normal 2 5 5 3 5 2 2" xfId="36657"/>
    <cellStyle name="Normal 2 5 5 3 5 3" xfId="36658"/>
    <cellStyle name="Normal 2 5 5 3 6" xfId="19421"/>
    <cellStyle name="Normal 2 5 5 3 6 2" xfId="36659"/>
    <cellStyle name="Normal 2 5 5 3 7" xfId="19422"/>
    <cellStyle name="Normal 2 5 5 4" xfId="2299"/>
    <cellStyle name="Normal 2 5 5 4 2" xfId="19423"/>
    <cellStyle name="Normal 2 5 5 4 2 2" xfId="19424"/>
    <cellStyle name="Normal 2 5 5 4 2 2 2" xfId="36660"/>
    <cellStyle name="Normal 2 5 5 4 2 3" xfId="36661"/>
    <cellStyle name="Normal 2 5 5 4 3" xfId="19425"/>
    <cellStyle name="Normal 2 5 5 4 3 2" xfId="19426"/>
    <cellStyle name="Normal 2 5 5 4 3 2 2" xfId="36662"/>
    <cellStyle name="Normal 2 5 5 4 3 3" xfId="36663"/>
    <cellStyle name="Normal 2 5 5 4 4" xfId="19427"/>
    <cellStyle name="Normal 2 5 5 4 4 2" xfId="19428"/>
    <cellStyle name="Normal 2 5 5 4 4 2 2" xfId="36664"/>
    <cellStyle name="Normal 2 5 5 4 4 3" xfId="36665"/>
    <cellStyle name="Normal 2 5 5 4 5" xfId="19429"/>
    <cellStyle name="Normal 2 5 5 4 5 2" xfId="36666"/>
    <cellStyle name="Normal 2 5 5 4 6" xfId="19430"/>
    <cellStyle name="Normal 2 5 5 5" xfId="19431"/>
    <cellStyle name="Normal 2 5 5 5 2" xfId="19432"/>
    <cellStyle name="Normal 2 5 5 5 2 2" xfId="36667"/>
    <cellStyle name="Normal 2 5 5 5 3" xfId="36668"/>
    <cellStyle name="Normal 2 5 5 6" xfId="19433"/>
    <cellStyle name="Normal 2 5 5 6 2" xfId="19434"/>
    <cellStyle name="Normal 2 5 5 6 2 2" xfId="36669"/>
    <cellStyle name="Normal 2 5 5 6 3" xfId="36670"/>
    <cellStyle name="Normal 2 5 5 7" xfId="19435"/>
    <cellStyle name="Normal 2 5 5 7 2" xfId="19436"/>
    <cellStyle name="Normal 2 5 5 7 2 2" xfId="36671"/>
    <cellStyle name="Normal 2 5 5 7 3" xfId="36672"/>
    <cellStyle name="Normal 2 5 5 8" xfId="19437"/>
    <cellStyle name="Normal 2 5 5 8 2" xfId="36673"/>
    <cellStyle name="Normal 2 5 5 9" xfId="19438"/>
    <cellStyle name="Normal 2 5 6" xfId="117"/>
    <cellStyle name="Normal 2 5 6 2" xfId="538"/>
    <cellStyle name="Normal 2 5 6 2 2" xfId="2300"/>
    <cellStyle name="Normal 2 5 6 2 2 2" xfId="19439"/>
    <cellStyle name="Normal 2 5 6 2 2 2 2" xfId="19440"/>
    <cellStyle name="Normal 2 5 6 2 2 2 2 2" xfId="36674"/>
    <cellStyle name="Normal 2 5 6 2 2 2 3" xfId="36675"/>
    <cellStyle name="Normal 2 5 6 2 2 3" xfId="19441"/>
    <cellStyle name="Normal 2 5 6 2 2 3 2" xfId="19442"/>
    <cellStyle name="Normal 2 5 6 2 2 3 2 2" xfId="36676"/>
    <cellStyle name="Normal 2 5 6 2 2 3 3" xfId="36677"/>
    <cellStyle name="Normal 2 5 6 2 2 4" xfId="19443"/>
    <cellStyle name="Normal 2 5 6 2 2 4 2" xfId="19444"/>
    <cellStyle name="Normal 2 5 6 2 2 4 2 2" xfId="36678"/>
    <cellStyle name="Normal 2 5 6 2 2 4 3" xfId="36679"/>
    <cellStyle name="Normal 2 5 6 2 2 5" xfId="19445"/>
    <cellStyle name="Normal 2 5 6 2 2 5 2" xfId="36680"/>
    <cellStyle name="Normal 2 5 6 2 2 6" xfId="19446"/>
    <cellStyle name="Normal 2 5 6 2 3" xfId="19447"/>
    <cellStyle name="Normal 2 5 6 2 3 2" xfId="19448"/>
    <cellStyle name="Normal 2 5 6 2 3 2 2" xfId="36681"/>
    <cellStyle name="Normal 2 5 6 2 3 3" xfId="36682"/>
    <cellStyle name="Normal 2 5 6 2 4" xfId="19449"/>
    <cellStyle name="Normal 2 5 6 2 4 2" xfId="19450"/>
    <cellStyle name="Normal 2 5 6 2 4 2 2" xfId="36683"/>
    <cellStyle name="Normal 2 5 6 2 4 3" xfId="36684"/>
    <cellStyle name="Normal 2 5 6 2 5" xfId="19451"/>
    <cellStyle name="Normal 2 5 6 2 5 2" xfId="19452"/>
    <cellStyle name="Normal 2 5 6 2 5 2 2" xfId="36685"/>
    <cellStyle name="Normal 2 5 6 2 5 3" xfId="36686"/>
    <cellStyle name="Normal 2 5 6 2 6" xfId="19453"/>
    <cellStyle name="Normal 2 5 6 2 6 2" xfId="36687"/>
    <cellStyle name="Normal 2 5 6 2 7" xfId="19454"/>
    <cellStyle name="Normal 2 5 6 3" xfId="2301"/>
    <cellStyle name="Normal 2 5 6 3 2" xfId="19455"/>
    <cellStyle name="Normal 2 5 6 3 2 2" xfId="19456"/>
    <cellStyle name="Normal 2 5 6 3 2 2 2" xfId="36688"/>
    <cellStyle name="Normal 2 5 6 3 2 3" xfId="36689"/>
    <cellStyle name="Normal 2 5 6 3 3" xfId="19457"/>
    <cellStyle name="Normal 2 5 6 3 3 2" xfId="19458"/>
    <cellStyle name="Normal 2 5 6 3 3 2 2" xfId="36690"/>
    <cellStyle name="Normal 2 5 6 3 3 3" xfId="36691"/>
    <cellStyle name="Normal 2 5 6 3 4" xfId="19459"/>
    <cellStyle name="Normal 2 5 6 3 4 2" xfId="19460"/>
    <cellStyle name="Normal 2 5 6 3 4 2 2" xfId="36692"/>
    <cellStyle name="Normal 2 5 6 3 4 3" xfId="36693"/>
    <cellStyle name="Normal 2 5 6 3 5" xfId="19461"/>
    <cellStyle name="Normal 2 5 6 3 5 2" xfId="36694"/>
    <cellStyle name="Normal 2 5 6 3 6" xfId="19462"/>
    <cellStyle name="Normal 2 5 6 4" xfId="19463"/>
    <cellStyle name="Normal 2 5 6 4 2" xfId="19464"/>
    <cellStyle name="Normal 2 5 6 4 2 2" xfId="36695"/>
    <cellStyle name="Normal 2 5 6 4 3" xfId="36696"/>
    <cellStyle name="Normal 2 5 6 5" xfId="19465"/>
    <cellStyle name="Normal 2 5 6 5 2" xfId="19466"/>
    <cellStyle name="Normal 2 5 6 5 2 2" xfId="36697"/>
    <cellStyle name="Normal 2 5 6 5 3" xfId="36698"/>
    <cellStyle name="Normal 2 5 6 6" xfId="19467"/>
    <cellStyle name="Normal 2 5 6 6 2" xfId="19468"/>
    <cellStyle name="Normal 2 5 6 6 2 2" xfId="36699"/>
    <cellStyle name="Normal 2 5 6 6 3" xfId="36700"/>
    <cellStyle name="Normal 2 5 6 7" xfId="19469"/>
    <cellStyle name="Normal 2 5 6 7 2" xfId="36701"/>
    <cellStyle name="Normal 2 5 6 8" xfId="19470"/>
    <cellStyle name="Normal 2 5 7" xfId="906"/>
    <cellStyle name="Normal 2 5 7 2" xfId="2302"/>
    <cellStyle name="Normal 2 5 7 2 2" xfId="19471"/>
    <cellStyle name="Normal 2 5 7 2 2 2" xfId="19472"/>
    <cellStyle name="Normal 2 5 7 2 2 2 2" xfId="36702"/>
    <cellStyle name="Normal 2 5 7 2 2 3" xfId="36703"/>
    <cellStyle name="Normal 2 5 7 2 3" xfId="19473"/>
    <cellStyle name="Normal 2 5 7 2 3 2" xfId="19474"/>
    <cellStyle name="Normal 2 5 7 2 3 2 2" xfId="36704"/>
    <cellStyle name="Normal 2 5 7 2 3 3" xfId="36705"/>
    <cellStyle name="Normal 2 5 7 2 4" xfId="19475"/>
    <cellStyle name="Normal 2 5 7 2 4 2" xfId="19476"/>
    <cellStyle name="Normal 2 5 7 2 4 2 2" xfId="36706"/>
    <cellStyle name="Normal 2 5 7 2 4 3" xfId="36707"/>
    <cellStyle name="Normal 2 5 7 2 5" xfId="19477"/>
    <cellStyle name="Normal 2 5 7 2 5 2" xfId="36708"/>
    <cellStyle name="Normal 2 5 7 2 6" xfId="19478"/>
    <cellStyle name="Normal 2 5 7 3" xfId="19479"/>
    <cellStyle name="Normal 2 5 7 3 2" xfId="19480"/>
    <cellStyle name="Normal 2 5 7 3 2 2" xfId="36709"/>
    <cellStyle name="Normal 2 5 7 3 3" xfId="36710"/>
    <cellStyle name="Normal 2 5 7 4" xfId="19481"/>
    <cellStyle name="Normal 2 5 7 4 2" xfId="19482"/>
    <cellStyle name="Normal 2 5 7 4 2 2" xfId="36711"/>
    <cellStyle name="Normal 2 5 7 4 3" xfId="36712"/>
    <cellStyle name="Normal 2 5 7 5" xfId="19483"/>
    <cellStyle name="Normal 2 5 7 5 2" xfId="19484"/>
    <cellStyle name="Normal 2 5 7 5 2 2" xfId="36713"/>
    <cellStyle name="Normal 2 5 7 5 3" xfId="36714"/>
    <cellStyle name="Normal 2 5 7 6" xfId="19485"/>
    <cellStyle name="Normal 2 5 7 6 2" xfId="36715"/>
    <cellStyle name="Normal 2 5 7 7" xfId="19486"/>
    <cellStyle name="Normal 2 5 8" xfId="499"/>
    <cellStyle name="Normal 2 5 8 2" xfId="2303"/>
    <cellStyle name="Normal 2 5 8 2 2" xfId="19487"/>
    <cellStyle name="Normal 2 5 8 2 2 2" xfId="19488"/>
    <cellStyle name="Normal 2 5 8 2 2 2 2" xfId="36716"/>
    <cellStyle name="Normal 2 5 8 2 2 3" xfId="36717"/>
    <cellStyle name="Normal 2 5 8 2 3" xfId="19489"/>
    <cellStyle name="Normal 2 5 8 2 3 2" xfId="19490"/>
    <cellStyle name="Normal 2 5 8 2 3 2 2" xfId="36718"/>
    <cellStyle name="Normal 2 5 8 2 3 3" xfId="36719"/>
    <cellStyle name="Normal 2 5 8 2 4" xfId="19491"/>
    <cellStyle name="Normal 2 5 8 2 4 2" xfId="19492"/>
    <cellStyle name="Normal 2 5 8 2 4 2 2" xfId="36720"/>
    <cellStyle name="Normal 2 5 8 2 4 3" xfId="36721"/>
    <cellStyle name="Normal 2 5 8 2 5" xfId="19493"/>
    <cellStyle name="Normal 2 5 8 2 5 2" xfId="36722"/>
    <cellStyle name="Normal 2 5 8 2 6" xfId="19494"/>
    <cellStyle name="Normal 2 5 8 3" xfId="19495"/>
    <cellStyle name="Normal 2 5 8 3 2" xfId="19496"/>
    <cellStyle name="Normal 2 5 8 3 2 2" xfId="36723"/>
    <cellStyle name="Normal 2 5 8 3 3" xfId="36724"/>
    <cellStyle name="Normal 2 5 8 4" xfId="19497"/>
    <cellStyle name="Normal 2 5 8 4 2" xfId="19498"/>
    <cellStyle name="Normal 2 5 8 4 2 2" xfId="36725"/>
    <cellStyle name="Normal 2 5 8 4 3" xfId="36726"/>
    <cellStyle name="Normal 2 5 8 5" xfId="19499"/>
    <cellStyle name="Normal 2 5 8 5 2" xfId="19500"/>
    <cellStyle name="Normal 2 5 8 5 2 2" xfId="36727"/>
    <cellStyle name="Normal 2 5 8 5 3" xfId="36728"/>
    <cellStyle name="Normal 2 5 8 6" xfId="19501"/>
    <cellStyle name="Normal 2 5 8 6 2" xfId="36729"/>
    <cellStyle name="Normal 2 5 8 7" xfId="19502"/>
    <cellStyle name="Normal 2 5 9" xfId="2304"/>
    <cellStyle name="Normal 2 5 9 2" xfId="19503"/>
    <cellStyle name="Normal 2 5 9 2 2" xfId="19504"/>
    <cellStyle name="Normal 2 5 9 2 2 2" xfId="36730"/>
    <cellStyle name="Normal 2 5 9 2 3" xfId="36731"/>
    <cellStyle name="Normal 2 5 9 3" xfId="19505"/>
    <cellStyle name="Normal 2 5 9 3 2" xfId="19506"/>
    <cellStyle name="Normal 2 5 9 3 2 2" xfId="36732"/>
    <cellStyle name="Normal 2 5 9 3 3" xfId="36733"/>
    <cellStyle name="Normal 2 5 9 4" xfId="19507"/>
    <cellStyle name="Normal 2 5 9 4 2" xfId="19508"/>
    <cellStyle name="Normal 2 5 9 4 2 2" xfId="36734"/>
    <cellStyle name="Normal 2 5 9 4 3" xfId="36735"/>
    <cellStyle name="Normal 2 5 9 5" xfId="19509"/>
    <cellStyle name="Normal 2 5 9 5 2" xfId="36736"/>
    <cellStyle name="Normal 2 5 9 6" xfId="19510"/>
    <cellStyle name="Normal 2 6" xfId="66"/>
    <cellStyle name="Normal 2 6 10" xfId="19511"/>
    <cellStyle name="Normal 2 6 10 2" xfId="19512"/>
    <cellStyle name="Normal 2 6 10 2 2" xfId="36737"/>
    <cellStyle name="Normal 2 6 10 3" xfId="36738"/>
    <cellStyle name="Normal 2 6 11" xfId="19513"/>
    <cellStyle name="Normal 2 6 11 2" xfId="19514"/>
    <cellStyle name="Normal 2 6 11 2 2" xfId="36739"/>
    <cellStyle name="Normal 2 6 11 3" xfId="36740"/>
    <cellStyle name="Normal 2 6 12" xfId="19515"/>
    <cellStyle name="Normal 2 6 12 2" xfId="19516"/>
    <cellStyle name="Normal 2 6 12 2 2" xfId="36741"/>
    <cellStyle name="Normal 2 6 12 3" xfId="36742"/>
    <cellStyle name="Normal 2 6 13" xfId="19517"/>
    <cellStyle name="Normal 2 6 13 2" xfId="36743"/>
    <cellStyle name="Normal 2 6 14" xfId="19518"/>
    <cellStyle name="Normal 2 6 2" xfId="237"/>
    <cellStyle name="Normal 2 6 2 10" xfId="19519"/>
    <cellStyle name="Normal 2 6 2 2" xfId="395"/>
    <cellStyle name="Normal 2 6 2 2 2" xfId="1183"/>
    <cellStyle name="Normal 2 6 2 2 2 2" xfId="2305"/>
    <cellStyle name="Normal 2 6 2 2 2 2 2" xfId="19520"/>
    <cellStyle name="Normal 2 6 2 2 2 2 2 2" xfId="19521"/>
    <cellStyle name="Normal 2 6 2 2 2 2 2 2 2" xfId="36744"/>
    <cellStyle name="Normal 2 6 2 2 2 2 2 3" xfId="36745"/>
    <cellStyle name="Normal 2 6 2 2 2 2 3" xfId="19522"/>
    <cellStyle name="Normal 2 6 2 2 2 2 3 2" xfId="19523"/>
    <cellStyle name="Normal 2 6 2 2 2 2 3 2 2" xfId="36746"/>
    <cellStyle name="Normal 2 6 2 2 2 2 3 3" xfId="36747"/>
    <cellStyle name="Normal 2 6 2 2 2 2 4" xfId="19524"/>
    <cellStyle name="Normal 2 6 2 2 2 2 4 2" xfId="19525"/>
    <cellStyle name="Normal 2 6 2 2 2 2 4 2 2" xfId="36748"/>
    <cellStyle name="Normal 2 6 2 2 2 2 4 3" xfId="36749"/>
    <cellStyle name="Normal 2 6 2 2 2 2 5" xfId="19526"/>
    <cellStyle name="Normal 2 6 2 2 2 2 5 2" xfId="36750"/>
    <cellStyle name="Normal 2 6 2 2 2 2 6" xfId="19527"/>
    <cellStyle name="Normal 2 6 2 2 2 3" xfId="19528"/>
    <cellStyle name="Normal 2 6 2 2 2 3 2" xfId="19529"/>
    <cellStyle name="Normal 2 6 2 2 2 3 2 2" xfId="36751"/>
    <cellStyle name="Normal 2 6 2 2 2 3 3" xfId="36752"/>
    <cellStyle name="Normal 2 6 2 2 2 4" xfId="19530"/>
    <cellStyle name="Normal 2 6 2 2 2 4 2" xfId="19531"/>
    <cellStyle name="Normal 2 6 2 2 2 4 2 2" xfId="36753"/>
    <cellStyle name="Normal 2 6 2 2 2 4 3" xfId="36754"/>
    <cellStyle name="Normal 2 6 2 2 2 5" xfId="19532"/>
    <cellStyle name="Normal 2 6 2 2 2 5 2" xfId="19533"/>
    <cellStyle name="Normal 2 6 2 2 2 5 2 2" xfId="36755"/>
    <cellStyle name="Normal 2 6 2 2 2 5 3" xfId="36756"/>
    <cellStyle name="Normal 2 6 2 2 2 6" xfId="19534"/>
    <cellStyle name="Normal 2 6 2 2 2 6 2" xfId="36757"/>
    <cellStyle name="Normal 2 6 2 2 2 7" xfId="19535"/>
    <cellStyle name="Normal 2 6 2 2 3" xfId="815"/>
    <cellStyle name="Normal 2 6 2 2 3 2" xfId="2306"/>
    <cellStyle name="Normal 2 6 2 2 3 2 2" xfId="19536"/>
    <cellStyle name="Normal 2 6 2 2 3 2 2 2" xfId="19537"/>
    <cellStyle name="Normal 2 6 2 2 3 2 2 2 2" xfId="36758"/>
    <cellStyle name="Normal 2 6 2 2 3 2 2 3" xfId="36759"/>
    <cellStyle name="Normal 2 6 2 2 3 2 3" xfId="19538"/>
    <cellStyle name="Normal 2 6 2 2 3 2 3 2" xfId="19539"/>
    <cellStyle name="Normal 2 6 2 2 3 2 3 2 2" xfId="36760"/>
    <cellStyle name="Normal 2 6 2 2 3 2 3 3" xfId="36761"/>
    <cellStyle name="Normal 2 6 2 2 3 2 4" xfId="19540"/>
    <cellStyle name="Normal 2 6 2 2 3 2 4 2" xfId="19541"/>
    <cellStyle name="Normal 2 6 2 2 3 2 4 2 2" xfId="36762"/>
    <cellStyle name="Normal 2 6 2 2 3 2 4 3" xfId="36763"/>
    <cellStyle name="Normal 2 6 2 2 3 2 5" xfId="19542"/>
    <cellStyle name="Normal 2 6 2 2 3 2 5 2" xfId="36764"/>
    <cellStyle name="Normal 2 6 2 2 3 2 6" xfId="19543"/>
    <cellStyle name="Normal 2 6 2 2 3 3" xfId="19544"/>
    <cellStyle name="Normal 2 6 2 2 3 3 2" xfId="19545"/>
    <cellStyle name="Normal 2 6 2 2 3 3 2 2" xfId="36765"/>
    <cellStyle name="Normal 2 6 2 2 3 3 3" xfId="36766"/>
    <cellStyle name="Normal 2 6 2 2 3 4" xfId="19546"/>
    <cellStyle name="Normal 2 6 2 2 3 4 2" xfId="19547"/>
    <cellStyle name="Normal 2 6 2 2 3 4 2 2" xfId="36767"/>
    <cellStyle name="Normal 2 6 2 2 3 4 3" xfId="36768"/>
    <cellStyle name="Normal 2 6 2 2 3 5" xfId="19548"/>
    <cellStyle name="Normal 2 6 2 2 3 5 2" xfId="19549"/>
    <cellStyle name="Normal 2 6 2 2 3 5 2 2" xfId="36769"/>
    <cellStyle name="Normal 2 6 2 2 3 5 3" xfId="36770"/>
    <cellStyle name="Normal 2 6 2 2 3 6" xfId="19550"/>
    <cellStyle name="Normal 2 6 2 2 3 6 2" xfId="36771"/>
    <cellStyle name="Normal 2 6 2 2 3 7" xfId="19551"/>
    <cellStyle name="Normal 2 6 2 2 4" xfId="2307"/>
    <cellStyle name="Normal 2 6 2 2 4 2" xfId="19552"/>
    <cellStyle name="Normal 2 6 2 2 4 2 2" xfId="19553"/>
    <cellStyle name="Normal 2 6 2 2 4 2 2 2" xfId="36772"/>
    <cellStyle name="Normal 2 6 2 2 4 2 3" xfId="36773"/>
    <cellStyle name="Normal 2 6 2 2 4 3" xfId="19554"/>
    <cellStyle name="Normal 2 6 2 2 4 3 2" xfId="19555"/>
    <cellStyle name="Normal 2 6 2 2 4 3 2 2" xfId="36774"/>
    <cellStyle name="Normal 2 6 2 2 4 3 3" xfId="36775"/>
    <cellStyle name="Normal 2 6 2 2 4 4" xfId="19556"/>
    <cellStyle name="Normal 2 6 2 2 4 4 2" xfId="19557"/>
    <cellStyle name="Normal 2 6 2 2 4 4 2 2" xfId="36776"/>
    <cellStyle name="Normal 2 6 2 2 4 4 3" xfId="36777"/>
    <cellStyle name="Normal 2 6 2 2 4 5" xfId="19558"/>
    <cellStyle name="Normal 2 6 2 2 4 5 2" xfId="36778"/>
    <cellStyle name="Normal 2 6 2 2 4 6" xfId="19559"/>
    <cellStyle name="Normal 2 6 2 2 5" xfId="19560"/>
    <cellStyle name="Normal 2 6 2 2 5 2" xfId="19561"/>
    <cellStyle name="Normal 2 6 2 2 5 2 2" xfId="36779"/>
    <cellStyle name="Normal 2 6 2 2 5 3" xfId="36780"/>
    <cellStyle name="Normal 2 6 2 2 6" xfId="19562"/>
    <cellStyle name="Normal 2 6 2 2 6 2" xfId="19563"/>
    <cellStyle name="Normal 2 6 2 2 6 2 2" xfId="36781"/>
    <cellStyle name="Normal 2 6 2 2 6 3" xfId="36782"/>
    <cellStyle name="Normal 2 6 2 2 7" xfId="19564"/>
    <cellStyle name="Normal 2 6 2 2 7 2" xfId="19565"/>
    <cellStyle name="Normal 2 6 2 2 7 2 2" xfId="36783"/>
    <cellStyle name="Normal 2 6 2 2 7 3" xfId="36784"/>
    <cellStyle name="Normal 2 6 2 2 8" xfId="19566"/>
    <cellStyle name="Normal 2 6 2 2 8 2" xfId="36785"/>
    <cellStyle name="Normal 2 6 2 2 9" xfId="19567"/>
    <cellStyle name="Normal 2 6 2 3" xfId="1025"/>
    <cellStyle name="Normal 2 6 2 3 2" xfId="2308"/>
    <cellStyle name="Normal 2 6 2 3 2 2" xfId="19568"/>
    <cellStyle name="Normal 2 6 2 3 2 2 2" xfId="19569"/>
    <cellStyle name="Normal 2 6 2 3 2 2 2 2" xfId="36786"/>
    <cellStyle name="Normal 2 6 2 3 2 2 3" xfId="36787"/>
    <cellStyle name="Normal 2 6 2 3 2 3" xfId="19570"/>
    <cellStyle name="Normal 2 6 2 3 2 3 2" xfId="19571"/>
    <cellStyle name="Normal 2 6 2 3 2 3 2 2" xfId="36788"/>
    <cellStyle name="Normal 2 6 2 3 2 3 3" xfId="36789"/>
    <cellStyle name="Normal 2 6 2 3 2 4" xfId="19572"/>
    <cellStyle name="Normal 2 6 2 3 2 4 2" xfId="19573"/>
    <cellStyle name="Normal 2 6 2 3 2 4 2 2" xfId="36790"/>
    <cellStyle name="Normal 2 6 2 3 2 4 3" xfId="36791"/>
    <cellStyle name="Normal 2 6 2 3 2 5" xfId="19574"/>
    <cellStyle name="Normal 2 6 2 3 2 5 2" xfId="36792"/>
    <cellStyle name="Normal 2 6 2 3 2 6" xfId="19575"/>
    <cellStyle name="Normal 2 6 2 3 3" xfId="19576"/>
    <cellStyle name="Normal 2 6 2 3 3 2" xfId="19577"/>
    <cellStyle name="Normal 2 6 2 3 3 2 2" xfId="36793"/>
    <cellStyle name="Normal 2 6 2 3 3 3" xfId="36794"/>
    <cellStyle name="Normal 2 6 2 3 4" xfId="19578"/>
    <cellStyle name="Normal 2 6 2 3 4 2" xfId="19579"/>
    <cellStyle name="Normal 2 6 2 3 4 2 2" xfId="36795"/>
    <cellStyle name="Normal 2 6 2 3 4 3" xfId="36796"/>
    <cellStyle name="Normal 2 6 2 3 5" xfId="19580"/>
    <cellStyle name="Normal 2 6 2 3 5 2" xfId="19581"/>
    <cellStyle name="Normal 2 6 2 3 5 2 2" xfId="36797"/>
    <cellStyle name="Normal 2 6 2 3 5 3" xfId="36798"/>
    <cellStyle name="Normal 2 6 2 3 6" xfId="19582"/>
    <cellStyle name="Normal 2 6 2 3 6 2" xfId="36799"/>
    <cellStyle name="Normal 2 6 2 3 7" xfId="19583"/>
    <cellStyle name="Normal 2 6 2 4" xfId="657"/>
    <cellStyle name="Normal 2 6 2 4 2" xfId="2309"/>
    <cellStyle name="Normal 2 6 2 4 2 2" xfId="19584"/>
    <cellStyle name="Normal 2 6 2 4 2 2 2" xfId="19585"/>
    <cellStyle name="Normal 2 6 2 4 2 2 2 2" xfId="36800"/>
    <cellStyle name="Normal 2 6 2 4 2 2 3" xfId="36801"/>
    <cellStyle name="Normal 2 6 2 4 2 3" xfId="19586"/>
    <cellStyle name="Normal 2 6 2 4 2 3 2" xfId="19587"/>
    <cellStyle name="Normal 2 6 2 4 2 3 2 2" xfId="36802"/>
    <cellStyle name="Normal 2 6 2 4 2 3 3" xfId="36803"/>
    <cellStyle name="Normal 2 6 2 4 2 4" xfId="19588"/>
    <cellStyle name="Normal 2 6 2 4 2 4 2" xfId="19589"/>
    <cellStyle name="Normal 2 6 2 4 2 4 2 2" xfId="36804"/>
    <cellStyle name="Normal 2 6 2 4 2 4 3" xfId="36805"/>
    <cellStyle name="Normal 2 6 2 4 2 5" xfId="19590"/>
    <cellStyle name="Normal 2 6 2 4 2 5 2" xfId="36806"/>
    <cellStyle name="Normal 2 6 2 4 2 6" xfId="19591"/>
    <cellStyle name="Normal 2 6 2 4 3" xfId="19592"/>
    <cellStyle name="Normal 2 6 2 4 3 2" xfId="19593"/>
    <cellStyle name="Normal 2 6 2 4 3 2 2" xfId="36807"/>
    <cellStyle name="Normal 2 6 2 4 3 3" xfId="36808"/>
    <cellStyle name="Normal 2 6 2 4 4" xfId="19594"/>
    <cellStyle name="Normal 2 6 2 4 4 2" xfId="19595"/>
    <cellStyle name="Normal 2 6 2 4 4 2 2" xfId="36809"/>
    <cellStyle name="Normal 2 6 2 4 4 3" xfId="36810"/>
    <cellStyle name="Normal 2 6 2 4 5" xfId="19596"/>
    <cellStyle name="Normal 2 6 2 4 5 2" xfId="19597"/>
    <cellStyle name="Normal 2 6 2 4 5 2 2" xfId="36811"/>
    <cellStyle name="Normal 2 6 2 4 5 3" xfId="36812"/>
    <cellStyle name="Normal 2 6 2 4 6" xfId="19598"/>
    <cellStyle name="Normal 2 6 2 4 6 2" xfId="36813"/>
    <cellStyle name="Normal 2 6 2 4 7" xfId="19599"/>
    <cellStyle name="Normal 2 6 2 5" xfId="2310"/>
    <cellStyle name="Normal 2 6 2 5 2" xfId="19600"/>
    <cellStyle name="Normal 2 6 2 5 2 2" xfId="19601"/>
    <cellStyle name="Normal 2 6 2 5 2 2 2" xfId="36814"/>
    <cellStyle name="Normal 2 6 2 5 2 3" xfId="36815"/>
    <cellStyle name="Normal 2 6 2 5 3" xfId="19602"/>
    <cellStyle name="Normal 2 6 2 5 3 2" xfId="19603"/>
    <cellStyle name="Normal 2 6 2 5 3 2 2" xfId="36816"/>
    <cellStyle name="Normal 2 6 2 5 3 3" xfId="36817"/>
    <cellStyle name="Normal 2 6 2 5 4" xfId="19604"/>
    <cellStyle name="Normal 2 6 2 5 4 2" xfId="19605"/>
    <cellStyle name="Normal 2 6 2 5 4 2 2" xfId="36818"/>
    <cellStyle name="Normal 2 6 2 5 4 3" xfId="36819"/>
    <cellStyle name="Normal 2 6 2 5 5" xfId="19606"/>
    <cellStyle name="Normal 2 6 2 5 5 2" xfId="36820"/>
    <cellStyle name="Normal 2 6 2 5 6" xfId="19607"/>
    <cellStyle name="Normal 2 6 2 6" xfId="19608"/>
    <cellStyle name="Normal 2 6 2 6 2" xfId="19609"/>
    <cellStyle name="Normal 2 6 2 6 2 2" xfId="36821"/>
    <cellStyle name="Normal 2 6 2 6 3" xfId="36822"/>
    <cellStyle name="Normal 2 6 2 7" xfId="19610"/>
    <cellStyle name="Normal 2 6 2 7 2" xfId="19611"/>
    <cellStyle name="Normal 2 6 2 7 2 2" xfId="36823"/>
    <cellStyle name="Normal 2 6 2 7 3" xfId="36824"/>
    <cellStyle name="Normal 2 6 2 8" xfId="19612"/>
    <cellStyle name="Normal 2 6 2 8 2" xfId="19613"/>
    <cellStyle name="Normal 2 6 2 8 2 2" xfId="36825"/>
    <cellStyle name="Normal 2 6 2 8 3" xfId="36826"/>
    <cellStyle name="Normal 2 6 2 9" xfId="19614"/>
    <cellStyle name="Normal 2 6 2 9 2" xfId="36827"/>
    <cellStyle name="Normal 2 6 3" xfId="288"/>
    <cellStyle name="Normal 2 6 3 10" xfId="19615"/>
    <cellStyle name="Normal 2 6 3 2" xfId="446"/>
    <cellStyle name="Normal 2 6 3 2 2" xfId="1234"/>
    <cellStyle name="Normal 2 6 3 2 2 2" xfId="2311"/>
    <cellStyle name="Normal 2 6 3 2 2 2 2" xfId="19616"/>
    <cellStyle name="Normal 2 6 3 2 2 2 2 2" xfId="19617"/>
    <cellStyle name="Normal 2 6 3 2 2 2 2 2 2" xfId="36828"/>
    <cellStyle name="Normal 2 6 3 2 2 2 2 3" xfId="36829"/>
    <cellStyle name="Normal 2 6 3 2 2 2 3" xfId="19618"/>
    <cellStyle name="Normal 2 6 3 2 2 2 3 2" xfId="19619"/>
    <cellStyle name="Normal 2 6 3 2 2 2 3 2 2" xfId="36830"/>
    <cellStyle name="Normal 2 6 3 2 2 2 3 3" xfId="36831"/>
    <cellStyle name="Normal 2 6 3 2 2 2 4" xfId="19620"/>
    <cellStyle name="Normal 2 6 3 2 2 2 4 2" xfId="19621"/>
    <cellStyle name="Normal 2 6 3 2 2 2 4 2 2" xfId="36832"/>
    <cellStyle name="Normal 2 6 3 2 2 2 4 3" xfId="36833"/>
    <cellStyle name="Normal 2 6 3 2 2 2 5" xfId="19622"/>
    <cellStyle name="Normal 2 6 3 2 2 2 5 2" xfId="36834"/>
    <cellStyle name="Normal 2 6 3 2 2 2 6" xfId="19623"/>
    <cellStyle name="Normal 2 6 3 2 2 3" xfId="19624"/>
    <cellStyle name="Normal 2 6 3 2 2 3 2" xfId="19625"/>
    <cellStyle name="Normal 2 6 3 2 2 3 2 2" xfId="36835"/>
    <cellStyle name="Normal 2 6 3 2 2 3 3" xfId="36836"/>
    <cellStyle name="Normal 2 6 3 2 2 4" xfId="19626"/>
    <cellStyle name="Normal 2 6 3 2 2 4 2" xfId="19627"/>
    <cellStyle name="Normal 2 6 3 2 2 4 2 2" xfId="36837"/>
    <cellStyle name="Normal 2 6 3 2 2 4 3" xfId="36838"/>
    <cellStyle name="Normal 2 6 3 2 2 5" xfId="19628"/>
    <cellStyle name="Normal 2 6 3 2 2 5 2" xfId="19629"/>
    <cellStyle name="Normal 2 6 3 2 2 5 2 2" xfId="36839"/>
    <cellStyle name="Normal 2 6 3 2 2 5 3" xfId="36840"/>
    <cellStyle name="Normal 2 6 3 2 2 6" xfId="19630"/>
    <cellStyle name="Normal 2 6 3 2 2 6 2" xfId="36841"/>
    <cellStyle name="Normal 2 6 3 2 2 7" xfId="19631"/>
    <cellStyle name="Normal 2 6 3 2 3" xfId="866"/>
    <cellStyle name="Normal 2 6 3 2 3 2" xfId="2312"/>
    <cellStyle name="Normal 2 6 3 2 3 2 2" xfId="19632"/>
    <cellStyle name="Normal 2 6 3 2 3 2 2 2" xfId="19633"/>
    <cellStyle name="Normal 2 6 3 2 3 2 2 2 2" xfId="36842"/>
    <cellStyle name="Normal 2 6 3 2 3 2 2 3" xfId="36843"/>
    <cellStyle name="Normal 2 6 3 2 3 2 3" xfId="19634"/>
    <cellStyle name="Normal 2 6 3 2 3 2 3 2" xfId="19635"/>
    <cellStyle name="Normal 2 6 3 2 3 2 3 2 2" xfId="36844"/>
    <cellStyle name="Normal 2 6 3 2 3 2 3 3" xfId="36845"/>
    <cellStyle name="Normal 2 6 3 2 3 2 4" xfId="19636"/>
    <cellStyle name="Normal 2 6 3 2 3 2 4 2" xfId="19637"/>
    <cellStyle name="Normal 2 6 3 2 3 2 4 2 2" xfId="36846"/>
    <cellStyle name="Normal 2 6 3 2 3 2 4 3" xfId="36847"/>
    <cellStyle name="Normal 2 6 3 2 3 2 5" xfId="19638"/>
    <cellStyle name="Normal 2 6 3 2 3 2 5 2" xfId="36848"/>
    <cellStyle name="Normal 2 6 3 2 3 2 6" xfId="19639"/>
    <cellStyle name="Normal 2 6 3 2 3 3" xfId="19640"/>
    <cellStyle name="Normal 2 6 3 2 3 3 2" xfId="19641"/>
    <cellStyle name="Normal 2 6 3 2 3 3 2 2" xfId="36849"/>
    <cellStyle name="Normal 2 6 3 2 3 3 3" xfId="36850"/>
    <cellStyle name="Normal 2 6 3 2 3 4" xfId="19642"/>
    <cellStyle name="Normal 2 6 3 2 3 4 2" xfId="19643"/>
    <cellStyle name="Normal 2 6 3 2 3 4 2 2" xfId="36851"/>
    <cellStyle name="Normal 2 6 3 2 3 4 3" xfId="36852"/>
    <cellStyle name="Normal 2 6 3 2 3 5" xfId="19644"/>
    <cellStyle name="Normal 2 6 3 2 3 5 2" xfId="19645"/>
    <cellStyle name="Normal 2 6 3 2 3 5 2 2" xfId="36853"/>
    <cellStyle name="Normal 2 6 3 2 3 5 3" xfId="36854"/>
    <cellStyle name="Normal 2 6 3 2 3 6" xfId="19646"/>
    <cellStyle name="Normal 2 6 3 2 3 6 2" xfId="36855"/>
    <cellStyle name="Normal 2 6 3 2 3 7" xfId="19647"/>
    <cellStyle name="Normal 2 6 3 2 4" xfId="2313"/>
    <cellStyle name="Normal 2 6 3 2 4 2" xfId="19648"/>
    <cellStyle name="Normal 2 6 3 2 4 2 2" xfId="19649"/>
    <cellStyle name="Normal 2 6 3 2 4 2 2 2" xfId="36856"/>
    <cellStyle name="Normal 2 6 3 2 4 2 3" xfId="36857"/>
    <cellStyle name="Normal 2 6 3 2 4 3" xfId="19650"/>
    <cellStyle name="Normal 2 6 3 2 4 3 2" xfId="19651"/>
    <cellStyle name="Normal 2 6 3 2 4 3 2 2" xfId="36858"/>
    <cellStyle name="Normal 2 6 3 2 4 3 3" xfId="36859"/>
    <cellStyle name="Normal 2 6 3 2 4 4" xfId="19652"/>
    <cellStyle name="Normal 2 6 3 2 4 4 2" xfId="19653"/>
    <cellStyle name="Normal 2 6 3 2 4 4 2 2" xfId="36860"/>
    <cellStyle name="Normal 2 6 3 2 4 4 3" xfId="36861"/>
    <cellStyle name="Normal 2 6 3 2 4 5" xfId="19654"/>
    <cellStyle name="Normal 2 6 3 2 4 5 2" xfId="36862"/>
    <cellStyle name="Normal 2 6 3 2 4 6" xfId="19655"/>
    <cellStyle name="Normal 2 6 3 2 5" xfId="19656"/>
    <cellStyle name="Normal 2 6 3 2 5 2" xfId="19657"/>
    <cellStyle name="Normal 2 6 3 2 5 2 2" xfId="36863"/>
    <cellStyle name="Normal 2 6 3 2 5 3" xfId="36864"/>
    <cellStyle name="Normal 2 6 3 2 6" xfId="19658"/>
    <cellStyle name="Normal 2 6 3 2 6 2" xfId="19659"/>
    <cellStyle name="Normal 2 6 3 2 6 2 2" xfId="36865"/>
    <cellStyle name="Normal 2 6 3 2 6 3" xfId="36866"/>
    <cellStyle name="Normal 2 6 3 2 7" xfId="19660"/>
    <cellStyle name="Normal 2 6 3 2 7 2" xfId="19661"/>
    <cellStyle name="Normal 2 6 3 2 7 2 2" xfId="36867"/>
    <cellStyle name="Normal 2 6 3 2 7 3" xfId="36868"/>
    <cellStyle name="Normal 2 6 3 2 8" xfId="19662"/>
    <cellStyle name="Normal 2 6 3 2 8 2" xfId="36869"/>
    <cellStyle name="Normal 2 6 3 2 9" xfId="19663"/>
    <cellStyle name="Normal 2 6 3 3" xfId="1076"/>
    <cellStyle name="Normal 2 6 3 3 2" xfId="2314"/>
    <cellStyle name="Normal 2 6 3 3 2 2" xfId="19664"/>
    <cellStyle name="Normal 2 6 3 3 2 2 2" xfId="19665"/>
    <cellStyle name="Normal 2 6 3 3 2 2 2 2" xfId="36870"/>
    <cellStyle name="Normal 2 6 3 3 2 2 3" xfId="36871"/>
    <cellStyle name="Normal 2 6 3 3 2 3" xfId="19666"/>
    <cellStyle name="Normal 2 6 3 3 2 3 2" xfId="19667"/>
    <cellStyle name="Normal 2 6 3 3 2 3 2 2" xfId="36872"/>
    <cellStyle name="Normal 2 6 3 3 2 3 3" xfId="36873"/>
    <cellStyle name="Normal 2 6 3 3 2 4" xfId="19668"/>
    <cellStyle name="Normal 2 6 3 3 2 4 2" xfId="19669"/>
    <cellStyle name="Normal 2 6 3 3 2 4 2 2" xfId="36874"/>
    <cellStyle name="Normal 2 6 3 3 2 4 3" xfId="36875"/>
    <cellStyle name="Normal 2 6 3 3 2 5" xfId="19670"/>
    <cellStyle name="Normal 2 6 3 3 2 5 2" xfId="36876"/>
    <cellStyle name="Normal 2 6 3 3 2 6" xfId="19671"/>
    <cellStyle name="Normal 2 6 3 3 3" xfId="19672"/>
    <cellStyle name="Normal 2 6 3 3 3 2" xfId="19673"/>
    <cellStyle name="Normal 2 6 3 3 3 2 2" xfId="36877"/>
    <cellStyle name="Normal 2 6 3 3 3 3" xfId="36878"/>
    <cellStyle name="Normal 2 6 3 3 4" xfId="19674"/>
    <cellStyle name="Normal 2 6 3 3 4 2" xfId="19675"/>
    <cellStyle name="Normal 2 6 3 3 4 2 2" xfId="36879"/>
    <cellStyle name="Normal 2 6 3 3 4 3" xfId="36880"/>
    <cellStyle name="Normal 2 6 3 3 5" xfId="19676"/>
    <cellStyle name="Normal 2 6 3 3 5 2" xfId="19677"/>
    <cellStyle name="Normal 2 6 3 3 5 2 2" xfId="36881"/>
    <cellStyle name="Normal 2 6 3 3 5 3" xfId="36882"/>
    <cellStyle name="Normal 2 6 3 3 6" xfId="19678"/>
    <cellStyle name="Normal 2 6 3 3 6 2" xfId="36883"/>
    <cellStyle name="Normal 2 6 3 3 7" xfId="19679"/>
    <cellStyle name="Normal 2 6 3 4" xfId="708"/>
    <cellStyle name="Normal 2 6 3 4 2" xfId="2315"/>
    <cellStyle name="Normal 2 6 3 4 2 2" xfId="19680"/>
    <cellStyle name="Normal 2 6 3 4 2 2 2" xfId="19681"/>
    <cellStyle name="Normal 2 6 3 4 2 2 2 2" xfId="36884"/>
    <cellStyle name="Normal 2 6 3 4 2 2 3" xfId="36885"/>
    <cellStyle name="Normal 2 6 3 4 2 3" xfId="19682"/>
    <cellStyle name="Normal 2 6 3 4 2 3 2" xfId="19683"/>
    <cellStyle name="Normal 2 6 3 4 2 3 2 2" xfId="36886"/>
    <cellStyle name="Normal 2 6 3 4 2 3 3" xfId="36887"/>
    <cellStyle name="Normal 2 6 3 4 2 4" xfId="19684"/>
    <cellStyle name="Normal 2 6 3 4 2 4 2" xfId="19685"/>
    <cellStyle name="Normal 2 6 3 4 2 4 2 2" xfId="36888"/>
    <cellStyle name="Normal 2 6 3 4 2 4 3" xfId="36889"/>
    <cellStyle name="Normal 2 6 3 4 2 5" xfId="19686"/>
    <cellStyle name="Normal 2 6 3 4 2 5 2" xfId="36890"/>
    <cellStyle name="Normal 2 6 3 4 2 6" xfId="19687"/>
    <cellStyle name="Normal 2 6 3 4 3" xfId="19688"/>
    <cellStyle name="Normal 2 6 3 4 3 2" xfId="19689"/>
    <cellStyle name="Normal 2 6 3 4 3 2 2" xfId="36891"/>
    <cellStyle name="Normal 2 6 3 4 3 3" xfId="36892"/>
    <cellStyle name="Normal 2 6 3 4 4" xfId="19690"/>
    <cellStyle name="Normal 2 6 3 4 4 2" xfId="19691"/>
    <cellStyle name="Normal 2 6 3 4 4 2 2" xfId="36893"/>
    <cellStyle name="Normal 2 6 3 4 4 3" xfId="36894"/>
    <cellStyle name="Normal 2 6 3 4 5" xfId="19692"/>
    <cellStyle name="Normal 2 6 3 4 5 2" xfId="19693"/>
    <cellStyle name="Normal 2 6 3 4 5 2 2" xfId="36895"/>
    <cellStyle name="Normal 2 6 3 4 5 3" xfId="36896"/>
    <cellStyle name="Normal 2 6 3 4 6" xfId="19694"/>
    <cellStyle name="Normal 2 6 3 4 6 2" xfId="36897"/>
    <cellStyle name="Normal 2 6 3 4 7" xfId="19695"/>
    <cellStyle name="Normal 2 6 3 5" xfId="2316"/>
    <cellStyle name="Normal 2 6 3 5 2" xfId="19696"/>
    <cellStyle name="Normal 2 6 3 5 2 2" xfId="19697"/>
    <cellStyle name="Normal 2 6 3 5 2 2 2" xfId="36898"/>
    <cellStyle name="Normal 2 6 3 5 2 3" xfId="36899"/>
    <cellStyle name="Normal 2 6 3 5 3" xfId="19698"/>
    <cellStyle name="Normal 2 6 3 5 3 2" xfId="19699"/>
    <cellStyle name="Normal 2 6 3 5 3 2 2" xfId="36900"/>
    <cellStyle name="Normal 2 6 3 5 3 3" xfId="36901"/>
    <cellStyle name="Normal 2 6 3 5 4" xfId="19700"/>
    <cellStyle name="Normal 2 6 3 5 4 2" xfId="19701"/>
    <cellStyle name="Normal 2 6 3 5 4 2 2" xfId="36902"/>
    <cellStyle name="Normal 2 6 3 5 4 3" xfId="36903"/>
    <cellStyle name="Normal 2 6 3 5 5" xfId="19702"/>
    <cellStyle name="Normal 2 6 3 5 5 2" xfId="36904"/>
    <cellStyle name="Normal 2 6 3 5 6" xfId="19703"/>
    <cellStyle name="Normal 2 6 3 6" xfId="19704"/>
    <cellStyle name="Normal 2 6 3 6 2" xfId="19705"/>
    <cellStyle name="Normal 2 6 3 6 2 2" xfId="36905"/>
    <cellStyle name="Normal 2 6 3 6 3" xfId="36906"/>
    <cellStyle name="Normal 2 6 3 7" xfId="19706"/>
    <cellStyle name="Normal 2 6 3 7 2" xfId="19707"/>
    <cellStyle name="Normal 2 6 3 7 2 2" xfId="36907"/>
    <cellStyle name="Normal 2 6 3 7 3" xfId="36908"/>
    <cellStyle name="Normal 2 6 3 8" xfId="19708"/>
    <cellStyle name="Normal 2 6 3 8 2" xfId="19709"/>
    <cellStyle name="Normal 2 6 3 8 2 2" xfId="36909"/>
    <cellStyle name="Normal 2 6 3 8 3" xfId="36910"/>
    <cellStyle name="Normal 2 6 3 9" xfId="19710"/>
    <cellStyle name="Normal 2 6 3 9 2" xfId="36911"/>
    <cellStyle name="Normal 2 6 4" xfId="154"/>
    <cellStyle name="Normal 2 6 4 2" xfId="942"/>
    <cellStyle name="Normal 2 6 4 2 2" xfId="2317"/>
    <cellStyle name="Normal 2 6 4 2 2 2" xfId="19711"/>
    <cellStyle name="Normal 2 6 4 2 2 2 2" xfId="19712"/>
    <cellStyle name="Normal 2 6 4 2 2 2 2 2" xfId="36912"/>
    <cellStyle name="Normal 2 6 4 2 2 2 3" xfId="36913"/>
    <cellStyle name="Normal 2 6 4 2 2 3" xfId="19713"/>
    <cellStyle name="Normal 2 6 4 2 2 3 2" xfId="19714"/>
    <cellStyle name="Normal 2 6 4 2 2 3 2 2" xfId="36914"/>
    <cellStyle name="Normal 2 6 4 2 2 3 3" xfId="36915"/>
    <cellStyle name="Normal 2 6 4 2 2 4" xfId="19715"/>
    <cellStyle name="Normal 2 6 4 2 2 4 2" xfId="19716"/>
    <cellStyle name="Normal 2 6 4 2 2 4 2 2" xfId="36916"/>
    <cellStyle name="Normal 2 6 4 2 2 4 3" xfId="36917"/>
    <cellStyle name="Normal 2 6 4 2 2 5" xfId="19717"/>
    <cellStyle name="Normal 2 6 4 2 2 5 2" xfId="36918"/>
    <cellStyle name="Normal 2 6 4 2 2 6" xfId="19718"/>
    <cellStyle name="Normal 2 6 4 2 3" xfId="19719"/>
    <cellStyle name="Normal 2 6 4 2 3 2" xfId="19720"/>
    <cellStyle name="Normal 2 6 4 2 3 2 2" xfId="36919"/>
    <cellStyle name="Normal 2 6 4 2 3 3" xfId="36920"/>
    <cellStyle name="Normal 2 6 4 2 4" xfId="19721"/>
    <cellStyle name="Normal 2 6 4 2 4 2" xfId="19722"/>
    <cellStyle name="Normal 2 6 4 2 4 2 2" xfId="36921"/>
    <cellStyle name="Normal 2 6 4 2 4 3" xfId="36922"/>
    <cellStyle name="Normal 2 6 4 2 5" xfId="19723"/>
    <cellStyle name="Normal 2 6 4 2 5 2" xfId="19724"/>
    <cellStyle name="Normal 2 6 4 2 5 2 2" xfId="36923"/>
    <cellStyle name="Normal 2 6 4 2 5 3" xfId="36924"/>
    <cellStyle name="Normal 2 6 4 2 6" xfId="19725"/>
    <cellStyle name="Normal 2 6 4 2 6 2" xfId="36925"/>
    <cellStyle name="Normal 2 6 4 2 7" xfId="19726"/>
    <cellStyle name="Normal 2 6 4 3" xfId="574"/>
    <cellStyle name="Normal 2 6 4 3 2" xfId="2318"/>
    <cellStyle name="Normal 2 6 4 3 2 2" xfId="19727"/>
    <cellStyle name="Normal 2 6 4 3 2 2 2" xfId="19728"/>
    <cellStyle name="Normal 2 6 4 3 2 2 2 2" xfId="36926"/>
    <cellStyle name="Normal 2 6 4 3 2 2 3" xfId="36927"/>
    <cellStyle name="Normal 2 6 4 3 2 3" xfId="19729"/>
    <cellStyle name="Normal 2 6 4 3 2 3 2" xfId="19730"/>
    <cellStyle name="Normal 2 6 4 3 2 3 2 2" xfId="36928"/>
    <cellStyle name="Normal 2 6 4 3 2 3 3" xfId="36929"/>
    <cellStyle name="Normal 2 6 4 3 2 4" xfId="19731"/>
    <cellStyle name="Normal 2 6 4 3 2 4 2" xfId="19732"/>
    <cellStyle name="Normal 2 6 4 3 2 4 2 2" xfId="36930"/>
    <cellStyle name="Normal 2 6 4 3 2 4 3" xfId="36931"/>
    <cellStyle name="Normal 2 6 4 3 2 5" xfId="19733"/>
    <cellStyle name="Normal 2 6 4 3 2 5 2" xfId="36932"/>
    <cellStyle name="Normal 2 6 4 3 2 6" xfId="19734"/>
    <cellStyle name="Normal 2 6 4 3 3" xfId="19735"/>
    <cellStyle name="Normal 2 6 4 3 3 2" xfId="19736"/>
    <cellStyle name="Normal 2 6 4 3 3 2 2" xfId="36933"/>
    <cellStyle name="Normal 2 6 4 3 3 3" xfId="36934"/>
    <cellStyle name="Normal 2 6 4 3 4" xfId="19737"/>
    <cellStyle name="Normal 2 6 4 3 4 2" xfId="19738"/>
    <cellStyle name="Normal 2 6 4 3 4 2 2" xfId="36935"/>
    <cellStyle name="Normal 2 6 4 3 4 3" xfId="36936"/>
    <cellStyle name="Normal 2 6 4 3 5" xfId="19739"/>
    <cellStyle name="Normal 2 6 4 3 5 2" xfId="19740"/>
    <cellStyle name="Normal 2 6 4 3 5 2 2" xfId="36937"/>
    <cellStyle name="Normal 2 6 4 3 5 3" xfId="36938"/>
    <cellStyle name="Normal 2 6 4 3 6" xfId="19741"/>
    <cellStyle name="Normal 2 6 4 3 6 2" xfId="36939"/>
    <cellStyle name="Normal 2 6 4 3 7" xfId="19742"/>
    <cellStyle name="Normal 2 6 4 4" xfId="2319"/>
    <cellStyle name="Normal 2 6 4 4 2" xfId="19743"/>
    <cellStyle name="Normal 2 6 4 4 2 2" xfId="19744"/>
    <cellStyle name="Normal 2 6 4 4 2 2 2" xfId="36940"/>
    <cellStyle name="Normal 2 6 4 4 2 3" xfId="36941"/>
    <cellStyle name="Normal 2 6 4 4 3" xfId="19745"/>
    <cellStyle name="Normal 2 6 4 4 3 2" xfId="19746"/>
    <cellStyle name="Normal 2 6 4 4 3 2 2" xfId="36942"/>
    <cellStyle name="Normal 2 6 4 4 3 3" xfId="36943"/>
    <cellStyle name="Normal 2 6 4 4 4" xfId="19747"/>
    <cellStyle name="Normal 2 6 4 4 4 2" xfId="19748"/>
    <cellStyle name="Normal 2 6 4 4 4 2 2" xfId="36944"/>
    <cellStyle name="Normal 2 6 4 4 4 3" xfId="36945"/>
    <cellStyle name="Normal 2 6 4 4 5" xfId="19749"/>
    <cellStyle name="Normal 2 6 4 4 5 2" xfId="36946"/>
    <cellStyle name="Normal 2 6 4 4 6" xfId="19750"/>
    <cellStyle name="Normal 2 6 4 5" xfId="19751"/>
    <cellStyle name="Normal 2 6 4 5 2" xfId="19752"/>
    <cellStyle name="Normal 2 6 4 5 2 2" xfId="36947"/>
    <cellStyle name="Normal 2 6 4 5 3" xfId="36948"/>
    <cellStyle name="Normal 2 6 4 6" xfId="19753"/>
    <cellStyle name="Normal 2 6 4 6 2" xfId="19754"/>
    <cellStyle name="Normal 2 6 4 6 2 2" xfId="36949"/>
    <cellStyle name="Normal 2 6 4 6 3" xfId="36950"/>
    <cellStyle name="Normal 2 6 4 7" xfId="19755"/>
    <cellStyle name="Normal 2 6 4 7 2" xfId="19756"/>
    <cellStyle name="Normal 2 6 4 7 2 2" xfId="36951"/>
    <cellStyle name="Normal 2 6 4 7 3" xfId="36952"/>
    <cellStyle name="Normal 2 6 4 8" xfId="19757"/>
    <cellStyle name="Normal 2 6 4 8 2" xfId="36953"/>
    <cellStyle name="Normal 2 6 4 9" xfId="19758"/>
    <cellStyle name="Normal 2 6 5" xfId="312"/>
    <cellStyle name="Normal 2 6 5 2" xfId="1100"/>
    <cellStyle name="Normal 2 6 5 2 2" xfId="2320"/>
    <cellStyle name="Normal 2 6 5 2 2 2" xfId="19759"/>
    <cellStyle name="Normal 2 6 5 2 2 2 2" xfId="19760"/>
    <cellStyle name="Normal 2 6 5 2 2 2 2 2" xfId="36954"/>
    <cellStyle name="Normal 2 6 5 2 2 2 3" xfId="36955"/>
    <cellStyle name="Normal 2 6 5 2 2 3" xfId="19761"/>
    <cellStyle name="Normal 2 6 5 2 2 3 2" xfId="19762"/>
    <cellStyle name="Normal 2 6 5 2 2 3 2 2" xfId="36956"/>
    <cellStyle name="Normal 2 6 5 2 2 3 3" xfId="36957"/>
    <cellStyle name="Normal 2 6 5 2 2 4" xfId="19763"/>
    <cellStyle name="Normal 2 6 5 2 2 4 2" xfId="19764"/>
    <cellStyle name="Normal 2 6 5 2 2 4 2 2" xfId="36958"/>
    <cellStyle name="Normal 2 6 5 2 2 4 3" xfId="36959"/>
    <cellStyle name="Normal 2 6 5 2 2 5" xfId="19765"/>
    <cellStyle name="Normal 2 6 5 2 2 5 2" xfId="36960"/>
    <cellStyle name="Normal 2 6 5 2 2 6" xfId="19766"/>
    <cellStyle name="Normal 2 6 5 2 3" xfId="19767"/>
    <cellStyle name="Normal 2 6 5 2 3 2" xfId="19768"/>
    <cellStyle name="Normal 2 6 5 2 3 2 2" xfId="36961"/>
    <cellStyle name="Normal 2 6 5 2 3 3" xfId="36962"/>
    <cellStyle name="Normal 2 6 5 2 4" xfId="19769"/>
    <cellStyle name="Normal 2 6 5 2 4 2" xfId="19770"/>
    <cellStyle name="Normal 2 6 5 2 4 2 2" xfId="36963"/>
    <cellStyle name="Normal 2 6 5 2 4 3" xfId="36964"/>
    <cellStyle name="Normal 2 6 5 2 5" xfId="19771"/>
    <cellStyle name="Normal 2 6 5 2 5 2" xfId="19772"/>
    <cellStyle name="Normal 2 6 5 2 5 2 2" xfId="36965"/>
    <cellStyle name="Normal 2 6 5 2 5 3" xfId="36966"/>
    <cellStyle name="Normal 2 6 5 2 6" xfId="19773"/>
    <cellStyle name="Normal 2 6 5 2 6 2" xfId="36967"/>
    <cellStyle name="Normal 2 6 5 2 7" xfId="19774"/>
    <cellStyle name="Normal 2 6 5 3" xfId="732"/>
    <cellStyle name="Normal 2 6 5 3 2" xfId="2321"/>
    <cellStyle name="Normal 2 6 5 3 2 2" xfId="19775"/>
    <cellStyle name="Normal 2 6 5 3 2 2 2" xfId="19776"/>
    <cellStyle name="Normal 2 6 5 3 2 2 2 2" xfId="36968"/>
    <cellStyle name="Normal 2 6 5 3 2 2 3" xfId="36969"/>
    <cellStyle name="Normal 2 6 5 3 2 3" xfId="19777"/>
    <cellStyle name="Normal 2 6 5 3 2 3 2" xfId="19778"/>
    <cellStyle name="Normal 2 6 5 3 2 3 2 2" xfId="36970"/>
    <cellStyle name="Normal 2 6 5 3 2 3 3" xfId="36971"/>
    <cellStyle name="Normal 2 6 5 3 2 4" xfId="19779"/>
    <cellStyle name="Normal 2 6 5 3 2 4 2" xfId="19780"/>
    <cellStyle name="Normal 2 6 5 3 2 4 2 2" xfId="36972"/>
    <cellStyle name="Normal 2 6 5 3 2 4 3" xfId="36973"/>
    <cellStyle name="Normal 2 6 5 3 2 5" xfId="19781"/>
    <cellStyle name="Normal 2 6 5 3 2 5 2" xfId="36974"/>
    <cellStyle name="Normal 2 6 5 3 2 6" xfId="19782"/>
    <cellStyle name="Normal 2 6 5 3 3" xfId="19783"/>
    <cellStyle name="Normal 2 6 5 3 3 2" xfId="19784"/>
    <cellStyle name="Normal 2 6 5 3 3 2 2" xfId="36975"/>
    <cellStyle name="Normal 2 6 5 3 3 3" xfId="36976"/>
    <cellStyle name="Normal 2 6 5 3 4" xfId="19785"/>
    <cellStyle name="Normal 2 6 5 3 4 2" xfId="19786"/>
    <cellStyle name="Normal 2 6 5 3 4 2 2" xfId="36977"/>
    <cellStyle name="Normal 2 6 5 3 4 3" xfId="36978"/>
    <cellStyle name="Normal 2 6 5 3 5" xfId="19787"/>
    <cellStyle name="Normal 2 6 5 3 5 2" xfId="19788"/>
    <cellStyle name="Normal 2 6 5 3 5 2 2" xfId="36979"/>
    <cellStyle name="Normal 2 6 5 3 5 3" xfId="36980"/>
    <cellStyle name="Normal 2 6 5 3 6" xfId="19789"/>
    <cellStyle name="Normal 2 6 5 3 6 2" xfId="36981"/>
    <cellStyle name="Normal 2 6 5 3 7" xfId="19790"/>
    <cellStyle name="Normal 2 6 5 4" xfId="2322"/>
    <cellStyle name="Normal 2 6 5 4 2" xfId="19791"/>
    <cellStyle name="Normal 2 6 5 4 2 2" xfId="19792"/>
    <cellStyle name="Normal 2 6 5 4 2 2 2" xfId="36982"/>
    <cellStyle name="Normal 2 6 5 4 2 3" xfId="36983"/>
    <cellStyle name="Normal 2 6 5 4 3" xfId="19793"/>
    <cellStyle name="Normal 2 6 5 4 3 2" xfId="19794"/>
    <cellStyle name="Normal 2 6 5 4 3 2 2" xfId="36984"/>
    <cellStyle name="Normal 2 6 5 4 3 3" xfId="36985"/>
    <cellStyle name="Normal 2 6 5 4 4" xfId="19795"/>
    <cellStyle name="Normal 2 6 5 4 4 2" xfId="19796"/>
    <cellStyle name="Normal 2 6 5 4 4 2 2" xfId="36986"/>
    <cellStyle name="Normal 2 6 5 4 4 3" xfId="36987"/>
    <cellStyle name="Normal 2 6 5 4 5" xfId="19797"/>
    <cellStyle name="Normal 2 6 5 4 5 2" xfId="36988"/>
    <cellStyle name="Normal 2 6 5 4 6" xfId="19798"/>
    <cellStyle name="Normal 2 6 5 5" xfId="19799"/>
    <cellStyle name="Normal 2 6 5 5 2" xfId="19800"/>
    <cellStyle name="Normal 2 6 5 5 2 2" xfId="36989"/>
    <cellStyle name="Normal 2 6 5 5 3" xfId="36990"/>
    <cellStyle name="Normal 2 6 5 6" xfId="19801"/>
    <cellStyle name="Normal 2 6 5 6 2" xfId="19802"/>
    <cellStyle name="Normal 2 6 5 6 2 2" xfId="36991"/>
    <cellStyle name="Normal 2 6 5 6 3" xfId="36992"/>
    <cellStyle name="Normal 2 6 5 7" xfId="19803"/>
    <cellStyle name="Normal 2 6 5 7 2" xfId="19804"/>
    <cellStyle name="Normal 2 6 5 7 2 2" xfId="36993"/>
    <cellStyle name="Normal 2 6 5 7 3" xfId="36994"/>
    <cellStyle name="Normal 2 6 5 8" xfId="19805"/>
    <cellStyle name="Normal 2 6 5 8 2" xfId="36995"/>
    <cellStyle name="Normal 2 6 5 9" xfId="19806"/>
    <cellStyle name="Normal 2 6 6" xfId="101"/>
    <cellStyle name="Normal 2 6 6 2" xfId="522"/>
    <cellStyle name="Normal 2 6 6 2 2" xfId="2323"/>
    <cellStyle name="Normal 2 6 6 2 2 2" xfId="19807"/>
    <cellStyle name="Normal 2 6 6 2 2 2 2" xfId="19808"/>
    <cellStyle name="Normal 2 6 6 2 2 2 2 2" xfId="36996"/>
    <cellStyle name="Normal 2 6 6 2 2 2 3" xfId="36997"/>
    <cellStyle name="Normal 2 6 6 2 2 3" xfId="19809"/>
    <cellStyle name="Normal 2 6 6 2 2 3 2" xfId="19810"/>
    <cellStyle name="Normal 2 6 6 2 2 3 2 2" xfId="36998"/>
    <cellStyle name="Normal 2 6 6 2 2 3 3" xfId="36999"/>
    <cellStyle name="Normal 2 6 6 2 2 4" xfId="19811"/>
    <cellStyle name="Normal 2 6 6 2 2 4 2" xfId="19812"/>
    <cellStyle name="Normal 2 6 6 2 2 4 2 2" xfId="37000"/>
    <cellStyle name="Normal 2 6 6 2 2 4 3" xfId="37001"/>
    <cellStyle name="Normal 2 6 6 2 2 5" xfId="19813"/>
    <cellStyle name="Normal 2 6 6 2 2 5 2" xfId="37002"/>
    <cellStyle name="Normal 2 6 6 2 2 6" xfId="19814"/>
    <cellStyle name="Normal 2 6 6 2 3" xfId="19815"/>
    <cellStyle name="Normal 2 6 6 2 3 2" xfId="19816"/>
    <cellStyle name="Normal 2 6 6 2 3 2 2" xfId="37003"/>
    <cellStyle name="Normal 2 6 6 2 3 3" xfId="37004"/>
    <cellStyle name="Normal 2 6 6 2 4" xfId="19817"/>
    <cellStyle name="Normal 2 6 6 2 4 2" xfId="19818"/>
    <cellStyle name="Normal 2 6 6 2 4 2 2" xfId="37005"/>
    <cellStyle name="Normal 2 6 6 2 4 3" xfId="37006"/>
    <cellStyle name="Normal 2 6 6 2 5" xfId="19819"/>
    <cellStyle name="Normal 2 6 6 2 5 2" xfId="19820"/>
    <cellStyle name="Normal 2 6 6 2 5 2 2" xfId="37007"/>
    <cellStyle name="Normal 2 6 6 2 5 3" xfId="37008"/>
    <cellStyle name="Normal 2 6 6 2 6" xfId="19821"/>
    <cellStyle name="Normal 2 6 6 2 6 2" xfId="37009"/>
    <cellStyle name="Normal 2 6 6 2 7" xfId="19822"/>
    <cellStyle name="Normal 2 6 6 3" xfId="2324"/>
    <cellStyle name="Normal 2 6 6 3 2" xfId="19823"/>
    <cellStyle name="Normal 2 6 6 3 2 2" xfId="19824"/>
    <cellStyle name="Normal 2 6 6 3 2 2 2" xfId="37010"/>
    <cellStyle name="Normal 2 6 6 3 2 3" xfId="37011"/>
    <cellStyle name="Normal 2 6 6 3 3" xfId="19825"/>
    <cellStyle name="Normal 2 6 6 3 3 2" xfId="19826"/>
    <cellStyle name="Normal 2 6 6 3 3 2 2" xfId="37012"/>
    <cellStyle name="Normal 2 6 6 3 3 3" xfId="37013"/>
    <cellStyle name="Normal 2 6 6 3 4" xfId="19827"/>
    <cellStyle name="Normal 2 6 6 3 4 2" xfId="19828"/>
    <cellStyle name="Normal 2 6 6 3 4 2 2" xfId="37014"/>
    <cellStyle name="Normal 2 6 6 3 4 3" xfId="37015"/>
    <cellStyle name="Normal 2 6 6 3 5" xfId="19829"/>
    <cellStyle name="Normal 2 6 6 3 5 2" xfId="37016"/>
    <cellStyle name="Normal 2 6 6 3 6" xfId="19830"/>
    <cellStyle name="Normal 2 6 6 4" xfId="19831"/>
    <cellStyle name="Normal 2 6 6 4 2" xfId="19832"/>
    <cellStyle name="Normal 2 6 6 4 2 2" xfId="37017"/>
    <cellStyle name="Normal 2 6 6 4 3" xfId="37018"/>
    <cellStyle name="Normal 2 6 6 5" xfId="19833"/>
    <cellStyle name="Normal 2 6 6 5 2" xfId="19834"/>
    <cellStyle name="Normal 2 6 6 5 2 2" xfId="37019"/>
    <cellStyle name="Normal 2 6 6 5 3" xfId="37020"/>
    <cellStyle name="Normal 2 6 6 6" xfId="19835"/>
    <cellStyle name="Normal 2 6 6 6 2" xfId="19836"/>
    <cellStyle name="Normal 2 6 6 6 2 2" xfId="37021"/>
    <cellStyle name="Normal 2 6 6 6 3" xfId="37022"/>
    <cellStyle name="Normal 2 6 6 7" xfId="19837"/>
    <cellStyle name="Normal 2 6 6 7 2" xfId="37023"/>
    <cellStyle name="Normal 2 6 6 8" xfId="19838"/>
    <cellStyle name="Normal 2 6 7" xfId="890"/>
    <cellStyle name="Normal 2 6 7 2" xfId="2325"/>
    <cellStyle name="Normal 2 6 7 2 2" xfId="19839"/>
    <cellStyle name="Normal 2 6 7 2 2 2" xfId="19840"/>
    <cellStyle name="Normal 2 6 7 2 2 2 2" xfId="37024"/>
    <cellStyle name="Normal 2 6 7 2 2 3" xfId="37025"/>
    <cellStyle name="Normal 2 6 7 2 3" xfId="19841"/>
    <cellStyle name="Normal 2 6 7 2 3 2" xfId="19842"/>
    <cellStyle name="Normal 2 6 7 2 3 2 2" xfId="37026"/>
    <cellStyle name="Normal 2 6 7 2 3 3" xfId="37027"/>
    <cellStyle name="Normal 2 6 7 2 4" xfId="19843"/>
    <cellStyle name="Normal 2 6 7 2 4 2" xfId="19844"/>
    <cellStyle name="Normal 2 6 7 2 4 2 2" xfId="37028"/>
    <cellStyle name="Normal 2 6 7 2 4 3" xfId="37029"/>
    <cellStyle name="Normal 2 6 7 2 5" xfId="19845"/>
    <cellStyle name="Normal 2 6 7 2 5 2" xfId="37030"/>
    <cellStyle name="Normal 2 6 7 2 6" xfId="19846"/>
    <cellStyle name="Normal 2 6 7 3" xfId="19847"/>
    <cellStyle name="Normal 2 6 7 3 2" xfId="19848"/>
    <cellStyle name="Normal 2 6 7 3 2 2" xfId="37031"/>
    <cellStyle name="Normal 2 6 7 3 3" xfId="37032"/>
    <cellStyle name="Normal 2 6 7 4" xfId="19849"/>
    <cellStyle name="Normal 2 6 7 4 2" xfId="19850"/>
    <cellStyle name="Normal 2 6 7 4 2 2" xfId="37033"/>
    <cellStyle name="Normal 2 6 7 4 3" xfId="37034"/>
    <cellStyle name="Normal 2 6 7 5" xfId="19851"/>
    <cellStyle name="Normal 2 6 7 5 2" xfId="19852"/>
    <cellStyle name="Normal 2 6 7 5 2 2" xfId="37035"/>
    <cellStyle name="Normal 2 6 7 5 3" xfId="37036"/>
    <cellStyle name="Normal 2 6 7 6" xfId="19853"/>
    <cellStyle name="Normal 2 6 7 6 2" xfId="37037"/>
    <cellStyle name="Normal 2 6 7 7" xfId="19854"/>
    <cellStyle name="Normal 2 6 8" xfId="500"/>
    <cellStyle name="Normal 2 6 8 2" xfId="2326"/>
    <cellStyle name="Normal 2 6 8 2 2" xfId="19855"/>
    <cellStyle name="Normal 2 6 8 2 2 2" xfId="19856"/>
    <cellStyle name="Normal 2 6 8 2 2 2 2" xfId="37038"/>
    <cellStyle name="Normal 2 6 8 2 2 3" xfId="37039"/>
    <cellStyle name="Normal 2 6 8 2 3" xfId="19857"/>
    <cellStyle name="Normal 2 6 8 2 3 2" xfId="19858"/>
    <cellStyle name="Normal 2 6 8 2 3 2 2" xfId="37040"/>
    <cellStyle name="Normal 2 6 8 2 3 3" xfId="37041"/>
    <cellStyle name="Normal 2 6 8 2 4" xfId="19859"/>
    <cellStyle name="Normal 2 6 8 2 4 2" xfId="19860"/>
    <cellStyle name="Normal 2 6 8 2 4 2 2" xfId="37042"/>
    <cellStyle name="Normal 2 6 8 2 4 3" xfId="37043"/>
    <cellStyle name="Normal 2 6 8 2 5" xfId="19861"/>
    <cellStyle name="Normal 2 6 8 2 5 2" xfId="37044"/>
    <cellStyle name="Normal 2 6 8 2 6" xfId="19862"/>
    <cellStyle name="Normal 2 6 8 3" xfId="19863"/>
    <cellStyle name="Normal 2 6 8 3 2" xfId="19864"/>
    <cellStyle name="Normal 2 6 8 3 2 2" xfId="37045"/>
    <cellStyle name="Normal 2 6 8 3 3" xfId="37046"/>
    <cellStyle name="Normal 2 6 8 4" xfId="19865"/>
    <cellStyle name="Normal 2 6 8 4 2" xfId="19866"/>
    <cellStyle name="Normal 2 6 8 4 2 2" xfId="37047"/>
    <cellStyle name="Normal 2 6 8 4 3" xfId="37048"/>
    <cellStyle name="Normal 2 6 8 5" xfId="19867"/>
    <cellStyle name="Normal 2 6 8 5 2" xfId="19868"/>
    <cellStyle name="Normal 2 6 8 5 2 2" xfId="37049"/>
    <cellStyle name="Normal 2 6 8 5 3" xfId="37050"/>
    <cellStyle name="Normal 2 6 8 6" xfId="19869"/>
    <cellStyle name="Normal 2 6 8 6 2" xfId="37051"/>
    <cellStyle name="Normal 2 6 8 7" xfId="19870"/>
    <cellStyle name="Normal 2 6 9" xfId="2327"/>
    <cellStyle name="Normal 2 6 9 2" xfId="19871"/>
    <cellStyle name="Normal 2 6 9 2 2" xfId="19872"/>
    <cellStyle name="Normal 2 6 9 2 2 2" xfId="37052"/>
    <cellStyle name="Normal 2 6 9 2 3" xfId="37053"/>
    <cellStyle name="Normal 2 6 9 3" xfId="19873"/>
    <cellStyle name="Normal 2 6 9 3 2" xfId="19874"/>
    <cellStyle name="Normal 2 6 9 3 2 2" xfId="37054"/>
    <cellStyle name="Normal 2 6 9 3 3" xfId="37055"/>
    <cellStyle name="Normal 2 6 9 4" xfId="19875"/>
    <cellStyle name="Normal 2 6 9 4 2" xfId="19876"/>
    <cellStyle name="Normal 2 6 9 4 2 2" xfId="37056"/>
    <cellStyle name="Normal 2 6 9 4 3" xfId="37057"/>
    <cellStyle name="Normal 2 6 9 5" xfId="19877"/>
    <cellStyle name="Normal 2 6 9 5 2" xfId="37058"/>
    <cellStyle name="Normal 2 6 9 6" xfId="19878"/>
    <cellStyle name="Normal 2 7" xfId="214"/>
    <cellStyle name="Normal 2 7 10" xfId="19879"/>
    <cellStyle name="Normal 2 7 2" xfId="372"/>
    <cellStyle name="Normal 2 7 2 2" xfId="1160"/>
    <cellStyle name="Normal 2 7 2 2 2" xfId="2328"/>
    <cellStyle name="Normal 2 7 2 2 2 2" xfId="19880"/>
    <cellStyle name="Normal 2 7 2 2 2 2 2" xfId="19881"/>
    <cellStyle name="Normal 2 7 2 2 2 2 2 2" xfId="37059"/>
    <cellStyle name="Normal 2 7 2 2 2 2 3" xfId="37060"/>
    <cellStyle name="Normal 2 7 2 2 2 3" xfId="19882"/>
    <cellStyle name="Normal 2 7 2 2 2 3 2" xfId="19883"/>
    <cellStyle name="Normal 2 7 2 2 2 3 2 2" xfId="37061"/>
    <cellStyle name="Normal 2 7 2 2 2 3 3" xfId="37062"/>
    <cellStyle name="Normal 2 7 2 2 2 4" xfId="19884"/>
    <cellStyle name="Normal 2 7 2 2 2 4 2" xfId="19885"/>
    <cellStyle name="Normal 2 7 2 2 2 4 2 2" xfId="37063"/>
    <cellStyle name="Normal 2 7 2 2 2 4 3" xfId="37064"/>
    <cellStyle name="Normal 2 7 2 2 2 5" xfId="19886"/>
    <cellStyle name="Normal 2 7 2 2 2 5 2" xfId="37065"/>
    <cellStyle name="Normal 2 7 2 2 2 6" xfId="19887"/>
    <cellStyle name="Normal 2 7 2 2 3" xfId="19888"/>
    <cellStyle name="Normal 2 7 2 2 3 2" xfId="19889"/>
    <cellStyle name="Normal 2 7 2 2 3 2 2" xfId="37066"/>
    <cellStyle name="Normal 2 7 2 2 3 3" xfId="37067"/>
    <cellStyle name="Normal 2 7 2 2 4" xfId="19890"/>
    <cellStyle name="Normal 2 7 2 2 4 2" xfId="19891"/>
    <cellStyle name="Normal 2 7 2 2 4 2 2" xfId="37068"/>
    <cellStyle name="Normal 2 7 2 2 4 3" xfId="37069"/>
    <cellStyle name="Normal 2 7 2 2 5" xfId="19892"/>
    <cellStyle name="Normal 2 7 2 2 5 2" xfId="19893"/>
    <cellStyle name="Normal 2 7 2 2 5 2 2" xfId="37070"/>
    <cellStyle name="Normal 2 7 2 2 5 3" xfId="37071"/>
    <cellStyle name="Normal 2 7 2 2 6" xfId="19894"/>
    <cellStyle name="Normal 2 7 2 2 6 2" xfId="37072"/>
    <cellStyle name="Normal 2 7 2 2 7" xfId="19895"/>
    <cellStyle name="Normal 2 7 2 3" xfId="792"/>
    <cellStyle name="Normal 2 7 2 3 2" xfId="2329"/>
    <cellStyle name="Normal 2 7 2 3 2 2" xfId="19896"/>
    <cellStyle name="Normal 2 7 2 3 2 2 2" xfId="19897"/>
    <cellStyle name="Normal 2 7 2 3 2 2 2 2" xfId="37073"/>
    <cellStyle name="Normal 2 7 2 3 2 2 3" xfId="37074"/>
    <cellStyle name="Normal 2 7 2 3 2 3" xfId="19898"/>
    <cellStyle name="Normal 2 7 2 3 2 3 2" xfId="19899"/>
    <cellStyle name="Normal 2 7 2 3 2 3 2 2" xfId="37075"/>
    <cellStyle name="Normal 2 7 2 3 2 3 3" xfId="37076"/>
    <cellStyle name="Normal 2 7 2 3 2 4" xfId="19900"/>
    <cellStyle name="Normal 2 7 2 3 2 4 2" xfId="19901"/>
    <cellStyle name="Normal 2 7 2 3 2 4 2 2" xfId="37077"/>
    <cellStyle name="Normal 2 7 2 3 2 4 3" xfId="37078"/>
    <cellStyle name="Normal 2 7 2 3 2 5" xfId="19902"/>
    <cellStyle name="Normal 2 7 2 3 2 5 2" xfId="37079"/>
    <cellStyle name="Normal 2 7 2 3 2 6" xfId="19903"/>
    <cellStyle name="Normal 2 7 2 3 3" xfId="19904"/>
    <cellStyle name="Normal 2 7 2 3 3 2" xfId="19905"/>
    <cellStyle name="Normal 2 7 2 3 3 2 2" xfId="37080"/>
    <cellStyle name="Normal 2 7 2 3 3 3" xfId="37081"/>
    <cellStyle name="Normal 2 7 2 3 4" xfId="19906"/>
    <cellStyle name="Normal 2 7 2 3 4 2" xfId="19907"/>
    <cellStyle name="Normal 2 7 2 3 4 2 2" xfId="37082"/>
    <cellStyle name="Normal 2 7 2 3 4 3" xfId="37083"/>
    <cellStyle name="Normal 2 7 2 3 5" xfId="19908"/>
    <cellStyle name="Normal 2 7 2 3 5 2" xfId="19909"/>
    <cellStyle name="Normal 2 7 2 3 5 2 2" xfId="37084"/>
    <cellStyle name="Normal 2 7 2 3 5 3" xfId="37085"/>
    <cellStyle name="Normal 2 7 2 3 6" xfId="19910"/>
    <cellStyle name="Normal 2 7 2 3 6 2" xfId="37086"/>
    <cellStyle name="Normal 2 7 2 3 7" xfId="19911"/>
    <cellStyle name="Normal 2 7 2 4" xfId="2330"/>
    <cellStyle name="Normal 2 7 2 4 2" xfId="19912"/>
    <cellStyle name="Normal 2 7 2 4 2 2" xfId="19913"/>
    <cellStyle name="Normal 2 7 2 4 2 2 2" xfId="37087"/>
    <cellStyle name="Normal 2 7 2 4 2 3" xfId="37088"/>
    <cellStyle name="Normal 2 7 2 4 3" xfId="19914"/>
    <cellStyle name="Normal 2 7 2 4 3 2" xfId="19915"/>
    <cellStyle name="Normal 2 7 2 4 3 2 2" xfId="37089"/>
    <cellStyle name="Normal 2 7 2 4 3 3" xfId="37090"/>
    <cellStyle name="Normal 2 7 2 4 4" xfId="19916"/>
    <cellStyle name="Normal 2 7 2 4 4 2" xfId="19917"/>
    <cellStyle name="Normal 2 7 2 4 4 2 2" xfId="37091"/>
    <cellStyle name="Normal 2 7 2 4 4 3" xfId="37092"/>
    <cellStyle name="Normal 2 7 2 4 5" xfId="19918"/>
    <cellStyle name="Normal 2 7 2 4 5 2" xfId="37093"/>
    <cellStyle name="Normal 2 7 2 4 6" xfId="19919"/>
    <cellStyle name="Normal 2 7 2 5" xfId="19920"/>
    <cellStyle name="Normal 2 7 2 5 2" xfId="19921"/>
    <cellStyle name="Normal 2 7 2 5 2 2" xfId="37094"/>
    <cellStyle name="Normal 2 7 2 5 3" xfId="37095"/>
    <cellStyle name="Normal 2 7 2 6" xfId="19922"/>
    <cellStyle name="Normal 2 7 2 6 2" xfId="19923"/>
    <cellStyle name="Normal 2 7 2 6 2 2" xfId="37096"/>
    <cellStyle name="Normal 2 7 2 6 3" xfId="37097"/>
    <cellStyle name="Normal 2 7 2 7" xfId="19924"/>
    <cellStyle name="Normal 2 7 2 7 2" xfId="19925"/>
    <cellStyle name="Normal 2 7 2 7 2 2" xfId="37098"/>
    <cellStyle name="Normal 2 7 2 7 3" xfId="37099"/>
    <cellStyle name="Normal 2 7 2 8" xfId="19926"/>
    <cellStyle name="Normal 2 7 2 8 2" xfId="37100"/>
    <cellStyle name="Normal 2 7 2 9" xfId="19927"/>
    <cellStyle name="Normal 2 7 3" xfId="1002"/>
    <cellStyle name="Normal 2 7 3 2" xfId="2331"/>
    <cellStyle name="Normal 2 7 3 2 2" xfId="19928"/>
    <cellStyle name="Normal 2 7 3 2 2 2" xfId="19929"/>
    <cellStyle name="Normal 2 7 3 2 2 2 2" xfId="37101"/>
    <cellStyle name="Normal 2 7 3 2 2 3" xfId="37102"/>
    <cellStyle name="Normal 2 7 3 2 3" xfId="19930"/>
    <cellStyle name="Normal 2 7 3 2 3 2" xfId="19931"/>
    <cellStyle name="Normal 2 7 3 2 3 2 2" xfId="37103"/>
    <cellStyle name="Normal 2 7 3 2 3 3" xfId="37104"/>
    <cellStyle name="Normal 2 7 3 2 4" xfId="19932"/>
    <cellStyle name="Normal 2 7 3 2 4 2" xfId="19933"/>
    <cellStyle name="Normal 2 7 3 2 4 2 2" xfId="37105"/>
    <cellStyle name="Normal 2 7 3 2 4 3" xfId="37106"/>
    <cellStyle name="Normal 2 7 3 2 5" xfId="19934"/>
    <cellStyle name="Normal 2 7 3 2 5 2" xfId="37107"/>
    <cellStyle name="Normal 2 7 3 2 6" xfId="19935"/>
    <cellStyle name="Normal 2 7 3 3" xfId="19936"/>
    <cellStyle name="Normal 2 7 3 3 2" xfId="19937"/>
    <cellStyle name="Normal 2 7 3 3 2 2" xfId="37108"/>
    <cellStyle name="Normal 2 7 3 3 3" xfId="37109"/>
    <cellStyle name="Normal 2 7 3 4" xfId="19938"/>
    <cellStyle name="Normal 2 7 3 4 2" xfId="19939"/>
    <cellStyle name="Normal 2 7 3 4 2 2" xfId="37110"/>
    <cellStyle name="Normal 2 7 3 4 3" xfId="37111"/>
    <cellStyle name="Normal 2 7 3 5" xfId="19940"/>
    <cellStyle name="Normal 2 7 3 5 2" xfId="19941"/>
    <cellStyle name="Normal 2 7 3 5 2 2" xfId="37112"/>
    <cellStyle name="Normal 2 7 3 5 3" xfId="37113"/>
    <cellStyle name="Normal 2 7 3 6" xfId="19942"/>
    <cellStyle name="Normal 2 7 3 6 2" xfId="37114"/>
    <cellStyle name="Normal 2 7 3 7" xfId="19943"/>
    <cellStyle name="Normal 2 7 4" xfId="634"/>
    <cellStyle name="Normal 2 7 4 2" xfId="2332"/>
    <cellStyle name="Normal 2 7 4 2 2" xfId="19944"/>
    <cellStyle name="Normal 2 7 4 2 2 2" xfId="19945"/>
    <cellStyle name="Normal 2 7 4 2 2 2 2" xfId="37115"/>
    <cellStyle name="Normal 2 7 4 2 2 3" xfId="37116"/>
    <cellStyle name="Normal 2 7 4 2 3" xfId="19946"/>
    <cellStyle name="Normal 2 7 4 2 3 2" xfId="19947"/>
    <cellStyle name="Normal 2 7 4 2 3 2 2" xfId="37117"/>
    <cellStyle name="Normal 2 7 4 2 3 3" xfId="37118"/>
    <cellStyle name="Normal 2 7 4 2 4" xfId="19948"/>
    <cellStyle name="Normal 2 7 4 2 4 2" xfId="19949"/>
    <cellStyle name="Normal 2 7 4 2 4 2 2" xfId="37119"/>
    <cellStyle name="Normal 2 7 4 2 4 3" xfId="37120"/>
    <cellStyle name="Normal 2 7 4 2 5" xfId="19950"/>
    <cellStyle name="Normal 2 7 4 2 5 2" xfId="37121"/>
    <cellStyle name="Normal 2 7 4 2 6" xfId="19951"/>
    <cellStyle name="Normal 2 7 4 3" xfId="19952"/>
    <cellStyle name="Normal 2 7 4 3 2" xfId="19953"/>
    <cellStyle name="Normal 2 7 4 3 2 2" xfId="37122"/>
    <cellStyle name="Normal 2 7 4 3 3" xfId="37123"/>
    <cellStyle name="Normal 2 7 4 4" xfId="19954"/>
    <cellStyle name="Normal 2 7 4 4 2" xfId="19955"/>
    <cellStyle name="Normal 2 7 4 4 2 2" xfId="37124"/>
    <cellStyle name="Normal 2 7 4 4 3" xfId="37125"/>
    <cellStyle name="Normal 2 7 4 5" xfId="19956"/>
    <cellStyle name="Normal 2 7 4 5 2" xfId="19957"/>
    <cellStyle name="Normal 2 7 4 5 2 2" xfId="37126"/>
    <cellStyle name="Normal 2 7 4 5 3" xfId="37127"/>
    <cellStyle name="Normal 2 7 4 6" xfId="19958"/>
    <cellStyle name="Normal 2 7 4 6 2" xfId="37128"/>
    <cellStyle name="Normal 2 7 4 7" xfId="19959"/>
    <cellStyle name="Normal 2 7 5" xfId="2333"/>
    <cellStyle name="Normal 2 7 5 2" xfId="19960"/>
    <cellStyle name="Normal 2 7 5 2 2" xfId="19961"/>
    <cellStyle name="Normal 2 7 5 2 2 2" xfId="37129"/>
    <cellStyle name="Normal 2 7 5 2 3" xfId="37130"/>
    <cellStyle name="Normal 2 7 5 3" xfId="19962"/>
    <cellStyle name="Normal 2 7 5 3 2" xfId="19963"/>
    <cellStyle name="Normal 2 7 5 3 2 2" xfId="37131"/>
    <cellStyle name="Normal 2 7 5 3 3" xfId="37132"/>
    <cellStyle name="Normal 2 7 5 4" xfId="19964"/>
    <cellStyle name="Normal 2 7 5 4 2" xfId="19965"/>
    <cellStyle name="Normal 2 7 5 4 2 2" xfId="37133"/>
    <cellStyle name="Normal 2 7 5 4 3" xfId="37134"/>
    <cellStyle name="Normal 2 7 5 5" xfId="19966"/>
    <cellStyle name="Normal 2 7 5 5 2" xfId="37135"/>
    <cellStyle name="Normal 2 7 5 6" xfId="19967"/>
    <cellStyle name="Normal 2 7 6" xfId="19968"/>
    <cellStyle name="Normal 2 7 6 2" xfId="19969"/>
    <cellStyle name="Normal 2 7 6 2 2" xfId="37136"/>
    <cellStyle name="Normal 2 7 6 3" xfId="37137"/>
    <cellStyle name="Normal 2 7 7" xfId="19970"/>
    <cellStyle name="Normal 2 7 7 2" xfId="19971"/>
    <cellStyle name="Normal 2 7 7 2 2" xfId="37138"/>
    <cellStyle name="Normal 2 7 7 3" xfId="37139"/>
    <cellStyle name="Normal 2 7 8" xfId="19972"/>
    <cellStyle name="Normal 2 7 8 2" xfId="19973"/>
    <cellStyle name="Normal 2 7 8 2 2" xfId="37140"/>
    <cellStyle name="Normal 2 7 8 3" xfId="37141"/>
    <cellStyle name="Normal 2 7 9" xfId="19974"/>
    <cellStyle name="Normal 2 7 9 2" xfId="37142"/>
    <cellStyle name="Normal 2 8" xfId="265"/>
    <cellStyle name="Normal 2 8 10" xfId="19975"/>
    <cellStyle name="Normal 2 8 2" xfId="423"/>
    <cellStyle name="Normal 2 8 2 2" xfId="1211"/>
    <cellStyle name="Normal 2 8 2 2 2" xfId="2334"/>
    <cellStyle name="Normal 2 8 2 2 2 2" xfId="19976"/>
    <cellStyle name="Normal 2 8 2 2 2 2 2" xfId="19977"/>
    <cellStyle name="Normal 2 8 2 2 2 2 2 2" xfId="37143"/>
    <cellStyle name="Normal 2 8 2 2 2 2 3" xfId="37144"/>
    <cellStyle name="Normal 2 8 2 2 2 3" xfId="19978"/>
    <cellStyle name="Normal 2 8 2 2 2 3 2" xfId="19979"/>
    <cellStyle name="Normal 2 8 2 2 2 3 2 2" xfId="37145"/>
    <cellStyle name="Normal 2 8 2 2 2 3 3" xfId="37146"/>
    <cellStyle name="Normal 2 8 2 2 2 4" xfId="19980"/>
    <cellStyle name="Normal 2 8 2 2 2 4 2" xfId="19981"/>
    <cellStyle name="Normal 2 8 2 2 2 4 2 2" xfId="37147"/>
    <cellStyle name="Normal 2 8 2 2 2 4 3" xfId="37148"/>
    <cellStyle name="Normal 2 8 2 2 2 5" xfId="19982"/>
    <cellStyle name="Normal 2 8 2 2 2 5 2" xfId="37149"/>
    <cellStyle name="Normal 2 8 2 2 2 6" xfId="19983"/>
    <cellStyle name="Normal 2 8 2 2 3" xfId="19984"/>
    <cellStyle name="Normal 2 8 2 2 3 2" xfId="19985"/>
    <cellStyle name="Normal 2 8 2 2 3 2 2" xfId="37150"/>
    <cellStyle name="Normal 2 8 2 2 3 3" xfId="37151"/>
    <cellStyle name="Normal 2 8 2 2 4" xfId="19986"/>
    <cellStyle name="Normal 2 8 2 2 4 2" xfId="19987"/>
    <cellStyle name="Normal 2 8 2 2 4 2 2" xfId="37152"/>
    <cellStyle name="Normal 2 8 2 2 4 3" xfId="37153"/>
    <cellStyle name="Normal 2 8 2 2 5" xfId="19988"/>
    <cellStyle name="Normal 2 8 2 2 5 2" xfId="19989"/>
    <cellStyle name="Normal 2 8 2 2 5 2 2" xfId="37154"/>
    <cellStyle name="Normal 2 8 2 2 5 3" xfId="37155"/>
    <cellStyle name="Normal 2 8 2 2 6" xfId="19990"/>
    <cellStyle name="Normal 2 8 2 2 6 2" xfId="37156"/>
    <cellStyle name="Normal 2 8 2 2 7" xfId="19991"/>
    <cellStyle name="Normal 2 8 2 3" xfId="843"/>
    <cellStyle name="Normal 2 8 2 3 2" xfId="2335"/>
    <cellStyle name="Normal 2 8 2 3 2 2" xfId="19992"/>
    <cellStyle name="Normal 2 8 2 3 2 2 2" xfId="19993"/>
    <cellStyle name="Normal 2 8 2 3 2 2 2 2" xfId="37157"/>
    <cellStyle name="Normal 2 8 2 3 2 2 3" xfId="37158"/>
    <cellStyle name="Normal 2 8 2 3 2 3" xfId="19994"/>
    <cellStyle name="Normal 2 8 2 3 2 3 2" xfId="19995"/>
    <cellStyle name="Normal 2 8 2 3 2 3 2 2" xfId="37159"/>
    <cellStyle name="Normal 2 8 2 3 2 3 3" xfId="37160"/>
    <cellStyle name="Normal 2 8 2 3 2 4" xfId="19996"/>
    <cellStyle name="Normal 2 8 2 3 2 4 2" xfId="19997"/>
    <cellStyle name="Normal 2 8 2 3 2 4 2 2" xfId="37161"/>
    <cellStyle name="Normal 2 8 2 3 2 4 3" xfId="37162"/>
    <cellStyle name="Normal 2 8 2 3 2 5" xfId="19998"/>
    <cellStyle name="Normal 2 8 2 3 2 5 2" xfId="37163"/>
    <cellStyle name="Normal 2 8 2 3 2 6" xfId="19999"/>
    <cellStyle name="Normal 2 8 2 3 3" xfId="20000"/>
    <cellStyle name="Normal 2 8 2 3 3 2" xfId="20001"/>
    <cellStyle name="Normal 2 8 2 3 3 2 2" xfId="37164"/>
    <cellStyle name="Normal 2 8 2 3 3 3" xfId="37165"/>
    <cellStyle name="Normal 2 8 2 3 4" xfId="20002"/>
    <cellStyle name="Normal 2 8 2 3 4 2" xfId="20003"/>
    <cellStyle name="Normal 2 8 2 3 4 2 2" xfId="37166"/>
    <cellStyle name="Normal 2 8 2 3 4 3" xfId="37167"/>
    <cellStyle name="Normal 2 8 2 3 5" xfId="20004"/>
    <cellStyle name="Normal 2 8 2 3 5 2" xfId="20005"/>
    <cellStyle name="Normal 2 8 2 3 5 2 2" xfId="37168"/>
    <cellStyle name="Normal 2 8 2 3 5 3" xfId="37169"/>
    <cellStyle name="Normal 2 8 2 3 6" xfId="20006"/>
    <cellStyle name="Normal 2 8 2 3 6 2" xfId="37170"/>
    <cellStyle name="Normal 2 8 2 3 7" xfId="20007"/>
    <cellStyle name="Normal 2 8 2 4" xfId="2336"/>
    <cellStyle name="Normal 2 8 2 4 2" xfId="20008"/>
    <cellStyle name="Normal 2 8 2 4 2 2" xfId="20009"/>
    <cellStyle name="Normal 2 8 2 4 2 2 2" xfId="37171"/>
    <cellStyle name="Normal 2 8 2 4 2 3" xfId="37172"/>
    <cellStyle name="Normal 2 8 2 4 3" xfId="20010"/>
    <cellStyle name="Normal 2 8 2 4 3 2" xfId="20011"/>
    <cellStyle name="Normal 2 8 2 4 3 2 2" xfId="37173"/>
    <cellStyle name="Normal 2 8 2 4 3 3" xfId="37174"/>
    <cellStyle name="Normal 2 8 2 4 4" xfId="20012"/>
    <cellStyle name="Normal 2 8 2 4 4 2" xfId="20013"/>
    <cellStyle name="Normal 2 8 2 4 4 2 2" xfId="37175"/>
    <cellStyle name="Normal 2 8 2 4 4 3" xfId="37176"/>
    <cellStyle name="Normal 2 8 2 4 5" xfId="20014"/>
    <cellStyle name="Normal 2 8 2 4 5 2" xfId="37177"/>
    <cellStyle name="Normal 2 8 2 4 6" xfId="20015"/>
    <cellStyle name="Normal 2 8 2 5" xfId="20016"/>
    <cellStyle name="Normal 2 8 2 5 2" xfId="20017"/>
    <cellStyle name="Normal 2 8 2 5 2 2" xfId="37178"/>
    <cellStyle name="Normal 2 8 2 5 3" xfId="37179"/>
    <cellStyle name="Normal 2 8 2 6" xfId="20018"/>
    <cellStyle name="Normal 2 8 2 6 2" xfId="20019"/>
    <cellStyle name="Normal 2 8 2 6 2 2" xfId="37180"/>
    <cellStyle name="Normal 2 8 2 6 3" xfId="37181"/>
    <cellStyle name="Normal 2 8 2 7" xfId="20020"/>
    <cellStyle name="Normal 2 8 2 7 2" xfId="20021"/>
    <cellStyle name="Normal 2 8 2 7 2 2" xfId="37182"/>
    <cellStyle name="Normal 2 8 2 7 3" xfId="37183"/>
    <cellStyle name="Normal 2 8 2 8" xfId="20022"/>
    <cellStyle name="Normal 2 8 2 8 2" xfId="37184"/>
    <cellStyle name="Normal 2 8 2 9" xfId="20023"/>
    <cellStyle name="Normal 2 8 3" xfId="1053"/>
    <cellStyle name="Normal 2 8 3 2" xfId="2337"/>
    <cellStyle name="Normal 2 8 3 2 2" xfId="20024"/>
    <cellStyle name="Normal 2 8 3 2 2 2" xfId="20025"/>
    <cellStyle name="Normal 2 8 3 2 2 2 2" xfId="37185"/>
    <cellStyle name="Normal 2 8 3 2 2 3" xfId="37186"/>
    <cellStyle name="Normal 2 8 3 2 3" xfId="20026"/>
    <cellStyle name="Normal 2 8 3 2 3 2" xfId="20027"/>
    <cellStyle name="Normal 2 8 3 2 3 2 2" xfId="37187"/>
    <cellStyle name="Normal 2 8 3 2 3 3" xfId="37188"/>
    <cellStyle name="Normal 2 8 3 2 4" xfId="20028"/>
    <cellStyle name="Normal 2 8 3 2 4 2" xfId="20029"/>
    <cellStyle name="Normal 2 8 3 2 4 2 2" xfId="37189"/>
    <cellStyle name="Normal 2 8 3 2 4 3" xfId="37190"/>
    <cellStyle name="Normal 2 8 3 2 5" xfId="20030"/>
    <cellStyle name="Normal 2 8 3 2 5 2" xfId="37191"/>
    <cellStyle name="Normal 2 8 3 2 6" xfId="20031"/>
    <cellStyle name="Normal 2 8 3 3" xfId="20032"/>
    <cellStyle name="Normal 2 8 3 3 2" xfId="20033"/>
    <cellStyle name="Normal 2 8 3 3 2 2" xfId="37192"/>
    <cellStyle name="Normal 2 8 3 3 3" xfId="37193"/>
    <cellStyle name="Normal 2 8 3 4" xfId="20034"/>
    <cellStyle name="Normal 2 8 3 4 2" xfId="20035"/>
    <cellStyle name="Normal 2 8 3 4 2 2" xfId="37194"/>
    <cellStyle name="Normal 2 8 3 4 3" xfId="37195"/>
    <cellStyle name="Normal 2 8 3 5" xfId="20036"/>
    <cellStyle name="Normal 2 8 3 5 2" xfId="20037"/>
    <cellStyle name="Normal 2 8 3 5 2 2" xfId="37196"/>
    <cellStyle name="Normal 2 8 3 5 3" xfId="37197"/>
    <cellStyle name="Normal 2 8 3 6" xfId="20038"/>
    <cellStyle name="Normal 2 8 3 6 2" xfId="37198"/>
    <cellStyle name="Normal 2 8 3 7" xfId="20039"/>
    <cellStyle name="Normal 2 8 4" xfId="685"/>
    <cellStyle name="Normal 2 8 4 2" xfId="2338"/>
    <cellStyle name="Normal 2 8 4 2 2" xfId="20040"/>
    <cellStyle name="Normal 2 8 4 2 2 2" xfId="20041"/>
    <cellStyle name="Normal 2 8 4 2 2 2 2" xfId="37199"/>
    <cellStyle name="Normal 2 8 4 2 2 3" xfId="37200"/>
    <cellStyle name="Normal 2 8 4 2 3" xfId="20042"/>
    <cellStyle name="Normal 2 8 4 2 3 2" xfId="20043"/>
    <cellStyle name="Normal 2 8 4 2 3 2 2" xfId="37201"/>
    <cellStyle name="Normal 2 8 4 2 3 3" xfId="37202"/>
    <cellStyle name="Normal 2 8 4 2 4" xfId="20044"/>
    <cellStyle name="Normal 2 8 4 2 4 2" xfId="20045"/>
    <cellStyle name="Normal 2 8 4 2 4 2 2" xfId="37203"/>
    <cellStyle name="Normal 2 8 4 2 4 3" xfId="37204"/>
    <cellStyle name="Normal 2 8 4 2 5" xfId="20046"/>
    <cellStyle name="Normal 2 8 4 2 5 2" xfId="37205"/>
    <cellStyle name="Normal 2 8 4 2 6" xfId="20047"/>
    <cellStyle name="Normal 2 8 4 3" xfId="20048"/>
    <cellStyle name="Normal 2 8 4 3 2" xfId="20049"/>
    <cellStyle name="Normal 2 8 4 3 2 2" xfId="37206"/>
    <cellStyle name="Normal 2 8 4 3 3" xfId="37207"/>
    <cellStyle name="Normal 2 8 4 4" xfId="20050"/>
    <cellStyle name="Normal 2 8 4 4 2" xfId="20051"/>
    <cellStyle name="Normal 2 8 4 4 2 2" xfId="37208"/>
    <cellStyle name="Normal 2 8 4 4 3" xfId="37209"/>
    <cellStyle name="Normal 2 8 4 5" xfId="20052"/>
    <cellStyle name="Normal 2 8 4 5 2" xfId="20053"/>
    <cellStyle name="Normal 2 8 4 5 2 2" xfId="37210"/>
    <cellStyle name="Normal 2 8 4 5 3" xfId="37211"/>
    <cellStyle name="Normal 2 8 4 6" xfId="20054"/>
    <cellStyle name="Normal 2 8 4 6 2" xfId="37212"/>
    <cellStyle name="Normal 2 8 4 7" xfId="20055"/>
    <cellStyle name="Normal 2 8 5" xfId="2339"/>
    <cellStyle name="Normal 2 8 5 2" xfId="20056"/>
    <cellStyle name="Normal 2 8 5 2 2" xfId="20057"/>
    <cellStyle name="Normal 2 8 5 2 2 2" xfId="37213"/>
    <cellStyle name="Normal 2 8 5 2 3" xfId="37214"/>
    <cellStyle name="Normal 2 8 5 3" xfId="20058"/>
    <cellStyle name="Normal 2 8 5 3 2" xfId="20059"/>
    <cellStyle name="Normal 2 8 5 3 2 2" xfId="37215"/>
    <cellStyle name="Normal 2 8 5 3 3" xfId="37216"/>
    <cellStyle name="Normal 2 8 5 4" xfId="20060"/>
    <cellStyle name="Normal 2 8 5 4 2" xfId="20061"/>
    <cellStyle name="Normal 2 8 5 4 2 2" xfId="37217"/>
    <cellStyle name="Normal 2 8 5 4 3" xfId="37218"/>
    <cellStyle name="Normal 2 8 5 5" xfId="20062"/>
    <cellStyle name="Normal 2 8 5 5 2" xfId="37219"/>
    <cellStyle name="Normal 2 8 5 6" xfId="20063"/>
    <cellStyle name="Normal 2 8 6" xfId="20064"/>
    <cellStyle name="Normal 2 8 6 2" xfId="20065"/>
    <cellStyle name="Normal 2 8 6 2 2" xfId="37220"/>
    <cellStyle name="Normal 2 8 6 3" xfId="37221"/>
    <cellStyle name="Normal 2 8 7" xfId="20066"/>
    <cellStyle name="Normal 2 8 7 2" xfId="20067"/>
    <cellStyle name="Normal 2 8 7 2 2" xfId="37222"/>
    <cellStyle name="Normal 2 8 7 3" xfId="37223"/>
    <cellStyle name="Normal 2 8 8" xfId="20068"/>
    <cellStyle name="Normal 2 8 8 2" xfId="20069"/>
    <cellStyle name="Normal 2 8 8 2 2" xfId="37224"/>
    <cellStyle name="Normal 2 8 8 3" xfId="37225"/>
    <cellStyle name="Normal 2 8 9" xfId="20070"/>
    <cellStyle name="Normal 2 8 9 2" xfId="37226"/>
    <cellStyle name="Normal 2 9" xfId="136"/>
    <cellStyle name="Normal 2 9 2" xfId="924"/>
    <cellStyle name="Normal 2 9 2 2" xfId="2340"/>
    <cellStyle name="Normal 2 9 2 2 2" xfId="20071"/>
    <cellStyle name="Normal 2 9 2 2 2 2" xfId="20072"/>
    <cellStyle name="Normal 2 9 2 2 2 2 2" xfId="37227"/>
    <cellStyle name="Normal 2 9 2 2 2 3" xfId="37228"/>
    <cellStyle name="Normal 2 9 2 2 3" xfId="20073"/>
    <cellStyle name="Normal 2 9 2 2 3 2" xfId="20074"/>
    <cellStyle name="Normal 2 9 2 2 3 2 2" xfId="37229"/>
    <cellStyle name="Normal 2 9 2 2 3 3" xfId="37230"/>
    <cellStyle name="Normal 2 9 2 2 4" xfId="20075"/>
    <cellStyle name="Normal 2 9 2 2 4 2" xfId="20076"/>
    <cellStyle name="Normal 2 9 2 2 4 2 2" xfId="37231"/>
    <cellStyle name="Normal 2 9 2 2 4 3" xfId="37232"/>
    <cellStyle name="Normal 2 9 2 2 5" xfId="20077"/>
    <cellStyle name="Normal 2 9 2 2 5 2" xfId="37233"/>
    <cellStyle name="Normal 2 9 2 2 6" xfId="20078"/>
    <cellStyle name="Normal 2 9 2 3" xfId="20079"/>
    <cellStyle name="Normal 2 9 2 3 2" xfId="20080"/>
    <cellStyle name="Normal 2 9 2 3 2 2" xfId="37234"/>
    <cellStyle name="Normal 2 9 2 3 3" xfId="37235"/>
    <cellStyle name="Normal 2 9 2 4" xfId="20081"/>
    <cellStyle name="Normal 2 9 2 4 2" xfId="20082"/>
    <cellStyle name="Normal 2 9 2 4 2 2" xfId="37236"/>
    <cellStyle name="Normal 2 9 2 4 3" xfId="37237"/>
    <cellStyle name="Normal 2 9 2 5" xfId="20083"/>
    <cellStyle name="Normal 2 9 2 5 2" xfId="20084"/>
    <cellStyle name="Normal 2 9 2 5 2 2" xfId="37238"/>
    <cellStyle name="Normal 2 9 2 5 3" xfId="37239"/>
    <cellStyle name="Normal 2 9 2 6" xfId="20085"/>
    <cellStyle name="Normal 2 9 2 6 2" xfId="37240"/>
    <cellStyle name="Normal 2 9 2 7" xfId="20086"/>
    <cellStyle name="Normal 2 9 3" xfId="556"/>
    <cellStyle name="Normal 2 9 3 2" xfId="2341"/>
    <cellStyle name="Normal 2 9 3 2 2" xfId="20087"/>
    <cellStyle name="Normal 2 9 3 2 2 2" xfId="20088"/>
    <cellStyle name="Normal 2 9 3 2 2 2 2" xfId="37241"/>
    <cellStyle name="Normal 2 9 3 2 2 3" xfId="37242"/>
    <cellStyle name="Normal 2 9 3 2 3" xfId="20089"/>
    <cellStyle name="Normal 2 9 3 2 3 2" xfId="20090"/>
    <cellStyle name="Normal 2 9 3 2 3 2 2" xfId="37243"/>
    <cellStyle name="Normal 2 9 3 2 3 3" xfId="37244"/>
    <cellStyle name="Normal 2 9 3 2 4" xfId="20091"/>
    <cellStyle name="Normal 2 9 3 2 4 2" xfId="20092"/>
    <cellStyle name="Normal 2 9 3 2 4 2 2" xfId="37245"/>
    <cellStyle name="Normal 2 9 3 2 4 3" xfId="37246"/>
    <cellStyle name="Normal 2 9 3 2 5" xfId="20093"/>
    <cellStyle name="Normal 2 9 3 2 5 2" xfId="37247"/>
    <cellStyle name="Normal 2 9 3 2 6" xfId="20094"/>
    <cellStyle name="Normal 2 9 3 3" xfId="20095"/>
    <cellStyle name="Normal 2 9 3 3 2" xfId="20096"/>
    <cellStyle name="Normal 2 9 3 3 2 2" xfId="37248"/>
    <cellStyle name="Normal 2 9 3 3 3" xfId="37249"/>
    <cellStyle name="Normal 2 9 3 4" xfId="20097"/>
    <cellStyle name="Normal 2 9 3 4 2" xfId="20098"/>
    <cellStyle name="Normal 2 9 3 4 2 2" xfId="37250"/>
    <cellStyle name="Normal 2 9 3 4 3" xfId="37251"/>
    <cellStyle name="Normal 2 9 3 5" xfId="20099"/>
    <cellStyle name="Normal 2 9 3 5 2" xfId="20100"/>
    <cellStyle name="Normal 2 9 3 5 2 2" xfId="37252"/>
    <cellStyle name="Normal 2 9 3 5 3" xfId="37253"/>
    <cellStyle name="Normal 2 9 3 6" xfId="20101"/>
    <cellStyle name="Normal 2 9 3 6 2" xfId="37254"/>
    <cellStyle name="Normal 2 9 3 7" xfId="20102"/>
    <cellStyle name="Normal 2 9 4" xfId="2342"/>
    <cellStyle name="Normal 2 9 4 2" xfId="20103"/>
    <cellStyle name="Normal 2 9 4 2 2" xfId="20104"/>
    <cellStyle name="Normal 2 9 4 2 2 2" xfId="37255"/>
    <cellStyle name="Normal 2 9 4 2 3" xfId="37256"/>
    <cellStyle name="Normal 2 9 4 3" xfId="20105"/>
    <cellStyle name="Normal 2 9 4 3 2" xfId="20106"/>
    <cellStyle name="Normal 2 9 4 3 2 2" xfId="37257"/>
    <cellStyle name="Normal 2 9 4 3 3" xfId="37258"/>
    <cellStyle name="Normal 2 9 4 4" xfId="20107"/>
    <cellStyle name="Normal 2 9 4 4 2" xfId="20108"/>
    <cellStyle name="Normal 2 9 4 4 2 2" xfId="37259"/>
    <cellStyle name="Normal 2 9 4 4 3" xfId="37260"/>
    <cellStyle name="Normal 2 9 4 5" xfId="20109"/>
    <cellStyle name="Normal 2 9 4 5 2" xfId="37261"/>
    <cellStyle name="Normal 2 9 4 6" xfId="20110"/>
    <cellStyle name="Normal 2 9 5" xfId="20111"/>
    <cellStyle name="Normal 2 9 5 2" xfId="20112"/>
    <cellStyle name="Normal 2 9 5 2 2" xfId="37262"/>
    <cellStyle name="Normal 2 9 5 3" xfId="37263"/>
    <cellStyle name="Normal 2 9 6" xfId="20113"/>
    <cellStyle name="Normal 2 9 6 2" xfId="20114"/>
    <cellStyle name="Normal 2 9 6 2 2" xfId="37264"/>
    <cellStyle name="Normal 2 9 6 3" xfId="37265"/>
    <cellStyle name="Normal 2 9 7" xfId="20115"/>
    <cellStyle name="Normal 2 9 7 2" xfId="20116"/>
    <cellStyle name="Normal 2 9 7 2 2" xfId="37266"/>
    <cellStyle name="Normal 2 9 7 3" xfId="37267"/>
    <cellStyle name="Normal 2 9 8" xfId="20117"/>
    <cellStyle name="Normal 2 9 8 2" xfId="37268"/>
    <cellStyle name="Normal 2 9 9" xfId="20118"/>
    <cellStyle name="Normal 3" xfId="17"/>
    <cellStyle name="Normal 3 2" xfId="18"/>
    <cellStyle name="Normal 3 2 2" xfId="84"/>
    <cellStyle name="Normal 3 2 2 2" xfId="37269"/>
    <cellStyle name="Normal 3 2 3" xfId="20119"/>
    <cellStyle name="Normal 3 2 3 2" xfId="37270"/>
    <cellStyle name="Normal 3 2 4" xfId="20120"/>
    <cellStyle name="Normal 3 2 4 2" xfId="37271"/>
    <cellStyle name="Normal 3 2 5" xfId="37272"/>
    <cellStyle name="Normal 3 3" xfId="74"/>
    <cellStyle name="Normal 3 3 2" xfId="37273"/>
    <cellStyle name="Normal 3 4" xfId="20121"/>
    <cellStyle name="Normal 3 4 2" xfId="37274"/>
    <cellStyle name="Normal 3 5" xfId="20122"/>
    <cellStyle name="Normal 3 5 2" xfId="37275"/>
    <cellStyle name="Normal 3 6" xfId="37276"/>
    <cellStyle name="Normal 4" xfId="67"/>
    <cellStyle name="Normal 4 10" xfId="20123"/>
    <cellStyle name="Normal 4 10 2" xfId="20124"/>
    <cellStyle name="Normal 4 10 2 2" xfId="37277"/>
    <cellStyle name="Normal 4 10 3" xfId="37278"/>
    <cellStyle name="Normal 4 11" xfId="20125"/>
    <cellStyle name="Normal 4 11 2" xfId="20126"/>
    <cellStyle name="Normal 4 11 2 2" xfId="37279"/>
    <cellStyle name="Normal 4 11 3" xfId="37280"/>
    <cellStyle name="Normal 4 12" xfId="20127"/>
    <cellStyle name="Normal 4 12 2" xfId="20128"/>
    <cellStyle name="Normal 4 12 2 2" xfId="37281"/>
    <cellStyle name="Normal 4 12 3" xfId="37282"/>
    <cellStyle name="Normal 4 13" xfId="20129"/>
    <cellStyle name="Normal 4 13 2" xfId="37283"/>
    <cellStyle name="Normal 4 14" xfId="20130"/>
    <cellStyle name="Normal 4 2" xfId="238"/>
    <cellStyle name="Normal 4 2 10" xfId="20131"/>
    <cellStyle name="Normal 4 2 2" xfId="396"/>
    <cellStyle name="Normal 4 2 2 2" xfId="1184"/>
    <cellStyle name="Normal 4 2 2 2 2" xfId="2343"/>
    <cellStyle name="Normal 4 2 2 2 2 2" xfId="20132"/>
    <cellStyle name="Normal 4 2 2 2 2 2 2" xfId="20133"/>
    <cellStyle name="Normal 4 2 2 2 2 2 2 2" xfId="37284"/>
    <cellStyle name="Normal 4 2 2 2 2 2 3" xfId="37285"/>
    <cellStyle name="Normal 4 2 2 2 2 3" xfId="20134"/>
    <cellStyle name="Normal 4 2 2 2 2 3 2" xfId="20135"/>
    <cellStyle name="Normal 4 2 2 2 2 3 2 2" xfId="37286"/>
    <cellStyle name="Normal 4 2 2 2 2 3 3" xfId="37287"/>
    <cellStyle name="Normal 4 2 2 2 2 4" xfId="20136"/>
    <cellStyle name="Normal 4 2 2 2 2 4 2" xfId="20137"/>
    <cellStyle name="Normal 4 2 2 2 2 4 2 2" xfId="37288"/>
    <cellStyle name="Normal 4 2 2 2 2 4 3" xfId="37289"/>
    <cellStyle name="Normal 4 2 2 2 2 5" xfId="20138"/>
    <cellStyle name="Normal 4 2 2 2 2 5 2" xfId="37290"/>
    <cellStyle name="Normal 4 2 2 2 2 6" xfId="20139"/>
    <cellStyle name="Normal 4 2 2 2 3" xfId="20140"/>
    <cellStyle name="Normal 4 2 2 2 3 2" xfId="20141"/>
    <cellStyle name="Normal 4 2 2 2 3 2 2" xfId="37291"/>
    <cellStyle name="Normal 4 2 2 2 3 3" xfId="37292"/>
    <cellStyle name="Normal 4 2 2 2 4" xfId="20142"/>
    <cellStyle name="Normal 4 2 2 2 4 2" xfId="20143"/>
    <cellStyle name="Normal 4 2 2 2 4 2 2" xfId="37293"/>
    <cellStyle name="Normal 4 2 2 2 4 3" xfId="37294"/>
    <cellStyle name="Normal 4 2 2 2 5" xfId="20144"/>
    <cellStyle name="Normal 4 2 2 2 5 2" xfId="20145"/>
    <cellStyle name="Normal 4 2 2 2 5 2 2" xfId="37295"/>
    <cellStyle name="Normal 4 2 2 2 5 3" xfId="37296"/>
    <cellStyle name="Normal 4 2 2 2 6" xfId="20146"/>
    <cellStyle name="Normal 4 2 2 2 6 2" xfId="37297"/>
    <cellStyle name="Normal 4 2 2 2 7" xfId="20147"/>
    <cellStyle name="Normal 4 2 2 3" xfId="816"/>
    <cellStyle name="Normal 4 2 2 3 2" xfId="2344"/>
    <cellStyle name="Normal 4 2 2 3 2 2" xfId="20148"/>
    <cellStyle name="Normal 4 2 2 3 2 2 2" xfId="20149"/>
    <cellStyle name="Normal 4 2 2 3 2 2 2 2" xfId="37298"/>
    <cellStyle name="Normal 4 2 2 3 2 2 3" xfId="37299"/>
    <cellStyle name="Normal 4 2 2 3 2 3" xfId="20150"/>
    <cellStyle name="Normal 4 2 2 3 2 3 2" xfId="20151"/>
    <cellStyle name="Normal 4 2 2 3 2 3 2 2" xfId="37300"/>
    <cellStyle name="Normal 4 2 2 3 2 3 3" xfId="37301"/>
    <cellStyle name="Normal 4 2 2 3 2 4" xfId="20152"/>
    <cellStyle name="Normal 4 2 2 3 2 4 2" xfId="20153"/>
    <cellStyle name="Normal 4 2 2 3 2 4 2 2" xfId="37302"/>
    <cellStyle name="Normal 4 2 2 3 2 4 3" xfId="37303"/>
    <cellStyle name="Normal 4 2 2 3 2 5" xfId="20154"/>
    <cellStyle name="Normal 4 2 2 3 2 5 2" xfId="37304"/>
    <cellStyle name="Normal 4 2 2 3 2 6" xfId="20155"/>
    <cellStyle name="Normal 4 2 2 3 3" xfId="20156"/>
    <cellStyle name="Normal 4 2 2 3 3 2" xfId="20157"/>
    <cellStyle name="Normal 4 2 2 3 3 2 2" xfId="37305"/>
    <cellStyle name="Normal 4 2 2 3 3 3" xfId="37306"/>
    <cellStyle name="Normal 4 2 2 3 4" xfId="20158"/>
    <cellStyle name="Normal 4 2 2 3 4 2" xfId="20159"/>
    <cellStyle name="Normal 4 2 2 3 4 2 2" xfId="37307"/>
    <cellStyle name="Normal 4 2 2 3 4 3" xfId="37308"/>
    <cellStyle name="Normal 4 2 2 3 5" xfId="20160"/>
    <cellStyle name="Normal 4 2 2 3 5 2" xfId="20161"/>
    <cellStyle name="Normal 4 2 2 3 5 2 2" xfId="37309"/>
    <cellStyle name="Normal 4 2 2 3 5 3" xfId="37310"/>
    <cellStyle name="Normal 4 2 2 3 6" xfId="20162"/>
    <cellStyle name="Normal 4 2 2 3 6 2" xfId="37311"/>
    <cellStyle name="Normal 4 2 2 3 7" xfId="20163"/>
    <cellStyle name="Normal 4 2 2 4" xfId="2345"/>
    <cellStyle name="Normal 4 2 2 4 2" xfId="20164"/>
    <cellStyle name="Normal 4 2 2 4 2 2" xfId="20165"/>
    <cellStyle name="Normal 4 2 2 4 2 2 2" xfId="37312"/>
    <cellStyle name="Normal 4 2 2 4 2 3" xfId="37313"/>
    <cellStyle name="Normal 4 2 2 4 3" xfId="20166"/>
    <cellStyle name="Normal 4 2 2 4 3 2" xfId="20167"/>
    <cellStyle name="Normal 4 2 2 4 3 2 2" xfId="37314"/>
    <cellStyle name="Normal 4 2 2 4 3 3" xfId="37315"/>
    <cellStyle name="Normal 4 2 2 4 4" xfId="20168"/>
    <cellStyle name="Normal 4 2 2 4 4 2" xfId="20169"/>
    <cellStyle name="Normal 4 2 2 4 4 2 2" xfId="37316"/>
    <cellStyle name="Normal 4 2 2 4 4 3" xfId="37317"/>
    <cellStyle name="Normal 4 2 2 4 5" xfId="20170"/>
    <cellStyle name="Normal 4 2 2 4 5 2" xfId="37318"/>
    <cellStyle name="Normal 4 2 2 4 6" xfId="20171"/>
    <cellStyle name="Normal 4 2 2 5" xfId="20172"/>
    <cellStyle name="Normal 4 2 2 5 2" xfId="20173"/>
    <cellStyle name="Normal 4 2 2 5 2 2" xfId="37319"/>
    <cellStyle name="Normal 4 2 2 5 3" xfId="37320"/>
    <cellStyle name="Normal 4 2 2 6" xfId="20174"/>
    <cellStyle name="Normal 4 2 2 6 2" xfId="20175"/>
    <cellStyle name="Normal 4 2 2 6 2 2" xfId="37321"/>
    <cellStyle name="Normal 4 2 2 6 3" xfId="37322"/>
    <cellStyle name="Normal 4 2 2 7" xfId="20176"/>
    <cellStyle name="Normal 4 2 2 7 2" xfId="20177"/>
    <cellStyle name="Normal 4 2 2 7 2 2" xfId="37323"/>
    <cellStyle name="Normal 4 2 2 7 3" xfId="37324"/>
    <cellStyle name="Normal 4 2 2 8" xfId="20178"/>
    <cellStyle name="Normal 4 2 2 8 2" xfId="37325"/>
    <cellStyle name="Normal 4 2 2 9" xfId="20179"/>
    <cellStyle name="Normal 4 2 3" xfId="1026"/>
    <cellStyle name="Normal 4 2 3 2" xfId="2346"/>
    <cellStyle name="Normal 4 2 3 2 2" xfId="20180"/>
    <cellStyle name="Normal 4 2 3 2 2 2" xfId="20181"/>
    <cellStyle name="Normal 4 2 3 2 2 2 2" xfId="37326"/>
    <cellStyle name="Normal 4 2 3 2 2 3" xfId="37327"/>
    <cellStyle name="Normal 4 2 3 2 3" xfId="20182"/>
    <cellStyle name="Normal 4 2 3 2 3 2" xfId="20183"/>
    <cellStyle name="Normal 4 2 3 2 3 2 2" xfId="37328"/>
    <cellStyle name="Normal 4 2 3 2 3 3" xfId="37329"/>
    <cellStyle name="Normal 4 2 3 2 4" xfId="20184"/>
    <cellStyle name="Normal 4 2 3 2 4 2" xfId="20185"/>
    <cellStyle name="Normal 4 2 3 2 4 2 2" xfId="37330"/>
    <cellStyle name="Normal 4 2 3 2 4 3" xfId="37331"/>
    <cellStyle name="Normal 4 2 3 2 5" xfId="20186"/>
    <cellStyle name="Normal 4 2 3 2 5 2" xfId="37332"/>
    <cellStyle name="Normal 4 2 3 2 6" xfId="20187"/>
    <cellStyle name="Normal 4 2 3 3" xfId="20188"/>
    <cellStyle name="Normal 4 2 3 3 2" xfId="20189"/>
    <cellStyle name="Normal 4 2 3 3 2 2" xfId="37333"/>
    <cellStyle name="Normal 4 2 3 3 3" xfId="37334"/>
    <cellStyle name="Normal 4 2 3 4" xfId="20190"/>
    <cellStyle name="Normal 4 2 3 4 2" xfId="20191"/>
    <cellStyle name="Normal 4 2 3 4 2 2" xfId="37335"/>
    <cellStyle name="Normal 4 2 3 4 3" xfId="37336"/>
    <cellStyle name="Normal 4 2 3 5" xfId="20192"/>
    <cellStyle name="Normal 4 2 3 5 2" xfId="20193"/>
    <cellStyle name="Normal 4 2 3 5 2 2" xfId="37337"/>
    <cellStyle name="Normal 4 2 3 5 3" xfId="37338"/>
    <cellStyle name="Normal 4 2 3 6" xfId="20194"/>
    <cellStyle name="Normal 4 2 3 6 2" xfId="37339"/>
    <cellStyle name="Normal 4 2 3 7" xfId="20195"/>
    <cellStyle name="Normal 4 2 4" xfId="658"/>
    <cellStyle name="Normal 4 2 4 2" xfId="2347"/>
    <cellStyle name="Normal 4 2 4 2 2" xfId="20196"/>
    <cellStyle name="Normal 4 2 4 2 2 2" xfId="20197"/>
    <cellStyle name="Normal 4 2 4 2 2 2 2" xfId="37340"/>
    <cellStyle name="Normal 4 2 4 2 2 3" xfId="37341"/>
    <cellStyle name="Normal 4 2 4 2 3" xfId="20198"/>
    <cellStyle name="Normal 4 2 4 2 3 2" xfId="20199"/>
    <cellStyle name="Normal 4 2 4 2 3 2 2" xfId="37342"/>
    <cellStyle name="Normal 4 2 4 2 3 3" xfId="37343"/>
    <cellStyle name="Normal 4 2 4 2 4" xfId="20200"/>
    <cellStyle name="Normal 4 2 4 2 4 2" xfId="20201"/>
    <cellStyle name="Normal 4 2 4 2 4 2 2" xfId="37344"/>
    <cellStyle name="Normal 4 2 4 2 4 3" xfId="37345"/>
    <cellStyle name="Normal 4 2 4 2 5" xfId="20202"/>
    <cellStyle name="Normal 4 2 4 2 5 2" xfId="37346"/>
    <cellStyle name="Normal 4 2 4 2 6" xfId="20203"/>
    <cellStyle name="Normal 4 2 4 3" xfId="20204"/>
    <cellStyle name="Normal 4 2 4 3 2" xfId="20205"/>
    <cellStyle name="Normal 4 2 4 3 2 2" xfId="37347"/>
    <cellStyle name="Normal 4 2 4 3 3" xfId="37348"/>
    <cellStyle name="Normal 4 2 4 4" xfId="20206"/>
    <cellStyle name="Normal 4 2 4 4 2" xfId="20207"/>
    <cellStyle name="Normal 4 2 4 4 2 2" xfId="37349"/>
    <cellStyle name="Normal 4 2 4 4 3" xfId="37350"/>
    <cellStyle name="Normal 4 2 4 5" xfId="20208"/>
    <cellStyle name="Normal 4 2 4 5 2" xfId="20209"/>
    <cellStyle name="Normal 4 2 4 5 2 2" xfId="37351"/>
    <cellStyle name="Normal 4 2 4 5 3" xfId="37352"/>
    <cellStyle name="Normal 4 2 4 6" xfId="20210"/>
    <cellStyle name="Normal 4 2 4 6 2" xfId="37353"/>
    <cellStyle name="Normal 4 2 4 7" xfId="20211"/>
    <cellStyle name="Normal 4 2 5" xfId="2348"/>
    <cellStyle name="Normal 4 2 5 2" xfId="20212"/>
    <cellStyle name="Normal 4 2 5 2 2" xfId="20213"/>
    <cellStyle name="Normal 4 2 5 2 2 2" xfId="37354"/>
    <cellStyle name="Normal 4 2 5 2 3" xfId="37355"/>
    <cellStyle name="Normal 4 2 5 3" xfId="20214"/>
    <cellStyle name="Normal 4 2 5 3 2" xfId="20215"/>
    <cellStyle name="Normal 4 2 5 3 2 2" xfId="37356"/>
    <cellStyle name="Normal 4 2 5 3 3" xfId="37357"/>
    <cellStyle name="Normal 4 2 5 4" xfId="20216"/>
    <cellStyle name="Normal 4 2 5 4 2" xfId="20217"/>
    <cellStyle name="Normal 4 2 5 4 2 2" xfId="37358"/>
    <cellStyle name="Normal 4 2 5 4 3" xfId="37359"/>
    <cellStyle name="Normal 4 2 5 5" xfId="20218"/>
    <cellStyle name="Normal 4 2 5 5 2" xfId="37360"/>
    <cellStyle name="Normal 4 2 5 6" xfId="20219"/>
    <cellStyle name="Normal 4 2 6" xfId="20220"/>
    <cellStyle name="Normal 4 2 6 2" xfId="20221"/>
    <cellStyle name="Normal 4 2 6 2 2" xfId="37361"/>
    <cellStyle name="Normal 4 2 6 3" xfId="37362"/>
    <cellStyle name="Normal 4 2 7" xfId="20222"/>
    <cellStyle name="Normal 4 2 7 2" xfId="20223"/>
    <cellStyle name="Normal 4 2 7 2 2" xfId="37363"/>
    <cellStyle name="Normal 4 2 7 3" xfId="37364"/>
    <cellStyle name="Normal 4 2 8" xfId="20224"/>
    <cellStyle name="Normal 4 2 8 2" xfId="20225"/>
    <cellStyle name="Normal 4 2 8 2 2" xfId="37365"/>
    <cellStyle name="Normal 4 2 8 3" xfId="37366"/>
    <cellStyle name="Normal 4 2 9" xfId="20226"/>
    <cellStyle name="Normal 4 2 9 2" xfId="37367"/>
    <cellStyle name="Normal 4 3" xfId="289"/>
    <cellStyle name="Normal 4 3 10" xfId="20227"/>
    <cellStyle name="Normal 4 3 2" xfId="447"/>
    <cellStyle name="Normal 4 3 2 2" xfId="1235"/>
    <cellStyle name="Normal 4 3 2 2 2" xfId="2349"/>
    <cellStyle name="Normal 4 3 2 2 2 2" xfId="20228"/>
    <cellStyle name="Normal 4 3 2 2 2 2 2" xfId="20229"/>
    <cellStyle name="Normal 4 3 2 2 2 2 2 2" xfId="37368"/>
    <cellStyle name="Normal 4 3 2 2 2 2 3" xfId="37369"/>
    <cellStyle name="Normal 4 3 2 2 2 3" xfId="20230"/>
    <cellStyle name="Normal 4 3 2 2 2 3 2" xfId="20231"/>
    <cellStyle name="Normal 4 3 2 2 2 3 2 2" xfId="37370"/>
    <cellStyle name="Normal 4 3 2 2 2 3 3" xfId="37371"/>
    <cellStyle name="Normal 4 3 2 2 2 4" xfId="20232"/>
    <cellStyle name="Normal 4 3 2 2 2 4 2" xfId="20233"/>
    <cellStyle name="Normal 4 3 2 2 2 4 2 2" xfId="37372"/>
    <cellStyle name="Normal 4 3 2 2 2 4 3" xfId="37373"/>
    <cellStyle name="Normal 4 3 2 2 2 5" xfId="20234"/>
    <cellStyle name="Normal 4 3 2 2 2 5 2" xfId="37374"/>
    <cellStyle name="Normal 4 3 2 2 2 6" xfId="20235"/>
    <cellStyle name="Normal 4 3 2 2 3" xfId="20236"/>
    <cellStyle name="Normal 4 3 2 2 3 2" xfId="20237"/>
    <cellStyle name="Normal 4 3 2 2 3 2 2" xfId="37375"/>
    <cellStyle name="Normal 4 3 2 2 3 3" xfId="37376"/>
    <cellStyle name="Normal 4 3 2 2 4" xfId="20238"/>
    <cellStyle name="Normal 4 3 2 2 4 2" xfId="20239"/>
    <cellStyle name="Normal 4 3 2 2 4 2 2" xfId="37377"/>
    <cellStyle name="Normal 4 3 2 2 4 3" xfId="37378"/>
    <cellStyle name="Normal 4 3 2 2 5" xfId="20240"/>
    <cellStyle name="Normal 4 3 2 2 5 2" xfId="20241"/>
    <cellStyle name="Normal 4 3 2 2 5 2 2" xfId="37379"/>
    <cellStyle name="Normal 4 3 2 2 5 3" xfId="37380"/>
    <cellStyle name="Normal 4 3 2 2 6" xfId="20242"/>
    <cellStyle name="Normal 4 3 2 2 6 2" xfId="37381"/>
    <cellStyle name="Normal 4 3 2 2 7" xfId="20243"/>
    <cellStyle name="Normal 4 3 2 3" xfId="867"/>
    <cellStyle name="Normal 4 3 2 3 2" xfId="2350"/>
    <cellStyle name="Normal 4 3 2 3 2 2" xfId="20244"/>
    <cellStyle name="Normal 4 3 2 3 2 2 2" xfId="20245"/>
    <cellStyle name="Normal 4 3 2 3 2 2 2 2" xfId="37382"/>
    <cellStyle name="Normal 4 3 2 3 2 2 3" xfId="37383"/>
    <cellStyle name="Normal 4 3 2 3 2 3" xfId="20246"/>
    <cellStyle name="Normal 4 3 2 3 2 3 2" xfId="20247"/>
    <cellStyle name="Normal 4 3 2 3 2 3 2 2" xfId="37384"/>
    <cellStyle name="Normal 4 3 2 3 2 3 3" xfId="37385"/>
    <cellStyle name="Normal 4 3 2 3 2 4" xfId="20248"/>
    <cellStyle name="Normal 4 3 2 3 2 4 2" xfId="20249"/>
    <cellStyle name="Normal 4 3 2 3 2 4 2 2" xfId="37386"/>
    <cellStyle name="Normal 4 3 2 3 2 4 3" xfId="37387"/>
    <cellStyle name="Normal 4 3 2 3 2 5" xfId="20250"/>
    <cellStyle name="Normal 4 3 2 3 2 5 2" xfId="37388"/>
    <cellStyle name="Normal 4 3 2 3 2 6" xfId="20251"/>
    <cellStyle name="Normal 4 3 2 3 3" xfId="20252"/>
    <cellStyle name="Normal 4 3 2 3 3 2" xfId="20253"/>
    <cellStyle name="Normal 4 3 2 3 3 2 2" xfId="37389"/>
    <cellStyle name="Normal 4 3 2 3 3 3" xfId="37390"/>
    <cellStyle name="Normal 4 3 2 3 4" xfId="20254"/>
    <cellStyle name="Normal 4 3 2 3 4 2" xfId="20255"/>
    <cellStyle name="Normal 4 3 2 3 4 2 2" xfId="37391"/>
    <cellStyle name="Normal 4 3 2 3 4 3" xfId="37392"/>
    <cellStyle name="Normal 4 3 2 3 5" xfId="20256"/>
    <cellStyle name="Normal 4 3 2 3 5 2" xfId="20257"/>
    <cellStyle name="Normal 4 3 2 3 5 2 2" xfId="37393"/>
    <cellStyle name="Normal 4 3 2 3 5 3" xfId="37394"/>
    <cellStyle name="Normal 4 3 2 3 6" xfId="20258"/>
    <cellStyle name="Normal 4 3 2 3 6 2" xfId="37395"/>
    <cellStyle name="Normal 4 3 2 3 7" xfId="20259"/>
    <cellStyle name="Normal 4 3 2 4" xfId="2351"/>
    <cellStyle name="Normal 4 3 2 4 2" xfId="20260"/>
    <cellStyle name="Normal 4 3 2 4 2 2" xfId="20261"/>
    <cellStyle name="Normal 4 3 2 4 2 2 2" xfId="37396"/>
    <cellStyle name="Normal 4 3 2 4 2 3" xfId="37397"/>
    <cellStyle name="Normal 4 3 2 4 3" xfId="20262"/>
    <cellStyle name="Normal 4 3 2 4 3 2" xfId="20263"/>
    <cellStyle name="Normal 4 3 2 4 3 2 2" xfId="37398"/>
    <cellStyle name="Normal 4 3 2 4 3 3" xfId="37399"/>
    <cellStyle name="Normal 4 3 2 4 4" xfId="20264"/>
    <cellStyle name="Normal 4 3 2 4 4 2" xfId="20265"/>
    <cellStyle name="Normal 4 3 2 4 4 2 2" xfId="37400"/>
    <cellStyle name="Normal 4 3 2 4 4 3" xfId="37401"/>
    <cellStyle name="Normal 4 3 2 4 5" xfId="20266"/>
    <cellStyle name="Normal 4 3 2 4 5 2" xfId="37402"/>
    <cellStyle name="Normal 4 3 2 4 6" xfId="20267"/>
    <cellStyle name="Normal 4 3 2 5" xfId="20268"/>
    <cellStyle name="Normal 4 3 2 5 2" xfId="20269"/>
    <cellStyle name="Normal 4 3 2 5 2 2" xfId="37403"/>
    <cellStyle name="Normal 4 3 2 5 3" xfId="37404"/>
    <cellStyle name="Normal 4 3 2 6" xfId="20270"/>
    <cellStyle name="Normal 4 3 2 6 2" xfId="20271"/>
    <cellStyle name="Normal 4 3 2 6 2 2" xfId="37405"/>
    <cellStyle name="Normal 4 3 2 6 3" xfId="37406"/>
    <cellStyle name="Normal 4 3 2 7" xfId="20272"/>
    <cellStyle name="Normal 4 3 2 7 2" xfId="20273"/>
    <cellStyle name="Normal 4 3 2 7 2 2" xfId="37407"/>
    <cellStyle name="Normal 4 3 2 7 3" xfId="37408"/>
    <cellStyle name="Normal 4 3 2 8" xfId="20274"/>
    <cellStyle name="Normal 4 3 2 8 2" xfId="37409"/>
    <cellStyle name="Normal 4 3 2 9" xfId="20275"/>
    <cellStyle name="Normal 4 3 3" xfId="1077"/>
    <cellStyle name="Normal 4 3 3 2" xfId="2352"/>
    <cellStyle name="Normal 4 3 3 2 2" xfId="20276"/>
    <cellStyle name="Normal 4 3 3 2 2 2" xfId="20277"/>
    <cellStyle name="Normal 4 3 3 2 2 2 2" xfId="37410"/>
    <cellStyle name="Normal 4 3 3 2 2 3" xfId="37411"/>
    <cellStyle name="Normal 4 3 3 2 3" xfId="20278"/>
    <cellStyle name="Normal 4 3 3 2 3 2" xfId="20279"/>
    <cellStyle name="Normal 4 3 3 2 3 2 2" xfId="37412"/>
    <cellStyle name="Normal 4 3 3 2 3 3" xfId="37413"/>
    <cellStyle name="Normal 4 3 3 2 4" xfId="20280"/>
    <cellStyle name="Normal 4 3 3 2 4 2" xfId="20281"/>
    <cellStyle name="Normal 4 3 3 2 4 2 2" xfId="37414"/>
    <cellStyle name="Normal 4 3 3 2 4 3" xfId="37415"/>
    <cellStyle name="Normal 4 3 3 2 5" xfId="20282"/>
    <cellStyle name="Normal 4 3 3 2 5 2" xfId="37416"/>
    <cellStyle name="Normal 4 3 3 2 6" xfId="20283"/>
    <cellStyle name="Normal 4 3 3 3" xfId="20284"/>
    <cellStyle name="Normal 4 3 3 3 2" xfId="20285"/>
    <cellStyle name="Normal 4 3 3 3 2 2" xfId="37417"/>
    <cellStyle name="Normal 4 3 3 3 3" xfId="37418"/>
    <cellStyle name="Normal 4 3 3 4" xfId="20286"/>
    <cellStyle name="Normal 4 3 3 4 2" xfId="20287"/>
    <cellStyle name="Normal 4 3 3 4 2 2" xfId="37419"/>
    <cellStyle name="Normal 4 3 3 4 3" xfId="37420"/>
    <cellStyle name="Normal 4 3 3 5" xfId="20288"/>
    <cellStyle name="Normal 4 3 3 5 2" xfId="20289"/>
    <cellStyle name="Normal 4 3 3 5 2 2" xfId="37421"/>
    <cellStyle name="Normal 4 3 3 5 3" xfId="37422"/>
    <cellStyle name="Normal 4 3 3 6" xfId="20290"/>
    <cellStyle name="Normal 4 3 3 6 2" xfId="37423"/>
    <cellStyle name="Normal 4 3 3 7" xfId="20291"/>
    <cellStyle name="Normal 4 3 4" xfId="709"/>
    <cellStyle name="Normal 4 3 4 2" xfId="2353"/>
    <cellStyle name="Normal 4 3 4 2 2" xfId="20292"/>
    <cellStyle name="Normal 4 3 4 2 2 2" xfId="20293"/>
    <cellStyle name="Normal 4 3 4 2 2 2 2" xfId="37424"/>
    <cellStyle name="Normal 4 3 4 2 2 3" xfId="37425"/>
    <cellStyle name="Normal 4 3 4 2 3" xfId="20294"/>
    <cellStyle name="Normal 4 3 4 2 3 2" xfId="20295"/>
    <cellStyle name="Normal 4 3 4 2 3 2 2" xfId="37426"/>
    <cellStyle name="Normal 4 3 4 2 3 3" xfId="37427"/>
    <cellStyle name="Normal 4 3 4 2 4" xfId="20296"/>
    <cellStyle name="Normal 4 3 4 2 4 2" xfId="20297"/>
    <cellStyle name="Normal 4 3 4 2 4 2 2" xfId="37428"/>
    <cellStyle name="Normal 4 3 4 2 4 3" xfId="37429"/>
    <cellStyle name="Normal 4 3 4 2 5" xfId="20298"/>
    <cellStyle name="Normal 4 3 4 2 5 2" xfId="37430"/>
    <cellStyle name="Normal 4 3 4 2 6" xfId="20299"/>
    <cellStyle name="Normal 4 3 4 3" xfId="20300"/>
    <cellStyle name="Normal 4 3 4 3 2" xfId="20301"/>
    <cellStyle name="Normal 4 3 4 3 2 2" xfId="37431"/>
    <cellStyle name="Normal 4 3 4 3 3" xfId="37432"/>
    <cellStyle name="Normal 4 3 4 4" xfId="20302"/>
    <cellStyle name="Normal 4 3 4 4 2" xfId="20303"/>
    <cellStyle name="Normal 4 3 4 4 2 2" xfId="37433"/>
    <cellStyle name="Normal 4 3 4 4 3" xfId="37434"/>
    <cellStyle name="Normal 4 3 4 5" xfId="20304"/>
    <cellStyle name="Normal 4 3 4 5 2" xfId="20305"/>
    <cellStyle name="Normal 4 3 4 5 2 2" xfId="37435"/>
    <cellStyle name="Normal 4 3 4 5 3" xfId="37436"/>
    <cellStyle name="Normal 4 3 4 6" xfId="20306"/>
    <cellStyle name="Normal 4 3 4 6 2" xfId="37437"/>
    <cellStyle name="Normal 4 3 4 7" xfId="20307"/>
    <cellStyle name="Normal 4 3 5" xfId="2354"/>
    <cellStyle name="Normal 4 3 5 2" xfId="20308"/>
    <cellStyle name="Normal 4 3 5 2 2" xfId="20309"/>
    <cellStyle name="Normal 4 3 5 2 2 2" xfId="37438"/>
    <cellStyle name="Normal 4 3 5 2 3" xfId="37439"/>
    <cellStyle name="Normal 4 3 5 3" xfId="20310"/>
    <cellStyle name="Normal 4 3 5 3 2" xfId="20311"/>
    <cellStyle name="Normal 4 3 5 3 2 2" xfId="37440"/>
    <cellStyle name="Normal 4 3 5 3 3" xfId="37441"/>
    <cellStyle name="Normal 4 3 5 4" xfId="20312"/>
    <cellStyle name="Normal 4 3 5 4 2" xfId="20313"/>
    <cellStyle name="Normal 4 3 5 4 2 2" xfId="37442"/>
    <cellStyle name="Normal 4 3 5 4 3" xfId="37443"/>
    <cellStyle name="Normal 4 3 5 5" xfId="20314"/>
    <cellStyle name="Normal 4 3 5 5 2" xfId="37444"/>
    <cellStyle name="Normal 4 3 5 6" xfId="20315"/>
    <cellStyle name="Normal 4 3 6" xfId="20316"/>
    <cellStyle name="Normal 4 3 6 2" xfId="20317"/>
    <cellStyle name="Normal 4 3 6 2 2" xfId="37445"/>
    <cellStyle name="Normal 4 3 6 3" xfId="37446"/>
    <cellStyle name="Normal 4 3 7" xfId="20318"/>
    <cellStyle name="Normal 4 3 7 2" xfId="20319"/>
    <cellStyle name="Normal 4 3 7 2 2" xfId="37447"/>
    <cellStyle name="Normal 4 3 7 3" xfId="37448"/>
    <cellStyle name="Normal 4 3 8" xfId="20320"/>
    <cellStyle name="Normal 4 3 8 2" xfId="20321"/>
    <cellStyle name="Normal 4 3 8 2 2" xfId="37449"/>
    <cellStyle name="Normal 4 3 8 3" xfId="37450"/>
    <cellStyle name="Normal 4 3 9" xfId="20322"/>
    <cellStyle name="Normal 4 3 9 2" xfId="37451"/>
    <cellStyle name="Normal 4 4" xfId="151"/>
    <cellStyle name="Normal 4 4 2" xfId="939"/>
    <cellStyle name="Normal 4 4 2 2" xfId="2355"/>
    <cellStyle name="Normal 4 4 2 2 2" xfId="20323"/>
    <cellStyle name="Normal 4 4 2 2 2 2" xfId="20324"/>
    <cellStyle name="Normal 4 4 2 2 2 2 2" xfId="37452"/>
    <cellStyle name="Normal 4 4 2 2 2 3" xfId="37453"/>
    <cellStyle name="Normal 4 4 2 2 3" xfId="20325"/>
    <cellStyle name="Normal 4 4 2 2 3 2" xfId="20326"/>
    <cellStyle name="Normal 4 4 2 2 3 2 2" xfId="37454"/>
    <cellStyle name="Normal 4 4 2 2 3 3" xfId="37455"/>
    <cellStyle name="Normal 4 4 2 2 4" xfId="20327"/>
    <cellStyle name="Normal 4 4 2 2 4 2" xfId="20328"/>
    <cellStyle name="Normal 4 4 2 2 4 2 2" xfId="37456"/>
    <cellStyle name="Normal 4 4 2 2 4 3" xfId="37457"/>
    <cellStyle name="Normal 4 4 2 2 5" xfId="20329"/>
    <cellStyle name="Normal 4 4 2 2 5 2" xfId="37458"/>
    <cellStyle name="Normal 4 4 2 2 6" xfId="20330"/>
    <cellStyle name="Normal 4 4 2 3" xfId="20331"/>
    <cellStyle name="Normal 4 4 2 3 2" xfId="20332"/>
    <cellStyle name="Normal 4 4 2 3 2 2" xfId="37459"/>
    <cellStyle name="Normal 4 4 2 3 3" xfId="37460"/>
    <cellStyle name="Normal 4 4 2 4" xfId="20333"/>
    <cellStyle name="Normal 4 4 2 4 2" xfId="20334"/>
    <cellStyle name="Normal 4 4 2 4 2 2" xfId="37461"/>
    <cellStyle name="Normal 4 4 2 4 3" xfId="37462"/>
    <cellStyle name="Normal 4 4 2 5" xfId="20335"/>
    <cellStyle name="Normal 4 4 2 5 2" xfId="20336"/>
    <cellStyle name="Normal 4 4 2 5 2 2" xfId="37463"/>
    <cellStyle name="Normal 4 4 2 5 3" xfId="37464"/>
    <cellStyle name="Normal 4 4 2 6" xfId="20337"/>
    <cellStyle name="Normal 4 4 2 6 2" xfId="37465"/>
    <cellStyle name="Normal 4 4 2 7" xfId="20338"/>
    <cellStyle name="Normal 4 4 3" xfId="571"/>
    <cellStyle name="Normal 4 4 3 2" xfId="2356"/>
    <cellStyle name="Normal 4 4 3 2 2" xfId="20339"/>
    <cellStyle name="Normal 4 4 3 2 2 2" xfId="20340"/>
    <cellStyle name="Normal 4 4 3 2 2 2 2" xfId="37466"/>
    <cellStyle name="Normal 4 4 3 2 2 3" xfId="37467"/>
    <cellStyle name="Normal 4 4 3 2 3" xfId="20341"/>
    <cellStyle name="Normal 4 4 3 2 3 2" xfId="20342"/>
    <cellStyle name="Normal 4 4 3 2 3 2 2" xfId="37468"/>
    <cellStyle name="Normal 4 4 3 2 3 3" xfId="37469"/>
    <cellStyle name="Normal 4 4 3 2 4" xfId="20343"/>
    <cellStyle name="Normal 4 4 3 2 4 2" xfId="20344"/>
    <cellStyle name="Normal 4 4 3 2 4 2 2" xfId="37470"/>
    <cellStyle name="Normal 4 4 3 2 4 3" xfId="37471"/>
    <cellStyle name="Normal 4 4 3 2 5" xfId="20345"/>
    <cellStyle name="Normal 4 4 3 2 5 2" xfId="37472"/>
    <cellStyle name="Normal 4 4 3 2 6" xfId="20346"/>
    <cellStyle name="Normal 4 4 3 3" xfId="20347"/>
    <cellStyle name="Normal 4 4 3 3 2" xfId="20348"/>
    <cellStyle name="Normal 4 4 3 3 2 2" xfId="37473"/>
    <cellStyle name="Normal 4 4 3 3 3" xfId="37474"/>
    <cellStyle name="Normal 4 4 3 4" xfId="20349"/>
    <cellStyle name="Normal 4 4 3 4 2" xfId="20350"/>
    <cellStyle name="Normal 4 4 3 4 2 2" xfId="37475"/>
    <cellStyle name="Normal 4 4 3 4 3" xfId="37476"/>
    <cellStyle name="Normal 4 4 3 5" xfId="20351"/>
    <cellStyle name="Normal 4 4 3 5 2" xfId="20352"/>
    <cellStyle name="Normal 4 4 3 5 2 2" xfId="37477"/>
    <cellStyle name="Normal 4 4 3 5 3" xfId="37478"/>
    <cellStyle name="Normal 4 4 3 6" xfId="20353"/>
    <cellStyle name="Normal 4 4 3 6 2" xfId="37479"/>
    <cellStyle name="Normal 4 4 3 7" xfId="20354"/>
    <cellStyle name="Normal 4 4 4" xfId="2357"/>
    <cellStyle name="Normal 4 4 4 2" xfId="20355"/>
    <cellStyle name="Normal 4 4 4 2 2" xfId="20356"/>
    <cellStyle name="Normal 4 4 4 2 2 2" xfId="37480"/>
    <cellStyle name="Normal 4 4 4 2 3" xfId="37481"/>
    <cellStyle name="Normal 4 4 4 3" xfId="20357"/>
    <cellStyle name="Normal 4 4 4 3 2" xfId="20358"/>
    <cellStyle name="Normal 4 4 4 3 2 2" xfId="37482"/>
    <cellStyle name="Normal 4 4 4 3 3" xfId="37483"/>
    <cellStyle name="Normal 4 4 4 4" xfId="20359"/>
    <cellStyle name="Normal 4 4 4 4 2" xfId="20360"/>
    <cellStyle name="Normal 4 4 4 4 2 2" xfId="37484"/>
    <cellStyle name="Normal 4 4 4 4 3" xfId="37485"/>
    <cellStyle name="Normal 4 4 4 5" xfId="20361"/>
    <cellStyle name="Normal 4 4 4 5 2" xfId="37486"/>
    <cellStyle name="Normal 4 4 4 6" xfId="20362"/>
    <cellStyle name="Normal 4 4 5" xfId="20363"/>
    <cellStyle name="Normal 4 4 5 2" xfId="20364"/>
    <cellStyle name="Normal 4 4 5 2 2" xfId="37487"/>
    <cellStyle name="Normal 4 4 5 3" xfId="37488"/>
    <cellStyle name="Normal 4 4 6" xfId="20365"/>
    <cellStyle name="Normal 4 4 6 2" xfId="20366"/>
    <cellStyle name="Normal 4 4 6 2 2" xfId="37489"/>
    <cellStyle name="Normal 4 4 6 3" xfId="37490"/>
    <cellStyle name="Normal 4 4 7" xfId="20367"/>
    <cellStyle name="Normal 4 4 7 2" xfId="20368"/>
    <cellStyle name="Normal 4 4 7 2 2" xfId="37491"/>
    <cellStyle name="Normal 4 4 7 3" xfId="37492"/>
    <cellStyle name="Normal 4 4 8" xfId="20369"/>
    <cellStyle name="Normal 4 4 8 2" xfId="37493"/>
    <cellStyle name="Normal 4 4 9" xfId="20370"/>
    <cellStyle name="Normal 4 5" xfId="309"/>
    <cellStyle name="Normal 4 5 2" xfId="1097"/>
    <cellStyle name="Normal 4 5 2 2" xfId="2358"/>
    <cellStyle name="Normal 4 5 2 2 2" xfId="20371"/>
    <cellStyle name="Normal 4 5 2 2 2 2" xfId="20372"/>
    <cellStyle name="Normal 4 5 2 2 2 2 2" xfId="37494"/>
    <cellStyle name="Normal 4 5 2 2 2 3" xfId="37495"/>
    <cellStyle name="Normal 4 5 2 2 3" xfId="20373"/>
    <cellStyle name="Normal 4 5 2 2 3 2" xfId="20374"/>
    <cellStyle name="Normal 4 5 2 2 3 2 2" xfId="37496"/>
    <cellStyle name="Normal 4 5 2 2 3 3" xfId="37497"/>
    <cellStyle name="Normal 4 5 2 2 4" xfId="20375"/>
    <cellStyle name="Normal 4 5 2 2 4 2" xfId="20376"/>
    <cellStyle name="Normal 4 5 2 2 4 2 2" xfId="37498"/>
    <cellStyle name="Normal 4 5 2 2 4 3" xfId="37499"/>
    <cellStyle name="Normal 4 5 2 2 5" xfId="20377"/>
    <cellStyle name="Normal 4 5 2 2 5 2" xfId="37500"/>
    <cellStyle name="Normal 4 5 2 2 6" xfId="20378"/>
    <cellStyle name="Normal 4 5 2 3" xfId="20379"/>
    <cellStyle name="Normal 4 5 2 3 2" xfId="20380"/>
    <cellStyle name="Normal 4 5 2 3 2 2" xfId="37501"/>
    <cellStyle name="Normal 4 5 2 3 3" xfId="37502"/>
    <cellStyle name="Normal 4 5 2 4" xfId="20381"/>
    <cellStyle name="Normal 4 5 2 4 2" xfId="20382"/>
    <cellStyle name="Normal 4 5 2 4 2 2" xfId="37503"/>
    <cellStyle name="Normal 4 5 2 4 3" xfId="37504"/>
    <cellStyle name="Normal 4 5 2 5" xfId="20383"/>
    <cellStyle name="Normal 4 5 2 5 2" xfId="20384"/>
    <cellStyle name="Normal 4 5 2 5 2 2" xfId="37505"/>
    <cellStyle name="Normal 4 5 2 5 3" xfId="37506"/>
    <cellStyle name="Normal 4 5 2 6" xfId="20385"/>
    <cellStyle name="Normal 4 5 2 6 2" xfId="37507"/>
    <cellStyle name="Normal 4 5 2 7" xfId="20386"/>
    <cellStyle name="Normal 4 5 3" xfId="729"/>
    <cellStyle name="Normal 4 5 3 2" xfId="2359"/>
    <cellStyle name="Normal 4 5 3 2 2" xfId="20387"/>
    <cellStyle name="Normal 4 5 3 2 2 2" xfId="20388"/>
    <cellStyle name="Normal 4 5 3 2 2 2 2" xfId="37508"/>
    <cellStyle name="Normal 4 5 3 2 2 3" xfId="37509"/>
    <cellStyle name="Normal 4 5 3 2 3" xfId="20389"/>
    <cellStyle name="Normal 4 5 3 2 3 2" xfId="20390"/>
    <cellStyle name="Normal 4 5 3 2 3 2 2" xfId="37510"/>
    <cellStyle name="Normal 4 5 3 2 3 3" xfId="37511"/>
    <cellStyle name="Normal 4 5 3 2 4" xfId="20391"/>
    <cellStyle name="Normal 4 5 3 2 4 2" xfId="20392"/>
    <cellStyle name="Normal 4 5 3 2 4 2 2" xfId="37512"/>
    <cellStyle name="Normal 4 5 3 2 4 3" xfId="37513"/>
    <cellStyle name="Normal 4 5 3 2 5" xfId="20393"/>
    <cellStyle name="Normal 4 5 3 2 5 2" xfId="37514"/>
    <cellStyle name="Normal 4 5 3 2 6" xfId="20394"/>
    <cellStyle name="Normal 4 5 3 3" xfId="20395"/>
    <cellStyle name="Normal 4 5 3 3 2" xfId="20396"/>
    <cellStyle name="Normal 4 5 3 3 2 2" xfId="37515"/>
    <cellStyle name="Normal 4 5 3 3 3" xfId="37516"/>
    <cellStyle name="Normal 4 5 3 4" xfId="20397"/>
    <cellStyle name="Normal 4 5 3 4 2" xfId="20398"/>
    <cellStyle name="Normal 4 5 3 4 2 2" xfId="37517"/>
    <cellStyle name="Normal 4 5 3 4 3" xfId="37518"/>
    <cellStyle name="Normal 4 5 3 5" xfId="20399"/>
    <cellStyle name="Normal 4 5 3 5 2" xfId="20400"/>
    <cellStyle name="Normal 4 5 3 5 2 2" xfId="37519"/>
    <cellStyle name="Normal 4 5 3 5 3" xfId="37520"/>
    <cellStyle name="Normal 4 5 3 6" xfId="20401"/>
    <cellStyle name="Normal 4 5 3 6 2" xfId="37521"/>
    <cellStyle name="Normal 4 5 3 7" xfId="20402"/>
    <cellStyle name="Normal 4 5 4" xfId="2360"/>
    <cellStyle name="Normal 4 5 4 2" xfId="20403"/>
    <cellStyle name="Normal 4 5 4 2 2" xfId="20404"/>
    <cellStyle name="Normal 4 5 4 2 2 2" xfId="37522"/>
    <cellStyle name="Normal 4 5 4 2 3" xfId="37523"/>
    <cellStyle name="Normal 4 5 4 3" xfId="20405"/>
    <cellStyle name="Normal 4 5 4 3 2" xfId="20406"/>
    <cellStyle name="Normal 4 5 4 3 2 2" xfId="37524"/>
    <cellStyle name="Normal 4 5 4 3 3" xfId="37525"/>
    <cellStyle name="Normal 4 5 4 4" xfId="20407"/>
    <cellStyle name="Normal 4 5 4 4 2" xfId="20408"/>
    <cellStyle name="Normal 4 5 4 4 2 2" xfId="37526"/>
    <cellStyle name="Normal 4 5 4 4 3" xfId="37527"/>
    <cellStyle name="Normal 4 5 4 5" xfId="20409"/>
    <cellStyle name="Normal 4 5 4 5 2" xfId="37528"/>
    <cellStyle name="Normal 4 5 4 6" xfId="20410"/>
    <cellStyle name="Normal 4 5 5" xfId="20411"/>
    <cellStyle name="Normal 4 5 5 2" xfId="20412"/>
    <cellStyle name="Normal 4 5 5 2 2" xfId="37529"/>
    <cellStyle name="Normal 4 5 5 3" xfId="37530"/>
    <cellStyle name="Normal 4 5 6" xfId="20413"/>
    <cellStyle name="Normal 4 5 6 2" xfId="20414"/>
    <cellStyle name="Normal 4 5 6 2 2" xfId="37531"/>
    <cellStyle name="Normal 4 5 6 3" xfId="37532"/>
    <cellStyle name="Normal 4 5 7" xfId="20415"/>
    <cellStyle name="Normal 4 5 7 2" xfId="20416"/>
    <cellStyle name="Normal 4 5 7 2 2" xfId="37533"/>
    <cellStyle name="Normal 4 5 7 3" xfId="37534"/>
    <cellStyle name="Normal 4 5 8" xfId="20417"/>
    <cellStyle name="Normal 4 5 8 2" xfId="37535"/>
    <cellStyle name="Normal 4 5 9" xfId="20418"/>
    <cellStyle name="Normal 4 6" xfId="98"/>
    <cellStyle name="Normal 4 6 2" xfId="519"/>
    <cellStyle name="Normal 4 6 2 2" xfId="2361"/>
    <cellStyle name="Normal 4 6 2 2 2" xfId="20419"/>
    <cellStyle name="Normal 4 6 2 2 2 2" xfId="20420"/>
    <cellStyle name="Normal 4 6 2 2 2 2 2" xfId="37536"/>
    <cellStyle name="Normal 4 6 2 2 2 3" xfId="37537"/>
    <cellStyle name="Normal 4 6 2 2 3" xfId="20421"/>
    <cellStyle name="Normal 4 6 2 2 3 2" xfId="20422"/>
    <cellStyle name="Normal 4 6 2 2 3 2 2" xfId="37538"/>
    <cellStyle name="Normal 4 6 2 2 3 3" xfId="37539"/>
    <cellStyle name="Normal 4 6 2 2 4" xfId="20423"/>
    <cellStyle name="Normal 4 6 2 2 4 2" xfId="20424"/>
    <cellStyle name="Normal 4 6 2 2 4 2 2" xfId="37540"/>
    <cellStyle name="Normal 4 6 2 2 4 3" xfId="37541"/>
    <cellStyle name="Normal 4 6 2 2 5" xfId="20425"/>
    <cellStyle name="Normal 4 6 2 2 5 2" xfId="37542"/>
    <cellStyle name="Normal 4 6 2 2 6" xfId="20426"/>
    <cellStyle name="Normal 4 6 2 3" xfId="20427"/>
    <cellStyle name="Normal 4 6 2 3 2" xfId="20428"/>
    <cellStyle name="Normal 4 6 2 3 2 2" xfId="37543"/>
    <cellStyle name="Normal 4 6 2 3 3" xfId="37544"/>
    <cellStyle name="Normal 4 6 2 4" xfId="20429"/>
    <cellStyle name="Normal 4 6 2 4 2" xfId="20430"/>
    <cellStyle name="Normal 4 6 2 4 2 2" xfId="37545"/>
    <cellStyle name="Normal 4 6 2 4 3" xfId="37546"/>
    <cellStyle name="Normal 4 6 2 5" xfId="20431"/>
    <cellStyle name="Normal 4 6 2 5 2" xfId="20432"/>
    <cellStyle name="Normal 4 6 2 5 2 2" xfId="37547"/>
    <cellStyle name="Normal 4 6 2 5 3" xfId="37548"/>
    <cellStyle name="Normal 4 6 2 6" xfId="20433"/>
    <cellStyle name="Normal 4 6 2 6 2" xfId="37549"/>
    <cellStyle name="Normal 4 6 2 7" xfId="20434"/>
    <cellStyle name="Normal 4 6 3" xfId="2362"/>
    <cellStyle name="Normal 4 6 3 2" xfId="20435"/>
    <cellStyle name="Normal 4 6 3 2 2" xfId="20436"/>
    <cellStyle name="Normal 4 6 3 2 2 2" xfId="37550"/>
    <cellStyle name="Normal 4 6 3 2 3" xfId="37551"/>
    <cellStyle name="Normal 4 6 3 3" xfId="20437"/>
    <cellStyle name="Normal 4 6 3 3 2" xfId="20438"/>
    <cellStyle name="Normal 4 6 3 3 2 2" xfId="37552"/>
    <cellStyle name="Normal 4 6 3 3 3" xfId="37553"/>
    <cellStyle name="Normal 4 6 3 4" xfId="20439"/>
    <cellStyle name="Normal 4 6 3 4 2" xfId="20440"/>
    <cellStyle name="Normal 4 6 3 4 2 2" xfId="37554"/>
    <cellStyle name="Normal 4 6 3 4 3" xfId="37555"/>
    <cellStyle name="Normal 4 6 3 5" xfId="20441"/>
    <cellStyle name="Normal 4 6 3 5 2" xfId="37556"/>
    <cellStyle name="Normal 4 6 3 6" xfId="20442"/>
    <cellStyle name="Normal 4 6 4" xfId="20443"/>
    <cellStyle name="Normal 4 6 4 2" xfId="20444"/>
    <cellStyle name="Normal 4 6 4 2 2" xfId="37557"/>
    <cellStyle name="Normal 4 6 4 3" xfId="37558"/>
    <cellStyle name="Normal 4 6 5" xfId="20445"/>
    <cellStyle name="Normal 4 6 5 2" xfId="20446"/>
    <cellStyle name="Normal 4 6 5 2 2" xfId="37559"/>
    <cellStyle name="Normal 4 6 5 3" xfId="37560"/>
    <cellStyle name="Normal 4 6 6" xfId="20447"/>
    <cellStyle name="Normal 4 6 6 2" xfId="20448"/>
    <cellStyle name="Normal 4 6 6 2 2" xfId="37561"/>
    <cellStyle name="Normal 4 6 6 3" xfId="37562"/>
    <cellStyle name="Normal 4 6 7" xfId="20449"/>
    <cellStyle name="Normal 4 6 7 2" xfId="37563"/>
    <cellStyle name="Normal 4 6 8" xfId="20450"/>
    <cellStyle name="Normal 4 7" xfId="887"/>
    <cellStyle name="Normal 4 7 2" xfId="2363"/>
    <cellStyle name="Normal 4 7 2 2" xfId="20451"/>
    <cellStyle name="Normal 4 7 2 2 2" xfId="20452"/>
    <cellStyle name="Normal 4 7 2 2 2 2" xfId="37564"/>
    <cellStyle name="Normal 4 7 2 2 3" xfId="37565"/>
    <cellStyle name="Normal 4 7 2 3" xfId="20453"/>
    <cellStyle name="Normal 4 7 2 3 2" xfId="20454"/>
    <cellStyle name="Normal 4 7 2 3 2 2" xfId="37566"/>
    <cellStyle name="Normal 4 7 2 3 3" xfId="37567"/>
    <cellStyle name="Normal 4 7 2 4" xfId="20455"/>
    <cellStyle name="Normal 4 7 2 4 2" xfId="20456"/>
    <cellStyle name="Normal 4 7 2 4 2 2" xfId="37568"/>
    <cellStyle name="Normal 4 7 2 4 3" xfId="37569"/>
    <cellStyle name="Normal 4 7 2 5" xfId="20457"/>
    <cellStyle name="Normal 4 7 2 5 2" xfId="37570"/>
    <cellStyle name="Normal 4 7 2 6" xfId="20458"/>
    <cellStyle name="Normal 4 7 3" xfId="20459"/>
    <cellStyle name="Normal 4 7 3 2" xfId="20460"/>
    <cellStyle name="Normal 4 7 3 2 2" xfId="37571"/>
    <cellStyle name="Normal 4 7 3 3" xfId="37572"/>
    <cellStyle name="Normal 4 7 4" xfId="20461"/>
    <cellStyle name="Normal 4 7 4 2" xfId="20462"/>
    <cellStyle name="Normal 4 7 4 2 2" xfId="37573"/>
    <cellStyle name="Normal 4 7 4 3" xfId="37574"/>
    <cellStyle name="Normal 4 7 5" xfId="20463"/>
    <cellStyle name="Normal 4 7 5 2" xfId="20464"/>
    <cellStyle name="Normal 4 7 5 2 2" xfId="37575"/>
    <cellStyle name="Normal 4 7 5 3" xfId="37576"/>
    <cellStyle name="Normal 4 7 6" xfId="20465"/>
    <cellStyle name="Normal 4 7 6 2" xfId="37577"/>
    <cellStyle name="Normal 4 7 7" xfId="20466"/>
    <cellStyle name="Normal 4 8" xfId="501"/>
    <cellStyle name="Normal 4 8 2" xfId="2364"/>
    <cellStyle name="Normal 4 8 2 2" xfId="20467"/>
    <cellStyle name="Normal 4 8 2 2 2" xfId="20468"/>
    <cellStyle name="Normal 4 8 2 2 2 2" xfId="37578"/>
    <cellStyle name="Normal 4 8 2 2 3" xfId="37579"/>
    <cellStyle name="Normal 4 8 2 3" xfId="20469"/>
    <cellStyle name="Normal 4 8 2 3 2" xfId="20470"/>
    <cellStyle name="Normal 4 8 2 3 2 2" xfId="37580"/>
    <cellStyle name="Normal 4 8 2 3 3" xfId="37581"/>
    <cellStyle name="Normal 4 8 2 4" xfId="20471"/>
    <cellStyle name="Normal 4 8 2 4 2" xfId="20472"/>
    <cellStyle name="Normal 4 8 2 4 2 2" xfId="37582"/>
    <cellStyle name="Normal 4 8 2 4 3" xfId="37583"/>
    <cellStyle name="Normal 4 8 2 5" xfId="20473"/>
    <cellStyle name="Normal 4 8 2 5 2" xfId="37584"/>
    <cellStyle name="Normal 4 8 2 6" xfId="20474"/>
    <cellStyle name="Normal 4 8 3" xfId="20475"/>
    <cellStyle name="Normal 4 8 3 2" xfId="20476"/>
    <cellStyle name="Normal 4 8 3 2 2" xfId="37585"/>
    <cellStyle name="Normal 4 8 3 3" xfId="37586"/>
    <cellStyle name="Normal 4 8 4" xfId="20477"/>
    <cellStyle name="Normal 4 8 4 2" xfId="20478"/>
    <cellStyle name="Normal 4 8 4 2 2" xfId="37587"/>
    <cellStyle name="Normal 4 8 4 3" xfId="37588"/>
    <cellStyle name="Normal 4 8 5" xfId="20479"/>
    <cellStyle name="Normal 4 8 5 2" xfId="20480"/>
    <cellStyle name="Normal 4 8 5 2 2" xfId="37589"/>
    <cellStyle name="Normal 4 8 5 3" xfId="37590"/>
    <cellStyle name="Normal 4 8 6" xfId="20481"/>
    <cellStyle name="Normal 4 8 6 2" xfId="37591"/>
    <cellStyle name="Normal 4 8 7" xfId="20482"/>
    <cellStyle name="Normal 4 9" xfId="2365"/>
    <cellStyle name="Normal 4 9 2" xfId="20483"/>
    <cellStyle name="Normal 4 9 2 2" xfId="20484"/>
    <cellStyle name="Normal 4 9 2 2 2" xfId="37592"/>
    <cellStyle name="Normal 4 9 2 3" xfId="37593"/>
    <cellStyle name="Normal 4 9 3" xfId="20485"/>
    <cellStyle name="Normal 4 9 3 2" xfId="20486"/>
    <cellStyle name="Normal 4 9 3 2 2" xfId="37594"/>
    <cellStyle name="Normal 4 9 3 3" xfId="37595"/>
    <cellStyle name="Normal 4 9 4" xfId="20487"/>
    <cellStyle name="Normal 4 9 4 2" xfId="20488"/>
    <cellStyle name="Normal 4 9 4 2 2" xfId="37596"/>
    <cellStyle name="Normal 4 9 4 3" xfId="37597"/>
    <cellStyle name="Normal 4 9 5" xfId="20489"/>
    <cellStyle name="Normal 4 9 5 2" xfId="37598"/>
    <cellStyle name="Normal 4 9 6" xfId="20490"/>
    <cellStyle name="Normal 5" xfId="25"/>
    <cellStyle name="Normal 5 10" xfId="20491"/>
    <cellStyle name="Normal 5 10 2" xfId="20492"/>
    <cellStyle name="Normal 5 10 2 2" xfId="37599"/>
    <cellStyle name="Normal 5 10 3" xfId="37600"/>
    <cellStyle name="Normal 5 11" xfId="20493"/>
    <cellStyle name="Normal 5 11 2" xfId="20494"/>
    <cellStyle name="Normal 5 11 2 2" xfId="37601"/>
    <cellStyle name="Normal 5 11 3" xfId="37602"/>
    <cellStyle name="Normal 5 12" xfId="20495"/>
    <cellStyle name="Normal 5 12 2" xfId="20496"/>
    <cellStyle name="Normal 5 12 2 2" xfId="37603"/>
    <cellStyle name="Normal 5 12 3" xfId="37604"/>
    <cellStyle name="Normal 5 13" xfId="20497"/>
    <cellStyle name="Normal 5 13 2" xfId="37605"/>
    <cellStyle name="Normal 5 14" xfId="20498"/>
    <cellStyle name="Normal 5 15" xfId="21818"/>
    <cellStyle name="Normal 5 15 2" xfId="38777"/>
    <cellStyle name="Normal 5 2" xfId="188"/>
    <cellStyle name="Normal 5 2 10" xfId="20499"/>
    <cellStyle name="Normal 5 2 2" xfId="346"/>
    <cellStyle name="Normal 5 2 2 2" xfId="1134"/>
    <cellStyle name="Normal 5 2 2 2 2" xfId="2366"/>
    <cellStyle name="Normal 5 2 2 2 2 2" xfId="20500"/>
    <cellStyle name="Normal 5 2 2 2 2 2 2" xfId="20501"/>
    <cellStyle name="Normal 5 2 2 2 2 2 2 2" xfId="37606"/>
    <cellStyle name="Normal 5 2 2 2 2 2 3" xfId="37607"/>
    <cellStyle name="Normal 5 2 2 2 2 3" xfId="20502"/>
    <cellStyle name="Normal 5 2 2 2 2 3 2" xfId="20503"/>
    <cellStyle name="Normal 5 2 2 2 2 3 2 2" xfId="37608"/>
    <cellStyle name="Normal 5 2 2 2 2 3 3" xfId="37609"/>
    <cellStyle name="Normal 5 2 2 2 2 4" xfId="20504"/>
    <cellStyle name="Normal 5 2 2 2 2 4 2" xfId="20505"/>
    <cellStyle name="Normal 5 2 2 2 2 4 2 2" xfId="37610"/>
    <cellStyle name="Normal 5 2 2 2 2 4 3" xfId="37611"/>
    <cellStyle name="Normal 5 2 2 2 2 5" xfId="20506"/>
    <cellStyle name="Normal 5 2 2 2 2 5 2" xfId="37612"/>
    <cellStyle name="Normal 5 2 2 2 2 6" xfId="20507"/>
    <cellStyle name="Normal 5 2 2 2 3" xfId="20508"/>
    <cellStyle name="Normal 5 2 2 2 3 2" xfId="20509"/>
    <cellStyle name="Normal 5 2 2 2 3 2 2" xfId="37613"/>
    <cellStyle name="Normal 5 2 2 2 3 3" xfId="37614"/>
    <cellStyle name="Normal 5 2 2 2 4" xfId="20510"/>
    <cellStyle name="Normal 5 2 2 2 4 2" xfId="20511"/>
    <cellStyle name="Normal 5 2 2 2 4 2 2" xfId="37615"/>
    <cellStyle name="Normal 5 2 2 2 4 3" xfId="37616"/>
    <cellStyle name="Normal 5 2 2 2 5" xfId="20512"/>
    <cellStyle name="Normal 5 2 2 2 5 2" xfId="20513"/>
    <cellStyle name="Normal 5 2 2 2 5 2 2" xfId="37617"/>
    <cellStyle name="Normal 5 2 2 2 5 3" xfId="37618"/>
    <cellStyle name="Normal 5 2 2 2 6" xfId="20514"/>
    <cellStyle name="Normal 5 2 2 2 6 2" xfId="37619"/>
    <cellStyle name="Normal 5 2 2 2 7" xfId="20515"/>
    <cellStyle name="Normal 5 2 2 3" xfId="766"/>
    <cellStyle name="Normal 5 2 2 3 2" xfId="2367"/>
    <cellStyle name="Normal 5 2 2 3 2 2" xfId="20516"/>
    <cellStyle name="Normal 5 2 2 3 2 2 2" xfId="20517"/>
    <cellStyle name="Normal 5 2 2 3 2 2 2 2" xfId="37620"/>
    <cellStyle name="Normal 5 2 2 3 2 2 3" xfId="37621"/>
    <cellStyle name="Normal 5 2 2 3 2 3" xfId="20518"/>
    <cellStyle name="Normal 5 2 2 3 2 3 2" xfId="20519"/>
    <cellStyle name="Normal 5 2 2 3 2 3 2 2" xfId="37622"/>
    <cellStyle name="Normal 5 2 2 3 2 3 3" xfId="37623"/>
    <cellStyle name="Normal 5 2 2 3 2 4" xfId="20520"/>
    <cellStyle name="Normal 5 2 2 3 2 4 2" xfId="20521"/>
    <cellStyle name="Normal 5 2 2 3 2 4 2 2" xfId="37624"/>
    <cellStyle name="Normal 5 2 2 3 2 4 3" xfId="37625"/>
    <cellStyle name="Normal 5 2 2 3 2 5" xfId="20522"/>
    <cellStyle name="Normal 5 2 2 3 2 5 2" xfId="37626"/>
    <cellStyle name="Normal 5 2 2 3 2 6" xfId="20523"/>
    <cellStyle name="Normal 5 2 2 3 3" xfId="20524"/>
    <cellStyle name="Normal 5 2 2 3 3 2" xfId="20525"/>
    <cellStyle name="Normal 5 2 2 3 3 2 2" xfId="37627"/>
    <cellStyle name="Normal 5 2 2 3 3 3" xfId="37628"/>
    <cellStyle name="Normal 5 2 2 3 4" xfId="20526"/>
    <cellStyle name="Normal 5 2 2 3 4 2" xfId="20527"/>
    <cellStyle name="Normal 5 2 2 3 4 2 2" xfId="37629"/>
    <cellStyle name="Normal 5 2 2 3 4 3" xfId="37630"/>
    <cellStyle name="Normal 5 2 2 3 5" xfId="20528"/>
    <cellStyle name="Normal 5 2 2 3 5 2" xfId="20529"/>
    <cellStyle name="Normal 5 2 2 3 5 2 2" xfId="37631"/>
    <cellStyle name="Normal 5 2 2 3 5 3" xfId="37632"/>
    <cellStyle name="Normal 5 2 2 3 6" xfId="20530"/>
    <cellStyle name="Normal 5 2 2 3 6 2" xfId="37633"/>
    <cellStyle name="Normal 5 2 2 3 7" xfId="20531"/>
    <cellStyle name="Normal 5 2 2 4" xfId="2368"/>
    <cellStyle name="Normal 5 2 2 4 2" xfId="20532"/>
    <cellStyle name="Normal 5 2 2 4 2 2" xfId="20533"/>
    <cellStyle name="Normal 5 2 2 4 2 2 2" xfId="37634"/>
    <cellStyle name="Normal 5 2 2 4 2 3" xfId="37635"/>
    <cellStyle name="Normal 5 2 2 4 3" xfId="20534"/>
    <cellStyle name="Normal 5 2 2 4 3 2" xfId="20535"/>
    <cellStyle name="Normal 5 2 2 4 3 2 2" xfId="37636"/>
    <cellStyle name="Normal 5 2 2 4 3 3" xfId="37637"/>
    <cellStyle name="Normal 5 2 2 4 4" xfId="20536"/>
    <cellStyle name="Normal 5 2 2 4 4 2" xfId="20537"/>
    <cellStyle name="Normal 5 2 2 4 4 2 2" xfId="37638"/>
    <cellStyle name="Normal 5 2 2 4 4 3" xfId="37639"/>
    <cellStyle name="Normal 5 2 2 4 5" xfId="20538"/>
    <cellStyle name="Normal 5 2 2 4 5 2" xfId="37640"/>
    <cellStyle name="Normal 5 2 2 4 6" xfId="20539"/>
    <cellStyle name="Normal 5 2 2 5" xfId="20540"/>
    <cellStyle name="Normal 5 2 2 5 2" xfId="20541"/>
    <cellStyle name="Normal 5 2 2 5 2 2" xfId="37641"/>
    <cellStyle name="Normal 5 2 2 5 3" xfId="37642"/>
    <cellStyle name="Normal 5 2 2 6" xfId="20542"/>
    <cellStyle name="Normal 5 2 2 6 2" xfId="20543"/>
    <cellStyle name="Normal 5 2 2 6 2 2" xfId="37643"/>
    <cellStyle name="Normal 5 2 2 6 3" xfId="37644"/>
    <cellStyle name="Normal 5 2 2 7" xfId="20544"/>
    <cellStyle name="Normal 5 2 2 7 2" xfId="20545"/>
    <cellStyle name="Normal 5 2 2 7 2 2" xfId="37645"/>
    <cellStyle name="Normal 5 2 2 7 3" xfId="37646"/>
    <cellStyle name="Normal 5 2 2 8" xfId="20546"/>
    <cellStyle name="Normal 5 2 2 8 2" xfId="37647"/>
    <cellStyle name="Normal 5 2 2 9" xfId="20547"/>
    <cellStyle name="Normal 5 2 3" xfId="976"/>
    <cellStyle name="Normal 5 2 3 2" xfId="2369"/>
    <cellStyle name="Normal 5 2 3 2 2" xfId="20548"/>
    <cellStyle name="Normal 5 2 3 2 2 2" xfId="20549"/>
    <cellStyle name="Normal 5 2 3 2 2 2 2" xfId="37648"/>
    <cellStyle name="Normal 5 2 3 2 2 3" xfId="37649"/>
    <cellStyle name="Normal 5 2 3 2 3" xfId="20550"/>
    <cellStyle name="Normal 5 2 3 2 3 2" xfId="20551"/>
    <cellStyle name="Normal 5 2 3 2 3 2 2" xfId="37650"/>
    <cellStyle name="Normal 5 2 3 2 3 3" xfId="37651"/>
    <cellStyle name="Normal 5 2 3 2 4" xfId="20552"/>
    <cellStyle name="Normal 5 2 3 2 4 2" xfId="20553"/>
    <cellStyle name="Normal 5 2 3 2 4 2 2" xfId="37652"/>
    <cellStyle name="Normal 5 2 3 2 4 3" xfId="37653"/>
    <cellStyle name="Normal 5 2 3 2 5" xfId="20554"/>
    <cellStyle name="Normal 5 2 3 2 5 2" xfId="37654"/>
    <cellStyle name="Normal 5 2 3 2 6" xfId="20555"/>
    <cellStyle name="Normal 5 2 3 3" xfId="20556"/>
    <cellStyle name="Normal 5 2 3 3 2" xfId="20557"/>
    <cellStyle name="Normal 5 2 3 3 2 2" xfId="37655"/>
    <cellStyle name="Normal 5 2 3 3 3" xfId="37656"/>
    <cellStyle name="Normal 5 2 3 4" xfId="20558"/>
    <cellStyle name="Normal 5 2 3 4 2" xfId="20559"/>
    <cellStyle name="Normal 5 2 3 4 2 2" xfId="37657"/>
    <cellStyle name="Normal 5 2 3 4 3" xfId="37658"/>
    <cellStyle name="Normal 5 2 3 5" xfId="20560"/>
    <cellStyle name="Normal 5 2 3 5 2" xfId="20561"/>
    <cellStyle name="Normal 5 2 3 5 2 2" xfId="37659"/>
    <cellStyle name="Normal 5 2 3 5 3" xfId="37660"/>
    <cellStyle name="Normal 5 2 3 6" xfId="20562"/>
    <cellStyle name="Normal 5 2 3 6 2" xfId="37661"/>
    <cellStyle name="Normal 5 2 3 7" xfId="20563"/>
    <cellStyle name="Normal 5 2 4" xfId="608"/>
    <cellStyle name="Normal 5 2 4 2" xfId="2370"/>
    <cellStyle name="Normal 5 2 4 2 2" xfId="20564"/>
    <cellStyle name="Normal 5 2 4 2 2 2" xfId="20565"/>
    <cellStyle name="Normal 5 2 4 2 2 2 2" xfId="37662"/>
    <cellStyle name="Normal 5 2 4 2 2 3" xfId="37663"/>
    <cellStyle name="Normal 5 2 4 2 3" xfId="20566"/>
    <cellStyle name="Normal 5 2 4 2 3 2" xfId="20567"/>
    <cellStyle name="Normal 5 2 4 2 3 2 2" xfId="37664"/>
    <cellStyle name="Normal 5 2 4 2 3 3" xfId="37665"/>
    <cellStyle name="Normal 5 2 4 2 4" xfId="20568"/>
    <cellStyle name="Normal 5 2 4 2 4 2" xfId="20569"/>
    <cellStyle name="Normal 5 2 4 2 4 2 2" xfId="37666"/>
    <cellStyle name="Normal 5 2 4 2 4 3" xfId="37667"/>
    <cellStyle name="Normal 5 2 4 2 5" xfId="20570"/>
    <cellStyle name="Normal 5 2 4 2 5 2" xfId="37668"/>
    <cellStyle name="Normal 5 2 4 2 6" xfId="20571"/>
    <cellStyle name="Normal 5 2 4 3" xfId="20572"/>
    <cellStyle name="Normal 5 2 4 3 2" xfId="20573"/>
    <cellStyle name="Normal 5 2 4 3 2 2" xfId="37669"/>
    <cellStyle name="Normal 5 2 4 3 3" xfId="37670"/>
    <cellStyle name="Normal 5 2 4 4" xfId="20574"/>
    <cellStyle name="Normal 5 2 4 4 2" xfId="20575"/>
    <cellStyle name="Normal 5 2 4 4 2 2" xfId="37671"/>
    <cellStyle name="Normal 5 2 4 4 3" xfId="37672"/>
    <cellStyle name="Normal 5 2 4 5" xfId="20576"/>
    <cellStyle name="Normal 5 2 4 5 2" xfId="20577"/>
    <cellStyle name="Normal 5 2 4 5 2 2" xfId="37673"/>
    <cellStyle name="Normal 5 2 4 5 3" xfId="37674"/>
    <cellStyle name="Normal 5 2 4 6" xfId="20578"/>
    <cellStyle name="Normal 5 2 4 6 2" xfId="37675"/>
    <cellStyle name="Normal 5 2 4 7" xfId="20579"/>
    <cellStyle name="Normal 5 2 5" xfId="2371"/>
    <cellStyle name="Normal 5 2 5 2" xfId="20580"/>
    <cellStyle name="Normal 5 2 5 2 2" xfId="20581"/>
    <cellStyle name="Normal 5 2 5 2 2 2" xfId="37676"/>
    <cellStyle name="Normal 5 2 5 2 3" xfId="37677"/>
    <cellStyle name="Normal 5 2 5 3" xfId="20582"/>
    <cellStyle name="Normal 5 2 5 3 2" xfId="20583"/>
    <cellStyle name="Normal 5 2 5 3 2 2" xfId="37678"/>
    <cellStyle name="Normal 5 2 5 3 3" xfId="37679"/>
    <cellStyle name="Normal 5 2 5 4" xfId="20584"/>
    <cellStyle name="Normal 5 2 5 4 2" xfId="20585"/>
    <cellStyle name="Normal 5 2 5 4 2 2" xfId="37680"/>
    <cellStyle name="Normal 5 2 5 4 3" xfId="37681"/>
    <cellStyle name="Normal 5 2 5 5" xfId="20586"/>
    <cellStyle name="Normal 5 2 5 5 2" xfId="37682"/>
    <cellStyle name="Normal 5 2 5 6" xfId="20587"/>
    <cellStyle name="Normal 5 2 6" xfId="20588"/>
    <cellStyle name="Normal 5 2 6 2" xfId="20589"/>
    <cellStyle name="Normal 5 2 6 2 2" xfId="37683"/>
    <cellStyle name="Normal 5 2 6 3" xfId="37684"/>
    <cellStyle name="Normal 5 2 7" xfId="20590"/>
    <cellStyle name="Normal 5 2 7 2" xfId="20591"/>
    <cellStyle name="Normal 5 2 7 2 2" xfId="37685"/>
    <cellStyle name="Normal 5 2 7 3" xfId="37686"/>
    <cellStyle name="Normal 5 2 8" xfId="20592"/>
    <cellStyle name="Normal 5 2 8 2" xfId="20593"/>
    <cellStyle name="Normal 5 2 8 2 2" xfId="37687"/>
    <cellStyle name="Normal 5 2 8 3" xfId="37688"/>
    <cellStyle name="Normal 5 2 9" xfId="20594"/>
    <cellStyle name="Normal 5 2 9 2" xfId="37689"/>
    <cellStyle name="Normal 5 3" xfId="290"/>
    <cellStyle name="Normal 5 3 10" xfId="20595"/>
    <cellStyle name="Normal 5 3 2" xfId="448"/>
    <cellStyle name="Normal 5 3 2 2" xfId="1236"/>
    <cellStyle name="Normal 5 3 2 2 2" xfId="2372"/>
    <cellStyle name="Normal 5 3 2 2 2 2" xfId="20596"/>
    <cellStyle name="Normal 5 3 2 2 2 2 2" xfId="20597"/>
    <cellStyle name="Normal 5 3 2 2 2 2 2 2" xfId="37690"/>
    <cellStyle name="Normal 5 3 2 2 2 2 3" xfId="37691"/>
    <cellStyle name="Normal 5 3 2 2 2 3" xfId="20598"/>
    <cellStyle name="Normal 5 3 2 2 2 3 2" xfId="20599"/>
    <cellStyle name="Normal 5 3 2 2 2 3 2 2" xfId="37692"/>
    <cellStyle name="Normal 5 3 2 2 2 3 3" xfId="37693"/>
    <cellStyle name="Normal 5 3 2 2 2 4" xfId="20600"/>
    <cellStyle name="Normal 5 3 2 2 2 4 2" xfId="20601"/>
    <cellStyle name="Normal 5 3 2 2 2 4 2 2" xfId="37694"/>
    <cellStyle name="Normal 5 3 2 2 2 4 3" xfId="37695"/>
    <cellStyle name="Normal 5 3 2 2 2 5" xfId="20602"/>
    <cellStyle name="Normal 5 3 2 2 2 5 2" xfId="37696"/>
    <cellStyle name="Normal 5 3 2 2 2 6" xfId="20603"/>
    <cellStyle name="Normal 5 3 2 2 3" xfId="20604"/>
    <cellStyle name="Normal 5 3 2 2 3 2" xfId="20605"/>
    <cellStyle name="Normal 5 3 2 2 3 2 2" xfId="37697"/>
    <cellStyle name="Normal 5 3 2 2 3 3" xfId="37698"/>
    <cellStyle name="Normal 5 3 2 2 4" xfId="20606"/>
    <cellStyle name="Normal 5 3 2 2 4 2" xfId="20607"/>
    <cellStyle name="Normal 5 3 2 2 4 2 2" xfId="37699"/>
    <cellStyle name="Normal 5 3 2 2 4 3" xfId="37700"/>
    <cellStyle name="Normal 5 3 2 2 5" xfId="20608"/>
    <cellStyle name="Normal 5 3 2 2 5 2" xfId="20609"/>
    <cellStyle name="Normal 5 3 2 2 5 2 2" xfId="37701"/>
    <cellStyle name="Normal 5 3 2 2 5 3" xfId="37702"/>
    <cellStyle name="Normal 5 3 2 2 6" xfId="20610"/>
    <cellStyle name="Normal 5 3 2 2 6 2" xfId="37703"/>
    <cellStyle name="Normal 5 3 2 2 7" xfId="20611"/>
    <cellStyle name="Normal 5 3 2 3" xfId="868"/>
    <cellStyle name="Normal 5 3 2 3 2" xfId="2373"/>
    <cellStyle name="Normal 5 3 2 3 2 2" xfId="20612"/>
    <cellStyle name="Normal 5 3 2 3 2 2 2" xfId="20613"/>
    <cellStyle name="Normal 5 3 2 3 2 2 2 2" xfId="37704"/>
    <cellStyle name="Normal 5 3 2 3 2 2 3" xfId="37705"/>
    <cellStyle name="Normal 5 3 2 3 2 3" xfId="20614"/>
    <cellStyle name="Normal 5 3 2 3 2 3 2" xfId="20615"/>
    <cellStyle name="Normal 5 3 2 3 2 3 2 2" xfId="37706"/>
    <cellStyle name="Normal 5 3 2 3 2 3 3" xfId="37707"/>
    <cellStyle name="Normal 5 3 2 3 2 4" xfId="20616"/>
    <cellStyle name="Normal 5 3 2 3 2 4 2" xfId="20617"/>
    <cellStyle name="Normal 5 3 2 3 2 4 2 2" xfId="37708"/>
    <cellStyle name="Normal 5 3 2 3 2 4 3" xfId="37709"/>
    <cellStyle name="Normal 5 3 2 3 2 5" xfId="20618"/>
    <cellStyle name="Normal 5 3 2 3 2 5 2" xfId="37710"/>
    <cellStyle name="Normal 5 3 2 3 2 6" xfId="20619"/>
    <cellStyle name="Normal 5 3 2 3 3" xfId="20620"/>
    <cellStyle name="Normal 5 3 2 3 3 2" xfId="20621"/>
    <cellStyle name="Normal 5 3 2 3 3 2 2" xfId="37711"/>
    <cellStyle name="Normal 5 3 2 3 3 3" xfId="37712"/>
    <cellStyle name="Normal 5 3 2 3 4" xfId="20622"/>
    <cellStyle name="Normal 5 3 2 3 4 2" xfId="20623"/>
    <cellStyle name="Normal 5 3 2 3 4 2 2" xfId="37713"/>
    <cellStyle name="Normal 5 3 2 3 4 3" xfId="37714"/>
    <cellStyle name="Normal 5 3 2 3 5" xfId="20624"/>
    <cellStyle name="Normal 5 3 2 3 5 2" xfId="20625"/>
    <cellStyle name="Normal 5 3 2 3 5 2 2" xfId="37715"/>
    <cellStyle name="Normal 5 3 2 3 5 3" xfId="37716"/>
    <cellStyle name="Normal 5 3 2 3 6" xfId="20626"/>
    <cellStyle name="Normal 5 3 2 3 6 2" xfId="37717"/>
    <cellStyle name="Normal 5 3 2 3 7" xfId="20627"/>
    <cellStyle name="Normal 5 3 2 4" xfId="2374"/>
    <cellStyle name="Normal 5 3 2 4 2" xfId="20628"/>
    <cellStyle name="Normal 5 3 2 4 2 2" xfId="20629"/>
    <cellStyle name="Normal 5 3 2 4 2 2 2" xfId="37718"/>
    <cellStyle name="Normal 5 3 2 4 2 3" xfId="37719"/>
    <cellStyle name="Normal 5 3 2 4 3" xfId="20630"/>
    <cellStyle name="Normal 5 3 2 4 3 2" xfId="20631"/>
    <cellStyle name="Normal 5 3 2 4 3 2 2" xfId="37720"/>
    <cellStyle name="Normal 5 3 2 4 3 3" xfId="37721"/>
    <cellStyle name="Normal 5 3 2 4 4" xfId="20632"/>
    <cellStyle name="Normal 5 3 2 4 4 2" xfId="20633"/>
    <cellStyle name="Normal 5 3 2 4 4 2 2" xfId="37722"/>
    <cellStyle name="Normal 5 3 2 4 4 3" xfId="37723"/>
    <cellStyle name="Normal 5 3 2 4 5" xfId="20634"/>
    <cellStyle name="Normal 5 3 2 4 5 2" xfId="37724"/>
    <cellStyle name="Normal 5 3 2 4 6" xfId="20635"/>
    <cellStyle name="Normal 5 3 2 5" xfId="20636"/>
    <cellStyle name="Normal 5 3 2 5 2" xfId="20637"/>
    <cellStyle name="Normal 5 3 2 5 2 2" xfId="37725"/>
    <cellStyle name="Normal 5 3 2 5 3" xfId="37726"/>
    <cellStyle name="Normal 5 3 2 6" xfId="20638"/>
    <cellStyle name="Normal 5 3 2 6 2" xfId="20639"/>
    <cellStyle name="Normal 5 3 2 6 2 2" xfId="37727"/>
    <cellStyle name="Normal 5 3 2 6 3" xfId="37728"/>
    <cellStyle name="Normal 5 3 2 7" xfId="20640"/>
    <cellStyle name="Normal 5 3 2 7 2" xfId="20641"/>
    <cellStyle name="Normal 5 3 2 7 2 2" xfId="37729"/>
    <cellStyle name="Normal 5 3 2 7 3" xfId="37730"/>
    <cellStyle name="Normal 5 3 2 8" xfId="20642"/>
    <cellStyle name="Normal 5 3 2 8 2" xfId="37731"/>
    <cellStyle name="Normal 5 3 2 9" xfId="20643"/>
    <cellStyle name="Normal 5 3 3" xfId="1078"/>
    <cellStyle name="Normal 5 3 3 2" xfId="2375"/>
    <cellStyle name="Normal 5 3 3 2 2" xfId="20644"/>
    <cellStyle name="Normal 5 3 3 2 2 2" xfId="20645"/>
    <cellStyle name="Normal 5 3 3 2 2 2 2" xfId="37732"/>
    <cellStyle name="Normal 5 3 3 2 2 3" xfId="37733"/>
    <cellStyle name="Normal 5 3 3 2 3" xfId="20646"/>
    <cellStyle name="Normal 5 3 3 2 3 2" xfId="20647"/>
    <cellStyle name="Normal 5 3 3 2 3 2 2" xfId="37734"/>
    <cellStyle name="Normal 5 3 3 2 3 3" xfId="37735"/>
    <cellStyle name="Normal 5 3 3 2 4" xfId="20648"/>
    <cellStyle name="Normal 5 3 3 2 4 2" xfId="20649"/>
    <cellStyle name="Normal 5 3 3 2 4 2 2" xfId="37736"/>
    <cellStyle name="Normal 5 3 3 2 4 3" xfId="37737"/>
    <cellStyle name="Normal 5 3 3 2 5" xfId="20650"/>
    <cellStyle name="Normal 5 3 3 2 5 2" xfId="37738"/>
    <cellStyle name="Normal 5 3 3 2 6" xfId="20651"/>
    <cellStyle name="Normal 5 3 3 3" xfId="20652"/>
    <cellStyle name="Normal 5 3 3 3 2" xfId="20653"/>
    <cellStyle name="Normal 5 3 3 3 2 2" xfId="37739"/>
    <cellStyle name="Normal 5 3 3 3 3" xfId="37740"/>
    <cellStyle name="Normal 5 3 3 4" xfId="20654"/>
    <cellStyle name="Normal 5 3 3 4 2" xfId="20655"/>
    <cellStyle name="Normal 5 3 3 4 2 2" xfId="37741"/>
    <cellStyle name="Normal 5 3 3 4 3" xfId="37742"/>
    <cellStyle name="Normal 5 3 3 5" xfId="20656"/>
    <cellStyle name="Normal 5 3 3 5 2" xfId="20657"/>
    <cellStyle name="Normal 5 3 3 5 2 2" xfId="37743"/>
    <cellStyle name="Normal 5 3 3 5 3" xfId="37744"/>
    <cellStyle name="Normal 5 3 3 6" xfId="20658"/>
    <cellStyle name="Normal 5 3 3 6 2" xfId="37745"/>
    <cellStyle name="Normal 5 3 3 7" xfId="20659"/>
    <cellStyle name="Normal 5 3 4" xfId="710"/>
    <cellStyle name="Normal 5 3 4 2" xfId="2376"/>
    <cellStyle name="Normal 5 3 4 2 2" xfId="20660"/>
    <cellStyle name="Normal 5 3 4 2 2 2" xfId="20661"/>
    <cellStyle name="Normal 5 3 4 2 2 2 2" xfId="37746"/>
    <cellStyle name="Normal 5 3 4 2 2 3" xfId="37747"/>
    <cellStyle name="Normal 5 3 4 2 3" xfId="20662"/>
    <cellStyle name="Normal 5 3 4 2 3 2" xfId="20663"/>
    <cellStyle name="Normal 5 3 4 2 3 2 2" xfId="37748"/>
    <cellStyle name="Normal 5 3 4 2 3 3" xfId="37749"/>
    <cellStyle name="Normal 5 3 4 2 4" xfId="20664"/>
    <cellStyle name="Normal 5 3 4 2 4 2" xfId="20665"/>
    <cellStyle name="Normal 5 3 4 2 4 2 2" xfId="37750"/>
    <cellStyle name="Normal 5 3 4 2 4 3" xfId="37751"/>
    <cellStyle name="Normal 5 3 4 2 5" xfId="20666"/>
    <cellStyle name="Normal 5 3 4 2 5 2" xfId="37752"/>
    <cellStyle name="Normal 5 3 4 2 6" xfId="20667"/>
    <cellStyle name="Normal 5 3 4 3" xfId="20668"/>
    <cellStyle name="Normal 5 3 4 3 2" xfId="20669"/>
    <cellStyle name="Normal 5 3 4 3 2 2" xfId="37753"/>
    <cellStyle name="Normal 5 3 4 3 3" xfId="37754"/>
    <cellStyle name="Normal 5 3 4 4" xfId="20670"/>
    <cellStyle name="Normal 5 3 4 4 2" xfId="20671"/>
    <cellStyle name="Normal 5 3 4 4 2 2" xfId="37755"/>
    <cellStyle name="Normal 5 3 4 4 3" xfId="37756"/>
    <cellStyle name="Normal 5 3 4 5" xfId="20672"/>
    <cellStyle name="Normal 5 3 4 5 2" xfId="20673"/>
    <cellStyle name="Normal 5 3 4 5 2 2" xfId="37757"/>
    <cellStyle name="Normal 5 3 4 5 3" xfId="37758"/>
    <cellStyle name="Normal 5 3 4 6" xfId="20674"/>
    <cellStyle name="Normal 5 3 4 6 2" xfId="37759"/>
    <cellStyle name="Normal 5 3 4 7" xfId="20675"/>
    <cellStyle name="Normal 5 3 5" xfId="2377"/>
    <cellStyle name="Normal 5 3 5 2" xfId="20676"/>
    <cellStyle name="Normal 5 3 5 2 2" xfId="20677"/>
    <cellStyle name="Normal 5 3 5 2 2 2" xfId="37760"/>
    <cellStyle name="Normal 5 3 5 2 3" xfId="37761"/>
    <cellStyle name="Normal 5 3 5 3" xfId="20678"/>
    <cellStyle name="Normal 5 3 5 3 2" xfId="20679"/>
    <cellStyle name="Normal 5 3 5 3 2 2" xfId="37762"/>
    <cellStyle name="Normal 5 3 5 3 3" xfId="37763"/>
    <cellStyle name="Normal 5 3 5 4" xfId="20680"/>
    <cellStyle name="Normal 5 3 5 4 2" xfId="20681"/>
    <cellStyle name="Normal 5 3 5 4 2 2" xfId="37764"/>
    <cellStyle name="Normal 5 3 5 4 3" xfId="37765"/>
    <cellStyle name="Normal 5 3 5 5" xfId="20682"/>
    <cellStyle name="Normal 5 3 5 5 2" xfId="37766"/>
    <cellStyle name="Normal 5 3 5 6" xfId="20683"/>
    <cellStyle name="Normal 5 3 6" xfId="20684"/>
    <cellStyle name="Normal 5 3 6 2" xfId="20685"/>
    <cellStyle name="Normal 5 3 6 2 2" xfId="37767"/>
    <cellStyle name="Normal 5 3 6 3" xfId="37768"/>
    <cellStyle name="Normal 5 3 7" xfId="20686"/>
    <cellStyle name="Normal 5 3 7 2" xfId="20687"/>
    <cellStyle name="Normal 5 3 7 2 2" xfId="37769"/>
    <cellStyle name="Normal 5 3 7 3" xfId="37770"/>
    <cellStyle name="Normal 5 3 8" xfId="20688"/>
    <cellStyle name="Normal 5 3 8 2" xfId="20689"/>
    <cellStyle name="Normal 5 3 8 2 2" xfId="37771"/>
    <cellStyle name="Normal 5 3 8 3" xfId="37772"/>
    <cellStyle name="Normal 5 3 9" xfId="20690"/>
    <cellStyle name="Normal 5 3 9 2" xfId="37773"/>
    <cellStyle name="Normal 5 4" xfId="185"/>
    <cellStyle name="Normal 5 4 2" xfId="973"/>
    <cellStyle name="Normal 5 4 2 2" xfId="2378"/>
    <cellStyle name="Normal 5 4 2 2 2" xfId="20691"/>
    <cellStyle name="Normal 5 4 2 2 2 2" xfId="20692"/>
    <cellStyle name="Normal 5 4 2 2 2 2 2" xfId="37774"/>
    <cellStyle name="Normal 5 4 2 2 2 3" xfId="37775"/>
    <cellStyle name="Normal 5 4 2 2 3" xfId="20693"/>
    <cellStyle name="Normal 5 4 2 2 3 2" xfId="20694"/>
    <cellStyle name="Normal 5 4 2 2 3 2 2" xfId="37776"/>
    <cellStyle name="Normal 5 4 2 2 3 3" xfId="37777"/>
    <cellStyle name="Normal 5 4 2 2 4" xfId="20695"/>
    <cellStyle name="Normal 5 4 2 2 4 2" xfId="20696"/>
    <cellStyle name="Normal 5 4 2 2 4 2 2" xfId="37778"/>
    <cellStyle name="Normal 5 4 2 2 4 3" xfId="37779"/>
    <cellStyle name="Normal 5 4 2 2 5" xfId="20697"/>
    <cellStyle name="Normal 5 4 2 2 5 2" xfId="37780"/>
    <cellStyle name="Normal 5 4 2 2 6" xfId="20698"/>
    <cellStyle name="Normal 5 4 2 3" xfId="20699"/>
    <cellStyle name="Normal 5 4 2 3 2" xfId="20700"/>
    <cellStyle name="Normal 5 4 2 3 2 2" xfId="37781"/>
    <cellStyle name="Normal 5 4 2 3 3" xfId="37782"/>
    <cellStyle name="Normal 5 4 2 4" xfId="20701"/>
    <cellStyle name="Normal 5 4 2 4 2" xfId="20702"/>
    <cellStyle name="Normal 5 4 2 4 2 2" xfId="37783"/>
    <cellStyle name="Normal 5 4 2 4 3" xfId="37784"/>
    <cellStyle name="Normal 5 4 2 5" xfId="20703"/>
    <cellStyle name="Normal 5 4 2 5 2" xfId="20704"/>
    <cellStyle name="Normal 5 4 2 5 2 2" xfId="37785"/>
    <cellStyle name="Normal 5 4 2 5 3" xfId="37786"/>
    <cellStyle name="Normal 5 4 2 6" xfId="20705"/>
    <cellStyle name="Normal 5 4 2 6 2" xfId="37787"/>
    <cellStyle name="Normal 5 4 2 7" xfId="20706"/>
    <cellStyle name="Normal 5 4 3" xfId="605"/>
    <cellStyle name="Normal 5 4 3 2" xfId="2379"/>
    <cellStyle name="Normal 5 4 3 2 2" xfId="20707"/>
    <cellStyle name="Normal 5 4 3 2 2 2" xfId="20708"/>
    <cellStyle name="Normal 5 4 3 2 2 2 2" xfId="37788"/>
    <cellStyle name="Normal 5 4 3 2 2 3" xfId="37789"/>
    <cellStyle name="Normal 5 4 3 2 3" xfId="20709"/>
    <cellStyle name="Normal 5 4 3 2 3 2" xfId="20710"/>
    <cellStyle name="Normal 5 4 3 2 3 2 2" xfId="37790"/>
    <cellStyle name="Normal 5 4 3 2 3 3" xfId="37791"/>
    <cellStyle name="Normal 5 4 3 2 4" xfId="20711"/>
    <cellStyle name="Normal 5 4 3 2 4 2" xfId="20712"/>
    <cellStyle name="Normal 5 4 3 2 4 2 2" xfId="37792"/>
    <cellStyle name="Normal 5 4 3 2 4 3" xfId="37793"/>
    <cellStyle name="Normal 5 4 3 2 5" xfId="20713"/>
    <cellStyle name="Normal 5 4 3 2 5 2" xfId="37794"/>
    <cellStyle name="Normal 5 4 3 2 6" xfId="20714"/>
    <cellStyle name="Normal 5 4 3 3" xfId="20715"/>
    <cellStyle name="Normal 5 4 3 3 2" xfId="20716"/>
    <cellStyle name="Normal 5 4 3 3 2 2" xfId="37795"/>
    <cellStyle name="Normal 5 4 3 3 3" xfId="37796"/>
    <cellStyle name="Normal 5 4 3 4" xfId="20717"/>
    <cellStyle name="Normal 5 4 3 4 2" xfId="20718"/>
    <cellStyle name="Normal 5 4 3 4 2 2" xfId="37797"/>
    <cellStyle name="Normal 5 4 3 4 3" xfId="37798"/>
    <cellStyle name="Normal 5 4 3 5" xfId="20719"/>
    <cellStyle name="Normal 5 4 3 5 2" xfId="20720"/>
    <cellStyle name="Normal 5 4 3 5 2 2" xfId="37799"/>
    <cellStyle name="Normal 5 4 3 5 3" xfId="37800"/>
    <cellStyle name="Normal 5 4 3 6" xfId="20721"/>
    <cellStyle name="Normal 5 4 3 6 2" xfId="37801"/>
    <cellStyle name="Normal 5 4 3 7" xfId="20722"/>
    <cellStyle name="Normal 5 4 4" xfId="2380"/>
    <cellStyle name="Normal 5 4 4 2" xfId="20723"/>
    <cellStyle name="Normal 5 4 4 2 2" xfId="20724"/>
    <cellStyle name="Normal 5 4 4 2 2 2" xfId="37802"/>
    <cellStyle name="Normal 5 4 4 2 3" xfId="37803"/>
    <cellStyle name="Normal 5 4 4 3" xfId="20725"/>
    <cellStyle name="Normal 5 4 4 3 2" xfId="20726"/>
    <cellStyle name="Normal 5 4 4 3 2 2" xfId="37804"/>
    <cellStyle name="Normal 5 4 4 3 3" xfId="37805"/>
    <cellStyle name="Normal 5 4 4 4" xfId="20727"/>
    <cellStyle name="Normal 5 4 4 4 2" xfId="20728"/>
    <cellStyle name="Normal 5 4 4 4 2 2" xfId="37806"/>
    <cellStyle name="Normal 5 4 4 4 3" xfId="37807"/>
    <cellStyle name="Normal 5 4 4 5" xfId="20729"/>
    <cellStyle name="Normal 5 4 4 5 2" xfId="37808"/>
    <cellStyle name="Normal 5 4 4 6" xfId="20730"/>
    <cellStyle name="Normal 5 4 5" xfId="20731"/>
    <cellStyle name="Normal 5 4 5 2" xfId="20732"/>
    <cellStyle name="Normal 5 4 5 2 2" xfId="37809"/>
    <cellStyle name="Normal 5 4 5 3" xfId="37810"/>
    <cellStyle name="Normal 5 4 6" xfId="20733"/>
    <cellStyle name="Normal 5 4 6 2" xfId="20734"/>
    <cellStyle name="Normal 5 4 6 2 2" xfId="37811"/>
    <cellStyle name="Normal 5 4 6 3" xfId="37812"/>
    <cellStyle name="Normal 5 4 7" xfId="20735"/>
    <cellStyle name="Normal 5 4 7 2" xfId="20736"/>
    <cellStyle name="Normal 5 4 7 2 2" xfId="37813"/>
    <cellStyle name="Normal 5 4 7 3" xfId="37814"/>
    <cellStyle name="Normal 5 4 8" xfId="20737"/>
    <cellStyle name="Normal 5 4 8 2" xfId="37815"/>
    <cellStyle name="Normal 5 4 9" xfId="20738"/>
    <cellStyle name="Normal 5 5" xfId="343"/>
    <cellStyle name="Normal 5 5 2" xfId="1131"/>
    <cellStyle name="Normal 5 5 2 2" xfId="2381"/>
    <cellStyle name="Normal 5 5 2 2 2" xfId="20739"/>
    <cellStyle name="Normal 5 5 2 2 2 2" xfId="20740"/>
    <cellStyle name="Normal 5 5 2 2 2 2 2" xfId="37816"/>
    <cellStyle name="Normal 5 5 2 2 2 3" xfId="37817"/>
    <cellStyle name="Normal 5 5 2 2 3" xfId="20741"/>
    <cellStyle name="Normal 5 5 2 2 3 2" xfId="20742"/>
    <cellStyle name="Normal 5 5 2 2 3 2 2" xfId="37818"/>
    <cellStyle name="Normal 5 5 2 2 3 3" xfId="37819"/>
    <cellStyle name="Normal 5 5 2 2 4" xfId="20743"/>
    <cellStyle name="Normal 5 5 2 2 4 2" xfId="20744"/>
    <cellStyle name="Normal 5 5 2 2 4 2 2" xfId="37820"/>
    <cellStyle name="Normal 5 5 2 2 4 3" xfId="37821"/>
    <cellStyle name="Normal 5 5 2 2 5" xfId="20745"/>
    <cellStyle name="Normal 5 5 2 2 5 2" xfId="37822"/>
    <cellStyle name="Normal 5 5 2 2 6" xfId="20746"/>
    <cellStyle name="Normal 5 5 2 3" xfId="20747"/>
    <cellStyle name="Normal 5 5 2 3 2" xfId="20748"/>
    <cellStyle name="Normal 5 5 2 3 2 2" xfId="37823"/>
    <cellStyle name="Normal 5 5 2 3 3" xfId="37824"/>
    <cellStyle name="Normal 5 5 2 4" xfId="20749"/>
    <cellStyle name="Normal 5 5 2 4 2" xfId="20750"/>
    <cellStyle name="Normal 5 5 2 4 2 2" xfId="37825"/>
    <cellStyle name="Normal 5 5 2 4 3" xfId="37826"/>
    <cellStyle name="Normal 5 5 2 5" xfId="20751"/>
    <cellStyle name="Normal 5 5 2 5 2" xfId="20752"/>
    <cellStyle name="Normal 5 5 2 5 2 2" xfId="37827"/>
    <cellStyle name="Normal 5 5 2 5 3" xfId="37828"/>
    <cellStyle name="Normal 5 5 2 6" xfId="20753"/>
    <cellStyle name="Normal 5 5 2 6 2" xfId="37829"/>
    <cellStyle name="Normal 5 5 2 7" xfId="20754"/>
    <cellStyle name="Normal 5 5 3" xfId="763"/>
    <cellStyle name="Normal 5 5 3 2" xfId="2382"/>
    <cellStyle name="Normal 5 5 3 2 2" xfId="20755"/>
    <cellStyle name="Normal 5 5 3 2 2 2" xfId="20756"/>
    <cellStyle name="Normal 5 5 3 2 2 2 2" xfId="37830"/>
    <cellStyle name="Normal 5 5 3 2 2 3" xfId="37831"/>
    <cellStyle name="Normal 5 5 3 2 3" xfId="20757"/>
    <cellStyle name="Normal 5 5 3 2 3 2" xfId="20758"/>
    <cellStyle name="Normal 5 5 3 2 3 2 2" xfId="37832"/>
    <cellStyle name="Normal 5 5 3 2 3 3" xfId="37833"/>
    <cellStyle name="Normal 5 5 3 2 4" xfId="20759"/>
    <cellStyle name="Normal 5 5 3 2 4 2" xfId="20760"/>
    <cellStyle name="Normal 5 5 3 2 4 2 2" xfId="37834"/>
    <cellStyle name="Normal 5 5 3 2 4 3" xfId="37835"/>
    <cellStyle name="Normal 5 5 3 2 5" xfId="20761"/>
    <cellStyle name="Normal 5 5 3 2 5 2" xfId="37836"/>
    <cellStyle name="Normal 5 5 3 2 6" xfId="20762"/>
    <cellStyle name="Normal 5 5 3 3" xfId="20763"/>
    <cellStyle name="Normal 5 5 3 3 2" xfId="20764"/>
    <cellStyle name="Normal 5 5 3 3 2 2" xfId="37837"/>
    <cellStyle name="Normal 5 5 3 3 3" xfId="37838"/>
    <cellStyle name="Normal 5 5 3 4" xfId="20765"/>
    <cellStyle name="Normal 5 5 3 4 2" xfId="20766"/>
    <cellStyle name="Normal 5 5 3 4 2 2" xfId="37839"/>
    <cellStyle name="Normal 5 5 3 4 3" xfId="37840"/>
    <cellStyle name="Normal 5 5 3 5" xfId="20767"/>
    <cellStyle name="Normal 5 5 3 5 2" xfId="20768"/>
    <cellStyle name="Normal 5 5 3 5 2 2" xfId="37841"/>
    <cellStyle name="Normal 5 5 3 5 3" xfId="37842"/>
    <cellStyle name="Normal 5 5 3 6" xfId="20769"/>
    <cellStyle name="Normal 5 5 3 6 2" xfId="37843"/>
    <cellStyle name="Normal 5 5 3 7" xfId="20770"/>
    <cellStyle name="Normal 5 5 4" xfId="2383"/>
    <cellStyle name="Normal 5 5 4 2" xfId="20771"/>
    <cellStyle name="Normal 5 5 4 2 2" xfId="20772"/>
    <cellStyle name="Normal 5 5 4 2 2 2" xfId="37844"/>
    <cellStyle name="Normal 5 5 4 2 3" xfId="37845"/>
    <cellStyle name="Normal 5 5 4 3" xfId="20773"/>
    <cellStyle name="Normal 5 5 4 3 2" xfId="20774"/>
    <cellStyle name="Normal 5 5 4 3 2 2" xfId="37846"/>
    <cellStyle name="Normal 5 5 4 3 3" xfId="37847"/>
    <cellStyle name="Normal 5 5 4 4" xfId="20775"/>
    <cellStyle name="Normal 5 5 4 4 2" xfId="20776"/>
    <cellStyle name="Normal 5 5 4 4 2 2" xfId="37848"/>
    <cellStyle name="Normal 5 5 4 4 3" xfId="37849"/>
    <cellStyle name="Normal 5 5 4 5" xfId="20777"/>
    <cellStyle name="Normal 5 5 4 5 2" xfId="37850"/>
    <cellStyle name="Normal 5 5 4 6" xfId="20778"/>
    <cellStyle name="Normal 5 5 5" xfId="20779"/>
    <cellStyle name="Normal 5 5 5 2" xfId="20780"/>
    <cellStyle name="Normal 5 5 5 2 2" xfId="37851"/>
    <cellStyle name="Normal 5 5 5 3" xfId="37852"/>
    <cellStyle name="Normal 5 5 6" xfId="20781"/>
    <cellStyle name="Normal 5 5 6 2" xfId="20782"/>
    <cellStyle name="Normal 5 5 6 2 2" xfId="37853"/>
    <cellStyle name="Normal 5 5 6 3" xfId="37854"/>
    <cellStyle name="Normal 5 5 7" xfId="20783"/>
    <cellStyle name="Normal 5 5 7 2" xfId="20784"/>
    <cellStyle name="Normal 5 5 7 2 2" xfId="37855"/>
    <cellStyle name="Normal 5 5 7 3" xfId="37856"/>
    <cellStyle name="Normal 5 5 8" xfId="20785"/>
    <cellStyle name="Normal 5 5 8 2" xfId="37857"/>
    <cellStyle name="Normal 5 5 9" xfId="20786"/>
    <cellStyle name="Normal 5 6" xfId="132"/>
    <cellStyle name="Normal 5 6 2" xfId="553"/>
    <cellStyle name="Normal 5 6 2 2" xfId="2384"/>
    <cellStyle name="Normal 5 6 2 2 2" xfId="20787"/>
    <cellStyle name="Normal 5 6 2 2 2 2" xfId="20788"/>
    <cellStyle name="Normal 5 6 2 2 2 2 2" xfId="37858"/>
    <cellStyle name="Normal 5 6 2 2 2 3" xfId="37859"/>
    <cellStyle name="Normal 5 6 2 2 3" xfId="20789"/>
    <cellStyle name="Normal 5 6 2 2 3 2" xfId="20790"/>
    <cellStyle name="Normal 5 6 2 2 3 2 2" xfId="37860"/>
    <cellStyle name="Normal 5 6 2 2 3 3" xfId="37861"/>
    <cellStyle name="Normal 5 6 2 2 4" xfId="20791"/>
    <cellStyle name="Normal 5 6 2 2 4 2" xfId="20792"/>
    <cellStyle name="Normal 5 6 2 2 4 2 2" xfId="37862"/>
    <cellStyle name="Normal 5 6 2 2 4 3" xfId="37863"/>
    <cellStyle name="Normal 5 6 2 2 5" xfId="20793"/>
    <cellStyle name="Normal 5 6 2 2 5 2" xfId="37864"/>
    <cellStyle name="Normal 5 6 2 2 6" xfId="20794"/>
    <cellStyle name="Normal 5 6 2 3" xfId="20795"/>
    <cellStyle name="Normal 5 6 2 3 2" xfId="20796"/>
    <cellStyle name="Normal 5 6 2 3 2 2" xfId="37865"/>
    <cellStyle name="Normal 5 6 2 3 3" xfId="37866"/>
    <cellStyle name="Normal 5 6 2 4" xfId="20797"/>
    <cellStyle name="Normal 5 6 2 4 2" xfId="20798"/>
    <cellStyle name="Normal 5 6 2 4 2 2" xfId="37867"/>
    <cellStyle name="Normal 5 6 2 4 3" xfId="37868"/>
    <cellStyle name="Normal 5 6 2 5" xfId="20799"/>
    <cellStyle name="Normal 5 6 2 5 2" xfId="20800"/>
    <cellStyle name="Normal 5 6 2 5 2 2" xfId="37869"/>
    <cellStyle name="Normal 5 6 2 5 3" xfId="37870"/>
    <cellStyle name="Normal 5 6 2 6" xfId="20801"/>
    <cellStyle name="Normal 5 6 2 6 2" xfId="37871"/>
    <cellStyle name="Normal 5 6 2 7" xfId="20802"/>
    <cellStyle name="Normal 5 6 3" xfId="2385"/>
    <cellStyle name="Normal 5 6 3 2" xfId="20803"/>
    <cellStyle name="Normal 5 6 3 2 2" xfId="20804"/>
    <cellStyle name="Normal 5 6 3 2 2 2" xfId="37872"/>
    <cellStyle name="Normal 5 6 3 2 3" xfId="37873"/>
    <cellStyle name="Normal 5 6 3 3" xfId="20805"/>
    <cellStyle name="Normal 5 6 3 3 2" xfId="20806"/>
    <cellStyle name="Normal 5 6 3 3 2 2" xfId="37874"/>
    <cellStyle name="Normal 5 6 3 3 3" xfId="37875"/>
    <cellStyle name="Normal 5 6 3 4" xfId="20807"/>
    <cellStyle name="Normal 5 6 3 4 2" xfId="20808"/>
    <cellStyle name="Normal 5 6 3 4 2 2" xfId="37876"/>
    <cellStyle name="Normal 5 6 3 4 3" xfId="37877"/>
    <cellStyle name="Normal 5 6 3 5" xfId="20809"/>
    <cellStyle name="Normal 5 6 3 5 2" xfId="37878"/>
    <cellStyle name="Normal 5 6 3 6" xfId="20810"/>
    <cellStyle name="Normal 5 6 4" xfId="20811"/>
    <cellStyle name="Normal 5 6 4 2" xfId="20812"/>
    <cellStyle name="Normal 5 6 4 2 2" xfId="37879"/>
    <cellStyle name="Normal 5 6 4 3" xfId="37880"/>
    <cellStyle name="Normal 5 6 5" xfId="20813"/>
    <cellStyle name="Normal 5 6 5 2" xfId="20814"/>
    <cellStyle name="Normal 5 6 5 2 2" xfId="37881"/>
    <cellStyle name="Normal 5 6 5 3" xfId="37882"/>
    <cellStyle name="Normal 5 6 6" xfId="20815"/>
    <cellStyle name="Normal 5 6 6 2" xfId="20816"/>
    <cellStyle name="Normal 5 6 6 2 2" xfId="37883"/>
    <cellStyle name="Normal 5 6 6 3" xfId="37884"/>
    <cellStyle name="Normal 5 6 7" xfId="20817"/>
    <cellStyle name="Normal 5 6 7 2" xfId="37885"/>
    <cellStyle name="Normal 5 6 8" xfId="20818"/>
    <cellStyle name="Normal 5 7" xfId="921"/>
    <cellStyle name="Normal 5 7 2" xfId="2386"/>
    <cellStyle name="Normal 5 7 2 2" xfId="20819"/>
    <cellStyle name="Normal 5 7 2 2 2" xfId="20820"/>
    <cellStyle name="Normal 5 7 2 2 2 2" xfId="37886"/>
    <cellStyle name="Normal 5 7 2 2 3" xfId="37887"/>
    <cellStyle name="Normal 5 7 2 3" xfId="20821"/>
    <cellStyle name="Normal 5 7 2 3 2" xfId="20822"/>
    <cellStyle name="Normal 5 7 2 3 2 2" xfId="37888"/>
    <cellStyle name="Normal 5 7 2 3 3" xfId="37889"/>
    <cellStyle name="Normal 5 7 2 4" xfId="20823"/>
    <cellStyle name="Normal 5 7 2 4 2" xfId="20824"/>
    <cellStyle name="Normal 5 7 2 4 2 2" xfId="37890"/>
    <cellStyle name="Normal 5 7 2 4 3" xfId="37891"/>
    <cellStyle name="Normal 5 7 2 5" xfId="20825"/>
    <cellStyle name="Normal 5 7 2 5 2" xfId="37892"/>
    <cellStyle name="Normal 5 7 2 6" xfId="20826"/>
    <cellStyle name="Normal 5 7 3" xfId="20827"/>
    <cellStyle name="Normal 5 7 3 2" xfId="20828"/>
    <cellStyle name="Normal 5 7 3 2 2" xfId="37893"/>
    <cellStyle name="Normal 5 7 3 3" xfId="37894"/>
    <cellStyle name="Normal 5 7 4" xfId="20829"/>
    <cellStyle name="Normal 5 7 4 2" xfId="20830"/>
    <cellStyle name="Normal 5 7 4 2 2" xfId="37895"/>
    <cellStyle name="Normal 5 7 4 3" xfId="37896"/>
    <cellStyle name="Normal 5 7 5" xfId="20831"/>
    <cellStyle name="Normal 5 7 5 2" xfId="20832"/>
    <cellStyle name="Normal 5 7 5 2 2" xfId="37897"/>
    <cellStyle name="Normal 5 7 5 3" xfId="37898"/>
    <cellStyle name="Normal 5 7 6" xfId="20833"/>
    <cellStyle name="Normal 5 7 6 2" xfId="37899"/>
    <cellStyle name="Normal 5 7 7" xfId="20834"/>
    <cellStyle name="Normal 5 8" xfId="459"/>
    <cellStyle name="Normal 5 8 2" xfId="2387"/>
    <cellStyle name="Normal 5 8 2 2" xfId="20835"/>
    <cellStyle name="Normal 5 8 2 2 2" xfId="20836"/>
    <cellStyle name="Normal 5 8 2 2 2 2" xfId="37900"/>
    <cellStyle name="Normal 5 8 2 2 3" xfId="37901"/>
    <cellStyle name="Normal 5 8 2 3" xfId="20837"/>
    <cellStyle name="Normal 5 8 2 3 2" xfId="20838"/>
    <cellStyle name="Normal 5 8 2 3 2 2" xfId="37902"/>
    <cellStyle name="Normal 5 8 2 3 3" xfId="37903"/>
    <cellStyle name="Normal 5 8 2 4" xfId="20839"/>
    <cellStyle name="Normal 5 8 2 4 2" xfId="20840"/>
    <cellStyle name="Normal 5 8 2 4 2 2" xfId="37904"/>
    <cellStyle name="Normal 5 8 2 4 3" xfId="37905"/>
    <cellStyle name="Normal 5 8 2 5" xfId="20841"/>
    <cellStyle name="Normal 5 8 2 5 2" xfId="37906"/>
    <cellStyle name="Normal 5 8 2 6" xfId="20842"/>
    <cellStyle name="Normal 5 8 3" xfId="20843"/>
    <cellStyle name="Normal 5 8 3 2" xfId="20844"/>
    <cellStyle name="Normal 5 8 3 2 2" xfId="37907"/>
    <cellStyle name="Normal 5 8 3 3" xfId="37908"/>
    <cellStyle name="Normal 5 8 4" xfId="20845"/>
    <cellStyle name="Normal 5 8 4 2" xfId="20846"/>
    <cellStyle name="Normal 5 8 4 2 2" xfId="37909"/>
    <cellStyle name="Normal 5 8 4 3" xfId="37910"/>
    <cellStyle name="Normal 5 8 5" xfId="20847"/>
    <cellStyle name="Normal 5 8 5 2" xfId="20848"/>
    <cellStyle name="Normal 5 8 5 2 2" xfId="37911"/>
    <cellStyle name="Normal 5 8 5 3" xfId="37912"/>
    <cellStyle name="Normal 5 8 6" xfId="20849"/>
    <cellStyle name="Normal 5 8 6 2" xfId="37913"/>
    <cellStyle name="Normal 5 8 7" xfId="20850"/>
    <cellStyle name="Normal 5 9" xfId="2388"/>
    <cellStyle name="Normal 5 9 2" xfId="20851"/>
    <cellStyle name="Normal 5 9 2 2" xfId="20852"/>
    <cellStyle name="Normal 5 9 2 2 2" xfId="37914"/>
    <cellStyle name="Normal 5 9 2 3" xfId="37915"/>
    <cellStyle name="Normal 5 9 3" xfId="20853"/>
    <cellStyle name="Normal 5 9 3 2" xfId="20854"/>
    <cellStyle name="Normal 5 9 3 2 2" xfId="37916"/>
    <cellStyle name="Normal 5 9 3 3" xfId="37917"/>
    <cellStyle name="Normal 5 9 4" xfId="20855"/>
    <cellStyle name="Normal 5 9 4 2" xfId="20856"/>
    <cellStyle name="Normal 5 9 4 2 2" xfId="37918"/>
    <cellStyle name="Normal 5 9 4 3" xfId="37919"/>
    <cellStyle name="Normal 5 9 5" xfId="20857"/>
    <cellStyle name="Normal 5 9 5 2" xfId="37920"/>
    <cellStyle name="Normal 5 9 6" xfId="20858"/>
    <cellStyle name="Normal 6" xfId="69"/>
    <cellStyle name="Normal 6 2" xfId="187"/>
    <cellStyle name="Normal 6 2 2" xfId="975"/>
    <cellStyle name="Normal 6 2 2 2" xfId="2389"/>
    <cellStyle name="Normal 6 2 2 2 2" xfId="20859"/>
    <cellStyle name="Normal 6 2 2 2 2 2" xfId="20860"/>
    <cellStyle name="Normal 6 2 2 2 2 2 2" xfId="37921"/>
    <cellStyle name="Normal 6 2 2 2 2 3" xfId="37922"/>
    <cellStyle name="Normal 6 2 2 2 3" xfId="20861"/>
    <cellStyle name="Normal 6 2 2 2 3 2" xfId="20862"/>
    <cellStyle name="Normal 6 2 2 2 3 2 2" xfId="37923"/>
    <cellStyle name="Normal 6 2 2 2 3 3" xfId="37924"/>
    <cellStyle name="Normal 6 2 2 2 4" xfId="20863"/>
    <cellStyle name="Normal 6 2 2 2 4 2" xfId="20864"/>
    <cellStyle name="Normal 6 2 2 2 4 2 2" xfId="37925"/>
    <cellStyle name="Normal 6 2 2 2 4 3" xfId="37926"/>
    <cellStyle name="Normal 6 2 2 2 5" xfId="20865"/>
    <cellStyle name="Normal 6 2 2 2 5 2" xfId="37927"/>
    <cellStyle name="Normal 6 2 2 2 6" xfId="20866"/>
    <cellStyle name="Normal 6 2 2 3" xfId="20867"/>
    <cellStyle name="Normal 6 2 2 3 2" xfId="20868"/>
    <cellStyle name="Normal 6 2 2 3 2 2" xfId="37928"/>
    <cellStyle name="Normal 6 2 2 3 3" xfId="37929"/>
    <cellStyle name="Normal 6 2 2 4" xfId="20869"/>
    <cellStyle name="Normal 6 2 2 4 2" xfId="20870"/>
    <cellStyle name="Normal 6 2 2 4 2 2" xfId="37930"/>
    <cellStyle name="Normal 6 2 2 4 3" xfId="37931"/>
    <cellStyle name="Normal 6 2 2 5" xfId="20871"/>
    <cellStyle name="Normal 6 2 2 5 2" xfId="20872"/>
    <cellStyle name="Normal 6 2 2 5 2 2" xfId="37932"/>
    <cellStyle name="Normal 6 2 2 5 3" xfId="37933"/>
    <cellStyle name="Normal 6 2 2 6" xfId="20873"/>
    <cellStyle name="Normal 6 2 2 6 2" xfId="37934"/>
    <cellStyle name="Normal 6 2 2 7" xfId="20874"/>
    <cellStyle name="Normal 6 2 3" xfId="607"/>
    <cellStyle name="Normal 6 2 3 2" xfId="1239"/>
    <cellStyle name="Normal 6 2 3 2 2" xfId="20875"/>
    <cellStyle name="Normal 6 2 3 2 2 2" xfId="20876"/>
    <cellStyle name="Normal 6 2 3 2 2 2 2" xfId="37935"/>
    <cellStyle name="Normal 6 2 3 2 2 3" xfId="21817"/>
    <cellStyle name="Normal 6 2 3 2 3" xfId="20877"/>
    <cellStyle name="Normal 6 2 3 2 3 2" xfId="20878"/>
    <cellStyle name="Normal 6 2 3 2 3 2 2" xfId="37936"/>
    <cellStyle name="Normal 6 2 3 2 3 3" xfId="37937"/>
    <cellStyle name="Normal 6 2 3 2 4" xfId="20879"/>
    <cellStyle name="Normal 6 2 3 2 4 2" xfId="20880"/>
    <cellStyle name="Normal 6 2 3 2 4 2 2" xfId="37938"/>
    <cellStyle name="Normal 6 2 3 2 4 3" xfId="37939"/>
    <cellStyle name="Normal 6 2 3 2 5" xfId="20881"/>
    <cellStyle name="Normal 6 2 3 2 5 2" xfId="37940"/>
    <cellStyle name="Normal 6 2 3 2 6" xfId="20882"/>
    <cellStyle name="Normal 6 2 3 2 7" xfId="37941"/>
    <cellStyle name="Normal 6 2 3 3" xfId="20883"/>
    <cellStyle name="Normal 6 2 3 3 2" xfId="20884"/>
    <cellStyle name="Normal 6 2 3 3 2 2" xfId="37942"/>
    <cellStyle name="Normal 6 2 3 3 3" xfId="37943"/>
    <cellStyle name="Normal 6 2 3 4" xfId="20885"/>
    <cellStyle name="Normal 6 2 3 4 2" xfId="37944"/>
    <cellStyle name="Normal 6 2 3 5" xfId="20886"/>
    <cellStyle name="Normal 6 2 3 5 2" xfId="37945"/>
    <cellStyle name="Normal 6 2 3 6" xfId="20887"/>
    <cellStyle name="Normal 6 2 4" xfId="2448"/>
    <cellStyle name="Normal 6 2 4 2" xfId="37946"/>
    <cellStyle name="Normal 6 2 5" xfId="20888"/>
    <cellStyle name="Normal 6 2 5 2" xfId="20889"/>
    <cellStyle name="Normal 6 2 5 2 2" xfId="37947"/>
    <cellStyle name="Normal 6 2 5 3" xfId="37948"/>
    <cellStyle name="Normal 6 2 6" xfId="20890"/>
    <cellStyle name="Normal 6 2 6 2" xfId="20891"/>
    <cellStyle name="Normal 6 2 6 2 2" xfId="37949"/>
    <cellStyle name="Normal 6 2 6 3" xfId="37950"/>
    <cellStyle name="Normal 6 2 7" xfId="37951"/>
    <cellStyle name="Normal 6 3" xfId="345"/>
    <cellStyle name="Normal 6 3 2" xfId="1133"/>
    <cellStyle name="Normal 6 3 2 2" xfId="2390"/>
    <cellStyle name="Normal 6 3 2 2 2" xfId="20892"/>
    <cellStyle name="Normal 6 3 2 2 2 2" xfId="20893"/>
    <cellStyle name="Normal 6 3 2 2 2 2 2" xfId="37952"/>
    <cellStyle name="Normal 6 3 2 2 2 3" xfId="37953"/>
    <cellStyle name="Normal 6 3 2 2 3" xfId="20894"/>
    <cellStyle name="Normal 6 3 2 2 3 2" xfId="20895"/>
    <cellStyle name="Normal 6 3 2 2 3 2 2" xfId="37954"/>
    <cellStyle name="Normal 6 3 2 2 3 3" xfId="37955"/>
    <cellStyle name="Normal 6 3 2 2 4" xfId="20896"/>
    <cellStyle name="Normal 6 3 2 2 4 2" xfId="20897"/>
    <cellStyle name="Normal 6 3 2 2 4 2 2" xfId="37956"/>
    <cellStyle name="Normal 6 3 2 2 4 3" xfId="37957"/>
    <cellStyle name="Normal 6 3 2 2 5" xfId="20898"/>
    <cellStyle name="Normal 6 3 2 2 5 2" xfId="37958"/>
    <cellStyle name="Normal 6 3 2 2 6" xfId="20899"/>
    <cellStyle name="Normal 6 3 2 3" xfId="20900"/>
    <cellStyle name="Normal 6 3 2 3 2" xfId="20901"/>
    <cellStyle name="Normal 6 3 2 3 2 2" xfId="37959"/>
    <cellStyle name="Normal 6 3 2 3 3" xfId="37960"/>
    <cellStyle name="Normal 6 3 2 4" xfId="20902"/>
    <cellStyle name="Normal 6 3 2 4 2" xfId="20903"/>
    <cellStyle name="Normal 6 3 2 4 2 2" xfId="37961"/>
    <cellStyle name="Normal 6 3 2 4 3" xfId="37962"/>
    <cellStyle name="Normal 6 3 2 5" xfId="20904"/>
    <cellStyle name="Normal 6 3 2 5 2" xfId="20905"/>
    <cellStyle name="Normal 6 3 2 5 2 2" xfId="37963"/>
    <cellStyle name="Normal 6 3 2 5 3" xfId="37964"/>
    <cellStyle name="Normal 6 3 2 6" xfId="20906"/>
    <cellStyle name="Normal 6 3 2 6 2" xfId="37965"/>
    <cellStyle name="Normal 6 3 2 7" xfId="20907"/>
    <cellStyle name="Normal 6 3 3" xfId="765"/>
    <cellStyle name="Normal 6 3 3 2" xfId="2391"/>
    <cellStyle name="Normal 6 3 3 2 2" xfId="20908"/>
    <cellStyle name="Normal 6 3 3 2 2 2" xfId="20909"/>
    <cellStyle name="Normal 6 3 3 2 2 2 2" xfId="37966"/>
    <cellStyle name="Normal 6 3 3 2 2 3" xfId="37967"/>
    <cellStyle name="Normal 6 3 3 2 3" xfId="20910"/>
    <cellStyle name="Normal 6 3 3 2 3 2" xfId="20911"/>
    <cellStyle name="Normal 6 3 3 2 3 2 2" xfId="37968"/>
    <cellStyle name="Normal 6 3 3 2 3 3" xfId="37969"/>
    <cellStyle name="Normal 6 3 3 2 4" xfId="20912"/>
    <cellStyle name="Normal 6 3 3 2 4 2" xfId="20913"/>
    <cellStyle name="Normal 6 3 3 2 4 2 2" xfId="37970"/>
    <cellStyle name="Normal 6 3 3 2 4 3" xfId="37971"/>
    <cellStyle name="Normal 6 3 3 2 5" xfId="20914"/>
    <cellStyle name="Normal 6 3 3 2 5 2" xfId="37972"/>
    <cellStyle name="Normal 6 3 3 2 6" xfId="20915"/>
    <cellStyle name="Normal 6 3 3 3" xfId="20916"/>
    <cellStyle name="Normal 6 3 3 3 2" xfId="20917"/>
    <cellStyle name="Normal 6 3 3 3 2 2" xfId="37973"/>
    <cellStyle name="Normal 6 3 3 3 3" xfId="37974"/>
    <cellStyle name="Normal 6 3 3 4" xfId="20918"/>
    <cellStyle name="Normal 6 3 3 4 2" xfId="20919"/>
    <cellStyle name="Normal 6 3 3 4 2 2" xfId="37975"/>
    <cellStyle name="Normal 6 3 3 4 3" xfId="37976"/>
    <cellStyle name="Normal 6 3 3 5" xfId="20920"/>
    <cellStyle name="Normal 6 3 3 5 2" xfId="20921"/>
    <cellStyle name="Normal 6 3 3 5 2 2" xfId="37977"/>
    <cellStyle name="Normal 6 3 3 5 3" xfId="37978"/>
    <cellStyle name="Normal 6 3 3 6" xfId="20922"/>
    <cellStyle name="Normal 6 3 3 6 2" xfId="37979"/>
    <cellStyle name="Normal 6 3 3 7" xfId="20923"/>
    <cellStyle name="Normal 6 3 4" xfId="2392"/>
    <cellStyle name="Normal 6 3 4 2" xfId="20924"/>
    <cellStyle name="Normal 6 3 4 2 2" xfId="20925"/>
    <cellStyle name="Normal 6 3 4 2 2 2" xfId="37980"/>
    <cellStyle name="Normal 6 3 4 2 3" xfId="37981"/>
    <cellStyle name="Normal 6 3 4 3" xfId="20926"/>
    <cellStyle name="Normal 6 3 4 3 2" xfId="20927"/>
    <cellStyle name="Normal 6 3 4 3 2 2" xfId="37982"/>
    <cellStyle name="Normal 6 3 4 3 3" xfId="37983"/>
    <cellStyle name="Normal 6 3 4 4" xfId="20928"/>
    <cellStyle name="Normal 6 3 4 4 2" xfId="20929"/>
    <cellStyle name="Normal 6 3 4 4 2 2" xfId="37984"/>
    <cellStyle name="Normal 6 3 4 4 3" xfId="37985"/>
    <cellStyle name="Normal 6 3 4 5" xfId="20930"/>
    <cellStyle name="Normal 6 3 4 5 2" xfId="37986"/>
    <cellStyle name="Normal 6 3 4 6" xfId="20931"/>
    <cellStyle name="Normal 6 3 5" xfId="20932"/>
    <cellStyle name="Normal 6 3 5 2" xfId="20933"/>
    <cellStyle name="Normal 6 3 5 2 2" xfId="37987"/>
    <cellStyle name="Normal 6 3 5 3" xfId="37988"/>
    <cellStyle name="Normal 6 3 6" xfId="20934"/>
    <cellStyle name="Normal 6 3 6 2" xfId="20935"/>
    <cellStyle name="Normal 6 3 6 2 2" xfId="37989"/>
    <cellStyle name="Normal 6 3 6 3" xfId="37990"/>
    <cellStyle name="Normal 6 3 7" xfId="20936"/>
    <cellStyle name="Normal 6 3 7 2" xfId="20937"/>
    <cellStyle name="Normal 6 3 7 2 2" xfId="37991"/>
    <cellStyle name="Normal 6 3 7 3" xfId="37992"/>
    <cellStyle name="Normal 6 3 8" xfId="20938"/>
    <cellStyle name="Normal 6 3 8 2" xfId="37993"/>
    <cellStyle name="Normal 6 3 9" xfId="20939"/>
    <cellStyle name="Normal 6 4" xfId="2393"/>
    <cellStyle name="Normal 6 4 2" xfId="20940"/>
    <cellStyle name="Normal 6 4 2 2" xfId="20941"/>
    <cellStyle name="Normal 6 4 2 2 2" xfId="37994"/>
    <cellStyle name="Normal 6 4 2 3" xfId="37995"/>
    <cellStyle name="Normal 6 4 3" xfId="20942"/>
    <cellStyle name="Normal 6 4 3 2" xfId="20943"/>
    <cellStyle name="Normal 6 4 3 2 2" xfId="37996"/>
    <cellStyle name="Normal 6 4 3 3" xfId="37997"/>
    <cellStyle name="Normal 6 4 4" xfId="20944"/>
    <cellStyle name="Normal 6 4 4 2" xfId="20945"/>
    <cellStyle name="Normal 6 4 4 2 2" xfId="37998"/>
    <cellStyle name="Normal 6 4 4 3" xfId="37999"/>
    <cellStyle name="Normal 6 4 5" xfId="20946"/>
    <cellStyle name="Normal 6 4 5 2" xfId="38000"/>
    <cellStyle name="Normal 6 4 6" xfId="20947"/>
    <cellStyle name="Normal 6 5" xfId="20948"/>
    <cellStyle name="Normal 6 5 2" xfId="38001"/>
    <cellStyle name="Normal 6 6" xfId="20949"/>
    <cellStyle name="Normal 6 6 2" xfId="20950"/>
    <cellStyle name="Normal 6 6 2 2" xfId="38002"/>
    <cellStyle name="Normal 6 6 3" xfId="38003"/>
    <cellStyle name="Normal 6 7" xfId="20951"/>
    <cellStyle name="Normal 6 7 2" xfId="38004"/>
    <cellStyle name="Normal 6 8" xfId="20952"/>
    <cellStyle name="Normal 7" xfId="240"/>
    <cellStyle name="Normal 7 10" xfId="20953"/>
    <cellStyle name="Normal 7 2" xfId="398"/>
    <cellStyle name="Normal 7 2 2" xfId="1186"/>
    <cellStyle name="Normal 7 2 2 2" xfId="2394"/>
    <cellStyle name="Normal 7 2 2 2 2" xfId="20954"/>
    <cellStyle name="Normal 7 2 2 2 2 2" xfId="20955"/>
    <cellStyle name="Normal 7 2 2 2 2 2 2" xfId="38005"/>
    <cellStyle name="Normal 7 2 2 2 2 3" xfId="38006"/>
    <cellStyle name="Normal 7 2 2 2 3" xfId="20956"/>
    <cellStyle name="Normal 7 2 2 2 3 2" xfId="20957"/>
    <cellStyle name="Normal 7 2 2 2 3 2 2" xfId="38007"/>
    <cellStyle name="Normal 7 2 2 2 3 3" xfId="38008"/>
    <cellStyle name="Normal 7 2 2 2 4" xfId="20958"/>
    <cellStyle name="Normal 7 2 2 2 4 2" xfId="20959"/>
    <cellStyle name="Normal 7 2 2 2 4 2 2" xfId="38009"/>
    <cellStyle name="Normal 7 2 2 2 4 3" xfId="38010"/>
    <cellStyle name="Normal 7 2 2 2 5" xfId="20960"/>
    <cellStyle name="Normal 7 2 2 2 5 2" xfId="38011"/>
    <cellStyle name="Normal 7 2 2 2 6" xfId="20961"/>
    <cellStyle name="Normal 7 2 2 3" xfId="20962"/>
    <cellStyle name="Normal 7 2 2 3 2" xfId="20963"/>
    <cellStyle name="Normal 7 2 2 3 2 2" xfId="38012"/>
    <cellStyle name="Normal 7 2 2 3 3" xfId="38013"/>
    <cellStyle name="Normal 7 2 2 4" xfId="20964"/>
    <cellStyle name="Normal 7 2 2 4 2" xfId="20965"/>
    <cellStyle name="Normal 7 2 2 4 2 2" xfId="38014"/>
    <cellStyle name="Normal 7 2 2 4 3" xfId="38015"/>
    <cellStyle name="Normal 7 2 2 5" xfId="20966"/>
    <cellStyle name="Normal 7 2 2 5 2" xfId="20967"/>
    <cellStyle name="Normal 7 2 2 5 2 2" xfId="38016"/>
    <cellStyle name="Normal 7 2 2 5 3" xfId="38017"/>
    <cellStyle name="Normal 7 2 2 6" xfId="20968"/>
    <cellStyle name="Normal 7 2 2 6 2" xfId="38018"/>
    <cellStyle name="Normal 7 2 2 7" xfId="20969"/>
    <cellStyle name="Normal 7 2 3" xfId="818"/>
    <cellStyle name="Normal 7 2 3 2" xfId="2395"/>
    <cellStyle name="Normal 7 2 3 2 2" xfId="20970"/>
    <cellStyle name="Normal 7 2 3 2 2 2" xfId="20971"/>
    <cellStyle name="Normal 7 2 3 2 2 2 2" xfId="38019"/>
    <cellStyle name="Normal 7 2 3 2 2 3" xfId="38020"/>
    <cellStyle name="Normal 7 2 3 2 3" xfId="20972"/>
    <cellStyle name="Normal 7 2 3 2 3 2" xfId="20973"/>
    <cellStyle name="Normal 7 2 3 2 3 2 2" xfId="38021"/>
    <cellStyle name="Normal 7 2 3 2 3 3" xfId="38022"/>
    <cellStyle name="Normal 7 2 3 2 4" xfId="20974"/>
    <cellStyle name="Normal 7 2 3 2 4 2" xfId="20975"/>
    <cellStyle name="Normal 7 2 3 2 4 2 2" xfId="38023"/>
    <cellStyle name="Normal 7 2 3 2 4 3" xfId="38024"/>
    <cellStyle name="Normal 7 2 3 2 5" xfId="20976"/>
    <cellStyle name="Normal 7 2 3 2 5 2" xfId="38025"/>
    <cellStyle name="Normal 7 2 3 2 6" xfId="20977"/>
    <cellStyle name="Normal 7 2 3 3" xfId="20978"/>
    <cellStyle name="Normal 7 2 3 3 2" xfId="20979"/>
    <cellStyle name="Normal 7 2 3 3 2 2" xfId="38026"/>
    <cellStyle name="Normal 7 2 3 3 3" xfId="38027"/>
    <cellStyle name="Normal 7 2 3 4" xfId="20980"/>
    <cellStyle name="Normal 7 2 3 4 2" xfId="20981"/>
    <cellStyle name="Normal 7 2 3 4 2 2" xfId="38028"/>
    <cellStyle name="Normal 7 2 3 4 3" xfId="38029"/>
    <cellStyle name="Normal 7 2 3 5" xfId="20982"/>
    <cellStyle name="Normal 7 2 3 5 2" xfId="20983"/>
    <cellStyle name="Normal 7 2 3 5 2 2" xfId="38030"/>
    <cellStyle name="Normal 7 2 3 5 3" xfId="38031"/>
    <cellStyle name="Normal 7 2 3 6" xfId="20984"/>
    <cellStyle name="Normal 7 2 3 6 2" xfId="38032"/>
    <cellStyle name="Normal 7 2 3 7" xfId="20985"/>
    <cellStyle name="Normal 7 2 4" xfId="2396"/>
    <cellStyle name="Normal 7 2 4 2" xfId="20986"/>
    <cellStyle name="Normal 7 2 4 2 2" xfId="20987"/>
    <cellStyle name="Normal 7 2 4 2 2 2" xfId="38033"/>
    <cellStyle name="Normal 7 2 4 2 3" xfId="38034"/>
    <cellStyle name="Normal 7 2 4 3" xfId="20988"/>
    <cellStyle name="Normal 7 2 4 3 2" xfId="20989"/>
    <cellStyle name="Normal 7 2 4 3 2 2" xfId="38035"/>
    <cellStyle name="Normal 7 2 4 3 3" xfId="38036"/>
    <cellStyle name="Normal 7 2 4 4" xfId="20990"/>
    <cellStyle name="Normal 7 2 4 4 2" xfId="20991"/>
    <cellStyle name="Normal 7 2 4 4 2 2" xfId="38037"/>
    <cellStyle name="Normal 7 2 4 4 3" xfId="38038"/>
    <cellStyle name="Normal 7 2 4 5" xfId="20992"/>
    <cellStyle name="Normal 7 2 4 5 2" xfId="38039"/>
    <cellStyle name="Normal 7 2 4 6" xfId="20993"/>
    <cellStyle name="Normal 7 2 5" xfId="20994"/>
    <cellStyle name="Normal 7 2 5 2" xfId="20995"/>
    <cellStyle name="Normal 7 2 5 2 2" xfId="38040"/>
    <cellStyle name="Normal 7 2 5 3" xfId="38041"/>
    <cellStyle name="Normal 7 2 6" xfId="20996"/>
    <cellStyle name="Normal 7 2 6 2" xfId="20997"/>
    <cellStyle name="Normal 7 2 6 2 2" xfId="38042"/>
    <cellStyle name="Normal 7 2 6 3" xfId="38043"/>
    <cellStyle name="Normal 7 2 7" xfId="20998"/>
    <cellStyle name="Normal 7 2 7 2" xfId="20999"/>
    <cellStyle name="Normal 7 2 7 2 2" xfId="38044"/>
    <cellStyle name="Normal 7 2 7 3" xfId="38045"/>
    <cellStyle name="Normal 7 2 8" xfId="21000"/>
    <cellStyle name="Normal 7 2 8 2" xfId="38046"/>
    <cellStyle name="Normal 7 2 9" xfId="21001"/>
    <cellStyle name="Normal 7 3" xfId="1028"/>
    <cellStyle name="Normal 7 3 2" xfId="2397"/>
    <cellStyle name="Normal 7 3 2 2" xfId="21002"/>
    <cellStyle name="Normal 7 3 2 2 2" xfId="21003"/>
    <cellStyle name="Normal 7 3 2 2 2 2" xfId="38047"/>
    <cellStyle name="Normal 7 3 2 2 3" xfId="38048"/>
    <cellStyle name="Normal 7 3 2 3" xfId="21004"/>
    <cellStyle name="Normal 7 3 2 3 2" xfId="21005"/>
    <cellStyle name="Normal 7 3 2 3 2 2" xfId="38049"/>
    <cellStyle name="Normal 7 3 2 3 3" xfId="38050"/>
    <cellStyle name="Normal 7 3 2 4" xfId="21006"/>
    <cellStyle name="Normal 7 3 2 4 2" xfId="21007"/>
    <cellStyle name="Normal 7 3 2 4 2 2" xfId="38051"/>
    <cellStyle name="Normal 7 3 2 4 3" xfId="38052"/>
    <cellStyle name="Normal 7 3 2 5" xfId="21008"/>
    <cellStyle name="Normal 7 3 2 5 2" xfId="38053"/>
    <cellStyle name="Normal 7 3 2 6" xfId="21009"/>
    <cellStyle name="Normal 7 3 3" xfId="21010"/>
    <cellStyle name="Normal 7 3 3 2" xfId="21011"/>
    <cellStyle name="Normal 7 3 3 2 2" xfId="38054"/>
    <cellStyle name="Normal 7 3 3 3" xfId="38055"/>
    <cellStyle name="Normal 7 3 4" xfId="21012"/>
    <cellStyle name="Normal 7 3 4 2" xfId="21013"/>
    <cellStyle name="Normal 7 3 4 2 2" xfId="38056"/>
    <cellStyle name="Normal 7 3 4 3" xfId="38057"/>
    <cellStyle name="Normal 7 3 5" xfId="21014"/>
    <cellStyle name="Normal 7 3 5 2" xfId="21015"/>
    <cellStyle name="Normal 7 3 5 2 2" xfId="38058"/>
    <cellStyle name="Normal 7 3 5 3" xfId="38059"/>
    <cellStyle name="Normal 7 3 6" xfId="21016"/>
    <cellStyle name="Normal 7 3 6 2" xfId="38060"/>
    <cellStyle name="Normal 7 3 7" xfId="21017"/>
    <cellStyle name="Normal 7 4" xfId="660"/>
    <cellStyle name="Normal 7 4 2" xfId="2398"/>
    <cellStyle name="Normal 7 4 2 2" xfId="21018"/>
    <cellStyle name="Normal 7 4 2 2 2" xfId="21019"/>
    <cellStyle name="Normal 7 4 2 2 2 2" xfId="38061"/>
    <cellStyle name="Normal 7 4 2 2 3" xfId="38062"/>
    <cellStyle name="Normal 7 4 2 3" xfId="21020"/>
    <cellStyle name="Normal 7 4 2 3 2" xfId="21021"/>
    <cellStyle name="Normal 7 4 2 3 2 2" xfId="38063"/>
    <cellStyle name="Normal 7 4 2 3 3" xfId="38064"/>
    <cellStyle name="Normal 7 4 2 4" xfId="21022"/>
    <cellStyle name="Normal 7 4 2 4 2" xfId="21023"/>
    <cellStyle name="Normal 7 4 2 4 2 2" xfId="38065"/>
    <cellStyle name="Normal 7 4 2 4 3" xfId="38066"/>
    <cellStyle name="Normal 7 4 2 5" xfId="21024"/>
    <cellStyle name="Normal 7 4 2 5 2" xfId="38067"/>
    <cellStyle name="Normal 7 4 2 6" xfId="21025"/>
    <cellStyle name="Normal 7 4 3" xfId="21026"/>
    <cellStyle name="Normal 7 4 3 2" xfId="21027"/>
    <cellStyle name="Normal 7 4 3 2 2" xfId="38068"/>
    <cellStyle name="Normal 7 4 3 3" xfId="38069"/>
    <cellStyle name="Normal 7 4 4" xfId="21028"/>
    <cellStyle name="Normal 7 4 4 2" xfId="21029"/>
    <cellStyle name="Normal 7 4 4 2 2" xfId="38070"/>
    <cellStyle name="Normal 7 4 4 3" xfId="38071"/>
    <cellStyle name="Normal 7 4 5" xfId="21030"/>
    <cellStyle name="Normal 7 4 5 2" xfId="21031"/>
    <cellStyle name="Normal 7 4 5 2 2" xfId="38072"/>
    <cellStyle name="Normal 7 4 5 3" xfId="38073"/>
    <cellStyle name="Normal 7 4 6" xfId="21032"/>
    <cellStyle name="Normal 7 4 6 2" xfId="38074"/>
    <cellStyle name="Normal 7 4 7" xfId="21033"/>
    <cellStyle name="Normal 7 5" xfId="2399"/>
    <cellStyle name="Normal 7 5 2" xfId="21034"/>
    <cellStyle name="Normal 7 5 2 2" xfId="21035"/>
    <cellStyle name="Normal 7 5 2 2 2" xfId="38075"/>
    <cellStyle name="Normal 7 5 2 3" xfId="38076"/>
    <cellStyle name="Normal 7 5 3" xfId="21036"/>
    <cellStyle name="Normal 7 5 3 2" xfId="21037"/>
    <cellStyle name="Normal 7 5 3 2 2" xfId="38077"/>
    <cellStyle name="Normal 7 5 3 3" xfId="38078"/>
    <cellStyle name="Normal 7 5 4" xfId="21038"/>
    <cellStyle name="Normal 7 5 4 2" xfId="21039"/>
    <cellStyle name="Normal 7 5 4 2 2" xfId="38079"/>
    <cellStyle name="Normal 7 5 4 3" xfId="38080"/>
    <cellStyle name="Normal 7 5 5" xfId="21040"/>
    <cellStyle name="Normal 7 5 5 2" xfId="38081"/>
    <cellStyle name="Normal 7 5 6" xfId="21041"/>
    <cellStyle name="Normal 7 6" xfId="21042"/>
    <cellStyle name="Normal 7 6 2" xfId="21043"/>
    <cellStyle name="Normal 7 6 2 2" xfId="38082"/>
    <cellStyle name="Normal 7 6 3" xfId="38083"/>
    <cellStyle name="Normal 7 7" xfId="21044"/>
    <cellStyle name="Normal 7 7 2" xfId="21045"/>
    <cellStyle name="Normal 7 7 2 2" xfId="38084"/>
    <cellStyle name="Normal 7 7 3" xfId="38085"/>
    <cellStyle name="Normal 7 8" xfId="21046"/>
    <cellStyle name="Normal 7 8 2" xfId="21047"/>
    <cellStyle name="Normal 7 8 2 2" xfId="38086"/>
    <cellStyle name="Normal 7 8 3" xfId="38087"/>
    <cellStyle name="Normal 7 9" xfId="21048"/>
    <cellStyle name="Normal 7 9 2" xfId="38088"/>
    <cellStyle name="Normal 8" xfId="21049"/>
    <cellStyle name="Normal 8 2" xfId="38089"/>
    <cellStyle name="Normal 9" xfId="21050"/>
    <cellStyle name="Normal 9 2" xfId="21051"/>
    <cellStyle name="Normal 9 2 2" xfId="38090"/>
    <cellStyle name="Normal 9 3" xfId="21052"/>
    <cellStyle name="Normal 9 3 2" xfId="21053"/>
    <cellStyle name="Normal 9 3 2 2" xfId="38091"/>
    <cellStyle name="Normal 9 3 3" xfId="38092"/>
    <cellStyle name="Normal 9 4" xfId="38093"/>
    <cellStyle name="Normal_GERMANY Staffing Templatea" xfId="2"/>
    <cellStyle name="Percent" xfId="2447" builtinId="5"/>
    <cellStyle name="Percent 10" xfId="21054"/>
    <cellStyle name="Percent 10 2" xfId="38094"/>
    <cellStyle name="Percent 2" xfId="3"/>
    <cellStyle name="Percent 2 2" xfId="19"/>
    <cellStyle name="Percent 2 2 2" xfId="85"/>
    <cellStyle name="Percent 2 2 2 2" xfId="38095"/>
    <cellStyle name="Percent 2 2 3" xfId="21055"/>
    <cellStyle name="Percent 2 2 3 2" xfId="38096"/>
    <cellStyle name="Percent 2 2 4" xfId="21056"/>
    <cellStyle name="Percent 2 2 4 2" xfId="38097"/>
    <cellStyle name="Percent 2 2 5" xfId="38098"/>
    <cellStyle name="Percent 2 3" xfId="75"/>
    <cellStyle name="Percent 2 3 2" xfId="38099"/>
    <cellStyle name="Percent 2 4" xfId="21057"/>
    <cellStyle name="Percent 2 4 2" xfId="38100"/>
    <cellStyle name="Percent 2 5" xfId="21058"/>
    <cellStyle name="Percent 2 5 2" xfId="38101"/>
    <cellStyle name="Percent 2 6" xfId="38102"/>
    <cellStyle name="Percent 3" xfId="6"/>
    <cellStyle name="Percent 3 2" xfId="20"/>
    <cellStyle name="Percent 3 2 2" xfId="86"/>
    <cellStyle name="Percent 3 2 2 2" xfId="38103"/>
    <cellStyle name="Percent 3 2 3" xfId="21059"/>
    <cellStyle name="Percent 3 2 3 2" xfId="38104"/>
    <cellStyle name="Percent 3 2 4" xfId="21060"/>
    <cellStyle name="Percent 3 2 4 2" xfId="38105"/>
    <cellStyle name="Percent 3 2 5" xfId="38106"/>
    <cellStyle name="Percent 3 3" xfId="76"/>
    <cellStyle name="Percent 3 3 2" xfId="38107"/>
    <cellStyle name="Percent 3 4" xfId="21061"/>
    <cellStyle name="Percent 3 4 2" xfId="38108"/>
    <cellStyle name="Percent 3 5" xfId="21062"/>
    <cellStyle name="Percent 3 5 2" xfId="38109"/>
    <cellStyle name="Percent 3 6" xfId="38110"/>
    <cellStyle name="Percent 4" xfId="21"/>
    <cellStyle name="Percent 4 2" xfId="22"/>
    <cellStyle name="Percent 4 2 2" xfId="87"/>
    <cellStyle name="Percent 4 2 2 2" xfId="38111"/>
    <cellStyle name="Percent 4 2 3" xfId="21063"/>
    <cellStyle name="Percent 4 2 3 2" xfId="38112"/>
    <cellStyle name="Percent 4 2 4" xfId="21064"/>
    <cellStyle name="Percent 4 2 4 2" xfId="38113"/>
    <cellStyle name="Percent 4 2 5" xfId="38114"/>
    <cellStyle name="Percent 4 3" xfId="77"/>
    <cellStyle name="Percent 4 3 2" xfId="38115"/>
    <cellStyle name="Percent 4 4" xfId="21065"/>
    <cellStyle name="Percent 4 4 2" xfId="38116"/>
    <cellStyle name="Percent 4 5" xfId="21066"/>
    <cellStyle name="Percent 4 5 2" xfId="38117"/>
    <cellStyle name="Percent 4 6" xfId="38118"/>
    <cellStyle name="Percent 5" xfId="68"/>
    <cellStyle name="Percent 5 10" xfId="21067"/>
    <cellStyle name="Percent 5 10 2" xfId="38119"/>
    <cellStyle name="Percent 5 11" xfId="21068"/>
    <cellStyle name="Percent 5 11 2" xfId="21069"/>
    <cellStyle name="Percent 5 11 2 2" xfId="38120"/>
    <cellStyle name="Percent 5 11 3" xfId="38121"/>
    <cellStyle name="Percent 5 12" xfId="21070"/>
    <cellStyle name="Percent 5 12 2" xfId="21071"/>
    <cellStyle name="Percent 5 12 2 2" xfId="38122"/>
    <cellStyle name="Percent 5 12 3" xfId="38123"/>
    <cellStyle name="Percent 5 13" xfId="21072"/>
    <cellStyle name="Percent 5 13 2" xfId="21073"/>
    <cellStyle name="Percent 5 13 2 2" xfId="38124"/>
    <cellStyle name="Percent 5 13 3" xfId="38125"/>
    <cellStyle name="Percent 5 14" xfId="21074"/>
    <cellStyle name="Percent 5 14 2" xfId="38126"/>
    <cellStyle name="Percent 5 15" xfId="21075"/>
    <cellStyle name="Percent 5 2" xfId="239"/>
    <cellStyle name="Percent 5 2 10" xfId="21076"/>
    <cellStyle name="Percent 5 2 10 2" xfId="38127"/>
    <cellStyle name="Percent 5 2 11" xfId="21077"/>
    <cellStyle name="Percent 5 2 2" xfId="397"/>
    <cellStyle name="Percent 5 2 2 2" xfId="1185"/>
    <cellStyle name="Percent 5 2 2 2 2" xfId="2400"/>
    <cellStyle name="Percent 5 2 2 2 2 2" xfId="21078"/>
    <cellStyle name="Percent 5 2 2 2 2 2 2" xfId="21079"/>
    <cellStyle name="Percent 5 2 2 2 2 2 2 2" xfId="38128"/>
    <cellStyle name="Percent 5 2 2 2 2 2 3" xfId="38129"/>
    <cellStyle name="Percent 5 2 2 2 2 3" xfId="21080"/>
    <cellStyle name="Percent 5 2 2 2 2 3 2" xfId="21081"/>
    <cellStyle name="Percent 5 2 2 2 2 3 2 2" xfId="38130"/>
    <cellStyle name="Percent 5 2 2 2 2 3 3" xfId="38131"/>
    <cellStyle name="Percent 5 2 2 2 2 4" xfId="21082"/>
    <cellStyle name="Percent 5 2 2 2 2 4 2" xfId="21083"/>
    <cellStyle name="Percent 5 2 2 2 2 4 2 2" xfId="38132"/>
    <cellStyle name="Percent 5 2 2 2 2 4 3" xfId="38133"/>
    <cellStyle name="Percent 5 2 2 2 2 5" xfId="21084"/>
    <cellStyle name="Percent 5 2 2 2 2 5 2" xfId="38134"/>
    <cellStyle name="Percent 5 2 2 2 2 6" xfId="21085"/>
    <cellStyle name="Percent 5 2 2 2 3" xfId="21086"/>
    <cellStyle name="Percent 5 2 2 2 3 2" xfId="21087"/>
    <cellStyle name="Percent 5 2 2 2 3 2 2" xfId="38135"/>
    <cellStyle name="Percent 5 2 2 2 3 3" xfId="38136"/>
    <cellStyle name="Percent 5 2 2 2 4" xfId="21088"/>
    <cellStyle name="Percent 5 2 2 2 4 2" xfId="21089"/>
    <cellStyle name="Percent 5 2 2 2 4 2 2" xfId="38137"/>
    <cellStyle name="Percent 5 2 2 2 4 3" xfId="38138"/>
    <cellStyle name="Percent 5 2 2 2 5" xfId="21090"/>
    <cellStyle name="Percent 5 2 2 2 5 2" xfId="21091"/>
    <cellStyle name="Percent 5 2 2 2 5 2 2" xfId="38139"/>
    <cellStyle name="Percent 5 2 2 2 5 3" xfId="38140"/>
    <cellStyle name="Percent 5 2 2 2 6" xfId="21092"/>
    <cellStyle name="Percent 5 2 2 2 6 2" xfId="38141"/>
    <cellStyle name="Percent 5 2 2 2 7" xfId="21093"/>
    <cellStyle name="Percent 5 2 2 3" xfId="817"/>
    <cellStyle name="Percent 5 2 2 3 2" xfId="2401"/>
    <cellStyle name="Percent 5 2 2 3 2 2" xfId="21094"/>
    <cellStyle name="Percent 5 2 2 3 2 2 2" xfId="21095"/>
    <cellStyle name="Percent 5 2 2 3 2 2 2 2" xfId="38142"/>
    <cellStyle name="Percent 5 2 2 3 2 2 3" xfId="38143"/>
    <cellStyle name="Percent 5 2 2 3 2 3" xfId="21096"/>
    <cellStyle name="Percent 5 2 2 3 2 3 2" xfId="21097"/>
    <cellStyle name="Percent 5 2 2 3 2 3 2 2" xfId="38144"/>
    <cellStyle name="Percent 5 2 2 3 2 3 3" xfId="38145"/>
    <cellStyle name="Percent 5 2 2 3 2 4" xfId="21098"/>
    <cellStyle name="Percent 5 2 2 3 2 4 2" xfId="21099"/>
    <cellStyle name="Percent 5 2 2 3 2 4 2 2" xfId="38146"/>
    <cellStyle name="Percent 5 2 2 3 2 4 3" xfId="38147"/>
    <cellStyle name="Percent 5 2 2 3 2 5" xfId="21100"/>
    <cellStyle name="Percent 5 2 2 3 2 5 2" xfId="38148"/>
    <cellStyle name="Percent 5 2 2 3 2 6" xfId="21101"/>
    <cellStyle name="Percent 5 2 2 3 3" xfId="21102"/>
    <cellStyle name="Percent 5 2 2 3 3 2" xfId="21103"/>
    <cellStyle name="Percent 5 2 2 3 3 2 2" xfId="38149"/>
    <cellStyle name="Percent 5 2 2 3 3 3" xfId="38150"/>
    <cellStyle name="Percent 5 2 2 3 4" xfId="21104"/>
    <cellStyle name="Percent 5 2 2 3 4 2" xfId="21105"/>
    <cellStyle name="Percent 5 2 2 3 4 2 2" xfId="38151"/>
    <cellStyle name="Percent 5 2 2 3 4 3" xfId="38152"/>
    <cellStyle name="Percent 5 2 2 3 5" xfId="21106"/>
    <cellStyle name="Percent 5 2 2 3 5 2" xfId="21107"/>
    <cellStyle name="Percent 5 2 2 3 5 2 2" xfId="38153"/>
    <cellStyle name="Percent 5 2 2 3 5 3" xfId="38154"/>
    <cellStyle name="Percent 5 2 2 3 6" xfId="21108"/>
    <cellStyle name="Percent 5 2 2 3 6 2" xfId="38155"/>
    <cellStyle name="Percent 5 2 2 3 7" xfId="21109"/>
    <cellStyle name="Percent 5 2 2 4" xfId="2402"/>
    <cellStyle name="Percent 5 2 2 4 2" xfId="21110"/>
    <cellStyle name="Percent 5 2 2 4 2 2" xfId="21111"/>
    <cellStyle name="Percent 5 2 2 4 2 2 2" xfId="38156"/>
    <cellStyle name="Percent 5 2 2 4 2 3" xfId="38157"/>
    <cellStyle name="Percent 5 2 2 4 3" xfId="21112"/>
    <cellStyle name="Percent 5 2 2 4 3 2" xfId="21113"/>
    <cellStyle name="Percent 5 2 2 4 3 2 2" xfId="38158"/>
    <cellStyle name="Percent 5 2 2 4 3 3" xfId="38159"/>
    <cellStyle name="Percent 5 2 2 4 4" xfId="21114"/>
    <cellStyle name="Percent 5 2 2 4 4 2" xfId="21115"/>
    <cellStyle name="Percent 5 2 2 4 4 2 2" xfId="38160"/>
    <cellStyle name="Percent 5 2 2 4 4 3" xfId="38161"/>
    <cellStyle name="Percent 5 2 2 4 5" xfId="21116"/>
    <cellStyle name="Percent 5 2 2 4 5 2" xfId="38162"/>
    <cellStyle name="Percent 5 2 2 4 6" xfId="21117"/>
    <cellStyle name="Percent 5 2 2 5" xfId="21118"/>
    <cellStyle name="Percent 5 2 2 5 2" xfId="21119"/>
    <cellStyle name="Percent 5 2 2 5 2 2" xfId="38163"/>
    <cellStyle name="Percent 5 2 2 5 3" xfId="38164"/>
    <cellStyle name="Percent 5 2 2 6" xfId="21120"/>
    <cellStyle name="Percent 5 2 2 6 2" xfId="21121"/>
    <cellStyle name="Percent 5 2 2 6 2 2" xfId="38165"/>
    <cellStyle name="Percent 5 2 2 6 3" xfId="38166"/>
    <cellStyle name="Percent 5 2 2 7" xfId="21122"/>
    <cellStyle name="Percent 5 2 2 7 2" xfId="21123"/>
    <cellStyle name="Percent 5 2 2 7 2 2" xfId="38167"/>
    <cellStyle name="Percent 5 2 2 7 3" xfId="38168"/>
    <cellStyle name="Percent 5 2 2 8" xfId="21124"/>
    <cellStyle name="Percent 5 2 2 8 2" xfId="38169"/>
    <cellStyle name="Percent 5 2 2 9" xfId="21125"/>
    <cellStyle name="Percent 5 2 3" xfId="1027"/>
    <cellStyle name="Percent 5 2 3 2" xfId="2403"/>
    <cellStyle name="Percent 5 2 3 2 2" xfId="21126"/>
    <cellStyle name="Percent 5 2 3 2 2 2" xfId="21127"/>
    <cellStyle name="Percent 5 2 3 2 2 2 2" xfId="38170"/>
    <cellStyle name="Percent 5 2 3 2 2 3" xfId="38171"/>
    <cellStyle name="Percent 5 2 3 2 3" xfId="21128"/>
    <cellStyle name="Percent 5 2 3 2 3 2" xfId="21129"/>
    <cellStyle name="Percent 5 2 3 2 3 2 2" xfId="38172"/>
    <cellStyle name="Percent 5 2 3 2 3 3" xfId="38173"/>
    <cellStyle name="Percent 5 2 3 2 4" xfId="21130"/>
    <cellStyle name="Percent 5 2 3 2 4 2" xfId="21131"/>
    <cellStyle name="Percent 5 2 3 2 4 2 2" xfId="38174"/>
    <cellStyle name="Percent 5 2 3 2 4 3" xfId="38175"/>
    <cellStyle name="Percent 5 2 3 2 5" xfId="21132"/>
    <cellStyle name="Percent 5 2 3 2 5 2" xfId="38176"/>
    <cellStyle name="Percent 5 2 3 2 6" xfId="21133"/>
    <cellStyle name="Percent 5 2 3 3" xfId="21134"/>
    <cellStyle name="Percent 5 2 3 3 2" xfId="38177"/>
    <cellStyle name="Percent 5 2 3 4" xfId="21135"/>
    <cellStyle name="Percent 5 2 3 4 2" xfId="21136"/>
    <cellStyle name="Percent 5 2 3 4 2 2" xfId="38178"/>
    <cellStyle name="Percent 5 2 3 4 3" xfId="38179"/>
    <cellStyle name="Percent 5 2 3 5" xfId="21137"/>
    <cellStyle name="Percent 5 2 3 5 2" xfId="21138"/>
    <cellStyle name="Percent 5 2 3 5 2 2" xfId="38180"/>
    <cellStyle name="Percent 5 2 3 5 3" xfId="38181"/>
    <cellStyle name="Percent 5 2 3 6" xfId="21139"/>
    <cellStyle name="Percent 5 2 3 6 2" xfId="21140"/>
    <cellStyle name="Percent 5 2 3 6 2 2" xfId="38182"/>
    <cellStyle name="Percent 5 2 3 6 3" xfId="38183"/>
    <cellStyle name="Percent 5 2 3 7" xfId="21141"/>
    <cellStyle name="Percent 5 2 3 7 2" xfId="38184"/>
    <cellStyle name="Percent 5 2 3 8" xfId="21142"/>
    <cellStyle name="Percent 5 2 4" xfId="659"/>
    <cellStyle name="Percent 5 2 4 2" xfId="2404"/>
    <cellStyle name="Percent 5 2 4 2 2" xfId="21143"/>
    <cellStyle name="Percent 5 2 4 2 2 2" xfId="21144"/>
    <cellStyle name="Percent 5 2 4 2 2 2 2" xfId="38185"/>
    <cellStyle name="Percent 5 2 4 2 2 3" xfId="38186"/>
    <cellStyle name="Percent 5 2 4 2 3" xfId="21145"/>
    <cellStyle name="Percent 5 2 4 2 3 2" xfId="21146"/>
    <cellStyle name="Percent 5 2 4 2 3 2 2" xfId="38187"/>
    <cellStyle name="Percent 5 2 4 2 3 3" xfId="38188"/>
    <cellStyle name="Percent 5 2 4 2 4" xfId="21147"/>
    <cellStyle name="Percent 5 2 4 2 4 2" xfId="21148"/>
    <cellStyle name="Percent 5 2 4 2 4 2 2" xfId="38189"/>
    <cellStyle name="Percent 5 2 4 2 4 3" xfId="38190"/>
    <cellStyle name="Percent 5 2 4 2 5" xfId="21149"/>
    <cellStyle name="Percent 5 2 4 2 5 2" xfId="38191"/>
    <cellStyle name="Percent 5 2 4 2 6" xfId="21150"/>
    <cellStyle name="Percent 5 2 4 3" xfId="21151"/>
    <cellStyle name="Percent 5 2 4 3 2" xfId="21152"/>
    <cellStyle name="Percent 5 2 4 3 2 2" xfId="38192"/>
    <cellStyle name="Percent 5 2 4 3 3" xfId="38193"/>
    <cellStyle name="Percent 5 2 4 4" xfId="21153"/>
    <cellStyle name="Percent 5 2 4 4 2" xfId="21154"/>
    <cellStyle name="Percent 5 2 4 4 2 2" xfId="38194"/>
    <cellStyle name="Percent 5 2 4 4 3" xfId="38195"/>
    <cellStyle name="Percent 5 2 4 5" xfId="21155"/>
    <cellStyle name="Percent 5 2 4 5 2" xfId="21156"/>
    <cellStyle name="Percent 5 2 4 5 2 2" xfId="38196"/>
    <cellStyle name="Percent 5 2 4 5 3" xfId="38197"/>
    <cellStyle name="Percent 5 2 4 6" xfId="21157"/>
    <cellStyle name="Percent 5 2 4 6 2" xfId="38198"/>
    <cellStyle name="Percent 5 2 4 7" xfId="21158"/>
    <cellStyle name="Percent 5 2 5" xfId="2405"/>
    <cellStyle name="Percent 5 2 5 2" xfId="21159"/>
    <cellStyle name="Percent 5 2 5 2 2" xfId="21160"/>
    <cellStyle name="Percent 5 2 5 2 2 2" xfId="38199"/>
    <cellStyle name="Percent 5 2 5 2 3" xfId="38200"/>
    <cellStyle name="Percent 5 2 5 3" xfId="21161"/>
    <cellStyle name="Percent 5 2 5 3 2" xfId="21162"/>
    <cellStyle name="Percent 5 2 5 3 2 2" xfId="38201"/>
    <cellStyle name="Percent 5 2 5 3 3" xfId="38202"/>
    <cellStyle name="Percent 5 2 5 4" xfId="21163"/>
    <cellStyle name="Percent 5 2 5 4 2" xfId="21164"/>
    <cellStyle name="Percent 5 2 5 4 2 2" xfId="38203"/>
    <cellStyle name="Percent 5 2 5 4 3" xfId="38204"/>
    <cellStyle name="Percent 5 2 5 5" xfId="21165"/>
    <cellStyle name="Percent 5 2 5 5 2" xfId="38205"/>
    <cellStyle name="Percent 5 2 5 6" xfId="21166"/>
    <cellStyle name="Percent 5 2 6" xfId="21167"/>
    <cellStyle name="Percent 5 2 6 2" xfId="38206"/>
    <cellStyle name="Percent 5 2 7" xfId="21168"/>
    <cellStyle name="Percent 5 2 7 2" xfId="21169"/>
    <cellStyle name="Percent 5 2 7 2 2" xfId="38207"/>
    <cellStyle name="Percent 5 2 7 3" xfId="38208"/>
    <cellStyle name="Percent 5 2 8" xfId="21170"/>
    <cellStyle name="Percent 5 2 8 2" xfId="21171"/>
    <cellStyle name="Percent 5 2 8 2 2" xfId="38209"/>
    <cellStyle name="Percent 5 2 8 3" xfId="38210"/>
    <cellStyle name="Percent 5 2 9" xfId="21172"/>
    <cellStyle name="Percent 5 2 9 2" xfId="21173"/>
    <cellStyle name="Percent 5 2 9 2 2" xfId="38211"/>
    <cellStyle name="Percent 5 2 9 3" xfId="38212"/>
    <cellStyle name="Percent 5 3" xfId="291"/>
    <cellStyle name="Percent 5 3 10" xfId="21174"/>
    <cellStyle name="Percent 5 3 2" xfId="449"/>
    <cellStyle name="Percent 5 3 2 2" xfId="1237"/>
    <cellStyle name="Percent 5 3 2 2 2" xfId="2406"/>
    <cellStyle name="Percent 5 3 2 2 2 2" xfId="21175"/>
    <cellStyle name="Percent 5 3 2 2 2 2 2" xfId="21176"/>
    <cellStyle name="Percent 5 3 2 2 2 2 2 2" xfId="38213"/>
    <cellStyle name="Percent 5 3 2 2 2 2 3" xfId="38214"/>
    <cellStyle name="Percent 5 3 2 2 2 3" xfId="21177"/>
    <cellStyle name="Percent 5 3 2 2 2 3 2" xfId="21178"/>
    <cellStyle name="Percent 5 3 2 2 2 3 2 2" xfId="38215"/>
    <cellStyle name="Percent 5 3 2 2 2 3 3" xfId="38216"/>
    <cellStyle name="Percent 5 3 2 2 2 4" xfId="21179"/>
    <cellStyle name="Percent 5 3 2 2 2 4 2" xfId="21180"/>
    <cellStyle name="Percent 5 3 2 2 2 4 2 2" xfId="38217"/>
    <cellStyle name="Percent 5 3 2 2 2 4 3" xfId="38218"/>
    <cellStyle name="Percent 5 3 2 2 2 5" xfId="21181"/>
    <cellStyle name="Percent 5 3 2 2 2 5 2" xfId="38219"/>
    <cellStyle name="Percent 5 3 2 2 2 6" xfId="21182"/>
    <cellStyle name="Percent 5 3 2 2 3" xfId="21183"/>
    <cellStyle name="Percent 5 3 2 2 3 2" xfId="21184"/>
    <cellStyle name="Percent 5 3 2 2 3 2 2" xfId="38220"/>
    <cellStyle name="Percent 5 3 2 2 3 3" xfId="38221"/>
    <cellStyle name="Percent 5 3 2 2 4" xfId="21185"/>
    <cellStyle name="Percent 5 3 2 2 4 2" xfId="21186"/>
    <cellStyle name="Percent 5 3 2 2 4 2 2" xfId="38222"/>
    <cellStyle name="Percent 5 3 2 2 4 3" xfId="38223"/>
    <cellStyle name="Percent 5 3 2 2 5" xfId="21187"/>
    <cellStyle name="Percent 5 3 2 2 5 2" xfId="21188"/>
    <cellStyle name="Percent 5 3 2 2 5 2 2" xfId="38224"/>
    <cellStyle name="Percent 5 3 2 2 5 3" xfId="38225"/>
    <cellStyle name="Percent 5 3 2 2 6" xfId="21189"/>
    <cellStyle name="Percent 5 3 2 2 6 2" xfId="38226"/>
    <cellStyle name="Percent 5 3 2 2 7" xfId="21190"/>
    <cellStyle name="Percent 5 3 2 3" xfId="869"/>
    <cellStyle name="Percent 5 3 2 3 2" xfId="2407"/>
    <cellStyle name="Percent 5 3 2 3 2 2" xfId="21191"/>
    <cellStyle name="Percent 5 3 2 3 2 2 2" xfId="21192"/>
    <cellStyle name="Percent 5 3 2 3 2 2 2 2" xfId="38227"/>
    <cellStyle name="Percent 5 3 2 3 2 2 3" xfId="38228"/>
    <cellStyle name="Percent 5 3 2 3 2 3" xfId="21193"/>
    <cellStyle name="Percent 5 3 2 3 2 3 2" xfId="21194"/>
    <cellStyle name="Percent 5 3 2 3 2 3 2 2" xfId="38229"/>
    <cellStyle name="Percent 5 3 2 3 2 3 3" xfId="38230"/>
    <cellStyle name="Percent 5 3 2 3 2 4" xfId="21195"/>
    <cellStyle name="Percent 5 3 2 3 2 4 2" xfId="21196"/>
    <cellStyle name="Percent 5 3 2 3 2 4 2 2" xfId="38231"/>
    <cellStyle name="Percent 5 3 2 3 2 4 3" xfId="38232"/>
    <cellStyle name="Percent 5 3 2 3 2 5" xfId="21197"/>
    <cellStyle name="Percent 5 3 2 3 2 5 2" xfId="38233"/>
    <cellStyle name="Percent 5 3 2 3 2 6" xfId="21198"/>
    <cellStyle name="Percent 5 3 2 3 3" xfId="21199"/>
    <cellStyle name="Percent 5 3 2 3 3 2" xfId="21200"/>
    <cellStyle name="Percent 5 3 2 3 3 2 2" xfId="38234"/>
    <cellStyle name="Percent 5 3 2 3 3 3" xfId="38235"/>
    <cellStyle name="Percent 5 3 2 3 4" xfId="21201"/>
    <cellStyle name="Percent 5 3 2 3 4 2" xfId="21202"/>
    <cellStyle name="Percent 5 3 2 3 4 2 2" xfId="38236"/>
    <cellStyle name="Percent 5 3 2 3 4 3" xfId="38237"/>
    <cellStyle name="Percent 5 3 2 3 5" xfId="21203"/>
    <cellStyle name="Percent 5 3 2 3 5 2" xfId="21204"/>
    <cellStyle name="Percent 5 3 2 3 5 2 2" xfId="38238"/>
    <cellStyle name="Percent 5 3 2 3 5 3" xfId="38239"/>
    <cellStyle name="Percent 5 3 2 3 6" xfId="21205"/>
    <cellStyle name="Percent 5 3 2 3 6 2" xfId="38240"/>
    <cellStyle name="Percent 5 3 2 3 7" xfId="21206"/>
    <cellStyle name="Percent 5 3 2 4" xfId="2408"/>
    <cellStyle name="Percent 5 3 2 4 2" xfId="21207"/>
    <cellStyle name="Percent 5 3 2 4 2 2" xfId="21208"/>
    <cellStyle name="Percent 5 3 2 4 2 2 2" xfId="38241"/>
    <cellStyle name="Percent 5 3 2 4 2 3" xfId="38242"/>
    <cellStyle name="Percent 5 3 2 4 3" xfId="21209"/>
    <cellStyle name="Percent 5 3 2 4 3 2" xfId="21210"/>
    <cellStyle name="Percent 5 3 2 4 3 2 2" xfId="38243"/>
    <cellStyle name="Percent 5 3 2 4 3 3" xfId="38244"/>
    <cellStyle name="Percent 5 3 2 4 4" xfId="21211"/>
    <cellStyle name="Percent 5 3 2 4 4 2" xfId="21212"/>
    <cellStyle name="Percent 5 3 2 4 4 2 2" xfId="38245"/>
    <cellStyle name="Percent 5 3 2 4 4 3" xfId="38246"/>
    <cellStyle name="Percent 5 3 2 4 5" xfId="21213"/>
    <cellStyle name="Percent 5 3 2 4 5 2" xfId="38247"/>
    <cellStyle name="Percent 5 3 2 4 6" xfId="21214"/>
    <cellStyle name="Percent 5 3 2 5" xfId="21215"/>
    <cellStyle name="Percent 5 3 2 5 2" xfId="21216"/>
    <cellStyle name="Percent 5 3 2 5 2 2" xfId="38248"/>
    <cellStyle name="Percent 5 3 2 5 3" xfId="38249"/>
    <cellStyle name="Percent 5 3 2 6" xfId="21217"/>
    <cellStyle name="Percent 5 3 2 6 2" xfId="21218"/>
    <cellStyle name="Percent 5 3 2 6 2 2" xfId="38250"/>
    <cellStyle name="Percent 5 3 2 6 3" xfId="38251"/>
    <cellStyle name="Percent 5 3 2 7" xfId="21219"/>
    <cellStyle name="Percent 5 3 2 7 2" xfId="21220"/>
    <cellStyle name="Percent 5 3 2 7 2 2" xfId="38252"/>
    <cellStyle name="Percent 5 3 2 7 3" xfId="38253"/>
    <cellStyle name="Percent 5 3 2 8" xfId="21221"/>
    <cellStyle name="Percent 5 3 2 8 2" xfId="38254"/>
    <cellStyle name="Percent 5 3 2 9" xfId="21222"/>
    <cellStyle name="Percent 5 3 3" xfId="1079"/>
    <cellStyle name="Percent 5 3 3 2" xfId="2409"/>
    <cellStyle name="Percent 5 3 3 2 2" xfId="21223"/>
    <cellStyle name="Percent 5 3 3 2 2 2" xfId="21224"/>
    <cellStyle name="Percent 5 3 3 2 2 2 2" xfId="38255"/>
    <cellStyle name="Percent 5 3 3 2 2 3" xfId="38256"/>
    <cellStyle name="Percent 5 3 3 2 3" xfId="21225"/>
    <cellStyle name="Percent 5 3 3 2 3 2" xfId="21226"/>
    <cellStyle name="Percent 5 3 3 2 3 2 2" xfId="38257"/>
    <cellStyle name="Percent 5 3 3 2 3 3" xfId="38258"/>
    <cellStyle name="Percent 5 3 3 2 4" xfId="21227"/>
    <cellStyle name="Percent 5 3 3 2 4 2" xfId="21228"/>
    <cellStyle name="Percent 5 3 3 2 4 2 2" xfId="38259"/>
    <cellStyle name="Percent 5 3 3 2 4 3" xfId="38260"/>
    <cellStyle name="Percent 5 3 3 2 5" xfId="21229"/>
    <cellStyle name="Percent 5 3 3 2 5 2" xfId="38261"/>
    <cellStyle name="Percent 5 3 3 2 6" xfId="21230"/>
    <cellStyle name="Percent 5 3 3 3" xfId="21231"/>
    <cellStyle name="Percent 5 3 3 3 2" xfId="21232"/>
    <cellStyle name="Percent 5 3 3 3 2 2" xfId="38262"/>
    <cellStyle name="Percent 5 3 3 3 3" xfId="38263"/>
    <cellStyle name="Percent 5 3 3 4" xfId="21233"/>
    <cellStyle name="Percent 5 3 3 4 2" xfId="21234"/>
    <cellStyle name="Percent 5 3 3 4 2 2" xfId="38264"/>
    <cellStyle name="Percent 5 3 3 4 3" xfId="38265"/>
    <cellStyle name="Percent 5 3 3 5" xfId="21235"/>
    <cellStyle name="Percent 5 3 3 5 2" xfId="21236"/>
    <cellStyle name="Percent 5 3 3 5 2 2" xfId="38266"/>
    <cellStyle name="Percent 5 3 3 5 3" xfId="38267"/>
    <cellStyle name="Percent 5 3 3 6" xfId="21237"/>
    <cellStyle name="Percent 5 3 3 6 2" xfId="38268"/>
    <cellStyle name="Percent 5 3 3 7" xfId="21238"/>
    <cellStyle name="Percent 5 3 4" xfId="711"/>
    <cellStyle name="Percent 5 3 4 2" xfId="2410"/>
    <cellStyle name="Percent 5 3 4 2 2" xfId="21239"/>
    <cellStyle name="Percent 5 3 4 2 2 2" xfId="21240"/>
    <cellStyle name="Percent 5 3 4 2 2 2 2" xfId="38269"/>
    <cellStyle name="Percent 5 3 4 2 2 3" xfId="38270"/>
    <cellStyle name="Percent 5 3 4 2 3" xfId="21241"/>
    <cellStyle name="Percent 5 3 4 2 3 2" xfId="21242"/>
    <cellStyle name="Percent 5 3 4 2 3 2 2" xfId="38271"/>
    <cellStyle name="Percent 5 3 4 2 3 3" xfId="38272"/>
    <cellStyle name="Percent 5 3 4 2 4" xfId="21243"/>
    <cellStyle name="Percent 5 3 4 2 4 2" xfId="21244"/>
    <cellStyle name="Percent 5 3 4 2 4 2 2" xfId="38273"/>
    <cellStyle name="Percent 5 3 4 2 4 3" xfId="38274"/>
    <cellStyle name="Percent 5 3 4 2 5" xfId="21245"/>
    <cellStyle name="Percent 5 3 4 2 5 2" xfId="38275"/>
    <cellStyle name="Percent 5 3 4 2 6" xfId="21246"/>
    <cellStyle name="Percent 5 3 4 3" xfId="21247"/>
    <cellStyle name="Percent 5 3 4 3 2" xfId="21248"/>
    <cellStyle name="Percent 5 3 4 3 2 2" xfId="38276"/>
    <cellStyle name="Percent 5 3 4 3 3" xfId="38277"/>
    <cellStyle name="Percent 5 3 4 4" xfId="21249"/>
    <cellStyle name="Percent 5 3 4 4 2" xfId="21250"/>
    <cellStyle name="Percent 5 3 4 4 2 2" xfId="38278"/>
    <cellStyle name="Percent 5 3 4 4 3" xfId="38279"/>
    <cellStyle name="Percent 5 3 4 5" xfId="21251"/>
    <cellStyle name="Percent 5 3 4 5 2" xfId="21252"/>
    <cellStyle name="Percent 5 3 4 5 2 2" xfId="38280"/>
    <cellStyle name="Percent 5 3 4 5 3" xfId="38281"/>
    <cellStyle name="Percent 5 3 4 6" xfId="21253"/>
    <cellStyle name="Percent 5 3 4 6 2" xfId="38282"/>
    <cellStyle name="Percent 5 3 4 7" xfId="21254"/>
    <cellStyle name="Percent 5 3 5" xfId="2411"/>
    <cellStyle name="Percent 5 3 5 2" xfId="21255"/>
    <cellStyle name="Percent 5 3 5 2 2" xfId="21256"/>
    <cellStyle name="Percent 5 3 5 2 2 2" xfId="38283"/>
    <cellStyle name="Percent 5 3 5 2 3" xfId="38284"/>
    <cellStyle name="Percent 5 3 5 3" xfId="21257"/>
    <cellStyle name="Percent 5 3 5 3 2" xfId="21258"/>
    <cellStyle name="Percent 5 3 5 3 2 2" xfId="38285"/>
    <cellStyle name="Percent 5 3 5 3 3" xfId="38286"/>
    <cellStyle name="Percent 5 3 5 4" xfId="21259"/>
    <cellStyle name="Percent 5 3 5 4 2" xfId="21260"/>
    <cellStyle name="Percent 5 3 5 4 2 2" xfId="38287"/>
    <cellStyle name="Percent 5 3 5 4 3" xfId="38288"/>
    <cellStyle name="Percent 5 3 5 5" xfId="21261"/>
    <cellStyle name="Percent 5 3 5 5 2" xfId="38289"/>
    <cellStyle name="Percent 5 3 5 6" xfId="21262"/>
    <cellStyle name="Percent 5 3 6" xfId="21263"/>
    <cellStyle name="Percent 5 3 6 2" xfId="21264"/>
    <cellStyle name="Percent 5 3 6 2 2" xfId="38290"/>
    <cellStyle name="Percent 5 3 6 3" xfId="38291"/>
    <cellStyle name="Percent 5 3 7" xfId="21265"/>
    <cellStyle name="Percent 5 3 7 2" xfId="21266"/>
    <cellStyle name="Percent 5 3 7 2 2" xfId="38292"/>
    <cellStyle name="Percent 5 3 7 3" xfId="38293"/>
    <cellStyle name="Percent 5 3 8" xfId="21267"/>
    <cellStyle name="Percent 5 3 8 2" xfId="21268"/>
    <cellStyle name="Percent 5 3 8 2 2" xfId="38294"/>
    <cellStyle name="Percent 5 3 8 3" xfId="38295"/>
    <cellStyle name="Percent 5 3 9" xfId="21269"/>
    <cellStyle name="Percent 5 3 9 2" xfId="38296"/>
    <cellStyle name="Percent 5 4" xfId="152"/>
    <cellStyle name="Percent 5 4 2" xfId="940"/>
    <cellStyle name="Percent 5 4 2 2" xfId="2412"/>
    <cellStyle name="Percent 5 4 2 2 2" xfId="21270"/>
    <cellStyle name="Percent 5 4 2 2 2 2" xfId="21271"/>
    <cellStyle name="Percent 5 4 2 2 2 2 2" xfId="38297"/>
    <cellStyle name="Percent 5 4 2 2 2 3" xfId="38298"/>
    <cellStyle name="Percent 5 4 2 2 3" xfId="21272"/>
    <cellStyle name="Percent 5 4 2 2 3 2" xfId="21273"/>
    <cellStyle name="Percent 5 4 2 2 3 2 2" xfId="38299"/>
    <cellStyle name="Percent 5 4 2 2 3 3" xfId="38300"/>
    <cellStyle name="Percent 5 4 2 2 4" xfId="21274"/>
    <cellStyle name="Percent 5 4 2 2 4 2" xfId="21275"/>
    <cellStyle name="Percent 5 4 2 2 4 2 2" xfId="38301"/>
    <cellStyle name="Percent 5 4 2 2 4 3" xfId="38302"/>
    <cellStyle name="Percent 5 4 2 2 5" xfId="21276"/>
    <cellStyle name="Percent 5 4 2 2 5 2" xfId="38303"/>
    <cellStyle name="Percent 5 4 2 2 6" xfId="21277"/>
    <cellStyle name="Percent 5 4 2 3" xfId="21278"/>
    <cellStyle name="Percent 5 4 2 3 2" xfId="21279"/>
    <cellStyle name="Percent 5 4 2 3 2 2" xfId="38304"/>
    <cellStyle name="Percent 5 4 2 3 3" xfId="38305"/>
    <cellStyle name="Percent 5 4 2 4" xfId="21280"/>
    <cellStyle name="Percent 5 4 2 4 2" xfId="21281"/>
    <cellStyle name="Percent 5 4 2 4 2 2" xfId="38306"/>
    <cellStyle name="Percent 5 4 2 4 3" xfId="38307"/>
    <cellStyle name="Percent 5 4 2 5" xfId="21282"/>
    <cellStyle name="Percent 5 4 2 5 2" xfId="21283"/>
    <cellStyle name="Percent 5 4 2 5 2 2" xfId="38308"/>
    <cellStyle name="Percent 5 4 2 5 3" xfId="38309"/>
    <cellStyle name="Percent 5 4 2 6" xfId="21284"/>
    <cellStyle name="Percent 5 4 2 6 2" xfId="38310"/>
    <cellStyle name="Percent 5 4 2 7" xfId="21285"/>
    <cellStyle name="Percent 5 4 3" xfId="572"/>
    <cellStyle name="Percent 5 4 3 2" xfId="2413"/>
    <cellStyle name="Percent 5 4 3 2 2" xfId="21286"/>
    <cellStyle name="Percent 5 4 3 2 2 2" xfId="21287"/>
    <cellStyle name="Percent 5 4 3 2 2 2 2" xfId="38311"/>
    <cellStyle name="Percent 5 4 3 2 2 3" xfId="38312"/>
    <cellStyle name="Percent 5 4 3 2 3" xfId="21288"/>
    <cellStyle name="Percent 5 4 3 2 3 2" xfId="21289"/>
    <cellStyle name="Percent 5 4 3 2 3 2 2" xfId="38313"/>
    <cellStyle name="Percent 5 4 3 2 3 3" xfId="38314"/>
    <cellStyle name="Percent 5 4 3 2 4" xfId="21290"/>
    <cellStyle name="Percent 5 4 3 2 4 2" xfId="21291"/>
    <cellStyle name="Percent 5 4 3 2 4 2 2" xfId="38315"/>
    <cellStyle name="Percent 5 4 3 2 4 3" xfId="38316"/>
    <cellStyle name="Percent 5 4 3 2 5" xfId="21292"/>
    <cellStyle name="Percent 5 4 3 2 5 2" xfId="38317"/>
    <cellStyle name="Percent 5 4 3 2 6" xfId="21293"/>
    <cellStyle name="Percent 5 4 3 3" xfId="21294"/>
    <cellStyle name="Percent 5 4 3 3 2" xfId="21295"/>
    <cellStyle name="Percent 5 4 3 3 2 2" xfId="38318"/>
    <cellStyle name="Percent 5 4 3 3 3" xfId="38319"/>
    <cellStyle name="Percent 5 4 3 4" xfId="21296"/>
    <cellStyle name="Percent 5 4 3 4 2" xfId="21297"/>
    <cellStyle name="Percent 5 4 3 4 2 2" xfId="38320"/>
    <cellStyle name="Percent 5 4 3 4 3" xfId="38321"/>
    <cellStyle name="Percent 5 4 3 5" xfId="21298"/>
    <cellStyle name="Percent 5 4 3 5 2" xfId="21299"/>
    <cellStyle name="Percent 5 4 3 5 2 2" xfId="38322"/>
    <cellStyle name="Percent 5 4 3 5 3" xfId="38323"/>
    <cellStyle name="Percent 5 4 3 6" xfId="21300"/>
    <cellStyle name="Percent 5 4 3 6 2" xfId="38324"/>
    <cellStyle name="Percent 5 4 3 7" xfId="21301"/>
    <cellStyle name="Percent 5 4 4" xfId="2414"/>
    <cellStyle name="Percent 5 4 4 2" xfId="21302"/>
    <cellStyle name="Percent 5 4 4 2 2" xfId="21303"/>
    <cellStyle name="Percent 5 4 4 2 2 2" xfId="38325"/>
    <cellStyle name="Percent 5 4 4 2 3" xfId="38326"/>
    <cellStyle name="Percent 5 4 4 3" xfId="21304"/>
    <cellStyle name="Percent 5 4 4 3 2" xfId="21305"/>
    <cellStyle name="Percent 5 4 4 3 2 2" xfId="38327"/>
    <cellStyle name="Percent 5 4 4 3 3" xfId="38328"/>
    <cellStyle name="Percent 5 4 4 4" xfId="21306"/>
    <cellStyle name="Percent 5 4 4 4 2" xfId="21307"/>
    <cellStyle name="Percent 5 4 4 4 2 2" xfId="38329"/>
    <cellStyle name="Percent 5 4 4 4 3" xfId="38330"/>
    <cellStyle name="Percent 5 4 4 5" xfId="21308"/>
    <cellStyle name="Percent 5 4 4 5 2" xfId="38331"/>
    <cellStyle name="Percent 5 4 4 6" xfId="21309"/>
    <cellStyle name="Percent 5 4 5" xfId="21310"/>
    <cellStyle name="Percent 5 4 5 2" xfId="21311"/>
    <cellStyle name="Percent 5 4 5 2 2" xfId="38332"/>
    <cellStyle name="Percent 5 4 5 3" xfId="38333"/>
    <cellStyle name="Percent 5 4 6" xfId="21312"/>
    <cellStyle name="Percent 5 4 6 2" xfId="21313"/>
    <cellStyle name="Percent 5 4 6 2 2" xfId="38334"/>
    <cellStyle name="Percent 5 4 6 3" xfId="38335"/>
    <cellStyle name="Percent 5 4 7" xfId="21314"/>
    <cellStyle name="Percent 5 4 7 2" xfId="21315"/>
    <cellStyle name="Percent 5 4 7 2 2" xfId="38336"/>
    <cellStyle name="Percent 5 4 7 3" xfId="38337"/>
    <cellStyle name="Percent 5 4 8" xfId="21316"/>
    <cellStyle name="Percent 5 4 8 2" xfId="38338"/>
    <cellStyle name="Percent 5 4 9" xfId="21317"/>
    <cellStyle name="Percent 5 5" xfId="310"/>
    <cellStyle name="Percent 5 5 2" xfId="1098"/>
    <cellStyle name="Percent 5 5 2 2" xfId="2415"/>
    <cellStyle name="Percent 5 5 2 2 2" xfId="21318"/>
    <cellStyle name="Percent 5 5 2 2 2 2" xfId="21319"/>
    <cellStyle name="Percent 5 5 2 2 2 2 2" xfId="38339"/>
    <cellStyle name="Percent 5 5 2 2 2 3" xfId="38340"/>
    <cellStyle name="Percent 5 5 2 2 3" xfId="21320"/>
    <cellStyle name="Percent 5 5 2 2 3 2" xfId="21321"/>
    <cellStyle name="Percent 5 5 2 2 3 2 2" xfId="38341"/>
    <cellStyle name="Percent 5 5 2 2 3 3" xfId="38342"/>
    <cellStyle name="Percent 5 5 2 2 4" xfId="21322"/>
    <cellStyle name="Percent 5 5 2 2 4 2" xfId="21323"/>
    <cellStyle name="Percent 5 5 2 2 4 2 2" xfId="38343"/>
    <cellStyle name="Percent 5 5 2 2 4 3" xfId="38344"/>
    <cellStyle name="Percent 5 5 2 2 5" xfId="21324"/>
    <cellStyle name="Percent 5 5 2 2 5 2" xfId="38345"/>
    <cellStyle name="Percent 5 5 2 2 6" xfId="21325"/>
    <cellStyle name="Percent 5 5 2 3" xfId="21326"/>
    <cellStyle name="Percent 5 5 2 3 2" xfId="21327"/>
    <cellStyle name="Percent 5 5 2 3 2 2" xfId="38346"/>
    <cellStyle name="Percent 5 5 2 3 3" xfId="38347"/>
    <cellStyle name="Percent 5 5 2 4" xfId="21328"/>
    <cellStyle name="Percent 5 5 2 4 2" xfId="21329"/>
    <cellStyle name="Percent 5 5 2 4 2 2" xfId="38348"/>
    <cellStyle name="Percent 5 5 2 4 3" xfId="38349"/>
    <cellStyle name="Percent 5 5 2 5" xfId="21330"/>
    <cellStyle name="Percent 5 5 2 5 2" xfId="21331"/>
    <cellStyle name="Percent 5 5 2 5 2 2" xfId="38350"/>
    <cellStyle name="Percent 5 5 2 5 3" xfId="38351"/>
    <cellStyle name="Percent 5 5 2 6" xfId="21332"/>
    <cellStyle name="Percent 5 5 2 6 2" xfId="38352"/>
    <cellStyle name="Percent 5 5 2 7" xfId="21333"/>
    <cellStyle name="Percent 5 5 3" xfId="730"/>
    <cellStyle name="Percent 5 5 3 2" xfId="2416"/>
    <cellStyle name="Percent 5 5 3 2 2" xfId="21334"/>
    <cellStyle name="Percent 5 5 3 2 2 2" xfId="21335"/>
    <cellStyle name="Percent 5 5 3 2 2 2 2" xfId="38353"/>
    <cellStyle name="Percent 5 5 3 2 2 3" xfId="38354"/>
    <cellStyle name="Percent 5 5 3 2 3" xfId="21336"/>
    <cellStyle name="Percent 5 5 3 2 3 2" xfId="21337"/>
    <cellStyle name="Percent 5 5 3 2 3 2 2" xfId="38355"/>
    <cellStyle name="Percent 5 5 3 2 3 3" xfId="38356"/>
    <cellStyle name="Percent 5 5 3 2 4" xfId="21338"/>
    <cellStyle name="Percent 5 5 3 2 4 2" xfId="21339"/>
    <cellStyle name="Percent 5 5 3 2 4 2 2" xfId="38357"/>
    <cellStyle name="Percent 5 5 3 2 4 3" xfId="38358"/>
    <cellStyle name="Percent 5 5 3 2 5" xfId="21340"/>
    <cellStyle name="Percent 5 5 3 2 5 2" xfId="38359"/>
    <cellStyle name="Percent 5 5 3 2 6" xfId="21341"/>
    <cellStyle name="Percent 5 5 3 3" xfId="21342"/>
    <cellStyle name="Percent 5 5 3 3 2" xfId="21343"/>
    <cellStyle name="Percent 5 5 3 3 2 2" xfId="38360"/>
    <cellStyle name="Percent 5 5 3 3 3" xfId="38361"/>
    <cellStyle name="Percent 5 5 3 4" xfId="21344"/>
    <cellStyle name="Percent 5 5 3 4 2" xfId="21345"/>
    <cellStyle name="Percent 5 5 3 4 2 2" xfId="38362"/>
    <cellStyle name="Percent 5 5 3 4 3" xfId="38363"/>
    <cellStyle name="Percent 5 5 3 5" xfId="21346"/>
    <cellStyle name="Percent 5 5 3 5 2" xfId="21347"/>
    <cellStyle name="Percent 5 5 3 5 2 2" xfId="38364"/>
    <cellStyle name="Percent 5 5 3 5 3" xfId="38365"/>
    <cellStyle name="Percent 5 5 3 6" xfId="21348"/>
    <cellStyle name="Percent 5 5 3 6 2" xfId="38366"/>
    <cellStyle name="Percent 5 5 3 7" xfId="21349"/>
    <cellStyle name="Percent 5 5 4" xfId="2417"/>
    <cellStyle name="Percent 5 5 4 2" xfId="21350"/>
    <cellStyle name="Percent 5 5 4 2 2" xfId="21351"/>
    <cellStyle name="Percent 5 5 4 2 2 2" xfId="38367"/>
    <cellStyle name="Percent 5 5 4 2 3" xfId="38368"/>
    <cellStyle name="Percent 5 5 4 3" xfId="21352"/>
    <cellStyle name="Percent 5 5 4 3 2" xfId="21353"/>
    <cellStyle name="Percent 5 5 4 3 2 2" xfId="38369"/>
    <cellStyle name="Percent 5 5 4 3 3" xfId="38370"/>
    <cellStyle name="Percent 5 5 4 4" xfId="21354"/>
    <cellStyle name="Percent 5 5 4 4 2" xfId="21355"/>
    <cellStyle name="Percent 5 5 4 4 2 2" xfId="38371"/>
    <cellStyle name="Percent 5 5 4 4 3" xfId="38372"/>
    <cellStyle name="Percent 5 5 4 5" xfId="21356"/>
    <cellStyle name="Percent 5 5 4 5 2" xfId="38373"/>
    <cellStyle name="Percent 5 5 4 6" xfId="21357"/>
    <cellStyle name="Percent 5 5 5" xfId="21358"/>
    <cellStyle name="Percent 5 5 5 2" xfId="21359"/>
    <cellStyle name="Percent 5 5 5 2 2" xfId="38374"/>
    <cellStyle name="Percent 5 5 5 3" xfId="38375"/>
    <cellStyle name="Percent 5 5 6" xfId="21360"/>
    <cellStyle name="Percent 5 5 6 2" xfId="21361"/>
    <cellStyle name="Percent 5 5 6 2 2" xfId="38376"/>
    <cellStyle name="Percent 5 5 6 3" xfId="38377"/>
    <cellStyle name="Percent 5 5 7" xfId="21362"/>
    <cellStyle name="Percent 5 5 7 2" xfId="21363"/>
    <cellStyle name="Percent 5 5 7 2 2" xfId="38378"/>
    <cellStyle name="Percent 5 5 7 3" xfId="38379"/>
    <cellStyle name="Percent 5 5 8" xfId="21364"/>
    <cellStyle name="Percent 5 5 8 2" xfId="38380"/>
    <cellStyle name="Percent 5 5 9" xfId="21365"/>
    <cellStyle name="Percent 5 6" xfId="99"/>
    <cellStyle name="Percent 5 6 2" xfId="520"/>
    <cellStyle name="Percent 5 6 2 2" xfId="2418"/>
    <cellStyle name="Percent 5 6 2 2 2" xfId="21366"/>
    <cellStyle name="Percent 5 6 2 2 2 2" xfId="21367"/>
    <cellStyle name="Percent 5 6 2 2 2 2 2" xfId="38381"/>
    <cellStyle name="Percent 5 6 2 2 2 3" xfId="38382"/>
    <cellStyle name="Percent 5 6 2 2 3" xfId="21368"/>
    <cellStyle name="Percent 5 6 2 2 3 2" xfId="21369"/>
    <cellStyle name="Percent 5 6 2 2 3 2 2" xfId="38383"/>
    <cellStyle name="Percent 5 6 2 2 3 3" xfId="38384"/>
    <cellStyle name="Percent 5 6 2 2 4" xfId="21370"/>
    <cellStyle name="Percent 5 6 2 2 4 2" xfId="21371"/>
    <cellStyle name="Percent 5 6 2 2 4 2 2" xfId="38385"/>
    <cellStyle name="Percent 5 6 2 2 4 3" xfId="38386"/>
    <cellStyle name="Percent 5 6 2 2 5" xfId="21372"/>
    <cellStyle name="Percent 5 6 2 2 5 2" xfId="38387"/>
    <cellStyle name="Percent 5 6 2 2 6" xfId="21373"/>
    <cellStyle name="Percent 5 6 2 3" xfId="21374"/>
    <cellStyle name="Percent 5 6 2 3 2" xfId="21375"/>
    <cellStyle name="Percent 5 6 2 3 2 2" xfId="38388"/>
    <cellStyle name="Percent 5 6 2 3 3" xfId="38389"/>
    <cellStyle name="Percent 5 6 2 4" xfId="21376"/>
    <cellStyle name="Percent 5 6 2 4 2" xfId="21377"/>
    <cellStyle name="Percent 5 6 2 4 2 2" xfId="38390"/>
    <cellStyle name="Percent 5 6 2 4 3" xfId="38391"/>
    <cellStyle name="Percent 5 6 2 5" xfId="21378"/>
    <cellStyle name="Percent 5 6 2 5 2" xfId="21379"/>
    <cellStyle name="Percent 5 6 2 5 2 2" xfId="38392"/>
    <cellStyle name="Percent 5 6 2 5 3" xfId="38393"/>
    <cellStyle name="Percent 5 6 2 6" xfId="21380"/>
    <cellStyle name="Percent 5 6 2 6 2" xfId="38394"/>
    <cellStyle name="Percent 5 6 2 7" xfId="21381"/>
    <cellStyle name="Percent 5 6 3" xfId="2419"/>
    <cellStyle name="Percent 5 6 3 2" xfId="21382"/>
    <cellStyle name="Percent 5 6 3 2 2" xfId="21383"/>
    <cellStyle name="Percent 5 6 3 2 2 2" xfId="38395"/>
    <cellStyle name="Percent 5 6 3 2 3" xfId="38396"/>
    <cellStyle name="Percent 5 6 3 3" xfId="21384"/>
    <cellStyle name="Percent 5 6 3 3 2" xfId="21385"/>
    <cellStyle name="Percent 5 6 3 3 2 2" xfId="38397"/>
    <cellStyle name="Percent 5 6 3 3 3" xfId="38398"/>
    <cellStyle name="Percent 5 6 3 4" xfId="21386"/>
    <cellStyle name="Percent 5 6 3 4 2" xfId="21387"/>
    <cellStyle name="Percent 5 6 3 4 2 2" xfId="38399"/>
    <cellStyle name="Percent 5 6 3 4 3" xfId="38400"/>
    <cellStyle name="Percent 5 6 3 5" xfId="21388"/>
    <cellStyle name="Percent 5 6 3 5 2" xfId="38401"/>
    <cellStyle name="Percent 5 6 3 6" xfId="21389"/>
    <cellStyle name="Percent 5 6 4" xfId="21390"/>
    <cellStyle name="Percent 5 6 4 2" xfId="38402"/>
    <cellStyle name="Percent 5 6 5" xfId="21391"/>
    <cellStyle name="Percent 5 6 5 2" xfId="21392"/>
    <cellStyle name="Percent 5 6 5 2 2" xfId="38403"/>
    <cellStyle name="Percent 5 6 5 3" xfId="38404"/>
    <cellStyle name="Percent 5 6 6" xfId="21393"/>
    <cellStyle name="Percent 5 6 6 2" xfId="21394"/>
    <cellStyle name="Percent 5 6 6 2 2" xfId="38405"/>
    <cellStyle name="Percent 5 6 6 3" xfId="38406"/>
    <cellStyle name="Percent 5 6 7" xfId="21395"/>
    <cellStyle name="Percent 5 6 7 2" xfId="21396"/>
    <cellStyle name="Percent 5 6 7 2 2" xfId="38407"/>
    <cellStyle name="Percent 5 6 7 3" xfId="38408"/>
    <cellStyle name="Percent 5 6 8" xfId="21397"/>
    <cellStyle name="Percent 5 6 8 2" xfId="38409"/>
    <cellStyle name="Percent 5 6 9" xfId="21398"/>
    <cellStyle name="Percent 5 7" xfId="888"/>
    <cellStyle name="Percent 5 7 2" xfId="2420"/>
    <cellStyle name="Percent 5 7 2 2" xfId="21399"/>
    <cellStyle name="Percent 5 7 2 2 2" xfId="21400"/>
    <cellStyle name="Percent 5 7 2 2 2 2" xfId="38410"/>
    <cellStyle name="Percent 5 7 2 2 3" xfId="38411"/>
    <cellStyle name="Percent 5 7 2 3" xfId="21401"/>
    <cellStyle name="Percent 5 7 2 3 2" xfId="21402"/>
    <cellStyle name="Percent 5 7 2 3 2 2" xfId="38412"/>
    <cellStyle name="Percent 5 7 2 3 3" xfId="38413"/>
    <cellStyle name="Percent 5 7 2 4" xfId="21403"/>
    <cellStyle name="Percent 5 7 2 4 2" xfId="21404"/>
    <cellStyle name="Percent 5 7 2 4 2 2" xfId="38414"/>
    <cellStyle name="Percent 5 7 2 4 3" xfId="38415"/>
    <cellStyle name="Percent 5 7 2 5" xfId="21405"/>
    <cellStyle name="Percent 5 7 2 5 2" xfId="38416"/>
    <cellStyle name="Percent 5 7 2 6" xfId="21406"/>
    <cellStyle name="Percent 5 7 3" xfId="21407"/>
    <cellStyle name="Percent 5 7 3 2" xfId="21408"/>
    <cellStyle name="Percent 5 7 3 2 2" xfId="38417"/>
    <cellStyle name="Percent 5 7 3 3" xfId="38418"/>
    <cellStyle name="Percent 5 7 4" xfId="21409"/>
    <cellStyle name="Percent 5 7 4 2" xfId="21410"/>
    <cellStyle name="Percent 5 7 4 2 2" xfId="38419"/>
    <cellStyle name="Percent 5 7 4 3" xfId="38420"/>
    <cellStyle name="Percent 5 7 5" xfId="21411"/>
    <cellStyle name="Percent 5 7 5 2" xfId="21412"/>
    <cellStyle name="Percent 5 7 5 2 2" xfId="38421"/>
    <cellStyle name="Percent 5 7 5 3" xfId="38422"/>
    <cellStyle name="Percent 5 7 6" xfId="21413"/>
    <cellStyle name="Percent 5 7 6 2" xfId="38423"/>
    <cellStyle name="Percent 5 7 7" xfId="21414"/>
    <cellStyle name="Percent 5 8" xfId="502"/>
    <cellStyle name="Percent 5 8 2" xfId="2421"/>
    <cellStyle name="Percent 5 8 2 2" xfId="21415"/>
    <cellStyle name="Percent 5 8 2 2 2" xfId="21416"/>
    <cellStyle name="Percent 5 8 2 2 2 2" xfId="38424"/>
    <cellStyle name="Percent 5 8 2 2 3" xfId="38425"/>
    <cellStyle name="Percent 5 8 2 3" xfId="21417"/>
    <cellStyle name="Percent 5 8 2 3 2" xfId="21418"/>
    <cellStyle name="Percent 5 8 2 3 2 2" xfId="38426"/>
    <cellStyle name="Percent 5 8 2 3 3" xfId="38427"/>
    <cellStyle name="Percent 5 8 2 4" xfId="21419"/>
    <cellStyle name="Percent 5 8 2 4 2" xfId="21420"/>
    <cellStyle name="Percent 5 8 2 4 2 2" xfId="38428"/>
    <cellStyle name="Percent 5 8 2 4 3" xfId="38429"/>
    <cellStyle name="Percent 5 8 2 5" xfId="21421"/>
    <cellStyle name="Percent 5 8 2 5 2" xfId="38430"/>
    <cellStyle name="Percent 5 8 2 6" xfId="21422"/>
    <cellStyle name="Percent 5 8 3" xfId="21423"/>
    <cellStyle name="Percent 5 8 3 2" xfId="21424"/>
    <cellStyle name="Percent 5 8 3 2 2" xfId="38431"/>
    <cellStyle name="Percent 5 8 3 3" xfId="38432"/>
    <cellStyle name="Percent 5 8 4" xfId="21425"/>
    <cellStyle name="Percent 5 8 4 2" xfId="21426"/>
    <cellStyle name="Percent 5 8 4 2 2" xfId="38433"/>
    <cellStyle name="Percent 5 8 4 3" xfId="38434"/>
    <cellStyle name="Percent 5 8 5" xfId="21427"/>
    <cellStyle name="Percent 5 8 5 2" xfId="21428"/>
    <cellStyle name="Percent 5 8 5 2 2" xfId="38435"/>
    <cellStyle name="Percent 5 8 5 3" xfId="38436"/>
    <cellStyle name="Percent 5 8 6" xfId="21429"/>
    <cellStyle name="Percent 5 8 6 2" xfId="38437"/>
    <cellStyle name="Percent 5 8 7" xfId="21430"/>
    <cellStyle name="Percent 5 9" xfId="2422"/>
    <cellStyle name="Percent 5 9 2" xfId="21431"/>
    <cellStyle name="Percent 5 9 2 2" xfId="21432"/>
    <cellStyle name="Percent 5 9 2 2 2" xfId="38438"/>
    <cellStyle name="Percent 5 9 2 3" xfId="38439"/>
    <cellStyle name="Percent 5 9 3" xfId="21433"/>
    <cellStyle name="Percent 5 9 3 2" xfId="21434"/>
    <cellStyle name="Percent 5 9 3 2 2" xfId="38440"/>
    <cellStyle name="Percent 5 9 3 3" xfId="38441"/>
    <cellStyle name="Percent 5 9 4" xfId="21435"/>
    <cellStyle name="Percent 5 9 4 2" xfId="21436"/>
    <cellStyle name="Percent 5 9 4 2 2" xfId="38442"/>
    <cellStyle name="Percent 5 9 4 3" xfId="38443"/>
    <cellStyle name="Percent 5 9 5" xfId="21437"/>
    <cellStyle name="Percent 5 9 5 2" xfId="38444"/>
    <cellStyle name="Percent 5 9 6" xfId="21438"/>
    <cellStyle name="Percent 6" xfId="26"/>
    <cellStyle name="Percent 6 10" xfId="21439"/>
    <cellStyle name="Percent 6 10 2" xfId="38445"/>
    <cellStyle name="Percent 6 11" xfId="21440"/>
    <cellStyle name="Percent 6 11 2" xfId="21441"/>
    <cellStyle name="Percent 6 11 2 2" xfId="38446"/>
    <cellStyle name="Percent 6 11 3" xfId="38447"/>
    <cellStyle name="Percent 6 12" xfId="21442"/>
    <cellStyle name="Percent 6 12 2" xfId="21443"/>
    <cellStyle name="Percent 6 12 2 2" xfId="38448"/>
    <cellStyle name="Percent 6 12 3" xfId="38449"/>
    <cellStyle name="Percent 6 13" xfId="21444"/>
    <cellStyle name="Percent 6 13 2" xfId="21445"/>
    <cellStyle name="Percent 6 13 2 2" xfId="38450"/>
    <cellStyle name="Percent 6 13 3" xfId="38451"/>
    <cellStyle name="Percent 6 14" xfId="21446"/>
    <cellStyle name="Percent 6 14 2" xfId="38452"/>
    <cellStyle name="Percent 6 15" xfId="21447"/>
    <cellStyle name="Percent 6 2" xfId="189"/>
    <cellStyle name="Percent 6 2 10" xfId="21448"/>
    <cellStyle name="Percent 6 2 2" xfId="347"/>
    <cellStyle name="Percent 6 2 2 2" xfId="1135"/>
    <cellStyle name="Percent 6 2 2 2 2" xfId="2423"/>
    <cellStyle name="Percent 6 2 2 2 2 2" xfId="21449"/>
    <cellStyle name="Percent 6 2 2 2 2 2 2" xfId="21450"/>
    <cellStyle name="Percent 6 2 2 2 2 2 2 2" xfId="38453"/>
    <cellStyle name="Percent 6 2 2 2 2 2 3" xfId="38454"/>
    <cellStyle name="Percent 6 2 2 2 2 3" xfId="21451"/>
    <cellStyle name="Percent 6 2 2 2 2 3 2" xfId="21452"/>
    <cellStyle name="Percent 6 2 2 2 2 3 2 2" xfId="38455"/>
    <cellStyle name="Percent 6 2 2 2 2 3 3" xfId="38456"/>
    <cellStyle name="Percent 6 2 2 2 2 4" xfId="21453"/>
    <cellStyle name="Percent 6 2 2 2 2 4 2" xfId="21454"/>
    <cellStyle name="Percent 6 2 2 2 2 4 2 2" xfId="38457"/>
    <cellStyle name="Percent 6 2 2 2 2 4 3" xfId="38458"/>
    <cellStyle name="Percent 6 2 2 2 2 5" xfId="21455"/>
    <cellStyle name="Percent 6 2 2 2 2 5 2" xfId="38459"/>
    <cellStyle name="Percent 6 2 2 2 2 6" xfId="21456"/>
    <cellStyle name="Percent 6 2 2 2 3" xfId="21457"/>
    <cellStyle name="Percent 6 2 2 2 3 2" xfId="21458"/>
    <cellStyle name="Percent 6 2 2 2 3 2 2" xfId="38460"/>
    <cellStyle name="Percent 6 2 2 2 3 3" xfId="38461"/>
    <cellStyle name="Percent 6 2 2 2 4" xfId="21459"/>
    <cellStyle name="Percent 6 2 2 2 4 2" xfId="21460"/>
    <cellStyle name="Percent 6 2 2 2 4 2 2" xfId="38462"/>
    <cellStyle name="Percent 6 2 2 2 4 3" xfId="38463"/>
    <cellStyle name="Percent 6 2 2 2 5" xfId="21461"/>
    <cellStyle name="Percent 6 2 2 2 5 2" xfId="21462"/>
    <cellStyle name="Percent 6 2 2 2 5 2 2" xfId="38464"/>
    <cellStyle name="Percent 6 2 2 2 5 3" xfId="38465"/>
    <cellStyle name="Percent 6 2 2 2 6" xfId="21463"/>
    <cellStyle name="Percent 6 2 2 2 6 2" xfId="38466"/>
    <cellStyle name="Percent 6 2 2 2 7" xfId="21464"/>
    <cellStyle name="Percent 6 2 2 3" xfId="767"/>
    <cellStyle name="Percent 6 2 2 3 2" xfId="2424"/>
    <cellStyle name="Percent 6 2 2 3 2 2" xfId="21465"/>
    <cellStyle name="Percent 6 2 2 3 2 2 2" xfId="21466"/>
    <cellStyle name="Percent 6 2 2 3 2 2 2 2" xfId="38467"/>
    <cellStyle name="Percent 6 2 2 3 2 2 3" xfId="38468"/>
    <cellStyle name="Percent 6 2 2 3 2 3" xfId="21467"/>
    <cellStyle name="Percent 6 2 2 3 2 3 2" xfId="21468"/>
    <cellStyle name="Percent 6 2 2 3 2 3 2 2" xfId="38469"/>
    <cellStyle name="Percent 6 2 2 3 2 3 3" xfId="38470"/>
    <cellStyle name="Percent 6 2 2 3 2 4" xfId="21469"/>
    <cellStyle name="Percent 6 2 2 3 2 4 2" xfId="21470"/>
    <cellStyle name="Percent 6 2 2 3 2 4 2 2" xfId="38471"/>
    <cellStyle name="Percent 6 2 2 3 2 4 3" xfId="38472"/>
    <cellStyle name="Percent 6 2 2 3 2 5" xfId="21471"/>
    <cellStyle name="Percent 6 2 2 3 2 5 2" xfId="38473"/>
    <cellStyle name="Percent 6 2 2 3 2 6" xfId="21472"/>
    <cellStyle name="Percent 6 2 2 3 3" xfId="21473"/>
    <cellStyle name="Percent 6 2 2 3 3 2" xfId="21474"/>
    <cellStyle name="Percent 6 2 2 3 3 2 2" xfId="38474"/>
    <cellStyle name="Percent 6 2 2 3 3 3" xfId="38475"/>
    <cellStyle name="Percent 6 2 2 3 4" xfId="21475"/>
    <cellStyle name="Percent 6 2 2 3 4 2" xfId="21476"/>
    <cellStyle name="Percent 6 2 2 3 4 2 2" xfId="38476"/>
    <cellStyle name="Percent 6 2 2 3 4 3" xfId="38477"/>
    <cellStyle name="Percent 6 2 2 3 5" xfId="21477"/>
    <cellStyle name="Percent 6 2 2 3 5 2" xfId="21478"/>
    <cellStyle name="Percent 6 2 2 3 5 2 2" xfId="38478"/>
    <cellStyle name="Percent 6 2 2 3 5 3" xfId="38479"/>
    <cellStyle name="Percent 6 2 2 3 6" xfId="21479"/>
    <cellStyle name="Percent 6 2 2 3 6 2" xfId="38480"/>
    <cellStyle name="Percent 6 2 2 3 7" xfId="21480"/>
    <cellStyle name="Percent 6 2 2 4" xfId="2425"/>
    <cellStyle name="Percent 6 2 2 4 2" xfId="21481"/>
    <cellStyle name="Percent 6 2 2 4 2 2" xfId="21482"/>
    <cellStyle name="Percent 6 2 2 4 2 2 2" xfId="38481"/>
    <cellStyle name="Percent 6 2 2 4 2 3" xfId="38482"/>
    <cellStyle name="Percent 6 2 2 4 3" xfId="21483"/>
    <cellStyle name="Percent 6 2 2 4 3 2" xfId="21484"/>
    <cellStyle name="Percent 6 2 2 4 3 2 2" xfId="38483"/>
    <cellStyle name="Percent 6 2 2 4 3 3" xfId="38484"/>
    <cellStyle name="Percent 6 2 2 4 4" xfId="21485"/>
    <cellStyle name="Percent 6 2 2 4 4 2" xfId="21486"/>
    <cellStyle name="Percent 6 2 2 4 4 2 2" xfId="38485"/>
    <cellStyle name="Percent 6 2 2 4 4 3" xfId="38486"/>
    <cellStyle name="Percent 6 2 2 4 5" xfId="21487"/>
    <cellStyle name="Percent 6 2 2 4 5 2" xfId="38487"/>
    <cellStyle name="Percent 6 2 2 4 6" xfId="21488"/>
    <cellStyle name="Percent 6 2 2 5" xfId="21489"/>
    <cellStyle name="Percent 6 2 2 5 2" xfId="21490"/>
    <cellStyle name="Percent 6 2 2 5 2 2" xfId="38488"/>
    <cellStyle name="Percent 6 2 2 5 3" xfId="38489"/>
    <cellStyle name="Percent 6 2 2 6" xfId="21491"/>
    <cellStyle name="Percent 6 2 2 6 2" xfId="21492"/>
    <cellStyle name="Percent 6 2 2 6 2 2" xfId="38490"/>
    <cellStyle name="Percent 6 2 2 6 3" xfId="38491"/>
    <cellStyle name="Percent 6 2 2 7" xfId="21493"/>
    <cellStyle name="Percent 6 2 2 7 2" xfId="21494"/>
    <cellStyle name="Percent 6 2 2 7 2 2" xfId="38492"/>
    <cellStyle name="Percent 6 2 2 7 3" xfId="38493"/>
    <cellStyle name="Percent 6 2 2 8" xfId="21495"/>
    <cellStyle name="Percent 6 2 2 8 2" xfId="38494"/>
    <cellStyle name="Percent 6 2 2 9" xfId="21496"/>
    <cellStyle name="Percent 6 2 3" xfId="977"/>
    <cellStyle name="Percent 6 2 3 2" xfId="2426"/>
    <cellStyle name="Percent 6 2 3 2 2" xfId="21497"/>
    <cellStyle name="Percent 6 2 3 2 2 2" xfId="21498"/>
    <cellStyle name="Percent 6 2 3 2 2 2 2" xfId="38495"/>
    <cellStyle name="Percent 6 2 3 2 2 3" xfId="38496"/>
    <cellStyle name="Percent 6 2 3 2 3" xfId="21499"/>
    <cellStyle name="Percent 6 2 3 2 3 2" xfId="21500"/>
    <cellStyle name="Percent 6 2 3 2 3 2 2" xfId="38497"/>
    <cellStyle name="Percent 6 2 3 2 3 3" xfId="38498"/>
    <cellStyle name="Percent 6 2 3 2 4" xfId="21501"/>
    <cellStyle name="Percent 6 2 3 2 4 2" xfId="21502"/>
    <cellStyle name="Percent 6 2 3 2 4 2 2" xfId="38499"/>
    <cellStyle name="Percent 6 2 3 2 4 3" xfId="38500"/>
    <cellStyle name="Percent 6 2 3 2 5" xfId="21503"/>
    <cellStyle name="Percent 6 2 3 2 5 2" xfId="38501"/>
    <cellStyle name="Percent 6 2 3 2 6" xfId="21504"/>
    <cellStyle name="Percent 6 2 3 3" xfId="21505"/>
    <cellStyle name="Percent 6 2 3 3 2" xfId="21506"/>
    <cellStyle name="Percent 6 2 3 3 2 2" xfId="38502"/>
    <cellStyle name="Percent 6 2 3 3 3" xfId="38503"/>
    <cellStyle name="Percent 6 2 3 4" xfId="21507"/>
    <cellStyle name="Percent 6 2 3 4 2" xfId="21508"/>
    <cellStyle name="Percent 6 2 3 4 2 2" xfId="38504"/>
    <cellStyle name="Percent 6 2 3 4 3" xfId="38505"/>
    <cellStyle name="Percent 6 2 3 5" xfId="21509"/>
    <cellStyle name="Percent 6 2 3 5 2" xfId="21510"/>
    <cellStyle name="Percent 6 2 3 5 2 2" xfId="38506"/>
    <cellStyle name="Percent 6 2 3 5 3" xfId="38507"/>
    <cellStyle name="Percent 6 2 3 6" xfId="21511"/>
    <cellStyle name="Percent 6 2 3 6 2" xfId="38508"/>
    <cellStyle name="Percent 6 2 3 7" xfId="21512"/>
    <cellStyle name="Percent 6 2 4" xfId="609"/>
    <cellStyle name="Percent 6 2 4 2" xfId="2427"/>
    <cellStyle name="Percent 6 2 4 2 2" xfId="21513"/>
    <cellStyle name="Percent 6 2 4 2 2 2" xfId="21514"/>
    <cellStyle name="Percent 6 2 4 2 2 2 2" xfId="38509"/>
    <cellStyle name="Percent 6 2 4 2 2 3" xfId="38510"/>
    <cellStyle name="Percent 6 2 4 2 3" xfId="21515"/>
    <cellStyle name="Percent 6 2 4 2 3 2" xfId="21516"/>
    <cellStyle name="Percent 6 2 4 2 3 2 2" xfId="38511"/>
    <cellStyle name="Percent 6 2 4 2 3 3" xfId="38512"/>
    <cellStyle name="Percent 6 2 4 2 4" xfId="21517"/>
    <cellStyle name="Percent 6 2 4 2 4 2" xfId="21518"/>
    <cellStyle name="Percent 6 2 4 2 4 2 2" xfId="38513"/>
    <cellStyle name="Percent 6 2 4 2 4 3" xfId="38514"/>
    <cellStyle name="Percent 6 2 4 2 5" xfId="21519"/>
    <cellStyle name="Percent 6 2 4 2 5 2" xfId="38515"/>
    <cellStyle name="Percent 6 2 4 2 6" xfId="21520"/>
    <cellStyle name="Percent 6 2 4 3" xfId="21521"/>
    <cellStyle name="Percent 6 2 4 3 2" xfId="21522"/>
    <cellStyle name="Percent 6 2 4 3 2 2" xfId="38516"/>
    <cellStyle name="Percent 6 2 4 3 3" xfId="38517"/>
    <cellStyle name="Percent 6 2 4 4" xfId="21523"/>
    <cellStyle name="Percent 6 2 4 4 2" xfId="21524"/>
    <cellStyle name="Percent 6 2 4 4 2 2" xfId="38518"/>
    <cellStyle name="Percent 6 2 4 4 3" xfId="38519"/>
    <cellStyle name="Percent 6 2 4 5" xfId="21525"/>
    <cellStyle name="Percent 6 2 4 5 2" xfId="21526"/>
    <cellStyle name="Percent 6 2 4 5 2 2" xfId="38520"/>
    <cellStyle name="Percent 6 2 4 5 3" xfId="38521"/>
    <cellStyle name="Percent 6 2 4 6" xfId="21527"/>
    <cellStyle name="Percent 6 2 4 6 2" xfId="38522"/>
    <cellStyle name="Percent 6 2 4 7" xfId="21528"/>
    <cellStyle name="Percent 6 2 5" xfId="2428"/>
    <cellStyle name="Percent 6 2 5 2" xfId="21529"/>
    <cellStyle name="Percent 6 2 5 2 2" xfId="21530"/>
    <cellStyle name="Percent 6 2 5 2 2 2" xfId="38523"/>
    <cellStyle name="Percent 6 2 5 2 3" xfId="38524"/>
    <cellStyle name="Percent 6 2 5 3" xfId="21531"/>
    <cellStyle name="Percent 6 2 5 3 2" xfId="21532"/>
    <cellStyle name="Percent 6 2 5 3 2 2" xfId="38525"/>
    <cellStyle name="Percent 6 2 5 3 3" xfId="38526"/>
    <cellStyle name="Percent 6 2 5 4" xfId="21533"/>
    <cellStyle name="Percent 6 2 5 4 2" xfId="21534"/>
    <cellStyle name="Percent 6 2 5 4 2 2" xfId="38527"/>
    <cellStyle name="Percent 6 2 5 4 3" xfId="38528"/>
    <cellStyle name="Percent 6 2 5 5" xfId="21535"/>
    <cellStyle name="Percent 6 2 5 5 2" xfId="38529"/>
    <cellStyle name="Percent 6 2 5 6" xfId="21536"/>
    <cellStyle name="Percent 6 2 6" xfId="21537"/>
    <cellStyle name="Percent 6 2 6 2" xfId="21538"/>
    <cellStyle name="Percent 6 2 6 2 2" xfId="38530"/>
    <cellStyle name="Percent 6 2 6 3" xfId="38531"/>
    <cellStyle name="Percent 6 2 7" xfId="21539"/>
    <cellStyle name="Percent 6 2 7 2" xfId="21540"/>
    <cellStyle name="Percent 6 2 7 2 2" xfId="38532"/>
    <cellStyle name="Percent 6 2 7 3" xfId="38533"/>
    <cellStyle name="Percent 6 2 8" xfId="21541"/>
    <cellStyle name="Percent 6 2 8 2" xfId="21542"/>
    <cellStyle name="Percent 6 2 8 2 2" xfId="38534"/>
    <cellStyle name="Percent 6 2 8 3" xfId="38535"/>
    <cellStyle name="Percent 6 2 9" xfId="21543"/>
    <cellStyle name="Percent 6 2 9 2" xfId="38536"/>
    <cellStyle name="Percent 6 3" xfId="292"/>
    <cellStyle name="Percent 6 3 10" xfId="21544"/>
    <cellStyle name="Percent 6 3 2" xfId="450"/>
    <cellStyle name="Percent 6 3 2 2" xfId="1238"/>
    <cellStyle name="Percent 6 3 2 2 2" xfId="2429"/>
    <cellStyle name="Percent 6 3 2 2 2 2" xfId="21545"/>
    <cellStyle name="Percent 6 3 2 2 2 2 2" xfId="21546"/>
    <cellStyle name="Percent 6 3 2 2 2 2 2 2" xfId="38537"/>
    <cellStyle name="Percent 6 3 2 2 2 2 3" xfId="38538"/>
    <cellStyle name="Percent 6 3 2 2 2 3" xfId="21547"/>
    <cellStyle name="Percent 6 3 2 2 2 3 2" xfId="21548"/>
    <cellStyle name="Percent 6 3 2 2 2 3 2 2" xfId="38539"/>
    <cellStyle name="Percent 6 3 2 2 2 3 3" xfId="38540"/>
    <cellStyle name="Percent 6 3 2 2 2 4" xfId="21549"/>
    <cellStyle name="Percent 6 3 2 2 2 4 2" xfId="21550"/>
    <cellStyle name="Percent 6 3 2 2 2 4 2 2" xfId="38541"/>
    <cellStyle name="Percent 6 3 2 2 2 4 3" xfId="38542"/>
    <cellStyle name="Percent 6 3 2 2 2 5" xfId="21551"/>
    <cellStyle name="Percent 6 3 2 2 2 5 2" xfId="38543"/>
    <cellStyle name="Percent 6 3 2 2 2 6" xfId="21552"/>
    <cellStyle name="Percent 6 3 2 2 3" xfId="21553"/>
    <cellStyle name="Percent 6 3 2 2 3 2" xfId="21554"/>
    <cellStyle name="Percent 6 3 2 2 3 2 2" xfId="38544"/>
    <cellStyle name="Percent 6 3 2 2 3 3" xfId="38545"/>
    <cellStyle name="Percent 6 3 2 2 4" xfId="21555"/>
    <cellStyle name="Percent 6 3 2 2 4 2" xfId="21556"/>
    <cellStyle name="Percent 6 3 2 2 4 2 2" xfId="38546"/>
    <cellStyle name="Percent 6 3 2 2 4 3" xfId="38547"/>
    <cellStyle name="Percent 6 3 2 2 5" xfId="21557"/>
    <cellStyle name="Percent 6 3 2 2 5 2" xfId="21558"/>
    <cellStyle name="Percent 6 3 2 2 5 2 2" xfId="38548"/>
    <cellStyle name="Percent 6 3 2 2 5 3" xfId="38549"/>
    <cellStyle name="Percent 6 3 2 2 6" xfId="21559"/>
    <cellStyle name="Percent 6 3 2 2 6 2" xfId="38550"/>
    <cellStyle name="Percent 6 3 2 2 7" xfId="21560"/>
    <cellStyle name="Percent 6 3 2 3" xfId="870"/>
    <cellStyle name="Percent 6 3 2 3 2" xfId="2430"/>
    <cellStyle name="Percent 6 3 2 3 2 2" xfId="21561"/>
    <cellStyle name="Percent 6 3 2 3 2 2 2" xfId="21562"/>
    <cellStyle name="Percent 6 3 2 3 2 2 2 2" xfId="38551"/>
    <cellStyle name="Percent 6 3 2 3 2 2 3" xfId="38552"/>
    <cellStyle name="Percent 6 3 2 3 2 3" xfId="21563"/>
    <cellStyle name="Percent 6 3 2 3 2 3 2" xfId="21564"/>
    <cellStyle name="Percent 6 3 2 3 2 3 2 2" xfId="38553"/>
    <cellStyle name="Percent 6 3 2 3 2 3 3" xfId="38554"/>
    <cellStyle name="Percent 6 3 2 3 2 4" xfId="21565"/>
    <cellStyle name="Percent 6 3 2 3 2 4 2" xfId="21566"/>
    <cellStyle name="Percent 6 3 2 3 2 4 2 2" xfId="38555"/>
    <cellStyle name="Percent 6 3 2 3 2 4 3" xfId="38556"/>
    <cellStyle name="Percent 6 3 2 3 2 5" xfId="21567"/>
    <cellStyle name="Percent 6 3 2 3 2 5 2" xfId="38557"/>
    <cellStyle name="Percent 6 3 2 3 2 6" xfId="21568"/>
    <cellStyle name="Percent 6 3 2 3 3" xfId="21569"/>
    <cellStyle name="Percent 6 3 2 3 3 2" xfId="21570"/>
    <cellStyle name="Percent 6 3 2 3 3 2 2" xfId="38558"/>
    <cellStyle name="Percent 6 3 2 3 3 3" xfId="38559"/>
    <cellStyle name="Percent 6 3 2 3 4" xfId="21571"/>
    <cellStyle name="Percent 6 3 2 3 4 2" xfId="21572"/>
    <cellStyle name="Percent 6 3 2 3 4 2 2" xfId="38560"/>
    <cellStyle name="Percent 6 3 2 3 4 3" xfId="38561"/>
    <cellStyle name="Percent 6 3 2 3 5" xfId="21573"/>
    <cellStyle name="Percent 6 3 2 3 5 2" xfId="21574"/>
    <cellStyle name="Percent 6 3 2 3 5 2 2" xfId="38562"/>
    <cellStyle name="Percent 6 3 2 3 5 3" xfId="38563"/>
    <cellStyle name="Percent 6 3 2 3 6" xfId="21575"/>
    <cellStyle name="Percent 6 3 2 3 6 2" xfId="38564"/>
    <cellStyle name="Percent 6 3 2 3 7" xfId="21576"/>
    <cellStyle name="Percent 6 3 2 4" xfId="2431"/>
    <cellStyle name="Percent 6 3 2 4 2" xfId="21577"/>
    <cellStyle name="Percent 6 3 2 4 2 2" xfId="21578"/>
    <cellStyle name="Percent 6 3 2 4 2 2 2" xfId="38565"/>
    <cellStyle name="Percent 6 3 2 4 2 3" xfId="38566"/>
    <cellStyle name="Percent 6 3 2 4 3" xfId="21579"/>
    <cellStyle name="Percent 6 3 2 4 3 2" xfId="21580"/>
    <cellStyle name="Percent 6 3 2 4 3 2 2" xfId="38567"/>
    <cellStyle name="Percent 6 3 2 4 3 3" xfId="38568"/>
    <cellStyle name="Percent 6 3 2 4 4" xfId="21581"/>
    <cellStyle name="Percent 6 3 2 4 4 2" xfId="21582"/>
    <cellStyle name="Percent 6 3 2 4 4 2 2" xfId="38569"/>
    <cellStyle name="Percent 6 3 2 4 4 3" xfId="38570"/>
    <cellStyle name="Percent 6 3 2 4 5" xfId="21583"/>
    <cellStyle name="Percent 6 3 2 4 5 2" xfId="38571"/>
    <cellStyle name="Percent 6 3 2 4 6" xfId="21584"/>
    <cellStyle name="Percent 6 3 2 5" xfId="21585"/>
    <cellStyle name="Percent 6 3 2 5 2" xfId="21586"/>
    <cellStyle name="Percent 6 3 2 5 2 2" xfId="38572"/>
    <cellStyle name="Percent 6 3 2 5 3" xfId="38573"/>
    <cellStyle name="Percent 6 3 2 6" xfId="21587"/>
    <cellStyle name="Percent 6 3 2 6 2" xfId="21588"/>
    <cellStyle name="Percent 6 3 2 6 2 2" xfId="38574"/>
    <cellStyle name="Percent 6 3 2 6 3" xfId="38575"/>
    <cellStyle name="Percent 6 3 2 7" xfId="21589"/>
    <cellStyle name="Percent 6 3 2 7 2" xfId="21590"/>
    <cellStyle name="Percent 6 3 2 7 2 2" xfId="38576"/>
    <cellStyle name="Percent 6 3 2 7 3" xfId="38577"/>
    <cellStyle name="Percent 6 3 2 8" xfId="21591"/>
    <cellStyle name="Percent 6 3 2 8 2" xfId="38578"/>
    <cellStyle name="Percent 6 3 2 9" xfId="21592"/>
    <cellStyle name="Percent 6 3 3" xfId="1080"/>
    <cellStyle name="Percent 6 3 3 2" xfId="2432"/>
    <cellStyle name="Percent 6 3 3 2 2" xfId="21593"/>
    <cellStyle name="Percent 6 3 3 2 2 2" xfId="21594"/>
    <cellStyle name="Percent 6 3 3 2 2 2 2" xfId="38579"/>
    <cellStyle name="Percent 6 3 3 2 2 3" xfId="38580"/>
    <cellStyle name="Percent 6 3 3 2 3" xfId="21595"/>
    <cellStyle name="Percent 6 3 3 2 3 2" xfId="21596"/>
    <cellStyle name="Percent 6 3 3 2 3 2 2" xfId="38581"/>
    <cellStyle name="Percent 6 3 3 2 3 3" xfId="38582"/>
    <cellStyle name="Percent 6 3 3 2 4" xfId="21597"/>
    <cellStyle name="Percent 6 3 3 2 4 2" xfId="21598"/>
    <cellStyle name="Percent 6 3 3 2 4 2 2" xfId="38583"/>
    <cellStyle name="Percent 6 3 3 2 4 3" xfId="38584"/>
    <cellStyle name="Percent 6 3 3 2 5" xfId="21599"/>
    <cellStyle name="Percent 6 3 3 2 5 2" xfId="38585"/>
    <cellStyle name="Percent 6 3 3 2 6" xfId="21600"/>
    <cellStyle name="Percent 6 3 3 3" xfId="21601"/>
    <cellStyle name="Percent 6 3 3 3 2" xfId="21602"/>
    <cellStyle name="Percent 6 3 3 3 2 2" xfId="38586"/>
    <cellStyle name="Percent 6 3 3 3 3" xfId="38587"/>
    <cellStyle name="Percent 6 3 3 4" xfId="21603"/>
    <cellStyle name="Percent 6 3 3 4 2" xfId="21604"/>
    <cellStyle name="Percent 6 3 3 4 2 2" xfId="38588"/>
    <cellStyle name="Percent 6 3 3 4 3" xfId="38589"/>
    <cellStyle name="Percent 6 3 3 5" xfId="21605"/>
    <cellStyle name="Percent 6 3 3 5 2" xfId="21606"/>
    <cellStyle name="Percent 6 3 3 5 2 2" xfId="38590"/>
    <cellStyle name="Percent 6 3 3 5 3" xfId="38591"/>
    <cellStyle name="Percent 6 3 3 6" xfId="21607"/>
    <cellStyle name="Percent 6 3 3 6 2" xfId="38592"/>
    <cellStyle name="Percent 6 3 3 7" xfId="21608"/>
    <cellStyle name="Percent 6 3 4" xfId="712"/>
    <cellStyle name="Percent 6 3 4 2" xfId="2433"/>
    <cellStyle name="Percent 6 3 4 2 2" xfId="21609"/>
    <cellStyle name="Percent 6 3 4 2 2 2" xfId="21610"/>
    <cellStyle name="Percent 6 3 4 2 2 2 2" xfId="38593"/>
    <cellStyle name="Percent 6 3 4 2 2 3" xfId="38594"/>
    <cellStyle name="Percent 6 3 4 2 3" xfId="21611"/>
    <cellStyle name="Percent 6 3 4 2 3 2" xfId="21612"/>
    <cellStyle name="Percent 6 3 4 2 3 2 2" xfId="38595"/>
    <cellStyle name="Percent 6 3 4 2 3 3" xfId="38596"/>
    <cellStyle name="Percent 6 3 4 2 4" xfId="21613"/>
    <cellStyle name="Percent 6 3 4 2 4 2" xfId="21614"/>
    <cellStyle name="Percent 6 3 4 2 4 2 2" xfId="38597"/>
    <cellStyle name="Percent 6 3 4 2 4 3" xfId="38598"/>
    <cellStyle name="Percent 6 3 4 2 5" xfId="21615"/>
    <cellStyle name="Percent 6 3 4 2 5 2" xfId="38599"/>
    <cellStyle name="Percent 6 3 4 2 6" xfId="21616"/>
    <cellStyle name="Percent 6 3 4 3" xfId="21617"/>
    <cellStyle name="Percent 6 3 4 3 2" xfId="21618"/>
    <cellStyle name="Percent 6 3 4 3 2 2" xfId="38600"/>
    <cellStyle name="Percent 6 3 4 3 3" xfId="38601"/>
    <cellStyle name="Percent 6 3 4 4" xfId="21619"/>
    <cellStyle name="Percent 6 3 4 4 2" xfId="21620"/>
    <cellStyle name="Percent 6 3 4 4 2 2" xfId="38602"/>
    <cellStyle name="Percent 6 3 4 4 3" xfId="38603"/>
    <cellStyle name="Percent 6 3 4 5" xfId="21621"/>
    <cellStyle name="Percent 6 3 4 5 2" xfId="21622"/>
    <cellStyle name="Percent 6 3 4 5 2 2" xfId="38604"/>
    <cellStyle name="Percent 6 3 4 5 3" xfId="38605"/>
    <cellStyle name="Percent 6 3 4 6" xfId="21623"/>
    <cellStyle name="Percent 6 3 4 6 2" xfId="38606"/>
    <cellStyle name="Percent 6 3 4 7" xfId="21624"/>
    <cellStyle name="Percent 6 3 5" xfId="2434"/>
    <cellStyle name="Percent 6 3 5 2" xfId="21625"/>
    <cellStyle name="Percent 6 3 5 2 2" xfId="21626"/>
    <cellStyle name="Percent 6 3 5 2 2 2" xfId="38607"/>
    <cellStyle name="Percent 6 3 5 2 3" xfId="38608"/>
    <cellStyle name="Percent 6 3 5 3" xfId="21627"/>
    <cellStyle name="Percent 6 3 5 3 2" xfId="21628"/>
    <cellStyle name="Percent 6 3 5 3 2 2" xfId="38609"/>
    <cellStyle name="Percent 6 3 5 3 3" xfId="38610"/>
    <cellStyle name="Percent 6 3 5 4" xfId="21629"/>
    <cellStyle name="Percent 6 3 5 4 2" xfId="21630"/>
    <cellStyle name="Percent 6 3 5 4 2 2" xfId="38611"/>
    <cellStyle name="Percent 6 3 5 4 3" xfId="38612"/>
    <cellStyle name="Percent 6 3 5 5" xfId="21631"/>
    <cellStyle name="Percent 6 3 5 5 2" xfId="38613"/>
    <cellStyle name="Percent 6 3 5 6" xfId="21632"/>
    <cellStyle name="Percent 6 3 6" xfId="21633"/>
    <cellStyle name="Percent 6 3 6 2" xfId="21634"/>
    <cellStyle name="Percent 6 3 6 2 2" xfId="38614"/>
    <cellStyle name="Percent 6 3 6 3" xfId="38615"/>
    <cellStyle name="Percent 6 3 7" xfId="21635"/>
    <cellStyle name="Percent 6 3 7 2" xfId="21636"/>
    <cellStyle name="Percent 6 3 7 2 2" xfId="38616"/>
    <cellStyle name="Percent 6 3 7 3" xfId="38617"/>
    <cellStyle name="Percent 6 3 8" xfId="21637"/>
    <cellStyle name="Percent 6 3 8 2" xfId="21638"/>
    <cellStyle name="Percent 6 3 8 2 2" xfId="38618"/>
    <cellStyle name="Percent 6 3 8 3" xfId="38619"/>
    <cellStyle name="Percent 6 3 9" xfId="21639"/>
    <cellStyle name="Percent 6 3 9 2" xfId="38620"/>
    <cellStyle name="Percent 6 4" xfId="186"/>
    <cellStyle name="Percent 6 4 2" xfId="974"/>
    <cellStyle name="Percent 6 4 2 2" xfId="2435"/>
    <cellStyle name="Percent 6 4 2 2 2" xfId="21640"/>
    <cellStyle name="Percent 6 4 2 2 2 2" xfId="21641"/>
    <cellStyle name="Percent 6 4 2 2 2 2 2" xfId="38621"/>
    <cellStyle name="Percent 6 4 2 2 2 3" xfId="38622"/>
    <cellStyle name="Percent 6 4 2 2 3" xfId="21642"/>
    <cellStyle name="Percent 6 4 2 2 3 2" xfId="21643"/>
    <cellStyle name="Percent 6 4 2 2 3 2 2" xfId="38623"/>
    <cellStyle name="Percent 6 4 2 2 3 3" xfId="38624"/>
    <cellStyle name="Percent 6 4 2 2 4" xfId="21644"/>
    <cellStyle name="Percent 6 4 2 2 4 2" xfId="21645"/>
    <cellStyle name="Percent 6 4 2 2 4 2 2" xfId="38625"/>
    <cellStyle name="Percent 6 4 2 2 4 3" xfId="38626"/>
    <cellStyle name="Percent 6 4 2 2 5" xfId="21646"/>
    <cellStyle name="Percent 6 4 2 2 5 2" xfId="38627"/>
    <cellStyle name="Percent 6 4 2 2 6" xfId="21647"/>
    <cellStyle name="Percent 6 4 2 3" xfId="21648"/>
    <cellStyle name="Percent 6 4 2 3 2" xfId="21649"/>
    <cellStyle name="Percent 6 4 2 3 2 2" xfId="38628"/>
    <cellStyle name="Percent 6 4 2 3 3" xfId="38629"/>
    <cellStyle name="Percent 6 4 2 4" xfId="21650"/>
    <cellStyle name="Percent 6 4 2 4 2" xfId="21651"/>
    <cellStyle name="Percent 6 4 2 4 2 2" xfId="38630"/>
    <cellStyle name="Percent 6 4 2 4 3" xfId="38631"/>
    <cellStyle name="Percent 6 4 2 5" xfId="21652"/>
    <cellStyle name="Percent 6 4 2 5 2" xfId="21653"/>
    <cellStyle name="Percent 6 4 2 5 2 2" xfId="38632"/>
    <cellStyle name="Percent 6 4 2 5 3" xfId="38633"/>
    <cellStyle name="Percent 6 4 2 6" xfId="21654"/>
    <cellStyle name="Percent 6 4 2 6 2" xfId="38634"/>
    <cellStyle name="Percent 6 4 2 7" xfId="21655"/>
    <cellStyle name="Percent 6 4 3" xfId="606"/>
    <cellStyle name="Percent 6 4 3 2" xfId="2436"/>
    <cellStyle name="Percent 6 4 3 2 2" xfId="21656"/>
    <cellStyle name="Percent 6 4 3 2 2 2" xfId="21657"/>
    <cellStyle name="Percent 6 4 3 2 2 2 2" xfId="38635"/>
    <cellStyle name="Percent 6 4 3 2 2 3" xfId="38636"/>
    <cellStyle name="Percent 6 4 3 2 3" xfId="21658"/>
    <cellStyle name="Percent 6 4 3 2 3 2" xfId="21659"/>
    <cellStyle name="Percent 6 4 3 2 3 2 2" xfId="38637"/>
    <cellStyle name="Percent 6 4 3 2 3 3" xfId="38638"/>
    <cellStyle name="Percent 6 4 3 2 4" xfId="21660"/>
    <cellStyle name="Percent 6 4 3 2 4 2" xfId="21661"/>
    <cellStyle name="Percent 6 4 3 2 4 2 2" xfId="38639"/>
    <cellStyle name="Percent 6 4 3 2 4 3" xfId="38640"/>
    <cellStyle name="Percent 6 4 3 2 5" xfId="21662"/>
    <cellStyle name="Percent 6 4 3 2 5 2" xfId="38641"/>
    <cellStyle name="Percent 6 4 3 2 6" xfId="21663"/>
    <cellStyle name="Percent 6 4 3 3" xfId="21664"/>
    <cellStyle name="Percent 6 4 3 3 2" xfId="21665"/>
    <cellStyle name="Percent 6 4 3 3 2 2" xfId="38642"/>
    <cellStyle name="Percent 6 4 3 3 3" xfId="38643"/>
    <cellStyle name="Percent 6 4 3 4" xfId="21666"/>
    <cellStyle name="Percent 6 4 3 4 2" xfId="21667"/>
    <cellStyle name="Percent 6 4 3 4 2 2" xfId="38644"/>
    <cellStyle name="Percent 6 4 3 4 3" xfId="38645"/>
    <cellStyle name="Percent 6 4 3 5" xfId="21668"/>
    <cellStyle name="Percent 6 4 3 5 2" xfId="21669"/>
    <cellStyle name="Percent 6 4 3 5 2 2" xfId="38646"/>
    <cellStyle name="Percent 6 4 3 5 3" xfId="38647"/>
    <cellStyle name="Percent 6 4 3 6" xfId="21670"/>
    <cellStyle name="Percent 6 4 3 6 2" xfId="38648"/>
    <cellStyle name="Percent 6 4 3 7" xfId="21671"/>
    <cellStyle name="Percent 6 4 4" xfId="2437"/>
    <cellStyle name="Percent 6 4 4 2" xfId="21672"/>
    <cellStyle name="Percent 6 4 4 2 2" xfId="21673"/>
    <cellStyle name="Percent 6 4 4 2 2 2" xfId="38649"/>
    <cellStyle name="Percent 6 4 4 2 3" xfId="38650"/>
    <cellStyle name="Percent 6 4 4 3" xfId="21674"/>
    <cellStyle name="Percent 6 4 4 3 2" xfId="21675"/>
    <cellStyle name="Percent 6 4 4 3 2 2" xfId="38651"/>
    <cellStyle name="Percent 6 4 4 3 3" xfId="38652"/>
    <cellStyle name="Percent 6 4 4 4" xfId="21676"/>
    <cellStyle name="Percent 6 4 4 4 2" xfId="21677"/>
    <cellStyle name="Percent 6 4 4 4 2 2" xfId="38653"/>
    <cellStyle name="Percent 6 4 4 4 3" xfId="38654"/>
    <cellStyle name="Percent 6 4 4 5" xfId="21678"/>
    <cellStyle name="Percent 6 4 4 5 2" xfId="38655"/>
    <cellStyle name="Percent 6 4 4 6" xfId="21679"/>
    <cellStyle name="Percent 6 4 5" xfId="21680"/>
    <cellStyle name="Percent 6 4 5 2" xfId="21681"/>
    <cellStyle name="Percent 6 4 5 2 2" xfId="38656"/>
    <cellStyle name="Percent 6 4 5 3" xfId="38657"/>
    <cellStyle name="Percent 6 4 6" xfId="21682"/>
    <cellStyle name="Percent 6 4 6 2" xfId="21683"/>
    <cellStyle name="Percent 6 4 6 2 2" xfId="38658"/>
    <cellStyle name="Percent 6 4 6 3" xfId="38659"/>
    <cellStyle name="Percent 6 4 7" xfId="21684"/>
    <cellStyle name="Percent 6 4 7 2" xfId="21685"/>
    <cellStyle name="Percent 6 4 7 2 2" xfId="38660"/>
    <cellStyle name="Percent 6 4 7 3" xfId="38661"/>
    <cellStyle name="Percent 6 4 8" xfId="21686"/>
    <cellStyle name="Percent 6 4 8 2" xfId="38662"/>
    <cellStyle name="Percent 6 4 9" xfId="21687"/>
    <cellStyle name="Percent 6 5" xfId="344"/>
    <cellStyle name="Percent 6 5 2" xfId="1132"/>
    <cellStyle name="Percent 6 5 2 2" xfId="2438"/>
    <cellStyle name="Percent 6 5 2 2 2" xfId="21688"/>
    <cellStyle name="Percent 6 5 2 2 2 2" xfId="21689"/>
    <cellStyle name="Percent 6 5 2 2 2 2 2" xfId="38663"/>
    <cellStyle name="Percent 6 5 2 2 2 3" xfId="38664"/>
    <cellStyle name="Percent 6 5 2 2 3" xfId="21690"/>
    <cellStyle name="Percent 6 5 2 2 3 2" xfId="21691"/>
    <cellStyle name="Percent 6 5 2 2 3 2 2" xfId="38665"/>
    <cellStyle name="Percent 6 5 2 2 3 3" xfId="38666"/>
    <cellStyle name="Percent 6 5 2 2 4" xfId="21692"/>
    <cellStyle name="Percent 6 5 2 2 4 2" xfId="21693"/>
    <cellStyle name="Percent 6 5 2 2 4 2 2" xfId="38667"/>
    <cellStyle name="Percent 6 5 2 2 4 3" xfId="38668"/>
    <cellStyle name="Percent 6 5 2 2 5" xfId="21694"/>
    <cellStyle name="Percent 6 5 2 2 5 2" xfId="38669"/>
    <cellStyle name="Percent 6 5 2 2 6" xfId="21695"/>
    <cellStyle name="Percent 6 5 2 3" xfId="21696"/>
    <cellStyle name="Percent 6 5 2 3 2" xfId="21697"/>
    <cellStyle name="Percent 6 5 2 3 2 2" xfId="38670"/>
    <cellStyle name="Percent 6 5 2 3 3" xfId="38671"/>
    <cellStyle name="Percent 6 5 2 4" xfId="21698"/>
    <cellStyle name="Percent 6 5 2 4 2" xfId="21699"/>
    <cellStyle name="Percent 6 5 2 4 2 2" xfId="38672"/>
    <cellStyle name="Percent 6 5 2 4 3" xfId="38673"/>
    <cellStyle name="Percent 6 5 2 5" xfId="21700"/>
    <cellStyle name="Percent 6 5 2 5 2" xfId="21701"/>
    <cellStyle name="Percent 6 5 2 5 2 2" xfId="38674"/>
    <cellStyle name="Percent 6 5 2 5 3" xfId="38675"/>
    <cellStyle name="Percent 6 5 2 6" xfId="21702"/>
    <cellStyle name="Percent 6 5 2 6 2" xfId="38676"/>
    <cellStyle name="Percent 6 5 2 7" xfId="21703"/>
    <cellStyle name="Percent 6 5 3" xfId="764"/>
    <cellStyle name="Percent 6 5 3 2" xfId="2439"/>
    <cellStyle name="Percent 6 5 3 2 2" xfId="21704"/>
    <cellStyle name="Percent 6 5 3 2 2 2" xfId="21705"/>
    <cellStyle name="Percent 6 5 3 2 2 2 2" xfId="38677"/>
    <cellStyle name="Percent 6 5 3 2 2 3" xfId="38678"/>
    <cellStyle name="Percent 6 5 3 2 3" xfId="21706"/>
    <cellStyle name="Percent 6 5 3 2 3 2" xfId="21707"/>
    <cellStyle name="Percent 6 5 3 2 3 2 2" xfId="38679"/>
    <cellStyle name="Percent 6 5 3 2 3 3" xfId="38680"/>
    <cellStyle name="Percent 6 5 3 2 4" xfId="21708"/>
    <cellStyle name="Percent 6 5 3 2 4 2" xfId="21709"/>
    <cellStyle name="Percent 6 5 3 2 4 2 2" xfId="38681"/>
    <cellStyle name="Percent 6 5 3 2 4 3" xfId="38682"/>
    <cellStyle name="Percent 6 5 3 2 5" xfId="21710"/>
    <cellStyle name="Percent 6 5 3 2 5 2" xfId="38683"/>
    <cellStyle name="Percent 6 5 3 2 6" xfId="21711"/>
    <cellStyle name="Percent 6 5 3 3" xfId="21712"/>
    <cellStyle name="Percent 6 5 3 3 2" xfId="21713"/>
    <cellStyle name="Percent 6 5 3 3 2 2" xfId="38684"/>
    <cellStyle name="Percent 6 5 3 3 3" xfId="38685"/>
    <cellStyle name="Percent 6 5 3 4" xfId="21714"/>
    <cellStyle name="Percent 6 5 3 4 2" xfId="21715"/>
    <cellStyle name="Percent 6 5 3 4 2 2" xfId="38686"/>
    <cellStyle name="Percent 6 5 3 4 3" xfId="38687"/>
    <cellStyle name="Percent 6 5 3 5" xfId="21716"/>
    <cellStyle name="Percent 6 5 3 5 2" xfId="21717"/>
    <cellStyle name="Percent 6 5 3 5 2 2" xfId="38688"/>
    <cellStyle name="Percent 6 5 3 5 3" xfId="38689"/>
    <cellStyle name="Percent 6 5 3 6" xfId="21718"/>
    <cellStyle name="Percent 6 5 3 6 2" xfId="38690"/>
    <cellStyle name="Percent 6 5 3 7" xfId="21719"/>
    <cellStyle name="Percent 6 5 4" xfId="2440"/>
    <cellStyle name="Percent 6 5 4 2" xfId="21720"/>
    <cellStyle name="Percent 6 5 4 2 2" xfId="21721"/>
    <cellStyle name="Percent 6 5 4 2 2 2" xfId="38691"/>
    <cellStyle name="Percent 6 5 4 2 3" xfId="38692"/>
    <cellStyle name="Percent 6 5 4 3" xfId="21722"/>
    <cellStyle name="Percent 6 5 4 3 2" xfId="21723"/>
    <cellStyle name="Percent 6 5 4 3 2 2" xfId="38693"/>
    <cellStyle name="Percent 6 5 4 3 3" xfId="38694"/>
    <cellStyle name="Percent 6 5 4 4" xfId="21724"/>
    <cellStyle name="Percent 6 5 4 4 2" xfId="21725"/>
    <cellStyle name="Percent 6 5 4 4 2 2" xfId="38695"/>
    <cellStyle name="Percent 6 5 4 4 3" xfId="38696"/>
    <cellStyle name="Percent 6 5 4 5" xfId="21726"/>
    <cellStyle name="Percent 6 5 4 5 2" xfId="38697"/>
    <cellStyle name="Percent 6 5 4 6" xfId="21727"/>
    <cellStyle name="Percent 6 5 5" xfId="21728"/>
    <cellStyle name="Percent 6 5 5 2" xfId="21729"/>
    <cellStyle name="Percent 6 5 5 2 2" xfId="38698"/>
    <cellStyle name="Percent 6 5 5 3" xfId="38699"/>
    <cellStyle name="Percent 6 5 6" xfId="21730"/>
    <cellStyle name="Percent 6 5 6 2" xfId="21731"/>
    <cellStyle name="Percent 6 5 6 2 2" xfId="38700"/>
    <cellStyle name="Percent 6 5 6 3" xfId="38701"/>
    <cellStyle name="Percent 6 5 7" xfId="21732"/>
    <cellStyle name="Percent 6 5 7 2" xfId="21733"/>
    <cellStyle name="Percent 6 5 7 2 2" xfId="38702"/>
    <cellStyle name="Percent 6 5 7 3" xfId="38703"/>
    <cellStyle name="Percent 6 5 8" xfId="21734"/>
    <cellStyle name="Percent 6 5 8 2" xfId="38704"/>
    <cellStyle name="Percent 6 5 9" xfId="21735"/>
    <cellStyle name="Percent 6 6" xfId="133"/>
    <cellStyle name="Percent 6 6 2" xfId="554"/>
    <cellStyle name="Percent 6 6 2 2" xfId="2441"/>
    <cellStyle name="Percent 6 6 2 2 2" xfId="21736"/>
    <cellStyle name="Percent 6 6 2 2 2 2" xfId="21737"/>
    <cellStyle name="Percent 6 6 2 2 2 2 2" xfId="38705"/>
    <cellStyle name="Percent 6 6 2 2 2 3" xfId="38706"/>
    <cellStyle name="Percent 6 6 2 2 3" xfId="21738"/>
    <cellStyle name="Percent 6 6 2 2 3 2" xfId="21739"/>
    <cellStyle name="Percent 6 6 2 2 3 2 2" xfId="38707"/>
    <cellStyle name="Percent 6 6 2 2 3 3" xfId="38708"/>
    <cellStyle name="Percent 6 6 2 2 4" xfId="21740"/>
    <cellStyle name="Percent 6 6 2 2 4 2" xfId="21741"/>
    <cellStyle name="Percent 6 6 2 2 4 2 2" xfId="38709"/>
    <cellStyle name="Percent 6 6 2 2 4 3" xfId="38710"/>
    <cellStyle name="Percent 6 6 2 2 5" xfId="21742"/>
    <cellStyle name="Percent 6 6 2 2 5 2" xfId="38711"/>
    <cellStyle name="Percent 6 6 2 2 6" xfId="21743"/>
    <cellStyle name="Percent 6 6 2 3" xfId="21744"/>
    <cellStyle name="Percent 6 6 2 3 2" xfId="21745"/>
    <cellStyle name="Percent 6 6 2 3 2 2" xfId="38712"/>
    <cellStyle name="Percent 6 6 2 3 3" xfId="38713"/>
    <cellStyle name="Percent 6 6 2 4" xfId="21746"/>
    <cellStyle name="Percent 6 6 2 4 2" xfId="21747"/>
    <cellStyle name="Percent 6 6 2 4 2 2" xfId="38714"/>
    <cellStyle name="Percent 6 6 2 4 3" xfId="38715"/>
    <cellStyle name="Percent 6 6 2 5" xfId="21748"/>
    <cellStyle name="Percent 6 6 2 5 2" xfId="21749"/>
    <cellStyle name="Percent 6 6 2 5 2 2" xfId="38716"/>
    <cellStyle name="Percent 6 6 2 5 3" xfId="38717"/>
    <cellStyle name="Percent 6 6 2 6" xfId="21750"/>
    <cellStyle name="Percent 6 6 2 6 2" xfId="38718"/>
    <cellStyle name="Percent 6 6 2 7" xfId="21751"/>
    <cellStyle name="Percent 6 6 3" xfId="2442"/>
    <cellStyle name="Percent 6 6 3 2" xfId="21752"/>
    <cellStyle name="Percent 6 6 3 2 2" xfId="21753"/>
    <cellStyle name="Percent 6 6 3 2 2 2" xfId="38719"/>
    <cellStyle name="Percent 6 6 3 2 3" xfId="38720"/>
    <cellStyle name="Percent 6 6 3 3" xfId="21754"/>
    <cellStyle name="Percent 6 6 3 3 2" xfId="21755"/>
    <cellStyle name="Percent 6 6 3 3 2 2" xfId="38721"/>
    <cellStyle name="Percent 6 6 3 3 3" xfId="38722"/>
    <cellStyle name="Percent 6 6 3 4" xfId="21756"/>
    <cellStyle name="Percent 6 6 3 4 2" xfId="21757"/>
    <cellStyle name="Percent 6 6 3 4 2 2" xfId="38723"/>
    <cellStyle name="Percent 6 6 3 4 3" xfId="38724"/>
    <cellStyle name="Percent 6 6 3 5" xfId="21758"/>
    <cellStyle name="Percent 6 6 3 5 2" xfId="38725"/>
    <cellStyle name="Percent 6 6 3 6" xfId="21759"/>
    <cellStyle name="Percent 6 6 4" xfId="21760"/>
    <cellStyle name="Percent 6 6 4 2" xfId="21761"/>
    <cellStyle name="Percent 6 6 4 2 2" xfId="38726"/>
    <cellStyle name="Percent 6 6 4 3" xfId="38727"/>
    <cellStyle name="Percent 6 6 5" xfId="21762"/>
    <cellStyle name="Percent 6 6 5 2" xfId="21763"/>
    <cellStyle name="Percent 6 6 5 2 2" xfId="38728"/>
    <cellStyle name="Percent 6 6 5 3" xfId="38729"/>
    <cellStyle name="Percent 6 6 6" xfId="21764"/>
    <cellStyle name="Percent 6 6 6 2" xfId="21765"/>
    <cellStyle name="Percent 6 6 6 2 2" xfId="38730"/>
    <cellStyle name="Percent 6 6 6 3" xfId="38731"/>
    <cellStyle name="Percent 6 6 7" xfId="21766"/>
    <cellStyle name="Percent 6 6 7 2" xfId="38732"/>
    <cellStyle name="Percent 6 6 8" xfId="21767"/>
    <cellStyle name="Percent 6 7" xfId="922"/>
    <cellStyle name="Percent 6 7 2" xfId="2443"/>
    <cellStyle name="Percent 6 7 2 2" xfId="21768"/>
    <cellStyle name="Percent 6 7 2 2 2" xfId="21769"/>
    <cellStyle name="Percent 6 7 2 2 2 2" xfId="38733"/>
    <cellStyle name="Percent 6 7 2 2 3" xfId="38734"/>
    <cellStyle name="Percent 6 7 2 3" xfId="21770"/>
    <cellStyle name="Percent 6 7 2 3 2" xfId="21771"/>
    <cellStyle name="Percent 6 7 2 3 2 2" xfId="38735"/>
    <cellStyle name="Percent 6 7 2 3 3" xfId="38736"/>
    <cellStyle name="Percent 6 7 2 4" xfId="21772"/>
    <cellStyle name="Percent 6 7 2 4 2" xfId="21773"/>
    <cellStyle name="Percent 6 7 2 4 2 2" xfId="38737"/>
    <cellStyle name="Percent 6 7 2 4 3" xfId="38738"/>
    <cellStyle name="Percent 6 7 2 5" xfId="21774"/>
    <cellStyle name="Percent 6 7 2 5 2" xfId="38739"/>
    <cellStyle name="Percent 6 7 2 6" xfId="21775"/>
    <cellStyle name="Percent 6 7 3" xfId="21776"/>
    <cellStyle name="Percent 6 7 3 2" xfId="38740"/>
    <cellStyle name="Percent 6 7 4" xfId="21777"/>
    <cellStyle name="Percent 6 7 4 2" xfId="21778"/>
    <cellStyle name="Percent 6 7 4 2 2" xfId="38741"/>
    <cellStyle name="Percent 6 7 4 3" xfId="38742"/>
    <cellStyle name="Percent 6 7 5" xfId="21779"/>
    <cellStyle name="Percent 6 7 5 2" xfId="21780"/>
    <cellStyle name="Percent 6 7 5 2 2" xfId="38743"/>
    <cellStyle name="Percent 6 7 5 3" xfId="38744"/>
    <cellStyle name="Percent 6 7 6" xfId="21781"/>
    <cellStyle name="Percent 6 7 6 2" xfId="21782"/>
    <cellStyle name="Percent 6 7 6 2 2" xfId="38745"/>
    <cellStyle name="Percent 6 7 6 3" xfId="38746"/>
    <cellStyle name="Percent 6 7 7" xfId="21783"/>
    <cellStyle name="Percent 6 7 7 2" xfId="38747"/>
    <cellStyle name="Percent 6 7 8" xfId="21784"/>
    <cellStyle name="Percent 6 8" xfId="460"/>
    <cellStyle name="Percent 6 8 2" xfId="2444"/>
    <cellStyle name="Percent 6 8 2 2" xfId="21785"/>
    <cellStyle name="Percent 6 8 2 2 2" xfId="21786"/>
    <cellStyle name="Percent 6 8 2 2 2 2" xfId="38748"/>
    <cellStyle name="Percent 6 8 2 2 3" xfId="38749"/>
    <cellStyle name="Percent 6 8 2 3" xfId="21787"/>
    <cellStyle name="Percent 6 8 2 3 2" xfId="21788"/>
    <cellStyle name="Percent 6 8 2 3 2 2" xfId="38750"/>
    <cellStyle name="Percent 6 8 2 3 3" xfId="38751"/>
    <cellStyle name="Percent 6 8 2 4" xfId="21789"/>
    <cellStyle name="Percent 6 8 2 4 2" xfId="21790"/>
    <cellStyle name="Percent 6 8 2 4 2 2" xfId="38752"/>
    <cellStyle name="Percent 6 8 2 4 3" xfId="38753"/>
    <cellStyle name="Percent 6 8 2 5" xfId="21791"/>
    <cellStyle name="Percent 6 8 2 5 2" xfId="38754"/>
    <cellStyle name="Percent 6 8 2 6" xfId="21792"/>
    <cellStyle name="Percent 6 8 3" xfId="21793"/>
    <cellStyle name="Percent 6 8 3 2" xfId="21794"/>
    <cellStyle name="Percent 6 8 3 2 2" xfId="38755"/>
    <cellStyle name="Percent 6 8 3 3" xfId="38756"/>
    <cellStyle name="Percent 6 8 4" xfId="21795"/>
    <cellStyle name="Percent 6 8 4 2" xfId="21796"/>
    <cellStyle name="Percent 6 8 4 2 2" xfId="38757"/>
    <cellStyle name="Percent 6 8 4 3" xfId="38758"/>
    <cellStyle name="Percent 6 8 5" xfId="21797"/>
    <cellStyle name="Percent 6 8 5 2" xfId="21798"/>
    <cellStyle name="Percent 6 8 5 2 2" xfId="38759"/>
    <cellStyle name="Percent 6 8 5 3" xfId="38760"/>
    <cellStyle name="Percent 6 8 6" xfId="21799"/>
    <cellStyle name="Percent 6 8 6 2" xfId="38761"/>
    <cellStyle name="Percent 6 8 7" xfId="21800"/>
    <cellStyle name="Percent 6 9" xfId="2445"/>
    <cellStyle name="Percent 6 9 2" xfId="21801"/>
    <cellStyle name="Percent 6 9 2 2" xfId="21802"/>
    <cellStyle name="Percent 6 9 2 2 2" xfId="38762"/>
    <cellStyle name="Percent 6 9 2 3" xfId="38763"/>
    <cellStyle name="Percent 6 9 3" xfId="21803"/>
    <cellStyle name="Percent 6 9 3 2" xfId="21804"/>
    <cellStyle name="Percent 6 9 3 2 2" xfId="38764"/>
    <cellStyle name="Percent 6 9 3 3" xfId="38765"/>
    <cellStyle name="Percent 6 9 4" xfId="21805"/>
    <cellStyle name="Percent 6 9 4 2" xfId="21806"/>
    <cellStyle name="Percent 6 9 4 2 2" xfId="38766"/>
    <cellStyle name="Percent 6 9 4 3" xfId="38767"/>
    <cellStyle name="Percent 6 9 5" xfId="21807"/>
    <cellStyle name="Percent 6 9 5 2" xfId="38768"/>
    <cellStyle name="Percent 6 9 6" xfId="21808"/>
    <cellStyle name="Percent 7" xfId="21809"/>
    <cellStyle name="Percent 7 2" xfId="21810"/>
    <cellStyle name="Percent 7 2 2" xfId="38769"/>
    <cellStyle name="Percent 7 3" xfId="21811"/>
    <cellStyle name="Percent 7 3 2" xfId="38770"/>
    <cellStyle name="Percent 7 4" xfId="21812"/>
    <cellStyle name="Percent 7 4 2" xfId="38771"/>
    <cellStyle name="Percent 7 5" xfId="38772"/>
    <cellStyle name="Percent 8" xfId="21813"/>
    <cellStyle name="Percent 8 2" xfId="38773"/>
    <cellStyle name="Percent 9" xfId="21814"/>
    <cellStyle name="Percent 9 2" xfId="21815"/>
    <cellStyle name="Percent 9 2 2" xfId="38774"/>
    <cellStyle name="Percent 9 3" xfId="38775"/>
    <cellStyle name="Style 1" xfId="1"/>
    <cellStyle name="Style 1 2" xfId="38776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FBF3F3"/>
      <color rgb="FFF9EEED"/>
      <color rgb="FFF894FA"/>
      <color rgb="FFFB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gfs1\ppsoft\Shivlal\rate%20card%20for%20top%2020%20customers\Guitar_Center_Rate_card_05012012-Final_vkg_011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Parameterized%20Cost%20Model-Sharepoint\New%20FP%20US%20Cost%20Model%20Rev%20App%20Matrix%20-%20June%202012-Parameteriz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orary%20Internet%20Files\Content.Outlook\U1F7LGG3\Global%20Rate%20Card%20-%20Base%20v5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MS33158\Local%20Settings\Temporary%20Internet%20Files\Content.Outlook\U1F7LGG3\Global%20Rate%20Card%20-%20Base%20v5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MS33158\Local%20Settings\Temporary%20Internet%20Files\Content.Outlook\U1F7LGG3\Global%20Rate%20Card%20-%20Base%20v5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Joshi\2002%20T&amp;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Users\MS33158\AppData\Local\Microsoft\Windows\Temporary%20Internet%20Files\Content.Outlook\0K0KPARF\US%20Rate%20card-2014%20-%20ECM%20Ver%201%200%20(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\wz279e\Global%20Rate%20card%20US%20New%20TM%20Model%20-24Sep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 for the yrs 2012"/>
      <sheetName val="CTC"/>
      <sheetName val="Blending for the yrs 2013"/>
      <sheetName val="Blending for the yrs 2014"/>
      <sheetName val="CheckList"/>
      <sheetName val="Domestic"/>
      <sheetName val="INPUTS"/>
      <sheetName val="L1"/>
      <sheetName val="H1"/>
      <sheetName val="Offshore"/>
      <sheetName val="Allowances"/>
      <sheetName val="Rates-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Akron</v>
          </cell>
        </row>
        <row r="5">
          <cell r="B5" t="str">
            <v>Albany</v>
          </cell>
        </row>
        <row r="6">
          <cell r="B6" t="str">
            <v>Albuquerque</v>
          </cell>
        </row>
        <row r="7">
          <cell r="B7" t="str">
            <v>Allendale</v>
          </cell>
        </row>
        <row r="8">
          <cell r="B8" t="str">
            <v>Allentown</v>
          </cell>
        </row>
        <row r="9">
          <cell r="B9" t="str">
            <v>Alpharetta</v>
          </cell>
        </row>
        <row r="10">
          <cell r="B10" t="str">
            <v>Anaheim</v>
          </cell>
        </row>
        <row r="11">
          <cell r="B11" t="str">
            <v>Ann Arbor</v>
          </cell>
        </row>
        <row r="12">
          <cell r="B12" t="str">
            <v>Arcadia</v>
          </cell>
        </row>
        <row r="13">
          <cell r="B13" t="str">
            <v>Arlington</v>
          </cell>
        </row>
        <row r="14">
          <cell r="B14" t="str">
            <v>Atlanta</v>
          </cell>
        </row>
        <row r="15">
          <cell r="B15" t="str">
            <v>Austin</v>
          </cell>
        </row>
        <row r="16">
          <cell r="B16" t="str">
            <v>Baltimore</v>
          </cell>
        </row>
        <row r="17">
          <cell r="B17" t="str">
            <v>Basking Ridge</v>
          </cell>
        </row>
        <row r="18">
          <cell r="B18" t="str">
            <v>Beaverton</v>
          </cell>
        </row>
        <row r="19">
          <cell r="B19" t="str">
            <v>Benton Harbor</v>
          </cell>
        </row>
        <row r="20">
          <cell r="B20" t="str">
            <v>Berlington</v>
          </cell>
        </row>
        <row r="21">
          <cell r="B21" t="str">
            <v>Bethesda</v>
          </cell>
        </row>
        <row r="22">
          <cell r="B22" t="str">
            <v>Birmingham</v>
          </cell>
        </row>
        <row r="23">
          <cell r="B23" t="str">
            <v>Bloomington</v>
          </cell>
        </row>
        <row r="24">
          <cell r="B24" t="str">
            <v>Boca Raton</v>
          </cell>
        </row>
        <row r="25">
          <cell r="B25" t="str">
            <v>Boise</v>
          </cell>
        </row>
        <row r="26">
          <cell r="B26" t="str">
            <v>Boliver</v>
          </cell>
        </row>
        <row r="27">
          <cell r="B27" t="str">
            <v>Boston</v>
          </cell>
        </row>
        <row r="28">
          <cell r="B28" t="str">
            <v>Brea</v>
          </cell>
        </row>
        <row r="29">
          <cell r="B29" t="str">
            <v>Bridgewater</v>
          </cell>
        </row>
        <row r="30">
          <cell r="B30" t="str">
            <v>Buffalo</v>
          </cell>
        </row>
        <row r="31">
          <cell r="B31" t="str">
            <v>Buffalo Grove</v>
          </cell>
        </row>
        <row r="32">
          <cell r="B32" t="str">
            <v>Camarillo</v>
          </cell>
        </row>
        <row r="33">
          <cell r="B33" t="str">
            <v>Canton</v>
          </cell>
        </row>
        <row r="34">
          <cell r="B34" t="str">
            <v>Carlsbad</v>
          </cell>
        </row>
        <row r="35">
          <cell r="B35" t="str">
            <v>Carson City</v>
          </cell>
        </row>
        <row r="36">
          <cell r="B36" t="str">
            <v>Cary</v>
          </cell>
        </row>
        <row r="37">
          <cell r="B37" t="str">
            <v>Cedar Rapids</v>
          </cell>
        </row>
        <row r="38">
          <cell r="B38" t="str">
            <v>CenterLine,Detroit</v>
          </cell>
        </row>
        <row r="39">
          <cell r="B39" t="str">
            <v>Chadds Ford</v>
          </cell>
        </row>
        <row r="40">
          <cell r="B40" t="str">
            <v>Chandler</v>
          </cell>
        </row>
        <row r="41">
          <cell r="B41" t="str">
            <v>Charleston, SC</v>
          </cell>
        </row>
        <row r="42">
          <cell r="B42" t="str">
            <v>Charleston, WV</v>
          </cell>
        </row>
        <row r="43">
          <cell r="B43" t="str">
            <v>Charlotte</v>
          </cell>
        </row>
        <row r="44">
          <cell r="B44" t="str">
            <v>Chattanooga</v>
          </cell>
        </row>
        <row r="45">
          <cell r="B45" t="str">
            <v>Chelmsford</v>
          </cell>
        </row>
        <row r="46">
          <cell r="B46" t="str">
            <v>Chicago</v>
          </cell>
        </row>
        <row r="47">
          <cell r="B47" t="str">
            <v>Cincinnati</v>
          </cell>
        </row>
        <row r="48">
          <cell r="B48" t="str">
            <v>Cleveland</v>
          </cell>
        </row>
        <row r="49">
          <cell r="B49" t="str">
            <v>Collierville</v>
          </cell>
        </row>
        <row r="50">
          <cell r="B50" t="str">
            <v>Colorado Springs</v>
          </cell>
        </row>
        <row r="51">
          <cell r="B51" t="str">
            <v>Columbia</v>
          </cell>
        </row>
        <row r="52">
          <cell r="B52" t="str">
            <v>Columbus</v>
          </cell>
        </row>
        <row r="53">
          <cell r="B53" t="str">
            <v>Columbus, GA</v>
          </cell>
        </row>
        <row r="54">
          <cell r="B54" t="str">
            <v>Columbus, OH</v>
          </cell>
        </row>
        <row r="55">
          <cell r="B55" t="str">
            <v>Concord</v>
          </cell>
        </row>
        <row r="56">
          <cell r="B56" t="str">
            <v>Coral Springs</v>
          </cell>
        </row>
        <row r="57">
          <cell r="B57" t="str">
            <v>Coraopolis</v>
          </cell>
        </row>
        <row r="58">
          <cell r="B58" t="str">
            <v>Corning</v>
          </cell>
        </row>
        <row r="59">
          <cell r="B59" t="str">
            <v>Covington</v>
          </cell>
        </row>
        <row r="60">
          <cell r="B60" t="str">
            <v>Cranberry</v>
          </cell>
        </row>
        <row r="61">
          <cell r="B61" t="str">
            <v>Cranbury</v>
          </cell>
        </row>
        <row r="62">
          <cell r="B62" t="str">
            <v>Cupertino</v>
          </cell>
        </row>
        <row r="63">
          <cell r="B63" t="str">
            <v>Dallas</v>
          </cell>
        </row>
        <row r="64">
          <cell r="B64" t="str">
            <v>Danville</v>
          </cell>
        </row>
        <row r="65">
          <cell r="B65" t="str">
            <v>Darien</v>
          </cell>
        </row>
        <row r="66">
          <cell r="B66" t="str">
            <v>Darien</v>
          </cell>
        </row>
        <row r="67">
          <cell r="B67" t="str">
            <v>Dayton</v>
          </cell>
        </row>
        <row r="68">
          <cell r="B68" t="str">
            <v>Dearborn</v>
          </cell>
        </row>
        <row r="69">
          <cell r="B69" t="str">
            <v>Deerfield</v>
          </cell>
        </row>
        <row r="70">
          <cell r="B70" t="str">
            <v>Delray Beach</v>
          </cell>
        </row>
        <row r="71">
          <cell r="B71" t="str">
            <v>Denver</v>
          </cell>
        </row>
        <row r="72">
          <cell r="B72" t="str">
            <v>Des Moines</v>
          </cell>
        </row>
        <row r="73">
          <cell r="B73" t="str">
            <v>Desmonies</v>
          </cell>
        </row>
        <row r="74">
          <cell r="B74" t="str">
            <v>Detroit</v>
          </cell>
        </row>
        <row r="75">
          <cell r="B75" t="str">
            <v>Dover</v>
          </cell>
        </row>
        <row r="76">
          <cell r="B76" t="str">
            <v>Downers Grove</v>
          </cell>
        </row>
        <row r="77">
          <cell r="B77" t="str">
            <v>Dublin</v>
          </cell>
        </row>
        <row r="78">
          <cell r="B78" t="str">
            <v>Durham</v>
          </cell>
        </row>
        <row r="79">
          <cell r="B79" t="str">
            <v>Eugene</v>
          </cell>
        </row>
        <row r="80">
          <cell r="B80" t="str">
            <v>Fairfield</v>
          </cell>
        </row>
        <row r="81">
          <cell r="B81" t="str">
            <v>Farmington</v>
          </cell>
        </row>
        <row r="82">
          <cell r="B82" t="str">
            <v>Farmington Hills</v>
          </cell>
        </row>
        <row r="83">
          <cell r="B83" t="str">
            <v>Fond Du Lac</v>
          </cell>
        </row>
        <row r="84">
          <cell r="B84" t="str">
            <v>Fort Meyers</v>
          </cell>
        </row>
        <row r="85">
          <cell r="B85" t="str">
            <v xml:space="preserve">Fort Wayne </v>
          </cell>
        </row>
        <row r="86">
          <cell r="B86" t="str">
            <v>Fort Worth</v>
          </cell>
        </row>
        <row r="87">
          <cell r="B87" t="str">
            <v>Fountain Valley</v>
          </cell>
        </row>
        <row r="88">
          <cell r="B88" t="str">
            <v>Franklin</v>
          </cell>
        </row>
        <row r="89">
          <cell r="B89" t="str">
            <v>Frederick</v>
          </cell>
        </row>
        <row r="90">
          <cell r="B90" t="str">
            <v>Fremont</v>
          </cell>
        </row>
        <row r="91">
          <cell r="B91" t="str">
            <v>Fresno</v>
          </cell>
        </row>
        <row r="92">
          <cell r="B92" t="str">
            <v>Fullerton</v>
          </cell>
        </row>
        <row r="93">
          <cell r="B93" t="str">
            <v>Gaffney</v>
          </cell>
        </row>
        <row r="94">
          <cell r="B94" t="str">
            <v>Galveston</v>
          </cell>
        </row>
        <row r="95">
          <cell r="B95" t="str">
            <v>Grand Rapids</v>
          </cell>
        </row>
        <row r="96">
          <cell r="B96" t="str">
            <v>Green Bay</v>
          </cell>
        </row>
        <row r="97">
          <cell r="B97" t="str">
            <v>Greensboro</v>
          </cell>
        </row>
        <row r="98">
          <cell r="B98" t="str">
            <v>Hadley</v>
          </cell>
        </row>
        <row r="99">
          <cell r="B99" t="str">
            <v>Hagerstown</v>
          </cell>
        </row>
        <row r="100">
          <cell r="B100" t="str">
            <v>Harrisburg</v>
          </cell>
        </row>
        <row r="101">
          <cell r="B101" t="str">
            <v>Hartford</v>
          </cell>
        </row>
        <row r="102">
          <cell r="B102" t="str">
            <v>Hayward</v>
          </cell>
        </row>
        <row r="103">
          <cell r="B103" t="str">
            <v>Hercules</v>
          </cell>
        </row>
        <row r="104">
          <cell r="B104" t="str">
            <v>Herndon</v>
          </cell>
        </row>
        <row r="105">
          <cell r="B105" t="str">
            <v>Houston</v>
          </cell>
        </row>
        <row r="106">
          <cell r="B106" t="str">
            <v>Huchinson</v>
          </cell>
        </row>
        <row r="107">
          <cell r="B107" t="str">
            <v>Hudson</v>
          </cell>
        </row>
        <row r="108">
          <cell r="B108" t="str">
            <v>Hunt Valley</v>
          </cell>
        </row>
        <row r="109">
          <cell r="B109" t="str">
            <v>Indianapolis</v>
          </cell>
        </row>
        <row r="110">
          <cell r="B110" t="str">
            <v>Irvin</v>
          </cell>
        </row>
        <row r="111">
          <cell r="B111" t="str">
            <v>Irving</v>
          </cell>
        </row>
        <row r="112">
          <cell r="B112" t="str">
            <v>Jacksonville</v>
          </cell>
        </row>
        <row r="113">
          <cell r="B113" t="str">
            <v>Jefferson City</v>
          </cell>
        </row>
        <row r="114">
          <cell r="B114" t="str">
            <v>Joplin</v>
          </cell>
        </row>
        <row r="115">
          <cell r="B115" t="str">
            <v>Kansas City</v>
          </cell>
        </row>
        <row r="116">
          <cell r="B116" t="str">
            <v xml:space="preserve">Lake Forest </v>
          </cell>
        </row>
        <row r="117">
          <cell r="B117" t="str">
            <v>Lake Mary</v>
          </cell>
        </row>
        <row r="118">
          <cell r="B118" t="str">
            <v>Lansing</v>
          </cell>
        </row>
        <row r="119">
          <cell r="B119" t="str">
            <v>Las Vegas</v>
          </cell>
        </row>
        <row r="120">
          <cell r="B120" t="str">
            <v>Lexington</v>
          </cell>
        </row>
        <row r="121">
          <cell r="B121" t="str">
            <v>Litchfield County</v>
          </cell>
        </row>
        <row r="122">
          <cell r="B122" t="str">
            <v>Livermore</v>
          </cell>
        </row>
        <row r="123">
          <cell r="B123" t="str">
            <v>Long Beach</v>
          </cell>
        </row>
        <row r="124">
          <cell r="B124" t="str">
            <v>Long Island</v>
          </cell>
        </row>
        <row r="125">
          <cell r="B125" t="str">
            <v>Los Angeles</v>
          </cell>
        </row>
        <row r="126">
          <cell r="B126" t="str">
            <v>Louiseville</v>
          </cell>
        </row>
        <row r="127">
          <cell r="B127" t="str">
            <v>Lowell</v>
          </cell>
        </row>
        <row r="128">
          <cell r="B128" t="str">
            <v>Madison</v>
          </cell>
        </row>
        <row r="129">
          <cell r="B129" t="str">
            <v>Malvern</v>
          </cell>
        </row>
        <row r="130">
          <cell r="B130" t="str">
            <v>Manchester</v>
          </cell>
        </row>
        <row r="131">
          <cell r="B131" t="str">
            <v>Manhattan</v>
          </cell>
        </row>
        <row r="132">
          <cell r="B132" t="str">
            <v>Manitowoc</v>
          </cell>
        </row>
        <row r="133">
          <cell r="B133" t="str">
            <v>Mason</v>
          </cell>
        </row>
        <row r="134">
          <cell r="B134" t="str">
            <v>Maumee</v>
          </cell>
        </row>
        <row r="135">
          <cell r="B135" t="str">
            <v>Medford</v>
          </cell>
        </row>
        <row r="136">
          <cell r="B136" t="str">
            <v>Melrose Park</v>
          </cell>
        </row>
        <row r="137">
          <cell r="B137" t="str">
            <v>Melville</v>
          </cell>
        </row>
        <row r="138">
          <cell r="B138" t="str">
            <v>Memphis</v>
          </cell>
        </row>
        <row r="139">
          <cell r="B139" t="str">
            <v>Menlo Park</v>
          </cell>
        </row>
        <row r="140">
          <cell r="B140" t="str">
            <v>Miami</v>
          </cell>
        </row>
        <row r="141">
          <cell r="B141" t="str">
            <v>Milton</v>
          </cell>
        </row>
        <row r="142">
          <cell r="B142" t="str">
            <v>Milwaukee</v>
          </cell>
        </row>
        <row r="143">
          <cell r="B143" t="str">
            <v>Minneapolis</v>
          </cell>
        </row>
        <row r="144">
          <cell r="B144" t="str">
            <v>Minnetonka</v>
          </cell>
        </row>
        <row r="145">
          <cell r="B145" t="str">
            <v>Miramar</v>
          </cell>
        </row>
        <row r="146">
          <cell r="B146" t="str">
            <v>Mobile</v>
          </cell>
        </row>
        <row r="147">
          <cell r="B147" t="str">
            <v>Monmouth Junction</v>
          </cell>
        </row>
        <row r="148">
          <cell r="B148" t="str">
            <v>Monroe</v>
          </cell>
        </row>
        <row r="149">
          <cell r="B149" t="str">
            <v>Montgomery</v>
          </cell>
        </row>
        <row r="150">
          <cell r="B150" t="str">
            <v>Montvale</v>
          </cell>
        </row>
        <row r="151">
          <cell r="B151" t="str">
            <v>Mooresville</v>
          </cell>
        </row>
        <row r="152">
          <cell r="B152" t="str">
            <v>Mountain View</v>
          </cell>
        </row>
        <row r="153">
          <cell r="B153" t="str">
            <v xml:space="preserve">Napierville </v>
          </cell>
        </row>
        <row r="154">
          <cell r="B154" t="str">
            <v>Nashville</v>
          </cell>
        </row>
        <row r="155">
          <cell r="B155" t="str">
            <v>New Berlin</v>
          </cell>
        </row>
        <row r="156">
          <cell r="B156" t="str">
            <v>New Brunswick</v>
          </cell>
        </row>
        <row r="157">
          <cell r="B157" t="str">
            <v>New Haven</v>
          </cell>
        </row>
        <row r="158">
          <cell r="B158" t="str">
            <v>New Jersey City</v>
          </cell>
        </row>
        <row r="159">
          <cell r="B159" t="str">
            <v>New Orleans</v>
          </cell>
        </row>
        <row r="160">
          <cell r="B160" t="str">
            <v>New Port Beach</v>
          </cell>
        </row>
        <row r="161">
          <cell r="B161" t="str">
            <v>New York</v>
          </cell>
        </row>
        <row r="162">
          <cell r="B162" t="str">
            <v>Newark</v>
          </cell>
        </row>
        <row r="163">
          <cell r="B163" t="str">
            <v>Newbury Park</v>
          </cell>
        </row>
        <row r="164">
          <cell r="B164" t="str">
            <v>Newton</v>
          </cell>
        </row>
        <row r="165">
          <cell r="B165" t="str">
            <v>Niles</v>
          </cell>
        </row>
        <row r="166">
          <cell r="B166" t="str">
            <v>Norfolk</v>
          </cell>
        </row>
        <row r="167">
          <cell r="B167" t="str">
            <v>North Haven</v>
          </cell>
        </row>
        <row r="168">
          <cell r="B168" t="str">
            <v>Northbrook</v>
          </cell>
        </row>
        <row r="169">
          <cell r="B169" t="str">
            <v>Northridge</v>
          </cell>
        </row>
        <row r="170">
          <cell r="B170" t="str">
            <v>Novato</v>
          </cell>
        </row>
        <row r="171">
          <cell r="B171" t="str">
            <v>Oakland</v>
          </cell>
        </row>
        <row r="172">
          <cell r="B172" t="str">
            <v>Oklahoma City</v>
          </cell>
        </row>
        <row r="173">
          <cell r="B173" t="str">
            <v>Olympia</v>
          </cell>
        </row>
        <row r="174">
          <cell r="B174" t="str">
            <v>Omaha</v>
          </cell>
        </row>
        <row r="175">
          <cell r="B175" t="str">
            <v>Oriskany</v>
          </cell>
        </row>
        <row r="176">
          <cell r="B176" t="str">
            <v>Orlando</v>
          </cell>
        </row>
        <row r="177">
          <cell r="B177" t="str">
            <v>Owing Mills</v>
          </cell>
        </row>
        <row r="178">
          <cell r="B178" t="str">
            <v>Palo Alto</v>
          </cell>
        </row>
        <row r="179">
          <cell r="B179" t="str">
            <v>Paramus</v>
          </cell>
        </row>
        <row r="180">
          <cell r="B180" t="str">
            <v>Parsipanny</v>
          </cell>
        </row>
        <row r="181">
          <cell r="B181" t="str">
            <v>Perrysburg</v>
          </cell>
        </row>
        <row r="182">
          <cell r="B182" t="str">
            <v>Perrysburg</v>
          </cell>
        </row>
        <row r="183">
          <cell r="B183" t="str">
            <v>Philadelphia</v>
          </cell>
        </row>
        <row r="184">
          <cell r="B184" t="str">
            <v>Phoenix</v>
          </cell>
        </row>
        <row r="185">
          <cell r="B185" t="str">
            <v>Pittsburg</v>
          </cell>
        </row>
        <row r="186">
          <cell r="B186" t="str">
            <v>Pleasenton</v>
          </cell>
        </row>
        <row r="187">
          <cell r="B187" t="str">
            <v>Portland</v>
          </cell>
        </row>
        <row r="188">
          <cell r="B188" t="str">
            <v>Poughkeepsie</v>
          </cell>
        </row>
        <row r="189">
          <cell r="B189" t="str">
            <v>Princeton</v>
          </cell>
        </row>
        <row r="190">
          <cell r="B190" t="str">
            <v>Providence</v>
          </cell>
        </row>
        <row r="191">
          <cell r="B191" t="str">
            <v>Purchase</v>
          </cell>
        </row>
        <row r="192">
          <cell r="B192" t="str">
            <v>Quincy</v>
          </cell>
        </row>
        <row r="193">
          <cell r="B193" t="str">
            <v>Raleigh</v>
          </cell>
        </row>
        <row r="194">
          <cell r="B194" t="str">
            <v xml:space="preserve">Reading </v>
          </cell>
        </row>
        <row r="195">
          <cell r="B195" t="str">
            <v>Redwood City</v>
          </cell>
        </row>
        <row r="196">
          <cell r="B196" t="str">
            <v>Reno</v>
          </cell>
        </row>
        <row r="197">
          <cell r="B197" t="str">
            <v>Richmond</v>
          </cell>
        </row>
        <row r="198">
          <cell r="B198" t="str">
            <v>Riverwalk</v>
          </cell>
        </row>
        <row r="199">
          <cell r="B199" t="str">
            <v>Roanoke</v>
          </cell>
        </row>
        <row r="200">
          <cell r="B200" t="str">
            <v>Rochester, MN</v>
          </cell>
        </row>
        <row r="201">
          <cell r="B201" t="str">
            <v>Rochester, NY</v>
          </cell>
        </row>
        <row r="202">
          <cell r="B202" t="str">
            <v>Rosewell</v>
          </cell>
        </row>
        <row r="203">
          <cell r="B203" t="str">
            <v>Rosewell</v>
          </cell>
        </row>
        <row r="204">
          <cell r="B204" t="str">
            <v>Sacramento</v>
          </cell>
        </row>
        <row r="205">
          <cell r="B205" t="str">
            <v>Saginaw</v>
          </cell>
        </row>
        <row r="206">
          <cell r="B206" t="str">
            <v>Salt Lake City</v>
          </cell>
        </row>
        <row r="207">
          <cell r="B207" t="str">
            <v>San Antonio</v>
          </cell>
        </row>
        <row r="208">
          <cell r="B208" t="str">
            <v>San Bernardino</v>
          </cell>
        </row>
        <row r="209">
          <cell r="B209" t="str">
            <v>San Diego</v>
          </cell>
        </row>
        <row r="210">
          <cell r="B210" t="str">
            <v>San Fransico</v>
          </cell>
        </row>
        <row r="211">
          <cell r="B211" t="str">
            <v>San Jose</v>
          </cell>
        </row>
        <row r="212">
          <cell r="B212" t="str">
            <v>San Mateo</v>
          </cell>
        </row>
        <row r="213">
          <cell r="B213" t="str">
            <v>San Ramon</v>
          </cell>
        </row>
        <row r="214">
          <cell r="B214" t="str">
            <v>Santa Ana</v>
          </cell>
        </row>
        <row r="215">
          <cell r="B215" t="str">
            <v>Santa Barbara</v>
          </cell>
        </row>
        <row r="216">
          <cell r="B216" t="str">
            <v>Santa Clara</v>
          </cell>
        </row>
        <row r="217">
          <cell r="B217" t="str">
            <v>Sante Fe</v>
          </cell>
        </row>
        <row r="218">
          <cell r="B218" t="str">
            <v>Scottsdale</v>
          </cell>
        </row>
        <row r="219">
          <cell r="B219" t="str">
            <v>Seattle</v>
          </cell>
        </row>
        <row r="220">
          <cell r="B220" t="str">
            <v>Shady Grove</v>
          </cell>
        </row>
        <row r="221">
          <cell r="B221" t="str">
            <v>Sioux Falls</v>
          </cell>
        </row>
        <row r="222">
          <cell r="B222" t="str">
            <v>South Barrington</v>
          </cell>
        </row>
        <row r="223">
          <cell r="B223" t="str">
            <v>Southington</v>
          </cell>
        </row>
        <row r="224">
          <cell r="B224" t="str">
            <v>Springfield</v>
          </cell>
        </row>
        <row r="225">
          <cell r="B225" t="str">
            <v>St. Louis</v>
          </cell>
        </row>
        <row r="226">
          <cell r="B226" t="str">
            <v>Stamford</v>
          </cell>
        </row>
        <row r="227">
          <cell r="B227" t="str">
            <v>Statesville</v>
          </cell>
        </row>
        <row r="228">
          <cell r="B228" t="str">
            <v>Sunnyvale</v>
          </cell>
        </row>
        <row r="229">
          <cell r="B229" t="str">
            <v xml:space="preserve">Sunrise </v>
          </cell>
        </row>
        <row r="230">
          <cell r="B230" t="str">
            <v>Syracuse</v>
          </cell>
        </row>
        <row r="231">
          <cell r="B231" t="str">
            <v>Tallahasse</v>
          </cell>
        </row>
        <row r="232">
          <cell r="B232" t="str">
            <v>Tampa</v>
          </cell>
        </row>
        <row r="233">
          <cell r="B233" t="str">
            <v>Taylor</v>
          </cell>
        </row>
        <row r="234">
          <cell r="B234" t="str">
            <v>Thousand Oak</v>
          </cell>
        </row>
        <row r="235">
          <cell r="B235" t="str">
            <v>Toledo</v>
          </cell>
        </row>
        <row r="236">
          <cell r="B236" t="str">
            <v>Troy</v>
          </cell>
        </row>
        <row r="237">
          <cell r="B237" t="str">
            <v>Tucson</v>
          </cell>
        </row>
        <row r="238">
          <cell r="B238" t="str">
            <v>Tulsa</v>
          </cell>
        </row>
        <row r="239">
          <cell r="B239" t="str">
            <v>Union</v>
          </cell>
        </row>
        <row r="240">
          <cell r="B240" t="str">
            <v>Utica</v>
          </cell>
        </row>
        <row r="241">
          <cell r="B241" t="str">
            <v>Vancouver</v>
          </cell>
        </row>
        <row r="242">
          <cell r="B242" t="str">
            <v>Walnut Creek</v>
          </cell>
        </row>
        <row r="243">
          <cell r="B243" t="str">
            <v>Warren</v>
          </cell>
        </row>
        <row r="244">
          <cell r="B244" t="str">
            <v>Warsaw</v>
          </cell>
        </row>
        <row r="245">
          <cell r="B245" t="str">
            <v>Washington DC</v>
          </cell>
        </row>
        <row r="246">
          <cell r="B246" t="str">
            <v>Waukesha</v>
          </cell>
        </row>
        <row r="247">
          <cell r="B247" t="str">
            <v>Waverly</v>
          </cell>
        </row>
        <row r="248">
          <cell r="B248" t="str">
            <v>Westlake Village</v>
          </cell>
        </row>
        <row r="249">
          <cell r="B249" t="str">
            <v>Weston</v>
          </cell>
        </row>
        <row r="250">
          <cell r="B250" t="str">
            <v>Wichita</v>
          </cell>
        </row>
        <row r="251">
          <cell r="B251" t="str">
            <v>Wilmington</v>
          </cell>
        </row>
        <row r="252">
          <cell r="B252" t="str">
            <v>Woodland Hills</v>
          </cell>
        </row>
        <row r="253">
          <cell r="B253" t="str">
            <v>Wyomissing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What-If"/>
      <sheetName val="Price at Market Rates"/>
      <sheetName val="Cost Break-up"/>
      <sheetName val="Staffing"/>
      <sheetName val="Calculation"/>
      <sheetName val="Assumptions"/>
      <sheetName val="Staffing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40544</v>
          </cell>
          <cell r="C3">
            <v>40575</v>
          </cell>
          <cell r="D3">
            <v>40603</v>
          </cell>
          <cell r="E3">
            <v>40634</v>
          </cell>
          <cell r="F3">
            <v>40664</v>
          </cell>
          <cell r="G3">
            <v>40695</v>
          </cell>
          <cell r="H3">
            <v>40725</v>
          </cell>
          <cell r="I3">
            <v>40756</v>
          </cell>
          <cell r="J3">
            <v>40787</v>
          </cell>
          <cell r="K3">
            <v>40817</v>
          </cell>
          <cell r="L3">
            <v>40848</v>
          </cell>
          <cell r="M3">
            <v>40878</v>
          </cell>
          <cell r="N3">
            <v>40909</v>
          </cell>
          <cell r="O3">
            <v>40940</v>
          </cell>
          <cell r="P3">
            <v>40969</v>
          </cell>
          <cell r="Q3">
            <v>41000</v>
          </cell>
          <cell r="R3">
            <v>41030</v>
          </cell>
          <cell r="S3">
            <v>41061</v>
          </cell>
          <cell r="T3">
            <v>41091</v>
          </cell>
          <cell r="U3">
            <v>41122</v>
          </cell>
          <cell r="V3">
            <v>41153</v>
          </cell>
          <cell r="W3">
            <v>41183</v>
          </cell>
          <cell r="X3">
            <v>41214</v>
          </cell>
          <cell r="Y3">
            <v>41244</v>
          </cell>
          <cell r="Z3">
            <v>41275</v>
          </cell>
          <cell r="AA3">
            <v>41306</v>
          </cell>
          <cell r="AB3">
            <v>41334</v>
          </cell>
          <cell r="AC3">
            <v>41365</v>
          </cell>
          <cell r="AD3">
            <v>41395</v>
          </cell>
          <cell r="AE3">
            <v>41426</v>
          </cell>
          <cell r="AF3">
            <v>41456</v>
          </cell>
          <cell r="AG3">
            <v>41487</v>
          </cell>
          <cell r="AH3">
            <v>41518</v>
          </cell>
          <cell r="AI3">
            <v>41548</v>
          </cell>
          <cell r="AJ3">
            <v>41579</v>
          </cell>
          <cell r="AK3">
            <v>41609</v>
          </cell>
          <cell r="AL3">
            <v>41640</v>
          </cell>
          <cell r="AM3">
            <v>41671</v>
          </cell>
          <cell r="AN3">
            <v>41699</v>
          </cell>
          <cell r="AO3">
            <v>41730</v>
          </cell>
          <cell r="AP3">
            <v>41760</v>
          </cell>
          <cell r="AQ3">
            <v>41791</v>
          </cell>
          <cell r="AR3">
            <v>41821</v>
          </cell>
          <cell r="AS3">
            <v>41852</v>
          </cell>
          <cell r="AT3">
            <v>41883</v>
          </cell>
          <cell r="AU3">
            <v>41913</v>
          </cell>
          <cell r="AV3">
            <v>41944</v>
          </cell>
          <cell r="AW3">
            <v>41974</v>
          </cell>
          <cell r="AX3">
            <v>42005</v>
          </cell>
          <cell r="AY3">
            <v>42036</v>
          </cell>
          <cell r="AZ3">
            <v>42064</v>
          </cell>
          <cell r="BA3">
            <v>42095</v>
          </cell>
          <cell r="BB3">
            <v>42125</v>
          </cell>
          <cell r="BC3">
            <v>42156</v>
          </cell>
          <cell r="BD3">
            <v>42186</v>
          </cell>
          <cell r="BE3">
            <v>42217</v>
          </cell>
          <cell r="BF3">
            <v>42248</v>
          </cell>
          <cell r="BG3">
            <v>42278</v>
          </cell>
          <cell r="BH3">
            <v>42309</v>
          </cell>
          <cell r="BI3">
            <v>42339</v>
          </cell>
          <cell r="BJ3">
            <v>42370</v>
          </cell>
          <cell r="BK3">
            <v>42401</v>
          </cell>
          <cell r="BL3">
            <v>42430</v>
          </cell>
          <cell r="BM3">
            <v>42461</v>
          </cell>
          <cell r="BN3">
            <v>42491</v>
          </cell>
          <cell r="BO3">
            <v>42522</v>
          </cell>
          <cell r="BP3">
            <v>42552</v>
          </cell>
          <cell r="BQ3">
            <v>42583</v>
          </cell>
          <cell r="BR3">
            <v>42614</v>
          </cell>
          <cell r="BS3">
            <v>42644</v>
          </cell>
          <cell r="BT3">
            <v>42675</v>
          </cell>
          <cell r="BU3">
            <v>42705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omestic"/>
      <sheetName val="L1"/>
      <sheetName val="H1"/>
      <sheetName val="B1"/>
      <sheetName val="Offshore"/>
      <sheetName val="INPUTS"/>
      <sheetName val="Allowances"/>
      <sheetName val="Blending"/>
      <sheetName val="Master data"/>
      <sheetName val="GRC Rate Card Mapping"/>
      <sheetName val="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C"/>
      <sheetName val="Blending"/>
      <sheetName val="Data Inputs"/>
      <sheetName val="INPUTS"/>
      <sheetName val="Domestic"/>
      <sheetName val="H1"/>
      <sheetName val="L1"/>
      <sheetName val="Offshore"/>
      <sheetName val="Allowances"/>
      <sheetName val="Cost Band-Grade"/>
      <sheetName val="Role Wise Cost"/>
      <sheetName val="Role Wise Margin"/>
      <sheetName val="Master Rate Card"/>
      <sheetName val="DATA_Main"/>
      <sheetName val="Role Selection"/>
      <sheetName val="GRC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Cloud_1</v>
          </cell>
          <cell r="D3" t="str">
            <v>Cloud</v>
          </cell>
        </row>
        <row r="4">
          <cell r="D4" t="str">
            <v>Cloud</v>
          </cell>
        </row>
        <row r="5">
          <cell r="D5" t="str">
            <v>Cloud</v>
          </cell>
        </row>
        <row r="6">
          <cell r="D6" t="str">
            <v>Cloud</v>
          </cell>
        </row>
        <row r="7">
          <cell r="D7" t="str">
            <v>Cloud</v>
          </cell>
        </row>
        <row r="8">
          <cell r="D8" t="str">
            <v>Cloud</v>
          </cell>
        </row>
        <row r="9">
          <cell r="D9" t="str">
            <v>Cloud</v>
          </cell>
        </row>
        <row r="10">
          <cell r="D10" t="str">
            <v>Cloud</v>
          </cell>
        </row>
        <row r="11">
          <cell r="D11" t="str">
            <v>Cloud</v>
          </cell>
        </row>
        <row r="12">
          <cell r="D12" t="str">
            <v>Cloud</v>
          </cell>
        </row>
        <row r="13">
          <cell r="D13" t="str">
            <v>Cloud</v>
          </cell>
        </row>
        <row r="14">
          <cell r="D14" t="str">
            <v>Cloud</v>
          </cell>
        </row>
        <row r="15">
          <cell r="D15" t="str">
            <v>Cloud</v>
          </cell>
        </row>
        <row r="16">
          <cell r="D16" t="str">
            <v>Cloud</v>
          </cell>
        </row>
        <row r="17">
          <cell r="D17" t="str">
            <v>ECM</v>
          </cell>
        </row>
        <row r="18">
          <cell r="D18" t="str">
            <v>ECM</v>
          </cell>
        </row>
        <row r="19">
          <cell r="D19" t="str">
            <v>ECM</v>
          </cell>
        </row>
        <row r="20">
          <cell r="D20" t="str">
            <v>ECM</v>
          </cell>
        </row>
        <row r="21">
          <cell r="D21" t="str">
            <v>ECM</v>
          </cell>
        </row>
        <row r="22">
          <cell r="D22" t="str">
            <v>ECM</v>
          </cell>
        </row>
        <row r="23">
          <cell r="D23" t="str">
            <v>ECM</v>
          </cell>
        </row>
        <row r="24">
          <cell r="D24" t="str">
            <v>ECM</v>
          </cell>
        </row>
        <row r="25">
          <cell r="D25" t="str">
            <v>ECM</v>
          </cell>
        </row>
        <row r="26">
          <cell r="D26" t="str">
            <v>ECM</v>
          </cell>
        </row>
        <row r="27">
          <cell r="D27" t="str">
            <v>ECM</v>
          </cell>
        </row>
        <row r="28">
          <cell r="D28" t="str">
            <v>ECM</v>
          </cell>
        </row>
        <row r="29">
          <cell r="D29" t="str">
            <v>ECM</v>
          </cell>
        </row>
        <row r="30">
          <cell r="D30" t="str">
            <v>ECM</v>
          </cell>
        </row>
        <row r="31">
          <cell r="D31" t="str">
            <v>ECM</v>
          </cell>
        </row>
        <row r="32">
          <cell r="D32" t="str">
            <v>IMS</v>
          </cell>
        </row>
        <row r="33">
          <cell r="D33" t="str">
            <v>IMS</v>
          </cell>
        </row>
        <row r="34">
          <cell r="D34" t="str">
            <v>IMS</v>
          </cell>
        </row>
        <row r="35">
          <cell r="D35" t="str">
            <v>IMS</v>
          </cell>
        </row>
        <row r="36">
          <cell r="D36" t="str">
            <v>IMS</v>
          </cell>
        </row>
        <row r="37">
          <cell r="D37" t="str">
            <v>IMS</v>
          </cell>
        </row>
        <row r="38">
          <cell r="D38" t="str">
            <v>IMS-Basic</v>
          </cell>
        </row>
        <row r="39">
          <cell r="D39" t="str">
            <v>IMS-Basic</v>
          </cell>
        </row>
        <row r="40">
          <cell r="D40" t="str">
            <v>IMS-Basic</v>
          </cell>
        </row>
        <row r="41">
          <cell r="D41" t="str">
            <v>IMS-Basic</v>
          </cell>
        </row>
        <row r="42">
          <cell r="D42" t="str">
            <v>IMS-Basic</v>
          </cell>
        </row>
        <row r="43">
          <cell r="D43" t="str">
            <v>IMS-Basic</v>
          </cell>
        </row>
        <row r="44">
          <cell r="D44" t="str">
            <v>IMS-Basic</v>
          </cell>
        </row>
        <row r="45">
          <cell r="D45" t="str">
            <v>IMS-Basic</v>
          </cell>
        </row>
        <row r="46">
          <cell r="D46" t="str">
            <v>IMS</v>
          </cell>
        </row>
        <row r="47">
          <cell r="D47" t="str">
            <v>IMS</v>
          </cell>
        </row>
        <row r="48">
          <cell r="D48" t="str">
            <v>IMS</v>
          </cell>
        </row>
        <row r="49">
          <cell r="D49" t="str">
            <v>IMS-Basic</v>
          </cell>
        </row>
        <row r="50">
          <cell r="D50" t="str">
            <v>IMS-Basic</v>
          </cell>
        </row>
        <row r="51">
          <cell r="D51" t="str">
            <v>IMS-Basic</v>
          </cell>
        </row>
        <row r="52">
          <cell r="D52" t="str">
            <v>IMS</v>
          </cell>
        </row>
        <row r="53">
          <cell r="D53" t="str">
            <v>IMS</v>
          </cell>
        </row>
        <row r="54">
          <cell r="D54" t="str">
            <v>IMS</v>
          </cell>
        </row>
        <row r="55">
          <cell r="D55" t="str">
            <v>IMS</v>
          </cell>
        </row>
        <row r="56">
          <cell r="D56" t="str">
            <v>IMS</v>
          </cell>
        </row>
        <row r="57">
          <cell r="D57" t="str">
            <v>IMS</v>
          </cell>
        </row>
        <row r="58">
          <cell r="D58" t="str">
            <v>IMS</v>
          </cell>
        </row>
        <row r="59">
          <cell r="D59" t="str">
            <v>IMS</v>
          </cell>
        </row>
        <row r="60">
          <cell r="D60" t="str">
            <v>IMS</v>
          </cell>
        </row>
        <row r="61">
          <cell r="D61" t="str">
            <v>IMS</v>
          </cell>
        </row>
        <row r="62">
          <cell r="D62" t="str">
            <v>IMS</v>
          </cell>
        </row>
        <row r="63">
          <cell r="D63" t="str">
            <v>IMS</v>
          </cell>
        </row>
        <row r="64">
          <cell r="D64" t="str">
            <v>IMS-Basic</v>
          </cell>
        </row>
        <row r="65">
          <cell r="D65" t="str">
            <v>IMS-Basic</v>
          </cell>
        </row>
        <row r="66">
          <cell r="D66" t="str">
            <v>IMS-Basic</v>
          </cell>
        </row>
        <row r="67">
          <cell r="D67" t="str">
            <v>IMS-Basic</v>
          </cell>
        </row>
        <row r="68">
          <cell r="D68" t="str">
            <v>IMS-Basic</v>
          </cell>
        </row>
        <row r="69">
          <cell r="D69" t="str">
            <v>IMS</v>
          </cell>
        </row>
        <row r="70">
          <cell r="D70" t="str">
            <v>IMS</v>
          </cell>
        </row>
        <row r="71">
          <cell r="D71" t="str">
            <v>IMS</v>
          </cell>
        </row>
        <row r="72">
          <cell r="D72" t="str">
            <v>IMS</v>
          </cell>
        </row>
        <row r="73">
          <cell r="D73" t="str">
            <v>IMS</v>
          </cell>
        </row>
        <row r="74">
          <cell r="D74" t="str">
            <v>IMS</v>
          </cell>
        </row>
        <row r="75">
          <cell r="D75" t="str">
            <v>IMS</v>
          </cell>
        </row>
        <row r="76">
          <cell r="D76" t="str">
            <v>IMS</v>
          </cell>
        </row>
        <row r="77">
          <cell r="D77" t="str">
            <v>IMS</v>
          </cell>
        </row>
        <row r="78">
          <cell r="D78" t="str">
            <v>IMS</v>
          </cell>
        </row>
        <row r="79">
          <cell r="D79" t="str">
            <v>IMS</v>
          </cell>
        </row>
        <row r="80">
          <cell r="D80" t="str">
            <v>IMS</v>
          </cell>
        </row>
        <row r="81">
          <cell r="D81" t="str">
            <v>IMS</v>
          </cell>
        </row>
        <row r="82">
          <cell r="D82" t="str">
            <v>IMS</v>
          </cell>
        </row>
        <row r="83">
          <cell r="D83" t="str">
            <v>IMS</v>
          </cell>
        </row>
        <row r="84">
          <cell r="D84" t="str">
            <v>IMS</v>
          </cell>
        </row>
        <row r="85">
          <cell r="D85" t="str">
            <v>IMS</v>
          </cell>
        </row>
        <row r="86">
          <cell r="D86" t="str">
            <v>IMS</v>
          </cell>
        </row>
        <row r="87">
          <cell r="D87" t="str">
            <v>IMS</v>
          </cell>
        </row>
        <row r="88">
          <cell r="D88" t="str">
            <v>IMS</v>
          </cell>
        </row>
        <row r="89">
          <cell r="D89" t="str">
            <v>IMS</v>
          </cell>
        </row>
        <row r="90">
          <cell r="D90" t="str">
            <v>IMS-Basic</v>
          </cell>
        </row>
        <row r="91">
          <cell r="D91" t="str">
            <v>IMS-Basic</v>
          </cell>
        </row>
        <row r="92">
          <cell r="D92" t="str">
            <v>IMS-Basic</v>
          </cell>
        </row>
        <row r="93">
          <cell r="D93" t="str">
            <v>IMS</v>
          </cell>
        </row>
        <row r="94">
          <cell r="D94" t="str">
            <v>IMS</v>
          </cell>
        </row>
        <row r="95">
          <cell r="D95" t="str">
            <v>IMS</v>
          </cell>
        </row>
        <row r="96">
          <cell r="D96" t="str">
            <v>IMS</v>
          </cell>
        </row>
        <row r="97">
          <cell r="D97" t="str">
            <v>IT</v>
          </cell>
        </row>
        <row r="98">
          <cell r="D98" t="str">
            <v>IT</v>
          </cell>
        </row>
        <row r="99">
          <cell r="D99" t="str">
            <v>IT</v>
          </cell>
        </row>
        <row r="100">
          <cell r="D100" t="str">
            <v>IT</v>
          </cell>
        </row>
        <row r="101">
          <cell r="D101" t="str">
            <v>IT</v>
          </cell>
        </row>
        <row r="102">
          <cell r="D102" t="str">
            <v>IT</v>
          </cell>
        </row>
        <row r="103">
          <cell r="D103" t="str">
            <v>IT</v>
          </cell>
        </row>
        <row r="104">
          <cell r="D104" t="str">
            <v>IT</v>
          </cell>
        </row>
        <row r="105">
          <cell r="D105" t="str">
            <v>IT</v>
          </cell>
        </row>
        <row r="106">
          <cell r="D106" t="str">
            <v>IT</v>
          </cell>
        </row>
        <row r="107">
          <cell r="D107" t="str">
            <v>IT</v>
          </cell>
        </row>
        <row r="108">
          <cell r="D108" t="str">
            <v>IT</v>
          </cell>
        </row>
        <row r="109">
          <cell r="D109" t="str">
            <v>IT</v>
          </cell>
        </row>
        <row r="110">
          <cell r="D110" t="str">
            <v>IT</v>
          </cell>
        </row>
        <row r="111">
          <cell r="D111" t="str">
            <v>IT</v>
          </cell>
        </row>
        <row r="112">
          <cell r="D112" t="str">
            <v>IMS</v>
          </cell>
        </row>
        <row r="113">
          <cell r="D113" t="str">
            <v>IMS</v>
          </cell>
        </row>
        <row r="114">
          <cell r="D114" t="str">
            <v>IMS</v>
          </cell>
        </row>
        <row r="115">
          <cell r="D115" t="str">
            <v>IT</v>
          </cell>
        </row>
        <row r="116">
          <cell r="D116" t="str">
            <v>IT</v>
          </cell>
        </row>
        <row r="117">
          <cell r="D117" t="str">
            <v>IT</v>
          </cell>
        </row>
        <row r="118">
          <cell r="D118" t="str">
            <v>SOG</v>
          </cell>
        </row>
        <row r="119">
          <cell r="D119" t="str">
            <v>SOG</v>
          </cell>
        </row>
        <row r="120">
          <cell r="D120" t="str">
            <v>SOG</v>
          </cell>
        </row>
        <row r="121">
          <cell r="D121" t="str">
            <v>IT</v>
          </cell>
        </row>
        <row r="122">
          <cell r="D122" t="str">
            <v>IT</v>
          </cell>
        </row>
        <row r="123">
          <cell r="D123" t="str">
            <v>IT</v>
          </cell>
        </row>
        <row r="124">
          <cell r="D124" t="str">
            <v>IT</v>
          </cell>
        </row>
        <row r="125">
          <cell r="D125" t="str">
            <v>IT</v>
          </cell>
        </row>
        <row r="126">
          <cell r="D126" t="str">
            <v>IT</v>
          </cell>
        </row>
        <row r="127">
          <cell r="D127" t="str">
            <v>IT</v>
          </cell>
        </row>
        <row r="128">
          <cell r="D128" t="str">
            <v>IT</v>
          </cell>
        </row>
        <row r="129">
          <cell r="D129" t="str">
            <v>IT</v>
          </cell>
        </row>
        <row r="130">
          <cell r="D130" t="str">
            <v>IT</v>
          </cell>
        </row>
        <row r="131">
          <cell r="D131" t="str">
            <v>IT</v>
          </cell>
        </row>
        <row r="132">
          <cell r="D132" t="str">
            <v>IT</v>
          </cell>
        </row>
        <row r="133">
          <cell r="D133" t="str">
            <v>IT</v>
          </cell>
        </row>
        <row r="134">
          <cell r="D134" t="str">
            <v>IT</v>
          </cell>
        </row>
        <row r="135">
          <cell r="D135" t="str">
            <v>IT</v>
          </cell>
        </row>
        <row r="136">
          <cell r="D136" t="str">
            <v>IT</v>
          </cell>
        </row>
        <row r="137">
          <cell r="D137" t="str">
            <v>IT</v>
          </cell>
        </row>
        <row r="138">
          <cell r="D138" t="str">
            <v>IT</v>
          </cell>
        </row>
        <row r="139">
          <cell r="D139" t="str">
            <v>IT</v>
          </cell>
        </row>
        <row r="140">
          <cell r="D140" t="str">
            <v>IT</v>
          </cell>
        </row>
        <row r="141">
          <cell r="D141" t="str">
            <v>IT</v>
          </cell>
        </row>
        <row r="142">
          <cell r="D142" t="str">
            <v>IT</v>
          </cell>
        </row>
        <row r="143">
          <cell r="D143" t="str">
            <v>IT</v>
          </cell>
        </row>
        <row r="144">
          <cell r="D144" t="str">
            <v>IT</v>
          </cell>
        </row>
        <row r="145">
          <cell r="D145" t="str">
            <v>IT</v>
          </cell>
        </row>
        <row r="146">
          <cell r="D146" t="str">
            <v>IT</v>
          </cell>
        </row>
        <row r="147">
          <cell r="D147" t="str">
            <v>IT</v>
          </cell>
        </row>
        <row r="148">
          <cell r="D148" t="str">
            <v>IT</v>
          </cell>
        </row>
        <row r="149">
          <cell r="D149" t="str">
            <v>IT</v>
          </cell>
        </row>
        <row r="150">
          <cell r="D150" t="str">
            <v>IT</v>
          </cell>
        </row>
        <row r="151">
          <cell r="D151" t="str">
            <v>IT</v>
          </cell>
        </row>
        <row r="152">
          <cell r="D152" t="str">
            <v>IT</v>
          </cell>
        </row>
        <row r="153">
          <cell r="D153" t="str">
            <v>IT</v>
          </cell>
        </row>
        <row r="154">
          <cell r="D154" t="str">
            <v>IT</v>
          </cell>
        </row>
        <row r="155">
          <cell r="D155" t="str">
            <v>IT</v>
          </cell>
        </row>
        <row r="156">
          <cell r="D156" t="str">
            <v>IT</v>
          </cell>
        </row>
        <row r="157">
          <cell r="D157" t="str">
            <v>IT</v>
          </cell>
        </row>
        <row r="158">
          <cell r="D158" t="str">
            <v>IT</v>
          </cell>
        </row>
        <row r="159">
          <cell r="D159" t="str">
            <v>IT</v>
          </cell>
        </row>
        <row r="160">
          <cell r="D160" t="str">
            <v>IT</v>
          </cell>
        </row>
        <row r="161">
          <cell r="D161" t="str">
            <v>IT</v>
          </cell>
        </row>
        <row r="162">
          <cell r="D162" t="str">
            <v>IT</v>
          </cell>
        </row>
        <row r="163">
          <cell r="D163" t="str">
            <v>IT</v>
          </cell>
        </row>
        <row r="164">
          <cell r="D164" t="str">
            <v>IT</v>
          </cell>
        </row>
        <row r="165">
          <cell r="D165" t="str">
            <v>IT</v>
          </cell>
        </row>
        <row r="166">
          <cell r="D166" t="str">
            <v>IT</v>
          </cell>
        </row>
        <row r="167">
          <cell r="D167" t="str">
            <v>IT</v>
          </cell>
        </row>
        <row r="168">
          <cell r="D168" t="str">
            <v>IT</v>
          </cell>
        </row>
        <row r="169">
          <cell r="D169" t="str">
            <v>IT</v>
          </cell>
        </row>
        <row r="170">
          <cell r="D170" t="str">
            <v>IT</v>
          </cell>
        </row>
        <row r="171">
          <cell r="D171" t="str">
            <v>IT</v>
          </cell>
        </row>
        <row r="172">
          <cell r="D172" t="str">
            <v>IT</v>
          </cell>
        </row>
        <row r="173">
          <cell r="D173" t="str">
            <v>SAP</v>
          </cell>
        </row>
        <row r="174">
          <cell r="D174" t="str">
            <v>SAP</v>
          </cell>
        </row>
        <row r="175">
          <cell r="D175" t="str">
            <v>SAP</v>
          </cell>
        </row>
        <row r="176">
          <cell r="D176" t="str">
            <v>SAP</v>
          </cell>
        </row>
        <row r="177">
          <cell r="D177" t="str">
            <v>SAP</v>
          </cell>
        </row>
        <row r="178">
          <cell r="D178" t="str">
            <v>SAP</v>
          </cell>
        </row>
        <row r="179">
          <cell r="D179" t="str">
            <v>SAP</v>
          </cell>
        </row>
        <row r="180">
          <cell r="D180" t="str">
            <v>SAP</v>
          </cell>
        </row>
        <row r="181">
          <cell r="D181" t="str">
            <v>SAP</v>
          </cell>
        </row>
        <row r="182">
          <cell r="D182" t="str">
            <v>SAP</v>
          </cell>
        </row>
        <row r="183">
          <cell r="D183" t="str">
            <v>SAP</v>
          </cell>
        </row>
        <row r="184">
          <cell r="D184" t="str">
            <v>SAP</v>
          </cell>
        </row>
        <row r="185">
          <cell r="D185" t="str">
            <v>SOG</v>
          </cell>
        </row>
        <row r="186">
          <cell r="D186" t="str">
            <v>SOG</v>
          </cell>
        </row>
        <row r="187">
          <cell r="D187" t="str">
            <v>SOG</v>
          </cell>
        </row>
        <row r="188">
          <cell r="D188" t="str">
            <v>SOG</v>
          </cell>
        </row>
        <row r="189">
          <cell r="D189" t="str">
            <v>SOG</v>
          </cell>
        </row>
        <row r="190">
          <cell r="D190" t="str">
            <v>SOG</v>
          </cell>
        </row>
        <row r="191">
          <cell r="D191" t="str">
            <v>SOG</v>
          </cell>
        </row>
        <row r="192">
          <cell r="D192" t="str">
            <v>SOG</v>
          </cell>
        </row>
        <row r="193">
          <cell r="D193" t="str">
            <v>SOG</v>
          </cell>
        </row>
        <row r="194">
          <cell r="D194" t="str">
            <v>SOG</v>
          </cell>
        </row>
        <row r="195">
          <cell r="D195" t="str">
            <v>SOG</v>
          </cell>
        </row>
        <row r="196">
          <cell r="D196" t="str">
            <v>SOG</v>
          </cell>
        </row>
        <row r="197">
          <cell r="D197" t="str">
            <v>SOG</v>
          </cell>
        </row>
        <row r="198">
          <cell r="D198" t="str">
            <v>SOG</v>
          </cell>
        </row>
        <row r="199">
          <cell r="D199" t="str">
            <v>SOG</v>
          </cell>
        </row>
        <row r="200">
          <cell r="D200" t="str">
            <v>SOG</v>
          </cell>
        </row>
        <row r="201">
          <cell r="D201" t="str">
            <v>SOG</v>
          </cell>
        </row>
        <row r="202">
          <cell r="D202" t="str">
            <v>SOG</v>
          </cell>
        </row>
        <row r="203">
          <cell r="D203" t="str">
            <v>SOG</v>
          </cell>
        </row>
        <row r="204">
          <cell r="D204" t="str">
            <v>SOG</v>
          </cell>
        </row>
        <row r="205">
          <cell r="D205" t="str">
            <v>SOG</v>
          </cell>
        </row>
        <row r="206">
          <cell r="D206" t="str">
            <v>SOG</v>
          </cell>
        </row>
        <row r="207">
          <cell r="D207" t="str">
            <v>SOG</v>
          </cell>
        </row>
        <row r="208">
          <cell r="D208" t="str">
            <v>SOG</v>
          </cell>
        </row>
        <row r="209">
          <cell r="D209" t="str">
            <v>SOG</v>
          </cell>
        </row>
        <row r="210">
          <cell r="D210" t="str">
            <v>SOG</v>
          </cell>
        </row>
        <row r="211">
          <cell r="D211" t="str">
            <v>SOG</v>
          </cell>
        </row>
        <row r="212">
          <cell r="D212" t="str">
            <v>SOG</v>
          </cell>
        </row>
        <row r="213">
          <cell r="D213" t="str">
            <v>SOG</v>
          </cell>
        </row>
        <row r="214">
          <cell r="D214" t="str">
            <v>SOG</v>
          </cell>
        </row>
        <row r="215">
          <cell r="D215" t="str">
            <v>SOG</v>
          </cell>
        </row>
        <row r="216">
          <cell r="D216" t="str">
            <v>SOG</v>
          </cell>
        </row>
        <row r="217">
          <cell r="D217" t="str">
            <v>SOG</v>
          </cell>
        </row>
        <row r="218">
          <cell r="D218" t="str">
            <v>SOG</v>
          </cell>
        </row>
        <row r="219">
          <cell r="D219" t="str">
            <v>SOG</v>
          </cell>
        </row>
        <row r="220">
          <cell r="D220" t="str">
            <v>SOG</v>
          </cell>
        </row>
        <row r="221">
          <cell r="D221" t="str">
            <v>SOG</v>
          </cell>
        </row>
        <row r="222">
          <cell r="D222" t="str">
            <v>SOG</v>
          </cell>
        </row>
        <row r="223">
          <cell r="D223" t="str">
            <v>SOG</v>
          </cell>
        </row>
        <row r="224">
          <cell r="D224" t="str">
            <v>SOG</v>
          </cell>
        </row>
        <row r="225">
          <cell r="D225" t="str">
            <v>SOG</v>
          </cell>
        </row>
        <row r="226">
          <cell r="D226" t="str">
            <v>SOG</v>
          </cell>
        </row>
        <row r="227">
          <cell r="D227" t="str">
            <v>SOG</v>
          </cell>
        </row>
        <row r="228">
          <cell r="D228" t="str">
            <v>SOG</v>
          </cell>
        </row>
        <row r="229">
          <cell r="D229" t="str">
            <v>SOG</v>
          </cell>
        </row>
        <row r="230">
          <cell r="D230" t="str">
            <v>SOG</v>
          </cell>
        </row>
        <row r="231">
          <cell r="D231" t="str">
            <v>SOG</v>
          </cell>
        </row>
        <row r="232">
          <cell r="D232" t="str">
            <v>SOG</v>
          </cell>
        </row>
        <row r="233">
          <cell r="D233" t="str">
            <v>SOG</v>
          </cell>
        </row>
        <row r="234">
          <cell r="D234" t="str">
            <v>SOG</v>
          </cell>
        </row>
        <row r="235">
          <cell r="D235" t="str">
            <v>SOG</v>
          </cell>
        </row>
        <row r="236">
          <cell r="D236" t="str">
            <v>SOG</v>
          </cell>
        </row>
        <row r="237">
          <cell r="D237" t="str">
            <v>SOG</v>
          </cell>
        </row>
        <row r="238">
          <cell r="D238" t="str">
            <v>SOG</v>
          </cell>
        </row>
        <row r="239">
          <cell r="D239" t="str">
            <v>SOG</v>
          </cell>
        </row>
        <row r="240">
          <cell r="D240" t="str">
            <v>SOG</v>
          </cell>
        </row>
        <row r="241">
          <cell r="D241" t="str">
            <v>SOG</v>
          </cell>
        </row>
        <row r="242">
          <cell r="D242" t="str">
            <v>SOG</v>
          </cell>
        </row>
        <row r="243">
          <cell r="D243" t="str">
            <v>SOG</v>
          </cell>
        </row>
        <row r="244">
          <cell r="D244" t="str">
            <v>SOG</v>
          </cell>
        </row>
        <row r="245">
          <cell r="D245" t="str">
            <v>SOG</v>
          </cell>
        </row>
        <row r="246">
          <cell r="D246" t="str">
            <v>SOG</v>
          </cell>
        </row>
        <row r="247">
          <cell r="D247" t="str">
            <v>SOG</v>
          </cell>
        </row>
        <row r="248">
          <cell r="D248" t="str">
            <v>SOG</v>
          </cell>
        </row>
        <row r="249">
          <cell r="D249" t="str">
            <v>SOG</v>
          </cell>
        </row>
        <row r="250">
          <cell r="D250" t="str">
            <v>SOG</v>
          </cell>
        </row>
        <row r="251">
          <cell r="D251" t="str">
            <v>SOG</v>
          </cell>
        </row>
        <row r="252">
          <cell r="D252" t="str">
            <v>SOG</v>
          </cell>
        </row>
        <row r="253">
          <cell r="D253" t="str">
            <v>SOG</v>
          </cell>
        </row>
        <row r="254">
          <cell r="D254" t="str">
            <v>SOG</v>
          </cell>
        </row>
        <row r="255">
          <cell r="D255" t="str">
            <v>SOG</v>
          </cell>
        </row>
        <row r="256">
          <cell r="D256" t="str">
            <v>SOG</v>
          </cell>
        </row>
        <row r="257">
          <cell r="D257" t="str">
            <v>SOG</v>
          </cell>
        </row>
        <row r="258">
          <cell r="D258" t="str">
            <v>SOG</v>
          </cell>
        </row>
        <row r="259">
          <cell r="D259" t="str">
            <v>SOG</v>
          </cell>
        </row>
        <row r="260">
          <cell r="D260" t="str">
            <v>SOG</v>
          </cell>
        </row>
        <row r="261">
          <cell r="D261" t="str">
            <v>SOG</v>
          </cell>
        </row>
        <row r="262">
          <cell r="D262" t="str">
            <v>SOG</v>
          </cell>
        </row>
        <row r="263">
          <cell r="D263" t="str">
            <v>SOG</v>
          </cell>
        </row>
        <row r="264">
          <cell r="D264" t="str">
            <v>SOG</v>
          </cell>
        </row>
        <row r="265">
          <cell r="D265" t="str">
            <v>SOG</v>
          </cell>
        </row>
        <row r="266">
          <cell r="D266" t="str">
            <v>SOG</v>
          </cell>
        </row>
        <row r="267">
          <cell r="D267" t="str">
            <v>SOG</v>
          </cell>
        </row>
        <row r="268">
          <cell r="D268" t="str">
            <v>SOG</v>
          </cell>
        </row>
        <row r="269">
          <cell r="D269" t="str">
            <v>SOG</v>
          </cell>
        </row>
        <row r="270">
          <cell r="D270" t="str">
            <v>SOG</v>
          </cell>
        </row>
        <row r="271">
          <cell r="D271" t="str">
            <v>SOG</v>
          </cell>
        </row>
        <row r="272">
          <cell r="D272" t="str">
            <v>SOG</v>
          </cell>
        </row>
        <row r="273">
          <cell r="D273" t="str">
            <v>SOG</v>
          </cell>
        </row>
        <row r="274">
          <cell r="D274" t="str">
            <v>SOG</v>
          </cell>
        </row>
        <row r="275">
          <cell r="D275" t="str">
            <v>SOG</v>
          </cell>
        </row>
        <row r="276">
          <cell r="D276" t="str">
            <v>SOG</v>
          </cell>
        </row>
        <row r="277">
          <cell r="D277" t="str">
            <v>SOG</v>
          </cell>
        </row>
        <row r="278">
          <cell r="D278" t="str">
            <v>SOG</v>
          </cell>
        </row>
        <row r="279">
          <cell r="D279" t="str">
            <v>SOG</v>
          </cell>
        </row>
        <row r="280">
          <cell r="D280" t="str">
            <v>SOG</v>
          </cell>
        </row>
        <row r="281">
          <cell r="D281" t="str">
            <v>SOG</v>
          </cell>
        </row>
        <row r="282">
          <cell r="D282" t="str">
            <v>SOG</v>
          </cell>
        </row>
        <row r="283">
          <cell r="D283" t="str">
            <v>SOG</v>
          </cell>
        </row>
        <row r="284">
          <cell r="D284" t="str">
            <v>SOG</v>
          </cell>
        </row>
        <row r="285">
          <cell r="D285" t="str">
            <v>SOG</v>
          </cell>
        </row>
        <row r="286">
          <cell r="D286" t="str">
            <v>SOG</v>
          </cell>
        </row>
        <row r="287">
          <cell r="D287" t="str">
            <v>SOG</v>
          </cell>
        </row>
        <row r="288">
          <cell r="D288" t="str">
            <v>SOG</v>
          </cell>
        </row>
        <row r="289">
          <cell r="D289" t="str">
            <v>SOG</v>
          </cell>
        </row>
        <row r="290">
          <cell r="D290" t="str">
            <v>SOG</v>
          </cell>
        </row>
        <row r="291">
          <cell r="D291" t="str">
            <v>SOG</v>
          </cell>
        </row>
        <row r="292">
          <cell r="D292" t="str">
            <v>SOG</v>
          </cell>
        </row>
        <row r="293">
          <cell r="D293" t="str">
            <v>SOG</v>
          </cell>
        </row>
        <row r="294">
          <cell r="D294" t="str">
            <v>SOG</v>
          </cell>
        </row>
        <row r="295">
          <cell r="D295" t="str">
            <v>SOG</v>
          </cell>
        </row>
        <row r="296">
          <cell r="D296" t="str">
            <v>SOG</v>
          </cell>
        </row>
        <row r="297">
          <cell r="D297" t="str">
            <v>SOG</v>
          </cell>
        </row>
        <row r="298">
          <cell r="D298" t="str">
            <v>SOG</v>
          </cell>
        </row>
        <row r="299">
          <cell r="D299" t="str">
            <v>SOG</v>
          </cell>
        </row>
        <row r="300">
          <cell r="D300" t="str">
            <v>SOG</v>
          </cell>
        </row>
        <row r="301">
          <cell r="D301" t="str">
            <v>SOG</v>
          </cell>
        </row>
        <row r="302">
          <cell r="D302" t="str">
            <v>SOG</v>
          </cell>
        </row>
        <row r="303">
          <cell r="D303" t="str">
            <v>SOG</v>
          </cell>
        </row>
        <row r="304">
          <cell r="D304" t="str">
            <v>SOG</v>
          </cell>
        </row>
        <row r="305">
          <cell r="D305" t="str">
            <v>SOG</v>
          </cell>
        </row>
        <row r="306">
          <cell r="D306" t="str">
            <v>SOG</v>
          </cell>
        </row>
        <row r="307">
          <cell r="D307" t="str">
            <v>SOG</v>
          </cell>
        </row>
        <row r="308">
          <cell r="D308" t="str">
            <v>IT</v>
          </cell>
        </row>
        <row r="309">
          <cell r="D309" t="str">
            <v>IT</v>
          </cell>
        </row>
        <row r="310">
          <cell r="D310" t="str">
            <v>IT</v>
          </cell>
        </row>
        <row r="311">
          <cell r="D311" t="str">
            <v>Testing</v>
          </cell>
        </row>
        <row r="312">
          <cell r="D312" t="str">
            <v>Testing</v>
          </cell>
        </row>
        <row r="313">
          <cell r="D313" t="str">
            <v>Testing</v>
          </cell>
        </row>
        <row r="314">
          <cell r="D314" t="str">
            <v>Testing</v>
          </cell>
        </row>
        <row r="315">
          <cell r="D315" t="str">
            <v>Testing</v>
          </cell>
        </row>
        <row r="316">
          <cell r="D316" t="str">
            <v>Testing</v>
          </cell>
        </row>
        <row r="317">
          <cell r="D317" t="str">
            <v>Testing</v>
          </cell>
        </row>
        <row r="318">
          <cell r="D318" t="str">
            <v>Testing</v>
          </cell>
        </row>
        <row r="319">
          <cell r="D319" t="str">
            <v>Testing</v>
          </cell>
        </row>
        <row r="320">
          <cell r="D320" t="str">
            <v>Testing</v>
          </cell>
        </row>
        <row r="321">
          <cell r="D321" t="str">
            <v>Testing</v>
          </cell>
        </row>
        <row r="322">
          <cell r="D322" t="str">
            <v>Testing</v>
          </cell>
        </row>
        <row r="323">
          <cell r="D323" t="str">
            <v>Testing</v>
          </cell>
        </row>
        <row r="324">
          <cell r="D324" t="str">
            <v>Testing</v>
          </cell>
        </row>
        <row r="325">
          <cell r="D325" t="str">
            <v>Testing</v>
          </cell>
        </row>
        <row r="326">
          <cell r="D326" t="str">
            <v>Testing</v>
          </cell>
        </row>
        <row r="327">
          <cell r="D327" t="str">
            <v>Testing</v>
          </cell>
        </row>
        <row r="328">
          <cell r="D328" t="str">
            <v>Testing</v>
          </cell>
        </row>
        <row r="329">
          <cell r="D329" t="str">
            <v>Testing</v>
          </cell>
        </row>
        <row r="330">
          <cell r="D330" t="str">
            <v>Testing</v>
          </cell>
        </row>
        <row r="331">
          <cell r="D331" t="str">
            <v>Testing</v>
          </cell>
        </row>
        <row r="332">
          <cell r="D332" t="str">
            <v>Testing</v>
          </cell>
        </row>
        <row r="333">
          <cell r="D333" t="str">
            <v>Testing</v>
          </cell>
        </row>
        <row r="334">
          <cell r="D334" t="str">
            <v>Testing</v>
          </cell>
        </row>
        <row r="335">
          <cell r="D335" t="str">
            <v>Testing</v>
          </cell>
        </row>
        <row r="336">
          <cell r="D336" t="str">
            <v>Testing</v>
          </cell>
        </row>
        <row r="337">
          <cell r="D337" t="str">
            <v>Testing</v>
          </cell>
        </row>
        <row r="338">
          <cell r="D338" t="str">
            <v>Testing</v>
          </cell>
        </row>
        <row r="339">
          <cell r="D339" t="str">
            <v>Testing</v>
          </cell>
        </row>
        <row r="340">
          <cell r="D340" t="str">
            <v>Testing</v>
          </cell>
        </row>
        <row r="341">
          <cell r="D341" t="str">
            <v>Testing</v>
          </cell>
        </row>
        <row r="342">
          <cell r="D342" t="str">
            <v>Testing</v>
          </cell>
        </row>
        <row r="343">
          <cell r="D343" t="str">
            <v>Mobility</v>
          </cell>
        </row>
        <row r="344">
          <cell r="D344" t="str">
            <v>Mobility</v>
          </cell>
        </row>
        <row r="345">
          <cell r="D345" t="str">
            <v>Mobility</v>
          </cell>
        </row>
        <row r="346">
          <cell r="D346" t="str">
            <v>Mobility</v>
          </cell>
        </row>
        <row r="347">
          <cell r="D347" t="str">
            <v>Mobility</v>
          </cell>
        </row>
        <row r="348">
          <cell r="D348" t="str">
            <v>Mobility</v>
          </cell>
        </row>
        <row r="349">
          <cell r="D349" t="str">
            <v>Mobility</v>
          </cell>
        </row>
        <row r="350">
          <cell r="D350" t="str">
            <v>Mobility</v>
          </cell>
        </row>
        <row r="351">
          <cell r="D351" t="str">
            <v>Testing</v>
          </cell>
        </row>
        <row r="352">
          <cell r="D352" t="str">
            <v>Testing</v>
          </cell>
        </row>
        <row r="353">
          <cell r="D353" t="str">
            <v>Testing</v>
          </cell>
        </row>
        <row r="354">
          <cell r="D354" t="str">
            <v>PLMEnggServices-PLM</v>
          </cell>
        </row>
        <row r="355">
          <cell r="D355" t="str">
            <v>PLMEnggServices-PLM</v>
          </cell>
        </row>
        <row r="356">
          <cell r="D356" t="str">
            <v>PLMEnggServices-PLM</v>
          </cell>
        </row>
        <row r="357">
          <cell r="D357" t="str">
            <v>PLMEnggServices-PLM</v>
          </cell>
        </row>
        <row r="358">
          <cell r="D358" t="str">
            <v>PLMEnggServices-PLM</v>
          </cell>
        </row>
        <row r="359">
          <cell r="D359" t="str">
            <v>PLMEnggServices-PLM</v>
          </cell>
        </row>
        <row r="360">
          <cell r="D360" t="str">
            <v>PLMEnggServices-PLM</v>
          </cell>
        </row>
        <row r="361">
          <cell r="D361" t="str">
            <v>PLMEnggServices-PLM</v>
          </cell>
        </row>
        <row r="362">
          <cell r="D362" t="str">
            <v>PLMEnggServices-PLM</v>
          </cell>
        </row>
        <row r="363">
          <cell r="D363" t="str">
            <v>PLMEnggServices-PLM</v>
          </cell>
        </row>
        <row r="364">
          <cell r="D364" t="str">
            <v>PLMEnggServices-PLM</v>
          </cell>
        </row>
        <row r="365">
          <cell r="D365" t="str">
            <v>PLMEnggServices-PLM</v>
          </cell>
        </row>
        <row r="366">
          <cell r="D366" t="str">
            <v>PLMEnggServices-PLM</v>
          </cell>
        </row>
        <row r="367">
          <cell r="D367" t="str">
            <v>PLMEnggServices-Engg Services</v>
          </cell>
        </row>
        <row r="368">
          <cell r="D368" t="str">
            <v>PLMEnggServices-Engg Services</v>
          </cell>
        </row>
        <row r="369">
          <cell r="D369" t="str">
            <v>PLMEnggServices-Engg Services</v>
          </cell>
        </row>
        <row r="370">
          <cell r="D370" t="str">
            <v>PLMEnggServices-Engg Services</v>
          </cell>
        </row>
        <row r="371">
          <cell r="D371" t="str">
            <v>PLMEnggServices-Engg Services</v>
          </cell>
        </row>
        <row r="372">
          <cell r="D372" t="str">
            <v>PLMEnggServices-Engg Services</v>
          </cell>
        </row>
        <row r="373">
          <cell r="D373" t="str">
            <v>PLMEnggServices-Engg Services</v>
          </cell>
        </row>
        <row r="374">
          <cell r="D374" t="str">
            <v>PLMEnggServices-Engg Services</v>
          </cell>
        </row>
        <row r="375">
          <cell r="D375" t="str">
            <v>PLMEnggServices-Engg Services</v>
          </cell>
        </row>
        <row r="376">
          <cell r="D376" t="str">
            <v>PLMEnggServices-Engg Services</v>
          </cell>
        </row>
        <row r="377">
          <cell r="D377" t="str">
            <v>PLMEnggServices-Engg Services</v>
          </cell>
        </row>
        <row r="378">
          <cell r="D378" t="str">
            <v>PLMEnggServices-Engg Services</v>
          </cell>
        </row>
        <row r="379">
          <cell r="D379" t="str">
            <v>PLMEnggServices-Engg Services</v>
          </cell>
        </row>
        <row r="380">
          <cell r="D380" t="str">
            <v>SAP</v>
          </cell>
        </row>
        <row r="381">
          <cell r="D381" t="str">
            <v>SAP</v>
          </cell>
        </row>
        <row r="382">
          <cell r="D382" t="str">
            <v>SAP</v>
          </cell>
        </row>
        <row r="383">
          <cell r="D383" t="str">
            <v>IT</v>
          </cell>
        </row>
        <row r="384">
          <cell r="D384" t="str">
            <v>IT</v>
          </cell>
        </row>
        <row r="385">
          <cell r="D385" t="str">
            <v>IT</v>
          </cell>
        </row>
        <row r="386">
          <cell r="D386" t="str">
            <v>IT</v>
          </cell>
        </row>
        <row r="387">
          <cell r="D387" t="str">
            <v>IT</v>
          </cell>
        </row>
        <row r="388">
          <cell r="D388" t="str">
            <v>IT</v>
          </cell>
        </row>
      </sheetData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"/>
      <sheetName val="CTC"/>
      <sheetName val="INPUTS"/>
      <sheetName val="H1"/>
      <sheetName val="L1"/>
      <sheetName val="Domestic"/>
      <sheetName val="Offshore"/>
      <sheetName val="GRC"/>
      <sheetName val="Cost Band-Grade"/>
      <sheetName val="Allowances"/>
      <sheetName val="Role Wise Cost"/>
      <sheetName val="Role Wise Margin"/>
      <sheetName val="Master Rate Card"/>
      <sheetName val="Consolidated Rate Sheet"/>
      <sheetName val="DATA_Main"/>
      <sheetName val="Data Inputs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Cloud_1</v>
          </cell>
          <cell r="C3" t="str">
            <v>Cloud_Consulting_Consultant_Junior_</v>
          </cell>
          <cell r="D3" t="str">
            <v>Cloud</v>
          </cell>
          <cell r="E3" t="str">
            <v>Consulting</v>
          </cell>
          <cell r="F3" t="str">
            <v>Consultant</v>
          </cell>
          <cell r="H3" t="str">
            <v>Junior</v>
          </cell>
          <cell r="I3" t="str">
            <v xml:space="preserve">9 - 12 </v>
          </cell>
          <cell r="J3" t="str">
            <v>B4 PM1 (9 to 12 yrs)</v>
          </cell>
          <cell r="K3" t="str">
            <v>None</v>
          </cell>
          <cell r="L3" t="str">
            <v>None</v>
          </cell>
        </row>
        <row r="4">
          <cell r="B4" t="str">
            <v>Cloud_11</v>
          </cell>
          <cell r="C4" t="str">
            <v>Cloud_Consulting_Consultant_Mid-level_</v>
          </cell>
          <cell r="D4" t="str">
            <v>Cloud</v>
          </cell>
          <cell r="E4" t="str">
            <v>Consulting</v>
          </cell>
          <cell r="F4" t="str">
            <v>Consultant</v>
          </cell>
          <cell r="H4" t="str">
            <v>Mid-level</v>
          </cell>
          <cell r="I4" t="str">
            <v>12 - 14</v>
          </cell>
          <cell r="J4" t="str">
            <v>B4 PM2 (10 to 14 yrs)</v>
          </cell>
          <cell r="K4" t="str">
            <v>B4 PM3 (12 to 15 yrs)</v>
          </cell>
          <cell r="L4" t="str">
            <v>None</v>
          </cell>
        </row>
        <row r="5">
          <cell r="B5" t="str">
            <v>Cloud_2</v>
          </cell>
          <cell r="C5" t="str">
            <v>Cloud_Consulting_Consultant_Senior_</v>
          </cell>
          <cell r="D5" t="str">
            <v>Cloud</v>
          </cell>
          <cell r="E5" t="str">
            <v>Consulting</v>
          </cell>
          <cell r="F5" t="str">
            <v>Consultant</v>
          </cell>
          <cell r="H5" t="str">
            <v>Senior</v>
          </cell>
          <cell r="I5" t="str">
            <v>14+</v>
          </cell>
          <cell r="J5" t="str">
            <v>B4 PM3 (12 to 15 yrs)</v>
          </cell>
          <cell r="K5" t="str">
            <v>B5 (min 8 yrs)</v>
          </cell>
          <cell r="L5" t="str">
            <v>None</v>
          </cell>
        </row>
        <row r="6">
          <cell r="B6" t="str">
            <v>Cloud_15</v>
          </cell>
          <cell r="C6" t="str">
            <v>Cloud_Pvt/Pub Cloud_Administrator_Junior_Salesforce/ Azure</v>
          </cell>
          <cell r="D6" t="str">
            <v>Cloud</v>
          </cell>
          <cell r="E6" t="str">
            <v>Pvt/Pub Cloud</v>
          </cell>
          <cell r="F6" t="str">
            <v>Administrator</v>
          </cell>
          <cell r="G6" t="str">
            <v>Salesforce/ Azure</v>
          </cell>
          <cell r="H6" t="str">
            <v>Junior</v>
          </cell>
          <cell r="I6" t="str">
            <v>3 - 5</v>
          </cell>
          <cell r="J6" t="str">
            <v>B2 AP3 (3 to 5 yrs)</v>
          </cell>
          <cell r="K6" t="str">
            <v>None</v>
          </cell>
          <cell r="L6" t="str">
            <v>None</v>
          </cell>
        </row>
        <row r="7">
          <cell r="B7" t="str">
            <v>Cloud_16</v>
          </cell>
          <cell r="C7" t="str">
            <v>Cloud_Pvt/Pub Cloud_Administrator_Mid-Level_Salesforce/ Azure</v>
          </cell>
          <cell r="D7" t="str">
            <v>Cloud</v>
          </cell>
          <cell r="E7" t="str">
            <v>Pvt/Pub Cloud</v>
          </cell>
          <cell r="F7" t="str">
            <v>Administrator</v>
          </cell>
          <cell r="G7" t="str">
            <v>Salesforce/ Azure</v>
          </cell>
          <cell r="H7" t="str">
            <v>Mid-Level</v>
          </cell>
          <cell r="I7" t="str">
            <v xml:space="preserve">5 - 7 </v>
          </cell>
          <cell r="J7" t="str">
            <v>B3 PL1 (5 to 7 yrs)</v>
          </cell>
          <cell r="K7" t="str">
            <v>B3 PL2 (6 to 8 yrs)</v>
          </cell>
          <cell r="L7" t="str">
            <v>None</v>
          </cell>
        </row>
        <row r="8">
          <cell r="B8" t="str">
            <v>Cloud_17</v>
          </cell>
          <cell r="C8" t="str">
            <v>Cloud_Pvt/Pub Cloud_Administrator_Senior_Salesforce/ Azure</v>
          </cell>
          <cell r="D8" t="str">
            <v>Cloud</v>
          </cell>
          <cell r="E8" t="str">
            <v>Pvt/Pub Cloud</v>
          </cell>
          <cell r="F8" t="str">
            <v>Administrator</v>
          </cell>
          <cell r="G8" t="str">
            <v>Salesforce/ Azure</v>
          </cell>
          <cell r="H8" t="str">
            <v>Senior</v>
          </cell>
          <cell r="I8" t="str">
            <v>7 - 9</v>
          </cell>
          <cell r="J8" t="str">
            <v>B3 PL2 (6 to 8 yrs)</v>
          </cell>
          <cell r="K8" t="str">
            <v>B3 PL3 (7 to 10 yrs)</v>
          </cell>
          <cell r="L8" t="str">
            <v>None</v>
          </cell>
        </row>
        <row r="9">
          <cell r="B9" t="str">
            <v>Cloud_4</v>
          </cell>
          <cell r="C9" t="str">
            <v>Cloud_Pvt/Pub Cloud_Architect_Junior_Salesforce/ Azure</v>
          </cell>
          <cell r="D9" t="str">
            <v>Cloud</v>
          </cell>
          <cell r="E9" t="str">
            <v>Pvt/Pub Cloud</v>
          </cell>
          <cell r="F9" t="str">
            <v>Architect</v>
          </cell>
          <cell r="G9" t="str">
            <v>Salesforce/ Azure</v>
          </cell>
          <cell r="H9" t="str">
            <v>Junior</v>
          </cell>
          <cell r="I9" t="str">
            <v>9 - 12</v>
          </cell>
          <cell r="J9" t="str">
            <v>B4 PM1 (9 to 12 yrs)</v>
          </cell>
          <cell r="K9" t="str">
            <v>None</v>
          </cell>
          <cell r="L9" t="str">
            <v>None</v>
          </cell>
        </row>
        <row r="10">
          <cell r="B10" t="str">
            <v>Cloud_12</v>
          </cell>
          <cell r="C10" t="str">
            <v>Cloud_Pvt/Pub Cloud_Architect_Mid-level_Salesforce/ Azure</v>
          </cell>
          <cell r="D10" t="str">
            <v>Cloud</v>
          </cell>
          <cell r="E10" t="str">
            <v>Pvt/Pub Cloud</v>
          </cell>
          <cell r="F10" t="str">
            <v>Architect</v>
          </cell>
          <cell r="G10" t="str">
            <v>Salesforce/ Azure</v>
          </cell>
          <cell r="H10" t="str">
            <v>Mid-level</v>
          </cell>
          <cell r="I10" t="str">
            <v>12 - 14</v>
          </cell>
          <cell r="J10" t="str">
            <v>B4 PM2 (10 to 14 yrs)</v>
          </cell>
          <cell r="K10" t="str">
            <v>B4 PM3 (12 to 15 yrs)</v>
          </cell>
          <cell r="L10" t="str">
            <v>None</v>
          </cell>
        </row>
        <row r="11">
          <cell r="B11" t="str">
            <v>Cloud_5</v>
          </cell>
          <cell r="C11" t="str">
            <v>Cloud_Pvt/Pub Cloud_Architect_Senior_Salesforce/ Azure</v>
          </cell>
          <cell r="D11" t="str">
            <v>Cloud</v>
          </cell>
          <cell r="E11" t="str">
            <v>Pvt/Pub Cloud</v>
          </cell>
          <cell r="F11" t="str">
            <v>Architect</v>
          </cell>
          <cell r="G11" t="str">
            <v>Salesforce/ Azure</v>
          </cell>
          <cell r="H11" t="str">
            <v>Senior</v>
          </cell>
          <cell r="I11" t="str">
            <v>14+</v>
          </cell>
          <cell r="J11" t="str">
            <v>B4 PM3 (12 to 15 yrs)</v>
          </cell>
          <cell r="K11" t="str">
            <v>B5 (min 8 yrs)</v>
          </cell>
          <cell r="L11" t="str">
            <v>None</v>
          </cell>
        </row>
        <row r="12">
          <cell r="B12" t="str">
            <v>Cloud_8</v>
          </cell>
          <cell r="C12" t="str">
            <v>Cloud_Pvt/Pub Cloud_Developer_Junior_Salesforce/ Azure</v>
          </cell>
          <cell r="D12" t="str">
            <v>Cloud</v>
          </cell>
          <cell r="E12" t="str">
            <v>Pvt/Pub Cloud</v>
          </cell>
          <cell r="F12" t="str">
            <v>Developer</v>
          </cell>
          <cell r="G12" t="str">
            <v>Salesforce/ Azure</v>
          </cell>
          <cell r="H12" t="str">
            <v>Junior</v>
          </cell>
          <cell r="I12" t="str">
            <v xml:space="preserve">0 - 3 </v>
          </cell>
          <cell r="J12" t="str">
            <v>B2 AP1</v>
          </cell>
          <cell r="K12" t="str">
            <v>B2 AP2 (0.6 to 3 yrs)</v>
          </cell>
          <cell r="L12" t="str">
            <v>None</v>
          </cell>
        </row>
        <row r="13">
          <cell r="B13" t="str">
            <v>Cloud_9</v>
          </cell>
          <cell r="C13" t="str">
            <v>Cloud_Pvt/Pub Cloud_Developer_Mid-level_Salesforce/ Azure</v>
          </cell>
          <cell r="D13" t="str">
            <v>Cloud</v>
          </cell>
          <cell r="E13" t="str">
            <v>Pvt/Pub Cloud</v>
          </cell>
          <cell r="F13" t="str">
            <v>Developer</v>
          </cell>
          <cell r="G13" t="str">
            <v>Salesforce/ Azure</v>
          </cell>
          <cell r="H13" t="str">
            <v>Mid-level</v>
          </cell>
          <cell r="I13" t="str">
            <v xml:space="preserve">3 - 5 </v>
          </cell>
          <cell r="J13" t="str">
            <v>B2 AP2 (0.6 to 3 yrs)</v>
          </cell>
          <cell r="K13" t="str">
            <v>B2 AP3 (3 to 5 yrs)</v>
          </cell>
          <cell r="L13" t="str">
            <v>None</v>
          </cell>
        </row>
        <row r="14">
          <cell r="B14" t="str">
            <v>Cloud_10</v>
          </cell>
          <cell r="C14" t="str">
            <v>Cloud_Pvt/Pub Cloud_Developer_Senior_Salesforce/ Azure</v>
          </cell>
          <cell r="D14" t="str">
            <v>Cloud</v>
          </cell>
          <cell r="E14" t="str">
            <v>Pvt/Pub Cloud</v>
          </cell>
          <cell r="F14" t="str">
            <v>Developer</v>
          </cell>
          <cell r="G14" t="str">
            <v>Salesforce/ Azure</v>
          </cell>
          <cell r="H14" t="str">
            <v>Senior</v>
          </cell>
          <cell r="I14" t="str">
            <v xml:space="preserve">5 - 7 </v>
          </cell>
          <cell r="J14" t="str">
            <v>B2 AP3 (3 to 5 yrs)</v>
          </cell>
          <cell r="K14" t="str">
            <v>B3 PL1 (5 to 7 yrs)</v>
          </cell>
          <cell r="L14" t="str">
            <v>None</v>
          </cell>
        </row>
        <row r="15">
          <cell r="B15" t="str">
            <v>Cloud_13</v>
          </cell>
          <cell r="C15" t="str">
            <v>Cloud_Pvt/Pub Cloud_Technical Lead_Junior_Salesforce/ Azure</v>
          </cell>
          <cell r="D15" t="str">
            <v>Cloud</v>
          </cell>
          <cell r="E15" t="str">
            <v>Pvt/Pub Cloud</v>
          </cell>
          <cell r="F15" t="str">
            <v>Technical Lead</v>
          </cell>
          <cell r="G15" t="str">
            <v>Salesforce/ Azure</v>
          </cell>
          <cell r="H15" t="str">
            <v>Junior</v>
          </cell>
          <cell r="I15" t="str">
            <v>5 - 8</v>
          </cell>
          <cell r="J15" t="str">
            <v>B3 PL1 (5 to 7 yrs)</v>
          </cell>
          <cell r="K15" t="str">
            <v>B3 PL2 (6 to 8 yrs)</v>
          </cell>
          <cell r="L15" t="str">
            <v>None</v>
          </cell>
        </row>
        <row r="16">
          <cell r="B16" t="str">
            <v>Cloud_14</v>
          </cell>
          <cell r="C16" t="str">
            <v>Cloud_Pvt/Pub Cloud_Technical Lead_Senior_Salesforce/ Azure</v>
          </cell>
          <cell r="D16" t="str">
            <v>Cloud</v>
          </cell>
          <cell r="E16" t="str">
            <v>Pvt/Pub Cloud</v>
          </cell>
          <cell r="F16" t="str">
            <v>Technical Lead</v>
          </cell>
          <cell r="G16" t="str">
            <v>Salesforce/ Azure</v>
          </cell>
          <cell r="H16" t="str">
            <v>Senior</v>
          </cell>
          <cell r="I16" t="str">
            <v>7 - 10</v>
          </cell>
          <cell r="J16" t="str">
            <v>B3 PL3 (7 to 10 yrs)</v>
          </cell>
          <cell r="K16" t="str">
            <v>None</v>
          </cell>
          <cell r="L16" t="str">
            <v>None</v>
          </cell>
        </row>
        <row r="17">
          <cell r="B17" t="str">
            <v>ECM_1</v>
          </cell>
          <cell r="C17" t="str">
            <v>ECM_SharePoint_Administrator_Junior_</v>
          </cell>
          <cell r="D17" t="str">
            <v>ECM</v>
          </cell>
          <cell r="E17" t="str">
            <v>SharePoint</v>
          </cell>
          <cell r="F17" t="str">
            <v>Administrator</v>
          </cell>
          <cell r="H17" t="str">
            <v>Junior</v>
          </cell>
          <cell r="I17" t="str">
            <v>3 - 5</v>
          </cell>
          <cell r="J17" t="str">
            <v>B2 AP3 (3 to 5 yrs)</v>
          </cell>
          <cell r="K17" t="str">
            <v>None</v>
          </cell>
          <cell r="L17" t="str">
            <v>None</v>
          </cell>
        </row>
        <row r="18">
          <cell r="B18" t="str">
            <v>ECM_20</v>
          </cell>
          <cell r="C18" t="str">
            <v>ECM_SharePoint_Administrator_Mid-level_</v>
          </cell>
          <cell r="D18" t="str">
            <v>ECM</v>
          </cell>
          <cell r="E18" t="str">
            <v>SharePoint</v>
          </cell>
          <cell r="F18" t="str">
            <v>Administrator</v>
          </cell>
          <cell r="H18" t="str">
            <v>Mid-level</v>
          </cell>
          <cell r="I18" t="str">
            <v xml:space="preserve">5 - 7 </v>
          </cell>
          <cell r="J18" t="str">
            <v>B3 PL1 (5 to 7 yrs)</v>
          </cell>
          <cell r="K18" t="str">
            <v>B3 PL2 (6 to 8 yrs)</v>
          </cell>
          <cell r="L18" t="str">
            <v>None</v>
          </cell>
        </row>
        <row r="19">
          <cell r="B19" t="str">
            <v>ECM_2</v>
          </cell>
          <cell r="C19" t="str">
            <v>ECM_SharePoint_Administrator_Senior_</v>
          </cell>
          <cell r="D19" t="str">
            <v>ECM</v>
          </cell>
          <cell r="E19" t="str">
            <v>SharePoint</v>
          </cell>
          <cell r="F19" t="str">
            <v>Administrator</v>
          </cell>
          <cell r="H19" t="str">
            <v>Senior</v>
          </cell>
          <cell r="I19" t="str">
            <v>7 - 9</v>
          </cell>
          <cell r="J19" t="str">
            <v>B3 PL2 (6 to 8 yrs)</v>
          </cell>
          <cell r="K19" t="str">
            <v>B3 PL3 (7 to 10 yrs)</v>
          </cell>
          <cell r="L19" t="str">
            <v>None</v>
          </cell>
        </row>
        <row r="20">
          <cell r="B20" t="str">
            <v>ECM_3</v>
          </cell>
          <cell r="C20" t="str">
            <v>ECM_SharePoint_Architect_Junior_</v>
          </cell>
          <cell r="D20" t="str">
            <v>ECM</v>
          </cell>
          <cell r="E20" t="str">
            <v>SharePoint</v>
          </cell>
          <cell r="F20" t="str">
            <v>Architect</v>
          </cell>
          <cell r="H20" t="str">
            <v>Junior</v>
          </cell>
          <cell r="I20" t="str">
            <v>9 - 12</v>
          </cell>
          <cell r="J20" t="str">
            <v>B4 PM1 (9 to 12 yrs)</v>
          </cell>
          <cell r="K20" t="str">
            <v>None</v>
          </cell>
          <cell r="L20" t="str">
            <v>None</v>
          </cell>
        </row>
        <row r="21">
          <cell r="B21" t="str">
            <v>ECM_4</v>
          </cell>
          <cell r="C21" t="str">
            <v>ECM_SharePoint_Architect_Mid-level_</v>
          </cell>
          <cell r="D21" t="str">
            <v>ECM</v>
          </cell>
          <cell r="E21" t="str">
            <v>SharePoint</v>
          </cell>
          <cell r="F21" t="str">
            <v>Architect</v>
          </cell>
          <cell r="H21" t="str">
            <v>Mid-level</v>
          </cell>
          <cell r="I21" t="str">
            <v>12 - 14</v>
          </cell>
          <cell r="J21" t="str">
            <v>B4 PM2 (10 to 14 yrs)</v>
          </cell>
          <cell r="K21" t="str">
            <v>B4 PM3 (12 to 15 yrs)</v>
          </cell>
          <cell r="L21" t="str">
            <v>None</v>
          </cell>
        </row>
        <row r="22">
          <cell r="B22" t="str">
            <v>ECM_5</v>
          </cell>
          <cell r="C22" t="str">
            <v>ECM_SharePoint_Architect_Senior_</v>
          </cell>
          <cell r="D22" t="str">
            <v>ECM</v>
          </cell>
          <cell r="E22" t="str">
            <v>SharePoint</v>
          </cell>
          <cell r="F22" t="str">
            <v>Architect</v>
          </cell>
          <cell r="H22" t="str">
            <v>Senior</v>
          </cell>
          <cell r="I22" t="str">
            <v>14+</v>
          </cell>
          <cell r="J22" t="str">
            <v>B4 PM3 (12 to 15 yrs)</v>
          </cell>
          <cell r="K22" t="str">
            <v>B5 (min 8 yrs)</v>
          </cell>
          <cell r="L22" t="str">
            <v>None</v>
          </cell>
        </row>
        <row r="23">
          <cell r="B23" t="str">
            <v>ECM_7</v>
          </cell>
          <cell r="C23" t="str">
            <v>ECM_SharePoint_Developer_Junior_</v>
          </cell>
          <cell r="D23" t="str">
            <v>ECM</v>
          </cell>
          <cell r="E23" t="str">
            <v>SharePoint</v>
          </cell>
          <cell r="F23" t="str">
            <v>Developer</v>
          </cell>
          <cell r="H23" t="str">
            <v>Junior</v>
          </cell>
          <cell r="I23" t="str">
            <v xml:space="preserve">0 - 3 </v>
          </cell>
          <cell r="J23" t="str">
            <v>B2 AP1</v>
          </cell>
          <cell r="K23" t="str">
            <v>B2 AP2 (0.6 to 3 yrs)</v>
          </cell>
          <cell r="L23" t="str">
            <v>None</v>
          </cell>
        </row>
        <row r="24">
          <cell r="B24" t="str">
            <v>ECM_8</v>
          </cell>
          <cell r="C24" t="str">
            <v>ECM_SharePoint_Developer_Mid-Level_</v>
          </cell>
          <cell r="D24" t="str">
            <v>ECM</v>
          </cell>
          <cell r="E24" t="str">
            <v>SharePoint</v>
          </cell>
          <cell r="F24" t="str">
            <v>Developer</v>
          </cell>
          <cell r="H24" t="str">
            <v>Mid-Level</v>
          </cell>
          <cell r="I24" t="str">
            <v xml:space="preserve">3 - 5 </v>
          </cell>
          <cell r="J24" t="str">
            <v>B2 AP2 (0.6 to 3 yrs)</v>
          </cell>
          <cell r="K24" t="str">
            <v>B2 AP3 (3 to 5 yrs)</v>
          </cell>
          <cell r="L24" t="str">
            <v>None</v>
          </cell>
        </row>
        <row r="25">
          <cell r="B25" t="str">
            <v>ECM_9</v>
          </cell>
          <cell r="C25" t="str">
            <v>ECM_SharePoint_Developer_Senior_</v>
          </cell>
          <cell r="D25" t="str">
            <v>ECM</v>
          </cell>
          <cell r="E25" t="str">
            <v>SharePoint</v>
          </cell>
          <cell r="F25" t="str">
            <v>Developer</v>
          </cell>
          <cell r="H25" t="str">
            <v>Senior</v>
          </cell>
          <cell r="I25" t="str">
            <v xml:space="preserve">5 - 7 </v>
          </cell>
          <cell r="J25" t="str">
            <v>B2 AP3 (3 to 5 yrs)</v>
          </cell>
          <cell r="K25" t="str">
            <v>B3 PL1 (5 to 7 yrs)</v>
          </cell>
          <cell r="L25" t="str">
            <v>None</v>
          </cell>
        </row>
        <row r="26">
          <cell r="B26" t="str">
            <v>ECM_10</v>
          </cell>
          <cell r="C26" t="str">
            <v>ECM_SharePoint_Technical Lead_Junior_</v>
          </cell>
          <cell r="D26" t="str">
            <v>ECM</v>
          </cell>
          <cell r="E26" t="str">
            <v>SharePoint</v>
          </cell>
          <cell r="F26" t="str">
            <v>Technical Lead</v>
          </cell>
          <cell r="H26" t="str">
            <v>Junior</v>
          </cell>
          <cell r="I26" t="str">
            <v>5 - 8</v>
          </cell>
          <cell r="J26" t="str">
            <v>B3 PL1 (5 to 7 yrs)</v>
          </cell>
          <cell r="K26" t="str">
            <v>B3 PL2 (6 to 8 yrs)</v>
          </cell>
          <cell r="L26" t="str">
            <v>None</v>
          </cell>
        </row>
        <row r="27">
          <cell r="B27" t="str">
            <v>ECM_12</v>
          </cell>
          <cell r="C27" t="str">
            <v>ECM_SharePoint_Technical Lead_Senior_</v>
          </cell>
          <cell r="D27" t="str">
            <v>ECM</v>
          </cell>
          <cell r="E27" t="str">
            <v>SharePoint</v>
          </cell>
          <cell r="F27" t="str">
            <v>Technical Lead</v>
          </cell>
          <cell r="H27" t="str">
            <v>Senior</v>
          </cell>
          <cell r="I27" t="str">
            <v>7 - 10</v>
          </cell>
          <cell r="J27" t="str">
            <v>B3 PL3 (7 to 10 yrs)</v>
          </cell>
          <cell r="K27" t="str">
            <v>None</v>
          </cell>
          <cell r="L27" t="str">
            <v>None</v>
          </cell>
        </row>
        <row r="28">
          <cell r="B28" t="str">
            <v>ECM_18</v>
          </cell>
          <cell r="C28" t="str">
            <v>ECM_SharePoint_Test Lead_Junior_Functional Testing</v>
          </cell>
          <cell r="D28" t="str">
            <v>ECM</v>
          </cell>
          <cell r="E28" t="str">
            <v>SharePoint</v>
          </cell>
          <cell r="F28" t="str">
            <v>Test Lead</v>
          </cell>
          <cell r="G28" t="str">
            <v>Functional Testing</v>
          </cell>
          <cell r="H28" t="str">
            <v>Junior</v>
          </cell>
          <cell r="I28" t="str">
            <v>5 - 8</v>
          </cell>
          <cell r="J28" t="str">
            <v>B3 PL1 (5 to 7 yrs)</v>
          </cell>
          <cell r="K28" t="str">
            <v>B3 PL2 (6 to 8 yrs)</v>
          </cell>
          <cell r="L28" t="str">
            <v>None</v>
          </cell>
        </row>
        <row r="29">
          <cell r="B29" t="str">
            <v>ECM_19</v>
          </cell>
          <cell r="C29" t="str">
            <v>ECM_SharePoint_Test Lead_Senior_Functional Testing</v>
          </cell>
          <cell r="D29" t="str">
            <v>ECM</v>
          </cell>
          <cell r="E29" t="str">
            <v>SharePoint</v>
          </cell>
          <cell r="F29" t="str">
            <v>Test Lead</v>
          </cell>
          <cell r="G29" t="str">
            <v>Functional Testing</v>
          </cell>
          <cell r="H29" t="str">
            <v>Senior</v>
          </cell>
          <cell r="I29" t="str">
            <v>7 - 10</v>
          </cell>
          <cell r="J29" t="str">
            <v>B3 PL3 (7 to 10 yrs)</v>
          </cell>
          <cell r="K29" t="str">
            <v>None</v>
          </cell>
          <cell r="L29" t="str">
            <v>None</v>
          </cell>
        </row>
        <row r="30">
          <cell r="B30" t="str">
            <v>ECM_15</v>
          </cell>
          <cell r="C30" t="str">
            <v>ECM_SharePoint_Tester_Junior_Functional Testing</v>
          </cell>
          <cell r="D30" t="str">
            <v>ECM</v>
          </cell>
          <cell r="E30" t="str">
            <v>SharePoint</v>
          </cell>
          <cell r="F30" t="str">
            <v>Tester</v>
          </cell>
          <cell r="G30" t="str">
            <v>Functional Testing</v>
          </cell>
          <cell r="H30" t="str">
            <v>Junior</v>
          </cell>
          <cell r="I30" t="str">
            <v xml:space="preserve">0 - 3 </v>
          </cell>
          <cell r="J30" t="str">
            <v>B2 AP1</v>
          </cell>
          <cell r="K30" t="str">
            <v>B2 AP2 (0.6 to 3 yrs)</v>
          </cell>
          <cell r="L30" t="str">
            <v>None</v>
          </cell>
        </row>
        <row r="31">
          <cell r="B31" t="str">
            <v>ECM_17</v>
          </cell>
          <cell r="C31" t="str">
            <v>ECM_SharePoint_Tester_Senior_Functional Testing</v>
          </cell>
          <cell r="D31" t="str">
            <v>ECM</v>
          </cell>
          <cell r="E31" t="str">
            <v>SharePoint</v>
          </cell>
          <cell r="F31" t="str">
            <v>Tester</v>
          </cell>
          <cell r="G31" t="str">
            <v>Functional Testing</v>
          </cell>
          <cell r="H31" t="str">
            <v>Senior</v>
          </cell>
          <cell r="I31" t="str">
            <v xml:space="preserve">3 - 5 </v>
          </cell>
          <cell r="J31" t="str">
            <v>B2 AP2 (0.6 to 3 yrs)</v>
          </cell>
          <cell r="K31" t="str">
            <v>B2 AP3 (3 to 5 yrs)</v>
          </cell>
          <cell r="L31" t="str">
            <v>None</v>
          </cell>
        </row>
        <row r="32">
          <cell r="B32" t="str">
            <v>IMS_1</v>
          </cell>
          <cell r="C32" t="str">
            <v>IMS_Architect_Architect_Junior_Servers/Storage/Ent Tools/Database/Network</v>
          </cell>
          <cell r="D32" t="str">
            <v>IMS</v>
          </cell>
          <cell r="E32" t="str">
            <v>Architect</v>
          </cell>
          <cell r="F32" t="str">
            <v>Architect</v>
          </cell>
          <cell r="G32" t="str">
            <v>Servers/Storage/Ent Tools/Database/Network</v>
          </cell>
          <cell r="H32" t="str">
            <v>Junior</v>
          </cell>
          <cell r="I32" t="str">
            <v>9 - 12</v>
          </cell>
          <cell r="J32" t="str">
            <v>B4 PM1 (9 to 12 yrs)</v>
          </cell>
          <cell r="K32" t="str">
            <v>None</v>
          </cell>
          <cell r="L32" t="str">
            <v>None</v>
          </cell>
        </row>
        <row r="33">
          <cell r="B33" t="str">
            <v>IMS_2</v>
          </cell>
          <cell r="C33" t="str">
            <v>IMS_Architect_Architect_Mid-Level_Servers/Storage/Ent Tools/Database/Network</v>
          </cell>
          <cell r="D33" t="str">
            <v>IMS</v>
          </cell>
          <cell r="E33" t="str">
            <v>Architect</v>
          </cell>
          <cell r="F33" t="str">
            <v>Architect</v>
          </cell>
          <cell r="G33" t="str">
            <v>Servers/Storage/Ent Tools/Database/Network</v>
          </cell>
          <cell r="H33" t="str">
            <v>Mid-Level</v>
          </cell>
          <cell r="I33" t="str">
            <v>12 - 14</v>
          </cell>
          <cell r="J33" t="str">
            <v>B4 PM2 (10 to 14 yrs)</v>
          </cell>
          <cell r="K33" t="str">
            <v>B4 PM3 (12 to 15 yrs)</v>
          </cell>
          <cell r="L33" t="str">
            <v>None</v>
          </cell>
        </row>
        <row r="34">
          <cell r="B34" t="str">
            <v>IMS_3</v>
          </cell>
          <cell r="C34" t="str">
            <v>IMS_Architect_Architect_Senior_Servers/Storage/Ent Tools/Database/Network</v>
          </cell>
          <cell r="D34" t="str">
            <v>IMS</v>
          </cell>
          <cell r="E34" t="str">
            <v>Architect</v>
          </cell>
          <cell r="F34" t="str">
            <v>Architect</v>
          </cell>
          <cell r="G34" t="str">
            <v>Servers/Storage/Ent Tools/Database/Network</v>
          </cell>
          <cell r="H34" t="str">
            <v>Senior</v>
          </cell>
          <cell r="I34" t="str">
            <v>14+</v>
          </cell>
          <cell r="J34" t="str">
            <v>B4 PM3 (12 to 15 yrs)</v>
          </cell>
          <cell r="K34" t="str">
            <v>B5 (min 8 yrs)</v>
          </cell>
          <cell r="L34" t="str">
            <v>None</v>
          </cell>
        </row>
        <row r="35">
          <cell r="B35" t="str">
            <v>IMS_4</v>
          </cell>
          <cell r="C35" t="str">
            <v>IMS_Build and Release Management_Build Manager_Junior_</v>
          </cell>
          <cell r="D35" t="str">
            <v>IMS</v>
          </cell>
          <cell r="E35" t="str">
            <v>Build and Release Management</v>
          </cell>
          <cell r="F35" t="str">
            <v>Build Manager</v>
          </cell>
          <cell r="H35" t="str">
            <v>Junior</v>
          </cell>
          <cell r="I35" t="str">
            <v>3 - 5</v>
          </cell>
          <cell r="J35" t="str">
            <v>B2 AP3 (3 to 5 yrs)</v>
          </cell>
          <cell r="K35" t="str">
            <v>None</v>
          </cell>
          <cell r="L35" t="str">
            <v>None</v>
          </cell>
        </row>
        <row r="36">
          <cell r="B36" t="str">
            <v>IMS_5</v>
          </cell>
          <cell r="C36" t="str">
            <v>IMS_Build and Release Management_Build Manager_Mid-Level_</v>
          </cell>
          <cell r="D36" t="str">
            <v>IMS</v>
          </cell>
          <cell r="E36" t="str">
            <v>Build and Release Management</v>
          </cell>
          <cell r="F36" t="str">
            <v>Build Manager</v>
          </cell>
          <cell r="H36" t="str">
            <v>Mid-Level</v>
          </cell>
          <cell r="I36" t="str">
            <v xml:space="preserve">5 - 7 </v>
          </cell>
          <cell r="J36" t="str">
            <v>B3 PL1 (5 to 7 yrs)</v>
          </cell>
          <cell r="K36" t="str">
            <v>B3 PL2 (6 to 8 yrs)</v>
          </cell>
          <cell r="L36" t="str">
            <v>None</v>
          </cell>
        </row>
        <row r="37">
          <cell r="B37" t="str">
            <v>IMS_6</v>
          </cell>
          <cell r="C37" t="str">
            <v>IMS_Build and Release Management_Build Manager_Senior_</v>
          </cell>
          <cell r="D37" t="str">
            <v>IMS</v>
          </cell>
          <cell r="E37" t="str">
            <v>Build and Release Management</v>
          </cell>
          <cell r="F37" t="str">
            <v>Build Manager</v>
          </cell>
          <cell r="H37" t="str">
            <v>Senior</v>
          </cell>
          <cell r="I37" t="str">
            <v>7 - 9</v>
          </cell>
          <cell r="J37" t="str">
            <v>B3 PL2 (6 to 8 yrs)</v>
          </cell>
          <cell r="K37" t="str">
            <v>B3 PL3 (7 to 10 yrs)</v>
          </cell>
          <cell r="L37" t="str">
            <v>None</v>
          </cell>
        </row>
        <row r="38">
          <cell r="B38" t="str">
            <v>IMS_7</v>
          </cell>
          <cell r="C38" t="str">
            <v>IMS-2_Data Centre_Data Center Operations _Junior_</v>
          </cell>
          <cell r="D38" t="str">
            <v>IMS-2</v>
          </cell>
          <cell r="E38" t="str">
            <v>Data Centre</v>
          </cell>
          <cell r="F38" t="str">
            <v xml:space="preserve">Data Center Operations </v>
          </cell>
          <cell r="H38" t="str">
            <v>Junior</v>
          </cell>
          <cell r="I38" t="str">
            <v xml:space="preserve">0 - 3 </v>
          </cell>
          <cell r="J38" t="str">
            <v>B2 AP1</v>
          </cell>
          <cell r="K38" t="str">
            <v>B2 AP2 (0.6 to 3 yrs)</v>
          </cell>
          <cell r="L38" t="str">
            <v>None</v>
          </cell>
        </row>
        <row r="39">
          <cell r="B39" t="str">
            <v>IMS_8</v>
          </cell>
          <cell r="C39" t="str">
            <v>IMS-2_Data Centre_Data Center Operations _Mid-level_</v>
          </cell>
          <cell r="D39" t="str">
            <v>IMS-2</v>
          </cell>
          <cell r="E39" t="str">
            <v>Data Centre</v>
          </cell>
          <cell r="F39" t="str">
            <v xml:space="preserve">Data Center Operations </v>
          </cell>
          <cell r="H39" t="str">
            <v>Mid-level</v>
          </cell>
          <cell r="I39" t="str">
            <v>3 - 5</v>
          </cell>
          <cell r="J39" t="str">
            <v>B2 AP2 (0.6 to 3 yrs)</v>
          </cell>
          <cell r="K39" t="str">
            <v>B2 AP3 (3 to 5 yrs)</v>
          </cell>
          <cell r="L39" t="str">
            <v>None</v>
          </cell>
        </row>
        <row r="40">
          <cell r="B40" t="str">
            <v>IMS_9</v>
          </cell>
          <cell r="C40" t="str">
            <v>IMS-2_Data Centre_Data Center Operations _Senior_</v>
          </cell>
          <cell r="D40" t="str">
            <v>IMS-2</v>
          </cell>
          <cell r="E40" t="str">
            <v>Data Centre</v>
          </cell>
          <cell r="F40" t="str">
            <v xml:space="preserve">Data Center Operations </v>
          </cell>
          <cell r="H40" t="str">
            <v>Senior</v>
          </cell>
          <cell r="I40" t="str">
            <v xml:space="preserve">5 - 7 </v>
          </cell>
          <cell r="J40" t="str">
            <v>B2 AP3 (3 to 5 yrs)</v>
          </cell>
          <cell r="K40" t="str">
            <v>B3 PL1 (5 to 7 yrs)</v>
          </cell>
          <cell r="L40" t="str">
            <v>None</v>
          </cell>
        </row>
        <row r="41">
          <cell r="B41" t="str">
            <v>IMS_10</v>
          </cell>
          <cell r="C41" t="str">
            <v>IMS-2_Desktop_Desktop Engineer_Junior_PC Support / Patch / Desk side</v>
          </cell>
          <cell r="D41" t="str">
            <v>IMS-2</v>
          </cell>
          <cell r="E41" t="str">
            <v>Desktop</v>
          </cell>
          <cell r="F41" t="str">
            <v>Desktop Engineer</v>
          </cell>
          <cell r="G41" t="str">
            <v>PC Support / Patch / Desk side</v>
          </cell>
          <cell r="H41" t="str">
            <v>Junior</v>
          </cell>
          <cell r="I41" t="str">
            <v xml:space="preserve">0 - 3 </v>
          </cell>
          <cell r="J41" t="str">
            <v>B2 AP1</v>
          </cell>
          <cell r="K41" t="str">
            <v>B2 AP2 (0.6 to 3 yrs)</v>
          </cell>
          <cell r="L41" t="str">
            <v>None</v>
          </cell>
        </row>
        <row r="42">
          <cell r="B42" t="str">
            <v>IMS_11</v>
          </cell>
          <cell r="C42" t="str">
            <v>IMS-2_Desktop_Desktop Engineer_Mid-Level_PC Support / Patch / Desk side</v>
          </cell>
          <cell r="D42" t="str">
            <v>IMS-2</v>
          </cell>
          <cell r="E42" t="str">
            <v>Desktop</v>
          </cell>
          <cell r="F42" t="str">
            <v>Desktop Engineer</v>
          </cell>
          <cell r="G42" t="str">
            <v>PC Support / Patch / Desk side</v>
          </cell>
          <cell r="H42" t="str">
            <v>Mid-Level</v>
          </cell>
          <cell r="I42" t="str">
            <v>3 - 5</v>
          </cell>
          <cell r="J42" t="str">
            <v>B2 AP2 (0.6 to 3 yrs)</v>
          </cell>
          <cell r="K42" t="str">
            <v>B2 AP3 (3 to 5 yrs)</v>
          </cell>
          <cell r="L42" t="str">
            <v>None</v>
          </cell>
        </row>
        <row r="43">
          <cell r="B43" t="str">
            <v>IMS_12</v>
          </cell>
          <cell r="C43" t="str">
            <v>IMS-2_Desktop_Desktop Engineer_Senior_PC Support / Patch / Desk side</v>
          </cell>
          <cell r="D43" t="str">
            <v>IMS-2</v>
          </cell>
          <cell r="E43" t="str">
            <v>Desktop</v>
          </cell>
          <cell r="F43" t="str">
            <v>Desktop Engineer</v>
          </cell>
          <cell r="G43" t="str">
            <v>PC Support / Patch / Desk side</v>
          </cell>
          <cell r="H43" t="str">
            <v>Senior</v>
          </cell>
          <cell r="I43" t="str">
            <v xml:space="preserve">5 - 7 </v>
          </cell>
          <cell r="J43" t="str">
            <v>B2 AP3 (3 to 5 yrs)</v>
          </cell>
          <cell r="K43" t="str">
            <v>B3 PL1 (5 to 7 yrs)</v>
          </cell>
          <cell r="L43" t="str">
            <v>None</v>
          </cell>
        </row>
        <row r="44">
          <cell r="B44" t="str">
            <v>IMS_13</v>
          </cell>
          <cell r="C44" t="str">
            <v>IMS-2_Help Desk_Help Desk Analyst_Junior_</v>
          </cell>
          <cell r="D44" t="str">
            <v>IMS-2</v>
          </cell>
          <cell r="E44" t="str">
            <v>Help Desk</v>
          </cell>
          <cell r="F44" t="str">
            <v>Help Desk Analyst</v>
          </cell>
          <cell r="H44" t="str">
            <v>Junior</v>
          </cell>
          <cell r="I44" t="str">
            <v xml:space="preserve">0 - 3 </v>
          </cell>
          <cell r="J44" t="str">
            <v>B2 AP1</v>
          </cell>
          <cell r="K44" t="str">
            <v>B2 AP2 (0.6 to 3 yrs)</v>
          </cell>
          <cell r="L44" t="str">
            <v>None</v>
          </cell>
        </row>
        <row r="45">
          <cell r="B45" t="str">
            <v>IMS_14</v>
          </cell>
          <cell r="C45" t="str">
            <v>IMS-2_Help Desk_Help Desk Analyst_Senior_</v>
          </cell>
          <cell r="D45" t="str">
            <v>IMS-2</v>
          </cell>
          <cell r="E45" t="str">
            <v>Help Desk</v>
          </cell>
          <cell r="F45" t="str">
            <v>Help Desk Analyst</v>
          </cell>
          <cell r="H45" t="str">
            <v>Senior</v>
          </cell>
          <cell r="I45" t="str">
            <v>3 - 5</v>
          </cell>
          <cell r="J45" t="str">
            <v>B2 AP2 (0.6 to 3 yrs)</v>
          </cell>
          <cell r="K45" t="str">
            <v>B2 AP3 (3 to 5 yrs)</v>
          </cell>
          <cell r="L45" t="str">
            <v>None</v>
          </cell>
        </row>
        <row r="46">
          <cell r="B46" t="str">
            <v>IMS_15</v>
          </cell>
          <cell r="C46" t="str">
            <v>IMS_ITSM_Consultant_Junior_</v>
          </cell>
          <cell r="D46" t="str">
            <v>IMS</v>
          </cell>
          <cell r="E46" t="str">
            <v>ITSM</v>
          </cell>
          <cell r="F46" t="str">
            <v>Consultant</v>
          </cell>
          <cell r="H46" t="str">
            <v>Junior</v>
          </cell>
          <cell r="I46" t="str">
            <v xml:space="preserve">9 - 12 </v>
          </cell>
          <cell r="J46" t="str">
            <v>B4 PM1 (9 to 12 yrs)</v>
          </cell>
          <cell r="K46" t="str">
            <v>None</v>
          </cell>
          <cell r="L46" t="str">
            <v>None</v>
          </cell>
        </row>
        <row r="47">
          <cell r="B47" t="str">
            <v>IMS_16</v>
          </cell>
          <cell r="C47" t="str">
            <v>IMS_ITSM_Consultant_Mid-Level_</v>
          </cell>
          <cell r="D47" t="str">
            <v>IMS</v>
          </cell>
          <cell r="E47" t="str">
            <v>ITSM</v>
          </cell>
          <cell r="F47" t="str">
            <v>Consultant</v>
          </cell>
          <cell r="H47" t="str">
            <v>Mid-Level</v>
          </cell>
          <cell r="I47" t="str">
            <v>12 - 14</v>
          </cell>
          <cell r="J47" t="str">
            <v>B4 PM2 (10 to 14 yrs)</v>
          </cell>
          <cell r="K47" t="str">
            <v>B4 PM3 (12 to 15 yrs)</v>
          </cell>
          <cell r="L47" t="str">
            <v>None</v>
          </cell>
        </row>
        <row r="48">
          <cell r="B48" t="str">
            <v>IMS_17</v>
          </cell>
          <cell r="C48" t="str">
            <v>IMS_ITSM_Consultant_Senior_</v>
          </cell>
          <cell r="D48" t="str">
            <v>IMS</v>
          </cell>
          <cell r="E48" t="str">
            <v>ITSM</v>
          </cell>
          <cell r="F48" t="str">
            <v>Consultant</v>
          </cell>
          <cell r="H48" t="str">
            <v>Senior</v>
          </cell>
          <cell r="I48" t="str">
            <v>14+</v>
          </cell>
          <cell r="J48" t="str">
            <v>B4 PM3 (12 to 15 yrs)</v>
          </cell>
          <cell r="K48" t="str">
            <v>B5 (min 8 yrs)</v>
          </cell>
          <cell r="L48" t="str">
            <v>None</v>
          </cell>
        </row>
        <row r="49">
          <cell r="B49" t="str">
            <v>IMS_18</v>
          </cell>
          <cell r="C49" t="str">
            <v>IMS-2_Mail Setup_Configurator_Junior_Exchange</v>
          </cell>
          <cell r="D49" t="str">
            <v>IMS-2</v>
          </cell>
          <cell r="E49" t="str">
            <v>Mail Setup</v>
          </cell>
          <cell r="F49" t="str">
            <v>Configurator</v>
          </cell>
          <cell r="G49" t="str">
            <v>Exchange</v>
          </cell>
          <cell r="H49" t="str">
            <v>Junior</v>
          </cell>
          <cell r="I49" t="str">
            <v xml:space="preserve">0 - 3 </v>
          </cell>
          <cell r="J49" t="str">
            <v>B2 AP1</v>
          </cell>
          <cell r="K49" t="str">
            <v>B2 AP2 (0.6 to 3 yrs)</v>
          </cell>
          <cell r="L49" t="str">
            <v>None</v>
          </cell>
        </row>
        <row r="50">
          <cell r="B50" t="str">
            <v>IMS_19</v>
          </cell>
          <cell r="C50" t="str">
            <v>IMS-2_Mail Setup_Configurator_Mid-Level_Exchange</v>
          </cell>
          <cell r="D50" t="str">
            <v>IMS-2</v>
          </cell>
          <cell r="E50" t="str">
            <v>Mail Setup</v>
          </cell>
          <cell r="F50" t="str">
            <v>Configurator</v>
          </cell>
          <cell r="G50" t="str">
            <v>Exchange</v>
          </cell>
          <cell r="H50" t="str">
            <v>Mid-Level</v>
          </cell>
          <cell r="I50" t="str">
            <v>3 - 5</v>
          </cell>
          <cell r="J50" t="str">
            <v>B2 AP2 (0.6 to 3 yrs)</v>
          </cell>
          <cell r="K50" t="str">
            <v>B2 AP3 (3 to 5 yrs)</v>
          </cell>
          <cell r="L50" t="str">
            <v>None</v>
          </cell>
        </row>
        <row r="51">
          <cell r="B51" t="str">
            <v>IMS_20</v>
          </cell>
          <cell r="C51" t="str">
            <v>IMS-2_Mail Setup_Configurator_Senior_Exchange</v>
          </cell>
          <cell r="D51" t="str">
            <v>IMS-2</v>
          </cell>
          <cell r="E51" t="str">
            <v>Mail Setup</v>
          </cell>
          <cell r="F51" t="str">
            <v>Configurator</v>
          </cell>
          <cell r="G51" t="str">
            <v>Exchange</v>
          </cell>
          <cell r="H51" t="str">
            <v>Senior</v>
          </cell>
          <cell r="I51" t="str">
            <v xml:space="preserve">5 - 7 </v>
          </cell>
          <cell r="J51" t="str">
            <v>B2 AP3 (3 to 5 yrs)</v>
          </cell>
          <cell r="K51" t="str">
            <v>B3 PL1 (5 to 7 yrs)</v>
          </cell>
          <cell r="L51" t="str">
            <v>None</v>
          </cell>
        </row>
        <row r="52">
          <cell r="B52" t="str">
            <v>IMS_21</v>
          </cell>
          <cell r="C52" t="str">
            <v>IMS_Management_Program Manager_Junior_</v>
          </cell>
          <cell r="D52" t="str">
            <v>IMS</v>
          </cell>
          <cell r="E52" t="str">
            <v>Management</v>
          </cell>
          <cell r="F52" t="str">
            <v>Program Manager</v>
          </cell>
          <cell r="H52" t="str">
            <v>Junior</v>
          </cell>
          <cell r="I52" t="str">
            <v>9 - 12</v>
          </cell>
          <cell r="J52" t="str">
            <v>B4 PM1 (9 to 12 yrs)</v>
          </cell>
          <cell r="K52" t="str">
            <v>None</v>
          </cell>
          <cell r="L52" t="str">
            <v>None</v>
          </cell>
        </row>
        <row r="53">
          <cell r="B53" t="str">
            <v>IMS_22</v>
          </cell>
          <cell r="C53" t="str">
            <v>IMS_Management_Program Manager_Mid-Level_</v>
          </cell>
          <cell r="D53" t="str">
            <v>IMS</v>
          </cell>
          <cell r="E53" t="str">
            <v>Management</v>
          </cell>
          <cell r="F53" t="str">
            <v>Program Manager</v>
          </cell>
          <cell r="H53" t="str">
            <v>Mid-Level</v>
          </cell>
          <cell r="I53" t="str">
            <v>12 - 14</v>
          </cell>
          <cell r="J53" t="str">
            <v>B4 PM2 (10 to 14 yrs)</v>
          </cell>
          <cell r="K53" t="str">
            <v>B4 PM3 (12 to 15 yrs)</v>
          </cell>
          <cell r="L53" t="str">
            <v>None</v>
          </cell>
        </row>
        <row r="54">
          <cell r="B54" t="str">
            <v>IMS_23</v>
          </cell>
          <cell r="C54" t="str">
            <v>IMS_Management_Program Manager_Senior_</v>
          </cell>
          <cell r="D54" t="str">
            <v>IMS</v>
          </cell>
          <cell r="E54" t="str">
            <v>Management</v>
          </cell>
          <cell r="F54" t="str">
            <v>Program Manager</v>
          </cell>
          <cell r="H54" t="str">
            <v>Senior</v>
          </cell>
          <cell r="I54" t="str">
            <v>14+</v>
          </cell>
          <cell r="J54" t="str">
            <v>B4 PM3 (12 to 15 yrs)</v>
          </cell>
          <cell r="K54" t="str">
            <v>B5 (min 8 yrs)</v>
          </cell>
          <cell r="L54" t="str">
            <v>None</v>
          </cell>
        </row>
        <row r="55">
          <cell r="B55" t="str">
            <v>IMS_24</v>
          </cell>
          <cell r="C55" t="str">
            <v>IMS_Management_Project Manager_Junior_</v>
          </cell>
          <cell r="D55" t="str">
            <v>IMS</v>
          </cell>
          <cell r="E55" t="str">
            <v>Management</v>
          </cell>
          <cell r="F55" t="str">
            <v>Project Manager</v>
          </cell>
          <cell r="H55" t="str">
            <v>Junior</v>
          </cell>
          <cell r="I55" t="str">
            <v xml:space="preserve">8 - 10 </v>
          </cell>
          <cell r="J55" t="str">
            <v>B3 PL3 (7 to 10 yrs)</v>
          </cell>
          <cell r="K55" t="str">
            <v>B4 PM1 (9 to 12 yrs)</v>
          </cell>
          <cell r="L55" t="str">
            <v>None</v>
          </cell>
        </row>
        <row r="56">
          <cell r="B56" t="str">
            <v>IMS_25</v>
          </cell>
          <cell r="C56" t="str">
            <v>IMS_Management_Project Manager_Mid-Level_</v>
          </cell>
          <cell r="D56" t="str">
            <v>IMS</v>
          </cell>
          <cell r="E56" t="str">
            <v>Management</v>
          </cell>
          <cell r="F56" t="str">
            <v>Project Manager</v>
          </cell>
          <cell r="H56" t="str">
            <v>Mid-Level</v>
          </cell>
          <cell r="I56" t="str">
            <v>10 - 12</v>
          </cell>
          <cell r="J56" t="str">
            <v>B4 PM1 (9 to 12 yrs)</v>
          </cell>
          <cell r="K56" t="str">
            <v>B4 PM2 (10 to 14 yrs)</v>
          </cell>
          <cell r="L56" t="str">
            <v>None</v>
          </cell>
        </row>
        <row r="57">
          <cell r="B57" t="str">
            <v>IMS_26</v>
          </cell>
          <cell r="C57" t="str">
            <v>IMS_Management_Project Manager_Senior_</v>
          </cell>
          <cell r="D57" t="str">
            <v>IMS</v>
          </cell>
          <cell r="E57" t="str">
            <v>Management</v>
          </cell>
          <cell r="F57" t="str">
            <v>Project Manager</v>
          </cell>
          <cell r="H57" t="str">
            <v>Senior</v>
          </cell>
          <cell r="I57" t="str">
            <v>12 - 14</v>
          </cell>
          <cell r="J57" t="str">
            <v>B4 PM2 (10 to 14 yrs)</v>
          </cell>
          <cell r="K57" t="str">
            <v>B4 PM3 (12 to 15 yrs)</v>
          </cell>
          <cell r="L57" t="str">
            <v>None</v>
          </cell>
        </row>
        <row r="58">
          <cell r="B58" t="str">
            <v>IMS_27</v>
          </cell>
          <cell r="C58" t="str">
            <v>IMS_Middleware_Administrator_Junior_Weblogic/Websphere/Jboss/Middleware</v>
          </cell>
          <cell r="D58" t="str">
            <v>IMS</v>
          </cell>
          <cell r="E58" t="str">
            <v>Middleware</v>
          </cell>
          <cell r="F58" t="str">
            <v>Administrator</v>
          </cell>
          <cell r="G58" t="str">
            <v>Weblogic/Websphere/Jboss/Middleware</v>
          </cell>
          <cell r="H58" t="str">
            <v>Junior</v>
          </cell>
          <cell r="I58" t="str">
            <v>3 - 5</v>
          </cell>
          <cell r="J58" t="str">
            <v>B2 AP3 (3 to 5 yrs)</v>
          </cell>
          <cell r="K58" t="str">
            <v>None</v>
          </cell>
          <cell r="L58" t="str">
            <v>None</v>
          </cell>
        </row>
        <row r="59">
          <cell r="B59" t="str">
            <v>IMS_28</v>
          </cell>
          <cell r="C59" t="str">
            <v>IMS_Middleware_Administrator_Mid-Level_Weblogic/Websphere/Jboss/Middleware</v>
          </cell>
          <cell r="D59" t="str">
            <v>IMS</v>
          </cell>
          <cell r="E59" t="str">
            <v>Middleware</v>
          </cell>
          <cell r="F59" t="str">
            <v>Administrator</v>
          </cell>
          <cell r="G59" t="str">
            <v>Weblogic/Websphere/Jboss/Middleware</v>
          </cell>
          <cell r="H59" t="str">
            <v>Mid-Level</v>
          </cell>
          <cell r="I59" t="str">
            <v xml:space="preserve">5 - 7 </v>
          </cell>
          <cell r="J59" t="str">
            <v>B3 PL1 (5 to 7 yrs)</v>
          </cell>
          <cell r="K59" t="str">
            <v>B3 PL2 (6 to 8 yrs)</v>
          </cell>
          <cell r="L59" t="str">
            <v>None</v>
          </cell>
        </row>
        <row r="60">
          <cell r="B60" t="str">
            <v>IMS_29</v>
          </cell>
          <cell r="C60" t="str">
            <v>IMS_Middleware_Administrator_Senior_Weblogic/Websphere/Jboss/Middleware</v>
          </cell>
          <cell r="D60" t="str">
            <v>IMS</v>
          </cell>
          <cell r="E60" t="str">
            <v>Middleware</v>
          </cell>
          <cell r="F60" t="str">
            <v>Administrator</v>
          </cell>
          <cell r="G60" t="str">
            <v>Weblogic/Websphere/Jboss/Middleware</v>
          </cell>
          <cell r="H60" t="str">
            <v>Senior</v>
          </cell>
          <cell r="I60" t="str">
            <v>7 - 9</v>
          </cell>
          <cell r="J60" t="str">
            <v>B3 PL2 (6 to 8 yrs)</v>
          </cell>
          <cell r="K60" t="str">
            <v>B3 PL3 (7 to 10 yrs)</v>
          </cell>
          <cell r="L60" t="str">
            <v>None</v>
          </cell>
        </row>
        <row r="61">
          <cell r="B61" t="str">
            <v>IMS_30</v>
          </cell>
          <cell r="C61" t="str">
            <v>IMS_Network_Administrator_Junior_Network/Telecom</v>
          </cell>
          <cell r="D61" t="str">
            <v>IMS</v>
          </cell>
          <cell r="E61" t="str">
            <v>Network</v>
          </cell>
          <cell r="F61" t="str">
            <v>Administrator</v>
          </cell>
          <cell r="G61" t="str">
            <v>Network/Telecom</v>
          </cell>
          <cell r="H61" t="str">
            <v>Junior</v>
          </cell>
          <cell r="I61" t="str">
            <v>3 - 5</v>
          </cell>
          <cell r="J61" t="str">
            <v>B2 AP3 (3 to 5 yrs)</v>
          </cell>
          <cell r="K61" t="str">
            <v>None</v>
          </cell>
          <cell r="L61" t="str">
            <v>None</v>
          </cell>
        </row>
        <row r="62">
          <cell r="B62" t="str">
            <v>IMS_31</v>
          </cell>
          <cell r="C62" t="str">
            <v>IMS_Network_Administrator_Mid-Level_Network/Telecom</v>
          </cell>
          <cell r="D62" t="str">
            <v>IMS</v>
          </cell>
          <cell r="E62" t="str">
            <v>Network</v>
          </cell>
          <cell r="F62" t="str">
            <v>Administrator</v>
          </cell>
          <cell r="G62" t="str">
            <v>Network/Telecom</v>
          </cell>
          <cell r="H62" t="str">
            <v>Mid-Level</v>
          </cell>
          <cell r="I62" t="str">
            <v xml:space="preserve">5 - 7 </v>
          </cell>
          <cell r="J62" t="str">
            <v>B3 PL1 (5 to 7 yrs)</v>
          </cell>
          <cell r="K62" t="str">
            <v>B3 PL2 (6 to 8 yrs)</v>
          </cell>
          <cell r="L62" t="str">
            <v>None</v>
          </cell>
        </row>
        <row r="63">
          <cell r="B63" t="str">
            <v>IMS_32</v>
          </cell>
          <cell r="C63" t="str">
            <v>IMS_Network_Administrator_Senior_Network/Telecom</v>
          </cell>
          <cell r="D63" t="str">
            <v>IMS</v>
          </cell>
          <cell r="E63" t="str">
            <v>Network</v>
          </cell>
          <cell r="F63" t="str">
            <v>Administrator</v>
          </cell>
          <cell r="G63" t="str">
            <v>Network/Telecom</v>
          </cell>
          <cell r="H63" t="str">
            <v>Senior</v>
          </cell>
          <cell r="I63" t="str">
            <v>7 - 9</v>
          </cell>
          <cell r="J63" t="str">
            <v>B3 PL2 (6 to 8 yrs)</v>
          </cell>
          <cell r="K63" t="str">
            <v>B3 PL3 (7 to 10 yrs)</v>
          </cell>
          <cell r="L63" t="str">
            <v>None</v>
          </cell>
        </row>
        <row r="64">
          <cell r="B64" t="str">
            <v>IMS_33</v>
          </cell>
          <cell r="C64" t="str">
            <v>IMS-2_NOC/Desktop_Desktop Engineer_Junior_NOC/Helpdesk/Batch Ops/HW-</v>
          </cell>
          <cell r="D64" t="str">
            <v>IMS-2</v>
          </cell>
          <cell r="E64" t="str">
            <v>NOC/Desktop</v>
          </cell>
          <cell r="F64" t="str">
            <v>Desktop Engineer</v>
          </cell>
          <cell r="G64" t="str">
            <v>NOC/Helpdesk/Batch Ops/HW-</v>
          </cell>
          <cell r="H64" t="str">
            <v>Junior</v>
          </cell>
          <cell r="I64" t="str">
            <v xml:space="preserve">0 - 3 </v>
          </cell>
          <cell r="J64" t="str">
            <v>B2 AP1</v>
          </cell>
          <cell r="K64" t="str">
            <v>B2 AP2 (0.6 to 3 yrs)</v>
          </cell>
          <cell r="L64" t="str">
            <v>None</v>
          </cell>
        </row>
        <row r="65">
          <cell r="B65" t="str">
            <v>IMS_34</v>
          </cell>
          <cell r="C65" t="str">
            <v>IMS-2_NOC/Desktop_Desktop Engineer_Mid-Level_NOC/Helpdesk/Batch Ops/HW-</v>
          </cell>
          <cell r="D65" t="str">
            <v>IMS-2</v>
          </cell>
          <cell r="E65" t="str">
            <v>NOC/Desktop</v>
          </cell>
          <cell r="F65" t="str">
            <v>Desktop Engineer</v>
          </cell>
          <cell r="G65" t="str">
            <v>NOC/Helpdesk/Batch Ops/HW-</v>
          </cell>
          <cell r="H65" t="str">
            <v>Mid-Level</v>
          </cell>
          <cell r="I65" t="str">
            <v>3 - 5</v>
          </cell>
          <cell r="J65" t="str">
            <v>B2 AP2 (0.6 to 3 yrs)</v>
          </cell>
          <cell r="K65" t="str">
            <v>B2 AP3 (3 to 5 yrs)</v>
          </cell>
          <cell r="L65" t="str">
            <v>None</v>
          </cell>
        </row>
        <row r="66">
          <cell r="B66" t="str">
            <v>IMS_35</v>
          </cell>
          <cell r="C66" t="str">
            <v>IMS-2_NOC/Desktop_Desktop Engineer_Senior_NOC/Helpdesk/Batch Ops/HW-</v>
          </cell>
          <cell r="D66" t="str">
            <v>IMS-2</v>
          </cell>
          <cell r="E66" t="str">
            <v>NOC/Desktop</v>
          </cell>
          <cell r="F66" t="str">
            <v>Desktop Engineer</v>
          </cell>
          <cell r="G66" t="str">
            <v>NOC/Helpdesk/Batch Ops/HW-</v>
          </cell>
          <cell r="H66" t="str">
            <v>Senior</v>
          </cell>
          <cell r="I66" t="str">
            <v xml:space="preserve">5 - 7 </v>
          </cell>
          <cell r="J66" t="str">
            <v>B2 AP3 (3 to 5 yrs)</v>
          </cell>
          <cell r="K66" t="str">
            <v>B3 PL1 (5 to 7 yrs)</v>
          </cell>
          <cell r="L66" t="str">
            <v>None</v>
          </cell>
        </row>
        <row r="67">
          <cell r="B67" t="str">
            <v>IMS_65</v>
          </cell>
          <cell r="C67" t="str">
            <v>IMS-2_Ops Support_Opn. Support_Junior_</v>
          </cell>
          <cell r="D67" t="str">
            <v>IMS-2</v>
          </cell>
          <cell r="E67" t="str">
            <v>Ops Support</v>
          </cell>
          <cell r="F67" t="str">
            <v>Opn. Support</v>
          </cell>
          <cell r="H67" t="str">
            <v>Junior</v>
          </cell>
          <cell r="I67" t="str">
            <v xml:space="preserve">0 - 3 </v>
          </cell>
          <cell r="J67" t="str">
            <v>B2 AP1</v>
          </cell>
          <cell r="K67" t="str">
            <v>B2 AP2 (0.6 to 3 yrs)</v>
          </cell>
          <cell r="L67" t="str">
            <v>None</v>
          </cell>
        </row>
        <row r="68">
          <cell r="B68" t="str">
            <v>IMS_66</v>
          </cell>
          <cell r="C68" t="str">
            <v>IMS-2_Ops Support_Opn. Support_Senior_</v>
          </cell>
          <cell r="D68" t="str">
            <v>IMS-2</v>
          </cell>
          <cell r="E68" t="str">
            <v>Ops Support</v>
          </cell>
          <cell r="F68" t="str">
            <v>Opn. Support</v>
          </cell>
          <cell r="H68" t="str">
            <v>Senior</v>
          </cell>
          <cell r="I68" t="str">
            <v>3 - 5</v>
          </cell>
          <cell r="J68" t="str">
            <v>B2 AP2 (0.6 to 3 yrs)</v>
          </cell>
          <cell r="K68" t="str">
            <v>B2 AP3 (3 to 5 yrs)</v>
          </cell>
          <cell r="L68" t="str">
            <v>None</v>
          </cell>
        </row>
        <row r="69">
          <cell r="B69" t="str">
            <v>IMS_37</v>
          </cell>
          <cell r="C69" t="str">
            <v>IMS_Security_Administrator_Junior_</v>
          </cell>
          <cell r="D69" t="str">
            <v>IMS</v>
          </cell>
          <cell r="E69" t="str">
            <v>Security</v>
          </cell>
          <cell r="F69" t="str">
            <v>Administrator</v>
          </cell>
          <cell r="H69" t="str">
            <v>Junior</v>
          </cell>
          <cell r="I69" t="str">
            <v xml:space="preserve">3 - 5 </v>
          </cell>
          <cell r="J69" t="str">
            <v>B2 AP3 (3 to 5 yrs)</v>
          </cell>
          <cell r="K69" t="str">
            <v>None</v>
          </cell>
          <cell r="L69" t="str">
            <v>None</v>
          </cell>
        </row>
        <row r="70">
          <cell r="B70" t="str">
            <v>IMS_38</v>
          </cell>
          <cell r="C70" t="str">
            <v>IMS_Security_Administrator_Mid-Level_</v>
          </cell>
          <cell r="D70" t="str">
            <v>IMS</v>
          </cell>
          <cell r="E70" t="str">
            <v>Security</v>
          </cell>
          <cell r="F70" t="str">
            <v>Administrator</v>
          </cell>
          <cell r="H70" t="str">
            <v>Mid-Level</v>
          </cell>
          <cell r="I70" t="str">
            <v xml:space="preserve">5 - 7 </v>
          </cell>
          <cell r="J70" t="str">
            <v>B3 PL1 (5 to 7 yrs)</v>
          </cell>
          <cell r="K70" t="str">
            <v>B3 PL2 (6 to 8 yrs)</v>
          </cell>
          <cell r="L70" t="str">
            <v>None</v>
          </cell>
        </row>
        <row r="71">
          <cell r="B71" t="str">
            <v>IMS_39</v>
          </cell>
          <cell r="C71" t="str">
            <v>IMS_Security_Administrator_Senior_</v>
          </cell>
          <cell r="D71" t="str">
            <v>IMS</v>
          </cell>
          <cell r="E71" t="str">
            <v>Security</v>
          </cell>
          <cell r="F71" t="str">
            <v>Administrator</v>
          </cell>
          <cell r="H71" t="str">
            <v>Senior</v>
          </cell>
          <cell r="I71" t="str">
            <v>7 - 9</v>
          </cell>
          <cell r="J71" t="str">
            <v>B3 PL2 (6 to 8 yrs)</v>
          </cell>
          <cell r="K71" t="str">
            <v>B3 PL3 (7 to 10 yrs)</v>
          </cell>
          <cell r="L71" t="str">
            <v>None</v>
          </cell>
        </row>
        <row r="72">
          <cell r="B72" t="str">
            <v>IMS_40</v>
          </cell>
          <cell r="C72" t="str">
            <v xml:space="preserve">IMS_Storage_Administrator_Junior_Storage &amp; Backup </v>
          </cell>
          <cell r="D72" t="str">
            <v>IMS</v>
          </cell>
          <cell r="E72" t="str">
            <v>Storage</v>
          </cell>
          <cell r="F72" t="str">
            <v>Administrator</v>
          </cell>
          <cell r="G72" t="str">
            <v xml:space="preserve">Storage &amp; Backup </v>
          </cell>
          <cell r="H72" t="str">
            <v>Junior</v>
          </cell>
          <cell r="I72" t="str">
            <v>3 - 5</v>
          </cell>
          <cell r="J72" t="str">
            <v>B2 AP3 (3 to 5 yrs)</v>
          </cell>
          <cell r="K72" t="str">
            <v>None</v>
          </cell>
          <cell r="L72" t="str">
            <v>None</v>
          </cell>
        </row>
        <row r="73">
          <cell r="B73" t="str">
            <v>IMS_41</v>
          </cell>
          <cell r="C73" t="str">
            <v xml:space="preserve">IMS_Storage_Administrator_Mid-Level_Storage &amp; Backup </v>
          </cell>
          <cell r="D73" t="str">
            <v>IMS</v>
          </cell>
          <cell r="E73" t="str">
            <v>Storage</v>
          </cell>
          <cell r="F73" t="str">
            <v>Administrator</v>
          </cell>
          <cell r="G73" t="str">
            <v xml:space="preserve">Storage &amp; Backup </v>
          </cell>
          <cell r="H73" t="str">
            <v>Mid-Level</v>
          </cell>
          <cell r="I73" t="str">
            <v xml:space="preserve">5 - 7 </v>
          </cell>
          <cell r="J73" t="str">
            <v>B3 PL1 (5 to 7 yrs)</v>
          </cell>
          <cell r="K73" t="str">
            <v>B3 PL2 (6 to 8 yrs)</v>
          </cell>
          <cell r="L73" t="str">
            <v>None</v>
          </cell>
        </row>
        <row r="74">
          <cell r="B74" t="str">
            <v>IMS_42</v>
          </cell>
          <cell r="C74" t="str">
            <v xml:space="preserve">IMS_Storage_Administrator_Senior_Storage &amp; Backup </v>
          </cell>
          <cell r="D74" t="str">
            <v>IMS</v>
          </cell>
          <cell r="E74" t="str">
            <v>Storage</v>
          </cell>
          <cell r="F74" t="str">
            <v>Administrator</v>
          </cell>
          <cell r="G74" t="str">
            <v xml:space="preserve">Storage &amp; Backup </v>
          </cell>
          <cell r="H74" t="str">
            <v>Senior</v>
          </cell>
          <cell r="I74" t="str">
            <v>7 - 9</v>
          </cell>
          <cell r="J74" t="str">
            <v>B3 PL2 (6 to 8 yrs)</v>
          </cell>
          <cell r="K74" t="str">
            <v>B3 PL3 (7 to 10 yrs)</v>
          </cell>
          <cell r="L74" t="str">
            <v>None</v>
          </cell>
        </row>
        <row r="75">
          <cell r="B75" t="str">
            <v>IMS_43</v>
          </cell>
          <cell r="C75" t="str">
            <v>IMS_Systems_Administrator_Junior_Solaris/Linux/Windows Server &amp; Systems/AIX</v>
          </cell>
          <cell r="D75" t="str">
            <v>IMS</v>
          </cell>
          <cell r="E75" t="str">
            <v>Systems</v>
          </cell>
          <cell r="F75" t="str">
            <v>Administrator</v>
          </cell>
          <cell r="G75" t="str">
            <v>Solaris/Linux/Windows Server &amp; Systems/AIX</v>
          </cell>
          <cell r="H75" t="str">
            <v>Junior</v>
          </cell>
          <cell r="I75" t="str">
            <v>3 - 5</v>
          </cell>
          <cell r="J75" t="str">
            <v>B2 AP3 (3 to 5 yrs)</v>
          </cell>
          <cell r="K75" t="str">
            <v>None</v>
          </cell>
          <cell r="L75" t="str">
            <v>None</v>
          </cell>
        </row>
        <row r="76">
          <cell r="B76" t="str">
            <v>IMS_44</v>
          </cell>
          <cell r="C76" t="str">
            <v>IMS_Systems_Administrator_Mid-Level_Solaris/Linux/Windows Server &amp; Systems/AIX</v>
          </cell>
          <cell r="D76" t="str">
            <v>IMS</v>
          </cell>
          <cell r="E76" t="str">
            <v>Systems</v>
          </cell>
          <cell r="F76" t="str">
            <v>Administrator</v>
          </cell>
          <cell r="G76" t="str">
            <v>Solaris/Linux/Windows Server &amp; Systems/AIX</v>
          </cell>
          <cell r="H76" t="str">
            <v>Mid-Level</v>
          </cell>
          <cell r="I76" t="str">
            <v xml:space="preserve">5 - 7 </v>
          </cell>
          <cell r="J76" t="str">
            <v>B3 PL1 (5 to 7 yrs)</v>
          </cell>
          <cell r="K76" t="str">
            <v>B3 PL2 (6 to 8 yrs)</v>
          </cell>
          <cell r="L76" t="str">
            <v>None</v>
          </cell>
        </row>
        <row r="77">
          <cell r="B77" t="str">
            <v>IMS_45</v>
          </cell>
          <cell r="C77" t="str">
            <v>IMS_Systems_Administrator_Senior_Solaris/Linux/Windows Server &amp; Systems/AIX</v>
          </cell>
          <cell r="D77" t="str">
            <v>IMS</v>
          </cell>
          <cell r="E77" t="str">
            <v>Systems</v>
          </cell>
          <cell r="F77" t="str">
            <v>Administrator</v>
          </cell>
          <cell r="G77" t="str">
            <v>Solaris/Linux/Windows Server &amp; Systems/AIX</v>
          </cell>
          <cell r="H77" t="str">
            <v>Senior</v>
          </cell>
          <cell r="I77" t="str">
            <v>7 - 9</v>
          </cell>
          <cell r="J77" t="str">
            <v>B3 PL2 (6 to 8 yrs)</v>
          </cell>
          <cell r="K77" t="str">
            <v>B3 PL3 (7 to 10 yrs)</v>
          </cell>
          <cell r="L77" t="str">
            <v>None</v>
          </cell>
        </row>
        <row r="78">
          <cell r="B78" t="str">
            <v>IMS_46</v>
          </cell>
          <cell r="C78" t="str">
            <v>IMS_Systems_Administrator_Junior_VMWare/SCCM/Citrix</v>
          </cell>
          <cell r="D78" t="str">
            <v>IMS</v>
          </cell>
          <cell r="E78" t="str">
            <v>Systems</v>
          </cell>
          <cell r="F78" t="str">
            <v>Administrator</v>
          </cell>
          <cell r="G78" t="str">
            <v>VMWare/SCCM/Citrix</v>
          </cell>
          <cell r="H78" t="str">
            <v>Junior</v>
          </cell>
          <cell r="I78" t="str">
            <v>3 - 5</v>
          </cell>
          <cell r="J78" t="str">
            <v>B2 AP3 (3 to 5 yrs)</v>
          </cell>
          <cell r="K78" t="str">
            <v>None</v>
          </cell>
          <cell r="L78" t="str">
            <v>None</v>
          </cell>
        </row>
        <row r="79">
          <cell r="B79" t="str">
            <v>IMS_47</v>
          </cell>
          <cell r="C79" t="str">
            <v>IMS_Systems_Administrator_Mid-Level_VMWare/SCCM/Citrix</v>
          </cell>
          <cell r="D79" t="str">
            <v>IMS</v>
          </cell>
          <cell r="E79" t="str">
            <v>Systems</v>
          </cell>
          <cell r="F79" t="str">
            <v>Administrator</v>
          </cell>
          <cell r="G79" t="str">
            <v>VMWare/SCCM/Citrix</v>
          </cell>
          <cell r="H79" t="str">
            <v>Mid-Level</v>
          </cell>
          <cell r="I79" t="str">
            <v xml:space="preserve">5 - 7 </v>
          </cell>
          <cell r="J79" t="str">
            <v>B3 PL1 (5 to 7 yrs)</v>
          </cell>
          <cell r="K79" t="str">
            <v>B3 PL2 (6 to 8 yrs)</v>
          </cell>
          <cell r="L79" t="str">
            <v>None</v>
          </cell>
        </row>
        <row r="80">
          <cell r="B80" t="str">
            <v>IMS_48</v>
          </cell>
          <cell r="C80" t="str">
            <v>IMS_Systems_Administrator_Senior_VMWare/SCCM/Citrix</v>
          </cell>
          <cell r="D80" t="str">
            <v>IMS</v>
          </cell>
          <cell r="E80" t="str">
            <v>Systems</v>
          </cell>
          <cell r="F80" t="str">
            <v>Administrator</v>
          </cell>
          <cell r="G80" t="str">
            <v>VMWare/SCCM/Citrix</v>
          </cell>
          <cell r="H80" t="str">
            <v>Senior</v>
          </cell>
          <cell r="I80" t="str">
            <v>7 - 9</v>
          </cell>
          <cell r="J80" t="str">
            <v>B3 PL2 (6 to 8 yrs)</v>
          </cell>
          <cell r="K80" t="str">
            <v>B3 PL3 (7 to 10 yrs)</v>
          </cell>
          <cell r="L80" t="str">
            <v>None</v>
          </cell>
        </row>
        <row r="81">
          <cell r="B81" t="str">
            <v>IMS_49</v>
          </cell>
          <cell r="C81" t="str">
            <v>IMS_Systems_Database Administrator_Junior_MS SQL/Oracle</v>
          </cell>
          <cell r="D81" t="str">
            <v>IMS</v>
          </cell>
          <cell r="E81" t="str">
            <v>Systems</v>
          </cell>
          <cell r="F81" t="str">
            <v>Database Administrator</v>
          </cell>
          <cell r="G81" t="str">
            <v>MS SQL/Oracle</v>
          </cell>
          <cell r="H81" t="str">
            <v>Junior</v>
          </cell>
          <cell r="I81" t="str">
            <v>3 - 5</v>
          </cell>
          <cell r="J81" t="str">
            <v>B2 AP3 (3 to 5 yrs)</v>
          </cell>
          <cell r="K81" t="str">
            <v>None</v>
          </cell>
          <cell r="L81" t="str">
            <v>None</v>
          </cell>
        </row>
        <row r="82">
          <cell r="B82" t="str">
            <v>IMS_50</v>
          </cell>
          <cell r="C82" t="str">
            <v>IMS_Systems_Database Administrator_Mid-Level_MS SQL/Oracle</v>
          </cell>
          <cell r="D82" t="str">
            <v>IMS</v>
          </cell>
          <cell r="E82" t="str">
            <v>Systems</v>
          </cell>
          <cell r="F82" t="str">
            <v>Database Administrator</v>
          </cell>
          <cell r="G82" t="str">
            <v>MS SQL/Oracle</v>
          </cell>
          <cell r="H82" t="str">
            <v>Mid-Level</v>
          </cell>
          <cell r="I82" t="str">
            <v xml:space="preserve">5 - 7 </v>
          </cell>
          <cell r="J82" t="str">
            <v>B3 PL1 (5 to 7 yrs)</v>
          </cell>
          <cell r="K82" t="str">
            <v>B3 PL2 (6 to 8 yrs)</v>
          </cell>
          <cell r="L82" t="str">
            <v>None</v>
          </cell>
        </row>
        <row r="83">
          <cell r="B83" t="str">
            <v>IMS_51</v>
          </cell>
          <cell r="C83" t="str">
            <v>IMS_Systems_Database Administrator_Senior_MS SQL/Oracle</v>
          </cell>
          <cell r="D83" t="str">
            <v>IMS</v>
          </cell>
          <cell r="E83" t="str">
            <v>Systems</v>
          </cell>
          <cell r="F83" t="str">
            <v>Database Administrator</v>
          </cell>
          <cell r="G83" t="str">
            <v>MS SQL/Oracle</v>
          </cell>
          <cell r="H83" t="str">
            <v>Senior</v>
          </cell>
          <cell r="I83" t="str">
            <v>7 - 9</v>
          </cell>
          <cell r="J83" t="str">
            <v>B3 PL2 (6 to 8 yrs)</v>
          </cell>
          <cell r="K83" t="str">
            <v>B3 PL3 (7 to 10 yrs)</v>
          </cell>
          <cell r="L83" t="str">
            <v>None</v>
          </cell>
        </row>
        <row r="84">
          <cell r="B84" t="str">
            <v>IMS_52</v>
          </cell>
          <cell r="C84" t="str">
            <v>IMS_Systems_Database Administrator_Junior_Sybase</v>
          </cell>
          <cell r="D84" t="str">
            <v>IMS</v>
          </cell>
          <cell r="E84" t="str">
            <v>Systems</v>
          </cell>
          <cell r="F84" t="str">
            <v>Database Administrator</v>
          </cell>
          <cell r="G84" t="str">
            <v>Sybase</v>
          </cell>
          <cell r="H84" t="str">
            <v>Junior</v>
          </cell>
          <cell r="I84" t="str">
            <v>3 - 5</v>
          </cell>
          <cell r="J84" t="str">
            <v>B2 AP3 (3 to 5 yrs)</v>
          </cell>
          <cell r="K84" t="str">
            <v>None</v>
          </cell>
          <cell r="L84" t="str">
            <v>None</v>
          </cell>
        </row>
        <row r="85">
          <cell r="B85" t="str">
            <v>IMS_53</v>
          </cell>
          <cell r="C85" t="str">
            <v>IMS_Systems_Database Administrator_Mid-Level_Sybase</v>
          </cell>
          <cell r="D85" t="str">
            <v>IMS</v>
          </cell>
          <cell r="E85" t="str">
            <v>Systems</v>
          </cell>
          <cell r="F85" t="str">
            <v>Database Administrator</v>
          </cell>
          <cell r="G85" t="str">
            <v>Sybase</v>
          </cell>
          <cell r="H85" t="str">
            <v>Mid-Level</v>
          </cell>
          <cell r="I85" t="str">
            <v xml:space="preserve">5 - 7 </v>
          </cell>
          <cell r="J85" t="str">
            <v>B3 PL1 (5 to 7 yrs)</v>
          </cell>
          <cell r="K85" t="str">
            <v>B3 PL2 (6 to 8 yrs)</v>
          </cell>
          <cell r="L85" t="str">
            <v>None</v>
          </cell>
        </row>
        <row r="86">
          <cell r="B86" t="str">
            <v>IMS_54</v>
          </cell>
          <cell r="C86" t="str">
            <v>IMS_Systems_Database Administrator_Senior_Sybase</v>
          </cell>
          <cell r="D86" t="str">
            <v>IMS</v>
          </cell>
          <cell r="E86" t="str">
            <v>Systems</v>
          </cell>
          <cell r="F86" t="str">
            <v>Database Administrator</v>
          </cell>
          <cell r="G86" t="str">
            <v>Sybase</v>
          </cell>
          <cell r="H86" t="str">
            <v>Senior</v>
          </cell>
          <cell r="I86" t="str">
            <v>7 - 9</v>
          </cell>
          <cell r="J86" t="str">
            <v>B3 PL2 (6 to 8 yrs)</v>
          </cell>
          <cell r="K86" t="str">
            <v>B3 PL3 (7 to 10 yrs)</v>
          </cell>
          <cell r="L86" t="str">
            <v>None</v>
          </cell>
        </row>
        <row r="87">
          <cell r="B87" t="str">
            <v>IMS_55</v>
          </cell>
          <cell r="C87" t="str">
            <v>IMS_Systems_Mainframe Administrator_Junior_</v>
          </cell>
          <cell r="D87" t="str">
            <v>IMS</v>
          </cell>
          <cell r="E87" t="str">
            <v>Systems</v>
          </cell>
          <cell r="F87" t="str">
            <v>Mainframe Administrator</v>
          </cell>
          <cell r="H87" t="str">
            <v>Junior</v>
          </cell>
          <cell r="I87" t="str">
            <v>3 - 5</v>
          </cell>
          <cell r="J87" t="str">
            <v>B2 AP3 (3 to 5 yrs)</v>
          </cell>
          <cell r="K87" t="str">
            <v>None</v>
          </cell>
          <cell r="L87" t="str">
            <v>None</v>
          </cell>
        </row>
        <row r="88">
          <cell r="B88" t="str">
            <v>IMS_56</v>
          </cell>
          <cell r="C88" t="str">
            <v>IMS_Systems_Mainframe Administrator_Mid-Level_</v>
          </cell>
          <cell r="D88" t="str">
            <v>IMS</v>
          </cell>
          <cell r="E88" t="str">
            <v>Systems</v>
          </cell>
          <cell r="F88" t="str">
            <v>Mainframe Administrator</v>
          </cell>
          <cell r="H88" t="str">
            <v>Mid-Level</v>
          </cell>
          <cell r="I88" t="str">
            <v xml:space="preserve">5 - 7 </v>
          </cell>
          <cell r="J88" t="str">
            <v>B3 PL1 (5 to 7 yrs)</v>
          </cell>
          <cell r="K88" t="str">
            <v>B3 PL2 (6 to 8 yrs)</v>
          </cell>
          <cell r="L88" t="str">
            <v>None</v>
          </cell>
        </row>
        <row r="89">
          <cell r="B89" t="str">
            <v>IMS_57</v>
          </cell>
          <cell r="C89" t="str">
            <v>IMS_Systems_Mainframe Administrator_Senior_</v>
          </cell>
          <cell r="D89" t="str">
            <v>IMS</v>
          </cell>
          <cell r="E89" t="str">
            <v>Systems</v>
          </cell>
          <cell r="F89" t="str">
            <v>Mainframe Administrator</v>
          </cell>
          <cell r="H89" t="str">
            <v>Senior</v>
          </cell>
          <cell r="I89" t="str">
            <v>7 - 9</v>
          </cell>
          <cell r="J89" t="str">
            <v>B3 PL2 (6 to 8 yrs)</v>
          </cell>
          <cell r="K89" t="str">
            <v>B3 PL3 (7 to 10 yrs)</v>
          </cell>
          <cell r="L89" t="str">
            <v>None</v>
          </cell>
        </row>
        <row r="90">
          <cell r="B90" t="str">
            <v>IMS_58</v>
          </cell>
          <cell r="C90" t="str">
            <v>IMS-2_Telecom_Technician_Junior_</v>
          </cell>
          <cell r="D90" t="str">
            <v>IMS-2</v>
          </cell>
          <cell r="E90" t="str">
            <v>Telecom</v>
          </cell>
          <cell r="F90" t="str">
            <v>Technician</v>
          </cell>
          <cell r="H90" t="str">
            <v>Junior</v>
          </cell>
          <cell r="I90" t="str">
            <v xml:space="preserve">0 - 3 </v>
          </cell>
          <cell r="J90" t="str">
            <v>B2 AP1</v>
          </cell>
          <cell r="K90" t="str">
            <v>B2 AP2 (0.6 to 3 yrs)</v>
          </cell>
          <cell r="L90" t="str">
            <v>None</v>
          </cell>
        </row>
        <row r="91">
          <cell r="B91" t="str">
            <v>IMS_59</v>
          </cell>
          <cell r="C91" t="str">
            <v>IMS-2_Telecom_Technician_Mid-Level_</v>
          </cell>
          <cell r="D91" t="str">
            <v>IMS-2</v>
          </cell>
          <cell r="E91" t="str">
            <v>Telecom</v>
          </cell>
          <cell r="F91" t="str">
            <v>Technician</v>
          </cell>
          <cell r="H91" t="str">
            <v>Mid-Level</v>
          </cell>
          <cell r="I91" t="str">
            <v xml:space="preserve">3 - 5 </v>
          </cell>
          <cell r="J91" t="str">
            <v>B2 AP2 (0.6 to 3 yrs)</v>
          </cell>
          <cell r="K91" t="str">
            <v>B2 AP3 (3 to 5 yrs)</v>
          </cell>
          <cell r="L91" t="str">
            <v>None</v>
          </cell>
        </row>
        <row r="92">
          <cell r="B92" t="str">
            <v>IMS_60</v>
          </cell>
          <cell r="C92" t="str">
            <v>IMS-2_Telecom_Technician_Senior_</v>
          </cell>
          <cell r="D92" t="str">
            <v>IMS-2</v>
          </cell>
          <cell r="E92" t="str">
            <v>Telecom</v>
          </cell>
          <cell r="F92" t="str">
            <v>Technician</v>
          </cell>
          <cell r="H92" t="str">
            <v>Senior</v>
          </cell>
          <cell r="I92" t="str">
            <v xml:space="preserve">5 - 7 </v>
          </cell>
          <cell r="J92" t="str">
            <v>B2 AP3 (3 to 5 yrs)</v>
          </cell>
          <cell r="K92" t="str">
            <v>B3 PL1 (5 to 7 yrs)</v>
          </cell>
          <cell r="L92" t="str">
            <v>None</v>
          </cell>
        </row>
        <row r="93">
          <cell r="B93" t="str">
            <v>IMS_61</v>
          </cell>
          <cell r="C93" t="str">
            <v>IMS_Management_Program Lead__</v>
          </cell>
          <cell r="D93" t="str">
            <v>IMS</v>
          </cell>
          <cell r="E93" t="str">
            <v>Management</v>
          </cell>
          <cell r="F93" t="str">
            <v>Program Lead</v>
          </cell>
          <cell r="I93" t="str">
            <v>5 - 8</v>
          </cell>
          <cell r="J93" t="str">
            <v>B3 PL1 (5 to 7 yrs)</v>
          </cell>
          <cell r="K93" t="str">
            <v>B3 PL2 (6 to 8 yrs)</v>
          </cell>
          <cell r="L93" t="str">
            <v>None</v>
          </cell>
        </row>
        <row r="94">
          <cell r="B94" t="str">
            <v>IMS_62</v>
          </cell>
          <cell r="C94" t="str">
            <v>IMS_Info Security_Consultant_Junior_</v>
          </cell>
          <cell r="D94" t="str">
            <v>IMS</v>
          </cell>
          <cell r="E94" t="str">
            <v>Info Security</v>
          </cell>
          <cell r="F94" t="str">
            <v>Consultant</v>
          </cell>
          <cell r="H94" t="str">
            <v>Junior</v>
          </cell>
          <cell r="I94" t="str">
            <v xml:space="preserve">9 - 12 </v>
          </cell>
          <cell r="J94" t="str">
            <v>B4 PM1 (9 to 12 yrs)</v>
          </cell>
          <cell r="K94" t="str">
            <v>None</v>
          </cell>
          <cell r="L94" t="str">
            <v>None</v>
          </cell>
        </row>
        <row r="95">
          <cell r="B95" t="str">
            <v>IMS_63</v>
          </cell>
          <cell r="C95" t="str">
            <v>IMS_Info Security_Consultant_Mid-Level_</v>
          </cell>
          <cell r="D95" t="str">
            <v>IMS</v>
          </cell>
          <cell r="E95" t="str">
            <v>Info Security</v>
          </cell>
          <cell r="F95" t="str">
            <v>Consultant</v>
          </cell>
          <cell r="H95" t="str">
            <v>Mid-Level</v>
          </cell>
          <cell r="I95" t="str">
            <v>12 - 14</v>
          </cell>
          <cell r="J95" t="str">
            <v>B4 PM2 (10 to 14 yrs)</v>
          </cell>
          <cell r="K95" t="str">
            <v>B4 PM3 (12 to 15 yrs)</v>
          </cell>
          <cell r="L95" t="str">
            <v>None</v>
          </cell>
        </row>
        <row r="96">
          <cell r="B96" t="str">
            <v>IMS_64</v>
          </cell>
          <cell r="C96" t="str">
            <v>IMS_Info Security_Consultant_Senior_</v>
          </cell>
          <cell r="D96" t="str">
            <v>IMS</v>
          </cell>
          <cell r="E96" t="str">
            <v>Info Security</v>
          </cell>
          <cell r="F96" t="str">
            <v>Consultant</v>
          </cell>
          <cell r="H96" t="str">
            <v>Senior</v>
          </cell>
          <cell r="I96" t="str">
            <v>14+</v>
          </cell>
          <cell r="J96" t="str">
            <v>B4 PM3 (12 to 15 yrs)</v>
          </cell>
          <cell r="K96" t="str">
            <v>B5 (min 8 yrs)</v>
          </cell>
          <cell r="L96" t="str">
            <v>None</v>
          </cell>
        </row>
        <row r="97">
          <cell r="B97" t="str">
            <v>IT_1</v>
          </cell>
          <cell r="C97" t="str">
            <v>IT_ADS_Business Systems Analyst_Junior_</v>
          </cell>
          <cell r="D97" t="str">
            <v>IT</v>
          </cell>
          <cell r="E97" t="str">
            <v>ADS</v>
          </cell>
          <cell r="F97" t="str">
            <v>Business Systems Analyst</v>
          </cell>
          <cell r="H97" t="str">
            <v>Junior</v>
          </cell>
          <cell r="I97" t="str">
            <v xml:space="preserve">3 - 5 </v>
          </cell>
          <cell r="J97" t="str">
            <v>B2 AP3 (3 to 5 yrs)</v>
          </cell>
          <cell r="K97" t="str">
            <v>None</v>
          </cell>
          <cell r="L97" t="str">
            <v>None</v>
          </cell>
        </row>
        <row r="98">
          <cell r="B98" t="str">
            <v>IT_2</v>
          </cell>
          <cell r="C98" t="str">
            <v>IT_ADS_Business Systems Analyst_Mid-Level_</v>
          </cell>
          <cell r="D98" t="str">
            <v>IT</v>
          </cell>
          <cell r="E98" t="str">
            <v>ADS</v>
          </cell>
          <cell r="F98" t="str">
            <v>Business Systems Analyst</v>
          </cell>
          <cell r="H98" t="str">
            <v>Mid-Level</v>
          </cell>
          <cell r="I98" t="str">
            <v xml:space="preserve">5 - 7 </v>
          </cell>
          <cell r="J98" t="str">
            <v>B3 PL1 (5 to 7 yrs)</v>
          </cell>
          <cell r="K98" t="str">
            <v>B3 PL2 (6 to 8 yrs)</v>
          </cell>
          <cell r="L98" t="str">
            <v>None</v>
          </cell>
        </row>
        <row r="99">
          <cell r="B99" t="str">
            <v>IT_3</v>
          </cell>
          <cell r="C99" t="str">
            <v>IT_ADS_Business Systems Analyst_Senior_</v>
          </cell>
          <cell r="D99" t="str">
            <v>IT</v>
          </cell>
          <cell r="E99" t="str">
            <v>ADS</v>
          </cell>
          <cell r="F99" t="str">
            <v>Business Systems Analyst</v>
          </cell>
          <cell r="H99" t="str">
            <v>Senior</v>
          </cell>
          <cell r="I99" t="str">
            <v>7 - 9</v>
          </cell>
          <cell r="J99" t="str">
            <v>B3 PL2 (6 to 8 yrs)</v>
          </cell>
          <cell r="K99" t="str">
            <v>B3 PL3 (7 to 10 yrs)</v>
          </cell>
          <cell r="L99" t="str">
            <v>None</v>
          </cell>
        </row>
        <row r="100">
          <cell r="B100" t="str">
            <v>IT_4</v>
          </cell>
          <cell r="C100" t="str">
            <v>IT_Domain_Business Analyst_Junior_</v>
          </cell>
          <cell r="D100" t="str">
            <v>IT</v>
          </cell>
          <cell r="E100" t="str">
            <v>Domain</v>
          </cell>
          <cell r="F100" t="str">
            <v>Business Analyst</v>
          </cell>
          <cell r="H100" t="str">
            <v>Junior</v>
          </cell>
          <cell r="I100" t="str">
            <v>3 - 5</v>
          </cell>
          <cell r="J100" t="str">
            <v>B2 AP3 (3 to 5 yrs)</v>
          </cell>
          <cell r="K100" t="str">
            <v>None</v>
          </cell>
          <cell r="L100" t="str">
            <v>None</v>
          </cell>
        </row>
        <row r="101">
          <cell r="B101" t="str">
            <v>IT_5</v>
          </cell>
          <cell r="C101" t="str">
            <v>IT_Domain_Business Analyst_Mid-Level_</v>
          </cell>
          <cell r="D101" t="str">
            <v>IT</v>
          </cell>
          <cell r="E101" t="str">
            <v>Domain</v>
          </cell>
          <cell r="F101" t="str">
            <v>Business Analyst</v>
          </cell>
          <cell r="H101" t="str">
            <v>Mid-Level</v>
          </cell>
          <cell r="I101" t="str">
            <v xml:space="preserve">5 - 7 </v>
          </cell>
          <cell r="J101" t="str">
            <v>B3 PL1 (5 to 7 yrs)</v>
          </cell>
          <cell r="K101" t="str">
            <v>B3 PL2 (6 to 8 yrs)</v>
          </cell>
          <cell r="L101" t="str">
            <v>None</v>
          </cell>
        </row>
        <row r="102">
          <cell r="B102" t="str">
            <v>IT_6</v>
          </cell>
          <cell r="C102" t="str">
            <v>IT_Domain_Business Analyst_Senior_</v>
          </cell>
          <cell r="D102" t="str">
            <v>IT</v>
          </cell>
          <cell r="E102" t="str">
            <v>Domain</v>
          </cell>
          <cell r="F102" t="str">
            <v>Business Analyst</v>
          </cell>
          <cell r="H102" t="str">
            <v>Senior</v>
          </cell>
          <cell r="I102" t="str">
            <v>7 - 9</v>
          </cell>
          <cell r="J102" t="str">
            <v>B3 PL2 (6 to 8 yrs)</v>
          </cell>
          <cell r="K102" t="str">
            <v>B3 PL3 (7 to 10 yrs)</v>
          </cell>
          <cell r="L102" t="str">
            <v>None</v>
          </cell>
        </row>
        <row r="103">
          <cell r="B103" t="str">
            <v>IT_70</v>
          </cell>
          <cell r="C103" t="str">
            <v>IT_Duck Creek_Architect_Junior_</v>
          </cell>
          <cell r="D103" t="str">
            <v>IT</v>
          </cell>
          <cell r="E103" t="str">
            <v>Duck Creek</v>
          </cell>
          <cell r="F103" t="str">
            <v>Architect</v>
          </cell>
          <cell r="H103" t="str">
            <v>Junior</v>
          </cell>
          <cell r="I103" t="str">
            <v>9 - 12</v>
          </cell>
          <cell r="J103" t="str">
            <v>B4 PM1 (9 to 12 yrs)</v>
          </cell>
          <cell r="K103" t="str">
            <v>None</v>
          </cell>
          <cell r="L103" t="str">
            <v>None</v>
          </cell>
        </row>
        <row r="104">
          <cell r="B104" t="str">
            <v>IT_71</v>
          </cell>
          <cell r="C104" t="str">
            <v>IT_Duck Creek_Architect_Mid-Level_</v>
          </cell>
          <cell r="D104" t="str">
            <v>IT</v>
          </cell>
          <cell r="E104" t="str">
            <v>Duck Creek</v>
          </cell>
          <cell r="F104" t="str">
            <v>Architect</v>
          </cell>
          <cell r="H104" t="str">
            <v>Mid-Level</v>
          </cell>
          <cell r="I104" t="str">
            <v>12 - 14</v>
          </cell>
          <cell r="J104" t="str">
            <v>B4 PM2 (10 to 14 yrs)</v>
          </cell>
          <cell r="K104" t="str">
            <v>B4 PM3 (12 to 15 yrs)</v>
          </cell>
          <cell r="L104" t="str">
            <v>None</v>
          </cell>
        </row>
        <row r="105">
          <cell r="B105" t="str">
            <v>IT_72</v>
          </cell>
          <cell r="C105" t="str">
            <v>IT_Duck Creek_Architect_Senior_</v>
          </cell>
          <cell r="D105" t="str">
            <v>IT</v>
          </cell>
          <cell r="E105" t="str">
            <v>Duck Creek</v>
          </cell>
          <cell r="F105" t="str">
            <v>Architect</v>
          </cell>
          <cell r="H105" t="str">
            <v>Senior</v>
          </cell>
          <cell r="I105" t="str">
            <v>14+</v>
          </cell>
          <cell r="J105" t="str">
            <v>B4 PM3 (12 to 15 yrs)</v>
          </cell>
          <cell r="K105" t="str">
            <v>B5 (min 8 yrs)</v>
          </cell>
          <cell r="L105" t="str">
            <v>None</v>
          </cell>
        </row>
        <row r="106">
          <cell r="B106" t="str">
            <v>IT_8</v>
          </cell>
          <cell r="C106" t="str">
            <v>IT_Duck Creek_Configurator__</v>
          </cell>
          <cell r="D106" t="str">
            <v>IT</v>
          </cell>
          <cell r="E106" t="str">
            <v>Duck Creek</v>
          </cell>
          <cell r="F106" t="str">
            <v>Configurator</v>
          </cell>
          <cell r="I106" t="str">
            <v xml:space="preserve">5 - 7 </v>
          </cell>
          <cell r="J106" t="str">
            <v>B3 PL1 (5 to 7 yrs)</v>
          </cell>
          <cell r="K106" t="str">
            <v>B3 PL2 (6 to 8 yrs)</v>
          </cell>
          <cell r="L106" t="str">
            <v>None</v>
          </cell>
        </row>
        <row r="107">
          <cell r="B107" t="str">
            <v>IT_9</v>
          </cell>
          <cell r="C107" t="str">
            <v>IT_Duck Creek_DC / .NET Integrator__</v>
          </cell>
          <cell r="D107" t="str">
            <v>IT</v>
          </cell>
          <cell r="E107" t="str">
            <v>Duck Creek</v>
          </cell>
          <cell r="F107" t="str">
            <v>DC / .NET Integrator</v>
          </cell>
          <cell r="I107" t="str">
            <v xml:space="preserve">5 - 7 </v>
          </cell>
          <cell r="J107" t="str">
            <v>B3 PL1 (5 to 7 yrs)</v>
          </cell>
          <cell r="K107" t="str">
            <v>B3 PL2 (6 to 8 yrs)</v>
          </cell>
          <cell r="L107" t="str">
            <v>None</v>
          </cell>
        </row>
        <row r="108">
          <cell r="B108" t="str">
            <v>IT_73</v>
          </cell>
          <cell r="C108" t="str">
            <v>IT_Duck Creek_Project Manager_Junior_</v>
          </cell>
          <cell r="D108" t="str">
            <v>IT</v>
          </cell>
          <cell r="E108" t="str">
            <v>Duck Creek</v>
          </cell>
          <cell r="F108" t="str">
            <v>Project Manager</v>
          </cell>
          <cell r="H108" t="str">
            <v>Junior</v>
          </cell>
          <cell r="I108" t="str">
            <v xml:space="preserve">8 - 10 </v>
          </cell>
          <cell r="J108" t="str">
            <v>B3 PL3 (7 to 10 yrs)</v>
          </cell>
          <cell r="K108" t="str">
            <v>B4 PM1 (9 to 12 yrs)</v>
          </cell>
          <cell r="L108" t="str">
            <v>None</v>
          </cell>
        </row>
        <row r="109">
          <cell r="B109" t="str">
            <v>IT_74</v>
          </cell>
          <cell r="C109" t="str">
            <v>IT_Duck Creek_Project Manager_Mid-Level_</v>
          </cell>
          <cell r="D109" t="str">
            <v>IT</v>
          </cell>
          <cell r="E109" t="str">
            <v>Duck Creek</v>
          </cell>
          <cell r="F109" t="str">
            <v>Project Manager</v>
          </cell>
          <cell r="H109" t="str">
            <v>Mid-Level</v>
          </cell>
          <cell r="I109" t="str">
            <v>10 - 12</v>
          </cell>
          <cell r="J109" t="str">
            <v>B4 PM1 (9 to 12 yrs)</v>
          </cell>
          <cell r="K109" t="str">
            <v>B4 PM2 (10 to 14 yrs)</v>
          </cell>
          <cell r="L109" t="str">
            <v>None</v>
          </cell>
        </row>
        <row r="110">
          <cell r="B110" t="str">
            <v>IT_75</v>
          </cell>
          <cell r="C110" t="str">
            <v>IT_Duck Creek_Project Manager_Senior_</v>
          </cell>
          <cell r="D110" t="str">
            <v>IT</v>
          </cell>
          <cell r="E110" t="str">
            <v>Duck Creek</v>
          </cell>
          <cell r="F110" t="str">
            <v>Project Manager</v>
          </cell>
          <cell r="H110" t="str">
            <v>Senior</v>
          </cell>
          <cell r="I110" t="str">
            <v>12 - 14</v>
          </cell>
          <cell r="J110" t="str">
            <v>B4 PM2 (10 to 14 yrs)</v>
          </cell>
          <cell r="K110" t="str">
            <v>B4 PM3 (12 to 15 yrs)</v>
          </cell>
          <cell r="L110" t="str">
            <v>None</v>
          </cell>
        </row>
        <row r="111">
          <cell r="B111" t="str">
            <v>IT_11</v>
          </cell>
          <cell r="C111" t="str">
            <v>IT_Generic_Content Entry Analyst__</v>
          </cell>
          <cell r="D111" t="str">
            <v>IT</v>
          </cell>
          <cell r="E111" t="str">
            <v>Generic</v>
          </cell>
          <cell r="F111" t="str">
            <v>Content Entry Analyst</v>
          </cell>
          <cell r="I111" t="str">
            <v xml:space="preserve">0 - 3 </v>
          </cell>
          <cell r="J111" t="str">
            <v>B2 AP1</v>
          </cell>
          <cell r="K111" t="str">
            <v>B2 AP2 (0.6 to 3 yrs)</v>
          </cell>
          <cell r="L111" t="str">
            <v>None</v>
          </cell>
        </row>
        <row r="112">
          <cell r="B112" t="str">
            <v>IT_12</v>
          </cell>
          <cell r="C112" t="str">
            <v>IMS_Generic_Database Administrator_Junior_Application</v>
          </cell>
          <cell r="D112" t="str">
            <v>IMS</v>
          </cell>
          <cell r="E112" t="str">
            <v>Generic</v>
          </cell>
          <cell r="F112" t="str">
            <v>Database Administrator</v>
          </cell>
          <cell r="G112" t="str">
            <v>Application</v>
          </cell>
          <cell r="H112" t="str">
            <v>Junior</v>
          </cell>
          <cell r="I112" t="str">
            <v xml:space="preserve">3 - 5 </v>
          </cell>
          <cell r="J112" t="str">
            <v>B2 AP3 (3 to 5 yrs)</v>
          </cell>
          <cell r="K112" t="str">
            <v>None</v>
          </cell>
          <cell r="L112" t="str">
            <v>None</v>
          </cell>
        </row>
        <row r="113">
          <cell r="B113" t="str">
            <v>IT_13</v>
          </cell>
          <cell r="C113" t="str">
            <v>IMS_Generic_Database Administrator_Mid-Level_Application</v>
          </cell>
          <cell r="D113" t="str">
            <v>IMS</v>
          </cell>
          <cell r="E113" t="str">
            <v>Generic</v>
          </cell>
          <cell r="F113" t="str">
            <v>Database Administrator</v>
          </cell>
          <cell r="G113" t="str">
            <v>Application</v>
          </cell>
          <cell r="H113" t="str">
            <v>Mid-Level</v>
          </cell>
          <cell r="I113" t="str">
            <v xml:space="preserve">5 - 7 </v>
          </cell>
          <cell r="J113" t="str">
            <v>B3 PL1 (5 to 7 yrs)</v>
          </cell>
          <cell r="K113" t="str">
            <v>B3 PL2 (6 to 8 yrs)</v>
          </cell>
          <cell r="L113" t="str">
            <v>None</v>
          </cell>
        </row>
        <row r="114">
          <cell r="B114" t="str">
            <v>IT_14</v>
          </cell>
          <cell r="C114" t="str">
            <v>IMS_Generic_Database Administrator_Senior_Application</v>
          </cell>
          <cell r="D114" t="str">
            <v>IMS</v>
          </cell>
          <cell r="E114" t="str">
            <v>Generic</v>
          </cell>
          <cell r="F114" t="str">
            <v>Database Administrator</v>
          </cell>
          <cell r="G114" t="str">
            <v>Application</v>
          </cell>
          <cell r="H114" t="str">
            <v>Senior</v>
          </cell>
          <cell r="I114" t="str">
            <v>7 - 9</v>
          </cell>
          <cell r="J114" t="str">
            <v>B3 PL2 (6 to 8 yrs)</v>
          </cell>
          <cell r="K114" t="str">
            <v>B3 PL3 (7 to 10 yrs)</v>
          </cell>
          <cell r="L114" t="str">
            <v>None</v>
          </cell>
        </row>
        <row r="115">
          <cell r="B115" t="str">
            <v>IT_61</v>
          </cell>
          <cell r="C115" t="str">
            <v>IT_Golden Source_Developer_Junior_</v>
          </cell>
          <cell r="D115" t="str">
            <v>IT</v>
          </cell>
          <cell r="E115" t="str">
            <v>Golden Source</v>
          </cell>
          <cell r="F115" t="str">
            <v>Developer</v>
          </cell>
          <cell r="H115" t="str">
            <v>Junior</v>
          </cell>
          <cell r="I115" t="str">
            <v xml:space="preserve">0 - 3 </v>
          </cell>
          <cell r="J115" t="str">
            <v>B2 AP1</v>
          </cell>
          <cell r="K115" t="str">
            <v>B2 AP2 (0.6 to 3 yrs)</v>
          </cell>
          <cell r="L115" t="str">
            <v>None</v>
          </cell>
        </row>
        <row r="116">
          <cell r="B116" t="str">
            <v>IT_62</v>
          </cell>
          <cell r="C116" t="str">
            <v>IT_Golden Source_Developer_Mid-Level_</v>
          </cell>
          <cell r="D116" t="str">
            <v>IT</v>
          </cell>
          <cell r="E116" t="str">
            <v>Golden Source</v>
          </cell>
          <cell r="F116" t="str">
            <v>Developer</v>
          </cell>
          <cell r="H116" t="str">
            <v>Mid-Level</v>
          </cell>
          <cell r="I116" t="str">
            <v xml:space="preserve">3 - 5 </v>
          </cell>
          <cell r="J116" t="str">
            <v>B2 AP2 (0.6 to 3 yrs)</v>
          </cell>
          <cell r="K116" t="str">
            <v>B2 AP3 (3 to 5 yrs)</v>
          </cell>
          <cell r="L116" t="str">
            <v>None</v>
          </cell>
        </row>
        <row r="117">
          <cell r="B117" t="str">
            <v>IT_63</v>
          </cell>
          <cell r="C117" t="str">
            <v>IT_Golden Source_Developer_Senior_</v>
          </cell>
          <cell r="D117" t="str">
            <v>IT</v>
          </cell>
          <cell r="E117" t="str">
            <v>Golden Source</v>
          </cell>
          <cell r="F117" t="str">
            <v>Developer</v>
          </cell>
          <cell r="H117" t="str">
            <v>Senior</v>
          </cell>
          <cell r="I117" t="str">
            <v xml:space="preserve">5 - 7 </v>
          </cell>
          <cell r="J117" t="str">
            <v>B2 AP3 (3 to 5 yrs)</v>
          </cell>
          <cell r="K117" t="str">
            <v>B3 PL1 (5 to 7 yrs)</v>
          </cell>
          <cell r="L117" t="str">
            <v>None</v>
          </cell>
        </row>
        <row r="118">
          <cell r="B118" t="str">
            <v>IT_16</v>
          </cell>
          <cell r="C118" t="str">
            <v>SOG_Intergration_Integration Engineer__</v>
          </cell>
          <cell r="D118" t="str">
            <v>SOG</v>
          </cell>
          <cell r="E118" t="str">
            <v>Intergration</v>
          </cell>
          <cell r="F118" t="str">
            <v>Integration Engineer</v>
          </cell>
          <cell r="I118" t="str">
            <v xml:space="preserve">0 - 3 </v>
          </cell>
          <cell r="J118" t="str">
            <v>B2 AP1</v>
          </cell>
          <cell r="K118" t="str">
            <v>B2 AP2 (0.6 to 3 yrs)</v>
          </cell>
          <cell r="L118" t="str">
            <v>None</v>
          </cell>
        </row>
        <row r="119">
          <cell r="B119" t="str">
            <v>IT_17</v>
          </cell>
          <cell r="C119" t="str">
            <v>SOG_Intergration_Integration Specialist__</v>
          </cell>
          <cell r="D119" t="str">
            <v>SOG</v>
          </cell>
          <cell r="E119" t="str">
            <v>Intergration</v>
          </cell>
          <cell r="F119" t="str">
            <v>Integration Specialist</v>
          </cell>
          <cell r="I119" t="str">
            <v xml:space="preserve">0 - 3 </v>
          </cell>
          <cell r="J119" t="str">
            <v>B2 AP1</v>
          </cell>
          <cell r="K119" t="str">
            <v>B2 AP2 (0.6 to 3 yrs)</v>
          </cell>
          <cell r="L119" t="str">
            <v>None</v>
          </cell>
        </row>
        <row r="120">
          <cell r="B120" t="str">
            <v>IT_18</v>
          </cell>
          <cell r="C120" t="str">
            <v>SOG_Intergration_Interface Designer  __</v>
          </cell>
          <cell r="D120" t="str">
            <v>SOG</v>
          </cell>
          <cell r="E120" t="str">
            <v>Intergration</v>
          </cell>
          <cell r="F120" t="str">
            <v xml:space="preserve">Interface Designer  </v>
          </cell>
          <cell r="I120" t="str">
            <v xml:space="preserve">5 - 7 </v>
          </cell>
          <cell r="J120" t="str">
            <v>B2 AP3 (3 to 5 yrs)</v>
          </cell>
          <cell r="K120" t="str">
            <v>B3 PL1 (5 to 7 yrs)</v>
          </cell>
          <cell r="L120" t="str">
            <v>None</v>
          </cell>
        </row>
        <row r="121">
          <cell r="B121" t="str">
            <v>IT_19</v>
          </cell>
          <cell r="C121" t="str">
            <v>IT_ITIL_Consultant_Junior_</v>
          </cell>
          <cell r="D121" t="str">
            <v>IT</v>
          </cell>
          <cell r="E121" t="str">
            <v>ITIL</v>
          </cell>
          <cell r="F121" t="str">
            <v>Consultant</v>
          </cell>
          <cell r="H121" t="str">
            <v>Junior</v>
          </cell>
          <cell r="I121" t="str">
            <v xml:space="preserve">9 - 12 </v>
          </cell>
          <cell r="J121" t="str">
            <v>B4 PM1 (9 to 12 yrs)</v>
          </cell>
          <cell r="K121" t="str">
            <v>None</v>
          </cell>
          <cell r="L121" t="str">
            <v>None</v>
          </cell>
        </row>
        <row r="122">
          <cell r="B122" t="str">
            <v>IT_20</v>
          </cell>
          <cell r="C122" t="str">
            <v>IT_ITIL_Consultant_Mid-Level_</v>
          </cell>
          <cell r="D122" t="str">
            <v>IT</v>
          </cell>
          <cell r="E122" t="str">
            <v>ITIL</v>
          </cell>
          <cell r="F122" t="str">
            <v>Consultant</v>
          </cell>
          <cell r="H122" t="str">
            <v>Mid-Level</v>
          </cell>
          <cell r="I122" t="str">
            <v>12 - 14</v>
          </cell>
          <cell r="J122" t="str">
            <v>B4 PM2 (10 to 14 yrs)</v>
          </cell>
          <cell r="K122" t="str">
            <v>B4 PM3 (12 to 15 yrs)</v>
          </cell>
          <cell r="L122" t="str">
            <v>None</v>
          </cell>
        </row>
        <row r="123">
          <cell r="B123" t="str">
            <v>IT_21</v>
          </cell>
          <cell r="C123" t="str">
            <v>IT_ITIL_Consultant_Senior_</v>
          </cell>
          <cell r="D123" t="str">
            <v>IT</v>
          </cell>
          <cell r="E123" t="str">
            <v>ITIL</v>
          </cell>
          <cell r="F123" t="str">
            <v>Consultant</v>
          </cell>
          <cell r="H123" t="str">
            <v>Senior</v>
          </cell>
          <cell r="I123" t="str">
            <v>14+</v>
          </cell>
          <cell r="J123" t="str">
            <v>B4 PM3 (12 to 15 yrs)</v>
          </cell>
          <cell r="K123" t="str">
            <v>B5 (min 8 yrs)</v>
          </cell>
          <cell r="L123" t="str">
            <v>None</v>
          </cell>
        </row>
        <row r="124">
          <cell r="B124" t="str">
            <v>IT_76</v>
          </cell>
          <cell r="C124" t="str">
            <v>IT_Java/.Net_Architect_Junior_Web Architect</v>
          </cell>
          <cell r="D124" t="str">
            <v>IT</v>
          </cell>
          <cell r="E124" t="str">
            <v>Java/.Net</v>
          </cell>
          <cell r="F124" t="str">
            <v>Architect</v>
          </cell>
          <cell r="G124" t="str">
            <v>Web Architect</v>
          </cell>
          <cell r="H124" t="str">
            <v>Junior</v>
          </cell>
          <cell r="I124" t="str">
            <v>9 - 12</v>
          </cell>
          <cell r="J124" t="str">
            <v>B4 PM1 (9 to 12 yrs)</v>
          </cell>
          <cell r="K124" t="str">
            <v>None</v>
          </cell>
          <cell r="L124" t="str">
            <v>None</v>
          </cell>
        </row>
        <row r="125">
          <cell r="B125" t="str">
            <v>IT_77</v>
          </cell>
          <cell r="C125" t="str">
            <v>IT_Java/.Net_Architect_Mid-Level_Web Architect</v>
          </cell>
          <cell r="D125" t="str">
            <v>IT</v>
          </cell>
          <cell r="E125" t="str">
            <v>Java/.Net</v>
          </cell>
          <cell r="F125" t="str">
            <v>Architect</v>
          </cell>
          <cell r="G125" t="str">
            <v>Web Architect</v>
          </cell>
          <cell r="H125" t="str">
            <v>Mid-Level</v>
          </cell>
          <cell r="I125" t="str">
            <v xml:space="preserve">12 - 14 </v>
          </cell>
          <cell r="J125" t="str">
            <v>B4 PM2 (10 to 14 yrs)</v>
          </cell>
          <cell r="K125" t="str">
            <v>B4 PM3 (12 to 15 yrs)</v>
          </cell>
          <cell r="L125" t="str">
            <v>None</v>
          </cell>
        </row>
        <row r="126">
          <cell r="B126" t="str">
            <v>IT_78</v>
          </cell>
          <cell r="C126" t="str">
            <v>IT_Java/.Net_Architect_Senior_Web Architect</v>
          </cell>
          <cell r="D126" t="str">
            <v>IT</v>
          </cell>
          <cell r="E126" t="str">
            <v>Java/.Net</v>
          </cell>
          <cell r="F126" t="str">
            <v>Architect</v>
          </cell>
          <cell r="G126" t="str">
            <v>Web Architect</v>
          </cell>
          <cell r="H126" t="str">
            <v>Senior</v>
          </cell>
          <cell r="I126" t="str">
            <v>14+</v>
          </cell>
          <cell r="J126" t="str">
            <v>B4 PM3 (12 to 15 yrs)</v>
          </cell>
          <cell r="K126" t="str">
            <v>B5 (min 8 yrs)</v>
          </cell>
          <cell r="L126" t="str">
            <v>None</v>
          </cell>
        </row>
        <row r="127">
          <cell r="B127" t="str">
            <v>IT_23</v>
          </cell>
          <cell r="C127" t="str">
            <v>IT_Java/.Net/ColdFusion_Developer_Junior_</v>
          </cell>
          <cell r="D127" t="str">
            <v>IT</v>
          </cell>
          <cell r="E127" t="str">
            <v>Java/.Net/ColdFusion</v>
          </cell>
          <cell r="F127" t="str">
            <v>Developer</v>
          </cell>
          <cell r="H127" t="str">
            <v>Junior</v>
          </cell>
          <cell r="I127" t="str">
            <v xml:space="preserve">0 - 3 </v>
          </cell>
          <cell r="J127" t="str">
            <v>B2 AP1</v>
          </cell>
          <cell r="K127" t="str">
            <v>B2 AP2 (0.6 to 3 yrs)</v>
          </cell>
          <cell r="L127" t="str">
            <v>None</v>
          </cell>
        </row>
        <row r="128">
          <cell r="B128" t="str">
            <v>IT_24</v>
          </cell>
          <cell r="C128" t="str">
            <v>IT_Java/.Net/ColdFusion_Developer_Mid-Level_</v>
          </cell>
          <cell r="D128" t="str">
            <v>IT</v>
          </cell>
          <cell r="E128" t="str">
            <v>Java/.Net/ColdFusion</v>
          </cell>
          <cell r="F128" t="str">
            <v>Developer</v>
          </cell>
          <cell r="H128" t="str">
            <v>Mid-Level</v>
          </cell>
          <cell r="I128" t="str">
            <v xml:space="preserve">3 - 5 </v>
          </cell>
          <cell r="J128" t="str">
            <v>B2 AP2 (0.6 to 3 yrs)</v>
          </cell>
          <cell r="K128" t="str">
            <v>B2 AP3 (3 to 5 yrs)</v>
          </cell>
          <cell r="L128" t="str">
            <v>None</v>
          </cell>
        </row>
        <row r="129">
          <cell r="B129" t="str">
            <v>IT_25</v>
          </cell>
          <cell r="C129" t="str">
            <v>IT_Java/.Net/ColdFusion_Developer_Senior_</v>
          </cell>
          <cell r="D129" t="str">
            <v>IT</v>
          </cell>
          <cell r="E129" t="str">
            <v>Java/.Net/ColdFusion</v>
          </cell>
          <cell r="F129" t="str">
            <v>Developer</v>
          </cell>
          <cell r="H129" t="str">
            <v>Senior</v>
          </cell>
          <cell r="I129" t="str">
            <v xml:space="preserve">5 - 7 </v>
          </cell>
          <cell r="J129" t="str">
            <v>B2 AP3 (3 to 5 yrs)</v>
          </cell>
          <cell r="K129" t="str">
            <v>B3 PL1 (5 to 7 yrs)</v>
          </cell>
          <cell r="L129" t="str">
            <v>None</v>
          </cell>
        </row>
        <row r="130">
          <cell r="B130" t="str">
            <v>IT_26</v>
          </cell>
          <cell r="C130" t="str">
            <v>IT_Lotus Notes_Developer_Junior_</v>
          </cell>
          <cell r="D130" t="str">
            <v>IT</v>
          </cell>
          <cell r="E130" t="str">
            <v>Lotus Notes</v>
          </cell>
          <cell r="F130" t="str">
            <v>Developer</v>
          </cell>
          <cell r="H130" t="str">
            <v>Junior</v>
          </cell>
          <cell r="I130" t="str">
            <v xml:space="preserve">0 - 3 </v>
          </cell>
          <cell r="J130" t="str">
            <v>B2 AP1</v>
          </cell>
          <cell r="K130" t="str">
            <v>B2 AP2 (0.6 to 3 yrs)</v>
          </cell>
          <cell r="L130" t="str">
            <v>None</v>
          </cell>
        </row>
        <row r="131">
          <cell r="B131" t="str">
            <v>IT_27</v>
          </cell>
          <cell r="C131" t="str">
            <v>IT_Lotus Notes_Developer_Mid-Level_</v>
          </cell>
          <cell r="D131" t="str">
            <v>IT</v>
          </cell>
          <cell r="E131" t="str">
            <v>Lotus Notes</v>
          </cell>
          <cell r="F131" t="str">
            <v>Developer</v>
          </cell>
          <cell r="H131" t="str">
            <v>Mid-Level</v>
          </cell>
          <cell r="I131" t="str">
            <v xml:space="preserve">3 - 5 </v>
          </cell>
          <cell r="J131" t="str">
            <v>B2 AP2 (0.6 to 3 yrs)</v>
          </cell>
          <cell r="K131" t="str">
            <v>B2 AP3 (3 to 5 yrs)</v>
          </cell>
          <cell r="L131" t="str">
            <v>None</v>
          </cell>
        </row>
        <row r="132">
          <cell r="B132" t="str">
            <v>IT_28</v>
          </cell>
          <cell r="C132" t="str">
            <v>IT_Lotus Notes_Developer_Senior_</v>
          </cell>
          <cell r="D132" t="str">
            <v>IT</v>
          </cell>
          <cell r="E132" t="str">
            <v>Lotus Notes</v>
          </cell>
          <cell r="F132" t="str">
            <v>Developer</v>
          </cell>
          <cell r="H132" t="str">
            <v>Senior</v>
          </cell>
          <cell r="I132" t="str">
            <v xml:space="preserve">5 - 7 </v>
          </cell>
          <cell r="J132" t="str">
            <v>B2 AP3 (3 to 5 yrs)</v>
          </cell>
          <cell r="K132" t="str">
            <v>B3 PL1 (5 to 7 yrs)</v>
          </cell>
          <cell r="L132" t="str">
            <v>None</v>
          </cell>
        </row>
        <row r="133">
          <cell r="B133" t="str">
            <v>IT_29</v>
          </cell>
          <cell r="C133" t="str">
            <v>IT_Mainframe_Developer_Junior_DB2 / IMS / Z/OS</v>
          </cell>
          <cell r="D133" t="str">
            <v>IT</v>
          </cell>
          <cell r="E133" t="str">
            <v>Mainframe</v>
          </cell>
          <cell r="F133" t="str">
            <v>Developer</v>
          </cell>
          <cell r="G133" t="str">
            <v>DB2 / IMS / Z/OS</v>
          </cell>
          <cell r="H133" t="str">
            <v>Junior</v>
          </cell>
          <cell r="I133" t="str">
            <v xml:space="preserve">0 - 3 </v>
          </cell>
          <cell r="J133" t="str">
            <v>B2 AP1</v>
          </cell>
          <cell r="K133" t="str">
            <v>B2 AP2 (0.6 to 3 yrs)</v>
          </cell>
          <cell r="L133" t="str">
            <v>None</v>
          </cell>
        </row>
        <row r="134">
          <cell r="B134" t="str">
            <v>IT_30</v>
          </cell>
          <cell r="C134" t="str">
            <v>IT_Mainframe_Developer_Mid-Level_DB2 / IMS / Z/OS</v>
          </cell>
          <cell r="D134" t="str">
            <v>IT</v>
          </cell>
          <cell r="E134" t="str">
            <v>Mainframe</v>
          </cell>
          <cell r="F134" t="str">
            <v>Developer</v>
          </cell>
          <cell r="G134" t="str">
            <v>DB2 / IMS / Z/OS</v>
          </cell>
          <cell r="H134" t="str">
            <v>Mid-Level</v>
          </cell>
          <cell r="I134" t="str">
            <v xml:space="preserve">3 - 5 </v>
          </cell>
          <cell r="J134" t="str">
            <v>B2 AP2 (0.6 to 3 yrs)</v>
          </cell>
          <cell r="K134" t="str">
            <v>B2 AP3 (3 to 5 yrs)</v>
          </cell>
          <cell r="L134" t="str">
            <v>None</v>
          </cell>
        </row>
        <row r="135">
          <cell r="B135" t="str">
            <v>IT_31</v>
          </cell>
          <cell r="C135" t="str">
            <v>IT_Mainframe_Developer_Senior_DB2 / IMS / Z/OS</v>
          </cell>
          <cell r="D135" t="str">
            <v>IT</v>
          </cell>
          <cell r="E135" t="str">
            <v>Mainframe</v>
          </cell>
          <cell r="F135" t="str">
            <v>Developer</v>
          </cell>
          <cell r="G135" t="str">
            <v>DB2 / IMS / Z/OS</v>
          </cell>
          <cell r="H135" t="str">
            <v>Senior</v>
          </cell>
          <cell r="I135" t="str">
            <v xml:space="preserve">5 - 7 </v>
          </cell>
          <cell r="J135" t="str">
            <v>B2 AP3 (3 to 5 yrs)</v>
          </cell>
          <cell r="K135" t="str">
            <v>B3 PL1 (5 to 7 yrs)</v>
          </cell>
          <cell r="L135" t="str">
            <v>None</v>
          </cell>
        </row>
        <row r="136">
          <cell r="B136" t="str">
            <v>IT_32</v>
          </cell>
          <cell r="C136" t="str">
            <v>IT_Management_Engagement Manager/Account Manager/ Project Director/ Program Controller__</v>
          </cell>
          <cell r="D136" t="str">
            <v>IT</v>
          </cell>
          <cell r="E136" t="str">
            <v>Management</v>
          </cell>
          <cell r="F136" t="str">
            <v>Engagement Manager/Account Manager/ Project Director/ Program Controller</v>
          </cell>
          <cell r="I136" t="str">
            <v>14+</v>
          </cell>
          <cell r="J136" t="str">
            <v>B5 (min 8 yrs)</v>
          </cell>
          <cell r="K136" t="str">
            <v>None</v>
          </cell>
          <cell r="L136" t="str">
            <v>None</v>
          </cell>
        </row>
        <row r="137">
          <cell r="B137" t="str">
            <v>IT_33</v>
          </cell>
          <cell r="C137" t="str">
            <v>IT_Management_Project Manager_Junior_</v>
          </cell>
          <cell r="D137" t="str">
            <v>IT</v>
          </cell>
          <cell r="E137" t="str">
            <v>Management</v>
          </cell>
          <cell r="F137" t="str">
            <v>Project Manager</v>
          </cell>
          <cell r="H137" t="str">
            <v>Junior</v>
          </cell>
          <cell r="I137" t="str">
            <v xml:space="preserve">8 - 10 </v>
          </cell>
          <cell r="J137" t="str">
            <v>B3 PL3 (7 to 10 yrs)</v>
          </cell>
          <cell r="K137" t="str">
            <v>B4 PM1 (9 to 12 yrs)</v>
          </cell>
          <cell r="L137" t="str">
            <v>None</v>
          </cell>
        </row>
        <row r="138">
          <cell r="B138" t="str">
            <v>IT_34</v>
          </cell>
          <cell r="C138" t="str">
            <v>IT_Management_Project Manager_Mid-Level_</v>
          </cell>
          <cell r="D138" t="str">
            <v>IT</v>
          </cell>
          <cell r="E138" t="str">
            <v>Management</v>
          </cell>
          <cell r="F138" t="str">
            <v>Project Manager</v>
          </cell>
          <cell r="H138" t="str">
            <v>Mid-Level</v>
          </cell>
          <cell r="I138" t="str">
            <v>10 - 12</v>
          </cell>
          <cell r="J138" t="str">
            <v>B4 PM1 (9 to 12 yrs)</v>
          </cell>
          <cell r="K138" t="str">
            <v>B4 PM2 (10 to 14 yrs)</v>
          </cell>
          <cell r="L138" t="str">
            <v>None</v>
          </cell>
        </row>
        <row r="139">
          <cell r="B139" t="str">
            <v>IT_35</v>
          </cell>
          <cell r="C139" t="str">
            <v>IT_Management_Project Manager_Senior_</v>
          </cell>
          <cell r="D139" t="str">
            <v>IT</v>
          </cell>
          <cell r="E139" t="str">
            <v>Management</v>
          </cell>
          <cell r="F139" t="str">
            <v>Project Manager</v>
          </cell>
          <cell r="H139" t="str">
            <v>Senior</v>
          </cell>
          <cell r="I139" t="str">
            <v>12 - 14</v>
          </cell>
          <cell r="J139" t="str">
            <v>B4 PM2 (10 to 14 yrs)</v>
          </cell>
          <cell r="K139" t="str">
            <v>B4 PM3 (12 to 15 yrs)</v>
          </cell>
          <cell r="L139" t="str">
            <v>None</v>
          </cell>
        </row>
        <row r="140">
          <cell r="B140" t="str">
            <v>IT_36</v>
          </cell>
          <cell r="C140" t="str">
            <v>IT_Operation_Operations Analyst__</v>
          </cell>
          <cell r="D140" t="str">
            <v>IT</v>
          </cell>
          <cell r="E140" t="str">
            <v>Operation</v>
          </cell>
          <cell r="F140" t="str">
            <v>Operations Analyst</v>
          </cell>
          <cell r="I140" t="str">
            <v xml:space="preserve">1 - 5 </v>
          </cell>
          <cell r="J140" t="str">
            <v>B2 AP2 (0.6 to 3 yrs)</v>
          </cell>
          <cell r="K140" t="str">
            <v>B2 AP3 (3 to 5 yrs)</v>
          </cell>
          <cell r="L140" t="str">
            <v>None</v>
          </cell>
        </row>
        <row r="141">
          <cell r="B141" t="str">
            <v>IT_37</v>
          </cell>
          <cell r="C141" t="str">
            <v>IT_Operation_Process Leader__</v>
          </cell>
          <cell r="D141" t="str">
            <v>IT</v>
          </cell>
          <cell r="E141" t="str">
            <v>Operation</v>
          </cell>
          <cell r="F141" t="str">
            <v>Process Leader</v>
          </cell>
          <cell r="I141" t="str">
            <v>5 - 8</v>
          </cell>
          <cell r="J141" t="str">
            <v>B3 PL1 (5 to 7 yrs)</v>
          </cell>
          <cell r="K141" t="str">
            <v>B3 PL2 (6 to 8 yrs)</v>
          </cell>
          <cell r="L141" t="str">
            <v>None</v>
          </cell>
        </row>
        <row r="142">
          <cell r="B142" t="str">
            <v>IT_38</v>
          </cell>
          <cell r="C142" t="str">
            <v>IT_Others_Graphics Designer__</v>
          </cell>
          <cell r="D142" t="str">
            <v>IT</v>
          </cell>
          <cell r="E142" t="str">
            <v>Others</v>
          </cell>
          <cell r="F142" t="str">
            <v>Graphics Designer</v>
          </cell>
          <cell r="I142" t="str">
            <v xml:space="preserve">1 - 5 </v>
          </cell>
          <cell r="J142" t="str">
            <v>B2 AP2 (0.6 to 3 yrs)</v>
          </cell>
          <cell r="K142" t="str">
            <v>B2 AP3 (3 to 5 yrs)</v>
          </cell>
          <cell r="L142" t="str">
            <v>None</v>
          </cell>
        </row>
        <row r="143">
          <cell r="B143" t="str">
            <v>IT_39</v>
          </cell>
          <cell r="C143" t="str">
            <v>IT_Others_Technical Writer_Junior_</v>
          </cell>
          <cell r="D143" t="str">
            <v>IT</v>
          </cell>
          <cell r="E143" t="str">
            <v>Others</v>
          </cell>
          <cell r="F143" t="str">
            <v>Technical Writer</v>
          </cell>
          <cell r="H143" t="str">
            <v>Junior</v>
          </cell>
          <cell r="I143" t="str">
            <v xml:space="preserve">0 - 3 </v>
          </cell>
          <cell r="J143" t="str">
            <v>B2 AP1</v>
          </cell>
          <cell r="K143" t="str">
            <v>B2 AP2 (0.6 to 3 yrs)</v>
          </cell>
          <cell r="L143" t="str">
            <v>None</v>
          </cell>
        </row>
        <row r="144">
          <cell r="B144" t="str">
            <v>IT_40</v>
          </cell>
          <cell r="C144" t="str">
            <v>IT_Others_Technical Writer_Mid-Level_</v>
          </cell>
          <cell r="D144" t="str">
            <v>IT</v>
          </cell>
          <cell r="E144" t="str">
            <v>Others</v>
          </cell>
          <cell r="F144" t="str">
            <v>Technical Writer</v>
          </cell>
          <cell r="H144" t="str">
            <v>Mid-Level</v>
          </cell>
          <cell r="I144" t="str">
            <v xml:space="preserve">3 - 5 </v>
          </cell>
          <cell r="J144" t="str">
            <v>B2 AP2 (0.6 to 3 yrs)</v>
          </cell>
          <cell r="K144" t="str">
            <v>B2 AP3 (3 to 5 yrs)</v>
          </cell>
          <cell r="L144" t="str">
            <v>None</v>
          </cell>
        </row>
        <row r="145">
          <cell r="B145" t="str">
            <v>IT_41</v>
          </cell>
          <cell r="C145" t="str">
            <v>IT_Others_Technical Writer_Senior_</v>
          </cell>
          <cell r="D145" t="str">
            <v>IT</v>
          </cell>
          <cell r="E145" t="str">
            <v>Others</v>
          </cell>
          <cell r="F145" t="str">
            <v>Technical Writer</v>
          </cell>
          <cell r="H145" t="str">
            <v>Senior</v>
          </cell>
          <cell r="I145" t="str">
            <v xml:space="preserve">5 - 7 </v>
          </cell>
          <cell r="J145" t="str">
            <v>B2 AP3 (3 to 5 yrs)</v>
          </cell>
          <cell r="K145" t="str">
            <v>B3 PL1 (5 to 7 yrs)</v>
          </cell>
          <cell r="L145" t="str">
            <v>None</v>
          </cell>
        </row>
        <row r="146">
          <cell r="B146" t="str">
            <v>IT_42</v>
          </cell>
          <cell r="C146" t="str">
            <v>IT_Others_Template Developer__</v>
          </cell>
          <cell r="D146" t="str">
            <v>IT</v>
          </cell>
          <cell r="E146" t="str">
            <v>Others</v>
          </cell>
          <cell r="F146" t="str">
            <v>Template Developer</v>
          </cell>
          <cell r="I146" t="str">
            <v xml:space="preserve">0 - 3 </v>
          </cell>
          <cell r="J146" t="str">
            <v>B2 AP1</v>
          </cell>
          <cell r="K146" t="str">
            <v>B2 AP2 (0.6 to 3 yrs)</v>
          </cell>
          <cell r="L146" t="str">
            <v>None</v>
          </cell>
        </row>
        <row r="147">
          <cell r="B147" t="str">
            <v>IT_43</v>
          </cell>
          <cell r="C147" t="str">
            <v>IT_TumbleWeed_Developer_Junior_</v>
          </cell>
          <cell r="D147" t="str">
            <v>IT</v>
          </cell>
          <cell r="E147" t="str">
            <v>TumbleWeed</v>
          </cell>
          <cell r="F147" t="str">
            <v>Developer</v>
          </cell>
          <cell r="H147" t="str">
            <v>Junior</v>
          </cell>
          <cell r="I147" t="str">
            <v xml:space="preserve">0 - 3 </v>
          </cell>
          <cell r="J147" t="str">
            <v>B2 AP1</v>
          </cell>
          <cell r="K147" t="str">
            <v>B2 AP2 (0.6 to 3 yrs)</v>
          </cell>
          <cell r="L147" t="str">
            <v>None</v>
          </cell>
        </row>
        <row r="148">
          <cell r="B148" t="str">
            <v>IT_44</v>
          </cell>
          <cell r="C148" t="str">
            <v>IT_TumbleWeed_Developer_Mid-Level_</v>
          </cell>
          <cell r="D148" t="str">
            <v>IT</v>
          </cell>
          <cell r="E148" t="str">
            <v>TumbleWeed</v>
          </cell>
          <cell r="F148" t="str">
            <v>Developer</v>
          </cell>
          <cell r="H148" t="str">
            <v>Mid-Level</v>
          </cell>
          <cell r="I148" t="str">
            <v xml:space="preserve">3 - 5 </v>
          </cell>
          <cell r="J148" t="str">
            <v>B2 AP2 (0.6 to 3 yrs)</v>
          </cell>
          <cell r="K148" t="str">
            <v>B2 AP3 (3 to 5 yrs)</v>
          </cell>
          <cell r="L148" t="str">
            <v>None</v>
          </cell>
        </row>
        <row r="149">
          <cell r="B149" t="str">
            <v>IT_45</v>
          </cell>
          <cell r="C149" t="str">
            <v>IT_TumbleWeed_Developer_Senior_</v>
          </cell>
          <cell r="D149" t="str">
            <v>IT</v>
          </cell>
          <cell r="E149" t="str">
            <v>TumbleWeed</v>
          </cell>
          <cell r="F149" t="str">
            <v>Developer</v>
          </cell>
          <cell r="H149" t="str">
            <v>Senior</v>
          </cell>
          <cell r="I149" t="str">
            <v xml:space="preserve">5 - 7 </v>
          </cell>
          <cell r="J149" t="str">
            <v>B2 AP3 (3 to 5 yrs)</v>
          </cell>
          <cell r="K149" t="str">
            <v>B3 PL1 (5 to 7 yrs)</v>
          </cell>
          <cell r="L149" t="str">
            <v>None</v>
          </cell>
        </row>
        <row r="150">
          <cell r="B150" t="str">
            <v>IT_46</v>
          </cell>
          <cell r="C150" t="str">
            <v>IT_Vermillion_Developer_Junior_</v>
          </cell>
          <cell r="D150" t="str">
            <v>IT</v>
          </cell>
          <cell r="E150" t="str">
            <v>Vermillion</v>
          </cell>
          <cell r="F150" t="str">
            <v>Developer</v>
          </cell>
          <cell r="H150" t="str">
            <v>Junior</v>
          </cell>
          <cell r="I150" t="str">
            <v xml:space="preserve">0 - 3 </v>
          </cell>
          <cell r="J150" t="str">
            <v>B2 AP1</v>
          </cell>
          <cell r="K150" t="str">
            <v>B2 AP2 (0.6 to 3 yrs)</v>
          </cell>
          <cell r="L150" t="str">
            <v>None</v>
          </cell>
        </row>
        <row r="151">
          <cell r="B151" t="str">
            <v>IT_47</v>
          </cell>
          <cell r="C151" t="str">
            <v>IT_Vermillion_Developer_Mid-Level_</v>
          </cell>
          <cell r="D151" t="str">
            <v>IT</v>
          </cell>
          <cell r="E151" t="str">
            <v>Vermillion</v>
          </cell>
          <cell r="F151" t="str">
            <v>Developer</v>
          </cell>
          <cell r="H151" t="str">
            <v>Mid-Level</v>
          </cell>
          <cell r="I151" t="str">
            <v xml:space="preserve">3 - 5 </v>
          </cell>
          <cell r="J151" t="str">
            <v>B2 AP2 (0.6 to 3 yrs)</v>
          </cell>
          <cell r="K151" t="str">
            <v>B2 AP3 (3 to 5 yrs)</v>
          </cell>
          <cell r="L151" t="str">
            <v>None</v>
          </cell>
        </row>
        <row r="152">
          <cell r="B152" t="str">
            <v>IT_48</v>
          </cell>
          <cell r="C152" t="str">
            <v>IT_Vermillion_Developer_Senior_</v>
          </cell>
          <cell r="D152" t="str">
            <v>IT</v>
          </cell>
          <cell r="E152" t="str">
            <v>Vermillion</v>
          </cell>
          <cell r="F152" t="str">
            <v>Developer</v>
          </cell>
          <cell r="H152" t="str">
            <v>Senior</v>
          </cell>
          <cell r="I152" t="str">
            <v xml:space="preserve">5 - 7 </v>
          </cell>
          <cell r="J152" t="str">
            <v>B2 AP3 (3 to 5 yrs)</v>
          </cell>
          <cell r="K152" t="str">
            <v>B3 PL1 (5 to 7 yrs)</v>
          </cell>
          <cell r="L152" t="str">
            <v>None</v>
          </cell>
        </row>
        <row r="153">
          <cell r="B153" t="str">
            <v>IT_49</v>
          </cell>
          <cell r="C153" t="str">
            <v>IT_Amdocs_Developer_Junior_</v>
          </cell>
          <cell r="D153" t="str">
            <v>IT</v>
          </cell>
          <cell r="E153" t="str">
            <v>Amdocs</v>
          </cell>
          <cell r="F153" t="str">
            <v>Developer</v>
          </cell>
          <cell r="H153" t="str">
            <v>Junior</v>
          </cell>
          <cell r="I153" t="str">
            <v xml:space="preserve">0 - 3 </v>
          </cell>
          <cell r="J153" t="str">
            <v>B2 AP1</v>
          </cell>
          <cell r="K153" t="str">
            <v>B2 AP2 (0.6 to 3 yrs)</v>
          </cell>
          <cell r="L153" t="str">
            <v>None</v>
          </cell>
        </row>
        <row r="154">
          <cell r="B154" t="str">
            <v>IT_50</v>
          </cell>
          <cell r="C154" t="str">
            <v>IT_Amdocs_Developer_Mid-Level_</v>
          </cell>
          <cell r="D154" t="str">
            <v>IT</v>
          </cell>
          <cell r="E154" t="str">
            <v>Amdocs</v>
          </cell>
          <cell r="F154" t="str">
            <v>Developer</v>
          </cell>
          <cell r="H154" t="str">
            <v>Mid-Level</v>
          </cell>
          <cell r="I154" t="str">
            <v xml:space="preserve">3 - 5 </v>
          </cell>
          <cell r="J154" t="str">
            <v>B2 AP2 (0.6 to 3 yrs)</v>
          </cell>
          <cell r="K154" t="str">
            <v>B2 AP3 (3 to 5 yrs)</v>
          </cell>
          <cell r="L154" t="str">
            <v>None</v>
          </cell>
        </row>
        <row r="155">
          <cell r="B155" t="str">
            <v>IT_51</v>
          </cell>
          <cell r="C155" t="str">
            <v>IT_Amdocs_Developer_Senior_</v>
          </cell>
          <cell r="D155" t="str">
            <v>IT</v>
          </cell>
          <cell r="E155" t="str">
            <v>Amdocs</v>
          </cell>
          <cell r="F155" t="str">
            <v>Developer</v>
          </cell>
          <cell r="H155" t="str">
            <v>Senior</v>
          </cell>
          <cell r="I155" t="str">
            <v xml:space="preserve">5 - 7 </v>
          </cell>
          <cell r="J155" t="str">
            <v>B2 AP3 (3 to 5 yrs)</v>
          </cell>
          <cell r="K155" t="str">
            <v>B3 PL1 (5 to 7 yrs)</v>
          </cell>
          <cell r="L155" t="str">
            <v>None</v>
          </cell>
        </row>
        <row r="156">
          <cell r="B156" t="str">
            <v>IT_79</v>
          </cell>
          <cell r="C156" t="str">
            <v>IT_Amdocs_Project Manager_Junior_</v>
          </cell>
          <cell r="D156" t="str">
            <v>IT</v>
          </cell>
          <cell r="E156" t="str">
            <v>Amdocs</v>
          </cell>
          <cell r="F156" t="str">
            <v>Project Manager</v>
          </cell>
          <cell r="H156" t="str">
            <v>Junior</v>
          </cell>
          <cell r="I156" t="str">
            <v xml:space="preserve">8 - 10 </v>
          </cell>
          <cell r="J156" t="str">
            <v>B3 PL3 (7 to 10 yrs)</v>
          </cell>
          <cell r="K156" t="str">
            <v>B4 PM1 (9 to 12 yrs)</v>
          </cell>
          <cell r="L156" t="str">
            <v>None</v>
          </cell>
        </row>
        <row r="157">
          <cell r="B157" t="str">
            <v>IT_80</v>
          </cell>
          <cell r="C157" t="str">
            <v>IT_Amdocs_Project Manager_Mid-Level_</v>
          </cell>
          <cell r="D157" t="str">
            <v>IT</v>
          </cell>
          <cell r="E157" t="str">
            <v>Amdocs</v>
          </cell>
          <cell r="F157" t="str">
            <v>Project Manager</v>
          </cell>
          <cell r="H157" t="str">
            <v>Mid-Level</v>
          </cell>
          <cell r="I157" t="str">
            <v>10 - 12</v>
          </cell>
          <cell r="J157" t="str">
            <v>B4 PM1 (9 to 12 yrs)</v>
          </cell>
          <cell r="K157" t="str">
            <v>B4 PM2 (10 to 14 yrs)</v>
          </cell>
          <cell r="L157" t="str">
            <v>None</v>
          </cell>
        </row>
        <row r="158">
          <cell r="B158" t="str">
            <v>IT_81</v>
          </cell>
          <cell r="C158" t="str">
            <v>IT_Amdocs_Project Manager_Senior_</v>
          </cell>
          <cell r="D158" t="str">
            <v>IT</v>
          </cell>
          <cell r="E158" t="str">
            <v>Amdocs</v>
          </cell>
          <cell r="F158" t="str">
            <v>Project Manager</v>
          </cell>
          <cell r="H158" t="str">
            <v>Senior</v>
          </cell>
          <cell r="I158" t="str">
            <v>12 - 14</v>
          </cell>
          <cell r="J158" t="str">
            <v>B4 PM2 (10 to 14 yrs)</v>
          </cell>
          <cell r="K158" t="str">
            <v>B4 PM3 (12 to 15 yrs)</v>
          </cell>
          <cell r="L158" t="str">
            <v>None</v>
          </cell>
        </row>
        <row r="159">
          <cell r="B159" t="str">
            <v>IT_82</v>
          </cell>
          <cell r="C159" t="str">
            <v>IT_Java/.Net/ColdFusion_Technical Lead_Junior_</v>
          </cell>
          <cell r="D159" t="str">
            <v>IT</v>
          </cell>
          <cell r="E159" t="str">
            <v>Java/.Net/ColdFusion</v>
          </cell>
          <cell r="F159" t="str">
            <v>Technical Lead</v>
          </cell>
          <cell r="H159" t="str">
            <v>Junior</v>
          </cell>
          <cell r="I159" t="str">
            <v>5 - 8</v>
          </cell>
          <cell r="J159" t="str">
            <v>B3 PL1 (5 to 7 yrs)</v>
          </cell>
          <cell r="K159" t="str">
            <v>B3 PL2 (6 to 8 yrs)</v>
          </cell>
          <cell r="L159" t="str">
            <v>None</v>
          </cell>
        </row>
        <row r="160">
          <cell r="B160" t="str">
            <v>IT_83</v>
          </cell>
          <cell r="C160" t="str">
            <v>IT_Java/.Net/ColdFusion_Technical Lead_Senior_</v>
          </cell>
          <cell r="D160" t="str">
            <v>IT</v>
          </cell>
          <cell r="E160" t="str">
            <v>Java/.Net/ColdFusion</v>
          </cell>
          <cell r="F160" t="str">
            <v>Technical Lead</v>
          </cell>
          <cell r="H160" t="str">
            <v>Senior</v>
          </cell>
          <cell r="I160" t="str">
            <v>7 - 10</v>
          </cell>
          <cell r="J160" t="str">
            <v>B3 PL3 (7 to 10 yrs)</v>
          </cell>
          <cell r="K160" t="str">
            <v>None</v>
          </cell>
          <cell r="L160" t="str">
            <v>None</v>
          </cell>
        </row>
        <row r="161">
          <cell r="B161" t="str">
            <v>IT_54</v>
          </cell>
          <cell r="C161" t="str">
            <v>IT_Remedy_Developer_Junior_</v>
          </cell>
          <cell r="D161" t="str">
            <v>IT</v>
          </cell>
          <cell r="E161" t="str">
            <v>Remedy</v>
          </cell>
          <cell r="F161" t="str">
            <v>Developer</v>
          </cell>
          <cell r="H161" t="str">
            <v>Junior</v>
          </cell>
          <cell r="I161" t="str">
            <v xml:space="preserve">0 - 3 </v>
          </cell>
          <cell r="J161" t="str">
            <v>B2 AP1</v>
          </cell>
          <cell r="K161" t="str">
            <v>B2 AP2 (0.6 to 3 yrs)</v>
          </cell>
          <cell r="L161" t="str">
            <v>None</v>
          </cell>
        </row>
        <row r="162">
          <cell r="B162" t="str">
            <v>IT_55</v>
          </cell>
          <cell r="C162" t="str">
            <v>IT_Remedy_Developer_Mid-Level_</v>
          </cell>
          <cell r="D162" t="str">
            <v>IT</v>
          </cell>
          <cell r="E162" t="str">
            <v>Remedy</v>
          </cell>
          <cell r="F162" t="str">
            <v>Developer</v>
          </cell>
          <cell r="H162" t="str">
            <v>Mid-Level</v>
          </cell>
          <cell r="I162" t="str">
            <v xml:space="preserve">3 - 5 </v>
          </cell>
          <cell r="J162" t="str">
            <v>B2 AP2 (0.6 to 3 yrs)</v>
          </cell>
          <cell r="K162" t="str">
            <v>B2 AP3 (3 to 5 yrs)</v>
          </cell>
          <cell r="L162" t="str">
            <v>None</v>
          </cell>
        </row>
        <row r="163">
          <cell r="B163" t="str">
            <v>IT_56</v>
          </cell>
          <cell r="C163" t="str">
            <v>IT_Remedy_Developer_Senior_</v>
          </cell>
          <cell r="D163" t="str">
            <v>IT</v>
          </cell>
          <cell r="E163" t="str">
            <v>Remedy</v>
          </cell>
          <cell r="F163" t="str">
            <v>Developer</v>
          </cell>
          <cell r="H163" t="str">
            <v>Senior</v>
          </cell>
          <cell r="I163" t="str">
            <v xml:space="preserve">5 - 7 </v>
          </cell>
          <cell r="J163" t="str">
            <v>B2 AP3 (3 to 5 yrs)</v>
          </cell>
          <cell r="K163" t="str">
            <v>B3 PL1 (5 to 7 yrs)</v>
          </cell>
          <cell r="L163" t="str">
            <v>None</v>
          </cell>
        </row>
        <row r="164">
          <cell r="B164" t="str">
            <v>IT_64</v>
          </cell>
          <cell r="C164" t="str">
            <v>IT_SQL_Developer_Junior_</v>
          </cell>
          <cell r="D164" t="str">
            <v>IT</v>
          </cell>
          <cell r="E164" t="str">
            <v>SQL</v>
          </cell>
          <cell r="F164" t="str">
            <v>Developer</v>
          </cell>
          <cell r="H164" t="str">
            <v>Junior</v>
          </cell>
          <cell r="I164" t="str">
            <v xml:space="preserve">0 - 3 </v>
          </cell>
          <cell r="J164" t="str">
            <v>B2 AP1</v>
          </cell>
          <cell r="K164" t="str">
            <v>B2 AP2 (0.6 to 3 yrs)</v>
          </cell>
          <cell r="L164" t="str">
            <v>None</v>
          </cell>
        </row>
        <row r="165">
          <cell r="B165" t="str">
            <v>IT_65</v>
          </cell>
          <cell r="C165" t="str">
            <v>IT_SQL_Developer_Mid-Level_</v>
          </cell>
          <cell r="D165" t="str">
            <v>IT</v>
          </cell>
          <cell r="E165" t="str">
            <v>SQL</v>
          </cell>
          <cell r="F165" t="str">
            <v>Developer</v>
          </cell>
          <cell r="H165" t="str">
            <v>Mid-Level</v>
          </cell>
          <cell r="I165" t="str">
            <v xml:space="preserve">3 - 5 </v>
          </cell>
          <cell r="J165" t="str">
            <v>B2 AP2 (0.6 to 3 yrs)</v>
          </cell>
          <cell r="K165" t="str">
            <v>B2 AP3 (3 to 5 yrs)</v>
          </cell>
          <cell r="L165" t="str">
            <v>None</v>
          </cell>
        </row>
        <row r="166">
          <cell r="B166" t="str">
            <v>IT_66</v>
          </cell>
          <cell r="C166" t="str">
            <v>IT_SQL_Developer_Senior_</v>
          </cell>
          <cell r="D166" t="str">
            <v>IT</v>
          </cell>
          <cell r="E166" t="str">
            <v>SQL</v>
          </cell>
          <cell r="F166" t="str">
            <v>Developer</v>
          </cell>
          <cell r="H166" t="str">
            <v>Senior</v>
          </cell>
          <cell r="I166" t="str">
            <v xml:space="preserve">5 - 7 </v>
          </cell>
          <cell r="J166" t="str">
            <v>B2 AP3 (3 to 5 yrs)</v>
          </cell>
          <cell r="K166" t="str">
            <v>B3 PL1 (5 to 7 yrs)</v>
          </cell>
          <cell r="L166" t="str">
            <v>None</v>
          </cell>
        </row>
        <row r="167">
          <cell r="B167" t="str">
            <v>IT_67</v>
          </cell>
          <cell r="C167" t="str">
            <v>IT_Latent Zero_Developer_Junior_</v>
          </cell>
          <cell r="D167" t="str">
            <v>IT</v>
          </cell>
          <cell r="E167" t="str">
            <v>Latent Zero</v>
          </cell>
          <cell r="F167" t="str">
            <v>Developer</v>
          </cell>
          <cell r="H167" t="str">
            <v>Junior</v>
          </cell>
          <cell r="I167" t="str">
            <v xml:space="preserve">0 - 3 </v>
          </cell>
          <cell r="J167" t="str">
            <v>B2 AP1</v>
          </cell>
          <cell r="K167" t="str">
            <v>B2 AP2 (0.6 to 3 yrs)</v>
          </cell>
          <cell r="L167" t="str">
            <v>None</v>
          </cell>
        </row>
        <row r="168">
          <cell r="B168" t="str">
            <v>IT_68</v>
          </cell>
          <cell r="C168" t="str">
            <v>IT_Latent Zero_Developer_Mid-Level_</v>
          </cell>
          <cell r="D168" t="str">
            <v>IT</v>
          </cell>
          <cell r="E168" t="str">
            <v>Latent Zero</v>
          </cell>
          <cell r="F168" t="str">
            <v>Developer</v>
          </cell>
          <cell r="H168" t="str">
            <v>Mid-Level</v>
          </cell>
          <cell r="I168" t="str">
            <v xml:space="preserve">3 - 5 </v>
          </cell>
          <cell r="J168" t="str">
            <v>B2 AP2 (0.6 to 3 yrs)</v>
          </cell>
          <cell r="K168" t="str">
            <v>B2 AP3 (3 to 5 yrs)</v>
          </cell>
          <cell r="L168" t="str">
            <v>None</v>
          </cell>
        </row>
        <row r="169">
          <cell r="B169" t="str">
            <v>IT_69</v>
          </cell>
          <cell r="C169" t="str">
            <v>IT_Latent Zero_Developer_Senior_</v>
          </cell>
          <cell r="D169" t="str">
            <v>IT</v>
          </cell>
          <cell r="E169" t="str">
            <v>Latent Zero</v>
          </cell>
          <cell r="F169" t="str">
            <v>Developer</v>
          </cell>
          <cell r="H169" t="str">
            <v>Senior</v>
          </cell>
          <cell r="I169" t="str">
            <v xml:space="preserve">5 - 7 </v>
          </cell>
          <cell r="J169" t="str">
            <v>B2 AP3 (3 to 5 yrs)</v>
          </cell>
          <cell r="K169" t="str">
            <v>B3 PL1 (5 to 7 yrs)</v>
          </cell>
          <cell r="L169" t="str">
            <v>None</v>
          </cell>
        </row>
        <row r="170">
          <cell r="B170" t="str">
            <v>IT_59</v>
          </cell>
          <cell r="C170" t="str">
            <v>IT_Domain_Consultant_Junior_</v>
          </cell>
          <cell r="D170" t="str">
            <v>IT</v>
          </cell>
          <cell r="E170" t="str">
            <v>Domain</v>
          </cell>
          <cell r="F170" t="str">
            <v>Consultant</v>
          </cell>
          <cell r="H170" t="str">
            <v>Junior</v>
          </cell>
          <cell r="I170" t="str">
            <v>9 - 12</v>
          </cell>
          <cell r="J170" t="str">
            <v>B4 PM1 (9 to 12 yrs)</v>
          </cell>
          <cell r="K170" t="str">
            <v>None</v>
          </cell>
          <cell r="L170" t="str">
            <v>None</v>
          </cell>
        </row>
        <row r="171">
          <cell r="B171" t="str">
            <v>IT_84</v>
          </cell>
          <cell r="C171" t="str">
            <v>IT_Domain_Consultant_Mid-Level_</v>
          </cell>
          <cell r="D171" t="str">
            <v>IT</v>
          </cell>
          <cell r="E171" t="str">
            <v>Domain</v>
          </cell>
          <cell r="F171" t="str">
            <v>Consultant</v>
          </cell>
          <cell r="H171" t="str">
            <v>Mid-Level</v>
          </cell>
          <cell r="I171" t="str">
            <v>12 - 14</v>
          </cell>
          <cell r="J171" t="str">
            <v>B4 PM2 (10 to 14 yrs)</v>
          </cell>
          <cell r="K171" t="str">
            <v>B4 PM3 (12 to 15 yrs)</v>
          </cell>
          <cell r="L171" t="str">
            <v>None</v>
          </cell>
        </row>
        <row r="172">
          <cell r="B172" t="str">
            <v>IT_60</v>
          </cell>
          <cell r="C172" t="str">
            <v>IT_Domain_Consultant_Senior_</v>
          </cell>
          <cell r="D172" t="str">
            <v>IT</v>
          </cell>
          <cell r="E172" t="str">
            <v>Domain</v>
          </cell>
          <cell r="F172" t="str">
            <v>Consultant</v>
          </cell>
          <cell r="H172" t="str">
            <v>Senior</v>
          </cell>
          <cell r="I172" t="str">
            <v>14+</v>
          </cell>
          <cell r="J172" t="str">
            <v>B4 PM3 (12 to 15 yrs)</v>
          </cell>
          <cell r="K172" t="str">
            <v>B5 (min 8 yrs)</v>
          </cell>
          <cell r="L172" t="str">
            <v>None</v>
          </cell>
        </row>
        <row r="173">
          <cell r="B173" t="str">
            <v>SAP_1</v>
          </cell>
          <cell r="C173" t="str">
            <v>SAP_ABAP_Technical_Junior_</v>
          </cell>
          <cell r="D173" t="str">
            <v>SAP</v>
          </cell>
          <cell r="E173" t="str">
            <v>ABAP</v>
          </cell>
          <cell r="F173" t="str">
            <v>Technical</v>
          </cell>
          <cell r="H173" t="str">
            <v>Junior</v>
          </cell>
          <cell r="I173" t="str">
            <v xml:space="preserve">0 - 3 </v>
          </cell>
          <cell r="J173" t="str">
            <v>B2 AP1</v>
          </cell>
          <cell r="K173" t="str">
            <v>B2 AP2 (0.6 to 3 yrs)</v>
          </cell>
          <cell r="L173" t="str">
            <v>None</v>
          </cell>
        </row>
        <row r="174">
          <cell r="B174" t="str">
            <v>SAP_2</v>
          </cell>
          <cell r="C174" t="str">
            <v>SAP_ABAP_Technical_Mid-Level_</v>
          </cell>
          <cell r="D174" t="str">
            <v>SAP</v>
          </cell>
          <cell r="E174" t="str">
            <v>ABAP</v>
          </cell>
          <cell r="F174" t="str">
            <v>Technical</v>
          </cell>
          <cell r="H174" t="str">
            <v>Mid-Level</v>
          </cell>
          <cell r="I174" t="str">
            <v xml:space="preserve">3 - 5 </v>
          </cell>
          <cell r="J174" t="str">
            <v>B2 AP2 (0.6 to 3 yrs)</v>
          </cell>
          <cell r="K174" t="str">
            <v>B2 AP3 (3 to 5 yrs)</v>
          </cell>
          <cell r="L174" t="str">
            <v>None</v>
          </cell>
        </row>
        <row r="175">
          <cell r="B175" t="str">
            <v>SAP_3</v>
          </cell>
          <cell r="C175" t="str">
            <v>SAP_ABAP_Technical_Senior_</v>
          </cell>
          <cell r="D175" t="str">
            <v>SAP</v>
          </cell>
          <cell r="E175" t="str">
            <v>ABAP</v>
          </cell>
          <cell r="F175" t="str">
            <v>Technical</v>
          </cell>
          <cell r="H175" t="str">
            <v>Senior</v>
          </cell>
          <cell r="I175" t="str">
            <v xml:space="preserve">5 - 7 </v>
          </cell>
          <cell r="J175" t="str">
            <v>B2 AP3 (3 to 5 yrs)</v>
          </cell>
          <cell r="K175" t="str">
            <v>B3 PL1 (5 to 7 yrs)</v>
          </cell>
          <cell r="L175" t="str">
            <v>None</v>
          </cell>
        </row>
        <row r="176">
          <cell r="B176" t="str">
            <v>SAP_4</v>
          </cell>
          <cell r="C176" t="str">
            <v>SAP_Basis_Technical_Junior_</v>
          </cell>
          <cell r="D176" t="str">
            <v>SAP</v>
          </cell>
          <cell r="E176" t="str">
            <v>Basis</v>
          </cell>
          <cell r="F176" t="str">
            <v>Technical</v>
          </cell>
          <cell r="H176" t="str">
            <v>Junior</v>
          </cell>
          <cell r="I176" t="str">
            <v xml:space="preserve">0 - 3 </v>
          </cell>
          <cell r="J176" t="str">
            <v>B2 AP1</v>
          </cell>
          <cell r="K176" t="str">
            <v>B2 AP2 (0.6 to 3 yrs)</v>
          </cell>
          <cell r="L176" t="str">
            <v>None</v>
          </cell>
        </row>
        <row r="177">
          <cell r="B177" t="str">
            <v>SAP_5</v>
          </cell>
          <cell r="C177" t="str">
            <v>SAP_Basis_Technical_Mid-Level_</v>
          </cell>
          <cell r="D177" t="str">
            <v>SAP</v>
          </cell>
          <cell r="E177" t="str">
            <v>Basis</v>
          </cell>
          <cell r="F177" t="str">
            <v>Technical</v>
          </cell>
          <cell r="H177" t="str">
            <v>Mid-Level</v>
          </cell>
          <cell r="I177" t="str">
            <v xml:space="preserve">3 - 5 </v>
          </cell>
          <cell r="J177" t="str">
            <v>B2 AP2 (0.6 to 3 yrs)</v>
          </cell>
          <cell r="K177" t="str">
            <v>B2 AP3 (3 to 5 yrs)</v>
          </cell>
          <cell r="L177" t="str">
            <v>None</v>
          </cell>
        </row>
        <row r="178">
          <cell r="B178" t="str">
            <v>SAP_6</v>
          </cell>
          <cell r="C178" t="str">
            <v>SAP_Basis_Technical_Senior_</v>
          </cell>
          <cell r="D178" t="str">
            <v>SAP</v>
          </cell>
          <cell r="E178" t="str">
            <v>Basis</v>
          </cell>
          <cell r="F178" t="str">
            <v>Technical</v>
          </cell>
          <cell r="H178" t="str">
            <v>Senior</v>
          </cell>
          <cell r="I178" t="str">
            <v xml:space="preserve">5 - 7 </v>
          </cell>
          <cell r="J178" t="str">
            <v>B2 AP3 (3 to 5 yrs)</v>
          </cell>
          <cell r="K178" t="str">
            <v>B3 PL1 (5 to 7 yrs)</v>
          </cell>
          <cell r="L178" t="str">
            <v>None</v>
          </cell>
        </row>
        <row r="179">
          <cell r="B179" t="str">
            <v>SAP_7</v>
          </cell>
          <cell r="C179" t="str">
            <v>SAP_Domain_Functional_Junior_</v>
          </cell>
          <cell r="D179" t="str">
            <v>SAP</v>
          </cell>
          <cell r="E179" t="str">
            <v>Domain</v>
          </cell>
          <cell r="F179" t="str">
            <v>Functional</v>
          </cell>
          <cell r="H179" t="str">
            <v>Junior</v>
          </cell>
          <cell r="I179" t="str">
            <v xml:space="preserve">3 - 5 </v>
          </cell>
          <cell r="J179" t="str">
            <v>B2 AP3 (3 to 5 yrs)</v>
          </cell>
          <cell r="K179" t="str">
            <v>None</v>
          </cell>
          <cell r="L179" t="str">
            <v>None</v>
          </cell>
        </row>
        <row r="180">
          <cell r="B180" t="str">
            <v>SAP_8</v>
          </cell>
          <cell r="C180" t="str">
            <v>SAP_Domain_Functional_Mid-Level_</v>
          </cell>
          <cell r="D180" t="str">
            <v>SAP</v>
          </cell>
          <cell r="E180" t="str">
            <v>Domain</v>
          </cell>
          <cell r="F180" t="str">
            <v>Functional</v>
          </cell>
          <cell r="H180" t="str">
            <v>Mid-Level</v>
          </cell>
          <cell r="I180" t="str">
            <v xml:space="preserve">5 - 7 </v>
          </cell>
          <cell r="J180" t="str">
            <v>B3 PL1 (5 to 7 yrs)</v>
          </cell>
          <cell r="K180" t="str">
            <v>B3 PL2 (6 to 8 yrs)</v>
          </cell>
          <cell r="L180" t="str">
            <v>None</v>
          </cell>
        </row>
        <row r="181">
          <cell r="B181" t="str">
            <v>SAP_9</v>
          </cell>
          <cell r="C181" t="str">
            <v>SAP_Domain_Functional_Senior_</v>
          </cell>
          <cell r="D181" t="str">
            <v>SAP</v>
          </cell>
          <cell r="E181" t="str">
            <v>Domain</v>
          </cell>
          <cell r="F181" t="str">
            <v>Functional</v>
          </cell>
          <cell r="H181" t="str">
            <v>Senior</v>
          </cell>
          <cell r="I181" t="str">
            <v>7 - 9</v>
          </cell>
          <cell r="J181" t="str">
            <v>B3 PL2 (6 to 8 yrs)</v>
          </cell>
          <cell r="K181" t="str">
            <v>B3 PL3 (7 to 10 yrs)</v>
          </cell>
          <cell r="L181" t="str">
            <v>None</v>
          </cell>
        </row>
        <row r="182">
          <cell r="B182" t="str">
            <v>SAP_10</v>
          </cell>
          <cell r="C182" t="str">
            <v>SAP_Management_Project Manager_Junior_</v>
          </cell>
          <cell r="D182" t="str">
            <v>SAP</v>
          </cell>
          <cell r="E182" t="str">
            <v>Management</v>
          </cell>
          <cell r="F182" t="str">
            <v>Project Manager</v>
          </cell>
          <cell r="H182" t="str">
            <v>Junior</v>
          </cell>
          <cell r="I182" t="str">
            <v xml:space="preserve">8 - 10 </v>
          </cell>
          <cell r="J182" t="str">
            <v>B3 PL3 (7 to 10 yrs)</v>
          </cell>
          <cell r="K182" t="str">
            <v>B4 PM1 (9 to 12 yrs)</v>
          </cell>
          <cell r="L182" t="str">
            <v>None</v>
          </cell>
        </row>
        <row r="183">
          <cell r="B183" t="str">
            <v>SAP_11</v>
          </cell>
          <cell r="C183" t="str">
            <v>SAP_Management_Project Manager_Mid-Level_</v>
          </cell>
          <cell r="D183" t="str">
            <v>SAP</v>
          </cell>
          <cell r="E183" t="str">
            <v>Management</v>
          </cell>
          <cell r="F183" t="str">
            <v>Project Manager</v>
          </cell>
          <cell r="H183" t="str">
            <v>Mid-Level</v>
          </cell>
          <cell r="I183" t="str">
            <v>10 - 12</v>
          </cell>
          <cell r="J183" t="str">
            <v>B4 PM1 (9 to 12 yrs)</v>
          </cell>
          <cell r="K183" t="str">
            <v>B4 PM2 (10 to 14 yrs)</v>
          </cell>
          <cell r="L183" t="str">
            <v>None</v>
          </cell>
        </row>
        <row r="184">
          <cell r="B184" t="str">
            <v>SAP_12</v>
          </cell>
          <cell r="C184" t="str">
            <v>SAP_Management_Project Manager_Senior_</v>
          </cell>
          <cell r="D184" t="str">
            <v>SAP</v>
          </cell>
          <cell r="E184" t="str">
            <v>Management</v>
          </cell>
          <cell r="F184" t="str">
            <v>Project Manager</v>
          </cell>
          <cell r="H184" t="str">
            <v>Senior</v>
          </cell>
          <cell r="I184" t="str">
            <v>12 - 14</v>
          </cell>
          <cell r="J184" t="str">
            <v>B4 PM2 (10 to 14 yrs)</v>
          </cell>
          <cell r="K184" t="str">
            <v>B4 PM3 (12 to 15 yrs)</v>
          </cell>
          <cell r="L184" t="str">
            <v>None</v>
          </cell>
        </row>
        <row r="185">
          <cell r="B185" t="str">
            <v>SOG_1</v>
          </cell>
          <cell r="C185" t="str">
            <v>SOG_ASG_Architect__Application</v>
          </cell>
          <cell r="D185" t="str">
            <v>SOG</v>
          </cell>
          <cell r="E185" t="str">
            <v>ASG</v>
          </cell>
          <cell r="F185" t="str">
            <v>Architect</v>
          </cell>
          <cell r="G185" t="str">
            <v>Application</v>
          </cell>
          <cell r="I185" t="str">
            <v xml:space="preserve">12 - 14 </v>
          </cell>
          <cell r="J185" t="str">
            <v>B4 PM2 (10 to 14 yrs)</v>
          </cell>
          <cell r="K185" t="str">
            <v>B4 PM3 (12 to 15 yrs)</v>
          </cell>
          <cell r="L185" t="str">
            <v>None</v>
          </cell>
        </row>
        <row r="186">
          <cell r="B186" t="str">
            <v>SOG_2</v>
          </cell>
          <cell r="C186" t="str">
            <v>SOG_ASG_Architect__Solution</v>
          </cell>
          <cell r="D186" t="str">
            <v>SOG</v>
          </cell>
          <cell r="E186" t="str">
            <v>ASG</v>
          </cell>
          <cell r="F186" t="str">
            <v>Architect</v>
          </cell>
          <cell r="G186" t="str">
            <v>Solution</v>
          </cell>
          <cell r="I186" t="str">
            <v>14+</v>
          </cell>
          <cell r="J186" t="str">
            <v>B4 PM3 (12 to 15 yrs)</v>
          </cell>
          <cell r="K186" t="str">
            <v>B5 (min 8 yrs)</v>
          </cell>
          <cell r="L186" t="str">
            <v>None</v>
          </cell>
        </row>
        <row r="187">
          <cell r="B187" t="str">
            <v>SOG_3</v>
          </cell>
          <cell r="C187" t="str">
            <v>SOG_ASG_Architect__Enterprise</v>
          </cell>
          <cell r="D187" t="str">
            <v>SOG</v>
          </cell>
          <cell r="E187" t="str">
            <v>ASG</v>
          </cell>
          <cell r="F187" t="str">
            <v>Architect</v>
          </cell>
          <cell r="G187" t="str">
            <v>Enterprise</v>
          </cell>
          <cell r="I187" t="str">
            <v>14+</v>
          </cell>
          <cell r="J187" t="str">
            <v>B5 (min 8 yrs)</v>
          </cell>
          <cell r="K187" t="str">
            <v>None</v>
          </cell>
          <cell r="L187" t="str">
            <v>None</v>
          </cell>
        </row>
        <row r="188">
          <cell r="B188" t="str">
            <v>SOG_129</v>
          </cell>
          <cell r="C188" t="str">
            <v>SOG_BIDW_Administrator_Junior_</v>
          </cell>
          <cell r="D188" t="str">
            <v>SOG</v>
          </cell>
          <cell r="E188" t="str">
            <v>BIDW</v>
          </cell>
          <cell r="F188" t="str">
            <v>Administrator</v>
          </cell>
          <cell r="H188" t="str">
            <v>Junior</v>
          </cell>
          <cell r="I188" t="str">
            <v>3 - 5</v>
          </cell>
          <cell r="J188" t="str">
            <v>B2 AP3 (3 to 5 yrs)</v>
          </cell>
          <cell r="K188" t="str">
            <v>None</v>
          </cell>
          <cell r="L188" t="str">
            <v>None</v>
          </cell>
        </row>
        <row r="189">
          <cell r="B189" t="str">
            <v>SOG_130</v>
          </cell>
          <cell r="C189" t="str">
            <v>SOG_BIDW_Administrator_Mid-Level_</v>
          </cell>
          <cell r="D189" t="str">
            <v>SOG</v>
          </cell>
          <cell r="E189" t="str">
            <v>BIDW</v>
          </cell>
          <cell r="F189" t="str">
            <v>Administrator</v>
          </cell>
          <cell r="H189" t="str">
            <v>Mid-Level</v>
          </cell>
          <cell r="I189" t="str">
            <v xml:space="preserve">5 - 7 </v>
          </cell>
          <cell r="J189" t="str">
            <v>B3 PL1 (5 to 7 yrs)</v>
          </cell>
          <cell r="K189" t="str">
            <v>B3 PL2 (6 to 8 yrs)</v>
          </cell>
          <cell r="L189" t="str">
            <v>None</v>
          </cell>
        </row>
        <row r="190">
          <cell r="B190" t="str">
            <v>SOG_131</v>
          </cell>
          <cell r="C190" t="str">
            <v>SOG_BIDW_Administrator_Senior_</v>
          </cell>
          <cell r="D190" t="str">
            <v>SOG</v>
          </cell>
          <cell r="E190" t="str">
            <v>BIDW</v>
          </cell>
          <cell r="F190" t="str">
            <v>Administrator</v>
          </cell>
          <cell r="H190" t="str">
            <v>Senior</v>
          </cell>
          <cell r="I190" t="str">
            <v>7 - 9</v>
          </cell>
          <cell r="J190" t="str">
            <v>B3 PL2 (6 to 8 yrs)</v>
          </cell>
          <cell r="K190" t="str">
            <v>B3 PL3 (7 to 10 yrs)</v>
          </cell>
          <cell r="L190" t="str">
            <v>None</v>
          </cell>
        </row>
        <row r="191">
          <cell r="B191" t="str">
            <v>SOG_5</v>
          </cell>
          <cell r="C191" t="str">
            <v>SOG_BIDW_Architect_Junior_</v>
          </cell>
          <cell r="D191" t="str">
            <v>SOG</v>
          </cell>
          <cell r="E191" t="str">
            <v>BIDW</v>
          </cell>
          <cell r="F191" t="str">
            <v>Architect</v>
          </cell>
          <cell r="H191" t="str">
            <v>Junior</v>
          </cell>
          <cell r="I191" t="str">
            <v>9 - 12</v>
          </cell>
          <cell r="J191" t="str">
            <v>B4 PM1 (9 to 12 yrs)</v>
          </cell>
          <cell r="K191" t="str">
            <v>None</v>
          </cell>
          <cell r="L191" t="str">
            <v>None</v>
          </cell>
        </row>
        <row r="192">
          <cell r="B192" t="str">
            <v>SOG_6</v>
          </cell>
          <cell r="C192" t="str">
            <v>SOG_BIDW_Architect_Mid-Level_</v>
          </cell>
          <cell r="D192" t="str">
            <v>SOG</v>
          </cell>
          <cell r="E192" t="str">
            <v>BIDW</v>
          </cell>
          <cell r="F192" t="str">
            <v>Architect</v>
          </cell>
          <cell r="H192" t="str">
            <v>Mid-Level</v>
          </cell>
          <cell r="I192" t="str">
            <v xml:space="preserve">12 - 14 </v>
          </cell>
          <cell r="J192" t="str">
            <v>B4 PM2 (10 to 14 yrs)</v>
          </cell>
          <cell r="K192" t="str">
            <v>B4 PM3 (12 to 15 yrs)</v>
          </cell>
          <cell r="L192" t="str">
            <v>None</v>
          </cell>
        </row>
        <row r="193">
          <cell r="B193" t="str">
            <v>SOG_7</v>
          </cell>
          <cell r="C193" t="str">
            <v>SOG_BIDW_Architect_Senior_</v>
          </cell>
          <cell r="D193" t="str">
            <v>SOG</v>
          </cell>
          <cell r="E193" t="str">
            <v>BIDW</v>
          </cell>
          <cell r="F193" t="str">
            <v>Architect</v>
          </cell>
          <cell r="H193" t="str">
            <v>Senior</v>
          </cell>
          <cell r="I193" t="str">
            <v>14+</v>
          </cell>
          <cell r="J193" t="str">
            <v>B4 PM3 (12 to 15 yrs)</v>
          </cell>
          <cell r="K193" t="str">
            <v>B5 (min 8 yrs)</v>
          </cell>
          <cell r="L193" t="str">
            <v>None</v>
          </cell>
        </row>
        <row r="194">
          <cell r="B194" t="str">
            <v>SOG_8</v>
          </cell>
          <cell r="C194" t="str">
            <v>SOG_BIDW_Data Modeler __</v>
          </cell>
          <cell r="D194" t="str">
            <v>SOG</v>
          </cell>
          <cell r="E194" t="str">
            <v>BIDW</v>
          </cell>
          <cell r="F194" t="str">
            <v xml:space="preserve">Data Modeler </v>
          </cell>
          <cell r="I194" t="str">
            <v>5 - 8</v>
          </cell>
          <cell r="J194" t="str">
            <v>B3 PL1 (5 to 7 yrs)</v>
          </cell>
          <cell r="K194" t="str">
            <v>B3 PL2 (6 to 8 yrs)</v>
          </cell>
          <cell r="L194" t="str">
            <v>None</v>
          </cell>
        </row>
        <row r="195">
          <cell r="B195" t="str">
            <v>SOG_10</v>
          </cell>
          <cell r="C195" t="str">
            <v>SOG_BIDW_Developer_Junior_Cognos</v>
          </cell>
          <cell r="D195" t="str">
            <v>SOG</v>
          </cell>
          <cell r="E195" t="str">
            <v>BIDW</v>
          </cell>
          <cell r="F195" t="str">
            <v>Developer</v>
          </cell>
          <cell r="G195" t="str">
            <v>Cognos</v>
          </cell>
          <cell r="H195" t="str">
            <v>Junior</v>
          </cell>
          <cell r="I195" t="str">
            <v xml:space="preserve">0 - 3 </v>
          </cell>
          <cell r="J195" t="str">
            <v>B2 AP1</v>
          </cell>
          <cell r="K195" t="str">
            <v>B2 AP2 (0.6 to 3 yrs)</v>
          </cell>
          <cell r="L195" t="str">
            <v>None</v>
          </cell>
        </row>
        <row r="196">
          <cell r="B196" t="str">
            <v>SOG_11</v>
          </cell>
          <cell r="C196" t="str">
            <v>SOG_BIDW_Developer_Mid-Level_Cognos</v>
          </cell>
          <cell r="D196" t="str">
            <v>SOG</v>
          </cell>
          <cell r="E196" t="str">
            <v>BIDW</v>
          </cell>
          <cell r="F196" t="str">
            <v>Developer</v>
          </cell>
          <cell r="G196" t="str">
            <v>Cognos</v>
          </cell>
          <cell r="H196" t="str">
            <v>Mid-Level</v>
          </cell>
          <cell r="I196" t="str">
            <v>3 - 5</v>
          </cell>
          <cell r="J196" t="str">
            <v>B2 AP2 (0.6 to 3 yrs)</v>
          </cell>
          <cell r="K196" t="str">
            <v>B2 AP3 (3 to 5 yrs)</v>
          </cell>
          <cell r="L196" t="str">
            <v>None</v>
          </cell>
        </row>
        <row r="197">
          <cell r="B197" t="str">
            <v>SOG_12</v>
          </cell>
          <cell r="C197" t="str">
            <v>SOG_BIDW_Developer_Senior_Cognos</v>
          </cell>
          <cell r="D197" t="str">
            <v>SOG</v>
          </cell>
          <cell r="E197" t="str">
            <v>BIDW</v>
          </cell>
          <cell r="F197" t="str">
            <v>Developer</v>
          </cell>
          <cell r="G197" t="str">
            <v>Cognos</v>
          </cell>
          <cell r="H197" t="str">
            <v>Senior</v>
          </cell>
          <cell r="I197" t="str">
            <v xml:space="preserve">5 - 7 </v>
          </cell>
          <cell r="J197" t="str">
            <v>B2 AP3 (3 to 5 yrs)</v>
          </cell>
          <cell r="K197" t="str">
            <v>B3 PL1 (5 to 7 yrs)</v>
          </cell>
          <cell r="L197" t="str">
            <v>None</v>
          </cell>
        </row>
        <row r="198">
          <cell r="B198" t="str">
            <v>SOG_13</v>
          </cell>
          <cell r="C198" t="str">
            <v>SOG_BIDW_Developer_Junior_</v>
          </cell>
          <cell r="D198" t="str">
            <v>SOG</v>
          </cell>
          <cell r="E198" t="str">
            <v>BIDW</v>
          </cell>
          <cell r="F198" t="str">
            <v>Developer</v>
          </cell>
          <cell r="H198" t="str">
            <v>Junior</v>
          </cell>
          <cell r="I198" t="str">
            <v xml:space="preserve">0 - 3 </v>
          </cell>
          <cell r="J198" t="str">
            <v>B2 AP1</v>
          </cell>
          <cell r="K198" t="str">
            <v>B2 AP2 (0.6 to 3 yrs)</v>
          </cell>
          <cell r="L198" t="str">
            <v>None</v>
          </cell>
        </row>
        <row r="199">
          <cell r="B199" t="str">
            <v>SOG_14</v>
          </cell>
          <cell r="C199" t="str">
            <v>SOG_BIDW_Developer_Mid-Level_</v>
          </cell>
          <cell r="D199" t="str">
            <v>SOG</v>
          </cell>
          <cell r="E199" t="str">
            <v>BIDW</v>
          </cell>
          <cell r="F199" t="str">
            <v>Developer</v>
          </cell>
          <cell r="H199" t="str">
            <v>Mid-Level</v>
          </cell>
          <cell r="I199" t="str">
            <v xml:space="preserve">3 - 5 </v>
          </cell>
          <cell r="J199" t="str">
            <v>B2 AP2 (0.6 to 3 yrs)</v>
          </cell>
          <cell r="K199" t="str">
            <v>B2 AP3 (3 to 5 yrs)</v>
          </cell>
          <cell r="L199" t="str">
            <v>None</v>
          </cell>
        </row>
        <row r="200">
          <cell r="B200" t="str">
            <v>SOG_15</v>
          </cell>
          <cell r="C200" t="str">
            <v>SOG_BIDW_Developer_Senior_</v>
          </cell>
          <cell r="D200" t="str">
            <v>SOG</v>
          </cell>
          <cell r="E200" t="str">
            <v>BIDW</v>
          </cell>
          <cell r="F200" t="str">
            <v>Developer</v>
          </cell>
          <cell r="H200" t="str">
            <v>Senior</v>
          </cell>
          <cell r="I200" t="str">
            <v xml:space="preserve">5 - 7 </v>
          </cell>
          <cell r="J200" t="str">
            <v>B2 AP3 (3 to 5 yrs)</v>
          </cell>
          <cell r="K200" t="str">
            <v>B3 PL1 (5 to 7 yrs)</v>
          </cell>
          <cell r="L200" t="str">
            <v>None</v>
          </cell>
        </row>
        <row r="201">
          <cell r="B201" t="str">
            <v>SOG_16</v>
          </cell>
          <cell r="C201" t="str">
            <v>SOG_BIDW_Developer_Junior_ETL</v>
          </cell>
          <cell r="D201" t="str">
            <v>SOG</v>
          </cell>
          <cell r="E201" t="str">
            <v>BIDW</v>
          </cell>
          <cell r="F201" t="str">
            <v>Developer</v>
          </cell>
          <cell r="G201" t="str">
            <v>ETL</v>
          </cell>
          <cell r="H201" t="str">
            <v>Junior</v>
          </cell>
          <cell r="I201" t="str">
            <v xml:space="preserve">0 - 3 </v>
          </cell>
          <cell r="J201" t="str">
            <v>B2 AP1</v>
          </cell>
          <cell r="K201" t="str">
            <v>B2 AP2 (0.6 to 3 yrs)</v>
          </cell>
          <cell r="L201" t="str">
            <v>None</v>
          </cell>
        </row>
        <row r="202">
          <cell r="B202" t="str">
            <v>SOG_17</v>
          </cell>
          <cell r="C202" t="str">
            <v>SOG_BIDW_Developer_Mid-Level_ETL</v>
          </cell>
          <cell r="D202" t="str">
            <v>SOG</v>
          </cell>
          <cell r="E202" t="str">
            <v>BIDW</v>
          </cell>
          <cell r="F202" t="str">
            <v>Developer</v>
          </cell>
          <cell r="G202" t="str">
            <v>ETL</v>
          </cell>
          <cell r="H202" t="str">
            <v>Mid-Level</v>
          </cell>
          <cell r="I202" t="str">
            <v>3 - 5</v>
          </cell>
          <cell r="J202" t="str">
            <v>B2 AP2 (0.6 to 3 yrs)</v>
          </cell>
          <cell r="K202" t="str">
            <v>B2 AP3 (3 to 5 yrs)</v>
          </cell>
          <cell r="L202" t="str">
            <v>None</v>
          </cell>
        </row>
        <row r="203">
          <cell r="B203" t="str">
            <v>SOG_18</v>
          </cell>
          <cell r="C203" t="str">
            <v>SOG_BIDW_Developer_Senior_ETL</v>
          </cell>
          <cell r="D203" t="str">
            <v>SOG</v>
          </cell>
          <cell r="E203" t="str">
            <v>BIDW</v>
          </cell>
          <cell r="F203" t="str">
            <v>Developer</v>
          </cell>
          <cell r="G203" t="str">
            <v>ETL</v>
          </cell>
          <cell r="H203" t="str">
            <v>Senior</v>
          </cell>
          <cell r="I203" t="str">
            <v xml:space="preserve">5 - 7 </v>
          </cell>
          <cell r="J203" t="str">
            <v>B2 AP3 (3 to 5 yrs)</v>
          </cell>
          <cell r="K203" t="str">
            <v>B3 PL1 (5 to 7 yrs)</v>
          </cell>
          <cell r="L203" t="str">
            <v>None</v>
          </cell>
        </row>
        <row r="204">
          <cell r="B204" t="str">
            <v>SOG_19</v>
          </cell>
          <cell r="C204" t="str">
            <v>SOG_BIDW_Developer_Junior_Informatica</v>
          </cell>
          <cell r="D204" t="str">
            <v>SOG</v>
          </cell>
          <cell r="E204" t="str">
            <v>BIDW</v>
          </cell>
          <cell r="F204" t="str">
            <v>Developer</v>
          </cell>
          <cell r="G204" t="str">
            <v>Informatica</v>
          </cell>
          <cell r="H204" t="str">
            <v>Junior</v>
          </cell>
          <cell r="I204" t="str">
            <v xml:space="preserve">0 - 3 </v>
          </cell>
          <cell r="J204" t="str">
            <v>B2 AP1</v>
          </cell>
          <cell r="K204" t="str">
            <v>B2 AP2 (0.6 to 3 yrs)</v>
          </cell>
          <cell r="L204" t="str">
            <v>None</v>
          </cell>
        </row>
        <row r="205">
          <cell r="B205" t="str">
            <v>SOG_20</v>
          </cell>
          <cell r="C205" t="str">
            <v>SOG_BIDW_Developer_Mid-Level_Informatica</v>
          </cell>
          <cell r="D205" t="str">
            <v>SOG</v>
          </cell>
          <cell r="E205" t="str">
            <v>BIDW</v>
          </cell>
          <cell r="F205" t="str">
            <v>Developer</v>
          </cell>
          <cell r="G205" t="str">
            <v>Informatica</v>
          </cell>
          <cell r="H205" t="str">
            <v>Mid-Level</v>
          </cell>
          <cell r="I205" t="str">
            <v>3 - 5</v>
          </cell>
          <cell r="J205" t="str">
            <v>B2 AP2 (0.6 to 3 yrs)</v>
          </cell>
          <cell r="K205" t="str">
            <v>B2 AP3 (3 to 5 yrs)</v>
          </cell>
          <cell r="L205" t="str">
            <v>None</v>
          </cell>
        </row>
        <row r="206">
          <cell r="B206" t="str">
            <v>SOG_21</v>
          </cell>
          <cell r="C206" t="str">
            <v>SOG_BIDW_Developer_Senior_Informatica</v>
          </cell>
          <cell r="D206" t="str">
            <v>SOG</v>
          </cell>
          <cell r="E206" t="str">
            <v>BIDW</v>
          </cell>
          <cell r="F206" t="str">
            <v>Developer</v>
          </cell>
          <cell r="G206" t="str">
            <v>Informatica</v>
          </cell>
          <cell r="H206" t="str">
            <v>Senior</v>
          </cell>
          <cell r="I206" t="str">
            <v xml:space="preserve">5 - 7 </v>
          </cell>
          <cell r="J206" t="str">
            <v>B2 AP3 (3 to 5 yrs)</v>
          </cell>
          <cell r="K206" t="str">
            <v>B3 PL1 (5 to 7 yrs)</v>
          </cell>
          <cell r="L206" t="str">
            <v>None</v>
          </cell>
        </row>
        <row r="207">
          <cell r="B207" t="str">
            <v>SOG_23</v>
          </cell>
          <cell r="C207" t="str">
            <v>SOG_BIDW_Developer_Junior_Reporting</v>
          </cell>
          <cell r="D207" t="str">
            <v>SOG</v>
          </cell>
          <cell r="E207" t="str">
            <v>BIDW</v>
          </cell>
          <cell r="F207" t="str">
            <v>Developer</v>
          </cell>
          <cell r="G207" t="str">
            <v>Reporting</v>
          </cell>
          <cell r="H207" t="str">
            <v>Junior</v>
          </cell>
          <cell r="I207" t="str">
            <v xml:space="preserve">0 - 3 </v>
          </cell>
          <cell r="J207" t="str">
            <v>B2 AP1</v>
          </cell>
          <cell r="K207" t="str">
            <v>B2 AP2 (0.6 to 3 yrs)</v>
          </cell>
          <cell r="L207" t="str">
            <v>None</v>
          </cell>
        </row>
        <row r="208">
          <cell r="B208" t="str">
            <v>SOG_122</v>
          </cell>
          <cell r="C208" t="str">
            <v>SOG_BIDW_Developer_Mid-Level_Reporting</v>
          </cell>
          <cell r="D208" t="str">
            <v>SOG</v>
          </cell>
          <cell r="E208" t="str">
            <v>BIDW</v>
          </cell>
          <cell r="F208" t="str">
            <v>Developer</v>
          </cell>
          <cell r="G208" t="str">
            <v>Reporting</v>
          </cell>
          <cell r="H208" t="str">
            <v>Mid-Level</v>
          </cell>
          <cell r="I208" t="str">
            <v>3 - 5</v>
          </cell>
          <cell r="J208" t="str">
            <v>B2 AP2 (0.6 to 3 yrs)</v>
          </cell>
          <cell r="K208" t="str">
            <v>B2 AP3 (3 to 5 yrs)</v>
          </cell>
          <cell r="L208" t="str">
            <v>None</v>
          </cell>
        </row>
        <row r="209">
          <cell r="B209" t="str">
            <v>SOG_24</v>
          </cell>
          <cell r="C209" t="str">
            <v>SOG_BIDW_Developer_Senior_Reporting</v>
          </cell>
          <cell r="D209" t="str">
            <v>SOG</v>
          </cell>
          <cell r="E209" t="str">
            <v>BIDW</v>
          </cell>
          <cell r="F209" t="str">
            <v>Developer</v>
          </cell>
          <cell r="G209" t="str">
            <v>Reporting</v>
          </cell>
          <cell r="H209" t="str">
            <v>Senior</v>
          </cell>
          <cell r="I209" t="str">
            <v xml:space="preserve">5 - 7 </v>
          </cell>
          <cell r="J209" t="str">
            <v>B2 AP3 (3 to 5 yrs)</v>
          </cell>
          <cell r="K209" t="str">
            <v>B3 PL1 (5 to 7 yrs)</v>
          </cell>
          <cell r="L209" t="str">
            <v>None</v>
          </cell>
        </row>
        <row r="210">
          <cell r="B210" t="str">
            <v>SOG_25</v>
          </cell>
          <cell r="C210" t="str">
            <v>SOG_BIDW_Project Manager_Junior_</v>
          </cell>
          <cell r="D210" t="str">
            <v>SOG</v>
          </cell>
          <cell r="E210" t="str">
            <v>BIDW</v>
          </cell>
          <cell r="F210" t="str">
            <v>Project Manager</v>
          </cell>
          <cell r="H210" t="str">
            <v>Junior</v>
          </cell>
          <cell r="I210" t="str">
            <v xml:space="preserve">8 - 10 </v>
          </cell>
          <cell r="J210" t="str">
            <v>B3 PL3 (7 to 10 yrs)</v>
          </cell>
          <cell r="K210" t="str">
            <v>B4 PM1 (9 to 12 yrs)</v>
          </cell>
          <cell r="L210" t="str">
            <v>None</v>
          </cell>
        </row>
        <row r="211">
          <cell r="B211" t="str">
            <v>SOG_26</v>
          </cell>
          <cell r="C211" t="str">
            <v>SOG_BIDW_Project Manager_Mid-Level_</v>
          </cell>
          <cell r="D211" t="str">
            <v>SOG</v>
          </cell>
          <cell r="E211" t="str">
            <v>BIDW</v>
          </cell>
          <cell r="F211" t="str">
            <v>Project Manager</v>
          </cell>
          <cell r="H211" t="str">
            <v>Mid-Level</v>
          </cell>
          <cell r="I211" t="str">
            <v>10 - 12</v>
          </cell>
          <cell r="J211" t="str">
            <v>B4 PM1 (9 to 12 yrs)</v>
          </cell>
          <cell r="K211" t="str">
            <v>B4 PM2 (10 to 14 yrs)</v>
          </cell>
          <cell r="L211" t="str">
            <v>None</v>
          </cell>
        </row>
        <row r="212">
          <cell r="B212" t="str">
            <v>SOG_27</v>
          </cell>
          <cell r="C212" t="str">
            <v>SOG_BIDW_Project Manager_Senior_</v>
          </cell>
          <cell r="D212" t="str">
            <v>SOG</v>
          </cell>
          <cell r="E212" t="str">
            <v>BIDW</v>
          </cell>
          <cell r="F212" t="str">
            <v>Project Manager</v>
          </cell>
          <cell r="H212" t="str">
            <v>Senior</v>
          </cell>
          <cell r="I212" t="str">
            <v>12 - 14</v>
          </cell>
          <cell r="J212" t="str">
            <v>B4 PM2 (10 to 14 yrs)</v>
          </cell>
          <cell r="K212" t="str">
            <v>B4 PM3 (12 to 15 yrs)</v>
          </cell>
          <cell r="L212" t="str">
            <v>None</v>
          </cell>
        </row>
        <row r="213">
          <cell r="B213" t="str">
            <v>SOG_28</v>
          </cell>
          <cell r="C213" t="str">
            <v xml:space="preserve">SOG_BIDW_Technical Lead_Junior_Abinitio / Informatica / Datastage </v>
          </cell>
          <cell r="D213" t="str">
            <v>SOG</v>
          </cell>
          <cell r="E213" t="str">
            <v>BIDW</v>
          </cell>
          <cell r="F213" t="str">
            <v>Technical Lead</v>
          </cell>
          <cell r="G213" t="str">
            <v xml:space="preserve">Abinitio / Informatica / Datastage </v>
          </cell>
          <cell r="H213" t="str">
            <v>Junior</v>
          </cell>
          <cell r="I213" t="str">
            <v>5 - 8</v>
          </cell>
          <cell r="J213" t="str">
            <v>B3 PL1 (5 to 7 yrs)</v>
          </cell>
          <cell r="K213" t="str">
            <v>B3 PL2 (6 to 8 yrs)</v>
          </cell>
          <cell r="L213" t="str">
            <v>None</v>
          </cell>
        </row>
        <row r="214">
          <cell r="B214" t="str">
            <v>SOG_30</v>
          </cell>
          <cell r="C214" t="str">
            <v xml:space="preserve">SOG_BIDW_Technical Lead_Senior_Abinitio / Informatica / Datastage </v>
          </cell>
          <cell r="D214" t="str">
            <v>SOG</v>
          </cell>
          <cell r="E214" t="str">
            <v>BIDW</v>
          </cell>
          <cell r="F214" t="str">
            <v>Technical Lead</v>
          </cell>
          <cell r="G214" t="str">
            <v xml:space="preserve">Abinitio / Informatica / Datastage </v>
          </cell>
          <cell r="H214" t="str">
            <v>Senior</v>
          </cell>
          <cell r="I214" t="str">
            <v>7 - 10</v>
          </cell>
          <cell r="J214" t="str">
            <v>B3 PL3 (7 to 10 yrs)</v>
          </cell>
          <cell r="K214" t="str">
            <v>None</v>
          </cell>
          <cell r="L214" t="str">
            <v>None</v>
          </cell>
        </row>
        <row r="215">
          <cell r="B215" t="str">
            <v>SOG_34</v>
          </cell>
          <cell r="C215" t="str">
            <v>SOG_BIDW_Technical Lead_Junior_Actuate/Crystal</v>
          </cell>
          <cell r="D215" t="str">
            <v>SOG</v>
          </cell>
          <cell r="E215" t="str">
            <v>BIDW</v>
          </cell>
          <cell r="F215" t="str">
            <v>Technical Lead</v>
          </cell>
          <cell r="G215" t="str">
            <v>Actuate/Crystal</v>
          </cell>
          <cell r="H215" t="str">
            <v>Junior</v>
          </cell>
          <cell r="I215" t="str">
            <v>5 - 8</v>
          </cell>
          <cell r="J215" t="str">
            <v>B3 PL1 (5 to 7 yrs)</v>
          </cell>
          <cell r="K215" t="str">
            <v>B3 PL2 (6 to 8 yrs)</v>
          </cell>
          <cell r="L215" t="str">
            <v>None</v>
          </cell>
        </row>
        <row r="216">
          <cell r="B216" t="str">
            <v>SOG_36</v>
          </cell>
          <cell r="C216" t="str">
            <v>SOG_BIDW_Technical Lead_Senior_Actuate/Crystal</v>
          </cell>
          <cell r="D216" t="str">
            <v>SOG</v>
          </cell>
          <cell r="E216" t="str">
            <v>BIDW</v>
          </cell>
          <cell r="F216" t="str">
            <v>Technical Lead</v>
          </cell>
          <cell r="G216" t="str">
            <v>Actuate/Crystal</v>
          </cell>
          <cell r="H216" t="str">
            <v>Senior</v>
          </cell>
          <cell r="I216" t="str">
            <v>7 - 10</v>
          </cell>
          <cell r="J216" t="str">
            <v>B3 PL3 (7 to 10 yrs)</v>
          </cell>
          <cell r="K216" t="str">
            <v>None</v>
          </cell>
          <cell r="L216" t="str">
            <v>None</v>
          </cell>
        </row>
        <row r="217">
          <cell r="B217" t="str">
            <v>SOG_134</v>
          </cell>
          <cell r="C217" t="str">
            <v>SOG_BIDW_Technical Lead_Junior_Microstrategy / Abinitio / Teradata</v>
          </cell>
          <cell r="D217" t="str">
            <v>SOG</v>
          </cell>
          <cell r="E217" t="str">
            <v>BIDW</v>
          </cell>
          <cell r="F217" t="str">
            <v>Technical Lead</v>
          </cell>
          <cell r="G217" t="str">
            <v>Microstrategy / Abinitio / Teradata</v>
          </cell>
          <cell r="H217" t="str">
            <v>Junior</v>
          </cell>
          <cell r="I217" t="str">
            <v>5 - 8</v>
          </cell>
          <cell r="J217" t="str">
            <v>B3 PL1 (5 to 7 yrs)</v>
          </cell>
          <cell r="K217" t="str">
            <v>B3 PL2 (6 to 8 yrs)</v>
          </cell>
          <cell r="L217" t="str">
            <v>None</v>
          </cell>
        </row>
        <row r="218">
          <cell r="B218" t="str">
            <v>SOG_135</v>
          </cell>
          <cell r="C218" t="str">
            <v>SOG_BIDW_Technical Lead_Senior_Microstrategy / Abinitio / Teradata</v>
          </cell>
          <cell r="D218" t="str">
            <v>SOG</v>
          </cell>
          <cell r="E218" t="str">
            <v>BIDW</v>
          </cell>
          <cell r="F218" t="str">
            <v>Technical Lead</v>
          </cell>
          <cell r="G218" t="str">
            <v>Microstrategy / Abinitio / Teradata</v>
          </cell>
          <cell r="H218" t="str">
            <v>Senior</v>
          </cell>
          <cell r="I218" t="str">
            <v>7 - 10</v>
          </cell>
          <cell r="J218" t="str">
            <v>B3 PL3 (7 to 10 yrs)</v>
          </cell>
          <cell r="K218" t="str">
            <v>None</v>
          </cell>
          <cell r="L218" t="str">
            <v>None</v>
          </cell>
        </row>
        <row r="219">
          <cell r="B219" t="str">
            <v>SOG_38</v>
          </cell>
          <cell r="C219" t="str">
            <v>SOG_BIDW_Technical Lead_Junior_Cognos / BO</v>
          </cell>
          <cell r="D219" t="str">
            <v>SOG</v>
          </cell>
          <cell r="E219" t="str">
            <v>BIDW</v>
          </cell>
          <cell r="F219" t="str">
            <v>Technical Lead</v>
          </cell>
          <cell r="G219" t="str">
            <v>Cognos / BO</v>
          </cell>
          <cell r="H219" t="str">
            <v>Junior</v>
          </cell>
          <cell r="I219" t="str">
            <v>5 - 8</v>
          </cell>
          <cell r="J219" t="str">
            <v>B3 PL1 (5 to 7 yrs)</v>
          </cell>
          <cell r="K219" t="str">
            <v>B3 PL2 (6 to 8 yrs)</v>
          </cell>
          <cell r="L219" t="str">
            <v>None</v>
          </cell>
        </row>
        <row r="220">
          <cell r="B220" t="str">
            <v>SOG_40</v>
          </cell>
          <cell r="C220" t="str">
            <v>SOG_BIDW_Technical Lead_Senior_Cognos / BO</v>
          </cell>
          <cell r="D220" t="str">
            <v>SOG</v>
          </cell>
          <cell r="E220" t="str">
            <v>BIDW</v>
          </cell>
          <cell r="F220" t="str">
            <v>Technical Lead</v>
          </cell>
          <cell r="G220" t="str">
            <v>Cognos / BO</v>
          </cell>
          <cell r="H220" t="str">
            <v>Senior</v>
          </cell>
          <cell r="I220" t="str">
            <v>7 - 10</v>
          </cell>
          <cell r="J220" t="str">
            <v>B3 PL3 (7 to 10 yrs)</v>
          </cell>
          <cell r="K220" t="str">
            <v>None</v>
          </cell>
          <cell r="L220" t="str">
            <v>None</v>
          </cell>
        </row>
        <row r="221">
          <cell r="B221" t="str">
            <v>SOG_136</v>
          </cell>
          <cell r="C221" t="str">
            <v>SOG_BIDW_Technical Lead_Junior_Reporting</v>
          </cell>
          <cell r="D221" t="str">
            <v>SOG</v>
          </cell>
          <cell r="E221" t="str">
            <v>BIDW</v>
          </cell>
          <cell r="F221" t="str">
            <v>Technical Lead</v>
          </cell>
          <cell r="G221" t="str">
            <v>Reporting</v>
          </cell>
          <cell r="H221" t="str">
            <v>Junior</v>
          </cell>
          <cell r="I221" t="str">
            <v>5 - 8</v>
          </cell>
          <cell r="J221" t="str">
            <v>B3 PL1 (5 to 7 yrs)</v>
          </cell>
          <cell r="K221" t="str">
            <v>B3 PL2 (6 to 8 yrs)</v>
          </cell>
          <cell r="L221" t="str">
            <v>None</v>
          </cell>
        </row>
        <row r="222">
          <cell r="B222" t="str">
            <v>SOG_137</v>
          </cell>
          <cell r="C222" t="str">
            <v>SOG_BIDW_Technical Lead_Senior_Reporting</v>
          </cell>
          <cell r="D222" t="str">
            <v>SOG</v>
          </cell>
          <cell r="E222" t="str">
            <v>BIDW</v>
          </cell>
          <cell r="F222" t="str">
            <v>Technical Lead</v>
          </cell>
          <cell r="G222" t="str">
            <v>Reporting</v>
          </cell>
          <cell r="H222" t="str">
            <v>Senior</v>
          </cell>
          <cell r="I222" t="str">
            <v>7 - 10</v>
          </cell>
          <cell r="J222" t="str">
            <v>B3 PL3 (7 to 10 yrs)</v>
          </cell>
          <cell r="K222" t="str">
            <v>None</v>
          </cell>
          <cell r="L222" t="str">
            <v>None</v>
          </cell>
        </row>
        <row r="223">
          <cell r="B223" t="str">
            <v>SOG_42</v>
          </cell>
          <cell r="C223" t="str">
            <v>SOG_BIDW_Tester_Junior_</v>
          </cell>
          <cell r="D223" t="str">
            <v>SOG</v>
          </cell>
          <cell r="E223" t="str">
            <v>BIDW</v>
          </cell>
          <cell r="F223" t="str">
            <v>Tester</v>
          </cell>
          <cell r="H223" t="str">
            <v>Junior</v>
          </cell>
          <cell r="I223" t="str">
            <v xml:space="preserve">0 - 3 </v>
          </cell>
          <cell r="J223" t="str">
            <v>B2 AP1</v>
          </cell>
          <cell r="K223" t="str">
            <v>B2 AP2 (0.6 to 3 yrs)</v>
          </cell>
          <cell r="L223" t="str">
            <v>None</v>
          </cell>
        </row>
        <row r="224">
          <cell r="B224" t="str">
            <v>SOG_44</v>
          </cell>
          <cell r="C224" t="str">
            <v>SOG_BIDW_Tester_Senior_</v>
          </cell>
          <cell r="D224" t="str">
            <v>SOG</v>
          </cell>
          <cell r="E224" t="str">
            <v>BIDW</v>
          </cell>
          <cell r="F224" t="str">
            <v>Tester</v>
          </cell>
          <cell r="H224" t="str">
            <v>Senior</v>
          </cell>
          <cell r="I224" t="str">
            <v xml:space="preserve">3 - 5 </v>
          </cell>
          <cell r="J224" t="str">
            <v>B2 AP2 (0.6 to 3 yrs)</v>
          </cell>
          <cell r="K224" t="str">
            <v>B2 AP3 (3 to 5 yrs)</v>
          </cell>
          <cell r="L224" t="str">
            <v>None</v>
          </cell>
        </row>
        <row r="225">
          <cell r="B225" t="str">
            <v>SOG_126</v>
          </cell>
          <cell r="C225" t="str">
            <v>SOG_EAI_Analyst_Junior_Business Rules</v>
          </cell>
          <cell r="D225" t="str">
            <v>SOG</v>
          </cell>
          <cell r="E225" t="str">
            <v>EAI</v>
          </cell>
          <cell r="F225" t="str">
            <v>Analyst</v>
          </cell>
          <cell r="G225" t="str">
            <v>Business Rules</v>
          </cell>
          <cell r="H225" t="str">
            <v>Junior</v>
          </cell>
          <cell r="I225" t="str">
            <v>3 - 5</v>
          </cell>
          <cell r="J225" t="str">
            <v>B2 AP3 (3 to 5 yrs)</v>
          </cell>
          <cell r="K225" t="str">
            <v>None</v>
          </cell>
          <cell r="L225" t="str">
            <v>None</v>
          </cell>
        </row>
        <row r="226">
          <cell r="B226" t="str">
            <v>SOG_127</v>
          </cell>
          <cell r="C226" t="str">
            <v>SOG_EAI_Analyst_Mid-Level_Business Rules</v>
          </cell>
          <cell r="D226" t="str">
            <v>SOG</v>
          </cell>
          <cell r="E226" t="str">
            <v>EAI</v>
          </cell>
          <cell r="F226" t="str">
            <v>Analyst</v>
          </cell>
          <cell r="G226" t="str">
            <v>Business Rules</v>
          </cell>
          <cell r="H226" t="str">
            <v>Mid-Level</v>
          </cell>
          <cell r="I226" t="str">
            <v xml:space="preserve">5 - 7 </v>
          </cell>
          <cell r="J226" t="str">
            <v>B3 PL1 (5 to 7 yrs)</v>
          </cell>
          <cell r="K226" t="str">
            <v>B3 PL2 (6 to 8 yrs)</v>
          </cell>
          <cell r="L226" t="str">
            <v>None</v>
          </cell>
        </row>
        <row r="227">
          <cell r="B227" t="str">
            <v>SOG_128</v>
          </cell>
          <cell r="C227" t="str">
            <v>SOG_EAI_Analyst_Senior_Business Rules</v>
          </cell>
          <cell r="D227" t="str">
            <v>SOG</v>
          </cell>
          <cell r="E227" t="str">
            <v>EAI</v>
          </cell>
          <cell r="F227" t="str">
            <v>Analyst</v>
          </cell>
          <cell r="G227" t="str">
            <v>Business Rules</v>
          </cell>
          <cell r="H227" t="str">
            <v>Senior</v>
          </cell>
          <cell r="I227" t="str">
            <v>7 - 9</v>
          </cell>
          <cell r="J227" t="str">
            <v>B3 PL2 (6 to 8 yrs)</v>
          </cell>
          <cell r="K227" t="str">
            <v>B3 PL3 (7 to 10 yrs)</v>
          </cell>
          <cell r="L227" t="str">
            <v>None</v>
          </cell>
        </row>
        <row r="228">
          <cell r="B228" t="str">
            <v>SOG_145</v>
          </cell>
          <cell r="C228" t="str">
            <v>SOG_EAI_Architect_Junior_TIBCO</v>
          </cell>
          <cell r="D228" t="str">
            <v>SOG</v>
          </cell>
          <cell r="E228" t="str">
            <v>EAI</v>
          </cell>
          <cell r="F228" t="str">
            <v>Architect</v>
          </cell>
          <cell r="G228" t="str">
            <v>TIBCO</v>
          </cell>
          <cell r="H228" t="str">
            <v>Junior</v>
          </cell>
          <cell r="I228" t="str">
            <v>9 - 12</v>
          </cell>
          <cell r="J228" t="str">
            <v>B4 PM1 (9 to 12 yrs)</v>
          </cell>
          <cell r="K228" t="str">
            <v>None</v>
          </cell>
          <cell r="L228" t="str">
            <v>None</v>
          </cell>
        </row>
        <row r="229">
          <cell r="B229" t="str">
            <v>SOG_146</v>
          </cell>
          <cell r="C229" t="str">
            <v>SOG_EAI_Architect_Mid-Level_TIBCO</v>
          </cell>
          <cell r="D229" t="str">
            <v>SOG</v>
          </cell>
          <cell r="E229" t="str">
            <v>EAI</v>
          </cell>
          <cell r="F229" t="str">
            <v>Architect</v>
          </cell>
          <cell r="G229" t="str">
            <v>TIBCO</v>
          </cell>
          <cell r="H229" t="str">
            <v>Mid-Level</v>
          </cell>
          <cell r="I229" t="str">
            <v xml:space="preserve">12 - 14 </v>
          </cell>
          <cell r="J229" t="str">
            <v>B4 PM2 (10 to 14 yrs)</v>
          </cell>
          <cell r="K229" t="str">
            <v>B4 PM3 (12 to 15 yrs)</v>
          </cell>
          <cell r="L229" t="str">
            <v>None</v>
          </cell>
        </row>
        <row r="230">
          <cell r="B230" t="str">
            <v>SOG_147.</v>
          </cell>
          <cell r="C230" t="str">
            <v>SOG_EAI_Architect_Senior_TIBCO</v>
          </cell>
          <cell r="D230" t="str">
            <v>SOG</v>
          </cell>
          <cell r="E230" t="str">
            <v>EAI</v>
          </cell>
          <cell r="F230" t="str">
            <v>Architect</v>
          </cell>
          <cell r="G230" t="str">
            <v>TIBCO</v>
          </cell>
          <cell r="H230" t="str">
            <v>Senior</v>
          </cell>
          <cell r="I230" t="str">
            <v>14+</v>
          </cell>
          <cell r="J230" t="str">
            <v>B4 PM3 (12 to 15 yrs)</v>
          </cell>
          <cell r="K230" t="str">
            <v>B5 (min 8 yrs)</v>
          </cell>
          <cell r="L230" t="str">
            <v>None</v>
          </cell>
        </row>
        <row r="231">
          <cell r="B231" t="str">
            <v>SOG_47</v>
          </cell>
          <cell r="C231" t="str">
            <v>SOG_EAI_Architect_Junior_</v>
          </cell>
          <cell r="D231" t="str">
            <v>SOG</v>
          </cell>
          <cell r="E231" t="str">
            <v>EAI</v>
          </cell>
          <cell r="F231" t="str">
            <v>Architect</v>
          </cell>
          <cell r="H231" t="str">
            <v>Junior</v>
          </cell>
          <cell r="I231" t="str">
            <v>9 - 12</v>
          </cell>
          <cell r="J231" t="str">
            <v>B4 PM1 (9 to 12 yrs)</v>
          </cell>
          <cell r="K231" t="str">
            <v>None</v>
          </cell>
          <cell r="L231" t="str">
            <v>None</v>
          </cell>
        </row>
        <row r="232">
          <cell r="B232" t="str">
            <v>SOG_138</v>
          </cell>
          <cell r="C232" t="str">
            <v>SOG_EAI_Architect_Mid-Level_</v>
          </cell>
          <cell r="D232" t="str">
            <v>SOG</v>
          </cell>
          <cell r="E232" t="str">
            <v>EAI</v>
          </cell>
          <cell r="F232" t="str">
            <v>Architect</v>
          </cell>
          <cell r="H232" t="str">
            <v>Mid-Level</v>
          </cell>
          <cell r="I232" t="str">
            <v xml:space="preserve">12 - 14 </v>
          </cell>
          <cell r="J232" t="str">
            <v>B4 PM2 (10 to 14 yrs)</v>
          </cell>
          <cell r="K232" t="str">
            <v>B4 PM3 (12 to 15 yrs)</v>
          </cell>
          <cell r="L232" t="str">
            <v>None</v>
          </cell>
        </row>
        <row r="233">
          <cell r="B233" t="str">
            <v>SOG_48</v>
          </cell>
          <cell r="C233" t="str">
            <v>SOG_EAI_Architect_Senior_</v>
          </cell>
          <cell r="D233" t="str">
            <v>SOG</v>
          </cell>
          <cell r="E233" t="str">
            <v>EAI</v>
          </cell>
          <cell r="F233" t="str">
            <v>Architect</v>
          </cell>
          <cell r="H233" t="str">
            <v>Senior</v>
          </cell>
          <cell r="I233" t="str">
            <v>14+</v>
          </cell>
          <cell r="J233" t="str">
            <v>B4 PM3 (12 to 15 yrs)</v>
          </cell>
          <cell r="K233" t="str">
            <v>B5 (min 8 yrs)</v>
          </cell>
          <cell r="L233" t="str">
            <v>None</v>
          </cell>
        </row>
        <row r="234">
          <cell r="B234" t="str">
            <v>SOG_148</v>
          </cell>
          <cell r="C234" t="str">
            <v>SOG_EAI_Architect_Junior_Business Rules</v>
          </cell>
          <cell r="D234" t="str">
            <v>SOG</v>
          </cell>
          <cell r="E234" t="str">
            <v>EAI</v>
          </cell>
          <cell r="F234" t="str">
            <v>Architect</v>
          </cell>
          <cell r="G234" t="str">
            <v>Business Rules</v>
          </cell>
          <cell r="H234" t="str">
            <v>Junior</v>
          </cell>
          <cell r="I234" t="str">
            <v>9 - 12</v>
          </cell>
          <cell r="J234" t="str">
            <v>B4 PM1 (9 to 12 yrs)</v>
          </cell>
          <cell r="K234" t="str">
            <v>None</v>
          </cell>
          <cell r="L234" t="str">
            <v>None</v>
          </cell>
        </row>
        <row r="235">
          <cell r="B235" t="str">
            <v>SOG_149</v>
          </cell>
          <cell r="C235" t="str">
            <v>SOG_EAI_Architect_Mid-Level_Business Rules</v>
          </cell>
          <cell r="D235" t="str">
            <v>SOG</v>
          </cell>
          <cell r="E235" t="str">
            <v>EAI</v>
          </cell>
          <cell r="F235" t="str">
            <v>Architect</v>
          </cell>
          <cell r="G235" t="str">
            <v>Business Rules</v>
          </cell>
          <cell r="H235" t="str">
            <v>Mid-Level</v>
          </cell>
          <cell r="I235" t="str">
            <v xml:space="preserve">12 - 14 </v>
          </cell>
          <cell r="J235" t="str">
            <v>B4 PM2 (10 to 14 yrs)</v>
          </cell>
          <cell r="K235" t="str">
            <v>B4 PM3 (12 to 15 yrs)</v>
          </cell>
          <cell r="L235" t="str">
            <v>None</v>
          </cell>
        </row>
        <row r="236">
          <cell r="B236" t="str">
            <v>SOG_150</v>
          </cell>
          <cell r="C236" t="str">
            <v>SOG_EAI_Architect_Senior_Business Rules</v>
          </cell>
          <cell r="D236" t="str">
            <v>SOG</v>
          </cell>
          <cell r="E236" t="str">
            <v>EAI</v>
          </cell>
          <cell r="F236" t="str">
            <v>Architect</v>
          </cell>
          <cell r="G236" t="str">
            <v>Business Rules</v>
          </cell>
          <cell r="H236" t="str">
            <v>Senior</v>
          </cell>
          <cell r="I236" t="str">
            <v>14+</v>
          </cell>
          <cell r="J236" t="str">
            <v>B4 PM3 (12 to 15 yrs)</v>
          </cell>
          <cell r="K236" t="str">
            <v>B5 (min 8 yrs)</v>
          </cell>
          <cell r="L236" t="str">
            <v>None</v>
          </cell>
        </row>
        <row r="237">
          <cell r="B237" t="str">
            <v>SOG_142</v>
          </cell>
          <cell r="C237" t="str">
            <v>SOG_EAI_Architect_Junior_Process</v>
          </cell>
          <cell r="D237" t="str">
            <v>SOG</v>
          </cell>
          <cell r="E237" t="str">
            <v>EAI</v>
          </cell>
          <cell r="F237" t="str">
            <v>Architect</v>
          </cell>
          <cell r="G237" t="str">
            <v>Process</v>
          </cell>
          <cell r="H237" t="str">
            <v>Junior</v>
          </cell>
          <cell r="I237" t="str">
            <v>9 - 12</v>
          </cell>
          <cell r="J237" t="str">
            <v>B4 PM1 (9 to 12 yrs)</v>
          </cell>
          <cell r="K237" t="str">
            <v>None</v>
          </cell>
          <cell r="L237" t="str">
            <v>None</v>
          </cell>
        </row>
        <row r="238">
          <cell r="B238" t="str">
            <v>SOG_143</v>
          </cell>
          <cell r="C238" t="str">
            <v>SOG_EAI_Architect_Mid-Level_Process</v>
          </cell>
          <cell r="D238" t="str">
            <v>SOG</v>
          </cell>
          <cell r="E238" t="str">
            <v>EAI</v>
          </cell>
          <cell r="F238" t="str">
            <v>Architect</v>
          </cell>
          <cell r="G238" t="str">
            <v>Process</v>
          </cell>
          <cell r="H238" t="str">
            <v>Mid-Level</v>
          </cell>
          <cell r="I238" t="str">
            <v xml:space="preserve">12 - 14 </v>
          </cell>
          <cell r="J238" t="str">
            <v>B4 PM2 (10 to 14 yrs)</v>
          </cell>
          <cell r="K238" t="str">
            <v>B4 PM3 (12 to 15 yrs)</v>
          </cell>
          <cell r="L238" t="str">
            <v>None</v>
          </cell>
        </row>
        <row r="239">
          <cell r="B239" t="str">
            <v>SOG_144</v>
          </cell>
          <cell r="C239" t="str">
            <v>SOG_EAI_Architect_Senior_Process</v>
          </cell>
          <cell r="D239" t="str">
            <v>SOG</v>
          </cell>
          <cell r="E239" t="str">
            <v>EAI</v>
          </cell>
          <cell r="F239" t="str">
            <v>Architect</v>
          </cell>
          <cell r="G239" t="str">
            <v>Process</v>
          </cell>
          <cell r="H239" t="str">
            <v>Senior</v>
          </cell>
          <cell r="I239" t="str">
            <v>14+</v>
          </cell>
          <cell r="J239" t="str">
            <v>B4 PM3 (12 to 15 yrs)</v>
          </cell>
          <cell r="K239" t="str">
            <v>B5 (min 8 yrs)</v>
          </cell>
          <cell r="L239" t="str">
            <v>None</v>
          </cell>
        </row>
        <row r="240">
          <cell r="B240" t="str">
            <v>SOG_132</v>
          </cell>
          <cell r="C240" t="str">
            <v>SOG_EAI_Configurator_Junior_Mercator/MQ</v>
          </cell>
          <cell r="D240" t="str">
            <v>SOG</v>
          </cell>
          <cell r="E240" t="str">
            <v>EAI</v>
          </cell>
          <cell r="F240" t="str">
            <v>Configurator</v>
          </cell>
          <cell r="G240" t="str">
            <v>Mercator/MQ</v>
          </cell>
          <cell r="H240" t="str">
            <v>Junior</v>
          </cell>
          <cell r="I240" t="str">
            <v xml:space="preserve">3 - 5 </v>
          </cell>
          <cell r="J240" t="str">
            <v>B2 AP3 (3 to 5 yrs)</v>
          </cell>
          <cell r="K240" t="str">
            <v>None</v>
          </cell>
          <cell r="L240" t="str">
            <v>None</v>
          </cell>
        </row>
        <row r="241">
          <cell r="B241" t="str">
            <v>SOG_52</v>
          </cell>
          <cell r="C241" t="str">
            <v>SOG_EAI_Configurator_Mid-Level_Mercator/MQ</v>
          </cell>
          <cell r="D241" t="str">
            <v>SOG</v>
          </cell>
          <cell r="E241" t="str">
            <v>EAI</v>
          </cell>
          <cell r="F241" t="str">
            <v>Configurator</v>
          </cell>
          <cell r="G241" t="str">
            <v>Mercator/MQ</v>
          </cell>
          <cell r="H241" t="str">
            <v>Mid-Level</v>
          </cell>
          <cell r="I241" t="str">
            <v xml:space="preserve">5 - 7 </v>
          </cell>
          <cell r="J241" t="str">
            <v>B3 PL1 (5 to 7 yrs)</v>
          </cell>
          <cell r="K241" t="str">
            <v>B3 PL2 (6 to 8 yrs)</v>
          </cell>
          <cell r="L241" t="str">
            <v>None</v>
          </cell>
        </row>
        <row r="242">
          <cell r="B242" t="str">
            <v>SOG_53</v>
          </cell>
          <cell r="C242" t="str">
            <v>SOG_EAI_Configurator_Senior_Mercator/MQ</v>
          </cell>
          <cell r="D242" t="str">
            <v>SOG</v>
          </cell>
          <cell r="E242" t="str">
            <v>EAI</v>
          </cell>
          <cell r="F242" t="str">
            <v>Configurator</v>
          </cell>
          <cell r="G242" t="str">
            <v>Mercator/MQ</v>
          </cell>
          <cell r="H242" t="str">
            <v>Senior</v>
          </cell>
          <cell r="I242" t="str">
            <v>7 - 9</v>
          </cell>
          <cell r="J242" t="str">
            <v>B3 PL2 (6 to 8 yrs)</v>
          </cell>
          <cell r="K242" t="str">
            <v>B3 PL3 (7 to 10 yrs)</v>
          </cell>
          <cell r="L242" t="str">
            <v>None</v>
          </cell>
        </row>
        <row r="243">
          <cell r="B243" t="str">
            <v>SOG_139</v>
          </cell>
          <cell r="C243" t="str">
            <v>SOG_EAI_Consultant_Junior_TIBCO</v>
          </cell>
          <cell r="D243" t="str">
            <v>SOG</v>
          </cell>
          <cell r="E243" t="str">
            <v>EAI</v>
          </cell>
          <cell r="F243" t="str">
            <v>Consultant</v>
          </cell>
          <cell r="G243" t="str">
            <v>TIBCO</v>
          </cell>
          <cell r="H243" t="str">
            <v>Junior</v>
          </cell>
          <cell r="I243" t="str">
            <v>9 - 12</v>
          </cell>
          <cell r="J243" t="str">
            <v>B4 PM1 (9 to 12 yrs)</v>
          </cell>
          <cell r="K243" t="str">
            <v>None</v>
          </cell>
          <cell r="L243" t="str">
            <v>None</v>
          </cell>
        </row>
        <row r="244">
          <cell r="B244" t="str">
            <v>SOG_140</v>
          </cell>
          <cell r="C244" t="str">
            <v>SOG_EAI_Consultant_Mid-Level_TIBCO</v>
          </cell>
          <cell r="D244" t="str">
            <v>SOG</v>
          </cell>
          <cell r="E244" t="str">
            <v>EAI</v>
          </cell>
          <cell r="F244" t="str">
            <v>Consultant</v>
          </cell>
          <cell r="G244" t="str">
            <v>TIBCO</v>
          </cell>
          <cell r="H244" t="str">
            <v>Mid-Level</v>
          </cell>
          <cell r="I244" t="str">
            <v xml:space="preserve">12 - 14 </v>
          </cell>
          <cell r="J244" t="str">
            <v>B4 PM2 (10 to 14 yrs)</v>
          </cell>
          <cell r="K244" t="str">
            <v>B4 PM3 (12 to 15 yrs)</v>
          </cell>
          <cell r="L244" t="str">
            <v>None</v>
          </cell>
        </row>
        <row r="245">
          <cell r="B245" t="str">
            <v>SOG_141</v>
          </cell>
          <cell r="C245" t="str">
            <v>SOG_EAI_Consultant_Senior_TIBCO</v>
          </cell>
          <cell r="D245" t="str">
            <v>SOG</v>
          </cell>
          <cell r="E245" t="str">
            <v>EAI</v>
          </cell>
          <cell r="F245" t="str">
            <v>Consultant</v>
          </cell>
          <cell r="G245" t="str">
            <v>TIBCO</v>
          </cell>
          <cell r="H245" t="str">
            <v>Senior</v>
          </cell>
          <cell r="I245" t="str">
            <v>14+</v>
          </cell>
          <cell r="J245" t="str">
            <v>B4 PM3 (12 to 15 yrs)</v>
          </cell>
          <cell r="K245" t="str">
            <v>B5 (min 8 yrs)</v>
          </cell>
          <cell r="L245" t="str">
            <v>None</v>
          </cell>
        </row>
        <row r="246">
          <cell r="B246" t="str">
            <v>SOG_55</v>
          </cell>
          <cell r="C246" t="str">
            <v>SOG_EAI_Delivery Manager__EIS</v>
          </cell>
          <cell r="D246" t="str">
            <v>SOG</v>
          </cell>
          <cell r="E246" t="str">
            <v>EAI</v>
          </cell>
          <cell r="F246" t="str">
            <v>Delivery Manager</v>
          </cell>
          <cell r="G246" t="str">
            <v>EIS</v>
          </cell>
          <cell r="I246" t="str">
            <v>14+</v>
          </cell>
          <cell r="J246" t="str">
            <v>B5 (min 8 yrs)</v>
          </cell>
          <cell r="K246" t="str">
            <v>None</v>
          </cell>
          <cell r="L246" t="str">
            <v>None</v>
          </cell>
        </row>
        <row r="247">
          <cell r="B247" t="str">
            <v>SOG_57</v>
          </cell>
          <cell r="C247" t="str">
            <v xml:space="preserve">SOG_EAI_Developer_Junior_IBM WebSphere Process Server </v>
          </cell>
          <cell r="D247" t="str">
            <v>SOG</v>
          </cell>
          <cell r="E247" t="str">
            <v>EAI</v>
          </cell>
          <cell r="F247" t="str">
            <v>Developer</v>
          </cell>
          <cell r="G247" t="str">
            <v xml:space="preserve">IBM WebSphere Process Server </v>
          </cell>
          <cell r="H247" t="str">
            <v>Junior</v>
          </cell>
          <cell r="I247" t="str">
            <v xml:space="preserve">0 - 3 </v>
          </cell>
          <cell r="J247" t="str">
            <v>B2 AP1</v>
          </cell>
          <cell r="K247" t="str">
            <v>B2 AP2 (0.6 to 3 yrs)</v>
          </cell>
          <cell r="L247" t="str">
            <v>None</v>
          </cell>
        </row>
        <row r="248">
          <cell r="B248" t="str">
            <v>SOG_123</v>
          </cell>
          <cell r="C248" t="str">
            <v xml:space="preserve">SOG_EAI_Developer_Mid-Level_IBM WebSphere Process Server </v>
          </cell>
          <cell r="D248" t="str">
            <v>SOG</v>
          </cell>
          <cell r="E248" t="str">
            <v>EAI</v>
          </cell>
          <cell r="F248" t="str">
            <v>Developer</v>
          </cell>
          <cell r="G248" t="str">
            <v xml:space="preserve">IBM WebSphere Process Server </v>
          </cell>
          <cell r="H248" t="str">
            <v>Mid-Level</v>
          </cell>
          <cell r="I248" t="str">
            <v xml:space="preserve">3 - 5 </v>
          </cell>
          <cell r="J248" t="str">
            <v>B2 AP2 (0.6 to 3 yrs)</v>
          </cell>
          <cell r="K248" t="str">
            <v>B2 AP3 (3 to 5 yrs)</v>
          </cell>
          <cell r="L248" t="str">
            <v>None</v>
          </cell>
        </row>
        <row r="249">
          <cell r="B249" t="str">
            <v>SOG_58</v>
          </cell>
          <cell r="C249" t="str">
            <v xml:space="preserve">SOG_EAI_Developer_Senior_IBM WebSphere Process Server </v>
          </cell>
          <cell r="D249" t="str">
            <v>SOG</v>
          </cell>
          <cell r="E249" t="str">
            <v>EAI</v>
          </cell>
          <cell r="F249" t="str">
            <v>Developer</v>
          </cell>
          <cell r="G249" t="str">
            <v xml:space="preserve">IBM WebSphere Process Server </v>
          </cell>
          <cell r="H249" t="str">
            <v>Senior</v>
          </cell>
          <cell r="I249" t="str">
            <v xml:space="preserve">5 - 7 </v>
          </cell>
          <cell r="J249" t="str">
            <v>B2 AP3 (3 to 5 yrs)</v>
          </cell>
          <cell r="K249" t="str">
            <v>B3 PL1 (5 to 7 yrs)</v>
          </cell>
          <cell r="L249" t="str">
            <v>None</v>
          </cell>
        </row>
        <row r="250">
          <cell r="B250" t="str">
            <v>SOG_59</v>
          </cell>
          <cell r="C250" t="str">
            <v xml:space="preserve">SOG_EAI_Developer_Junior_IBM WebSphere Message Broker </v>
          </cell>
          <cell r="D250" t="str">
            <v>SOG</v>
          </cell>
          <cell r="E250" t="str">
            <v>EAI</v>
          </cell>
          <cell r="F250" t="str">
            <v>Developer</v>
          </cell>
          <cell r="G250" t="str">
            <v xml:space="preserve">IBM WebSphere Message Broker </v>
          </cell>
          <cell r="H250" t="str">
            <v>Junior</v>
          </cell>
          <cell r="I250" t="str">
            <v xml:space="preserve">0 - 3 </v>
          </cell>
          <cell r="J250" t="str">
            <v>B2 AP1</v>
          </cell>
          <cell r="K250" t="str">
            <v>B2 AP2 (0.6 to 3 yrs)</v>
          </cell>
          <cell r="L250" t="str">
            <v>None</v>
          </cell>
        </row>
        <row r="251">
          <cell r="B251" t="str">
            <v>SOG_124</v>
          </cell>
          <cell r="C251" t="str">
            <v xml:space="preserve">SOG_EAI_Developer_Mid-Level_IBM WebSphere Message Broker </v>
          </cell>
          <cell r="D251" t="str">
            <v>SOG</v>
          </cell>
          <cell r="E251" t="str">
            <v>EAI</v>
          </cell>
          <cell r="F251" t="str">
            <v>Developer</v>
          </cell>
          <cell r="G251" t="str">
            <v xml:space="preserve">IBM WebSphere Message Broker </v>
          </cell>
          <cell r="H251" t="str">
            <v>Mid-Level</v>
          </cell>
          <cell r="I251" t="str">
            <v xml:space="preserve">3 - 5 </v>
          </cell>
          <cell r="J251" t="str">
            <v>B2 AP2 (0.6 to 3 yrs)</v>
          </cell>
          <cell r="K251" t="str">
            <v>B2 AP3 (3 to 5 yrs)</v>
          </cell>
          <cell r="L251" t="str">
            <v>None</v>
          </cell>
        </row>
        <row r="252">
          <cell r="B252" t="str">
            <v>SOG_60</v>
          </cell>
          <cell r="C252" t="str">
            <v xml:space="preserve">SOG_EAI_Developer_Senior_IBM WebSphere Message Broker </v>
          </cell>
          <cell r="D252" t="str">
            <v>SOG</v>
          </cell>
          <cell r="E252" t="str">
            <v>EAI</v>
          </cell>
          <cell r="F252" t="str">
            <v>Developer</v>
          </cell>
          <cell r="G252" t="str">
            <v xml:space="preserve">IBM WebSphere Message Broker </v>
          </cell>
          <cell r="H252" t="str">
            <v>Senior</v>
          </cell>
          <cell r="I252" t="str">
            <v xml:space="preserve">5 - 7 </v>
          </cell>
          <cell r="J252" t="str">
            <v>B2 AP3 (3 to 5 yrs)</v>
          </cell>
          <cell r="K252" t="str">
            <v>B3 PL1 (5 to 7 yrs)</v>
          </cell>
          <cell r="L252" t="str">
            <v>None</v>
          </cell>
        </row>
        <row r="253">
          <cell r="B253" t="str">
            <v>SOG_61</v>
          </cell>
          <cell r="C253" t="str">
            <v>SOG_EAI_Developer_Junior_Tibco</v>
          </cell>
          <cell r="D253" t="str">
            <v>SOG</v>
          </cell>
          <cell r="E253" t="str">
            <v>EAI</v>
          </cell>
          <cell r="F253" t="str">
            <v>Developer</v>
          </cell>
          <cell r="G253" t="str">
            <v>Tibco</v>
          </cell>
          <cell r="H253" t="str">
            <v>Junior</v>
          </cell>
          <cell r="I253" t="str">
            <v xml:space="preserve">0 - 3 </v>
          </cell>
          <cell r="J253" t="str">
            <v>B2 AP1</v>
          </cell>
          <cell r="K253" t="str">
            <v>B2 AP2 (0.6 to 3 yrs)</v>
          </cell>
          <cell r="L253" t="str">
            <v>None</v>
          </cell>
        </row>
        <row r="254">
          <cell r="B254" t="str">
            <v>SOG_62</v>
          </cell>
          <cell r="C254" t="str">
            <v>SOG_EAI_Developer_Mid-Level_Tibco</v>
          </cell>
          <cell r="D254" t="str">
            <v>SOG</v>
          </cell>
          <cell r="E254" t="str">
            <v>EAI</v>
          </cell>
          <cell r="F254" t="str">
            <v>Developer</v>
          </cell>
          <cell r="G254" t="str">
            <v>Tibco</v>
          </cell>
          <cell r="H254" t="str">
            <v>Mid-Level</v>
          </cell>
          <cell r="I254" t="str">
            <v xml:space="preserve">3 - 5 </v>
          </cell>
          <cell r="J254" t="str">
            <v>B2 AP2 (0.6 to 3 yrs)</v>
          </cell>
          <cell r="K254" t="str">
            <v>B2 AP3 (3 to 5 yrs)</v>
          </cell>
          <cell r="L254" t="str">
            <v>None</v>
          </cell>
        </row>
        <row r="255">
          <cell r="B255" t="str">
            <v>SOG_63</v>
          </cell>
          <cell r="C255" t="str">
            <v>SOG_EAI_Developer_Senior_Tibco</v>
          </cell>
          <cell r="D255" t="str">
            <v>SOG</v>
          </cell>
          <cell r="E255" t="str">
            <v>EAI</v>
          </cell>
          <cell r="F255" t="str">
            <v>Developer</v>
          </cell>
          <cell r="G255" t="str">
            <v>Tibco</v>
          </cell>
          <cell r="H255" t="str">
            <v>Senior</v>
          </cell>
          <cell r="I255" t="str">
            <v xml:space="preserve">5 - 7 </v>
          </cell>
          <cell r="J255" t="str">
            <v>B2 AP3 (3 to 5 yrs)</v>
          </cell>
          <cell r="K255" t="str">
            <v>B3 PL1 (5 to 7 yrs)</v>
          </cell>
          <cell r="L255" t="str">
            <v>None</v>
          </cell>
        </row>
        <row r="256">
          <cell r="B256" t="str">
            <v>SOG_64</v>
          </cell>
          <cell r="C256" t="str">
            <v xml:space="preserve">SOG_EAI_Developer_Junior_Web Application Integration - Middleware Infrastructure </v>
          </cell>
          <cell r="D256" t="str">
            <v>SOG</v>
          </cell>
          <cell r="E256" t="str">
            <v>EAI</v>
          </cell>
          <cell r="F256" t="str">
            <v>Developer</v>
          </cell>
          <cell r="G256" t="str">
            <v xml:space="preserve">Web Application Integration - Middleware Infrastructure </v>
          </cell>
          <cell r="H256" t="str">
            <v>Junior</v>
          </cell>
          <cell r="I256" t="str">
            <v xml:space="preserve">0 - 3 </v>
          </cell>
          <cell r="J256" t="str">
            <v>B2 AP1</v>
          </cell>
          <cell r="K256" t="str">
            <v>B2 AP2 (0.6 to 3 yrs)</v>
          </cell>
          <cell r="L256" t="str">
            <v>None</v>
          </cell>
        </row>
        <row r="257">
          <cell r="B257" t="str">
            <v>SOG_65</v>
          </cell>
          <cell r="C257" t="str">
            <v xml:space="preserve">SOG_EAI_Developer_Mid-Level_Web Application Integration - Middleware Infrastructure </v>
          </cell>
          <cell r="D257" t="str">
            <v>SOG</v>
          </cell>
          <cell r="E257" t="str">
            <v>EAI</v>
          </cell>
          <cell r="F257" t="str">
            <v>Developer</v>
          </cell>
          <cell r="G257" t="str">
            <v xml:space="preserve">Web Application Integration - Middleware Infrastructure </v>
          </cell>
          <cell r="H257" t="str">
            <v>Mid-Level</v>
          </cell>
          <cell r="I257" t="str">
            <v xml:space="preserve">3 - 5 </v>
          </cell>
          <cell r="J257" t="str">
            <v>B2 AP2 (0.6 to 3 yrs)</v>
          </cell>
          <cell r="K257" t="str">
            <v>B2 AP3 (3 to 5 yrs)</v>
          </cell>
          <cell r="L257" t="str">
            <v>None</v>
          </cell>
        </row>
        <row r="258">
          <cell r="B258" t="str">
            <v>SOG_66</v>
          </cell>
          <cell r="C258" t="str">
            <v xml:space="preserve">SOG_EAI_Developer_Senior_Web Application Integration - Middleware Infrastructure </v>
          </cell>
          <cell r="D258" t="str">
            <v>SOG</v>
          </cell>
          <cell r="E258" t="str">
            <v>EAI</v>
          </cell>
          <cell r="F258" t="str">
            <v>Developer</v>
          </cell>
          <cell r="G258" t="str">
            <v xml:space="preserve">Web Application Integration - Middleware Infrastructure </v>
          </cell>
          <cell r="H258" t="str">
            <v>Senior</v>
          </cell>
          <cell r="I258" t="str">
            <v xml:space="preserve">5 - 7 </v>
          </cell>
          <cell r="J258" t="str">
            <v>B2 AP3 (3 to 5 yrs)</v>
          </cell>
          <cell r="K258" t="str">
            <v>B3 PL1 (5 to 7 yrs)</v>
          </cell>
          <cell r="L258" t="str">
            <v>None</v>
          </cell>
        </row>
        <row r="259">
          <cell r="B259" t="str">
            <v>SOG_67</v>
          </cell>
          <cell r="C259" t="str">
            <v>SOG_EAI_Developer_Junior_WebMethods</v>
          </cell>
          <cell r="D259" t="str">
            <v>SOG</v>
          </cell>
          <cell r="E259" t="str">
            <v>EAI</v>
          </cell>
          <cell r="F259" t="str">
            <v>Developer</v>
          </cell>
          <cell r="G259" t="str">
            <v>WebMethods</v>
          </cell>
          <cell r="H259" t="str">
            <v>Junior</v>
          </cell>
          <cell r="I259" t="str">
            <v xml:space="preserve">0 - 3 </v>
          </cell>
          <cell r="J259" t="str">
            <v>B2 AP1</v>
          </cell>
          <cell r="K259" t="str">
            <v>B2 AP2 (0.6 to 3 yrs)</v>
          </cell>
          <cell r="L259" t="str">
            <v>None</v>
          </cell>
        </row>
        <row r="260">
          <cell r="B260" t="str">
            <v>SOG_68</v>
          </cell>
          <cell r="C260" t="str">
            <v>SOG_EAI_Developer_Mid-Level_WebMethods</v>
          </cell>
          <cell r="D260" t="str">
            <v>SOG</v>
          </cell>
          <cell r="E260" t="str">
            <v>EAI</v>
          </cell>
          <cell r="F260" t="str">
            <v>Developer</v>
          </cell>
          <cell r="G260" t="str">
            <v>WebMethods</v>
          </cell>
          <cell r="H260" t="str">
            <v>Mid-Level</v>
          </cell>
          <cell r="I260" t="str">
            <v xml:space="preserve">3 - 5 </v>
          </cell>
          <cell r="J260" t="str">
            <v>B2 AP2 (0.6 to 3 yrs)</v>
          </cell>
          <cell r="K260" t="str">
            <v>B2 AP3 (3 to 5 yrs)</v>
          </cell>
          <cell r="L260" t="str">
            <v>None</v>
          </cell>
        </row>
        <row r="261">
          <cell r="B261" t="str">
            <v>SOG_69</v>
          </cell>
          <cell r="C261" t="str">
            <v>SOG_EAI_Developer_Senior_WebMethods</v>
          </cell>
          <cell r="D261" t="str">
            <v>SOG</v>
          </cell>
          <cell r="E261" t="str">
            <v>EAI</v>
          </cell>
          <cell r="F261" t="str">
            <v>Developer</v>
          </cell>
          <cell r="G261" t="str">
            <v>WebMethods</v>
          </cell>
          <cell r="H261" t="str">
            <v>Senior</v>
          </cell>
          <cell r="I261" t="str">
            <v xml:space="preserve">5 - 7 </v>
          </cell>
          <cell r="J261" t="str">
            <v>B2 AP3 (3 to 5 yrs)</v>
          </cell>
          <cell r="K261" t="str">
            <v>B3 PL1 (5 to 7 yrs)</v>
          </cell>
          <cell r="L261" t="str">
            <v>None</v>
          </cell>
        </row>
        <row r="262">
          <cell r="B262" t="str">
            <v>SOG_72</v>
          </cell>
          <cell r="C262" t="str">
            <v>SOG_EAI_Developer_Junior_Business Rules</v>
          </cell>
          <cell r="D262" t="str">
            <v>SOG</v>
          </cell>
          <cell r="E262" t="str">
            <v>EAI</v>
          </cell>
          <cell r="F262" t="str">
            <v>Developer</v>
          </cell>
          <cell r="G262" t="str">
            <v>Business Rules</v>
          </cell>
          <cell r="H262" t="str">
            <v>Junior</v>
          </cell>
          <cell r="I262" t="str">
            <v xml:space="preserve">0 - 3 </v>
          </cell>
          <cell r="J262" t="str">
            <v>B2 AP1</v>
          </cell>
          <cell r="K262" t="str">
            <v>B2 AP2 (0.6 to 3 yrs)</v>
          </cell>
          <cell r="L262" t="str">
            <v>None</v>
          </cell>
        </row>
        <row r="263">
          <cell r="B263" t="str">
            <v>SOG_125</v>
          </cell>
          <cell r="C263" t="str">
            <v>SOG_EAI_Developer_Mid-Level_Business Rules</v>
          </cell>
          <cell r="D263" t="str">
            <v>SOG</v>
          </cell>
          <cell r="E263" t="str">
            <v>EAI</v>
          </cell>
          <cell r="F263" t="str">
            <v>Developer</v>
          </cell>
          <cell r="G263" t="str">
            <v>Business Rules</v>
          </cell>
          <cell r="H263" t="str">
            <v>Mid-Level</v>
          </cell>
          <cell r="I263" t="str">
            <v xml:space="preserve">3 - 5 </v>
          </cell>
          <cell r="J263" t="str">
            <v>B2 AP2 (0.6 to 3 yrs)</v>
          </cell>
          <cell r="K263" t="str">
            <v>B2 AP3 (3 to 5 yrs)</v>
          </cell>
          <cell r="L263" t="str">
            <v>None</v>
          </cell>
        </row>
        <row r="264">
          <cell r="B264" t="str">
            <v>SOG_73</v>
          </cell>
          <cell r="C264" t="str">
            <v>SOG_EAI_Developer_Senior_Business Rules</v>
          </cell>
          <cell r="D264" t="str">
            <v>SOG</v>
          </cell>
          <cell r="E264" t="str">
            <v>EAI</v>
          </cell>
          <cell r="F264" t="str">
            <v>Developer</v>
          </cell>
          <cell r="G264" t="str">
            <v>Business Rules</v>
          </cell>
          <cell r="H264" t="str">
            <v>Senior</v>
          </cell>
          <cell r="I264" t="str">
            <v xml:space="preserve">5 - 7 </v>
          </cell>
          <cell r="J264" t="str">
            <v>B2 AP3 (3 to 5 yrs)</v>
          </cell>
          <cell r="K264" t="str">
            <v>B3 PL1 (5 to 7 yrs)</v>
          </cell>
          <cell r="L264" t="str">
            <v>None</v>
          </cell>
        </row>
        <row r="265">
          <cell r="B265" t="str">
            <v>SOG_74</v>
          </cell>
          <cell r="C265" t="str">
            <v>SOG_EAI_Modeler__Business Rules</v>
          </cell>
          <cell r="D265" t="str">
            <v>SOG</v>
          </cell>
          <cell r="E265" t="str">
            <v>EAI</v>
          </cell>
          <cell r="F265" t="str">
            <v>Modeler</v>
          </cell>
          <cell r="G265" t="str">
            <v>Business Rules</v>
          </cell>
          <cell r="I265" t="str">
            <v>7 - 9</v>
          </cell>
          <cell r="J265" t="str">
            <v>B3 PL2 (6 to 8 yrs)</v>
          </cell>
          <cell r="K265" t="str">
            <v>B3 PL3 (7 to 10 yrs)</v>
          </cell>
          <cell r="L265" t="str">
            <v>None</v>
          </cell>
        </row>
        <row r="266">
          <cell r="B266" t="str">
            <v>SOG_75</v>
          </cell>
          <cell r="C266" t="str">
            <v>SOG_EAI_Process Lead / Modeler__</v>
          </cell>
          <cell r="D266" t="str">
            <v>SOG</v>
          </cell>
          <cell r="E266" t="str">
            <v>EAI</v>
          </cell>
          <cell r="F266" t="str">
            <v>Process Lead / Modeler</v>
          </cell>
          <cell r="I266" t="str">
            <v>7 - 10</v>
          </cell>
          <cell r="J266" t="str">
            <v>B3 PL2 (6 to 8 yrs)</v>
          </cell>
          <cell r="K266" t="str">
            <v>B3 PL3 (7 to 10 yrs)</v>
          </cell>
          <cell r="L266" t="str">
            <v>None</v>
          </cell>
        </row>
        <row r="267">
          <cell r="B267" t="str">
            <v>SOG_76</v>
          </cell>
          <cell r="C267" t="str">
            <v>SOG_EAI_Program Manager__EIS</v>
          </cell>
          <cell r="D267" t="str">
            <v>SOG</v>
          </cell>
          <cell r="E267" t="str">
            <v>EAI</v>
          </cell>
          <cell r="F267" t="str">
            <v>Program Manager</v>
          </cell>
          <cell r="G267" t="str">
            <v>EIS</v>
          </cell>
          <cell r="I267" t="str">
            <v>14+</v>
          </cell>
          <cell r="J267" t="str">
            <v>B5 (min 8 yrs)</v>
          </cell>
          <cell r="K267" t="str">
            <v>None</v>
          </cell>
          <cell r="L267" t="str">
            <v>None</v>
          </cell>
        </row>
        <row r="268">
          <cell r="B268" t="str">
            <v>SOG_77</v>
          </cell>
          <cell r="C268" t="str">
            <v>SOG_EAI_Project Manager_Junior_</v>
          </cell>
          <cell r="D268" t="str">
            <v>SOG</v>
          </cell>
          <cell r="E268" t="str">
            <v>EAI</v>
          </cell>
          <cell r="F268" t="str">
            <v>Project Manager</v>
          </cell>
          <cell r="H268" t="str">
            <v>Junior</v>
          </cell>
          <cell r="I268" t="str">
            <v xml:space="preserve">8 - 10 </v>
          </cell>
          <cell r="J268" t="str">
            <v>B3 PL3 (7 to 10 yrs)</v>
          </cell>
          <cell r="K268" t="str">
            <v>B4 PM1 (9 to 12 yrs)</v>
          </cell>
          <cell r="L268" t="str">
            <v>None</v>
          </cell>
        </row>
        <row r="269">
          <cell r="B269" t="str">
            <v>SOG_78</v>
          </cell>
          <cell r="C269" t="str">
            <v>SOG_EAI_Project Manager_Mid-Level_</v>
          </cell>
          <cell r="D269" t="str">
            <v>SOG</v>
          </cell>
          <cell r="E269" t="str">
            <v>EAI</v>
          </cell>
          <cell r="F269" t="str">
            <v>Project Manager</v>
          </cell>
          <cell r="H269" t="str">
            <v>Mid-Level</v>
          </cell>
          <cell r="I269" t="str">
            <v>10 - 12</v>
          </cell>
          <cell r="J269" t="str">
            <v>B4 PM1 (9 to 12 yrs)</v>
          </cell>
          <cell r="K269" t="str">
            <v>B4 PM2 (10 to 14 yrs)</v>
          </cell>
          <cell r="L269" t="str">
            <v>None</v>
          </cell>
        </row>
        <row r="270">
          <cell r="B270" t="str">
            <v>SOG_79</v>
          </cell>
          <cell r="C270" t="str">
            <v>SOG_EAI_Project Manager_Senior_</v>
          </cell>
          <cell r="D270" t="str">
            <v>SOG</v>
          </cell>
          <cell r="E270" t="str">
            <v>EAI</v>
          </cell>
          <cell r="F270" t="str">
            <v>Project Manager</v>
          </cell>
          <cell r="H270" t="str">
            <v>Senior</v>
          </cell>
          <cell r="I270" t="str">
            <v>12 - 14</v>
          </cell>
          <cell r="J270" t="str">
            <v>B4 PM2 (10 to 14 yrs)</v>
          </cell>
          <cell r="K270" t="str">
            <v>B4 PM3 (12 to 15 yrs)</v>
          </cell>
          <cell r="L270" t="str">
            <v>None</v>
          </cell>
        </row>
        <row r="271">
          <cell r="B271" t="str">
            <v>SOG_151</v>
          </cell>
          <cell r="C271" t="str">
            <v>SOG_EAI_Technical Lead_Junior_</v>
          </cell>
          <cell r="D271" t="str">
            <v>SOG</v>
          </cell>
          <cell r="E271" t="str">
            <v>EAI</v>
          </cell>
          <cell r="F271" t="str">
            <v>Technical Lead</v>
          </cell>
          <cell r="H271" t="str">
            <v>Junior</v>
          </cell>
          <cell r="I271" t="str">
            <v>5 - 8</v>
          </cell>
          <cell r="J271" t="str">
            <v>B3 PL1 (5 to 7 yrs)</v>
          </cell>
          <cell r="K271" t="str">
            <v>B3 PL2 (6 to 8 yrs)</v>
          </cell>
          <cell r="L271" t="str">
            <v>None</v>
          </cell>
        </row>
        <row r="272">
          <cell r="B272" t="str">
            <v>SOG_152</v>
          </cell>
          <cell r="C272" t="str">
            <v>SOG_EAI_Technical Lead_Senior_</v>
          </cell>
          <cell r="D272" t="str">
            <v>SOG</v>
          </cell>
          <cell r="E272" t="str">
            <v>EAI</v>
          </cell>
          <cell r="F272" t="str">
            <v>Technical Lead</v>
          </cell>
          <cell r="H272" t="str">
            <v>Senior</v>
          </cell>
          <cell r="I272" t="str">
            <v>7 - 10</v>
          </cell>
          <cell r="J272" t="str">
            <v>B3 PL3 (7 to 10 yrs)</v>
          </cell>
          <cell r="K272" t="str">
            <v>None</v>
          </cell>
          <cell r="L272" t="str">
            <v>None</v>
          </cell>
        </row>
        <row r="273">
          <cell r="B273" t="str">
            <v>SOG_82</v>
          </cell>
          <cell r="C273" t="str">
            <v>SOG_EDI_Developer_Junior_</v>
          </cell>
          <cell r="D273" t="str">
            <v>SOG</v>
          </cell>
          <cell r="E273" t="str">
            <v>EDI</v>
          </cell>
          <cell r="F273" t="str">
            <v>Developer</v>
          </cell>
          <cell r="H273" t="str">
            <v>Junior</v>
          </cell>
          <cell r="I273" t="str">
            <v xml:space="preserve">0 - 3 </v>
          </cell>
          <cell r="J273" t="str">
            <v>B2 AP1</v>
          </cell>
          <cell r="K273" t="str">
            <v>B2 AP2 (0.6 to 3 yrs)</v>
          </cell>
          <cell r="L273" t="str">
            <v>None</v>
          </cell>
        </row>
        <row r="274">
          <cell r="B274" t="str">
            <v>SOG_83</v>
          </cell>
          <cell r="C274" t="str">
            <v>SOG_EDI_Developer_Mid-Level_</v>
          </cell>
          <cell r="D274" t="str">
            <v>SOG</v>
          </cell>
          <cell r="E274" t="str">
            <v>EDI</v>
          </cell>
          <cell r="F274" t="str">
            <v>Developer</v>
          </cell>
          <cell r="H274" t="str">
            <v>Mid-Level</v>
          </cell>
          <cell r="I274" t="str">
            <v xml:space="preserve">3 - 5 </v>
          </cell>
          <cell r="J274" t="str">
            <v>B2 AP2 (0.6 to 3 yrs)</v>
          </cell>
          <cell r="K274" t="str">
            <v>B2 AP3 (3 to 5 yrs)</v>
          </cell>
          <cell r="L274" t="str">
            <v>None</v>
          </cell>
        </row>
        <row r="275">
          <cell r="B275" t="str">
            <v>SOG_84</v>
          </cell>
          <cell r="C275" t="str">
            <v>SOG_EDI_Developer_Senior_</v>
          </cell>
          <cell r="D275" t="str">
            <v>SOG</v>
          </cell>
          <cell r="E275" t="str">
            <v>EDI</v>
          </cell>
          <cell r="F275" t="str">
            <v>Developer</v>
          </cell>
          <cell r="H275" t="str">
            <v>Senior</v>
          </cell>
          <cell r="I275" t="str">
            <v xml:space="preserve">5 - 7 </v>
          </cell>
          <cell r="J275" t="str">
            <v>B2 AP3 (3 to 5 yrs)</v>
          </cell>
          <cell r="K275" t="str">
            <v>B3 PL1 (5 to 7 yrs)</v>
          </cell>
          <cell r="L275" t="str">
            <v>None</v>
          </cell>
        </row>
        <row r="276">
          <cell r="B276" t="str">
            <v>SOG_85</v>
          </cell>
          <cell r="C276" t="str">
            <v xml:space="preserve">SOG_Oracle_Database Administrator_Junior_Oracle Apps </v>
          </cell>
          <cell r="D276" t="str">
            <v>SOG</v>
          </cell>
          <cell r="E276" t="str">
            <v>Oracle</v>
          </cell>
          <cell r="F276" t="str">
            <v>Database Administrator</v>
          </cell>
          <cell r="G276" t="str">
            <v xml:space="preserve">Oracle Apps </v>
          </cell>
          <cell r="H276" t="str">
            <v>Junior</v>
          </cell>
          <cell r="I276" t="str">
            <v xml:space="preserve">3 - 5 </v>
          </cell>
          <cell r="J276" t="str">
            <v>B2 AP3 (3 to 5 yrs)</v>
          </cell>
          <cell r="K276" t="str">
            <v>None</v>
          </cell>
          <cell r="L276" t="str">
            <v>None</v>
          </cell>
        </row>
        <row r="277">
          <cell r="B277" t="str">
            <v>SOG_86</v>
          </cell>
          <cell r="C277" t="str">
            <v xml:space="preserve">SOG_Oracle_Database Administrator_Mid-Level_Oracle Apps </v>
          </cell>
          <cell r="D277" t="str">
            <v>SOG</v>
          </cell>
          <cell r="E277" t="str">
            <v>Oracle</v>
          </cell>
          <cell r="F277" t="str">
            <v>Database Administrator</v>
          </cell>
          <cell r="G277" t="str">
            <v xml:space="preserve">Oracle Apps </v>
          </cell>
          <cell r="H277" t="str">
            <v>Mid-Level</v>
          </cell>
          <cell r="I277" t="str">
            <v xml:space="preserve">5 - 7 </v>
          </cell>
          <cell r="J277" t="str">
            <v>B3 PL1 (5 to 7 yrs)</v>
          </cell>
          <cell r="K277" t="str">
            <v>B3 PL2 (6 to 8 yrs)</v>
          </cell>
          <cell r="L277" t="str">
            <v>None</v>
          </cell>
        </row>
        <row r="278">
          <cell r="B278" t="str">
            <v>SOG_87</v>
          </cell>
          <cell r="C278" t="str">
            <v xml:space="preserve">SOG_Oracle_Database Administrator_Senior_Oracle Apps </v>
          </cell>
          <cell r="D278" t="str">
            <v>SOG</v>
          </cell>
          <cell r="E278" t="str">
            <v>Oracle</v>
          </cell>
          <cell r="F278" t="str">
            <v>Database Administrator</v>
          </cell>
          <cell r="G278" t="str">
            <v xml:space="preserve">Oracle Apps </v>
          </cell>
          <cell r="H278" t="str">
            <v>Senior</v>
          </cell>
          <cell r="I278" t="str">
            <v>7 - 9</v>
          </cell>
          <cell r="J278" t="str">
            <v>B3 PL2 (6 to 8 yrs)</v>
          </cell>
          <cell r="K278" t="str">
            <v>B3 PL3 (7 to 10 yrs)</v>
          </cell>
          <cell r="L278" t="str">
            <v>None</v>
          </cell>
        </row>
        <row r="279">
          <cell r="B279" t="str">
            <v>SOG_89</v>
          </cell>
          <cell r="C279" t="str">
            <v xml:space="preserve">SOG_Oracle_Developer_Junior_Oracle Apps </v>
          </cell>
          <cell r="D279" t="str">
            <v>SOG</v>
          </cell>
          <cell r="E279" t="str">
            <v>Oracle</v>
          </cell>
          <cell r="F279" t="str">
            <v>Developer</v>
          </cell>
          <cell r="G279" t="str">
            <v xml:space="preserve">Oracle Apps </v>
          </cell>
          <cell r="H279" t="str">
            <v>Junior</v>
          </cell>
          <cell r="I279" t="str">
            <v xml:space="preserve">0 - 3 </v>
          </cell>
          <cell r="J279" t="str">
            <v>B2 AP1</v>
          </cell>
          <cell r="K279" t="str">
            <v>B2 AP2 (0.6 to 3 yrs)</v>
          </cell>
          <cell r="L279" t="str">
            <v>None</v>
          </cell>
        </row>
        <row r="280">
          <cell r="B280" t="str">
            <v>SOG_90</v>
          </cell>
          <cell r="C280" t="str">
            <v xml:space="preserve">SOG_Oracle_Developer_Mid-Level_Oracle Apps </v>
          </cell>
          <cell r="D280" t="str">
            <v>SOG</v>
          </cell>
          <cell r="E280" t="str">
            <v>Oracle</v>
          </cell>
          <cell r="F280" t="str">
            <v>Developer</v>
          </cell>
          <cell r="G280" t="str">
            <v xml:space="preserve">Oracle Apps </v>
          </cell>
          <cell r="H280" t="str">
            <v>Mid-Level</v>
          </cell>
          <cell r="I280" t="str">
            <v xml:space="preserve">3 - 5 </v>
          </cell>
          <cell r="J280" t="str">
            <v>B2 AP2 (0.6 to 3 yrs)</v>
          </cell>
          <cell r="K280" t="str">
            <v>B2 AP3 (3 to 5 yrs)</v>
          </cell>
          <cell r="L280" t="str">
            <v>None</v>
          </cell>
        </row>
        <row r="281">
          <cell r="B281" t="str">
            <v>SOG_91</v>
          </cell>
          <cell r="C281" t="str">
            <v xml:space="preserve">SOG_Oracle_Developer_Senior_Oracle Apps </v>
          </cell>
          <cell r="D281" t="str">
            <v>SOG</v>
          </cell>
          <cell r="E281" t="str">
            <v>Oracle</v>
          </cell>
          <cell r="F281" t="str">
            <v>Developer</v>
          </cell>
          <cell r="G281" t="str">
            <v xml:space="preserve">Oracle Apps </v>
          </cell>
          <cell r="H281" t="str">
            <v>Senior</v>
          </cell>
          <cell r="I281" t="str">
            <v xml:space="preserve">5 - 7 </v>
          </cell>
          <cell r="J281" t="str">
            <v>B2 AP3 (3 to 5 yrs)</v>
          </cell>
          <cell r="K281" t="str">
            <v>B3 PL1 (5 to 7 yrs)</v>
          </cell>
          <cell r="L281" t="str">
            <v>None</v>
          </cell>
        </row>
        <row r="282">
          <cell r="B282" t="str">
            <v>SOG_93</v>
          </cell>
          <cell r="C282" t="str">
            <v xml:space="preserve">SOG_Oracle_Functional_Junior_Oracle Apps </v>
          </cell>
          <cell r="D282" t="str">
            <v>SOG</v>
          </cell>
          <cell r="E282" t="str">
            <v>Oracle</v>
          </cell>
          <cell r="F282" t="str">
            <v>Functional</v>
          </cell>
          <cell r="G282" t="str">
            <v xml:space="preserve">Oracle Apps </v>
          </cell>
          <cell r="H282" t="str">
            <v>Junior</v>
          </cell>
          <cell r="I282" t="str">
            <v xml:space="preserve">3 - 5 </v>
          </cell>
          <cell r="J282" t="str">
            <v>B2 AP3 (3 to 5 yrs)</v>
          </cell>
          <cell r="K282" t="str">
            <v>None</v>
          </cell>
          <cell r="L282" t="str">
            <v>None</v>
          </cell>
        </row>
        <row r="283">
          <cell r="B283" t="str">
            <v>SOG_94</v>
          </cell>
          <cell r="C283" t="str">
            <v xml:space="preserve">SOG_Oracle_Functional_Mid-Level_Oracle Apps </v>
          </cell>
          <cell r="D283" t="str">
            <v>SOG</v>
          </cell>
          <cell r="E283" t="str">
            <v>Oracle</v>
          </cell>
          <cell r="F283" t="str">
            <v>Functional</v>
          </cell>
          <cell r="G283" t="str">
            <v xml:space="preserve">Oracle Apps </v>
          </cell>
          <cell r="H283" t="str">
            <v>Mid-Level</v>
          </cell>
          <cell r="I283" t="str">
            <v xml:space="preserve">5 - 7 </v>
          </cell>
          <cell r="J283" t="str">
            <v>B3 PL1 (5 to 7 yrs)</v>
          </cell>
          <cell r="K283" t="str">
            <v>B3 PL2 (6 to 8 yrs)</v>
          </cell>
          <cell r="L283" t="str">
            <v>None</v>
          </cell>
        </row>
        <row r="284">
          <cell r="B284" t="str">
            <v>SOG_95</v>
          </cell>
          <cell r="C284" t="str">
            <v xml:space="preserve">SOG_Oracle_Functional_Senior_Oracle Apps </v>
          </cell>
          <cell r="D284" t="str">
            <v>SOG</v>
          </cell>
          <cell r="E284" t="str">
            <v>Oracle</v>
          </cell>
          <cell r="F284" t="str">
            <v>Functional</v>
          </cell>
          <cell r="G284" t="str">
            <v xml:space="preserve">Oracle Apps </v>
          </cell>
          <cell r="H284" t="str">
            <v>Senior</v>
          </cell>
          <cell r="I284" t="str">
            <v>7 - 9</v>
          </cell>
          <cell r="J284" t="str">
            <v>B3 PL2 (6 to 8 yrs)</v>
          </cell>
          <cell r="K284" t="str">
            <v>B3 PL3 (7 to 10 yrs)</v>
          </cell>
          <cell r="L284" t="str">
            <v>None</v>
          </cell>
        </row>
        <row r="285">
          <cell r="B285" t="str">
            <v>SOG_96</v>
          </cell>
          <cell r="C285" t="str">
            <v xml:space="preserve">SOG_Oracle_Project Manager_Junior_Oracle Apps </v>
          </cell>
          <cell r="D285" t="str">
            <v>SOG</v>
          </cell>
          <cell r="E285" t="str">
            <v>Oracle</v>
          </cell>
          <cell r="F285" t="str">
            <v>Project Manager</v>
          </cell>
          <cell r="G285" t="str">
            <v xml:space="preserve">Oracle Apps </v>
          </cell>
          <cell r="H285" t="str">
            <v>Junior</v>
          </cell>
          <cell r="I285" t="str">
            <v xml:space="preserve">8 - 10 </v>
          </cell>
          <cell r="J285" t="str">
            <v>B3 PL3 (7 to 10 yrs)</v>
          </cell>
          <cell r="K285" t="str">
            <v>B4 PM1 (9 to 12 yrs)</v>
          </cell>
          <cell r="L285" t="str">
            <v>None</v>
          </cell>
        </row>
        <row r="286">
          <cell r="B286" t="str">
            <v>SOG_97</v>
          </cell>
          <cell r="C286" t="str">
            <v xml:space="preserve">SOG_Oracle_Project Manager_Mid-Level_Oracle Apps </v>
          </cell>
          <cell r="D286" t="str">
            <v>SOG</v>
          </cell>
          <cell r="E286" t="str">
            <v>Oracle</v>
          </cell>
          <cell r="F286" t="str">
            <v>Project Manager</v>
          </cell>
          <cell r="G286" t="str">
            <v xml:space="preserve">Oracle Apps </v>
          </cell>
          <cell r="H286" t="str">
            <v>Mid-Level</v>
          </cell>
          <cell r="I286" t="str">
            <v>10 - 12</v>
          </cell>
          <cell r="J286" t="str">
            <v>B4 PM1 (9 to 12 yrs)</v>
          </cell>
          <cell r="K286" t="str">
            <v>B4 PM2 (10 to 14 yrs)</v>
          </cell>
          <cell r="L286" t="str">
            <v>None</v>
          </cell>
        </row>
        <row r="287">
          <cell r="B287" t="str">
            <v>SOG_98</v>
          </cell>
          <cell r="C287" t="str">
            <v xml:space="preserve">SOG_Oracle_Project Manager_Senior_Oracle Apps </v>
          </cell>
          <cell r="D287" t="str">
            <v>SOG</v>
          </cell>
          <cell r="E287" t="str">
            <v>Oracle</v>
          </cell>
          <cell r="F287" t="str">
            <v>Project Manager</v>
          </cell>
          <cell r="G287" t="str">
            <v xml:space="preserve">Oracle Apps </v>
          </cell>
          <cell r="H287" t="str">
            <v>Senior</v>
          </cell>
          <cell r="I287" t="str">
            <v>12 - 14</v>
          </cell>
          <cell r="J287" t="str">
            <v>B4 PM2 (10 to 14 yrs)</v>
          </cell>
          <cell r="K287" t="str">
            <v>B4 PM3 (12 to 15 yrs)</v>
          </cell>
          <cell r="L287" t="str">
            <v>None</v>
          </cell>
        </row>
        <row r="288">
          <cell r="B288" t="str">
            <v>SOG_99</v>
          </cell>
          <cell r="C288" t="str">
            <v xml:space="preserve">SOG_Oracle_Technical_Junior_Oracle Apps </v>
          </cell>
          <cell r="D288" t="str">
            <v>SOG</v>
          </cell>
          <cell r="E288" t="str">
            <v>Oracle</v>
          </cell>
          <cell r="F288" t="str">
            <v>Technical</v>
          </cell>
          <cell r="G288" t="str">
            <v xml:space="preserve">Oracle Apps </v>
          </cell>
          <cell r="H288" t="str">
            <v>Junior</v>
          </cell>
          <cell r="I288" t="str">
            <v xml:space="preserve">3 - 5 </v>
          </cell>
          <cell r="J288" t="str">
            <v>B2 AP3 (3 to 5 yrs)</v>
          </cell>
          <cell r="K288" t="str">
            <v>None</v>
          </cell>
          <cell r="L288" t="str">
            <v>None</v>
          </cell>
        </row>
        <row r="289">
          <cell r="B289" t="str">
            <v>SOG_100</v>
          </cell>
          <cell r="C289" t="str">
            <v xml:space="preserve">SOG_Oracle_Technical_Mid-Level_Oracle Apps </v>
          </cell>
          <cell r="D289" t="str">
            <v>SOG</v>
          </cell>
          <cell r="E289" t="str">
            <v>Oracle</v>
          </cell>
          <cell r="F289" t="str">
            <v>Technical</v>
          </cell>
          <cell r="G289" t="str">
            <v xml:space="preserve">Oracle Apps </v>
          </cell>
          <cell r="H289" t="str">
            <v>Mid-Level</v>
          </cell>
          <cell r="I289" t="str">
            <v xml:space="preserve">5 - 7 </v>
          </cell>
          <cell r="J289" t="str">
            <v>B3 PL1 (5 to 7 yrs)</v>
          </cell>
          <cell r="K289" t="str">
            <v>None</v>
          </cell>
          <cell r="L289" t="str">
            <v>None</v>
          </cell>
        </row>
        <row r="290">
          <cell r="B290" t="str">
            <v>SOG_101</v>
          </cell>
          <cell r="C290" t="str">
            <v xml:space="preserve">SOG_Oracle_Technical_Senior_Oracle Apps </v>
          </cell>
          <cell r="D290" t="str">
            <v>SOG</v>
          </cell>
          <cell r="E290" t="str">
            <v>Oracle</v>
          </cell>
          <cell r="F290" t="str">
            <v>Technical</v>
          </cell>
          <cell r="G290" t="str">
            <v xml:space="preserve">Oracle Apps </v>
          </cell>
          <cell r="H290" t="str">
            <v>Senior</v>
          </cell>
          <cell r="I290" t="str">
            <v>7 - 9</v>
          </cell>
          <cell r="J290" t="str">
            <v>B3 PL2 (6 to 8 yrs)</v>
          </cell>
          <cell r="K290" t="str">
            <v>None</v>
          </cell>
          <cell r="L290" t="str">
            <v>None</v>
          </cell>
        </row>
        <row r="291">
          <cell r="B291" t="str">
            <v>SOG_102</v>
          </cell>
          <cell r="C291" t="str">
            <v>SOG_Peoplesoft_Database Administrator_Junior_</v>
          </cell>
          <cell r="D291" t="str">
            <v>SOG</v>
          </cell>
          <cell r="E291" t="str">
            <v>Peoplesoft</v>
          </cell>
          <cell r="F291" t="str">
            <v>Database Administrator</v>
          </cell>
          <cell r="H291" t="str">
            <v>Junior</v>
          </cell>
          <cell r="I291" t="str">
            <v xml:space="preserve">3 - 5 </v>
          </cell>
          <cell r="J291" t="str">
            <v>B2 AP3 (3 to 5 yrs)</v>
          </cell>
          <cell r="K291" t="str">
            <v>None</v>
          </cell>
          <cell r="L291" t="str">
            <v>None</v>
          </cell>
        </row>
        <row r="292">
          <cell r="B292" t="str">
            <v>SOG_103</v>
          </cell>
          <cell r="C292" t="str">
            <v>SOG_Peoplesoft_Database Administrator_Mid-Level_</v>
          </cell>
          <cell r="D292" t="str">
            <v>SOG</v>
          </cell>
          <cell r="E292" t="str">
            <v>Peoplesoft</v>
          </cell>
          <cell r="F292" t="str">
            <v>Database Administrator</v>
          </cell>
          <cell r="H292" t="str">
            <v>Mid-Level</v>
          </cell>
          <cell r="I292" t="str">
            <v xml:space="preserve">5 - 7 </v>
          </cell>
          <cell r="J292" t="str">
            <v>B3 PL1 (5 to 7 yrs)</v>
          </cell>
          <cell r="K292" t="str">
            <v>B3 PL2 (6 to 8 yrs)</v>
          </cell>
          <cell r="L292" t="str">
            <v>None</v>
          </cell>
        </row>
        <row r="293">
          <cell r="B293" t="str">
            <v>SOG_104</v>
          </cell>
          <cell r="C293" t="str">
            <v>SOG_Peoplesoft_Database Administrator_Senior_</v>
          </cell>
          <cell r="D293" t="str">
            <v>SOG</v>
          </cell>
          <cell r="E293" t="str">
            <v>Peoplesoft</v>
          </cell>
          <cell r="F293" t="str">
            <v>Database Administrator</v>
          </cell>
          <cell r="H293" t="str">
            <v>Senior</v>
          </cell>
          <cell r="I293" t="str">
            <v>7 - 9</v>
          </cell>
          <cell r="J293" t="str">
            <v>B3 PL2 (6 to 8 yrs)</v>
          </cell>
          <cell r="K293" t="str">
            <v>B3 PL3 (7 to 10 yrs)</v>
          </cell>
          <cell r="L293" t="str">
            <v>None</v>
          </cell>
        </row>
        <row r="294">
          <cell r="B294" t="str">
            <v>SOG_105</v>
          </cell>
          <cell r="C294" t="str">
            <v>SOG_Peoplesoft_Functional_Junior_</v>
          </cell>
          <cell r="D294" t="str">
            <v>SOG</v>
          </cell>
          <cell r="E294" t="str">
            <v>Peoplesoft</v>
          </cell>
          <cell r="F294" t="str">
            <v>Functional</v>
          </cell>
          <cell r="H294" t="str">
            <v>Junior</v>
          </cell>
          <cell r="I294" t="str">
            <v xml:space="preserve">3 - 5 </v>
          </cell>
          <cell r="J294" t="str">
            <v>B2 AP3 (3 to 5 yrs)</v>
          </cell>
          <cell r="K294" t="str">
            <v>None</v>
          </cell>
          <cell r="L294" t="str">
            <v>None</v>
          </cell>
        </row>
        <row r="295">
          <cell r="B295" t="str">
            <v>SOG_106</v>
          </cell>
          <cell r="C295" t="str">
            <v>SOG_Peoplesoft_Functional_Mid-Level_</v>
          </cell>
          <cell r="D295" t="str">
            <v>SOG</v>
          </cell>
          <cell r="E295" t="str">
            <v>Peoplesoft</v>
          </cell>
          <cell r="F295" t="str">
            <v>Functional</v>
          </cell>
          <cell r="H295" t="str">
            <v>Mid-Level</v>
          </cell>
          <cell r="I295" t="str">
            <v xml:space="preserve">5 - 7 </v>
          </cell>
          <cell r="J295" t="str">
            <v>B3 PL1 (5 to 7 yrs)</v>
          </cell>
          <cell r="K295" t="str">
            <v>B3 PL2 (6 to 8 yrs)</v>
          </cell>
          <cell r="L295" t="str">
            <v>None</v>
          </cell>
        </row>
        <row r="296">
          <cell r="B296" t="str">
            <v>SOG_107</v>
          </cell>
          <cell r="C296" t="str">
            <v>SOG_Peoplesoft_Functional_Senior_</v>
          </cell>
          <cell r="D296" t="str">
            <v>SOG</v>
          </cell>
          <cell r="E296" t="str">
            <v>Peoplesoft</v>
          </cell>
          <cell r="F296" t="str">
            <v>Functional</v>
          </cell>
          <cell r="H296" t="str">
            <v>Senior</v>
          </cell>
          <cell r="I296" t="str">
            <v>7 - 9</v>
          </cell>
          <cell r="J296" t="str">
            <v>B3 PL2 (6 to 8 yrs)</v>
          </cell>
          <cell r="K296" t="str">
            <v>B3 PL3 (7 to 10 yrs)</v>
          </cell>
          <cell r="L296" t="str">
            <v>None</v>
          </cell>
        </row>
        <row r="297">
          <cell r="B297" t="str">
            <v>SOG_108</v>
          </cell>
          <cell r="C297" t="str">
            <v>SOG_Peoplesoft_Project Manager_Junior_</v>
          </cell>
          <cell r="D297" t="str">
            <v>SOG</v>
          </cell>
          <cell r="E297" t="str">
            <v>Peoplesoft</v>
          </cell>
          <cell r="F297" t="str">
            <v>Project Manager</v>
          </cell>
          <cell r="H297" t="str">
            <v>Junior</v>
          </cell>
          <cell r="I297" t="str">
            <v xml:space="preserve">8 - 10 </v>
          </cell>
          <cell r="J297" t="str">
            <v>B3 PL3 (7 to 10 yrs)</v>
          </cell>
          <cell r="K297" t="str">
            <v>B4 PM1 (9 to 12 yrs)</v>
          </cell>
          <cell r="L297" t="str">
            <v>None</v>
          </cell>
        </row>
        <row r="298">
          <cell r="B298" t="str">
            <v>SOG_109</v>
          </cell>
          <cell r="C298" t="str">
            <v>SOG_Peoplesoft_Project Manager_Mid-Level_</v>
          </cell>
          <cell r="D298" t="str">
            <v>SOG</v>
          </cell>
          <cell r="E298" t="str">
            <v>Peoplesoft</v>
          </cell>
          <cell r="F298" t="str">
            <v>Project Manager</v>
          </cell>
          <cell r="H298" t="str">
            <v>Mid-Level</v>
          </cell>
          <cell r="I298" t="str">
            <v>10 - 12</v>
          </cell>
          <cell r="J298" t="str">
            <v>B4 PM1 (9 to 12 yrs)</v>
          </cell>
          <cell r="K298" t="str">
            <v>B4 PM2 (10 to 14 yrs)</v>
          </cell>
          <cell r="L298" t="str">
            <v>None</v>
          </cell>
        </row>
        <row r="299">
          <cell r="B299" t="str">
            <v>SOG_110</v>
          </cell>
          <cell r="C299" t="str">
            <v>SOG_Peoplesoft_Project Manager_Senior_</v>
          </cell>
          <cell r="D299" t="str">
            <v>SOG</v>
          </cell>
          <cell r="E299" t="str">
            <v>Peoplesoft</v>
          </cell>
          <cell r="F299" t="str">
            <v>Project Manager</v>
          </cell>
          <cell r="H299" t="str">
            <v>Senior</v>
          </cell>
          <cell r="I299" t="str">
            <v>12 - 14</v>
          </cell>
          <cell r="J299" t="str">
            <v>B4 PM2 (10 to 14 yrs)</v>
          </cell>
          <cell r="K299" t="str">
            <v>B4 PM3 (12 to 15 yrs)</v>
          </cell>
          <cell r="L299" t="str">
            <v>None</v>
          </cell>
        </row>
        <row r="300">
          <cell r="B300" t="str">
            <v>SOG_111</v>
          </cell>
          <cell r="C300" t="str">
            <v>SOG_Peoplesoft_Technical_Junior_</v>
          </cell>
          <cell r="D300" t="str">
            <v>SOG</v>
          </cell>
          <cell r="E300" t="str">
            <v>Peoplesoft</v>
          </cell>
          <cell r="F300" t="str">
            <v>Technical</v>
          </cell>
          <cell r="H300" t="str">
            <v>Junior</v>
          </cell>
          <cell r="I300" t="str">
            <v xml:space="preserve">3 - 5 </v>
          </cell>
          <cell r="J300" t="str">
            <v>B2 AP3 (3 to 5 yrs)</v>
          </cell>
          <cell r="K300" t="str">
            <v>None</v>
          </cell>
          <cell r="L300" t="str">
            <v>None</v>
          </cell>
        </row>
        <row r="301">
          <cell r="B301" t="str">
            <v>SOG_112</v>
          </cell>
          <cell r="C301" t="str">
            <v>SOG_Peoplesoft_Technical_Mid-Level_</v>
          </cell>
          <cell r="D301" t="str">
            <v>SOG</v>
          </cell>
          <cell r="E301" t="str">
            <v>Peoplesoft</v>
          </cell>
          <cell r="F301" t="str">
            <v>Technical</v>
          </cell>
          <cell r="H301" t="str">
            <v>Mid-Level</v>
          </cell>
          <cell r="I301" t="str">
            <v xml:space="preserve">5 - 7 </v>
          </cell>
          <cell r="J301" t="str">
            <v>B3 PL1 (5 to 7 yrs)</v>
          </cell>
          <cell r="K301" t="str">
            <v>None</v>
          </cell>
          <cell r="L301" t="str">
            <v>None</v>
          </cell>
        </row>
        <row r="302">
          <cell r="B302" t="str">
            <v>SOG_113</v>
          </cell>
          <cell r="C302" t="str">
            <v>SOG_Peoplesoft_Technical_Senior_</v>
          </cell>
          <cell r="D302" t="str">
            <v>SOG</v>
          </cell>
          <cell r="E302" t="str">
            <v>Peoplesoft</v>
          </cell>
          <cell r="F302" t="str">
            <v>Technical</v>
          </cell>
          <cell r="H302" t="str">
            <v>Senior</v>
          </cell>
          <cell r="I302" t="str">
            <v>7 - 9</v>
          </cell>
          <cell r="J302" t="str">
            <v>B3 PL2 (6 to 8 yrs)</v>
          </cell>
          <cell r="K302" t="str">
            <v>None</v>
          </cell>
          <cell r="L302" t="str">
            <v>None</v>
          </cell>
        </row>
        <row r="303">
          <cell r="B303" t="str">
            <v>SOG_114</v>
          </cell>
          <cell r="C303" t="str">
            <v>SOG_Peoplesoft_Consultant_Junior_</v>
          </cell>
          <cell r="D303" t="str">
            <v>SOG</v>
          </cell>
          <cell r="E303" t="str">
            <v>Peoplesoft</v>
          </cell>
          <cell r="F303" t="str">
            <v>Consultant</v>
          </cell>
          <cell r="H303" t="str">
            <v>Junior</v>
          </cell>
          <cell r="I303" t="str">
            <v xml:space="preserve">9 - 12 </v>
          </cell>
          <cell r="J303" t="str">
            <v>B4 PM1 (9 to 12 yrs)</v>
          </cell>
          <cell r="K303" t="str">
            <v>None</v>
          </cell>
          <cell r="L303" t="str">
            <v>None</v>
          </cell>
        </row>
        <row r="304">
          <cell r="B304" t="str">
            <v>SOG_133</v>
          </cell>
          <cell r="C304" t="str">
            <v>SOG_Peoplesoft_Consultant_Mid-Level_</v>
          </cell>
          <cell r="D304" t="str">
            <v>SOG</v>
          </cell>
          <cell r="E304" t="str">
            <v>Peoplesoft</v>
          </cell>
          <cell r="F304" t="str">
            <v>Consultant</v>
          </cell>
          <cell r="H304" t="str">
            <v>Mid-Level</v>
          </cell>
          <cell r="I304" t="str">
            <v>12 - 14</v>
          </cell>
          <cell r="J304" t="str">
            <v>B4 PM2 (10 to 14 yrs)</v>
          </cell>
          <cell r="K304" t="str">
            <v>B4 PM3 (12 to 15 yrs)</v>
          </cell>
          <cell r="L304" t="str">
            <v>None</v>
          </cell>
        </row>
        <row r="305">
          <cell r="B305" t="str">
            <v>SOG_115</v>
          </cell>
          <cell r="C305" t="str">
            <v>SOG_Peoplesoft_Consultant_Senior_</v>
          </cell>
          <cell r="D305" t="str">
            <v>SOG</v>
          </cell>
          <cell r="E305" t="str">
            <v>Peoplesoft</v>
          </cell>
          <cell r="F305" t="str">
            <v>Consultant</v>
          </cell>
          <cell r="H305" t="str">
            <v>Senior</v>
          </cell>
          <cell r="I305" t="str">
            <v>14+</v>
          </cell>
          <cell r="J305" t="str">
            <v>B4 PM3 (12 to 15 yrs)</v>
          </cell>
          <cell r="K305" t="str">
            <v>B5 (min 8 yrs)</v>
          </cell>
          <cell r="L305" t="str">
            <v>None</v>
          </cell>
        </row>
        <row r="306">
          <cell r="B306" t="str">
            <v>SOG_116</v>
          </cell>
          <cell r="C306" t="str">
            <v>SOG_SOG_Consultant__Usability Specialist</v>
          </cell>
          <cell r="D306" t="str">
            <v>SOG</v>
          </cell>
          <cell r="E306" t="str">
            <v>SOG</v>
          </cell>
          <cell r="F306" t="str">
            <v>Consultant</v>
          </cell>
          <cell r="G306" t="str">
            <v>Usability Specialist</v>
          </cell>
          <cell r="I306" t="str">
            <v>5 - 8</v>
          </cell>
          <cell r="J306" t="str">
            <v>B3 PL1 (5 to 7 yrs)</v>
          </cell>
          <cell r="K306" t="str">
            <v>B3 PL2 (6 to 8 yrs)</v>
          </cell>
          <cell r="L306" t="str">
            <v>None</v>
          </cell>
        </row>
        <row r="307">
          <cell r="B307" t="str">
            <v>SOG_117</v>
          </cell>
          <cell r="C307" t="str">
            <v>SOG_SOG_Data Administrator / Process Analyst __</v>
          </cell>
          <cell r="D307" t="str">
            <v>SOG</v>
          </cell>
          <cell r="E307" t="str">
            <v>SOG</v>
          </cell>
          <cell r="F307" t="str">
            <v xml:space="preserve">Data Administrator / Process Analyst </v>
          </cell>
          <cell r="I307" t="str">
            <v>7 - 10</v>
          </cell>
          <cell r="J307" t="str">
            <v>B3 PL3 (7 to 10 yrs)</v>
          </cell>
          <cell r="K307" t="str">
            <v>None</v>
          </cell>
          <cell r="L307" t="str">
            <v>None</v>
          </cell>
        </row>
        <row r="308">
          <cell r="B308" t="str">
            <v>SOG_118</v>
          </cell>
          <cell r="C308" t="str">
            <v>SOG_Varicent_Developer_Junior_Varicent</v>
          </cell>
          <cell r="D308" t="str">
            <v>SOG</v>
          </cell>
          <cell r="E308" t="str">
            <v>Varicent</v>
          </cell>
          <cell r="F308" t="str">
            <v>Developer</v>
          </cell>
          <cell r="G308" t="str">
            <v>Varicent</v>
          </cell>
          <cell r="H308" t="str">
            <v>Junior</v>
          </cell>
          <cell r="I308" t="str">
            <v xml:space="preserve">0 - 3 </v>
          </cell>
          <cell r="J308" t="str">
            <v>B2 AP1</v>
          </cell>
          <cell r="K308" t="str">
            <v>B2 AP2 (0.6 to 3 yrs)</v>
          </cell>
          <cell r="L308" t="str">
            <v>None</v>
          </cell>
        </row>
        <row r="309">
          <cell r="B309" t="str">
            <v>SOG_119</v>
          </cell>
          <cell r="C309" t="str">
            <v>SOG_Varicent_Developer_Mid-Level_Varicent</v>
          </cell>
          <cell r="D309" t="str">
            <v>SOG</v>
          </cell>
          <cell r="E309" t="str">
            <v>Varicent</v>
          </cell>
          <cell r="F309" t="str">
            <v>Developer</v>
          </cell>
          <cell r="G309" t="str">
            <v>Varicent</v>
          </cell>
          <cell r="H309" t="str">
            <v>Mid-Level</v>
          </cell>
          <cell r="I309" t="str">
            <v xml:space="preserve">3 - 5 </v>
          </cell>
          <cell r="J309" t="str">
            <v>B2 AP2 (0.6 to 3 yrs)</v>
          </cell>
          <cell r="K309" t="str">
            <v>B2 AP3 (3 to 5 yrs)</v>
          </cell>
          <cell r="L309" t="str">
            <v>None</v>
          </cell>
        </row>
        <row r="310">
          <cell r="B310" t="str">
            <v>SOG_120</v>
          </cell>
          <cell r="C310" t="str">
            <v>SOG_Varicent_Developer_Senior_Varicent</v>
          </cell>
          <cell r="D310" t="str">
            <v>SOG</v>
          </cell>
          <cell r="E310" t="str">
            <v>Varicent</v>
          </cell>
          <cell r="F310" t="str">
            <v>Developer</v>
          </cell>
          <cell r="G310" t="str">
            <v>Varicent</v>
          </cell>
          <cell r="H310" t="str">
            <v>Senior</v>
          </cell>
          <cell r="I310" t="str">
            <v xml:space="preserve">5 - 7 </v>
          </cell>
          <cell r="J310" t="str">
            <v>B2 AP3 (3 to 5 yrs)</v>
          </cell>
          <cell r="K310" t="str">
            <v>B3 PL1 (5 to 7 yrs)</v>
          </cell>
          <cell r="L310" t="str">
            <v>None</v>
          </cell>
        </row>
        <row r="311">
          <cell r="B311" t="str">
            <v>Testing_1</v>
          </cell>
          <cell r="C311" t="str">
            <v>Testing_Automation_Tester_Junior_Functional Automation Testing Tools</v>
          </cell>
          <cell r="D311" t="str">
            <v>Testing</v>
          </cell>
          <cell r="E311" t="str">
            <v>Automation</v>
          </cell>
          <cell r="F311" t="str">
            <v>Tester</v>
          </cell>
          <cell r="G311" t="str">
            <v>Functional Automation Testing Tools</v>
          </cell>
          <cell r="H311" t="str">
            <v>Junior</v>
          </cell>
          <cell r="I311" t="str">
            <v xml:space="preserve">0 - 3 </v>
          </cell>
          <cell r="J311" t="str">
            <v>B2 AP1</v>
          </cell>
          <cell r="K311" t="str">
            <v>B2 AP2 (0.6 to 3 yrs)</v>
          </cell>
          <cell r="L311" t="str">
            <v>None</v>
          </cell>
        </row>
        <row r="312">
          <cell r="B312" t="str">
            <v>Testing_2</v>
          </cell>
          <cell r="C312" t="str">
            <v>Testing_Automation_Tester_Senior_Functional Automation Testing Tools</v>
          </cell>
          <cell r="D312" t="str">
            <v>Testing</v>
          </cell>
          <cell r="E312" t="str">
            <v>Automation</v>
          </cell>
          <cell r="F312" t="str">
            <v>Tester</v>
          </cell>
          <cell r="G312" t="str">
            <v>Functional Automation Testing Tools</v>
          </cell>
          <cell r="H312" t="str">
            <v>Senior</v>
          </cell>
          <cell r="I312" t="str">
            <v xml:space="preserve">3 - 5 </v>
          </cell>
          <cell r="J312" t="str">
            <v>B2 AP2 (0.6 to 3 yrs)</v>
          </cell>
          <cell r="K312" t="str">
            <v>B2 AP3 (3 to 5 yrs)</v>
          </cell>
          <cell r="L312" t="str">
            <v>None</v>
          </cell>
        </row>
        <row r="313">
          <cell r="B313" t="str">
            <v>Testing_3</v>
          </cell>
          <cell r="C313" t="str">
            <v>Testing_Automation_Test Lead_Junior_Functional Automation Testing Tools</v>
          </cell>
          <cell r="D313" t="str">
            <v>Testing</v>
          </cell>
          <cell r="E313" t="str">
            <v>Automation</v>
          </cell>
          <cell r="F313" t="str">
            <v>Test Lead</v>
          </cell>
          <cell r="G313" t="str">
            <v>Functional Automation Testing Tools</v>
          </cell>
          <cell r="H313" t="str">
            <v>Junior</v>
          </cell>
          <cell r="I313" t="str">
            <v>5 - 8</v>
          </cell>
          <cell r="J313" t="str">
            <v>B3 PL1 (5 to 7 yrs)</v>
          </cell>
          <cell r="K313" t="str">
            <v>B3 PL2 (6 to 8 yrs)</v>
          </cell>
          <cell r="L313" t="str">
            <v>None</v>
          </cell>
        </row>
        <row r="314">
          <cell r="B314" t="str">
            <v>Testing_4</v>
          </cell>
          <cell r="C314" t="str">
            <v>Testing_Automation_Test Lead_Senior_Functional Automation Testing Tools</v>
          </cell>
          <cell r="D314" t="str">
            <v>Testing</v>
          </cell>
          <cell r="E314" t="str">
            <v>Automation</v>
          </cell>
          <cell r="F314" t="str">
            <v>Test Lead</v>
          </cell>
          <cell r="G314" t="str">
            <v>Functional Automation Testing Tools</v>
          </cell>
          <cell r="H314" t="str">
            <v>Senior</v>
          </cell>
          <cell r="I314" t="str">
            <v>7 - 10</v>
          </cell>
          <cell r="J314" t="str">
            <v>B3 PL2 (6 to 8 yrs)</v>
          </cell>
          <cell r="K314" t="str">
            <v>B3 PL3 (7 to 10 yrs)</v>
          </cell>
          <cell r="L314" t="str">
            <v>None</v>
          </cell>
        </row>
        <row r="315">
          <cell r="B315" t="str">
            <v>Testing_5</v>
          </cell>
          <cell r="C315" t="str">
            <v>Testing_Automation_Test Manager_Junior_Functional Automation Testing Tools</v>
          </cell>
          <cell r="D315" t="str">
            <v>Testing</v>
          </cell>
          <cell r="E315" t="str">
            <v>Automation</v>
          </cell>
          <cell r="F315" t="str">
            <v>Test Manager</v>
          </cell>
          <cell r="G315" t="str">
            <v>Functional Automation Testing Tools</v>
          </cell>
          <cell r="H315" t="str">
            <v>Junior</v>
          </cell>
          <cell r="I315" t="str">
            <v xml:space="preserve">8 - 10 </v>
          </cell>
          <cell r="J315" t="str">
            <v>B3 PL3 (7 to 10 yrs)</v>
          </cell>
          <cell r="K315" t="str">
            <v>B4 PM1 (9 to 12 yrs)</v>
          </cell>
          <cell r="L315" t="str">
            <v>None</v>
          </cell>
        </row>
        <row r="316">
          <cell r="B316" t="str">
            <v>Testing_6</v>
          </cell>
          <cell r="C316" t="str">
            <v>Testing_Automation_Test Manager_Mid-Level_Functional Automation Testing Tools</v>
          </cell>
          <cell r="D316" t="str">
            <v>Testing</v>
          </cell>
          <cell r="E316" t="str">
            <v>Automation</v>
          </cell>
          <cell r="F316" t="str">
            <v>Test Manager</v>
          </cell>
          <cell r="G316" t="str">
            <v>Functional Automation Testing Tools</v>
          </cell>
          <cell r="H316" t="str">
            <v>Mid-Level</v>
          </cell>
          <cell r="I316" t="str">
            <v>10 - 12</v>
          </cell>
          <cell r="J316" t="str">
            <v>B4 PM1 (9 to 12 yrs)</v>
          </cell>
          <cell r="K316" t="str">
            <v>B4 PM2 (10 to 14 yrs)</v>
          </cell>
          <cell r="L316" t="str">
            <v>None</v>
          </cell>
        </row>
        <row r="317">
          <cell r="B317" t="str">
            <v>Testing_7</v>
          </cell>
          <cell r="C317" t="str">
            <v>Testing_Automation_Test Manager_Senior_Functional Automation Testing Tools</v>
          </cell>
          <cell r="D317" t="str">
            <v>Testing</v>
          </cell>
          <cell r="E317" t="str">
            <v>Automation</v>
          </cell>
          <cell r="F317" t="str">
            <v>Test Manager</v>
          </cell>
          <cell r="G317" t="str">
            <v>Functional Automation Testing Tools</v>
          </cell>
          <cell r="H317" t="str">
            <v>Senior</v>
          </cell>
          <cell r="I317" t="str">
            <v>12 - 14</v>
          </cell>
          <cell r="J317" t="str">
            <v>B4 PM2 (10 to 14 yrs)</v>
          </cell>
          <cell r="K317" t="str">
            <v>B4 PM3 (12 to 15 yrs)</v>
          </cell>
          <cell r="L317" t="str">
            <v>None</v>
          </cell>
        </row>
        <row r="318">
          <cell r="B318" t="str">
            <v>Testing_13</v>
          </cell>
          <cell r="C318" t="str">
            <v>Testing_Domain_Test Business Analyst_Junior_Domain Testing</v>
          </cell>
          <cell r="D318" t="str">
            <v>Testing</v>
          </cell>
          <cell r="E318" t="str">
            <v>Domain</v>
          </cell>
          <cell r="F318" t="str">
            <v>Test Business Analyst</v>
          </cell>
          <cell r="G318" t="str">
            <v>Domain Testing</v>
          </cell>
          <cell r="H318" t="str">
            <v>Junior</v>
          </cell>
          <cell r="I318" t="str">
            <v xml:space="preserve">5 - 7 </v>
          </cell>
          <cell r="J318" t="str">
            <v>B3 PL1 (5 to 7 yrs)</v>
          </cell>
          <cell r="K318" t="str">
            <v>B3 PL2 (6 to 8 yrs)</v>
          </cell>
          <cell r="L318" t="str">
            <v>None</v>
          </cell>
        </row>
        <row r="319">
          <cell r="B319" t="str">
            <v>Testing_15</v>
          </cell>
          <cell r="C319" t="str">
            <v>Testing_Domain_Test Business Analyst_Senior_Domain Testing</v>
          </cell>
          <cell r="D319" t="str">
            <v>Testing</v>
          </cell>
          <cell r="E319" t="str">
            <v>Domain</v>
          </cell>
          <cell r="F319" t="str">
            <v>Test Business Analyst</v>
          </cell>
          <cell r="G319" t="str">
            <v>Domain Testing</v>
          </cell>
          <cell r="H319" t="str">
            <v>Senior</v>
          </cell>
          <cell r="I319" t="str">
            <v>7 - 9</v>
          </cell>
          <cell r="J319" t="str">
            <v>B3 PL2 (6 to 8 yrs)</v>
          </cell>
          <cell r="K319" t="str">
            <v>B3 PL3 (7 to 10 yrs)</v>
          </cell>
          <cell r="L319" t="str">
            <v>None</v>
          </cell>
        </row>
        <row r="320">
          <cell r="B320" t="str">
            <v>Testing_17</v>
          </cell>
          <cell r="C320" t="str">
            <v>Testing-2_Manual Testing_Tester_Junior_Manual Testing</v>
          </cell>
          <cell r="D320" t="str">
            <v>Testing-2</v>
          </cell>
          <cell r="E320" t="str">
            <v>Manual Testing</v>
          </cell>
          <cell r="F320" t="str">
            <v>Tester</v>
          </cell>
          <cell r="G320" t="str">
            <v>Manual Testing</v>
          </cell>
          <cell r="H320" t="str">
            <v>Junior</v>
          </cell>
          <cell r="I320" t="str">
            <v xml:space="preserve">0 - 3 </v>
          </cell>
          <cell r="J320" t="str">
            <v>B2 AP1</v>
          </cell>
          <cell r="K320" t="str">
            <v>B2 AP2 (0.6 to 3 yrs)</v>
          </cell>
          <cell r="L320" t="str">
            <v>None</v>
          </cell>
        </row>
        <row r="321">
          <cell r="B321" t="str">
            <v>Testing_18</v>
          </cell>
          <cell r="C321" t="str">
            <v>Testing-2_Manual Testing_Tester_Senior_Manual Testing</v>
          </cell>
          <cell r="D321" t="str">
            <v>Testing-2</v>
          </cell>
          <cell r="E321" t="str">
            <v>Manual Testing</v>
          </cell>
          <cell r="F321" t="str">
            <v>Tester</v>
          </cell>
          <cell r="G321" t="str">
            <v>Manual Testing</v>
          </cell>
          <cell r="H321" t="str">
            <v>Senior</v>
          </cell>
          <cell r="I321" t="str">
            <v xml:space="preserve">3 - 5 </v>
          </cell>
          <cell r="J321" t="str">
            <v>B2 AP2 (0.6 to 3 yrs)</v>
          </cell>
          <cell r="K321" t="str">
            <v>B2 AP3 (3 to 5 yrs)</v>
          </cell>
          <cell r="L321" t="str">
            <v>None</v>
          </cell>
        </row>
        <row r="322">
          <cell r="B322" t="str">
            <v>Testing_19</v>
          </cell>
          <cell r="C322" t="str">
            <v>Testing-2_Manual Testing_Test Lead_Junior_Manual Testing</v>
          </cell>
          <cell r="D322" t="str">
            <v>Testing-2</v>
          </cell>
          <cell r="E322" t="str">
            <v>Manual Testing</v>
          </cell>
          <cell r="F322" t="str">
            <v>Test Lead</v>
          </cell>
          <cell r="G322" t="str">
            <v>Manual Testing</v>
          </cell>
          <cell r="H322" t="str">
            <v>Junior</v>
          </cell>
          <cell r="I322" t="str">
            <v>5 - 8</v>
          </cell>
          <cell r="J322" t="str">
            <v>B3 PL1 (5 to 7 yrs)</v>
          </cell>
          <cell r="K322" t="str">
            <v>B3 PL2 (6 to 8 yrs)</v>
          </cell>
          <cell r="L322" t="str">
            <v>None</v>
          </cell>
        </row>
        <row r="323">
          <cell r="B323" t="str">
            <v>Testing_20</v>
          </cell>
          <cell r="C323" t="str">
            <v>Testing-2_Manual Testing_Test Lead_Senior_Manual Testing</v>
          </cell>
          <cell r="D323" t="str">
            <v>Testing-2</v>
          </cell>
          <cell r="E323" t="str">
            <v>Manual Testing</v>
          </cell>
          <cell r="F323" t="str">
            <v>Test Lead</v>
          </cell>
          <cell r="G323" t="str">
            <v>Manual Testing</v>
          </cell>
          <cell r="H323" t="str">
            <v>Senior</v>
          </cell>
          <cell r="I323" t="str">
            <v>7 - 10</v>
          </cell>
          <cell r="J323" t="str">
            <v>B3 PL2 (6 to 8 yrs)</v>
          </cell>
          <cell r="K323" t="str">
            <v>B3 PL3 (7 to 10 yrs)</v>
          </cell>
          <cell r="L323" t="str">
            <v>None</v>
          </cell>
        </row>
        <row r="324">
          <cell r="B324" t="str">
            <v>Testing_21</v>
          </cell>
          <cell r="C324" t="str">
            <v>Testing_Manual Testing_Test Manager_Junior_Manual Testing</v>
          </cell>
          <cell r="D324" t="str">
            <v>Testing</v>
          </cell>
          <cell r="E324" t="str">
            <v>Manual Testing</v>
          </cell>
          <cell r="F324" t="str">
            <v>Test Manager</v>
          </cell>
          <cell r="G324" t="str">
            <v>Manual Testing</v>
          </cell>
          <cell r="H324" t="str">
            <v>Junior</v>
          </cell>
          <cell r="I324" t="str">
            <v xml:space="preserve">8 - 10 </v>
          </cell>
          <cell r="J324" t="str">
            <v>B3 PL3 (7 to 10 yrs)</v>
          </cell>
          <cell r="K324" t="str">
            <v>B4 PM1 (9 to 12 yrs)</v>
          </cell>
          <cell r="L324" t="str">
            <v>None</v>
          </cell>
        </row>
        <row r="325">
          <cell r="B325" t="str">
            <v>Testing_22</v>
          </cell>
          <cell r="C325" t="str">
            <v>Testing_Manual Testing_Test Manager_Mid-Level_Manual Testing</v>
          </cell>
          <cell r="D325" t="str">
            <v>Testing</v>
          </cell>
          <cell r="E325" t="str">
            <v>Manual Testing</v>
          </cell>
          <cell r="F325" t="str">
            <v>Test Manager</v>
          </cell>
          <cell r="G325" t="str">
            <v>Manual Testing</v>
          </cell>
          <cell r="H325" t="str">
            <v>Mid-Level</v>
          </cell>
          <cell r="I325" t="str">
            <v>10 - 12</v>
          </cell>
          <cell r="J325" t="str">
            <v>B4 PM1 (9 to 12 yrs)</v>
          </cell>
          <cell r="K325" t="str">
            <v>B4 PM2 (10 to 14 yrs)</v>
          </cell>
          <cell r="L325" t="str">
            <v>None</v>
          </cell>
        </row>
        <row r="326">
          <cell r="B326" t="str">
            <v>Testing_23</v>
          </cell>
          <cell r="C326" t="str">
            <v>Testing_Manual Testing_Test Manager_Senior_Manual Testing</v>
          </cell>
          <cell r="D326" t="str">
            <v>Testing</v>
          </cell>
          <cell r="E326" t="str">
            <v>Manual Testing</v>
          </cell>
          <cell r="F326" t="str">
            <v>Test Manager</v>
          </cell>
          <cell r="G326" t="str">
            <v>Manual Testing</v>
          </cell>
          <cell r="H326" t="str">
            <v>Senior</v>
          </cell>
          <cell r="I326" t="str">
            <v>12 - 14</v>
          </cell>
          <cell r="J326" t="str">
            <v>B4 PM2 (10 to 14 yrs)</v>
          </cell>
          <cell r="K326" t="str">
            <v>B4 PM3 (12 to 15 yrs)</v>
          </cell>
          <cell r="L326" t="str">
            <v>None</v>
          </cell>
        </row>
        <row r="327">
          <cell r="B327" t="str">
            <v>Testing_24</v>
          </cell>
          <cell r="C327" t="str">
            <v>Testing_Performance_Tester_Junior_Non-Functional Performace Testing Tools</v>
          </cell>
          <cell r="D327" t="str">
            <v>Testing</v>
          </cell>
          <cell r="E327" t="str">
            <v>Performance</v>
          </cell>
          <cell r="F327" t="str">
            <v>Tester</v>
          </cell>
          <cell r="G327" t="str">
            <v>Non-Functional Performace Testing Tools</v>
          </cell>
          <cell r="H327" t="str">
            <v>Junior</v>
          </cell>
          <cell r="I327" t="str">
            <v xml:space="preserve">0 - 3 </v>
          </cell>
          <cell r="J327" t="str">
            <v>B2 AP1</v>
          </cell>
          <cell r="K327" t="str">
            <v>B2 AP2 (0.6 to 3 yrs)</v>
          </cell>
          <cell r="L327" t="str">
            <v>None</v>
          </cell>
        </row>
        <row r="328">
          <cell r="B328" t="str">
            <v>Testing_25</v>
          </cell>
          <cell r="C328" t="str">
            <v>Testing_Performance_Tester_Senior_Non-Functional Performace Testing Tools</v>
          </cell>
          <cell r="D328" t="str">
            <v>Testing</v>
          </cell>
          <cell r="E328" t="str">
            <v>Performance</v>
          </cell>
          <cell r="F328" t="str">
            <v>Tester</v>
          </cell>
          <cell r="G328" t="str">
            <v>Non-Functional Performace Testing Tools</v>
          </cell>
          <cell r="H328" t="str">
            <v>Senior</v>
          </cell>
          <cell r="I328" t="str">
            <v xml:space="preserve">3 - 5 </v>
          </cell>
          <cell r="J328" t="str">
            <v>B2 AP2 (0.6 to 3 yrs)</v>
          </cell>
          <cell r="K328" t="str">
            <v>B2 AP3 (3 to 5 yrs)</v>
          </cell>
          <cell r="L328" t="str">
            <v>None</v>
          </cell>
        </row>
        <row r="329">
          <cell r="B329" t="str">
            <v>Testing_26</v>
          </cell>
          <cell r="C329" t="str">
            <v>Testing_Performance_Test Lead_Junior_Non-Functional Performace Testing Tools</v>
          </cell>
          <cell r="D329" t="str">
            <v>Testing</v>
          </cell>
          <cell r="E329" t="str">
            <v>Performance</v>
          </cell>
          <cell r="F329" t="str">
            <v>Test Lead</v>
          </cell>
          <cell r="G329" t="str">
            <v>Non-Functional Performace Testing Tools</v>
          </cell>
          <cell r="H329" t="str">
            <v>Junior</v>
          </cell>
          <cell r="I329" t="str">
            <v>5 - 8</v>
          </cell>
          <cell r="J329" t="str">
            <v>B3 PL1 (5 to 7 yrs)</v>
          </cell>
          <cell r="K329" t="str">
            <v>B3 PL2 (6 to 8 yrs)</v>
          </cell>
          <cell r="L329" t="str">
            <v>None</v>
          </cell>
        </row>
        <row r="330">
          <cell r="B330" t="str">
            <v>Testing_27</v>
          </cell>
          <cell r="C330" t="str">
            <v>Testing_Performance_Test Lead_Senior_Non-Functional Performace Testing Tools</v>
          </cell>
          <cell r="D330" t="str">
            <v>Testing</v>
          </cell>
          <cell r="E330" t="str">
            <v>Performance</v>
          </cell>
          <cell r="F330" t="str">
            <v>Test Lead</v>
          </cell>
          <cell r="G330" t="str">
            <v>Non-Functional Performace Testing Tools</v>
          </cell>
          <cell r="H330" t="str">
            <v>Senior</v>
          </cell>
          <cell r="I330" t="str">
            <v>7 - 10</v>
          </cell>
          <cell r="J330" t="str">
            <v>B3 PL2 (6 to 8 yrs)</v>
          </cell>
          <cell r="K330" t="str">
            <v>B3 PL3 (7 to 10 yrs)</v>
          </cell>
          <cell r="L330" t="str">
            <v>None</v>
          </cell>
        </row>
        <row r="331">
          <cell r="B331" t="str">
            <v>Testing_28</v>
          </cell>
          <cell r="C331" t="str">
            <v>Testing_Performance_Test Manager_Junior_Non-Functional Performace Testing Tools</v>
          </cell>
          <cell r="D331" t="str">
            <v>Testing</v>
          </cell>
          <cell r="E331" t="str">
            <v>Performance</v>
          </cell>
          <cell r="F331" t="str">
            <v>Test Manager</v>
          </cell>
          <cell r="G331" t="str">
            <v>Non-Functional Performace Testing Tools</v>
          </cell>
          <cell r="H331" t="str">
            <v>Junior</v>
          </cell>
          <cell r="I331" t="str">
            <v xml:space="preserve">8 - 10 </v>
          </cell>
          <cell r="J331" t="str">
            <v>B3 PL3 (7 to 10 yrs)</v>
          </cell>
          <cell r="K331" t="str">
            <v>B4 PM1 (9 to 12 yrs)</v>
          </cell>
          <cell r="L331" t="str">
            <v>None</v>
          </cell>
        </row>
        <row r="332">
          <cell r="B332" t="str">
            <v>Testing_29</v>
          </cell>
          <cell r="C332" t="str">
            <v>Testing_Performance_Test Manager_Mid-Level_Non-Functional Performace Testing Tools</v>
          </cell>
          <cell r="D332" t="str">
            <v>Testing</v>
          </cell>
          <cell r="E332" t="str">
            <v>Performance</v>
          </cell>
          <cell r="F332" t="str">
            <v>Test Manager</v>
          </cell>
          <cell r="G332" t="str">
            <v>Non-Functional Performace Testing Tools</v>
          </cell>
          <cell r="H332" t="str">
            <v>Mid-Level</v>
          </cell>
          <cell r="I332" t="str">
            <v>10 - 12</v>
          </cell>
          <cell r="J332" t="str">
            <v>B4 PM1 (9 to 12 yrs)</v>
          </cell>
          <cell r="K332" t="str">
            <v>B4 PM2 (10 to 14 yrs)</v>
          </cell>
          <cell r="L332" t="str">
            <v>None</v>
          </cell>
        </row>
        <row r="333">
          <cell r="B333" t="str">
            <v>Testing_30</v>
          </cell>
          <cell r="C333" t="str">
            <v>Testing_Performance_Test Manager_Senior_Non-Functional Performace Testing Tools</v>
          </cell>
          <cell r="D333" t="str">
            <v>Testing</v>
          </cell>
          <cell r="E333" t="str">
            <v>Performance</v>
          </cell>
          <cell r="F333" t="str">
            <v>Test Manager</v>
          </cell>
          <cell r="G333" t="str">
            <v>Non-Functional Performace Testing Tools</v>
          </cell>
          <cell r="H333" t="str">
            <v>Senior</v>
          </cell>
          <cell r="I333" t="str">
            <v>12 - 14</v>
          </cell>
          <cell r="J333" t="str">
            <v>B4 PM2 (10 to 14 yrs)</v>
          </cell>
          <cell r="K333" t="str">
            <v>B4 PM3 (12 to 15 yrs)</v>
          </cell>
          <cell r="L333" t="str">
            <v>None</v>
          </cell>
        </row>
        <row r="334">
          <cell r="B334" t="str">
            <v>Testing_43</v>
          </cell>
          <cell r="C334" t="str">
            <v>Testing_Product Based_Tester_Junior_Product Testing (GoldenSource, Latent Zero, TLM Recon, Guidewire/Duck Creek BPTR)</v>
          </cell>
          <cell r="D334" t="str">
            <v>Testing</v>
          </cell>
          <cell r="E334" t="str">
            <v>Product Based</v>
          </cell>
          <cell r="F334" t="str">
            <v>Tester</v>
          </cell>
          <cell r="G334" t="str">
            <v>Product Testing (GoldenSource, Latent Zero, TLM Recon, Guidewire/Duck Creek BPTR)</v>
          </cell>
          <cell r="H334" t="str">
            <v>Junior</v>
          </cell>
          <cell r="I334" t="str">
            <v xml:space="preserve">0 - 3 </v>
          </cell>
          <cell r="J334" t="str">
            <v>B2 AP1</v>
          </cell>
          <cell r="K334" t="str">
            <v>B2 AP2 (0.6 to 3 yrs)</v>
          </cell>
          <cell r="L334" t="str">
            <v>None</v>
          </cell>
        </row>
        <row r="335">
          <cell r="B335" t="str">
            <v>Testing_36</v>
          </cell>
          <cell r="C335" t="str">
            <v>Testing_Product Based_Tester_Senior_Product Testing (GoldenSource, Latent Zero, TLM Recon, Guidewire/Duck Creek BPTR)</v>
          </cell>
          <cell r="D335" t="str">
            <v>Testing</v>
          </cell>
          <cell r="E335" t="str">
            <v>Product Based</v>
          </cell>
          <cell r="F335" t="str">
            <v>Tester</v>
          </cell>
          <cell r="G335" t="str">
            <v>Product Testing (GoldenSource, Latent Zero, TLM Recon, Guidewire/Duck Creek BPTR)</v>
          </cell>
          <cell r="H335" t="str">
            <v>Senior</v>
          </cell>
          <cell r="I335" t="str">
            <v xml:space="preserve">3 - 5 </v>
          </cell>
          <cell r="J335" t="str">
            <v>B2 AP2 (0.6 to 3 yrs)</v>
          </cell>
          <cell r="K335" t="str">
            <v>B2 AP3 (3 to 5 yrs)</v>
          </cell>
          <cell r="L335" t="str">
            <v>None</v>
          </cell>
        </row>
        <row r="336">
          <cell r="B336" t="str">
            <v>Testing_37</v>
          </cell>
          <cell r="C336" t="str">
            <v>Testing_Product Based_Test Lead_Junior_Product Testing (GoldenSource, Latent Zero, TLM Recon, Guidewire/Duck Creek BPTR)</v>
          </cell>
          <cell r="D336" t="str">
            <v>Testing</v>
          </cell>
          <cell r="E336" t="str">
            <v>Product Based</v>
          </cell>
          <cell r="F336" t="str">
            <v>Test Lead</v>
          </cell>
          <cell r="G336" t="str">
            <v>Product Testing (GoldenSource, Latent Zero, TLM Recon, Guidewire/Duck Creek BPTR)</v>
          </cell>
          <cell r="H336" t="str">
            <v>Junior</v>
          </cell>
          <cell r="I336" t="str">
            <v>5 - 8</v>
          </cell>
          <cell r="J336" t="str">
            <v>B3 PL1 (5 to 7 yrs)</v>
          </cell>
          <cell r="K336" t="str">
            <v>B3 PL2 (6 to 8 yrs)</v>
          </cell>
          <cell r="L336" t="str">
            <v>None</v>
          </cell>
        </row>
        <row r="337">
          <cell r="B337" t="str">
            <v>Testing_38</v>
          </cell>
          <cell r="C337" t="str">
            <v>Testing_Product Based_Test Lead_Senior_Product Testing (GoldenSource, Latent Zero, TLM Recon, Guidewire/Duck Creek BPTR)</v>
          </cell>
          <cell r="D337" t="str">
            <v>Testing</v>
          </cell>
          <cell r="E337" t="str">
            <v>Product Based</v>
          </cell>
          <cell r="F337" t="str">
            <v>Test Lead</v>
          </cell>
          <cell r="G337" t="str">
            <v>Product Testing (GoldenSource, Latent Zero, TLM Recon, Guidewire/Duck Creek BPTR)</v>
          </cell>
          <cell r="H337" t="str">
            <v>Senior</v>
          </cell>
          <cell r="I337" t="str">
            <v>7 - 10</v>
          </cell>
          <cell r="J337" t="str">
            <v>B3 PL2 (6 to 8 yrs)</v>
          </cell>
          <cell r="K337" t="str">
            <v>B3 PL3 (7 to 10 yrs)</v>
          </cell>
          <cell r="L337" t="str">
            <v>None</v>
          </cell>
        </row>
        <row r="338">
          <cell r="B338" t="str">
            <v>Testing_39</v>
          </cell>
          <cell r="C338" t="str">
            <v>Testing_Product Based_Test Manager_Junior_Product Testing (GoldenSource, Latent Zero, TLM Recon, Guidewire/Duck Creek BPTR)</v>
          </cell>
          <cell r="D338" t="str">
            <v>Testing</v>
          </cell>
          <cell r="E338" t="str">
            <v>Product Based</v>
          </cell>
          <cell r="F338" t="str">
            <v>Test Manager</v>
          </cell>
          <cell r="G338" t="str">
            <v>Product Testing (GoldenSource, Latent Zero, TLM Recon, Guidewire/Duck Creek BPTR)</v>
          </cell>
          <cell r="H338" t="str">
            <v>Junior</v>
          </cell>
          <cell r="I338" t="str">
            <v xml:space="preserve">8 - 10 </v>
          </cell>
          <cell r="J338" t="str">
            <v>B3 PL3 (7 to 10 yrs)</v>
          </cell>
          <cell r="K338" t="str">
            <v>B4 PM1 (9 to 12 yrs)</v>
          </cell>
          <cell r="L338" t="str">
            <v>None</v>
          </cell>
        </row>
        <row r="339">
          <cell r="B339" t="str">
            <v>Testing_44</v>
          </cell>
          <cell r="C339" t="str">
            <v>Testing_Product Based_Test Manager_Mid-Level_Product Testing (GoldenSource, Latent Zero, TLM Recon, Guidewire/Duck Creek BPTR)</v>
          </cell>
          <cell r="D339" t="str">
            <v>Testing</v>
          </cell>
          <cell r="E339" t="str">
            <v>Product Based</v>
          </cell>
          <cell r="F339" t="str">
            <v>Test Manager</v>
          </cell>
          <cell r="G339" t="str">
            <v>Product Testing (GoldenSource, Latent Zero, TLM Recon, Guidewire/Duck Creek BPTR)</v>
          </cell>
          <cell r="H339" t="str">
            <v>Mid-Level</v>
          </cell>
          <cell r="I339" t="str">
            <v>10 - 12</v>
          </cell>
          <cell r="J339" t="str">
            <v>B4 PM1 (9 to 12 yrs)</v>
          </cell>
          <cell r="K339" t="str">
            <v>B4 PM2 (10 to 14 yrs)</v>
          </cell>
          <cell r="L339" t="str">
            <v>None</v>
          </cell>
        </row>
        <row r="340">
          <cell r="B340" t="str">
            <v>Testing_40</v>
          </cell>
          <cell r="C340" t="str">
            <v>Testing_Product Based_Test Manager_Senior_Product Testing (GoldenSource, Latent Zero, TLM Recon, Guidewire/Duck Creek BPTR)</v>
          </cell>
          <cell r="D340" t="str">
            <v>Testing</v>
          </cell>
          <cell r="E340" t="str">
            <v>Product Based</v>
          </cell>
          <cell r="F340" t="str">
            <v>Test Manager</v>
          </cell>
          <cell r="G340" t="str">
            <v>Product Testing (GoldenSource, Latent Zero, TLM Recon, Guidewire/Duck Creek BPTR)</v>
          </cell>
          <cell r="H340" t="str">
            <v>Senior</v>
          </cell>
          <cell r="I340" t="str">
            <v>12 - 14</v>
          </cell>
          <cell r="J340" t="str">
            <v>B4 PM2 (10 to 14 yrs)</v>
          </cell>
          <cell r="K340" t="str">
            <v>B4 PM3 (12 to 15 yrs)</v>
          </cell>
          <cell r="L340" t="str">
            <v>None</v>
          </cell>
        </row>
        <row r="341">
          <cell r="B341" t="str">
            <v>Testing_41</v>
          </cell>
          <cell r="C341" t="str">
            <v>Testing_Testing_Test Director__Strategic Test Management</v>
          </cell>
          <cell r="D341" t="str">
            <v>Testing</v>
          </cell>
          <cell r="E341" t="str">
            <v>Testing</v>
          </cell>
          <cell r="F341" t="str">
            <v>Test Director</v>
          </cell>
          <cell r="G341" t="str">
            <v>Strategic Test Management</v>
          </cell>
          <cell r="I341" t="str">
            <v>14+</v>
          </cell>
          <cell r="J341" t="str">
            <v>B5 (min 8 yrs)</v>
          </cell>
          <cell r="K341" t="str">
            <v>None</v>
          </cell>
          <cell r="L341" t="str">
            <v>None</v>
          </cell>
        </row>
        <row r="342">
          <cell r="B342" t="str">
            <v>Testing_42</v>
          </cell>
          <cell r="C342" t="str">
            <v>Testing_Testing_Test Process Consultant__Test Process Consulting</v>
          </cell>
          <cell r="D342" t="str">
            <v>Testing</v>
          </cell>
          <cell r="E342" t="str">
            <v>Testing</v>
          </cell>
          <cell r="F342" t="str">
            <v>Test Process Consultant</v>
          </cell>
          <cell r="G342" t="str">
            <v>Test Process Consulting</v>
          </cell>
          <cell r="I342" t="str">
            <v>14+</v>
          </cell>
          <cell r="J342" t="str">
            <v>B4 PM3 (12 to 15 yrs)</v>
          </cell>
          <cell r="K342" t="str">
            <v>B5 (min 8 yrs)</v>
          </cell>
          <cell r="L342" t="str">
            <v>None</v>
          </cell>
        </row>
        <row r="343">
          <cell r="B343" t="str">
            <v>Mobility_9</v>
          </cell>
          <cell r="C343" t="str">
            <v>Mobility_Mobility_Architect_Junior_</v>
          </cell>
          <cell r="D343" t="str">
            <v>Mobility</v>
          </cell>
          <cell r="E343" t="str">
            <v>Mobility</v>
          </cell>
          <cell r="F343" t="str">
            <v>Architect</v>
          </cell>
          <cell r="H343" t="str">
            <v>Junior</v>
          </cell>
          <cell r="I343" t="str">
            <v>9 - 12</v>
          </cell>
          <cell r="J343" t="str">
            <v>B4 PM1 (9 to 12 yrs)</v>
          </cell>
          <cell r="K343" t="str">
            <v>None</v>
          </cell>
          <cell r="L343" t="str">
            <v>None</v>
          </cell>
        </row>
        <row r="344">
          <cell r="B344" t="str">
            <v>Mobility_10</v>
          </cell>
          <cell r="C344" t="str">
            <v>Mobility_Mobility_Architect_Mid-Level_</v>
          </cell>
          <cell r="D344" t="str">
            <v>Mobility</v>
          </cell>
          <cell r="E344" t="str">
            <v>Mobility</v>
          </cell>
          <cell r="F344" t="str">
            <v>Architect</v>
          </cell>
          <cell r="H344" t="str">
            <v>Mid-Level</v>
          </cell>
          <cell r="I344" t="str">
            <v xml:space="preserve">12 - 14 </v>
          </cell>
          <cell r="J344" t="str">
            <v>B4 PM2 (10 to 14 yrs)</v>
          </cell>
          <cell r="K344" t="str">
            <v>B4 PM3 (12 to 15 yrs)</v>
          </cell>
          <cell r="L344" t="str">
            <v>None</v>
          </cell>
        </row>
        <row r="345">
          <cell r="B345" t="str">
            <v>Mobility_11</v>
          </cell>
          <cell r="C345" t="str">
            <v>Mobility_Mobility_Architect_Senior_</v>
          </cell>
          <cell r="D345" t="str">
            <v>Mobility</v>
          </cell>
          <cell r="E345" t="str">
            <v>Mobility</v>
          </cell>
          <cell r="F345" t="str">
            <v>Architect</v>
          </cell>
          <cell r="H345" t="str">
            <v>Senior</v>
          </cell>
          <cell r="I345" t="str">
            <v>14+</v>
          </cell>
          <cell r="J345" t="str">
            <v>B4 PM3 (12 to 15 yrs)</v>
          </cell>
          <cell r="K345" t="str">
            <v>B5 (min 8 yrs)</v>
          </cell>
          <cell r="L345" t="str">
            <v>None</v>
          </cell>
        </row>
        <row r="346">
          <cell r="B346" t="str">
            <v>Mobility_4</v>
          </cell>
          <cell r="C346" t="str">
            <v>Mobility_Mobility_Developer_Junior_</v>
          </cell>
          <cell r="D346" t="str">
            <v>Mobility</v>
          </cell>
          <cell r="E346" t="str">
            <v>Mobility</v>
          </cell>
          <cell r="F346" t="str">
            <v>Developer</v>
          </cell>
          <cell r="H346" t="str">
            <v>Junior</v>
          </cell>
          <cell r="I346" t="str">
            <v xml:space="preserve">0 - 3 </v>
          </cell>
          <cell r="J346" t="str">
            <v>B2 AP1</v>
          </cell>
          <cell r="K346" t="str">
            <v>B2 AP2 (0.6 to 3 yrs)</v>
          </cell>
          <cell r="L346" t="str">
            <v>None</v>
          </cell>
        </row>
        <row r="347">
          <cell r="B347" t="str">
            <v>Mobility_5</v>
          </cell>
          <cell r="C347" t="str">
            <v>Mobility_Mobility_Developer_Mid-Level_</v>
          </cell>
          <cell r="D347" t="str">
            <v>Mobility</v>
          </cell>
          <cell r="E347" t="str">
            <v>Mobility</v>
          </cell>
          <cell r="F347" t="str">
            <v>Developer</v>
          </cell>
          <cell r="H347" t="str">
            <v>Mid-Level</v>
          </cell>
          <cell r="I347" t="str">
            <v xml:space="preserve">3 - 5 </v>
          </cell>
          <cell r="J347" t="str">
            <v>B2 AP2 (0.6 to 3 yrs)</v>
          </cell>
          <cell r="K347" t="str">
            <v>B2 AP3 (3 to 5 yrs)</v>
          </cell>
          <cell r="L347" t="str">
            <v>None</v>
          </cell>
        </row>
        <row r="348">
          <cell r="B348" t="str">
            <v>Mobility_6</v>
          </cell>
          <cell r="C348" t="str">
            <v>Mobility_Mobility_Developer_Senior_</v>
          </cell>
          <cell r="D348" t="str">
            <v>Mobility</v>
          </cell>
          <cell r="E348" t="str">
            <v>Mobility</v>
          </cell>
          <cell r="F348" t="str">
            <v>Developer</v>
          </cell>
          <cell r="H348" t="str">
            <v>Senior</v>
          </cell>
          <cell r="I348" t="str">
            <v xml:space="preserve">5 - 7 </v>
          </cell>
          <cell r="J348" t="str">
            <v>B2 AP3 (3 to 5 yrs)</v>
          </cell>
          <cell r="K348" t="str">
            <v>B3 PL1 (5 to 7 yrs)</v>
          </cell>
          <cell r="L348" t="str">
            <v>None</v>
          </cell>
        </row>
        <row r="349">
          <cell r="B349" t="str">
            <v>Mobility_7</v>
          </cell>
          <cell r="C349" t="str">
            <v>Mobility_Mobility_Technical Lead_Junior_</v>
          </cell>
          <cell r="D349" t="str">
            <v>Mobility</v>
          </cell>
          <cell r="E349" t="str">
            <v>Mobility</v>
          </cell>
          <cell r="F349" t="str">
            <v>Technical Lead</v>
          </cell>
          <cell r="H349" t="str">
            <v>Junior</v>
          </cell>
          <cell r="I349" t="str">
            <v>5 - 8</v>
          </cell>
          <cell r="J349" t="str">
            <v>B3 PL1 (5 to 7 yrs)</v>
          </cell>
          <cell r="K349" t="str">
            <v>B3 PL2 (6 to 8 yrs)</v>
          </cell>
          <cell r="L349" t="str">
            <v>None</v>
          </cell>
        </row>
        <row r="350">
          <cell r="B350" t="str">
            <v>Mobility_8</v>
          </cell>
          <cell r="C350" t="str">
            <v>Mobility_Mobility_Technical Lead_Senior_</v>
          </cell>
          <cell r="D350" t="str">
            <v>Mobility</v>
          </cell>
          <cell r="E350" t="str">
            <v>Mobility</v>
          </cell>
          <cell r="F350" t="str">
            <v>Technical Lead</v>
          </cell>
          <cell r="H350" t="str">
            <v>Senior</v>
          </cell>
          <cell r="I350" t="str">
            <v>7 - 10</v>
          </cell>
          <cell r="J350" t="str">
            <v>B3 PL3 (7 to 10 yrs)</v>
          </cell>
          <cell r="K350" t="str">
            <v>None</v>
          </cell>
          <cell r="L350" t="str">
            <v>None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131"/>
  <sheetViews>
    <sheetView showGridLines="0" zoomScale="85" zoomScaleNormal="85" workbookViewId="0">
      <pane ySplit="3" topLeftCell="A4" activePane="bottomLeft" state="frozen"/>
      <selection activeCell="I32" sqref="I32:J32"/>
      <selection pane="bottomLeft" activeCell="G82" sqref="G82"/>
    </sheetView>
  </sheetViews>
  <sheetFormatPr defaultColWidth="9.140625" defaultRowHeight="12.75"/>
  <cols>
    <col min="1" max="1" width="23" style="168" customWidth="1"/>
    <col min="2" max="2" width="18.42578125" style="168" customWidth="1"/>
    <col min="3" max="3" width="19.140625" style="168" customWidth="1"/>
    <col min="4" max="4" width="20.42578125" style="168" customWidth="1"/>
    <col min="5" max="5" width="22" style="168" customWidth="1"/>
    <col min="6" max="6" width="10.5703125" style="168" hidden="1" customWidth="1"/>
    <col min="7" max="7" width="25.140625" style="167" customWidth="1"/>
    <col min="8" max="8" width="4.140625" style="167" hidden="1" customWidth="1"/>
    <col min="9" max="10" width="1.85546875" style="167" hidden="1" customWidth="1"/>
    <col min="11" max="11" width="1.7109375" style="167" hidden="1" customWidth="1"/>
    <col min="12" max="12" width="14" style="168" hidden="1" customWidth="1"/>
    <col min="13" max="13" width="5.140625" style="168" hidden="1" customWidth="1"/>
    <col min="14" max="15" width="3.140625" style="168" hidden="1" customWidth="1"/>
    <col min="16" max="16" width="13.140625" style="168" hidden="1" customWidth="1"/>
    <col min="17" max="21" width="9.140625" style="168" hidden="1" customWidth="1"/>
    <col min="22" max="22" width="12.28515625" style="168" hidden="1" customWidth="1"/>
    <col min="23" max="27" width="9.140625" style="168"/>
    <col min="28" max="28" width="11.28515625" style="168" customWidth="1"/>
    <col min="29" max="29" width="9.140625" style="168" customWidth="1"/>
    <col min="30" max="30" width="10.7109375" style="168" customWidth="1"/>
    <col min="31" max="32" width="9.140625" style="168" customWidth="1"/>
    <col min="33" max="33" width="13.140625" style="168" customWidth="1"/>
    <col min="34" max="34" width="0" style="168" hidden="1" customWidth="1"/>
    <col min="35" max="35" width="11.7109375" style="168" customWidth="1"/>
    <col min="36" max="36" width="0" style="168" hidden="1" customWidth="1"/>
    <col min="37" max="37" width="9.140625" style="168"/>
    <col min="38" max="39" width="0" style="168" hidden="1" customWidth="1"/>
    <col min="40" max="40" width="9.140625" style="168"/>
    <col min="41" max="41" width="0" style="168" hidden="1" customWidth="1"/>
    <col min="42" max="47" width="9.140625" style="168"/>
    <col min="48" max="49" width="0" style="168" hidden="1" customWidth="1"/>
    <col min="50" max="50" width="12.7109375" style="168" hidden="1" customWidth="1"/>
    <col min="51" max="53" width="0" style="168" hidden="1" customWidth="1"/>
    <col min="54" max="55" width="10.42578125" style="168" bestFit="1" customWidth="1"/>
    <col min="56" max="56" width="10.5703125" style="168" bestFit="1" customWidth="1"/>
    <col min="57" max="58" width="9.5703125" style="168" bestFit="1" customWidth="1"/>
    <col min="59" max="59" width="11.42578125" style="168" customWidth="1"/>
    <col min="60" max="60" width="9.140625" style="168" customWidth="1"/>
    <col min="61" max="61" width="11.42578125" style="168" bestFit="1" customWidth="1"/>
    <col min="62" max="62" width="10.5703125" style="168" bestFit="1" customWidth="1"/>
    <col min="63" max="63" width="11.28515625" style="168" customWidth="1"/>
    <col min="64" max="69" width="9.140625" style="168" customWidth="1"/>
    <col min="70" max="70" width="9.5703125" style="168" bestFit="1" customWidth="1"/>
    <col min="71" max="71" width="11" style="168" customWidth="1"/>
    <col min="72" max="72" width="9.140625" style="168" customWidth="1"/>
    <col min="73" max="73" width="13.5703125" style="168" bestFit="1" customWidth="1"/>
    <col min="74" max="16384" width="9.140625" style="168"/>
  </cols>
  <sheetData>
    <row r="1" spans="1:21">
      <c r="A1" s="492" t="s">
        <v>1405</v>
      </c>
      <c r="B1" s="493"/>
      <c r="C1" s="493"/>
      <c r="D1" s="493"/>
      <c r="E1" s="493"/>
      <c r="F1" s="493"/>
      <c r="G1" s="494"/>
      <c r="H1" s="97"/>
      <c r="I1" s="98"/>
      <c r="J1" s="99"/>
      <c r="M1" s="169"/>
      <c r="N1" s="169"/>
      <c r="O1" s="169"/>
      <c r="P1" s="170" t="s">
        <v>44</v>
      </c>
      <c r="Q1" s="170" t="s">
        <v>44</v>
      </c>
      <c r="R1" s="170" t="s">
        <v>44</v>
      </c>
      <c r="S1" s="170"/>
    </row>
    <row r="2" spans="1:21">
      <c r="A2" s="135"/>
      <c r="B2" s="141"/>
      <c r="C2" s="141"/>
      <c r="D2" s="141"/>
      <c r="E2" s="141"/>
      <c r="F2" s="141"/>
      <c r="G2" s="148"/>
      <c r="H2" s="97"/>
      <c r="I2" s="98"/>
      <c r="J2" s="99"/>
      <c r="M2" s="100"/>
      <c r="N2" s="100"/>
      <c r="O2" s="100"/>
      <c r="P2" s="142" t="s">
        <v>45</v>
      </c>
      <c r="Q2" s="142" t="s">
        <v>46</v>
      </c>
      <c r="R2" s="142" t="s">
        <v>47</v>
      </c>
      <c r="S2" s="142"/>
    </row>
    <row r="3" spans="1:21" ht="25.5" customHeight="1">
      <c r="A3" s="495" t="str">
        <f>IF(P18=46,"MESSAGE - Okay to upload this file in CRM.","ERROR MESSAGE - It is mandatory to fill in all the cells coloured in yellow. Please fill in NA if not required")</f>
        <v>ERROR MESSAGE - It is mandatory to fill in all the cells coloured in yellow. Please fill in NA if not required</v>
      </c>
      <c r="B3" s="496"/>
      <c r="C3" s="496"/>
      <c r="D3" s="496"/>
      <c r="E3" s="496"/>
      <c r="F3" s="496"/>
      <c r="G3" s="497"/>
      <c r="H3" s="100"/>
      <c r="I3" s="101"/>
      <c r="J3" s="102"/>
      <c r="M3" s="100"/>
      <c r="N3" s="100"/>
      <c r="O3" s="100"/>
      <c r="P3" s="142" t="s">
        <v>48</v>
      </c>
      <c r="Q3" s="142" t="s">
        <v>49</v>
      </c>
      <c r="R3" s="142" t="s">
        <v>50</v>
      </c>
      <c r="S3" s="142"/>
    </row>
    <row r="4" spans="1:21">
      <c r="A4" s="109"/>
      <c r="B4" s="142"/>
      <c r="C4" s="142"/>
      <c r="D4" s="142"/>
      <c r="E4" s="142"/>
      <c r="F4" s="142"/>
      <c r="G4" s="149"/>
      <c r="H4" s="100"/>
      <c r="I4" s="101"/>
      <c r="J4" s="102"/>
      <c r="M4" s="100"/>
      <c r="N4" s="100"/>
      <c r="O4" s="100"/>
      <c r="P4" s="142" t="s">
        <v>51</v>
      </c>
      <c r="Q4" s="142" t="s">
        <v>52</v>
      </c>
      <c r="R4" s="142"/>
      <c r="S4" s="142"/>
    </row>
    <row r="5" spans="1:21" ht="15" customHeight="1">
      <c r="A5" s="274" t="s">
        <v>53</v>
      </c>
      <c r="B5" s="275"/>
      <c r="C5" s="275"/>
      <c r="D5" s="275"/>
      <c r="E5" s="275"/>
      <c r="F5" s="275"/>
      <c r="G5" s="225"/>
      <c r="H5" s="100"/>
      <c r="I5" s="101"/>
      <c r="J5" s="102"/>
      <c r="M5" s="100">
        <f>IF(G5="",0,1)</f>
        <v>0</v>
      </c>
      <c r="N5" s="100"/>
      <c r="O5" s="100"/>
      <c r="P5" s="142"/>
      <c r="Q5" s="142" t="s">
        <v>54</v>
      </c>
      <c r="R5" s="142" t="s">
        <v>44</v>
      </c>
      <c r="S5" s="142"/>
    </row>
    <row r="6" spans="1:21" ht="15" customHeight="1">
      <c r="A6" s="110" t="s">
        <v>55</v>
      </c>
      <c r="B6" s="143"/>
      <c r="C6" s="143"/>
      <c r="D6" s="143"/>
      <c r="E6" s="143"/>
      <c r="F6" s="143"/>
      <c r="G6" s="226"/>
      <c r="H6" s="100"/>
      <c r="I6" s="101"/>
      <c r="J6" s="102"/>
      <c r="M6" s="100">
        <f>IF(G6="",0,1)</f>
        <v>0</v>
      </c>
      <c r="N6" s="100"/>
      <c r="O6" s="100"/>
      <c r="P6" s="142"/>
      <c r="Q6" s="142" t="s">
        <v>56</v>
      </c>
      <c r="R6" s="142" t="s">
        <v>757</v>
      </c>
      <c r="S6" s="142"/>
    </row>
    <row r="7" spans="1:21" ht="15" customHeight="1">
      <c r="A7" s="110" t="s">
        <v>57</v>
      </c>
      <c r="B7" s="143"/>
      <c r="C7" s="143"/>
      <c r="D7" s="143"/>
      <c r="E7" s="143"/>
      <c r="F7" s="143"/>
      <c r="G7" s="226"/>
      <c r="H7" s="100"/>
      <c r="I7" s="101"/>
      <c r="J7" s="102"/>
      <c r="M7" s="100">
        <f>IF(G7="",0,1)</f>
        <v>0</v>
      </c>
      <c r="N7" s="100"/>
      <c r="O7" s="100"/>
      <c r="P7" s="142"/>
      <c r="Q7" s="142" t="s">
        <v>58</v>
      </c>
      <c r="R7" s="142" t="s">
        <v>758</v>
      </c>
      <c r="S7" s="142"/>
    </row>
    <row r="8" spans="1:21" ht="15" customHeight="1">
      <c r="A8" s="110" t="s">
        <v>1353</v>
      </c>
      <c r="B8" s="143"/>
      <c r="C8" s="143"/>
      <c r="D8" s="143"/>
      <c r="E8" s="143"/>
      <c r="F8" s="143"/>
      <c r="G8" s="226"/>
      <c r="H8" s="140"/>
      <c r="I8" s="107"/>
      <c r="J8" s="108"/>
      <c r="M8" s="100">
        <f>IF(G8="",0,1)</f>
        <v>0</v>
      </c>
      <c r="N8" s="100"/>
      <c r="O8" s="100"/>
      <c r="P8" s="142"/>
      <c r="Q8" s="142" t="s">
        <v>43</v>
      </c>
      <c r="R8" s="142" t="s">
        <v>751</v>
      </c>
      <c r="S8" s="142"/>
    </row>
    <row r="9" spans="1:21" ht="15" customHeight="1">
      <c r="A9" s="111" t="s">
        <v>1354</v>
      </c>
      <c r="B9" s="144"/>
      <c r="C9" s="144"/>
      <c r="D9" s="144"/>
      <c r="E9" s="144"/>
      <c r="F9" s="144"/>
      <c r="G9" s="276"/>
      <c r="H9" s="100"/>
      <c r="I9" s="101"/>
      <c r="J9" s="102"/>
      <c r="M9" s="100">
        <f>IF(G9="",0,1)</f>
        <v>0</v>
      </c>
      <c r="N9" s="100"/>
      <c r="O9" s="100"/>
      <c r="P9" s="142"/>
      <c r="Q9" s="142"/>
      <c r="R9" s="142"/>
      <c r="S9" s="142"/>
      <c r="U9" s="168" t="s">
        <v>1355</v>
      </c>
    </row>
    <row r="10" spans="1:21" ht="15" hidden="1" customHeight="1">
      <c r="A10" s="103"/>
      <c r="B10" s="105"/>
      <c r="C10" s="105"/>
      <c r="D10" s="105"/>
      <c r="E10" s="105"/>
      <c r="F10" s="105"/>
      <c r="G10" s="150"/>
      <c r="H10" s="100"/>
      <c r="I10" s="101"/>
      <c r="J10" s="102"/>
      <c r="M10" s="100"/>
      <c r="N10" s="100"/>
      <c r="O10" s="100"/>
      <c r="P10" s="142"/>
      <c r="Q10" s="142" t="s">
        <v>51</v>
      </c>
      <c r="R10" s="142" t="s">
        <v>759</v>
      </c>
      <c r="S10" s="142"/>
    </row>
    <row r="11" spans="1:21" ht="15.95" hidden="1" customHeight="1">
      <c r="A11" s="103" t="s">
        <v>59</v>
      </c>
      <c r="B11" s="105"/>
      <c r="C11" s="105"/>
      <c r="D11" s="105"/>
      <c r="E11" s="105"/>
      <c r="F11" s="105"/>
      <c r="G11" s="153"/>
      <c r="H11" s="100"/>
      <c r="I11" s="101"/>
      <c r="J11" s="102"/>
      <c r="M11" s="100"/>
      <c r="N11" s="100"/>
      <c r="O11" s="100"/>
      <c r="Q11" s="142"/>
      <c r="R11" s="142"/>
      <c r="S11" s="142"/>
    </row>
    <row r="12" spans="1:21" ht="15.95" hidden="1" customHeight="1">
      <c r="A12" s="103" t="s">
        <v>60</v>
      </c>
      <c r="B12" s="105"/>
      <c r="C12" s="105"/>
      <c r="D12" s="105"/>
      <c r="E12" s="105"/>
      <c r="F12" s="105"/>
      <c r="G12" s="151">
        <v>1</v>
      </c>
      <c r="H12" s="100"/>
      <c r="I12" s="101"/>
      <c r="J12" s="102"/>
      <c r="M12" s="100"/>
      <c r="N12" s="100"/>
      <c r="O12" s="100"/>
      <c r="P12" s="142"/>
      <c r="Q12" s="142"/>
      <c r="R12" s="142"/>
      <c r="S12" s="142"/>
    </row>
    <row r="13" spans="1:21" ht="15.95" hidden="1" customHeight="1">
      <c r="A13" s="103" t="s">
        <v>61</v>
      </c>
      <c r="B13" s="105"/>
      <c r="C13" s="105"/>
      <c r="D13" s="105"/>
      <c r="E13" s="105"/>
      <c r="F13" s="105"/>
      <c r="G13" s="152">
        <f>1-G12</f>
        <v>0</v>
      </c>
      <c r="H13" s="100"/>
      <c r="I13" s="101"/>
      <c r="J13" s="102"/>
      <c r="M13" s="100"/>
      <c r="N13" s="100"/>
      <c r="O13" s="100"/>
      <c r="P13" s="142"/>
      <c r="Q13" s="142"/>
      <c r="R13" s="142"/>
      <c r="S13" s="142"/>
    </row>
    <row r="14" spans="1:21" ht="15.95" hidden="1" customHeight="1">
      <c r="A14" s="103" t="s">
        <v>62</v>
      </c>
      <c r="B14" s="105"/>
      <c r="C14" s="105"/>
      <c r="D14" s="105"/>
      <c r="E14" s="105"/>
      <c r="F14" s="105"/>
      <c r="G14" s="153" t="s">
        <v>50</v>
      </c>
      <c r="H14" s="100"/>
      <c r="I14" s="101"/>
      <c r="J14" s="102"/>
      <c r="M14" s="100"/>
      <c r="N14" s="100"/>
      <c r="O14" s="100"/>
      <c r="P14" s="142"/>
      <c r="Q14" s="142"/>
      <c r="R14" s="142"/>
      <c r="S14" s="142"/>
    </row>
    <row r="15" spans="1:21" ht="15.95" hidden="1" customHeight="1">
      <c r="A15" s="103" t="s">
        <v>63</v>
      </c>
      <c r="B15" s="105"/>
      <c r="C15" s="105"/>
      <c r="D15" s="105"/>
      <c r="E15" s="105"/>
      <c r="F15" s="105"/>
      <c r="G15" s="153" t="s">
        <v>705</v>
      </c>
      <c r="H15" s="104"/>
      <c r="I15" s="101"/>
      <c r="J15" s="102"/>
      <c r="M15" s="100"/>
      <c r="N15" s="100"/>
      <c r="O15" s="100"/>
      <c r="P15" s="142"/>
      <c r="Q15" s="142"/>
      <c r="R15" s="142"/>
      <c r="S15" s="142"/>
      <c r="U15" s="100"/>
    </row>
    <row r="16" spans="1:21" ht="15.95" hidden="1" customHeight="1">
      <c r="A16" s="103" t="s">
        <v>64</v>
      </c>
      <c r="B16" s="105"/>
      <c r="C16" s="105"/>
      <c r="D16" s="105"/>
      <c r="E16" s="105"/>
      <c r="F16" s="105"/>
      <c r="G16" s="153" t="s">
        <v>705</v>
      </c>
      <c r="H16" s="104"/>
      <c r="I16" s="101"/>
      <c r="J16" s="102"/>
      <c r="M16" s="100"/>
      <c r="N16" s="100"/>
      <c r="O16" s="100"/>
      <c r="P16" s="142"/>
      <c r="Q16" s="142"/>
      <c r="R16" s="142"/>
      <c r="S16" s="142"/>
      <c r="U16" s="100"/>
    </row>
    <row r="17" spans="1:21" ht="15.95" customHeight="1">
      <c r="A17" s="103"/>
      <c r="B17" s="105"/>
      <c r="C17" s="105"/>
      <c r="D17" s="105"/>
      <c r="E17" s="105"/>
      <c r="F17" s="105"/>
      <c r="G17" s="150"/>
      <c r="H17" s="100"/>
      <c r="I17" s="101"/>
      <c r="J17" s="102"/>
      <c r="M17" s="100"/>
      <c r="N17" s="100"/>
      <c r="O17" s="100"/>
      <c r="P17" s="142"/>
      <c r="Q17" s="142"/>
      <c r="S17" s="142"/>
      <c r="U17" s="100"/>
    </row>
    <row r="18" spans="1:21" ht="15.95" customHeight="1">
      <c r="A18" s="103" t="s">
        <v>738</v>
      </c>
      <c r="B18" s="105"/>
      <c r="C18" s="105"/>
      <c r="D18" s="105"/>
      <c r="E18" s="105"/>
      <c r="F18" s="105"/>
      <c r="G18" s="153"/>
      <c r="H18" s="100"/>
      <c r="I18" s="101"/>
      <c r="J18" s="102"/>
      <c r="M18" s="100">
        <f>IF(G18="",0,1)</f>
        <v>0</v>
      </c>
      <c r="N18" s="100"/>
      <c r="O18" s="100"/>
      <c r="P18" s="142">
        <f>SUM(M5:M112)</f>
        <v>29</v>
      </c>
      <c r="Q18" s="142"/>
      <c r="S18" s="142"/>
    </row>
    <row r="19" spans="1:21" ht="15.95" customHeight="1">
      <c r="A19" s="103" t="s">
        <v>65</v>
      </c>
      <c r="B19" s="105"/>
      <c r="C19" s="105"/>
      <c r="D19" s="105"/>
      <c r="E19" s="105"/>
      <c r="F19" s="105"/>
      <c r="G19" s="153" t="s">
        <v>44</v>
      </c>
      <c r="H19" s="100"/>
      <c r="I19" s="101"/>
      <c r="J19" s="102"/>
      <c r="M19" s="100">
        <f>IF(G19="Select",0,1)</f>
        <v>0</v>
      </c>
      <c r="N19" s="100"/>
      <c r="O19" s="100"/>
      <c r="P19" s="142"/>
      <c r="Q19" s="142"/>
      <c r="R19" s="142"/>
      <c r="S19" s="142"/>
    </row>
    <row r="20" spans="1:21" ht="15.95" customHeight="1">
      <c r="A20" s="103" t="s">
        <v>66</v>
      </c>
      <c r="B20" s="105"/>
      <c r="C20" s="105"/>
      <c r="D20" s="105"/>
      <c r="E20" s="105"/>
      <c r="F20" s="105"/>
      <c r="G20" s="153" t="s">
        <v>44</v>
      </c>
      <c r="H20" s="100"/>
      <c r="I20" s="101"/>
      <c r="J20" s="102"/>
      <c r="M20" s="100">
        <f>IF(G20="Select",0,1)</f>
        <v>0</v>
      </c>
      <c r="N20" s="100"/>
      <c r="O20" s="100"/>
      <c r="P20" s="142"/>
      <c r="Q20" s="142"/>
      <c r="R20" s="142"/>
      <c r="S20" s="142"/>
    </row>
    <row r="21" spans="1:21">
      <c r="A21" s="103"/>
      <c r="B21" s="105"/>
      <c r="C21" s="105"/>
      <c r="D21" s="105"/>
      <c r="E21" s="105"/>
      <c r="F21" s="105"/>
      <c r="G21" s="150"/>
      <c r="H21" s="100"/>
      <c r="I21" s="101"/>
      <c r="J21" s="102"/>
      <c r="M21" s="100"/>
      <c r="N21" s="100"/>
      <c r="O21" s="100"/>
      <c r="P21" s="142"/>
      <c r="Q21" s="142"/>
      <c r="R21" s="142"/>
      <c r="S21" s="142"/>
    </row>
    <row r="22" spans="1:21" ht="15.95" customHeight="1">
      <c r="A22" s="112" t="s">
        <v>756</v>
      </c>
      <c r="B22" s="145"/>
      <c r="C22" s="145"/>
      <c r="D22" s="145"/>
      <c r="E22" s="145"/>
      <c r="F22" s="145"/>
      <c r="G22" s="153" t="s">
        <v>44</v>
      </c>
      <c r="H22" s="113"/>
      <c r="I22" s="113"/>
      <c r="J22" s="114"/>
      <c r="K22" s="172"/>
      <c r="L22" s="172"/>
      <c r="M22" s="100">
        <f>IF(G22="Select",0,1)</f>
        <v>0</v>
      </c>
      <c r="N22" s="100"/>
      <c r="O22" s="100"/>
      <c r="P22" s="142"/>
      <c r="Q22" s="142"/>
      <c r="R22" s="142"/>
      <c r="S22" s="142"/>
    </row>
    <row r="23" spans="1:21" ht="15.95" customHeight="1">
      <c r="A23" s="112"/>
      <c r="B23" s="145"/>
      <c r="C23" s="145"/>
      <c r="D23" s="145"/>
      <c r="E23" s="145"/>
      <c r="F23" s="145"/>
      <c r="G23" s="150"/>
      <c r="H23" s="113"/>
      <c r="I23" s="113"/>
      <c r="J23" s="114"/>
      <c r="K23" s="172"/>
      <c r="L23" s="172"/>
      <c r="M23" s="100"/>
      <c r="N23" s="100"/>
      <c r="O23" s="100"/>
      <c r="P23" s="142"/>
      <c r="Q23" s="142"/>
      <c r="R23" s="142"/>
      <c r="S23" s="142"/>
    </row>
    <row r="24" spans="1:21" ht="15.95" customHeight="1">
      <c r="A24" s="112" t="s">
        <v>1358</v>
      </c>
      <c r="B24" s="145"/>
      <c r="C24" s="145"/>
      <c r="D24" s="145"/>
      <c r="E24" s="145"/>
      <c r="F24" s="145"/>
      <c r="G24" s="153">
        <v>0</v>
      </c>
      <c r="H24" s="113"/>
      <c r="I24" s="113"/>
      <c r="J24" s="114"/>
      <c r="K24" s="172"/>
      <c r="L24" s="172"/>
      <c r="M24" s="100">
        <f>IF(G22="New Deal",1,IF(G24="",0,1))</f>
        <v>1</v>
      </c>
      <c r="N24" s="100"/>
      <c r="O24" s="100"/>
      <c r="P24" s="142"/>
      <c r="Q24" s="142"/>
      <c r="R24" s="142"/>
      <c r="S24" s="142"/>
    </row>
    <row r="25" spans="1:21" ht="15.95" customHeight="1">
      <c r="A25" s="103"/>
      <c r="B25" s="105"/>
      <c r="C25" s="105"/>
      <c r="D25" s="105"/>
      <c r="E25" s="105"/>
      <c r="F25" s="105"/>
      <c r="G25" s="150"/>
      <c r="H25" s="100"/>
      <c r="I25" s="101"/>
      <c r="J25" s="102"/>
      <c r="M25" s="100"/>
      <c r="N25" s="100"/>
      <c r="O25" s="100"/>
      <c r="P25" s="142"/>
      <c r="Q25" s="142"/>
      <c r="R25" s="142"/>
      <c r="S25" s="142"/>
    </row>
    <row r="26" spans="1:21" ht="15.95" customHeight="1">
      <c r="A26" s="112" t="s">
        <v>1359</v>
      </c>
      <c r="B26" s="359"/>
      <c r="C26" s="359"/>
      <c r="D26" s="359"/>
      <c r="E26" s="359"/>
      <c r="F26" s="145"/>
      <c r="G26" s="153">
        <v>0</v>
      </c>
      <c r="H26" s="113"/>
      <c r="I26" s="113"/>
      <c r="J26" s="114"/>
      <c r="K26" s="172"/>
      <c r="L26" s="172"/>
      <c r="M26" s="100"/>
      <c r="N26" s="100"/>
      <c r="O26" s="100"/>
      <c r="P26" s="142"/>
      <c r="Q26" s="142"/>
      <c r="R26" s="142"/>
      <c r="S26" s="142"/>
    </row>
    <row r="27" spans="1:21" ht="15.95" customHeight="1">
      <c r="A27" s="103"/>
      <c r="B27" s="105"/>
      <c r="C27" s="105"/>
      <c r="D27" s="105"/>
      <c r="E27" s="105"/>
      <c r="F27" s="105"/>
      <c r="G27" s="150"/>
      <c r="H27" s="100"/>
      <c r="I27" s="101"/>
      <c r="J27" s="102"/>
      <c r="M27" s="100"/>
      <c r="N27" s="100"/>
      <c r="O27" s="100"/>
      <c r="P27" s="142"/>
      <c r="Q27" s="142"/>
      <c r="R27" s="142"/>
      <c r="S27" s="142"/>
    </row>
    <row r="28" spans="1:21" ht="15.95" customHeight="1">
      <c r="A28" s="103" t="s">
        <v>1406</v>
      </c>
      <c r="B28" s="105"/>
      <c r="C28" s="105"/>
      <c r="D28" s="105"/>
      <c r="E28" s="105"/>
      <c r="F28" s="105"/>
      <c r="G28" s="153">
        <v>0</v>
      </c>
      <c r="H28" s="100"/>
      <c r="I28" s="101"/>
      <c r="J28" s="102"/>
      <c r="M28" s="100">
        <f>IF(G28="",0,1)</f>
        <v>1</v>
      </c>
      <c r="N28" s="100"/>
      <c r="O28" s="100"/>
      <c r="P28" s="142"/>
      <c r="Q28" s="142"/>
      <c r="R28" s="142"/>
      <c r="S28" s="142"/>
    </row>
    <row r="29" spans="1:21" ht="15.95" customHeight="1">
      <c r="A29" s="103"/>
      <c r="B29" s="105"/>
      <c r="C29" s="105"/>
      <c r="D29" s="105"/>
      <c r="E29" s="105"/>
      <c r="F29" s="105"/>
      <c r="G29" s="150"/>
      <c r="H29" s="100"/>
      <c r="I29" s="101"/>
      <c r="J29" s="102"/>
      <c r="M29" s="100"/>
      <c r="N29" s="100"/>
      <c r="O29" s="100"/>
      <c r="P29" s="142"/>
      <c r="Q29" s="142"/>
      <c r="R29" s="142"/>
      <c r="S29" s="142"/>
    </row>
    <row r="30" spans="1:21" ht="15.95" customHeight="1">
      <c r="A30" s="103" t="s">
        <v>1407</v>
      </c>
      <c r="B30" s="105"/>
      <c r="C30" s="105"/>
      <c r="D30" s="105"/>
      <c r="E30" s="105"/>
      <c r="F30" s="105"/>
      <c r="G30" s="153">
        <v>0</v>
      </c>
      <c r="H30" s="100"/>
      <c r="I30" s="101"/>
      <c r="J30" s="102"/>
      <c r="M30" s="100">
        <f>IF(G30="",0,1)</f>
        <v>1</v>
      </c>
      <c r="N30" s="100"/>
      <c r="O30" s="100"/>
      <c r="P30" s="142"/>
      <c r="Q30" s="142"/>
      <c r="R30" s="142"/>
      <c r="S30" s="142"/>
    </row>
    <row r="31" spans="1:21" ht="15.95" customHeight="1">
      <c r="A31" s="103" t="s">
        <v>1408</v>
      </c>
      <c r="B31" s="105"/>
      <c r="C31" s="105"/>
      <c r="D31" s="105"/>
      <c r="E31" s="105"/>
      <c r="F31" s="105"/>
      <c r="G31" s="153">
        <v>0</v>
      </c>
      <c r="H31" s="100"/>
      <c r="I31" s="101"/>
      <c r="J31" s="102"/>
      <c r="M31" s="100">
        <f>IF(G31="",0,1)</f>
        <v>1</v>
      </c>
      <c r="N31" s="100"/>
      <c r="O31" s="100"/>
      <c r="P31" s="142"/>
      <c r="Q31" s="142"/>
      <c r="R31" s="142"/>
      <c r="S31" s="142"/>
    </row>
    <row r="32" spans="1:21" ht="15.95" hidden="1" customHeight="1">
      <c r="A32" s="103"/>
      <c r="B32" s="105"/>
      <c r="C32" s="105"/>
      <c r="D32" s="105"/>
      <c r="E32" s="105"/>
      <c r="F32" s="105"/>
      <c r="G32" s="153"/>
      <c r="H32" s="100"/>
      <c r="I32" s="101"/>
      <c r="J32" s="102"/>
      <c r="M32" s="100">
        <f>IF(G32="",0,1)</f>
        <v>0</v>
      </c>
      <c r="N32" s="100"/>
      <c r="O32" s="100"/>
      <c r="P32" s="142"/>
      <c r="Q32" s="142"/>
      <c r="R32" s="142"/>
      <c r="S32" s="142"/>
    </row>
    <row r="33" spans="1:19" ht="15.95" customHeight="1">
      <c r="A33" s="103"/>
      <c r="B33" s="105"/>
      <c r="C33" s="105"/>
      <c r="D33" s="105"/>
      <c r="E33" s="105"/>
      <c r="F33" s="105"/>
      <c r="G33" s="150"/>
      <c r="H33" s="100"/>
      <c r="I33" s="101"/>
      <c r="J33" s="102"/>
      <c r="M33" s="100"/>
      <c r="N33" s="100"/>
      <c r="O33" s="100"/>
      <c r="P33" s="142"/>
      <c r="Q33" s="142"/>
      <c r="R33" s="142"/>
      <c r="S33" s="142"/>
    </row>
    <row r="34" spans="1:19" ht="15.95" customHeight="1">
      <c r="A34" s="103" t="s">
        <v>1360</v>
      </c>
      <c r="B34" s="105"/>
      <c r="C34" s="105"/>
      <c r="D34" s="105"/>
      <c r="E34" s="105"/>
      <c r="F34" s="105"/>
      <c r="G34" s="153">
        <v>0</v>
      </c>
      <c r="H34" s="100"/>
      <c r="I34" s="101"/>
      <c r="J34" s="102"/>
      <c r="M34" s="100">
        <f>IF(G34="",0,1)</f>
        <v>1</v>
      </c>
      <c r="N34" s="100"/>
      <c r="O34" s="100"/>
      <c r="P34" s="142"/>
      <c r="Q34" s="142"/>
      <c r="R34" s="142"/>
      <c r="S34" s="142"/>
    </row>
    <row r="35" spans="1:19" ht="15.95" customHeight="1">
      <c r="A35" s="103"/>
      <c r="B35" s="105"/>
      <c r="C35" s="105"/>
      <c r="D35" s="105"/>
      <c r="E35" s="105"/>
      <c r="F35" s="105"/>
      <c r="G35" s="150"/>
      <c r="H35" s="100"/>
      <c r="I35" s="101"/>
      <c r="J35" s="102"/>
      <c r="M35" s="100"/>
      <c r="N35" s="100"/>
      <c r="O35" s="100"/>
      <c r="P35" s="142"/>
      <c r="Q35" s="142"/>
      <c r="R35" s="142"/>
      <c r="S35" s="142"/>
    </row>
    <row r="36" spans="1:19" ht="24.75" customHeight="1">
      <c r="A36" s="498" t="s">
        <v>1361</v>
      </c>
      <c r="B36" s="499"/>
      <c r="C36" s="499"/>
      <c r="D36" s="499"/>
      <c r="E36" s="499"/>
      <c r="F36" s="105"/>
      <c r="G36" s="198">
        <f>+'Hardware Software Cost'!F42</f>
        <v>0</v>
      </c>
      <c r="H36" s="100"/>
      <c r="I36" s="101"/>
      <c r="J36" s="102"/>
      <c r="M36" s="100">
        <f>IF(G36="",0,1)</f>
        <v>1</v>
      </c>
      <c r="N36" s="100"/>
      <c r="O36" s="100"/>
      <c r="P36" s="142"/>
      <c r="Q36" s="142"/>
      <c r="R36" s="142"/>
      <c r="S36" s="142"/>
    </row>
    <row r="37" spans="1:19">
      <c r="A37" s="103"/>
      <c r="B37" s="105"/>
      <c r="C37" s="105"/>
      <c r="D37" s="105"/>
      <c r="E37" s="105"/>
      <c r="F37" s="105"/>
      <c r="G37" s="150"/>
      <c r="H37" s="100"/>
      <c r="I37" s="101"/>
      <c r="J37" s="102"/>
      <c r="M37" s="100"/>
      <c r="N37" s="100"/>
      <c r="O37" s="100"/>
      <c r="P37" s="142"/>
      <c r="Q37" s="142"/>
      <c r="R37" s="142"/>
      <c r="S37" s="142"/>
    </row>
    <row r="38" spans="1:19" ht="15.95" customHeight="1">
      <c r="A38" s="103" t="s">
        <v>1362</v>
      </c>
      <c r="B38" s="105"/>
      <c r="C38" s="105"/>
      <c r="D38" s="105"/>
      <c r="E38" s="105"/>
      <c r="F38" s="105"/>
      <c r="G38" s="154">
        <v>0</v>
      </c>
      <c r="H38" s="100"/>
      <c r="I38" s="101"/>
      <c r="J38" s="102"/>
      <c r="M38" s="100">
        <f>IF(G38="",0,1)</f>
        <v>1</v>
      </c>
      <c r="N38" s="100"/>
      <c r="O38" s="100"/>
      <c r="P38" s="142"/>
      <c r="Q38" s="142"/>
      <c r="R38" s="142"/>
      <c r="S38" s="142"/>
    </row>
    <row r="39" spans="1:19">
      <c r="A39" s="103"/>
      <c r="B39" s="105"/>
      <c r="C39" s="105"/>
      <c r="D39" s="105"/>
      <c r="E39" s="105"/>
      <c r="F39" s="105"/>
      <c r="G39" s="150"/>
      <c r="H39" s="100"/>
      <c r="I39" s="101"/>
      <c r="J39" s="102"/>
      <c r="M39" s="100"/>
      <c r="N39" s="100"/>
      <c r="O39" s="100"/>
      <c r="P39" s="142"/>
      <c r="Q39" s="142"/>
      <c r="R39" s="142"/>
      <c r="S39" s="142"/>
    </row>
    <row r="40" spans="1:19" ht="15.95" customHeight="1">
      <c r="A40" s="103" t="s">
        <v>1363</v>
      </c>
      <c r="B40" s="105"/>
      <c r="C40" s="105"/>
      <c r="D40" s="105"/>
      <c r="E40" s="105"/>
      <c r="F40" s="105"/>
      <c r="G40" s="153">
        <v>0</v>
      </c>
      <c r="H40" s="100"/>
      <c r="I40" s="101"/>
      <c r="J40" s="102"/>
      <c r="M40" s="100">
        <f>IF(G40="",0,1)</f>
        <v>1</v>
      </c>
      <c r="N40" s="100"/>
      <c r="O40" s="100"/>
      <c r="P40" s="142"/>
      <c r="Q40" s="142"/>
      <c r="R40" s="142"/>
      <c r="S40" s="142"/>
    </row>
    <row r="41" spans="1:19" ht="15.95" customHeight="1">
      <c r="A41" s="103" t="s">
        <v>1356</v>
      </c>
      <c r="B41" s="105"/>
      <c r="C41" s="105"/>
      <c r="D41" s="105"/>
      <c r="E41" s="105"/>
      <c r="F41" s="105"/>
      <c r="G41" s="153">
        <v>0</v>
      </c>
      <c r="H41" s="100"/>
      <c r="I41" s="101"/>
      <c r="J41" s="102"/>
      <c r="M41" s="100">
        <f>IF(G41="",0,1)</f>
        <v>1</v>
      </c>
      <c r="N41" s="100"/>
      <c r="O41" s="100"/>
      <c r="P41" s="142"/>
      <c r="Q41" s="142"/>
      <c r="R41" s="142"/>
      <c r="S41" s="142"/>
    </row>
    <row r="42" spans="1:19">
      <c r="A42" s="103"/>
      <c r="B42" s="105"/>
      <c r="C42" s="105"/>
      <c r="D42" s="105"/>
      <c r="E42" s="105"/>
      <c r="F42" s="105"/>
      <c r="G42" s="150"/>
      <c r="H42" s="100"/>
      <c r="I42" s="101"/>
      <c r="J42" s="102"/>
      <c r="M42" s="100"/>
      <c r="N42" s="100"/>
      <c r="O42" s="100"/>
      <c r="P42" s="142"/>
      <c r="Q42" s="142"/>
      <c r="R42" s="142"/>
      <c r="S42" s="142"/>
    </row>
    <row r="43" spans="1:19" ht="15.95" customHeight="1">
      <c r="A43" s="103" t="s">
        <v>1329</v>
      </c>
      <c r="B43" s="105"/>
      <c r="C43" s="105"/>
      <c r="D43" s="105"/>
      <c r="E43" s="105"/>
      <c r="F43" s="105"/>
      <c r="G43" s="153" t="s">
        <v>757</v>
      </c>
      <c r="H43" s="100"/>
      <c r="I43" s="101"/>
      <c r="J43" s="102"/>
      <c r="M43" s="100">
        <f>IF(G43="Select",0,1)</f>
        <v>1</v>
      </c>
      <c r="N43" s="100"/>
      <c r="O43" s="100"/>
      <c r="P43" s="142"/>
      <c r="Q43" s="142"/>
      <c r="R43" s="142"/>
      <c r="S43" s="142"/>
    </row>
    <row r="44" spans="1:19" ht="15.95" customHeight="1">
      <c r="A44" s="103" t="s">
        <v>1330</v>
      </c>
      <c r="B44" s="105"/>
      <c r="C44" s="105"/>
      <c r="D44" s="105"/>
      <c r="E44" s="105"/>
      <c r="F44" s="105"/>
      <c r="G44" s="153" t="s">
        <v>50</v>
      </c>
      <c r="H44" s="100"/>
      <c r="I44" s="101"/>
      <c r="J44" s="102"/>
      <c r="M44" s="100">
        <f>IF(G44="Select",0,1)</f>
        <v>1</v>
      </c>
      <c r="N44" s="100"/>
      <c r="O44" s="100"/>
      <c r="P44" s="142"/>
      <c r="Q44" s="142"/>
      <c r="R44" s="142"/>
      <c r="S44" s="142"/>
    </row>
    <row r="45" spans="1:19" ht="15.95" customHeight="1">
      <c r="A45" s="103" t="s">
        <v>1357</v>
      </c>
      <c r="B45" s="105"/>
      <c r="C45" s="105"/>
      <c r="D45" s="105"/>
      <c r="E45" s="105"/>
      <c r="F45" s="105"/>
      <c r="G45" s="154">
        <v>0</v>
      </c>
      <c r="H45" s="100"/>
      <c r="I45" s="101"/>
      <c r="J45" s="102"/>
      <c r="M45" s="100">
        <f>IF(G44="NO",1,IF(G45&gt;0,1,0))</f>
        <v>1</v>
      </c>
      <c r="N45" s="100"/>
      <c r="O45" s="100"/>
      <c r="P45" s="142"/>
      <c r="Q45" s="142"/>
      <c r="R45" s="142"/>
      <c r="S45" s="142"/>
    </row>
    <row r="46" spans="1:19" ht="15.95" customHeight="1">
      <c r="A46" s="103"/>
      <c r="B46" s="105"/>
      <c r="C46" s="105"/>
      <c r="D46" s="105"/>
      <c r="E46" s="105"/>
      <c r="F46" s="105"/>
      <c r="G46" s="367"/>
      <c r="H46" s="100"/>
      <c r="I46" s="101"/>
      <c r="J46" s="102"/>
      <c r="M46" s="100"/>
      <c r="N46" s="100"/>
      <c r="O46" s="100"/>
      <c r="P46" s="142"/>
      <c r="Q46" s="142"/>
      <c r="R46" s="142"/>
      <c r="S46" s="142"/>
    </row>
    <row r="47" spans="1:19" ht="15.95" customHeight="1">
      <c r="A47" s="103" t="s">
        <v>1331</v>
      </c>
      <c r="B47" s="105"/>
      <c r="C47" s="105"/>
      <c r="D47" s="105"/>
      <c r="E47" s="105"/>
      <c r="F47" s="105"/>
      <c r="G47" s="153" t="s">
        <v>44</v>
      </c>
      <c r="H47" s="100"/>
      <c r="I47" s="101"/>
      <c r="J47" s="102"/>
      <c r="M47" s="100">
        <f>IF(G47="Select",0,1)</f>
        <v>0</v>
      </c>
      <c r="N47" s="100"/>
      <c r="O47" s="100"/>
      <c r="P47" s="142"/>
      <c r="Q47" s="142"/>
      <c r="R47" s="142"/>
      <c r="S47" s="142"/>
    </row>
    <row r="48" spans="1:19">
      <c r="A48" s="103"/>
      <c r="B48" s="105"/>
      <c r="C48" s="105"/>
      <c r="D48" s="105"/>
      <c r="E48" s="105"/>
      <c r="F48" s="105"/>
      <c r="G48" s="150"/>
      <c r="H48" s="100"/>
      <c r="I48" s="101"/>
      <c r="J48" s="102"/>
      <c r="M48" s="100"/>
      <c r="N48" s="100"/>
      <c r="O48" s="100"/>
      <c r="P48" s="142"/>
      <c r="Q48" s="142"/>
      <c r="R48" s="142"/>
      <c r="S48" s="142"/>
    </row>
    <row r="49" spans="1:21" ht="15.95" customHeight="1">
      <c r="A49" s="103" t="s">
        <v>1332</v>
      </c>
      <c r="B49" s="105"/>
      <c r="C49" s="105"/>
      <c r="D49" s="105"/>
      <c r="E49" s="105"/>
      <c r="F49" s="105"/>
      <c r="G49" s="153" t="s">
        <v>44</v>
      </c>
      <c r="H49" s="100"/>
      <c r="I49" s="101"/>
      <c r="J49" s="102"/>
      <c r="M49" s="100">
        <f>IF(G49="Select",0,1)</f>
        <v>0</v>
      </c>
      <c r="N49" s="100"/>
      <c r="O49" s="100"/>
      <c r="P49" s="142"/>
      <c r="Q49" s="142"/>
      <c r="R49" s="142"/>
      <c r="S49" s="142"/>
    </row>
    <row r="50" spans="1:21" ht="15.6" customHeight="1">
      <c r="A50" s="103" t="s">
        <v>1352</v>
      </c>
      <c r="B50" s="366"/>
      <c r="C50" s="366"/>
      <c r="D50" s="105"/>
      <c r="E50" s="105"/>
      <c r="F50" s="105"/>
      <c r="G50" s="150"/>
      <c r="H50" s="100"/>
      <c r="I50" s="101"/>
      <c r="J50" s="102"/>
      <c r="M50" s="100"/>
      <c r="N50" s="100"/>
      <c r="O50" s="100"/>
      <c r="P50" s="142"/>
      <c r="Q50" s="142"/>
      <c r="R50" s="142"/>
      <c r="S50" s="142"/>
    </row>
    <row r="51" spans="1:21" ht="15.6" customHeight="1">
      <c r="A51" s="103"/>
      <c r="B51" s="105"/>
      <c r="C51" s="105"/>
      <c r="D51" s="105"/>
      <c r="E51" s="105"/>
      <c r="F51" s="105"/>
      <c r="G51" s="150"/>
      <c r="H51" s="100"/>
      <c r="I51" s="101"/>
      <c r="J51" s="102"/>
      <c r="M51" s="100"/>
      <c r="N51" s="100"/>
      <c r="O51" s="100"/>
      <c r="P51" s="142"/>
      <c r="Q51" s="142"/>
      <c r="R51" s="142"/>
      <c r="S51" s="142"/>
    </row>
    <row r="52" spans="1:21" ht="15.95" customHeight="1">
      <c r="A52" s="103" t="s">
        <v>1333</v>
      </c>
      <c r="B52" s="105"/>
      <c r="C52" s="105"/>
      <c r="D52" s="105"/>
      <c r="E52" s="105"/>
      <c r="F52" s="105"/>
      <c r="G52" s="153" t="s">
        <v>50</v>
      </c>
      <c r="H52" s="100"/>
      <c r="I52" s="101"/>
      <c r="J52" s="102"/>
      <c r="M52" s="100">
        <f>IF(G52="Select",0,1)</f>
        <v>1</v>
      </c>
      <c r="N52" s="100"/>
      <c r="O52" s="100"/>
      <c r="P52" s="142"/>
      <c r="Q52" s="142"/>
      <c r="R52" s="142"/>
      <c r="S52" s="142"/>
    </row>
    <row r="53" spans="1:21" ht="15.95" customHeight="1">
      <c r="A53" s="103" t="s">
        <v>67</v>
      </c>
      <c r="B53" s="105"/>
      <c r="C53" s="105"/>
      <c r="D53" s="105"/>
      <c r="E53" s="105"/>
      <c r="F53" s="105"/>
      <c r="G53" s="153">
        <v>0</v>
      </c>
      <c r="H53" s="101"/>
      <c r="I53" s="101"/>
      <c r="J53" s="102"/>
      <c r="M53" s="100">
        <f>IF(G52="NO",1,IF(G53="",0,1))</f>
        <v>1</v>
      </c>
      <c r="N53" s="100"/>
      <c r="O53" s="100"/>
      <c r="P53" s="142"/>
      <c r="Q53" s="142"/>
      <c r="R53" s="142"/>
      <c r="S53" s="142"/>
    </row>
    <row r="54" spans="1:21">
      <c r="A54" s="103" t="s">
        <v>68</v>
      </c>
      <c r="B54" s="105"/>
      <c r="C54" s="105"/>
      <c r="D54" s="105"/>
      <c r="E54" s="105"/>
      <c r="F54" s="105"/>
      <c r="G54" s="153">
        <v>0</v>
      </c>
      <c r="H54" s="104"/>
      <c r="I54" s="101"/>
      <c r="J54" s="102"/>
      <c r="M54" s="100">
        <f>IF(G52="NO",1,IF(G54="",0,1))</f>
        <v>1</v>
      </c>
      <c r="N54" s="100"/>
      <c r="O54" s="100"/>
      <c r="P54" s="142"/>
      <c r="Q54" s="142"/>
      <c r="R54" s="142"/>
      <c r="S54" s="142"/>
    </row>
    <row r="55" spans="1:21" ht="15.95" customHeight="1">
      <c r="A55" s="103" t="s">
        <v>69</v>
      </c>
      <c r="B55" s="105"/>
      <c r="C55" s="105"/>
      <c r="D55" s="105"/>
      <c r="E55" s="105"/>
      <c r="F55" s="105"/>
      <c r="G55" s="155">
        <v>0</v>
      </c>
      <c r="H55" s="104"/>
      <c r="I55" s="101"/>
      <c r="J55" s="102"/>
      <c r="M55" s="100">
        <f>IF(G52="NO",1,IF(G55="",0,1))</f>
        <v>1</v>
      </c>
      <c r="N55" s="100"/>
      <c r="O55" s="100"/>
      <c r="P55" s="142"/>
      <c r="Q55" s="142"/>
      <c r="R55" s="142"/>
      <c r="S55" s="142"/>
    </row>
    <row r="56" spans="1:21" ht="15.95" customHeight="1">
      <c r="A56" s="103" t="s">
        <v>70</v>
      </c>
      <c r="B56" s="105"/>
      <c r="C56" s="105"/>
      <c r="D56" s="105"/>
      <c r="E56" s="105"/>
      <c r="F56" s="105"/>
      <c r="G56" s="155">
        <v>0</v>
      </c>
      <c r="H56" s="104"/>
      <c r="I56" s="101"/>
      <c r="J56" s="102"/>
      <c r="M56" s="100">
        <f>IF(G52="NO",1,IF(G56="",0,1))</f>
        <v>1</v>
      </c>
      <c r="N56" s="100"/>
      <c r="O56" s="100"/>
      <c r="P56" s="142"/>
      <c r="Q56" s="142"/>
      <c r="R56" s="142"/>
      <c r="S56" s="142"/>
    </row>
    <row r="57" spans="1:21">
      <c r="A57" s="103"/>
      <c r="B57" s="105"/>
      <c r="C57" s="105"/>
      <c r="D57" s="105"/>
      <c r="E57" s="105"/>
      <c r="F57" s="105"/>
      <c r="G57" s="368"/>
      <c r="H57" s="104"/>
      <c r="I57" s="101"/>
      <c r="J57" s="102"/>
      <c r="M57" s="100"/>
      <c r="N57" s="100"/>
      <c r="O57" s="100"/>
      <c r="P57" s="142"/>
      <c r="Q57" s="142"/>
      <c r="R57" s="142"/>
      <c r="S57" s="142"/>
    </row>
    <row r="58" spans="1:21" ht="15.95" customHeight="1">
      <c r="A58" s="103" t="s">
        <v>1334</v>
      </c>
      <c r="B58" s="105"/>
      <c r="C58" s="105"/>
      <c r="D58" s="105"/>
      <c r="E58" s="105"/>
      <c r="F58" s="105"/>
      <c r="G58" s="153" t="s">
        <v>50</v>
      </c>
      <c r="H58" s="104"/>
      <c r="I58" s="101"/>
      <c r="J58" s="102"/>
      <c r="M58" s="100">
        <f>IF(G58="Select",0,1)</f>
        <v>1</v>
      </c>
      <c r="N58" s="104"/>
      <c r="O58" s="104"/>
      <c r="P58" s="171"/>
      <c r="Q58" s="171"/>
      <c r="R58" s="171"/>
      <c r="S58" s="104"/>
    </row>
    <row r="59" spans="1:21" ht="15.95" customHeight="1">
      <c r="A59" s="103" t="s">
        <v>67</v>
      </c>
      <c r="B59" s="105"/>
      <c r="C59" s="105"/>
      <c r="D59" s="105"/>
      <c r="E59" s="105"/>
      <c r="F59" s="105"/>
      <c r="G59" s="153">
        <v>0</v>
      </c>
      <c r="H59" s="104"/>
      <c r="I59" s="101"/>
      <c r="J59" s="102"/>
      <c r="M59" s="100">
        <f>IF(G58="NO",1,IF(G59="",0,1))</f>
        <v>1</v>
      </c>
      <c r="N59" s="104"/>
      <c r="O59" s="104"/>
      <c r="P59" s="171"/>
      <c r="Q59" s="171"/>
      <c r="R59" s="171"/>
      <c r="S59" s="104"/>
    </row>
    <row r="60" spans="1:21" ht="15.95" customHeight="1">
      <c r="A60" s="103" t="s">
        <v>68</v>
      </c>
      <c r="B60" s="105"/>
      <c r="C60" s="105"/>
      <c r="D60" s="105"/>
      <c r="E60" s="105"/>
      <c r="F60" s="105"/>
      <c r="G60" s="153">
        <v>0</v>
      </c>
      <c r="H60" s="104"/>
      <c r="I60" s="101"/>
      <c r="J60" s="102"/>
      <c r="M60" s="100">
        <f>IF(G58="NO",1,IF(G60="",0,1))</f>
        <v>1</v>
      </c>
      <c r="N60" s="104"/>
      <c r="O60" s="104"/>
      <c r="P60" s="171"/>
      <c r="Q60" s="171"/>
      <c r="R60" s="171"/>
      <c r="S60" s="104"/>
    </row>
    <row r="61" spans="1:21" ht="15.95" customHeight="1">
      <c r="A61" s="103" t="s">
        <v>69</v>
      </c>
      <c r="B61" s="105"/>
      <c r="C61" s="105"/>
      <c r="D61" s="105"/>
      <c r="E61" s="105"/>
      <c r="F61" s="105"/>
      <c r="G61" s="155">
        <v>0</v>
      </c>
      <c r="H61" s="104"/>
      <c r="I61" s="101"/>
      <c r="J61" s="102"/>
      <c r="M61" s="100">
        <f>IF(G58="NO",1,IF(G61="",0,1))</f>
        <v>1</v>
      </c>
      <c r="N61" s="104"/>
      <c r="O61" s="104"/>
      <c r="P61" s="171"/>
      <c r="Q61" s="171"/>
      <c r="R61" s="171"/>
      <c r="S61" s="104"/>
    </row>
    <row r="62" spans="1:21" ht="15.95" customHeight="1">
      <c r="A62" s="103" t="s">
        <v>70</v>
      </c>
      <c r="B62" s="105"/>
      <c r="C62" s="105"/>
      <c r="D62" s="105"/>
      <c r="E62" s="105"/>
      <c r="F62" s="105"/>
      <c r="G62" s="155">
        <v>0</v>
      </c>
      <c r="H62" s="104"/>
      <c r="I62" s="101"/>
      <c r="J62" s="102"/>
      <c r="M62" s="100">
        <f>IF(G58="NO",1,IF(G62="",0,1))</f>
        <v>1</v>
      </c>
      <c r="N62" s="104"/>
      <c r="O62" s="104"/>
      <c r="P62" s="171"/>
      <c r="Q62" s="171"/>
      <c r="R62" s="171"/>
      <c r="S62" s="104"/>
    </row>
    <row r="63" spans="1:21" ht="15.95" customHeight="1">
      <c r="A63" s="103"/>
      <c r="B63" s="105"/>
      <c r="C63" s="105"/>
      <c r="D63" s="105"/>
      <c r="E63" s="105"/>
      <c r="F63" s="105"/>
      <c r="G63" s="150"/>
      <c r="H63" s="104"/>
      <c r="I63" s="101"/>
      <c r="J63" s="102"/>
      <c r="M63" s="100"/>
      <c r="N63" s="104"/>
      <c r="O63" s="104"/>
      <c r="P63" s="171"/>
      <c r="Q63" s="171"/>
      <c r="R63" s="171"/>
      <c r="S63" s="104"/>
    </row>
    <row r="64" spans="1:21" ht="15.95" customHeight="1">
      <c r="A64" s="103" t="s">
        <v>1364</v>
      </c>
      <c r="B64" s="105"/>
      <c r="C64" s="105"/>
      <c r="D64" s="105"/>
      <c r="E64" s="105"/>
      <c r="F64" s="105"/>
      <c r="G64" s="155">
        <v>0</v>
      </c>
      <c r="H64" s="104"/>
      <c r="I64" s="101"/>
      <c r="J64" s="102"/>
      <c r="M64" s="100"/>
      <c r="N64" s="104"/>
      <c r="O64" s="104"/>
      <c r="P64" s="171"/>
      <c r="Q64" s="171"/>
      <c r="R64" s="171"/>
      <c r="S64" s="104"/>
      <c r="U64" s="168" t="s">
        <v>1355</v>
      </c>
    </row>
    <row r="65" spans="1:19" ht="15.75" customHeight="1">
      <c r="A65" s="103"/>
      <c r="B65" s="105"/>
      <c r="C65" s="105"/>
      <c r="D65" s="105"/>
      <c r="E65" s="105"/>
      <c r="F65" s="105"/>
      <c r="G65" s="150"/>
      <c r="H65" s="104"/>
      <c r="I65" s="101"/>
      <c r="J65" s="102"/>
      <c r="M65" s="104"/>
      <c r="N65" s="104"/>
      <c r="O65" s="104"/>
      <c r="P65" s="171"/>
      <c r="Q65" s="171"/>
      <c r="R65" s="171"/>
      <c r="S65" s="104"/>
    </row>
    <row r="66" spans="1:19" ht="15.95" customHeight="1">
      <c r="A66" s="103" t="s">
        <v>1335</v>
      </c>
      <c r="B66" s="105"/>
      <c r="C66" s="105"/>
      <c r="D66" s="105"/>
      <c r="E66" s="105"/>
      <c r="F66" s="105"/>
      <c r="G66" s="153" t="s">
        <v>44</v>
      </c>
      <c r="H66" s="104"/>
      <c r="I66" s="104"/>
      <c r="J66" s="106"/>
      <c r="K66" s="104"/>
      <c r="L66" s="171"/>
      <c r="M66" s="171"/>
      <c r="N66" s="171"/>
      <c r="O66" s="104"/>
      <c r="P66" s="104"/>
      <c r="Q66" s="105"/>
    </row>
    <row r="67" spans="1:19" ht="15.95" customHeight="1">
      <c r="A67" s="103"/>
      <c r="B67" s="105"/>
      <c r="C67" s="105"/>
      <c r="D67" s="105"/>
      <c r="E67" s="105"/>
      <c r="F67" s="105"/>
      <c r="G67" s="150"/>
      <c r="H67" s="104"/>
      <c r="I67" s="104"/>
      <c r="J67" s="106"/>
      <c r="K67" s="104"/>
      <c r="L67" s="171"/>
      <c r="M67" s="171"/>
      <c r="N67" s="171"/>
      <c r="O67" s="104"/>
      <c r="P67" s="104"/>
      <c r="Q67" s="105"/>
    </row>
    <row r="68" spans="1:19" ht="15.95" customHeight="1">
      <c r="A68" s="103" t="s">
        <v>1337</v>
      </c>
      <c r="B68" s="105"/>
      <c r="C68" s="105"/>
      <c r="D68" s="105"/>
      <c r="E68" s="105"/>
      <c r="F68" s="105"/>
      <c r="G68" s="153">
        <v>0</v>
      </c>
      <c r="H68" s="104"/>
      <c r="I68" s="104"/>
      <c r="J68" s="106"/>
      <c r="K68" s="104"/>
      <c r="L68" s="171"/>
      <c r="M68" s="171"/>
      <c r="N68" s="171"/>
      <c r="O68" s="104"/>
      <c r="P68" s="104"/>
      <c r="Q68" s="105"/>
    </row>
    <row r="69" spans="1:19" ht="15.95" customHeight="1">
      <c r="A69" s="103"/>
      <c r="B69" s="105"/>
      <c r="C69" s="105"/>
      <c r="D69" s="105"/>
      <c r="E69" s="105"/>
      <c r="F69" s="105"/>
      <c r="G69" s="102"/>
      <c r="H69" s="104"/>
      <c r="I69" s="104"/>
      <c r="J69" s="106"/>
      <c r="K69" s="104"/>
      <c r="L69" s="171"/>
      <c r="M69" s="171"/>
      <c r="N69" s="171"/>
      <c r="O69" s="104"/>
      <c r="P69" s="104"/>
      <c r="Q69" s="105"/>
    </row>
    <row r="70" spans="1:19" ht="15.95" customHeight="1">
      <c r="A70" s="103" t="s">
        <v>1338</v>
      </c>
      <c r="B70" s="105"/>
      <c r="C70" s="105"/>
      <c r="D70" s="105"/>
      <c r="E70" s="105"/>
      <c r="F70" s="105"/>
      <c r="G70" s="158">
        <v>0</v>
      </c>
      <c r="H70" s="104"/>
      <c r="I70" s="104"/>
      <c r="J70" s="106"/>
      <c r="K70" s="104"/>
      <c r="L70" s="171"/>
      <c r="M70" s="171"/>
      <c r="N70" s="171"/>
      <c r="O70" s="104"/>
      <c r="P70" s="104"/>
      <c r="Q70" s="105"/>
    </row>
    <row r="71" spans="1:19" ht="15.95" customHeight="1">
      <c r="A71" s="103"/>
      <c r="B71" s="105"/>
      <c r="C71" s="105"/>
      <c r="D71" s="105"/>
      <c r="E71" s="105"/>
      <c r="F71" s="105"/>
      <c r="G71" s="174"/>
      <c r="H71" s="104"/>
      <c r="I71" s="104"/>
      <c r="J71" s="106"/>
      <c r="K71" s="104"/>
      <c r="L71" s="171"/>
      <c r="M71" s="171"/>
      <c r="N71" s="171"/>
      <c r="O71" s="104"/>
      <c r="P71" s="104"/>
      <c r="Q71" s="105"/>
    </row>
    <row r="72" spans="1:19" ht="15.95" customHeight="1">
      <c r="A72" s="103" t="s">
        <v>1336</v>
      </c>
      <c r="B72" s="105"/>
      <c r="C72" s="105"/>
      <c r="D72" s="105"/>
      <c r="E72" s="105"/>
      <c r="F72" s="105"/>
      <c r="G72" s="153" t="s">
        <v>50</v>
      </c>
      <c r="H72" s="104"/>
      <c r="I72" s="104"/>
      <c r="J72" s="106"/>
      <c r="K72" s="104"/>
      <c r="L72" s="171"/>
      <c r="M72" s="100">
        <f>IF(G72="Select",0,1)</f>
        <v>1</v>
      </c>
      <c r="N72" s="171"/>
      <c r="O72" s="104"/>
      <c r="P72" s="104"/>
      <c r="Q72" s="105"/>
    </row>
    <row r="73" spans="1:19" ht="15.95" customHeight="1">
      <c r="A73" s="103"/>
      <c r="B73" s="105"/>
      <c r="C73" s="105"/>
      <c r="D73" s="105"/>
      <c r="E73" s="105"/>
      <c r="F73" s="105"/>
      <c r="G73" s="150"/>
      <c r="H73" s="104"/>
      <c r="I73" s="104"/>
      <c r="J73" s="106"/>
      <c r="K73" s="104"/>
      <c r="L73" s="171"/>
      <c r="M73" s="171">
        <f>+M75+'Campus Hires %'!B42</f>
        <v>0</v>
      </c>
      <c r="N73" s="171"/>
      <c r="O73" s="104"/>
      <c r="P73" s="104"/>
      <c r="Q73" s="105"/>
    </row>
    <row r="74" spans="1:19">
      <c r="A74" s="273" t="s">
        <v>1349</v>
      </c>
      <c r="B74" s="147"/>
      <c r="C74" s="147"/>
      <c r="D74" s="147"/>
      <c r="E74" s="147"/>
      <c r="F74" s="147"/>
      <c r="G74" s="198" t="str">
        <f>IF('Campus Hires %'!B42=0,"Pls insert comments below","NA")</f>
        <v>Pls insert comments below</v>
      </c>
      <c r="H74" s="136"/>
      <c r="I74" s="136"/>
      <c r="J74" s="137"/>
      <c r="K74" s="100"/>
      <c r="L74" s="142"/>
      <c r="M74" s="100">
        <f>IF(G74="NA",1,0)</f>
        <v>0</v>
      </c>
      <c r="N74" s="142"/>
      <c r="O74" s="142"/>
      <c r="P74" s="142"/>
      <c r="Q74" s="105"/>
    </row>
    <row r="75" spans="1:19">
      <c r="A75" s="147"/>
      <c r="B75" s="147"/>
      <c r="C75" s="147"/>
      <c r="D75" s="147"/>
      <c r="E75" s="147"/>
      <c r="F75" s="147"/>
      <c r="G75" s="158"/>
      <c r="H75" s="136"/>
      <c r="I75" s="136"/>
      <c r="J75" s="137"/>
      <c r="K75" s="100"/>
      <c r="L75" s="142"/>
      <c r="M75" s="100">
        <f>IF(G75="",0,1)</f>
        <v>0</v>
      </c>
      <c r="N75" s="142"/>
      <c r="O75" s="142"/>
      <c r="P75" s="142"/>
      <c r="Q75" s="105"/>
    </row>
    <row r="76" spans="1:19" ht="15.95" customHeight="1">
      <c r="A76" s="115"/>
      <c r="B76" s="113"/>
      <c r="C76" s="113"/>
      <c r="D76" s="113"/>
      <c r="E76" s="113"/>
      <c r="F76" s="113"/>
      <c r="G76" s="156" t="s">
        <v>75</v>
      </c>
      <c r="H76" s="113"/>
      <c r="I76" s="113"/>
      <c r="J76" s="114"/>
      <c r="K76" s="172"/>
      <c r="L76" s="172"/>
      <c r="M76" s="113"/>
      <c r="N76" s="171"/>
      <c r="O76" s="104"/>
      <c r="P76" s="104"/>
      <c r="Q76" s="105"/>
    </row>
    <row r="77" spans="1:19" ht="15.95" customHeight="1">
      <c r="A77" s="328" t="s">
        <v>1321</v>
      </c>
      <c r="B77" s="146"/>
      <c r="C77" s="146"/>
      <c r="D77" s="146"/>
      <c r="E77" s="146"/>
      <c r="F77" s="146"/>
      <c r="G77" s="114"/>
      <c r="H77" s="113"/>
      <c r="I77" s="113"/>
      <c r="J77" s="114"/>
      <c r="K77" s="104"/>
      <c r="L77" s="171"/>
      <c r="M77" s="171"/>
      <c r="N77" s="171"/>
      <c r="O77" s="104"/>
      <c r="P77" s="104"/>
      <c r="Q77" s="105"/>
    </row>
    <row r="78" spans="1:19" ht="15.95" customHeight="1">
      <c r="A78" s="117" t="s">
        <v>1350</v>
      </c>
      <c r="B78" s="147"/>
      <c r="C78" s="147"/>
      <c r="D78" s="147"/>
      <c r="E78" s="147"/>
      <c r="F78" s="147"/>
      <c r="G78" s="173">
        <v>8</v>
      </c>
      <c r="H78" s="113"/>
      <c r="I78" s="113"/>
      <c r="J78" s="114"/>
      <c r="K78" s="104"/>
      <c r="L78" s="171"/>
      <c r="M78" s="171"/>
      <c r="N78" s="171"/>
      <c r="O78" s="104"/>
      <c r="P78" s="104"/>
      <c r="Q78" s="105"/>
    </row>
    <row r="79" spans="1:19">
      <c r="A79" s="147" t="s">
        <v>726</v>
      </c>
      <c r="B79" s="147"/>
      <c r="C79" s="147"/>
      <c r="D79" s="147"/>
      <c r="E79" s="147"/>
      <c r="F79" s="147"/>
      <c r="G79" s="173">
        <v>8.5</v>
      </c>
      <c r="H79" s="136"/>
      <c r="I79" s="136"/>
      <c r="J79" s="137"/>
      <c r="K79" s="100"/>
      <c r="L79" s="142"/>
      <c r="M79" s="142"/>
      <c r="N79" s="142"/>
      <c r="O79" s="142"/>
      <c r="P79" s="142"/>
      <c r="Q79" s="105"/>
    </row>
    <row r="80" spans="1:19">
      <c r="A80" s="147"/>
      <c r="B80" s="147"/>
      <c r="C80" s="147"/>
      <c r="D80" s="147"/>
      <c r="E80" s="147"/>
      <c r="F80" s="147"/>
      <c r="G80" s="114"/>
      <c r="H80" s="136"/>
      <c r="I80" s="136"/>
      <c r="J80" s="137"/>
      <c r="K80" s="100"/>
      <c r="L80" s="142"/>
      <c r="M80" s="142"/>
      <c r="N80" s="142"/>
      <c r="O80" s="142"/>
      <c r="P80" s="142"/>
      <c r="Q80" s="105"/>
    </row>
    <row r="81" spans="1:21">
      <c r="A81" s="328" t="s">
        <v>1320</v>
      </c>
      <c r="B81" s="147"/>
      <c r="C81" s="147"/>
      <c r="D81" s="147"/>
      <c r="E81" s="147"/>
      <c r="F81" s="147"/>
      <c r="G81" s="272" t="s">
        <v>1322</v>
      </c>
      <c r="H81" s="136"/>
      <c r="I81" s="136"/>
      <c r="J81" s="137"/>
      <c r="K81" s="100"/>
      <c r="L81" s="142"/>
      <c r="M81" s="142"/>
      <c r="N81" s="142"/>
      <c r="O81" s="142"/>
      <c r="P81" s="142"/>
      <c r="Q81" s="105"/>
    </row>
    <row r="82" spans="1:21">
      <c r="A82" s="117" t="s">
        <v>1351</v>
      </c>
      <c r="B82" s="147"/>
      <c r="C82" s="147"/>
      <c r="D82" s="147"/>
      <c r="E82" s="147"/>
      <c r="F82" s="147"/>
      <c r="G82" s="158">
        <f>8*21</f>
        <v>168</v>
      </c>
      <c r="H82" s="136"/>
      <c r="I82" s="136"/>
      <c r="J82" s="137"/>
      <c r="K82" s="100"/>
      <c r="L82" s="142"/>
      <c r="M82" s="100">
        <f>IF(G82&gt;1,1,0)</f>
        <v>1</v>
      </c>
      <c r="N82" s="142"/>
      <c r="O82" s="142"/>
      <c r="P82" s="142"/>
      <c r="Q82" s="105"/>
    </row>
    <row r="83" spans="1:21">
      <c r="A83" s="147" t="s">
        <v>1319</v>
      </c>
      <c r="B83" s="147"/>
      <c r="C83" s="147"/>
      <c r="D83" s="147"/>
      <c r="E83" s="147"/>
      <c r="F83" s="147"/>
      <c r="G83" s="158">
        <f>8.5*21</f>
        <v>178.5</v>
      </c>
      <c r="H83" s="136"/>
      <c r="I83" s="136"/>
      <c r="J83" s="137"/>
      <c r="K83" s="100"/>
      <c r="L83" s="142"/>
      <c r="M83" s="100">
        <f>IF(G83&gt;1,1,0)</f>
        <v>1</v>
      </c>
      <c r="N83" s="142"/>
      <c r="O83" s="142"/>
      <c r="P83" s="142"/>
      <c r="Q83" s="105"/>
    </row>
    <row r="84" spans="1:21">
      <c r="A84" s="147"/>
      <c r="B84" s="147"/>
      <c r="C84" s="147"/>
      <c r="D84" s="147"/>
      <c r="E84" s="147"/>
      <c r="F84" s="147"/>
      <c r="G84" s="174"/>
      <c r="H84" s="136"/>
      <c r="I84" s="136"/>
      <c r="J84" s="137"/>
      <c r="K84" s="100"/>
      <c r="L84" s="142"/>
      <c r="M84" s="100"/>
      <c r="N84" s="142"/>
      <c r="O84" s="142"/>
      <c r="P84" s="142"/>
      <c r="Q84" s="105"/>
    </row>
    <row r="85" spans="1:21" ht="15" customHeight="1">
      <c r="A85" s="103" t="s">
        <v>1390</v>
      </c>
      <c r="B85" s="145"/>
      <c r="C85" s="145"/>
      <c r="D85" s="145"/>
      <c r="E85" s="145"/>
      <c r="F85" s="145"/>
      <c r="G85" s="158" t="s">
        <v>44</v>
      </c>
      <c r="H85" s="113"/>
      <c r="I85" s="113"/>
      <c r="J85" s="114"/>
      <c r="K85" s="172"/>
      <c r="L85" s="172"/>
      <c r="M85" s="100">
        <f>IF(G85="Select",0,1)</f>
        <v>0</v>
      </c>
      <c r="N85" s="171"/>
      <c r="O85" s="104"/>
      <c r="P85" s="104"/>
      <c r="Q85" s="105"/>
      <c r="U85" s="383" t="s">
        <v>1355</v>
      </c>
    </row>
    <row r="86" spans="1:21" ht="15" customHeight="1">
      <c r="A86" s="103" t="s">
        <v>1366</v>
      </c>
      <c r="B86" s="145"/>
      <c r="C86" s="145"/>
      <c r="D86" s="145"/>
      <c r="E86" s="145"/>
      <c r="F86" s="145"/>
      <c r="G86" s="153" t="str">
        <f>IF(G85="NO","Insert Comment here","NA")</f>
        <v>NA</v>
      </c>
      <c r="H86" s="113"/>
      <c r="I86" s="113"/>
      <c r="J86" s="114"/>
      <c r="K86" s="172"/>
      <c r="L86" s="172"/>
      <c r="M86" s="100">
        <f>IF(G86="",0,1)</f>
        <v>1</v>
      </c>
      <c r="N86" s="171"/>
      <c r="O86" s="104"/>
      <c r="P86" s="104"/>
      <c r="Q86" s="105"/>
      <c r="U86" s="383" t="s">
        <v>1355</v>
      </c>
    </row>
    <row r="87" spans="1:21" ht="15" customHeight="1">
      <c r="A87" s="103"/>
      <c r="B87" s="145"/>
      <c r="C87" s="145"/>
      <c r="D87" s="145"/>
      <c r="E87" s="145"/>
      <c r="F87" s="145"/>
      <c r="G87" s="114"/>
      <c r="H87" s="113"/>
      <c r="I87" s="113"/>
      <c r="J87" s="114"/>
      <c r="K87" s="172"/>
      <c r="L87" s="172"/>
      <c r="M87" s="113"/>
      <c r="N87" s="171"/>
      <c r="O87" s="104"/>
      <c r="P87" s="104"/>
      <c r="Q87" s="105"/>
      <c r="U87" s="365"/>
    </row>
    <row r="88" spans="1:21" ht="15" customHeight="1">
      <c r="A88" s="147" t="s">
        <v>1365</v>
      </c>
      <c r="B88" s="147"/>
      <c r="C88" s="147"/>
      <c r="D88" s="147"/>
      <c r="E88" s="147"/>
      <c r="F88" s="147"/>
      <c r="G88" s="158" t="s">
        <v>44</v>
      </c>
      <c r="H88" s="136"/>
      <c r="I88" s="136"/>
      <c r="J88" s="137"/>
      <c r="K88" s="100"/>
      <c r="L88" s="142"/>
      <c r="M88" s="100">
        <f>IF(G88="Select",0,1)</f>
        <v>0</v>
      </c>
      <c r="N88" s="142"/>
      <c r="O88" s="142"/>
      <c r="P88" s="142"/>
      <c r="Q88" s="105"/>
      <c r="U88" s="383"/>
    </row>
    <row r="89" spans="1:21" ht="15" customHeight="1">
      <c r="A89" s="147" t="s">
        <v>1398</v>
      </c>
      <c r="B89" s="360"/>
      <c r="C89" s="360"/>
      <c r="D89" s="360"/>
      <c r="E89" s="360"/>
      <c r="F89" s="360"/>
      <c r="G89" s="384" t="str">
        <f>(IF(G88="Yes",0%,"0"))</f>
        <v>0</v>
      </c>
      <c r="H89" s="361"/>
      <c r="I89" s="361"/>
      <c r="J89" s="362"/>
      <c r="K89" s="363"/>
      <c r="L89" s="364"/>
      <c r="M89" s="100">
        <f>IF(G89="",0,1)</f>
        <v>1</v>
      </c>
      <c r="N89" s="364"/>
      <c r="O89" s="364"/>
      <c r="P89" s="364"/>
      <c r="Q89" s="364"/>
      <c r="R89" s="365"/>
      <c r="S89" s="365"/>
      <c r="T89" s="365"/>
      <c r="U89" s="383" t="s">
        <v>1355</v>
      </c>
    </row>
    <row r="90" spans="1:21" ht="15" customHeight="1">
      <c r="A90" s="147" t="s">
        <v>1395</v>
      </c>
      <c r="B90" s="145"/>
      <c r="C90" s="145"/>
      <c r="D90" s="145"/>
      <c r="E90" s="145"/>
      <c r="F90" s="145"/>
      <c r="G90" s="385" t="str">
        <f>(IF(G88="Yes",0,"0"))</f>
        <v>0</v>
      </c>
      <c r="H90" s="113"/>
      <c r="I90" s="113"/>
      <c r="J90" s="114"/>
      <c r="K90" s="172"/>
      <c r="L90" s="172"/>
      <c r="M90" s="100">
        <f>IF(G90="",0,1)</f>
        <v>1</v>
      </c>
      <c r="N90" s="171"/>
      <c r="O90" s="104"/>
      <c r="P90" s="104"/>
      <c r="Q90" s="105"/>
      <c r="U90" s="383" t="s">
        <v>1355</v>
      </c>
    </row>
    <row r="91" spans="1:21" ht="15" customHeight="1">
      <c r="A91" s="382" t="s">
        <v>1412</v>
      </c>
      <c r="B91" s="145"/>
      <c r="C91" s="145"/>
      <c r="D91" s="145"/>
      <c r="E91" s="145"/>
      <c r="F91" s="145"/>
      <c r="G91" s="114"/>
      <c r="H91" s="113"/>
      <c r="I91" s="113"/>
      <c r="J91" s="114"/>
      <c r="K91" s="172"/>
      <c r="L91" s="172"/>
      <c r="M91" s="113"/>
      <c r="N91" s="171"/>
      <c r="O91" s="104"/>
      <c r="P91" s="104"/>
      <c r="Q91" s="105"/>
      <c r="U91" s="365"/>
    </row>
    <row r="92" spans="1:21" ht="15" customHeight="1">
      <c r="A92" s="103"/>
      <c r="B92" s="145"/>
      <c r="C92" s="145"/>
      <c r="D92" s="145"/>
      <c r="E92" s="145"/>
      <c r="F92" s="145"/>
      <c r="G92" s="114"/>
      <c r="H92" s="113"/>
      <c r="I92" s="113"/>
      <c r="J92" s="114"/>
      <c r="K92" s="172"/>
      <c r="L92" s="172"/>
      <c r="M92" s="113"/>
      <c r="N92" s="171"/>
      <c r="O92" s="104"/>
      <c r="P92" s="104"/>
      <c r="Q92" s="105"/>
      <c r="U92" s="365"/>
    </row>
    <row r="93" spans="1:21" ht="15" customHeight="1">
      <c r="A93" s="103" t="s">
        <v>1388</v>
      </c>
      <c r="B93" s="145"/>
      <c r="C93" s="145"/>
      <c r="D93" s="145"/>
      <c r="E93" s="145"/>
      <c r="F93" s="145"/>
      <c r="G93" s="158" t="s">
        <v>44</v>
      </c>
      <c r="H93" s="113"/>
      <c r="I93" s="113"/>
      <c r="J93" s="114"/>
      <c r="K93" s="172"/>
      <c r="L93" s="172"/>
      <c r="M93" s="100">
        <f>IF(G93="Select",0,1)</f>
        <v>0</v>
      </c>
      <c r="N93" s="171"/>
      <c r="O93" s="104"/>
      <c r="P93" s="104"/>
      <c r="Q93" s="105"/>
      <c r="U93" s="365" t="s">
        <v>1355</v>
      </c>
    </row>
    <row r="94" spans="1:21" ht="15" customHeight="1">
      <c r="A94" s="103" t="s">
        <v>1387</v>
      </c>
      <c r="B94" s="145"/>
      <c r="C94" s="145"/>
      <c r="D94" s="145"/>
      <c r="E94" s="145"/>
      <c r="F94" s="145"/>
      <c r="G94" s="153" t="str">
        <f>IF(G93="Yes","Insert Comment here","NA")</f>
        <v>NA</v>
      </c>
      <c r="H94" s="113"/>
      <c r="I94" s="113"/>
      <c r="J94" s="114"/>
      <c r="K94" s="172"/>
      <c r="L94" s="172"/>
      <c r="M94" s="100">
        <f>IF(G94="",0,1)</f>
        <v>1</v>
      </c>
      <c r="N94" s="171"/>
      <c r="O94" s="104"/>
      <c r="P94" s="104"/>
      <c r="Q94" s="105"/>
      <c r="U94" s="365" t="s">
        <v>1355</v>
      </c>
    </row>
    <row r="95" spans="1:21" ht="15" customHeight="1">
      <c r="A95" s="112"/>
      <c r="B95" s="145"/>
      <c r="C95" s="145"/>
      <c r="D95" s="145"/>
      <c r="E95" s="145"/>
      <c r="F95" s="145"/>
      <c r="G95" s="114"/>
      <c r="H95" s="113"/>
      <c r="I95" s="113"/>
      <c r="J95" s="114"/>
      <c r="K95" s="172"/>
      <c r="L95" s="172"/>
      <c r="M95" s="113"/>
      <c r="N95" s="171"/>
      <c r="O95" s="104"/>
      <c r="P95" s="104"/>
      <c r="Q95" s="105"/>
      <c r="U95" s="365"/>
    </row>
    <row r="96" spans="1:21" ht="15" customHeight="1">
      <c r="A96" s="103" t="s">
        <v>1389</v>
      </c>
      <c r="B96" s="105"/>
      <c r="C96" s="105"/>
      <c r="D96" s="105"/>
      <c r="E96" s="105"/>
      <c r="F96" s="105"/>
      <c r="G96" s="153">
        <v>0</v>
      </c>
      <c r="H96" s="113"/>
      <c r="I96" s="113"/>
      <c r="J96" s="114"/>
      <c r="K96" s="172"/>
      <c r="L96" s="172"/>
      <c r="M96" s="113"/>
      <c r="N96" s="171"/>
      <c r="O96" s="104"/>
      <c r="P96" s="104"/>
      <c r="Q96" s="105"/>
      <c r="U96" s="365"/>
    </row>
    <row r="97" spans="1:21" ht="15" customHeight="1">
      <c r="A97" s="112"/>
      <c r="B97" s="145"/>
      <c r="C97" s="145"/>
      <c r="D97" s="145"/>
      <c r="E97" s="145"/>
      <c r="F97" s="145"/>
      <c r="G97" s="114"/>
      <c r="H97" s="113"/>
      <c r="I97" s="113"/>
      <c r="J97" s="114"/>
      <c r="K97" s="172"/>
      <c r="L97" s="172"/>
      <c r="M97" s="113"/>
      <c r="N97" s="171"/>
      <c r="O97" s="104"/>
      <c r="P97" s="104"/>
      <c r="Q97" s="105"/>
      <c r="U97" s="365"/>
    </row>
    <row r="98" spans="1:21" ht="15" customHeight="1">
      <c r="A98" s="112" t="s">
        <v>1413</v>
      </c>
      <c r="B98" s="145"/>
      <c r="C98" s="145"/>
      <c r="D98" s="145"/>
      <c r="E98" s="145"/>
      <c r="F98" s="145"/>
      <c r="G98" s="158" t="s">
        <v>44</v>
      </c>
      <c r="H98" s="113"/>
      <c r="I98" s="113"/>
      <c r="J98" s="114"/>
      <c r="K98" s="172"/>
      <c r="L98" s="172"/>
      <c r="M98" s="100">
        <f>IF(G98="Select",0,1)</f>
        <v>0</v>
      </c>
      <c r="N98" s="171"/>
      <c r="O98" s="104"/>
      <c r="P98" s="104"/>
      <c r="Q98" s="105"/>
      <c r="U98" s="365"/>
    </row>
    <row r="99" spans="1:21" ht="15" customHeight="1">
      <c r="A99" s="112"/>
      <c r="B99" s="145"/>
      <c r="C99" s="145"/>
      <c r="D99" s="145"/>
      <c r="E99" s="145"/>
      <c r="F99" s="145"/>
      <c r="G99" s="114"/>
      <c r="H99" s="113"/>
      <c r="I99" s="113"/>
      <c r="J99" s="114"/>
      <c r="K99" s="172"/>
      <c r="L99" s="172"/>
      <c r="M99" s="113"/>
      <c r="N99" s="171"/>
      <c r="O99" s="104"/>
      <c r="P99" s="104"/>
      <c r="Q99" s="105"/>
      <c r="U99" s="365"/>
    </row>
    <row r="100" spans="1:21" ht="15.75" customHeight="1">
      <c r="A100" s="112"/>
      <c r="B100" s="145"/>
      <c r="C100" s="145"/>
      <c r="D100" s="145"/>
      <c r="E100" s="145"/>
      <c r="F100" s="145"/>
      <c r="G100" s="114"/>
      <c r="H100" s="113"/>
      <c r="I100" s="113"/>
      <c r="J100" s="114"/>
      <c r="K100" s="172"/>
      <c r="L100" s="172"/>
      <c r="M100" s="113"/>
      <c r="N100" s="171"/>
      <c r="O100" s="104"/>
      <c r="P100" s="104"/>
      <c r="Q100" s="105"/>
      <c r="U100" s="365"/>
    </row>
    <row r="101" spans="1:21" ht="12.75" hidden="1" customHeight="1">
      <c r="A101" s="386" t="s">
        <v>1404</v>
      </c>
      <c r="B101" s="381"/>
      <c r="C101" s="381"/>
      <c r="D101" s="381"/>
      <c r="E101" s="381"/>
      <c r="F101" s="381"/>
      <c r="G101" s="137"/>
      <c r="H101" s="113"/>
      <c r="I101" s="113"/>
      <c r="J101" s="114"/>
      <c r="K101" s="172"/>
      <c r="L101" s="172"/>
      <c r="M101" s="113"/>
      <c r="N101" s="171"/>
      <c r="O101" s="104"/>
      <c r="P101" s="104"/>
      <c r="Q101" s="105"/>
    </row>
    <row r="102" spans="1:21" ht="24.75" hidden="1" customHeight="1" thickBot="1">
      <c r="A102" s="379" t="s">
        <v>707</v>
      </c>
      <c r="B102" s="379" t="s">
        <v>135</v>
      </c>
      <c r="C102" s="379" t="s">
        <v>31</v>
      </c>
      <c r="D102" s="380" t="s">
        <v>752</v>
      </c>
      <c r="E102" s="380" t="s">
        <v>753</v>
      </c>
      <c r="G102" s="379" t="s">
        <v>76</v>
      </c>
      <c r="H102" s="116"/>
      <c r="I102" s="116"/>
      <c r="J102" s="102"/>
      <c r="K102" s="172"/>
      <c r="L102" s="172"/>
      <c r="M102" s="113"/>
      <c r="N102" s="171"/>
      <c r="O102" s="104"/>
      <c r="P102" s="104"/>
      <c r="Q102" s="105"/>
    </row>
    <row r="103" spans="1:21" ht="14.25" hidden="1" customHeight="1">
      <c r="A103" s="139"/>
      <c r="B103" s="139"/>
      <c r="C103" s="139"/>
      <c r="D103" s="139"/>
      <c r="E103" s="139"/>
      <c r="G103" s="139"/>
      <c r="H103" s="116"/>
      <c r="I103" s="116"/>
      <c r="J103" s="102"/>
      <c r="K103" s="172"/>
      <c r="L103" s="172"/>
      <c r="M103" s="113"/>
      <c r="N103" s="171"/>
      <c r="O103" s="104"/>
      <c r="P103" s="104"/>
      <c r="Q103" s="105"/>
    </row>
    <row r="104" spans="1:21" ht="14.25" hidden="1" customHeight="1">
      <c r="A104" s="139"/>
      <c r="B104" s="139"/>
      <c r="C104" s="139"/>
      <c r="D104" s="139"/>
      <c r="E104" s="139"/>
      <c r="G104" s="139"/>
      <c r="H104" s="116"/>
      <c r="I104" s="116"/>
      <c r="J104" s="102"/>
      <c r="K104" s="172"/>
      <c r="L104" s="172"/>
      <c r="M104" s="113"/>
      <c r="N104" s="171"/>
      <c r="O104" s="104"/>
      <c r="P104" s="104"/>
      <c r="Q104" s="105"/>
    </row>
    <row r="105" spans="1:21" ht="14.25" hidden="1" customHeight="1">
      <c r="A105" s="139"/>
      <c r="B105" s="139"/>
      <c r="C105" s="139"/>
      <c r="D105" s="139"/>
      <c r="E105" s="139"/>
      <c r="G105" s="139"/>
      <c r="H105" s="116"/>
      <c r="I105" s="116"/>
      <c r="J105" s="102"/>
      <c r="K105" s="172"/>
      <c r="L105" s="172"/>
      <c r="M105" s="113"/>
      <c r="N105" s="171"/>
      <c r="O105" s="104"/>
      <c r="P105" s="104"/>
      <c r="Q105" s="105"/>
    </row>
    <row r="106" spans="1:21" ht="14.25" hidden="1" customHeight="1">
      <c r="A106" s="139"/>
      <c r="B106" s="139"/>
      <c r="C106" s="139"/>
      <c r="D106" s="139"/>
      <c r="E106" s="139"/>
      <c r="G106" s="139"/>
      <c r="H106" s="116"/>
      <c r="I106" s="116"/>
      <c r="J106" s="102"/>
      <c r="K106" s="172"/>
      <c r="L106" s="172"/>
      <c r="M106" s="113"/>
      <c r="N106" s="171"/>
      <c r="O106" s="104"/>
      <c r="P106" s="104"/>
      <c r="Q106" s="105"/>
    </row>
    <row r="107" spans="1:21" ht="14.25" hidden="1" customHeight="1">
      <c r="A107" s="139"/>
      <c r="B107" s="139"/>
      <c r="C107" s="139"/>
      <c r="D107" s="139"/>
      <c r="E107" s="139"/>
      <c r="G107" s="139"/>
      <c r="H107" s="116"/>
      <c r="I107" s="116"/>
      <c r="J107" s="102"/>
      <c r="K107" s="172"/>
      <c r="L107" s="172"/>
      <c r="M107" s="113"/>
      <c r="N107" s="171"/>
      <c r="O107" s="104"/>
      <c r="P107" s="104"/>
      <c r="Q107" s="105"/>
    </row>
    <row r="108" spans="1:21" ht="14.25" hidden="1" customHeight="1">
      <c r="A108" s="139"/>
      <c r="B108" s="139"/>
      <c r="C108" s="139"/>
      <c r="D108" s="139"/>
      <c r="E108" s="139"/>
      <c r="G108" s="139"/>
      <c r="H108" s="116"/>
      <c r="I108" s="116"/>
      <c r="J108" s="102"/>
      <c r="K108" s="172"/>
      <c r="L108" s="172"/>
      <c r="M108" s="113"/>
      <c r="N108" s="171"/>
      <c r="O108" s="104"/>
      <c r="P108" s="104"/>
      <c r="Q108" s="105"/>
    </row>
    <row r="109" spans="1:21" ht="14.25" hidden="1" customHeight="1">
      <c r="A109" s="139"/>
      <c r="B109" s="139"/>
      <c r="C109" s="139"/>
      <c r="D109" s="139"/>
      <c r="E109" s="139"/>
      <c r="G109" s="139"/>
      <c r="H109" s="116"/>
      <c r="I109" s="116"/>
      <c r="J109" s="102"/>
      <c r="K109" s="172"/>
      <c r="L109" s="172"/>
      <c r="M109" s="113"/>
      <c r="N109" s="171"/>
      <c r="O109" s="104"/>
      <c r="P109" s="104"/>
      <c r="Q109" s="105"/>
    </row>
    <row r="110" spans="1:21" ht="14.25" hidden="1" customHeight="1">
      <c r="A110" s="139"/>
      <c r="B110" s="139"/>
      <c r="C110" s="139"/>
      <c r="D110" s="139"/>
      <c r="E110" s="139"/>
      <c r="G110" s="139"/>
      <c r="H110" s="116"/>
      <c r="I110" s="116"/>
      <c r="J110" s="102"/>
      <c r="K110" s="172"/>
      <c r="L110" s="172"/>
      <c r="M110" s="113"/>
      <c r="N110" s="171"/>
      <c r="O110" s="104"/>
      <c r="P110" s="104"/>
      <c r="Q110" s="105"/>
    </row>
    <row r="111" spans="1:21" ht="14.25" hidden="1" customHeight="1">
      <c r="A111" s="387"/>
      <c r="B111" s="387"/>
      <c r="C111" s="387"/>
      <c r="D111" s="387"/>
      <c r="E111" s="387"/>
      <c r="G111" s="387"/>
      <c r="H111" s="116"/>
      <c r="I111" s="116"/>
      <c r="J111" s="102"/>
      <c r="K111" s="172"/>
      <c r="L111" s="172"/>
      <c r="M111" s="113"/>
      <c r="N111" s="171"/>
      <c r="O111" s="104"/>
      <c r="P111" s="104"/>
      <c r="Q111" s="105"/>
    </row>
    <row r="112" spans="1:21" ht="0.75" customHeight="1">
      <c r="A112" s="138"/>
      <c r="B112" s="138"/>
      <c r="C112" s="138"/>
      <c r="D112" s="138"/>
      <c r="E112" s="138"/>
      <c r="F112" s="311"/>
      <c r="G112" s="138"/>
      <c r="H112" s="116"/>
      <c r="I112" s="116"/>
      <c r="J112" s="102"/>
      <c r="K112" s="172"/>
      <c r="L112" s="172"/>
      <c r="M112" s="113"/>
      <c r="N112" s="171"/>
      <c r="O112" s="104"/>
      <c r="P112" s="104"/>
      <c r="Q112" s="105"/>
    </row>
    <row r="113" spans="1:17" ht="14.25" hidden="1" customHeight="1">
      <c r="A113" s="388"/>
      <c r="B113" s="388"/>
      <c r="C113" s="388"/>
      <c r="D113" s="388"/>
      <c r="E113" s="388"/>
      <c r="F113" s="388"/>
      <c r="G113" s="388"/>
      <c r="H113" s="136"/>
      <c r="I113" s="136"/>
      <c r="J113" s="137"/>
      <c r="K113" s="100"/>
      <c r="L113" s="142"/>
      <c r="M113" s="142"/>
      <c r="N113" s="142"/>
      <c r="O113" s="142"/>
      <c r="P113" s="142"/>
      <c r="Q113" s="105"/>
    </row>
    <row r="114" spans="1:17" hidden="1">
      <c r="A114" s="370"/>
      <c r="B114" s="371"/>
      <c r="C114" s="371"/>
      <c r="D114" s="371"/>
      <c r="E114" s="371"/>
      <c r="F114" s="371"/>
      <c r="G114" s="371"/>
      <c r="H114" s="113"/>
      <c r="I114" s="113"/>
      <c r="J114" s="113"/>
      <c r="K114" s="100"/>
      <c r="L114" s="142"/>
      <c r="M114" s="142"/>
      <c r="N114" s="142"/>
      <c r="O114" s="142"/>
      <c r="P114" s="142"/>
      <c r="Q114" s="105"/>
    </row>
    <row r="115" spans="1:17" hidden="1">
      <c r="A115" s="372" t="s">
        <v>1339</v>
      </c>
      <c r="B115" s="147"/>
      <c r="C115" s="147"/>
      <c r="D115" s="147"/>
      <c r="E115" s="147"/>
      <c r="F115" s="147"/>
      <c r="G115" s="272"/>
      <c r="H115" s="113"/>
      <c r="I115" s="113"/>
      <c r="J115" s="113"/>
      <c r="K115" s="100"/>
      <c r="L115" s="142"/>
      <c r="M115" s="142"/>
      <c r="N115" s="142"/>
      <c r="O115" s="142"/>
      <c r="P115" s="142"/>
      <c r="Q115" s="105"/>
    </row>
    <row r="116" spans="1:17" hidden="1">
      <c r="A116" s="372"/>
      <c r="B116" s="147"/>
      <c r="C116" s="147"/>
      <c r="D116" s="147"/>
      <c r="E116" s="147"/>
      <c r="F116" s="147"/>
      <c r="G116" s="272"/>
      <c r="H116" s="113"/>
      <c r="I116" s="113"/>
      <c r="J116" s="113"/>
      <c r="K116" s="100"/>
      <c r="L116" s="142"/>
      <c r="M116" s="142"/>
      <c r="N116" s="142"/>
      <c r="O116" s="142"/>
      <c r="P116" s="142"/>
      <c r="Q116" s="105"/>
    </row>
    <row r="117" spans="1:17" hidden="1">
      <c r="A117" s="372" t="s">
        <v>1341</v>
      </c>
      <c r="B117" s="147"/>
      <c r="C117" s="147"/>
      <c r="D117" s="147"/>
      <c r="E117" s="147"/>
      <c r="F117" s="147"/>
      <c r="G117" s="272"/>
      <c r="H117" s="113"/>
      <c r="I117" s="113"/>
      <c r="J117" s="113"/>
      <c r="K117" s="100"/>
      <c r="L117" s="142"/>
      <c r="M117" s="142"/>
      <c r="N117" s="142"/>
      <c r="O117" s="142"/>
      <c r="P117" s="142"/>
      <c r="Q117" s="105"/>
    </row>
    <row r="118" spans="1:17" hidden="1">
      <c r="A118" s="117" t="s">
        <v>1342</v>
      </c>
      <c r="B118" s="147"/>
      <c r="C118" s="147"/>
      <c r="D118" s="147"/>
      <c r="E118" s="147"/>
      <c r="F118" s="147"/>
      <c r="G118" s="272"/>
      <c r="H118" s="113"/>
      <c r="I118" s="113"/>
      <c r="J118" s="113"/>
      <c r="K118" s="100"/>
      <c r="L118" s="142"/>
      <c r="M118" s="142"/>
      <c r="N118" s="142"/>
      <c r="O118" s="142"/>
      <c r="P118" s="142"/>
      <c r="Q118" s="105"/>
    </row>
    <row r="119" spans="1:17" hidden="1">
      <c r="A119" s="117" t="s">
        <v>1346</v>
      </c>
      <c r="B119" s="147"/>
      <c r="C119" s="147"/>
      <c r="D119" s="147"/>
      <c r="E119" s="147"/>
      <c r="F119" s="147"/>
      <c r="G119" s="272"/>
      <c r="H119" s="113"/>
      <c r="I119" s="113"/>
      <c r="J119" s="113"/>
      <c r="K119" s="100"/>
      <c r="L119" s="142"/>
      <c r="M119" s="142"/>
      <c r="N119" s="142"/>
      <c r="O119" s="142"/>
      <c r="P119" s="142"/>
      <c r="Q119" s="105"/>
    </row>
    <row r="120" spans="1:17" hidden="1">
      <c r="A120" s="372"/>
      <c r="B120" s="147"/>
      <c r="C120" s="147"/>
      <c r="D120" s="147"/>
      <c r="E120" s="147"/>
      <c r="F120" s="147"/>
      <c r="G120" s="272"/>
      <c r="H120" s="113"/>
      <c r="I120" s="113"/>
      <c r="J120" s="113"/>
      <c r="K120" s="100"/>
      <c r="L120" s="142"/>
      <c r="M120" s="142"/>
      <c r="N120" s="142"/>
      <c r="O120" s="142"/>
      <c r="P120" s="142"/>
      <c r="Q120" s="105"/>
    </row>
    <row r="121" spans="1:17" hidden="1">
      <c r="A121" s="372" t="s">
        <v>1340</v>
      </c>
      <c r="B121" s="147"/>
      <c r="C121" s="147"/>
      <c r="D121" s="147"/>
      <c r="E121" s="147"/>
      <c r="F121" s="147"/>
      <c r="G121" s="272"/>
      <c r="H121" s="113"/>
      <c r="I121" s="113"/>
      <c r="J121" s="113"/>
      <c r="K121" s="100"/>
      <c r="L121" s="142"/>
      <c r="M121" s="142"/>
      <c r="N121" s="142"/>
      <c r="O121" s="142"/>
      <c r="P121" s="142"/>
      <c r="Q121" s="105"/>
    </row>
    <row r="122" spans="1:17" hidden="1">
      <c r="A122" s="117" t="s">
        <v>1343</v>
      </c>
      <c r="B122" s="147"/>
      <c r="C122" s="147"/>
      <c r="D122" s="147"/>
      <c r="E122" s="147"/>
      <c r="F122" s="147"/>
      <c r="G122" s="272"/>
      <c r="H122" s="113"/>
      <c r="I122" s="113"/>
      <c r="J122" s="113"/>
      <c r="K122" s="100"/>
      <c r="L122" s="142"/>
      <c r="M122" s="142"/>
      <c r="N122" s="142"/>
      <c r="O122" s="142"/>
      <c r="P122" s="142"/>
      <c r="Q122" s="105"/>
    </row>
    <row r="123" spans="1:17" hidden="1">
      <c r="A123" s="117" t="s">
        <v>1347</v>
      </c>
      <c r="B123" s="147"/>
      <c r="C123" s="147"/>
      <c r="D123" s="147"/>
      <c r="E123" s="147"/>
      <c r="F123" s="147"/>
      <c r="G123" s="272"/>
      <c r="H123" s="113"/>
      <c r="I123" s="113"/>
      <c r="J123" s="113"/>
      <c r="K123" s="100"/>
      <c r="L123" s="142"/>
      <c r="M123" s="142"/>
      <c r="N123" s="142"/>
      <c r="O123" s="142"/>
      <c r="P123" s="142"/>
      <c r="Q123" s="105"/>
    </row>
    <row r="124" spans="1:17" hidden="1">
      <c r="A124" s="117" t="s">
        <v>1344</v>
      </c>
      <c r="B124" s="147"/>
      <c r="C124" s="147"/>
      <c r="D124" s="147"/>
      <c r="E124" s="147"/>
      <c r="F124" s="147"/>
      <c r="G124" s="272"/>
      <c r="H124" s="113"/>
      <c r="I124" s="113"/>
      <c r="J124" s="113"/>
      <c r="K124" s="100"/>
      <c r="L124" s="142"/>
      <c r="M124" s="142"/>
      <c r="N124" s="142"/>
      <c r="O124" s="142"/>
      <c r="P124" s="142"/>
      <c r="Q124" s="105"/>
    </row>
    <row r="125" spans="1:17" s="369" customFormat="1" ht="20.25" hidden="1" customHeight="1">
      <c r="A125" s="503" t="s">
        <v>1348</v>
      </c>
      <c r="B125" s="504"/>
      <c r="C125" s="504"/>
      <c r="D125" s="504"/>
      <c r="E125" s="504"/>
      <c r="F125" s="504"/>
      <c r="G125" s="505"/>
      <c r="H125" s="373"/>
      <c r="I125" s="373"/>
      <c r="J125" s="373"/>
      <c r="K125" s="374"/>
      <c r="L125" s="375"/>
      <c r="M125" s="375"/>
      <c r="N125" s="375"/>
      <c r="O125" s="375"/>
      <c r="P125" s="375"/>
      <c r="Q125" s="376"/>
    </row>
    <row r="126" spans="1:17" s="369" customFormat="1" ht="20.25" hidden="1" customHeight="1">
      <c r="A126" s="506"/>
      <c r="B126" s="504"/>
      <c r="C126" s="504"/>
      <c r="D126" s="504"/>
      <c r="E126" s="504"/>
      <c r="F126" s="504"/>
      <c r="G126" s="505"/>
      <c r="H126" s="373"/>
      <c r="I126" s="373"/>
      <c r="J126" s="373"/>
      <c r="K126" s="374"/>
      <c r="L126" s="375"/>
      <c r="M126" s="375"/>
      <c r="N126" s="375"/>
      <c r="O126" s="375"/>
      <c r="P126" s="375"/>
      <c r="Q126" s="376"/>
    </row>
    <row r="127" spans="1:17" s="369" customFormat="1" ht="20.25" hidden="1" customHeight="1">
      <c r="A127" s="507"/>
      <c r="B127" s="508"/>
      <c r="C127" s="508"/>
      <c r="D127" s="508"/>
      <c r="E127" s="508"/>
      <c r="F127" s="508"/>
      <c r="G127" s="509"/>
      <c r="H127" s="373"/>
      <c r="I127" s="373"/>
      <c r="J127" s="373"/>
      <c r="K127" s="374"/>
      <c r="L127" s="375"/>
      <c r="M127" s="375"/>
      <c r="N127" s="375"/>
      <c r="O127" s="375"/>
      <c r="P127" s="375"/>
      <c r="Q127" s="376"/>
    </row>
    <row r="128" spans="1:17" hidden="1">
      <c r="A128" s="167"/>
      <c r="B128" s="167"/>
      <c r="C128" s="167"/>
      <c r="D128" s="167"/>
      <c r="E128" s="167"/>
      <c r="F128" s="167"/>
    </row>
    <row r="129" spans="1:74" ht="15.75" hidden="1" thickBot="1">
      <c r="A129" s="369" t="s">
        <v>1345</v>
      </c>
      <c r="B129" s="167"/>
      <c r="C129" s="167"/>
      <c r="D129" s="167"/>
      <c r="E129" s="167"/>
      <c r="F129" s="167"/>
      <c r="AX129"/>
      <c r="AY129"/>
      <c r="AZ129"/>
      <c r="BA129"/>
      <c r="BB129" s="500" t="s">
        <v>1262</v>
      </c>
      <c r="BC129" s="501"/>
      <c r="BD129" s="501"/>
      <c r="BE129" s="501"/>
      <c r="BF129" s="501"/>
      <c r="BG129" s="501"/>
      <c r="BH129" s="501"/>
      <c r="BI129" s="501"/>
      <c r="BJ129" s="502"/>
      <c r="BK129" s="348"/>
      <c r="BL129" s="348"/>
      <c r="BM129" s="348"/>
      <c r="BN129" s="500" t="s">
        <v>1263</v>
      </c>
      <c r="BO129" s="501"/>
      <c r="BP129" s="501"/>
      <c r="BQ129" s="501"/>
      <c r="BR129" s="501"/>
      <c r="BS129" s="501"/>
      <c r="BT129" s="501"/>
      <c r="BU129" s="501"/>
      <c r="BV129" s="502"/>
    </row>
    <row r="130" spans="1:74" s="297" customFormat="1" ht="60" hidden="1">
      <c r="A130" s="299" t="s">
        <v>1264</v>
      </c>
      <c r="B130" s="299" t="s">
        <v>1261</v>
      </c>
      <c r="C130" s="299" t="s">
        <v>1265</v>
      </c>
      <c r="D130" s="299" t="s">
        <v>1266</v>
      </c>
      <c r="E130" s="299" t="s">
        <v>1267</v>
      </c>
      <c r="G130" s="299" t="s">
        <v>1268</v>
      </c>
      <c r="H130" s="298"/>
      <c r="I130" s="298"/>
      <c r="J130" s="298"/>
      <c r="K130" s="299" t="s">
        <v>1269</v>
      </c>
      <c r="L130" s="299" t="s">
        <v>1270</v>
      </c>
      <c r="V130" s="299" t="s">
        <v>1271</v>
      </c>
      <c r="W130" s="300" t="s">
        <v>1272</v>
      </c>
      <c r="X130" s="300" t="s">
        <v>1324</v>
      </c>
      <c r="Y130" s="300" t="s">
        <v>1273</v>
      </c>
      <c r="Z130" s="300" t="s">
        <v>1274</v>
      </c>
      <c r="AA130" s="300" t="s">
        <v>1275</v>
      </c>
      <c r="AB130" s="301" t="s">
        <v>1276</v>
      </c>
      <c r="AC130" s="299" t="s">
        <v>1277</v>
      </c>
      <c r="AD130" s="299" t="s">
        <v>1278</v>
      </c>
      <c r="AE130" s="299" t="s">
        <v>1327</v>
      </c>
      <c r="AF130" s="299" t="s">
        <v>1328</v>
      </c>
      <c r="AG130" s="299" t="s">
        <v>1279</v>
      </c>
      <c r="AH130" s="299" t="s">
        <v>1280</v>
      </c>
      <c r="AI130" s="302" t="s">
        <v>1281</v>
      </c>
      <c r="AJ130" s="303" t="s">
        <v>1282</v>
      </c>
      <c r="AK130" s="303" t="s">
        <v>1325</v>
      </c>
      <c r="AL130" s="304" t="s">
        <v>1283</v>
      </c>
      <c r="AM130" s="304" t="s">
        <v>1284</v>
      </c>
      <c r="AN130" s="305" t="s">
        <v>1326</v>
      </c>
      <c r="AO130" s="302" t="s">
        <v>1285</v>
      </c>
      <c r="AP130" s="299" t="s">
        <v>1286</v>
      </c>
      <c r="AQ130" s="299" t="s">
        <v>1287</v>
      </c>
      <c r="AR130" s="299" t="s">
        <v>1288</v>
      </c>
      <c r="AS130" s="299" t="s">
        <v>1289</v>
      </c>
      <c r="AT130" s="299" t="s">
        <v>1290</v>
      </c>
      <c r="AU130" s="299" t="s">
        <v>1291</v>
      </c>
      <c r="AV130" s="299" t="s">
        <v>1292</v>
      </c>
      <c r="AW130" s="299" t="s">
        <v>1293</v>
      </c>
      <c r="AX130" s="299" t="s">
        <v>1294</v>
      </c>
      <c r="AY130" s="299" t="s">
        <v>1295</v>
      </c>
      <c r="AZ130" s="299" t="s">
        <v>1296</v>
      </c>
      <c r="BA130" s="299" t="s">
        <v>1297</v>
      </c>
      <c r="BB130" s="306" t="s">
        <v>1298</v>
      </c>
      <c r="BC130" s="306" t="s">
        <v>1299</v>
      </c>
      <c r="BD130" s="307" t="s">
        <v>1300</v>
      </c>
      <c r="BE130" s="307" t="s">
        <v>1301</v>
      </c>
      <c r="BF130" s="307" t="s">
        <v>1302</v>
      </c>
      <c r="BG130" s="307" t="s">
        <v>1303</v>
      </c>
      <c r="BH130" s="307" t="s">
        <v>1304</v>
      </c>
      <c r="BI130" s="307" t="s">
        <v>1305</v>
      </c>
      <c r="BJ130" s="307" t="s">
        <v>1306</v>
      </c>
      <c r="BK130" s="347" t="s">
        <v>1307</v>
      </c>
      <c r="BL130" s="347" t="s">
        <v>1308</v>
      </c>
      <c r="BM130" s="347" t="s">
        <v>1309</v>
      </c>
      <c r="BN130" s="308" t="s">
        <v>1298</v>
      </c>
      <c r="BO130" s="308" t="s">
        <v>1299</v>
      </c>
      <c r="BP130" s="309" t="s">
        <v>1300</v>
      </c>
      <c r="BQ130" s="309" t="s">
        <v>1301</v>
      </c>
      <c r="BR130" s="309" t="s">
        <v>1310</v>
      </c>
      <c r="BS130" s="309" t="s">
        <v>1303</v>
      </c>
      <c r="BT130" s="309" t="s">
        <v>1304</v>
      </c>
      <c r="BU130" s="309" t="s">
        <v>1311</v>
      </c>
      <c r="BV130" s="310" t="s">
        <v>1306</v>
      </c>
    </row>
    <row r="131" spans="1:74" ht="21.75" hidden="1" customHeight="1">
      <c r="A131" s="315"/>
      <c r="B131" s="312">
        <f>+G5</f>
        <v>0</v>
      </c>
      <c r="C131" s="315"/>
      <c r="D131" s="312">
        <f>+G8</f>
        <v>0</v>
      </c>
      <c r="E131" s="315"/>
      <c r="F131" s="315"/>
      <c r="G131" s="316"/>
      <c r="H131" s="313"/>
      <c r="I131" s="313"/>
      <c r="J131" s="313"/>
      <c r="K131" s="313" t="s">
        <v>1312</v>
      </c>
      <c r="L131" s="314">
        <f>+G45</f>
        <v>0</v>
      </c>
      <c r="M131" s="311"/>
      <c r="N131" s="311"/>
      <c r="O131" s="311"/>
      <c r="P131" s="311"/>
      <c r="Q131" s="311"/>
      <c r="R131" s="311"/>
      <c r="S131" s="311"/>
      <c r="T131" s="311"/>
      <c r="U131" s="311"/>
      <c r="V131" s="315"/>
      <c r="W131" s="356">
        <f>IFERROR((L131-V131)/L131,0)</f>
        <v>0</v>
      </c>
      <c r="X131" s="315"/>
      <c r="Y131" s="356">
        <f>W131-X131</f>
        <v>0</v>
      </c>
      <c r="Z131" s="315"/>
      <c r="AA131" s="315"/>
      <c r="AB131" s="317" t="e">
        <f>+#REF!</f>
        <v>#REF!</v>
      </c>
      <c r="AC131" s="317" t="e">
        <f>+#REF!</f>
        <v>#REF!</v>
      </c>
      <c r="AD131" s="317" t="e">
        <f>+#REF!</f>
        <v>#REF!</v>
      </c>
      <c r="AE131" s="349" t="e">
        <f>#REF!</f>
        <v>#REF!</v>
      </c>
      <c r="AF131" s="349" t="e">
        <f>#REF!</f>
        <v>#REF!</v>
      </c>
      <c r="AG131" s="317" t="e">
        <f>SUM(AB131:AF131)</f>
        <v>#REF!</v>
      </c>
      <c r="AH131" s="311"/>
      <c r="AI131" s="345">
        <f>+IFERROR((AB131+AC131+AE131)/AG131,0)</f>
        <v>0</v>
      </c>
      <c r="AJ131" s="311"/>
      <c r="AK131" s="311"/>
      <c r="AL131" s="311"/>
      <c r="AM131" s="311"/>
      <c r="AN131" s="346">
        <f>'Campus Hires %'!B8</f>
        <v>0</v>
      </c>
      <c r="AO131" s="311"/>
      <c r="AP131" s="311" t="str">
        <f>+G22</f>
        <v>Select</v>
      </c>
      <c r="AQ131" s="311">
        <f>+G24</f>
        <v>0</v>
      </c>
      <c r="AR131" s="311"/>
      <c r="AS131" s="315"/>
      <c r="AT131" s="315"/>
      <c r="AU131" s="315"/>
      <c r="AV131" s="315"/>
      <c r="AW131" s="315"/>
      <c r="AX131" s="315"/>
      <c r="AY131" s="315"/>
      <c r="AZ131" s="315"/>
      <c r="BA131" s="315"/>
      <c r="BB131" s="317">
        <f>+G78*21.67</f>
        <v>173.36</v>
      </c>
      <c r="BC131" s="317">
        <f>+G79*21.67</f>
        <v>184.19500000000002</v>
      </c>
      <c r="BD131" s="311">
        <f>IFERROR((AB131+AC131+AE131)*$BB$131,0)</f>
        <v>0</v>
      </c>
      <c r="BE131" s="311">
        <f>IFERROR((AD131+AF131)*$BC$131,0)</f>
        <v>0</v>
      </c>
      <c r="BF131" s="311">
        <f>SUM(BD131:BE131)</f>
        <v>0</v>
      </c>
      <c r="BG131" s="355">
        <f>+'Role Selection'!HT181</f>
        <v>0</v>
      </c>
      <c r="BH131" s="355">
        <f>+'Role Selection'!HU181</f>
        <v>0</v>
      </c>
      <c r="BI131" s="355">
        <f>SUM(BG131:BH131)</f>
        <v>0</v>
      </c>
      <c r="BJ131" s="358">
        <f>IFERROR((L131-BI131)/BI131,0)</f>
        <v>0</v>
      </c>
      <c r="BK131" s="311"/>
      <c r="BL131" s="311"/>
      <c r="BM131" s="311">
        <f>+BI131</f>
        <v>0</v>
      </c>
      <c r="BN131" s="350">
        <f>+CheckList!$G$82</f>
        <v>168</v>
      </c>
      <c r="BO131" s="350">
        <f>+$G$83</f>
        <v>178.5</v>
      </c>
      <c r="BP131" s="351">
        <f>IFERROR((AB131+AC131+AE131)*$BN$131,0)</f>
        <v>0</v>
      </c>
      <c r="BQ131" s="351">
        <f>IFERROR((AD131+AF131)*$BO$131,0)</f>
        <v>0</v>
      </c>
      <c r="BR131" s="351">
        <f>SUM(BP131:BQ131)</f>
        <v>0</v>
      </c>
      <c r="BS131" s="352">
        <f>+'Role Selection'!HX181</f>
        <v>0</v>
      </c>
      <c r="BT131" s="353">
        <f>+'Role Selection'!HY181</f>
        <v>0</v>
      </c>
      <c r="BU131" s="354">
        <f>SUM(BS131:BT131)</f>
        <v>0</v>
      </c>
      <c r="BV131" s="357">
        <f>IFERROR((L131-BU131)/BU131,0)</f>
        <v>0</v>
      </c>
    </row>
  </sheetData>
  <sheetProtection algorithmName="SHA-512" hashValue="hgon0wMbvIw0FvMRLnPTbnioDdtBqpzdWoyWBbcJOk9hZDD1wZBnH9niMUWb4syPLg4emnDByB/cyNN9p4uVGw==" saltValue="jNCCo2bQIq5fywd4h8JU7Q==" spinCount="100000" sheet="1" objects="1" scenarios="1"/>
  <protectedRanges>
    <protectedRange sqref="G102:G112" name="Range1_1"/>
    <protectedRange sqref="A103:E112" name="Range2_1"/>
    <protectedRange sqref="A129:G129 F130 A131:G377" name="Range3"/>
    <protectedRange sqref="G70:G80 G4:G25 G27:G68 G82:G93 G99:G101 G95:G97" name="Range1"/>
    <protectedRange sqref="A130:E130" name="Range3_2"/>
    <protectedRange sqref="G130" name="Range3_3"/>
    <protectedRange sqref="G26" name="Range1_2"/>
    <protectedRange sqref="G98" name="Range1_4"/>
    <protectedRange sqref="G94" name="Range1_4_1"/>
  </protectedRanges>
  <mergeCells count="6">
    <mergeCell ref="A1:G1"/>
    <mergeCell ref="A3:G3"/>
    <mergeCell ref="A36:E36"/>
    <mergeCell ref="BN129:BV129"/>
    <mergeCell ref="BB129:BJ129"/>
    <mergeCell ref="A125:G127"/>
  </mergeCells>
  <conditionalFormatting sqref="D130">
    <cfRule type="duplicateValues" dxfId="0" priority="1"/>
  </conditionalFormatting>
  <dataValidations count="11">
    <dataValidation type="custom" allowBlank="1" showInputMessage="1" showErrorMessage="1" errorTitle="ERROR MESSAGE " error="Please fill in all the questions to avoide the error." sqref="P18">
      <formula1>P18&gt;24</formula1>
    </dataValidation>
    <dataValidation type="list" allowBlank="1" showInputMessage="1" showErrorMessage="1" sqref="G20">
      <formula1>$Q$1:$Q$10</formula1>
    </dataValidation>
    <dataValidation type="list" allowBlank="1" showInputMessage="1" showErrorMessage="1" sqref="G52 G72 G44 G14 G58 G66">
      <formula1>$R$1:$R$3</formula1>
    </dataValidation>
    <dataValidation type="list" allowBlank="1" showInputMessage="1" showErrorMessage="1" sqref="G19">
      <formula1>$P$1:$P$4</formula1>
    </dataValidation>
    <dataValidation type="list" allowBlank="1" showInputMessage="1" showErrorMessage="1" sqref="G78:G79">
      <formula1>"8,8.5,8.75,9"</formula1>
    </dataValidation>
    <dataValidation type="list" allowBlank="1" showInputMessage="1" showErrorMessage="1" sqref="G22">
      <formula1>"Select, New Deal, Renewal, Change Request (Scope Increase), Change Request (Extension)"</formula1>
    </dataValidation>
    <dataValidation type="list" allowBlank="1" showInputMessage="1" showErrorMessage="1" sqref="G43">
      <formula1>$R$5:$R$16</formula1>
    </dataValidation>
    <dataValidation type="list" allowBlank="1" showInputMessage="1" showErrorMessage="1" sqref="G47">
      <formula1>"Select, Milestone based,Monthly deliverable"</formula1>
    </dataValidation>
    <dataValidation type="list" allowBlank="1" showInputMessage="1" showErrorMessage="1" sqref="G49">
      <formula1>"Select, Syntel,Customer,Jointly"</formula1>
    </dataValidation>
    <dataValidation type="list" allowBlank="1" showInputMessage="1" showErrorMessage="1" sqref="G88 G85 G93">
      <formula1>"Select, Yes, No"</formula1>
    </dataValidation>
    <dataValidation type="list" allowBlank="1" showInputMessage="1" showErrorMessage="1" sqref="G98">
      <formula1>"Select, Yes, No rate card"</formula1>
    </dataValidation>
  </dataValidations>
  <pageMargins left="0.75" right="0.75" top="1" bottom="1" header="0.5" footer="0.5"/>
  <pageSetup orientation="portrait" r:id="rId1"/>
  <headerFooter alignWithMargins="0"/>
  <ignoredErrors>
    <ignoredError sqref="M73 G82:G83 G36 G89:G90 G74 G86 G9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2200"/>
  <sheetViews>
    <sheetView zoomScale="80" zoomScaleNormal="80" workbookViewId="0">
      <pane ySplit="5" topLeftCell="A6" activePane="bottomLeft" state="frozen"/>
      <selection pane="bottomLeft" activeCell="E6" sqref="E6"/>
    </sheetView>
  </sheetViews>
  <sheetFormatPr defaultColWidth="9.140625" defaultRowHeight="0" customHeight="1" zeroHeight="1"/>
  <cols>
    <col min="1" max="1" width="4.5703125" style="79" customWidth="1"/>
    <col min="2" max="2" width="9.7109375" style="79" customWidth="1"/>
    <col min="3" max="3" width="15.5703125" style="79" customWidth="1"/>
    <col min="4" max="4" width="23.85546875" style="79" customWidth="1"/>
    <col min="5" max="5" width="11.5703125" style="79" customWidth="1"/>
    <col min="6" max="6" width="48.7109375" style="79" hidden="1" customWidth="1"/>
    <col min="7" max="7" width="24.42578125" style="79" hidden="1" customWidth="1"/>
    <col min="8" max="8" width="29.7109375" style="79" customWidth="1"/>
    <col min="9" max="9" width="11.42578125" style="79" customWidth="1"/>
    <col min="10" max="10" width="10.5703125" style="79" customWidth="1"/>
    <col min="11" max="11" width="25.28515625" style="79" hidden="1" customWidth="1"/>
    <col min="12" max="12" width="21.42578125" style="79" hidden="1" customWidth="1"/>
    <col min="13" max="13" width="13.5703125" style="79" hidden="1" customWidth="1"/>
    <col min="14" max="14" width="15.28515625" style="79" hidden="1" customWidth="1"/>
    <col min="15" max="15" width="22.28515625" style="79" hidden="1" customWidth="1"/>
    <col min="16" max="16" width="23.28515625" style="79" hidden="1" customWidth="1"/>
    <col min="17" max="17" width="43.7109375" style="79" hidden="1" customWidth="1"/>
    <col min="18" max="18" width="41.28515625" style="79" hidden="1" customWidth="1"/>
    <col min="19" max="19" width="18.7109375" style="79" hidden="1" customWidth="1"/>
    <col min="20" max="20" width="35.85546875" style="79" hidden="1" customWidth="1"/>
    <col min="21" max="21" width="18.85546875" style="79" hidden="1" customWidth="1"/>
    <col min="22" max="22" width="15.7109375" style="79" hidden="1" customWidth="1"/>
    <col min="23" max="23" width="27.85546875" style="79" hidden="1" customWidth="1"/>
    <col min="24" max="25" width="14.28515625" style="79" hidden="1" customWidth="1"/>
    <col min="26" max="26" width="27.85546875" style="79" hidden="1" customWidth="1"/>
    <col min="27" max="27" width="12.85546875" style="79" hidden="1" customWidth="1"/>
    <col min="28" max="29" width="17.42578125" style="79" hidden="1" customWidth="1"/>
    <col min="30" max="30" width="9.85546875" style="79" hidden="1" customWidth="1"/>
    <col min="31" max="31" width="14.85546875" style="79" hidden="1" customWidth="1"/>
    <col min="32" max="33" width="27.5703125" style="79" hidden="1" customWidth="1"/>
    <col min="34" max="34" width="26.42578125" style="79" hidden="1" customWidth="1"/>
    <col min="35" max="36" width="22.28515625" style="79" hidden="1" customWidth="1"/>
    <col min="37" max="37" width="25.28515625" style="79" hidden="1" customWidth="1"/>
    <col min="38" max="38" width="19.5703125" style="79" hidden="1" customWidth="1"/>
    <col min="39" max="40" width="19.7109375" style="79" hidden="1" customWidth="1"/>
    <col min="41" max="42" width="19.28515625" style="79" hidden="1" customWidth="1"/>
    <col min="43" max="43" width="39.7109375" style="79" hidden="1" customWidth="1"/>
    <col min="44" max="44" width="26.85546875" style="79" hidden="1" customWidth="1"/>
    <col min="45" max="45" width="39.7109375" style="79" hidden="1" customWidth="1"/>
    <col min="46" max="46" width="34.5703125" style="79" hidden="1" customWidth="1"/>
    <col min="47" max="47" width="24" style="79" hidden="1" customWidth="1"/>
    <col min="48" max="48" width="23.140625" style="79" hidden="1" customWidth="1"/>
    <col min="49" max="49" width="12.42578125" style="79" hidden="1" customWidth="1"/>
    <col min="50" max="51" width="20.140625" style="79" hidden="1" customWidth="1"/>
    <col min="52" max="53" width="15.85546875" style="79" hidden="1" customWidth="1"/>
    <col min="54" max="55" width="16.5703125" style="79" hidden="1" customWidth="1"/>
    <col min="56" max="56" width="14.28515625" style="79" hidden="1" customWidth="1"/>
    <col min="57" max="57" width="10.85546875" style="79" hidden="1" customWidth="1"/>
    <col min="58" max="58" width="15.85546875" style="79" hidden="1" customWidth="1"/>
    <col min="59" max="59" width="28.28515625" style="79" hidden="1" customWidth="1"/>
    <col min="60" max="61" width="17.7109375" style="79" hidden="1" customWidth="1"/>
    <col min="62" max="62" width="23.5703125" style="79" hidden="1" customWidth="1"/>
    <col min="63" max="63" width="9.85546875" style="79" hidden="1" customWidth="1"/>
    <col min="64" max="64" width="20.7109375" style="79" hidden="1" customWidth="1"/>
    <col min="65" max="66" width="24" style="79" hidden="1" customWidth="1"/>
    <col min="67" max="68" width="15.7109375" style="79" hidden="1" customWidth="1"/>
    <col min="69" max="69" width="25.28515625" style="79" hidden="1" customWidth="1"/>
    <col min="70" max="70" width="22.85546875" style="79" hidden="1" customWidth="1"/>
    <col min="71" max="71" width="25.28515625" style="79" hidden="1" customWidth="1"/>
    <col min="72" max="73" width="28" style="79" hidden="1" customWidth="1"/>
    <col min="74" max="74" width="22.28515625" style="79" hidden="1" customWidth="1"/>
    <col min="75" max="75" width="18.5703125" style="79" hidden="1" customWidth="1"/>
    <col min="76" max="76" width="8.7109375" style="79" hidden="1" customWidth="1"/>
    <col min="77" max="78" width="16.7109375" style="79" hidden="1" customWidth="1"/>
    <col min="79" max="80" width="27.5703125" style="79" hidden="1" customWidth="1"/>
    <col min="81" max="82" width="19.85546875" style="79" hidden="1" customWidth="1"/>
    <col min="83" max="84" width="18.42578125" style="79" hidden="1" customWidth="1"/>
    <col min="85" max="85" width="67.42578125" style="79" hidden="1" customWidth="1"/>
    <col min="86" max="86" width="16.7109375" style="79" hidden="1" customWidth="1"/>
    <col min="87" max="87" width="17" style="79" hidden="1" customWidth="1"/>
    <col min="88" max="88" width="17.42578125" style="79" hidden="1" customWidth="1"/>
    <col min="89" max="89" width="14.5703125" style="79" hidden="1" customWidth="1"/>
    <col min="90" max="91" width="20.7109375" style="79" hidden="1" customWidth="1"/>
    <col min="92" max="93" width="18" style="79" hidden="1" customWidth="1"/>
    <col min="94" max="94" width="22.42578125" style="79" hidden="1" customWidth="1"/>
    <col min="95" max="95" width="16.5703125" style="79" hidden="1" customWidth="1"/>
    <col min="96" max="96" width="22.42578125" style="79" hidden="1" customWidth="1"/>
    <col min="97" max="98" width="32.140625" style="79" hidden="1" customWidth="1"/>
    <col min="99" max="100" width="16.5703125" style="79" hidden="1" customWidth="1"/>
    <col min="101" max="102" width="13.42578125" style="79" hidden="1" customWidth="1"/>
    <col min="103" max="104" width="19.140625" style="79" hidden="1" customWidth="1"/>
    <col min="105" max="106" width="16.85546875" style="79" hidden="1" customWidth="1"/>
    <col min="107" max="107" width="9.28515625" style="79" hidden="1" customWidth="1"/>
    <col min="108" max="108" width="20.7109375" style="79" hidden="1" customWidth="1"/>
    <col min="109" max="109" width="15.5703125" style="79" hidden="1" customWidth="1"/>
    <col min="110" max="110" width="16.140625" style="79" hidden="1" customWidth="1"/>
    <col min="111" max="111" width="20.7109375" style="79" hidden="1" customWidth="1"/>
    <col min="112" max="112" width="16.28515625" style="79" hidden="1" customWidth="1"/>
    <col min="113" max="114" width="14.7109375" style="79" hidden="1" customWidth="1"/>
    <col min="115" max="116" width="14.28515625" style="79" hidden="1" customWidth="1"/>
    <col min="117" max="118" width="16.5703125" style="79" hidden="1" customWidth="1"/>
    <col min="119" max="119" width="26.42578125" style="79" hidden="1" customWidth="1"/>
    <col min="120" max="120" width="31" style="79" hidden="1" customWidth="1"/>
    <col min="121" max="121" width="9.7109375" style="79" hidden="1" customWidth="1"/>
    <col min="122" max="122" width="13.140625" style="79" hidden="1" customWidth="1"/>
    <col min="123" max="123" width="18.42578125" style="79" hidden="1" customWidth="1"/>
    <col min="124" max="124" width="43.140625" style="79" hidden="1" customWidth="1"/>
    <col min="125" max="125" width="17.7109375" style="79" hidden="1" customWidth="1"/>
    <col min="126" max="126" width="14" style="79" hidden="1" customWidth="1"/>
    <col min="127" max="127" width="21.7109375" style="79" hidden="1" customWidth="1"/>
    <col min="128" max="128" width="14.5703125" style="79" hidden="1" customWidth="1"/>
    <col min="129" max="129" width="18.5703125" style="79" hidden="1" customWidth="1"/>
    <col min="130" max="130" width="24.42578125" style="79" hidden="1" customWidth="1"/>
    <col min="131" max="131" width="23.28515625" style="79" hidden="1" customWidth="1"/>
    <col min="132" max="132" width="20.28515625" style="79" hidden="1" customWidth="1"/>
    <col min="133" max="133" width="42.7109375" style="79" hidden="1" customWidth="1"/>
    <col min="134" max="134" width="27.42578125" style="79" hidden="1" customWidth="1"/>
    <col min="135" max="135" width="43.140625" style="79" hidden="1" customWidth="1"/>
    <col min="136" max="136" width="25.140625" style="79" hidden="1" customWidth="1"/>
    <col min="137" max="137" width="22.28515625" style="79" hidden="1" customWidth="1"/>
    <col min="138" max="138" width="11.5703125" style="79" hidden="1" customWidth="1"/>
    <col min="139" max="139" width="56.7109375" style="79" hidden="1" customWidth="1"/>
    <col min="140" max="140" width="21.140625" style="79" hidden="1" customWidth="1"/>
    <col min="141" max="141" width="14.5703125" style="79" hidden="1" customWidth="1"/>
    <col min="142" max="142" width="12" style="79" hidden="1" customWidth="1"/>
    <col min="143" max="143" width="22.42578125" style="79" hidden="1" customWidth="1"/>
    <col min="144" max="144" width="16" style="79" hidden="1" customWidth="1"/>
    <col min="145" max="145" width="22.7109375" style="79" hidden="1" customWidth="1"/>
    <col min="146" max="146" width="16" style="79" hidden="1" customWidth="1"/>
    <col min="147" max="147" width="12.5703125" style="79" hidden="1" customWidth="1"/>
    <col min="148" max="148" width="37.7109375" style="79" hidden="1" customWidth="1"/>
    <col min="149" max="149" width="38.85546875" style="79" hidden="1" customWidth="1"/>
    <col min="150" max="150" width="29.7109375" style="79" hidden="1" customWidth="1"/>
    <col min="151" max="151" width="56.7109375" style="79" hidden="1" customWidth="1"/>
    <col min="152" max="152" width="20.85546875" style="79" hidden="1" customWidth="1"/>
    <col min="153" max="153" width="23" style="79" hidden="1" customWidth="1"/>
    <col min="154" max="154" width="18.42578125" style="79" hidden="1" customWidth="1"/>
    <col min="155" max="155" width="17.28515625" style="79" hidden="1" customWidth="1"/>
    <col min="156" max="157" width="27" style="79" hidden="1" customWidth="1"/>
    <col min="158" max="158" width="15.140625" style="79" hidden="1" customWidth="1"/>
    <col min="159" max="159" width="15.7109375" style="79" hidden="1" customWidth="1"/>
    <col min="160" max="160" width="20.85546875" style="79" hidden="1" customWidth="1"/>
    <col min="161" max="161" width="15" style="79" hidden="1" customWidth="1"/>
    <col min="162" max="162" width="24.28515625" style="79" hidden="1" customWidth="1"/>
    <col min="163" max="163" width="19.140625" style="79" hidden="1" customWidth="1"/>
    <col min="164" max="164" width="24.28515625" style="79" hidden="1" customWidth="1"/>
    <col min="165" max="165" width="18.42578125" style="79" hidden="1" customWidth="1"/>
    <col min="166" max="166" width="19.42578125" style="79" hidden="1" customWidth="1"/>
    <col min="167" max="167" width="37.42578125" style="79" hidden="1" customWidth="1"/>
    <col min="168" max="169" width="16.5703125" style="79" hidden="1" customWidth="1"/>
    <col min="170" max="170" width="14" style="79" hidden="1" customWidth="1"/>
    <col min="171" max="171" width="22.7109375" style="79" hidden="1" customWidth="1"/>
    <col min="172" max="172" width="27.140625" style="79" hidden="1" customWidth="1"/>
    <col min="173" max="173" width="26" style="79" hidden="1" customWidth="1"/>
    <col min="174" max="174" width="23.7109375" style="79" hidden="1" customWidth="1"/>
    <col min="175" max="175" width="28.5703125" style="79" hidden="1" customWidth="1"/>
    <col min="176" max="176" width="25.7109375" style="79" hidden="1" customWidth="1"/>
    <col min="177" max="177" width="16.28515625" style="79" hidden="1" customWidth="1"/>
    <col min="178" max="178" width="19.42578125" style="79" hidden="1" customWidth="1"/>
    <col min="179" max="179" width="22.7109375" style="79" hidden="1" customWidth="1"/>
    <col min="180" max="180" width="27.140625" style="79" hidden="1" customWidth="1"/>
    <col min="181" max="181" width="19.5703125" style="79" hidden="1" customWidth="1"/>
    <col min="182" max="182" width="22.7109375" style="79" hidden="1" customWidth="1"/>
    <col min="183" max="183" width="26" style="79" hidden="1" customWidth="1"/>
    <col min="184" max="184" width="17.42578125" style="79" hidden="1" customWidth="1"/>
    <col min="185" max="185" width="20.42578125" style="79" hidden="1" customWidth="1"/>
    <col min="186" max="186" width="23.7109375" style="79" hidden="1" customWidth="1"/>
    <col min="187" max="187" width="19.28515625" style="79" hidden="1" customWidth="1"/>
    <col min="188" max="188" width="22.42578125" style="79" hidden="1" customWidth="1"/>
    <col min="189" max="189" width="25.7109375" style="79" hidden="1" customWidth="1"/>
    <col min="190" max="194" width="9.140625" style="79" hidden="1" customWidth="1"/>
    <col min="195" max="195" width="18.42578125" style="79" hidden="1" customWidth="1"/>
    <col min="196" max="196" width="18.140625" style="79" hidden="1" customWidth="1"/>
    <col min="197" max="200" width="9.140625" style="79" hidden="1" customWidth="1"/>
    <col min="201" max="201" width="19.28515625" style="79" hidden="1" customWidth="1"/>
    <col min="202" max="202" width="19.42578125" style="79" hidden="1" customWidth="1"/>
    <col min="203" max="203" width="18.140625" style="79" hidden="1" customWidth="1"/>
    <col min="204" max="204" width="20.28515625" style="79" hidden="1" customWidth="1"/>
    <col min="205" max="205" width="17.5703125" style="79" hidden="1" customWidth="1"/>
    <col min="206" max="206" width="28.28515625" style="79" hidden="1" customWidth="1"/>
    <col min="207" max="208" width="9.140625" style="79" hidden="1" customWidth="1"/>
    <col min="209" max="209" width="12.85546875" style="79" hidden="1" customWidth="1"/>
    <col min="210" max="210" width="16.7109375" style="79" hidden="1" customWidth="1"/>
    <col min="211" max="211" width="16.140625" style="79" hidden="1" customWidth="1"/>
    <col min="212" max="214" width="9.140625" style="79" hidden="1" customWidth="1"/>
    <col min="215" max="215" width="26.42578125" style="79" hidden="1" customWidth="1"/>
    <col min="216" max="217" width="26.28515625" style="79" hidden="1" customWidth="1"/>
    <col min="218" max="219" width="20.28515625" style="79" hidden="1" customWidth="1"/>
    <col min="220" max="222" width="9.140625" style="79" hidden="1" customWidth="1"/>
    <col min="223" max="223" width="19.85546875" style="79" customWidth="1"/>
    <col min="224" max="224" width="9.140625" style="79" hidden="1" customWidth="1"/>
    <col min="225" max="226" width="11.140625" style="79" hidden="1" customWidth="1"/>
    <col min="227" max="227" width="12.85546875" style="79" hidden="1" customWidth="1"/>
    <col min="228" max="228" width="9.140625" style="79" hidden="1" customWidth="1"/>
    <col min="229" max="229" width="11.85546875" style="79" hidden="1" customWidth="1"/>
    <col min="230" max="232" width="9.140625" style="79" hidden="1" customWidth="1"/>
    <col min="233" max="233" width="10.7109375" style="79" hidden="1" customWidth="1"/>
    <col min="234" max="235" width="9.140625" style="79" hidden="1" customWidth="1"/>
    <col min="236" max="16376" width="9.140625" style="79" customWidth="1"/>
    <col min="16377" max="16384" width="9.140625" style="79"/>
  </cols>
  <sheetData>
    <row r="1" spans="1:16384" ht="13.5" thickBot="1">
      <c r="A1" s="78" t="s">
        <v>706</v>
      </c>
    </row>
    <row r="2" spans="1:16384" ht="41.25" customHeight="1">
      <c r="A2" s="512" t="s">
        <v>810</v>
      </c>
      <c r="B2" s="512"/>
      <c r="C2" s="512"/>
      <c r="D2" s="512"/>
      <c r="E2" s="512"/>
      <c r="F2" s="512"/>
      <c r="G2" s="512"/>
      <c r="H2" s="512"/>
      <c r="I2" s="512"/>
      <c r="HR2" s="323">
        <f>+CheckList!G78</f>
        <v>8</v>
      </c>
      <c r="HS2" s="324">
        <f>+CheckList!G79</f>
        <v>8.5</v>
      </c>
    </row>
    <row r="3" spans="1:16384" ht="13.5" thickBot="1">
      <c r="A3" s="513" t="s">
        <v>811</v>
      </c>
      <c r="B3" s="513"/>
      <c r="C3" s="513"/>
      <c r="D3" s="513"/>
      <c r="E3" s="513"/>
      <c r="F3" s="513"/>
      <c r="G3" s="513"/>
      <c r="H3" s="513"/>
      <c r="I3" s="513"/>
      <c r="HR3" s="325">
        <f>+HR2*21.67</f>
        <v>173.36</v>
      </c>
      <c r="HS3" s="344">
        <f>+HS2*21.67</f>
        <v>184.19500000000002</v>
      </c>
      <c r="HX3" s="343">
        <f>+CheckList!G82</f>
        <v>168</v>
      </c>
      <c r="HY3" s="344">
        <f>+CheckList!G83</f>
        <v>178.5</v>
      </c>
    </row>
    <row r="4" spans="1:16384" ht="13.5" thickBot="1">
      <c r="A4" s="78" t="s">
        <v>1416</v>
      </c>
      <c r="B4" s="78"/>
      <c r="C4" s="78"/>
      <c r="D4" s="78"/>
      <c r="E4" s="78"/>
      <c r="F4" s="78"/>
      <c r="G4" s="78"/>
      <c r="H4" s="78"/>
      <c r="I4" s="78"/>
      <c r="HP4" s="514" t="s">
        <v>1316</v>
      </c>
      <c r="HQ4" s="515"/>
      <c r="HR4" s="516" t="s">
        <v>1323</v>
      </c>
      <c r="HS4" s="516"/>
      <c r="HT4" s="510" t="s">
        <v>1317</v>
      </c>
      <c r="HU4" s="511"/>
      <c r="HX4" s="510" t="s">
        <v>1318</v>
      </c>
      <c r="HY4" s="511"/>
    </row>
    <row r="5" spans="1:16384" s="81" customFormat="1" ht="32.25" thickBot="1">
      <c r="A5" s="227" t="s">
        <v>704</v>
      </c>
      <c r="B5" s="227" t="s">
        <v>75</v>
      </c>
      <c r="C5" s="227" t="s">
        <v>135</v>
      </c>
      <c r="D5" s="227" t="s">
        <v>31</v>
      </c>
      <c r="E5" s="227" t="s">
        <v>76</v>
      </c>
      <c r="F5" s="227" t="s">
        <v>340</v>
      </c>
      <c r="G5" s="81" t="s">
        <v>73</v>
      </c>
      <c r="H5" s="81" t="s">
        <v>755</v>
      </c>
      <c r="I5" s="77" t="s">
        <v>1314</v>
      </c>
      <c r="J5" s="77" t="s">
        <v>1313</v>
      </c>
      <c r="K5" s="228"/>
      <c r="L5" s="228"/>
      <c r="M5" s="229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8"/>
      <c r="BL5" s="228"/>
      <c r="BM5" s="228"/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8"/>
      <c r="CI5" s="228"/>
      <c r="CJ5" s="228"/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8"/>
      <c r="DF5" s="228"/>
      <c r="DG5" s="228"/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8"/>
      <c r="EC5" s="228"/>
      <c r="ED5" s="228"/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8"/>
      <c r="EZ5" s="228"/>
      <c r="FA5" s="228"/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8"/>
      <c r="FW5" s="228"/>
      <c r="FX5" s="228"/>
      <c r="FY5" s="228"/>
      <c r="FZ5" s="228"/>
      <c r="GA5" s="228"/>
      <c r="GB5" s="228"/>
      <c r="GC5" s="228"/>
      <c r="GD5" s="228"/>
      <c r="GE5" s="228"/>
      <c r="GF5" s="228"/>
      <c r="GG5" s="228"/>
      <c r="GH5" s="228"/>
      <c r="GI5" s="228"/>
      <c r="GJ5" s="228"/>
      <c r="GK5" s="228"/>
      <c r="GL5" s="228"/>
      <c r="GM5" s="228"/>
      <c r="GN5" s="228"/>
      <c r="GO5" s="228"/>
      <c r="GP5" s="228"/>
      <c r="GQ5" s="228"/>
      <c r="GR5" s="228"/>
      <c r="GS5" s="228"/>
      <c r="GT5" s="228"/>
      <c r="GU5" s="228"/>
      <c r="GV5" s="228"/>
      <c r="GW5" s="228"/>
      <c r="GX5" s="228"/>
      <c r="GY5" s="228"/>
      <c r="GZ5" s="228"/>
      <c r="HA5" s="230"/>
      <c r="HB5" s="228"/>
      <c r="HC5" s="228"/>
      <c r="HD5" s="228"/>
      <c r="HE5" s="228"/>
      <c r="HF5" s="228"/>
      <c r="HG5" s="228"/>
      <c r="HH5" s="79"/>
      <c r="HI5" s="79"/>
      <c r="HJ5" s="79"/>
      <c r="HK5" s="79"/>
      <c r="HL5" s="79"/>
      <c r="HM5" s="79"/>
      <c r="HN5" s="79"/>
      <c r="HO5" s="377" t="s">
        <v>776</v>
      </c>
      <c r="HP5" s="327" t="s">
        <v>1315</v>
      </c>
      <c r="HQ5" s="327" t="s">
        <v>0</v>
      </c>
      <c r="HR5" s="327" t="s">
        <v>1315</v>
      </c>
      <c r="HS5" s="327" t="s">
        <v>0</v>
      </c>
      <c r="HT5" s="327" t="s">
        <v>1315</v>
      </c>
      <c r="HU5" s="327" t="s">
        <v>0</v>
      </c>
      <c r="HV5" s="326" t="s">
        <v>24</v>
      </c>
      <c r="HW5" s="78"/>
      <c r="HX5" s="335" t="s">
        <v>1315</v>
      </c>
      <c r="HY5" s="335" t="s">
        <v>0</v>
      </c>
      <c r="HZ5" s="336" t="s">
        <v>24</v>
      </c>
      <c r="IA5" s="78"/>
      <c r="IB5" s="79"/>
      <c r="IC5" s="79"/>
      <c r="ID5" s="79"/>
      <c r="IE5" s="79"/>
      <c r="IF5" s="79"/>
      <c r="IG5" s="79"/>
      <c r="IH5" s="79"/>
      <c r="II5" s="79"/>
      <c r="IJ5" s="79"/>
      <c r="IK5" s="79"/>
      <c r="IL5" s="79"/>
      <c r="IM5" s="79"/>
      <c r="IN5" s="79"/>
      <c r="IO5" s="79"/>
      <c r="IP5" s="79"/>
      <c r="IQ5" s="79"/>
      <c r="IR5" s="79"/>
      <c r="IS5" s="79"/>
      <c r="IT5" s="79"/>
      <c r="IU5" s="79"/>
      <c r="IV5" s="79"/>
      <c r="IW5" s="79"/>
      <c r="IX5" s="79"/>
      <c r="IY5" s="79"/>
      <c r="IZ5" s="79"/>
      <c r="JA5" s="79"/>
      <c r="JB5" s="79"/>
      <c r="JC5" s="79"/>
      <c r="JD5" s="79"/>
      <c r="JE5" s="79"/>
      <c r="JF5" s="79"/>
      <c r="JG5" s="79"/>
      <c r="JH5" s="79"/>
      <c r="JI5" s="79"/>
      <c r="JJ5" s="79"/>
      <c r="JK5" s="79"/>
      <c r="JL5" s="79"/>
      <c r="JM5" s="79"/>
      <c r="JN5" s="79"/>
      <c r="JO5" s="79"/>
      <c r="JP5" s="79"/>
      <c r="JQ5" s="79"/>
      <c r="JR5" s="79"/>
      <c r="JS5" s="79"/>
      <c r="JT5" s="79"/>
      <c r="JU5" s="79"/>
      <c r="JV5" s="79"/>
      <c r="JW5" s="79"/>
      <c r="JX5" s="79"/>
      <c r="JY5" s="79"/>
      <c r="JZ5" s="79"/>
      <c r="KA5" s="79"/>
      <c r="KB5" s="79"/>
      <c r="KC5" s="79"/>
      <c r="KD5" s="79"/>
      <c r="KE5" s="79"/>
      <c r="KF5" s="79"/>
      <c r="KG5" s="79"/>
      <c r="KH5" s="79"/>
      <c r="KI5" s="79"/>
      <c r="KJ5" s="79"/>
      <c r="KK5" s="79"/>
      <c r="KL5" s="79"/>
      <c r="KM5" s="79"/>
      <c r="KN5" s="79"/>
      <c r="KO5" s="79"/>
      <c r="KP5" s="79"/>
      <c r="KQ5" s="79"/>
      <c r="KR5" s="79"/>
      <c r="KS5" s="79"/>
      <c r="KT5" s="79"/>
      <c r="KU5" s="79"/>
      <c r="KV5" s="79"/>
      <c r="KW5" s="79"/>
      <c r="KX5" s="79"/>
      <c r="KY5" s="79"/>
      <c r="KZ5" s="79"/>
      <c r="LA5" s="79"/>
      <c r="LB5" s="79"/>
      <c r="LC5" s="79"/>
      <c r="LD5" s="79"/>
      <c r="LE5" s="79"/>
      <c r="LF5" s="79"/>
      <c r="LG5" s="79"/>
      <c r="LH5" s="79"/>
      <c r="LI5" s="79"/>
      <c r="LJ5" s="79"/>
      <c r="LK5" s="79"/>
      <c r="LL5" s="79"/>
      <c r="LM5" s="79"/>
      <c r="LN5" s="79"/>
      <c r="LO5" s="79"/>
      <c r="LP5" s="79"/>
      <c r="LQ5" s="79"/>
      <c r="LR5" s="79"/>
      <c r="LS5" s="79"/>
      <c r="LT5" s="79"/>
      <c r="LU5" s="79"/>
      <c r="LV5" s="79"/>
      <c r="LW5" s="79"/>
      <c r="LX5" s="79"/>
      <c r="LY5" s="79"/>
      <c r="LZ5" s="79"/>
      <c r="MA5" s="79"/>
      <c r="MB5" s="79"/>
      <c r="MC5" s="79"/>
      <c r="MD5" s="79"/>
      <c r="ME5" s="79"/>
      <c r="MF5" s="79"/>
      <c r="MG5" s="79"/>
      <c r="MH5" s="79"/>
      <c r="MI5" s="79"/>
      <c r="MJ5" s="79"/>
      <c r="MK5" s="79"/>
      <c r="ML5" s="79"/>
      <c r="MM5" s="79"/>
      <c r="MN5" s="79"/>
      <c r="MO5" s="79"/>
      <c r="MP5" s="79"/>
      <c r="MQ5" s="79"/>
      <c r="MR5" s="79"/>
      <c r="MS5" s="79"/>
      <c r="MT5" s="79"/>
      <c r="MU5" s="79"/>
      <c r="MV5" s="79"/>
      <c r="MW5" s="79"/>
      <c r="MX5" s="79"/>
      <c r="MY5" s="79"/>
      <c r="MZ5" s="79"/>
      <c r="NA5" s="79"/>
      <c r="NB5" s="79"/>
      <c r="NC5" s="79"/>
      <c r="ND5" s="79"/>
      <c r="NE5" s="79"/>
      <c r="NF5" s="79"/>
      <c r="NG5" s="79"/>
      <c r="NH5" s="79"/>
      <c r="NI5" s="79"/>
      <c r="NJ5" s="79"/>
      <c r="NK5" s="79"/>
      <c r="NL5" s="79"/>
      <c r="NM5" s="79"/>
      <c r="NN5" s="79"/>
      <c r="NO5" s="79"/>
      <c r="NP5" s="79"/>
      <c r="NQ5" s="79"/>
      <c r="NR5" s="79"/>
      <c r="NS5" s="79"/>
      <c r="NT5" s="79"/>
      <c r="NU5" s="79"/>
      <c r="NV5" s="79"/>
      <c r="NW5" s="79"/>
      <c r="NX5" s="79"/>
      <c r="NY5" s="79"/>
      <c r="NZ5" s="79"/>
      <c r="OA5" s="79"/>
      <c r="OB5" s="79"/>
      <c r="OC5" s="79"/>
      <c r="OD5" s="79"/>
      <c r="OE5" s="79"/>
      <c r="OF5" s="79"/>
      <c r="OG5" s="79"/>
      <c r="OH5" s="79"/>
      <c r="OI5" s="79"/>
      <c r="OJ5" s="79"/>
      <c r="OK5" s="79"/>
      <c r="OL5" s="79"/>
      <c r="OM5" s="79"/>
      <c r="ON5" s="79"/>
      <c r="OO5" s="79"/>
      <c r="OP5" s="79"/>
      <c r="OQ5" s="79"/>
      <c r="OR5" s="79"/>
      <c r="OS5" s="79"/>
      <c r="OT5" s="79"/>
      <c r="OU5" s="79"/>
      <c r="OV5" s="79"/>
      <c r="OW5" s="79"/>
      <c r="OX5" s="79"/>
      <c r="OY5" s="79"/>
      <c r="OZ5" s="79"/>
      <c r="PA5" s="79"/>
      <c r="PB5" s="79"/>
      <c r="PC5" s="79"/>
      <c r="PD5" s="79"/>
      <c r="PE5" s="79"/>
      <c r="PF5" s="79"/>
      <c r="PG5" s="79"/>
      <c r="PH5" s="79"/>
      <c r="PI5" s="79"/>
      <c r="PJ5" s="79"/>
      <c r="PK5" s="79"/>
      <c r="PL5" s="79"/>
      <c r="PM5" s="79"/>
      <c r="PN5" s="79"/>
      <c r="PO5" s="79"/>
      <c r="PP5" s="79"/>
      <c r="PQ5" s="79"/>
      <c r="PR5" s="79"/>
      <c r="PS5" s="79"/>
      <c r="PT5" s="79"/>
      <c r="PU5" s="79"/>
      <c r="PV5" s="79"/>
      <c r="PW5" s="79"/>
      <c r="PX5" s="79"/>
      <c r="PY5" s="79"/>
      <c r="PZ5" s="79"/>
      <c r="QA5" s="79"/>
      <c r="QB5" s="79"/>
      <c r="QC5" s="79"/>
      <c r="QD5" s="79"/>
      <c r="QE5" s="79"/>
      <c r="QF5" s="79"/>
      <c r="QG5" s="79"/>
      <c r="QH5" s="79"/>
      <c r="QI5" s="79"/>
      <c r="QJ5" s="79"/>
      <c r="QK5" s="79"/>
      <c r="QL5" s="79"/>
      <c r="QM5" s="79"/>
      <c r="QN5" s="79"/>
      <c r="QO5" s="79"/>
      <c r="QP5" s="79"/>
      <c r="QQ5" s="79"/>
      <c r="QR5" s="79"/>
      <c r="QS5" s="79"/>
      <c r="QT5" s="79"/>
      <c r="QU5" s="79"/>
      <c r="QV5" s="79"/>
      <c r="QW5" s="79"/>
      <c r="QX5" s="79"/>
      <c r="QY5" s="79"/>
      <c r="QZ5" s="79"/>
      <c r="RA5" s="79"/>
      <c r="RB5" s="79"/>
      <c r="RC5" s="79"/>
      <c r="RD5" s="79"/>
      <c r="RE5" s="79"/>
      <c r="RF5" s="79"/>
      <c r="RG5" s="79"/>
      <c r="RH5" s="79"/>
      <c r="RI5" s="79"/>
      <c r="RJ5" s="79"/>
      <c r="RK5" s="79"/>
      <c r="RL5" s="79"/>
      <c r="RM5" s="79"/>
      <c r="RN5" s="79"/>
      <c r="RO5" s="79"/>
      <c r="RP5" s="79"/>
      <c r="RQ5" s="79"/>
      <c r="RR5" s="79"/>
      <c r="RS5" s="79"/>
      <c r="RT5" s="79"/>
      <c r="RU5" s="79"/>
      <c r="RV5" s="79"/>
      <c r="RW5" s="79"/>
      <c r="RX5" s="79"/>
      <c r="RY5" s="79"/>
      <c r="RZ5" s="79"/>
      <c r="SA5" s="79"/>
      <c r="SB5" s="79"/>
      <c r="SC5" s="79"/>
      <c r="SD5" s="79"/>
      <c r="SE5" s="79"/>
      <c r="SF5" s="79"/>
      <c r="SG5" s="79"/>
      <c r="SH5" s="79"/>
      <c r="SI5" s="79"/>
      <c r="SJ5" s="79"/>
      <c r="SK5" s="79"/>
      <c r="SL5" s="79"/>
      <c r="SM5" s="79"/>
      <c r="SN5" s="79"/>
      <c r="SO5" s="79"/>
      <c r="SP5" s="79"/>
      <c r="SQ5" s="79"/>
      <c r="SR5" s="79"/>
      <c r="SS5" s="79"/>
      <c r="ST5" s="79"/>
      <c r="SU5" s="79"/>
      <c r="SV5" s="79"/>
      <c r="SW5" s="79"/>
      <c r="SX5" s="79"/>
      <c r="SY5" s="79"/>
      <c r="SZ5" s="79"/>
      <c r="TA5" s="79"/>
      <c r="TB5" s="79"/>
      <c r="TC5" s="79"/>
      <c r="TD5" s="79"/>
      <c r="TE5" s="79"/>
      <c r="TF5" s="79"/>
      <c r="TG5" s="79"/>
      <c r="TH5" s="79"/>
      <c r="TI5" s="79"/>
      <c r="TJ5" s="79"/>
      <c r="TK5" s="79"/>
      <c r="TL5" s="79"/>
      <c r="TM5" s="79"/>
      <c r="TN5" s="79"/>
      <c r="TO5" s="79"/>
      <c r="TP5" s="79"/>
      <c r="TQ5" s="79"/>
      <c r="TR5" s="79"/>
      <c r="TS5" s="79"/>
      <c r="TT5" s="79"/>
      <c r="TU5" s="79"/>
      <c r="TV5" s="79"/>
      <c r="TW5" s="79"/>
      <c r="TX5" s="79"/>
      <c r="TY5" s="79"/>
      <c r="TZ5" s="79"/>
      <c r="UA5" s="79"/>
      <c r="UB5" s="79"/>
      <c r="UC5" s="79"/>
      <c r="UD5" s="79"/>
      <c r="UE5" s="79"/>
      <c r="UF5" s="79"/>
      <c r="UG5" s="79"/>
      <c r="UH5" s="79"/>
      <c r="UI5" s="79"/>
      <c r="UJ5" s="79"/>
      <c r="UK5" s="79"/>
      <c r="UL5" s="79"/>
      <c r="UM5" s="79"/>
      <c r="UN5" s="79"/>
      <c r="UO5" s="79"/>
      <c r="UP5" s="79"/>
      <c r="UQ5" s="79"/>
      <c r="UR5" s="79"/>
      <c r="US5" s="79"/>
      <c r="UT5" s="79"/>
      <c r="UU5" s="79"/>
      <c r="UV5" s="79"/>
      <c r="UW5" s="79"/>
      <c r="UX5" s="79"/>
      <c r="UY5" s="79"/>
      <c r="UZ5" s="79"/>
      <c r="VA5" s="79"/>
      <c r="VB5" s="79"/>
      <c r="VC5" s="79"/>
      <c r="VD5" s="79"/>
      <c r="VE5" s="79"/>
      <c r="VF5" s="79"/>
      <c r="VG5" s="79"/>
      <c r="VH5" s="79"/>
      <c r="VI5" s="79"/>
      <c r="VJ5" s="79"/>
      <c r="VK5" s="79"/>
      <c r="VL5" s="79"/>
      <c r="VM5" s="79"/>
      <c r="VN5" s="79"/>
      <c r="VO5" s="79"/>
      <c r="VP5" s="79"/>
      <c r="VQ5" s="79"/>
      <c r="VR5" s="79"/>
      <c r="VS5" s="79"/>
      <c r="VT5" s="79"/>
      <c r="VU5" s="79"/>
      <c r="VV5" s="79"/>
      <c r="VW5" s="79"/>
      <c r="VX5" s="79"/>
      <c r="VY5" s="79"/>
      <c r="VZ5" s="79"/>
      <c r="WA5" s="79"/>
      <c r="WB5" s="79"/>
      <c r="WC5" s="79"/>
      <c r="WD5" s="79"/>
      <c r="WE5" s="79"/>
      <c r="WF5" s="79"/>
      <c r="WG5" s="79"/>
      <c r="WH5" s="79"/>
      <c r="WI5" s="79"/>
      <c r="WJ5" s="79"/>
      <c r="WK5" s="79"/>
      <c r="WL5" s="79"/>
      <c r="WM5" s="79"/>
      <c r="WN5" s="79"/>
      <c r="WO5" s="79"/>
      <c r="WP5" s="79"/>
      <c r="WQ5" s="79"/>
      <c r="WR5" s="79"/>
      <c r="WS5" s="79"/>
      <c r="WT5" s="79"/>
      <c r="WU5" s="79"/>
      <c r="WV5" s="79"/>
      <c r="WW5" s="79"/>
      <c r="WX5" s="79"/>
      <c r="WY5" s="79"/>
      <c r="WZ5" s="79"/>
      <c r="XA5" s="79"/>
      <c r="XB5" s="79"/>
      <c r="XC5" s="79"/>
      <c r="XD5" s="79"/>
      <c r="XE5" s="79"/>
      <c r="XF5" s="79"/>
      <c r="XG5" s="79"/>
      <c r="XH5" s="79"/>
      <c r="XI5" s="79"/>
      <c r="XJ5" s="79"/>
      <c r="XK5" s="79"/>
      <c r="XL5" s="79"/>
      <c r="XM5" s="79"/>
      <c r="XN5" s="79"/>
      <c r="XO5" s="79"/>
      <c r="XP5" s="79"/>
      <c r="XQ5" s="79"/>
      <c r="XR5" s="79"/>
      <c r="XS5" s="79"/>
      <c r="XT5" s="79"/>
      <c r="XU5" s="79"/>
      <c r="XV5" s="79"/>
      <c r="XW5" s="79"/>
      <c r="XX5" s="79"/>
      <c r="XY5" s="79"/>
      <c r="XZ5" s="79"/>
      <c r="YA5" s="79"/>
      <c r="YB5" s="79"/>
      <c r="YC5" s="79"/>
      <c r="YD5" s="79"/>
      <c r="YE5" s="79"/>
      <c r="YF5" s="79"/>
      <c r="YG5" s="79"/>
      <c r="YH5" s="79"/>
      <c r="YI5" s="79"/>
      <c r="YJ5" s="79"/>
      <c r="YK5" s="79"/>
      <c r="YL5" s="79"/>
      <c r="YM5" s="79"/>
      <c r="YN5" s="79"/>
      <c r="YO5" s="79"/>
      <c r="YP5" s="79"/>
      <c r="YQ5" s="79"/>
      <c r="YR5" s="79"/>
      <c r="YS5" s="79"/>
      <c r="YT5" s="79"/>
      <c r="YU5" s="79"/>
      <c r="YV5" s="79"/>
      <c r="YW5" s="79"/>
      <c r="YX5" s="79"/>
      <c r="YY5" s="79"/>
      <c r="YZ5" s="79"/>
      <c r="ZA5" s="79"/>
      <c r="ZB5" s="79"/>
      <c r="ZC5" s="79"/>
      <c r="ZD5" s="79"/>
      <c r="ZE5" s="79"/>
      <c r="ZF5" s="79"/>
      <c r="ZG5" s="79"/>
      <c r="ZH5" s="79"/>
      <c r="ZI5" s="79"/>
      <c r="ZJ5" s="79"/>
      <c r="ZK5" s="79"/>
      <c r="ZL5" s="79"/>
      <c r="ZM5" s="79"/>
      <c r="ZN5" s="79"/>
      <c r="ZO5" s="79"/>
      <c r="ZP5" s="79"/>
      <c r="ZQ5" s="79"/>
      <c r="ZR5" s="79"/>
      <c r="ZS5" s="79"/>
      <c r="ZT5" s="79"/>
      <c r="ZU5" s="79"/>
      <c r="ZV5" s="79"/>
      <c r="ZW5" s="79"/>
      <c r="ZX5" s="79"/>
      <c r="ZY5" s="79"/>
      <c r="ZZ5" s="79"/>
      <c r="AAA5" s="79"/>
      <c r="AAB5" s="79"/>
      <c r="AAC5" s="79"/>
      <c r="AAD5" s="79"/>
      <c r="AAE5" s="79"/>
      <c r="AAF5" s="79"/>
      <c r="AAG5" s="79"/>
      <c r="AAH5" s="79"/>
      <c r="AAI5" s="79"/>
      <c r="AAJ5" s="79"/>
      <c r="AAK5" s="79"/>
      <c r="AAL5" s="79"/>
      <c r="AAM5" s="79"/>
      <c r="AAN5" s="79"/>
      <c r="AAO5" s="79"/>
      <c r="AAP5" s="79"/>
      <c r="AAQ5" s="79"/>
      <c r="AAR5" s="79"/>
      <c r="AAS5" s="79"/>
      <c r="AAT5" s="79"/>
      <c r="AAU5" s="79"/>
      <c r="AAV5" s="79"/>
      <c r="AAW5" s="79"/>
      <c r="AAX5" s="79"/>
      <c r="AAY5" s="79"/>
      <c r="AAZ5" s="79"/>
      <c r="ABA5" s="79"/>
      <c r="ABB5" s="79"/>
      <c r="ABC5" s="79"/>
      <c r="ABD5" s="79"/>
      <c r="ABE5" s="79"/>
      <c r="ABF5" s="79"/>
      <c r="ABG5" s="79"/>
      <c r="ABH5" s="79"/>
      <c r="ABI5" s="79"/>
      <c r="ABJ5" s="79"/>
      <c r="ABK5" s="79"/>
      <c r="ABL5" s="79"/>
      <c r="ABM5" s="79"/>
      <c r="ABN5" s="79"/>
      <c r="ABO5" s="79"/>
      <c r="ABP5" s="79"/>
      <c r="ABQ5" s="79"/>
      <c r="ABR5" s="79"/>
      <c r="ABS5" s="79"/>
      <c r="ABT5" s="79"/>
      <c r="ABU5" s="79"/>
      <c r="ABV5" s="79"/>
      <c r="ABW5" s="79"/>
      <c r="ABX5" s="79"/>
      <c r="ABY5" s="79"/>
      <c r="ABZ5" s="79"/>
      <c r="ACA5" s="79"/>
      <c r="ACB5" s="79"/>
      <c r="ACC5" s="79"/>
      <c r="ACD5" s="79"/>
      <c r="ACE5" s="79"/>
      <c r="ACF5" s="79"/>
      <c r="ACG5" s="79"/>
      <c r="ACH5" s="79"/>
      <c r="ACI5" s="79"/>
      <c r="ACJ5" s="79"/>
      <c r="ACK5" s="79"/>
      <c r="ACL5" s="79"/>
      <c r="ACM5" s="79"/>
      <c r="ACN5" s="79"/>
      <c r="ACO5" s="79"/>
      <c r="ACP5" s="79"/>
      <c r="ACQ5" s="79"/>
      <c r="ACR5" s="79"/>
      <c r="ACS5" s="79"/>
      <c r="ACT5" s="79"/>
      <c r="ACU5" s="79"/>
      <c r="ACV5" s="79"/>
      <c r="ACW5" s="79"/>
      <c r="ACX5" s="79"/>
      <c r="ACY5" s="79"/>
      <c r="ACZ5" s="79"/>
      <c r="ADA5" s="79"/>
      <c r="ADB5" s="79"/>
      <c r="ADC5" s="79"/>
      <c r="ADD5" s="79"/>
      <c r="ADE5" s="79"/>
      <c r="ADF5" s="79"/>
      <c r="ADG5" s="79"/>
      <c r="ADH5" s="79"/>
      <c r="ADI5" s="79"/>
      <c r="ADJ5" s="79"/>
      <c r="ADK5" s="79"/>
      <c r="ADL5" s="79"/>
      <c r="ADM5" s="79"/>
      <c r="ADN5" s="79"/>
      <c r="ADO5" s="79"/>
      <c r="ADP5" s="79"/>
      <c r="ADQ5" s="79"/>
      <c r="ADR5" s="79"/>
      <c r="ADS5" s="79"/>
      <c r="ADT5" s="79"/>
      <c r="ADU5" s="79"/>
      <c r="ADV5" s="79"/>
      <c r="ADW5" s="79"/>
      <c r="ADX5" s="79"/>
      <c r="ADY5" s="79"/>
      <c r="ADZ5" s="79"/>
      <c r="AEA5" s="79"/>
      <c r="AEB5" s="79"/>
      <c r="AEC5" s="79"/>
      <c r="AED5" s="79"/>
      <c r="AEE5" s="79"/>
      <c r="AEF5" s="79"/>
      <c r="AEG5" s="79"/>
      <c r="AEH5" s="79"/>
      <c r="AEI5" s="79"/>
      <c r="AEJ5" s="79"/>
      <c r="AEK5" s="79"/>
      <c r="AEL5" s="79"/>
      <c r="AEM5" s="79"/>
      <c r="AEN5" s="79"/>
      <c r="AEO5" s="79"/>
      <c r="AEP5" s="79"/>
      <c r="AEQ5" s="79"/>
      <c r="AER5" s="79"/>
      <c r="AES5" s="79"/>
      <c r="AET5" s="79"/>
      <c r="AEU5" s="79"/>
      <c r="AEV5" s="79"/>
      <c r="AEW5" s="79"/>
      <c r="AEX5" s="79"/>
      <c r="AEY5" s="79"/>
      <c r="AEZ5" s="79"/>
      <c r="AFA5" s="79"/>
      <c r="AFB5" s="79"/>
      <c r="AFC5" s="79"/>
      <c r="AFD5" s="79"/>
      <c r="AFE5" s="79"/>
      <c r="AFF5" s="79"/>
      <c r="AFG5" s="79"/>
      <c r="AFH5" s="79"/>
      <c r="AFI5" s="79"/>
      <c r="AFJ5" s="79"/>
      <c r="AFK5" s="79"/>
      <c r="AFL5" s="79"/>
      <c r="AFM5" s="79"/>
      <c r="AFN5" s="79"/>
      <c r="AFO5" s="79"/>
      <c r="AFP5" s="79"/>
      <c r="AFQ5" s="79"/>
      <c r="AFR5" s="79"/>
      <c r="AFS5" s="79"/>
      <c r="AFT5" s="79"/>
      <c r="AFU5" s="79"/>
      <c r="AFV5" s="79"/>
      <c r="AFW5" s="79"/>
      <c r="AFX5" s="79"/>
      <c r="AFY5" s="79"/>
      <c r="AFZ5" s="79"/>
      <c r="AGA5" s="79"/>
      <c r="AGB5" s="79"/>
      <c r="AGC5" s="79"/>
      <c r="AGD5" s="79"/>
      <c r="AGE5" s="79"/>
      <c r="AGF5" s="79"/>
      <c r="AGG5" s="79"/>
      <c r="AGH5" s="79"/>
      <c r="AGI5" s="79"/>
      <c r="AGJ5" s="79"/>
      <c r="AGK5" s="79"/>
      <c r="AGL5" s="79"/>
      <c r="AGM5" s="79"/>
      <c r="AGN5" s="79"/>
      <c r="AGO5" s="79"/>
      <c r="AGP5" s="79"/>
      <c r="AGQ5" s="79"/>
      <c r="AGR5" s="79"/>
      <c r="AGS5" s="79"/>
      <c r="AGT5" s="79"/>
      <c r="AGU5" s="79"/>
      <c r="AGV5" s="79"/>
      <c r="AGW5" s="79"/>
      <c r="AGX5" s="79"/>
      <c r="AGY5" s="79"/>
      <c r="AGZ5" s="79"/>
      <c r="AHA5" s="79"/>
      <c r="AHB5" s="79"/>
      <c r="AHC5" s="79"/>
      <c r="AHD5" s="79"/>
      <c r="AHE5" s="79"/>
      <c r="AHF5" s="79"/>
      <c r="AHG5" s="79"/>
      <c r="AHH5" s="79"/>
      <c r="AHI5" s="79"/>
      <c r="AHJ5" s="79"/>
      <c r="AHK5" s="79"/>
      <c r="AHL5" s="79"/>
      <c r="AHM5" s="79"/>
      <c r="AHN5" s="79"/>
      <c r="AHO5" s="79"/>
      <c r="AHP5" s="79"/>
      <c r="AHQ5" s="79"/>
      <c r="AHR5" s="79"/>
      <c r="AHS5" s="79"/>
      <c r="AHT5" s="79"/>
      <c r="AHU5" s="79"/>
      <c r="AHV5" s="79"/>
      <c r="AHW5" s="79"/>
      <c r="AHX5" s="79"/>
      <c r="AHY5" s="79"/>
      <c r="AHZ5" s="79"/>
      <c r="AIA5" s="79"/>
      <c r="AIB5" s="79"/>
      <c r="AIC5" s="79"/>
      <c r="AID5" s="79"/>
      <c r="AIE5" s="79"/>
      <c r="AIF5" s="79"/>
      <c r="AIG5" s="79"/>
      <c r="AIH5" s="79"/>
      <c r="AII5" s="79"/>
      <c r="AIJ5" s="79"/>
      <c r="AIK5" s="79"/>
      <c r="AIL5" s="79"/>
      <c r="AIM5" s="79"/>
      <c r="AIN5" s="79"/>
      <c r="AIO5" s="79"/>
      <c r="AIP5" s="79"/>
      <c r="AIQ5" s="79"/>
      <c r="AIR5" s="79"/>
      <c r="AIS5" s="79"/>
      <c r="AIT5" s="79"/>
      <c r="AIU5" s="79"/>
      <c r="AIV5" s="79"/>
      <c r="AIW5" s="79"/>
      <c r="AIX5" s="79"/>
      <c r="AIY5" s="79"/>
      <c r="AIZ5" s="79"/>
      <c r="AJA5" s="79"/>
      <c r="AJB5" s="79"/>
      <c r="AJC5" s="79"/>
      <c r="AJD5" s="79"/>
      <c r="AJE5" s="79"/>
      <c r="AJF5" s="79"/>
      <c r="AJG5" s="79"/>
      <c r="AJH5" s="79"/>
      <c r="AJI5" s="79"/>
      <c r="AJJ5" s="79"/>
      <c r="AJK5" s="79"/>
      <c r="AJL5" s="79"/>
      <c r="AJM5" s="79"/>
      <c r="AJN5" s="79"/>
      <c r="AJO5" s="79"/>
      <c r="AJP5" s="79"/>
      <c r="AJQ5" s="79"/>
      <c r="AJR5" s="79"/>
      <c r="AJS5" s="79"/>
      <c r="AJT5" s="79"/>
      <c r="AJU5" s="79"/>
      <c r="AJV5" s="79"/>
      <c r="AJW5" s="79"/>
      <c r="AJX5" s="79"/>
      <c r="AJY5" s="79"/>
      <c r="AJZ5" s="79"/>
      <c r="AKA5" s="79"/>
      <c r="AKB5" s="79"/>
      <c r="AKC5" s="79"/>
      <c r="AKD5" s="79"/>
      <c r="AKE5" s="79"/>
      <c r="AKF5" s="79"/>
      <c r="AKG5" s="79"/>
      <c r="AKH5" s="79"/>
      <c r="AKI5" s="79"/>
      <c r="AKJ5" s="79"/>
      <c r="AKK5" s="79"/>
      <c r="AKL5" s="79"/>
      <c r="AKM5" s="79"/>
      <c r="AKN5" s="79"/>
      <c r="AKO5" s="79"/>
      <c r="AKP5" s="79"/>
      <c r="AKQ5" s="79"/>
      <c r="AKR5" s="79"/>
      <c r="AKS5" s="79"/>
      <c r="AKT5" s="79"/>
      <c r="AKU5" s="79"/>
      <c r="AKV5" s="79"/>
      <c r="AKW5" s="79"/>
      <c r="AKX5" s="79"/>
      <c r="AKY5" s="79"/>
      <c r="AKZ5" s="79"/>
      <c r="ALA5" s="79"/>
      <c r="ALB5" s="79"/>
      <c r="ALC5" s="79"/>
      <c r="ALD5" s="79"/>
      <c r="ALE5" s="79"/>
      <c r="ALF5" s="79"/>
      <c r="ALG5" s="79"/>
      <c r="ALH5" s="79"/>
      <c r="ALI5" s="79"/>
      <c r="ALJ5" s="79"/>
      <c r="ALK5" s="79"/>
      <c r="ALL5" s="79"/>
      <c r="ALM5" s="79"/>
      <c r="ALN5" s="79"/>
      <c r="ALO5" s="79"/>
      <c r="ALP5" s="79"/>
      <c r="ALQ5" s="79"/>
      <c r="ALR5" s="79"/>
      <c r="ALS5" s="79"/>
      <c r="ALT5" s="79"/>
      <c r="ALU5" s="79"/>
      <c r="ALV5" s="79"/>
      <c r="ALW5" s="79"/>
      <c r="ALX5" s="79"/>
      <c r="ALY5" s="79"/>
      <c r="ALZ5" s="79"/>
      <c r="AMA5" s="79"/>
      <c r="AMB5" s="79"/>
      <c r="AMC5" s="79"/>
      <c r="AMD5" s="79"/>
      <c r="AME5" s="79"/>
      <c r="AMF5" s="79"/>
      <c r="AMG5" s="79"/>
      <c r="AMH5" s="79"/>
      <c r="AMI5" s="79"/>
      <c r="AMJ5" s="79"/>
      <c r="AMK5" s="79"/>
      <c r="AML5" s="79"/>
      <c r="AMM5" s="79"/>
      <c r="AMN5" s="79"/>
      <c r="AMO5" s="79"/>
      <c r="AMP5" s="79"/>
      <c r="AMQ5" s="79"/>
      <c r="AMR5" s="79"/>
      <c r="AMS5" s="79"/>
      <c r="AMT5" s="79"/>
      <c r="AMU5" s="79"/>
      <c r="AMV5" s="79"/>
      <c r="AMW5" s="79"/>
      <c r="AMX5" s="79"/>
      <c r="AMY5" s="79"/>
      <c r="AMZ5" s="79"/>
      <c r="ANA5" s="79"/>
      <c r="ANB5" s="79"/>
      <c r="ANC5" s="79"/>
      <c r="AND5" s="79"/>
      <c r="ANE5" s="79"/>
      <c r="ANF5" s="79"/>
      <c r="ANG5" s="79"/>
      <c r="ANH5" s="79"/>
      <c r="ANI5" s="79"/>
      <c r="ANJ5" s="79"/>
      <c r="ANK5" s="79"/>
      <c r="ANL5" s="79"/>
      <c r="ANM5" s="79"/>
      <c r="ANN5" s="79"/>
      <c r="ANO5" s="79"/>
      <c r="ANP5" s="79"/>
      <c r="ANQ5" s="79"/>
      <c r="ANR5" s="79"/>
      <c r="ANS5" s="79"/>
      <c r="ANT5" s="79"/>
      <c r="ANU5" s="79"/>
      <c r="ANV5" s="79"/>
      <c r="ANW5" s="79"/>
      <c r="ANX5" s="79"/>
      <c r="ANY5" s="79"/>
      <c r="ANZ5" s="79"/>
      <c r="AOA5" s="79"/>
      <c r="AOB5" s="79"/>
      <c r="AOC5" s="79"/>
      <c r="AOD5" s="79"/>
      <c r="AOE5" s="79"/>
      <c r="AOF5" s="79"/>
      <c r="AOG5" s="79"/>
      <c r="AOH5" s="79"/>
      <c r="AOI5" s="79"/>
      <c r="AOJ5" s="79"/>
      <c r="AOK5" s="79"/>
      <c r="AOL5" s="79"/>
      <c r="AOM5" s="79"/>
      <c r="AON5" s="79"/>
      <c r="AOO5" s="79"/>
      <c r="AOP5" s="79"/>
      <c r="AOQ5" s="79"/>
      <c r="AOR5" s="79"/>
      <c r="AOS5" s="79"/>
      <c r="AOT5" s="79"/>
      <c r="AOU5" s="79"/>
      <c r="AOV5" s="79"/>
      <c r="AOW5" s="79"/>
      <c r="AOX5" s="79"/>
      <c r="AOY5" s="79"/>
      <c r="AOZ5" s="79"/>
      <c r="APA5" s="79"/>
      <c r="APB5" s="79"/>
      <c r="APC5" s="79"/>
      <c r="APD5" s="79"/>
      <c r="APE5" s="79"/>
      <c r="APF5" s="79"/>
      <c r="APG5" s="79"/>
      <c r="APH5" s="79"/>
      <c r="API5" s="79"/>
      <c r="APJ5" s="79"/>
      <c r="APK5" s="79"/>
      <c r="APL5" s="79"/>
      <c r="APM5" s="79"/>
      <c r="APN5" s="79"/>
      <c r="APO5" s="79"/>
      <c r="APP5" s="79"/>
      <c r="APQ5" s="79"/>
      <c r="APR5" s="79"/>
      <c r="APS5" s="79"/>
      <c r="APT5" s="79"/>
      <c r="APU5" s="79"/>
      <c r="APV5" s="79"/>
      <c r="APW5" s="79"/>
      <c r="APX5" s="79"/>
      <c r="APY5" s="79"/>
      <c r="APZ5" s="79"/>
      <c r="AQA5" s="79"/>
      <c r="AQB5" s="79"/>
      <c r="AQC5" s="79"/>
      <c r="AQD5" s="79"/>
      <c r="AQE5" s="79"/>
      <c r="AQF5" s="79"/>
      <c r="AQG5" s="79"/>
      <c r="AQH5" s="79"/>
      <c r="AQI5" s="79"/>
      <c r="AQJ5" s="79"/>
      <c r="AQK5" s="79"/>
      <c r="AQL5" s="79"/>
      <c r="AQM5" s="79"/>
      <c r="AQN5" s="79"/>
      <c r="AQO5" s="79"/>
      <c r="AQP5" s="79"/>
      <c r="AQQ5" s="79"/>
      <c r="AQR5" s="79"/>
      <c r="AQS5" s="79"/>
      <c r="AQT5" s="79"/>
      <c r="AQU5" s="79"/>
      <c r="AQV5" s="79"/>
      <c r="AQW5" s="79"/>
      <c r="AQX5" s="79"/>
      <c r="AQY5" s="79"/>
      <c r="AQZ5" s="79"/>
      <c r="ARA5" s="79"/>
      <c r="ARB5" s="79"/>
      <c r="ARC5" s="79"/>
      <c r="ARD5" s="79"/>
      <c r="ARE5" s="79"/>
      <c r="ARF5" s="79"/>
      <c r="ARG5" s="79"/>
      <c r="ARH5" s="79"/>
      <c r="ARI5" s="79"/>
      <c r="ARJ5" s="79"/>
      <c r="ARK5" s="79"/>
      <c r="ARL5" s="79"/>
      <c r="ARM5" s="79"/>
      <c r="ARN5" s="79"/>
      <c r="ARO5" s="79"/>
      <c r="ARP5" s="79"/>
      <c r="ARQ5" s="79"/>
      <c r="ARR5" s="79"/>
      <c r="ARS5" s="79"/>
      <c r="ART5" s="79"/>
      <c r="ARU5" s="79"/>
      <c r="ARV5" s="79"/>
      <c r="ARW5" s="79"/>
      <c r="ARX5" s="79"/>
      <c r="ARY5" s="79"/>
      <c r="ARZ5" s="79"/>
      <c r="ASA5" s="79"/>
      <c r="ASB5" s="79"/>
      <c r="ASC5" s="79"/>
      <c r="ASD5" s="79"/>
      <c r="ASE5" s="79"/>
      <c r="ASF5" s="79"/>
      <c r="ASG5" s="79"/>
      <c r="ASH5" s="79"/>
      <c r="ASI5" s="79"/>
      <c r="ASJ5" s="79"/>
      <c r="ASK5" s="79"/>
      <c r="ASL5" s="79"/>
      <c r="ASM5" s="79"/>
      <c r="ASN5" s="79"/>
      <c r="ASO5" s="79"/>
      <c r="ASP5" s="79"/>
      <c r="ASQ5" s="79"/>
      <c r="ASR5" s="79"/>
      <c r="ASS5" s="79"/>
      <c r="AST5" s="79"/>
      <c r="ASU5" s="79"/>
      <c r="ASV5" s="79"/>
      <c r="ASW5" s="79"/>
      <c r="ASX5" s="79"/>
      <c r="ASY5" s="79"/>
      <c r="ASZ5" s="79"/>
      <c r="ATA5" s="79"/>
      <c r="ATB5" s="79"/>
      <c r="ATC5" s="79"/>
      <c r="ATD5" s="79"/>
      <c r="ATE5" s="79"/>
      <c r="ATF5" s="79"/>
      <c r="ATG5" s="79"/>
      <c r="ATH5" s="79"/>
      <c r="ATI5" s="79"/>
      <c r="ATJ5" s="79"/>
      <c r="ATK5" s="79"/>
      <c r="ATL5" s="79"/>
      <c r="ATM5" s="79"/>
      <c r="ATN5" s="79"/>
      <c r="ATO5" s="79"/>
      <c r="ATP5" s="79"/>
      <c r="ATQ5" s="79"/>
      <c r="ATR5" s="79"/>
      <c r="ATS5" s="79"/>
      <c r="ATT5" s="79"/>
      <c r="ATU5" s="79"/>
      <c r="ATV5" s="79"/>
      <c r="ATW5" s="79"/>
      <c r="ATX5" s="79"/>
      <c r="ATY5" s="79"/>
      <c r="ATZ5" s="79"/>
      <c r="AUA5" s="79"/>
      <c r="AUB5" s="79"/>
      <c r="AUC5" s="79"/>
      <c r="AUD5" s="79"/>
      <c r="AUE5" s="79"/>
      <c r="AUF5" s="79"/>
      <c r="AUG5" s="79"/>
      <c r="AUH5" s="79"/>
      <c r="AUI5" s="79"/>
      <c r="AUJ5" s="79"/>
      <c r="AUK5" s="79"/>
      <c r="AUL5" s="79"/>
      <c r="AUM5" s="79"/>
      <c r="AUN5" s="79"/>
      <c r="AUO5" s="79"/>
      <c r="AUP5" s="79"/>
      <c r="AUQ5" s="79"/>
      <c r="AUR5" s="79"/>
      <c r="AUS5" s="79"/>
      <c r="AUT5" s="79"/>
      <c r="AUU5" s="79"/>
      <c r="AUV5" s="79"/>
      <c r="AUW5" s="79"/>
      <c r="AUX5" s="79"/>
      <c r="AUY5" s="79"/>
      <c r="AUZ5" s="79"/>
      <c r="AVA5" s="79"/>
      <c r="AVB5" s="79"/>
      <c r="AVC5" s="79"/>
      <c r="AVD5" s="79"/>
      <c r="AVE5" s="79"/>
      <c r="AVF5" s="79"/>
      <c r="AVG5" s="79"/>
      <c r="AVH5" s="79"/>
      <c r="AVI5" s="79"/>
      <c r="AVJ5" s="79"/>
      <c r="AVK5" s="79"/>
      <c r="AVL5" s="79"/>
      <c r="AVM5" s="79"/>
      <c r="AVN5" s="79"/>
      <c r="AVO5" s="79"/>
      <c r="AVP5" s="79"/>
      <c r="AVQ5" s="79"/>
      <c r="AVR5" s="79"/>
      <c r="AVS5" s="79"/>
      <c r="AVT5" s="79"/>
      <c r="AVU5" s="79"/>
      <c r="AVV5" s="79"/>
      <c r="AVW5" s="79"/>
      <c r="AVX5" s="79"/>
      <c r="AVY5" s="79"/>
      <c r="AVZ5" s="79"/>
      <c r="AWA5" s="79"/>
      <c r="AWB5" s="79"/>
      <c r="AWC5" s="79"/>
      <c r="AWD5" s="79"/>
      <c r="AWE5" s="79"/>
      <c r="AWF5" s="79"/>
      <c r="AWG5" s="79"/>
      <c r="AWH5" s="79"/>
      <c r="AWI5" s="79"/>
      <c r="AWJ5" s="79"/>
      <c r="AWK5" s="79"/>
      <c r="AWL5" s="79"/>
      <c r="AWM5" s="79"/>
      <c r="AWN5" s="79"/>
      <c r="AWO5" s="79"/>
      <c r="AWP5" s="79"/>
      <c r="AWQ5" s="79"/>
      <c r="AWR5" s="79"/>
      <c r="AWS5" s="79"/>
      <c r="AWT5" s="79"/>
      <c r="AWU5" s="79"/>
      <c r="AWV5" s="79"/>
      <c r="AWW5" s="79"/>
      <c r="AWX5" s="79"/>
      <c r="AWY5" s="79"/>
      <c r="AWZ5" s="79"/>
      <c r="AXA5" s="79"/>
      <c r="AXB5" s="79"/>
      <c r="AXC5" s="79"/>
      <c r="AXD5" s="79"/>
      <c r="AXE5" s="79"/>
      <c r="AXF5" s="79"/>
      <c r="AXG5" s="79"/>
      <c r="AXH5" s="79"/>
      <c r="AXI5" s="79"/>
      <c r="AXJ5" s="79"/>
      <c r="AXK5" s="79"/>
      <c r="AXL5" s="79"/>
      <c r="AXM5" s="79"/>
      <c r="AXN5" s="79"/>
      <c r="AXO5" s="79"/>
      <c r="AXP5" s="79"/>
      <c r="AXQ5" s="79"/>
      <c r="AXR5" s="79"/>
      <c r="AXS5" s="79"/>
      <c r="AXT5" s="79"/>
      <c r="AXU5" s="79"/>
      <c r="AXV5" s="79"/>
      <c r="AXW5" s="79"/>
      <c r="AXX5" s="79"/>
      <c r="AXY5" s="79"/>
      <c r="AXZ5" s="79"/>
      <c r="AYA5" s="79"/>
      <c r="AYB5" s="79"/>
      <c r="AYC5" s="79"/>
      <c r="AYD5" s="79"/>
      <c r="AYE5" s="79"/>
      <c r="AYF5" s="79"/>
      <c r="AYG5" s="79"/>
      <c r="AYH5" s="79"/>
      <c r="AYI5" s="79"/>
      <c r="AYJ5" s="79"/>
      <c r="AYK5" s="79"/>
      <c r="AYL5" s="79"/>
      <c r="AYM5" s="79"/>
      <c r="AYN5" s="79"/>
      <c r="AYO5" s="79"/>
      <c r="AYP5" s="79"/>
      <c r="AYQ5" s="79"/>
      <c r="AYR5" s="79"/>
      <c r="AYS5" s="79"/>
      <c r="AYT5" s="79"/>
      <c r="AYU5" s="79"/>
      <c r="AYV5" s="79"/>
      <c r="AYW5" s="79"/>
      <c r="AYX5" s="79"/>
      <c r="AYY5" s="79"/>
      <c r="AYZ5" s="79"/>
      <c r="AZA5" s="79"/>
      <c r="AZB5" s="79"/>
      <c r="AZC5" s="79"/>
      <c r="AZD5" s="79"/>
      <c r="AZE5" s="79"/>
      <c r="AZF5" s="79"/>
      <c r="AZG5" s="79"/>
      <c r="AZH5" s="79"/>
      <c r="AZI5" s="79"/>
      <c r="AZJ5" s="79"/>
      <c r="AZK5" s="79"/>
      <c r="AZL5" s="79"/>
      <c r="AZM5" s="79"/>
      <c r="AZN5" s="79"/>
      <c r="AZO5" s="79"/>
      <c r="AZP5" s="79"/>
      <c r="AZQ5" s="79"/>
      <c r="AZR5" s="79"/>
      <c r="AZS5" s="79"/>
      <c r="AZT5" s="79"/>
      <c r="AZU5" s="79"/>
      <c r="AZV5" s="79"/>
      <c r="AZW5" s="79"/>
      <c r="AZX5" s="79"/>
      <c r="AZY5" s="79"/>
      <c r="AZZ5" s="79"/>
      <c r="BAA5" s="79"/>
      <c r="BAB5" s="79"/>
      <c r="BAC5" s="79"/>
      <c r="BAD5" s="79"/>
      <c r="BAE5" s="79"/>
      <c r="BAF5" s="79"/>
      <c r="BAG5" s="79"/>
      <c r="BAH5" s="79"/>
      <c r="BAI5" s="79"/>
      <c r="BAJ5" s="79"/>
      <c r="BAK5" s="79"/>
      <c r="BAL5" s="79"/>
      <c r="BAM5" s="79"/>
      <c r="BAN5" s="79"/>
      <c r="BAO5" s="79"/>
      <c r="BAP5" s="79"/>
      <c r="BAQ5" s="79"/>
      <c r="BAR5" s="79"/>
      <c r="BAS5" s="79"/>
      <c r="BAT5" s="79"/>
      <c r="BAU5" s="79"/>
      <c r="BAV5" s="79"/>
      <c r="BAW5" s="79"/>
      <c r="BAX5" s="79"/>
      <c r="BAY5" s="79"/>
      <c r="BAZ5" s="79"/>
      <c r="BBA5" s="79"/>
      <c r="BBB5" s="79"/>
      <c r="BBC5" s="79"/>
      <c r="BBD5" s="79"/>
      <c r="BBE5" s="79"/>
      <c r="BBF5" s="79"/>
      <c r="BBG5" s="79"/>
      <c r="BBH5" s="79"/>
      <c r="BBI5" s="79"/>
      <c r="BBJ5" s="79"/>
      <c r="BBK5" s="79"/>
      <c r="BBL5" s="79"/>
      <c r="BBM5" s="79"/>
      <c r="BBN5" s="79"/>
      <c r="BBO5" s="79"/>
      <c r="BBP5" s="79"/>
      <c r="BBQ5" s="79"/>
      <c r="BBR5" s="79"/>
      <c r="BBS5" s="79"/>
      <c r="BBT5" s="79"/>
      <c r="BBU5" s="79"/>
      <c r="BBV5" s="79"/>
      <c r="BBW5" s="79"/>
      <c r="BBX5" s="79"/>
      <c r="BBY5" s="79"/>
      <c r="BBZ5" s="79"/>
      <c r="BCA5" s="79"/>
      <c r="BCB5" s="79"/>
      <c r="BCC5" s="79"/>
      <c r="BCD5" s="79"/>
      <c r="BCE5" s="79"/>
      <c r="BCF5" s="79"/>
      <c r="BCG5" s="79"/>
      <c r="BCH5" s="79"/>
      <c r="BCI5" s="79"/>
      <c r="BCJ5" s="79"/>
      <c r="BCK5" s="79"/>
      <c r="BCL5" s="79"/>
      <c r="BCM5" s="79"/>
      <c r="BCN5" s="79"/>
      <c r="BCO5" s="79"/>
      <c r="BCP5" s="79"/>
      <c r="BCQ5" s="79"/>
      <c r="BCR5" s="79"/>
      <c r="BCS5" s="79"/>
      <c r="BCT5" s="79"/>
      <c r="BCU5" s="79"/>
      <c r="BCV5" s="79"/>
      <c r="BCW5" s="79"/>
      <c r="BCX5" s="79"/>
      <c r="BCY5" s="79"/>
      <c r="BCZ5" s="79"/>
      <c r="BDA5" s="79"/>
      <c r="BDB5" s="79"/>
      <c r="BDC5" s="79"/>
      <c r="BDD5" s="79"/>
      <c r="BDE5" s="79"/>
      <c r="BDF5" s="79"/>
      <c r="BDG5" s="79"/>
      <c r="BDH5" s="79"/>
      <c r="BDI5" s="79"/>
      <c r="BDJ5" s="79"/>
      <c r="BDK5" s="79"/>
      <c r="BDL5" s="79"/>
      <c r="BDM5" s="79"/>
      <c r="BDN5" s="79"/>
      <c r="BDO5" s="79"/>
      <c r="BDP5" s="79"/>
      <c r="BDQ5" s="79"/>
      <c r="BDR5" s="79"/>
      <c r="BDS5" s="79"/>
      <c r="BDT5" s="79"/>
      <c r="BDU5" s="79"/>
      <c r="BDV5" s="79"/>
      <c r="BDW5" s="79"/>
      <c r="BDX5" s="79"/>
      <c r="BDY5" s="79"/>
      <c r="BDZ5" s="79"/>
      <c r="BEA5" s="79"/>
      <c r="BEB5" s="79"/>
      <c r="BEC5" s="79"/>
      <c r="BED5" s="79"/>
      <c r="BEE5" s="79"/>
      <c r="BEF5" s="79"/>
      <c r="BEG5" s="79"/>
      <c r="BEH5" s="79"/>
      <c r="BEI5" s="79"/>
      <c r="BEJ5" s="79"/>
      <c r="BEK5" s="79"/>
      <c r="BEL5" s="79"/>
      <c r="BEM5" s="79"/>
      <c r="BEN5" s="79"/>
      <c r="BEO5" s="79"/>
      <c r="BEP5" s="79"/>
      <c r="BEQ5" s="79"/>
      <c r="BER5" s="79"/>
      <c r="BES5" s="79"/>
      <c r="BET5" s="79"/>
      <c r="BEU5" s="79"/>
      <c r="BEV5" s="79"/>
      <c r="BEW5" s="79"/>
      <c r="BEX5" s="79"/>
      <c r="BEY5" s="79"/>
      <c r="BEZ5" s="79"/>
      <c r="BFA5" s="79"/>
      <c r="BFB5" s="79"/>
      <c r="BFC5" s="79"/>
      <c r="BFD5" s="79"/>
      <c r="BFE5" s="79"/>
      <c r="BFF5" s="79"/>
      <c r="BFG5" s="79"/>
      <c r="BFH5" s="79"/>
      <c r="BFI5" s="79"/>
      <c r="BFJ5" s="79"/>
      <c r="BFK5" s="79"/>
      <c r="BFL5" s="79"/>
      <c r="BFM5" s="79"/>
      <c r="BFN5" s="79"/>
      <c r="BFO5" s="79"/>
      <c r="BFP5" s="79"/>
      <c r="BFQ5" s="79"/>
      <c r="BFR5" s="79"/>
      <c r="BFS5" s="79"/>
      <c r="BFT5" s="79"/>
      <c r="BFU5" s="79"/>
      <c r="BFV5" s="79"/>
      <c r="BFW5" s="79"/>
      <c r="BFX5" s="79"/>
      <c r="BFY5" s="79"/>
      <c r="BFZ5" s="79"/>
      <c r="BGA5" s="79"/>
      <c r="BGB5" s="79"/>
      <c r="BGC5" s="79"/>
      <c r="BGD5" s="79"/>
      <c r="BGE5" s="79"/>
      <c r="BGF5" s="79"/>
      <c r="BGG5" s="79"/>
      <c r="BGH5" s="79"/>
      <c r="BGI5" s="79"/>
      <c r="BGJ5" s="79"/>
      <c r="BGK5" s="79"/>
      <c r="BGL5" s="79"/>
      <c r="BGM5" s="79"/>
      <c r="BGN5" s="79"/>
      <c r="BGO5" s="79"/>
      <c r="BGP5" s="79"/>
      <c r="BGQ5" s="79"/>
      <c r="BGR5" s="79"/>
      <c r="BGS5" s="79"/>
      <c r="BGT5" s="79"/>
      <c r="BGU5" s="79"/>
      <c r="BGV5" s="79"/>
      <c r="BGW5" s="79"/>
      <c r="BGX5" s="79"/>
      <c r="BGY5" s="79"/>
      <c r="BGZ5" s="79"/>
      <c r="BHA5" s="79"/>
      <c r="BHB5" s="79"/>
      <c r="BHC5" s="79"/>
      <c r="BHD5" s="79"/>
      <c r="BHE5" s="79"/>
      <c r="BHF5" s="79"/>
      <c r="BHG5" s="79"/>
      <c r="BHH5" s="79"/>
      <c r="BHI5" s="79"/>
      <c r="BHJ5" s="79"/>
      <c r="BHK5" s="79"/>
      <c r="BHL5" s="79"/>
      <c r="BHM5" s="79"/>
      <c r="BHN5" s="79"/>
      <c r="BHO5" s="79"/>
      <c r="BHP5" s="79"/>
      <c r="BHQ5" s="79"/>
      <c r="BHR5" s="79"/>
      <c r="BHS5" s="79"/>
      <c r="BHT5" s="79"/>
      <c r="BHU5" s="79"/>
      <c r="BHV5" s="79"/>
      <c r="BHW5" s="79"/>
      <c r="BHX5" s="79"/>
      <c r="BHY5" s="79"/>
      <c r="BHZ5" s="79"/>
      <c r="BIA5" s="79"/>
      <c r="BIB5" s="79"/>
      <c r="BIC5" s="79"/>
      <c r="BID5" s="79"/>
      <c r="BIE5" s="79"/>
      <c r="BIF5" s="79"/>
      <c r="BIG5" s="79"/>
      <c r="BIH5" s="79"/>
      <c r="BII5" s="79"/>
      <c r="BIJ5" s="79"/>
      <c r="BIK5" s="79"/>
      <c r="BIL5" s="79"/>
      <c r="BIM5" s="79"/>
      <c r="BIN5" s="79"/>
      <c r="BIO5" s="79"/>
      <c r="BIP5" s="79"/>
      <c r="BIQ5" s="79"/>
      <c r="BIR5" s="79"/>
      <c r="BIS5" s="79"/>
      <c r="BIT5" s="79"/>
      <c r="BIU5" s="79"/>
      <c r="BIV5" s="79"/>
      <c r="BIW5" s="79"/>
      <c r="BIX5" s="79"/>
      <c r="BIY5" s="79"/>
      <c r="BIZ5" s="79"/>
      <c r="BJA5" s="79"/>
      <c r="BJB5" s="79"/>
      <c r="BJC5" s="79"/>
      <c r="BJD5" s="79"/>
      <c r="BJE5" s="79"/>
      <c r="BJF5" s="79"/>
      <c r="BJG5" s="79"/>
      <c r="BJH5" s="79"/>
      <c r="BJI5" s="79"/>
      <c r="BJJ5" s="79"/>
      <c r="BJK5" s="79"/>
      <c r="BJL5" s="79"/>
      <c r="BJM5" s="79"/>
      <c r="BJN5" s="79"/>
      <c r="BJO5" s="79"/>
      <c r="BJP5" s="79"/>
      <c r="BJQ5" s="79"/>
      <c r="BJR5" s="79"/>
      <c r="BJS5" s="79"/>
      <c r="BJT5" s="79"/>
      <c r="BJU5" s="79"/>
      <c r="BJV5" s="79"/>
      <c r="BJW5" s="79"/>
      <c r="BJX5" s="79"/>
      <c r="BJY5" s="79"/>
      <c r="BJZ5" s="79"/>
      <c r="BKA5" s="79"/>
      <c r="BKB5" s="79"/>
      <c r="BKC5" s="79"/>
      <c r="BKD5" s="79"/>
      <c r="BKE5" s="79"/>
      <c r="BKF5" s="79"/>
      <c r="BKG5" s="79"/>
      <c r="BKH5" s="79"/>
      <c r="BKI5" s="79"/>
      <c r="BKJ5" s="79"/>
      <c r="BKK5" s="79"/>
      <c r="BKL5" s="79"/>
      <c r="BKM5" s="79"/>
      <c r="BKN5" s="79"/>
      <c r="BKO5" s="79"/>
      <c r="BKP5" s="79"/>
      <c r="BKQ5" s="79"/>
      <c r="BKR5" s="79"/>
      <c r="BKS5" s="79"/>
      <c r="BKT5" s="79"/>
      <c r="BKU5" s="79"/>
      <c r="BKV5" s="79"/>
      <c r="BKW5" s="79"/>
      <c r="BKX5" s="79"/>
      <c r="BKY5" s="79"/>
      <c r="BKZ5" s="79"/>
      <c r="BLA5" s="79"/>
      <c r="BLB5" s="79"/>
      <c r="BLC5" s="79"/>
      <c r="BLD5" s="79"/>
      <c r="BLE5" s="79"/>
      <c r="BLF5" s="79"/>
      <c r="BLG5" s="79"/>
      <c r="BLH5" s="79"/>
      <c r="BLI5" s="79"/>
      <c r="BLJ5" s="79"/>
      <c r="BLK5" s="79"/>
      <c r="BLL5" s="79"/>
      <c r="BLM5" s="79"/>
      <c r="BLN5" s="79"/>
      <c r="BLO5" s="79"/>
      <c r="BLP5" s="79"/>
      <c r="BLQ5" s="79"/>
      <c r="BLR5" s="79"/>
      <c r="BLS5" s="79"/>
      <c r="BLT5" s="79"/>
      <c r="BLU5" s="79"/>
      <c r="BLV5" s="79"/>
      <c r="BLW5" s="79"/>
      <c r="BLX5" s="79"/>
      <c r="BLY5" s="79"/>
      <c r="BLZ5" s="79"/>
      <c r="BMA5" s="79"/>
      <c r="BMB5" s="79"/>
      <c r="BMC5" s="79"/>
      <c r="BMD5" s="79"/>
      <c r="BME5" s="79"/>
      <c r="BMF5" s="79"/>
      <c r="BMG5" s="79"/>
      <c r="BMH5" s="79"/>
      <c r="BMI5" s="79"/>
      <c r="BMJ5" s="79"/>
      <c r="BMK5" s="79"/>
      <c r="BML5" s="79"/>
      <c r="BMM5" s="79"/>
      <c r="BMN5" s="79"/>
      <c r="BMO5" s="79"/>
      <c r="BMP5" s="79"/>
      <c r="BMQ5" s="79"/>
      <c r="BMR5" s="79"/>
      <c r="BMS5" s="79"/>
      <c r="BMT5" s="79"/>
      <c r="BMU5" s="79"/>
      <c r="BMV5" s="79"/>
      <c r="BMW5" s="79"/>
      <c r="BMX5" s="79"/>
      <c r="BMY5" s="79"/>
      <c r="BMZ5" s="79"/>
      <c r="BNA5" s="79"/>
      <c r="BNB5" s="79"/>
      <c r="BNC5" s="79"/>
      <c r="BND5" s="79"/>
      <c r="BNE5" s="79"/>
      <c r="BNF5" s="79"/>
      <c r="BNG5" s="79"/>
      <c r="BNH5" s="79"/>
      <c r="BNI5" s="79"/>
      <c r="BNJ5" s="79"/>
      <c r="BNK5" s="79"/>
      <c r="BNL5" s="79"/>
      <c r="BNM5" s="79"/>
      <c r="BNN5" s="79"/>
      <c r="BNO5" s="79"/>
      <c r="BNP5" s="79"/>
      <c r="BNQ5" s="79"/>
      <c r="BNR5" s="79"/>
      <c r="BNS5" s="79"/>
      <c r="BNT5" s="79"/>
      <c r="BNU5" s="79"/>
      <c r="BNV5" s="79"/>
      <c r="BNW5" s="79"/>
      <c r="BNX5" s="79"/>
      <c r="BNY5" s="79"/>
      <c r="BNZ5" s="79"/>
      <c r="BOA5" s="79"/>
      <c r="BOB5" s="79"/>
      <c r="BOC5" s="79"/>
      <c r="BOD5" s="79"/>
      <c r="BOE5" s="79"/>
      <c r="BOF5" s="79"/>
      <c r="BOG5" s="79"/>
      <c r="BOH5" s="79"/>
      <c r="BOI5" s="79"/>
      <c r="BOJ5" s="79"/>
      <c r="BOK5" s="79"/>
      <c r="BOL5" s="79"/>
      <c r="BOM5" s="79"/>
      <c r="BON5" s="79"/>
      <c r="BOO5" s="79"/>
      <c r="BOP5" s="79"/>
      <c r="BOQ5" s="79"/>
      <c r="BOR5" s="79"/>
      <c r="BOS5" s="79"/>
      <c r="BOT5" s="79"/>
      <c r="BOU5" s="79"/>
      <c r="BOV5" s="79"/>
      <c r="BOW5" s="79"/>
      <c r="BOX5" s="79"/>
      <c r="BOY5" s="79"/>
      <c r="BOZ5" s="79"/>
      <c r="BPA5" s="79"/>
      <c r="BPB5" s="79"/>
      <c r="BPC5" s="79"/>
      <c r="BPD5" s="79"/>
      <c r="BPE5" s="79"/>
      <c r="BPF5" s="79"/>
      <c r="BPG5" s="79"/>
      <c r="BPH5" s="79"/>
      <c r="BPI5" s="79"/>
      <c r="BPJ5" s="79"/>
      <c r="BPK5" s="79"/>
      <c r="BPL5" s="79"/>
      <c r="BPM5" s="79"/>
      <c r="BPN5" s="79"/>
      <c r="BPO5" s="79"/>
      <c r="BPP5" s="79"/>
      <c r="BPQ5" s="79"/>
      <c r="BPR5" s="79"/>
      <c r="BPS5" s="79"/>
      <c r="BPT5" s="79"/>
      <c r="BPU5" s="79"/>
      <c r="BPV5" s="79"/>
      <c r="BPW5" s="79"/>
      <c r="BPX5" s="79"/>
      <c r="BPY5" s="79"/>
      <c r="BPZ5" s="79"/>
      <c r="BQA5" s="79"/>
      <c r="BQB5" s="79"/>
      <c r="BQC5" s="79"/>
      <c r="BQD5" s="79"/>
      <c r="BQE5" s="79"/>
      <c r="BQF5" s="79"/>
      <c r="BQG5" s="79"/>
      <c r="BQH5" s="79"/>
      <c r="BQI5" s="79"/>
      <c r="BQJ5" s="79"/>
      <c r="BQK5" s="79"/>
      <c r="BQL5" s="79"/>
      <c r="BQM5" s="79"/>
      <c r="BQN5" s="79"/>
      <c r="BQO5" s="79"/>
      <c r="BQP5" s="79"/>
      <c r="BQQ5" s="79"/>
      <c r="BQR5" s="79"/>
      <c r="BQS5" s="79"/>
      <c r="BQT5" s="79"/>
      <c r="BQU5" s="79"/>
      <c r="BQV5" s="79"/>
      <c r="BQW5" s="79"/>
      <c r="BQX5" s="79"/>
      <c r="BQY5" s="79"/>
      <c r="BQZ5" s="79"/>
      <c r="BRA5" s="79"/>
      <c r="BRB5" s="79"/>
      <c r="BRC5" s="79"/>
      <c r="BRD5" s="79"/>
      <c r="BRE5" s="79"/>
      <c r="BRF5" s="79"/>
      <c r="BRG5" s="79"/>
      <c r="BRH5" s="79"/>
      <c r="BRI5" s="79"/>
      <c r="BRJ5" s="79"/>
      <c r="BRK5" s="79"/>
      <c r="BRL5" s="79"/>
      <c r="BRM5" s="79"/>
      <c r="BRN5" s="79"/>
      <c r="BRO5" s="79"/>
      <c r="BRP5" s="79"/>
      <c r="BRQ5" s="79"/>
      <c r="BRR5" s="79"/>
      <c r="BRS5" s="79"/>
      <c r="BRT5" s="79"/>
      <c r="BRU5" s="79"/>
      <c r="BRV5" s="79"/>
      <c r="BRW5" s="79"/>
      <c r="BRX5" s="79"/>
      <c r="BRY5" s="79"/>
      <c r="BRZ5" s="79"/>
      <c r="BSA5" s="79"/>
      <c r="BSB5" s="79"/>
      <c r="BSC5" s="79"/>
      <c r="BSD5" s="79"/>
      <c r="BSE5" s="79"/>
      <c r="BSF5" s="79"/>
      <c r="BSG5" s="79"/>
      <c r="BSH5" s="79"/>
      <c r="BSI5" s="79"/>
      <c r="BSJ5" s="79"/>
      <c r="BSK5" s="79"/>
      <c r="BSL5" s="79"/>
      <c r="BSM5" s="79"/>
      <c r="BSN5" s="79"/>
      <c r="BSO5" s="79"/>
      <c r="BSP5" s="79"/>
      <c r="BSQ5" s="79"/>
      <c r="BSR5" s="79"/>
      <c r="BSS5" s="79"/>
      <c r="BST5" s="79"/>
      <c r="BSU5" s="79"/>
      <c r="BSV5" s="79"/>
      <c r="BSW5" s="79"/>
      <c r="BSX5" s="79"/>
      <c r="BSY5" s="79"/>
      <c r="BSZ5" s="79"/>
      <c r="BTA5" s="79"/>
      <c r="BTB5" s="79"/>
      <c r="BTC5" s="79"/>
      <c r="BTD5" s="79"/>
      <c r="BTE5" s="79"/>
      <c r="BTF5" s="79"/>
      <c r="BTG5" s="79"/>
      <c r="BTH5" s="79"/>
      <c r="BTI5" s="79"/>
      <c r="BTJ5" s="79"/>
      <c r="BTK5" s="79"/>
      <c r="BTL5" s="79"/>
      <c r="BTM5" s="79"/>
      <c r="BTN5" s="79"/>
      <c r="BTO5" s="79"/>
      <c r="BTP5" s="79"/>
      <c r="BTQ5" s="79"/>
      <c r="BTR5" s="79"/>
      <c r="BTS5" s="79"/>
      <c r="BTT5" s="79"/>
      <c r="BTU5" s="79"/>
      <c r="BTV5" s="79"/>
      <c r="BTW5" s="79"/>
      <c r="BTX5" s="79"/>
      <c r="BTY5" s="79"/>
      <c r="BTZ5" s="79"/>
      <c r="BUA5" s="79"/>
      <c r="BUB5" s="79"/>
      <c r="BUC5" s="79"/>
      <c r="BUD5" s="79"/>
      <c r="BUE5" s="79"/>
      <c r="BUF5" s="79"/>
      <c r="BUG5" s="79"/>
      <c r="BUH5" s="79"/>
      <c r="BUI5" s="79"/>
      <c r="BUJ5" s="79"/>
      <c r="BUK5" s="79"/>
      <c r="BUL5" s="79"/>
      <c r="BUM5" s="79"/>
      <c r="BUN5" s="79"/>
      <c r="BUO5" s="79"/>
      <c r="BUP5" s="79"/>
      <c r="BUQ5" s="79"/>
      <c r="BUR5" s="79"/>
      <c r="BUS5" s="79"/>
      <c r="BUT5" s="79"/>
      <c r="BUU5" s="79"/>
      <c r="BUV5" s="79"/>
      <c r="BUW5" s="79"/>
      <c r="BUX5" s="79"/>
      <c r="BUY5" s="79"/>
      <c r="BUZ5" s="79"/>
      <c r="BVA5" s="79"/>
      <c r="BVB5" s="79"/>
      <c r="BVC5" s="79"/>
      <c r="BVD5" s="79"/>
      <c r="BVE5" s="79"/>
      <c r="BVF5" s="79"/>
      <c r="BVG5" s="79"/>
      <c r="BVH5" s="79"/>
      <c r="BVI5" s="79"/>
      <c r="BVJ5" s="79"/>
      <c r="BVK5" s="79"/>
      <c r="BVL5" s="79"/>
      <c r="BVM5" s="79"/>
      <c r="BVN5" s="79"/>
      <c r="BVO5" s="79"/>
      <c r="BVP5" s="79"/>
      <c r="BVQ5" s="79"/>
      <c r="BVR5" s="79"/>
      <c r="BVS5" s="79"/>
      <c r="BVT5" s="79"/>
      <c r="BVU5" s="79"/>
      <c r="BVV5" s="79"/>
      <c r="BVW5" s="79"/>
      <c r="BVX5" s="79"/>
      <c r="BVY5" s="79"/>
      <c r="BVZ5" s="79"/>
      <c r="BWA5" s="79"/>
      <c r="BWB5" s="79"/>
      <c r="BWC5" s="79"/>
      <c r="BWD5" s="79"/>
      <c r="BWE5" s="79"/>
      <c r="BWF5" s="79"/>
      <c r="BWG5" s="79"/>
      <c r="BWH5" s="79"/>
      <c r="BWI5" s="79"/>
      <c r="BWJ5" s="79"/>
      <c r="BWK5" s="79"/>
      <c r="BWL5" s="79"/>
      <c r="BWM5" s="79"/>
      <c r="BWN5" s="79"/>
      <c r="BWO5" s="79"/>
      <c r="BWP5" s="79"/>
      <c r="BWQ5" s="79"/>
      <c r="BWR5" s="79"/>
      <c r="BWS5" s="79"/>
      <c r="BWT5" s="79"/>
      <c r="BWU5" s="79"/>
      <c r="BWV5" s="79"/>
      <c r="BWW5" s="79"/>
      <c r="BWX5" s="79"/>
      <c r="BWY5" s="79"/>
      <c r="BWZ5" s="79"/>
      <c r="BXA5" s="79"/>
      <c r="BXB5" s="79"/>
      <c r="BXC5" s="79"/>
      <c r="BXD5" s="79"/>
      <c r="BXE5" s="79"/>
      <c r="BXF5" s="79"/>
      <c r="BXG5" s="79"/>
      <c r="BXH5" s="79"/>
      <c r="BXI5" s="79"/>
      <c r="BXJ5" s="79"/>
      <c r="BXK5" s="79"/>
      <c r="BXL5" s="79"/>
      <c r="BXM5" s="79"/>
      <c r="BXN5" s="79"/>
      <c r="BXO5" s="79"/>
      <c r="BXP5" s="79"/>
      <c r="BXQ5" s="79"/>
      <c r="BXR5" s="79"/>
      <c r="BXS5" s="79"/>
      <c r="BXT5" s="79"/>
      <c r="BXU5" s="79"/>
      <c r="BXV5" s="79"/>
      <c r="BXW5" s="79"/>
      <c r="BXX5" s="79"/>
      <c r="BXY5" s="79"/>
      <c r="BXZ5" s="79"/>
      <c r="BYA5" s="79"/>
      <c r="BYB5" s="79"/>
      <c r="BYC5" s="79"/>
      <c r="BYD5" s="79"/>
      <c r="BYE5" s="79"/>
      <c r="BYF5" s="79"/>
      <c r="BYG5" s="79"/>
      <c r="BYH5" s="79"/>
      <c r="BYI5" s="79"/>
      <c r="BYJ5" s="79"/>
      <c r="BYK5" s="79"/>
      <c r="BYL5" s="79"/>
      <c r="BYM5" s="79"/>
      <c r="BYN5" s="79"/>
      <c r="BYO5" s="79"/>
      <c r="BYP5" s="79"/>
      <c r="BYQ5" s="79"/>
      <c r="BYR5" s="79"/>
      <c r="BYS5" s="79"/>
      <c r="BYT5" s="79"/>
      <c r="BYU5" s="79"/>
      <c r="BYV5" s="79"/>
      <c r="BYW5" s="79"/>
      <c r="BYX5" s="79"/>
      <c r="BYY5" s="79"/>
      <c r="BYZ5" s="79"/>
      <c r="BZA5" s="79"/>
      <c r="BZB5" s="79"/>
      <c r="BZC5" s="79"/>
      <c r="BZD5" s="79"/>
      <c r="BZE5" s="79"/>
      <c r="BZF5" s="79"/>
      <c r="BZG5" s="79"/>
      <c r="BZH5" s="79"/>
      <c r="BZI5" s="79"/>
      <c r="BZJ5" s="79"/>
      <c r="BZK5" s="79"/>
      <c r="BZL5" s="79"/>
      <c r="BZM5" s="79"/>
      <c r="BZN5" s="79"/>
      <c r="BZO5" s="79"/>
      <c r="BZP5" s="79"/>
      <c r="BZQ5" s="79"/>
      <c r="BZR5" s="79"/>
      <c r="BZS5" s="79"/>
      <c r="BZT5" s="79"/>
      <c r="BZU5" s="79"/>
      <c r="BZV5" s="79"/>
      <c r="BZW5" s="79"/>
      <c r="BZX5" s="79"/>
      <c r="BZY5" s="79"/>
      <c r="BZZ5" s="79"/>
      <c r="CAA5" s="79"/>
      <c r="CAB5" s="79"/>
      <c r="CAC5" s="79"/>
      <c r="CAD5" s="79"/>
      <c r="CAE5" s="79"/>
      <c r="CAF5" s="79"/>
      <c r="CAG5" s="79"/>
      <c r="CAH5" s="79"/>
      <c r="CAI5" s="79"/>
      <c r="CAJ5" s="79"/>
      <c r="CAK5" s="79"/>
      <c r="CAL5" s="79"/>
      <c r="CAM5" s="79"/>
      <c r="CAN5" s="79"/>
      <c r="CAO5" s="79"/>
      <c r="CAP5" s="79"/>
      <c r="CAQ5" s="79"/>
      <c r="CAR5" s="79"/>
      <c r="CAS5" s="79"/>
      <c r="CAT5" s="79"/>
      <c r="CAU5" s="79"/>
      <c r="CAV5" s="79"/>
      <c r="CAW5" s="79"/>
      <c r="CAX5" s="79"/>
      <c r="CAY5" s="79"/>
      <c r="CAZ5" s="79"/>
      <c r="CBA5" s="79"/>
      <c r="CBB5" s="79"/>
      <c r="CBC5" s="79"/>
      <c r="CBD5" s="79"/>
      <c r="CBE5" s="79"/>
      <c r="CBF5" s="79"/>
      <c r="CBG5" s="79"/>
      <c r="CBH5" s="79"/>
      <c r="CBI5" s="79"/>
      <c r="CBJ5" s="79"/>
      <c r="CBK5" s="79"/>
      <c r="CBL5" s="79"/>
      <c r="CBM5" s="79"/>
      <c r="CBN5" s="79"/>
      <c r="CBO5" s="79"/>
      <c r="CBP5" s="79"/>
      <c r="CBQ5" s="79"/>
      <c r="CBR5" s="79"/>
      <c r="CBS5" s="79"/>
      <c r="CBT5" s="79"/>
      <c r="CBU5" s="79"/>
      <c r="CBV5" s="79"/>
      <c r="CBW5" s="79"/>
      <c r="CBX5" s="79"/>
      <c r="CBY5" s="79"/>
      <c r="CBZ5" s="79"/>
      <c r="CCA5" s="79"/>
      <c r="CCB5" s="79"/>
      <c r="CCC5" s="79"/>
      <c r="CCD5" s="79"/>
      <c r="CCE5" s="79"/>
      <c r="CCF5" s="79"/>
      <c r="CCG5" s="79"/>
      <c r="CCH5" s="79"/>
      <c r="CCI5" s="79"/>
      <c r="CCJ5" s="79"/>
      <c r="CCK5" s="79"/>
      <c r="CCL5" s="79"/>
      <c r="CCM5" s="79"/>
      <c r="CCN5" s="79"/>
      <c r="CCO5" s="79"/>
      <c r="CCP5" s="79"/>
      <c r="CCQ5" s="79"/>
      <c r="CCR5" s="79"/>
      <c r="CCS5" s="79"/>
      <c r="CCT5" s="79"/>
      <c r="CCU5" s="79"/>
      <c r="CCV5" s="79"/>
      <c r="CCW5" s="79"/>
      <c r="CCX5" s="79"/>
      <c r="CCY5" s="79"/>
      <c r="CCZ5" s="79"/>
      <c r="CDA5" s="79"/>
      <c r="CDB5" s="79"/>
      <c r="CDC5" s="79"/>
      <c r="CDD5" s="79"/>
      <c r="CDE5" s="79"/>
      <c r="CDF5" s="79"/>
      <c r="CDG5" s="79"/>
      <c r="CDH5" s="79"/>
      <c r="CDI5" s="79"/>
      <c r="CDJ5" s="79"/>
      <c r="CDK5" s="79"/>
      <c r="CDL5" s="79"/>
      <c r="CDM5" s="79"/>
      <c r="CDN5" s="79"/>
      <c r="CDO5" s="79"/>
      <c r="CDP5" s="79"/>
      <c r="CDQ5" s="79"/>
      <c r="CDR5" s="79"/>
      <c r="CDS5" s="79"/>
      <c r="CDT5" s="79"/>
      <c r="CDU5" s="79"/>
      <c r="CDV5" s="79"/>
      <c r="CDW5" s="79"/>
      <c r="CDX5" s="79"/>
      <c r="CDY5" s="79"/>
      <c r="CDZ5" s="79"/>
      <c r="CEA5" s="79"/>
      <c r="CEB5" s="79"/>
      <c r="CEC5" s="79"/>
      <c r="CED5" s="79"/>
      <c r="CEE5" s="79"/>
      <c r="CEF5" s="79"/>
      <c r="CEG5" s="79"/>
      <c r="CEH5" s="79"/>
      <c r="CEI5" s="79"/>
      <c r="CEJ5" s="79"/>
      <c r="CEK5" s="79"/>
      <c r="CEL5" s="79"/>
      <c r="CEM5" s="79"/>
      <c r="CEN5" s="79"/>
      <c r="CEO5" s="79"/>
      <c r="CEP5" s="79"/>
      <c r="CEQ5" s="79"/>
      <c r="CER5" s="79"/>
      <c r="CES5" s="79"/>
      <c r="CET5" s="79"/>
      <c r="CEU5" s="79"/>
      <c r="CEV5" s="79"/>
      <c r="CEW5" s="79"/>
      <c r="CEX5" s="79"/>
      <c r="CEY5" s="79"/>
      <c r="CEZ5" s="79"/>
      <c r="CFA5" s="79"/>
      <c r="CFB5" s="79"/>
      <c r="CFC5" s="79"/>
      <c r="CFD5" s="79"/>
      <c r="CFE5" s="79"/>
      <c r="CFF5" s="79"/>
      <c r="CFG5" s="79"/>
      <c r="CFH5" s="79"/>
      <c r="CFI5" s="79"/>
      <c r="CFJ5" s="79"/>
      <c r="CFK5" s="79"/>
      <c r="CFL5" s="79"/>
      <c r="CFM5" s="79"/>
      <c r="CFN5" s="79"/>
      <c r="CFO5" s="79"/>
      <c r="CFP5" s="79"/>
      <c r="CFQ5" s="79"/>
      <c r="CFR5" s="79"/>
      <c r="CFS5" s="79"/>
      <c r="CFT5" s="79"/>
      <c r="CFU5" s="79"/>
      <c r="CFV5" s="79"/>
      <c r="CFW5" s="79"/>
      <c r="CFX5" s="79"/>
      <c r="CFY5" s="79"/>
      <c r="CFZ5" s="79"/>
      <c r="CGA5" s="79"/>
      <c r="CGB5" s="79"/>
      <c r="CGC5" s="79"/>
      <c r="CGD5" s="79"/>
      <c r="CGE5" s="79"/>
      <c r="CGF5" s="79"/>
      <c r="CGG5" s="79"/>
      <c r="CGH5" s="79"/>
      <c r="CGI5" s="79"/>
      <c r="CGJ5" s="79"/>
      <c r="CGK5" s="79"/>
      <c r="CGL5" s="79"/>
      <c r="CGM5" s="79"/>
      <c r="CGN5" s="79"/>
      <c r="CGO5" s="79"/>
      <c r="CGP5" s="79"/>
      <c r="CGQ5" s="79"/>
      <c r="CGR5" s="79"/>
      <c r="CGS5" s="79"/>
      <c r="CGT5" s="79"/>
      <c r="CGU5" s="79"/>
      <c r="CGV5" s="79"/>
      <c r="CGW5" s="79"/>
      <c r="CGX5" s="79"/>
      <c r="CGY5" s="79"/>
      <c r="CGZ5" s="79"/>
      <c r="CHA5" s="79"/>
      <c r="CHB5" s="79"/>
      <c r="CHC5" s="79"/>
      <c r="CHD5" s="79"/>
      <c r="CHE5" s="79"/>
      <c r="CHF5" s="79"/>
      <c r="CHG5" s="79"/>
      <c r="CHH5" s="79"/>
      <c r="CHI5" s="79"/>
      <c r="CHJ5" s="79"/>
      <c r="CHK5" s="79"/>
      <c r="CHL5" s="79"/>
      <c r="CHM5" s="79"/>
      <c r="CHN5" s="79"/>
      <c r="CHO5" s="79"/>
      <c r="CHP5" s="79"/>
      <c r="CHQ5" s="79"/>
      <c r="CHR5" s="79"/>
      <c r="CHS5" s="79"/>
      <c r="CHT5" s="79"/>
      <c r="CHU5" s="79"/>
      <c r="CHV5" s="79"/>
      <c r="CHW5" s="79"/>
      <c r="CHX5" s="79"/>
      <c r="CHY5" s="79"/>
      <c r="CHZ5" s="79"/>
      <c r="CIA5" s="79"/>
      <c r="CIB5" s="79"/>
      <c r="CIC5" s="79"/>
      <c r="CID5" s="79"/>
      <c r="CIE5" s="79"/>
      <c r="CIF5" s="79"/>
      <c r="CIG5" s="79"/>
      <c r="CIH5" s="79"/>
      <c r="CII5" s="79"/>
      <c r="CIJ5" s="79"/>
      <c r="CIK5" s="79"/>
      <c r="CIL5" s="79"/>
      <c r="CIM5" s="79"/>
      <c r="CIN5" s="79"/>
      <c r="CIO5" s="79"/>
      <c r="CIP5" s="79"/>
      <c r="CIQ5" s="79"/>
      <c r="CIR5" s="79"/>
      <c r="CIS5" s="79"/>
      <c r="CIT5" s="79"/>
      <c r="CIU5" s="79"/>
      <c r="CIV5" s="79"/>
      <c r="CIW5" s="79"/>
      <c r="CIX5" s="79"/>
      <c r="CIY5" s="79"/>
      <c r="CIZ5" s="79"/>
      <c r="CJA5" s="79"/>
      <c r="CJB5" s="79"/>
      <c r="CJC5" s="79"/>
      <c r="CJD5" s="79"/>
      <c r="CJE5" s="79"/>
      <c r="CJF5" s="79"/>
      <c r="CJG5" s="79"/>
      <c r="CJH5" s="79"/>
      <c r="CJI5" s="79"/>
      <c r="CJJ5" s="79"/>
      <c r="CJK5" s="79"/>
      <c r="CJL5" s="79"/>
      <c r="CJM5" s="79"/>
      <c r="CJN5" s="79"/>
      <c r="CJO5" s="79"/>
      <c r="CJP5" s="79"/>
      <c r="CJQ5" s="79"/>
      <c r="CJR5" s="79"/>
      <c r="CJS5" s="79"/>
      <c r="CJT5" s="79"/>
      <c r="CJU5" s="79"/>
      <c r="CJV5" s="79"/>
      <c r="CJW5" s="79"/>
      <c r="CJX5" s="79"/>
      <c r="CJY5" s="79"/>
      <c r="CJZ5" s="79"/>
      <c r="CKA5" s="79"/>
      <c r="CKB5" s="79"/>
      <c r="CKC5" s="79"/>
      <c r="CKD5" s="79"/>
      <c r="CKE5" s="79"/>
      <c r="CKF5" s="79"/>
      <c r="CKG5" s="79"/>
      <c r="CKH5" s="79"/>
      <c r="CKI5" s="79"/>
      <c r="CKJ5" s="79"/>
      <c r="CKK5" s="79"/>
      <c r="CKL5" s="79"/>
      <c r="CKM5" s="79"/>
      <c r="CKN5" s="79"/>
      <c r="CKO5" s="79"/>
      <c r="CKP5" s="79"/>
      <c r="CKQ5" s="79"/>
      <c r="CKR5" s="79"/>
      <c r="CKS5" s="79"/>
      <c r="CKT5" s="79"/>
      <c r="CKU5" s="79"/>
      <c r="CKV5" s="79"/>
      <c r="CKW5" s="79"/>
      <c r="CKX5" s="79"/>
      <c r="CKY5" s="79"/>
      <c r="CKZ5" s="79"/>
      <c r="CLA5" s="79"/>
      <c r="CLB5" s="79"/>
      <c r="CLC5" s="79"/>
      <c r="CLD5" s="79"/>
      <c r="CLE5" s="79"/>
      <c r="CLF5" s="79"/>
      <c r="CLG5" s="79"/>
      <c r="CLH5" s="79"/>
      <c r="CLI5" s="79"/>
      <c r="CLJ5" s="79"/>
      <c r="CLK5" s="79"/>
      <c r="CLL5" s="79"/>
      <c r="CLM5" s="79"/>
      <c r="CLN5" s="79"/>
      <c r="CLO5" s="79"/>
      <c r="CLP5" s="79"/>
      <c r="CLQ5" s="79"/>
      <c r="CLR5" s="79"/>
      <c r="CLS5" s="79"/>
      <c r="CLT5" s="79"/>
      <c r="CLU5" s="79"/>
      <c r="CLV5" s="79"/>
      <c r="CLW5" s="79"/>
      <c r="CLX5" s="79"/>
      <c r="CLY5" s="79"/>
      <c r="CLZ5" s="79"/>
      <c r="CMA5" s="79"/>
      <c r="CMB5" s="79"/>
      <c r="CMC5" s="79"/>
      <c r="CMD5" s="79"/>
      <c r="CME5" s="79"/>
      <c r="CMF5" s="79"/>
      <c r="CMG5" s="79"/>
      <c r="CMH5" s="79"/>
      <c r="CMI5" s="79"/>
      <c r="CMJ5" s="79"/>
      <c r="CMK5" s="79"/>
      <c r="CML5" s="79"/>
      <c r="CMM5" s="79"/>
      <c r="CMN5" s="79"/>
      <c r="CMO5" s="79"/>
      <c r="CMP5" s="79"/>
      <c r="CMQ5" s="79"/>
      <c r="CMR5" s="79"/>
      <c r="CMS5" s="79"/>
      <c r="CMT5" s="79"/>
      <c r="CMU5" s="79"/>
      <c r="CMV5" s="79"/>
      <c r="CMW5" s="79"/>
      <c r="CMX5" s="79"/>
      <c r="CMY5" s="79"/>
      <c r="CMZ5" s="79"/>
      <c r="CNA5" s="79"/>
      <c r="CNB5" s="79"/>
      <c r="CNC5" s="79"/>
      <c r="CND5" s="79"/>
      <c r="CNE5" s="79"/>
      <c r="CNF5" s="79"/>
      <c r="CNG5" s="79"/>
      <c r="CNH5" s="79"/>
      <c r="CNI5" s="79"/>
      <c r="CNJ5" s="79"/>
      <c r="CNK5" s="79"/>
      <c r="CNL5" s="79"/>
      <c r="CNM5" s="79"/>
      <c r="CNN5" s="79"/>
      <c r="CNO5" s="79"/>
      <c r="CNP5" s="79"/>
      <c r="CNQ5" s="79"/>
      <c r="CNR5" s="79"/>
      <c r="CNS5" s="79"/>
      <c r="CNT5" s="79"/>
      <c r="CNU5" s="79"/>
      <c r="CNV5" s="79"/>
      <c r="CNW5" s="79"/>
      <c r="CNX5" s="79"/>
      <c r="CNY5" s="79"/>
      <c r="CNZ5" s="79"/>
      <c r="COA5" s="79"/>
      <c r="COB5" s="79"/>
      <c r="COC5" s="79"/>
      <c r="COD5" s="79"/>
      <c r="COE5" s="79"/>
      <c r="COF5" s="79"/>
      <c r="COG5" s="79"/>
      <c r="COH5" s="79"/>
      <c r="COI5" s="79"/>
      <c r="COJ5" s="79"/>
      <c r="COK5" s="79"/>
      <c r="COL5" s="79"/>
      <c r="COM5" s="79"/>
      <c r="CON5" s="79"/>
      <c r="COO5" s="79"/>
      <c r="COP5" s="79"/>
      <c r="COQ5" s="79"/>
      <c r="COR5" s="79"/>
      <c r="COS5" s="79"/>
      <c r="COT5" s="79"/>
      <c r="COU5" s="79"/>
      <c r="COV5" s="79"/>
      <c r="COW5" s="79"/>
      <c r="COX5" s="79"/>
      <c r="COY5" s="79"/>
      <c r="COZ5" s="79"/>
      <c r="CPA5" s="79"/>
      <c r="CPB5" s="79"/>
      <c r="CPC5" s="79"/>
      <c r="CPD5" s="79"/>
      <c r="CPE5" s="79"/>
      <c r="CPF5" s="79"/>
      <c r="CPG5" s="79"/>
      <c r="CPH5" s="79"/>
      <c r="CPI5" s="79"/>
      <c r="CPJ5" s="79"/>
      <c r="CPK5" s="79"/>
      <c r="CPL5" s="79"/>
      <c r="CPM5" s="79"/>
      <c r="CPN5" s="79"/>
      <c r="CPO5" s="79"/>
      <c r="CPP5" s="79"/>
      <c r="CPQ5" s="79"/>
      <c r="CPR5" s="79"/>
      <c r="CPS5" s="79"/>
      <c r="CPT5" s="79"/>
      <c r="CPU5" s="79"/>
      <c r="CPV5" s="79"/>
      <c r="CPW5" s="79"/>
      <c r="CPX5" s="79"/>
      <c r="CPY5" s="79"/>
      <c r="CPZ5" s="79"/>
      <c r="CQA5" s="79"/>
      <c r="CQB5" s="79"/>
      <c r="CQC5" s="79"/>
      <c r="CQD5" s="79"/>
      <c r="CQE5" s="79"/>
      <c r="CQF5" s="79"/>
      <c r="CQG5" s="79"/>
      <c r="CQH5" s="79"/>
      <c r="CQI5" s="79"/>
      <c r="CQJ5" s="79"/>
      <c r="CQK5" s="79"/>
      <c r="CQL5" s="79"/>
      <c r="CQM5" s="79"/>
      <c r="CQN5" s="79"/>
      <c r="CQO5" s="79"/>
      <c r="CQP5" s="79"/>
      <c r="CQQ5" s="79"/>
      <c r="CQR5" s="79"/>
      <c r="CQS5" s="79"/>
      <c r="CQT5" s="79"/>
      <c r="CQU5" s="79"/>
      <c r="CQV5" s="79"/>
      <c r="CQW5" s="79"/>
      <c r="CQX5" s="79"/>
      <c r="CQY5" s="79"/>
      <c r="CQZ5" s="79"/>
      <c r="CRA5" s="79"/>
      <c r="CRB5" s="79"/>
      <c r="CRC5" s="79"/>
      <c r="CRD5" s="79"/>
      <c r="CRE5" s="79"/>
      <c r="CRF5" s="79"/>
      <c r="CRG5" s="79"/>
      <c r="CRH5" s="79"/>
      <c r="CRI5" s="79"/>
      <c r="CRJ5" s="79"/>
      <c r="CRK5" s="79"/>
      <c r="CRL5" s="79"/>
      <c r="CRM5" s="79"/>
      <c r="CRN5" s="79"/>
      <c r="CRO5" s="79"/>
      <c r="CRP5" s="79"/>
      <c r="CRQ5" s="79"/>
      <c r="CRR5" s="79"/>
      <c r="CRS5" s="79"/>
      <c r="CRT5" s="79"/>
      <c r="CRU5" s="79"/>
      <c r="CRV5" s="79"/>
      <c r="CRW5" s="79"/>
      <c r="CRX5" s="79"/>
      <c r="CRY5" s="79"/>
      <c r="CRZ5" s="79"/>
      <c r="CSA5" s="79"/>
      <c r="CSB5" s="79"/>
      <c r="CSC5" s="79"/>
      <c r="CSD5" s="79"/>
      <c r="CSE5" s="79"/>
      <c r="CSF5" s="79"/>
      <c r="CSG5" s="79"/>
      <c r="CSH5" s="79"/>
      <c r="CSI5" s="79"/>
      <c r="CSJ5" s="79"/>
      <c r="CSK5" s="79"/>
      <c r="CSL5" s="79"/>
      <c r="CSM5" s="79"/>
      <c r="CSN5" s="79"/>
      <c r="CSO5" s="79"/>
      <c r="CSP5" s="79"/>
      <c r="CSQ5" s="79"/>
      <c r="CSR5" s="79"/>
      <c r="CSS5" s="79"/>
      <c r="CST5" s="79"/>
      <c r="CSU5" s="79"/>
      <c r="CSV5" s="79"/>
      <c r="CSW5" s="79"/>
      <c r="CSX5" s="79"/>
      <c r="CSY5" s="79"/>
      <c r="CSZ5" s="79"/>
      <c r="CTA5" s="79"/>
      <c r="CTB5" s="79"/>
      <c r="CTC5" s="79"/>
      <c r="CTD5" s="79"/>
      <c r="CTE5" s="79"/>
      <c r="CTF5" s="79"/>
      <c r="CTG5" s="79"/>
      <c r="CTH5" s="79"/>
      <c r="CTI5" s="79"/>
      <c r="CTJ5" s="79"/>
      <c r="CTK5" s="79"/>
      <c r="CTL5" s="79"/>
      <c r="CTM5" s="79"/>
      <c r="CTN5" s="79"/>
      <c r="CTO5" s="79"/>
      <c r="CTP5" s="79"/>
      <c r="CTQ5" s="79"/>
      <c r="CTR5" s="79"/>
      <c r="CTS5" s="79"/>
      <c r="CTT5" s="79"/>
      <c r="CTU5" s="79"/>
      <c r="CTV5" s="79"/>
      <c r="CTW5" s="79"/>
      <c r="CTX5" s="79"/>
      <c r="CTY5" s="79"/>
      <c r="CTZ5" s="79"/>
      <c r="CUA5" s="79"/>
      <c r="CUB5" s="79"/>
      <c r="CUC5" s="79"/>
      <c r="CUD5" s="79"/>
      <c r="CUE5" s="79"/>
      <c r="CUF5" s="79"/>
      <c r="CUG5" s="79"/>
      <c r="CUH5" s="79"/>
      <c r="CUI5" s="79"/>
      <c r="CUJ5" s="79"/>
      <c r="CUK5" s="79"/>
      <c r="CUL5" s="79"/>
      <c r="CUM5" s="79"/>
      <c r="CUN5" s="79"/>
      <c r="CUO5" s="79"/>
      <c r="CUP5" s="79"/>
      <c r="CUQ5" s="79"/>
      <c r="CUR5" s="79"/>
      <c r="CUS5" s="79"/>
      <c r="CUT5" s="79"/>
      <c r="CUU5" s="79"/>
      <c r="CUV5" s="79"/>
      <c r="CUW5" s="79"/>
      <c r="CUX5" s="79"/>
      <c r="CUY5" s="79"/>
      <c r="CUZ5" s="79"/>
      <c r="CVA5" s="79"/>
      <c r="CVB5" s="79"/>
      <c r="CVC5" s="79"/>
      <c r="CVD5" s="79"/>
      <c r="CVE5" s="79"/>
      <c r="CVF5" s="79"/>
      <c r="CVG5" s="79"/>
      <c r="CVH5" s="79"/>
      <c r="CVI5" s="79"/>
      <c r="CVJ5" s="79"/>
      <c r="CVK5" s="79"/>
      <c r="CVL5" s="79"/>
      <c r="CVM5" s="79"/>
      <c r="CVN5" s="79"/>
      <c r="CVO5" s="79"/>
      <c r="CVP5" s="79"/>
      <c r="CVQ5" s="79"/>
      <c r="CVR5" s="79"/>
      <c r="CVS5" s="79"/>
      <c r="CVT5" s="79"/>
      <c r="CVU5" s="79"/>
      <c r="CVV5" s="79"/>
      <c r="CVW5" s="79"/>
      <c r="CVX5" s="79"/>
      <c r="CVY5" s="79"/>
      <c r="CVZ5" s="79"/>
      <c r="CWA5" s="79"/>
      <c r="CWB5" s="79"/>
      <c r="CWC5" s="79"/>
      <c r="CWD5" s="79"/>
      <c r="CWE5" s="79"/>
      <c r="CWF5" s="79"/>
      <c r="CWG5" s="79"/>
      <c r="CWH5" s="79"/>
      <c r="CWI5" s="79"/>
      <c r="CWJ5" s="79"/>
      <c r="CWK5" s="79"/>
      <c r="CWL5" s="79"/>
      <c r="CWM5" s="79"/>
      <c r="CWN5" s="79"/>
      <c r="CWO5" s="79"/>
      <c r="CWP5" s="79"/>
      <c r="CWQ5" s="79"/>
      <c r="CWR5" s="79"/>
      <c r="CWS5" s="79"/>
      <c r="CWT5" s="79"/>
      <c r="CWU5" s="79"/>
      <c r="CWV5" s="79"/>
      <c r="CWW5" s="79"/>
      <c r="CWX5" s="79"/>
      <c r="CWY5" s="79"/>
      <c r="CWZ5" s="79"/>
      <c r="CXA5" s="79"/>
      <c r="CXB5" s="79"/>
      <c r="CXC5" s="79"/>
      <c r="CXD5" s="79"/>
      <c r="CXE5" s="79"/>
      <c r="CXF5" s="79"/>
      <c r="CXG5" s="79"/>
      <c r="CXH5" s="79"/>
      <c r="CXI5" s="79"/>
      <c r="CXJ5" s="79"/>
      <c r="CXK5" s="79"/>
      <c r="CXL5" s="79"/>
      <c r="CXM5" s="79"/>
      <c r="CXN5" s="79"/>
      <c r="CXO5" s="79"/>
      <c r="CXP5" s="79"/>
      <c r="CXQ5" s="79"/>
      <c r="CXR5" s="79"/>
      <c r="CXS5" s="79"/>
      <c r="CXT5" s="79"/>
      <c r="CXU5" s="79"/>
      <c r="CXV5" s="79"/>
      <c r="CXW5" s="79"/>
      <c r="CXX5" s="79"/>
      <c r="CXY5" s="79"/>
      <c r="CXZ5" s="79"/>
      <c r="CYA5" s="79"/>
      <c r="CYB5" s="79"/>
      <c r="CYC5" s="79"/>
      <c r="CYD5" s="79"/>
      <c r="CYE5" s="79"/>
      <c r="CYF5" s="79"/>
      <c r="CYG5" s="79"/>
      <c r="CYH5" s="79"/>
      <c r="CYI5" s="79"/>
      <c r="CYJ5" s="79"/>
      <c r="CYK5" s="79"/>
      <c r="CYL5" s="79"/>
      <c r="CYM5" s="79"/>
      <c r="CYN5" s="79"/>
      <c r="CYO5" s="79"/>
      <c r="CYP5" s="79"/>
      <c r="CYQ5" s="79"/>
      <c r="CYR5" s="79"/>
      <c r="CYS5" s="79"/>
      <c r="CYT5" s="79"/>
      <c r="CYU5" s="79"/>
      <c r="CYV5" s="79"/>
      <c r="CYW5" s="79"/>
      <c r="CYX5" s="79"/>
      <c r="CYY5" s="79"/>
      <c r="CYZ5" s="79"/>
      <c r="CZA5" s="79"/>
      <c r="CZB5" s="79"/>
      <c r="CZC5" s="79"/>
      <c r="CZD5" s="79"/>
      <c r="CZE5" s="79"/>
      <c r="CZF5" s="79"/>
      <c r="CZG5" s="79"/>
      <c r="CZH5" s="79"/>
      <c r="CZI5" s="79"/>
      <c r="CZJ5" s="79"/>
      <c r="CZK5" s="79"/>
      <c r="CZL5" s="79"/>
      <c r="CZM5" s="79"/>
      <c r="CZN5" s="79"/>
      <c r="CZO5" s="79"/>
      <c r="CZP5" s="79"/>
      <c r="CZQ5" s="79"/>
      <c r="CZR5" s="79"/>
      <c r="CZS5" s="79"/>
      <c r="CZT5" s="79"/>
      <c r="CZU5" s="79"/>
      <c r="CZV5" s="79"/>
      <c r="CZW5" s="79"/>
      <c r="CZX5" s="79"/>
      <c r="CZY5" s="79"/>
      <c r="CZZ5" s="79"/>
      <c r="DAA5" s="79"/>
      <c r="DAB5" s="79"/>
      <c r="DAC5" s="79"/>
      <c r="DAD5" s="79"/>
      <c r="DAE5" s="79"/>
      <c r="DAF5" s="79"/>
      <c r="DAG5" s="79"/>
      <c r="DAH5" s="79"/>
      <c r="DAI5" s="79"/>
      <c r="DAJ5" s="79"/>
      <c r="DAK5" s="79"/>
      <c r="DAL5" s="79"/>
      <c r="DAM5" s="79"/>
      <c r="DAN5" s="79"/>
      <c r="DAO5" s="79"/>
      <c r="DAP5" s="79"/>
      <c r="DAQ5" s="79"/>
      <c r="DAR5" s="79"/>
      <c r="DAS5" s="79"/>
      <c r="DAT5" s="79"/>
      <c r="DAU5" s="79"/>
      <c r="DAV5" s="79"/>
      <c r="DAW5" s="79"/>
      <c r="DAX5" s="79"/>
      <c r="DAY5" s="79"/>
      <c r="DAZ5" s="79"/>
      <c r="DBA5" s="79"/>
      <c r="DBB5" s="79"/>
      <c r="DBC5" s="79"/>
      <c r="DBD5" s="79"/>
      <c r="DBE5" s="79"/>
      <c r="DBF5" s="79"/>
      <c r="DBG5" s="79"/>
      <c r="DBH5" s="79"/>
      <c r="DBI5" s="79"/>
      <c r="DBJ5" s="79"/>
      <c r="DBK5" s="79"/>
      <c r="DBL5" s="79"/>
      <c r="DBM5" s="79"/>
      <c r="DBN5" s="79"/>
      <c r="DBO5" s="79"/>
      <c r="DBP5" s="79"/>
      <c r="DBQ5" s="79"/>
      <c r="DBR5" s="79"/>
      <c r="DBS5" s="79"/>
      <c r="DBT5" s="79"/>
      <c r="DBU5" s="79"/>
      <c r="DBV5" s="79"/>
      <c r="DBW5" s="79"/>
      <c r="DBX5" s="79"/>
      <c r="DBY5" s="79"/>
      <c r="DBZ5" s="79"/>
      <c r="DCA5" s="79"/>
      <c r="DCB5" s="79"/>
      <c r="DCC5" s="79"/>
      <c r="DCD5" s="79"/>
      <c r="DCE5" s="79"/>
      <c r="DCF5" s="79"/>
      <c r="DCG5" s="79"/>
      <c r="DCH5" s="79"/>
      <c r="DCI5" s="79"/>
      <c r="DCJ5" s="79"/>
      <c r="DCK5" s="79"/>
      <c r="DCL5" s="79"/>
      <c r="DCM5" s="79"/>
      <c r="DCN5" s="79"/>
      <c r="DCO5" s="79"/>
      <c r="DCP5" s="79"/>
      <c r="DCQ5" s="79"/>
      <c r="DCR5" s="79"/>
      <c r="DCS5" s="79"/>
      <c r="DCT5" s="79"/>
      <c r="DCU5" s="79"/>
      <c r="DCV5" s="79"/>
      <c r="DCW5" s="79"/>
      <c r="DCX5" s="79"/>
      <c r="DCY5" s="79"/>
      <c r="DCZ5" s="79"/>
      <c r="DDA5" s="79"/>
      <c r="DDB5" s="79"/>
      <c r="DDC5" s="79"/>
      <c r="DDD5" s="79"/>
      <c r="DDE5" s="79"/>
      <c r="DDF5" s="79"/>
      <c r="DDG5" s="79"/>
      <c r="DDH5" s="79"/>
      <c r="DDI5" s="79"/>
      <c r="DDJ5" s="79"/>
      <c r="DDK5" s="79"/>
      <c r="DDL5" s="79"/>
      <c r="DDM5" s="79"/>
      <c r="DDN5" s="79"/>
      <c r="DDO5" s="79"/>
      <c r="DDP5" s="79"/>
      <c r="DDQ5" s="79"/>
      <c r="DDR5" s="79"/>
      <c r="DDS5" s="79"/>
      <c r="DDT5" s="79"/>
      <c r="DDU5" s="79"/>
      <c r="DDV5" s="79"/>
      <c r="DDW5" s="79"/>
      <c r="DDX5" s="79"/>
      <c r="DDY5" s="79"/>
      <c r="DDZ5" s="79"/>
      <c r="DEA5" s="79"/>
      <c r="DEB5" s="79"/>
      <c r="DEC5" s="79"/>
      <c r="DED5" s="79"/>
      <c r="DEE5" s="79"/>
      <c r="DEF5" s="79"/>
      <c r="DEG5" s="79"/>
      <c r="DEH5" s="79"/>
      <c r="DEI5" s="79"/>
      <c r="DEJ5" s="79"/>
      <c r="DEK5" s="79"/>
      <c r="DEL5" s="79"/>
      <c r="DEM5" s="79"/>
      <c r="DEN5" s="79"/>
      <c r="DEO5" s="79"/>
      <c r="DEP5" s="79"/>
      <c r="DEQ5" s="79"/>
      <c r="DER5" s="79"/>
      <c r="DES5" s="79"/>
      <c r="DET5" s="79"/>
      <c r="DEU5" s="79"/>
      <c r="DEV5" s="79"/>
      <c r="DEW5" s="79"/>
      <c r="DEX5" s="79"/>
      <c r="DEY5" s="79"/>
      <c r="DEZ5" s="79"/>
      <c r="DFA5" s="79"/>
      <c r="DFB5" s="79"/>
      <c r="DFC5" s="79"/>
      <c r="DFD5" s="79"/>
      <c r="DFE5" s="79"/>
      <c r="DFF5" s="79"/>
      <c r="DFG5" s="79"/>
      <c r="DFH5" s="79"/>
      <c r="DFI5" s="79"/>
      <c r="DFJ5" s="79"/>
      <c r="DFK5" s="79"/>
      <c r="DFL5" s="79"/>
      <c r="DFM5" s="79"/>
      <c r="DFN5" s="79"/>
      <c r="DFO5" s="79"/>
      <c r="DFP5" s="79"/>
      <c r="DFQ5" s="79"/>
      <c r="DFR5" s="79"/>
      <c r="DFS5" s="79"/>
      <c r="DFT5" s="79"/>
      <c r="DFU5" s="79"/>
      <c r="DFV5" s="79"/>
      <c r="DFW5" s="79"/>
      <c r="DFX5" s="79"/>
      <c r="DFY5" s="79"/>
      <c r="DFZ5" s="79"/>
      <c r="DGA5" s="79"/>
      <c r="DGB5" s="79"/>
      <c r="DGC5" s="79"/>
      <c r="DGD5" s="79"/>
      <c r="DGE5" s="79"/>
      <c r="DGF5" s="79"/>
      <c r="DGG5" s="79"/>
      <c r="DGH5" s="79"/>
      <c r="DGI5" s="79"/>
      <c r="DGJ5" s="79"/>
      <c r="DGK5" s="79"/>
      <c r="DGL5" s="79"/>
      <c r="DGM5" s="79"/>
      <c r="DGN5" s="79"/>
      <c r="DGO5" s="79"/>
      <c r="DGP5" s="79"/>
      <c r="DGQ5" s="79"/>
      <c r="DGR5" s="79"/>
      <c r="DGS5" s="79"/>
      <c r="DGT5" s="79"/>
      <c r="DGU5" s="79"/>
      <c r="DGV5" s="79"/>
      <c r="DGW5" s="79"/>
      <c r="DGX5" s="79"/>
      <c r="DGY5" s="79"/>
      <c r="DGZ5" s="79"/>
      <c r="DHA5" s="79"/>
      <c r="DHB5" s="79"/>
      <c r="DHC5" s="79"/>
      <c r="DHD5" s="79"/>
      <c r="DHE5" s="79"/>
      <c r="DHF5" s="79"/>
      <c r="DHG5" s="79"/>
      <c r="DHH5" s="79"/>
      <c r="DHI5" s="79"/>
      <c r="DHJ5" s="79"/>
      <c r="DHK5" s="79"/>
      <c r="DHL5" s="79"/>
      <c r="DHM5" s="79"/>
      <c r="DHN5" s="79"/>
      <c r="DHO5" s="79"/>
      <c r="DHP5" s="79"/>
      <c r="DHQ5" s="79"/>
      <c r="DHR5" s="79"/>
      <c r="DHS5" s="79"/>
      <c r="DHT5" s="79"/>
      <c r="DHU5" s="79"/>
      <c r="DHV5" s="79"/>
      <c r="DHW5" s="79"/>
      <c r="DHX5" s="79"/>
      <c r="DHY5" s="79"/>
      <c r="DHZ5" s="79"/>
      <c r="DIA5" s="79"/>
      <c r="DIB5" s="79"/>
      <c r="DIC5" s="79"/>
      <c r="DID5" s="79"/>
      <c r="DIE5" s="79"/>
      <c r="DIF5" s="79"/>
      <c r="DIG5" s="79"/>
      <c r="DIH5" s="79"/>
      <c r="DII5" s="79"/>
      <c r="DIJ5" s="79"/>
      <c r="DIK5" s="79"/>
      <c r="DIL5" s="79"/>
      <c r="DIM5" s="79"/>
      <c r="DIN5" s="79"/>
      <c r="DIO5" s="79"/>
      <c r="DIP5" s="79"/>
      <c r="DIQ5" s="79"/>
      <c r="DIR5" s="79"/>
      <c r="DIS5" s="79"/>
      <c r="DIT5" s="79"/>
      <c r="DIU5" s="79"/>
      <c r="DIV5" s="79"/>
      <c r="DIW5" s="79"/>
      <c r="DIX5" s="79"/>
      <c r="DIY5" s="79"/>
      <c r="DIZ5" s="79"/>
      <c r="DJA5" s="79"/>
      <c r="DJB5" s="79"/>
      <c r="DJC5" s="79"/>
      <c r="DJD5" s="79"/>
      <c r="DJE5" s="79"/>
      <c r="DJF5" s="79"/>
      <c r="DJG5" s="79"/>
      <c r="DJH5" s="79"/>
      <c r="DJI5" s="79"/>
      <c r="DJJ5" s="79"/>
      <c r="DJK5" s="79"/>
      <c r="DJL5" s="79"/>
      <c r="DJM5" s="79"/>
      <c r="DJN5" s="79"/>
      <c r="DJO5" s="79"/>
      <c r="DJP5" s="79"/>
      <c r="DJQ5" s="79"/>
      <c r="DJR5" s="79"/>
      <c r="DJS5" s="79"/>
      <c r="DJT5" s="79"/>
      <c r="DJU5" s="79"/>
      <c r="DJV5" s="79"/>
      <c r="DJW5" s="79"/>
      <c r="DJX5" s="79"/>
      <c r="DJY5" s="79"/>
      <c r="DJZ5" s="79"/>
      <c r="DKA5" s="79"/>
      <c r="DKB5" s="79"/>
      <c r="DKC5" s="79"/>
      <c r="DKD5" s="79"/>
      <c r="DKE5" s="79"/>
      <c r="DKF5" s="79"/>
      <c r="DKG5" s="79"/>
      <c r="DKH5" s="79"/>
      <c r="DKI5" s="79"/>
      <c r="DKJ5" s="79"/>
      <c r="DKK5" s="79"/>
      <c r="DKL5" s="79"/>
      <c r="DKM5" s="79"/>
      <c r="DKN5" s="79"/>
      <c r="DKO5" s="79"/>
      <c r="DKP5" s="79"/>
      <c r="DKQ5" s="79"/>
      <c r="DKR5" s="79"/>
      <c r="DKS5" s="79"/>
      <c r="DKT5" s="79"/>
      <c r="DKU5" s="79"/>
      <c r="DKV5" s="79"/>
      <c r="DKW5" s="79"/>
      <c r="DKX5" s="79"/>
      <c r="DKY5" s="79"/>
      <c r="DKZ5" s="79"/>
      <c r="DLA5" s="79"/>
      <c r="DLB5" s="79"/>
      <c r="DLC5" s="79"/>
      <c r="DLD5" s="79"/>
      <c r="DLE5" s="79"/>
      <c r="DLF5" s="79"/>
      <c r="DLG5" s="79"/>
      <c r="DLH5" s="79"/>
      <c r="DLI5" s="79"/>
      <c r="DLJ5" s="79"/>
      <c r="DLK5" s="79"/>
      <c r="DLL5" s="79"/>
      <c r="DLM5" s="79"/>
      <c r="DLN5" s="79"/>
      <c r="DLO5" s="79"/>
      <c r="DLP5" s="79"/>
      <c r="DLQ5" s="79"/>
      <c r="DLR5" s="79"/>
      <c r="DLS5" s="79"/>
      <c r="DLT5" s="79"/>
      <c r="DLU5" s="79"/>
      <c r="DLV5" s="79"/>
      <c r="DLW5" s="79"/>
      <c r="DLX5" s="79"/>
      <c r="DLY5" s="79"/>
      <c r="DLZ5" s="79"/>
      <c r="DMA5" s="79"/>
      <c r="DMB5" s="79"/>
      <c r="DMC5" s="79"/>
      <c r="DMD5" s="79"/>
      <c r="DME5" s="79"/>
      <c r="DMF5" s="79"/>
      <c r="DMG5" s="79"/>
      <c r="DMH5" s="79"/>
      <c r="DMI5" s="79"/>
      <c r="DMJ5" s="79"/>
      <c r="DMK5" s="79"/>
      <c r="DML5" s="79"/>
      <c r="DMM5" s="79"/>
      <c r="DMN5" s="79"/>
      <c r="DMO5" s="79"/>
      <c r="DMP5" s="79"/>
      <c r="DMQ5" s="79"/>
      <c r="DMR5" s="79"/>
      <c r="DMS5" s="79"/>
      <c r="DMT5" s="79"/>
      <c r="DMU5" s="79"/>
      <c r="DMV5" s="79"/>
      <c r="DMW5" s="79"/>
      <c r="DMX5" s="79"/>
      <c r="DMY5" s="79"/>
      <c r="DMZ5" s="79"/>
      <c r="DNA5" s="79"/>
      <c r="DNB5" s="79"/>
      <c r="DNC5" s="79"/>
      <c r="DND5" s="79"/>
      <c r="DNE5" s="79"/>
      <c r="DNF5" s="79"/>
      <c r="DNG5" s="79"/>
      <c r="DNH5" s="79"/>
      <c r="DNI5" s="79"/>
      <c r="DNJ5" s="79"/>
      <c r="DNK5" s="79"/>
      <c r="DNL5" s="79"/>
      <c r="DNM5" s="79"/>
      <c r="DNN5" s="79"/>
      <c r="DNO5" s="79"/>
      <c r="DNP5" s="79"/>
      <c r="DNQ5" s="79"/>
      <c r="DNR5" s="79"/>
      <c r="DNS5" s="79"/>
      <c r="DNT5" s="79"/>
      <c r="DNU5" s="79"/>
      <c r="DNV5" s="79"/>
      <c r="DNW5" s="79"/>
      <c r="DNX5" s="79"/>
      <c r="DNY5" s="79"/>
      <c r="DNZ5" s="79"/>
      <c r="DOA5" s="79"/>
      <c r="DOB5" s="79"/>
      <c r="DOC5" s="79"/>
      <c r="DOD5" s="79"/>
      <c r="DOE5" s="79"/>
      <c r="DOF5" s="79"/>
      <c r="DOG5" s="79"/>
      <c r="DOH5" s="79"/>
      <c r="DOI5" s="79"/>
      <c r="DOJ5" s="79"/>
      <c r="DOK5" s="79"/>
      <c r="DOL5" s="79"/>
      <c r="DOM5" s="79"/>
      <c r="DON5" s="79"/>
      <c r="DOO5" s="79"/>
      <c r="DOP5" s="79"/>
      <c r="DOQ5" s="79"/>
      <c r="DOR5" s="79"/>
      <c r="DOS5" s="79"/>
      <c r="DOT5" s="79"/>
      <c r="DOU5" s="79"/>
      <c r="DOV5" s="79"/>
      <c r="DOW5" s="79"/>
      <c r="DOX5" s="79"/>
      <c r="DOY5" s="79"/>
      <c r="DOZ5" s="79"/>
      <c r="DPA5" s="79"/>
      <c r="DPB5" s="79"/>
      <c r="DPC5" s="79"/>
      <c r="DPD5" s="79"/>
      <c r="DPE5" s="79"/>
      <c r="DPF5" s="79"/>
      <c r="DPG5" s="79"/>
      <c r="DPH5" s="79"/>
      <c r="DPI5" s="79"/>
      <c r="DPJ5" s="79"/>
      <c r="DPK5" s="79"/>
      <c r="DPL5" s="79"/>
      <c r="DPM5" s="79"/>
      <c r="DPN5" s="79"/>
      <c r="DPO5" s="79"/>
      <c r="DPP5" s="79"/>
      <c r="DPQ5" s="79"/>
      <c r="DPR5" s="79"/>
      <c r="DPS5" s="79"/>
      <c r="DPT5" s="79"/>
      <c r="DPU5" s="79"/>
      <c r="DPV5" s="79"/>
      <c r="DPW5" s="79"/>
      <c r="DPX5" s="79"/>
      <c r="DPY5" s="79"/>
      <c r="DPZ5" s="79"/>
      <c r="DQA5" s="79"/>
      <c r="DQB5" s="79"/>
      <c r="DQC5" s="79"/>
      <c r="DQD5" s="79"/>
      <c r="DQE5" s="79"/>
      <c r="DQF5" s="79"/>
      <c r="DQG5" s="79"/>
      <c r="DQH5" s="79"/>
      <c r="DQI5" s="79"/>
      <c r="DQJ5" s="79"/>
      <c r="DQK5" s="79"/>
      <c r="DQL5" s="79"/>
      <c r="DQM5" s="79"/>
      <c r="DQN5" s="79"/>
      <c r="DQO5" s="79"/>
      <c r="DQP5" s="79"/>
      <c r="DQQ5" s="79"/>
      <c r="DQR5" s="79"/>
      <c r="DQS5" s="79"/>
      <c r="DQT5" s="79"/>
      <c r="DQU5" s="79"/>
      <c r="DQV5" s="79"/>
      <c r="DQW5" s="79"/>
      <c r="DQX5" s="79"/>
      <c r="DQY5" s="79"/>
      <c r="DQZ5" s="79"/>
      <c r="DRA5" s="79"/>
      <c r="DRB5" s="79"/>
      <c r="DRC5" s="79"/>
      <c r="DRD5" s="79"/>
      <c r="DRE5" s="79"/>
      <c r="DRF5" s="79"/>
      <c r="DRG5" s="79"/>
      <c r="DRH5" s="79"/>
      <c r="DRI5" s="79"/>
      <c r="DRJ5" s="79"/>
      <c r="DRK5" s="79"/>
      <c r="DRL5" s="79"/>
      <c r="DRM5" s="79"/>
      <c r="DRN5" s="79"/>
      <c r="DRO5" s="79"/>
      <c r="DRP5" s="79"/>
      <c r="DRQ5" s="79"/>
      <c r="DRR5" s="79"/>
      <c r="DRS5" s="79"/>
      <c r="DRT5" s="79"/>
      <c r="DRU5" s="79"/>
      <c r="DRV5" s="79"/>
      <c r="DRW5" s="79"/>
      <c r="DRX5" s="79"/>
      <c r="DRY5" s="79"/>
      <c r="DRZ5" s="79"/>
      <c r="DSA5" s="79"/>
      <c r="DSB5" s="79"/>
      <c r="DSC5" s="79"/>
      <c r="DSD5" s="79"/>
      <c r="DSE5" s="79"/>
      <c r="DSF5" s="79"/>
      <c r="DSG5" s="79"/>
      <c r="DSH5" s="79"/>
      <c r="DSI5" s="79"/>
      <c r="DSJ5" s="79"/>
      <c r="DSK5" s="79"/>
      <c r="DSL5" s="79"/>
      <c r="DSM5" s="79"/>
      <c r="DSN5" s="79"/>
      <c r="DSO5" s="79"/>
      <c r="DSP5" s="79"/>
      <c r="DSQ5" s="79"/>
      <c r="DSR5" s="79"/>
      <c r="DSS5" s="79"/>
      <c r="DST5" s="79"/>
      <c r="DSU5" s="79"/>
      <c r="DSV5" s="79"/>
      <c r="DSW5" s="79"/>
      <c r="DSX5" s="79"/>
      <c r="DSY5" s="79"/>
      <c r="DSZ5" s="79"/>
      <c r="DTA5" s="79"/>
      <c r="DTB5" s="79"/>
      <c r="DTC5" s="79"/>
      <c r="DTD5" s="79"/>
      <c r="DTE5" s="79"/>
      <c r="DTF5" s="79"/>
      <c r="DTG5" s="79"/>
      <c r="DTH5" s="79"/>
      <c r="DTI5" s="79"/>
      <c r="DTJ5" s="79"/>
      <c r="DTK5" s="79"/>
      <c r="DTL5" s="79"/>
      <c r="DTM5" s="79"/>
      <c r="DTN5" s="79"/>
      <c r="DTO5" s="79"/>
      <c r="DTP5" s="79"/>
      <c r="DTQ5" s="79"/>
      <c r="DTR5" s="79"/>
      <c r="DTS5" s="79"/>
      <c r="DTT5" s="79"/>
      <c r="DTU5" s="79"/>
      <c r="DTV5" s="79"/>
      <c r="DTW5" s="79"/>
      <c r="DTX5" s="79"/>
      <c r="DTY5" s="79"/>
      <c r="DTZ5" s="79"/>
      <c r="DUA5" s="79"/>
      <c r="DUB5" s="79"/>
      <c r="DUC5" s="79"/>
      <c r="DUD5" s="79"/>
      <c r="DUE5" s="79"/>
      <c r="DUF5" s="79"/>
      <c r="DUG5" s="79"/>
      <c r="DUH5" s="79"/>
      <c r="DUI5" s="79"/>
      <c r="DUJ5" s="79"/>
      <c r="DUK5" s="79"/>
      <c r="DUL5" s="79"/>
      <c r="DUM5" s="79"/>
      <c r="DUN5" s="79"/>
      <c r="DUO5" s="79"/>
      <c r="DUP5" s="79"/>
      <c r="DUQ5" s="79"/>
      <c r="DUR5" s="79"/>
      <c r="DUS5" s="79"/>
      <c r="DUT5" s="79"/>
      <c r="DUU5" s="79"/>
      <c r="DUV5" s="79"/>
      <c r="DUW5" s="79"/>
      <c r="DUX5" s="79"/>
      <c r="DUY5" s="79"/>
      <c r="DUZ5" s="79"/>
      <c r="DVA5" s="79"/>
      <c r="DVB5" s="79"/>
      <c r="DVC5" s="79"/>
      <c r="DVD5" s="79"/>
      <c r="DVE5" s="79"/>
      <c r="DVF5" s="79"/>
      <c r="DVG5" s="79"/>
      <c r="DVH5" s="79"/>
      <c r="DVI5" s="79"/>
      <c r="DVJ5" s="79"/>
      <c r="DVK5" s="79"/>
      <c r="DVL5" s="79"/>
      <c r="DVM5" s="79"/>
      <c r="DVN5" s="79"/>
      <c r="DVO5" s="79"/>
      <c r="DVP5" s="79"/>
      <c r="DVQ5" s="79"/>
      <c r="DVR5" s="79"/>
      <c r="DVS5" s="79"/>
      <c r="DVT5" s="79"/>
      <c r="DVU5" s="79"/>
      <c r="DVV5" s="79"/>
      <c r="DVW5" s="79"/>
      <c r="DVX5" s="79"/>
      <c r="DVY5" s="79"/>
      <c r="DVZ5" s="79"/>
      <c r="DWA5" s="79"/>
      <c r="DWB5" s="79"/>
      <c r="DWC5" s="79"/>
      <c r="DWD5" s="79"/>
      <c r="DWE5" s="79"/>
      <c r="DWF5" s="79"/>
      <c r="DWG5" s="79"/>
      <c r="DWH5" s="79"/>
      <c r="DWI5" s="79"/>
      <c r="DWJ5" s="79"/>
      <c r="DWK5" s="79"/>
      <c r="DWL5" s="79"/>
      <c r="DWM5" s="79"/>
      <c r="DWN5" s="79"/>
      <c r="DWO5" s="79"/>
      <c r="DWP5" s="79"/>
      <c r="DWQ5" s="79"/>
      <c r="DWR5" s="79"/>
      <c r="DWS5" s="79"/>
      <c r="DWT5" s="79"/>
      <c r="DWU5" s="79"/>
      <c r="DWV5" s="79"/>
      <c r="DWW5" s="79"/>
      <c r="DWX5" s="79"/>
      <c r="DWY5" s="79"/>
      <c r="DWZ5" s="79"/>
      <c r="DXA5" s="79"/>
      <c r="DXB5" s="79"/>
      <c r="DXC5" s="79"/>
      <c r="DXD5" s="79"/>
      <c r="DXE5" s="79"/>
      <c r="DXF5" s="79"/>
      <c r="DXG5" s="79"/>
      <c r="DXH5" s="79"/>
      <c r="DXI5" s="79"/>
      <c r="DXJ5" s="79"/>
      <c r="DXK5" s="79"/>
      <c r="DXL5" s="79"/>
      <c r="DXM5" s="79"/>
      <c r="DXN5" s="79"/>
      <c r="DXO5" s="79"/>
      <c r="DXP5" s="79"/>
      <c r="DXQ5" s="79"/>
      <c r="DXR5" s="79"/>
      <c r="DXS5" s="79"/>
      <c r="DXT5" s="79"/>
      <c r="DXU5" s="79"/>
      <c r="DXV5" s="79"/>
      <c r="DXW5" s="79"/>
      <c r="DXX5" s="79"/>
      <c r="DXY5" s="79"/>
      <c r="DXZ5" s="79"/>
      <c r="DYA5" s="79"/>
      <c r="DYB5" s="79"/>
      <c r="DYC5" s="79"/>
      <c r="DYD5" s="79"/>
      <c r="DYE5" s="79"/>
      <c r="DYF5" s="79"/>
      <c r="DYG5" s="79"/>
      <c r="DYH5" s="79"/>
      <c r="DYI5" s="79"/>
      <c r="DYJ5" s="79"/>
      <c r="DYK5" s="79"/>
      <c r="DYL5" s="79"/>
      <c r="DYM5" s="79"/>
      <c r="DYN5" s="79"/>
      <c r="DYO5" s="79"/>
      <c r="DYP5" s="79"/>
      <c r="DYQ5" s="79"/>
      <c r="DYR5" s="79"/>
      <c r="DYS5" s="79"/>
      <c r="DYT5" s="79"/>
      <c r="DYU5" s="79"/>
      <c r="DYV5" s="79"/>
      <c r="DYW5" s="79"/>
      <c r="DYX5" s="79"/>
      <c r="DYY5" s="79"/>
      <c r="DYZ5" s="79"/>
      <c r="DZA5" s="79"/>
      <c r="DZB5" s="79"/>
      <c r="DZC5" s="79"/>
      <c r="DZD5" s="79"/>
      <c r="DZE5" s="79"/>
      <c r="DZF5" s="79"/>
      <c r="DZG5" s="79"/>
      <c r="DZH5" s="79"/>
      <c r="DZI5" s="79"/>
      <c r="DZJ5" s="79"/>
      <c r="DZK5" s="79"/>
      <c r="DZL5" s="79"/>
      <c r="DZM5" s="79"/>
      <c r="DZN5" s="79"/>
      <c r="DZO5" s="79"/>
      <c r="DZP5" s="79"/>
      <c r="DZQ5" s="79"/>
      <c r="DZR5" s="79"/>
      <c r="DZS5" s="79"/>
      <c r="DZT5" s="79"/>
      <c r="DZU5" s="79"/>
      <c r="DZV5" s="79"/>
      <c r="DZW5" s="79"/>
      <c r="DZX5" s="79"/>
      <c r="DZY5" s="79"/>
      <c r="DZZ5" s="79"/>
      <c r="EAA5" s="79"/>
      <c r="EAB5" s="79"/>
      <c r="EAC5" s="79"/>
      <c r="EAD5" s="79"/>
      <c r="EAE5" s="79"/>
      <c r="EAF5" s="79"/>
      <c r="EAG5" s="79"/>
      <c r="EAH5" s="79"/>
      <c r="EAI5" s="79"/>
      <c r="EAJ5" s="79"/>
      <c r="EAK5" s="79"/>
      <c r="EAL5" s="79"/>
      <c r="EAM5" s="79"/>
      <c r="EAN5" s="79"/>
      <c r="EAO5" s="79"/>
      <c r="EAP5" s="79"/>
      <c r="EAQ5" s="79"/>
      <c r="EAR5" s="79"/>
      <c r="EAS5" s="79"/>
      <c r="EAT5" s="79"/>
      <c r="EAU5" s="79"/>
      <c r="EAV5" s="79"/>
      <c r="EAW5" s="79"/>
      <c r="EAX5" s="79"/>
      <c r="EAY5" s="79"/>
      <c r="EAZ5" s="79"/>
      <c r="EBA5" s="79"/>
      <c r="EBB5" s="79"/>
      <c r="EBC5" s="79"/>
      <c r="EBD5" s="79"/>
      <c r="EBE5" s="79"/>
      <c r="EBF5" s="79"/>
      <c r="EBG5" s="79"/>
      <c r="EBH5" s="79"/>
      <c r="EBI5" s="79"/>
      <c r="EBJ5" s="79"/>
      <c r="EBK5" s="79"/>
      <c r="EBL5" s="79"/>
      <c r="EBM5" s="79"/>
      <c r="EBN5" s="79"/>
      <c r="EBO5" s="79"/>
      <c r="EBP5" s="79"/>
      <c r="EBQ5" s="79"/>
      <c r="EBR5" s="79"/>
      <c r="EBS5" s="79"/>
      <c r="EBT5" s="79"/>
      <c r="EBU5" s="79"/>
      <c r="EBV5" s="79"/>
      <c r="EBW5" s="79"/>
      <c r="EBX5" s="79"/>
      <c r="EBY5" s="79"/>
      <c r="EBZ5" s="79"/>
      <c r="ECA5" s="79"/>
      <c r="ECB5" s="79"/>
      <c r="ECC5" s="79"/>
      <c r="ECD5" s="79"/>
      <c r="ECE5" s="79"/>
      <c r="ECF5" s="79"/>
      <c r="ECG5" s="79"/>
      <c r="ECH5" s="79"/>
      <c r="ECI5" s="79"/>
      <c r="ECJ5" s="79"/>
      <c r="ECK5" s="79"/>
      <c r="ECL5" s="79"/>
      <c r="ECM5" s="79"/>
      <c r="ECN5" s="79"/>
      <c r="ECO5" s="79"/>
      <c r="ECP5" s="79"/>
      <c r="ECQ5" s="79"/>
      <c r="ECR5" s="79"/>
      <c r="ECS5" s="79"/>
      <c r="ECT5" s="79"/>
      <c r="ECU5" s="79"/>
      <c r="ECV5" s="79"/>
      <c r="ECW5" s="79"/>
      <c r="ECX5" s="79"/>
      <c r="ECY5" s="79"/>
      <c r="ECZ5" s="79"/>
      <c r="EDA5" s="79"/>
      <c r="EDB5" s="79"/>
      <c r="EDC5" s="79"/>
      <c r="EDD5" s="79"/>
      <c r="EDE5" s="79"/>
      <c r="EDF5" s="79"/>
      <c r="EDG5" s="79"/>
      <c r="EDH5" s="79"/>
      <c r="EDI5" s="79"/>
      <c r="EDJ5" s="79"/>
      <c r="EDK5" s="79"/>
      <c r="EDL5" s="79"/>
      <c r="EDM5" s="79"/>
      <c r="EDN5" s="79"/>
      <c r="EDO5" s="79"/>
      <c r="EDP5" s="79"/>
      <c r="EDQ5" s="79"/>
      <c r="EDR5" s="79"/>
      <c r="EDS5" s="79"/>
      <c r="EDT5" s="79"/>
      <c r="EDU5" s="79"/>
      <c r="EDV5" s="79"/>
      <c r="EDW5" s="79"/>
      <c r="EDX5" s="79"/>
      <c r="EDY5" s="79"/>
      <c r="EDZ5" s="79"/>
      <c r="EEA5" s="79"/>
      <c r="EEB5" s="79"/>
      <c r="EEC5" s="79"/>
      <c r="EED5" s="79"/>
      <c r="EEE5" s="79"/>
      <c r="EEF5" s="79"/>
      <c r="EEG5" s="79"/>
      <c r="EEH5" s="79"/>
      <c r="EEI5" s="79"/>
      <c r="EEJ5" s="79"/>
      <c r="EEK5" s="79"/>
      <c r="EEL5" s="79"/>
      <c r="EEM5" s="79"/>
      <c r="EEN5" s="79"/>
      <c r="EEO5" s="79"/>
      <c r="EEP5" s="79"/>
      <c r="EEQ5" s="79"/>
      <c r="EER5" s="79"/>
      <c r="EES5" s="79"/>
      <c r="EET5" s="79"/>
      <c r="EEU5" s="79"/>
      <c r="EEV5" s="79"/>
      <c r="EEW5" s="79"/>
      <c r="EEX5" s="79"/>
      <c r="EEY5" s="79"/>
      <c r="EEZ5" s="79"/>
      <c r="EFA5" s="79"/>
      <c r="EFB5" s="79"/>
      <c r="EFC5" s="79"/>
      <c r="EFD5" s="79"/>
      <c r="EFE5" s="79"/>
      <c r="EFF5" s="79"/>
      <c r="EFG5" s="79"/>
      <c r="EFH5" s="79"/>
      <c r="EFI5" s="79"/>
      <c r="EFJ5" s="79"/>
      <c r="EFK5" s="79"/>
      <c r="EFL5" s="79"/>
      <c r="EFM5" s="79"/>
      <c r="EFN5" s="79"/>
      <c r="EFO5" s="79"/>
      <c r="EFP5" s="79"/>
      <c r="EFQ5" s="79"/>
      <c r="EFR5" s="79"/>
      <c r="EFS5" s="79"/>
      <c r="EFT5" s="79"/>
      <c r="EFU5" s="79"/>
      <c r="EFV5" s="79"/>
      <c r="EFW5" s="79"/>
      <c r="EFX5" s="79"/>
      <c r="EFY5" s="79"/>
      <c r="EFZ5" s="79"/>
      <c r="EGA5" s="79"/>
      <c r="EGB5" s="79"/>
      <c r="EGC5" s="79"/>
      <c r="EGD5" s="79"/>
      <c r="EGE5" s="79"/>
      <c r="EGF5" s="79"/>
      <c r="EGG5" s="79"/>
      <c r="EGH5" s="79"/>
      <c r="EGI5" s="79"/>
      <c r="EGJ5" s="79"/>
      <c r="EGK5" s="79"/>
      <c r="EGL5" s="79"/>
      <c r="EGM5" s="79"/>
      <c r="EGN5" s="79"/>
      <c r="EGO5" s="79"/>
      <c r="EGP5" s="79"/>
      <c r="EGQ5" s="79"/>
      <c r="EGR5" s="79"/>
      <c r="EGS5" s="79"/>
      <c r="EGT5" s="79"/>
      <c r="EGU5" s="79"/>
      <c r="EGV5" s="79"/>
      <c r="EGW5" s="79"/>
      <c r="EGX5" s="79"/>
      <c r="EGY5" s="79"/>
      <c r="EGZ5" s="79"/>
      <c r="EHA5" s="79"/>
      <c r="EHB5" s="79"/>
      <c r="EHC5" s="79"/>
      <c r="EHD5" s="79"/>
      <c r="EHE5" s="79"/>
      <c r="EHF5" s="79"/>
      <c r="EHG5" s="79"/>
      <c r="EHH5" s="79"/>
      <c r="EHI5" s="79"/>
      <c r="EHJ5" s="79"/>
      <c r="EHK5" s="79"/>
      <c r="EHL5" s="79"/>
      <c r="EHM5" s="79"/>
      <c r="EHN5" s="79"/>
      <c r="EHO5" s="79"/>
      <c r="EHP5" s="79"/>
      <c r="EHQ5" s="79"/>
      <c r="EHR5" s="79"/>
      <c r="EHS5" s="79"/>
      <c r="EHT5" s="79"/>
      <c r="EHU5" s="79"/>
      <c r="EHV5" s="79"/>
      <c r="EHW5" s="79"/>
      <c r="EHX5" s="79"/>
      <c r="EHY5" s="79"/>
      <c r="EHZ5" s="79"/>
      <c r="EIA5" s="79"/>
      <c r="EIB5" s="79"/>
      <c r="EIC5" s="79"/>
      <c r="EID5" s="79"/>
      <c r="EIE5" s="79"/>
      <c r="EIF5" s="79"/>
      <c r="EIG5" s="79"/>
      <c r="EIH5" s="79"/>
      <c r="EII5" s="79"/>
      <c r="EIJ5" s="79"/>
      <c r="EIK5" s="79"/>
      <c r="EIL5" s="79"/>
      <c r="EIM5" s="79"/>
      <c r="EIN5" s="79"/>
      <c r="EIO5" s="79"/>
      <c r="EIP5" s="79"/>
      <c r="EIQ5" s="79"/>
      <c r="EIR5" s="79"/>
      <c r="EIS5" s="79"/>
      <c r="EIT5" s="79"/>
      <c r="EIU5" s="79"/>
      <c r="EIV5" s="79"/>
      <c r="EIW5" s="79"/>
      <c r="EIX5" s="79"/>
      <c r="EIY5" s="79"/>
      <c r="EIZ5" s="79"/>
      <c r="EJA5" s="79"/>
      <c r="EJB5" s="79"/>
      <c r="EJC5" s="79"/>
      <c r="EJD5" s="79"/>
      <c r="EJE5" s="79"/>
      <c r="EJF5" s="79"/>
      <c r="EJG5" s="79"/>
      <c r="EJH5" s="79"/>
      <c r="EJI5" s="79"/>
      <c r="EJJ5" s="79"/>
      <c r="EJK5" s="79"/>
      <c r="EJL5" s="79"/>
      <c r="EJM5" s="79"/>
      <c r="EJN5" s="79"/>
      <c r="EJO5" s="79"/>
      <c r="EJP5" s="79"/>
      <c r="EJQ5" s="79"/>
      <c r="EJR5" s="79"/>
      <c r="EJS5" s="79"/>
      <c r="EJT5" s="79"/>
      <c r="EJU5" s="79"/>
      <c r="EJV5" s="79"/>
      <c r="EJW5" s="79"/>
      <c r="EJX5" s="79"/>
      <c r="EJY5" s="79"/>
      <c r="EJZ5" s="79"/>
      <c r="EKA5" s="79"/>
      <c r="EKB5" s="79"/>
      <c r="EKC5" s="79"/>
      <c r="EKD5" s="79"/>
      <c r="EKE5" s="79"/>
      <c r="EKF5" s="79"/>
      <c r="EKG5" s="79"/>
      <c r="EKH5" s="79"/>
      <c r="EKI5" s="79"/>
      <c r="EKJ5" s="79"/>
      <c r="EKK5" s="79"/>
      <c r="EKL5" s="79"/>
      <c r="EKM5" s="79"/>
      <c r="EKN5" s="79"/>
      <c r="EKO5" s="79"/>
      <c r="EKP5" s="79"/>
      <c r="EKQ5" s="79"/>
      <c r="EKR5" s="79"/>
      <c r="EKS5" s="79"/>
      <c r="EKT5" s="79"/>
      <c r="EKU5" s="79"/>
      <c r="EKV5" s="79"/>
      <c r="EKW5" s="79"/>
      <c r="EKX5" s="79"/>
      <c r="EKY5" s="79"/>
      <c r="EKZ5" s="79"/>
      <c r="ELA5" s="79"/>
      <c r="ELB5" s="79"/>
      <c r="ELC5" s="79"/>
      <c r="ELD5" s="79"/>
      <c r="ELE5" s="79"/>
      <c r="ELF5" s="79"/>
      <c r="ELG5" s="79"/>
      <c r="ELH5" s="79"/>
      <c r="ELI5" s="79"/>
      <c r="ELJ5" s="79"/>
      <c r="ELK5" s="79"/>
      <c r="ELL5" s="79"/>
      <c r="ELM5" s="79"/>
      <c r="ELN5" s="79"/>
      <c r="ELO5" s="79"/>
      <c r="ELP5" s="79"/>
      <c r="ELQ5" s="79"/>
      <c r="ELR5" s="79"/>
      <c r="ELS5" s="79"/>
      <c r="ELT5" s="79"/>
      <c r="ELU5" s="79"/>
      <c r="ELV5" s="79"/>
      <c r="ELW5" s="79"/>
      <c r="ELX5" s="79"/>
      <c r="ELY5" s="79"/>
      <c r="ELZ5" s="79"/>
      <c r="EMA5" s="79"/>
      <c r="EMB5" s="79"/>
      <c r="EMC5" s="79"/>
      <c r="EMD5" s="79"/>
      <c r="EME5" s="79"/>
      <c r="EMF5" s="79"/>
      <c r="EMG5" s="79"/>
      <c r="EMH5" s="79"/>
      <c r="EMI5" s="79"/>
      <c r="EMJ5" s="79"/>
      <c r="EMK5" s="79"/>
      <c r="EML5" s="79"/>
      <c r="EMM5" s="79"/>
      <c r="EMN5" s="79"/>
      <c r="EMO5" s="79"/>
      <c r="EMP5" s="79"/>
      <c r="EMQ5" s="79"/>
      <c r="EMR5" s="79"/>
      <c r="EMS5" s="79"/>
      <c r="EMT5" s="79"/>
      <c r="EMU5" s="79"/>
      <c r="EMV5" s="79"/>
      <c r="EMW5" s="79"/>
      <c r="EMX5" s="79"/>
      <c r="EMY5" s="79"/>
      <c r="EMZ5" s="79"/>
      <c r="ENA5" s="79"/>
      <c r="ENB5" s="79"/>
      <c r="ENC5" s="79"/>
      <c r="END5" s="79"/>
      <c r="ENE5" s="79"/>
      <c r="ENF5" s="79"/>
      <c r="ENG5" s="79"/>
      <c r="ENH5" s="79"/>
      <c r="ENI5" s="79"/>
      <c r="ENJ5" s="79"/>
      <c r="ENK5" s="79"/>
      <c r="ENL5" s="79"/>
      <c r="ENM5" s="79"/>
      <c r="ENN5" s="79"/>
      <c r="ENO5" s="79"/>
      <c r="ENP5" s="79"/>
      <c r="ENQ5" s="79"/>
      <c r="ENR5" s="79"/>
      <c r="ENS5" s="79"/>
      <c r="ENT5" s="79"/>
      <c r="ENU5" s="79"/>
      <c r="ENV5" s="79"/>
      <c r="ENW5" s="79"/>
      <c r="ENX5" s="79"/>
      <c r="ENY5" s="79"/>
      <c r="ENZ5" s="79"/>
      <c r="EOA5" s="79"/>
      <c r="EOB5" s="79"/>
      <c r="EOC5" s="79"/>
      <c r="EOD5" s="79"/>
      <c r="EOE5" s="79"/>
      <c r="EOF5" s="79"/>
      <c r="EOG5" s="79"/>
      <c r="EOH5" s="79"/>
      <c r="EOI5" s="79"/>
      <c r="EOJ5" s="79"/>
      <c r="EOK5" s="79"/>
      <c r="EOL5" s="79"/>
      <c r="EOM5" s="79"/>
      <c r="EON5" s="79"/>
      <c r="EOO5" s="79"/>
      <c r="EOP5" s="79"/>
      <c r="EOQ5" s="79"/>
      <c r="EOR5" s="79"/>
      <c r="EOS5" s="79"/>
      <c r="EOT5" s="79"/>
      <c r="EOU5" s="79"/>
      <c r="EOV5" s="79"/>
      <c r="EOW5" s="79"/>
      <c r="EOX5" s="79"/>
      <c r="EOY5" s="79"/>
      <c r="EOZ5" s="79"/>
      <c r="EPA5" s="79"/>
      <c r="EPB5" s="79"/>
      <c r="EPC5" s="79"/>
      <c r="EPD5" s="79"/>
      <c r="EPE5" s="79"/>
      <c r="EPF5" s="79"/>
      <c r="EPG5" s="79"/>
      <c r="EPH5" s="79"/>
      <c r="EPI5" s="79"/>
      <c r="EPJ5" s="79"/>
      <c r="EPK5" s="79"/>
      <c r="EPL5" s="79"/>
      <c r="EPM5" s="79"/>
      <c r="EPN5" s="79"/>
      <c r="EPO5" s="79"/>
      <c r="EPP5" s="79"/>
      <c r="EPQ5" s="79"/>
      <c r="EPR5" s="79"/>
      <c r="EPS5" s="79"/>
      <c r="EPT5" s="79"/>
      <c r="EPU5" s="79"/>
      <c r="EPV5" s="79"/>
      <c r="EPW5" s="79"/>
      <c r="EPX5" s="79"/>
      <c r="EPY5" s="79"/>
      <c r="EPZ5" s="79"/>
      <c r="EQA5" s="79"/>
      <c r="EQB5" s="79"/>
      <c r="EQC5" s="79"/>
      <c r="EQD5" s="79"/>
      <c r="EQE5" s="79"/>
      <c r="EQF5" s="79"/>
      <c r="EQG5" s="79"/>
      <c r="EQH5" s="79"/>
      <c r="EQI5" s="79"/>
      <c r="EQJ5" s="79"/>
      <c r="EQK5" s="79"/>
      <c r="EQL5" s="79"/>
      <c r="EQM5" s="79"/>
      <c r="EQN5" s="79"/>
      <c r="EQO5" s="79"/>
      <c r="EQP5" s="79"/>
      <c r="EQQ5" s="79"/>
      <c r="EQR5" s="79"/>
      <c r="EQS5" s="79"/>
      <c r="EQT5" s="79"/>
      <c r="EQU5" s="79"/>
      <c r="EQV5" s="79"/>
      <c r="EQW5" s="79"/>
      <c r="EQX5" s="79"/>
      <c r="EQY5" s="79"/>
      <c r="EQZ5" s="79"/>
      <c r="ERA5" s="79"/>
      <c r="ERB5" s="79"/>
      <c r="ERC5" s="79"/>
      <c r="ERD5" s="79"/>
      <c r="ERE5" s="79"/>
      <c r="ERF5" s="79"/>
      <c r="ERG5" s="79"/>
      <c r="ERH5" s="79"/>
      <c r="ERI5" s="79"/>
      <c r="ERJ5" s="79"/>
      <c r="ERK5" s="79"/>
      <c r="ERL5" s="79"/>
      <c r="ERM5" s="79"/>
      <c r="ERN5" s="79"/>
      <c r="ERO5" s="79"/>
      <c r="ERP5" s="79"/>
      <c r="ERQ5" s="79"/>
      <c r="ERR5" s="79"/>
      <c r="ERS5" s="79"/>
      <c r="ERT5" s="79"/>
      <c r="ERU5" s="79"/>
      <c r="ERV5" s="79"/>
      <c r="ERW5" s="79"/>
      <c r="ERX5" s="79"/>
      <c r="ERY5" s="79"/>
      <c r="ERZ5" s="79"/>
      <c r="ESA5" s="79"/>
      <c r="ESB5" s="79"/>
      <c r="ESC5" s="79"/>
      <c r="ESD5" s="79"/>
      <c r="ESE5" s="79"/>
      <c r="ESF5" s="79"/>
      <c r="ESG5" s="79"/>
      <c r="ESH5" s="79"/>
      <c r="ESI5" s="79"/>
      <c r="ESJ5" s="79"/>
      <c r="ESK5" s="79"/>
      <c r="ESL5" s="79"/>
      <c r="ESM5" s="79"/>
      <c r="ESN5" s="79"/>
      <c r="ESO5" s="79"/>
      <c r="ESP5" s="79"/>
      <c r="ESQ5" s="79"/>
      <c r="ESR5" s="79"/>
      <c r="ESS5" s="79"/>
      <c r="EST5" s="79"/>
      <c r="ESU5" s="79"/>
      <c r="ESV5" s="79"/>
      <c r="ESW5" s="79"/>
      <c r="ESX5" s="79"/>
      <c r="ESY5" s="79"/>
      <c r="ESZ5" s="79"/>
      <c r="ETA5" s="79"/>
      <c r="ETB5" s="79"/>
      <c r="ETC5" s="79"/>
      <c r="ETD5" s="79"/>
      <c r="ETE5" s="79"/>
      <c r="ETF5" s="79"/>
      <c r="ETG5" s="79"/>
      <c r="ETH5" s="79"/>
      <c r="ETI5" s="79"/>
      <c r="ETJ5" s="79"/>
      <c r="ETK5" s="79"/>
      <c r="ETL5" s="79"/>
      <c r="ETM5" s="79"/>
      <c r="ETN5" s="79"/>
      <c r="ETO5" s="79"/>
      <c r="ETP5" s="79"/>
      <c r="ETQ5" s="79"/>
      <c r="ETR5" s="79"/>
      <c r="ETS5" s="79"/>
      <c r="ETT5" s="79"/>
      <c r="ETU5" s="79"/>
      <c r="ETV5" s="79"/>
      <c r="ETW5" s="79"/>
      <c r="ETX5" s="79"/>
      <c r="ETY5" s="79"/>
      <c r="ETZ5" s="79"/>
      <c r="EUA5" s="79"/>
      <c r="EUB5" s="79"/>
      <c r="EUC5" s="79"/>
      <c r="EUD5" s="79"/>
      <c r="EUE5" s="79"/>
      <c r="EUF5" s="79"/>
      <c r="EUG5" s="79"/>
      <c r="EUH5" s="79"/>
      <c r="EUI5" s="79"/>
      <c r="EUJ5" s="79"/>
      <c r="EUK5" s="79"/>
      <c r="EUL5" s="79"/>
      <c r="EUM5" s="79"/>
      <c r="EUN5" s="79"/>
      <c r="EUO5" s="79"/>
      <c r="EUP5" s="79"/>
      <c r="EUQ5" s="79"/>
      <c r="EUR5" s="79"/>
      <c r="EUS5" s="79"/>
      <c r="EUT5" s="79"/>
      <c r="EUU5" s="79"/>
      <c r="EUV5" s="79"/>
      <c r="EUW5" s="79"/>
      <c r="EUX5" s="79"/>
      <c r="EUY5" s="79"/>
      <c r="EUZ5" s="79"/>
      <c r="EVA5" s="79"/>
      <c r="EVB5" s="79"/>
      <c r="EVC5" s="79"/>
      <c r="EVD5" s="79"/>
      <c r="EVE5" s="79"/>
      <c r="EVF5" s="79"/>
      <c r="EVG5" s="79"/>
      <c r="EVH5" s="79"/>
      <c r="EVI5" s="79"/>
      <c r="EVJ5" s="79"/>
      <c r="EVK5" s="79"/>
      <c r="EVL5" s="79"/>
      <c r="EVM5" s="79"/>
      <c r="EVN5" s="79"/>
      <c r="EVO5" s="79"/>
      <c r="EVP5" s="79"/>
      <c r="EVQ5" s="79"/>
      <c r="EVR5" s="79"/>
      <c r="EVS5" s="79"/>
      <c r="EVT5" s="79"/>
      <c r="EVU5" s="79"/>
      <c r="EVV5" s="79"/>
      <c r="EVW5" s="79"/>
      <c r="EVX5" s="79"/>
      <c r="EVY5" s="79"/>
      <c r="EVZ5" s="79"/>
      <c r="EWA5" s="79"/>
      <c r="EWB5" s="79"/>
      <c r="EWC5" s="79"/>
      <c r="EWD5" s="79"/>
      <c r="EWE5" s="79"/>
      <c r="EWF5" s="79"/>
      <c r="EWG5" s="79"/>
      <c r="EWH5" s="79"/>
      <c r="EWI5" s="79"/>
      <c r="EWJ5" s="79"/>
      <c r="EWK5" s="79"/>
      <c r="EWL5" s="79"/>
      <c r="EWM5" s="79"/>
      <c r="EWN5" s="79"/>
      <c r="EWO5" s="79"/>
      <c r="EWP5" s="79"/>
      <c r="EWQ5" s="79"/>
      <c r="EWR5" s="79"/>
      <c r="EWS5" s="79"/>
      <c r="EWT5" s="79"/>
      <c r="EWU5" s="79"/>
      <c r="EWV5" s="79"/>
      <c r="EWW5" s="79"/>
      <c r="EWX5" s="79"/>
      <c r="EWY5" s="79"/>
      <c r="EWZ5" s="79"/>
      <c r="EXA5" s="79"/>
      <c r="EXB5" s="79"/>
      <c r="EXC5" s="79"/>
      <c r="EXD5" s="79"/>
      <c r="EXE5" s="79"/>
      <c r="EXF5" s="79"/>
      <c r="EXG5" s="79"/>
      <c r="EXH5" s="79"/>
      <c r="EXI5" s="79"/>
      <c r="EXJ5" s="79"/>
      <c r="EXK5" s="79"/>
      <c r="EXL5" s="79"/>
      <c r="EXM5" s="79"/>
      <c r="EXN5" s="79"/>
      <c r="EXO5" s="79"/>
      <c r="EXP5" s="79"/>
      <c r="EXQ5" s="79"/>
      <c r="EXR5" s="79"/>
      <c r="EXS5" s="79"/>
      <c r="EXT5" s="79"/>
      <c r="EXU5" s="79"/>
      <c r="EXV5" s="79"/>
      <c r="EXW5" s="79"/>
      <c r="EXX5" s="79"/>
      <c r="EXY5" s="79"/>
      <c r="EXZ5" s="79"/>
      <c r="EYA5" s="79"/>
      <c r="EYB5" s="79"/>
      <c r="EYC5" s="79"/>
      <c r="EYD5" s="79"/>
      <c r="EYE5" s="79"/>
      <c r="EYF5" s="79"/>
      <c r="EYG5" s="79"/>
      <c r="EYH5" s="79"/>
      <c r="EYI5" s="79"/>
      <c r="EYJ5" s="79"/>
      <c r="EYK5" s="79"/>
      <c r="EYL5" s="79"/>
      <c r="EYM5" s="79"/>
      <c r="EYN5" s="79"/>
      <c r="EYO5" s="79"/>
      <c r="EYP5" s="79"/>
      <c r="EYQ5" s="79"/>
      <c r="EYR5" s="79"/>
      <c r="EYS5" s="79"/>
      <c r="EYT5" s="79"/>
      <c r="EYU5" s="79"/>
      <c r="EYV5" s="79"/>
      <c r="EYW5" s="79"/>
      <c r="EYX5" s="79"/>
      <c r="EYY5" s="79"/>
      <c r="EYZ5" s="79"/>
      <c r="EZA5" s="79"/>
      <c r="EZB5" s="79"/>
      <c r="EZC5" s="79"/>
      <c r="EZD5" s="79"/>
      <c r="EZE5" s="79"/>
      <c r="EZF5" s="79"/>
      <c r="EZG5" s="79"/>
      <c r="EZH5" s="79"/>
      <c r="EZI5" s="79"/>
      <c r="EZJ5" s="79"/>
      <c r="EZK5" s="79"/>
      <c r="EZL5" s="79"/>
      <c r="EZM5" s="79"/>
      <c r="EZN5" s="79"/>
      <c r="EZO5" s="79"/>
      <c r="EZP5" s="79"/>
      <c r="EZQ5" s="79"/>
      <c r="EZR5" s="79"/>
      <c r="EZS5" s="79"/>
      <c r="EZT5" s="79"/>
      <c r="EZU5" s="79"/>
      <c r="EZV5" s="79"/>
      <c r="EZW5" s="79"/>
      <c r="EZX5" s="79"/>
      <c r="EZY5" s="79"/>
      <c r="EZZ5" s="79"/>
      <c r="FAA5" s="79"/>
      <c r="FAB5" s="79"/>
      <c r="FAC5" s="79"/>
      <c r="FAD5" s="79"/>
      <c r="FAE5" s="79"/>
      <c r="FAF5" s="79"/>
      <c r="FAG5" s="79"/>
      <c r="FAH5" s="79"/>
      <c r="FAI5" s="79"/>
      <c r="FAJ5" s="79"/>
      <c r="FAK5" s="79"/>
      <c r="FAL5" s="79"/>
      <c r="FAM5" s="79"/>
      <c r="FAN5" s="79"/>
      <c r="FAO5" s="79"/>
      <c r="FAP5" s="79"/>
      <c r="FAQ5" s="79"/>
      <c r="FAR5" s="79"/>
      <c r="FAS5" s="79"/>
      <c r="FAT5" s="79"/>
      <c r="FAU5" s="79"/>
      <c r="FAV5" s="79"/>
      <c r="FAW5" s="79"/>
      <c r="FAX5" s="79"/>
      <c r="FAY5" s="79"/>
      <c r="FAZ5" s="79"/>
      <c r="FBA5" s="79"/>
      <c r="FBB5" s="79"/>
      <c r="FBC5" s="79"/>
      <c r="FBD5" s="79"/>
      <c r="FBE5" s="79"/>
      <c r="FBF5" s="79"/>
      <c r="FBG5" s="79"/>
      <c r="FBH5" s="79"/>
      <c r="FBI5" s="79"/>
      <c r="FBJ5" s="79"/>
      <c r="FBK5" s="79"/>
      <c r="FBL5" s="79"/>
      <c r="FBM5" s="79"/>
      <c r="FBN5" s="79"/>
      <c r="FBO5" s="79"/>
      <c r="FBP5" s="79"/>
      <c r="FBQ5" s="79"/>
      <c r="FBR5" s="79"/>
      <c r="FBS5" s="79"/>
      <c r="FBT5" s="79"/>
      <c r="FBU5" s="79"/>
      <c r="FBV5" s="79"/>
      <c r="FBW5" s="79"/>
      <c r="FBX5" s="79"/>
      <c r="FBY5" s="79"/>
      <c r="FBZ5" s="79"/>
      <c r="FCA5" s="79"/>
      <c r="FCB5" s="79"/>
      <c r="FCC5" s="79"/>
      <c r="FCD5" s="79"/>
      <c r="FCE5" s="79"/>
      <c r="FCF5" s="79"/>
      <c r="FCG5" s="79"/>
      <c r="FCH5" s="79"/>
      <c r="FCI5" s="79"/>
      <c r="FCJ5" s="79"/>
      <c r="FCK5" s="79"/>
      <c r="FCL5" s="79"/>
      <c r="FCM5" s="79"/>
      <c r="FCN5" s="79"/>
      <c r="FCO5" s="79"/>
      <c r="FCP5" s="79"/>
      <c r="FCQ5" s="79"/>
      <c r="FCR5" s="79"/>
      <c r="FCS5" s="79"/>
      <c r="FCT5" s="79"/>
      <c r="FCU5" s="79"/>
      <c r="FCV5" s="79"/>
      <c r="FCW5" s="79"/>
      <c r="FCX5" s="79"/>
      <c r="FCY5" s="79"/>
      <c r="FCZ5" s="79"/>
      <c r="FDA5" s="79"/>
      <c r="FDB5" s="79"/>
      <c r="FDC5" s="79"/>
      <c r="FDD5" s="79"/>
      <c r="FDE5" s="79"/>
      <c r="FDF5" s="79"/>
      <c r="FDG5" s="79"/>
      <c r="FDH5" s="79"/>
      <c r="FDI5" s="79"/>
      <c r="FDJ5" s="79"/>
      <c r="FDK5" s="79"/>
      <c r="FDL5" s="79"/>
      <c r="FDM5" s="79"/>
      <c r="FDN5" s="79"/>
      <c r="FDO5" s="79"/>
      <c r="FDP5" s="79"/>
      <c r="FDQ5" s="79"/>
      <c r="FDR5" s="79"/>
      <c r="FDS5" s="79"/>
      <c r="FDT5" s="79"/>
      <c r="FDU5" s="79"/>
      <c r="FDV5" s="79"/>
      <c r="FDW5" s="79"/>
      <c r="FDX5" s="79"/>
      <c r="FDY5" s="79"/>
      <c r="FDZ5" s="79"/>
      <c r="FEA5" s="79"/>
      <c r="FEB5" s="79"/>
      <c r="FEC5" s="79"/>
      <c r="FED5" s="79"/>
      <c r="FEE5" s="79"/>
      <c r="FEF5" s="79"/>
      <c r="FEG5" s="79"/>
      <c r="FEH5" s="79"/>
      <c r="FEI5" s="79"/>
      <c r="FEJ5" s="79"/>
      <c r="FEK5" s="79"/>
      <c r="FEL5" s="79"/>
      <c r="FEM5" s="79"/>
      <c r="FEN5" s="79"/>
      <c r="FEO5" s="79"/>
      <c r="FEP5" s="79"/>
      <c r="FEQ5" s="79"/>
      <c r="FER5" s="79"/>
      <c r="FES5" s="79"/>
      <c r="FET5" s="79"/>
      <c r="FEU5" s="79"/>
      <c r="FEV5" s="79"/>
      <c r="FEW5" s="79"/>
      <c r="FEX5" s="79"/>
      <c r="FEY5" s="79"/>
      <c r="FEZ5" s="79"/>
      <c r="FFA5" s="79"/>
      <c r="FFB5" s="79"/>
      <c r="FFC5" s="79"/>
      <c r="FFD5" s="79"/>
      <c r="FFE5" s="79"/>
      <c r="FFF5" s="79"/>
      <c r="FFG5" s="79"/>
      <c r="FFH5" s="79"/>
      <c r="FFI5" s="79"/>
      <c r="FFJ5" s="79"/>
      <c r="FFK5" s="79"/>
      <c r="FFL5" s="79"/>
      <c r="FFM5" s="79"/>
      <c r="FFN5" s="79"/>
      <c r="FFO5" s="79"/>
      <c r="FFP5" s="79"/>
      <c r="FFQ5" s="79"/>
      <c r="FFR5" s="79"/>
      <c r="FFS5" s="79"/>
      <c r="FFT5" s="79"/>
      <c r="FFU5" s="79"/>
      <c r="FFV5" s="79"/>
      <c r="FFW5" s="79"/>
      <c r="FFX5" s="79"/>
      <c r="FFY5" s="79"/>
      <c r="FFZ5" s="79"/>
      <c r="FGA5" s="79"/>
      <c r="FGB5" s="79"/>
      <c r="FGC5" s="79"/>
      <c r="FGD5" s="79"/>
      <c r="FGE5" s="79"/>
      <c r="FGF5" s="79"/>
      <c r="FGG5" s="79"/>
      <c r="FGH5" s="79"/>
      <c r="FGI5" s="79"/>
      <c r="FGJ5" s="79"/>
      <c r="FGK5" s="79"/>
      <c r="FGL5" s="79"/>
      <c r="FGM5" s="79"/>
      <c r="FGN5" s="79"/>
      <c r="FGO5" s="79"/>
      <c r="FGP5" s="79"/>
      <c r="FGQ5" s="79"/>
      <c r="FGR5" s="79"/>
      <c r="FGS5" s="79"/>
      <c r="FGT5" s="79"/>
      <c r="FGU5" s="79"/>
      <c r="FGV5" s="79"/>
      <c r="FGW5" s="79"/>
      <c r="FGX5" s="79"/>
      <c r="FGY5" s="79"/>
      <c r="FGZ5" s="79"/>
      <c r="FHA5" s="79"/>
      <c r="FHB5" s="79"/>
      <c r="FHC5" s="79"/>
      <c r="FHD5" s="79"/>
      <c r="FHE5" s="79"/>
      <c r="FHF5" s="79"/>
      <c r="FHG5" s="79"/>
      <c r="FHH5" s="79"/>
      <c r="FHI5" s="79"/>
      <c r="FHJ5" s="79"/>
      <c r="FHK5" s="79"/>
      <c r="FHL5" s="79"/>
      <c r="FHM5" s="79"/>
      <c r="FHN5" s="79"/>
      <c r="FHO5" s="79"/>
      <c r="FHP5" s="79"/>
      <c r="FHQ5" s="79"/>
      <c r="FHR5" s="79"/>
      <c r="FHS5" s="79"/>
      <c r="FHT5" s="79"/>
      <c r="FHU5" s="79"/>
      <c r="FHV5" s="79"/>
      <c r="FHW5" s="79"/>
      <c r="FHX5" s="79"/>
      <c r="FHY5" s="79"/>
      <c r="FHZ5" s="79"/>
      <c r="FIA5" s="79"/>
      <c r="FIB5" s="79"/>
      <c r="FIC5" s="79"/>
      <c r="FID5" s="79"/>
      <c r="FIE5" s="79"/>
      <c r="FIF5" s="79"/>
      <c r="FIG5" s="79"/>
      <c r="FIH5" s="79"/>
      <c r="FII5" s="79"/>
      <c r="FIJ5" s="79"/>
      <c r="FIK5" s="79"/>
      <c r="FIL5" s="79"/>
      <c r="FIM5" s="79"/>
      <c r="FIN5" s="79"/>
      <c r="FIO5" s="79"/>
      <c r="FIP5" s="79"/>
      <c r="FIQ5" s="79"/>
      <c r="FIR5" s="79"/>
      <c r="FIS5" s="79"/>
      <c r="FIT5" s="79"/>
      <c r="FIU5" s="79"/>
      <c r="FIV5" s="79"/>
      <c r="FIW5" s="79"/>
      <c r="FIX5" s="79"/>
      <c r="FIY5" s="79"/>
      <c r="FIZ5" s="79"/>
      <c r="FJA5" s="79"/>
      <c r="FJB5" s="79"/>
      <c r="FJC5" s="79"/>
      <c r="FJD5" s="79"/>
      <c r="FJE5" s="79"/>
      <c r="FJF5" s="79"/>
      <c r="FJG5" s="79"/>
      <c r="FJH5" s="79"/>
      <c r="FJI5" s="79"/>
      <c r="FJJ5" s="79"/>
      <c r="FJK5" s="79"/>
      <c r="FJL5" s="79"/>
      <c r="FJM5" s="79"/>
      <c r="FJN5" s="79"/>
      <c r="FJO5" s="79"/>
      <c r="FJP5" s="79"/>
      <c r="FJQ5" s="79"/>
      <c r="FJR5" s="79"/>
      <c r="FJS5" s="79"/>
      <c r="FJT5" s="79"/>
      <c r="FJU5" s="79"/>
      <c r="FJV5" s="79"/>
      <c r="FJW5" s="79"/>
      <c r="FJX5" s="79"/>
      <c r="FJY5" s="79"/>
      <c r="FJZ5" s="79"/>
      <c r="FKA5" s="79"/>
      <c r="FKB5" s="79"/>
      <c r="FKC5" s="79"/>
      <c r="FKD5" s="79"/>
      <c r="FKE5" s="79"/>
      <c r="FKF5" s="79"/>
      <c r="FKG5" s="79"/>
      <c r="FKH5" s="79"/>
      <c r="FKI5" s="79"/>
      <c r="FKJ5" s="79"/>
      <c r="FKK5" s="79"/>
      <c r="FKL5" s="79"/>
      <c r="FKM5" s="79"/>
      <c r="FKN5" s="79"/>
      <c r="FKO5" s="79"/>
      <c r="FKP5" s="79"/>
      <c r="FKQ5" s="79"/>
      <c r="FKR5" s="79"/>
      <c r="FKS5" s="79"/>
      <c r="FKT5" s="79"/>
      <c r="FKU5" s="79"/>
      <c r="FKV5" s="79"/>
      <c r="FKW5" s="79"/>
      <c r="FKX5" s="79"/>
      <c r="FKY5" s="79"/>
      <c r="FKZ5" s="79"/>
      <c r="FLA5" s="79"/>
      <c r="FLB5" s="79"/>
      <c r="FLC5" s="79"/>
      <c r="FLD5" s="79"/>
      <c r="FLE5" s="79"/>
      <c r="FLF5" s="79"/>
      <c r="FLG5" s="79"/>
      <c r="FLH5" s="79"/>
      <c r="FLI5" s="79"/>
      <c r="FLJ5" s="79"/>
      <c r="FLK5" s="79"/>
      <c r="FLL5" s="79"/>
      <c r="FLM5" s="79"/>
      <c r="FLN5" s="79"/>
      <c r="FLO5" s="79"/>
      <c r="FLP5" s="79"/>
      <c r="FLQ5" s="79"/>
      <c r="FLR5" s="79"/>
      <c r="FLS5" s="79"/>
      <c r="FLT5" s="79"/>
      <c r="FLU5" s="79"/>
      <c r="FLV5" s="79"/>
      <c r="FLW5" s="79"/>
      <c r="FLX5" s="79"/>
      <c r="FLY5" s="79"/>
      <c r="FLZ5" s="79"/>
      <c r="FMA5" s="79"/>
      <c r="FMB5" s="79"/>
      <c r="FMC5" s="79"/>
      <c r="FMD5" s="79"/>
      <c r="FME5" s="79"/>
      <c r="FMF5" s="79"/>
      <c r="FMG5" s="79"/>
      <c r="FMH5" s="79"/>
      <c r="FMI5" s="79"/>
      <c r="FMJ5" s="79"/>
      <c r="FMK5" s="79"/>
      <c r="FML5" s="79"/>
      <c r="FMM5" s="79"/>
      <c r="FMN5" s="79"/>
      <c r="FMO5" s="79"/>
      <c r="FMP5" s="79"/>
      <c r="FMQ5" s="79"/>
      <c r="FMR5" s="79"/>
      <c r="FMS5" s="79"/>
      <c r="FMT5" s="79"/>
      <c r="FMU5" s="79"/>
      <c r="FMV5" s="79"/>
      <c r="FMW5" s="79"/>
      <c r="FMX5" s="79"/>
      <c r="FMY5" s="79"/>
      <c r="FMZ5" s="79"/>
      <c r="FNA5" s="79"/>
      <c r="FNB5" s="79"/>
      <c r="FNC5" s="79"/>
      <c r="FND5" s="79"/>
      <c r="FNE5" s="79"/>
      <c r="FNF5" s="79"/>
      <c r="FNG5" s="79"/>
      <c r="FNH5" s="79"/>
      <c r="FNI5" s="79"/>
      <c r="FNJ5" s="79"/>
      <c r="FNK5" s="79"/>
      <c r="FNL5" s="79"/>
      <c r="FNM5" s="79"/>
      <c r="FNN5" s="79"/>
      <c r="FNO5" s="79"/>
      <c r="FNP5" s="79"/>
      <c r="FNQ5" s="79"/>
      <c r="FNR5" s="79"/>
      <c r="FNS5" s="79"/>
      <c r="FNT5" s="79"/>
      <c r="FNU5" s="79"/>
      <c r="FNV5" s="79"/>
      <c r="FNW5" s="79"/>
      <c r="FNX5" s="79"/>
      <c r="FNY5" s="79"/>
      <c r="FNZ5" s="79"/>
      <c r="FOA5" s="79"/>
      <c r="FOB5" s="79"/>
      <c r="FOC5" s="79"/>
      <c r="FOD5" s="79"/>
      <c r="FOE5" s="79"/>
      <c r="FOF5" s="79"/>
      <c r="FOG5" s="79"/>
      <c r="FOH5" s="79"/>
      <c r="FOI5" s="79"/>
      <c r="FOJ5" s="79"/>
      <c r="FOK5" s="79"/>
      <c r="FOL5" s="79"/>
      <c r="FOM5" s="79"/>
      <c r="FON5" s="79"/>
      <c r="FOO5" s="79"/>
      <c r="FOP5" s="79"/>
      <c r="FOQ5" s="79"/>
      <c r="FOR5" s="79"/>
      <c r="FOS5" s="79"/>
      <c r="FOT5" s="79"/>
      <c r="FOU5" s="79"/>
      <c r="FOV5" s="79"/>
      <c r="FOW5" s="79"/>
      <c r="FOX5" s="79"/>
      <c r="FOY5" s="79"/>
      <c r="FOZ5" s="79"/>
      <c r="FPA5" s="79"/>
      <c r="FPB5" s="79"/>
      <c r="FPC5" s="79"/>
      <c r="FPD5" s="79"/>
      <c r="FPE5" s="79"/>
      <c r="FPF5" s="79"/>
      <c r="FPG5" s="79"/>
      <c r="FPH5" s="79"/>
      <c r="FPI5" s="79"/>
      <c r="FPJ5" s="79"/>
      <c r="FPK5" s="79"/>
      <c r="FPL5" s="79"/>
      <c r="FPM5" s="79"/>
      <c r="FPN5" s="79"/>
      <c r="FPO5" s="79"/>
      <c r="FPP5" s="79"/>
      <c r="FPQ5" s="79"/>
      <c r="FPR5" s="79"/>
      <c r="FPS5" s="79"/>
      <c r="FPT5" s="79"/>
      <c r="FPU5" s="79"/>
      <c r="FPV5" s="79"/>
      <c r="FPW5" s="79"/>
      <c r="FPX5" s="79"/>
      <c r="FPY5" s="79"/>
      <c r="FPZ5" s="79"/>
      <c r="FQA5" s="79"/>
      <c r="FQB5" s="79"/>
      <c r="FQC5" s="79"/>
      <c r="FQD5" s="79"/>
      <c r="FQE5" s="79"/>
      <c r="FQF5" s="79"/>
      <c r="FQG5" s="79"/>
      <c r="FQH5" s="79"/>
      <c r="FQI5" s="79"/>
      <c r="FQJ5" s="79"/>
      <c r="FQK5" s="79"/>
      <c r="FQL5" s="79"/>
      <c r="FQM5" s="79"/>
      <c r="FQN5" s="79"/>
      <c r="FQO5" s="79"/>
      <c r="FQP5" s="79"/>
      <c r="FQQ5" s="79"/>
      <c r="FQR5" s="79"/>
      <c r="FQS5" s="79"/>
      <c r="FQT5" s="79"/>
      <c r="FQU5" s="79"/>
      <c r="FQV5" s="79"/>
      <c r="FQW5" s="79"/>
      <c r="FQX5" s="79"/>
      <c r="FQY5" s="79"/>
      <c r="FQZ5" s="79"/>
      <c r="FRA5" s="79"/>
      <c r="FRB5" s="79"/>
      <c r="FRC5" s="79"/>
      <c r="FRD5" s="79"/>
      <c r="FRE5" s="79"/>
      <c r="FRF5" s="79"/>
      <c r="FRG5" s="79"/>
      <c r="FRH5" s="79"/>
      <c r="FRI5" s="79"/>
      <c r="FRJ5" s="79"/>
      <c r="FRK5" s="79"/>
      <c r="FRL5" s="79"/>
      <c r="FRM5" s="79"/>
      <c r="FRN5" s="79"/>
      <c r="FRO5" s="79"/>
      <c r="FRP5" s="79"/>
      <c r="FRQ5" s="79"/>
      <c r="FRR5" s="79"/>
      <c r="FRS5" s="79"/>
      <c r="FRT5" s="79"/>
      <c r="FRU5" s="79"/>
      <c r="FRV5" s="79"/>
      <c r="FRW5" s="79"/>
      <c r="FRX5" s="79"/>
      <c r="FRY5" s="79"/>
      <c r="FRZ5" s="79"/>
      <c r="FSA5" s="79"/>
      <c r="FSB5" s="79"/>
      <c r="FSC5" s="79"/>
      <c r="FSD5" s="79"/>
      <c r="FSE5" s="79"/>
      <c r="FSF5" s="79"/>
      <c r="FSG5" s="79"/>
      <c r="FSH5" s="79"/>
      <c r="FSI5" s="79"/>
      <c r="FSJ5" s="79"/>
      <c r="FSK5" s="79"/>
      <c r="FSL5" s="79"/>
      <c r="FSM5" s="79"/>
      <c r="FSN5" s="79"/>
      <c r="FSO5" s="79"/>
      <c r="FSP5" s="79"/>
      <c r="FSQ5" s="79"/>
      <c r="FSR5" s="79"/>
      <c r="FSS5" s="79"/>
      <c r="FST5" s="79"/>
      <c r="FSU5" s="79"/>
      <c r="FSV5" s="79"/>
      <c r="FSW5" s="79"/>
      <c r="FSX5" s="79"/>
      <c r="FSY5" s="79"/>
      <c r="FSZ5" s="79"/>
      <c r="FTA5" s="79"/>
      <c r="FTB5" s="79"/>
      <c r="FTC5" s="79"/>
      <c r="FTD5" s="79"/>
      <c r="FTE5" s="79"/>
      <c r="FTF5" s="79"/>
      <c r="FTG5" s="79"/>
      <c r="FTH5" s="79"/>
      <c r="FTI5" s="79"/>
      <c r="FTJ5" s="79"/>
      <c r="FTK5" s="79"/>
      <c r="FTL5" s="79"/>
      <c r="FTM5" s="79"/>
      <c r="FTN5" s="79"/>
      <c r="FTO5" s="79"/>
      <c r="FTP5" s="79"/>
      <c r="FTQ5" s="79"/>
      <c r="FTR5" s="79"/>
      <c r="FTS5" s="79"/>
      <c r="FTT5" s="79"/>
      <c r="FTU5" s="79"/>
      <c r="FTV5" s="79"/>
      <c r="FTW5" s="79"/>
      <c r="FTX5" s="79"/>
      <c r="FTY5" s="79"/>
      <c r="FTZ5" s="79"/>
      <c r="FUA5" s="79"/>
      <c r="FUB5" s="79"/>
      <c r="FUC5" s="79"/>
      <c r="FUD5" s="79"/>
      <c r="FUE5" s="79"/>
      <c r="FUF5" s="79"/>
      <c r="FUG5" s="79"/>
      <c r="FUH5" s="79"/>
      <c r="FUI5" s="79"/>
      <c r="FUJ5" s="79"/>
      <c r="FUK5" s="79"/>
      <c r="FUL5" s="79"/>
      <c r="FUM5" s="79"/>
      <c r="FUN5" s="79"/>
      <c r="FUO5" s="79"/>
      <c r="FUP5" s="79"/>
      <c r="FUQ5" s="79"/>
      <c r="FUR5" s="79"/>
      <c r="FUS5" s="79"/>
      <c r="FUT5" s="79"/>
      <c r="FUU5" s="79"/>
      <c r="FUV5" s="79"/>
      <c r="FUW5" s="79"/>
      <c r="FUX5" s="79"/>
      <c r="FUY5" s="79"/>
      <c r="FUZ5" s="79"/>
      <c r="FVA5" s="79"/>
      <c r="FVB5" s="79"/>
      <c r="FVC5" s="79"/>
      <c r="FVD5" s="79"/>
      <c r="FVE5" s="79"/>
      <c r="FVF5" s="79"/>
      <c r="FVG5" s="79"/>
      <c r="FVH5" s="79"/>
      <c r="FVI5" s="79"/>
      <c r="FVJ5" s="79"/>
      <c r="FVK5" s="79"/>
      <c r="FVL5" s="79"/>
      <c r="FVM5" s="79"/>
      <c r="FVN5" s="79"/>
      <c r="FVO5" s="79"/>
      <c r="FVP5" s="79"/>
      <c r="FVQ5" s="79"/>
      <c r="FVR5" s="79"/>
      <c r="FVS5" s="79"/>
      <c r="FVT5" s="79"/>
      <c r="FVU5" s="79"/>
      <c r="FVV5" s="79"/>
      <c r="FVW5" s="79"/>
      <c r="FVX5" s="79"/>
      <c r="FVY5" s="79"/>
      <c r="FVZ5" s="79"/>
      <c r="FWA5" s="79"/>
      <c r="FWB5" s="79"/>
      <c r="FWC5" s="79"/>
      <c r="FWD5" s="79"/>
      <c r="FWE5" s="79"/>
      <c r="FWF5" s="79"/>
      <c r="FWG5" s="79"/>
      <c r="FWH5" s="79"/>
      <c r="FWI5" s="79"/>
      <c r="FWJ5" s="79"/>
      <c r="FWK5" s="79"/>
      <c r="FWL5" s="79"/>
      <c r="FWM5" s="79"/>
      <c r="FWN5" s="79"/>
      <c r="FWO5" s="79"/>
      <c r="FWP5" s="79"/>
      <c r="FWQ5" s="79"/>
      <c r="FWR5" s="79"/>
      <c r="FWS5" s="79"/>
      <c r="FWT5" s="79"/>
      <c r="FWU5" s="79"/>
      <c r="FWV5" s="79"/>
      <c r="FWW5" s="79"/>
      <c r="FWX5" s="79"/>
      <c r="FWY5" s="79"/>
      <c r="FWZ5" s="79"/>
      <c r="FXA5" s="79"/>
      <c r="FXB5" s="79"/>
      <c r="FXC5" s="79"/>
      <c r="FXD5" s="79"/>
      <c r="FXE5" s="79"/>
      <c r="FXF5" s="79"/>
      <c r="FXG5" s="79"/>
      <c r="FXH5" s="79"/>
      <c r="FXI5" s="79"/>
      <c r="FXJ5" s="79"/>
      <c r="FXK5" s="79"/>
      <c r="FXL5" s="79"/>
      <c r="FXM5" s="79"/>
      <c r="FXN5" s="79"/>
      <c r="FXO5" s="79"/>
      <c r="FXP5" s="79"/>
      <c r="FXQ5" s="79"/>
      <c r="FXR5" s="79"/>
      <c r="FXS5" s="79"/>
      <c r="FXT5" s="79"/>
      <c r="FXU5" s="79"/>
      <c r="FXV5" s="79"/>
      <c r="FXW5" s="79"/>
      <c r="FXX5" s="79"/>
      <c r="FXY5" s="79"/>
      <c r="FXZ5" s="79"/>
      <c r="FYA5" s="79"/>
      <c r="FYB5" s="79"/>
      <c r="FYC5" s="79"/>
      <c r="FYD5" s="79"/>
      <c r="FYE5" s="79"/>
      <c r="FYF5" s="79"/>
      <c r="FYG5" s="79"/>
      <c r="FYH5" s="79"/>
      <c r="FYI5" s="79"/>
      <c r="FYJ5" s="79"/>
      <c r="FYK5" s="79"/>
      <c r="FYL5" s="79"/>
      <c r="FYM5" s="79"/>
      <c r="FYN5" s="79"/>
      <c r="FYO5" s="79"/>
      <c r="FYP5" s="79"/>
      <c r="FYQ5" s="79"/>
      <c r="FYR5" s="79"/>
      <c r="FYS5" s="79"/>
      <c r="FYT5" s="79"/>
      <c r="FYU5" s="79"/>
      <c r="FYV5" s="79"/>
      <c r="FYW5" s="79"/>
      <c r="FYX5" s="79"/>
      <c r="FYY5" s="79"/>
      <c r="FYZ5" s="79"/>
      <c r="FZA5" s="79"/>
      <c r="FZB5" s="79"/>
      <c r="FZC5" s="79"/>
      <c r="FZD5" s="79"/>
      <c r="FZE5" s="79"/>
      <c r="FZF5" s="79"/>
      <c r="FZG5" s="79"/>
      <c r="FZH5" s="79"/>
      <c r="FZI5" s="79"/>
      <c r="FZJ5" s="79"/>
      <c r="FZK5" s="79"/>
      <c r="FZL5" s="79"/>
      <c r="FZM5" s="79"/>
      <c r="FZN5" s="79"/>
      <c r="FZO5" s="79"/>
      <c r="FZP5" s="79"/>
      <c r="FZQ5" s="79"/>
      <c r="FZR5" s="79"/>
      <c r="FZS5" s="79"/>
      <c r="FZT5" s="79"/>
      <c r="FZU5" s="79"/>
      <c r="FZV5" s="79"/>
      <c r="FZW5" s="79"/>
      <c r="FZX5" s="79"/>
      <c r="FZY5" s="79"/>
      <c r="FZZ5" s="79"/>
      <c r="GAA5" s="79"/>
      <c r="GAB5" s="79"/>
      <c r="GAC5" s="79"/>
      <c r="GAD5" s="79"/>
      <c r="GAE5" s="79"/>
      <c r="GAF5" s="79"/>
      <c r="GAG5" s="79"/>
      <c r="GAH5" s="79"/>
      <c r="GAI5" s="79"/>
      <c r="GAJ5" s="79"/>
      <c r="GAK5" s="79"/>
      <c r="GAL5" s="79"/>
      <c r="GAM5" s="79"/>
      <c r="GAN5" s="79"/>
      <c r="GAO5" s="79"/>
      <c r="GAP5" s="79"/>
      <c r="GAQ5" s="79"/>
      <c r="GAR5" s="79"/>
      <c r="GAS5" s="79"/>
      <c r="GAT5" s="79"/>
      <c r="GAU5" s="79"/>
      <c r="GAV5" s="79"/>
      <c r="GAW5" s="79"/>
      <c r="GAX5" s="79"/>
      <c r="GAY5" s="79"/>
      <c r="GAZ5" s="79"/>
      <c r="GBA5" s="79"/>
      <c r="GBB5" s="79"/>
      <c r="GBC5" s="79"/>
      <c r="GBD5" s="79"/>
      <c r="GBE5" s="79"/>
      <c r="GBF5" s="79"/>
      <c r="GBG5" s="79"/>
      <c r="GBH5" s="79"/>
      <c r="GBI5" s="79"/>
      <c r="GBJ5" s="79"/>
      <c r="GBK5" s="79"/>
      <c r="GBL5" s="79"/>
      <c r="GBM5" s="79"/>
      <c r="GBN5" s="79"/>
      <c r="GBO5" s="79"/>
      <c r="GBP5" s="79"/>
      <c r="GBQ5" s="79"/>
      <c r="GBR5" s="79"/>
      <c r="GBS5" s="79"/>
      <c r="GBT5" s="79"/>
      <c r="GBU5" s="79"/>
      <c r="GBV5" s="79"/>
      <c r="GBW5" s="79"/>
      <c r="GBX5" s="79"/>
      <c r="GBY5" s="79"/>
      <c r="GBZ5" s="79"/>
      <c r="GCA5" s="79"/>
      <c r="GCB5" s="79"/>
      <c r="GCC5" s="79"/>
      <c r="GCD5" s="79"/>
      <c r="GCE5" s="79"/>
      <c r="GCF5" s="79"/>
      <c r="GCG5" s="79"/>
      <c r="GCH5" s="79"/>
      <c r="GCI5" s="79"/>
      <c r="GCJ5" s="79"/>
      <c r="GCK5" s="79"/>
      <c r="GCL5" s="79"/>
      <c r="GCM5" s="79"/>
      <c r="GCN5" s="79"/>
      <c r="GCO5" s="79"/>
      <c r="GCP5" s="79"/>
      <c r="GCQ5" s="79"/>
      <c r="GCR5" s="79"/>
      <c r="GCS5" s="79"/>
      <c r="GCT5" s="79"/>
      <c r="GCU5" s="79"/>
      <c r="GCV5" s="79"/>
      <c r="GCW5" s="79"/>
      <c r="GCX5" s="79"/>
      <c r="GCY5" s="79"/>
      <c r="GCZ5" s="79"/>
      <c r="GDA5" s="79"/>
      <c r="GDB5" s="79"/>
      <c r="GDC5" s="79"/>
      <c r="GDD5" s="79"/>
      <c r="GDE5" s="79"/>
      <c r="GDF5" s="79"/>
      <c r="GDG5" s="79"/>
      <c r="GDH5" s="79"/>
      <c r="GDI5" s="79"/>
      <c r="GDJ5" s="79"/>
      <c r="GDK5" s="79"/>
      <c r="GDL5" s="79"/>
      <c r="GDM5" s="79"/>
      <c r="GDN5" s="79"/>
      <c r="GDO5" s="79"/>
      <c r="GDP5" s="79"/>
      <c r="GDQ5" s="79"/>
      <c r="GDR5" s="79"/>
      <c r="GDS5" s="79"/>
      <c r="GDT5" s="79"/>
      <c r="GDU5" s="79"/>
      <c r="GDV5" s="79"/>
      <c r="GDW5" s="79"/>
      <c r="GDX5" s="79"/>
      <c r="GDY5" s="79"/>
      <c r="GDZ5" s="79"/>
      <c r="GEA5" s="79"/>
      <c r="GEB5" s="79"/>
      <c r="GEC5" s="79"/>
      <c r="GED5" s="79"/>
      <c r="GEE5" s="79"/>
      <c r="GEF5" s="79"/>
      <c r="GEG5" s="79"/>
      <c r="GEH5" s="79"/>
      <c r="GEI5" s="79"/>
      <c r="GEJ5" s="79"/>
      <c r="GEK5" s="79"/>
      <c r="GEL5" s="79"/>
      <c r="GEM5" s="79"/>
      <c r="GEN5" s="79"/>
      <c r="GEO5" s="79"/>
      <c r="GEP5" s="79"/>
      <c r="GEQ5" s="79"/>
      <c r="GER5" s="79"/>
      <c r="GES5" s="79"/>
      <c r="GET5" s="79"/>
      <c r="GEU5" s="79"/>
      <c r="GEV5" s="79"/>
      <c r="GEW5" s="79"/>
      <c r="GEX5" s="79"/>
      <c r="GEY5" s="79"/>
      <c r="GEZ5" s="79"/>
      <c r="GFA5" s="79"/>
      <c r="GFB5" s="79"/>
      <c r="GFC5" s="79"/>
      <c r="GFD5" s="79"/>
      <c r="GFE5" s="79"/>
      <c r="GFF5" s="79"/>
      <c r="GFG5" s="79"/>
      <c r="GFH5" s="79"/>
      <c r="GFI5" s="79"/>
      <c r="GFJ5" s="79"/>
      <c r="GFK5" s="79"/>
      <c r="GFL5" s="79"/>
      <c r="GFM5" s="79"/>
      <c r="GFN5" s="79"/>
      <c r="GFO5" s="79"/>
      <c r="GFP5" s="79"/>
      <c r="GFQ5" s="79"/>
      <c r="GFR5" s="79"/>
      <c r="GFS5" s="79"/>
      <c r="GFT5" s="79"/>
      <c r="GFU5" s="79"/>
      <c r="GFV5" s="79"/>
      <c r="GFW5" s="79"/>
      <c r="GFX5" s="79"/>
      <c r="GFY5" s="79"/>
      <c r="GFZ5" s="79"/>
      <c r="GGA5" s="79"/>
      <c r="GGB5" s="79"/>
      <c r="GGC5" s="79"/>
      <c r="GGD5" s="79"/>
      <c r="GGE5" s="79"/>
      <c r="GGF5" s="79"/>
      <c r="GGG5" s="79"/>
      <c r="GGH5" s="79"/>
      <c r="GGI5" s="79"/>
      <c r="GGJ5" s="79"/>
      <c r="GGK5" s="79"/>
      <c r="GGL5" s="79"/>
      <c r="GGM5" s="79"/>
      <c r="GGN5" s="79"/>
      <c r="GGO5" s="79"/>
      <c r="GGP5" s="79"/>
      <c r="GGQ5" s="79"/>
      <c r="GGR5" s="79"/>
      <c r="GGS5" s="79"/>
      <c r="GGT5" s="79"/>
      <c r="GGU5" s="79"/>
      <c r="GGV5" s="79"/>
      <c r="GGW5" s="79"/>
      <c r="GGX5" s="79"/>
      <c r="GGY5" s="79"/>
      <c r="GGZ5" s="79"/>
      <c r="GHA5" s="79"/>
      <c r="GHB5" s="79"/>
      <c r="GHC5" s="79"/>
      <c r="GHD5" s="79"/>
      <c r="GHE5" s="79"/>
      <c r="GHF5" s="79"/>
      <c r="GHG5" s="79"/>
      <c r="GHH5" s="79"/>
      <c r="GHI5" s="79"/>
      <c r="GHJ5" s="79"/>
      <c r="GHK5" s="79"/>
      <c r="GHL5" s="79"/>
      <c r="GHM5" s="79"/>
      <c r="GHN5" s="79"/>
      <c r="GHO5" s="79"/>
      <c r="GHP5" s="79"/>
      <c r="GHQ5" s="79"/>
      <c r="GHR5" s="79"/>
      <c r="GHS5" s="79"/>
      <c r="GHT5" s="79"/>
      <c r="GHU5" s="79"/>
      <c r="GHV5" s="79"/>
      <c r="GHW5" s="79"/>
      <c r="GHX5" s="79"/>
      <c r="GHY5" s="79"/>
      <c r="GHZ5" s="79"/>
      <c r="GIA5" s="79"/>
      <c r="GIB5" s="79"/>
      <c r="GIC5" s="79"/>
      <c r="GID5" s="79"/>
      <c r="GIE5" s="79"/>
      <c r="GIF5" s="79"/>
      <c r="GIG5" s="79"/>
      <c r="GIH5" s="79"/>
      <c r="GII5" s="79"/>
      <c r="GIJ5" s="79"/>
      <c r="GIK5" s="79"/>
      <c r="GIL5" s="79"/>
      <c r="GIM5" s="79"/>
      <c r="GIN5" s="79"/>
      <c r="GIO5" s="79"/>
      <c r="GIP5" s="79"/>
      <c r="GIQ5" s="79"/>
      <c r="GIR5" s="79"/>
      <c r="GIS5" s="79"/>
      <c r="GIT5" s="79"/>
      <c r="GIU5" s="79"/>
      <c r="GIV5" s="79"/>
      <c r="GIW5" s="79"/>
      <c r="GIX5" s="79"/>
      <c r="GIY5" s="79"/>
      <c r="GIZ5" s="79"/>
      <c r="GJA5" s="79"/>
      <c r="GJB5" s="79"/>
      <c r="GJC5" s="79"/>
      <c r="GJD5" s="79"/>
      <c r="GJE5" s="79"/>
      <c r="GJF5" s="79"/>
      <c r="GJG5" s="79"/>
      <c r="GJH5" s="79"/>
      <c r="GJI5" s="79"/>
      <c r="GJJ5" s="79"/>
      <c r="GJK5" s="79"/>
      <c r="GJL5" s="79"/>
      <c r="GJM5" s="79"/>
      <c r="GJN5" s="79"/>
      <c r="GJO5" s="79"/>
      <c r="GJP5" s="79"/>
      <c r="GJQ5" s="79"/>
      <c r="GJR5" s="79"/>
      <c r="GJS5" s="79"/>
      <c r="GJT5" s="79"/>
      <c r="GJU5" s="79"/>
      <c r="GJV5" s="79"/>
      <c r="GJW5" s="79"/>
      <c r="GJX5" s="79"/>
      <c r="GJY5" s="79"/>
      <c r="GJZ5" s="79"/>
      <c r="GKA5" s="79"/>
      <c r="GKB5" s="79"/>
      <c r="GKC5" s="79"/>
      <c r="GKD5" s="79"/>
      <c r="GKE5" s="79"/>
      <c r="GKF5" s="79"/>
      <c r="GKG5" s="79"/>
      <c r="GKH5" s="79"/>
      <c r="GKI5" s="79"/>
      <c r="GKJ5" s="79"/>
      <c r="GKK5" s="79"/>
      <c r="GKL5" s="79"/>
      <c r="GKM5" s="79"/>
      <c r="GKN5" s="79"/>
      <c r="GKO5" s="79"/>
      <c r="GKP5" s="79"/>
      <c r="GKQ5" s="79"/>
      <c r="GKR5" s="79"/>
      <c r="GKS5" s="79"/>
      <c r="GKT5" s="79"/>
      <c r="GKU5" s="79"/>
      <c r="GKV5" s="79"/>
      <c r="GKW5" s="79"/>
      <c r="GKX5" s="79"/>
      <c r="GKY5" s="79"/>
      <c r="GKZ5" s="79"/>
      <c r="GLA5" s="79"/>
      <c r="GLB5" s="79"/>
      <c r="GLC5" s="79"/>
      <c r="GLD5" s="79"/>
      <c r="GLE5" s="79"/>
      <c r="GLF5" s="79"/>
      <c r="GLG5" s="79"/>
      <c r="GLH5" s="79"/>
      <c r="GLI5" s="79"/>
      <c r="GLJ5" s="79"/>
      <c r="GLK5" s="79"/>
      <c r="GLL5" s="79"/>
      <c r="GLM5" s="79"/>
      <c r="GLN5" s="79"/>
      <c r="GLO5" s="79"/>
      <c r="GLP5" s="79"/>
      <c r="GLQ5" s="79"/>
      <c r="GLR5" s="79"/>
      <c r="GLS5" s="79"/>
      <c r="GLT5" s="79"/>
      <c r="GLU5" s="79"/>
      <c r="GLV5" s="79"/>
      <c r="GLW5" s="79"/>
      <c r="GLX5" s="79"/>
      <c r="GLY5" s="79"/>
      <c r="GLZ5" s="79"/>
      <c r="GMA5" s="79"/>
      <c r="GMB5" s="79"/>
      <c r="GMC5" s="79"/>
      <c r="GMD5" s="79"/>
      <c r="GME5" s="79"/>
      <c r="GMF5" s="79"/>
      <c r="GMG5" s="79"/>
      <c r="GMH5" s="79"/>
      <c r="GMI5" s="79"/>
      <c r="GMJ5" s="79"/>
      <c r="GMK5" s="79"/>
      <c r="GML5" s="79"/>
      <c r="GMM5" s="79"/>
      <c r="GMN5" s="79"/>
      <c r="GMO5" s="79"/>
      <c r="GMP5" s="79"/>
      <c r="GMQ5" s="79"/>
      <c r="GMR5" s="79"/>
      <c r="GMS5" s="79"/>
      <c r="GMT5" s="79"/>
      <c r="GMU5" s="79"/>
      <c r="GMV5" s="79"/>
      <c r="GMW5" s="79"/>
      <c r="GMX5" s="79"/>
      <c r="GMY5" s="79"/>
      <c r="GMZ5" s="79"/>
      <c r="GNA5" s="79"/>
      <c r="GNB5" s="79"/>
      <c r="GNC5" s="79"/>
      <c r="GND5" s="79"/>
      <c r="GNE5" s="79"/>
      <c r="GNF5" s="79"/>
      <c r="GNG5" s="79"/>
      <c r="GNH5" s="79"/>
      <c r="GNI5" s="79"/>
      <c r="GNJ5" s="79"/>
      <c r="GNK5" s="79"/>
      <c r="GNL5" s="79"/>
      <c r="GNM5" s="79"/>
      <c r="GNN5" s="79"/>
      <c r="GNO5" s="79"/>
      <c r="GNP5" s="79"/>
      <c r="GNQ5" s="79"/>
      <c r="GNR5" s="79"/>
      <c r="GNS5" s="79"/>
      <c r="GNT5" s="79"/>
      <c r="GNU5" s="79"/>
      <c r="GNV5" s="79"/>
      <c r="GNW5" s="79"/>
      <c r="GNX5" s="79"/>
      <c r="GNY5" s="79"/>
      <c r="GNZ5" s="79"/>
      <c r="GOA5" s="79"/>
      <c r="GOB5" s="79"/>
      <c r="GOC5" s="79"/>
      <c r="GOD5" s="79"/>
      <c r="GOE5" s="79"/>
      <c r="GOF5" s="79"/>
      <c r="GOG5" s="79"/>
      <c r="GOH5" s="79"/>
      <c r="GOI5" s="79"/>
      <c r="GOJ5" s="79"/>
      <c r="GOK5" s="79"/>
      <c r="GOL5" s="79"/>
      <c r="GOM5" s="79"/>
      <c r="GON5" s="79"/>
      <c r="GOO5" s="79"/>
      <c r="GOP5" s="79"/>
      <c r="GOQ5" s="79"/>
      <c r="GOR5" s="79"/>
      <c r="GOS5" s="79"/>
      <c r="GOT5" s="79"/>
      <c r="GOU5" s="79"/>
      <c r="GOV5" s="79"/>
      <c r="GOW5" s="79"/>
      <c r="GOX5" s="79"/>
      <c r="GOY5" s="79"/>
      <c r="GOZ5" s="79"/>
      <c r="GPA5" s="79"/>
      <c r="GPB5" s="79"/>
      <c r="GPC5" s="79"/>
      <c r="GPD5" s="79"/>
      <c r="GPE5" s="79"/>
      <c r="GPF5" s="79"/>
      <c r="GPG5" s="79"/>
      <c r="GPH5" s="79"/>
      <c r="GPI5" s="79"/>
      <c r="GPJ5" s="79"/>
      <c r="GPK5" s="79"/>
      <c r="GPL5" s="79"/>
      <c r="GPM5" s="79"/>
      <c r="GPN5" s="79"/>
      <c r="GPO5" s="79"/>
      <c r="GPP5" s="79"/>
      <c r="GPQ5" s="79"/>
      <c r="GPR5" s="79"/>
      <c r="GPS5" s="79"/>
      <c r="GPT5" s="79"/>
      <c r="GPU5" s="79"/>
      <c r="GPV5" s="79"/>
      <c r="GPW5" s="79"/>
      <c r="GPX5" s="79"/>
      <c r="GPY5" s="79"/>
      <c r="GPZ5" s="79"/>
      <c r="GQA5" s="79"/>
      <c r="GQB5" s="79"/>
      <c r="GQC5" s="79"/>
      <c r="GQD5" s="79"/>
      <c r="GQE5" s="79"/>
      <c r="GQF5" s="79"/>
      <c r="GQG5" s="79"/>
      <c r="GQH5" s="79"/>
      <c r="GQI5" s="79"/>
      <c r="GQJ5" s="79"/>
      <c r="GQK5" s="79"/>
      <c r="GQL5" s="79"/>
      <c r="GQM5" s="79"/>
      <c r="GQN5" s="79"/>
      <c r="GQO5" s="79"/>
      <c r="GQP5" s="79"/>
      <c r="GQQ5" s="79"/>
      <c r="GQR5" s="79"/>
      <c r="GQS5" s="79"/>
      <c r="GQT5" s="79"/>
      <c r="GQU5" s="79"/>
      <c r="GQV5" s="79"/>
      <c r="GQW5" s="79"/>
      <c r="GQX5" s="79"/>
      <c r="GQY5" s="79"/>
      <c r="GQZ5" s="79"/>
      <c r="GRA5" s="79"/>
      <c r="GRB5" s="79"/>
      <c r="GRC5" s="79"/>
      <c r="GRD5" s="79"/>
      <c r="GRE5" s="79"/>
      <c r="GRF5" s="79"/>
      <c r="GRG5" s="79"/>
      <c r="GRH5" s="79"/>
      <c r="GRI5" s="79"/>
      <c r="GRJ5" s="79"/>
      <c r="GRK5" s="79"/>
      <c r="GRL5" s="79"/>
      <c r="GRM5" s="79"/>
      <c r="GRN5" s="79"/>
      <c r="GRO5" s="79"/>
      <c r="GRP5" s="79"/>
      <c r="GRQ5" s="79"/>
      <c r="GRR5" s="79"/>
      <c r="GRS5" s="79"/>
      <c r="GRT5" s="79"/>
      <c r="GRU5" s="79"/>
      <c r="GRV5" s="79"/>
      <c r="GRW5" s="79"/>
      <c r="GRX5" s="79"/>
      <c r="GRY5" s="79"/>
      <c r="GRZ5" s="79"/>
      <c r="GSA5" s="79"/>
      <c r="GSB5" s="79"/>
      <c r="GSC5" s="79"/>
      <c r="GSD5" s="79"/>
      <c r="GSE5" s="79"/>
      <c r="GSF5" s="79"/>
      <c r="GSG5" s="79"/>
      <c r="GSH5" s="79"/>
      <c r="GSI5" s="79"/>
      <c r="GSJ5" s="79"/>
      <c r="GSK5" s="79"/>
      <c r="GSL5" s="79"/>
      <c r="GSM5" s="79"/>
      <c r="GSN5" s="79"/>
      <c r="GSO5" s="79"/>
      <c r="GSP5" s="79"/>
      <c r="GSQ5" s="79"/>
      <c r="GSR5" s="79"/>
      <c r="GSS5" s="79"/>
      <c r="GST5" s="79"/>
      <c r="GSU5" s="79"/>
      <c r="GSV5" s="79"/>
      <c r="GSW5" s="79"/>
      <c r="GSX5" s="79"/>
      <c r="GSY5" s="79"/>
      <c r="GSZ5" s="79"/>
      <c r="GTA5" s="79"/>
      <c r="GTB5" s="79"/>
      <c r="GTC5" s="79"/>
      <c r="GTD5" s="79"/>
      <c r="GTE5" s="79"/>
      <c r="GTF5" s="79"/>
      <c r="GTG5" s="79"/>
      <c r="GTH5" s="79"/>
      <c r="GTI5" s="79"/>
      <c r="GTJ5" s="79"/>
      <c r="GTK5" s="79"/>
      <c r="GTL5" s="79"/>
      <c r="GTM5" s="79"/>
      <c r="GTN5" s="79"/>
      <c r="GTO5" s="79"/>
      <c r="GTP5" s="79"/>
      <c r="GTQ5" s="79"/>
      <c r="GTR5" s="79"/>
      <c r="GTS5" s="79"/>
      <c r="GTT5" s="79"/>
      <c r="GTU5" s="79"/>
      <c r="GTV5" s="79"/>
      <c r="GTW5" s="79"/>
      <c r="GTX5" s="79"/>
      <c r="GTY5" s="79"/>
      <c r="GTZ5" s="79"/>
      <c r="GUA5" s="79"/>
      <c r="GUB5" s="79"/>
      <c r="GUC5" s="79"/>
      <c r="GUD5" s="79"/>
      <c r="GUE5" s="79"/>
      <c r="GUF5" s="79"/>
      <c r="GUG5" s="79"/>
      <c r="GUH5" s="79"/>
      <c r="GUI5" s="79"/>
      <c r="GUJ5" s="79"/>
      <c r="GUK5" s="79"/>
      <c r="GUL5" s="79"/>
      <c r="GUM5" s="79"/>
      <c r="GUN5" s="79"/>
      <c r="GUO5" s="79"/>
      <c r="GUP5" s="79"/>
      <c r="GUQ5" s="79"/>
      <c r="GUR5" s="79"/>
      <c r="GUS5" s="79"/>
      <c r="GUT5" s="79"/>
      <c r="GUU5" s="79"/>
      <c r="GUV5" s="79"/>
      <c r="GUW5" s="79"/>
      <c r="GUX5" s="79"/>
      <c r="GUY5" s="79"/>
      <c r="GUZ5" s="79"/>
      <c r="GVA5" s="79"/>
      <c r="GVB5" s="79"/>
      <c r="GVC5" s="79"/>
      <c r="GVD5" s="79"/>
      <c r="GVE5" s="79"/>
      <c r="GVF5" s="79"/>
      <c r="GVG5" s="79"/>
      <c r="GVH5" s="79"/>
      <c r="GVI5" s="79"/>
      <c r="GVJ5" s="79"/>
      <c r="GVK5" s="79"/>
      <c r="GVL5" s="79"/>
      <c r="GVM5" s="79"/>
      <c r="GVN5" s="79"/>
      <c r="GVO5" s="79"/>
      <c r="GVP5" s="79"/>
      <c r="GVQ5" s="79"/>
      <c r="GVR5" s="79"/>
      <c r="GVS5" s="79"/>
      <c r="GVT5" s="79"/>
      <c r="GVU5" s="79"/>
      <c r="GVV5" s="79"/>
      <c r="GVW5" s="79"/>
      <c r="GVX5" s="79"/>
      <c r="GVY5" s="79"/>
      <c r="GVZ5" s="79"/>
      <c r="GWA5" s="79"/>
      <c r="GWB5" s="79"/>
      <c r="GWC5" s="79"/>
      <c r="GWD5" s="79"/>
      <c r="GWE5" s="79"/>
      <c r="GWF5" s="79"/>
      <c r="GWG5" s="79"/>
      <c r="GWH5" s="79"/>
      <c r="GWI5" s="79"/>
      <c r="GWJ5" s="79"/>
      <c r="GWK5" s="79"/>
      <c r="GWL5" s="79"/>
      <c r="GWM5" s="79"/>
      <c r="GWN5" s="79"/>
      <c r="GWO5" s="79"/>
      <c r="GWP5" s="79"/>
      <c r="GWQ5" s="79"/>
      <c r="GWR5" s="79"/>
      <c r="GWS5" s="79"/>
      <c r="GWT5" s="79"/>
      <c r="GWU5" s="79"/>
      <c r="GWV5" s="79"/>
      <c r="GWW5" s="79"/>
      <c r="GWX5" s="79"/>
      <c r="GWY5" s="79"/>
      <c r="GWZ5" s="79"/>
      <c r="GXA5" s="79"/>
      <c r="GXB5" s="79"/>
      <c r="GXC5" s="79"/>
      <c r="GXD5" s="79"/>
      <c r="GXE5" s="79"/>
      <c r="GXF5" s="79"/>
      <c r="GXG5" s="79"/>
      <c r="GXH5" s="79"/>
      <c r="GXI5" s="79"/>
      <c r="GXJ5" s="79"/>
      <c r="GXK5" s="79"/>
      <c r="GXL5" s="79"/>
      <c r="GXM5" s="79"/>
      <c r="GXN5" s="79"/>
      <c r="GXO5" s="79"/>
      <c r="GXP5" s="79"/>
      <c r="GXQ5" s="79"/>
      <c r="GXR5" s="79"/>
      <c r="GXS5" s="79"/>
      <c r="GXT5" s="79"/>
      <c r="GXU5" s="79"/>
      <c r="GXV5" s="79"/>
      <c r="GXW5" s="79"/>
      <c r="GXX5" s="79"/>
      <c r="GXY5" s="79"/>
      <c r="GXZ5" s="79"/>
      <c r="GYA5" s="79"/>
      <c r="GYB5" s="79"/>
      <c r="GYC5" s="79"/>
      <c r="GYD5" s="79"/>
      <c r="GYE5" s="79"/>
      <c r="GYF5" s="79"/>
      <c r="GYG5" s="79"/>
      <c r="GYH5" s="79"/>
      <c r="GYI5" s="79"/>
      <c r="GYJ5" s="79"/>
      <c r="GYK5" s="79"/>
      <c r="GYL5" s="79"/>
      <c r="GYM5" s="79"/>
      <c r="GYN5" s="79"/>
      <c r="GYO5" s="79"/>
      <c r="GYP5" s="79"/>
      <c r="GYQ5" s="79"/>
      <c r="GYR5" s="79"/>
      <c r="GYS5" s="79"/>
      <c r="GYT5" s="79"/>
      <c r="GYU5" s="79"/>
      <c r="GYV5" s="79"/>
      <c r="GYW5" s="79"/>
      <c r="GYX5" s="79"/>
      <c r="GYY5" s="79"/>
      <c r="GYZ5" s="79"/>
      <c r="GZA5" s="79"/>
      <c r="GZB5" s="79"/>
      <c r="GZC5" s="79"/>
      <c r="GZD5" s="79"/>
      <c r="GZE5" s="79"/>
      <c r="GZF5" s="79"/>
      <c r="GZG5" s="79"/>
      <c r="GZH5" s="79"/>
      <c r="GZI5" s="79"/>
      <c r="GZJ5" s="79"/>
      <c r="GZK5" s="79"/>
      <c r="GZL5" s="79"/>
      <c r="GZM5" s="79"/>
      <c r="GZN5" s="79"/>
      <c r="GZO5" s="79"/>
      <c r="GZP5" s="79"/>
      <c r="GZQ5" s="79"/>
      <c r="GZR5" s="79"/>
      <c r="GZS5" s="79"/>
      <c r="GZT5" s="79"/>
      <c r="GZU5" s="79"/>
      <c r="GZV5" s="79"/>
      <c r="GZW5" s="79"/>
      <c r="GZX5" s="79"/>
      <c r="GZY5" s="79"/>
      <c r="GZZ5" s="79"/>
      <c r="HAA5" s="79"/>
      <c r="HAB5" s="79"/>
      <c r="HAC5" s="79"/>
      <c r="HAD5" s="79"/>
      <c r="HAE5" s="79"/>
      <c r="HAF5" s="79"/>
      <c r="HAG5" s="79"/>
      <c r="HAH5" s="79"/>
      <c r="HAI5" s="79"/>
      <c r="HAJ5" s="79"/>
      <c r="HAK5" s="79"/>
      <c r="HAL5" s="79"/>
      <c r="HAM5" s="79"/>
      <c r="HAN5" s="79"/>
      <c r="HAO5" s="79"/>
      <c r="HAP5" s="79"/>
      <c r="HAQ5" s="79"/>
      <c r="HAR5" s="79"/>
      <c r="HAS5" s="79"/>
      <c r="HAT5" s="79"/>
      <c r="HAU5" s="79"/>
      <c r="HAV5" s="79"/>
      <c r="HAW5" s="79"/>
      <c r="HAX5" s="79"/>
      <c r="HAY5" s="79"/>
      <c r="HAZ5" s="79"/>
      <c r="HBA5" s="79"/>
      <c r="HBB5" s="79"/>
      <c r="HBC5" s="79"/>
      <c r="HBD5" s="79"/>
      <c r="HBE5" s="79"/>
      <c r="HBF5" s="79"/>
      <c r="HBG5" s="79"/>
      <c r="HBH5" s="79"/>
      <c r="HBI5" s="79"/>
      <c r="HBJ5" s="79"/>
      <c r="HBK5" s="79"/>
      <c r="HBL5" s="79"/>
      <c r="HBM5" s="79"/>
      <c r="HBN5" s="79"/>
      <c r="HBO5" s="79"/>
      <c r="HBP5" s="79"/>
      <c r="HBQ5" s="79"/>
      <c r="HBR5" s="79"/>
      <c r="HBS5" s="79"/>
      <c r="HBT5" s="79"/>
      <c r="HBU5" s="79"/>
      <c r="HBV5" s="79"/>
      <c r="HBW5" s="79"/>
      <c r="HBX5" s="79"/>
      <c r="HBY5" s="79"/>
      <c r="HBZ5" s="79"/>
      <c r="HCA5" s="79"/>
      <c r="HCB5" s="79"/>
      <c r="HCC5" s="79"/>
      <c r="HCD5" s="79"/>
      <c r="HCE5" s="79"/>
      <c r="HCF5" s="79"/>
      <c r="HCG5" s="79"/>
      <c r="HCH5" s="79"/>
      <c r="HCI5" s="79"/>
      <c r="HCJ5" s="79"/>
      <c r="HCK5" s="79"/>
      <c r="HCL5" s="79"/>
      <c r="HCM5" s="79"/>
      <c r="HCN5" s="79"/>
      <c r="HCO5" s="79"/>
      <c r="HCP5" s="79"/>
      <c r="HCQ5" s="79"/>
      <c r="HCR5" s="79"/>
      <c r="HCS5" s="79"/>
      <c r="HCT5" s="79"/>
      <c r="HCU5" s="79"/>
      <c r="HCV5" s="79"/>
      <c r="HCW5" s="79"/>
      <c r="HCX5" s="79"/>
      <c r="HCY5" s="79"/>
      <c r="HCZ5" s="79"/>
      <c r="HDA5" s="79"/>
      <c r="HDB5" s="79"/>
      <c r="HDC5" s="79"/>
      <c r="HDD5" s="79"/>
      <c r="HDE5" s="79"/>
      <c r="HDF5" s="79"/>
      <c r="HDG5" s="79"/>
      <c r="HDH5" s="79"/>
      <c r="HDI5" s="79"/>
      <c r="HDJ5" s="79"/>
      <c r="HDK5" s="79"/>
      <c r="HDL5" s="79"/>
      <c r="HDM5" s="79"/>
      <c r="HDN5" s="79"/>
      <c r="HDO5" s="79"/>
      <c r="HDP5" s="79"/>
      <c r="HDQ5" s="79"/>
      <c r="HDR5" s="79"/>
      <c r="HDS5" s="79"/>
      <c r="HDT5" s="79"/>
      <c r="HDU5" s="79"/>
      <c r="HDV5" s="79"/>
      <c r="HDW5" s="79"/>
      <c r="HDX5" s="79"/>
      <c r="HDY5" s="79"/>
      <c r="HDZ5" s="79"/>
      <c r="HEA5" s="79"/>
      <c r="HEB5" s="79"/>
      <c r="HEC5" s="79"/>
      <c r="HED5" s="79"/>
      <c r="HEE5" s="79"/>
      <c r="HEF5" s="79"/>
      <c r="HEG5" s="79"/>
      <c r="HEH5" s="79"/>
      <c r="HEI5" s="79"/>
      <c r="HEJ5" s="79"/>
      <c r="HEK5" s="79"/>
      <c r="HEL5" s="79"/>
      <c r="HEM5" s="79"/>
      <c r="HEN5" s="79"/>
      <c r="HEO5" s="79"/>
      <c r="HEP5" s="79"/>
      <c r="HEQ5" s="79"/>
      <c r="HER5" s="79"/>
      <c r="HES5" s="79"/>
      <c r="HET5" s="79"/>
      <c r="HEU5" s="79"/>
      <c r="HEV5" s="79"/>
      <c r="HEW5" s="79"/>
      <c r="HEX5" s="79"/>
      <c r="HEY5" s="79"/>
      <c r="HEZ5" s="79"/>
      <c r="HFA5" s="79"/>
      <c r="HFB5" s="79"/>
      <c r="HFC5" s="79"/>
      <c r="HFD5" s="79"/>
      <c r="HFE5" s="79"/>
      <c r="HFF5" s="79"/>
      <c r="HFG5" s="79"/>
      <c r="HFH5" s="79"/>
      <c r="HFI5" s="79"/>
      <c r="HFJ5" s="79"/>
      <c r="HFK5" s="79"/>
      <c r="HFL5" s="79"/>
      <c r="HFM5" s="79"/>
      <c r="HFN5" s="79"/>
      <c r="HFO5" s="79"/>
      <c r="HFP5" s="79"/>
      <c r="HFQ5" s="79"/>
      <c r="HFR5" s="79"/>
      <c r="HFS5" s="79"/>
      <c r="HFT5" s="79"/>
      <c r="HFU5" s="79"/>
      <c r="HFV5" s="79"/>
      <c r="HFW5" s="79"/>
      <c r="HFX5" s="79"/>
      <c r="HFY5" s="79"/>
      <c r="HFZ5" s="79"/>
      <c r="HGA5" s="79"/>
      <c r="HGB5" s="79"/>
      <c r="HGC5" s="79"/>
      <c r="HGD5" s="79"/>
      <c r="HGE5" s="79"/>
      <c r="HGF5" s="79"/>
      <c r="HGG5" s="79"/>
      <c r="HGH5" s="79"/>
      <c r="HGI5" s="79"/>
      <c r="HGJ5" s="79"/>
      <c r="HGK5" s="79"/>
      <c r="HGL5" s="79"/>
      <c r="HGM5" s="79"/>
      <c r="HGN5" s="79"/>
      <c r="HGO5" s="79"/>
      <c r="HGP5" s="79"/>
      <c r="HGQ5" s="79"/>
      <c r="HGR5" s="79"/>
      <c r="HGS5" s="79"/>
      <c r="HGT5" s="79"/>
      <c r="HGU5" s="79"/>
      <c r="HGV5" s="79"/>
      <c r="HGW5" s="79"/>
      <c r="HGX5" s="79"/>
      <c r="HGY5" s="79"/>
      <c r="HGZ5" s="79"/>
      <c r="HHA5" s="79"/>
      <c r="HHB5" s="79"/>
      <c r="HHC5" s="79"/>
      <c r="HHD5" s="79"/>
      <c r="HHE5" s="79"/>
      <c r="HHF5" s="79"/>
      <c r="HHG5" s="79"/>
      <c r="HHH5" s="79"/>
      <c r="HHI5" s="79"/>
      <c r="HHJ5" s="79"/>
      <c r="HHK5" s="79"/>
      <c r="HHL5" s="79"/>
      <c r="HHM5" s="79"/>
      <c r="HHN5" s="79"/>
      <c r="HHO5" s="79"/>
      <c r="HHP5" s="79"/>
      <c r="HHQ5" s="79"/>
      <c r="HHR5" s="79"/>
      <c r="HHS5" s="79"/>
      <c r="HHT5" s="79"/>
      <c r="HHU5" s="79"/>
      <c r="HHV5" s="79"/>
      <c r="HHW5" s="79"/>
      <c r="HHX5" s="79"/>
      <c r="HHY5" s="79"/>
      <c r="HHZ5" s="79"/>
      <c r="HIA5" s="79"/>
      <c r="HIB5" s="79"/>
      <c r="HIC5" s="79"/>
      <c r="HID5" s="79"/>
      <c r="HIE5" s="79"/>
      <c r="HIF5" s="79"/>
      <c r="HIG5" s="79"/>
      <c r="HIH5" s="79"/>
      <c r="HII5" s="79"/>
      <c r="HIJ5" s="79"/>
      <c r="HIK5" s="79"/>
      <c r="HIL5" s="79"/>
      <c r="HIM5" s="79"/>
      <c r="HIN5" s="79"/>
      <c r="HIO5" s="79"/>
      <c r="HIP5" s="79"/>
      <c r="HIQ5" s="79"/>
      <c r="HIR5" s="79"/>
      <c r="HIS5" s="79"/>
      <c r="HIT5" s="79"/>
      <c r="HIU5" s="79"/>
      <c r="HIV5" s="79"/>
      <c r="HIW5" s="79"/>
      <c r="HIX5" s="79"/>
      <c r="HIY5" s="79"/>
      <c r="HIZ5" s="79"/>
      <c r="HJA5" s="79"/>
      <c r="HJB5" s="79"/>
      <c r="HJC5" s="79"/>
      <c r="HJD5" s="79"/>
      <c r="HJE5" s="79"/>
      <c r="HJF5" s="79"/>
      <c r="HJG5" s="79"/>
      <c r="HJH5" s="79"/>
      <c r="HJI5" s="79"/>
      <c r="HJJ5" s="79"/>
      <c r="HJK5" s="79"/>
      <c r="HJL5" s="79"/>
      <c r="HJM5" s="79"/>
      <c r="HJN5" s="79"/>
      <c r="HJO5" s="79"/>
      <c r="HJP5" s="79"/>
      <c r="HJQ5" s="79"/>
      <c r="HJR5" s="79"/>
      <c r="HJS5" s="79"/>
      <c r="HJT5" s="79"/>
      <c r="HJU5" s="79"/>
      <c r="HJV5" s="79"/>
      <c r="HJW5" s="79"/>
      <c r="HJX5" s="79"/>
      <c r="HJY5" s="79"/>
      <c r="HJZ5" s="79"/>
      <c r="HKA5" s="79"/>
      <c r="HKB5" s="79"/>
      <c r="HKC5" s="79"/>
      <c r="HKD5" s="79"/>
      <c r="HKE5" s="79"/>
      <c r="HKF5" s="79"/>
      <c r="HKG5" s="79"/>
      <c r="HKH5" s="79"/>
      <c r="HKI5" s="79"/>
      <c r="HKJ5" s="79"/>
      <c r="HKK5" s="79"/>
      <c r="HKL5" s="79"/>
      <c r="HKM5" s="79"/>
      <c r="HKN5" s="79"/>
      <c r="HKO5" s="79"/>
      <c r="HKP5" s="79"/>
      <c r="HKQ5" s="79"/>
      <c r="HKR5" s="79"/>
      <c r="HKS5" s="79"/>
      <c r="HKT5" s="79"/>
      <c r="HKU5" s="79"/>
      <c r="HKV5" s="79"/>
      <c r="HKW5" s="79"/>
      <c r="HKX5" s="79"/>
      <c r="HKY5" s="79"/>
      <c r="HKZ5" s="79"/>
      <c r="HLA5" s="79"/>
      <c r="HLB5" s="79"/>
      <c r="HLC5" s="79"/>
      <c r="HLD5" s="79"/>
      <c r="HLE5" s="79"/>
      <c r="HLF5" s="79"/>
      <c r="HLG5" s="79"/>
      <c r="HLH5" s="79"/>
      <c r="HLI5" s="79"/>
      <c r="HLJ5" s="79"/>
      <c r="HLK5" s="79"/>
      <c r="HLL5" s="79"/>
      <c r="HLM5" s="79"/>
      <c r="HLN5" s="79"/>
      <c r="HLO5" s="79"/>
      <c r="HLP5" s="79"/>
      <c r="HLQ5" s="79"/>
      <c r="HLR5" s="79"/>
      <c r="HLS5" s="79"/>
      <c r="HLT5" s="79"/>
      <c r="HLU5" s="79"/>
      <c r="HLV5" s="79"/>
      <c r="HLW5" s="79"/>
      <c r="HLX5" s="79"/>
      <c r="HLY5" s="79"/>
      <c r="HLZ5" s="79"/>
      <c r="HMA5" s="79"/>
      <c r="HMB5" s="79"/>
      <c r="HMC5" s="79"/>
      <c r="HMD5" s="79"/>
      <c r="HME5" s="79"/>
      <c r="HMF5" s="79"/>
      <c r="HMG5" s="79"/>
      <c r="HMH5" s="79"/>
      <c r="HMI5" s="79"/>
      <c r="HMJ5" s="79"/>
      <c r="HMK5" s="79"/>
      <c r="HML5" s="79"/>
      <c r="HMM5" s="79"/>
      <c r="HMN5" s="79"/>
      <c r="HMO5" s="79"/>
      <c r="HMP5" s="79"/>
      <c r="HMQ5" s="79"/>
      <c r="HMR5" s="79"/>
      <c r="HMS5" s="79"/>
      <c r="HMT5" s="79"/>
      <c r="HMU5" s="79"/>
      <c r="HMV5" s="79"/>
      <c r="HMW5" s="79"/>
      <c r="HMX5" s="79"/>
      <c r="HMY5" s="79"/>
      <c r="HMZ5" s="79"/>
      <c r="HNA5" s="79"/>
      <c r="HNB5" s="79"/>
      <c r="HNC5" s="79"/>
      <c r="HND5" s="79"/>
      <c r="HNE5" s="79"/>
      <c r="HNF5" s="79"/>
      <c r="HNG5" s="79"/>
      <c r="HNH5" s="79"/>
      <c r="HNI5" s="79"/>
      <c r="HNJ5" s="79"/>
      <c r="HNK5" s="79"/>
      <c r="HNL5" s="79"/>
      <c r="HNM5" s="79"/>
      <c r="HNN5" s="79"/>
      <c r="HNO5" s="79"/>
      <c r="HNP5" s="79"/>
      <c r="HNQ5" s="79"/>
      <c r="HNR5" s="79"/>
      <c r="HNS5" s="79"/>
      <c r="HNT5" s="79"/>
      <c r="HNU5" s="79"/>
      <c r="HNV5" s="79"/>
      <c r="HNW5" s="79"/>
      <c r="HNX5" s="79"/>
      <c r="HNY5" s="79"/>
      <c r="HNZ5" s="79"/>
      <c r="HOA5" s="79"/>
      <c r="HOB5" s="79"/>
      <c r="HOC5" s="79"/>
      <c r="HOD5" s="79"/>
      <c r="HOE5" s="79"/>
      <c r="HOF5" s="79"/>
      <c r="HOG5" s="79"/>
      <c r="HOH5" s="79"/>
      <c r="HOI5" s="79"/>
      <c r="HOJ5" s="79"/>
      <c r="HOK5" s="79"/>
      <c r="HOL5" s="79"/>
      <c r="HOM5" s="79"/>
      <c r="HON5" s="79"/>
      <c r="HOO5" s="79"/>
      <c r="HOP5" s="79"/>
      <c r="HOQ5" s="79"/>
      <c r="HOR5" s="79"/>
      <c r="HOS5" s="79"/>
      <c r="HOT5" s="79"/>
      <c r="HOU5" s="79"/>
      <c r="HOV5" s="79"/>
      <c r="HOW5" s="79"/>
      <c r="HOX5" s="79"/>
      <c r="HOY5" s="79"/>
      <c r="HOZ5" s="79"/>
      <c r="HPA5" s="79"/>
      <c r="HPB5" s="79"/>
      <c r="HPC5" s="79"/>
      <c r="HPD5" s="79"/>
      <c r="HPE5" s="79"/>
      <c r="HPF5" s="79"/>
      <c r="HPG5" s="79"/>
      <c r="HPH5" s="79"/>
      <c r="HPI5" s="79"/>
      <c r="HPJ5" s="79"/>
      <c r="HPK5" s="79"/>
      <c r="HPL5" s="79"/>
      <c r="HPM5" s="79"/>
      <c r="HPN5" s="79"/>
      <c r="HPO5" s="79"/>
      <c r="HPP5" s="79"/>
      <c r="HPQ5" s="79"/>
      <c r="HPR5" s="79"/>
      <c r="HPS5" s="79"/>
      <c r="HPT5" s="79"/>
      <c r="HPU5" s="79"/>
      <c r="HPV5" s="79"/>
      <c r="HPW5" s="79"/>
      <c r="HPX5" s="79"/>
      <c r="HPY5" s="79"/>
      <c r="HPZ5" s="79"/>
      <c r="HQA5" s="79"/>
      <c r="HQB5" s="79"/>
      <c r="HQC5" s="79"/>
      <c r="HQD5" s="79"/>
      <c r="HQE5" s="79"/>
      <c r="HQF5" s="79"/>
      <c r="HQG5" s="79"/>
      <c r="HQH5" s="79"/>
      <c r="HQI5" s="79"/>
      <c r="HQJ5" s="79"/>
      <c r="HQK5" s="79"/>
      <c r="HQL5" s="79"/>
      <c r="HQM5" s="79"/>
      <c r="HQN5" s="79"/>
      <c r="HQO5" s="79"/>
      <c r="HQP5" s="79"/>
      <c r="HQQ5" s="79"/>
      <c r="HQR5" s="79"/>
      <c r="HQS5" s="79"/>
      <c r="HQT5" s="79"/>
      <c r="HQU5" s="79"/>
      <c r="HQV5" s="79"/>
      <c r="HQW5" s="79"/>
      <c r="HQX5" s="79"/>
      <c r="HQY5" s="79"/>
      <c r="HQZ5" s="79"/>
      <c r="HRA5" s="79"/>
      <c r="HRB5" s="79"/>
      <c r="HRC5" s="79"/>
      <c r="HRD5" s="79"/>
      <c r="HRE5" s="79"/>
      <c r="HRF5" s="79"/>
      <c r="HRG5" s="79"/>
      <c r="HRH5" s="79"/>
      <c r="HRI5" s="79"/>
      <c r="HRJ5" s="79"/>
      <c r="HRK5" s="79"/>
      <c r="HRL5" s="79"/>
      <c r="HRM5" s="79"/>
      <c r="HRN5" s="79"/>
      <c r="HRO5" s="79"/>
      <c r="HRP5" s="79"/>
      <c r="HRQ5" s="79"/>
      <c r="HRR5" s="79"/>
      <c r="HRS5" s="79"/>
      <c r="HRT5" s="79"/>
      <c r="HRU5" s="79"/>
      <c r="HRV5" s="79"/>
      <c r="HRW5" s="79"/>
      <c r="HRX5" s="79"/>
      <c r="HRY5" s="79"/>
      <c r="HRZ5" s="79"/>
      <c r="HSA5" s="79"/>
      <c r="HSB5" s="79"/>
      <c r="HSC5" s="79"/>
      <c r="HSD5" s="79"/>
      <c r="HSE5" s="79"/>
      <c r="HSF5" s="79"/>
      <c r="HSG5" s="79"/>
      <c r="HSH5" s="79"/>
      <c r="HSI5" s="79"/>
      <c r="HSJ5" s="79"/>
      <c r="HSK5" s="79"/>
      <c r="HSL5" s="79"/>
      <c r="HSM5" s="79"/>
      <c r="HSN5" s="79"/>
      <c r="HSO5" s="79"/>
      <c r="HSP5" s="79"/>
      <c r="HSQ5" s="79"/>
      <c r="HSR5" s="79"/>
      <c r="HSS5" s="79"/>
      <c r="HST5" s="79"/>
      <c r="HSU5" s="79"/>
      <c r="HSV5" s="79"/>
      <c r="HSW5" s="79"/>
      <c r="HSX5" s="79"/>
      <c r="HSY5" s="79"/>
      <c r="HSZ5" s="79"/>
      <c r="HTA5" s="79"/>
      <c r="HTB5" s="79"/>
      <c r="HTC5" s="79"/>
      <c r="HTD5" s="79"/>
      <c r="HTE5" s="79"/>
      <c r="HTF5" s="79"/>
      <c r="HTG5" s="79"/>
      <c r="HTH5" s="79"/>
      <c r="HTI5" s="79"/>
      <c r="HTJ5" s="79"/>
      <c r="HTK5" s="79"/>
      <c r="HTL5" s="79"/>
      <c r="HTM5" s="79"/>
      <c r="HTN5" s="79"/>
      <c r="HTO5" s="79"/>
      <c r="HTP5" s="79"/>
      <c r="HTQ5" s="79"/>
      <c r="HTR5" s="79"/>
      <c r="HTS5" s="79"/>
      <c r="HTT5" s="79"/>
      <c r="HTU5" s="79"/>
      <c r="HTV5" s="79"/>
      <c r="HTW5" s="79"/>
      <c r="HTX5" s="79"/>
      <c r="HTY5" s="79"/>
      <c r="HTZ5" s="79"/>
      <c r="HUA5" s="79"/>
      <c r="HUB5" s="79"/>
      <c r="HUC5" s="79"/>
      <c r="HUD5" s="79"/>
      <c r="HUE5" s="79"/>
      <c r="HUF5" s="79"/>
      <c r="HUG5" s="79"/>
      <c r="HUH5" s="79"/>
      <c r="HUI5" s="79"/>
      <c r="HUJ5" s="79"/>
      <c r="HUK5" s="79"/>
      <c r="HUL5" s="79"/>
      <c r="HUM5" s="79"/>
      <c r="HUN5" s="79"/>
      <c r="HUO5" s="79"/>
      <c r="HUP5" s="79"/>
      <c r="HUQ5" s="79"/>
      <c r="HUR5" s="79"/>
      <c r="HUS5" s="79"/>
      <c r="HUT5" s="79"/>
      <c r="HUU5" s="79"/>
      <c r="HUV5" s="79"/>
      <c r="HUW5" s="79"/>
      <c r="HUX5" s="79"/>
      <c r="HUY5" s="79"/>
      <c r="HUZ5" s="79"/>
      <c r="HVA5" s="79"/>
      <c r="HVB5" s="79"/>
      <c r="HVC5" s="79"/>
      <c r="HVD5" s="79"/>
      <c r="HVE5" s="79"/>
      <c r="HVF5" s="79"/>
      <c r="HVG5" s="79"/>
      <c r="HVH5" s="79"/>
      <c r="HVI5" s="79"/>
      <c r="HVJ5" s="79"/>
      <c r="HVK5" s="79"/>
      <c r="HVL5" s="79"/>
      <c r="HVM5" s="79"/>
      <c r="HVN5" s="79"/>
      <c r="HVO5" s="79"/>
      <c r="HVP5" s="79"/>
      <c r="HVQ5" s="79"/>
      <c r="HVR5" s="79"/>
      <c r="HVS5" s="79"/>
      <c r="HVT5" s="79"/>
      <c r="HVU5" s="79"/>
      <c r="HVV5" s="79"/>
      <c r="HVW5" s="79"/>
      <c r="HVX5" s="79"/>
      <c r="HVY5" s="79"/>
      <c r="HVZ5" s="79"/>
      <c r="HWA5" s="79"/>
      <c r="HWB5" s="79"/>
      <c r="HWC5" s="79"/>
      <c r="HWD5" s="79"/>
      <c r="HWE5" s="79"/>
      <c r="HWF5" s="79"/>
      <c r="HWG5" s="79"/>
      <c r="HWH5" s="79"/>
      <c r="HWI5" s="79"/>
      <c r="HWJ5" s="79"/>
      <c r="HWK5" s="79"/>
      <c r="HWL5" s="79"/>
      <c r="HWM5" s="79"/>
      <c r="HWN5" s="79"/>
      <c r="HWO5" s="79"/>
      <c r="HWP5" s="79"/>
      <c r="HWQ5" s="79"/>
      <c r="HWR5" s="79"/>
      <c r="HWS5" s="79"/>
      <c r="HWT5" s="79"/>
      <c r="HWU5" s="79"/>
      <c r="HWV5" s="79"/>
      <c r="HWW5" s="79"/>
      <c r="HWX5" s="79"/>
      <c r="HWY5" s="79"/>
      <c r="HWZ5" s="79"/>
      <c r="HXA5" s="79"/>
      <c r="HXB5" s="79"/>
      <c r="HXC5" s="79"/>
      <c r="HXD5" s="79"/>
      <c r="HXE5" s="79"/>
      <c r="HXF5" s="79"/>
      <c r="HXG5" s="79"/>
      <c r="HXH5" s="79"/>
      <c r="HXI5" s="79"/>
      <c r="HXJ5" s="79"/>
      <c r="HXK5" s="79"/>
      <c r="HXL5" s="79"/>
      <c r="HXM5" s="79"/>
      <c r="HXN5" s="79"/>
      <c r="HXO5" s="79"/>
      <c r="HXP5" s="79"/>
      <c r="HXQ5" s="79"/>
      <c r="HXR5" s="79"/>
      <c r="HXS5" s="79"/>
      <c r="HXT5" s="79"/>
      <c r="HXU5" s="79"/>
      <c r="HXV5" s="79"/>
      <c r="HXW5" s="79"/>
      <c r="HXX5" s="79"/>
      <c r="HXY5" s="79"/>
      <c r="HXZ5" s="79"/>
      <c r="HYA5" s="79"/>
      <c r="HYB5" s="79"/>
      <c r="HYC5" s="79"/>
      <c r="HYD5" s="79"/>
      <c r="HYE5" s="79"/>
      <c r="HYF5" s="79"/>
      <c r="HYG5" s="79"/>
      <c r="HYH5" s="79"/>
      <c r="HYI5" s="79"/>
      <c r="HYJ5" s="79"/>
      <c r="HYK5" s="79"/>
      <c r="HYL5" s="79"/>
      <c r="HYM5" s="79"/>
      <c r="HYN5" s="79"/>
      <c r="HYO5" s="79"/>
      <c r="HYP5" s="79"/>
      <c r="HYQ5" s="79"/>
      <c r="HYR5" s="79"/>
      <c r="HYS5" s="79"/>
      <c r="HYT5" s="79"/>
      <c r="HYU5" s="79"/>
      <c r="HYV5" s="79"/>
      <c r="HYW5" s="79"/>
      <c r="HYX5" s="79"/>
      <c r="HYY5" s="79"/>
      <c r="HYZ5" s="79"/>
      <c r="HZA5" s="79"/>
      <c r="HZB5" s="79"/>
      <c r="HZC5" s="79"/>
      <c r="HZD5" s="79"/>
      <c r="HZE5" s="79"/>
      <c r="HZF5" s="79"/>
      <c r="HZG5" s="79"/>
      <c r="HZH5" s="79"/>
      <c r="HZI5" s="79"/>
      <c r="HZJ5" s="79"/>
      <c r="HZK5" s="79"/>
      <c r="HZL5" s="79"/>
      <c r="HZM5" s="79"/>
      <c r="HZN5" s="79"/>
      <c r="HZO5" s="79"/>
      <c r="HZP5" s="79"/>
      <c r="HZQ5" s="79"/>
      <c r="HZR5" s="79"/>
      <c r="HZS5" s="79"/>
      <c r="HZT5" s="79"/>
      <c r="HZU5" s="79"/>
      <c r="HZV5" s="79"/>
      <c r="HZW5" s="79"/>
      <c r="HZX5" s="79"/>
      <c r="HZY5" s="79"/>
      <c r="HZZ5" s="79"/>
      <c r="IAA5" s="79"/>
      <c r="IAB5" s="79"/>
      <c r="IAC5" s="79"/>
      <c r="IAD5" s="79"/>
      <c r="IAE5" s="79"/>
      <c r="IAF5" s="79"/>
      <c r="IAG5" s="79"/>
      <c r="IAH5" s="79"/>
      <c r="IAI5" s="79"/>
      <c r="IAJ5" s="79"/>
      <c r="IAK5" s="79"/>
      <c r="IAL5" s="79"/>
      <c r="IAM5" s="79"/>
      <c r="IAN5" s="79"/>
      <c r="IAO5" s="79"/>
      <c r="IAP5" s="79"/>
      <c r="IAQ5" s="79"/>
      <c r="IAR5" s="79"/>
      <c r="IAS5" s="79"/>
      <c r="IAT5" s="79"/>
      <c r="IAU5" s="79"/>
      <c r="IAV5" s="79"/>
      <c r="IAW5" s="79"/>
      <c r="IAX5" s="79"/>
      <c r="IAY5" s="79"/>
      <c r="IAZ5" s="79"/>
      <c r="IBA5" s="79"/>
      <c r="IBB5" s="79"/>
      <c r="IBC5" s="79"/>
      <c r="IBD5" s="79"/>
      <c r="IBE5" s="79"/>
      <c r="IBF5" s="79"/>
      <c r="IBG5" s="79"/>
      <c r="IBH5" s="79"/>
      <c r="IBI5" s="79"/>
      <c r="IBJ5" s="79"/>
      <c r="IBK5" s="79"/>
      <c r="IBL5" s="79"/>
      <c r="IBM5" s="79"/>
      <c r="IBN5" s="79"/>
      <c r="IBO5" s="79"/>
      <c r="IBP5" s="79"/>
      <c r="IBQ5" s="79"/>
      <c r="IBR5" s="79"/>
      <c r="IBS5" s="79"/>
      <c r="IBT5" s="79"/>
      <c r="IBU5" s="79"/>
      <c r="IBV5" s="79"/>
      <c r="IBW5" s="79"/>
      <c r="IBX5" s="79"/>
      <c r="IBY5" s="79"/>
      <c r="IBZ5" s="79"/>
      <c r="ICA5" s="79"/>
      <c r="ICB5" s="79"/>
      <c r="ICC5" s="79"/>
      <c r="ICD5" s="79"/>
      <c r="ICE5" s="79"/>
      <c r="ICF5" s="79"/>
      <c r="ICG5" s="79"/>
      <c r="ICH5" s="79"/>
      <c r="ICI5" s="79"/>
      <c r="ICJ5" s="79"/>
      <c r="ICK5" s="79"/>
      <c r="ICL5" s="79"/>
      <c r="ICM5" s="79"/>
      <c r="ICN5" s="79"/>
      <c r="ICO5" s="79"/>
      <c r="ICP5" s="79"/>
      <c r="ICQ5" s="79"/>
      <c r="ICR5" s="79"/>
      <c r="ICS5" s="79"/>
      <c r="ICT5" s="79"/>
      <c r="ICU5" s="79"/>
      <c r="ICV5" s="79"/>
      <c r="ICW5" s="79"/>
      <c r="ICX5" s="79"/>
      <c r="ICY5" s="79"/>
      <c r="ICZ5" s="79"/>
      <c r="IDA5" s="79"/>
      <c r="IDB5" s="79"/>
      <c r="IDC5" s="79"/>
      <c r="IDD5" s="79"/>
      <c r="IDE5" s="79"/>
      <c r="IDF5" s="79"/>
      <c r="IDG5" s="79"/>
      <c r="IDH5" s="79"/>
      <c r="IDI5" s="79"/>
      <c r="IDJ5" s="79"/>
      <c r="IDK5" s="79"/>
      <c r="IDL5" s="79"/>
      <c r="IDM5" s="79"/>
      <c r="IDN5" s="79"/>
      <c r="IDO5" s="79"/>
      <c r="IDP5" s="79"/>
      <c r="IDQ5" s="79"/>
      <c r="IDR5" s="79"/>
      <c r="IDS5" s="79"/>
      <c r="IDT5" s="79"/>
      <c r="IDU5" s="79"/>
      <c r="IDV5" s="79"/>
      <c r="IDW5" s="79"/>
      <c r="IDX5" s="79"/>
      <c r="IDY5" s="79"/>
      <c r="IDZ5" s="79"/>
      <c r="IEA5" s="79"/>
      <c r="IEB5" s="79"/>
      <c r="IEC5" s="79"/>
      <c r="IED5" s="79"/>
      <c r="IEE5" s="79"/>
      <c r="IEF5" s="79"/>
      <c r="IEG5" s="79"/>
      <c r="IEH5" s="79"/>
      <c r="IEI5" s="79"/>
      <c r="IEJ5" s="79"/>
      <c r="IEK5" s="79"/>
      <c r="IEL5" s="79"/>
      <c r="IEM5" s="79"/>
      <c r="IEN5" s="79"/>
      <c r="IEO5" s="79"/>
      <c r="IEP5" s="79"/>
      <c r="IEQ5" s="79"/>
      <c r="IER5" s="79"/>
      <c r="IES5" s="79"/>
      <c r="IET5" s="79"/>
      <c r="IEU5" s="79"/>
      <c r="IEV5" s="79"/>
      <c r="IEW5" s="79"/>
      <c r="IEX5" s="79"/>
      <c r="IEY5" s="79"/>
      <c r="IEZ5" s="79"/>
      <c r="IFA5" s="79"/>
      <c r="IFB5" s="79"/>
      <c r="IFC5" s="79"/>
      <c r="IFD5" s="79"/>
      <c r="IFE5" s="79"/>
      <c r="IFF5" s="79"/>
      <c r="IFG5" s="79"/>
      <c r="IFH5" s="79"/>
      <c r="IFI5" s="79"/>
      <c r="IFJ5" s="79"/>
      <c r="IFK5" s="79"/>
      <c r="IFL5" s="79"/>
      <c r="IFM5" s="79"/>
      <c r="IFN5" s="79"/>
      <c r="IFO5" s="79"/>
      <c r="IFP5" s="79"/>
      <c r="IFQ5" s="79"/>
      <c r="IFR5" s="79"/>
      <c r="IFS5" s="79"/>
      <c r="IFT5" s="79"/>
      <c r="IFU5" s="79"/>
      <c r="IFV5" s="79"/>
      <c r="IFW5" s="79"/>
      <c r="IFX5" s="79"/>
      <c r="IFY5" s="79"/>
      <c r="IFZ5" s="79"/>
      <c r="IGA5" s="79"/>
      <c r="IGB5" s="79"/>
      <c r="IGC5" s="79"/>
      <c r="IGD5" s="79"/>
      <c r="IGE5" s="79"/>
      <c r="IGF5" s="79"/>
      <c r="IGG5" s="79"/>
      <c r="IGH5" s="79"/>
      <c r="IGI5" s="79"/>
      <c r="IGJ5" s="79"/>
      <c r="IGK5" s="79"/>
      <c r="IGL5" s="79"/>
      <c r="IGM5" s="79"/>
      <c r="IGN5" s="79"/>
      <c r="IGO5" s="79"/>
      <c r="IGP5" s="79"/>
      <c r="IGQ5" s="79"/>
      <c r="IGR5" s="79"/>
      <c r="IGS5" s="79"/>
      <c r="IGT5" s="79"/>
      <c r="IGU5" s="79"/>
      <c r="IGV5" s="79"/>
      <c r="IGW5" s="79"/>
      <c r="IGX5" s="79"/>
      <c r="IGY5" s="79"/>
      <c r="IGZ5" s="79"/>
      <c r="IHA5" s="79"/>
      <c r="IHB5" s="79"/>
      <c r="IHC5" s="79"/>
      <c r="IHD5" s="79"/>
      <c r="IHE5" s="79"/>
      <c r="IHF5" s="79"/>
      <c r="IHG5" s="79"/>
      <c r="IHH5" s="79"/>
      <c r="IHI5" s="79"/>
      <c r="IHJ5" s="79"/>
      <c r="IHK5" s="79"/>
      <c r="IHL5" s="79"/>
      <c r="IHM5" s="79"/>
      <c r="IHN5" s="79"/>
      <c r="IHO5" s="79"/>
      <c r="IHP5" s="79"/>
      <c r="IHQ5" s="79"/>
      <c r="IHR5" s="79"/>
      <c r="IHS5" s="79"/>
      <c r="IHT5" s="79"/>
      <c r="IHU5" s="79"/>
      <c r="IHV5" s="79"/>
      <c r="IHW5" s="79"/>
      <c r="IHX5" s="79"/>
      <c r="IHY5" s="79"/>
      <c r="IHZ5" s="79"/>
      <c r="IIA5" s="79"/>
      <c r="IIB5" s="79"/>
      <c r="IIC5" s="79"/>
      <c r="IID5" s="79"/>
      <c r="IIE5" s="79"/>
      <c r="IIF5" s="79"/>
      <c r="IIG5" s="79"/>
      <c r="IIH5" s="79"/>
      <c r="III5" s="79"/>
      <c r="IIJ5" s="79"/>
      <c r="IIK5" s="79"/>
      <c r="IIL5" s="79"/>
      <c r="IIM5" s="79"/>
      <c r="IIN5" s="79"/>
      <c r="IIO5" s="79"/>
      <c r="IIP5" s="79"/>
      <c r="IIQ5" s="79"/>
      <c r="IIR5" s="79"/>
      <c r="IIS5" s="79"/>
      <c r="IIT5" s="79"/>
      <c r="IIU5" s="79"/>
      <c r="IIV5" s="79"/>
      <c r="IIW5" s="79"/>
      <c r="IIX5" s="79"/>
      <c r="IIY5" s="79"/>
      <c r="IIZ5" s="79"/>
      <c r="IJA5" s="79"/>
      <c r="IJB5" s="79"/>
      <c r="IJC5" s="79"/>
      <c r="IJD5" s="79"/>
      <c r="IJE5" s="79"/>
      <c r="IJF5" s="79"/>
      <c r="IJG5" s="79"/>
      <c r="IJH5" s="79"/>
      <c r="IJI5" s="79"/>
      <c r="IJJ5" s="79"/>
      <c r="IJK5" s="79"/>
      <c r="IJL5" s="79"/>
      <c r="IJM5" s="79"/>
      <c r="IJN5" s="79"/>
      <c r="IJO5" s="79"/>
      <c r="IJP5" s="79"/>
      <c r="IJQ5" s="79"/>
      <c r="IJR5" s="79"/>
      <c r="IJS5" s="79"/>
      <c r="IJT5" s="79"/>
      <c r="IJU5" s="79"/>
      <c r="IJV5" s="79"/>
      <c r="IJW5" s="79"/>
      <c r="IJX5" s="79"/>
      <c r="IJY5" s="79"/>
      <c r="IJZ5" s="79"/>
      <c r="IKA5" s="79"/>
      <c r="IKB5" s="79"/>
      <c r="IKC5" s="79"/>
      <c r="IKD5" s="79"/>
      <c r="IKE5" s="79"/>
      <c r="IKF5" s="79"/>
      <c r="IKG5" s="79"/>
      <c r="IKH5" s="79"/>
      <c r="IKI5" s="79"/>
      <c r="IKJ5" s="79"/>
      <c r="IKK5" s="79"/>
      <c r="IKL5" s="79"/>
      <c r="IKM5" s="79"/>
      <c r="IKN5" s="79"/>
      <c r="IKO5" s="79"/>
      <c r="IKP5" s="79"/>
      <c r="IKQ5" s="79"/>
      <c r="IKR5" s="79"/>
      <c r="IKS5" s="79"/>
      <c r="IKT5" s="79"/>
      <c r="IKU5" s="79"/>
      <c r="IKV5" s="79"/>
      <c r="IKW5" s="79"/>
      <c r="IKX5" s="79"/>
      <c r="IKY5" s="79"/>
      <c r="IKZ5" s="79"/>
      <c r="ILA5" s="79"/>
      <c r="ILB5" s="79"/>
      <c r="ILC5" s="79"/>
      <c r="ILD5" s="79"/>
      <c r="ILE5" s="79"/>
      <c r="ILF5" s="79"/>
      <c r="ILG5" s="79"/>
      <c r="ILH5" s="79"/>
      <c r="ILI5" s="79"/>
      <c r="ILJ5" s="79"/>
      <c r="ILK5" s="79"/>
      <c r="ILL5" s="79"/>
      <c r="ILM5" s="79"/>
      <c r="ILN5" s="79"/>
      <c r="ILO5" s="79"/>
      <c r="ILP5" s="79"/>
      <c r="ILQ5" s="79"/>
      <c r="ILR5" s="79"/>
      <c r="ILS5" s="79"/>
      <c r="ILT5" s="79"/>
      <c r="ILU5" s="79"/>
      <c r="ILV5" s="79"/>
      <c r="ILW5" s="79"/>
      <c r="ILX5" s="79"/>
      <c r="ILY5" s="79"/>
      <c r="ILZ5" s="79"/>
      <c r="IMA5" s="79"/>
      <c r="IMB5" s="79"/>
      <c r="IMC5" s="79"/>
      <c r="IMD5" s="79"/>
      <c r="IME5" s="79"/>
      <c r="IMF5" s="79"/>
      <c r="IMG5" s="79"/>
      <c r="IMH5" s="79"/>
      <c r="IMI5" s="79"/>
      <c r="IMJ5" s="79"/>
      <c r="IMK5" s="79"/>
      <c r="IML5" s="79"/>
      <c r="IMM5" s="79"/>
      <c r="IMN5" s="79"/>
      <c r="IMO5" s="79"/>
      <c r="IMP5" s="79"/>
      <c r="IMQ5" s="79"/>
      <c r="IMR5" s="79"/>
      <c r="IMS5" s="79"/>
      <c r="IMT5" s="79"/>
      <c r="IMU5" s="79"/>
      <c r="IMV5" s="79"/>
      <c r="IMW5" s="79"/>
      <c r="IMX5" s="79"/>
      <c r="IMY5" s="79"/>
      <c r="IMZ5" s="79"/>
      <c r="INA5" s="79"/>
      <c r="INB5" s="79"/>
      <c r="INC5" s="79"/>
      <c r="IND5" s="79"/>
      <c r="INE5" s="79"/>
      <c r="INF5" s="79"/>
      <c r="ING5" s="79"/>
      <c r="INH5" s="79"/>
      <c r="INI5" s="79"/>
      <c r="INJ5" s="79"/>
      <c r="INK5" s="79"/>
      <c r="INL5" s="79"/>
      <c r="INM5" s="79"/>
      <c r="INN5" s="79"/>
      <c r="INO5" s="79"/>
      <c r="INP5" s="79"/>
      <c r="INQ5" s="79"/>
      <c r="INR5" s="79"/>
      <c r="INS5" s="79"/>
      <c r="INT5" s="79"/>
      <c r="INU5" s="79"/>
      <c r="INV5" s="79"/>
      <c r="INW5" s="79"/>
      <c r="INX5" s="79"/>
      <c r="INY5" s="79"/>
      <c r="INZ5" s="79"/>
      <c r="IOA5" s="79"/>
      <c r="IOB5" s="79"/>
      <c r="IOC5" s="79"/>
      <c r="IOD5" s="79"/>
      <c r="IOE5" s="79"/>
      <c r="IOF5" s="79"/>
      <c r="IOG5" s="79"/>
      <c r="IOH5" s="79"/>
      <c r="IOI5" s="79"/>
      <c r="IOJ5" s="79"/>
      <c r="IOK5" s="79"/>
      <c r="IOL5" s="79"/>
      <c r="IOM5" s="79"/>
      <c r="ION5" s="79"/>
      <c r="IOO5" s="79"/>
      <c r="IOP5" s="79"/>
      <c r="IOQ5" s="79"/>
      <c r="IOR5" s="79"/>
      <c r="IOS5" s="79"/>
      <c r="IOT5" s="79"/>
      <c r="IOU5" s="79"/>
      <c r="IOV5" s="79"/>
      <c r="IOW5" s="79"/>
      <c r="IOX5" s="79"/>
      <c r="IOY5" s="79"/>
      <c r="IOZ5" s="79"/>
      <c r="IPA5" s="79"/>
      <c r="IPB5" s="79"/>
      <c r="IPC5" s="79"/>
      <c r="IPD5" s="79"/>
      <c r="IPE5" s="79"/>
      <c r="IPF5" s="79"/>
      <c r="IPG5" s="79"/>
      <c r="IPH5" s="79"/>
      <c r="IPI5" s="79"/>
      <c r="IPJ5" s="79"/>
      <c r="IPK5" s="79"/>
      <c r="IPL5" s="79"/>
      <c r="IPM5" s="79"/>
      <c r="IPN5" s="79"/>
      <c r="IPO5" s="79"/>
      <c r="IPP5" s="79"/>
      <c r="IPQ5" s="79"/>
      <c r="IPR5" s="79"/>
      <c r="IPS5" s="79"/>
      <c r="IPT5" s="79"/>
      <c r="IPU5" s="79"/>
      <c r="IPV5" s="79"/>
      <c r="IPW5" s="79"/>
      <c r="IPX5" s="79"/>
      <c r="IPY5" s="79"/>
      <c r="IPZ5" s="79"/>
      <c r="IQA5" s="79"/>
      <c r="IQB5" s="79"/>
      <c r="IQC5" s="79"/>
      <c r="IQD5" s="79"/>
      <c r="IQE5" s="79"/>
      <c r="IQF5" s="79"/>
      <c r="IQG5" s="79"/>
      <c r="IQH5" s="79"/>
      <c r="IQI5" s="79"/>
      <c r="IQJ5" s="79"/>
      <c r="IQK5" s="79"/>
      <c r="IQL5" s="79"/>
      <c r="IQM5" s="79"/>
      <c r="IQN5" s="79"/>
      <c r="IQO5" s="79"/>
      <c r="IQP5" s="79"/>
      <c r="IQQ5" s="79"/>
      <c r="IQR5" s="79"/>
      <c r="IQS5" s="79"/>
      <c r="IQT5" s="79"/>
      <c r="IQU5" s="79"/>
      <c r="IQV5" s="79"/>
      <c r="IQW5" s="79"/>
      <c r="IQX5" s="79"/>
      <c r="IQY5" s="79"/>
      <c r="IQZ5" s="79"/>
      <c r="IRA5" s="79"/>
      <c r="IRB5" s="79"/>
      <c r="IRC5" s="79"/>
      <c r="IRD5" s="79"/>
      <c r="IRE5" s="79"/>
      <c r="IRF5" s="79"/>
      <c r="IRG5" s="79"/>
      <c r="IRH5" s="79"/>
      <c r="IRI5" s="79"/>
      <c r="IRJ5" s="79"/>
      <c r="IRK5" s="79"/>
      <c r="IRL5" s="79"/>
      <c r="IRM5" s="79"/>
      <c r="IRN5" s="79"/>
      <c r="IRO5" s="79"/>
      <c r="IRP5" s="79"/>
      <c r="IRQ5" s="79"/>
      <c r="IRR5" s="79"/>
      <c r="IRS5" s="79"/>
      <c r="IRT5" s="79"/>
      <c r="IRU5" s="79"/>
      <c r="IRV5" s="79"/>
      <c r="IRW5" s="79"/>
      <c r="IRX5" s="79"/>
      <c r="IRY5" s="79"/>
      <c r="IRZ5" s="79"/>
      <c r="ISA5" s="79"/>
      <c r="ISB5" s="79"/>
      <c r="ISC5" s="79"/>
      <c r="ISD5" s="79"/>
      <c r="ISE5" s="79"/>
      <c r="ISF5" s="79"/>
      <c r="ISG5" s="79"/>
      <c r="ISH5" s="79"/>
      <c r="ISI5" s="79"/>
      <c r="ISJ5" s="79"/>
      <c r="ISK5" s="79"/>
      <c r="ISL5" s="79"/>
      <c r="ISM5" s="79"/>
      <c r="ISN5" s="79"/>
      <c r="ISO5" s="79"/>
      <c r="ISP5" s="79"/>
      <c r="ISQ5" s="79"/>
      <c r="ISR5" s="79"/>
      <c r="ISS5" s="79"/>
      <c r="IST5" s="79"/>
      <c r="ISU5" s="79"/>
      <c r="ISV5" s="79"/>
      <c r="ISW5" s="79"/>
      <c r="ISX5" s="79"/>
      <c r="ISY5" s="79"/>
      <c r="ISZ5" s="79"/>
      <c r="ITA5" s="79"/>
      <c r="ITB5" s="79"/>
      <c r="ITC5" s="79"/>
      <c r="ITD5" s="79"/>
      <c r="ITE5" s="79"/>
      <c r="ITF5" s="79"/>
      <c r="ITG5" s="79"/>
      <c r="ITH5" s="79"/>
      <c r="ITI5" s="79"/>
      <c r="ITJ5" s="79"/>
      <c r="ITK5" s="79"/>
      <c r="ITL5" s="79"/>
      <c r="ITM5" s="79"/>
      <c r="ITN5" s="79"/>
      <c r="ITO5" s="79"/>
      <c r="ITP5" s="79"/>
      <c r="ITQ5" s="79"/>
      <c r="ITR5" s="79"/>
      <c r="ITS5" s="79"/>
      <c r="ITT5" s="79"/>
      <c r="ITU5" s="79"/>
      <c r="ITV5" s="79"/>
      <c r="ITW5" s="79"/>
      <c r="ITX5" s="79"/>
      <c r="ITY5" s="79"/>
      <c r="ITZ5" s="79"/>
      <c r="IUA5" s="79"/>
      <c r="IUB5" s="79"/>
      <c r="IUC5" s="79"/>
      <c r="IUD5" s="79"/>
      <c r="IUE5" s="79"/>
      <c r="IUF5" s="79"/>
      <c r="IUG5" s="79"/>
      <c r="IUH5" s="79"/>
      <c r="IUI5" s="79"/>
      <c r="IUJ5" s="79"/>
      <c r="IUK5" s="79"/>
      <c r="IUL5" s="79"/>
      <c r="IUM5" s="79"/>
      <c r="IUN5" s="79"/>
      <c r="IUO5" s="79"/>
      <c r="IUP5" s="79"/>
      <c r="IUQ5" s="79"/>
      <c r="IUR5" s="79"/>
      <c r="IUS5" s="79"/>
      <c r="IUT5" s="79"/>
      <c r="IUU5" s="79"/>
      <c r="IUV5" s="79"/>
      <c r="IUW5" s="79"/>
      <c r="IUX5" s="79"/>
      <c r="IUY5" s="79"/>
      <c r="IUZ5" s="79"/>
      <c r="IVA5" s="79"/>
      <c r="IVB5" s="79"/>
      <c r="IVC5" s="79"/>
      <c r="IVD5" s="79"/>
      <c r="IVE5" s="79"/>
      <c r="IVF5" s="79"/>
      <c r="IVG5" s="79"/>
      <c r="IVH5" s="79"/>
      <c r="IVI5" s="79"/>
      <c r="IVJ5" s="79"/>
      <c r="IVK5" s="79"/>
      <c r="IVL5" s="79"/>
      <c r="IVM5" s="79"/>
      <c r="IVN5" s="79"/>
      <c r="IVO5" s="79"/>
      <c r="IVP5" s="79"/>
      <c r="IVQ5" s="79"/>
      <c r="IVR5" s="79"/>
      <c r="IVS5" s="79"/>
      <c r="IVT5" s="79"/>
      <c r="IVU5" s="79"/>
      <c r="IVV5" s="79"/>
      <c r="IVW5" s="79"/>
      <c r="IVX5" s="79"/>
      <c r="IVY5" s="79"/>
      <c r="IVZ5" s="79"/>
      <c r="IWA5" s="79"/>
      <c r="IWB5" s="79"/>
      <c r="IWC5" s="79"/>
      <c r="IWD5" s="79"/>
      <c r="IWE5" s="79"/>
      <c r="IWF5" s="79"/>
      <c r="IWG5" s="79"/>
      <c r="IWH5" s="79"/>
      <c r="IWI5" s="79"/>
      <c r="IWJ5" s="79"/>
      <c r="IWK5" s="79"/>
      <c r="IWL5" s="79"/>
      <c r="IWM5" s="79"/>
      <c r="IWN5" s="79"/>
      <c r="IWO5" s="79"/>
      <c r="IWP5" s="79"/>
      <c r="IWQ5" s="79"/>
      <c r="IWR5" s="79"/>
      <c r="IWS5" s="79"/>
      <c r="IWT5" s="79"/>
      <c r="IWU5" s="79"/>
      <c r="IWV5" s="79"/>
      <c r="IWW5" s="79"/>
      <c r="IWX5" s="79"/>
      <c r="IWY5" s="79"/>
      <c r="IWZ5" s="79"/>
      <c r="IXA5" s="79"/>
      <c r="IXB5" s="79"/>
      <c r="IXC5" s="79"/>
      <c r="IXD5" s="79"/>
      <c r="IXE5" s="79"/>
      <c r="IXF5" s="79"/>
      <c r="IXG5" s="79"/>
      <c r="IXH5" s="79"/>
      <c r="IXI5" s="79"/>
      <c r="IXJ5" s="79"/>
      <c r="IXK5" s="79"/>
      <c r="IXL5" s="79"/>
      <c r="IXM5" s="79"/>
      <c r="IXN5" s="79"/>
      <c r="IXO5" s="79"/>
      <c r="IXP5" s="79"/>
      <c r="IXQ5" s="79"/>
      <c r="IXR5" s="79"/>
      <c r="IXS5" s="79"/>
      <c r="IXT5" s="79"/>
      <c r="IXU5" s="79"/>
      <c r="IXV5" s="79"/>
      <c r="IXW5" s="79"/>
      <c r="IXX5" s="79"/>
      <c r="IXY5" s="79"/>
      <c r="IXZ5" s="79"/>
      <c r="IYA5" s="79"/>
      <c r="IYB5" s="79"/>
      <c r="IYC5" s="79"/>
      <c r="IYD5" s="79"/>
      <c r="IYE5" s="79"/>
      <c r="IYF5" s="79"/>
      <c r="IYG5" s="79"/>
      <c r="IYH5" s="79"/>
      <c r="IYI5" s="79"/>
      <c r="IYJ5" s="79"/>
      <c r="IYK5" s="79"/>
      <c r="IYL5" s="79"/>
      <c r="IYM5" s="79"/>
      <c r="IYN5" s="79"/>
      <c r="IYO5" s="79"/>
      <c r="IYP5" s="79"/>
      <c r="IYQ5" s="79"/>
      <c r="IYR5" s="79"/>
      <c r="IYS5" s="79"/>
      <c r="IYT5" s="79"/>
      <c r="IYU5" s="79"/>
      <c r="IYV5" s="79"/>
      <c r="IYW5" s="79"/>
      <c r="IYX5" s="79"/>
      <c r="IYY5" s="79"/>
      <c r="IYZ5" s="79"/>
      <c r="IZA5" s="79"/>
      <c r="IZB5" s="79"/>
      <c r="IZC5" s="79"/>
      <c r="IZD5" s="79"/>
      <c r="IZE5" s="79"/>
      <c r="IZF5" s="79"/>
      <c r="IZG5" s="79"/>
      <c r="IZH5" s="79"/>
      <c r="IZI5" s="79"/>
      <c r="IZJ5" s="79"/>
      <c r="IZK5" s="79"/>
      <c r="IZL5" s="79"/>
      <c r="IZM5" s="79"/>
      <c r="IZN5" s="79"/>
      <c r="IZO5" s="79"/>
      <c r="IZP5" s="79"/>
      <c r="IZQ5" s="79"/>
      <c r="IZR5" s="79"/>
      <c r="IZS5" s="79"/>
      <c r="IZT5" s="79"/>
      <c r="IZU5" s="79"/>
      <c r="IZV5" s="79"/>
      <c r="IZW5" s="79"/>
      <c r="IZX5" s="79"/>
      <c r="IZY5" s="79"/>
      <c r="IZZ5" s="79"/>
      <c r="JAA5" s="79"/>
      <c r="JAB5" s="79"/>
      <c r="JAC5" s="79"/>
      <c r="JAD5" s="79"/>
      <c r="JAE5" s="79"/>
      <c r="JAF5" s="79"/>
      <c r="JAG5" s="79"/>
      <c r="JAH5" s="79"/>
      <c r="JAI5" s="79"/>
      <c r="JAJ5" s="79"/>
      <c r="JAK5" s="79"/>
      <c r="JAL5" s="79"/>
      <c r="JAM5" s="79"/>
      <c r="JAN5" s="79"/>
      <c r="JAO5" s="79"/>
      <c r="JAP5" s="79"/>
      <c r="JAQ5" s="79"/>
      <c r="JAR5" s="79"/>
      <c r="JAS5" s="79"/>
      <c r="JAT5" s="79"/>
      <c r="JAU5" s="79"/>
      <c r="JAV5" s="79"/>
      <c r="JAW5" s="79"/>
      <c r="JAX5" s="79"/>
      <c r="JAY5" s="79"/>
      <c r="JAZ5" s="79"/>
      <c r="JBA5" s="79"/>
      <c r="JBB5" s="79"/>
      <c r="JBC5" s="79"/>
      <c r="JBD5" s="79"/>
      <c r="JBE5" s="79"/>
      <c r="JBF5" s="79"/>
      <c r="JBG5" s="79"/>
      <c r="JBH5" s="79"/>
      <c r="JBI5" s="79"/>
      <c r="JBJ5" s="79"/>
      <c r="JBK5" s="79"/>
      <c r="JBL5" s="79"/>
      <c r="JBM5" s="79"/>
      <c r="JBN5" s="79"/>
      <c r="JBO5" s="79"/>
      <c r="JBP5" s="79"/>
      <c r="JBQ5" s="79"/>
      <c r="JBR5" s="79"/>
      <c r="JBS5" s="79"/>
      <c r="JBT5" s="79"/>
      <c r="JBU5" s="79"/>
      <c r="JBV5" s="79"/>
      <c r="JBW5" s="79"/>
      <c r="JBX5" s="79"/>
      <c r="JBY5" s="79"/>
      <c r="JBZ5" s="79"/>
      <c r="JCA5" s="79"/>
      <c r="JCB5" s="79"/>
      <c r="JCC5" s="79"/>
      <c r="JCD5" s="79"/>
      <c r="JCE5" s="79"/>
      <c r="JCF5" s="79"/>
      <c r="JCG5" s="79"/>
      <c r="JCH5" s="79"/>
      <c r="JCI5" s="79"/>
      <c r="JCJ5" s="79"/>
      <c r="JCK5" s="79"/>
      <c r="JCL5" s="79"/>
      <c r="JCM5" s="79"/>
      <c r="JCN5" s="79"/>
      <c r="JCO5" s="79"/>
      <c r="JCP5" s="79"/>
      <c r="JCQ5" s="79"/>
      <c r="JCR5" s="79"/>
      <c r="JCS5" s="79"/>
      <c r="JCT5" s="79"/>
      <c r="JCU5" s="79"/>
      <c r="JCV5" s="79"/>
      <c r="JCW5" s="79"/>
      <c r="JCX5" s="79"/>
      <c r="JCY5" s="79"/>
      <c r="JCZ5" s="79"/>
      <c r="JDA5" s="79"/>
      <c r="JDB5" s="79"/>
      <c r="JDC5" s="79"/>
      <c r="JDD5" s="79"/>
      <c r="JDE5" s="79"/>
      <c r="JDF5" s="79"/>
      <c r="JDG5" s="79"/>
      <c r="JDH5" s="79"/>
      <c r="JDI5" s="79"/>
      <c r="JDJ5" s="79"/>
      <c r="JDK5" s="79"/>
      <c r="JDL5" s="79"/>
      <c r="JDM5" s="79"/>
      <c r="JDN5" s="79"/>
      <c r="JDO5" s="79"/>
      <c r="JDP5" s="79"/>
      <c r="JDQ5" s="79"/>
      <c r="JDR5" s="79"/>
      <c r="JDS5" s="79"/>
      <c r="JDT5" s="79"/>
      <c r="JDU5" s="79"/>
      <c r="JDV5" s="79"/>
      <c r="JDW5" s="79"/>
      <c r="JDX5" s="79"/>
      <c r="JDY5" s="79"/>
      <c r="JDZ5" s="79"/>
      <c r="JEA5" s="79"/>
      <c r="JEB5" s="79"/>
      <c r="JEC5" s="79"/>
      <c r="JED5" s="79"/>
      <c r="JEE5" s="79"/>
      <c r="JEF5" s="79"/>
      <c r="JEG5" s="79"/>
      <c r="JEH5" s="79"/>
      <c r="JEI5" s="79"/>
      <c r="JEJ5" s="79"/>
      <c r="JEK5" s="79"/>
      <c r="JEL5" s="79"/>
      <c r="JEM5" s="79"/>
      <c r="JEN5" s="79"/>
      <c r="JEO5" s="79"/>
      <c r="JEP5" s="79"/>
      <c r="JEQ5" s="79"/>
      <c r="JER5" s="79"/>
      <c r="JES5" s="79"/>
      <c r="JET5" s="79"/>
      <c r="JEU5" s="79"/>
      <c r="JEV5" s="79"/>
      <c r="JEW5" s="79"/>
      <c r="JEX5" s="79"/>
      <c r="JEY5" s="79"/>
      <c r="JEZ5" s="79"/>
      <c r="JFA5" s="79"/>
      <c r="JFB5" s="79"/>
      <c r="JFC5" s="79"/>
      <c r="JFD5" s="79"/>
      <c r="JFE5" s="79"/>
      <c r="JFF5" s="79"/>
      <c r="JFG5" s="79"/>
      <c r="JFH5" s="79"/>
      <c r="JFI5" s="79"/>
      <c r="JFJ5" s="79"/>
      <c r="JFK5" s="79"/>
      <c r="JFL5" s="79"/>
      <c r="JFM5" s="79"/>
      <c r="JFN5" s="79"/>
      <c r="JFO5" s="79"/>
      <c r="JFP5" s="79"/>
      <c r="JFQ5" s="79"/>
      <c r="JFR5" s="79"/>
      <c r="JFS5" s="79"/>
      <c r="JFT5" s="79"/>
      <c r="JFU5" s="79"/>
      <c r="JFV5" s="79"/>
      <c r="JFW5" s="79"/>
      <c r="JFX5" s="79"/>
      <c r="JFY5" s="79"/>
      <c r="JFZ5" s="79"/>
      <c r="JGA5" s="79"/>
      <c r="JGB5" s="79"/>
      <c r="JGC5" s="79"/>
      <c r="JGD5" s="79"/>
      <c r="JGE5" s="79"/>
      <c r="JGF5" s="79"/>
      <c r="JGG5" s="79"/>
      <c r="JGH5" s="79"/>
      <c r="JGI5" s="79"/>
      <c r="JGJ5" s="79"/>
      <c r="JGK5" s="79"/>
      <c r="JGL5" s="79"/>
      <c r="JGM5" s="79"/>
      <c r="JGN5" s="79"/>
      <c r="JGO5" s="79"/>
      <c r="JGP5" s="79"/>
      <c r="JGQ5" s="79"/>
      <c r="JGR5" s="79"/>
      <c r="JGS5" s="79"/>
      <c r="JGT5" s="79"/>
      <c r="JGU5" s="79"/>
      <c r="JGV5" s="79"/>
      <c r="JGW5" s="79"/>
      <c r="JGX5" s="79"/>
      <c r="JGY5" s="79"/>
      <c r="JGZ5" s="79"/>
      <c r="JHA5" s="79"/>
      <c r="JHB5" s="79"/>
      <c r="JHC5" s="79"/>
      <c r="JHD5" s="79"/>
      <c r="JHE5" s="79"/>
      <c r="JHF5" s="79"/>
      <c r="JHG5" s="79"/>
      <c r="JHH5" s="79"/>
      <c r="JHI5" s="79"/>
      <c r="JHJ5" s="79"/>
      <c r="JHK5" s="79"/>
      <c r="JHL5" s="79"/>
      <c r="JHM5" s="79"/>
      <c r="JHN5" s="79"/>
      <c r="JHO5" s="79"/>
      <c r="JHP5" s="79"/>
      <c r="JHQ5" s="79"/>
      <c r="JHR5" s="79"/>
      <c r="JHS5" s="79"/>
      <c r="JHT5" s="79"/>
      <c r="JHU5" s="79"/>
      <c r="JHV5" s="79"/>
      <c r="JHW5" s="79"/>
      <c r="JHX5" s="79"/>
      <c r="JHY5" s="79"/>
      <c r="JHZ5" s="79"/>
      <c r="JIA5" s="79"/>
      <c r="JIB5" s="79"/>
      <c r="JIC5" s="79"/>
      <c r="JID5" s="79"/>
      <c r="JIE5" s="79"/>
      <c r="JIF5" s="79"/>
      <c r="JIG5" s="79"/>
      <c r="JIH5" s="79"/>
      <c r="JII5" s="79"/>
      <c r="JIJ5" s="79"/>
      <c r="JIK5" s="79"/>
      <c r="JIL5" s="79"/>
      <c r="JIM5" s="79"/>
      <c r="JIN5" s="79"/>
      <c r="JIO5" s="79"/>
      <c r="JIP5" s="79"/>
      <c r="JIQ5" s="79"/>
      <c r="JIR5" s="79"/>
      <c r="JIS5" s="79"/>
      <c r="JIT5" s="79"/>
      <c r="JIU5" s="79"/>
      <c r="JIV5" s="79"/>
      <c r="JIW5" s="79"/>
      <c r="JIX5" s="79"/>
      <c r="JIY5" s="79"/>
      <c r="JIZ5" s="79"/>
      <c r="JJA5" s="79"/>
      <c r="JJB5" s="79"/>
      <c r="JJC5" s="79"/>
      <c r="JJD5" s="79"/>
      <c r="JJE5" s="79"/>
      <c r="JJF5" s="79"/>
      <c r="JJG5" s="79"/>
      <c r="JJH5" s="79"/>
      <c r="JJI5" s="79"/>
      <c r="JJJ5" s="79"/>
      <c r="JJK5" s="79"/>
      <c r="JJL5" s="79"/>
      <c r="JJM5" s="79"/>
      <c r="JJN5" s="79"/>
      <c r="JJO5" s="79"/>
      <c r="JJP5" s="79"/>
      <c r="JJQ5" s="79"/>
      <c r="JJR5" s="79"/>
      <c r="JJS5" s="79"/>
      <c r="JJT5" s="79"/>
      <c r="JJU5" s="79"/>
      <c r="JJV5" s="79"/>
      <c r="JJW5" s="79"/>
      <c r="JJX5" s="79"/>
      <c r="JJY5" s="79"/>
      <c r="JJZ5" s="79"/>
      <c r="JKA5" s="79"/>
      <c r="JKB5" s="79"/>
      <c r="JKC5" s="79"/>
      <c r="JKD5" s="79"/>
      <c r="JKE5" s="79"/>
      <c r="JKF5" s="79"/>
      <c r="JKG5" s="79"/>
      <c r="JKH5" s="79"/>
      <c r="JKI5" s="79"/>
      <c r="JKJ5" s="79"/>
      <c r="JKK5" s="79"/>
      <c r="JKL5" s="79"/>
      <c r="JKM5" s="79"/>
      <c r="JKN5" s="79"/>
      <c r="JKO5" s="79"/>
      <c r="JKP5" s="79"/>
      <c r="JKQ5" s="79"/>
      <c r="JKR5" s="79"/>
      <c r="JKS5" s="79"/>
      <c r="JKT5" s="79"/>
      <c r="JKU5" s="79"/>
      <c r="JKV5" s="79"/>
      <c r="JKW5" s="79"/>
      <c r="JKX5" s="79"/>
      <c r="JKY5" s="79"/>
      <c r="JKZ5" s="79"/>
      <c r="JLA5" s="79"/>
      <c r="JLB5" s="79"/>
      <c r="JLC5" s="79"/>
      <c r="JLD5" s="79"/>
      <c r="JLE5" s="79"/>
      <c r="JLF5" s="79"/>
      <c r="JLG5" s="79"/>
      <c r="JLH5" s="79"/>
      <c r="JLI5" s="79"/>
      <c r="JLJ5" s="79"/>
      <c r="JLK5" s="79"/>
      <c r="JLL5" s="79"/>
      <c r="JLM5" s="79"/>
      <c r="JLN5" s="79"/>
      <c r="JLO5" s="79"/>
      <c r="JLP5" s="79"/>
      <c r="JLQ5" s="79"/>
      <c r="JLR5" s="79"/>
      <c r="JLS5" s="79"/>
      <c r="JLT5" s="79"/>
      <c r="JLU5" s="79"/>
      <c r="JLV5" s="79"/>
      <c r="JLW5" s="79"/>
      <c r="JLX5" s="79"/>
      <c r="JLY5" s="79"/>
      <c r="JLZ5" s="79"/>
      <c r="JMA5" s="79"/>
      <c r="JMB5" s="79"/>
      <c r="JMC5" s="79"/>
      <c r="JMD5" s="79"/>
      <c r="JME5" s="79"/>
      <c r="JMF5" s="79"/>
      <c r="JMG5" s="79"/>
      <c r="JMH5" s="79"/>
      <c r="JMI5" s="79"/>
      <c r="JMJ5" s="79"/>
      <c r="JMK5" s="79"/>
      <c r="JML5" s="79"/>
      <c r="JMM5" s="79"/>
      <c r="JMN5" s="79"/>
      <c r="JMO5" s="79"/>
      <c r="JMP5" s="79"/>
      <c r="JMQ5" s="79"/>
      <c r="JMR5" s="79"/>
      <c r="JMS5" s="79"/>
      <c r="JMT5" s="79"/>
      <c r="JMU5" s="79"/>
      <c r="JMV5" s="79"/>
      <c r="JMW5" s="79"/>
      <c r="JMX5" s="79"/>
      <c r="JMY5" s="79"/>
      <c r="JMZ5" s="79"/>
      <c r="JNA5" s="79"/>
      <c r="JNB5" s="79"/>
      <c r="JNC5" s="79"/>
      <c r="JND5" s="79"/>
      <c r="JNE5" s="79"/>
      <c r="JNF5" s="79"/>
      <c r="JNG5" s="79"/>
      <c r="JNH5" s="79"/>
      <c r="JNI5" s="79"/>
      <c r="JNJ5" s="79"/>
      <c r="JNK5" s="79"/>
      <c r="JNL5" s="79"/>
      <c r="JNM5" s="79"/>
      <c r="JNN5" s="79"/>
      <c r="JNO5" s="79"/>
      <c r="JNP5" s="79"/>
      <c r="JNQ5" s="79"/>
      <c r="JNR5" s="79"/>
      <c r="JNS5" s="79"/>
      <c r="JNT5" s="79"/>
      <c r="JNU5" s="79"/>
      <c r="JNV5" s="79"/>
      <c r="JNW5" s="79"/>
      <c r="JNX5" s="79"/>
      <c r="JNY5" s="79"/>
      <c r="JNZ5" s="79"/>
      <c r="JOA5" s="79"/>
      <c r="JOB5" s="79"/>
      <c r="JOC5" s="79"/>
      <c r="JOD5" s="79"/>
      <c r="JOE5" s="79"/>
      <c r="JOF5" s="79"/>
      <c r="JOG5" s="79"/>
      <c r="JOH5" s="79"/>
      <c r="JOI5" s="79"/>
      <c r="JOJ5" s="79"/>
      <c r="JOK5" s="79"/>
      <c r="JOL5" s="79"/>
      <c r="JOM5" s="79"/>
      <c r="JON5" s="79"/>
      <c r="JOO5" s="79"/>
      <c r="JOP5" s="79"/>
      <c r="JOQ5" s="79"/>
      <c r="JOR5" s="79"/>
      <c r="JOS5" s="79"/>
      <c r="JOT5" s="79"/>
      <c r="JOU5" s="79"/>
      <c r="JOV5" s="79"/>
      <c r="JOW5" s="79"/>
      <c r="JOX5" s="79"/>
      <c r="JOY5" s="79"/>
      <c r="JOZ5" s="79"/>
      <c r="JPA5" s="79"/>
      <c r="JPB5" s="79"/>
      <c r="JPC5" s="79"/>
      <c r="JPD5" s="79"/>
      <c r="JPE5" s="79"/>
      <c r="JPF5" s="79"/>
      <c r="JPG5" s="79"/>
      <c r="JPH5" s="79"/>
      <c r="JPI5" s="79"/>
      <c r="JPJ5" s="79"/>
      <c r="JPK5" s="79"/>
      <c r="JPL5" s="79"/>
      <c r="JPM5" s="79"/>
      <c r="JPN5" s="79"/>
      <c r="JPO5" s="79"/>
      <c r="JPP5" s="79"/>
      <c r="JPQ5" s="79"/>
      <c r="JPR5" s="79"/>
      <c r="JPS5" s="79"/>
      <c r="JPT5" s="79"/>
      <c r="JPU5" s="79"/>
      <c r="JPV5" s="79"/>
      <c r="JPW5" s="79"/>
      <c r="JPX5" s="79"/>
      <c r="JPY5" s="79"/>
      <c r="JPZ5" s="79"/>
      <c r="JQA5" s="79"/>
      <c r="JQB5" s="79"/>
      <c r="JQC5" s="79"/>
      <c r="JQD5" s="79"/>
      <c r="JQE5" s="79"/>
      <c r="JQF5" s="79"/>
      <c r="JQG5" s="79"/>
      <c r="JQH5" s="79"/>
      <c r="JQI5" s="79"/>
      <c r="JQJ5" s="79"/>
      <c r="JQK5" s="79"/>
      <c r="JQL5" s="79"/>
      <c r="JQM5" s="79"/>
      <c r="JQN5" s="79"/>
      <c r="JQO5" s="79"/>
      <c r="JQP5" s="79"/>
      <c r="JQQ5" s="79"/>
      <c r="JQR5" s="79"/>
      <c r="JQS5" s="79"/>
      <c r="JQT5" s="79"/>
      <c r="JQU5" s="79"/>
      <c r="JQV5" s="79"/>
      <c r="JQW5" s="79"/>
      <c r="JQX5" s="79"/>
      <c r="JQY5" s="79"/>
      <c r="JQZ5" s="79"/>
      <c r="JRA5" s="79"/>
      <c r="JRB5" s="79"/>
      <c r="JRC5" s="79"/>
      <c r="JRD5" s="79"/>
      <c r="JRE5" s="79"/>
      <c r="JRF5" s="79"/>
      <c r="JRG5" s="79"/>
      <c r="JRH5" s="79"/>
      <c r="JRI5" s="79"/>
      <c r="JRJ5" s="79"/>
      <c r="JRK5" s="79"/>
      <c r="JRL5" s="79"/>
      <c r="JRM5" s="79"/>
      <c r="JRN5" s="79"/>
      <c r="JRO5" s="79"/>
      <c r="JRP5" s="79"/>
      <c r="JRQ5" s="79"/>
      <c r="JRR5" s="79"/>
      <c r="JRS5" s="79"/>
      <c r="JRT5" s="79"/>
      <c r="JRU5" s="79"/>
      <c r="JRV5" s="79"/>
      <c r="JRW5" s="79"/>
      <c r="JRX5" s="79"/>
      <c r="JRY5" s="79"/>
      <c r="JRZ5" s="79"/>
      <c r="JSA5" s="79"/>
      <c r="JSB5" s="79"/>
      <c r="JSC5" s="79"/>
      <c r="JSD5" s="79"/>
      <c r="JSE5" s="79"/>
      <c r="JSF5" s="79"/>
      <c r="JSG5" s="79"/>
      <c r="JSH5" s="79"/>
      <c r="JSI5" s="79"/>
      <c r="JSJ5" s="79"/>
      <c r="JSK5" s="79"/>
      <c r="JSL5" s="79"/>
      <c r="JSM5" s="79"/>
      <c r="JSN5" s="79"/>
      <c r="JSO5" s="79"/>
      <c r="JSP5" s="79"/>
      <c r="JSQ5" s="79"/>
      <c r="JSR5" s="79"/>
      <c r="JSS5" s="79"/>
      <c r="JST5" s="79"/>
      <c r="JSU5" s="79"/>
      <c r="JSV5" s="79"/>
      <c r="JSW5" s="79"/>
      <c r="JSX5" s="79"/>
      <c r="JSY5" s="79"/>
      <c r="JSZ5" s="79"/>
      <c r="JTA5" s="79"/>
      <c r="JTB5" s="79"/>
      <c r="JTC5" s="79"/>
      <c r="JTD5" s="79"/>
      <c r="JTE5" s="79"/>
      <c r="JTF5" s="79"/>
      <c r="JTG5" s="79"/>
      <c r="JTH5" s="79"/>
      <c r="JTI5" s="79"/>
      <c r="JTJ5" s="79"/>
      <c r="JTK5" s="79"/>
      <c r="JTL5" s="79"/>
      <c r="JTM5" s="79"/>
      <c r="JTN5" s="79"/>
      <c r="JTO5" s="79"/>
      <c r="JTP5" s="79"/>
      <c r="JTQ5" s="79"/>
      <c r="JTR5" s="79"/>
      <c r="JTS5" s="79"/>
      <c r="JTT5" s="79"/>
      <c r="JTU5" s="79"/>
      <c r="JTV5" s="79"/>
      <c r="JTW5" s="79"/>
      <c r="JTX5" s="79"/>
      <c r="JTY5" s="79"/>
      <c r="JTZ5" s="79"/>
      <c r="JUA5" s="79"/>
      <c r="JUB5" s="79"/>
      <c r="JUC5" s="79"/>
      <c r="JUD5" s="79"/>
      <c r="JUE5" s="79"/>
      <c r="JUF5" s="79"/>
      <c r="JUG5" s="79"/>
      <c r="JUH5" s="79"/>
      <c r="JUI5" s="79"/>
      <c r="JUJ5" s="79"/>
      <c r="JUK5" s="79"/>
      <c r="JUL5" s="79"/>
      <c r="JUM5" s="79"/>
      <c r="JUN5" s="79"/>
      <c r="JUO5" s="79"/>
      <c r="JUP5" s="79"/>
      <c r="JUQ5" s="79"/>
      <c r="JUR5" s="79"/>
      <c r="JUS5" s="79"/>
      <c r="JUT5" s="79"/>
      <c r="JUU5" s="79"/>
      <c r="JUV5" s="79"/>
      <c r="JUW5" s="79"/>
      <c r="JUX5" s="79"/>
      <c r="JUY5" s="79"/>
      <c r="JUZ5" s="79"/>
      <c r="JVA5" s="79"/>
      <c r="JVB5" s="79"/>
      <c r="JVC5" s="79"/>
      <c r="JVD5" s="79"/>
      <c r="JVE5" s="79"/>
      <c r="JVF5" s="79"/>
      <c r="JVG5" s="79"/>
      <c r="JVH5" s="79"/>
      <c r="JVI5" s="79"/>
      <c r="JVJ5" s="79"/>
      <c r="JVK5" s="79"/>
      <c r="JVL5" s="79"/>
      <c r="JVM5" s="79"/>
      <c r="JVN5" s="79"/>
      <c r="JVO5" s="79"/>
      <c r="JVP5" s="79"/>
      <c r="JVQ5" s="79"/>
      <c r="JVR5" s="79"/>
      <c r="JVS5" s="79"/>
      <c r="JVT5" s="79"/>
      <c r="JVU5" s="79"/>
      <c r="JVV5" s="79"/>
      <c r="JVW5" s="79"/>
      <c r="JVX5" s="79"/>
      <c r="JVY5" s="79"/>
      <c r="JVZ5" s="79"/>
      <c r="JWA5" s="79"/>
      <c r="JWB5" s="79"/>
      <c r="JWC5" s="79"/>
      <c r="JWD5" s="79"/>
      <c r="JWE5" s="79"/>
      <c r="JWF5" s="79"/>
      <c r="JWG5" s="79"/>
      <c r="JWH5" s="79"/>
      <c r="JWI5" s="79"/>
      <c r="JWJ5" s="79"/>
      <c r="JWK5" s="79"/>
      <c r="JWL5" s="79"/>
      <c r="JWM5" s="79"/>
      <c r="JWN5" s="79"/>
      <c r="JWO5" s="79"/>
      <c r="JWP5" s="79"/>
      <c r="JWQ5" s="79"/>
      <c r="JWR5" s="79"/>
      <c r="JWS5" s="79"/>
      <c r="JWT5" s="79"/>
      <c r="JWU5" s="79"/>
      <c r="JWV5" s="79"/>
      <c r="JWW5" s="79"/>
      <c r="JWX5" s="79"/>
      <c r="JWY5" s="79"/>
      <c r="JWZ5" s="79"/>
      <c r="JXA5" s="79"/>
      <c r="JXB5" s="79"/>
      <c r="JXC5" s="79"/>
      <c r="JXD5" s="79"/>
      <c r="JXE5" s="79"/>
      <c r="JXF5" s="79"/>
      <c r="JXG5" s="79"/>
      <c r="JXH5" s="79"/>
      <c r="JXI5" s="79"/>
      <c r="JXJ5" s="79"/>
      <c r="JXK5" s="79"/>
      <c r="JXL5" s="79"/>
      <c r="JXM5" s="79"/>
      <c r="JXN5" s="79"/>
      <c r="JXO5" s="79"/>
      <c r="JXP5" s="79"/>
      <c r="JXQ5" s="79"/>
      <c r="JXR5" s="79"/>
      <c r="JXS5" s="79"/>
      <c r="JXT5" s="79"/>
      <c r="JXU5" s="79"/>
      <c r="JXV5" s="79"/>
      <c r="JXW5" s="79"/>
      <c r="JXX5" s="79"/>
      <c r="JXY5" s="79"/>
      <c r="JXZ5" s="79"/>
      <c r="JYA5" s="79"/>
      <c r="JYB5" s="79"/>
      <c r="JYC5" s="79"/>
      <c r="JYD5" s="79"/>
      <c r="JYE5" s="79"/>
      <c r="JYF5" s="79"/>
      <c r="JYG5" s="79"/>
      <c r="JYH5" s="79"/>
      <c r="JYI5" s="79"/>
      <c r="JYJ5" s="79"/>
      <c r="JYK5" s="79"/>
      <c r="JYL5" s="79"/>
      <c r="JYM5" s="79"/>
      <c r="JYN5" s="79"/>
      <c r="JYO5" s="79"/>
      <c r="JYP5" s="79"/>
      <c r="JYQ5" s="79"/>
      <c r="JYR5" s="79"/>
      <c r="JYS5" s="79"/>
      <c r="JYT5" s="79"/>
      <c r="JYU5" s="79"/>
      <c r="JYV5" s="79"/>
      <c r="JYW5" s="79"/>
      <c r="JYX5" s="79"/>
      <c r="JYY5" s="79"/>
      <c r="JYZ5" s="79"/>
      <c r="JZA5" s="79"/>
      <c r="JZB5" s="79"/>
      <c r="JZC5" s="79"/>
      <c r="JZD5" s="79"/>
      <c r="JZE5" s="79"/>
      <c r="JZF5" s="79"/>
      <c r="JZG5" s="79"/>
      <c r="JZH5" s="79"/>
      <c r="JZI5" s="79"/>
      <c r="JZJ5" s="79"/>
      <c r="JZK5" s="79"/>
      <c r="JZL5" s="79"/>
      <c r="JZM5" s="79"/>
      <c r="JZN5" s="79"/>
      <c r="JZO5" s="79"/>
      <c r="JZP5" s="79"/>
      <c r="JZQ5" s="79"/>
      <c r="JZR5" s="79"/>
      <c r="JZS5" s="79"/>
      <c r="JZT5" s="79"/>
      <c r="JZU5" s="79"/>
      <c r="JZV5" s="79"/>
      <c r="JZW5" s="79"/>
      <c r="JZX5" s="79"/>
      <c r="JZY5" s="79"/>
      <c r="JZZ5" s="79"/>
      <c r="KAA5" s="79"/>
      <c r="KAB5" s="79"/>
      <c r="KAC5" s="79"/>
      <c r="KAD5" s="79"/>
      <c r="KAE5" s="79"/>
      <c r="KAF5" s="79"/>
      <c r="KAG5" s="79"/>
      <c r="KAH5" s="79"/>
      <c r="KAI5" s="79"/>
      <c r="KAJ5" s="79"/>
      <c r="KAK5" s="79"/>
      <c r="KAL5" s="79"/>
      <c r="KAM5" s="79"/>
      <c r="KAN5" s="79"/>
      <c r="KAO5" s="79"/>
      <c r="KAP5" s="79"/>
      <c r="KAQ5" s="79"/>
      <c r="KAR5" s="79"/>
      <c r="KAS5" s="79"/>
      <c r="KAT5" s="79"/>
      <c r="KAU5" s="79"/>
      <c r="KAV5" s="79"/>
      <c r="KAW5" s="79"/>
      <c r="KAX5" s="79"/>
      <c r="KAY5" s="79"/>
      <c r="KAZ5" s="79"/>
      <c r="KBA5" s="79"/>
      <c r="KBB5" s="79"/>
      <c r="KBC5" s="79"/>
      <c r="KBD5" s="79"/>
      <c r="KBE5" s="79"/>
      <c r="KBF5" s="79"/>
      <c r="KBG5" s="79"/>
      <c r="KBH5" s="79"/>
      <c r="KBI5" s="79"/>
      <c r="KBJ5" s="79"/>
      <c r="KBK5" s="79"/>
      <c r="KBL5" s="79"/>
      <c r="KBM5" s="79"/>
      <c r="KBN5" s="79"/>
      <c r="KBO5" s="79"/>
      <c r="KBP5" s="79"/>
      <c r="KBQ5" s="79"/>
      <c r="KBR5" s="79"/>
      <c r="KBS5" s="79"/>
      <c r="KBT5" s="79"/>
      <c r="KBU5" s="79"/>
      <c r="KBV5" s="79"/>
      <c r="KBW5" s="79"/>
      <c r="KBX5" s="79"/>
      <c r="KBY5" s="79"/>
      <c r="KBZ5" s="79"/>
      <c r="KCA5" s="79"/>
      <c r="KCB5" s="79"/>
      <c r="KCC5" s="79"/>
      <c r="KCD5" s="79"/>
      <c r="KCE5" s="79"/>
      <c r="KCF5" s="79"/>
      <c r="KCG5" s="79"/>
      <c r="KCH5" s="79"/>
      <c r="KCI5" s="79"/>
      <c r="KCJ5" s="79"/>
      <c r="KCK5" s="79"/>
      <c r="KCL5" s="79"/>
      <c r="KCM5" s="79"/>
      <c r="KCN5" s="79"/>
      <c r="KCO5" s="79"/>
      <c r="KCP5" s="79"/>
      <c r="KCQ5" s="79"/>
      <c r="KCR5" s="79"/>
      <c r="KCS5" s="79"/>
      <c r="KCT5" s="79"/>
      <c r="KCU5" s="79"/>
      <c r="KCV5" s="79"/>
      <c r="KCW5" s="79"/>
      <c r="KCX5" s="79"/>
      <c r="KCY5" s="79"/>
      <c r="KCZ5" s="79"/>
      <c r="KDA5" s="79"/>
      <c r="KDB5" s="79"/>
      <c r="KDC5" s="79"/>
      <c r="KDD5" s="79"/>
      <c r="KDE5" s="79"/>
      <c r="KDF5" s="79"/>
      <c r="KDG5" s="79"/>
      <c r="KDH5" s="79"/>
      <c r="KDI5" s="79"/>
      <c r="KDJ5" s="79"/>
      <c r="KDK5" s="79"/>
      <c r="KDL5" s="79"/>
      <c r="KDM5" s="79"/>
      <c r="KDN5" s="79"/>
      <c r="KDO5" s="79"/>
      <c r="KDP5" s="79"/>
      <c r="KDQ5" s="79"/>
      <c r="KDR5" s="79"/>
      <c r="KDS5" s="79"/>
      <c r="KDT5" s="79"/>
      <c r="KDU5" s="79"/>
      <c r="KDV5" s="79"/>
      <c r="KDW5" s="79"/>
      <c r="KDX5" s="79"/>
      <c r="KDY5" s="79"/>
      <c r="KDZ5" s="79"/>
      <c r="KEA5" s="79"/>
      <c r="KEB5" s="79"/>
      <c r="KEC5" s="79"/>
      <c r="KED5" s="79"/>
      <c r="KEE5" s="79"/>
      <c r="KEF5" s="79"/>
      <c r="KEG5" s="79"/>
      <c r="KEH5" s="79"/>
      <c r="KEI5" s="79"/>
      <c r="KEJ5" s="79"/>
      <c r="KEK5" s="79"/>
      <c r="KEL5" s="79"/>
      <c r="KEM5" s="79"/>
      <c r="KEN5" s="79"/>
      <c r="KEO5" s="79"/>
      <c r="KEP5" s="79"/>
      <c r="KEQ5" s="79"/>
      <c r="KER5" s="79"/>
      <c r="KES5" s="79"/>
      <c r="KET5" s="79"/>
      <c r="KEU5" s="79"/>
      <c r="KEV5" s="79"/>
      <c r="KEW5" s="79"/>
      <c r="KEX5" s="79"/>
      <c r="KEY5" s="79"/>
      <c r="KEZ5" s="79"/>
      <c r="KFA5" s="79"/>
      <c r="KFB5" s="79"/>
      <c r="KFC5" s="79"/>
      <c r="KFD5" s="79"/>
      <c r="KFE5" s="79"/>
      <c r="KFF5" s="79"/>
      <c r="KFG5" s="79"/>
      <c r="KFH5" s="79"/>
      <c r="KFI5" s="79"/>
      <c r="KFJ5" s="79"/>
      <c r="KFK5" s="79"/>
      <c r="KFL5" s="79"/>
      <c r="KFM5" s="79"/>
      <c r="KFN5" s="79"/>
      <c r="KFO5" s="79"/>
      <c r="KFP5" s="79"/>
      <c r="KFQ5" s="79"/>
      <c r="KFR5" s="79"/>
      <c r="KFS5" s="79"/>
      <c r="KFT5" s="79"/>
      <c r="KFU5" s="79"/>
      <c r="KFV5" s="79"/>
      <c r="KFW5" s="79"/>
      <c r="KFX5" s="79"/>
      <c r="KFY5" s="79"/>
      <c r="KFZ5" s="79"/>
      <c r="KGA5" s="79"/>
      <c r="KGB5" s="79"/>
      <c r="KGC5" s="79"/>
      <c r="KGD5" s="79"/>
      <c r="KGE5" s="79"/>
      <c r="KGF5" s="79"/>
      <c r="KGG5" s="79"/>
      <c r="KGH5" s="79"/>
      <c r="KGI5" s="79"/>
      <c r="KGJ5" s="79"/>
      <c r="KGK5" s="79"/>
      <c r="KGL5" s="79"/>
      <c r="KGM5" s="79"/>
      <c r="KGN5" s="79"/>
      <c r="KGO5" s="79"/>
      <c r="KGP5" s="79"/>
      <c r="KGQ5" s="79"/>
      <c r="KGR5" s="79"/>
      <c r="KGS5" s="79"/>
      <c r="KGT5" s="79"/>
      <c r="KGU5" s="79"/>
      <c r="KGV5" s="79"/>
      <c r="KGW5" s="79"/>
      <c r="KGX5" s="79"/>
      <c r="KGY5" s="79"/>
      <c r="KGZ5" s="79"/>
      <c r="KHA5" s="79"/>
      <c r="KHB5" s="79"/>
      <c r="KHC5" s="79"/>
      <c r="KHD5" s="79"/>
      <c r="KHE5" s="79"/>
      <c r="KHF5" s="79"/>
      <c r="KHG5" s="79"/>
      <c r="KHH5" s="79"/>
      <c r="KHI5" s="79"/>
      <c r="KHJ5" s="79"/>
      <c r="KHK5" s="79"/>
      <c r="KHL5" s="79"/>
      <c r="KHM5" s="79"/>
      <c r="KHN5" s="79"/>
      <c r="KHO5" s="79"/>
      <c r="KHP5" s="79"/>
      <c r="KHQ5" s="79"/>
      <c r="KHR5" s="79"/>
      <c r="KHS5" s="79"/>
      <c r="KHT5" s="79"/>
      <c r="KHU5" s="79"/>
      <c r="KHV5" s="79"/>
      <c r="KHW5" s="79"/>
      <c r="KHX5" s="79"/>
      <c r="KHY5" s="79"/>
      <c r="KHZ5" s="79"/>
      <c r="KIA5" s="79"/>
      <c r="KIB5" s="79"/>
      <c r="KIC5" s="79"/>
      <c r="KID5" s="79"/>
      <c r="KIE5" s="79"/>
      <c r="KIF5" s="79"/>
      <c r="KIG5" s="79"/>
      <c r="KIH5" s="79"/>
      <c r="KII5" s="79"/>
      <c r="KIJ5" s="79"/>
      <c r="KIK5" s="79"/>
      <c r="KIL5" s="79"/>
      <c r="KIM5" s="79"/>
      <c r="KIN5" s="79"/>
      <c r="KIO5" s="79"/>
      <c r="KIP5" s="79"/>
      <c r="KIQ5" s="79"/>
      <c r="KIR5" s="79"/>
      <c r="KIS5" s="79"/>
      <c r="KIT5" s="79"/>
      <c r="KIU5" s="79"/>
      <c r="KIV5" s="79"/>
      <c r="KIW5" s="79"/>
      <c r="KIX5" s="79"/>
      <c r="KIY5" s="79"/>
      <c r="KIZ5" s="79"/>
      <c r="KJA5" s="79"/>
      <c r="KJB5" s="79"/>
      <c r="KJC5" s="79"/>
      <c r="KJD5" s="79"/>
      <c r="KJE5" s="79"/>
      <c r="KJF5" s="79"/>
      <c r="KJG5" s="79"/>
      <c r="KJH5" s="79"/>
      <c r="KJI5" s="79"/>
      <c r="KJJ5" s="79"/>
      <c r="KJK5" s="79"/>
      <c r="KJL5" s="79"/>
      <c r="KJM5" s="79"/>
      <c r="KJN5" s="79"/>
      <c r="KJO5" s="79"/>
      <c r="KJP5" s="79"/>
      <c r="KJQ5" s="79"/>
      <c r="KJR5" s="79"/>
      <c r="KJS5" s="79"/>
      <c r="KJT5" s="79"/>
      <c r="KJU5" s="79"/>
      <c r="KJV5" s="79"/>
      <c r="KJW5" s="79"/>
      <c r="KJX5" s="79"/>
      <c r="KJY5" s="79"/>
      <c r="KJZ5" s="79"/>
      <c r="KKA5" s="79"/>
      <c r="KKB5" s="79"/>
      <c r="KKC5" s="79"/>
      <c r="KKD5" s="79"/>
      <c r="KKE5" s="79"/>
      <c r="KKF5" s="79"/>
      <c r="KKG5" s="79"/>
      <c r="KKH5" s="79"/>
      <c r="KKI5" s="79"/>
      <c r="KKJ5" s="79"/>
      <c r="KKK5" s="79"/>
      <c r="KKL5" s="79"/>
      <c r="KKM5" s="79"/>
      <c r="KKN5" s="79"/>
      <c r="KKO5" s="79"/>
      <c r="KKP5" s="79"/>
      <c r="KKQ5" s="79"/>
      <c r="KKR5" s="79"/>
      <c r="KKS5" s="79"/>
      <c r="KKT5" s="79"/>
      <c r="KKU5" s="79"/>
      <c r="KKV5" s="79"/>
      <c r="KKW5" s="79"/>
      <c r="KKX5" s="79"/>
      <c r="KKY5" s="79"/>
      <c r="KKZ5" s="79"/>
      <c r="KLA5" s="79"/>
      <c r="KLB5" s="79"/>
      <c r="KLC5" s="79"/>
      <c r="KLD5" s="79"/>
      <c r="KLE5" s="79"/>
      <c r="KLF5" s="79"/>
      <c r="KLG5" s="79"/>
      <c r="KLH5" s="79"/>
      <c r="KLI5" s="79"/>
      <c r="KLJ5" s="79"/>
      <c r="KLK5" s="79"/>
      <c r="KLL5" s="79"/>
      <c r="KLM5" s="79"/>
      <c r="KLN5" s="79"/>
      <c r="KLO5" s="79"/>
      <c r="KLP5" s="79"/>
      <c r="KLQ5" s="79"/>
      <c r="KLR5" s="79"/>
      <c r="KLS5" s="79"/>
      <c r="KLT5" s="79"/>
      <c r="KLU5" s="79"/>
      <c r="KLV5" s="79"/>
      <c r="KLW5" s="79"/>
      <c r="KLX5" s="79"/>
      <c r="KLY5" s="79"/>
      <c r="KLZ5" s="79"/>
      <c r="KMA5" s="79"/>
      <c r="KMB5" s="79"/>
      <c r="KMC5" s="79"/>
      <c r="KMD5" s="79"/>
      <c r="KME5" s="79"/>
      <c r="KMF5" s="79"/>
      <c r="KMG5" s="79"/>
      <c r="KMH5" s="79"/>
      <c r="KMI5" s="79"/>
      <c r="KMJ5" s="79"/>
      <c r="KMK5" s="79"/>
      <c r="KML5" s="79"/>
      <c r="KMM5" s="79"/>
      <c r="KMN5" s="79"/>
      <c r="KMO5" s="79"/>
      <c r="KMP5" s="79"/>
      <c r="KMQ5" s="79"/>
      <c r="KMR5" s="79"/>
      <c r="KMS5" s="79"/>
      <c r="KMT5" s="79"/>
      <c r="KMU5" s="79"/>
      <c r="KMV5" s="79"/>
      <c r="KMW5" s="79"/>
      <c r="KMX5" s="79"/>
      <c r="KMY5" s="79"/>
      <c r="KMZ5" s="79"/>
      <c r="KNA5" s="79"/>
      <c r="KNB5" s="79"/>
      <c r="KNC5" s="79"/>
      <c r="KND5" s="79"/>
      <c r="KNE5" s="79"/>
      <c r="KNF5" s="79"/>
      <c r="KNG5" s="79"/>
      <c r="KNH5" s="79"/>
      <c r="KNI5" s="79"/>
      <c r="KNJ5" s="79"/>
      <c r="KNK5" s="79"/>
      <c r="KNL5" s="79"/>
      <c r="KNM5" s="79"/>
      <c r="KNN5" s="79"/>
      <c r="KNO5" s="79"/>
      <c r="KNP5" s="79"/>
      <c r="KNQ5" s="79"/>
      <c r="KNR5" s="79"/>
      <c r="KNS5" s="79"/>
      <c r="KNT5" s="79"/>
      <c r="KNU5" s="79"/>
      <c r="KNV5" s="79"/>
      <c r="KNW5" s="79"/>
      <c r="KNX5" s="79"/>
      <c r="KNY5" s="79"/>
      <c r="KNZ5" s="79"/>
      <c r="KOA5" s="79"/>
      <c r="KOB5" s="79"/>
      <c r="KOC5" s="79"/>
      <c r="KOD5" s="79"/>
      <c r="KOE5" s="79"/>
      <c r="KOF5" s="79"/>
      <c r="KOG5" s="79"/>
      <c r="KOH5" s="79"/>
      <c r="KOI5" s="79"/>
      <c r="KOJ5" s="79"/>
      <c r="KOK5" s="79"/>
      <c r="KOL5" s="79"/>
      <c r="KOM5" s="79"/>
      <c r="KON5" s="79"/>
      <c r="KOO5" s="79"/>
      <c r="KOP5" s="79"/>
      <c r="KOQ5" s="79"/>
      <c r="KOR5" s="79"/>
      <c r="KOS5" s="79"/>
      <c r="KOT5" s="79"/>
      <c r="KOU5" s="79"/>
      <c r="KOV5" s="79"/>
      <c r="KOW5" s="79"/>
      <c r="KOX5" s="79"/>
      <c r="KOY5" s="79"/>
      <c r="KOZ5" s="79"/>
      <c r="KPA5" s="79"/>
      <c r="KPB5" s="79"/>
      <c r="KPC5" s="79"/>
      <c r="KPD5" s="79"/>
      <c r="KPE5" s="79"/>
      <c r="KPF5" s="79"/>
      <c r="KPG5" s="79"/>
      <c r="KPH5" s="79"/>
      <c r="KPI5" s="79"/>
      <c r="KPJ5" s="79"/>
      <c r="KPK5" s="79"/>
      <c r="KPL5" s="79"/>
      <c r="KPM5" s="79"/>
      <c r="KPN5" s="79"/>
      <c r="KPO5" s="79"/>
      <c r="KPP5" s="79"/>
      <c r="KPQ5" s="79"/>
      <c r="KPR5" s="79"/>
      <c r="KPS5" s="79"/>
      <c r="KPT5" s="79"/>
      <c r="KPU5" s="79"/>
      <c r="KPV5" s="79"/>
      <c r="KPW5" s="79"/>
      <c r="KPX5" s="79"/>
      <c r="KPY5" s="79"/>
      <c r="KPZ5" s="79"/>
      <c r="KQA5" s="79"/>
      <c r="KQB5" s="79"/>
      <c r="KQC5" s="79"/>
      <c r="KQD5" s="79"/>
      <c r="KQE5" s="79"/>
      <c r="KQF5" s="79"/>
      <c r="KQG5" s="79"/>
      <c r="KQH5" s="79"/>
      <c r="KQI5" s="79"/>
      <c r="KQJ5" s="79"/>
      <c r="KQK5" s="79"/>
      <c r="KQL5" s="79"/>
      <c r="KQM5" s="79"/>
      <c r="KQN5" s="79"/>
      <c r="KQO5" s="79"/>
      <c r="KQP5" s="79"/>
      <c r="KQQ5" s="79"/>
      <c r="KQR5" s="79"/>
      <c r="KQS5" s="79"/>
      <c r="KQT5" s="79"/>
      <c r="KQU5" s="79"/>
      <c r="KQV5" s="79"/>
      <c r="KQW5" s="79"/>
      <c r="KQX5" s="79"/>
      <c r="KQY5" s="79"/>
      <c r="KQZ5" s="79"/>
      <c r="KRA5" s="79"/>
      <c r="KRB5" s="79"/>
      <c r="KRC5" s="79"/>
      <c r="KRD5" s="79"/>
      <c r="KRE5" s="79"/>
      <c r="KRF5" s="79"/>
      <c r="KRG5" s="79"/>
      <c r="KRH5" s="79"/>
      <c r="KRI5" s="79"/>
      <c r="KRJ5" s="79"/>
      <c r="KRK5" s="79"/>
      <c r="KRL5" s="79"/>
      <c r="KRM5" s="79"/>
      <c r="KRN5" s="79"/>
      <c r="KRO5" s="79"/>
      <c r="KRP5" s="79"/>
      <c r="KRQ5" s="79"/>
      <c r="KRR5" s="79"/>
      <c r="KRS5" s="79"/>
      <c r="KRT5" s="79"/>
      <c r="KRU5" s="79"/>
      <c r="KRV5" s="79"/>
      <c r="KRW5" s="79"/>
      <c r="KRX5" s="79"/>
      <c r="KRY5" s="79"/>
      <c r="KRZ5" s="79"/>
      <c r="KSA5" s="79"/>
      <c r="KSB5" s="79"/>
      <c r="KSC5" s="79"/>
      <c r="KSD5" s="79"/>
      <c r="KSE5" s="79"/>
      <c r="KSF5" s="79"/>
      <c r="KSG5" s="79"/>
      <c r="KSH5" s="79"/>
      <c r="KSI5" s="79"/>
      <c r="KSJ5" s="79"/>
      <c r="KSK5" s="79"/>
      <c r="KSL5" s="79"/>
      <c r="KSM5" s="79"/>
      <c r="KSN5" s="79"/>
      <c r="KSO5" s="79"/>
      <c r="KSP5" s="79"/>
      <c r="KSQ5" s="79"/>
      <c r="KSR5" s="79"/>
      <c r="KSS5" s="79"/>
      <c r="KST5" s="79"/>
      <c r="KSU5" s="79"/>
      <c r="KSV5" s="79"/>
      <c r="KSW5" s="79"/>
      <c r="KSX5" s="79"/>
      <c r="KSY5" s="79"/>
      <c r="KSZ5" s="79"/>
      <c r="KTA5" s="79"/>
      <c r="KTB5" s="79"/>
      <c r="KTC5" s="79"/>
      <c r="KTD5" s="79"/>
      <c r="KTE5" s="79"/>
      <c r="KTF5" s="79"/>
      <c r="KTG5" s="79"/>
      <c r="KTH5" s="79"/>
      <c r="KTI5" s="79"/>
      <c r="KTJ5" s="79"/>
      <c r="KTK5" s="79"/>
      <c r="KTL5" s="79"/>
      <c r="KTM5" s="79"/>
      <c r="KTN5" s="79"/>
      <c r="KTO5" s="79"/>
      <c r="KTP5" s="79"/>
      <c r="KTQ5" s="79"/>
      <c r="KTR5" s="79"/>
      <c r="KTS5" s="79"/>
      <c r="KTT5" s="79"/>
      <c r="KTU5" s="79"/>
      <c r="KTV5" s="79"/>
      <c r="KTW5" s="79"/>
      <c r="KTX5" s="79"/>
      <c r="KTY5" s="79"/>
      <c r="KTZ5" s="79"/>
      <c r="KUA5" s="79"/>
      <c r="KUB5" s="79"/>
      <c r="KUC5" s="79"/>
      <c r="KUD5" s="79"/>
      <c r="KUE5" s="79"/>
      <c r="KUF5" s="79"/>
      <c r="KUG5" s="79"/>
      <c r="KUH5" s="79"/>
      <c r="KUI5" s="79"/>
      <c r="KUJ5" s="79"/>
      <c r="KUK5" s="79"/>
      <c r="KUL5" s="79"/>
      <c r="KUM5" s="79"/>
      <c r="KUN5" s="79"/>
      <c r="KUO5" s="79"/>
      <c r="KUP5" s="79"/>
      <c r="KUQ5" s="79"/>
      <c r="KUR5" s="79"/>
      <c r="KUS5" s="79"/>
      <c r="KUT5" s="79"/>
      <c r="KUU5" s="79"/>
      <c r="KUV5" s="79"/>
      <c r="KUW5" s="79"/>
      <c r="KUX5" s="79"/>
      <c r="KUY5" s="79"/>
      <c r="KUZ5" s="79"/>
      <c r="KVA5" s="79"/>
      <c r="KVB5" s="79"/>
      <c r="KVC5" s="79"/>
      <c r="KVD5" s="79"/>
      <c r="KVE5" s="79"/>
      <c r="KVF5" s="79"/>
      <c r="KVG5" s="79"/>
      <c r="KVH5" s="79"/>
      <c r="KVI5" s="79"/>
      <c r="KVJ5" s="79"/>
      <c r="KVK5" s="79"/>
      <c r="KVL5" s="79"/>
      <c r="KVM5" s="79"/>
      <c r="KVN5" s="79"/>
      <c r="KVO5" s="79"/>
      <c r="KVP5" s="79"/>
      <c r="KVQ5" s="79"/>
      <c r="KVR5" s="79"/>
      <c r="KVS5" s="79"/>
      <c r="KVT5" s="79"/>
      <c r="KVU5" s="79"/>
      <c r="KVV5" s="79"/>
      <c r="KVW5" s="79"/>
      <c r="KVX5" s="79"/>
      <c r="KVY5" s="79"/>
      <c r="KVZ5" s="79"/>
      <c r="KWA5" s="79"/>
      <c r="KWB5" s="79"/>
      <c r="KWC5" s="79"/>
      <c r="KWD5" s="79"/>
      <c r="KWE5" s="79"/>
      <c r="KWF5" s="79"/>
      <c r="KWG5" s="79"/>
      <c r="KWH5" s="79"/>
      <c r="KWI5" s="79"/>
      <c r="KWJ5" s="79"/>
      <c r="KWK5" s="79"/>
      <c r="KWL5" s="79"/>
      <c r="KWM5" s="79"/>
      <c r="KWN5" s="79"/>
      <c r="KWO5" s="79"/>
      <c r="KWP5" s="79"/>
      <c r="KWQ5" s="79"/>
      <c r="KWR5" s="79"/>
      <c r="KWS5" s="79"/>
      <c r="KWT5" s="79"/>
      <c r="KWU5" s="79"/>
      <c r="KWV5" s="79"/>
      <c r="KWW5" s="79"/>
      <c r="KWX5" s="79"/>
      <c r="KWY5" s="79"/>
      <c r="KWZ5" s="79"/>
      <c r="KXA5" s="79"/>
      <c r="KXB5" s="79"/>
      <c r="KXC5" s="79"/>
      <c r="KXD5" s="79"/>
      <c r="KXE5" s="79"/>
      <c r="KXF5" s="79"/>
      <c r="KXG5" s="79"/>
      <c r="KXH5" s="79"/>
      <c r="KXI5" s="79"/>
      <c r="KXJ5" s="79"/>
      <c r="KXK5" s="79"/>
      <c r="KXL5" s="79"/>
      <c r="KXM5" s="79"/>
      <c r="KXN5" s="79"/>
      <c r="KXO5" s="79"/>
      <c r="KXP5" s="79"/>
      <c r="KXQ5" s="79"/>
      <c r="KXR5" s="79"/>
      <c r="KXS5" s="79"/>
      <c r="KXT5" s="79"/>
      <c r="KXU5" s="79"/>
      <c r="KXV5" s="79"/>
      <c r="KXW5" s="79"/>
      <c r="KXX5" s="79"/>
      <c r="KXY5" s="79"/>
      <c r="KXZ5" s="79"/>
      <c r="KYA5" s="79"/>
      <c r="KYB5" s="79"/>
      <c r="KYC5" s="79"/>
      <c r="KYD5" s="79"/>
      <c r="KYE5" s="79"/>
      <c r="KYF5" s="79"/>
      <c r="KYG5" s="79"/>
      <c r="KYH5" s="79"/>
      <c r="KYI5" s="79"/>
      <c r="KYJ5" s="79"/>
      <c r="KYK5" s="79"/>
      <c r="KYL5" s="79"/>
      <c r="KYM5" s="79"/>
      <c r="KYN5" s="79"/>
      <c r="KYO5" s="79"/>
      <c r="KYP5" s="79"/>
      <c r="KYQ5" s="79"/>
      <c r="KYR5" s="79"/>
      <c r="KYS5" s="79"/>
      <c r="KYT5" s="79"/>
      <c r="KYU5" s="79"/>
      <c r="KYV5" s="79"/>
      <c r="KYW5" s="79"/>
      <c r="KYX5" s="79"/>
      <c r="KYY5" s="79"/>
      <c r="KYZ5" s="79"/>
      <c r="KZA5" s="79"/>
      <c r="KZB5" s="79"/>
      <c r="KZC5" s="79"/>
      <c r="KZD5" s="79"/>
      <c r="KZE5" s="79"/>
      <c r="KZF5" s="79"/>
      <c r="KZG5" s="79"/>
      <c r="KZH5" s="79"/>
      <c r="KZI5" s="79"/>
      <c r="KZJ5" s="79"/>
      <c r="KZK5" s="79"/>
      <c r="KZL5" s="79"/>
      <c r="KZM5" s="79"/>
      <c r="KZN5" s="79"/>
      <c r="KZO5" s="79"/>
      <c r="KZP5" s="79"/>
      <c r="KZQ5" s="79"/>
      <c r="KZR5" s="79"/>
      <c r="KZS5" s="79"/>
      <c r="KZT5" s="79"/>
      <c r="KZU5" s="79"/>
      <c r="KZV5" s="79"/>
      <c r="KZW5" s="79"/>
      <c r="KZX5" s="79"/>
      <c r="KZY5" s="79"/>
      <c r="KZZ5" s="79"/>
      <c r="LAA5" s="79"/>
      <c r="LAB5" s="79"/>
      <c r="LAC5" s="79"/>
      <c r="LAD5" s="79"/>
      <c r="LAE5" s="79"/>
      <c r="LAF5" s="79"/>
      <c r="LAG5" s="79"/>
      <c r="LAH5" s="79"/>
      <c r="LAI5" s="79"/>
      <c r="LAJ5" s="79"/>
      <c r="LAK5" s="79"/>
      <c r="LAL5" s="79"/>
      <c r="LAM5" s="79"/>
      <c r="LAN5" s="79"/>
      <c r="LAO5" s="79"/>
      <c r="LAP5" s="79"/>
      <c r="LAQ5" s="79"/>
      <c r="LAR5" s="79"/>
      <c r="LAS5" s="79"/>
      <c r="LAT5" s="79"/>
      <c r="LAU5" s="79"/>
      <c r="LAV5" s="79"/>
      <c r="LAW5" s="79"/>
      <c r="LAX5" s="79"/>
      <c r="LAY5" s="79"/>
      <c r="LAZ5" s="79"/>
      <c r="LBA5" s="79"/>
      <c r="LBB5" s="79"/>
      <c r="LBC5" s="79"/>
      <c r="LBD5" s="79"/>
      <c r="LBE5" s="79"/>
      <c r="LBF5" s="79"/>
      <c r="LBG5" s="79"/>
      <c r="LBH5" s="79"/>
      <c r="LBI5" s="79"/>
      <c r="LBJ5" s="79"/>
      <c r="LBK5" s="79"/>
      <c r="LBL5" s="79"/>
      <c r="LBM5" s="79"/>
      <c r="LBN5" s="79"/>
      <c r="LBO5" s="79"/>
      <c r="LBP5" s="79"/>
      <c r="LBQ5" s="79"/>
      <c r="LBR5" s="79"/>
      <c r="LBS5" s="79"/>
      <c r="LBT5" s="79"/>
      <c r="LBU5" s="79"/>
      <c r="LBV5" s="79"/>
      <c r="LBW5" s="79"/>
      <c r="LBX5" s="79"/>
      <c r="LBY5" s="79"/>
      <c r="LBZ5" s="79"/>
      <c r="LCA5" s="79"/>
      <c r="LCB5" s="79"/>
      <c r="LCC5" s="79"/>
      <c r="LCD5" s="79"/>
      <c r="LCE5" s="79"/>
      <c r="LCF5" s="79"/>
      <c r="LCG5" s="79"/>
      <c r="LCH5" s="79"/>
      <c r="LCI5" s="79"/>
      <c r="LCJ5" s="79"/>
      <c r="LCK5" s="79"/>
      <c r="LCL5" s="79"/>
      <c r="LCM5" s="79"/>
      <c r="LCN5" s="79"/>
      <c r="LCO5" s="79"/>
      <c r="LCP5" s="79"/>
      <c r="LCQ5" s="79"/>
      <c r="LCR5" s="79"/>
      <c r="LCS5" s="79"/>
      <c r="LCT5" s="79"/>
      <c r="LCU5" s="79"/>
      <c r="LCV5" s="79"/>
      <c r="LCW5" s="79"/>
      <c r="LCX5" s="79"/>
      <c r="LCY5" s="79"/>
      <c r="LCZ5" s="79"/>
      <c r="LDA5" s="79"/>
      <c r="LDB5" s="79"/>
      <c r="LDC5" s="79"/>
      <c r="LDD5" s="79"/>
      <c r="LDE5" s="79"/>
      <c r="LDF5" s="79"/>
      <c r="LDG5" s="79"/>
      <c r="LDH5" s="79"/>
      <c r="LDI5" s="79"/>
      <c r="LDJ5" s="79"/>
      <c r="LDK5" s="79"/>
      <c r="LDL5" s="79"/>
      <c r="LDM5" s="79"/>
      <c r="LDN5" s="79"/>
      <c r="LDO5" s="79"/>
      <c r="LDP5" s="79"/>
      <c r="LDQ5" s="79"/>
      <c r="LDR5" s="79"/>
      <c r="LDS5" s="79"/>
      <c r="LDT5" s="79"/>
      <c r="LDU5" s="79"/>
      <c r="LDV5" s="79"/>
      <c r="LDW5" s="79"/>
      <c r="LDX5" s="79"/>
      <c r="LDY5" s="79"/>
      <c r="LDZ5" s="79"/>
      <c r="LEA5" s="79"/>
      <c r="LEB5" s="79"/>
      <c r="LEC5" s="79"/>
      <c r="LED5" s="79"/>
      <c r="LEE5" s="79"/>
      <c r="LEF5" s="79"/>
      <c r="LEG5" s="79"/>
      <c r="LEH5" s="79"/>
      <c r="LEI5" s="79"/>
      <c r="LEJ5" s="79"/>
      <c r="LEK5" s="79"/>
      <c r="LEL5" s="79"/>
      <c r="LEM5" s="79"/>
      <c r="LEN5" s="79"/>
      <c r="LEO5" s="79"/>
      <c r="LEP5" s="79"/>
      <c r="LEQ5" s="79"/>
      <c r="LER5" s="79"/>
      <c r="LES5" s="79"/>
      <c r="LET5" s="79"/>
      <c r="LEU5" s="79"/>
      <c r="LEV5" s="79"/>
      <c r="LEW5" s="79"/>
      <c r="LEX5" s="79"/>
      <c r="LEY5" s="79"/>
      <c r="LEZ5" s="79"/>
      <c r="LFA5" s="79"/>
      <c r="LFB5" s="79"/>
      <c r="LFC5" s="79"/>
      <c r="LFD5" s="79"/>
      <c r="LFE5" s="79"/>
      <c r="LFF5" s="79"/>
      <c r="LFG5" s="79"/>
      <c r="LFH5" s="79"/>
      <c r="LFI5" s="79"/>
      <c r="LFJ5" s="79"/>
      <c r="LFK5" s="79"/>
      <c r="LFL5" s="79"/>
      <c r="LFM5" s="79"/>
      <c r="LFN5" s="79"/>
      <c r="LFO5" s="79"/>
      <c r="LFP5" s="79"/>
      <c r="LFQ5" s="79"/>
      <c r="LFR5" s="79"/>
      <c r="LFS5" s="79"/>
      <c r="LFT5" s="79"/>
      <c r="LFU5" s="79"/>
      <c r="LFV5" s="79"/>
      <c r="LFW5" s="79"/>
      <c r="LFX5" s="79"/>
      <c r="LFY5" s="79"/>
      <c r="LFZ5" s="79"/>
      <c r="LGA5" s="79"/>
      <c r="LGB5" s="79"/>
      <c r="LGC5" s="79"/>
      <c r="LGD5" s="79"/>
      <c r="LGE5" s="79"/>
      <c r="LGF5" s="79"/>
      <c r="LGG5" s="79"/>
      <c r="LGH5" s="79"/>
      <c r="LGI5" s="79"/>
      <c r="LGJ5" s="79"/>
      <c r="LGK5" s="79"/>
      <c r="LGL5" s="79"/>
      <c r="LGM5" s="79"/>
      <c r="LGN5" s="79"/>
      <c r="LGO5" s="79"/>
      <c r="LGP5" s="79"/>
      <c r="LGQ5" s="79"/>
      <c r="LGR5" s="79"/>
      <c r="LGS5" s="79"/>
      <c r="LGT5" s="79"/>
      <c r="LGU5" s="79"/>
      <c r="LGV5" s="79"/>
      <c r="LGW5" s="79"/>
      <c r="LGX5" s="79"/>
      <c r="LGY5" s="79"/>
      <c r="LGZ5" s="79"/>
      <c r="LHA5" s="79"/>
      <c r="LHB5" s="79"/>
      <c r="LHC5" s="79"/>
      <c r="LHD5" s="79"/>
      <c r="LHE5" s="79"/>
      <c r="LHF5" s="79"/>
      <c r="LHG5" s="79"/>
      <c r="LHH5" s="79"/>
      <c r="LHI5" s="79"/>
      <c r="LHJ5" s="79"/>
      <c r="LHK5" s="79"/>
      <c r="LHL5" s="79"/>
      <c r="LHM5" s="79"/>
      <c r="LHN5" s="79"/>
      <c r="LHO5" s="79"/>
      <c r="LHP5" s="79"/>
      <c r="LHQ5" s="79"/>
      <c r="LHR5" s="79"/>
      <c r="LHS5" s="79"/>
      <c r="LHT5" s="79"/>
      <c r="LHU5" s="79"/>
      <c r="LHV5" s="79"/>
      <c r="LHW5" s="79"/>
      <c r="LHX5" s="79"/>
      <c r="LHY5" s="79"/>
      <c r="LHZ5" s="79"/>
      <c r="LIA5" s="79"/>
      <c r="LIB5" s="79"/>
      <c r="LIC5" s="79"/>
      <c r="LID5" s="79"/>
      <c r="LIE5" s="79"/>
      <c r="LIF5" s="79"/>
      <c r="LIG5" s="79"/>
      <c r="LIH5" s="79"/>
      <c r="LII5" s="79"/>
      <c r="LIJ5" s="79"/>
      <c r="LIK5" s="79"/>
      <c r="LIL5" s="79"/>
      <c r="LIM5" s="79"/>
      <c r="LIN5" s="79"/>
      <c r="LIO5" s="79"/>
      <c r="LIP5" s="79"/>
      <c r="LIQ5" s="79"/>
      <c r="LIR5" s="79"/>
      <c r="LIS5" s="79"/>
      <c r="LIT5" s="79"/>
      <c r="LIU5" s="79"/>
      <c r="LIV5" s="79"/>
      <c r="LIW5" s="79"/>
      <c r="LIX5" s="79"/>
      <c r="LIY5" s="79"/>
      <c r="LIZ5" s="79"/>
      <c r="LJA5" s="79"/>
      <c r="LJB5" s="79"/>
      <c r="LJC5" s="79"/>
      <c r="LJD5" s="79"/>
      <c r="LJE5" s="79"/>
      <c r="LJF5" s="79"/>
      <c r="LJG5" s="79"/>
      <c r="LJH5" s="79"/>
      <c r="LJI5" s="79"/>
      <c r="LJJ5" s="79"/>
      <c r="LJK5" s="79"/>
      <c r="LJL5" s="79"/>
      <c r="LJM5" s="79"/>
      <c r="LJN5" s="79"/>
      <c r="LJO5" s="79"/>
      <c r="LJP5" s="79"/>
      <c r="LJQ5" s="79"/>
      <c r="LJR5" s="79"/>
      <c r="LJS5" s="79"/>
      <c r="LJT5" s="79"/>
      <c r="LJU5" s="79"/>
      <c r="LJV5" s="79"/>
      <c r="LJW5" s="79"/>
      <c r="LJX5" s="79"/>
      <c r="LJY5" s="79"/>
      <c r="LJZ5" s="79"/>
      <c r="LKA5" s="79"/>
      <c r="LKB5" s="79"/>
      <c r="LKC5" s="79"/>
      <c r="LKD5" s="79"/>
      <c r="LKE5" s="79"/>
      <c r="LKF5" s="79"/>
      <c r="LKG5" s="79"/>
      <c r="LKH5" s="79"/>
      <c r="LKI5" s="79"/>
      <c r="LKJ5" s="79"/>
      <c r="LKK5" s="79"/>
      <c r="LKL5" s="79"/>
      <c r="LKM5" s="79"/>
      <c r="LKN5" s="79"/>
      <c r="LKO5" s="79"/>
      <c r="LKP5" s="79"/>
      <c r="LKQ5" s="79"/>
      <c r="LKR5" s="79"/>
      <c r="LKS5" s="79"/>
      <c r="LKT5" s="79"/>
      <c r="LKU5" s="79"/>
      <c r="LKV5" s="79"/>
      <c r="LKW5" s="79"/>
      <c r="LKX5" s="79"/>
      <c r="LKY5" s="79"/>
      <c r="LKZ5" s="79"/>
      <c r="LLA5" s="79"/>
      <c r="LLB5" s="79"/>
      <c r="LLC5" s="79"/>
      <c r="LLD5" s="79"/>
      <c r="LLE5" s="79"/>
      <c r="LLF5" s="79"/>
      <c r="LLG5" s="79"/>
      <c r="LLH5" s="79"/>
      <c r="LLI5" s="79"/>
      <c r="LLJ5" s="79"/>
      <c r="LLK5" s="79"/>
      <c r="LLL5" s="79"/>
      <c r="LLM5" s="79"/>
      <c r="LLN5" s="79"/>
      <c r="LLO5" s="79"/>
      <c r="LLP5" s="79"/>
      <c r="LLQ5" s="79"/>
      <c r="LLR5" s="79"/>
      <c r="LLS5" s="79"/>
      <c r="LLT5" s="79"/>
      <c r="LLU5" s="79"/>
      <c r="LLV5" s="79"/>
      <c r="LLW5" s="79"/>
      <c r="LLX5" s="79"/>
      <c r="LLY5" s="79"/>
      <c r="LLZ5" s="79"/>
      <c r="LMA5" s="79"/>
      <c r="LMB5" s="79"/>
      <c r="LMC5" s="79"/>
      <c r="LMD5" s="79"/>
      <c r="LME5" s="79"/>
      <c r="LMF5" s="79"/>
      <c r="LMG5" s="79"/>
      <c r="LMH5" s="79"/>
      <c r="LMI5" s="79"/>
      <c r="LMJ5" s="79"/>
      <c r="LMK5" s="79"/>
      <c r="LML5" s="79"/>
      <c r="LMM5" s="79"/>
      <c r="LMN5" s="79"/>
      <c r="LMO5" s="79"/>
      <c r="LMP5" s="79"/>
      <c r="LMQ5" s="79"/>
      <c r="LMR5" s="79"/>
      <c r="LMS5" s="79"/>
      <c r="LMT5" s="79"/>
      <c r="LMU5" s="79"/>
      <c r="LMV5" s="79"/>
      <c r="LMW5" s="79"/>
      <c r="LMX5" s="79"/>
      <c r="LMY5" s="79"/>
      <c r="LMZ5" s="79"/>
      <c r="LNA5" s="79"/>
      <c r="LNB5" s="79"/>
      <c r="LNC5" s="79"/>
      <c r="LND5" s="79"/>
      <c r="LNE5" s="79"/>
      <c r="LNF5" s="79"/>
      <c r="LNG5" s="79"/>
      <c r="LNH5" s="79"/>
      <c r="LNI5" s="79"/>
      <c r="LNJ5" s="79"/>
      <c r="LNK5" s="79"/>
      <c r="LNL5" s="79"/>
      <c r="LNM5" s="79"/>
      <c r="LNN5" s="79"/>
      <c r="LNO5" s="79"/>
      <c r="LNP5" s="79"/>
      <c r="LNQ5" s="79"/>
      <c r="LNR5" s="79"/>
      <c r="LNS5" s="79"/>
      <c r="LNT5" s="79"/>
      <c r="LNU5" s="79"/>
      <c r="LNV5" s="79"/>
      <c r="LNW5" s="79"/>
      <c r="LNX5" s="79"/>
      <c r="LNY5" s="79"/>
      <c r="LNZ5" s="79"/>
      <c r="LOA5" s="79"/>
      <c r="LOB5" s="79"/>
      <c r="LOC5" s="79"/>
      <c r="LOD5" s="79"/>
      <c r="LOE5" s="79"/>
      <c r="LOF5" s="79"/>
      <c r="LOG5" s="79"/>
      <c r="LOH5" s="79"/>
      <c r="LOI5" s="79"/>
      <c r="LOJ5" s="79"/>
      <c r="LOK5" s="79"/>
      <c r="LOL5" s="79"/>
      <c r="LOM5" s="79"/>
      <c r="LON5" s="79"/>
      <c r="LOO5" s="79"/>
      <c r="LOP5" s="79"/>
      <c r="LOQ5" s="79"/>
      <c r="LOR5" s="79"/>
      <c r="LOS5" s="79"/>
      <c r="LOT5" s="79"/>
      <c r="LOU5" s="79"/>
      <c r="LOV5" s="79"/>
      <c r="LOW5" s="79"/>
      <c r="LOX5" s="79"/>
      <c r="LOY5" s="79"/>
      <c r="LOZ5" s="79"/>
      <c r="LPA5" s="79"/>
      <c r="LPB5" s="79"/>
      <c r="LPC5" s="79"/>
      <c r="LPD5" s="79"/>
      <c r="LPE5" s="79"/>
      <c r="LPF5" s="79"/>
      <c r="LPG5" s="79"/>
      <c r="LPH5" s="79"/>
      <c r="LPI5" s="79"/>
      <c r="LPJ5" s="79"/>
      <c r="LPK5" s="79"/>
      <c r="LPL5" s="79"/>
      <c r="LPM5" s="79"/>
      <c r="LPN5" s="79"/>
      <c r="LPO5" s="79"/>
      <c r="LPP5" s="79"/>
      <c r="LPQ5" s="79"/>
      <c r="LPR5" s="79"/>
      <c r="LPS5" s="79"/>
      <c r="LPT5" s="79"/>
      <c r="LPU5" s="79"/>
      <c r="LPV5" s="79"/>
      <c r="LPW5" s="79"/>
      <c r="LPX5" s="79"/>
      <c r="LPY5" s="79"/>
      <c r="LPZ5" s="79"/>
      <c r="LQA5" s="79"/>
      <c r="LQB5" s="79"/>
      <c r="LQC5" s="79"/>
      <c r="LQD5" s="79"/>
      <c r="LQE5" s="79"/>
      <c r="LQF5" s="79"/>
      <c r="LQG5" s="79"/>
      <c r="LQH5" s="79"/>
      <c r="LQI5" s="79"/>
      <c r="LQJ5" s="79"/>
      <c r="LQK5" s="79"/>
      <c r="LQL5" s="79"/>
      <c r="LQM5" s="79"/>
      <c r="LQN5" s="79"/>
      <c r="LQO5" s="79"/>
      <c r="LQP5" s="79"/>
      <c r="LQQ5" s="79"/>
      <c r="LQR5" s="79"/>
      <c r="LQS5" s="79"/>
      <c r="LQT5" s="79"/>
      <c r="LQU5" s="79"/>
      <c r="LQV5" s="79"/>
      <c r="LQW5" s="79"/>
      <c r="LQX5" s="79"/>
      <c r="LQY5" s="79"/>
      <c r="LQZ5" s="79"/>
      <c r="LRA5" s="79"/>
      <c r="LRB5" s="79"/>
      <c r="LRC5" s="79"/>
      <c r="LRD5" s="79"/>
      <c r="LRE5" s="79"/>
      <c r="LRF5" s="79"/>
      <c r="LRG5" s="79"/>
      <c r="LRH5" s="79"/>
      <c r="LRI5" s="79"/>
      <c r="LRJ5" s="79"/>
      <c r="LRK5" s="79"/>
      <c r="LRL5" s="79"/>
      <c r="LRM5" s="79"/>
      <c r="LRN5" s="79"/>
      <c r="LRO5" s="79"/>
      <c r="LRP5" s="79"/>
      <c r="LRQ5" s="79"/>
      <c r="LRR5" s="79"/>
      <c r="LRS5" s="79"/>
      <c r="LRT5" s="79"/>
      <c r="LRU5" s="79"/>
      <c r="LRV5" s="79"/>
      <c r="LRW5" s="79"/>
      <c r="LRX5" s="79"/>
      <c r="LRY5" s="79"/>
      <c r="LRZ5" s="79"/>
      <c r="LSA5" s="79"/>
      <c r="LSB5" s="79"/>
      <c r="LSC5" s="79"/>
      <c r="LSD5" s="79"/>
      <c r="LSE5" s="79"/>
      <c r="LSF5" s="79"/>
      <c r="LSG5" s="79"/>
      <c r="LSH5" s="79"/>
      <c r="LSI5" s="79"/>
      <c r="LSJ5" s="79"/>
      <c r="LSK5" s="79"/>
      <c r="LSL5" s="79"/>
      <c r="LSM5" s="79"/>
      <c r="LSN5" s="79"/>
      <c r="LSO5" s="79"/>
      <c r="LSP5" s="79"/>
      <c r="LSQ5" s="79"/>
      <c r="LSR5" s="79"/>
      <c r="LSS5" s="79"/>
      <c r="LST5" s="79"/>
      <c r="LSU5" s="79"/>
      <c r="LSV5" s="79"/>
      <c r="LSW5" s="79"/>
      <c r="LSX5" s="79"/>
      <c r="LSY5" s="79"/>
      <c r="LSZ5" s="79"/>
      <c r="LTA5" s="79"/>
      <c r="LTB5" s="79"/>
      <c r="LTC5" s="79"/>
      <c r="LTD5" s="79"/>
      <c r="LTE5" s="79"/>
      <c r="LTF5" s="79"/>
      <c r="LTG5" s="79"/>
      <c r="LTH5" s="79"/>
      <c r="LTI5" s="79"/>
      <c r="LTJ5" s="79"/>
      <c r="LTK5" s="79"/>
      <c r="LTL5" s="79"/>
      <c r="LTM5" s="79"/>
      <c r="LTN5" s="79"/>
      <c r="LTO5" s="79"/>
      <c r="LTP5" s="79"/>
      <c r="LTQ5" s="79"/>
      <c r="LTR5" s="79"/>
      <c r="LTS5" s="79"/>
      <c r="LTT5" s="79"/>
      <c r="LTU5" s="79"/>
      <c r="LTV5" s="79"/>
      <c r="LTW5" s="79"/>
      <c r="LTX5" s="79"/>
      <c r="LTY5" s="79"/>
      <c r="LTZ5" s="79"/>
      <c r="LUA5" s="79"/>
      <c r="LUB5" s="79"/>
      <c r="LUC5" s="79"/>
      <c r="LUD5" s="79"/>
      <c r="LUE5" s="79"/>
      <c r="LUF5" s="79"/>
      <c r="LUG5" s="79"/>
      <c r="LUH5" s="79"/>
      <c r="LUI5" s="79"/>
      <c r="LUJ5" s="79"/>
      <c r="LUK5" s="79"/>
      <c r="LUL5" s="79"/>
      <c r="LUM5" s="79"/>
      <c r="LUN5" s="79"/>
      <c r="LUO5" s="79"/>
      <c r="LUP5" s="79"/>
      <c r="LUQ5" s="79"/>
      <c r="LUR5" s="79"/>
      <c r="LUS5" s="79"/>
      <c r="LUT5" s="79"/>
      <c r="LUU5" s="79"/>
      <c r="LUV5" s="79"/>
      <c r="LUW5" s="79"/>
      <c r="LUX5" s="79"/>
      <c r="LUY5" s="79"/>
      <c r="LUZ5" s="79"/>
      <c r="LVA5" s="79"/>
      <c r="LVB5" s="79"/>
      <c r="LVC5" s="79"/>
      <c r="LVD5" s="79"/>
      <c r="LVE5" s="79"/>
      <c r="LVF5" s="79"/>
      <c r="LVG5" s="79"/>
      <c r="LVH5" s="79"/>
      <c r="LVI5" s="79"/>
      <c r="LVJ5" s="79"/>
      <c r="LVK5" s="79"/>
      <c r="LVL5" s="79"/>
      <c r="LVM5" s="79"/>
      <c r="LVN5" s="79"/>
      <c r="LVO5" s="79"/>
      <c r="LVP5" s="79"/>
      <c r="LVQ5" s="79"/>
      <c r="LVR5" s="79"/>
      <c r="LVS5" s="79"/>
      <c r="LVT5" s="79"/>
      <c r="LVU5" s="79"/>
      <c r="LVV5" s="79"/>
      <c r="LVW5" s="79"/>
      <c r="LVX5" s="79"/>
      <c r="LVY5" s="79"/>
      <c r="LVZ5" s="79"/>
      <c r="LWA5" s="79"/>
      <c r="LWB5" s="79"/>
      <c r="LWC5" s="79"/>
      <c r="LWD5" s="79"/>
      <c r="LWE5" s="79"/>
      <c r="LWF5" s="79"/>
      <c r="LWG5" s="79"/>
      <c r="LWH5" s="79"/>
      <c r="LWI5" s="79"/>
      <c r="LWJ5" s="79"/>
      <c r="LWK5" s="79"/>
      <c r="LWL5" s="79"/>
      <c r="LWM5" s="79"/>
      <c r="LWN5" s="79"/>
      <c r="LWO5" s="79"/>
      <c r="LWP5" s="79"/>
      <c r="LWQ5" s="79"/>
      <c r="LWR5" s="79"/>
      <c r="LWS5" s="79"/>
      <c r="LWT5" s="79"/>
      <c r="LWU5" s="79"/>
      <c r="LWV5" s="79"/>
      <c r="LWW5" s="79"/>
      <c r="LWX5" s="79"/>
      <c r="LWY5" s="79"/>
      <c r="LWZ5" s="79"/>
      <c r="LXA5" s="79"/>
      <c r="LXB5" s="79"/>
      <c r="LXC5" s="79"/>
      <c r="LXD5" s="79"/>
      <c r="LXE5" s="79"/>
      <c r="LXF5" s="79"/>
      <c r="LXG5" s="79"/>
      <c r="LXH5" s="79"/>
      <c r="LXI5" s="79"/>
      <c r="LXJ5" s="79"/>
      <c r="LXK5" s="79"/>
      <c r="LXL5" s="79"/>
      <c r="LXM5" s="79"/>
      <c r="LXN5" s="79"/>
      <c r="LXO5" s="79"/>
      <c r="LXP5" s="79"/>
      <c r="LXQ5" s="79"/>
      <c r="LXR5" s="79"/>
      <c r="LXS5" s="79"/>
      <c r="LXT5" s="79"/>
      <c r="LXU5" s="79"/>
      <c r="LXV5" s="79"/>
      <c r="LXW5" s="79"/>
      <c r="LXX5" s="79"/>
      <c r="LXY5" s="79"/>
      <c r="LXZ5" s="79"/>
      <c r="LYA5" s="79"/>
      <c r="LYB5" s="79"/>
      <c r="LYC5" s="79"/>
      <c r="LYD5" s="79"/>
      <c r="LYE5" s="79"/>
      <c r="LYF5" s="79"/>
      <c r="LYG5" s="79"/>
      <c r="LYH5" s="79"/>
      <c r="LYI5" s="79"/>
      <c r="LYJ5" s="79"/>
      <c r="LYK5" s="79"/>
      <c r="LYL5" s="79"/>
      <c r="LYM5" s="79"/>
      <c r="LYN5" s="79"/>
      <c r="LYO5" s="79"/>
      <c r="LYP5" s="79"/>
      <c r="LYQ5" s="79"/>
      <c r="LYR5" s="79"/>
      <c r="LYS5" s="79"/>
      <c r="LYT5" s="79"/>
      <c r="LYU5" s="79"/>
      <c r="LYV5" s="79"/>
      <c r="LYW5" s="79"/>
      <c r="LYX5" s="79"/>
      <c r="LYY5" s="79"/>
      <c r="LYZ5" s="79"/>
      <c r="LZA5" s="79"/>
      <c r="LZB5" s="79"/>
      <c r="LZC5" s="79"/>
      <c r="LZD5" s="79"/>
      <c r="LZE5" s="79"/>
      <c r="LZF5" s="79"/>
      <c r="LZG5" s="79"/>
      <c r="LZH5" s="79"/>
      <c r="LZI5" s="79"/>
      <c r="LZJ5" s="79"/>
      <c r="LZK5" s="79"/>
      <c r="LZL5" s="79"/>
      <c r="LZM5" s="79"/>
      <c r="LZN5" s="79"/>
      <c r="LZO5" s="79"/>
      <c r="LZP5" s="79"/>
      <c r="LZQ5" s="79"/>
      <c r="LZR5" s="79"/>
      <c r="LZS5" s="79"/>
      <c r="LZT5" s="79"/>
      <c r="LZU5" s="79"/>
      <c r="LZV5" s="79"/>
      <c r="LZW5" s="79"/>
      <c r="LZX5" s="79"/>
      <c r="LZY5" s="79"/>
      <c r="LZZ5" s="79"/>
      <c r="MAA5" s="79"/>
      <c r="MAB5" s="79"/>
      <c r="MAC5" s="79"/>
      <c r="MAD5" s="79"/>
      <c r="MAE5" s="79"/>
      <c r="MAF5" s="79"/>
      <c r="MAG5" s="79"/>
      <c r="MAH5" s="79"/>
      <c r="MAI5" s="79"/>
      <c r="MAJ5" s="79"/>
      <c r="MAK5" s="79"/>
      <c r="MAL5" s="79"/>
      <c r="MAM5" s="79"/>
      <c r="MAN5" s="79"/>
      <c r="MAO5" s="79"/>
      <c r="MAP5" s="79"/>
      <c r="MAQ5" s="79"/>
      <c r="MAR5" s="79"/>
      <c r="MAS5" s="79"/>
      <c r="MAT5" s="79"/>
      <c r="MAU5" s="79"/>
      <c r="MAV5" s="79"/>
      <c r="MAW5" s="79"/>
      <c r="MAX5" s="79"/>
      <c r="MAY5" s="79"/>
      <c r="MAZ5" s="79"/>
      <c r="MBA5" s="79"/>
      <c r="MBB5" s="79"/>
      <c r="MBC5" s="79"/>
      <c r="MBD5" s="79"/>
      <c r="MBE5" s="79"/>
      <c r="MBF5" s="79"/>
      <c r="MBG5" s="79"/>
      <c r="MBH5" s="79"/>
      <c r="MBI5" s="79"/>
      <c r="MBJ5" s="79"/>
      <c r="MBK5" s="79"/>
      <c r="MBL5" s="79"/>
      <c r="MBM5" s="79"/>
      <c r="MBN5" s="79"/>
      <c r="MBO5" s="79"/>
      <c r="MBP5" s="79"/>
      <c r="MBQ5" s="79"/>
      <c r="MBR5" s="79"/>
      <c r="MBS5" s="79"/>
      <c r="MBT5" s="79"/>
      <c r="MBU5" s="79"/>
      <c r="MBV5" s="79"/>
      <c r="MBW5" s="79"/>
      <c r="MBX5" s="79"/>
      <c r="MBY5" s="79"/>
      <c r="MBZ5" s="79"/>
      <c r="MCA5" s="79"/>
      <c r="MCB5" s="79"/>
      <c r="MCC5" s="79"/>
      <c r="MCD5" s="79"/>
      <c r="MCE5" s="79"/>
      <c r="MCF5" s="79"/>
      <c r="MCG5" s="79"/>
      <c r="MCH5" s="79"/>
      <c r="MCI5" s="79"/>
      <c r="MCJ5" s="79"/>
      <c r="MCK5" s="79"/>
      <c r="MCL5" s="79"/>
      <c r="MCM5" s="79"/>
      <c r="MCN5" s="79"/>
      <c r="MCO5" s="79"/>
      <c r="MCP5" s="79"/>
      <c r="MCQ5" s="79"/>
      <c r="MCR5" s="79"/>
      <c r="MCS5" s="79"/>
      <c r="MCT5" s="79"/>
      <c r="MCU5" s="79"/>
      <c r="MCV5" s="79"/>
      <c r="MCW5" s="79"/>
      <c r="MCX5" s="79"/>
      <c r="MCY5" s="79"/>
      <c r="MCZ5" s="79"/>
      <c r="MDA5" s="79"/>
      <c r="MDB5" s="79"/>
      <c r="MDC5" s="79"/>
      <c r="MDD5" s="79"/>
      <c r="MDE5" s="79"/>
      <c r="MDF5" s="79"/>
      <c r="MDG5" s="79"/>
      <c r="MDH5" s="79"/>
      <c r="MDI5" s="79"/>
      <c r="MDJ5" s="79"/>
      <c r="MDK5" s="79"/>
      <c r="MDL5" s="79"/>
      <c r="MDM5" s="79"/>
      <c r="MDN5" s="79"/>
      <c r="MDO5" s="79"/>
      <c r="MDP5" s="79"/>
      <c r="MDQ5" s="79"/>
      <c r="MDR5" s="79"/>
      <c r="MDS5" s="79"/>
      <c r="MDT5" s="79"/>
      <c r="MDU5" s="79"/>
      <c r="MDV5" s="79"/>
      <c r="MDW5" s="79"/>
      <c r="MDX5" s="79"/>
      <c r="MDY5" s="79"/>
      <c r="MDZ5" s="79"/>
      <c r="MEA5" s="79"/>
      <c r="MEB5" s="79"/>
      <c r="MEC5" s="79"/>
      <c r="MED5" s="79"/>
      <c r="MEE5" s="79"/>
      <c r="MEF5" s="79"/>
      <c r="MEG5" s="79"/>
      <c r="MEH5" s="79"/>
      <c r="MEI5" s="79"/>
      <c r="MEJ5" s="79"/>
      <c r="MEK5" s="79"/>
      <c r="MEL5" s="79"/>
      <c r="MEM5" s="79"/>
      <c r="MEN5" s="79"/>
      <c r="MEO5" s="79"/>
      <c r="MEP5" s="79"/>
      <c r="MEQ5" s="79"/>
      <c r="MER5" s="79"/>
      <c r="MES5" s="79"/>
      <c r="MET5" s="79"/>
      <c r="MEU5" s="79"/>
      <c r="MEV5" s="79"/>
      <c r="MEW5" s="79"/>
      <c r="MEX5" s="79"/>
      <c r="MEY5" s="79"/>
      <c r="MEZ5" s="79"/>
      <c r="MFA5" s="79"/>
      <c r="MFB5" s="79"/>
      <c r="MFC5" s="79"/>
      <c r="MFD5" s="79"/>
      <c r="MFE5" s="79"/>
      <c r="MFF5" s="79"/>
      <c r="MFG5" s="79"/>
      <c r="MFH5" s="79"/>
      <c r="MFI5" s="79"/>
      <c r="MFJ5" s="79"/>
      <c r="MFK5" s="79"/>
      <c r="MFL5" s="79"/>
      <c r="MFM5" s="79"/>
      <c r="MFN5" s="79"/>
      <c r="MFO5" s="79"/>
      <c r="MFP5" s="79"/>
      <c r="MFQ5" s="79"/>
      <c r="MFR5" s="79"/>
      <c r="MFS5" s="79"/>
      <c r="MFT5" s="79"/>
      <c r="MFU5" s="79"/>
      <c r="MFV5" s="79"/>
      <c r="MFW5" s="79"/>
      <c r="MFX5" s="79"/>
      <c r="MFY5" s="79"/>
      <c r="MFZ5" s="79"/>
      <c r="MGA5" s="79"/>
      <c r="MGB5" s="79"/>
      <c r="MGC5" s="79"/>
      <c r="MGD5" s="79"/>
      <c r="MGE5" s="79"/>
      <c r="MGF5" s="79"/>
      <c r="MGG5" s="79"/>
      <c r="MGH5" s="79"/>
      <c r="MGI5" s="79"/>
      <c r="MGJ5" s="79"/>
      <c r="MGK5" s="79"/>
      <c r="MGL5" s="79"/>
      <c r="MGM5" s="79"/>
      <c r="MGN5" s="79"/>
      <c r="MGO5" s="79"/>
      <c r="MGP5" s="79"/>
      <c r="MGQ5" s="79"/>
      <c r="MGR5" s="79"/>
      <c r="MGS5" s="79"/>
      <c r="MGT5" s="79"/>
      <c r="MGU5" s="79"/>
      <c r="MGV5" s="79"/>
      <c r="MGW5" s="79"/>
      <c r="MGX5" s="79"/>
      <c r="MGY5" s="79"/>
      <c r="MGZ5" s="79"/>
      <c r="MHA5" s="79"/>
      <c r="MHB5" s="79"/>
      <c r="MHC5" s="79"/>
      <c r="MHD5" s="79"/>
      <c r="MHE5" s="79"/>
      <c r="MHF5" s="79"/>
      <c r="MHG5" s="79"/>
      <c r="MHH5" s="79"/>
      <c r="MHI5" s="79"/>
      <c r="MHJ5" s="79"/>
      <c r="MHK5" s="79"/>
      <c r="MHL5" s="79"/>
      <c r="MHM5" s="79"/>
      <c r="MHN5" s="79"/>
      <c r="MHO5" s="79"/>
      <c r="MHP5" s="79"/>
      <c r="MHQ5" s="79"/>
      <c r="MHR5" s="79"/>
      <c r="MHS5" s="79"/>
      <c r="MHT5" s="79"/>
      <c r="MHU5" s="79"/>
      <c r="MHV5" s="79"/>
      <c r="MHW5" s="79"/>
      <c r="MHX5" s="79"/>
      <c r="MHY5" s="79"/>
      <c r="MHZ5" s="79"/>
      <c r="MIA5" s="79"/>
      <c r="MIB5" s="79"/>
      <c r="MIC5" s="79"/>
      <c r="MID5" s="79"/>
      <c r="MIE5" s="79"/>
      <c r="MIF5" s="79"/>
      <c r="MIG5" s="79"/>
      <c r="MIH5" s="79"/>
      <c r="MII5" s="79"/>
      <c r="MIJ5" s="79"/>
      <c r="MIK5" s="79"/>
      <c r="MIL5" s="79"/>
      <c r="MIM5" s="79"/>
      <c r="MIN5" s="79"/>
      <c r="MIO5" s="79"/>
      <c r="MIP5" s="79"/>
      <c r="MIQ5" s="79"/>
      <c r="MIR5" s="79"/>
      <c r="MIS5" s="79"/>
      <c r="MIT5" s="79"/>
      <c r="MIU5" s="79"/>
      <c r="MIV5" s="79"/>
      <c r="MIW5" s="79"/>
      <c r="MIX5" s="79"/>
      <c r="MIY5" s="79"/>
      <c r="MIZ5" s="79"/>
      <c r="MJA5" s="79"/>
      <c r="MJB5" s="79"/>
      <c r="MJC5" s="79"/>
      <c r="MJD5" s="79"/>
      <c r="MJE5" s="79"/>
      <c r="MJF5" s="79"/>
      <c r="MJG5" s="79"/>
      <c r="MJH5" s="79"/>
      <c r="MJI5" s="79"/>
      <c r="MJJ5" s="79"/>
      <c r="MJK5" s="79"/>
      <c r="MJL5" s="79"/>
      <c r="MJM5" s="79"/>
      <c r="MJN5" s="79"/>
      <c r="MJO5" s="79"/>
      <c r="MJP5" s="79"/>
      <c r="MJQ5" s="79"/>
      <c r="MJR5" s="79"/>
      <c r="MJS5" s="79"/>
      <c r="MJT5" s="79"/>
      <c r="MJU5" s="79"/>
      <c r="MJV5" s="79"/>
      <c r="MJW5" s="79"/>
      <c r="MJX5" s="79"/>
      <c r="MJY5" s="79"/>
      <c r="MJZ5" s="79"/>
      <c r="MKA5" s="79"/>
      <c r="MKB5" s="79"/>
      <c r="MKC5" s="79"/>
      <c r="MKD5" s="79"/>
      <c r="MKE5" s="79"/>
      <c r="MKF5" s="79"/>
      <c r="MKG5" s="79"/>
      <c r="MKH5" s="79"/>
      <c r="MKI5" s="79"/>
      <c r="MKJ5" s="79"/>
      <c r="MKK5" s="79"/>
      <c r="MKL5" s="79"/>
      <c r="MKM5" s="79"/>
      <c r="MKN5" s="79"/>
      <c r="MKO5" s="79"/>
      <c r="MKP5" s="79"/>
      <c r="MKQ5" s="79"/>
      <c r="MKR5" s="79"/>
      <c r="MKS5" s="79"/>
      <c r="MKT5" s="79"/>
      <c r="MKU5" s="79"/>
      <c r="MKV5" s="79"/>
      <c r="MKW5" s="79"/>
      <c r="MKX5" s="79"/>
      <c r="MKY5" s="79"/>
      <c r="MKZ5" s="79"/>
      <c r="MLA5" s="79"/>
      <c r="MLB5" s="79"/>
      <c r="MLC5" s="79"/>
      <c r="MLD5" s="79"/>
      <c r="MLE5" s="79"/>
      <c r="MLF5" s="79"/>
      <c r="MLG5" s="79"/>
      <c r="MLH5" s="79"/>
      <c r="MLI5" s="79"/>
      <c r="MLJ5" s="79"/>
      <c r="MLK5" s="79"/>
      <c r="MLL5" s="79"/>
      <c r="MLM5" s="79"/>
      <c r="MLN5" s="79"/>
      <c r="MLO5" s="79"/>
      <c r="MLP5" s="79"/>
      <c r="MLQ5" s="79"/>
      <c r="MLR5" s="79"/>
      <c r="MLS5" s="79"/>
      <c r="MLT5" s="79"/>
      <c r="MLU5" s="79"/>
      <c r="MLV5" s="79"/>
      <c r="MLW5" s="79"/>
      <c r="MLX5" s="79"/>
      <c r="MLY5" s="79"/>
      <c r="MLZ5" s="79"/>
      <c r="MMA5" s="79"/>
      <c r="MMB5" s="79"/>
      <c r="MMC5" s="79"/>
      <c r="MMD5" s="79"/>
      <c r="MME5" s="79"/>
      <c r="MMF5" s="79"/>
      <c r="MMG5" s="79"/>
      <c r="MMH5" s="79"/>
      <c r="MMI5" s="79"/>
      <c r="MMJ5" s="79"/>
      <c r="MMK5" s="79"/>
      <c r="MML5" s="79"/>
      <c r="MMM5" s="79"/>
      <c r="MMN5" s="79"/>
      <c r="MMO5" s="79"/>
      <c r="MMP5" s="79"/>
      <c r="MMQ5" s="79"/>
      <c r="MMR5" s="79"/>
      <c r="MMS5" s="79"/>
      <c r="MMT5" s="79"/>
      <c r="MMU5" s="79"/>
      <c r="MMV5" s="79"/>
      <c r="MMW5" s="79"/>
      <c r="MMX5" s="79"/>
      <c r="MMY5" s="79"/>
      <c r="MMZ5" s="79"/>
      <c r="MNA5" s="79"/>
      <c r="MNB5" s="79"/>
      <c r="MNC5" s="79"/>
      <c r="MND5" s="79"/>
      <c r="MNE5" s="79"/>
      <c r="MNF5" s="79"/>
      <c r="MNG5" s="79"/>
      <c r="MNH5" s="79"/>
      <c r="MNI5" s="79"/>
      <c r="MNJ5" s="79"/>
      <c r="MNK5" s="79"/>
      <c r="MNL5" s="79"/>
      <c r="MNM5" s="79"/>
      <c r="MNN5" s="79"/>
      <c r="MNO5" s="79"/>
      <c r="MNP5" s="79"/>
      <c r="MNQ5" s="79"/>
      <c r="MNR5" s="79"/>
      <c r="MNS5" s="79"/>
      <c r="MNT5" s="79"/>
      <c r="MNU5" s="79"/>
      <c r="MNV5" s="79"/>
      <c r="MNW5" s="79"/>
      <c r="MNX5" s="79"/>
      <c r="MNY5" s="79"/>
      <c r="MNZ5" s="79"/>
      <c r="MOA5" s="79"/>
      <c r="MOB5" s="79"/>
      <c r="MOC5" s="79"/>
      <c r="MOD5" s="79"/>
      <c r="MOE5" s="79"/>
      <c r="MOF5" s="79"/>
      <c r="MOG5" s="79"/>
      <c r="MOH5" s="79"/>
      <c r="MOI5" s="79"/>
      <c r="MOJ5" s="79"/>
      <c r="MOK5" s="79"/>
      <c r="MOL5" s="79"/>
      <c r="MOM5" s="79"/>
      <c r="MON5" s="79"/>
      <c r="MOO5" s="79"/>
      <c r="MOP5" s="79"/>
      <c r="MOQ5" s="79"/>
      <c r="MOR5" s="79"/>
      <c r="MOS5" s="79"/>
      <c r="MOT5" s="79"/>
      <c r="MOU5" s="79"/>
      <c r="MOV5" s="79"/>
      <c r="MOW5" s="79"/>
      <c r="MOX5" s="79"/>
      <c r="MOY5" s="79"/>
      <c r="MOZ5" s="79"/>
      <c r="MPA5" s="79"/>
      <c r="MPB5" s="79"/>
      <c r="MPC5" s="79"/>
      <c r="MPD5" s="79"/>
      <c r="MPE5" s="79"/>
      <c r="MPF5" s="79"/>
      <c r="MPG5" s="79"/>
      <c r="MPH5" s="79"/>
      <c r="MPI5" s="79"/>
      <c r="MPJ5" s="79"/>
      <c r="MPK5" s="79"/>
      <c r="MPL5" s="79"/>
      <c r="MPM5" s="79"/>
      <c r="MPN5" s="79"/>
      <c r="MPO5" s="79"/>
      <c r="MPP5" s="79"/>
      <c r="MPQ5" s="79"/>
      <c r="MPR5" s="79"/>
      <c r="MPS5" s="79"/>
      <c r="MPT5" s="79"/>
      <c r="MPU5" s="79"/>
      <c r="MPV5" s="79"/>
      <c r="MPW5" s="79"/>
      <c r="MPX5" s="79"/>
      <c r="MPY5" s="79"/>
      <c r="MPZ5" s="79"/>
      <c r="MQA5" s="79"/>
      <c r="MQB5" s="79"/>
      <c r="MQC5" s="79"/>
      <c r="MQD5" s="79"/>
      <c r="MQE5" s="79"/>
      <c r="MQF5" s="79"/>
      <c r="MQG5" s="79"/>
      <c r="MQH5" s="79"/>
      <c r="MQI5" s="79"/>
      <c r="MQJ5" s="79"/>
      <c r="MQK5" s="79"/>
      <c r="MQL5" s="79"/>
      <c r="MQM5" s="79"/>
      <c r="MQN5" s="79"/>
      <c r="MQO5" s="79"/>
      <c r="MQP5" s="79"/>
      <c r="MQQ5" s="79"/>
      <c r="MQR5" s="79"/>
      <c r="MQS5" s="79"/>
      <c r="MQT5" s="79"/>
      <c r="MQU5" s="79"/>
      <c r="MQV5" s="79"/>
      <c r="MQW5" s="79"/>
      <c r="MQX5" s="79"/>
      <c r="MQY5" s="79"/>
      <c r="MQZ5" s="79"/>
      <c r="MRA5" s="79"/>
      <c r="MRB5" s="79"/>
      <c r="MRC5" s="79"/>
      <c r="MRD5" s="79"/>
      <c r="MRE5" s="79"/>
      <c r="MRF5" s="79"/>
      <c r="MRG5" s="79"/>
      <c r="MRH5" s="79"/>
      <c r="MRI5" s="79"/>
      <c r="MRJ5" s="79"/>
      <c r="MRK5" s="79"/>
      <c r="MRL5" s="79"/>
      <c r="MRM5" s="79"/>
      <c r="MRN5" s="79"/>
      <c r="MRO5" s="79"/>
      <c r="MRP5" s="79"/>
      <c r="MRQ5" s="79"/>
      <c r="MRR5" s="79"/>
      <c r="MRS5" s="79"/>
      <c r="MRT5" s="79"/>
      <c r="MRU5" s="79"/>
      <c r="MRV5" s="79"/>
      <c r="MRW5" s="79"/>
      <c r="MRX5" s="79"/>
      <c r="MRY5" s="79"/>
      <c r="MRZ5" s="79"/>
      <c r="MSA5" s="79"/>
      <c r="MSB5" s="79"/>
      <c r="MSC5" s="79"/>
      <c r="MSD5" s="79"/>
      <c r="MSE5" s="79"/>
      <c r="MSF5" s="79"/>
      <c r="MSG5" s="79"/>
      <c r="MSH5" s="79"/>
      <c r="MSI5" s="79"/>
      <c r="MSJ5" s="79"/>
      <c r="MSK5" s="79"/>
      <c r="MSL5" s="79"/>
      <c r="MSM5" s="79"/>
      <c r="MSN5" s="79"/>
      <c r="MSO5" s="79"/>
      <c r="MSP5" s="79"/>
      <c r="MSQ5" s="79"/>
      <c r="MSR5" s="79"/>
      <c r="MSS5" s="79"/>
      <c r="MST5" s="79"/>
      <c r="MSU5" s="79"/>
      <c r="MSV5" s="79"/>
      <c r="MSW5" s="79"/>
      <c r="MSX5" s="79"/>
      <c r="MSY5" s="79"/>
      <c r="MSZ5" s="79"/>
      <c r="MTA5" s="79"/>
      <c r="MTB5" s="79"/>
      <c r="MTC5" s="79"/>
      <c r="MTD5" s="79"/>
      <c r="MTE5" s="79"/>
      <c r="MTF5" s="79"/>
      <c r="MTG5" s="79"/>
      <c r="MTH5" s="79"/>
      <c r="MTI5" s="79"/>
      <c r="MTJ5" s="79"/>
      <c r="MTK5" s="79"/>
      <c r="MTL5" s="79"/>
      <c r="MTM5" s="79"/>
      <c r="MTN5" s="79"/>
      <c r="MTO5" s="79"/>
      <c r="MTP5" s="79"/>
      <c r="MTQ5" s="79"/>
      <c r="MTR5" s="79"/>
      <c r="MTS5" s="79"/>
      <c r="MTT5" s="79"/>
      <c r="MTU5" s="79"/>
      <c r="MTV5" s="79"/>
      <c r="MTW5" s="79"/>
      <c r="MTX5" s="79"/>
      <c r="MTY5" s="79"/>
      <c r="MTZ5" s="79"/>
      <c r="MUA5" s="79"/>
      <c r="MUB5" s="79"/>
      <c r="MUC5" s="79"/>
      <c r="MUD5" s="79"/>
      <c r="MUE5" s="79"/>
      <c r="MUF5" s="79"/>
      <c r="MUG5" s="79"/>
      <c r="MUH5" s="79"/>
      <c r="MUI5" s="79"/>
      <c r="MUJ5" s="79"/>
      <c r="MUK5" s="79"/>
      <c r="MUL5" s="79"/>
      <c r="MUM5" s="79"/>
      <c r="MUN5" s="79"/>
      <c r="MUO5" s="79"/>
      <c r="MUP5" s="79"/>
      <c r="MUQ5" s="79"/>
      <c r="MUR5" s="79"/>
      <c r="MUS5" s="79"/>
      <c r="MUT5" s="79"/>
      <c r="MUU5" s="79"/>
      <c r="MUV5" s="79"/>
      <c r="MUW5" s="79"/>
      <c r="MUX5" s="79"/>
      <c r="MUY5" s="79"/>
      <c r="MUZ5" s="79"/>
      <c r="MVA5" s="79"/>
      <c r="MVB5" s="79"/>
      <c r="MVC5" s="79"/>
      <c r="MVD5" s="79"/>
      <c r="MVE5" s="79"/>
      <c r="MVF5" s="79"/>
      <c r="MVG5" s="79"/>
      <c r="MVH5" s="79"/>
      <c r="MVI5" s="79"/>
      <c r="MVJ5" s="79"/>
      <c r="MVK5" s="79"/>
      <c r="MVL5" s="79"/>
      <c r="MVM5" s="79"/>
      <c r="MVN5" s="79"/>
      <c r="MVO5" s="79"/>
      <c r="MVP5" s="79"/>
      <c r="MVQ5" s="79"/>
      <c r="MVR5" s="79"/>
      <c r="MVS5" s="79"/>
      <c r="MVT5" s="79"/>
      <c r="MVU5" s="79"/>
      <c r="MVV5" s="79"/>
      <c r="MVW5" s="79"/>
      <c r="MVX5" s="79"/>
      <c r="MVY5" s="79"/>
      <c r="MVZ5" s="79"/>
      <c r="MWA5" s="79"/>
      <c r="MWB5" s="79"/>
      <c r="MWC5" s="79"/>
      <c r="MWD5" s="79"/>
      <c r="MWE5" s="79"/>
      <c r="MWF5" s="79"/>
      <c r="MWG5" s="79"/>
      <c r="MWH5" s="79"/>
      <c r="MWI5" s="79"/>
      <c r="MWJ5" s="79"/>
      <c r="MWK5" s="79"/>
      <c r="MWL5" s="79"/>
      <c r="MWM5" s="79"/>
      <c r="MWN5" s="79"/>
      <c r="MWO5" s="79"/>
      <c r="MWP5" s="79"/>
      <c r="MWQ5" s="79"/>
      <c r="MWR5" s="79"/>
      <c r="MWS5" s="79"/>
      <c r="MWT5" s="79"/>
      <c r="MWU5" s="79"/>
      <c r="MWV5" s="79"/>
      <c r="MWW5" s="79"/>
      <c r="MWX5" s="79"/>
      <c r="MWY5" s="79"/>
      <c r="MWZ5" s="79"/>
      <c r="MXA5" s="79"/>
      <c r="MXB5" s="79"/>
      <c r="MXC5" s="79"/>
      <c r="MXD5" s="79"/>
      <c r="MXE5" s="79"/>
      <c r="MXF5" s="79"/>
      <c r="MXG5" s="79"/>
      <c r="MXH5" s="79"/>
      <c r="MXI5" s="79"/>
      <c r="MXJ5" s="79"/>
      <c r="MXK5" s="79"/>
      <c r="MXL5" s="79"/>
      <c r="MXM5" s="79"/>
      <c r="MXN5" s="79"/>
      <c r="MXO5" s="79"/>
      <c r="MXP5" s="79"/>
      <c r="MXQ5" s="79"/>
      <c r="MXR5" s="79"/>
      <c r="MXS5" s="79"/>
      <c r="MXT5" s="79"/>
      <c r="MXU5" s="79"/>
      <c r="MXV5" s="79"/>
      <c r="MXW5" s="79"/>
      <c r="MXX5" s="79"/>
      <c r="MXY5" s="79"/>
      <c r="MXZ5" s="79"/>
      <c r="MYA5" s="79"/>
      <c r="MYB5" s="79"/>
      <c r="MYC5" s="79"/>
      <c r="MYD5" s="79"/>
      <c r="MYE5" s="79"/>
      <c r="MYF5" s="79"/>
      <c r="MYG5" s="79"/>
      <c r="MYH5" s="79"/>
      <c r="MYI5" s="79"/>
      <c r="MYJ5" s="79"/>
      <c r="MYK5" s="79"/>
      <c r="MYL5" s="79"/>
      <c r="MYM5" s="79"/>
      <c r="MYN5" s="79"/>
      <c r="MYO5" s="79"/>
      <c r="MYP5" s="79"/>
      <c r="MYQ5" s="79"/>
      <c r="MYR5" s="79"/>
      <c r="MYS5" s="79"/>
      <c r="MYT5" s="79"/>
      <c r="MYU5" s="79"/>
      <c r="MYV5" s="79"/>
      <c r="MYW5" s="79"/>
      <c r="MYX5" s="79"/>
      <c r="MYY5" s="79"/>
      <c r="MYZ5" s="79"/>
      <c r="MZA5" s="79"/>
      <c r="MZB5" s="79"/>
      <c r="MZC5" s="79"/>
      <c r="MZD5" s="79"/>
      <c r="MZE5" s="79"/>
      <c r="MZF5" s="79"/>
      <c r="MZG5" s="79"/>
      <c r="MZH5" s="79"/>
      <c r="MZI5" s="79"/>
      <c r="MZJ5" s="79"/>
      <c r="MZK5" s="79"/>
      <c r="MZL5" s="79"/>
      <c r="MZM5" s="79"/>
      <c r="MZN5" s="79"/>
      <c r="MZO5" s="79"/>
      <c r="MZP5" s="79"/>
      <c r="MZQ5" s="79"/>
      <c r="MZR5" s="79"/>
      <c r="MZS5" s="79"/>
      <c r="MZT5" s="79"/>
      <c r="MZU5" s="79"/>
      <c r="MZV5" s="79"/>
      <c r="MZW5" s="79"/>
      <c r="MZX5" s="79"/>
      <c r="MZY5" s="79"/>
      <c r="MZZ5" s="79"/>
      <c r="NAA5" s="79"/>
      <c r="NAB5" s="79"/>
      <c r="NAC5" s="79"/>
      <c r="NAD5" s="79"/>
      <c r="NAE5" s="79"/>
      <c r="NAF5" s="79"/>
      <c r="NAG5" s="79"/>
      <c r="NAH5" s="79"/>
      <c r="NAI5" s="79"/>
      <c r="NAJ5" s="79"/>
      <c r="NAK5" s="79"/>
      <c r="NAL5" s="79"/>
      <c r="NAM5" s="79"/>
      <c r="NAN5" s="79"/>
      <c r="NAO5" s="79"/>
      <c r="NAP5" s="79"/>
      <c r="NAQ5" s="79"/>
      <c r="NAR5" s="79"/>
      <c r="NAS5" s="79"/>
      <c r="NAT5" s="79"/>
      <c r="NAU5" s="79"/>
      <c r="NAV5" s="79"/>
      <c r="NAW5" s="79"/>
      <c r="NAX5" s="79"/>
      <c r="NAY5" s="79"/>
      <c r="NAZ5" s="79"/>
      <c r="NBA5" s="79"/>
      <c r="NBB5" s="79"/>
      <c r="NBC5" s="79"/>
      <c r="NBD5" s="79"/>
      <c r="NBE5" s="79"/>
      <c r="NBF5" s="79"/>
      <c r="NBG5" s="79"/>
      <c r="NBH5" s="79"/>
      <c r="NBI5" s="79"/>
      <c r="NBJ5" s="79"/>
      <c r="NBK5" s="79"/>
      <c r="NBL5" s="79"/>
      <c r="NBM5" s="79"/>
      <c r="NBN5" s="79"/>
      <c r="NBO5" s="79"/>
      <c r="NBP5" s="79"/>
      <c r="NBQ5" s="79"/>
      <c r="NBR5" s="79"/>
      <c r="NBS5" s="79"/>
      <c r="NBT5" s="79"/>
      <c r="NBU5" s="79"/>
      <c r="NBV5" s="79"/>
      <c r="NBW5" s="79"/>
      <c r="NBX5" s="79"/>
      <c r="NBY5" s="79"/>
      <c r="NBZ5" s="79"/>
      <c r="NCA5" s="79"/>
      <c r="NCB5" s="79"/>
      <c r="NCC5" s="79"/>
      <c r="NCD5" s="79"/>
      <c r="NCE5" s="79"/>
      <c r="NCF5" s="79"/>
      <c r="NCG5" s="79"/>
      <c r="NCH5" s="79"/>
      <c r="NCI5" s="79"/>
      <c r="NCJ5" s="79"/>
      <c r="NCK5" s="79"/>
      <c r="NCL5" s="79"/>
      <c r="NCM5" s="79"/>
      <c r="NCN5" s="79"/>
      <c r="NCO5" s="79"/>
      <c r="NCP5" s="79"/>
      <c r="NCQ5" s="79"/>
      <c r="NCR5" s="79"/>
      <c r="NCS5" s="79"/>
      <c r="NCT5" s="79"/>
      <c r="NCU5" s="79"/>
      <c r="NCV5" s="79"/>
      <c r="NCW5" s="79"/>
      <c r="NCX5" s="79"/>
      <c r="NCY5" s="79"/>
      <c r="NCZ5" s="79"/>
      <c r="NDA5" s="79"/>
      <c r="NDB5" s="79"/>
      <c r="NDC5" s="79"/>
      <c r="NDD5" s="79"/>
      <c r="NDE5" s="79"/>
      <c r="NDF5" s="79"/>
      <c r="NDG5" s="79"/>
      <c r="NDH5" s="79"/>
      <c r="NDI5" s="79"/>
      <c r="NDJ5" s="79"/>
      <c r="NDK5" s="79"/>
      <c r="NDL5" s="79"/>
      <c r="NDM5" s="79"/>
      <c r="NDN5" s="79"/>
      <c r="NDO5" s="79"/>
      <c r="NDP5" s="79"/>
      <c r="NDQ5" s="79"/>
      <c r="NDR5" s="79"/>
      <c r="NDS5" s="79"/>
      <c r="NDT5" s="79"/>
      <c r="NDU5" s="79"/>
      <c r="NDV5" s="79"/>
      <c r="NDW5" s="79"/>
      <c r="NDX5" s="79"/>
      <c r="NDY5" s="79"/>
      <c r="NDZ5" s="79"/>
      <c r="NEA5" s="79"/>
      <c r="NEB5" s="79"/>
      <c r="NEC5" s="79"/>
      <c r="NED5" s="79"/>
      <c r="NEE5" s="79"/>
      <c r="NEF5" s="79"/>
      <c r="NEG5" s="79"/>
      <c r="NEH5" s="79"/>
      <c r="NEI5" s="79"/>
      <c r="NEJ5" s="79"/>
      <c r="NEK5" s="79"/>
      <c r="NEL5" s="79"/>
      <c r="NEM5" s="79"/>
      <c r="NEN5" s="79"/>
      <c r="NEO5" s="79"/>
      <c r="NEP5" s="79"/>
      <c r="NEQ5" s="79"/>
      <c r="NER5" s="79"/>
      <c r="NES5" s="79"/>
      <c r="NET5" s="79"/>
      <c r="NEU5" s="79"/>
      <c r="NEV5" s="79"/>
      <c r="NEW5" s="79"/>
      <c r="NEX5" s="79"/>
      <c r="NEY5" s="79"/>
      <c r="NEZ5" s="79"/>
      <c r="NFA5" s="79"/>
      <c r="NFB5" s="79"/>
      <c r="NFC5" s="79"/>
      <c r="NFD5" s="79"/>
      <c r="NFE5" s="79"/>
      <c r="NFF5" s="79"/>
      <c r="NFG5" s="79"/>
      <c r="NFH5" s="79"/>
      <c r="NFI5" s="79"/>
      <c r="NFJ5" s="79"/>
      <c r="NFK5" s="79"/>
      <c r="NFL5" s="79"/>
      <c r="NFM5" s="79"/>
      <c r="NFN5" s="79"/>
      <c r="NFO5" s="79"/>
      <c r="NFP5" s="79"/>
      <c r="NFQ5" s="79"/>
      <c r="NFR5" s="79"/>
      <c r="NFS5" s="79"/>
      <c r="NFT5" s="79"/>
      <c r="NFU5" s="79"/>
      <c r="NFV5" s="79"/>
      <c r="NFW5" s="79"/>
      <c r="NFX5" s="79"/>
      <c r="NFY5" s="79"/>
      <c r="NFZ5" s="79"/>
      <c r="NGA5" s="79"/>
      <c r="NGB5" s="79"/>
      <c r="NGC5" s="79"/>
      <c r="NGD5" s="79"/>
      <c r="NGE5" s="79"/>
      <c r="NGF5" s="79"/>
      <c r="NGG5" s="79"/>
      <c r="NGH5" s="79"/>
      <c r="NGI5" s="79"/>
      <c r="NGJ5" s="79"/>
      <c r="NGK5" s="79"/>
      <c r="NGL5" s="79"/>
      <c r="NGM5" s="79"/>
      <c r="NGN5" s="79"/>
      <c r="NGO5" s="79"/>
      <c r="NGP5" s="79"/>
      <c r="NGQ5" s="79"/>
      <c r="NGR5" s="79"/>
      <c r="NGS5" s="79"/>
      <c r="NGT5" s="79"/>
      <c r="NGU5" s="79"/>
      <c r="NGV5" s="79"/>
      <c r="NGW5" s="79"/>
      <c r="NGX5" s="79"/>
      <c r="NGY5" s="79"/>
      <c r="NGZ5" s="79"/>
      <c r="NHA5" s="79"/>
      <c r="NHB5" s="79"/>
      <c r="NHC5" s="79"/>
      <c r="NHD5" s="79"/>
      <c r="NHE5" s="79"/>
      <c r="NHF5" s="79"/>
      <c r="NHG5" s="79"/>
      <c r="NHH5" s="79"/>
      <c r="NHI5" s="79"/>
      <c r="NHJ5" s="79"/>
      <c r="NHK5" s="79"/>
      <c r="NHL5" s="79"/>
      <c r="NHM5" s="79"/>
      <c r="NHN5" s="79"/>
      <c r="NHO5" s="79"/>
      <c r="NHP5" s="79"/>
      <c r="NHQ5" s="79"/>
      <c r="NHR5" s="79"/>
      <c r="NHS5" s="79"/>
      <c r="NHT5" s="79"/>
      <c r="NHU5" s="79"/>
      <c r="NHV5" s="79"/>
      <c r="NHW5" s="79"/>
      <c r="NHX5" s="79"/>
      <c r="NHY5" s="79"/>
      <c r="NHZ5" s="79"/>
      <c r="NIA5" s="79"/>
      <c r="NIB5" s="79"/>
      <c r="NIC5" s="79"/>
      <c r="NID5" s="79"/>
      <c r="NIE5" s="79"/>
      <c r="NIF5" s="79"/>
      <c r="NIG5" s="79"/>
      <c r="NIH5" s="79"/>
      <c r="NII5" s="79"/>
      <c r="NIJ5" s="79"/>
      <c r="NIK5" s="79"/>
      <c r="NIL5" s="79"/>
      <c r="NIM5" s="79"/>
      <c r="NIN5" s="79"/>
      <c r="NIO5" s="79"/>
      <c r="NIP5" s="79"/>
      <c r="NIQ5" s="79"/>
      <c r="NIR5" s="79"/>
      <c r="NIS5" s="79"/>
      <c r="NIT5" s="79"/>
      <c r="NIU5" s="79"/>
      <c r="NIV5" s="79"/>
      <c r="NIW5" s="79"/>
      <c r="NIX5" s="79"/>
      <c r="NIY5" s="79"/>
      <c r="NIZ5" s="79"/>
      <c r="NJA5" s="79"/>
      <c r="NJB5" s="79"/>
      <c r="NJC5" s="79"/>
      <c r="NJD5" s="79"/>
      <c r="NJE5" s="79"/>
      <c r="NJF5" s="79"/>
      <c r="NJG5" s="79"/>
      <c r="NJH5" s="79"/>
      <c r="NJI5" s="79"/>
      <c r="NJJ5" s="79"/>
      <c r="NJK5" s="79"/>
      <c r="NJL5" s="79"/>
      <c r="NJM5" s="79"/>
      <c r="NJN5" s="79"/>
      <c r="NJO5" s="79"/>
      <c r="NJP5" s="79"/>
      <c r="NJQ5" s="79"/>
      <c r="NJR5" s="79"/>
      <c r="NJS5" s="79"/>
      <c r="NJT5" s="79"/>
      <c r="NJU5" s="79"/>
      <c r="NJV5" s="79"/>
      <c r="NJW5" s="79"/>
      <c r="NJX5" s="79"/>
      <c r="NJY5" s="79"/>
      <c r="NJZ5" s="79"/>
      <c r="NKA5" s="79"/>
      <c r="NKB5" s="79"/>
      <c r="NKC5" s="79"/>
      <c r="NKD5" s="79"/>
      <c r="NKE5" s="79"/>
      <c r="NKF5" s="79"/>
      <c r="NKG5" s="79"/>
      <c r="NKH5" s="79"/>
      <c r="NKI5" s="79"/>
      <c r="NKJ5" s="79"/>
      <c r="NKK5" s="79"/>
      <c r="NKL5" s="79"/>
      <c r="NKM5" s="79"/>
      <c r="NKN5" s="79"/>
      <c r="NKO5" s="79"/>
      <c r="NKP5" s="79"/>
      <c r="NKQ5" s="79"/>
      <c r="NKR5" s="79"/>
      <c r="NKS5" s="79"/>
      <c r="NKT5" s="79"/>
      <c r="NKU5" s="79"/>
      <c r="NKV5" s="79"/>
      <c r="NKW5" s="79"/>
      <c r="NKX5" s="79"/>
      <c r="NKY5" s="79"/>
      <c r="NKZ5" s="79"/>
      <c r="NLA5" s="79"/>
      <c r="NLB5" s="79"/>
      <c r="NLC5" s="79"/>
      <c r="NLD5" s="79"/>
      <c r="NLE5" s="79"/>
      <c r="NLF5" s="79"/>
      <c r="NLG5" s="79"/>
      <c r="NLH5" s="79"/>
      <c r="NLI5" s="79"/>
      <c r="NLJ5" s="79"/>
      <c r="NLK5" s="79"/>
      <c r="NLL5" s="79"/>
      <c r="NLM5" s="79"/>
      <c r="NLN5" s="79"/>
      <c r="NLO5" s="79"/>
      <c r="NLP5" s="79"/>
      <c r="NLQ5" s="79"/>
      <c r="NLR5" s="79"/>
      <c r="NLS5" s="79"/>
      <c r="NLT5" s="79"/>
      <c r="NLU5" s="79"/>
      <c r="NLV5" s="79"/>
      <c r="NLW5" s="79"/>
      <c r="NLX5" s="79"/>
      <c r="NLY5" s="79"/>
      <c r="NLZ5" s="79"/>
      <c r="NMA5" s="79"/>
      <c r="NMB5" s="79"/>
      <c r="NMC5" s="79"/>
      <c r="NMD5" s="79"/>
      <c r="NME5" s="79"/>
      <c r="NMF5" s="79"/>
      <c r="NMG5" s="79"/>
      <c r="NMH5" s="79"/>
      <c r="NMI5" s="79"/>
      <c r="NMJ5" s="79"/>
      <c r="NMK5" s="79"/>
      <c r="NML5" s="79"/>
      <c r="NMM5" s="79"/>
      <c r="NMN5" s="79"/>
      <c r="NMO5" s="79"/>
      <c r="NMP5" s="79"/>
      <c r="NMQ5" s="79"/>
      <c r="NMR5" s="79"/>
      <c r="NMS5" s="79"/>
      <c r="NMT5" s="79"/>
      <c r="NMU5" s="79"/>
      <c r="NMV5" s="79"/>
      <c r="NMW5" s="79"/>
      <c r="NMX5" s="79"/>
      <c r="NMY5" s="79"/>
      <c r="NMZ5" s="79"/>
      <c r="NNA5" s="79"/>
      <c r="NNB5" s="79"/>
      <c r="NNC5" s="79"/>
      <c r="NND5" s="79"/>
      <c r="NNE5" s="79"/>
      <c r="NNF5" s="79"/>
      <c r="NNG5" s="79"/>
      <c r="NNH5" s="79"/>
      <c r="NNI5" s="79"/>
      <c r="NNJ5" s="79"/>
      <c r="NNK5" s="79"/>
      <c r="NNL5" s="79"/>
      <c r="NNM5" s="79"/>
      <c r="NNN5" s="79"/>
      <c r="NNO5" s="79"/>
      <c r="NNP5" s="79"/>
      <c r="NNQ5" s="79"/>
      <c r="NNR5" s="79"/>
      <c r="NNS5" s="79"/>
      <c r="NNT5" s="79"/>
      <c r="NNU5" s="79"/>
      <c r="NNV5" s="79"/>
      <c r="NNW5" s="79"/>
      <c r="NNX5" s="79"/>
      <c r="NNY5" s="79"/>
      <c r="NNZ5" s="79"/>
      <c r="NOA5" s="79"/>
      <c r="NOB5" s="79"/>
      <c r="NOC5" s="79"/>
      <c r="NOD5" s="79"/>
      <c r="NOE5" s="79"/>
      <c r="NOF5" s="79"/>
      <c r="NOG5" s="79"/>
      <c r="NOH5" s="79"/>
      <c r="NOI5" s="79"/>
      <c r="NOJ5" s="79"/>
      <c r="NOK5" s="79"/>
      <c r="NOL5" s="79"/>
      <c r="NOM5" s="79"/>
      <c r="NON5" s="79"/>
      <c r="NOO5" s="79"/>
      <c r="NOP5" s="79"/>
      <c r="NOQ5" s="79"/>
      <c r="NOR5" s="79"/>
      <c r="NOS5" s="79"/>
      <c r="NOT5" s="79"/>
      <c r="NOU5" s="79"/>
      <c r="NOV5" s="79"/>
      <c r="NOW5" s="79"/>
      <c r="NOX5" s="79"/>
      <c r="NOY5" s="79"/>
      <c r="NOZ5" s="79"/>
      <c r="NPA5" s="79"/>
      <c r="NPB5" s="79"/>
      <c r="NPC5" s="79"/>
      <c r="NPD5" s="79"/>
      <c r="NPE5" s="79"/>
      <c r="NPF5" s="79"/>
      <c r="NPG5" s="79"/>
      <c r="NPH5" s="79"/>
      <c r="NPI5" s="79"/>
      <c r="NPJ5" s="79"/>
      <c r="NPK5" s="79"/>
      <c r="NPL5" s="79"/>
      <c r="NPM5" s="79"/>
      <c r="NPN5" s="79"/>
      <c r="NPO5" s="79"/>
      <c r="NPP5" s="79"/>
      <c r="NPQ5" s="79"/>
      <c r="NPR5" s="79"/>
      <c r="NPS5" s="79"/>
      <c r="NPT5" s="79"/>
      <c r="NPU5" s="79"/>
      <c r="NPV5" s="79"/>
      <c r="NPW5" s="79"/>
      <c r="NPX5" s="79"/>
      <c r="NPY5" s="79"/>
      <c r="NPZ5" s="79"/>
      <c r="NQA5" s="79"/>
      <c r="NQB5" s="79"/>
      <c r="NQC5" s="79"/>
      <c r="NQD5" s="79"/>
      <c r="NQE5" s="79"/>
      <c r="NQF5" s="79"/>
      <c r="NQG5" s="79"/>
      <c r="NQH5" s="79"/>
      <c r="NQI5" s="79"/>
      <c r="NQJ5" s="79"/>
      <c r="NQK5" s="79"/>
      <c r="NQL5" s="79"/>
      <c r="NQM5" s="79"/>
      <c r="NQN5" s="79"/>
      <c r="NQO5" s="79"/>
      <c r="NQP5" s="79"/>
      <c r="NQQ5" s="79"/>
      <c r="NQR5" s="79"/>
      <c r="NQS5" s="79"/>
      <c r="NQT5" s="79"/>
      <c r="NQU5" s="79"/>
      <c r="NQV5" s="79"/>
      <c r="NQW5" s="79"/>
      <c r="NQX5" s="79"/>
      <c r="NQY5" s="79"/>
      <c r="NQZ5" s="79"/>
      <c r="NRA5" s="79"/>
      <c r="NRB5" s="79"/>
      <c r="NRC5" s="79"/>
      <c r="NRD5" s="79"/>
      <c r="NRE5" s="79"/>
      <c r="NRF5" s="79"/>
      <c r="NRG5" s="79"/>
      <c r="NRH5" s="79"/>
      <c r="NRI5" s="79"/>
      <c r="NRJ5" s="79"/>
      <c r="NRK5" s="79"/>
      <c r="NRL5" s="79"/>
      <c r="NRM5" s="79"/>
      <c r="NRN5" s="79"/>
      <c r="NRO5" s="79"/>
      <c r="NRP5" s="79"/>
      <c r="NRQ5" s="79"/>
      <c r="NRR5" s="79"/>
      <c r="NRS5" s="79"/>
      <c r="NRT5" s="79"/>
      <c r="NRU5" s="79"/>
      <c r="NRV5" s="79"/>
      <c r="NRW5" s="79"/>
      <c r="NRX5" s="79"/>
      <c r="NRY5" s="79"/>
      <c r="NRZ5" s="79"/>
      <c r="NSA5" s="79"/>
      <c r="NSB5" s="79"/>
      <c r="NSC5" s="79"/>
      <c r="NSD5" s="79"/>
      <c r="NSE5" s="79"/>
      <c r="NSF5" s="79"/>
      <c r="NSG5" s="79"/>
      <c r="NSH5" s="79"/>
      <c r="NSI5" s="79"/>
      <c r="NSJ5" s="79"/>
      <c r="NSK5" s="79"/>
      <c r="NSL5" s="79"/>
      <c r="NSM5" s="79"/>
      <c r="NSN5" s="79"/>
      <c r="NSO5" s="79"/>
      <c r="NSP5" s="79"/>
      <c r="NSQ5" s="79"/>
      <c r="NSR5" s="79"/>
      <c r="NSS5" s="79"/>
      <c r="NST5" s="79"/>
      <c r="NSU5" s="79"/>
      <c r="NSV5" s="79"/>
      <c r="NSW5" s="79"/>
      <c r="NSX5" s="79"/>
      <c r="NSY5" s="79"/>
      <c r="NSZ5" s="79"/>
      <c r="NTA5" s="79"/>
      <c r="NTB5" s="79"/>
      <c r="NTC5" s="79"/>
      <c r="NTD5" s="79"/>
      <c r="NTE5" s="79"/>
      <c r="NTF5" s="79"/>
      <c r="NTG5" s="79"/>
      <c r="NTH5" s="79"/>
      <c r="NTI5" s="79"/>
      <c r="NTJ5" s="79"/>
      <c r="NTK5" s="79"/>
      <c r="NTL5" s="79"/>
      <c r="NTM5" s="79"/>
      <c r="NTN5" s="79"/>
      <c r="NTO5" s="79"/>
      <c r="NTP5" s="79"/>
      <c r="NTQ5" s="79"/>
      <c r="NTR5" s="79"/>
      <c r="NTS5" s="79"/>
      <c r="NTT5" s="79"/>
      <c r="NTU5" s="79"/>
      <c r="NTV5" s="79"/>
      <c r="NTW5" s="79"/>
      <c r="NTX5" s="79"/>
      <c r="NTY5" s="79"/>
      <c r="NTZ5" s="79"/>
      <c r="NUA5" s="79"/>
      <c r="NUB5" s="79"/>
      <c r="NUC5" s="79"/>
      <c r="NUD5" s="79"/>
      <c r="NUE5" s="79"/>
      <c r="NUF5" s="79"/>
      <c r="NUG5" s="79"/>
      <c r="NUH5" s="79"/>
      <c r="NUI5" s="79"/>
      <c r="NUJ5" s="79"/>
      <c r="NUK5" s="79"/>
      <c r="NUL5" s="79"/>
      <c r="NUM5" s="79"/>
      <c r="NUN5" s="79"/>
      <c r="NUO5" s="79"/>
      <c r="NUP5" s="79"/>
      <c r="NUQ5" s="79"/>
      <c r="NUR5" s="79"/>
      <c r="NUS5" s="79"/>
      <c r="NUT5" s="79"/>
      <c r="NUU5" s="79"/>
      <c r="NUV5" s="79"/>
      <c r="NUW5" s="79"/>
      <c r="NUX5" s="79"/>
      <c r="NUY5" s="79"/>
      <c r="NUZ5" s="79"/>
      <c r="NVA5" s="79"/>
      <c r="NVB5" s="79"/>
      <c r="NVC5" s="79"/>
      <c r="NVD5" s="79"/>
      <c r="NVE5" s="79"/>
      <c r="NVF5" s="79"/>
      <c r="NVG5" s="79"/>
      <c r="NVH5" s="79"/>
      <c r="NVI5" s="79"/>
      <c r="NVJ5" s="79"/>
      <c r="NVK5" s="79"/>
      <c r="NVL5" s="79"/>
      <c r="NVM5" s="79"/>
      <c r="NVN5" s="79"/>
      <c r="NVO5" s="79"/>
      <c r="NVP5" s="79"/>
      <c r="NVQ5" s="79"/>
      <c r="NVR5" s="79"/>
      <c r="NVS5" s="79"/>
      <c r="NVT5" s="79"/>
      <c r="NVU5" s="79"/>
      <c r="NVV5" s="79"/>
      <c r="NVW5" s="79"/>
      <c r="NVX5" s="79"/>
      <c r="NVY5" s="79"/>
      <c r="NVZ5" s="79"/>
      <c r="NWA5" s="79"/>
      <c r="NWB5" s="79"/>
      <c r="NWC5" s="79"/>
      <c r="NWD5" s="79"/>
      <c r="NWE5" s="79"/>
      <c r="NWF5" s="79"/>
      <c r="NWG5" s="79"/>
      <c r="NWH5" s="79"/>
      <c r="NWI5" s="79"/>
      <c r="NWJ5" s="79"/>
      <c r="NWK5" s="79"/>
      <c r="NWL5" s="79"/>
      <c r="NWM5" s="79"/>
      <c r="NWN5" s="79"/>
      <c r="NWO5" s="79"/>
      <c r="NWP5" s="79"/>
      <c r="NWQ5" s="79"/>
      <c r="NWR5" s="79"/>
      <c r="NWS5" s="79"/>
      <c r="NWT5" s="79"/>
      <c r="NWU5" s="79"/>
      <c r="NWV5" s="79"/>
      <c r="NWW5" s="79"/>
      <c r="NWX5" s="79"/>
      <c r="NWY5" s="79"/>
      <c r="NWZ5" s="79"/>
      <c r="NXA5" s="79"/>
      <c r="NXB5" s="79"/>
      <c r="NXC5" s="79"/>
      <c r="NXD5" s="79"/>
      <c r="NXE5" s="79"/>
      <c r="NXF5" s="79"/>
      <c r="NXG5" s="79"/>
      <c r="NXH5" s="79"/>
      <c r="NXI5" s="79"/>
      <c r="NXJ5" s="79"/>
      <c r="NXK5" s="79"/>
      <c r="NXL5" s="79"/>
      <c r="NXM5" s="79"/>
      <c r="NXN5" s="79"/>
      <c r="NXO5" s="79"/>
      <c r="NXP5" s="79"/>
      <c r="NXQ5" s="79"/>
      <c r="NXR5" s="79"/>
      <c r="NXS5" s="79"/>
      <c r="NXT5" s="79"/>
      <c r="NXU5" s="79"/>
      <c r="NXV5" s="79"/>
      <c r="NXW5" s="79"/>
      <c r="NXX5" s="79"/>
      <c r="NXY5" s="79"/>
      <c r="NXZ5" s="79"/>
      <c r="NYA5" s="79"/>
      <c r="NYB5" s="79"/>
      <c r="NYC5" s="79"/>
      <c r="NYD5" s="79"/>
      <c r="NYE5" s="79"/>
      <c r="NYF5" s="79"/>
      <c r="NYG5" s="79"/>
      <c r="NYH5" s="79"/>
      <c r="NYI5" s="79"/>
      <c r="NYJ5" s="79"/>
      <c r="NYK5" s="79"/>
      <c r="NYL5" s="79"/>
      <c r="NYM5" s="79"/>
      <c r="NYN5" s="79"/>
      <c r="NYO5" s="79"/>
      <c r="NYP5" s="79"/>
      <c r="NYQ5" s="79"/>
      <c r="NYR5" s="79"/>
      <c r="NYS5" s="79"/>
      <c r="NYT5" s="79"/>
      <c r="NYU5" s="79"/>
      <c r="NYV5" s="79"/>
      <c r="NYW5" s="79"/>
      <c r="NYX5" s="79"/>
      <c r="NYY5" s="79"/>
      <c r="NYZ5" s="79"/>
      <c r="NZA5" s="79"/>
      <c r="NZB5" s="79"/>
      <c r="NZC5" s="79"/>
      <c r="NZD5" s="79"/>
      <c r="NZE5" s="79"/>
      <c r="NZF5" s="79"/>
      <c r="NZG5" s="79"/>
      <c r="NZH5" s="79"/>
      <c r="NZI5" s="79"/>
      <c r="NZJ5" s="79"/>
      <c r="NZK5" s="79"/>
      <c r="NZL5" s="79"/>
      <c r="NZM5" s="79"/>
      <c r="NZN5" s="79"/>
      <c r="NZO5" s="79"/>
      <c r="NZP5" s="79"/>
      <c r="NZQ5" s="79"/>
      <c r="NZR5" s="79"/>
      <c r="NZS5" s="79"/>
      <c r="NZT5" s="79"/>
      <c r="NZU5" s="79"/>
      <c r="NZV5" s="79"/>
      <c r="NZW5" s="79"/>
      <c r="NZX5" s="79"/>
      <c r="NZY5" s="79"/>
      <c r="NZZ5" s="79"/>
      <c r="OAA5" s="79"/>
      <c r="OAB5" s="79"/>
      <c r="OAC5" s="79"/>
      <c r="OAD5" s="79"/>
      <c r="OAE5" s="79"/>
      <c r="OAF5" s="79"/>
      <c r="OAG5" s="79"/>
      <c r="OAH5" s="79"/>
      <c r="OAI5" s="79"/>
      <c r="OAJ5" s="79"/>
      <c r="OAK5" s="79"/>
      <c r="OAL5" s="79"/>
      <c r="OAM5" s="79"/>
      <c r="OAN5" s="79"/>
      <c r="OAO5" s="79"/>
      <c r="OAP5" s="79"/>
      <c r="OAQ5" s="79"/>
      <c r="OAR5" s="79"/>
      <c r="OAS5" s="79"/>
      <c r="OAT5" s="79"/>
      <c r="OAU5" s="79"/>
      <c r="OAV5" s="79"/>
      <c r="OAW5" s="79"/>
      <c r="OAX5" s="79"/>
      <c r="OAY5" s="79"/>
      <c r="OAZ5" s="79"/>
      <c r="OBA5" s="79"/>
      <c r="OBB5" s="79"/>
      <c r="OBC5" s="79"/>
      <c r="OBD5" s="79"/>
      <c r="OBE5" s="79"/>
      <c r="OBF5" s="79"/>
      <c r="OBG5" s="79"/>
      <c r="OBH5" s="79"/>
      <c r="OBI5" s="79"/>
      <c r="OBJ5" s="79"/>
      <c r="OBK5" s="79"/>
      <c r="OBL5" s="79"/>
      <c r="OBM5" s="79"/>
      <c r="OBN5" s="79"/>
      <c r="OBO5" s="79"/>
      <c r="OBP5" s="79"/>
      <c r="OBQ5" s="79"/>
      <c r="OBR5" s="79"/>
      <c r="OBS5" s="79"/>
      <c r="OBT5" s="79"/>
      <c r="OBU5" s="79"/>
      <c r="OBV5" s="79"/>
      <c r="OBW5" s="79"/>
      <c r="OBX5" s="79"/>
      <c r="OBY5" s="79"/>
      <c r="OBZ5" s="79"/>
      <c r="OCA5" s="79"/>
      <c r="OCB5" s="79"/>
      <c r="OCC5" s="79"/>
      <c r="OCD5" s="79"/>
      <c r="OCE5" s="79"/>
      <c r="OCF5" s="79"/>
      <c r="OCG5" s="79"/>
      <c r="OCH5" s="79"/>
      <c r="OCI5" s="79"/>
      <c r="OCJ5" s="79"/>
      <c r="OCK5" s="79"/>
      <c r="OCL5" s="79"/>
      <c r="OCM5" s="79"/>
      <c r="OCN5" s="79"/>
      <c r="OCO5" s="79"/>
      <c r="OCP5" s="79"/>
      <c r="OCQ5" s="79"/>
      <c r="OCR5" s="79"/>
      <c r="OCS5" s="79"/>
      <c r="OCT5" s="79"/>
      <c r="OCU5" s="79"/>
      <c r="OCV5" s="79"/>
      <c r="OCW5" s="79"/>
      <c r="OCX5" s="79"/>
      <c r="OCY5" s="79"/>
      <c r="OCZ5" s="79"/>
      <c r="ODA5" s="79"/>
      <c r="ODB5" s="79"/>
      <c r="ODC5" s="79"/>
      <c r="ODD5" s="79"/>
      <c r="ODE5" s="79"/>
      <c r="ODF5" s="79"/>
      <c r="ODG5" s="79"/>
      <c r="ODH5" s="79"/>
      <c r="ODI5" s="79"/>
      <c r="ODJ5" s="79"/>
      <c r="ODK5" s="79"/>
      <c r="ODL5" s="79"/>
      <c r="ODM5" s="79"/>
      <c r="ODN5" s="79"/>
      <c r="ODO5" s="79"/>
      <c r="ODP5" s="79"/>
      <c r="ODQ5" s="79"/>
      <c r="ODR5" s="79"/>
      <c r="ODS5" s="79"/>
      <c r="ODT5" s="79"/>
      <c r="ODU5" s="79"/>
      <c r="ODV5" s="79"/>
      <c r="ODW5" s="79"/>
      <c r="ODX5" s="79"/>
      <c r="ODY5" s="79"/>
      <c r="ODZ5" s="79"/>
      <c r="OEA5" s="79"/>
      <c r="OEB5" s="79"/>
      <c r="OEC5" s="79"/>
      <c r="OED5" s="79"/>
      <c r="OEE5" s="79"/>
      <c r="OEF5" s="79"/>
      <c r="OEG5" s="79"/>
      <c r="OEH5" s="79"/>
      <c r="OEI5" s="79"/>
      <c r="OEJ5" s="79"/>
      <c r="OEK5" s="79"/>
      <c r="OEL5" s="79"/>
      <c r="OEM5" s="79"/>
      <c r="OEN5" s="79"/>
      <c r="OEO5" s="79"/>
      <c r="OEP5" s="79"/>
      <c r="OEQ5" s="79"/>
      <c r="OER5" s="79"/>
      <c r="OES5" s="79"/>
      <c r="OET5" s="79"/>
      <c r="OEU5" s="79"/>
      <c r="OEV5" s="79"/>
      <c r="OEW5" s="79"/>
      <c r="OEX5" s="79"/>
      <c r="OEY5" s="79"/>
      <c r="OEZ5" s="79"/>
      <c r="OFA5" s="79"/>
      <c r="OFB5" s="79"/>
      <c r="OFC5" s="79"/>
      <c r="OFD5" s="79"/>
      <c r="OFE5" s="79"/>
      <c r="OFF5" s="79"/>
      <c r="OFG5" s="79"/>
      <c r="OFH5" s="79"/>
      <c r="OFI5" s="79"/>
      <c r="OFJ5" s="79"/>
      <c r="OFK5" s="79"/>
      <c r="OFL5" s="79"/>
      <c r="OFM5" s="79"/>
      <c r="OFN5" s="79"/>
      <c r="OFO5" s="79"/>
      <c r="OFP5" s="79"/>
      <c r="OFQ5" s="79"/>
      <c r="OFR5" s="79"/>
      <c r="OFS5" s="79"/>
      <c r="OFT5" s="79"/>
      <c r="OFU5" s="79"/>
      <c r="OFV5" s="79"/>
      <c r="OFW5" s="79"/>
      <c r="OFX5" s="79"/>
      <c r="OFY5" s="79"/>
      <c r="OFZ5" s="79"/>
      <c r="OGA5" s="79"/>
      <c r="OGB5" s="79"/>
      <c r="OGC5" s="79"/>
      <c r="OGD5" s="79"/>
      <c r="OGE5" s="79"/>
      <c r="OGF5" s="79"/>
      <c r="OGG5" s="79"/>
      <c r="OGH5" s="79"/>
      <c r="OGI5" s="79"/>
      <c r="OGJ5" s="79"/>
      <c r="OGK5" s="79"/>
      <c r="OGL5" s="79"/>
      <c r="OGM5" s="79"/>
      <c r="OGN5" s="79"/>
      <c r="OGO5" s="79"/>
      <c r="OGP5" s="79"/>
      <c r="OGQ5" s="79"/>
      <c r="OGR5" s="79"/>
      <c r="OGS5" s="79"/>
      <c r="OGT5" s="79"/>
      <c r="OGU5" s="79"/>
      <c r="OGV5" s="79"/>
      <c r="OGW5" s="79"/>
      <c r="OGX5" s="79"/>
      <c r="OGY5" s="79"/>
      <c r="OGZ5" s="79"/>
      <c r="OHA5" s="79"/>
      <c r="OHB5" s="79"/>
      <c r="OHC5" s="79"/>
      <c r="OHD5" s="79"/>
      <c r="OHE5" s="79"/>
      <c r="OHF5" s="79"/>
      <c r="OHG5" s="79"/>
      <c r="OHH5" s="79"/>
      <c r="OHI5" s="79"/>
      <c r="OHJ5" s="79"/>
      <c r="OHK5" s="79"/>
      <c r="OHL5" s="79"/>
      <c r="OHM5" s="79"/>
      <c r="OHN5" s="79"/>
      <c r="OHO5" s="79"/>
      <c r="OHP5" s="79"/>
      <c r="OHQ5" s="79"/>
      <c r="OHR5" s="79"/>
      <c r="OHS5" s="79"/>
      <c r="OHT5" s="79"/>
      <c r="OHU5" s="79"/>
      <c r="OHV5" s="79"/>
      <c r="OHW5" s="79"/>
      <c r="OHX5" s="79"/>
      <c r="OHY5" s="79"/>
      <c r="OHZ5" s="79"/>
      <c r="OIA5" s="79"/>
      <c r="OIB5" s="79"/>
      <c r="OIC5" s="79"/>
      <c r="OID5" s="79"/>
      <c r="OIE5" s="79"/>
      <c r="OIF5" s="79"/>
      <c r="OIG5" s="79"/>
      <c r="OIH5" s="79"/>
      <c r="OII5" s="79"/>
      <c r="OIJ5" s="79"/>
      <c r="OIK5" s="79"/>
      <c r="OIL5" s="79"/>
      <c r="OIM5" s="79"/>
      <c r="OIN5" s="79"/>
      <c r="OIO5" s="79"/>
      <c r="OIP5" s="79"/>
      <c r="OIQ5" s="79"/>
      <c r="OIR5" s="79"/>
      <c r="OIS5" s="79"/>
      <c r="OIT5" s="79"/>
      <c r="OIU5" s="79"/>
      <c r="OIV5" s="79"/>
      <c r="OIW5" s="79"/>
      <c r="OIX5" s="79"/>
      <c r="OIY5" s="79"/>
      <c r="OIZ5" s="79"/>
      <c r="OJA5" s="79"/>
      <c r="OJB5" s="79"/>
      <c r="OJC5" s="79"/>
      <c r="OJD5" s="79"/>
      <c r="OJE5" s="79"/>
      <c r="OJF5" s="79"/>
      <c r="OJG5" s="79"/>
      <c r="OJH5" s="79"/>
      <c r="OJI5" s="79"/>
      <c r="OJJ5" s="79"/>
      <c r="OJK5" s="79"/>
      <c r="OJL5" s="79"/>
      <c r="OJM5" s="79"/>
      <c r="OJN5" s="79"/>
      <c r="OJO5" s="79"/>
      <c r="OJP5" s="79"/>
      <c r="OJQ5" s="79"/>
      <c r="OJR5" s="79"/>
      <c r="OJS5" s="79"/>
      <c r="OJT5" s="79"/>
      <c r="OJU5" s="79"/>
      <c r="OJV5" s="79"/>
      <c r="OJW5" s="79"/>
      <c r="OJX5" s="79"/>
      <c r="OJY5" s="79"/>
      <c r="OJZ5" s="79"/>
      <c r="OKA5" s="79"/>
      <c r="OKB5" s="79"/>
      <c r="OKC5" s="79"/>
      <c r="OKD5" s="79"/>
      <c r="OKE5" s="79"/>
      <c r="OKF5" s="79"/>
      <c r="OKG5" s="79"/>
      <c r="OKH5" s="79"/>
      <c r="OKI5" s="79"/>
      <c r="OKJ5" s="79"/>
      <c r="OKK5" s="79"/>
      <c r="OKL5" s="79"/>
      <c r="OKM5" s="79"/>
      <c r="OKN5" s="79"/>
      <c r="OKO5" s="79"/>
      <c r="OKP5" s="79"/>
      <c r="OKQ5" s="79"/>
      <c r="OKR5" s="79"/>
      <c r="OKS5" s="79"/>
      <c r="OKT5" s="79"/>
      <c r="OKU5" s="79"/>
      <c r="OKV5" s="79"/>
      <c r="OKW5" s="79"/>
      <c r="OKX5" s="79"/>
      <c r="OKY5" s="79"/>
      <c r="OKZ5" s="79"/>
      <c r="OLA5" s="79"/>
      <c r="OLB5" s="79"/>
      <c r="OLC5" s="79"/>
      <c r="OLD5" s="79"/>
      <c r="OLE5" s="79"/>
      <c r="OLF5" s="79"/>
      <c r="OLG5" s="79"/>
      <c r="OLH5" s="79"/>
      <c r="OLI5" s="79"/>
      <c r="OLJ5" s="79"/>
      <c r="OLK5" s="79"/>
      <c r="OLL5" s="79"/>
      <c r="OLM5" s="79"/>
      <c r="OLN5" s="79"/>
      <c r="OLO5" s="79"/>
      <c r="OLP5" s="79"/>
      <c r="OLQ5" s="79"/>
      <c r="OLR5" s="79"/>
      <c r="OLS5" s="79"/>
      <c r="OLT5" s="79"/>
      <c r="OLU5" s="79"/>
      <c r="OLV5" s="79"/>
      <c r="OLW5" s="79"/>
      <c r="OLX5" s="79"/>
      <c r="OLY5" s="79"/>
      <c r="OLZ5" s="79"/>
      <c r="OMA5" s="79"/>
      <c r="OMB5" s="79"/>
      <c r="OMC5" s="79"/>
      <c r="OMD5" s="79"/>
      <c r="OME5" s="79"/>
      <c r="OMF5" s="79"/>
      <c r="OMG5" s="79"/>
      <c r="OMH5" s="79"/>
      <c r="OMI5" s="79"/>
      <c r="OMJ5" s="79"/>
      <c r="OMK5" s="79"/>
      <c r="OML5" s="79"/>
      <c r="OMM5" s="79"/>
      <c r="OMN5" s="79"/>
      <c r="OMO5" s="79"/>
      <c r="OMP5" s="79"/>
      <c r="OMQ5" s="79"/>
      <c r="OMR5" s="79"/>
      <c r="OMS5" s="79"/>
      <c r="OMT5" s="79"/>
      <c r="OMU5" s="79"/>
      <c r="OMV5" s="79"/>
      <c r="OMW5" s="79"/>
      <c r="OMX5" s="79"/>
      <c r="OMY5" s="79"/>
      <c r="OMZ5" s="79"/>
      <c r="ONA5" s="79"/>
      <c r="ONB5" s="79"/>
      <c r="ONC5" s="79"/>
      <c r="OND5" s="79"/>
      <c r="ONE5" s="79"/>
      <c r="ONF5" s="79"/>
      <c r="ONG5" s="79"/>
      <c r="ONH5" s="79"/>
      <c r="ONI5" s="79"/>
      <c r="ONJ5" s="79"/>
      <c r="ONK5" s="79"/>
      <c r="ONL5" s="79"/>
      <c r="ONM5" s="79"/>
      <c r="ONN5" s="79"/>
      <c r="ONO5" s="79"/>
      <c r="ONP5" s="79"/>
      <c r="ONQ5" s="79"/>
      <c r="ONR5" s="79"/>
      <c r="ONS5" s="79"/>
      <c r="ONT5" s="79"/>
      <c r="ONU5" s="79"/>
      <c r="ONV5" s="79"/>
      <c r="ONW5" s="79"/>
      <c r="ONX5" s="79"/>
      <c r="ONY5" s="79"/>
      <c r="ONZ5" s="79"/>
      <c r="OOA5" s="79"/>
      <c r="OOB5" s="79"/>
      <c r="OOC5" s="79"/>
      <c r="OOD5" s="79"/>
      <c r="OOE5" s="79"/>
      <c r="OOF5" s="79"/>
      <c r="OOG5" s="79"/>
      <c r="OOH5" s="79"/>
      <c r="OOI5" s="79"/>
      <c r="OOJ5" s="79"/>
      <c r="OOK5" s="79"/>
      <c r="OOL5" s="79"/>
      <c r="OOM5" s="79"/>
      <c r="OON5" s="79"/>
      <c r="OOO5" s="79"/>
      <c r="OOP5" s="79"/>
      <c r="OOQ5" s="79"/>
      <c r="OOR5" s="79"/>
      <c r="OOS5" s="79"/>
      <c r="OOT5" s="79"/>
      <c r="OOU5" s="79"/>
      <c r="OOV5" s="79"/>
      <c r="OOW5" s="79"/>
      <c r="OOX5" s="79"/>
      <c r="OOY5" s="79"/>
      <c r="OOZ5" s="79"/>
      <c r="OPA5" s="79"/>
      <c r="OPB5" s="79"/>
      <c r="OPC5" s="79"/>
      <c r="OPD5" s="79"/>
      <c r="OPE5" s="79"/>
      <c r="OPF5" s="79"/>
      <c r="OPG5" s="79"/>
      <c r="OPH5" s="79"/>
      <c r="OPI5" s="79"/>
      <c r="OPJ5" s="79"/>
      <c r="OPK5" s="79"/>
      <c r="OPL5" s="79"/>
      <c r="OPM5" s="79"/>
      <c r="OPN5" s="79"/>
      <c r="OPO5" s="79"/>
      <c r="OPP5" s="79"/>
      <c r="OPQ5" s="79"/>
      <c r="OPR5" s="79"/>
      <c r="OPS5" s="79"/>
      <c r="OPT5" s="79"/>
      <c r="OPU5" s="79"/>
      <c r="OPV5" s="79"/>
      <c r="OPW5" s="79"/>
      <c r="OPX5" s="79"/>
      <c r="OPY5" s="79"/>
      <c r="OPZ5" s="79"/>
      <c r="OQA5" s="79"/>
      <c r="OQB5" s="79"/>
      <c r="OQC5" s="79"/>
      <c r="OQD5" s="79"/>
      <c r="OQE5" s="79"/>
      <c r="OQF5" s="79"/>
      <c r="OQG5" s="79"/>
      <c r="OQH5" s="79"/>
      <c r="OQI5" s="79"/>
      <c r="OQJ5" s="79"/>
      <c r="OQK5" s="79"/>
      <c r="OQL5" s="79"/>
      <c r="OQM5" s="79"/>
      <c r="OQN5" s="79"/>
      <c r="OQO5" s="79"/>
      <c r="OQP5" s="79"/>
      <c r="OQQ5" s="79"/>
      <c r="OQR5" s="79"/>
      <c r="OQS5" s="79"/>
      <c r="OQT5" s="79"/>
      <c r="OQU5" s="79"/>
      <c r="OQV5" s="79"/>
      <c r="OQW5" s="79"/>
      <c r="OQX5" s="79"/>
      <c r="OQY5" s="79"/>
      <c r="OQZ5" s="79"/>
      <c r="ORA5" s="79"/>
      <c r="ORB5" s="79"/>
      <c r="ORC5" s="79"/>
      <c r="ORD5" s="79"/>
      <c r="ORE5" s="79"/>
      <c r="ORF5" s="79"/>
      <c r="ORG5" s="79"/>
      <c r="ORH5" s="79"/>
      <c r="ORI5" s="79"/>
      <c r="ORJ5" s="79"/>
      <c r="ORK5" s="79"/>
      <c r="ORL5" s="79"/>
      <c r="ORM5" s="79"/>
      <c r="ORN5" s="79"/>
      <c r="ORO5" s="79"/>
      <c r="ORP5" s="79"/>
      <c r="ORQ5" s="79"/>
      <c r="ORR5" s="79"/>
      <c r="ORS5" s="79"/>
      <c r="ORT5" s="79"/>
      <c r="ORU5" s="79"/>
      <c r="ORV5" s="79"/>
      <c r="ORW5" s="79"/>
      <c r="ORX5" s="79"/>
      <c r="ORY5" s="79"/>
      <c r="ORZ5" s="79"/>
      <c r="OSA5" s="79"/>
      <c r="OSB5" s="79"/>
      <c r="OSC5" s="79"/>
      <c r="OSD5" s="79"/>
      <c r="OSE5" s="79"/>
      <c r="OSF5" s="79"/>
      <c r="OSG5" s="79"/>
      <c r="OSH5" s="79"/>
      <c r="OSI5" s="79"/>
      <c r="OSJ5" s="79"/>
      <c r="OSK5" s="79"/>
      <c r="OSL5" s="79"/>
      <c r="OSM5" s="79"/>
      <c r="OSN5" s="79"/>
      <c r="OSO5" s="79"/>
      <c r="OSP5" s="79"/>
      <c r="OSQ5" s="79"/>
      <c r="OSR5" s="79"/>
      <c r="OSS5" s="79"/>
      <c r="OST5" s="79"/>
      <c r="OSU5" s="79"/>
      <c r="OSV5" s="79"/>
      <c r="OSW5" s="79"/>
      <c r="OSX5" s="79"/>
      <c r="OSY5" s="79"/>
      <c r="OSZ5" s="79"/>
      <c r="OTA5" s="79"/>
      <c r="OTB5" s="79"/>
      <c r="OTC5" s="79"/>
      <c r="OTD5" s="79"/>
      <c r="OTE5" s="79"/>
      <c r="OTF5" s="79"/>
      <c r="OTG5" s="79"/>
      <c r="OTH5" s="79"/>
      <c r="OTI5" s="79"/>
      <c r="OTJ5" s="79"/>
      <c r="OTK5" s="79"/>
      <c r="OTL5" s="79"/>
      <c r="OTM5" s="79"/>
      <c r="OTN5" s="79"/>
      <c r="OTO5" s="79"/>
      <c r="OTP5" s="79"/>
      <c r="OTQ5" s="79"/>
      <c r="OTR5" s="79"/>
      <c r="OTS5" s="79"/>
      <c r="OTT5" s="79"/>
      <c r="OTU5" s="79"/>
      <c r="OTV5" s="79"/>
      <c r="OTW5" s="79"/>
      <c r="OTX5" s="79"/>
      <c r="OTY5" s="79"/>
      <c r="OTZ5" s="79"/>
      <c r="OUA5" s="79"/>
      <c r="OUB5" s="79"/>
      <c r="OUC5" s="79"/>
      <c r="OUD5" s="79"/>
      <c r="OUE5" s="79"/>
      <c r="OUF5" s="79"/>
      <c r="OUG5" s="79"/>
      <c r="OUH5" s="79"/>
      <c r="OUI5" s="79"/>
      <c r="OUJ5" s="79"/>
      <c r="OUK5" s="79"/>
      <c r="OUL5" s="79"/>
      <c r="OUM5" s="79"/>
      <c r="OUN5" s="79"/>
      <c r="OUO5" s="79"/>
      <c r="OUP5" s="79"/>
      <c r="OUQ5" s="79"/>
      <c r="OUR5" s="79"/>
      <c r="OUS5" s="79"/>
      <c r="OUT5" s="79"/>
      <c r="OUU5" s="79"/>
      <c r="OUV5" s="79"/>
      <c r="OUW5" s="79"/>
      <c r="OUX5" s="79"/>
      <c r="OUY5" s="79"/>
      <c r="OUZ5" s="79"/>
      <c r="OVA5" s="79"/>
      <c r="OVB5" s="79"/>
      <c r="OVC5" s="79"/>
      <c r="OVD5" s="79"/>
      <c r="OVE5" s="79"/>
      <c r="OVF5" s="79"/>
      <c r="OVG5" s="79"/>
      <c r="OVH5" s="79"/>
      <c r="OVI5" s="79"/>
      <c r="OVJ5" s="79"/>
      <c r="OVK5" s="79"/>
      <c r="OVL5" s="79"/>
      <c r="OVM5" s="79"/>
      <c r="OVN5" s="79"/>
      <c r="OVO5" s="79"/>
      <c r="OVP5" s="79"/>
      <c r="OVQ5" s="79"/>
      <c r="OVR5" s="79"/>
      <c r="OVS5" s="79"/>
      <c r="OVT5" s="79"/>
      <c r="OVU5" s="79"/>
      <c r="OVV5" s="79"/>
      <c r="OVW5" s="79"/>
      <c r="OVX5" s="79"/>
      <c r="OVY5" s="79"/>
      <c r="OVZ5" s="79"/>
      <c r="OWA5" s="79"/>
      <c r="OWB5" s="79"/>
      <c r="OWC5" s="79"/>
      <c r="OWD5" s="79"/>
      <c r="OWE5" s="79"/>
      <c r="OWF5" s="79"/>
      <c r="OWG5" s="79"/>
      <c r="OWH5" s="79"/>
      <c r="OWI5" s="79"/>
      <c r="OWJ5" s="79"/>
      <c r="OWK5" s="79"/>
      <c r="OWL5" s="79"/>
      <c r="OWM5" s="79"/>
      <c r="OWN5" s="79"/>
      <c r="OWO5" s="79"/>
      <c r="OWP5" s="79"/>
      <c r="OWQ5" s="79"/>
      <c r="OWR5" s="79"/>
      <c r="OWS5" s="79"/>
      <c r="OWT5" s="79"/>
      <c r="OWU5" s="79"/>
      <c r="OWV5" s="79"/>
      <c r="OWW5" s="79"/>
      <c r="OWX5" s="79"/>
      <c r="OWY5" s="79"/>
      <c r="OWZ5" s="79"/>
      <c r="OXA5" s="79"/>
      <c r="OXB5" s="79"/>
      <c r="OXC5" s="79"/>
      <c r="OXD5" s="79"/>
      <c r="OXE5" s="79"/>
      <c r="OXF5" s="79"/>
      <c r="OXG5" s="79"/>
      <c r="OXH5" s="79"/>
      <c r="OXI5" s="79"/>
      <c r="OXJ5" s="79"/>
      <c r="OXK5" s="79"/>
      <c r="OXL5" s="79"/>
      <c r="OXM5" s="79"/>
      <c r="OXN5" s="79"/>
      <c r="OXO5" s="79"/>
      <c r="OXP5" s="79"/>
      <c r="OXQ5" s="79"/>
      <c r="OXR5" s="79"/>
      <c r="OXS5" s="79"/>
      <c r="OXT5" s="79"/>
      <c r="OXU5" s="79"/>
      <c r="OXV5" s="79"/>
      <c r="OXW5" s="79"/>
      <c r="OXX5" s="79"/>
      <c r="OXY5" s="79"/>
      <c r="OXZ5" s="79"/>
      <c r="OYA5" s="79"/>
      <c r="OYB5" s="79"/>
      <c r="OYC5" s="79"/>
      <c r="OYD5" s="79"/>
      <c r="OYE5" s="79"/>
      <c r="OYF5" s="79"/>
      <c r="OYG5" s="79"/>
      <c r="OYH5" s="79"/>
      <c r="OYI5" s="79"/>
      <c r="OYJ5" s="79"/>
      <c r="OYK5" s="79"/>
      <c r="OYL5" s="79"/>
      <c r="OYM5" s="79"/>
      <c r="OYN5" s="79"/>
      <c r="OYO5" s="79"/>
      <c r="OYP5" s="79"/>
      <c r="OYQ5" s="79"/>
      <c r="OYR5" s="79"/>
      <c r="OYS5" s="79"/>
      <c r="OYT5" s="79"/>
      <c r="OYU5" s="79"/>
      <c r="OYV5" s="79"/>
      <c r="OYW5" s="79"/>
      <c r="OYX5" s="79"/>
      <c r="OYY5" s="79"/>
      <c r="OYZ5" s="79"/>
      <c r="OZA5" s="79"/>
      <c r="OZB5" s="79"/>
      <c r="OZC5" s="79"/>
      <c r="OZD5" s="79"/>
      <c r="OZE5" s="79"/>
      <c r="OZF5" s="79"/>
      <c r="OZG5" s="79"/>
      <c r="OZH5" s="79"/>
      <c r="OZI5" s="79"/>
      <c r="OZJ5" s="79"/>
      <c r="OZK5" s="79"/>
      <c r="OZL5" s="79"/>
      <c r="OZM5" s="79"/>
      <c r="OZN5" s="79"/>
      <c r="OZO5" s="79"/>
      <c r="OZP5" s="79"/>
      <c r="OZQ5" s="79"/>
      <c r="OZR5" s="79"/>
      <c r="OZS5" s="79"/>
      <c r="OZT5" s="79"/>
      <c r="OZU5" s="79"/>
      <c r="OZV5" s="79"/>
      <c r="OZW5" s="79"/>
      <c r="OZX5" s="79"/>
      <c r="OZY5" s="79"/>
      <c r="OZZ5" s="79"/>
      <c r="PAA5" s="79"/>
      <c r="PAB5" s="79"/>
      <c r="PAC5" s="79"/>
      <c r="PAD5" s="79"/>
      <c r="PAE5" s="79"/>
      <c r="PAF5" s="79"/>
      <c r="PAG5" s="79"/>
      <c r="PAH5" s="79"/>
      <c r="PAI5" s="79"/>
      <c r="PAJ5" s="79"/>
      <c r="PAK5" s="79"/>
      <c r="PAL5" s="79"/>
      <c r="PAM5" s="79"/>
      <c r="PAN5" s="79"/>
      <c r="PAO5" s="79"/>
      <c r="PAP5" s="79"/>
      <c r="PAQ5" s="79"/>
      <c r="PAR5" s="79"/>
      <c r="PAS5" s="79"/>
      <c r="PAT5" s="79"/>
      <c r="PAU5" s="79"/>
      <c r="PAV5" s="79"/>
      <c r="PAW5" s="79"/>
      <c r="PAX5" s="79"/>
      <c r="PAY5" s="79"/>
      <c r="PAZ5" s="79"/>
      <c r="PBA5" s="79"/>
      <c r="PBB5" s="79"/>
      <c r="PBC5" s="79"/>
      <c r="PBD5" s="79"/>
      <c r="PBE5" s="79"/>
      <c r="PBF5" s="79"/>
      <c r="PBG5" s="79"/>
      <c r="PBH5" s="79"/>
      <c r="PBI5" s="79"/>
      <c r="PBJ5" s="79"/>
      <c r="PBK5" s="79"/>
      <c r="PBL5" s="79"/>
      <c r="PBM5" s="79"/>
      <c r="PBN5" s="79"/>
      <c r="PBO5" s="79"/>
      <c r="PBP5" s="79"/>
      <c r="PBQ5" s="79"/>
      <c r="PBR5" s="79"/>
      <c r="PBS5" s="79"/>
      <c r="PBT5" s="79"/>
      <c r="PBU5" s="79"/>
      <c r="PBV5" s="79"/>
      <c r="PBW5" s="79"/>
      <c r="PBX5" s="79"/>
      <c r="PBY5" s="79"/>
      <c r="PBZ5" s="79"/>
      <c r="PCA5" s="79"/>
      <c r="PCB5" s="79"/>
      <c r="PCC5" s="79"/>
      <c r="PCD5" s="79"/>
      <c r="PCE5" s="79"/>
      <c r="PCF5" s="79"/>
      <c r="PCG5" s="79"/>
      <c r="PCH5" s="79"/>
      <c r="PCI5" s="79"/>
      <c r="PCJ5" s="79"/>
      <c r="PCK5" s="79"/>
      <c r="PCL5" s="79"/>
      <c r="PCM5" s="79"/>
      <c r="PCN5" s="79"/>
      <c r="PCO5" s="79"/>
      <c r="PCP5" s="79"/>
      <c r="PCQ5" s="79"/>
      <c r="PCR5" s="79"/>
      <c r="PCS5" s="79"/>
      <c r="PCT5" s="79"/>
      <c r="PCU5" s="79"/>
      <c r="PCV5" s="79"/>
      <c r="PCW5" s="79"/>
      <c r="PCX5" s="79"/>
      <c r="PCY5" s="79"/>
      <c r="PCZ5" s="79"/>
      <c r="PDA5" s="79"/>
      <c r="PDB5" s="79"/>
      <c r="PDC5" s="79"/>
      <c r="PDD5" s="79"/>
      <c r="PDE5" s="79"/>
      <c r="PDF5" s="79"/>
      <c r="PDG5" s="79"/>
      <c r="PDH5" s="79"/>
      <c r="PDI5" s="79"/>
      <c r="PDJ5" s="79"/>
      <c r="PDK5" s="79"/>
      <c r="PDL5" s="79"/>
      <c r="PDM5" s="79"/>
      <c r="PDN5" s="79"/>
      <c r="PDO5" s="79"/>
      <c r="PDP5" s="79"/>
      <c r="PDQ5" s="79"/>
      <c r="PDR5" s="79"/>
      <c r="PDS5" s="79"/>
      <c r="PDT5" s="79"/>
      <c r="PDU5" s="79"/>
      <c r="PDV5" s="79"/>
      <c r="PDW5" s="79"/>
      <c r="PDX5" s="79"/>
      <c r="PDY5" s="79"/>
      <c r="PDZ5" s="79"/>
      <c r="PEA5" s="79"/>
      <c r="PEB5" s="79"/>
      <c r="PEC5" s="79"/>
      <c r="PED5" s="79"/>
      <c r="PEE5" s="79"/>
      <c r="PEF5" s="79"/>
      <c r="PEG5" s="79"/>
      <c r="PEH5" s="79"/>
      <c r="PEI5" s="79"/>
      <c r="PEJ5" s="79"/>
      <c r="PEK5" s="79"/>
      <c r="PEL5" s="79"/>
      <c r="PEM5" s="79"/>
      <c r="PEN5" s="79"/>
      <c r="PEO5" s="79"/>
      <c r="PEP5" s="79"/>
      <c r="PEQ5" s="79"/>
      <c r="PER5" s="79"/>
      <c r="PES5" s="79"/>
      <c r="PET5" s="79"/>
      <c r="PEU5" s="79"/>
      <c r="PEV5" s="79"/>
      <c r="PEW5" s="79"/>
      <c r="PEX5" s="79"/>
      <c r="PEY5" s="79"/>
      <c r="PEZ5" s="79"/>
      <c r="PFA5" s="79"/>
      <c r="PFB5" s="79"/>
      <c r="PFC5" s="79"/>
      <c r="PFD5" s="79"/>
      <c r="PFE5" s="79"/>
      <c r="PFF5" s="79"/>
      <c r="PFG5" s="79"/>
      <c r="PFH5" s="79"/>
      <c r="PFI5" s="79"/>
      <c r="PFJ5" s="79"/>
      <c r="PFK5" s="79"/>
      <c r="PFL5" s="79"/>
      <c r="PFM5" s="79"/>
      <c r="PFN5" s="79"/>
      <c r="PFO5" s="79"/>
      <c r="PFP5" s="79"/>
      <c r="PFQ5" s="79"/>
      <c r="PFR5" s="79"/>
      <c r="PFS5" s="79"/>
      <c r="PFT5" s="79"/>
      <c r="PFU5" s="79"/>
      <c r="PFV5" s="79"/>
      <c r="PFW5" s="79"/>
      <c r="PFX5" s="79"/>
      <c r="PFY5" s="79"/>
      <c r="PFZ5" s="79"/>
      <c r="PGA5" s="79"/>
      <c r="PGB5" s="79"/>
      <c r="PGC5" s="79"/>
      <c r="PGD5" s="79"/>
      <c r="PGE5" s="79"/>
      <c r="PGF5" s="79"/>
      <c r="PGG5" s="79"/>
      <c r="PGH5" s="79"/>
      <c r="PGI5" s="79"/>
      <c r="PGJ5" s="79"/>
      <c r="PGK5" s="79"/>
      <c r="PGL5" s="79"/>
      <c r="PGM5" s="79"/>
      <c r="PGN5" s="79"/>
      <c r="PGO5" s="79"/>
      <c r="PGP5" s="79"/>
      <c r="PGQ5" s="79"/>
      <c r="PGR5" s="79"/>
      <c r="PGS5" s="79"/>
      <c r="PGT5" s="79"/>
      <c r="PGU5" s="79"/>
      <c r="PGV5" s="79"/>
      <c r="PGW5" s="79"/>
      <c r="PGX5" s="79"/>
      <c r="PGY5" s="79"/>
      <c r="PGZ5" s="79"/>
      <c r="PHA5" s="79"/>
      <c r="PHB5" s="79"/>
      <c r="PHC5" s="79"/>
      <c r="PHD5" s="79"/>
      <c r="PHE5" s="79"/>
      <c r="PHF5" s="79"/>
      <c r="PHG5" s="79"/>
      <c r="PHH5" s="79"/>
      <c r="PHI5" s="79"/>
      <c r="PHJ5" s="79"/>
      <c r="PHK5" s="79"/>
      <c r="PHL5" s="79"/>
      <c r="PHM5" s="79"/>
      <c r="PHN5" s="79"/>
      <c r="PHO5" s="79"/>
      <c r="PHP5" s="79"/>
      <c r="PHQ5" s="79"/>
      <c r="PHR5" s="79"/>
      <c r="PHS5" s="79"/>
      <c r="PHT5" s="79"/>
      <c r="PHU5" s="79"/>
      <c r="PHV5" s="79"/>
      <c r="PHW5" s="79"/>
      <c r="PHX5" s="79"/>
      <c r="PHY5" s="79"/>
      <c r="PHZ5" s="79"/>
      <c r="PIA5" s="79"/>
      <c r="PIB5" s="79"/>
      <c r="PIC5" s="79"/>
      <c r="PID5" s="79"/>
      <c r="PIE5" s="79"/>
      <c r="PIF5" s="79"/>
      <c r="PIG5" s="79"/>
      <c r="PIH5" s="79"/>
      <c r="PII5" s="79"/>
      <c r="PIJ5" s="79"/>
      <c r="PIK5" s="79"/>
      <c r="PIL5" s="79"/>
      <c r="PIM5" s="79"/>
      <c r="PIN5" s="79"/>
      <c r="PIO5" s="79"/>
      <c r="PIP5" s="79"/>
      <c r="PIQ5" s="79"/>
      <c r="PIR5" s="79"/>
      <c r="PIS5" s="79"/>
      <c r="PIT5" s="79"/>
      <c r="PIU5" s="79"/>
      <c r="PIV5" s="79"/>
      <c r="PIW5" s="79"/>
      <c r="PIX5" s="79"/>
      <c r="PIY5" s="79"/>
      <c r="PIZ5" s="79"/>
      <c r="PJA5" s="79"/>
      <c r="PJB5" s="79"/>
      <c r="PJC5" s="79"/>
      <c r="PJD5" s="79"/>
      <c r="PJE5" s="79"/>
      <c r="PJF5" s="79"/>
      <c r="PJG5" s="79"/>
      <c r="PJH5" s="79"/>
      <c r="PJI5" s="79"/>
      <c r="PJJ5" s="79"/>
      <c r="PJK5" s="79"/>
      <c r="PJL5" s="79"/>
      <c r="PJM5" s="79"/>
      <c r="PJN5" s="79"/>
      <c r="PJO5" s="79"/>
      <c r="PJP5" s="79"/>
      <c r="PJQ5" s="79"/>
      <c r="PJR5" s="79"/>
      <c r="PJS5" s="79"/>
      <c r="PJT5" s="79"/>
      <c r="PJU5" s="79"/>
      <c r="PJV5" s="79"/>
      <c r="PJW5" s="79"/>
      <c r="PJX5" s="79"/>
      <c r="PJY5" s="79"/>
      <c r="PJZ5" s="79"/>
      <c r="PKA5" s="79"/>
      <c r="PKB5" s="79"/>
      <c r="PKC5" s="79"/>
      <c r="PKD5" s="79"/>
      <c r="PKE5" s="79"/>
      <c r="PKF5" s="79"/>
      <c r="PKG5" s="79"/>
      <c r="PKH5" s="79"/>
      <c r="PKI5" s="79"/>
      <c r="PKJ5" s="79"/>
      <c r="PKK5" s="79"/>
      <c r="PKL5" s="79"/>
      <c r="PKM5" s="79"/>
      <c r="PKN5" s="79"/>
      <c r="PKO5" s="79"/>
      <c r="PKP5" s="79"/>
      <c r="PKQ5" s="79"/>
      <c r="PKR5" s="79"/>
      <c r="PKS5" s="79"/>
      <c r="PKT5" s="79"/>
      <c r="PKU5" s="79"/>
      <c r="PKV5" s="79"/>
      <c r="PKW5" s="79"/>
      <c r="PKX5" s="79"/>
      <c r="PKY5" s="79"/>
      <c r="PKZ5" s="79"/>
      <c r="PLA5" s="79"/>
      <c r="PLB5" s="79"/>
      <c r="PLC5" s="79"/>
      <c r="PLD5" s="79"/>
      <c r="PLE5" s="79"/>
      <c r="PLF5" s="79"/>
      <c r="PLG5" s="79"/>
      <c r="PLH5" s="79"/>
      <c r="PLI5" s="79"/>
      <c r="PLJ5" s="79"/>
      <c r="PLK5" s="79"/>
      <c r="PLL5" s="79"/>
      <c r="PLM5" s="79"/>
      <c r="PLN5" s="79"/>
      <c r="PLO5" s="79"/>
      <c r="PLP5" s="79"/>
      <c r="PLQ5" s="79"/>
      <c r="PLR5" s="79"/>
      <c r="PLS5" s="79"/>
      <c r="PLT5" s="79"/>
      <c r="PLU5" s="79"/>
      <c r="PLV5" s="79"/>
      <c r="PLW5" s="79"/>
      <c r="PLX5" s="79"/>
      <c r="PLY5" s="79"/>
      <c r="PLZ5" s="79"/>
      <c r="PMA5" s="79"/>
      <c r="PMB5" s="79"/>
      <c r="PMC5" s="79"/>
      <c r="PMD5" s="79"/>
      <c r="PME5" s="79"/>
      <c r="PMF5" s="79"/>
      <c r="PMG5" s="79"/>
      <c r="PMH5" s="79"/>
      <c r="PMI5" s="79"/>
      <c r="PMJ5" s="79"/>
      <c r="PMK5" s="79"/>
      <c r="PML5" s="79"/>
      <c r="PMM5" s="79"/>
      <c r="PMN5" s="79"/>
      <c r="PMO5" s="79"/>
      <c r="PMP5" s="79"/>
      <c r="PMQ5" s="79"/>
      <c r="PMR5" s="79"/>
      <c r="PMS5" s="79"/>
      <c r="PMT5" s="79"/>
      <c r="PMU5" s="79"/>
      <c r="PMV5" s="79"/>
      <c r="PMW5" s="79"/>
      <c r="PMX5" s="79"/>
      <c r="PMY5" s="79"/>
      <c r="PMZ5" s="79"/>
      <c r="PNA5" s="79"/>
      <c r="PNB5" s="79"/>
      <c r="PNC5" s="79"/>
      <c r="PND5" s="79"/>
      <c r="PNE5" s="79"/>
      <c r="PNF5" s="79"/>
      <c r="PNG5" s="79"/>
      <c r="PNH5" s="79"/>
      <c r="PNI5" s="79"/>
      <c r="PNJ5" s="79"/>
      <c r="PNK5" s="79"/>
      <c r="PNL5" s="79"/>
      <c r="PNM5" s="79"/>
      <c r="PNN5" s="79"/>
      <c r="PNO5" s="79"/>
      <c r="PNP5" s="79"/>
      <c r="PNQ5" s="79"/>
      <c r="PNR5" s="79"/>
      <c r="PNS5" s="79"/>
      <c r="PNT5" s="79"/>
      <c r="PNU5" s="79"/>
      <c r="PNV5" s="79"/>
      <c r="PNW5" s="79"/>
      <c r="PNX5" s="79"/>
      <c r="PNY5" s="79"/>
      <c r="PNZ5" s="79"/>
      <c r="POA5" s="79"/>
      <c r="POB5" s="79"/>
      <c r="POC5" s="79"/>
      <c r="POD5" s="79"/>
      <c r="POE5" s="79"/>
      <c r="POF5" s="79"/>
      <c r="POG5" s="79"/>
      <c r="POH5" s="79"/>
      <c r="POI5" s="79"/>
      <c r="POJ5" s="79"/>
      <c r="POK5" s="79"/>
      <c r="POL5" s="79"/>
      <c r="POM5" s="79"/>
      <c r="PON5" s="79"/>
      <c r="POO5" s="79"/>
      <c r="POP5" s="79"/>
      <c r="POQ5" s="79"/>
      <c r="POR5" s="79"/>
      <c r="POS5" s="79"/>
      <c r="POT5" s="79"/>
      <c r="POU5" s="79"/>
      <c r="POV5" s="79"/>
      <c r="POW5" s="79"/>
      <c r="POX5" s="79"/>
      <c r="POY5" s="79"/>
      <c r="POZ5" s="79"/>
      <c r="PPA5" s="79"/>
      <c r="PPB5" s="79"/>
      <c r="PPC5" s="79"/>
      <c r="PPD5" s="79"/>
      <c r="PPE5" s="79"/>
      <c r="PPF5" s="79"/>
      <c r="PPG5" s="79"/>
      <c r="PPH5" s="79"/>
      <c r="PPI5" s="79"/>
      <c r="PPJ5" s="79"/>
      <c r="PPK5" s="79"/>
      <c r="PPL5" s="79"/>
      <c r="PPM5" s="79"/>
      <c r="PPN5" s="79"/>
      <c r="PPO5" s="79"/>
      <c r="PPP5" s="79"/>
      <c r="PPQ5" s="79"/>
      <c r="PPR5" s="79"/>
      <c r="PPS5" s="79"/>
      <c r="PPT5" s="79"/>
      <c r="PPU5" s="79"/>
      <c r="PPV5" s="79"/>
      <c r="PPW5" s="79"/>
      <c r="PPX5" s="79"/>
      <c r="PPY5" s="79"/>
      <c r="PPZ5" s="79"/>
      <c r="PQA5" s="79"/>
      <c r="PQB5" s="79"/>
      <c r="PQC5" s="79"/>
      <c r="PQD5" s="79"/>
      <c r="PQE5" s="79"/>
      <c r="PQF5" s="79"/>
      <c r="PQG5" s="79"/>
      <c r="PQH5" s="79"/>
      <c r="PQI5" s="79"/>
      <c r="PQJ5" s="79"/>
      <c r="PQK5" s="79"/>
      <c r="PQL5" s="79"/>
      <c r="PQM5" s="79"/>
      <c r="PQN5" s="79"/>
      <c r="PQO5" s="79"/>
      <c r="PQP5" s="79"/>
      <c r="PQQ5" s="79"/>
      <c r="PQR5" s="79"/>
      <c r="PQS5" s="79"/>
      <c r="PQT5" s="79"/>
      <c r="PQU5" s="79"/>
      <c r="PQV5" s="79"/>
      <c r="PQW5" s="79"/>
      <c r="PQX5" s="79"/>
      <c r="PQY5" s="79"/>
      <c r="PQZ5" s="79"/>
      <c r="PRA5" s="79"/>
      <c r="PRB5" s="79"/>
      <c r="PRC5" s="79"/>
      <c r="PRD5" s="79"/>
      <c r="PRE5" s="79"/>
      <c r="PRF5" s="79"/>
      <c r="PRG5" s="79"/>
      <c r="PRH5" s="79"/>
      <c r="PRI5" s="79"/>
      <c r="PRJ5" s="79"/>
      <c r="PRK5" s="79"/>
      <c r="PRL5" s="79"/>
      <c r="PRM5" s="79"/>
      <c r="PRN5" s="79"/>
      <c r="PRO5" s="79"/>
      <c r="PRP5" s="79"/>
      <c r="PRQ5" s="79"/>
      <c r="PRR5" s="79"/>
      <c r="PRS5" s="79"/>
      <c r="PRT5" s="79"/>
      <c r="PRU5" s="79"/>
      <c r="PRV5" s="79"/>
      <c r="PRW5" s="79"/>
      <c r="PRX5" s="79"/>
      <c r="PRY5" s="79"/>
      <c r="PRZ5" s="79"/>
      <c r="PSA5" s="79"/>
      <c r="PSB5" s="79"/>
      <c r="PSC5" s="79"/>
      <c r="PSD5" s="79"/>
      <c r="PSE5" s="79"/>
      <c r="PSF5" s="79"/>
      <c r="PSG5" s="79"/>
      <c r="PSH5" s="79"/>
      <c r="PSI5" s="79"/>
      <c r="PSJ5" s="79"/>
      <c r="PSK5" s="79"/>
      <c r="PSL5" s="79"/>
      <c r="PSM5" s="79"/>
      <c r="PSN5" s="79"/>
      <c r="PSO5" s="79"/>
      <c r="PSP5" s="79"/>
      <c r="PSQ5" s="79"/>
      <c r="PSR5" s="79"/>
      <c r="PSS5" s="79"/>
      <c r="PST5" s="79"/>
      <c r="PSU5" s="79"/>
      <c r="PSV5" s="79"/>
      <c r="PSW5" s="79"/>
      <c r="PSX5" s="79"/>
      <c r="PSY5" s="79"/>
      <c r="PSZ5" s="79"/>
      <c r="PTA5" s="79"/>
      <c r="PTB5" s="79"/>
      <c r="PTC5" s="79"/>
      <c r="PTD5" s="79"/>
      <c r="PTE5" s="79"/>
      <c r="PTF5" s="79"/>
      <c r="PTG5" s="79"/>
      <c r="PTH5" s="79"/>
      <c r="PTI5" s="79"/>
      <c r="PTJ5" s="79"/>
      <c r="PTK5" s="79"/>
      <c r="PTL5" s="79"/>
      <c r="PTM5" s="79"/>
      <c r="PTN5" s="79"/>
      <c r="PTO5" s="79"/>
      <c r="PTP5" s="79"/>
      <c r="PTQ5" s="79"/>
      <c r="PTR5" s="79"/>
      <c r="PTS5" s="79"/>
      <c r="PTT5" s="79"/>
      <c r="PTU5" s="79"/>
      <c r="PTV5" s="79"/>
      <c r="PTW5" s="79"/>
      <c r="PTX5" s="79"/>
      <c r="PTY5" s="79"/>
      <c r="PTZ5" s="79"/>
      <c r="PUA5" s="79"/>
      <c r="PUB5" s="79"/>
      <c r="PUC5" s="79"/>
      <c r="PUD5" s="79"/>
      <c r="PUE5" s="79"/>
      <c r="PUF5" s="79"/>
      <c r="PUG5" s="79"/>
      <c r="PUH5" s="79"/>
      <c r="PUI5" s="79"/>
      <c r="PUJ5" s="79"/>
      <c r="PUK5" s="79"/>
      <c r="PUL5" s="79"/>
      <c r="PUM5" s="79"/>
      <c r="PUN5" s="79"/>
      <c r="PUO5" s="79"/>
      <c r="PUP5" s="79"/>
      <c r="PUQ5" s="79"/>
      <c r="PUR5" s="79"/>
      <c r="PUS5" s="79"/>
      <c r="PUT5" s="79"/>
      <c r="PUU5" s="79"/>
      <c r="PUV5" s="79"/>
      <c r="PUW5" s="79"/>
      <c r="PUX5" s="79"/>
      <c r="PUY5" s="79"/>
      <c r="PUZ5" s="79"/>
      <c r="PVA5" s="79"/>
      <c r="PVB5" s="79"/>
      <c r="PVC5" s="79"/>
      <c r="PVD5" s="79"/>
      <c r="PVE5" s="79"/>
      <c r="PVF5" s="79"/>
      <c r="PVG5" s="79"/>
      <c r="PVH5" s="79"/>
      <c r="PVI5" s="79"/>
      <c r="PVJ5" s="79"/>
      <c r="PVK5" s="79"/>
      <c r="PVL5" s="79"/>
      <c r="PVM5" s="79"/>
      <c r="PVN5" s="79"/>
      <c r="PVO5" s="79"/>
      <c r="PVP5" s="79"/>
      <c r="PVQ5" s="79"/>
      <c r="PVR5" s="79"/>
      <c r="PVS5" s="79"/>
      <c r="PVT5" s="79"/>
      <c r="PVU5" s="79"/>
      <c r="PVV5" s="79"/>
      <c r="PVW5" s="79"/>
      <c r="PVX5" s="79"/>
      <c r="PVY5" s="79"/>
      <c r="PVZ5" s="79"/>
      <c r="PWA5" s="79"/>
      <c r="PWB5" s="79"/>
      <c r="PWC5" s="79"/>
      <c r="PWD5" s="79"/>
      <c r="PWE5" s="79"/>
      <c r="PWF5" s="79"/>
      <c r="PWG5" s="79"/>
      <c r="PWH5" s="79"/>
      <c r="PWI5" s="79"/>
      <c r="PWJ5" s="79"/>
      <c r="PWK5" s="79"/>
      <c r="PWL5" s="79"/>
      <c r="PWM5" s="79"/>
      <c r="PWN5" s="79"/>
      <c r="PWO5" s="79"/>
      <c r="PWP5" s="79"/>
      <c r="PWQ5" s="79"/>
      <c r="PWR5" s="79"/>
      <c r="PWS5" s="79"/>
      <c r="PWT5" s="79"/>
      <c r="PWU5" s="79"/>
      <c r="PWV5" s="79"/>
      <c r="PWW5" s="79"/>
      <c r="PWX5" s="79"/>
      <c r="PWY5" s="79"/>
      <c r="PWZ5" s="79"/>
      <c r="PXA5" s="79"/>
      <c r="PXB5" s="79"/>
      <c r="PXC5" s="79"/>
      <c r="PXD5" s="79"/>
      <c r="PXE5" s="79"/>
      <c r="PXF5" s="79"/>
      <c r="PXG5" s="79"/>
      <c r="PXH5" s="79"/>
      <c r="PXI5" s="79"/>
      <c r="PXJ5" s="79"/>
      <c r="PXK5" s="79"/>
      <c r="PXL5" s="79"/>
      <c r="PXM5" s="79"/>
      <c r="PXN5" s="79"/>
      <c r="PXO5" s="79"/>
      <c r="PXP5" s="79"/>
      <c r="PXQ5" s="79"/>
      <c r="PXR5" s="79"/>
      <c r="PXS5" s="79"/>
      <c r="PXT5" s="79"/>
      <c r="PXU5" s="79"/>
      <c r="PXV5" s="79"/>
      <c r="PXW5" s="79"/>
      <c r="PXX5" s="79"/>
      <c r="PXY5" s="79"/>
      <c r="PXZ5" s="79"/>
      <c r="PYA5" s="79"/>
      <c r="PYB5" s="79"/>
      <c r="PYC5" s="79"/>
      <c r="PYD5" s="79"/>
      <c r="PYE5" s="79"/>
      <c r="PYF5" s="79"/>
      <c r="PYG5" s="79"/>
      <c r="PYH5" s="79"/>
      <c r="PYI5" s="79"/>
      <c r="PYJ5" s="79"/>
      <c r="PYK5" s="79"/>
      <c r="PYL5" s="79"/>
      <c r="PYM5" s="79"/>
      <c r="PYN5" s="79"/>
      <c r="PYO5" s="79"/>
      <c r="PYP5" s="79"/>
      <c r="PYQ5" s="79"/>
      <c r="PYR5" s="79"/>
      <c r="PYS5" s="79"/>
      <c r="PYT5" s="79"/>
      <c r="PYU5" s="79"/>
      <c r="PYV5" s="79"/>
      <c r="PYW5" s="79"/>
      <c r="PYX5" s="79"/>
      <c r="PYY5" s="79"/>
      <c r="PYZ5" s="79"/>
      <c r="PZA5" s="79"/>
      <c r="PZB5" s="79"/>
      <c r="PZC5" s="79"/>
      <c r="PZD5" s="79"/>
      <c r="PZE5" s="79"/>
      <c r="PZF5" s="79"/>
      <c r="PZG5" s="79"/>
      <c r="PZH5" s="79"/>
      <c r="PZI5" s="79"/>
      <c r="PZJ5" s="79"/>
      <c r="PZK5" s="79"/>
      <c r="PZL5" s="79"/>
      <c r="PZM5" s="79"/>
      <c r="PZN5" s="79"/>
      <c r="PZO5" s="79"/>
      <c r="PZP5" s="79"/>
      <c r="PZQ5" s="79"/>
      <c r="PZR5" s="79"/>
      <c r="PZS5" s="79"/>
      <c r="PZT5" s="79"/>
      <c r="PZU5" s="79"/>
      <c r="PZV5" s="79"/>
      <c r="PZW5" s="79"/>
      <c r="PZX5" s="79"/>
      <c r="PZY5" s="79"/>
      <c r="PZZ5" s="79"/>
      <c r="QAA5" s="79"/>
      <c r="QAB5" s="79"/>
      <c r="QAC5" s="79"/>
      <c r="QAD5" s="79"/>
      <c r="QAE5" s="79"/>
      <c r="QAF5" s="79"/>
      <c r="QAG5" s="79"/>
      <c r="QAH5" s="79"/>
      <c r="QAI5" s="79"/>
      <c r="QAJ5" s="79"/>
      <c r="QAK5" s="79"/>
      <c r="QAL5" s="79"/>
      <c r="QAM5" s="79"/>
      <c r="QAN5" s="79"/>
      <c r="QAO5" s="79"/>
      <c r="QAP5" s="79"/>
      <c r="QAQ5" s="79"/>
      <c r="QAR5" s="79"/>
      <c r="QAS5" s="79"/>
      <c r="QAT5" s="79"/>
      <c r="QAU5" s="79"/>
      <c r="QAV5" s="79"/>
      <c r="QAW5" s="79"/>
      <c r="QAX5" s="79"/>
      <c r="QAY5" s="79"/>
      <c r="QAZ5" s="79"/>
      <c r="QBA5" s="79"/>
      <c r="QBB5" s="79"/>
      <c r="QBC5" s="79"/>
      <c r="QBD5" s="79"/>
      <c r="QBE5" s="79"/>
      <c r="QBF5" s="79"/>
      <c r="QBG5" s="79"/>
      <c r="QBH5" s="79"/>
      <c r="QBI5" s="79"/>
      <c r="QBJ5" s="79"/>
      <c r="QBK5" s="79"/>
      <c r="QBL5" s="79"/>
      <c r="QBM5" s="79"/>
      <c r="QBN5" s="79"/>
      <c r="QBO5" s="79"/>
      <c r="QBP5" s="79"/>
      <c r="QBQ5" s="79"/>
      <c r="QBR5" s="79"/>
      <c r="QBS5" s="79"/>
      <c r="QBT5" s="79"/>
      <c r="QBU5" s="79"/>
      <c r="QBV5" s="79"/>
      <c r="QBW5" s="79"/>
      <c r="QBX5" s="79"/>
      <c r="QBY5" s="79"/>
      <c r="QBZ5" s="79"/>
      <c r="QCA5" s="79"/>
      <c r="QCB5" s="79"/>
      <c r="QCC5" s="79"/>
      <c r="QCD5" s="79"/>
      <c r="QCE5" s="79"/>
      <c r="QCF5" s="79"/>
      <c r="QCG5" s="79"/>
      <c r="QCH5" s="79"/>
      <c r="QCI5" s="79"/>
      <c r="QCJ5" s="79"/>
      <c r="QCK5" s="79"/>
      <c r="QCL5" s="79"/>
      <c r="QCM5" s="79"/>
      <c r="QCN5" s="79"/>
      <c r="QCO5" s="79"/>
      <c r="QCP5" s="79"/>
      <c r="QCQ5" s="79"/>
      <c r="QCR5" s="79"/>
      <c r="QCS5" s="79"/>
      <c r="QCT5" s="79"/>
      <c r="QCU5" s="79"/>
      <c r="QCV5" s="79"/>
      <c r="QCW5" s="79"/>
      <c r="QCX5" s="79"/>
      <c r="QCY5" s="79"/>
      <c r="QCZ5" s="79"/>
      <c r="QDA5" s="79"/>
      <c r="QDB5" s="79"/>
      <c r="QDC5" s="79"/>
      <c r="QDD5" s="79"/>
      <c r="QDE5" s="79"/>
      <c r="QDF5" s="79"/>
      <c r="QDG5" s="79"/>
      <c r="QDH5" s="79"/>
      <c r="QDI5" s="79"/>
      <c r="QDJ5" s="79"/>
      <c r="QDK5" s="79"/>
      <c r="QDL5" s="79"/>
      <c r="QDM5" s="79"/>
      <c r="QDN5" s="79"/>
      <c r="QDO5" s="79"/>
      <c r="QDP5" s="79"/>
      <c r="QDQ5" s="79"/>
      <c r="QDR5" s="79"/>
      <c r="QDS5" s="79"/>
      <c r="QDT5" s="79"/>
      <c r="QDU5" s="79"/>
      <c r="QDV5" s="79"/>
      <c r="QDW5" s="79"/>
      <c r="QDX5" s="79"/>
      <c r="QDY5" s="79"/>
      <c r="QDZ5" s="79"/>
      <c r="QEA5" s="79"/>
      <c r="QEB5" s="79"/>
      <c r="QEC5" s="79"/>
      <c r="QED5" s="79"/>
      <c r="QEE5" s="79"/>
      <c r="QEF5" s="79"/>
      <c r="QEG5" s="79"/>
      <c r="QEH5" s="79"/>
      <c r="QEI5" s="79"/>
      <c r="QEJ5" s="79"/>
      <c r="QEK5" s="79"/>
      <c r="QEL5" s="79"/>
      <c r="QEM5" s="79"/>
      <c r="QEN5" s="79"/>
      <c r="QEO5" s="79"/>
      <c r="QEP5" s="79"/>
      <c r="QEQ5" s="79"/>
      <c r="QER5" s="79"/>
      <c r="QES5" s="79"/>
      <c r="QET5" s="79"/>
      <c r="QEU5" s="79"/>
      <c r="QEV5" s="79"/>
      <c r="QEW5" s="79"/>
      <c r="QEX5" s="79"/>
      <c r="QEY5" s="79"/>
      <c r="QEZ5" s="79"/>
      <c r="QFA5" s="79"/>
      <c r="QFB5" s="79"/>
      <c r="QFC5" s="79"/>
      <c r="QFD5" s="79"/>
      <c r="QFE5" s="79"/>
      <c r="QFF5" s="79"/>
      <c r="QFG5" s="79"/>
      <c r="QFH5" s="79"/>
      <c r="QFI5" s="79"/>
      <c r="QFJ5" s="79"/>
      <c r="QFK5" s="79"/>
      <c r="QFL5" s="79"/>
      <c r="QFM5" s="79"/>
      <c r="QFN5" s="79"/>
      <c r="QFO5" s="79"/>
      <c r="QFP5" s="79"/>
      <c r="QFQ5" s="79"/>
      <c r="QFR5" s="79"/>
      <c r="QFS5" s="79"/>
      <c r="QFT5" s="79"/>
      <c r="QFU5" s="79"/>
      <c r="QFV5" s="79"/>
      <c r="QFW5" s="79"/>
      <c r="QFX5" s="79"/>
      <c r="QFY5" s="79"/>
      <c r="QFZ5" s="79"/>
      <c r="QGA5" s="79"/>
      <c r="QGB5" s="79"/>
      <c r="QGC5" s="79"/>
      <c r="QGD5" s="79"/>
      <c r="QGE5" s="79"/>
      <c r="QGF5" s="79"/>
      <c r="QGG5" s="79"/>
      <c r="QGH5" s="79"/>
      <c r="QGI5" s="79"/>
      <c r="QGJ5" s="79"/>
      <c r="QGK5" s="79"/>
      <c r="QGL5" s="79"/>
      <c r="QGM5" s="79"/>
      <c r="QGN5" s="79"/>
      <c r="QGO5" s="79"/>
      <c r="QGP5" s="79"/>
      <c r="QGQ5" s="79"/>
      <c r="QGR5" s="79"/>
      <c r="QGS5" s="79"/>
      <c r="QGT5" s="79"/>
      <c r="QGU5" s="79"/>
      <c r="QGV5" s="79"/>
      <c r="QGW5" s="79"/>
      <c r="QGX5" s="79"/>
      <c r="QGY5" s="79"/>
      <c r="QGZ5" s="79"/>
      <c r="QHA5" s="79"/>
      <c r="QHB5" s="79"/>
      <c r="QHC5" s="79"/>
      <c r="QHD5" s="79"/>
      <c r="QHE5" s="79"/>
      <c r="QHF5" s="79"/>
      <c r="QHG5" s="79"/>
      <c r="QHH5" s="79"/>
      <c r="QHI5" s="79"/>
      <c r="QHJ5" s="79"/>
      <c r="QHK5" s="79"/>
      <c r="QHL5" s="79"/>
      <c r="QHM5" s="79"/>
      <c r="QHN5" s="79"/>
      <c r="QHO5" s="79"/>
      <c r="QHP5" s="79"/>
      <c r="QHQ5" s="79"/>
      <c r="QHR5" s="79"/>
      <c r="QHS5" s="79"/>
      <c r="QHT5" s="79"/>
      <c r="QHU5" s="79"/>
      <c r="QHV5" s="79"/>
      <c r="QHW5" s="79"/>
      <c r="QHX5" s="79"/>
      <c r="QHY5" s="79"/>
      <c r="QHZ5" s="79"/>
      <c r="QIA5" s="79"/>
      <c r="QIB5" s="79"/>
      <c r="QIC5" s="79"/>
      <c r="QID5" s="79"/>
      <c r="QIE5" s="79"/>
      <c r="QIF5" s="79"/>
      <c r="QIG5" s="79"/>
      <c r="QIH5" s="79"/>
      <c r="QII5" s="79"/>
      <c r="QIJ5" s="79"/>
      <c r="QIK5" s="79"/>
      <c r="QIL5" s="79"/>
      <c r="QIM5" s="79"/>
      <c r="QIN5" s="79"/>
      <c r="QIO5" s="79"/>
      <c r="QIP5" s="79"/>
      <c r="QIQ5" s="79"/>
      <c r="QIR5" s="79"/>
      <c r="QIS5" s="79"/>
      <c r="QIT5" s="79"/>
      <c r="QIU5" s="79"/>
      <c r="QIV5" s="79"/>
      <c r="QIW5" s="79"/>
      <c r="QIX5" s="79"/>
      <c r="QIY5" s="79"/>
      <c r="QIZ5" s="79"/>
      <c r="QJA5" s="79"/>
      <c r="QJB5" s="79"/>
      <c r="QJC5" s="79"/>
      <c r="QJD5" s="79"/>
      <c r="QJE5" s="79"/>
      <c r="QJF5" s="79"/>
      <c r="QJG5" s="79"/>
      <c r="QJH5" s="79"/>
      <c r="QJI5" s="79"/>
      <c r="QJJ5" s="79"/>
      <c r="QJK5" s="79"/>
      <c r="QJL5" s="79"/>
      <c r="QJM5" s="79"/>
      <c r="QJN5" s="79"/>
      <c r="QJO5" s="79"/>
      <c r="QJP5" s="79"/>
      <c r="QJQ5" s="79"/>
      <c r="QJR5" s="79"/>
      <c r="QJS5" s="79"/>
      <c r="QJT5" s="79"/>
      <c r="QJU5" s="79"/>
      <c r="QJV5" s="79"/>
      <c r="QJW5" s="79"/>
      <c r="QJX5" s="79"/>
      <c r="QJY5" s="79"/>
      <c r="QJZ5" s="79"/>
      <c r="QKA5" s="79"/>
      <c r="QKB5" s="79"/>
      <c r="QKC5" s="79"/>
      <c r="QKD5" s="79"/>
      <c r="QKE5" s="79"/>
      <c r="QKF5" s="79"/>
      <c r="QKG5" s="79"/>
      <c r="QKH5" s="79"/>
      <c r="QKI5" s="79"/>
      <c r="QKJ5" s="79"/>
      <c r="QKK5" s="79"/>
      <c r="QKL5" s="79"/>
      <c r="QKM5" s="79"/>
      <c r="QKN5" s="79"/>
      <c r="QKO5" s="79"/>
      <c r="QKP5" s="79"/>
      <c r="QKQ5" s="79"/>
      <c r="QKR5" s="79"/>
      <c r="QKS5" s="79"/>
      <c r="QKT5" s="79"/>
      <c r="QKU5" s="79"/>
      <c r="QKV5" s="79"/>
      <c r="QKW5" s="79"/>
      <c r="QKX5" s="79"/>
      <c r="QKY5" s="79"/>
      <c r="QKZ5" s="79"/>
      <c r="QLA5" s="79"/>
      <c r="QLB5" s="79"/>
      <c r="QLC5" s="79"/>
      <c r="QLD5" s="79"/>
      <c r="QLE5" s="79"/>
      <c r="QLF5" s="79"/>
      <c r="QLG5" s="79"/>
      <c r="QLH5" s="79"/>
      <c r="QLI5" s="79"/>
      <c r="QLJ5" s="79"/>
      <c r="QLK5" s="79"/>
      <c r="QLL5" s="79"/>
      <c r="QLM5" s="79"/>
      <c r="QLN5" s="79"/>
      <c r="QLO5" s="79"/>
      <c r="QLP5" s="79"/>
      <c r="QLQ5" s="79"/>
      <c r="QLR5" s="79"/>
      <c r="QLS5" s="79"/>
      <c r="QLT5" s="79"/>
      <c r="QLU5" s="79"/>
      <c r="QLV5" s="79"/>
      <c r="QLW5" s="79"/>
      <c r="QLX5" s="79"/>
      <c r="QLY5" s="79"/>
      <c r="QLZ5" s="79"/>
      <c r="QMA5" s="79"/>
      <c r="QMB5" s="79"/>
      <c r="QMC5" s="79"/>
      <c r="QMD5" s="79"/>
      <c r="QME5" s="79"/>
      <c r="QMF5" s="79"/>
      <c r="QMG5" s="79"/>
      <c r="QMH5" s="79"/>
      <c r="QMI5" s="79"/>
      <c r="QMJ5" s="79"/>
      <c r="QMK5" s="79"/>
      <c r="QML5" s="79"/>
      <c r="QMM5" s="79"/>
      <c r="QMN5" s="79"/>
      <c r="QMO5" s="79"/>
      <c r="QMP5" s="79"/>
      <c r="QMQ5" s="79"/>
      <c r="QMR5" s="79"/>
      <c r="QMS5" s="79"/>
      <c r="QMT5" s="79"/>
      <c r="QMU5" s="79"/>
      <c r="QMV5" s="79"/>
      <c r="QMW5" s="79"/>
      <c r="QMX5" s="79"/>
      <c r="QMY5" s="79"/>
      <c r="QMZ5" s="79"/>
      <c r="QNA5" s="79"/>
      <c r="QNB5" s="79"/>
      <c r="QNC5" s="79"/>
      <c r="QND5" s="79"/>
      <c r="QNE5" s="79"/>
      <c r="QNF5" s="79"/>
      <c r="QNG5" s="79"/>
      <c r="QNH5" s="79"/>
      <c r="QNI5" s="79"/>
      <c r="QNJ5" s="79"/>
      <c r="QNK5" s="79"/>
      <c r="QNL5" s="79"/>
      <c r="QNM5" s="79"/>
      <c r="QNN5" s="79"/>
      <c r="QNO5" s="79"/>
      <c r="QNP5" s="79"/>
      <c r="QNQ5" s="79"/>
      <c r="QNR5" s="79"/>
      <c r="QNS5" s="79"/>
      <c r="QNT5" s="79"/>
      <c r="QNU5" s="79"/>
      <c r="QNV5" s="79"/>
      <c r="QNW5" s="79"/>
      <c r="QNX5" s="79"/>
      <c r="QNY5" s="79"/>
      <c r="QNZ5" s="79"/>
      <c r="QOA5" s="79"/>
      <c r="QOB5" s="79"/>
      <c r="QOC5" s="79"/>
      <c r="QOD5" s="79"/>
      <c r="QOE5" s="79"/>
      <c r="QOF5" s="79"/>
      <c r="QOG5" s="79"/>
      <c r="QOH5" s="79"/>
      <c r="QOI5" s="79"/>
      <c r="QOJ5" s="79"/>
      <c r="QOK5" s="79"/>
      <c r="QOL5" s="79"/>
      <c r="QOM5" s="79"/>
      <c r="QON5" s="79"/>
      <c r="QOO5" s="79"/>
      <c r="QOP5" s="79"/>
      <c r="QOQ5" s="79"/>
      <c r="QOR5" s="79"/>
      <c r="QOS5" s="79"/>
      <c r="QOT5" s="79"/>
      <c r="QOU5" s="79"/>
      <c r="QOV5" s="79"/>
      <c r="QOW5" s="79"/>
      <c r="QOX5" s="79"/>
      <c r="QOY5" s="79"/>
      <c r="QOZ5" s="79"/>
      <c r="QPA5" s="79"/>
      <c r="QPB5" s="79"/>
      <c r="QPC5" s="79"/>
      <c r="QPD5" s="79"/>
      <c r="QPE5" s="79"/>
      <c r="QPF5" s="79"/>
      <c r="QPG5" s="79"/>
      <c r="QPH5" s="79"/>
      <c r="QPI5" s="79"/>
      <c r="QPJ5" s="79"/>
      <c r="QPK5" s="79"/>
      <c r="QPL5" s="79"/>
      <c r="QPM5" s="79"/>
      <c r="QPN5" s="79"/>
      <c r="QPO5" s="79"/>
      <c r="QPP5" s="79"/>
      <c r="QPQ5" s="79"/>
      <c r="QPR5" s="79"/>
      <c r="QPS5" s="79"/>
      <c r="QPT5" s="79"/>
      <c r="QPU5" s="79"/>
      <c r="QPV5" s="79"/>
      <c r="QPW5" s="79"/>
      <c r="QPX5" s="79"/>
      <c r="QPY5" s="79"/>
      <c r="QPZ5" s="79"/>
      <c r="QQA5" s="79"/>
      <c r="QQB5" s="79"/>
      <c r="QQC5" s="79"/>
      <c r="QQD5" s="79"/>
      <c r="QQE5" s="79"/>
      <c r="QQF5" s="79"/>
      <c r="QQG5" s="79"/>
      <c r="QQH5" s="79"/>
      <c r="QQI5" s="79"/>
      <c r="QQJ5" s="79"/>
      <c r="QQK5" s="79"/>
      <c r="QQL5" s="79"/>
      <c r="QQM5" s="79"/>
      <c r="QQN5" s="79"/>
      <c r="QQO5" s="79"/>
      <c r="QQP5" s="79"/>
      <c r="QQQ5" s="79"/>
      <c r="QQR5" s="79"/>
      <c r="QQS5" s="79"/>
      <c r="QQT5" s="79"/>
      <c r="QQU5" s="79"/>
      <c r="QQV5" s="79"/>
      <c r="QQW5" s="79"/>
      <c r="QQX5" s="79"/>
      <c r="QQY5" s="79"/>
      <c r="QQZ5" s="79"/>
      <c r="QRA5" s="79"/>
      <c r="QRB5" s="79"/>
      <c r="QRC5" s="79"/>
      <c r="QRD5" s="79"/>
      <c r="QRE5" s="79"/>
      <c r="QRF5" s="79"/>
      <c r="QRG5" s="79"/>
      <c r="QRH5" s="79"/>
      <c r="QRI5" s="79"/>
      <c r="QRJ5" s="79"/>
      <c r="QRK5" s="79"/>
      <c r="QRL5" s="79"/>
      <c r="QRM5" s="79"/>
      <c r="QRN5" s="79"/>
      <c r="QRO5" s="79"/>
      <c r="QRP5" s="79"/>
      <c r="QRQ5" s="79"/>
      <c r="QRR5" s="79"/>
      <c r="QRS5" s="79"/>
      <c r="QRT5" s="79"/>
      <c r="QRU5" s="79"/>
      <c r="QRV5" s="79"/>
      <c r="QRW5" s="79"/>
      <c r="QRX5" s="79"/>
      <c r="QRY5" s="79"/>
      <c r="QRZ5" s="79"/>
      <c r="QSA5" s="79"/>
      <c r="QSB5" s="79"/>
      <c r="QSC5" s="79"/>
      <c r="QSD5" s="79"/>
      <c r="QSE5" s="79"/>
      <c r="QSF5" s="79"/>
      <c r="QSG5" s="79"/>
      <c r="QSH5" s="79"/>
      <c r="QSI5" s="79"/>
      <c r="QSJ5" s="79"/>
      <c r="QSK5" s="79"/>
      <c r="QSL5" s="79"/>
      <c r="QSM5" s="79"/>
      <c r="QSN5" s="79"/>
      <c r="QSO5" s="79"/>
      <c r="QSP5" s="79"/>
      <c r="QSQ5" s="79"/>
      <c r="QSR5" s="79"/>
      <c r="QSS5" s="79"/>
      <c r="QST5" s="79"/>
      <c r="QSU5" s="79"/>
      <c r="QSV5" s="79"/>
      <c r="QSW5" s="79"/>
      <c r="QSX5" s="79"/>
      <c r="QSY5" s="79"/>
      <c r="QSZ5" s="79"/>
      <c r="QTA5" s="79"/>
      <c r="QTB5" s="79"/>
      <c r="QTC5" s="79"/>
      <c r="QTD5" s="79"/>
      <c r="QTE5" s="79"/>
      <c r="QTF5" s="79"/>
      <c r="QTG5" s="79"/>
      <c r="QTH5" s="79"/>
      <c r="QTI5" s="79"/>
      <c r="QTJ5" s="79"/>
      <c r="QTK5" s="79"/>
      <c r="QTL5" s="79"/>
      <c r="QTM5" s="79"/>
      <c r="QTN5" s="79"/>
      <c r="QTO5" s="79"/>
      <c r="QTP5" s="79"/>
      <c r="QTQ5" s="79"/>
      <c r="QTR5" s="79"/>
      <c r="QTS5" s="79"/>
      <c r="QTT5" s="79"/>
      <c r="QTU5" s="79"/>
      <c r="QTV5" s="79"/>
      <c r="QTW5" s="79"/>
      <c r="QTX5" s="79"/>
      <c r="QTY5" s="79"/>
      <c r="QTZ5" s="79"/>
      <c r="QUA5" s="79"/>
      <c r="QUB5" s="79"/>
      <c r="QUC5" s="79"/>
      <c r="QUD5" s="79"/>
      <c r="QUE5" s="79"/>
      <c r="QUF5" s="79"/>
      <c r="QUG5" s="79"/>
      <c r="QUH5" s="79"/>
      <c r="QUI5" s="79"/>
      <c r="QUJ5" s="79"/>
      <c r="QUK5" s="79"/>
      <c r="QUL5" s="79"/>
      <c r="QUM5" s="79"/>
      <c r="QUN5" s="79"/>
      <c r="QUO5" s="79"/>
      <c r="QUP5" s="79"/>
      <c r="QUQ5" s="79"/>
      <c r="QUR5" s="79"/>
      <c r="QUS5" s="79"/>
      <c r="QUT5" s="79"/>
      <c r="QUU5" s="79"/>
      <c r="QUV5" s="79"/>
      <c r="QUW5" s="79"/>
      <c r="QUX5" s="79"/>
      <c r="QUY5" s="79"/>
      <c r="QUZ5" s="79"/>
      <c r="QVA5" s="79"/>
      <c r="QVB5" s="79"/>
      <c r="QVC5" s="79"/>
      <c r="QVD5" s="79"/>
      <c r="QVE5" s="79"/>
      <c r="QVF5" s="79"/>
      <c r="QVG5" s="79"/>
      <c r="QVH5" s="79"/>
      <c r="QVI5" s="79"/>
      <c r="QVJ5" s="79"/>
      <c r="QVK5" s="79"/>
      <c r="QVL5" s="79"/>
      <c r="QVM5" s="79"/>
      <c r="QVN5" s="79"/>
      <c r="QVO5" s="79"/>
      <c r="QVP5" s="79"/>
      <c r="QVQ5" s="79"/>
      <c r="QVR5" s="79"/>
      <c r="QVS5" s="79"/>
      <c r="QVT5" s="79"/>
      <c r="QVU5" s="79"/>
      <c r="QVV5" s="79"/>
      <c r="QVW5" s="79"/>
      <c r="QVX5" s="79"/>
      <c r="QVY5" s="79"/>
      <c r="QVZ5" s="79"/>
      <c r="QWA5" s="79"/>
      <c r="QWB5" s="79"/>
      <c r="QWC5" s="79"/>
      <c r="QWD5" s="79"/>
      <c r="QWE5" s="79"/>
      <c r="QWF5" s="79"/>
      <c r="QWG5" s="79"/>
      <c r="QWH5" s="79"/>
      <c r="QWI5" s="79"/>
      <c r="QWJ5" s="79"/>
      <c r="QWK5" s="79"/>
      <c r="QWL5" s="79"/>
      <c r="QWM5" s="79"/>
      <c r="QWN5" s="79"/>
      <c r="QWO5" s="79"/>
      <c r="QWP5" s="79"/>
      <c r="QWQ5" s="79"/>
      <c r="QWR5" s="79"/>
      <c r="QWS5" s="79"/>
      <c r="QWT5" s="79"/>
      <c r="QWU5" s="79"/>
      <c r="QWV5" s="79"/>
      <c r="QWW5" s="79"/>
      <c r="QWX5" s="79"/>
      <c r="QWY5" s="79"/>
      <c r="QWZ5" s="79"/>
      <c r="QXA5" s="79"/>
      <c r="QXB5" s="79"/>
      <c r="QXC5" s="79"/>
      <c r="QXD5" s="79"/>
      <c r="QXE5" s="79"/>
      <c r="QXF5" s="79"/>
      <c r="QXG5" s="79"/>
      <c r="QXH5" s="79"/>
      <c r="QXI5" s="79"/>
      <c r="QXJ5" s="79"/>
      <c r="QXK5" s="79"/>
      <c r="QXL5" s="79"/>
      <c r="QXM5" s="79"/>
      <c r="QXN5" s="79"/>
      <c r="QXO5" s="79"/>
      <c r="QXP5" s="79"/>
      <c r="QXQ5" s="79"/>
      <c r="QXR5" s="79"/>
      <c r="QXS5" s="79"/>
      <c r="QXT5" s="79"/>
      <c r="QXU5" s="79"/>
      <c r="QXV5" s="79"/>
      <c r="QXW5" s="79"/>
      <c r="QXX5" s="79"/>
      <c r="QXY5" s="79"/>
      <c r="QXZ5" s="79"/>
      <c r="QYA5" s="79"/>
      <c r="QYB5" s="79"/>
      <c r="QYC5" s="79"/>
      <c r="QYD5" s="79"/>
      <c r="QYE5" s="79"/>
      <c r="QYF5" s="79"/>
      <c r="QYG5" s="79"/>
      <c r="QYH5" s="79"/>
      <c r="QYI5" s="79"/>
      <c r="QYJ5" s="79"/>
      <c r="QYK5" s="79"/>
      <c r="QYL5" s="79"/>
      <c r="QYM5" s="79"/>
      <c r="QYN5" s="79"/>
      <c r="QYO5" s="79"/>
      <c r="QYP5" s="79"/>
      <c r="QYQ5" s="79"/>
      <c r="QYR5" s="79"/>
      <c r="QYS5" s="79"/>
      <c r="QYT5" s="79"/>
      <c r="QYU5" s="79"/>
      <c r="QYV5" s="79"/>
      <c r="QYW5" s="79"/>
      <c r="QYX5" s="79"/>
      <c r="QYY5" s="79"/>
      <c r="QYZ5" s="79"/>
      <c r="QZA5" s="79"/>
      <c r="QZB5" s="79"/>
      <c r="QZC5" s="79"/>
      <c r="QZD5" s="79"/>
      <c r="QZE5" s="79"/>
      <c r="QZF5" s="79"/>
      <c r="QZG5" s="79"/>
      <c r="QZH5" s="79"/>
      <c r="QZI5" s="79"/>
      <c r="QZJ5" s="79"/>
      <c r="QZK5" s="79"/>
      <c r="QZL5" s="79"/>
      <c r="QZM5" s="79"/>
      <c r="QZN5" s="79"/>
      <c r="QZO5" s="79"/>
      <c r="QZP5" s="79"/>
      <c r="QZQ5" s="79"/>
      <c r="QZR5" s="79"/>
      <c r="QZS5" s="79"/>
      <c r="QZT5" s="79"/>
      <c r="QZU5" s="79"/>
      <c r="QZV5" s="79"/>
      <c r="QZW5" s="79"/>
      <c r="QZX5" s="79"/>
      <c r="QZY5" s="79"/>
      <c r="QZZ5" s="79"/>
      <c r="RAA5" s="79"/>
      <c r="RAB5" s="79"/>
      <c r="RAC5" s="79"/>
      <c r="RAD5" s="79"/>
      <c r="RAE5" s="79"/>
      <c r="RAF5" s="79"/>
      <c r="RAG5" s="79"/>
      <c r="RAH5" s="79"/>
      <c r="RAI5" s="79"/>
      <c r="RAJ5" s="79"/>
      <c r="RAK5" s="79"/>
      <c r="RAL5" s="79"/>
      <c r="RAM5" s="79"/>
      <c r="RAN5" s="79"/>
      <c r="RAO5" s="79"/>
      <c r="RAP5" s="79"/>
      <c r="RAQ5" s="79"/>
      <c r="RAR5" s="79"/>
      <c r="RAS5" s="79"/>
      <c r="RAT5" s="79"/>
      <c r="RAU5" s="79"/>
      <c r="RAV5" s="79"/>
      <c r="RAW5" s="79"/>
      <c r="RAX5" s="79"/>
      <c r="RAY5" s="79"/>
      <c r="RAZ5" s="79"/>
      <c r="RBA5" s="79"/>
      <c r="RBB5" s="79"/>
      <c r="RBC5" s="79"/>
      <c r="RBD5" s="79"/>
      <c r="RBE5" s="79"/>
      <c r="RBF5" s="79"/>
      <c r="RBG5" s="79"/>
      <c r="RBH5" s="79"/>
      <c r="RBI5" s="79"/>
      <c r="RBJ5" s="79"/>
      <c r="RBK5" s="79"/>
      <c r="RBL5" s="79"/>
      <c r="RBM5" s="79"/>
      <c r="RBN5" s="79"/>
      <c r="RBO5" s="79"/>
      <c r="RBP5" s="79"/>
      <c r="RBQ5" s="79"/>
      <c r="RBR5" s="79"/>
      <c r="RBS5" s="79"/>
      <c r="RBT5" s="79"/>
      <c r="RBU5" s="79"/>
      <c r="RBV5" s="79"/>
      <c r="RBW5" s="79"/>
      <c r="RBX5" s="79"/>
      <c r="RBY5" s="79"/>
      <c r="RBZ5" s="79"/>
      <c r="RCA5" s="79"/>
      <c r="RCB5" s="79"/>
      <c r="RCC5" s="79"/>
      <c r="RCD5" s="79"/>
      <c r="RCE5" s="79"/>
      <c r="RCF5" s="79"/>
      <c r="RCG5" s="79"/>
      <c r="RCH5" s="79"/>
      <c r="RCI5" s="79"/>
      <c r="RCJ5" s="79"/>
      <c r="RCK5" s="79"/>
      <c r="RCL5" s="79"/>
      <c r="RCM5" s="79"/>
      <c r="RCN5" s="79"/>
      <c r="RCO5" s="79"/>
      <c r="RCP5" s="79"/>
      <c r="RCQ5" s="79"/>
      <c r="RCR5" s="79"/>
      <c r="RCS5" s="79"/>
      <c r="RCT5" s="79"/>
      <c r="RCU5" s="79"/>
      <c r="RCV5" s="79"/>
      <c r="RCW5" s="79"/>
      <c r="RCX5" s="79"/>
      <c r="RCY5" s="79"/>
      <c r="RCZ5" s="79"/>
      <c r="RDA5" s="79"/>
      <c r="RDB5" s="79"/>
      <c r="RDC5" s="79"/>
      <c r="RDD5" s="79"/>
      <c r="RDE5" s="79"/>
      <c r="RDF5" s="79"/>
      <c r="RDG5" s="79"/>
      <c r="RDH5" s="79"/>
      <c r="RDI5" s="79"/>
      <c r="RDJ5" s="79"/>
      <c r="RDK5" s="79"/>
      <c r="RDL5" s="79"/>
      <c r="RDM5" s="79"/>
      <c r="RDN5" s="79"/>
      <c r="RDO5" s="79"/>
      <c r="RDP5" s="79"/>
      <c r="RDQ5" s="79"/>
      <c r="RDR5" s="79"/>
      <c r="RDS5" s="79"/>
      <c r="RDT5" s="79"/>
      <c r="RDU5" s="79"/>
      <c r="RDV5" s="79"/>
      <c r="RDW5" s="79"/>
      <c r="RDX5" s="79"/>
      <c r="RDY5" s="79"/>
      <c r="RDZ5" s="79"/>
      <c r="REA5" s="79"/>
      <c r="REB5" s="79"/>
      <c r="REC5" s="79"/>
      <c r="RED5" s="79"/>
      <c r="REE5" s="79"/>
      <c r="REF5" s="79"/>
      <c r="REG5" s="79"/>
      <c r="REH5" s="79"/>
      <c r="REI5" s="79"/>
      <c r="REJ5" s="79"/>
      <c r="REK5" s="79"/>
      <c r="REL5" s="79"/>
      <c r="REM5" s="79"/>
      <c r="REN5" s="79"/>
      <c r="REO5" s="79"/>
      <c r="REP5" s="79"/>
      <c r="REQ5" s="79"/>
      <c r="RER5" s="79"/>
      <c r="RES5" s="79"/>
      <c r="RET5" s="79"/>
      <c r="REU5" s="79"/>
      <c r="REV5" s="79"/>
      <c r="REW5" s="79"/>
      <c r="REX5" s="79"/>
      <c r="REY5" s="79"/>
      <c r="REZ5" s="79"/>
      <c r="RFA5" s="79"/>
      <c r="RFB5" s="79"/>
      <c r="RFC5" s="79"/>
      <c r="RFD5" s="79"/>
      <c r="RFE5" s="79"/>
      <c r="RFF5" s="79"/>
      <c r="RFG5" s="79"/>
      <c r="RFH5" s="79"/>
      <c r="RFI5" s="79"/>
      <c r="RFJ5" s="79"/>
      <c r="RFK5" s="79"/>
      <c r="RFL5" s="79"/>
      <c r="RFM5" s="79"/>
      <c r="RFN5" s="79"/>
      <c r="RFO5" s="79"/>
      <c r="RFP5" s="79"/>
      <c r="RFQ5" s="79"/>
      <c r="RFR5" s="79"/>
      <c r="RFS5" s="79"/>
      <c r="RFT5" s="79"/>
      <c r="RFU5" s="79"/>
      <c r="RFV5" s="79"/>
      <c r="RFW5" s="79"/>
      <c r="RFX5" s="79"/>
      <c r="RFY5" s="79"/>
      <c r="RFZ5" s="79"/>
      <c r="RGA5" s="79"/>
      <c r="RGB5" s="79"/>
      <c r="RGC5" s="79"/>
      <c r="RGD5" s="79"/>
      <c r="RGE5" s="79"/>
      <c r="RGF5" s="79"/>
      <c r="RGG5" s="79"/>
      <c r="RGH5" s="79"/>
      <c r="RGI5" s="79"/>
      <c r="RGJ5" s="79"/>
      <c r="RGK5" s="79"/>
      <c r="RGL5" s="79"/>
      <c r="RGM5" s="79"/>
      <c r="RGN5" s="79"/>
      <c r="RGO5" s="79"/>
      <c r="RGP5" s="79"/>
      <c r="RGQ5" s="79"/>
      <c r="RGR5" s="79"/>
      <c r="RGS5" s="79"/>
      <c r="RGT5" s="79"/>
      <c r="RGU5" s="79"/>
      <c r="RGV5" s="79"/>
      <c r="RGW5" s="79"/>
      <c r="RGX5" s="79"/>
      <c r="RGY5" s="79"/>
      <c r="RGZ5" s="79"/>
      <c r="RHA5" s="79"/>
      <c r="RHB5" s="79"/>
      <c r="RHC5" s="79"/>
      <c r="RHD5" s="79"/>
      <c r="RHE5" s="79"/>
      <c r="RHF5" s="79"/>
      <c r="RHG5" s="79"/>
      <c r="RHH5" s="79"/>
      <c r="RHI5" s="79"/>
      <c r="RHJ5" s="79"/>
      <c r="RHK5" s="79"/>
      <c r="RHL5" s="79"/>
      <c r="RHM5" s="79"/>
      <c r="RHN5" s="79"/>
      <c r="RHO5" s="79"/>
      <c r="RHP5" s="79"/>
      <c r="RHQ5" s="79"/>
      <c r="RHR5" s="79"/>
      <c r="RHS5" s="79"/>
      <c r="RHT5" s="79"/>
      <c r="RHU5" s="79"/>
      <c r="RHV5" s="79"/>
      <c r="RHW5" s="79"/>
      <c r="RHX5" s="79"/>
      <c r="RHY5" s="79"/>
      <c r="RHZ5" s="79"/>
      <c r="RIA5" s="79"/>
      <c r="RIB5" s="79"/>
      <c r="RIC5" s="79"/>
      <c r="RID5" s="79"/>
      <c r="RIE5" s="79"/>
      <c r="RIF5" s="79"/>
      <c r="RIG5" s="79"/>
      <c r="RIH5" s="79"/>
      <c r="RII5" s="79"/>
      <c r="RIJ5" s="79"/>
      <c r="RIK5" s="79"/>
      <c r="RIL5" s="79"/>
      <c r="RIM5" s="79"/>
      <c r="RIN5" s="79"/>
      <c r="RIO5" s="79"/>
      <c r="RIP5" s="79"/>
      <c r="RIQ5" s="79"/>
      <c r="RIR5" s="79"/>
      <c r="RIS5" s="79"/>
      <c r="RIT5" s="79"/>
      <c r="RIU5" s="79"/>
      <c r="RIV5" s="79"/>
      <c r="RIW5" s="79"/>
      <c r="RIX5" s="79"/>
      <c r="RIY5" s="79"/>
      <c r="RIZ5" s="79"/>
      <c r="RJA5" s="79"/>
      <c r="RJB5" s="79"/>
      <c r="RJC5" s="79"/>
      <c r="RJD5" s="79"/>
      <c r="RJE5" s="79"/>
      <c r="RJF5" s="79"/>
      <c r="RJG5" s="79"/>
      <c r="RJH5" s="79"/>
      <c r="RJI5" s="79"/>
      <c r="RJJ5" s="79"/>
      <c r="RJK5" s="79"/>
      <c r="RJL5" s="79"/>
      <c r="RJM5" s="79"/>
      <c r="RJN5" s="79"/>
      <c r="RJO5" s="79"/>
      <c r="RJP5" s="79"/>
      <c r="RJQ5" s="79"/>
      <c r="RJR5" s="79"/>
      <c r="RJS5" s="79"/>
      <c r="RJT5" s="79"/>
      <c r="RJU5" s="79"/>
      <c r="RJV5" s="79"/>
      <c r="RJW5" s="79"/>
      <c r="RJX5" s="79"/>
      <c r="RJY5" s="79"/>
      <c r="RJZ5" s="79"/>
      <c r="RKA5" s="79"/>
      <c r="RKB5" s="79"/>
      <c r="RKC5" s="79"/>
      <c r="RKD5" s="79"/>
      <c r="RKE5" s="79"/>
      <c r="RKF5" s="79"/>
      <c r="RKG5" s="79"/>
      <c r="RKH5" s="79"/>
      <c r="RKI5" s="79"/>
      <c r="RKJ5" s="79"/>
      <c r="RKK5" s="79"/>
      <c r="RKL5" s="79"/>
      <c r="RKM5" s="79"/>
      <c r="RKN5" s="79"/>
      <c r="RKO5" s="79"/>
      <c r="RKP5" s="79"/>
      <c r="RKQ5" s="79"/>
      <c r="RKR5" s="79"/>
      <c r="RKS5" s="79"/>
      <c r="RKT5" s="79"/>
      <c r="RKU5" s="79"/>
      <c r="RKV5" s="79"/>
      <c r="RKW5" s="79"/>
      <c r="RKX5" s="79"/>
      <c r="RKY5" s="79"/>
      <c r="RKZ5" s="79"/>
      <c r="RLA5" s="79"/>
      <c r="RLB5" s="79"/>
      <c r="RLC5" s="79"/>
      <c r="RLD5" s="79"/>
      <c r="RLE5" s="79"/>
      <c r="RLF5" s="79"/>
      <c r="RLG5" s="79"/>
      <c r="RLH5" s="79"/>
      <c r="RLI5" s="79"/>
      <c r="RLJ5" s="79"/>
      <c r="RLK5" s="79"/>
      <c r="RLL5" s="79"/>
      <c r="RLM5" s="79"/>
      <c r="RLN5" s="79"/>
      <c r="RLO5" s="79"/>
      <c r="RLP5" s="79"/>
      <c r="RLQ5" s="79"/>
      <c r="RLR5" s="79"/>
      <c r="RLS5" s="79"/>
      <c r="RLT5" s="79"/>
      <c r="RLU5" s="79"/>
      <c r="RLV5" s="79"/>
      <c r="RLW5" s="79"/>
      <c r="RLX5" s="79"/>
      <c r="RLY5" s="79"/>
      <c r="RLZ5" s="79"/>
      <c r="RMA5" s="79"/>
      <c r="RMB5" s="79"/>
      <c r="RMC5" s="79"/>
      <c r="RMD5" s="79"/>
      <c r="RME5" s="79"/>
      <c r="RMF5" s="79"/>
      <c r="RMG5" s="79"/>
      <c r="RMH5" s="79"/>
      <c r="RMI5" s="79"/>
      <c r="RMJ5" s="79"/>
      <c r="RMK5" s="79"/>
      <c r="RML5" s="79"/>
      <c r="RMM5" s="79"/>
      <c r="RMN5" s="79"/>
      <c r="RMO5" s="79"/>
      <c r="RMP5" s="79"/>
      <c r="RMQ5" s="79"/>
      <c r="RMR5" s="79"/>
      <c r="RMS5" s="79"/>
      <c r="RMT5" s="79"/>
      <c r="RMU5" s="79"/>
      <c r="RMV5" s="79"/>
      <c r="RMW5" s="79"/>
      <c r="RMX5" s="79"/>
      <c r="RMY5" s="79"/>
      <c r="RMZ5" s="79"/>
      <c r="RNA5" s="79"/>
      <c r="RNB5" s="79"/>
      <c r="RNC5" s="79"/>
      <c r="RND5" s="79"/>
      <c r="RNE5" s="79"/>
      <c r="RNF5" s="79"/>
      <c r="RNG5" s="79"/>
      <c r="RNH5" s="79"/>
      <c r="RNI5" s="79"/>
      <c r="RNJ5" s="79"/>
      <c r="RNK5" s="79"/>
      <c r="RNL5" s="79"/>
      <c r="RNM5" s="79"/>
      <c r="RNN5" s="79"/>
      <c r="RNO5" s="79"/>
      <c r="RNP5" s="79"/>
      <c r="RNQ5" s="79"/>
      <c r="RNR5" s="79"/>
      <c r="RNS5" s="79"/>
      <c r="RNT5" s="79"/>
      <c r="RNU5" s="79"/>
      <c r="RNV5" s="79"/>
      <c r="RNW5" s="79"/>
      <c r="RNX5" s="79"/>
      <c r="RNY5" s="79"/>
      <c r="RNZ5" s="79"/>
      <c r="ROA5" s="79"/>
      <c r="ROB5" s="79"/>
      <c r="ROC5" s="79"/>
      <c r="ROD5" s="79"/>
      <c r="ROE5" s="79"/>
      <c r="ROF5" s="79"/>
      <c r="ROG5" s="79"/>
      <c r="ROH5" s="79"/>
      <c r="ROI5" s="79"/>
      <c r="ROJ5" s="79"/>
      <c r="ROK5" s="79"/>
      <c r="ROL5" s="79"/>
      <c r="ROM5" s="79"/>
      <c r="RON5" s="79"/>
      <c r="ROO5" s="79"/>
      <c r="ROP5" s="79"/>
      <c r="ROQ5" s="79"/>
      <c r="ROR5" s="79"/>
      <c r="ROS5" s="79"/>
      <c r="ROT5" s="79"/>
      <c r="ROU5" s="79"/>
      <c r="ROV5" s="79"/>
      <c r="ROW5" s="79"/>
      <c r="ROX5" s="79"/>
      <c r="ROY5" s="79"/>
      <c r="ROZ5" s="79"/>
      <c r="RPA5" s="79"/>
      <c r="RPB5" s="79"/>
      <c r="RPC5" s="79"/>
      <c r="RPD5" s="79"/>
      <c r="RPE5" s="79"/>
      <c r="RPF5" s="79"/>
      <c r="RPG5" s="79"/>
      <c r="RPH5" s="79"/>
      <c r="RPI5" s="79"/>
      <c r="RPJ5" s="79"/>
      <c r="RPK5" s="79"/>
      <c r="RPL5" s="79"/>
      <c r="RPM5" s="79"/>
      <c r="RPN5" s="79"/>
      <c r="RPO5" s="79"/>
      <c r="RPP5" s="79"/>
      <c r="RPQ5" s="79"/>
      <c r="RPR5" s="79"/>
      <c r="RPS5" s="79"/>
      <c r="RPT5" s="79"/>
      <c r="RPU5" s="79"/>
      <c r="RPV5" s="79"/>
      <c r="RPW5" s="79"/>
      <c r="RPX5" s="79"/>
      <c r="RPY5" s="79"/>
      <c r="RPZ5" s="79"/>
      <c r="RQA5" s="79"/>
      <c r="RQB5" s="79"/>
      <c r="RQC5" s="79"/>
      <c r="RQD5" s="79"/>
      <c r="RQE5" s="79"/>
      <c r="RQF5" s="79"/>
      <c r="RQG5" s="79"/>
      <c r="RQH5" s="79"/>
      <c r="RQI5" s="79"/>
      <c r="RQJ5" s="79"/>
      <c r="RQK5" s="79"/>
      <c r="RQL5" s="79"/>
      <c r="RQM5" s="79"/>
      <c r="RQN5" s="79"/>
      <c r="RQO5" s="79"/>
      <c r="RQP5" s="79"/>
      <c r="RQQ5" s="79"/>
      <c r="RQR5" s="79"/>
      <c r="RQS5" s="79"/>
      <c r="RQT5" s="79"/>
      <c r="RQU5" s="79"/>
      <c r="RQV5" s="79"/>
      <c r="RQW5" s="79"/>
      <c r="RQX5" s="79"/>
      <c r="RQY5" s="79"/>
      <c r="RQZ5" s="79"/>
      <c r="RRA5" s="79"/>
      <c r="RRB5" s="79"/>
      <c r="RRC5" s="79"/>
      <c r="RRD5" s="79"/>
      <c r="RRE5" s="79"/>
      <c r="RRF5" s="79"/>
      <c r="RRG5" s="79"/>
      <c r="RRH5" s="79"/>
      <c r="RRI5" s="79"/>
      <c r="RRJ5" s="79"/>
      <c r="RRK5" s="79"/>
      <c r="RRL5" s="79"/>
      <c r="RRM5" s="79"/>
      <c r="RRN5" s="79"/>
      <c r="RRO5" s="79"/>
      <c r="RRP5" s="79"/>
      <c r="RRQ5" s="79"/>
      <c r="RRR5" s="79"/>
      <c r="RRS5" s="79"/>
      <c r="RRT5" s="79"/>
      <c r="RRU5" s="79"/>
      <c r="RRV5" s="79"/>
      <c r="RRW5" s="79"/>
      <c r="RRX5" s="79"/>
      <c r="RRY5" s="79"/>
      <c r="RRZ5" s="79"/>
      <c r="RSA5" s="79"/>
      <c r="RSB5" s="79"/>
      <c r="RSC5" s="79"/>
      <c r="RSD5" s="79"/>
      <c r="RSE5" s="79"/>
      <c r="RSF5" s="79"/>
      <c r="RSG5" s="79"/>
      <c r="RSH5" s="79"/>
      <c r="RSI5" s="79"/>
      <c r="RSJ5" s="79"/>
      <c r="RSK5" s="79"/>
      <c r="RSL5" s="79"/>
      <c r="RSM5" s="79"/>
      <c r="RSN5" s="79"/>
      <c r="RSO5" s="79"/>
      <c r="RSP5" s="79"/>
      <c r="RSQ5" s="79"/>
      <c r="RSR5" s="79"/>
      <c r="RSS5" s="79"/>
      <c r="RST5" s="79"/>
      <c r="RSU5" s="79"/>
      <c r="RSV5" s="79"/>
      <c r="RSW5" s="79"/>
      <c r="RSX5" s="79"/>
      <c r="RSY5" s="79"/>
      <c r="RSZ5" s="79"/>
      <c r="RTA5" s="79"/>
      <c r="RTB5" s="79"/>
      <c r="RTC5" s="79"/>
      <c r="RTD5" s="79"/>
      <c r="RTE5" s="79"/>
      <c r="RTF5" s="79"/>
      <c r="RTG5" s="79"/>
      <c r="RTH5" s="79"/>
      <c r="RTI5" s="79"/>
      <c r="RTJ5" s="79"/>
      <c r="RTK5" s="79"/>
      <c r="RTL5" s="79"/>
      <c r="RTM5" s="79"/>
      <c r="RTN5" s="79"/>
      <c r="RTO5" s="79"/>
      <c r="RTP5" s="79"/>
      <c r="RTQ5" s="79"/>
      <c r="RTR5" s="79"/>
      <c r="RTS5" s="79"/>
      <c r="RTT5" s="79"/>
      <c r="RTU5" s="79"/>
      <c r="RTV5" s="79"/>
      <c r="RTW5" s="79"/>
      <c r="RTX5" s="79"/>
      <c r="RTY5" s="79"/>
      <c r="RTZ5" s="79"/>
      <c r="RUA5" s="79"/>
      <c r="RUB5" s="79"/>
      <c r="RUC5" s="79"/>
      <c r="RUD5" s="79"/>
      <c r="RUE5" s="79"/>
      <c r="RUF5" s="79"/>
      <c r="RUG5" s="79"/>
      <c r="RUH5" s="79"/>
      <c r="RUI5" s="79"/>
      <c r="RUJ5" s="79"/>
      <c r="RUK5" s="79"/>
      <c r="RUL5" s="79"/>
      <c r="RUM5" s="79"/>
      <c r="RUN5" s="79"/>
      <c r="RUO5" s="79"/>
      <c r="RUP5" s="79"/>
      <c r="RUQ5" s="79"/>
      <c r="RUR5" s="79"/>
      <c r="RUS5" s="79"/>
      <c r="RUT5" s="79"/>
      <c r="RUU5" s="79"/>
      <c r="RUV5" s="79"/>
      <c r="RUW5" s="79"/>
      <c r="RUX5" s="79"/>
      <c r="RUY5" s="79"/>
      <c r="RUZ5" s="79"/>
      <c r="RVA5" s="79"/>
      <c r="RVB5" s="79"/>
      <c r="RVC5" s="79"/>
      <c r="RVD5" s="79"/>
      <c r="RVE5" s="79"/>
      <c r="RVF5" s="79"/>
      <c r="RVG5" s="79"/>
      <c r="RVH5" s="79"/>
      <c r="RVI5" s="79"/>
      <c r="RVJ5" s="79"/>
      <c r="RVK5" s="79"/>
      <c r="RVL5" s="79"/>
      <c r="RVM5" s="79"/>
      <c r="RVN5" s="79"/>
      <c r="RVO5" s="79"/>
      <c r="RVP5" s="79"/>
      <c r="RVQ5" s="79"/>
      <c r="RVR5" s="79"/>
      <c r="RVS5" s="79"/>
      <c r="RVT5" s="79"/>
      <c r="RVU5" s="79"/>
      <c r="RVV5" s="79"/>
      <c r="RVW5" s="79"/>
      <c r="RVX5" s="79"/>
      <c r="RVY5" s="79"/>
      <c r="RVZ5" s="79"/>
      <c r="RWA5" s="79"/>
      <c r="RWB5" s="79"/>
      <c r="RWC5" s="79"/>
      <c r="RWD5" s="79"/>
      <c r="RWE5" s="79"/>
      <c r="RWF5" s="79"/>
      <c r="RWG5" s="79"/>
      <c r="RWH5" s="79"/>
      <c r="RWI5" s="79"/>
      <c r="RWJ5" s="79"/>
      <c r="RWK5" s="79"/>
      <c r="RWL5" s="79"/>
      <c r="RWM5" s="79"/>
      <c r="RWN5" s="79"/>
      <c r="RWO5" s="79"/>
      <c r="RWP5" s="79"/>
      <c r="RWQ5" s="79"/>
      <c r="RWR5" s="79"/>
      <c r="RWS5" s="79"/>
      <c r="RWT5" s="79"/>
      <c r="RWU5" s="79"/>
      <c r="RWV5" s="79"/>
      <c r="RWW5" s="79"/>
      <c r="RWX5" s="79"/>
      <c r="RWY5" s="79"/>
      <c r="RWZ5" s="79"/>
      <c r="RXA5" s="79"/>
      <c r="RXB5" s="79"/>
      <c r="RXC5" s="79"/>
      <c r="RXD5" s="79"/>
      <c r="RXE5" s="79"/>
      <c r="RXF5" s="79"/>
      <c r="RXG5" s="79"/>
      <c r="RXH5" s="79"/>
      <c r="RXI5" s="79"/>
      <c r="RXJ5" s="79"/>
      <c r="RXK5" s="79"/>
      <c r="RXL5" s="79"/>
      <c r="RXM5" s="79"/>
      <c r="RXN5" s="79"/>
      <c r="RXO5" s="79"/>
      <c r="RXP5" s="79"/>
      <c r="RXQ5" s="79"/>
      <c r="RXR5" s="79"/>
      <c r="RXS5" s="79"/>
      <c r="RXT5" s="79"/>
      <c r="RXU5" s="79"/>
      <c r="RXV5" s="79"/>
      <c r="RXW5" s="79"/>
      <c r="RXX5" s="79"/>
      <c r="RXY5" s="79"/>
      <c r="RXZ5" s="79"/>
      <c r="RYA5" s="79"/>
      <c r="RYB5" s="79"/>
      <c r="RYC5" s="79"/>
      <c r="RYD5" s="79"/>
      <c r="RYE5" s="79"/>
      <c r="RYF5" s="79"/>
      <c r="RYG5" s="79"/>
      <c r="RYH5" s="79"/>
      <c r="RYI5" s="79"/>
      <c r="RYJ5" s="79"/>
      <c r="RYK5" s="79"/>
      <c r="RYL5" s="79"/>
      <c r="RYM5" s="79"/>
      <c r="RYN5" s="79"/>
      <c r="RYO5" s="79"/>
      <c r="RYP5" s="79"/>
      <c r="RYQ5" s="79"/>
      <c r="RYR5" s="79"/>
      <c r="RYS5" s="79"/>
      <c r="RYT5" s="79"/>
      <c r="RYU5" s="79"/>
      <c r="RYV5" s="79"/>
      <c r="RYW5" s="79"/>
      <c r="RYX5" s="79"/>
      <c r="RYY5" s="79"/>
      <c r="RYZ5" s="79"/>
      <c r="RZA5" s="79"/>
      <c r="RZB5" s="79"/>
      <c r="RZC5" s="79"/>
      <c r="RZD5" s="79"/>
      <c r="RZE5" s="79"/>
      <c r="RZF5" s="79"/>
      <c r="RZG5" s="79"/>
      <c r="RZH5" s="79"/>
      <c r="RZI5" s="79"/>
      <c r="RZJ5" s="79"/>
      <c r="RZK5" s="79"/>
      <c r="RZL5" s="79"/>
      <c r="RZM5" s="79"/>
      <c r="RZN5" s="79"/>
      <c r="RZO5" s="79"/>
      <c r="RZP5" s="79"/>
      <c r="RZQ5" s="79"/>
      <c r="RZR5" s="79"/>
      <c r="RZS5" s="79"/>
      <c r="RZT5" s="79"/>
      <c r="RZU5" s="79"/>
      <c r="RZV5" s="79"/>
      <c r="RZW5" s="79"/>
      <c r="RZX5" s="79"/>
      <c r="RZY5" s="79"/>
      <c r="RZZ5" s="79"/>
      <c r="SAA5" s="79"/>
      <c r="SAB5" s="79"/>
      <c r="SAC5" s="79"/>
      <c r="SAD5" s="79"/>
      <c r="SAE5" s="79"/>
      <c r="SAF5" s="79"/>
      <c r="SAG5" s="79"/>
      <c r="SAH5" s="79"/>
      <c r="SAI5" s="79"/>
      <c r="SAJ5" s="79"/>
      <c r="SAK5" s="79"/>
      <c r="SAL5" s="79"/>
      <c r="SAM5" s="79"/>
      <c r="SAN5" s="79"/>
      <c r="SAO5" s="79"/>
      <c r="SAP5" s="79"/>
      <c r="SAQ5" s="79"/>
      <c r="SAR5" s="79"/>
      <c r="SAS5" s="79"/>
      <c r="SAT5" s="79"/>
      <c r="SAU5" s="79"/>
      <c r="SAV5" s="79"/>
      <c r="SAW5" s="79"/>
      <c r="SAX5" s="79"/>
      <c r="SAY5" s="79"/>
      <c r="SAZ5" s="79"/>
      <c r="SBA5" s="79"/>
      <c r="SBB5" s="79"/>
      <c r="SBC5" s="79"/>
      <c r="SBD5" s="79"/>
      <c r="SBE5" s="79"/>
      <c r="SBF5" s="79"/>
      <c r="SBG5" s="79"/>
      <c r="SBH5" s="79"/>
      <c r="SBI5" s="79"/>
      <c r="SBJ5" s="79"/>
      <c r="SBK5" s="79"/>
      <c r="SBL5" s="79"/>
      <c r="SBM5" s="79"/>
      <c r="SBN5" s="79"/>
      <c r="SBO5" s="79"/>
      <c r="SBP5" s="79"/>
      <c r="SBQ5" s="79"/>
      <c r="SBR5" s="79"/>
      <c r="SBS5" s="79"/>
      <c r="SBT5" s="79"/>
      <c r="SBU5" s="79"/>
      <c r="SBV5" s="79"/>
      <c r="SBW5" s="79"/>
      <c r="SBX5" s="79"/>
      <c r="SBY5" s="79"/>
      <c r="SBZ5" s="79"/>
      <c r="SCA5" s="79"/>
      <c r="SCB5" s="79"/>
      <c r="SCC5" s="79"/>
      <c r="SCD5" s="79"/>
      <c r="SCE5" s="79"/>
      <c r="SCF5" s="79"/>
      <c r="SCG5" s="79"/>
      <c r="SCH5" s="79"/>
      <c r="SCI5" s="79"/>
      <c r="SCJ5" s="79"/>
      <c r="SCK5" s="79"/>
      <c r="SCL5" s="79"/>
      <c r="SCM5" s="79"/>
      <c r="SCN5" s="79"/>
      <c r="SCO5" s="79"/>
      <c r="SCP5" s="79"/>
      <c r="SCQ5" s="79"/>
      <c r="SCR5" s="79"/>
      <c r="SCS5" s="79"/>
      <c r="SCT5" s="79"/>
      <c r="SCU5" s="79"/>
      <c r="SCV5" s="79"/>
      <c r="SCW5" s="79"/>
      <c r="SCX5" s="79"/>
      <c r="SCY5" s="79"/>
      <c r="SCZ5" s="79"/>
      <c r="SDA5" s="79"/>
      <c r="SDB5" s="79"/>
      <c r="SDC5" s="79"/>
      <c r="SDD5" s="79"/>
      <c r="SDE5" s="79"/>
      <c r="SDF5" s="79"/>
      <c r="SDG5" s="79"/>
      <c r="SDH5" s="79"/>
      <c r="SDI5" s="79"/>
      <c r="SDJ5" s="79"/>
      <c r="SDK5" s="79"/>
      <c r="SDL5" s="79"/>
      <c r="SDM5" s="79"/>
      <c r="SDN5" s="79"/>
      <c r="SDO5" s="79"/>
      <c r="SDP5" s="79"/>
      <c r="SDQ5" s="79"/>
      <c r="SDR5" s="79"/>
      <c r="SDS5" s="79"/>
      <c r="SDT5" s="79"/>
      <c r="SDU5" s="79"/>
      <c r="SDV5" s="79"/>
      <c r="SDW5" s="79"/>
      <c r="SDX5" s="79"/>
      <c r="SDY5" s="79"/>
      <c r="SDZ5" s="79"/>
      <c r="SEA5" s="79"/>
      <c r="SEB5" s="79"/>
      <c r="SEC5" s="79"/>
      <c r="SED5" s="79"/>
      <c r="SEE5" s="79"/>
      <c r="SEF5" s="79"/>
      <c r="SEG5" s="79"/>
      <c r="SEH5" s="79"/>
      <c r="SEI5" s="79"/>
      <c r="SEJ5" s="79"/>
      <c r="SEK5" s="79"/>
      <c r="SEL5" s="79"/>
      <c r="SEM5" s="79"/>
      <c r="SEN5" s="79"/>
      <c r="SEO5" s="79"/>
      <c r="SEP5" s="79"/>
      <c r="SEQ5" s="79"/>
      <c r="SER5" s="79"/>
      <c r="SES5" s="79"/>
      <c r="SET5" s="79"/>
      <c r="SEU5" s="79"/>
      <c r="SEV5" s="79"/>
      <c r="SEW5" s="79"/>
      <c r="SEX5" s="79"/>
      <c r="SEY5" s="79"/>
      <c r="SEZ5" s="79"/>
      <c r="SFA5" s="79"/>
      <c r="SFB5" s="79"/>
      <c r="SFC5" s="79"/>
      <c r="SFD5" s="79"/>
      <c r="SFE5" s="79"/>
      <c r="SFF5" s="79"/>
      <c r="SFG5" s="79"/>
      <c r="SFH5" s="79"/>
      <c r="SFI5" s="79"/>
      <c r="SFJ5" s="79"/>
      <c r="SFK5" s="79"/>
      <c r="SFL5" s="79"/>
      <c r="SFM5" s="79"/>
      <c r="SFN5" s="79"/>
      <c r="SFO5" s="79"/>
      <c r="SFP5" s="79"/>
      <c r="SFQ5" s="79"/>
      <c r="SFR5" s="79"/>
      <c r="SFS5" s="79"/>
      <c r="SFT5" s="79"/>
      <c r="SFU5" s="79"/>
      <c r="SFV5" s="79"/>
      <c r="SFW5" s="79"/>
      <c r="SFX5" s="79"/>
      <c r="SFY5" s="79"/>
      <c r="SFZ5" s="79"/>
      <c r="SGA5" s="79"/>
      <c r="SGB5" s="79"/>
      <c r="SGC5" s="79"/>
      <c r="SGD5" s="79"/>
      <c r="SGE5" s="79"/>
      <c r="SGF5" s="79"/>
      <c r="SGG5" s="79"/>
      <c r="SGH5" s="79"/>
      <c r="SGI5" s="79"/>
      <c r="SGJ5" s="79"/>
      <c r="SGK5" s="79"/>
      <c r="SGL5" s="79"/>
      <c r="SGM5" s="79"/>
      <c r="SGN5" s="79"/>
      <c r="SGO5" s="79"/>
      <c r="SGP5" s="79"/>
      <c r="SGQ5" s="79"/>
      <c r="SGR5" s="79"/>
      <c r="SGS5" s="79"/>
      <c r="SGT5" s="79"/>
      <c r="SGU5" s="79"/>
      <c r="SGV5" s="79"/>
      <c r="SGW5" s="79"/>
      <c r="SGX5" s="79"/>
      <c r="SGY5" s="79"/>
      <c r="SGZ5" s="79"/>
      <c r="SHA5" s="79"/>
      <c r="SHB5" s="79"/>
      <c r="SHC5" s="79"/>
      <c r="SHD5" s="79"/>
      <c r="SHE5" s="79"/>
      <c r="SHF5" s="79"/>
      <c r="SHG5" s="79"/>
      <c r="SHH5" s="79"/>
      <c r="SHI5" s="79"/>
      <c r="SHJ5" s="79"/>
      <c r="SHK5" s="79"/>
      <c r="SHL5" s="79"/>
      <c r="SHM5" s="79"/>
      <c r="SHN5" s="79"/>
      <c r="SHO5" s="79"/>
      <c r="SHP5" s="79"/>
      <c r="SHQ5" s="79"/>
      <c r="SHR5" s="79"/>
      <c r="SHS5" s="79"/>
      <c r="SHT5" s="79"/>
      <c r="SHU5" s="79"/>
      <c r="SHV5" s="79"/>
      <c r="SHW5" s="79"/>
      <c r="SHX5" s="79"/>
      <c r="SHY5" s="79"/>
      <c r="SHZ5" s="79"/>
      <c r="SIA5" s="79"/>
      <c r="SIB5" s="79"/>
      <c r="SIC5" s="79"/>
      <c r="SID5" s="79"/>
      <c r="SIE5" s="79"/>
      <c r="SIF5" s="79"/>
      <c r="SIG5" s="79"/>
      <c r="SIH5" s="79"/>
      <c r="SII5" s="79"/>
      <c r="SIJ5" s="79"/>
      <c r="SIK5" s="79"/>
      <c r="SIL5" s="79"/>
      <c r="SIM5" s="79"/>
      <c r="SIN5" s="79"/>
      <c r="SIO5" s="79"/>
      <c r="SIP5" s="79"/>
      <c r="SIQ5" s="79"/>
      <c r="SIR5" s="79"/>
      <c r="SIS5" s="79"/>
      <c r="SIT5" s="79"/>
      <c r="SIU5" s="79"/>
      <c r="SIV5" s="79"/>
      <c r="SIW5" s="79"/>
      <c r="SIX5" s="79"/>
      <c r="SIY5" s="79"/>
      <c r="SIZ5" s="79"/>
      <c r="SJA5" s="79"/>
      <c r="SJB5" s="79"/>
      <c r="SJC5" s="79"/>
      <c r="SJD5" s="79"/>
      <c r="SJE5" s="79"/>
      <c r="SJF5" s="79"/>
      <c r="SJG5" s="79"/>
      <c r="SJH5" s="79"/>
      <c r="SJI5" s="79"/>
      <c r="SJJ5" s="79"/>
      <c r="SJK5" s="79"/>
      <c r="SJL5" s="79"/>
      <c r="SJM5" s="79"/>
      <c r="SJN5" s="79"/>
      <c r="SJO5" s="79"/>
      <c r="SJP5" s="79"/>
      <c r="SJQ5" s="79"/>
      <c r="SJR5" s="79"/>
      <c r="SJS5" s="79"/>
      <c r="SJT5" s="79"/>
      <c r="SJU5" s="79"/>
      <c r="SJV5" s="79"/>
      <c r="SJW5" s="79"/>
      <c r="SJX5" s="79"/>
      <c r="SJY5" s="79"/>
      <c r="SJZ5" s="79"/>
      <c r="SKA5" s="79"/>
      <c r="SKB5" s="79"/>
      <c r="SKC5" s="79"/>
      <c r="SKD5" s="79"/>
      <c r="SKE5" s="79"/>
      <c r="SKF5" s="79"/>
      <c r="SKG5" s="79"/>
      <c r="SKH5" s="79"/>
      <c r="SKI5" s="79"/>
      <c r="SKJ5" s="79"/>
      <c r="SKK5" s="79"/>
      <c r="SKL5" s="79"/>
      <c r="SKM5" s="79"/>
      <c r="SKN5" s="79"/>
      <c r="SKO5" s="79"/>
      <c r="SKP5" s="79"/>
      <c r="SKQ5" s="79"/>
      <c r="SKR5" s="79"/>
      <c r="SKS5" s="79"/>
      <c r="SKT5" s="79"/>
      <c r="SKU5" s="79"/>
      <c r="SKV5" s="79"/>
      <c r="SKW5" s="79"/>
      <c r="SKX5" s="79"/>
      <c r="SKY5" s="79"/>
      <c r="SKZ5" s="79"/>
      <c r="SLA5" s="79"/>
      <c r="SLB5" s="79"/>
      <c r="SLC5" s="79"/>
      <c r="SLD5" s="79"/>
      <c r="SLE5" s="79"/>
      <c r="SLF5" s="79"/>
      <c r="SLG5" s="79"/>
      <c r="SLH5" s="79"/>
      <c r="SLI5" s="79"/>
      <c r="SLJ5" s="79"/>
      <c r="SLK5" s="79"/>
      <c r="SLL5" s="79"/>
      <c r="SLM5" s="79"/>
      <c r="SLN5" s="79"/>
      <c r="SLO5" s="79"/>
      <c r="SLP5" s="79"/>
      <c r="SLQ5" s="79"/>
      <c r="SLR5" s="79"/>
      <c r="SLS5" s="79"/>
      <c r="SLT5" s="79"/>
      <c r="SLU5" s="79"/>
      <c r="SLV5" s="79"/>
      <c r="SLW5" s="79"/>
      <c r="SLX5" s="79"/>
      <c r="SLY5" s="79"/>
      <c r="SLZ5" s="79"/>
      <c r="SMA5" s="79"/>
      <c r="SMB5" s="79"/>
      <c r="SMC5" s="79"/>
      <c r="SMD5" s="79"/>
      <c r="SME5" s="79"/>
      <c r="SMF5" s="79"/>
      <c r="SMG5" s="79"/>
      <c r="SMH5" s="79"/>
      <c r="SMI5" s="79"/>
      <c r="SMJ5" s="79"/>
      <c r="SMK5" s="79"/>
      <c r="SML5" s="79"/>
      <c r="SMM5" s="79"/>
      <c r="SMN5" s="79"/>
      <c r="SMO5" s="79"/>
      <c r="SMP5" s="79"/>
      <c r="SMQ5" s="79"/>
      <c r="SMR5" s="79"/>
      <c r="SMS5" s="79"/>
      <c r="SMT5" s="79"/>
      <c r="SMU5" s="79"/>
      <c r="SMV5" s="79"/>
      <c r="SMW5" s="79"/>
      <c r="SMX5" s="79"/>
      <c r="SMY5" s="79"/>
      <c r="SMZ5" s="79"/>
      <c r="SNA5" s="79"/>
      <c r="SNB5" s="79"/>
      <c r="SNC5" s="79"/>
      <c r="SND5" s="79"/>
      <c r="SNE5" s="79"/>
      <c r="SNF5" s="79"/>
      <c r="SNG5" s="79"/>
      <c r="SNH5" s="79"/>
      <c r="SNI5" s="79"/>
      <c r="SNJ5" s="79"/>
      <c r="SNK5" s="79"/>
      <c r="SNL5" s="79"/>
      <c r="SNM5" s="79"/>
      <c r="SNN5" s="79"/>
      <c r="SNO5" s="79"/>
      <c r="SNP5" s="79"/>
      <c r="SNQ5" s="79"/>
      <c r="SNR5" s="79"/>
      <c r="SNS5" s="79"/>
      <c r="SNT5" s="79"/>
      <c r="SNU5" s="79"/>
      <c r="SNV5" s="79"/>
      <c r="SNW5" s="79"/>
      <c r="SNX5" s="79"/>
      <c r="SNY5" s="79"/>
      <c r="SNZ5" s="79"/>
      <c r="SOA5" s="79"/>
      <c r="SOB5" s="79"/>
      <c r="SOC5" s="79"/>
      <c r="SOD5" s="79"/>
      <c r="SOE5" s="79"/>
      <c r="SOF5" s="79"/>
      <c r="SOG5" s="79"/>
      <c r="SOH5" s="79"/>
      <c r="SOI5" s="79"/>
      <c r="SOJ5" s="79"/>
      <c r="SOK5" s="79"/>
      <c r="SOL5" s="79"/>
      <c r="SOM5" s="79"/>
      <c r="SON5" s="79"/>
      <c r="SOO5" s="79"/>
      <c r="SOP5" s="79"/>
      <c r="SOQ5" s="79"/>
      <c r="SOR5" s="79"/>
      <c r="SOS5" s="79"/>
      <c r="SOT5" s="79"/>
      <c r="SOU5" s="79"/>
      <c r="SOV5" s="79"/>
      <c r="SOW5" s="79"/>
      <c r="SOX5" s="79"/>
      <c r="SOY5" s="79"/>
      <c r="SOZ5" s="79"/>
      <c r="SPA5" s="79"/>
      <c r="SPB5" s="79"/>
      <c r="SPC5" s="79"/>
      <c r="SPD5" s="79"/>
      <c r="SPE5" s="79"/>
      <c r="SPF5" s="79"/>
      <c r="SPG5" s="79"/>
      <c r="SPH5" s="79"/>
      <c r="SPI5" s="79"/>
      <c r="SPJ5" s="79"/>
      <c r="SPK5" s="79"/>
      <c r="SPL5" s="79"/>
      <c r="SPM5" s="79"/>
      <c r="SPN5" s="79"/>
      <c r="SPO5" s="79"/>
      <c r="SPP5" s="79"/>
      <c r="SPQ5" s="79"/>
      <c r="SPR5" s="79"/>
      <c r="SPS5" s="79"/>
      <c r="SPT5" s="79"/>
      <c r="SPU5" s="79"/>
      <c r="SPV5" s="79"/>
      <c r="SPW5" s="79"/>
      <c r="SPX5" s="79"/>
      <c r="SPY5" s="79"/>
      <c r="SPZ5" s="79"/>
      <c r="SQA5" s="79"/>
      <c r="SQB5" s="79"/>
      <c r="SQC5" s="79"/>
      <c r="SQD5" s="79"/>
      <c r="SQE5" s="79"/>
      <c r="SQF5" s="79"/>
      <c r="SQG5" s="79"/>
      <c r="SQH5" s="79"/>
      <c r="SQI5" s="79"/>
      <c r="SQJ5" s="79"/>
      <c r="SQK5" s="79"/>
      <c r="SQL5" s="79"/>
      <c r="SQM5" s="79"/>
      <c r="SQN5" s="79"/>
      <c r="SQO5" s="79"/>
      <c r="SQP5" s="79"/>
      <c r="SQQ5" s="79"/>
      <c r="SQR5" s="79"/>
      <c r="SQS5" s="79"/>
      <c r="SQT5" s="79"/>
      <c r="SQU5" s="79"/>
      <c r="SQV5" s="79"/>
      <c r="SQW5" s="79"/>
      <c r="SQX5" s="79"/>
      <c r="SQY5" s="79"/>
      <c r="SQZ5" s="79"/>
      <c r="SRA5" s="79"/>
      <c r="SRB5" s="79"/>
      <c r="SRC5" s="79"/>
      <c r="SRD5" s="79"/>
      <c r="SRE5" s="79"/>
      <c r="SRF5" s="79"/>
      <c r="SRG5" s="79"/>
      <c r="SRH5" s="79"/>
      <c r="SRI5" s="79"/>
      <c r="SRJ5" s="79"/>
      <c r="SRK5" s="79"/>
      <c r="SRL5" s="79"/>
      <c r="SRM5" s="79"/>
      <c r="SRN5" s="79"/>
      <c r="SRO5" s="79"/>
      <c r="SRP5" s="79"/>
      <c r="SRQ5" s="79"/>
      <c r="SRR5" s="79"/>
      <c r="SRS5" s="79"/>
      <c r="SRT5" s="79"/>
      <c r="SRU5" s="79"/>
      <c r="SRV5" s="79"/>
      <c r="SRW5" s="79"/>
      <c r="SRX5" s="79"/>
      <c r="SRY5" s="79"/>
      <c r="SRZ5" s="79"/>
      <c r="SSA5" s="79"/>
      <c r="SSB5" s="79"/>
      <c r="SSC5" s="79"/>
      <c r="SSD5" s="79"/>
      <c r="SSE5" s="79"/>
      <c r="SSF5" s="79"/>
      <c r="SSG5" s="79"/>
      <c r="SSH5" s="79"/>
      <c r="SSI5" s="79"/>
      <c r="SSJ5" s="79"/>
      <c r="SSK5" s="79"/>
      <c r="SSL5" s="79"/>
      <c r="SSM5" s="79"/>
      <c r="SSN5" s="79"/>
      <c r="SSO5" s="79"/>
      <c r="SSP5" s="79"/>
      <c r="SSQ5" s="79"/>
      <c r="SSR5" s="79"/>
      <c r="SSS5" s="79"/>
      <c r="SST5" s="79"/>
      <c r="SSU5" s="79"/>
      <c r="SSV5" s="79"/>
      <c r="SSW5" s="79"/>
      <c r="SSX5" s="79"/>
      <c r="SSY5" s="79"/>
      <c r="SSZ5" s="79"/>
      <c r="STA5" s="79"/>
      <c r="STB5" s="79"/>
      <c r="STC5" s="79"/>
      <c r="STD5" s="79"/>
      <c r="STE5" s="79"/>
      <c r="STF5" s="79"/>
      <c r="STG5" s="79"/>
      <c r="STH5" s="79"/>
      <c r="STI5" s="79"/>
      <c r="STJ5" s="79"/>
      <c r="STK5" s="79"/>
      <c r="STL5" s="79"/>
      <c r="STM5" s="79"/>
      <c r="STN5" s="79"/>
      <c r="STO5" s="79"/>
      <c r="STP5" s="79"/>
      <c r="STQ5" s="79"/>
      <c r="STR5" s="79"/>
      <c r="STS5" s="79"/>
      <c r="STT5" s="79"/>
      <c r="STU5" s="79"/>
      <c r="STV5" s="79"/>
      <c r="STW5" s="79"/>
      <c r="STX5" s="79"/>
      <c r="STY5" s="79"/>
      <c r="STZ5" s="79"/>
      <c r="SUA5" s="79"/>
      <c r="SUB5" s="79"/>
      <c r="SUC5" s="79"/>
      <c r="SUD5" s="79"/>
      <c r="SUE5" s="79"/>
      <c r="SUF5" s="79"/>
      <c r="SUG5" s="79"/>
      <c r="SUH5" s="79"/>
      <c r="SUI5" s="79"/>
      <c r="SUJ5" s="79"/>
      <c r="SUK5" s="79"/>
      <c r="SUL5" s="79"/>
      <c r="SUM5" s="79"/>
      <c r="SUN5" s="79"/>
      <c r="SUO5" s="79"/>
      <c r="SUP5" s="79"/>
      <c r="SUQ5" s="79"/>
      <c r="SUR5" s="79"/>
      <c r="SUS5" s="79"/>
      <c r="SUT5" s="79"/>
      <c r="SUU5" s="79"/>
      <c r="SUV5" s="79"/>
      <c r="SUW5" s="79"/>
      <c r="SUX5" s="79"/>
      <c r="SUY5" s="79"/>
      <c r="SUZ5" s="79"/>
      <c r="SVA5" s="79"/>
      <c r="SVB5" s="79"/>
      <c r="SVC5" s="79"/>
      <c r="SVD5" s="79"/>
      <c r="SVE5" s="79"/>
      <c r="SVF5" s="79"/>
      <c r="SVG5" s="79"/>
      <c r="SVH5" s="79"/>
      <c r="SVI5" s="79"/>
      <c r="SVJ5" s="79"/>
      <c r="SVK5" s="79"/>
      <c r="SVL5" s="79"/>
      <c r="SVM5" s="79"/>
      <c r="SVN5" s="79"/>
      <c r="SVO5" s="79"/>
      <c r="SVP5" s="79"/>
      <c r="SVQ5" s="79"/>
      <c r="SVR5" s="79"/>
      <c r="SVS5" s="79"/>
      <c r="SVT5" s="79"/>
      <c r="SVU5" s="79"/>
      <c r="SVV5" s="79"/>
      <c r="SVW5" s="79"/>
      <c r="SVX5" s="79"/>
      <c r="SVY5" s="79"/>
      <c r="SVZ5" s="79"/>
      <c r="SWA5" s="79"/>
      <c r="SWB5" s="79"/>
      <c r="SWC5" s="79"/>
      <c r="SWD5" s="79"/>
      <c r="SWE5" s="79"/>
      <c r="SWF5" s="79"/>
      <c r="SWG5" s="79"/>
      <c r="SWH5" s="79"/>
      <c r="SWI5" s="79"/>
      <c r="SWJ5" s="79"/>
      <c r="SWK5" s="79"/>
      <c r="SWL5" s="79"/>
      <c r="SWM5" s="79"/>
      <c r="SWN5" s="79"/>
      <c r="SWO5" s="79"/>
      <c r="SWP5" s="79"/>
      <c r="SWQ5" s="79"/>
      <c r="SWR5" s="79"/>
      <c r="SWS5" s="79"/>
      <c r="SWT5" s="79"/>
      <c r="SWU5" s="79"/>
      <c r="SWV5" s="79"/>
      <c r="SWW5" s="79"/>
      <c r="SWX5" s="79"/>
      <c r="SWY5" s="79"/>
      <c r="SWZ5" s="79"/>
      <c r="SXA5" s="79"/>
      <c r="SXB5" s="79"/>
      <c r="SXC5" s="79"/>
      <c r="SXD5" s="79"/>
      <c r="SXE5" s="79"/>
      <c r="SXF5" s="79"/>
      <c r="SXG5" s="79"/>
      <c r="SXH5" s="79"/>
      <c r="SXI5" s="79"/>
      <c r="SXJ5" s="79"/>
      <c r="SXK5" s="79"/>
      <c r="SXL5" s="79"/>
      <c r="SXM5" s="79"/>
      <c r="SXN5" s="79"/>
      <c r="SXO5" s="79"/>
      <c r="SXP5" s="79"/>
      <c r="SXQ5" s="79"/>
      <c r="SXR5" s="79"/>
      <c r="SXS5" s="79"/>
      <c r="SXT5" s="79"/>
      <c r="SXU5" s="79"/>
      <c r="SXV5" s="79"/>
      <c r="SXW5" s="79"/>
      <c r="SXX5" s="79"/>
      <c r="SXY5" s="79"/>
      <c r="SXZ5" s="79"/>
      <c r="SYA5" s="79"/>
      <c r="SYB5" s="79"/>
      <c r="SYC5" s="79"/>
      <c r="SYD5" s="79"/>
      <c r="SYE5" s="79"/>
      <c r="SYF5" s="79"/>
      <c r="SYG5" s="79"/>
      <c r="SYH5" s="79"/>
      <c r="SYI5" s="79"/>
      <c r="SYJ5" s="79"/>
      <c r="SYK5" s="79"/>
      <c r="SYL5" s="79"/>
      <c r="SYM5" s="79"/>
      <c r="SYN5" s="79"/>
      <c r="SYO5" s="79"/>
      <c r="SYP5" s="79"/>
      <c r="SYQ5" s="79"/>
      <c r="SYR5" s="79"/>
      <c r="SYS5" s="79"/>
      <c r="SYT5" s="79"/>
      <c r="SYU5" s="79"/>
      <c r="SYV5" s="79"/>
      <c r="SYW5" s="79"/>
      <c r="SYX5" s="79"/>
      <c r="SYY5" s="79"/>
      <c r="SYZ5" s="79"/>
      <c r="SZA5" s="79"/>
      <c r="SZB5" s="79"/>
      <c r="SZC5" s="79"/>
      <c r="SZD5" s="79"/>
      <c r="SZE5" s="79"/>
      <c r="SZF5" s="79"/>
      <c r="SZG5" s="79"/>
      <c r="SZH5" s="79"/>
      <c r="SZI5" s="79"/>
      <c r="SZJ5" s="79"/>
      <c r="SZK5" s="79"/>
      <c r="SZL5" s="79"/>
      <c r="SZM5" s="79"/>
      <c r="SZN5" s="79"/>
      <c r="SZO5" s="79"/>
      <c r="SZP5" s="79"/>
      <c r="SZQ5" s="79"/>
      <c r="SZR5" s="79"/>
      <c r="SZS5" s="79"/>
      <c r="SZT5" s="79"/>
      <c r="SZU5" s="79"/>
      <c r="SZV5" s="79"/>
      <c r="SZW5" s="79"/>
      <c r="SZX5" s="79"/>
      <c r="SZY5" s="79"/>
      <c r="SZZ5" s="79"/>
      <c r="TAA5" s="79"/>
      <c r="TAB5" s="79"/>
      <c r="TAC5" s="79"/>
      <c r="TAD5" s="79"/>
      <c r="TAE5" s="79"/>
      <c r="TAF5" s="79"/>
      <c r="TAG5" s="79"/>
      <c r="TAH5" s="79"/>
      <c r="TAI5" s="79"/>
      <c r="TAJ5" s="79"/>
      <c r="TAK5" s="79"/>
      <c r="TAL5" s="79"/>
      <c r="TAM5" s="79"/>
      <c r="TAN5" s="79"/>
      <c r="TAO5" s="79"/>
      <c r="TAP5" s="79"/>
      <c r="TAQ5" s="79"/>
      <c r="TAR5" s="79"/>
      <c r="TAS5" s="79"/>
      <c r="TAT5" s="79"/>
      <c r="TAU5" s="79"/>
      <c r="TAV5" s="79"/>
      <c r="TAW5" s="79"/>
      <c r="TAX5" s="79"/>
      <c r="TAY5" s="79"/>
      <c r="TAZ5" s="79"/>
      <c r="TBA5" s="79"/>
      <c r="TBB5" s="79"/>
      <c r="TBC5" s="79"/>
      <c r="TBD5" s="79"/>
      <c r="TBE5" s="79"/>
      <c r="TBF5" s="79"/>
      <c r="TBG5" s="79"/>
      <c r="TBH5" s="79"/>
      <c r="TBI5" s="79"/>
      <c r="TBJ5" s="79"/>
      <c r="TBK5" s="79"/>
      <c r="TBL5" s="79"/>
      <c r="TBM5" s="79"/>
      <c r="TBN5" s="79"/>
      <c r="TBO5" s="79"/>
      <c r="TBP5" s="79"/>
      <c r="TBQ5" s="79"/>
      <c r="TBR5" s="79"/>
      <c r="TBS5" s="79"/>
      <c r="TBT5" s="79"/>
      <c r="TBU5" s="79"/>
      <c r="TBV5" s="79"/>
      <c r="TBW5" s="79"/>
      <c r="TBX5" s="79"/>
      <c r="TBY5" s="79"/>
      <c r="TBZ5" s="79"/>
      <c r="TCA5" s="79"/>
      <c r="TCB5" s="79"/>
      <c r="TCC5" s="79"/>
      <c r="TCD5" s="79"/>
      <c r="TCE5" s="79"/>
      <c r="TCF5" s="79"/>
      <c r="TCG5" s="79"/>
      <c r="TCH5" s="79"/>
      <c r="TCI5" s="79"/>
      <c r="TCJ5" s="79"/>
      <c r="TCK5" s="79"/>
      <c r="TCL5" s="79"/>
      <c r="TCM5" s="79"/>
      <c r="TCN5" s="79"/>
      <c r="TCO5" s="79"/>
      <c r="TCP5" s="79"/>
      <c r="TCQ5" s="79"/>
      <c r="TCR5" s="79"/>
      <c r="TCS5" s="79"/>
      <c r="TCT5" s="79"/>
      <c r="TCU5" s="79"/>
      <c r="TCV5" s="79"/>
      <c r="TCW5" s="79"/>
      <c r="TCX5" s="79"/>
      <c r="TCY5" s="79"/>
      <c r="TCZ5" s="79"/>
      <c r="TDA5" s="79"/>
      <c r="TDB5" s="79"/>
      <c r="TDC5" s="79"/>
      <c r="TDD5" s="79"/>
      <c r="TDE5" s="79"/>
      <c r="TDF5" s="79"/>
      <c r="TDG5" s="79"/>
      <c r="TDH5" s="79"/>
      <c r="TDI5" s="79"/>
      <c r="TDJ5" s="79"/>
      <c r="TDK5" s="79"/>
      <c r="TDL5" s="79"/>
      <c r="TDM5" s="79"/>
      <c r="TDN5" s="79"/>
      <c r="TDO5" s="79"/>
      <c r="TDP5" s="79"/>
      <c r="TDQ5" s="79"/>
      <c r="TDR5" s="79"/>
      <c r="TDS5" s="79"/>
      <c r="TDT5" s="79"/>
      <c r="TDU5" s="79"/>
      <c r="TDV5" s="79"/>
      <c r="TDW5" s="79"/>
      <c r="TDX5" s="79"/>
      <c r="TDY5" s="79"/>
      <c r="TDZ5" s="79"/>
      <c r="TEA5" s="79"/>
      <c r="TEB5" s="79"/>
      <c r="TEC5" s="79"/>
      <c r="TED5" s="79"/>
      <c r="TEE5" s="79"/>
      <c r="TEF5" s="79"/>
      <c r="TEG5" s="79"/>
      <c r="TEH5" s="79"/>
      <c r="TEI5" s="79"/>
      <c r="TEJ5" s="79"/>
      <c r="TEK5" s="79"/>
      <c r="TEL5" s="79"/>
      <c r="TEM5" s="79"/>
      <c r="TEN5" s="79"/>
      <c r="TEO5" s="79"/>
      <c r="TEP5" s="79"/>
      <c r="TEQ5" s="79"/>
      <c r="TER5" s="79"/>
      <c r="TES5" s="79"/>
      <c r="TET5" s="79"/>
      <c r="TEU5" s="79"/>
      <c r="TEV5" s="79"/>
      <c r="TEW5" s="79"/>
      <c r="TEX5" s="79"/>
      <c r="TEY5" s="79"/>
      <c r="TEZ5" s="79"/>
      <c r="TFA5" s="79"/>
      <c r="TFB5" s="79"/>
      <c r="TFC5" s="79"/>
      <c r="TFD5" s="79"/>
      <c r="TFE5" s="79"/>
      <c r="TFF5" s="79"/>
      <c r="TFG5" s="79"/>
      <c r="TFH5" s="79"/>
      <c r="TFI5" s="79"/>
      <c r="TFJ5" s="79"/>
      <c r="TFK5" s="79"/>
      <c r="TFL5" s="79"/>
      <c r="TFM5" s="79"/>
      <c r="TFN5" s="79"/>
      <c r="TFO5" s="79"/>
      <c r="TFP5" s="79"/>
      <c r="TFQ5" s="79"/>
      <c r="TFR5" s="79"/>
      <c r="TFS5" s="79"/>
      <c r="TFT5" s="79"/>
      <c r="TFU5" s="79"/>
      <c r="TFV5" s="79"/>
      <c r="TFW5" s="79"/>
      <c r="TFX5" s="79"/>
      <c r="TFY5" s="79"/>
      <c r="TFZ5" s="79"/>
      <c r="TGA5" s="79"/>
      <c r="TGB5" s="79"/>
      <c r="TGC5" s="79"/>
      <c r="TGD5" s="79"/>
      <c r="TGE5" s="79"/>
      <c r="TGF5" s="79"/>
      <c r="TGG5" s="79"/>
      <c r="TGH5" s="79"/>
      <c r="TGI5" s="79"/>
      <c r="TGJ5" s="79"/>
      <c r="TGK5" s="79"/>
      <c r="TGL5" s="79"/>
      <c r="TGM5" s="79"/>
      <c r="TGN5" s="79"/>
      <c r="TGO5" s="79"/>
      <c r="TGP5" s="79"/>
      <c r="TGQ5" s="79"/>
      <c r="TGR5" s="79"/>
      <c r="TGS5" s="79"/>
      <c r="TGT5" s="79"/>
      <c r="TGU5" s="79"/>
      <c r="TGV5" s="79"/>
      <c r="TGW5" s="79"/>
      <c r="TGX5" s="79"/>
      <c r="TGY5" s="79"/>
      <c r="TGZ5" s="79"/>
      <c r="THA5" s="79"/>
      <c r="THB5" s="79"/>
      <c r="THC5" s="79"/>
      <c r="THD5" s="79"/>
      <c r="THE5" s="79"/>
      <c r="THF5" s="79"/>
      <c r="THG5" s="79"/>
      <c r="THH5" s="79"/>
      <c r="THI5" s="79"/>
      <c r="THJ5" s="79"/>
      <c r="THK5" s="79"/>
      <c r="THL5" s="79"/>
      <c r="THM5" s="79"/>
      <c r="THN5" s="79"/>
      <c r="THO5" s="79"/>
      <c r="THP5" s="79"/>
      <c r="THQ5" s="79"/>
      <c r="THR5" s="79"/>
      <c r="THS5" s="79"/>
      <c r="THT5" s="79"/>
      <c r="THU5" s="79"/>
      <c r="THV5" s="79"/>
      <c r="THW5" s="79"/>
      <c r="THX5" s="79"/>
      <c r="THY5" s="79"/>
      <c r="THZ5" s="79"/>
      <c r="TIA5" s="79"/>
      <c r="TIB5" s="79"/>
      <c r="TIC5" s="79"/>
      <c r="TID5" s="79"/>
      <c r="TIE5" s="79"/>
      <c r="TIF5" s="79"/>
      <c r="TIG5" s="79"/>
      <c r="TIH5" s="79"/>
      <c r="TII5" s="79"/>
      <c r="TIJ5" s="79"/>
      <c r="TIK5" s="79"/>
      <c r="TIL5" s="79"/>
      <c r="TIM5" s="79"/>
      <c r="TIN5" s="79"/>
      <c r="TIO5" s="79"/>
      <c r="TIP5" s="79"/>
      <c r="TIQ5" s="79"/>
      <c r="TIR5" s="79"/>
      <c r="TIS5" s="79"/>
      <c r="TIT5" s="79"/>
      <c r="TIU5" s="79"/>
      <c r="TIV5" s="79"/>
      <c r="TIW5" s="79"/>
      <c r="TIX5" s="79"/>
      <c r="TIY5" s="79"/>
      <c r="TIZ5" s="79"/>
      <c r="TJA5" s="79"/>
      <c r="TJB5" s="79"/>
      <c r="TJC5" s="79"/>
      <c r="TJD5" s="79"/>
      <c r="TJE5" s="79"/>
      <c r="TJF5" s="79"/>
      <c r="TJG5" s="79"/>
      <c r="TJH5" s="79"/>
      <c r="TJI5" s="79"/>
      <c r="TJJ5" s="79"/>
      <c r="TJK5" s="79"/>
      <c r="TJL5" s="79"/>
      <c r="TJM5" s="79"/>
      <c r="TJN5" s="79"/>
      <c r="TJO5" s="79"/>
      <c r="TJP5" s="79"/>
      <c r="TJQ5" s="79"/>
      <c r="TJR5" s="79"/>
      <c r="TJS5" s="79"/>
      <c r="TJT5" s="79"/>
      <c r="TJU5" s="79"/>
      <c r="TJV5" s="79"/>
      <c r="TJW5" s="79"/>
      <c r="TJX5" s="79"/>
      <c r="TJY5" s="79"/>
      <c r="TJZ5" s="79"/>
      <c r="TKA5" s="79"/>
      <c r="TKB5" s="79"/>
      <c r="TKC5" s="79"/>
      <c r="TKD5" s="79"/>
      <c r="TKE5" s="79"/>
      <c r="TKF5" s="79"/>
      <c r="TKG5" s="79"/>
      <c r="TKH5" s="79"/>
      <c r="TKI5" s="79"/>
      <c r="TKJ5" s="79"/>
      <c r="TKK5" s="79"/>
      <c r="TKL5" s="79"/>
      <c r="TKM5" s="79"/>
      <c r="TKN5" s="79"/>
      <c r="TKO5" s="79"/>
      <c r="TKP5" s="79"/>
      <c r="TKQ5" s="79"/>
      <c r="TKR5" s="79"/>
      <c r="TKS5" s="79"/>
      <c r="TKT5" s="79"/>
      <c r="TKU5" s="79"/>
      <c r="TKV5" s="79"/>
      <c r="TKW5" s="79"/>
      <c r="TKX5" s="79"/>
      <c r="TKY5" s="79"/>
      <c r="TKZ5" s="79"/>
      <c r="TLA5" s="79"/>
      <c r="TLB5" s="79"/>
      <c r="TLC5" s="79"/>
      <c r="TLD5" s="79"/>
      <c r="TLE5" s="79"/>
      <c r="TLF5" s="79"/>
      <c r="TLG5" s="79"/>
      <c r="TLH5" s="79"/>
      <c r="TLI5" s="79"/>
      <c r="TLJ5" s="79"/>
      <c r="TLK5" s="79"/>
      <c r="TLL5" s="79"/>
      <c r="TLM5" s="79"/>
      <c r="TLN5" s="79"/>
      <c r="TLO5" s="79"/>
      <c r="TLP5" s="79"/>
      <c r="TLQ5" s="79"/>
      <c r="TLR5" s="79"/>
      <c r="TLS5" s="79"/>
      <c r="TLT5" s="79"/>
      <c r="TLU5" s="79"/>
      <c r="TLV5" s="79"/>
      <c r="TLW5" s="79"/>
      <c r="TLX5" s="79"/>
      <c r="TLY5" s="79"/>
      <c r="TLZ5" s="79"/>
      <c r="TMA5" s="79"/>
      <c r="TMB5" s="79"/>
      <c r="TMC5" s="79"/>
      <c r="TMD5" s="79"/>
      <c r="TME5" s="79"/>
      <c r="TMF5" s="79"/>
      <c r="TMG5" s="79"/>
      <c r="TMH5" s="79"/>
      <c r="TMI5" s="79"/>
      <c r="TMJ5" s="79"/>
      <c r="TMK5" s="79"/>
      <c r="TML5" s="79"/>
      <c r="TMM5" s="79"/>
      <c r="TMN5" s="79"/>
      <c r="TMO5" s="79"/>
      <c r="TMP5" s="79"/>
      <c r="TMQ5" s="79"/>
      <c r="TMR5" s="79"/>
      <c r="TMS5" s="79"/>
      <c r="TMT5" s="79"/>
      <c r="TMU5" s="79"/>
      <c r="TMV5" s="79"/>
      <c r="TMW5" s="79"/>
      <c r="TMX5" s="79"/>
      <c r="TMY5" s="79"/>
      <c r="TMZ5" s="79"/>
      <c r="TNA5" s="79"/>
      <c r="TNB5" s="79"/>
      <c r="TNC5" s="79"/>
      <c r="TND5" s="79"/>
      <c r="TNE5" s="79"/>
      <c r="TNF5" s="79"/>
      <c r="TNG5" s="79"/>
      <c r="TNH5" s="79"/>
      <c r="TNI5" s="79"/>
      <c r="TNJ5" s="79"/>
      <c r="TNK5" s="79"/>
      <c r="TNL5" s="79"/>
      <c r="TNM5" s="79"/>
      <c r="TNN5" s="79"/>
      <c r="TNO5" s="79"/>
      <c r="TNP5" s="79"/>
      <c r="TNQ5" s="79"/>
      <c r="TNR5" s="79"/>
      <c r="TNS5" s="79"/>
      <c r="TNT5" s="79"/>
      <c r="TNU5" s="79"/>
      <c r="TNV5" s="79"/>
      <c r="TNW5" s="79"/>
      <c r="TNX5" s="79"/>
      <c r="TNY5" s="79"/>
      <c r="TNZ5" s="79"/>
      <c r="TOA5" s="79"/>
      <c r="TOB5" s="79"/>
      <c r="TOC5" s="79"/>
      <c r="TOD5" s="79"/>
      <c r="TOE5" s="79"/>
      <c r="TOF5" s="79"/>
      <c r="TOG5" s="79"/>
      <c r="TOH5" s="79"/>
      <c r="TOI5" s="79"/>
      <c r="TOJ5" s="79"/>
      <c r="TOK5" s="79"/>
      <c r="TOL5" s="79"/>
      <c r="TOM5" s="79"/>
      <c r="TON5" s="79"/>
      <c r="TOO5" s="79"/>
      <c r="TOP5" s="79"/>
      <c r="TOQ5" s="79"/>
      <c r="TOR5" s="79"/>
      <c r="TOS5" s="79"/>
      <c r="TOT5" s="79"/>
      <c r="TOU5" s="79"/>
      <c r="TOV5" s="79"/>
      <c r="TOW5" s="79"/>
      <c r="TOX5" s="79"/>
      <c r="TOY5" s="79"/>
      <c r="TOZ5" s="79"/>
      <c r="TPA5" s="79"/>
      <c r="TPB5" s="79"/>
      <c r="TPC5" s="79"/>
      <c r="TPD5" s="79"/>
      <c r="TPE5" s="79"/>
      <c r="TPF5" s="79"/>
      <c r="TPG5" s="79"/>
      <c r="TPH5" s="79"/>
      <c r="TPI5" s="79"/>
      <c r="TPJ5" s="79"/>
      <c r="TPK5" s="79"/>
      <c r="TPL5" s="79"/>
      <c r="TPM5" s="79"/>
      <c r="TPN5" s="79"/>
      <c r="TPO5" s="79"/>
      <c r="TPP5" s="79"/>
      <c r="TPQ5" s="79"/>
      <c r="TPR5" s="79"/>
      <c r="TPS5" s="79"/>
      <c r="TPT5" s="79"/>
      <c r="TPU5" s="79"/>
      <c r="TPV5" s="79"/>
      <c r="TPW5" s="79"/>
      <c r="TPX5" s="79"/>
      <c r="TPY5" s="79"/>
      <c r="TPZ5" s="79"/>
      <c r="TQA5" s="79"/>
      <c r="TQB5" s="79"/>
      <c r="TQC5" s="79"/>
      <c r="TQD5" s="79"/>
      <c r="TQE5" s="79"/>
      <c r="TQF5" s="79"/>
      <c r="TQG5" s="79"/>
      <c r="TQH5" s="79"/>
      <c r="TQI5" s="79"/>
      <c r="TQJ5" s="79"/>
      <c r="TQK5" s="79"/>
      <c r="TQL5" s="79"/>
      <c r="TQM5" s="79"/>
      <c r="TQN5" s="79"/>
      <c r="TQO5" s="79"/>
      <c r="TQP5" s="79"/>
      <c r="TQQ5" s="79"/>
      <c r="TQR5" s="79"/>
      <c r="TQS5" s="79"/>
      <c r="TQT5" s="79"/>
      <c r="TQU5" s="79"/>
      <c r="TQV5" s="79"/>
      <c r="TQW5" s="79"/>
      <c r="TQX5" s="79"/>
      <c r="TQY5" s="79"/>
      <c r="TQZ5" s="79"/>
      <c r="TRA5" s="79"/>
      <c r="TRB5" s="79"/>
      <c r="TRC5" s="79"/>
      <c r="TRD5" s="79"/>
      <c r="TRE5" s="79"/>
      <c r="TRF5" s="79"/>
      <c r="TRG5" s="79"/>
      <c r="TRH5" s="79"/>
      <c r="TRI5" s="79"/>
      <c r="TRJ5" s="79"/>
      <c r="TRK5" s="79"/>
      <c r="TRL5" s="79"/>
      <c r="TRM5" s="79"/>
      <c r="TRN5" s="79"/>
      <c r="TRO5" s="79"/>
      <c r="TRP5" s="79"/>
      <c r="TRQ5" s="79"/>
      <c r="TRR5" s="79"/>
      <c r="TRS5" s="79"/>
      <c r="TRT5" s="79"/>
      <c r="TRU5" s="79"/>
      <c r="TRV5" s="79"/>
      <c r="TRW5" s="79"/>
      <c r="TRX5" s="79"/>
      <c r="TRY5" s="79"/>
      <c r="TRZ5" s="79"/>
      <c r="TSA5" s="79"/>
      <c r="TSB5" s="79"/>
      <c r="TSC5" s="79"/>
      <c r="TSD5" s="79"/>
      <c r="TSE5" s="79"/>
      <c r="TSF5" s="79"/>
      <c r="TSG5" s="79"/>
      <c r="TSH5" s="79"/>
      <c r="TSI5" s="79"/>
      <c r="TSJ5" s="79"/>
      <c r="TSK5" s="79"/>
      <c r="TSL5" s="79"/>
      <c r="TSM5" s="79"/>
      <c r="TSN5" s="79"/>
      <c r="TSO5" s="79"/>
      <c r="TSP5" s="79"/>
      <c r="TSQ5" s="79"/>
      <c r="TSR5" s="79"/>
      <c r="TSS5" s="79"/>
      <c r="TST5" s="79"/>
      <c r="TSU5" s="79"/>
      <c r="TSV5" s="79"/>
      <c r="TSW5" s="79"/>
      <c r="TSX5" s="79"/>
      <c r="TSY5" s="79"/>
      <c r="TSZ5" s="79"/>
      <c r="TTA5" s="79"/>
      <c r="TTB5" s="79"/>
      <c r="TTC5" s="79"/>
      <c r="TTD5" s="79"/>
      <c r="TTE5" s="79"/>
      <c r="TTF5" s="79"/>
      <c r="TTG5" s="79"/>
      <c r="TTH5" s="79"/>
      <c r="TTI5" s="79"/>
      <c r="TTJ5" s="79"/>
      <c r="TTK5" s="79"/>
      <c r="TTL5" s="79"/>
      <c r="TTM5" s="79"/>
      <c r="TTN5" s="79"/>
      <c r="TTO5" s="79"/>
      <c r="TTP5" s="79"/>
      <c r="TTQ5" s="79"/>
      <c r="TTR5" s="79"/>
      <c r="TTS5" s="79"/>
      <c r="TTT5" s="79"/>
      <c r="TTU5" s="79"/>
      <c r="TTV5" s="79"/>
      <c r="TTW5" s="79"/>
      <c r="TTX5" s="79"/>
      <c r="TTY5" s="79"/>
      <c r="TTZ5" s="79"/>
      <c r="TUA5" s="79"/>
      <c r="TUB5" s="79"/>
      <c r="TUC5" s="79"/>
      <c r="TUD5" s="79"/>
      <c r="TUE5" s="79"/>
      <c r="TUF5" s="79"/>
      <c r="TUG5" s="79"/>
      <c r="TUH5" s="79"/>
      <c r="TUI5" s="79"/>
      <c r="TUJ5" s="79"/>
      <c r="TUK5" s="79"/>
      <c r="TUL5" s="79"/>
      <c r="TUM5" s="79"/>
      <c r="TUN5" s="79"/>
      <c r="TUO5" s="79"/>
      <c r="TUP5" s="79"/>
      <c r="TUQ5" s="79"/>
      <c r="TUR5" s="79"/>
      <c r="TUS5" s="79"/>
      <c r="TUT5" s="79"/>
      <c r="TUU5" s="79"/>
      <c r="TUV5" s="79"/>
      <c r="TUW5" s="79"/>
      <c r="TUX5" s="79"/>
      <c r="TUY5" s="79"/>
      <c r="TUZ5" s="79"/>
      <c r="TVA5" s="79"/>
      <c r="TVB5" s="79"/>
      <c r="TVC5" s="79"/>
      <c r="TVD5" s="79"/>
      <c r="TVE5" s="79"/>
      <c r="TVF5" s="79"/>
      <c r="TVG5" s="79"/>
      <c r="TVH5" s="79"/>
      <c r="TVI5" s="79"/>
      <c r="TVJ5" s="79"/>
      <c r="TVK5" s="79"/>
      <c r="TVL5" s="79"/>
      <c r="TVM5" s="79"/>
      <c r="TVN5" s="79"/>
      <c r="TVO5" s="79"/>
      <c r="TVP5" s="79"/>
      <c r="TVQ5" s="79"/>
      <c r="TVR5" s="79"/>
      <c r="TVS5" s="79"/>
      <c r="TVT5" s="79"/>
      <c r="TVU5" s="79"/>
      <c r="TVV5" s="79"/>
      <c r="TVW5" s="79"/>
      <c r="TVX5" s="79"/>
      <c r="TVY5" s="79"/>
      <c r="TVZ5" s="79"/>
      <c r="TWA5" s="79"/>
      <c r="TWB5" s="79"/>
      <c r="TWC5" s="79"/>
      <c r="TWD5" s="79"/>
      <c r="TWE5" s="79"/>
      <c r="TWF5" s="79"/>
      <c r="TWG5" s="79"/>
      <c r="TWH5" s="79"/>
      <c r="TWI5" s="79"/>
      <c r="TWJ5" s="79"/>
      <c r="TWK5" s="79"/>
      <c r="TWL5" s="79"/>
      <c r="TWM5" s="79"/>
      <c r="TWN5" s="79"/>
      <c r="TWO5" s="79"/>
      <c r="TWP5" s="79"/>
      <c r="TWQ5" s="79"/>
      <c r="TWR5" s="79"/>
      <c r="TWS5" s="79"/>
      <c r="TWT5" s="79"/>
      <c r="TWU5" s="79"/>
      <c r="TWV5" s="79"/>
      <c r="TWW5" s="79"/>
      <c r="TWX5" s="79"/>
      <c r="TWY5" s="79"/>
      <c r="TWZ5" s="79"/>
      <c r="TXA5" s="79"/>
      <c r="TXB5" s="79"/>
      <c r="TXC5" s="79"/>
      <c r="TXD5" s="79"/>
      <c r="TXE5" s="79"/>
      <c r="TXF5" s="79"/>
      <c r="TXG5" s="79"/>
      <c r="TXH5" s="79"/>
      <c r="TXI5" s="79"/>
      <c r="TXJ5" s="79"/>
      <c r="TXK5" s="79"/>
      <c r="TXL5" s="79"/>
      <c r="TXM5" s="79"/>
      <c r="TXN5" s="79"/>
      <c r="TXO5" s="79"/>
      <c r="TXP5" s="79"/>
      <c r="TXQ5" s="79"/>
      <c r="TXR5" s="79"/>
      <c r="TXS5" s="79"/>
      <c r="TXT5" s="79"/>
      <c r="TXU5" s="79"/>
      <c r="TXV5" s="79"/>
      <c r="TXW5" s="79"/>
      <c r="TXX5" s="79"/>
      <c r="TXY5" s="79"/>
      <c r="TXZ5" s="79"/>
      <c r="TYA5" s="79"/>
      <c r="TYB5" s="79"/>
      <c r="TYC5" s="79"/>
      <c r="TYD5" s="79"/>
      <c r="TYE5" s="79"/>
      <c r="TYF5" s="79"/>
      <c r="TYG5" s="79"/>
      <c r="TYH5" s="79"/>
      <c r="TYI5" s="79"/>
      <c r="TYJ5" s="79"/>
      <c r="TYK5" s="79"/>
      <c r="TYL5" s="79"/>
      <c r="TYM5" s="79"/>
      <c r="TYN5" s="79"/>
      <c r="TYO5" s="79"/>
      <c r="TYP5" s="79"/>
      <c r="TYQ5" s="79"/>
      <c r="TYR5" s="79"/>
      <c r="TYS5" s="79"/>
      <c r="TYT5" s="79"/>
      <c r="TYU5" s="79"/>
      <c r="TYV5" s="79"/>
      <c r="TYW5" s="79"/>
      <c r="TYX5" s="79"/>
      <c r="TYY5" s="79"/>
      <c r="TYZ5" s="79"/>
      <c r="TZA5" s="79"/>
      <c r="TZB5" s="79"/>
      <c r="TZC5" s="79"/>
      <c r="TZD5" s="79"/>
      <c r="TZE5" s="79"/>
      <c r="TZF5" s="79"/>
      <c r="TZG5" s="79"/>
      <c r="TZH5" s="79"/>
      <c r="TZI5" s="79"/>
      <c r="TZJ5" s="79"/>
      <c r="TZK5" s="79"/>
      <c r="TZL5" s="79"/>
      <c r="TZM5" s="79"/>
      <c r="TZN5" s="79"/>
      <c r="TZO5" s="79"/>
      <c r="TZP5" s="79"/>
      <c r="TZQ5" s="79"/>
      <c r="TZR5" s="79"/>
      <c r="TZS5" s="79"/>
      <c r="TZT5" s="79"/>
      <c r="TZU5" s="79"/>
      <c r="TZV5" s="79"/>
      <c r="TZW5" s="79"/>
      <c r="TZX5" s="79"/>
      <c r="TZY5" s="79"/>
      <c r="TZZ5" s="79"/>
      <c r="UAA5" s="79"/>
      <c r="UAB5" s="79"/>
      <c r="UAC5" s="79"/>
      <c r="UAD5" s="79"/>
      <c r="UAE5" s="79"/>
      <c r="UAF5" s="79"/>
      <c r="UAG5" s="79"/>
      <c r="UAH5" s="79"/>
      <c r="UAI5" s="79"/>
      <c r="UAJ5" s="79"/>
      <c r="UAK5" s="79"/>
      <c r="UAL5" s="79"/>
      <c r="UAM5" s="79"/>
      <c r="UAN5" s="79"/>
      <c r="UAO5" s="79"/>
      <c r="UAP5" s="79"/>
      <c r="UAQ5" s="79"/>
      <c r="UAR5" s="79"/>
      <c r="UAS5" s="79"/>
      <c r="UAT5" s="79"/>
      <c r="UAU5" s="79"/>
      <c r="UAV5" s="79"/>
      <c r="UAW5" s="79"/>
      <c r="UAX5" s="79"/>
      <c r="UAY5" s="79"/>
      <c r="UAZ5" s="79"/>
      <c r="UBA5" s="79"/>
      <c r="UBB5" s="79"/>
      <c r="UBC5" s="79"/>
      <c r="UBD5" s="79"/>
      <c r="UBE5" s="79"/>
      <c r="UBF5" s="79"/>
      <c r="UBG5" s="79"/>
      <c r="UBH5" s="79"/>
      <c r="UBI5" s="79"/>
      <c r="UBJ5" s="79"/>
      <c r="UBK5" s="79"/>
      <c r="UBL5" s="79"/>
      <c r="UBM5" s="79"/>
      <c r="UBN5" s="79"/>
      <c r="UBO5" s="79"/>
      <c r="UBP5" s="79"/>
      <c r="UBQ5" s="79"/>
      <c r="UBR5" s="79"/>
      <c r="UBS5" s="79"/>
      <c r="UBT5" s="79"/>
      <c r="UBU5" s="79"/>
      <c r="UBV5" s="79"/>
      <c r="UBW5" s="79"/>
      <c r="UBX5" s="79"/>
      <c r="UBY5" s="79"/>
      <c r="UBZ5" s="79"/>
      <c r="UCA5" s="79"/>
      <c r="UCB5" s="79"/>
      <c r="UCC5" s="79"/>
      <c r="UCD5" s="79"/>
      <c r="UCE5" s="79"/>
      <c r="UCF5" s="79"/>
      <c r="UCG5" s="79"/>
      <c r="UCH5" s="79"/>
      <c r="UCI5" s="79"/>
      <c r="UCJ5" s="79"/>
      <c r="UCK5" s="79"/>
      <c r="UCL5" s="79"/>
      <c r="UCM5" s="79"/>
      <c r="UCN5" s="79"/>
      <c r="UCO5" s="79"/>
      <c r="UCP5" s="79"/>
      <c r="UCQ5" s="79"/>
      <c r="UCR5" s="79"/>
      <c r="UCS5" s="79"/>
      <c r="UCT5" s="79"/>
      <c r="UCU5" s="79"/>
      <c r="UCV5" s="79"/>
      <c r="UCW5" s="79"/>
      <c r="UCX5" s="79"/>
      <c r="UCY5" s="79"/>
      <c r="UCZ5" s="79"/>
      <c r="UDA5" s="79"/>
      <c r="UDB5" s="79"/>
      <c r="UDC5" s="79"/>
      <c r="UDD5" s="79"/>
      <c r="UDE5" s="79"/>
      <c r="UDF5" s="79"/>
      <c r="UDG5" s="79"/>
      <c r="UDH5" s="79"/>
      <c r="UDI5" s="79"/>
      <c r="UDJ5" s="79"/>
      <c r="UDK5" s="79"/>
      <c r="UDL5" s="79"/>
      <c r="UDM5" s="79"/>
      <c r="UDN5" s="79"/>
      <c r="UDO5" s="79"/>
      <c r="UDP5" s="79"/>
      <c r="UDQ5" s="79"/>
      <c r="UDR5" s="79"/>
      <c r="UDS5" s="79"/>
      <c r="UDT5" s="79"/>
      <c r="UDU5" s="79"/>
      <c r="UDV5" s="79"/>
      <c r="UDW5" s="79"/>
      <c r="UDX5" s="79"/>
      <c r="UDY5" s="79"/>
      <c r="UDZ5" s="79"/>
      <c r="UEA5" s="79"/>
      <c r="UEB5" s="79"/>
      <c r="UEC5" s="79"/>
      <c r="UED5" s="79"/>
      <c r="UEE5" s="79"/>
      <c r="UEF5" s="79"/>
      <c r="UEG5" s="79"/>
      <c r="UEH5" s="79"/>
      <c r="UEI5" s="79"/>
      <c r="UEJ5" s="79"/>
      <c r="UEK5" s="79"/>
      <c r="UEL5" s="79"/>
      <c r="UEM5" s="79"/>
      <c r="UEN5" s="79"/>
      <c r="UEO5" s="79"/>
      <c r="UEP5" s="79"/>
      <c r="UEQ5" s="79"/>
      <c r="UER5" s="79"/>
      <c r="UES5" s="79"/>
      <c r="UET5" s="79"/>
      <c r="UEU5" s="79"/>
      <c r="UEV5" s="79"/>
      <c r="UEW5" s="79"/>
      <c r="UEX5" s="79"/>
      <c r="UEY5" s="79"/>
      <c r="UEZ5" s="79"/>
      <c r="UFA5" s="79"/>
      <c r="UFB5" s="79"/>
      <c r="UFC5" s="79"/>
      <c r="UFD5" s="79"/>
      <c r="UFE5" s="79"/>
      <c r="UFF5" s="79"/>
      <c r="UFG5" s="79"/>
      <c r="UFH5" s="79"/>
      <c r="UFI5" s="79"/>
      <c r="UFJ5" s="79"/>
      <c r="UFK5" s="79"/>
      <c r="UFL5" s="79"/>
      <c r="UFM5" s="79"/>
      <c r="UFN5" s="79"/>
      <c r="UFO5" s="79"/>
      <c r="UFP5" s="79"/>
      <c r="UFQ5" s="79"/>
      <c r="UFR5" s="79"/>
      <c r="UFS5" s="79"/>
      <c r="UFT5" s="79"/>
      <c r="UFU5" s="79"/>
      <c r="UFV5" s="79"/>
      <c r="UFW5" s="79"/>
      <c r="UFX5" s="79"/>
      <c r="UFY5" s="79"/>
      <c r="UFZ5" s="79"/>
      <c r="UGA5" s="79"/>
      <c r="UGB5" s="79"/>
      <c r="UGC5" s="79"/>
      <c r="UGD5" s="79"/>
      <c r="UGE5" s="79"/>
      <c r="UGF5" s="79"/>
      <c r="UGG5" s="79"/>
      <c r="UGH5" s="79"/>
      <c r="UGI5" s="79"/>
      <c r="UGJ5" s="79"/>
      <c r="UGK5" s="79"/>
      <c r="UGL5" s="79"/>
      <c r="UGM5" s="79"/>
      <c r="UGN5" s="79"/>
      <c r="UGO5" s="79"/>
      <c r="UGP5" s="79"/>
      <c r="UGQ5" s="79"/>
      <c r="UGR5" s="79"/>
      <c r="UGS5" s="79"/>
      <c r="UGT5" s="79"/>
      <c r="UGU5" s="79"/>
      <c r="UGV5" s="79"/>
      <c r="UGW5" s="79"/>
      <c r="UGX5" s="79"/>
      <c r="UGY5" s="79"/>
      <c r="UGZ5" s="79"/>
      <c r="UHA5" s="79"/>
      <c r="UHB5" s="79"/>
      <c r="UHC5" s="79"/>
      <c r="UHD5" s="79"/>
      <c r="UHE5" s="79"/>
      <c r="UHF5" s="79"/>
      <c r="UHG5" s="79"/>
      <c r="UHH5" s="79"/>
      <c r="UHI5" s="79"/>
      <c r="UHJ5" s="79"/>
      <c r="UHK5" s="79"/>
      <c r="UHL5" s="79"/>
      <c r="UHM5" s="79"/>
      <c r="UHN5" s="79"/>
      <c r="UHO5" s="79"/>
      <c r="UHP5" s="79"/>
      <c r="UHQ5" s="79"/>
      <c r="UHR5" s="79"/>
      <c r="UHS5" s="79"/>
      <c r="UHT5" s="79"/>
      <c r="UHU5" s="79"/>
      <c r="UHV5" s="79"/>
      <c r="UHW5" s="79"/>
      <c r="UHX5" s="79"/>
      <c r="UHY5" s="79"/>
      <c r="UHZ5" s="79"/>
      <c r="UIA5" s="79"/>
      <c r="UIB5" s="79"/>
      <c r="UIC5" s="79"/>
      <c r="UID5" s="79"/>
      <c r="UIE5" s="79"/>
      <c r="UIF5" s="79"/>
      <c r="UIG5" s="79"/>
      <c r="UIH5" s="79"/>
      <c r="UII5" s="79"/>
      <c r="UIJ5" s="79"/>
      <c r="UIK5" s="79"/>
      <c r="UIL5" s="79"/>
      <c r="UIM5" s="79"/>
      <c r="UIN5" s="79"/>
      <c r="UIO5" s="79"/>
      <c r="UIP5" s="79"/>
      <c r="UIQ5" s="79"/>
      <c r="UIR5" s="79"/>
      <c r="UIS5" s="79"/>
      <c r="UIT5" s="79"/>
      <c r="UIU5" s="79"/>
      <c r="UIV5" s="79"/>
      <c r="UIW5" s="79"/>
      <c r="UIX5" s="79"/>
      <c r="UIY5" s="79"/>
      <c r="UIZ5" s="79"/>
      <c r="UJA5" s="79"/>
      <c r="UJB5" s="79"/>
      <c r="UJC5" s="79"/>
      <c r="UJD5" s="79"/>
      <c r="UJE5" s="79"/>
      <c r="UJF5" s="79"/>
      <c r="UJG5" s="79"/>
      <c r="UJH5" s="79"/>
      <c r="UJI5" s="79"/>
      <c r="UJJ5" s="79"/>
      <c r="UJK5" s="79"/>
      <c r="UJL5" s="79"/>
      <c r="UJM5" s="79"/>
      <c r="UJN5" s="79"/>
      <c r="UJO5" s="79"/>
      <c r="UJP5" s="79"/>
      <c r="UJQ5" s="79"/>
      <c r="UJR5" s="79"/>
      <c r="UJS5" s="79"/>
      <c r="UJT5" s="79"/>
      <c r="UJU5" s="79"/>
      <c r="UJV5" s="79"/>
      <c r="UJW5" s="79"/>
      <c r="UJX5" s="79"/>
      <c r="UJY5" s="79"/>
      <c r="UJZ5" s="79"/>
      <c r="UKA5" s="79"/>
      <c r="UKB5" s="79"/>
      <c r="UKC5" s="79"/>
      <c r="UKD5" s="79"/>
      <c r="UKE5" s="79"/>
      <c r="UKF5" s="79"/>
      <c r="UKG5" s="79"/>
      <c r="UKH5" s="79"/>
      <c r="UKI5" s="79"/>
      <c r="UKJ5" s="79"/>
      <c r="UKK5" s="79"/>
      <c r="UKL5" s="79"/>
      <c r="UKM5" s="79"/>
      <c r="UKN5" s="79"/>
      <c r="UKO5" s="79"/>
      <c r="UKP5" s="79"/>
      <c r="UKQ5" s="79"/>
      <c r="UKR5" s="79"/>
      <c r="UKS5" s="79"/>
      <c r="UKT5" s="79"/>
      <c r="UKU5" s="79"/>
      <c r="UKV5" s="79"/>
      <c r="UKW5" s="79"/>
      <c r="UKX5" s="79"/>
      <c r="UKY5" s="79"/>
      <c r="UKZ5" s="79"/>
      <c r="ULA5" s="79"/>
      <c r="ULB5" s="79"/>
      <c r="ULC5" s="79"/>
      <c r="ULD5" s="79"/>
      <c r="ULE5" s="79"/>
      <c r="ULF5" s="79"/>
      <c r="ULG5" s="79"/>
      <c r="ULH5" s="79"/>
      <c r="ULI5" s="79"/>
      <c r="ULJ5" s="79"/>
      <c r="ULK5" s="79"/>
      <c r="ULL5" s="79"/>
      <c r="ULM5" s="79"/>
      <c r="ULN5" s="79"/>
      <c r="ULO5" s="79"/>
      <c r="ULP5" s="79"/>
      <c r="ULQ5" s="79"/>
      <c r="ULR5" s="79"/>
      <c r="ULS5" s="79"/>
      <c r="ULT5" s="79"/>
      <c r="ULU5" s="79"/>
      <c r="ULV5" s="79"/>
      <c r="ULW5" s="79"/>
      <c r="ULX5" s="79"/>
      <c r="ULY5" s="79"/>
      <c r="ULZ5" s="79"/>
      <c r="UMA5" s="79"/>
      <c r="UMB5" s="79"/>
      <c r="UMC5" s="79"/>
      <c r="UMD5" s="79"/>
      <c r="UME5" s="79"/>
      <c r="UMF5" s="79"/>
      <c r="UMG5" s="79"/>
      <c r="UMH5" s="79"/>
      <c r="UMI5" s="79"/>
      <c r="UMJ5" s="79"/>
      <c r="UMK5" s="79"/>
      <c r="UML5" s="79"/>
      <c r="UMM5" s="79"/>
      <c r="UMN5" s="79"/>
      <c r="UMO5" s="79"/>
      <c r="UMP5" s="79"/>
      <c r="UMQ5" s="79"/>
      <c r="UMR5" s="79"/>
      <c r="UMS5" s="79"/>
      <c r="UMT5" s="79"/>
      <c r="UMU5" s="79"/>
      <c r="UMV5" s="79"/>
      <c r="UMW5" s="79"/>
      <c r="UMX5" s="79"/>
      <c r="UMY5" s="79"/>
      <c r="UMZ5" s="79"/>
      <c r="UNA5" s="79"/>
      <c r="UNB5" s="79"/>
      <c r="UNC5" s="79"/>
      <c r="UND5" s="79"/>
      <c r="UNE5" s="79"/>
      <c r="UNF5" s="79"/>
      <c r="UNG5" s="79"/>
      <c r="UNH5" s="79"/>
      <c r="UNI5" s="79"/>
      <c r="UNJ5" s="79"/>
      <c r="UNK5" s="79"/>
      <c r="UNL5" s="79"/>
      <c r="UNM5" s="79"/>
      <c r="UNN5" s="79"/>
      <c r="UNO5" s="79"/>
      <c r="UNP5" s="79"/>
      <c r="UNQ5" s="79"/>
      <c r="UNR5" s="79"/>
      <c r="UNS5" s="79"/>
      <c r="UNT5" s="79"/>
      <c r="UNU5" s="79"/>
      <c r="UNV5" s="79"/>
      <c r="UNW5" s="79"/>
      <c r="UNX5" s="79"/>
      <c r="UNY5" s="79"/>
      <c r="UNZ5" s="79"/>
      <c r="UOA5" s="79"/>
      <c r="UOB5" s="79"/>
      <c r="UOC5" s="79"/>
      <c r="UOD5" s="79"/>
      <c r="UOE5" s="79"/>
      <c r="UOF5" s="79"/>
      <c r="UOG5" s="79"/>
      <c r="UOH5" s="79"/>
      <c r="UOI5" s="79"/>
      <c r="UOJ5" s="79"/>
      <c r="UOK5" s="79"/>
      <c r="UOL5" s="79"/>
      <c r="UOM5" s="79"/>
      <c r="UON5" s="79"/>
      <c r="UOO5" s="79"/>
      <c r="UOP5" s="79"/>
      <c r="UOQ5" s="79"/>
      <c r="UOR5" s="79"/>
      <c r="UOS5" s="79"/>
      <c r="UOT5" s="79"/>
      <c r="UOU5" s="79"/>
      <c r="UOV5" s="79"/>
      <c r="UOW5" s="79"/>
      <c r="UOX5" s="79"/>
      <c r="UOY5" s="79"/>
      <c r="UOZ5" s="79"/>
      <c r="UPA5" s="79"/>
      <c r="UPB5" s="79"/>
      <c r="UPC5" s="79"/>
      <c r="UPD5" s="79"/>
      <c r="UPE5" s="79"/>
      <c r="UPF5" s="79"/>
      <c r="UPG5" s="79"/>
      <c r="UPH5" s="79"/>
      <c r="UPI5" s="79"/>
      <c r="UPJ5" s="79"/>
      <c r="UPK5" s="79"/>
      <c r="UPL5" s="79"/>
      <c r="UPM5" s="79"/>
      <c r="UPN5" s="79"/>
      <c r="UPO5" s="79"/>
      <c r="UPP5" s="79"/>
      <c r="UPQ5" s="79"/>
      <c r="UPR5" s="79"/>
      <c r="UPS5" s="79"/>
      <c r="UPT5" s="79"/>
      <c r="UPU5" s="79"/>
      <c r="UPV5" s="79"/>
      <c r="UPW5" s="79"/>
      <c r="UPX5" s="79"/>
      <c r="UPY5" s="79"/>
      <c r="UPZ5" s="79"/>
      <c r="UQA5" s="79"/>
      <c r="UQB5" s="79"/>
      <c r="UQC5" s="79"/>
      <c r="UQD5" s="79"/>
      <c r="UQE5" s="79"/>
      <c r="UQF5" s="79"/>
      <c r="UQG5" s="79"/>
      <c r="UQH5" s="79"/>
      <c r="UQI5" s="79"/>
      <c r="UQJ5" s="79"/>
      <c r="UQK5" s="79"/>
      <c r="UQL5" s="79"/>
      <c r="UQM5" s="79"/>
      <c r="UQN5" s="79"/>
      <c r="UQO5" s="79"/>
      <c r="UQP5" s="79"/>
      <c r="UQQ5" s="79"/>
      <c r="UQR5" s="79"/>
      <c r="UQS5" s="79"/>
      <c r="UQT5" s="79"/>
      <c r="UQU5" s="79"/>
      <c r="UQV5" s="79"/>
      <c r="UQW5" s="79"/>
      <c r="UQX5" s="79"/>
      <c r="UQY5" s="79"/>
      <c r="UQZ5" s="79"/>
      <c r="URA5" s="79"/>
      <c r="URB5" s="79"/>
      <c r="URC5" s="79"/>
      <c r="URD5" s="79"/>
      <c r="URE5" s="79"/>
      <c r="URF5" s="79"/>
      <c r="URG5" s="79"/>
      <c r="URH5" s="79"/>
      <c r="URI5" s="79"/>
      <c r="URJ5" s="79"/>
      <c r="URK5" s="79"/>
      <c r="URL5" s="79"/>
      <c r="URM5" s="79"/>
      <c r="URN5" s="79"/>
      <c r="URO5" s="79"/>
      <c r="URP5" s="79"/>
      <c r="URQ5" s="79"/>
      <c r="URR5" s="79"/>
      <c r="URS5" s="79"/>
      <c r="URT5" s="79"/>
      <c r="URU5" s="79"/>
      <c r="URV5" s="79"/>
      <c r="URW5" s="79"/>
      <c r="URX5" s="79"/>
      <c r="URY5" s="79"/>
      <c r="URZ5" s="79"/>
      <c r="USA5" s="79"/>
      <c r="USB5" s="79"/>
      <c r="USC5" s="79"/>
      <c r="USD5" s="79"/>
      <c r="USE5" s="79"/>
      <c r="USF5" s="79"/>
      <c r="USG5" s="79"/>
      <c r="USH5" s="79"/>
      <c r="USI5" s="79"/>
      <c r="USJ5" s="79"/>
      <c r="USK5" s="79"/>
      <c r="USL5" s="79"/>
      <c r="USM5" s="79"/>
      <c r="USN5" s="79"/>
      <c r="USO5" s="79"/>
      <c r="USP5" s="79"/>
      <c r="USQ5" s="79"/>
      <c r="USR5" s="79"/>
      <c r="USS5" s="79"/>
      <c r="UST5" s="79"/>
      <c r="USU5" s="79"/>
      <c r="USV5" s="79"/>
      <c r="USW5" s="79"/>
      <c r="USX5" s="79"/>
      <c r="USY5" s="79"/>
      <c r="USZ5" s="79"/>
      <c r="UTA5" s="79"/>
      <c r="UTB5" s="79"/>
      <c r="UTC5" s="79"/>
      <c r="UTD5" s="79"/>
      <c r="UTE5" s="79"/>
      <c r="UTF5" s="79"/>
      <c r="UTG5" s="79"/>
      <c r="UTH5" s="79"/>
      <c r="UTI5" s="79"/>
      <c r="UTJ5" s="79"/>
      <c r="UTK5" s="79"/>
      <c r="UTL5" s="79"/>
      <c r="UTM5" s="79"/>
      <c r="UTN5" s="79"/>
      <c r="UTO5" s="79"/>
      <c r="UTP5" s="79"/>
      <c r="UTQ5" s="79"/>
      <c r="UTR5" s="79"/>
      <c r="UTS5" s="79"/>
      <c r="UTT5" s="79"/>
      <c r="UTU5" s="79"/>
      <c r="UTV5" s="79"/>
      <c r="UTW5" s="79"/>
      <c r="UTX5" s="79"/>
      <c r="UTY5" s="79"/>
      <c r="UTZ5" s="79"/>
      <c r="UUA5" s="79"/>
      <c r="UUB5" s="79"/>
      <c r="UUC5" s="79"/>
      <c r="UUD5" s="79"/>
      <c r="UUE5" s="79"/>
      <c r="UUF5" s="79"/>
      <c r="UUG5" s="79"/>
      <c r="UUH5" s="79"/>
      <c r="UUI5" s="79"/>
      <c r="UUJ5" s="79"/>
      <c r="UUK5" s="79"/>
      <c r="UUL5" s="79"/>
      <c r="UUM5" s="79"/>
      <c r="UUN5" s="79"/>
      <c r="UUO5" s="79"/>
      <c r="UUP5" s="79"/>
      <c r="UUQ5" s="79"/>
      <c r="UUR5" s="79"/>
      <c r="UUS5" s="79"/>
      <c r="UUT5" s="79"/>
      <c r="UUU5" s="79"/>
      <c r="UUV5" s="79"/>
      <c r="UUW5" s="79"/>
      <c r="UUX5" s="79"/>
      <c r="UUY5" s="79"/>
      <c r="UUZ5" s="79"/>
      <c r="UVA5" s="79"/>
      <c r="UVB5" s="79"/>
      <c r="UVC5" s="79"/>
      <c r="UVD5" s="79"/>
      <c r="UVE5" s="79"/>
      <c r="UVF5" s="79"/>
      <c r="UVG5" s="79"/>
      <c r="UVH5" s="79"/>
      <c r="UVI5" s="79"/>
      <c r="UVJ5" s="79"/>
      <c r="UVK5" s="79"/>
      <c r="UVL5" s="79"/>
      <c r="UVM5" s="79"/>
      <c r="UVN5" s="79"/>
      <c r="UVO5" s="79"/>
      <c r="UVP5" s="79"/>
      <c r="UVQ5" s="79"/>
      <c r="UVR5" s="79"/>
      <c r="UVS5" s="79"/>
      <c r="UVT5" s="79"/>
      <c r="UVU5" s="79"/>
      <c r="UVV5" s="79"/>
      <c r="UVW5" s="79"/>
      <c r="UVX5" s="79"/>
      <c r="UVY5" s="79"/>
      <c r="UVZ5" s="79"/>
      <c r="UWA5" s="79"/>
      <c r="UWB5" s="79"/>
      <c r="UWC5" s="79"/>
      <c r="UWD5" s="79"/>
      <c r="UWE5" s="79"/>
      <c r="UWF5" s="79"/>
      <c r="UWG5" s="79"/>
      <c r="UWH5" s="79"/>
      <c r="UWI5" s="79"/>
      <c r="UWJ5" s="79"/>
      <c r="UWK5" s="79"/>
      <c r="UWL5" s="79"/>
      <c r="UWM5" s="79"/>
      <c r="UWN5" s="79"/>
      <c r="UWO5" s="79"/>
      <c r="UWP5" s="79"/>
      <c r="UWQ5" s="79"/>
      <c r="UWR5" s="79"/>
      <c r="UWS5" s="79"/>
      <c r="UWT5" s="79"/>
      <c r="UWU5" s="79"/>
      <c r="UWV5" s="79"/>
      <c r="UWW5" s="79"/>
      <c r="UWX5" s="79"/>
      <c r="UWY5" s="79"/>
      <c r="UWZ5" s="79"/>
      <c r="UXA5" s="79"/>
      <c r="UXB5" s="79"/>
      <c r="UXC5" s="79"/>
      <c r="UXD5" s="79"/>
      <c r="UXE5" s="79"/>
      <c r="UXF5" s="79"/>
      <c r="UXG5" s="79"/>
      <c r="UXH5" s="79"/>
      <c r="UXI5" s="79"/>
      <c r="UXJ5" s="79"/>
      <c r="UXK5" s="79"/>
      <c r="UXL5" s="79"/>
      <c r="UXM5" s="79"/>
      <c r="UXN5" s="79"/>
      <c r="UXO5" s="79"/>
      <c r="UXP5" s="79"/>
      <c r="UXQ5" s="79"/>
      <c r="UXR5" s="79"/>
      <c r="UXS5" s="79"/>
      <c r="UXT5" s="79"/>
      <c r="UXU5" s="79"/>
      <c r="UXV5" s="79"/>
      <c r="UXW5" s="79"/>
      <c r="UXX5" s="79"/>
      <c r="UXY5" s="79"/>
      <c r="UXZ5" s="79"/>
      <c r="UYA5" s="79"/>
      <c r="UYB5" s="79"/>
      <c r="UYC5" s="79"/>
      <c r="UYD5" s="79"/>
      <c r="UYE5" s="79"/>
      <c r="UYF5" s="79"/>
      <c r="UYG5" s="79"/>
      <c r="UYH5" s="79"/>
      <c r="UYI5" s="79"/>
      <c r="UYJ5" s="79"/>
      <c r="UYK5" s="79"/>
      <c r="UYL5" s="79"/>
      <c r="UYM5" s="79"/>
      <c r="UYN5" s="79"/>
      <c r="UYO5" s="79"/>
      <c r="UYP5" s="79"/>
      <c r="UYQ5" s="79"/>
      <c r="UYR5" s="79"/>
      <c r="UYS5" s="79"/>
      <c r="UYT5" s="79"/>
      <c r="UYU5" s="79"/>
      <c r="UYV5" s="79"/>
      <c r="UYW5" s="79"/>
      <c r="UYX5" s="79"/>
      <c r="UYY5" s="79"/>
      <c r="UYZ5" s="79"/>
      <c r="UZA5" s="79"/>
      <c r="UZB5" s="79"/>
      <c r="UZC5" s="79"/>
      <c r="UZD5" s="79"/>
      <c r="UZE5" s="79"/>
      <c r="UZF5" s="79"/>
      <c r="UZG5" s="79"/>
      <c r="UZH5" s="79"/>
      <c r="UZI5" s="79"/>
      <c r="UZJ5" s="79"/>
      <c r="UZK5" s="79"/>
      <c r="UZL5" s="79"/>
      <c r="UZM5" s="79"/>
      <c r="UZN5" s="79"/>
      <c r="UZO5" s="79"/>
      <c r="UZP5" s="79"/>
      <c r="UZQ5" s="79"/>
      <c r="UZR5" s="79"/>
      <c r="UZS5" s="79"/>
      <c r="UZT5" s="79"/>
      <c r="UZU5" s="79"/>
      <c r="UZV5" s="79"/>
      <c r="UZW5" s="79"/>
      <c r="UZX5" s="79"/>
      <c r="UZY5" s="79"/>
      <c r="UZZ5" s="79"/>
      <c r="VAA5" s="79"/>
      <c r="VAB5" s="79"/>
      <c r="VAC5" s="79"/>
      <c r="VAD5" s="79"/>
      <c r="VAE5" s="79"/>
      <c r="VAF5" s="79"/>
      <c r="VAG5" s="79"/>
      <c r="VAH5" s="79"/>
      <c r="VAI5" s="79"/>
      <c r="VAJ5" s="79"/>
      <c r="VAK5" s="79"/>
      <c r="VAL5" s="79"/>
      <c r="VAM5" s="79"/>
      <c r="VAN5" s="79"/>
      <c r="VAO5" s="79"/>
      <c r="VAP5" s="79"/>
      <c r="VAQ5" s="79"/>
      <c r="VAR5" s="79"/>
      <c r="VAS5" s="79"/>
      <c r="VAT5" s="79"/>
      <c r="VAU5" s="79"/>
      <c r="VAV5" s="79"/>
      <c r="VAW5" s="79"/>
      <c r="VAX5" s="79"/>
      <c r="VAY5" s="79"/>
      <c r="VAZ5" s="79"/>
      <c r="VBA5" s="79"/>
      <c r="VBB5" s="79"/>
      <c r="VBC5" s="79"/>
      <c r="VBD5" s="79"/>
      <c r="VBE5" s="79"/>
      <c r="VBF5" s="79"/>
      <c r="VBG5" s="79"/>
      <c r="VBH5" s="79"/>
      <c r="VBI5" s="79"/>
      <c r="VBJ5" s="79"/>
      <c r="VBK5" s="79"/>
      <c r="VBL5" s="79"/>
      <c r="VBM5" s="79"/>
      <c r="VBN5" s="79"/>
      <c r="VBO5" s="79"/>
      <c r="VBP5" s="79"/>
      <c r="VBQ5" s="79"/>
      <c r="VBR5" s="79"/>
      <c r="VBS5" s="79"/>
      <c r="VBT5" s="79"/>
      <c r="VBU5" s="79"/>
      <c r="VBV5" s="79"/>
      <c r="VBW5" s="79"/>
      <c r="VBX5" s="79"/>
      <c r="VBY5" s="79"/>
      <c r="VBZ5" s="79"/>
      <c r="VCA5" s="79"/>
      <c r="VCB5" s="79"/>
      <c r="VCC5" s="79"/>
      <c r="VCD5" s="79"/>
      <c r="VCE5" s="79"/>
      <c r="VCF5" s="79"/>
      <c r="VCG5" s="79"/>
      <c r="VCH5" s="79"/>
      <c r="VCI5" s="79"/>
      <c r="VCJ5" s="79"/>
      <c r="VCK5" s="79"/>
      <c r="VCL5" s="79"/>
      <c r="VCM5" s="79"/>
      <c r="VCN5" s="79"/>
      <c r="VCO5" s="79"/>
      <c r="VCP5" s="79"/>
      <c r="VCQ5" s="79"/>
      <c r="VCR5" s="79"/>
      <c r="VCS5" s="79"/>
      <c r="VCT5" s="79"/>
      <c r="VCU5" s="79"/>
      <c r="VCV5" s="79"/>
      <c r="VCW5" s="79"/>
      <c r="VCX5" s="79"/>
      <c r="VCY5" s="79"/>
      <c r="VCZ5" s="79"/>
      <c r="VDA5" s="79"/>
      <c r="VDB5" s="79"/>
      <c r="VDC5" s="79"/>
      <c r="VDD5" s="79"/>
      <c r="VDE5" s="79"/>
      <c r="VDF5" s="79"/>
      <c r="VDG5" s="79"/>
      <c r="VDH5" s="79"/>
      <c r="VDI5" s="79"/>
      <c r="VDJ5" s="79"/>
      <c r="VDK5" s="79"/>
      <c r="VDL5" s="79"/>
      <c r="VDM5" s="79"/>
      <c r="VDN5" s="79"/>
      <c r="VDO5" s="79"/>
      <c r="VDP5" s="79"/>
      <c r="VDQ5" s="79"/>
      <c r="VDR5" s="79"/>
      <c r="VDS5" s="79"/>
      <c r="VDT5" s="79"/>
      <c r="VDU5" s="79"/>
      <c r="VDV5" s="79"/>
      <c r="VDW5" s="79"/>
      <c r="VDX5" s="79"/>
      <c r="VDY5" s="79"/>
      <c r="VDZ5" s="79"/>
      <c r="VEA5" s="79"/>
      <c r="VEB5" s="79"/>
      <c r="VEC5" s="79"/>
      <c r="VED5" s="79"/>
      <c r="VEE5" s="79"/>
      <c r="VEF5" s="79"/>
      <c r="VEG5" s="79"/>
      <c r="VEH5" s="79"/>
      <c r="VEI5" s="79"/>
      <c r="VEJ5" s="79"/>
      <c r="VEK5" s="79"/>
      <c r="VEL5" s="79"/>
      <c r="VEM5" s="79"/>
      <c r="VEN5" s="79"/>
      <c r="VEO5" s="79"/>
      <c r="VEP5" s="79"/>
      <c r="VEQ5" s="79"/>
      <c r="VER5" s="79"/>
      <c r="VES5" s="79"/>
      <c r="VET5" s="79"/>
      <c r="VEU5" s="79"/>
      <c r="VEV5" s="79"/>
      <c r="VEW5" s="79"/>
      <c r="VEX5" s="79"/>
      <c r="VEY5" s="79"/>
      <c r="VEZ5" s="79"/>
      <c r="VFA5" s="79"/>
      <c r="VFB5" s="79"/>
      <c r="VFC5" s="79"/>
      <c r="VFD5" s="79"/>
      <c r="VFE5" s="79"/>
      <c r="VFF5" s="79"/>
      <c r="VFG5" s="79"/>
      <c r="VFH5" s="79"/>
      <c r="VFI5" s="79"/>
      <c r="VFJ5" s="79"/>
      <c r="VFK5" s="79"/>
      <c r="VFL5" s="79"/>
      <c r="VFM5" s="79"/>
      <c r="VFN5" s="79"/>
      <c r="VFO5" s="79"/>
      <c r="VFP5" s="79"/>
      <c r="VFQ5" s="79"/>
      <c r="VFR5" s="79"/>
      <c r="VFS5" s="79"/>
      <c r="VFT5" s="79"/>
      <c r="VFU5" s="79"/>
      <c r="VFV5" s="79"/>
      <c r="VFW5" s="79"/>
      <c r="VFX5" s="79"/>
      <c r="VFY5" s="79"/>
      <c r="VFZ5" s="79"/>
      <c r="VGA5" s="79"/>
      <c r="VGB5" s="79"/>
      <c r="VGC5" s="79"/>
      <c r="VGD5" s="79"/>
      <c r="VGE5" s="79"/>
      <c r="VGF5" s="79"/>
      <c r="VGG5" s="79"/>
      <c r="VGH5" s="79"/>
      <c r="VGI5" s="79"/>
      <c r="VGJ5" s="79"/>
      <c r="VGK5" s="79"/>
      <c r="VGL5" s="79"/>
      <c r="VGM5" s="79"/>
      <c r="VGN5" s="79"/>
      <c r="VGO5" s="79"/>
      <c r="VGP5" s="79"/>
      <c r="VGQ5" s="79"/>
      <c r="VGR5" s="79"/>
      <c r="VGS5" s="79"/>
      <c r="VGT5" s="79"/>
      <c r="VGU5" s="79"/>
      <c r="VGV5" s="79"/>
      <c r="VGW5" s="79"/>
      <c r="VGX5" s="79"/>
      <c r="VGY5" s="79"/>
      <c r="VGZ5" s="79"/>
      <c r="VHA5" s="79"/>
      <c r="VHB5" s="79"/>
      <c r="VHC5" s="79"/>
      <c r="VHD5" s="79"/>
      <c r="VHE5" s="79"/>
      <c r="VHF5" s="79"/>
      <c r="VHG5" s="79"/>
      <c r="VHH5" s="79"/>
      <c r="VHI5" s="79"/>
      <c r="VHJ5" s="79"/>
      <c r="VHK5" s="79"/>
      <c r="VHL5" s="79"/>
      <c r="VHM5" s="79"/>
      <c r="VHN5" s="79"/>
      <c r="VHO5" s="79"/>
      <c r="VHP5" s="79"/>
      <c r="VHQ5" s="79"/>
      <c r="VHR5" s="79"/>
      <c r="VHS5" s="79"/>
      <c r="VHT5" s="79"/>
      <c r="VHU5" s="79"/>
      <c r="VHV5" s="79"/>
      <c r="VHW5" s="79"/>
      <c r="VHX5" s="79"/>
      <c r="VHY5" s="79"/>
      <c r="VHZ5" s="79"/>
      <c r="VIA5" s="79"/>
      <c r="VIB5" s="79"/>
      <c r="VIC5" s="79"/>
      <c r="VID5" s="79"/>
      <c r="VIE5" s="79"/>
      <c r="VIF5" s="79"/>
      <c r="VIG5" s="79"/>
      <c r="VIH5" s="79"/>
      <c r="VII5" s="79"/>
      <c r="VIJ5" s="79"/>
      <c r="VIK5" s="79"/>
      <c r="VIL5" s="79"/>
      <c r="VIM5" s="79"/>
      <c r="VIN5" s="79"/>
      <c r="VIO5" s="79"/>
      <c r="VIP5" s="79"/>
      <c r="VIQ5" s="79"/>
      <c r="VIR5" s="79"/>
      <c r="VIS5" s="79"/>
      <c r="VIT5" s="79"/>
      <c r="VIU5" s="79"/>
      <c r="VIV5" s="79"/>
      <c r="VIW5" s="79"/>
      <c r="VIX5" s="79"/>
      <c r="VIY5" s="79"/>
      <c r="VIZ5" s="79"/>
      <c r="VJA5" s="79"/>
      <c r="VJB5" s="79"/>
      <c r="VJC5" s="79"/>
      <c r="VJD5" s="79"/>
      <c r="VJE5" s="79"/>
      <c r="VJF5" s="79"/>
      <c r="VJG5" s="79"/>
      <c r="VJH5" s="79"/>
      <c r="VJI5" s="79"/>
      <c r="VJJ5" s="79"/>
      <c r="VJK5" s="79"/>
      <c r="VJL5" s="79"/>
      <c r="VJM5" s="79"/>
      <c r="VJN5" s="79"/>
      <c r="VJO5" s="79"/>
      <c r="VJP5" s="79"/>
      <c r="VJQ5" s="79"/>
      <c r="VJR5" s="79"/>
      <c r="VJS5" s="79"/>
      <c r="VJT5" s="79"/>
      <c r="VJU5" s="79"/>
      <c r="VJV5" s="79"/>
      <c r="VJW5" s="79"/>
      <c r="VJX5" s="79"/>
      <c r="VJY5" s="79"/>
      <c r="VJZ5" s="79"/>
      <c r="VKA5" s="79"/>
      <c r="VKB5" s="79"/>
      <c r="VKC5" s="79"/>
      <c r="VKD5" s="79"/>
      <c r="VKE5" s="79"/>
      <c r="VKF5" s="79"/>
      <c r="VKG5" s="79"/>
      <c r="VKH5" s="79"/>
      <c r="VKI5" s="79"/>
      <c r="VKJ5" s="79"/>
      <c r="VKK5" s="79"/>
      <c r="VKL5" s="79"/>
      <c r="VKM5" s="79"/>
      <c r="VKN5" s="79"/>
      <c r="VKO5" s="79"/>
      <c r="VKP5" s="79"/>
      <c r="VKQ5" s="79"/>
      <c r="VKR5" s="79"/>
      <c r="VKS5" s="79"/>
      <c r="VKT5" s="79"/>
      <c r="VKU5" s="79"/>
      <c r="VKV5" s="79"/>
      <c r="VKW5" s="79"/>
      <c r="VKX5" s="79"/>
      <c r="VKY5" s="79"/>
      <c r="VKZ5" s="79"/>
      <c r="VLA5" s="79"/>
      <c r="VLB5" s="79"/>
      <c r="VLC5" s="79"/>
      <c r="VLD5" s="79"/>
      <c r="VLE5" s="79"/>
      <c r="VLF5" s="79"/>
      <c r="VLG5" s="79"/>
      <c r="VLH5" s="79"/>
      <c r="VLI5" s="79"/>
      <c r="VLJ5" s="79"/>
      <c r="VLK5" s="79"/>
      <c r="VLL5" s="79"/>
      <c r="VLM5" s="79"/>
      <c r="VLN5" s="79"/>
      <c r="VLO5" s="79"/>
      <c r="VLP5" s="79"/>
      <c r="VLQ5" s="79"/>
      <c r="VLR5" s="79"/>
      <c r="VLS5" s="79"/>
      <c r="VLT5" s="79"/>
      <c r="VLU5" s="79"/>
      <c r="VLV5" s="79"/>
      <c r="VLW5" s="79"/>
      <c r="VLX5" s="79"/>
      <c r="VLY5" s="79"/>
      <c r="VLZ5" s="79"/>
      <c r="VMA5" s="79"/>
      <c r="VMB5" s="79"/>
      <c r="VMC5" s="79"/>
      <c r="VMD5" s="79"/>
      <c r="VME5" s="79"/>
      <c r="VMF5" s="79"/>
      <c r="VMG5" s="79"/>
      <c r="VMH5" s="79"/>
      <c r="VMI5" s="79"/>
      <c r="VMJ5" s="79"/>
      <c r="VMK5" s="79"/>
      <c r="VML5" s="79"/>
      <c r="VMM5" s="79"/>
      <c r="VMN5" s="79"/>
      <c r="VMO5" s="79"/>
      <c r="VMP5" s="79"/>
      <c r="VMQ5" s="79"/>
      <c r="VMR5" s="79"/>
      <c r="VMS5" s="79"/>
      <c r="VMT5" s="79"/>
      <c r="VMU5" s="79"/>
      <c r="VMV5" s="79"/>
      <c r="VMW5" s="79"/>
      <c r="VMX5" s="79"/>
      <c r="VMY5" s="79"/>
      <c r="VMZ5" s="79"/>
      <c r="VNA5" s="79"/>
      <c r="VNB5" s="79"/>
      <c r="VNC5" s="79"/>
      <c r="VND5" s="79"/>
      <c r="VNE5" s="79"/>
      <c r="VNF5" s="79"/>
      <c r="VNG5" s="79"/>
      <c r="VNH5" s="79"/>
      <c r="VNI5" s="79"/>
      <c r="VNJ5" s="79"/>
      <c r="VNK5" s="79"/>
      <c r="VNL5" s="79"/>
      <c r="VNM5" s="79"/>
      <c r="VNN5" s="79"/>
      <c r="VNO5" s="79"/>
      <c r="VNP5" s="79"/>
      <c r="VNQ5" s="79"/>
      <c r="VNR5" s="79"/>
      <c r="VNS5" s="79"/>
      <c r="VNT5" s="79"/>
      <c r="VNU5" s="79"/>
      <c r="VNV5" s="79"/>
      <c r="VNW5" s="79"/>
      <c r="VNX5" s="79"/>
      <c r="VNY5" s="79"/>
      <c r="VNZ5" s="79"/>
      <c r="VOA5" s="79"/>
      <c r="VOB5" s="79"/>
      <c r="VOC5" s="79"/>
      <c r="VOD5" s="79"/>
      <c r="VOE5" s="79"/>
      <c r="VOF5" s="79"/>
      <c r="VOG5" s="79"/>
      <c r="VOH5" s="79"/>
      <c r="VOI5" s="79"/>
      <c r="VOJ5" s="79"/>
      <c r="VOK5" s="79"/>
      <c r="VOL5" s="79"/>
      <c r="VOM5" s="79"/>
      <c r="VON5" s="79"/>
      <c r="VOO5" s="79"/>
      <c r="VOP5" s="79"/>
      <c r="VOQ5" s="79"/>
      <c r="VOR5" s="79"/>
      <c r="VOS5" s="79"/>
      <c r="VOT5" s="79"/>
      <c r="VOU5" s="79"/>
      <c r="VOV5" s="79"/>
      <c r="VOW5" s="79"/>
      <c r="VOX5" s="79"/>
      <c r="VOY5" s="79"/>
      <c r="VOZ5" s="79"/>
      <c r="VPA5" s="79"/>
      <c r="VPB5" s="79"/>
      <c r="VPC5" s="79"/>
      <c r="VPD5" s="79"/>
      <c r="VPE5" s="79"/>
      <c r="VPF5" s="79"/>
      <c r="VPG5" s="79"/>
      <c r="VPH5" s="79"/>
      <c r="VPI5" s="79"/>
      <c r="VPJ5" s="79"/>
      <c r="VPK5" s="79"/>
      <c r="VPL5" s="79"/>
      <c r="VPM5" s="79"/>
      <c r="VPN5" s="79"/>
      <c r="VPO5" s="79"/>
      <c r="VPP5" s="79"/>
      <c r="VPQ5" s="79"/>
      <c r="VPR5" s="79"/>
      <c r="VPS5" s="79"/>
      <c r="VPT5" s="79"/>
      <c r="VPU5" s="79"/>
      <c r="VPV5" s="79"/>
      <c r="VPW5" s="79"/>
      <c r="VPX5" s="79"/>
      <c r="VPY5" s="79"/>
      <c r="VPZ5" s="79"/>
      <c r="VQA5" s="79"/>
      <c r="VQB5" s="79"/>
      <c r="VQC5" s="79"/>
      <c r="VQD5" s="79"/>
      <c r="VQE5" s="79"/>
      <c r="VQF5" s="79"/>
      <c r="VQG5" s="79"/>
      <c r="VQH5" s="79"/>
      <c r="VQI5" s="79"/>
      <c r="VQJ5" s="79"/>
      <c r="VQK5" s="79"/>
      <c r="VQL5" s="79"/>
      <c r="VQM5" s="79"/>
      <c r="VQN5" s="79"/>
      <c r="VQO5" s="79"/>
      <c r="VQP5" s="79"/>
      <c r="VQQ5" s="79"/>
      <c r="VQR5" s="79"/>
      <c r="VQS5" s="79"/>
      <c r="VQT5" s="79"/>
      <c r="VQU5" s="79"/>
      <c r="VQV5" s="79"/>
      <c r="VQW5" s="79"/>
      <c r="VQX5" s="79"/>
      <c r="VQY5" s="79"/>
      <c r="VQZ5" s="79"/>
      <c r="VRA5" s="79"/>
      <c r="VRB5" s="79"/>
      <c r="VRC5" s="79"/>
      <c r="VRD5" s="79"/>
      <c r="VRE5" s="79"/>
      <c r="VRF5" s="79"/>
      <c r="VRG5" s="79"/>
      <c r="VRH5" s="79"/>
      <c r="VRI5" s="79"/>
      <c r="VRJ5" s="79"/>
      <c r="VRK5" s="79"/>
      <c r="VRL5" s="79"/>
      <c r="VRM5" s="79"/>
      <c r="VRN5" s="79"/>
      <c r="VRO5" s="79"/>
      <c r="VRP5" s="79"/>
      <c r="VRQ5" s="79"/>
      <c r="VRR5" s="79"/>
      <c r="VRS5" s="79"/>
      <c r="VRT5" s="79"/>
      <c r="VRU5" s="79"/>
      <c r="VRV5" s="79"/>
      <c r="VRW5" s="79"/>
      <c r="VRX5" s="79"/>
      <c r="VRY5" s="79"/>
      <c r="VRZ5" s="79"/>
      <c r="VSA5" s="79"/>
      <c r="VSB5" s="79"/>
      <c r="VSC5" s="79"/>
      <c r="VSD5" s="79"/>
      <c r="VSE5" s="79"/>
      <c r="VSF5" s="79"/>
      <c r="VSG5" s="79"/>
      <c r="VSH5" s="79"/>
      <c r="VSI5" s="79"/>
      <c r="VSJ5" s="79"/>
      <c r="VSK5" s="79"/>
      <c r="VSL5" s="79"/>
      <c r="VSM5" s="79"/>
      <c r="VSN5" s="79"/>
      <c r="VSO5" s="79"/>
      <c r="VSP5" s="79"/>
      <c r="VSQ5" s="79"/>
      <c r="VSR5" s="79"/>
      <c r="VSS5" s="79"/>
      <c r="VST5" s="79"/>
      <c r="VSU5" s="79"/>
      <c r="VSV5" s="79"/>
      <c r="VSW5" s="79"/>
      <c r="VSX5" s="79"/>
      <c r="VSY5" s="79"/>
      <c r="VSZ5" s="79"/>
      <c r="VTA5" s="79"/>
      <c r="VTB5" s="79"/>
      <c r="VTC5" s="79"/>
      <c r="VTD5" s="79"/>
      <c r="VTE5" s="79"/>
      <c r="VTF5" s="79"/>
      <c r="VTG5" s="79"/>
      <c r="VTH5" s="79"/>
      <c r="VTI5" s="79"/>
      <c r="VTJ5" s="79"/>
      <c r="VTK5" s="79"/>
      <c r="VTL5" s="79"/>
      <c r="VTM5" s="79"/>
      <c r="VTN5" s="79"/>
      <c r="VTO5" s="79"/>
      <c r="VTP5" s="79"/>
      <c r="VTQ5" s="79"/>
      <c r="VTR5" s="79"/>
      <c r="VTS5" s="79"/>
      <c r="VTT5" s="79"/>
      <c r="VTU5" s="79"/>
      <c r="VTV5" s="79"/>
      <c r="VTW5" s="79"/>
      <c r="VTX5" s="79"/>
      <c r="VTY5" s="79"/>
      <c r="VTZ5" s="79"/>
      <c r="VUA5" s="79"/>
      <c r="VUB5" s="79"/>
      <c r="VUC5" s="79"/>
      <c r="VUD5" s="79"/>
      <c r="VUE5" s="79"/>
      <c r="VUF5" s="79"/>
      <c r="VUG5" s="79"/>
      <c r="VUH5" s="79"/>
      <c r="VUI5" s="79"/>
      <c r="VUJ5" s="79"/>
      <c r="VUK5" s="79"/>
      <c r="VUL5" s="79"/>
      <c r="VUM5" s="79"/>
      <c r="VUN5" s="79"/>
      <c r="VUO5" s="79"/>
      <c r="VUP5" s="79"/>
      <c r="VUQ5" s="79"/>
      <c r="VUR5" s="79"/>
      <c r="VUS5" s="79"/>
      <c r="VUT5" s="79"/>
      <c r="VUU5" s="79"/>
      <c r="VUV5" s="79"/>
      <c r="VUW5" s="79"/>
      <c r="VUX5" s="79"/>
      <c r="VUY5" s="79"/>
      <c r="VUZ5" s="79"/>
      <c r="VVA5" s="79"/>
      <c r="VVB5" s="79"/>
      <c r="VVC5" s="79"/>
      <c r="VVD5" s="79"/>
      <c r="VVE5" s="79"/>
      <c r="VVF5" s="79"/>
      <c r="VVG5" s="79"/>
      <c r="VVH5" s="79"/>
      <c r="VVI5" s="79"/>
      <c r="VVJ5" s="79"/>
      <c r="VVK5" s="79"/>
      <c r="VVL5" s="79"/>
      <c r="VVM5" s="79"/>
      <c r="VVN5" s="79"/>
      <c r="VVO5" s="79"/>
      <c r="VVP5" s="79"/>
      <c r="VVQ5" s="79"/>
      <c r="VVR5" s="79"/>
      <c r="VVS5" s="79"/>
      <c r="VVT5" s="79"/>
      <c r="VVU5" s="79"/>
      <c r="VVV5" s="79"/>
      <c r="VVW5" s="79"/>
      <c r="VVX5" s="79"/>
      <c r="VVY5" s="79"/>
      <c r="VVZ5" s="79"/>
      <c r="VWA5" s="79"/>
      <c r="VWB5" s="79"/>
      <c r="VWC5" s="79"/>
      <c r="VWD5" s="79"/>
      <c r="VWE5" s="79"/>
      <c r="VWF5" s="79"/>
      <c r="VWG5" s="79"/>
      <c r="VWH5" s="79"/>
      <c r="VWI5" s="79"/>
      <c r="VWJ5" s="79"/>
      <c r="VWK5" s="79"/>
      <c r="VWL5" s="79"/>
      <c r="VWM5" s="79"/>
      <c r="VWN5" s="79"/>
      <c r="VWO5" s="79"/>
      <c r="VWP5" s="79"/>
      <c r="VWQ5" s="79"/>
      <c r="VWR5" s="79"/>
      <c r="VWS5" s="79"/>
      <c r="VWT5" s="79"/>
      <c r="VWU5" s="79"/>
      <c r="VWV5" s="79"/>
      <c r="VWW5" s="79"/>
      <c r="VWX5" s="79"/>
      <c r="VWY5" s="79"/>
      <c r="VWZ5" s="79"/>
      <c r="VXA5" s="79"/>
      <c r="VXB5" s="79"/>
      <c r="VXC5" s="79"/>
      <c r="VXD5" s="79"/>
      <c r="VXE5" s="79"/>
      <c r="VXF5" s="79"/>
      <c r="VXG5" s="79"/>
      <c r="VXH5" s="79"/>
      <c r="VXI5" s="79"/>
      <c r="VXJ5" s="79"/>
      <c r="VXK5" s="79"/>
      <c r="VXL5" s="79"/>
      <c r="VXM5" s="79"/>
      <c r="VXN5" s="79"/>
      <c r="VXO5" s="79"/>
      <c r="VXP5" s="79"/>
      <c r="VXQ5" s="79"/>
      <c r="VXR5" s="79"/>
      <c r="VXS5" s="79"/>
      <c r="VXT5" s="79"/>
      <c r="VXU5" s="79"/>
      <c r="VXV5" s="79"/>
      <c r="VXW5" s="79"/>
      <c r="VXX5" s="79"/>
      <c r="VXY5" s="79"/>
      <c r="VXZ5" s="79"/>
      <c r="VYA5" s="79"/>
      <c r="VYB5" s="79"/>
      <c r="VYC5" s="79"/>
      <c r="VYD5" s="79"/>
      <c r="VYE5" s="79"/>
      <c r="VYF5" s="79"/>
      <c r="VYG5" s="79"/>
      <c r="VYH5" s="79"/>
      <c r="VYI5" s="79"/>
      <c r="VYJ5" s="79"/>
      <c r="VYK5" s="79"/>
      <c r="VYL5" s="79"/>
      <c r="VYM5" s="79"/>
      <c r="VYN5" s="79"/>
      <c r="VYO5" s="79"/>
      <c r="VYP5" s="79"/>
      <c r="VYQ5" s="79"/>
      <c r="VYR5" s="79"/>
      <c r="VYS5" s="79"/>
      <c r="VYT5" s="79"/>
      <c r="VYU5" s="79"/>
      <c r="VYV5" s="79"/>
      <c r="VYW5" s="79"/>
      <c r="VYX5" s="79"/>
      <c r="VYY5" s="79"/>
      <c r="VYZ5" s="79"/>
      <c r="VZA5" s="79"/>
      <c r="VZB5" s="79"/>
      <c r="VZC5" s="79"/>
      <c r="VZD5" s="79"/>
      <c r="VZE5" s="79"/>
      <c r="VZF5" s="79"/>
      <c r="VZG5" s="79"/>
      <c r="VZH5" s="79"/>
      <c r="VZI5" s="79"/>
      <c r="VZJ5" s="79"/>
      <c r="VZK5" s="79"/>
      <c r="VZL5" s="79"/>
      <c r="VZM5" s="79"/>
      <c r="VZN5" s="79"/>
      <c r="VZO5" s="79"/>
      <c r="VZP5" s="79"/>
      <c r="VZQ5" s="79"/>
      <c r="VZR5" s="79"/>
      <c r="VZS5" s="79"/>
      <c r="VZT5" s="79"/>
      <c r="VZU5" s="79"/>
      <c r="VZV5" s="79"/>
      <c r="VZW5" s="79"/>
      <c r="VZX5" s="79"/>
      <c r="VZY5" s="79"/>
      <c r="VZZ5" s="79"/>
      <c r="WAA5" s="79"/>
      <c r="WAB5" s="79"/>
      <c r="WAC5" s="79"/>
      <c r="WAD5" s="79"/>
      <c r="WAE5" s="79"/>
      <c r="WAF5" s="79"/>
      <c r="WAG5" s="79"/>
      <c r="WAH5" s="79"/>
      <c r="WAI5" s="79"/>
      <c r="WAJ5" s="79"/>
      <c r="WAK5" s="79"/>
      <c r="WAL5" s="79"/>
      <c r="WAM5" s="79"/>
      <c r="WAN5" s="79"/>
      <c r="WAO5" s="79"/>
      <c r="WAP5" s="79"/>
      <c r="WAQ5" s="79"/>
      <c r="WAR5" s="79"/>
      <c r="WAS5" s="79"/>
      <c r="WAT5" s="79"/>
      <c r="WAU5" s="79"/>
      <c r="WAV5" s="79"/>
      <c r="WAW5" s="79"/>
      <c r="WAX5" s="79"/>
      <c r="WAY5" s="79"/>
      <c r="WAZ5" s="79"/>
      <c r="WBA5" s="79"/>
      <c r="WBB5" s="79"/>
      <c r="WBC5" s="79"/>
      <c r="WBD5" s="79"/>
      <c r="WBE5" s="79"/>
      <c r="WBF5" s="79"/>
      <c r="WBG5" s="79"/>
      <c r="WBH5" s="79"/>
      <c r="WBI5" s="79"/>
      <c r="WBJ5" s="79"/>
      <c r="WBK5" s="79"/>
      <c r="WBL5" s="79"/>
      <c r="WBM5" s="79"/>
      <c r="WBN5" s="79"/>
      <c r="WBO5" s="79"/>
      <c r="WBP5" s="79"/>
      <c r="WBQ5" s="79"/>
      <c r="WBR5" s="79"/>
      <c r="WBS5" s="79"/>
      <c r="WBT5" s="79"/>
      <c r="WBU5" s="79"/>
      <c r="WBV5" s="79"/>
      <c r="WBW5" s="79"/>
      <c r="WBX5" s="79"/>
      <c r="WBY5" s="79"/>
      <c r="WBZ5" s="79"/>
      <c r="WCA5" s="79"/>
      <c r="WCB5" s="79"/>
      <c r="WCC5" s="79"/>
      <c r="WCD5" s="79"/>
      <c r="WCE5" s="79"/>
      <c r="WCF5" s="79"/>
      <c r="WCG5" s="79"/>
      <c r="WCH5" s="79"/>
      <c r="WCI5" s="79"/>
      <c r="WCJ5" s="79"/>
      <c r="WCK5" s="79"/>
      <c r="WCL5" s="79"/>
      <c r="WCM5" s="79"/>
      <c r="WCN5" s="79"/>
      <c r="WCO5" s="79"/>
      <c r="WCP5" s="79"/>
      <c r="WCQ5" s="79"/>
      <c r="WCR5" s="79"/>
      <c r="WCS5" s="79"/>
      <c r="WCT5" s="79"/>
      <c r="WCU5" s="79"/>
      <c r="WCV5" s="79"/>
      <c r="WCW5" s="79"/>
      <c r="WCX5" s="79"/>
      <c r="WCY5" s="79"/>
      <c r="WCZ5" s="79"/>
      <c r="WDA5" s="79"/>
      <c r="WDB5" s="79"/>
      <c r="WDC5" s="79"/>
      <c r="WDD5" s="79"/>
      <c r="WDE5" s="79"/>
      <c r="WDF5" s="79"/>
      <c r="WDG5" s="79"/>
      <c r="WDH5" s="79"/>
      <c r="WDI5" s="79"/>
      <c r="WDJ5" s="79"/>
      <c r="WDK5" s="79"/>
      <c r="WDL5" s="79"/>
      <c r="WDM5" s="79"/>
      <c r="WDN5" s="79"/>
      <c r="WDO5" s="79"/>
      <c r="WDP5" s="79"/>
      <c r="WDQ5" s="79"/>
      <c r="WDR5" s="79"/>
      <c r="WDS5" s="79"/>
      <c r="WDT5" s="79"/>
      <c r="WDU5" s="79"/>
      <c r="WDV5" s="79"/>
      <c r="WDW5" s="79"/>
      <c r="WDX5" s="79"/>
      <c r="WDY5" s="79"/>
      <c r="WDZ5" s="79"/>
      <c r="WEA5" s="79"/>
      <c r="WEB5" s="79"/>
      <c r="WEC5" s="79"/>
      <c r="WED5" s="79"/>
      <c r="WEE5" s="79"/>
      <c r="WEF5" s="79"/>
      <c r="WEG5" s="79"/>
      <c r="WEH5" s="79"/>
      <c r="WEI5" s="79"/>
      <c r="WEJ5" s="79"/>
      <c r="WEK5" s="79"/>
      <c r="WEL5" s="79"/>
      <c r="WEM5" s="79"/>
      <c r="WEN5" s="79"/>
      <c r="WEO5" s="79"/>
      <c r="WEP5" s="79"/>
      <c r="WEQ5" s="79"/>
      <c r="WER5" s="79"/>
      <c r="WES5" s="79"/>
      <c r="WET5" s="79"/>
      <c r="WEU5" s="79"/>
      <c r="WEV5" s="79"/>
      <c r="WEW5" s="79"/>
      <c r="WEX5" s="79"/>
      <c r="WEY5" s="79"/>
      <c r="WEZ5" s="79"/>
      <c r="WFA5" s="79"/>
      <c r="WFB5" s="79"/>
      <c r="WFC5" s="79"/>
      <c r="WFD5" s="79"/>
      <c r="WFE5" s="79"/>
      <c r="WFF5" s="79"/>
      <c r="WFG5" s="79"/>
      <c r="WFH5" s="79"/>
      <c r="WFI5" s="79"/>
      <c r="WFJ5" s="79"/>
      <c r="WFK5" s="79"/>
      <c r="WFL5" s="79"/>
      <c r="WFM5" s="79"/>
      <c r="WFN5" s="79"/>
      <c r="WFO5" s="79"/>
      <c r="WFP5" s="79"/>
      <c r="WFQ5" s="79"/>
      <c r="WFR5" s="79"/>
      <c r="WFS5" s="79"/>
      <c r="WFT5" s="79"/>
      <c r="WFU5" s="79"/>
      <c r="WFV5" s="79"/>
      <c r="WFW5" s="79"/>
      <c r="WFX5" s="79"/>
      <c r="WFY5" s="79"/>
      <c r="WFZ5" s="79"/>
      <c r="WGA5" s="79"/>
      <c r="WGB5" s="79"/>
      <c r="WGC5" s="79"/>
      <c r="WGD5" s="79"/>
      <c r="WGE5" s="79"/>
      <c r="WGF5" s="79"/>
      <c r="WGG5" s="79"/>
      <c r="WGH5" s="79"/>
      <c r="WGI5" s="79"/>
      <c r="WGJ5" s="79"/>
      <c r="WGK5" s="79"/>
      <c r="WGL5" s="79"/>
      <c r="WGM5" s="79"/>
      <c r="WGN5" s="79"/>
      <c r="WGO5" s="79"/>
      <c r="WGP5" s="79"/>
      <c r="WGQ5" s="79"/>
      <c r="WGR5" s="79"/>
      <c r="WGS5" s="79"/>
      <c r="WGT5" s="79"/>
      <c r="WGU5" s="79"/>
      <c r="WGV5" s="79"/>
      <c r="WGW5" s="79"/>
      <c r="WGX5" s="79"/>
      <c r="WGY5" s="79"/>
      <c r="WGZ5" s="79"/>
      <c r="WHA5" s="79"/>
      <c r="WHB5" s="79"/>
      <c r="WHC5" s="79"/>
      <c r="WHD5" s="79"/>
      <c r="WHE5" s="79"/>
      <c r="WHF5" s="79"/>
      <c r="WHG5" s="79"/>
      <c r="WHH5" s="79"/>
      <c r="WHI5" s="79"/>
      <c r="WHJ5" s="79"/>
      <c r="WHK5" s="79"/>
      <c r="WHL5" s="79"/>
      <c r="WHM5" s="79"/>
      <c r="WHN5" s="79"/>
      <c r="WHO5" s="79"/>
      <c r="WHP5" s="79"/>
      <c r="WHQ5" s="79"/>
      <c r="WHR5" s="79"/>
      <c r="WHS5" s="79"/>
      <c r="WHT5" s="79"/>
      <c r="WHU5" s="79"/>
      <c r="WHV5" s="79"/>
      <c r="WHW5" s="79"/>
      <c r="WHX5" s="79"/>
      <c r="WHY5" s="79"/>
      <c r="WHZ5" s="79"/>
      <c r="WIA5" s="79"/>
      <c r="WIB5" s="79"/>
      <c r="WIC5" s="79"/>
      <c r="WID5" s="79"/>
      <c r="WIE5" s="79"/>
      <c r="WIF5" s="79"/>
      <c r="WIG5" s="79"/>
      <c r="WIH5" s="79"/>
      <c r="WII5" s="79"/>
      <c r="WIJ5" s="79"/>
      <c r="WIK5" s="79"/>
      <c r="WIL5" s="79"/>
      <c r="WIM5" s="79"/>
      <c r="WIN5" s="79"/>
      <c r="WIO5" s="79"/>
      <c r="WIP5" s="79"/>
      <c r="WIQ5" s="79"/>
      <c r="WIR5" s="79"/>
      <c r="WIS5" s="79"/>
      <c r="WIT5" s="79"/>
      <c r="WIU5" s="79"/>
      <c r="WIV5" s="79"/>
      <c r="WIW5" s="79"/>
      <c r="WIX5" s="79"/>
      <c r="WIY5" s="79"/>
      <c r="WIZ5" s="79"/>
      <c r="WJA5" s="79"/>
      <c r="WJB5" s="79"/>
      <c r="WJC5" s="79"/>
      <c r="WJD5" s="79"/>
      <c r="WJE5" s="79"/>
      <c r="WJF5" s="79"/>
      <c r="WJG5" s="79"/>
      <c r="WJH5" s="79"/>
      <c r="WJI5" s="79"/>
      <c r="WJJ5" s="79"/>
      <c r="WJK5" s="79"/>
      <c r="WJL5" s="79"/>
      <c r="WJM5" s="79"/>
      <c r="WJN5" s="79"/>
      <c r="WJO5" s="79"/>
      <c r="WJP5" s="79"/>
      <c r="WJQ5" s="79"/>
      <c r="WJR5" s="79"/>
      <c r="WJS5" s="79"/>
      <c r="WJT5" s="79"/>
      <c r="WJU5" s="79"/>
      <c r="WJV5" s="79"/>
      <c r="WJW5" s="79"/>
      <c r="WJX5" s="79"/>
      <c r="WJY5" s="79"/>
      <c r="WJZ5" s="79"/>
      <c r="WKA5" s="79"/>
      <c r="WKB5" s="79"/>
      <c r="WKC5" s="79"/>
      <c r="WKD5" s="79"/>
      <c r="WKE5" s="79"/>
      <c r="WKF5" s="79"/>
      <c r="WKG5" s="79"/>
      <c r="WKH5" s="79"/>
      <c r="WKI5" s="79"/>
      <c r="WKJ5" s="79"/>
      <c r="WKK5" s="79"/>
      <c r="WKL5" s="79"/>
      <c r="WKM5" s="79"/>
      <c r="WKN5" s="79"/>
      <c r="WKO5" s="79"/>
      <c r="WKP5" s="79"/>
      <c r="WKQ5" s="79"/>
      <c r="WKR5" s="79"/>
      <c r="WKS5" s="79"/>
      <c r="WKT5" s="79"/>
      <c r="WKU5" s="79"/>
      <c r="WKV5" s="79"/>
      <c r="WKW5" s="79"/>
      <c r="WKX5" s="79"/>
      <c r="WKY5" s="79"/>
      <c r="WKZ5" s="79"/>
      <c r="WLA5" s="79"/>
      <c r="WLB5" s="79"/>
      <c r="WLC5" s="79"/>
      <c r="WLD5" s="79"/>
      <c r="WLE5" s="79"/>
      <c r="WLF5" s="79"/>
      <c r="WLG5" s="79"/>
      <c r="WLH5" s="79"/>
      <c r="WLI5" s="79"/>
      <c r="WLJ5" s="79"/>
      <c r="WLK5" s="79"/>
      <c r="WLL5" s="79"/>
      <c r="WLM5" s="79"/>
      <c r="WLN5" s="79"/>
      <c r="WLO5" s="79"/>
      <c r="WLP5" s="79"/>
      <c r="WLQ5" s="79"/>
      <c r="WLR5" s="79"/>
      <c r="WLS5" s="79"/>
      <c r="WLT5" s="79"/>
      <c r="WLU5" s="79"/>
      <c r="WLV5" s="79"/>
      <c r="WLW5" s="79"/>
      <c r="WLX5" s="79"/>
      <c r="WLY5" s="79"/>
      <c r="WLZ5" s="79"/>
      <c r="WMA5" s="79"/>
      <c r="WMB5" s="79"/>
      <c r="WMC5" s="79"/>
      <c r="WMD5" s="79"/>
      <c r="WME5" s="79"/>
      <c r="WMF5" s="79"/>
      <c r="WMG5" s="79"/>
      <c r="WMH5" s="79"/>
      <c r="WMI5" s="79"/>
      <c r="WMJ5" s="79"/>
      <c r="WMK5" s="79"/>
      <c r="WML5" s="79"/>
      <c r="WMM5" s="79"/>
      <c r="WMN5" s="79"/>
      <c r="WMO5" s="79"/>
      <c r="WMP5" s="79"/>
      <c r="WMQ5" s="79"/>
      <c r="WMR5" s="79"/>
      <c r="WMS5" s="79"/>
      <c r="WMT5" s="79"/>
      <c r="WMU5" s="79"/>
      <c r="WMV5" s="79"/>
      <c r="WMW5" s="79"/>
      <c r="WMX5" s="79"/>
      <c r="WMY5" s="79"/>
      <c r="WMZ5" s="79"/>
      <c r="WNA5" s="79"/>
      <c r="WNB5" s="79"/>
      <c r="WNC5" s="79"/>
      <c r="WND5" s="79"/>
      <c r="WNE5" s="79"/>
      <c r="WNF5" s="79"/>
      <c r="WNG5" s="79"/>
      <c r="WNH5" s="79"/>
      <c r="WNI5" s="79"/>
      <c r="WNJ5" s="79"/>
      <c r="WNK5" s="79"/>
      <c r="WNL5" s="79"/>
      <c r="WNM5" s="79"/>
      <c r="WNN5" s="79"/>
      <c r="WNO5" s="79"/>
      <c r="WNP5" s="79"/>
      <c r="WNQ5" s="79"/>
      <c r="WNR5" s="79"/>
      <c r="WNS5" s="79"/>
      <c r="WNT5" s="79"/>
      <c r="WNU5" s="79"/>
      <c r="WNV5" s="79"/>
      <c r="WNW5" s="79"/>
      <c r="WNX5" s="79"/>
      <c r="WNY5" s="79"/>
      <c r="WNZ5" s="79"/>
      <c r="WOA5" s="79"/>
      <c r="WOB5" s="79"/>
      <c r="WOC5" s="79"/>
      <c r="WOD5" s="79"/>
      <c r="WOE5" s="79"/>
      <c r="WOF5" s="79"/>
      <c r="WOG5" s="79"/>
      <c r="WOH5" s="79"/>
      <c r="WOI5" s="79"/>
      <c r="WOJ5" s="79"/>
      <c r="WOK5" s="79"/>
      <c r="WOL5" s="79"/>
      <c r="WOM5" s="79"/>
      <c r="WON5" s="79"/>
      <c r="WOO5" s="79"/>
      <c r="WOP5" s="79"/>
      <c r="WOQ5" s="79"/>
      <c r="WOR5" s="79"/>
      <c r="WOS5" s="79"/>
      <c r="WOT5" s="79"/>
      <c r="WOU5" s="79"/>
      <c r="WOV5" s="79"/>
      <c r="WOW5" s="79"/>
      <c r="WOX5" s="79"/>
      <c r="WOY5" s="79"/>
      <c r="WOZ5" s="79"/>
      <c r="WPA5" s="79"/>
      <c r="WPB5" s="79"/>
      <c r="WPC5" s="79"/>
      <c r="WPD5" s="79"/>
      <c r="WPE5" s="79"/>
      <c r="WPF5" s="79"/>
      <c r="WPG5" s="79"/>
      <c r="WPH5" s="79"/>
      <c r="WPI5" s="79"/>
      <c r="WPJ5" s="79"/>
      <c r="WPK5" s="79"/>
      <c r="WPL5" s="79"/>
      <c r="WPM5" s="79"/>
      <c r="WPN5" s="79"/>
      <c r="WPO5" s="79"/>
      <c r="WPP5" s="79"/>
      <c r="WPQ5" s="79"/>
      <c r="WPR5" s="79"/>
      <c r="WPS5" s="79"/>
      <c r="WPT5" s="79"/>
      <c r="WPU5" s="79"/>
      <c r="WPV5" s="79"/>
      <c r="WPW5" s="79"/>
      <c r="WPX5" s="79"/>
      <c r="WPY5" s="79"/>
      <c r="WPZ5" s="79"/>
      <c r="WQA5" s="79"/>
      <c r="WQB5" s="79"/>
      <c r="WQC5" s="79"/>
      <c r="WQD5" s="79"/>
      <c r="WQE5" s="79"/>
      <c r="WQF5" s="79"/>
      <c r="WQG5" s="79"/>
      <c r="WQH5" s="79"/>
      <c r="WQI5" s="79"/>
      <c r="WQJ5" s="79"/>
      <c r="WQK5" s="79"/>
      <c r="WQL5" s="79"/>
      <c r="WQM5" s="79"/>
      <c r="WQN5" s="79"/>
      <c r="WQO5" s="79"/>
      <c r="WQP5" s="79"/>
      <c r="WQQ5" s="79"/>
      <c r="WQR5" s="79"/>
      <c r="WQS5" s="79"/>
      <c r="WQT5" s="79"/>
      <c r="WQU5" s="79"/>
      <c r="WQV5" s="79"/>
      <c r="WQW5" s="79"/>
      <c r="WQX5" s="79"/>
      <c r="WQY5" s="79"/>
      <c r="WQZ5" s="79"/>
      <c r="WRA5" s="79"/>
      <c r="WRB5" s="79"/>
      <c r="WRC5" s="79"/>
      <c r="WRD5" s="79"/>
      <c r="WRE5" s="79"/>
      <c r="WRF5" s="79"/>
      <c r="WRG5" s="79"/>
      <c r="WRH5" s="79"/>
      <c r="WRI5" s="79"/>
      <c r="WRJ5" s="79"/>
      <c r="WRK5" s="79"/>
      <c r="WRL5" s="79"/>
      <c r="WRM5" s="79"/>
      <c r="WRN5" s="79"/>
      <c r="WRO5" s="79"/>
      <c r="WRP5" s="79"/>
      <c r="WRQ5" s="79"/>
      <c r="WRR5" s="79"/>
      <c r="WRS5" s="79"/>
      <c r="WRT5" s="79"/>
      <c r="WRU5" s="79"/>
      <c r="WRV5" s="79"/>
      <c r="WRW5" s="79"/>
      <c r="WRX5" s="79"/>
      <c r="WRY5" s="79"/>
      <c r="WRZ5" s="79"/>
      <c r="WSA5" s="79"/>
      <c r="WSB5" s="79"/>
      <c r="WSC5" s="79"/>
      <c r="WSD5" s="79"/>
      <c r="WSE5" s="79"/>
      <c r="WSF5" s="79"/>
      <c r="WSG5" s="79"/>
      <c r="WSH5" s="79"/>
      <c r="WSI5" s="79"/>
      <c r="WSJ5" s="79"/>
      <c r="WSK5" s="79"/>
      <c r="WSL5" s="79"/>
      <c r="WSM5" s="79"/>
      <c r="WSN5" s="79"/>
      <c r="WSO5" s="79"/>
      <c r="WSP5" s="79"/>
      <c r="WSQ5" s="79"/>
      <c r="WSR5" s="79"/>
      <c r="WSS5" s="79"/>
      <c r="WST5" s="79"/>
      <c r="WSU5" s="79"/>
      <c r="WSV5" s="79"/>
      <c r="WSW5" s="79"/>
      <c r="WSX5" s="79"/>
      <c r="WSY5" s="79"/>
      <c r="WSZ5" s="79"/>
      <c r="WTA5" s="79"/>
      <c r="WTB5" s="79"/>
      <c r="WTC5" s="79"/>
      <c r="WTD5" s="79"/>
      <c r="WTE5" s="79"/>
      <c r="WTF5" s="79"/>
      <c r="WTG5" s="79"/>
      <c r="WTH5" s="79"/>
      <c r="WTI5" s="79"/>
      <c r="WTJ5" s="79"/>
      <c r="WTK5" s="79"/>
      <c r="WTL5" s="79"/>
      <c r="WTM5" s="79"/>
      <c r="WTN5" s="79"/>
      <c r="WTO5" s="79"/>
      <c r="WTP5" s="79"/>
      <c r="WTQ5" s="79"/>
      <c r="WTR5" s="79"/>
      <c r="WTS5" s="79"/>
      <c r="WTT5" s="79"/>
      <c r="WTU5" s="79"/>
      <c r="WTV5" s="79"/>
      <c r="WTW5" s="79"/>
      <c r="WTX5" s="79"/>
      <c r="WTY5" s="79"/>
      <c r="WTZ5" s="79"/>
      <c r="WUA5" s="79"/>
      <c r="WUB5" s="79"/>
      <c r="WUC5" s="79"/>
      <c r="WUD5" s="79"/>
      <c r="WUE5" s="79"/>
      <c r="WUF5" s="79"/>
      <c r="WUG5" s="79"/>
      <c r="WUH5" s="79"/>
      <c r="WUI5" s="79"/>
      <c r="WUJ5" s="79"/>
      <c r="WUK5" s="79"/>
      <c r="WUL5" s="79"/>
      <c r="WUM5" s="79"/>
      <c r="WUN5" s="79"/>
      <c r="WUO5" s="79"/>
      <c r="WUP5" s="79"/>
      <c r="WUQ5" s="79"/>
      <c r="WUR5" s="79"/>
      <c r="WUS5" s="79"/>
      <c r="WUT5" s="79"/>
      <c r="WUU5" s="79"/>
      <c r="WUV5" s="79"/>
      <c r="WUW5" s="79"/>
      <c r="WUX5" s="79"/>
      <c r="WUY5" s="79"/>
      <c r="WUZ5" s="79"/>
      <c r="WVA5" s="79"/>
      <c r="WVB5" s="79"/>
      <c r="WVC5" s="79"/>
      <c r="WVD5" s="79"/>
      <c r="WVE5" s="79"/>
      <c r="WVF5" s="79"/>
      <c r="WVG5" s="79"/>
      <c r="WVH5" s="79"/>
      <c r="WVI5" s="79"/>
      <c r="WVJ5" s="79"/>
      <c r="WVK5" s="79"/>
      <c r="WVL5" s="79"/>
      <c r="WVM5" s="79"/>
      <c r="WVN5" s="79"/>
      <c r="WVO5" s="79"/>
      <c r="WVP5" s="79"/>
      <c r="WVQ5" s="79"/>
      <c r="WVR5" s="79"/>
      <c r="WVS5" s="79"/>
      <c r="WVT5" s="79"/>
      <c r="WVU5" s="79"/>
      <c r="WVV5" s="79"/>
      <c r="WVW5" s="79"/>
      <c r="WVX5" s="79"/>
      <c r="WVY5" s="79"/>
      <c r="WVZ5" s="79"/>
      <c r="WWA5" s="79"/>
      <c r="WWB5" s="79"/>
      <c r="WWC5" s="79"/>
      <c r="WWD5" s="79"/>
      <c r="WWE5" s="79"/>
      <c r="WWF5" s="79"/>
      <c r="WWG5" s="79"/>
      <c r="WWH5" s="79"/>
      <c r="WWI5" s="79"/>
      <c r="WWJ5" s="79"/>
      <c r="WWK5" s="79"/>
      <c r="WWL5" s="79"/>
      <c r="WWM5" s="79"/>
      <c r="WWN5" s="79"/>
      <c r="WWO5" s="79"/>
      <c r="WWP5" s="79"/>
      <c r="WWQ5" s="79"/>
      <c r="WWR5" s="79"/>
      <c r="WWS5" s="79"/>
      <c r="WWT5" s="79"/>
      <c r="WWU5" s="79"/>
      <c r="WWV5" s="79"/>
      <c r="WWW5" s="79"/>
      <c r="WWX5" s="79"/>
      <c r="WWY5" s="79"/>
      <c r="WWZ5" s="79"/>
      <c r="WXA5" s="79"/>
      <c r="WXB5" s="79"/>
      <c r="WXC5" s="79"/>
      <c r="WXD5" s="79"/>
      <c r="WXE5" s="79"/>
      <c r="WXF5" s="79"/>
      <c r="WXG5" s="79"/>
      <c r="WXH5" s="79"/>
      <c r="WXI5" s="79"/>
      <c r="WXJ5" s="79"/>
      <c r="WXK5" s="79"/>
      <c r="WXL5" s="79"/>
      <c r="WXM5" s="79"/>
      <c r="WXN5" s="79"/>
      <c r="WXO5" s="79"/>
      <c r="WXP5" s="79"/>
      <c r="WXQ5" s="79"/>
      <c r="WXR5" s="79"/>
      <c r="WXS5" s="79"/>
      <c r="WXT5" s="79"/>
      <c r="WXU5" s="79"/>
      <c r="WXV5" s="79"/>
      <c r="WXW5" s="79"/>
      <c r="WXX5" s="79"/>
      <c r="WXY5" s="79"/>
      <c r="WXZ5" s="79"/>
      <c r="WYA5" s="79"/>
      <c r="WYB5" s="79"/>
      <c r="WYC5" s="79"/>
      <c r="WYD5" s="79"/>
      <c r="WYE5" s="79"/>
      <c r="WYF5" s="79"/>
      <c r="WYG5" s="79"/>
      <c r="WYH5" s="79"/>
      <c r="WYI5" s="79"/>
      <c r="WYJ5" s="79"/>
      <c r="WYK5" s="79"/>
      <c r="WYL5" s="79"/>
      <c r="WYM5" s="79"/>
      <c r="WYN5" s="79"/>
      <c r="WYO5" s="79"/>
      <c r="WYP5" s="79"/>
      <c r="WYQ5" s="79"/>
      <c r="WYR5" s="79"/>
      <c r="WYS5" s="79"/>
      <c r="WYT5" s="79"/>
      <c r="WYU5" s="79"/>
      <c r="WYV5" s="79"/>
      <c r="WYW5" s="79"/>
      <c r="WYX5" s="79"/>
      <c r="WYY5" s="79"/>
      <c r="WYZ5" s="79"/>
      <c r="WZA5" s="79"/>
      <c r="WZB5" s="79"/>
      <c r="WZC5" s="79"/>
      <c r="WZD5" s="79"/>
      <c r="WZE5" s="79"/>
      <c r="WZF5" s="79"/>
      <c r="WZG5" s="79"/>
      <c r="WZH5" s="79"/>
      <c r="WZI5" s="79"/>
      <c r="WZJ5" s="79"/>
      <c r="WZK5" s="79"/>
      <c r="WZL5" s="79"/>
      <c r="WZM5" s="79"/>
      <c r="WZN5" s="79"/>
      <c r="WZO5" s="79"/>
      <c r="WZP5" s="79"/>
      <c r="WZQ5" s="79"/>
      <c r="WZR5" s="79"/>
      <c r="WZS5" s="79"/>
      <c r="WZT5" s="79"/>
      <c r="WZU5" s="79"/>
      <c r="WZV5" s="79"/>
      <c r="WZW5" s="79"/>
      <c r="WZX5" s="79"/>
      <c r="WZY5" s="79"/>
      <c r="WZZ5" s="79"/>
      <c r="XAA5" s="79"/>
      <c r="XAB5" s="79"/>
      <c r="XAC5" s="79"/>
      <c r="XAD5" s="79"/>
      <c r="XAE5" s="79"/>
      <c r="XAF5" s="79"/>
      <c r="XAG5" s="79"/>
      <c r="XAH5" s="79"/>
      <c r="XAI5" s="79"/>
      <c r="XAJ5" s="79"/>
      <c r="XAK5" s="79"/>
      <c r="XAL5" s="79"/>
      <c r="XAM5" s="79"/>
      <c r="XAN5" s="79"/>
      <c r="XAO5" s="79"/>
      <c r="XAP5" s="79"/>
      <c r="XAQ5" s="79"/>
      <c r="XAR5" s="79"/>
      <c r="XAS5" s="79"/>
      <c r="XAT5" s="79"/>
      <c r="XAU5" s="79"/>
      <c r="XAV5" s="79"/>
      <c r="XAW5" s="79"/>
      <c r="XAX5" s="79"/>
      <c r="XAY5" s="79"/>
      <c r="XAZ5" s="79"/>
      <c r="XBA5" s="79"/>
      <c r="XBB5" s="79"/>
      <c r="XBC5" s="79"/>
      <c r="XBD5" s="79"/>
      <c r="XBE5" s="79"/>
      <c r="XBF5" s="79"/>
      <c r="XBG5" s="79"/>
      <c r="XBH5" s="79"/>
      <c r="XBI5" s="79"/>
      <c r="XBJ5" s="79"/>
      <c r="XBK5" s="79"/>
      <c r="XBL5" s="79"/>
      <c r="XBM5" s="79"/>
      <c r="XBN5" s="79"/>
      <c r="XBO5" s="79"/>
      <c r="XBP5" s="79"/>
      <c r="XBQ5" s="79"/>
      <c r="XBR5" s="79"/>
      <c r="XBS5" s="79"/>
      <c r="XBT5" s="79"/>
      <c r="XBU5" s="79"/>
      <c r="XBV5" s="79"/>
      <c r="XBW5" s="79"/>
      <c r="XBX5" s="79"/>
      <c r="XBY5" s="79"/>
      <c r="XBZ5" s="79"/>
      <c r="XCA5" s="79"/>
      <c r="XCB5" s="79"/>
      <c r="XCC5" s="79"/>
      <c r="XCD5" s="79"/>
      <c r="XCE5" s="79"/>
      <c r="XCF5" s="79"/>
      <c r="XCG5" s="79"/>
      <c r="XCH5" s="79"/>
      <c r="XCI5" s="79"/>
      <c r="XCJ5" s="79"/>
      <c r="XCK5" s="79"/>
      <c r="XCL5" s="79"/>
      <c r="XCM5" s="79"/>
      <c r="XCN5" s="79"/>
      <c r="XCO5" s="79"/>
      <c r="XCP5" s="79"/>
      <c r="XCQ5" s="79"/>
      <c r="XCR5" s="79"/>
      <c r="XCS5" s="79"/>
      <c r="XCT5" s="79"/>
      <c r="XCU5" s="79"/>
      <c r="XCV5" s="79"/>
      <c r="XCW5" s="79"/>
      <c r="XCX5" s="79"/>
      <c r="XCY5" s="79"/>
      <c r="XCZ5" s="79"/>
      <c r="XDA5" s="79"/>
      <c r="XDB5" s="79"/>
      <c r="XDC5" s="79"/>
      <c r="XDD5" s="79"/>
      <c r="XDE5" s="79"/>
      <c r="XDF5" s="79"/>
      <c r="XDG5" s="79"/>
      <c r="XDH5" s="79"/>
      <c r="XDI5" s="79"/>
      <c r="XDJ5" s="79"/>
      <c r="XDK5" s="79"/>
      <c r="XDL5" s="79"/>
      <c r="XDM5" s="79"/>
      <c r="XDN5" s="79"/>
      <c r="XDO5" s="79"/>
      <c r="XDP5" s="79"/>
      <c r="XDQ5" s="79"/>
      <c r="XDR5" s="79"/>
      <c r="XDS5" s="79"/>
      <c r="XDT5" s="79"/>
      <c r="XDU5" s="79"/>
      <c r="XDV5" s="79"/>
      <c r="XDW5" s="79"/>
      <c r="XDX5" s="79"/>
      <c r="XDY5" s="79"/>
      <c r="XDZ5" s="79"/>
      <c r="XEA5" s="79"/>
      <c r="XEB5" s="79"/>
      <c r="XEC5" s="79"/>
      <c r="XED5" s="79"/>
      <c r="XEE5" s="79"/>
      <c r="XEF5" s="79"/>
      <c r="XEG5" s="79"/>
      <c r="XEH5" s="79"/>
      <c r="XEI5" s="79"/>
      <c r="XEJ5" s="79"/>
      <c r="XEK5" s="79"/>
      <c r="XEL5" s="79"/>
      <c r="XEM5" s="79"/>
      <c r="XEN5" s="79"/>
      <c r="XEO5" s="79"/>
      <c r="XEP5" s="79"/>
      <c r="XEQ5" s="79"/>
      <c r="XER5" s="79"/>
      <c r="XES5" s="79"/>
      <c r="XET5" s="79"/>
      <c r="XEU5" s="79"/>
      <c r="XEV5" s="79"/>
      <c r="XEW5" s="79"/>
      <c r="XEX5" s="79"/>
      <c r="XEY5" s="79"/>
      <c r="XEZ5" s="79"/>
      <c r="XFA5" s="79"/>
      <c r="XFB5" s="79"/>
      <c r="XFC5" s="79"/>
      <c r="XFD5" s="79"/>
    </row>
    <row r="6" spans="1:16384" s="80" customFormat="1" ht="12.75">
      <c r="A6" s="82">
        <v>1</v>
      </c>
      <c r="B6" s="84" t="s">
        <v>97</v>
      </c>
      <c r="C6" s="84" t="s">
        <v>247</v>
      </c>
      <c r="D6" s="84" t="s">
        <v>237</v>
      </c>
      <c r="E6" s="84" t="s">
        <v>84</v>
      </c>
      <c r="F6" s="231" t="str">
        <f>+B6&amp;"/"&amp;C6&amp;"/"&amp;D6&amp;"/"&amp;E6</f>
        <v>IT/JavaNetColdFusionIT/DeveloperJavaNetColdFusion/Junior</v>
      </c>
      <c r="G6" s="232" t="str">
        <f>VLOOKUP($F6,$Q$101:$T$1500,3,0)</f>
        <v>IT_23</v>
      </c>
      <c r="H6" s="233" t="str">
        <f>+IFERROR(VLOOKUP($G6,$C$505:$O$1001,13,0),0)</f>
        <v>B2 AP1 / B2 AP2 (0.6 to 3 yrs)</v>
      </c>
      <c r="I6" s="378"/>
      <c r="J6" s="378"/>
      <c r="K6" s="234"/>
      <c r="L6" s="234"/>
      <c r="M6" s="235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234"/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4"/>
      <c r="AT6" s="234"/>
      <c r="AU6" s="234"/>
      <c r="AV6" s="234"/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4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4"/>
      <c r="CG6" s="234"/>
      <c r="CH6" s="234"/>
      <c r="CI6" s="234"/>
      <c r="CJ6" s="234"/>
      <c r="CK6" s="234"/>
      <c r="CL6" s="234"/>
      <c r="CM6" s="234"/>
      <c r="CN6" s="234"/>
      <c r="CO6" s="234"/>
      <c r="CP6" s="234"/>
      <c r="CQ6" s="234"/>
      <c r="CR6" s="234"/>
      <c r="CS6" s="234"/>
      <c r="CT6" s="234"/>
      <c r="CU6" s="234"/>
      <c r="CV6" s="234"/>
      <c r="CW6" s="234"/>
      <c r="CX6" s="234"/>
      <c r="CY6" s="234"/>
      <c r="CZ6" s="234"/>
      <c r="DA6" s="234"/>
      <c r="DB6" s="234"/>
      <c r="DC6" s="234"/>
      <c r="DD6" s="234"/>
      <c r="DE6" s="234"/>
      <c r="DF6" s="234"/>
      <c r="DG6" s="234"/>
      <c r="DH6" s="234"/>
      <c r="DI6" s="234"/>
      <c r="DJ6" s="234"/>
      <c r="DK6" s="234"/>
      <c r="DL6" s="234"/>
      <c r="DM6" s="234"/>
      <c r="DN6" s="234"/>
      <c r="DO6" s="234"/>
      <c r="DP6" s="234"/>
      <c r="DQ6" s="234"/>
      <c r="DR6" s="234"/>
      <c r="DS6" s="234"/>
      <c r="DT6" s="234"/>
      <c r="DU6" s="234"/>
      <c r="DV6" s="234"/>
      <c r="DW6" s="234"/>
      <c r="DX6" s="234"/>
      <c r="DY6" s="234"/>
      <c r="DZ6" s="234"/>
      <c r="EA6" s="234"/>
      <c r="EB6" s="234"/>
      <c r="EC6" s="234"/>
      <c r="ED6" s="234"/>
      <c r="EE6" s="234"/>
      <c r="EF6" s="234"/>
      <c r="EG6" s="234"/>
      <c r="EH6" s="234"/>
      <c r="EI6" s="234"/>
      <c r="EJ6" s="234"/>
      <c r="EK6" s="234"/>
      <c r="EL6" s="234"/>
      <c r="EM6" s="234"/>
      <c r="EN6" s="234"/>
      <c r="EO6" s="234"/>
      <c r="EP6" s="234"/>
      <c r="EQ6" s="234"/>
      <c r="ER6" s="234"/>
      <c r="ES6" s="234"/>
      <c r="ET6" s="234"/>
      <c r="EU6" s="234"/>
      <c r="EV6" s="234"/>
      <c r="EW6" s="234"/>
      <c r="EX6" s="234"/>
      <c r="EY6" s="234"/>
      <c r="EZ6" s="234"/>
      <c r="FA6" s="234"/>
      <c r="FB6" s="234"/>
      <c r="FC6" s="234"/>
      <c r="FD6" s="234"/>
      <c r="FE6" s="234"/>
      <c r="FF6" s="234"/>
      <c r="FG6" s="234"/>
      <c r="FH6" s="234"/>
      <c r="FI6" s="234"/>
      <c r="FJ6" s="234"/>
      <c r="FK6" s="234"/>
      <c r="FL6" s="234"/>
      <c r="FM6" s="234"/>
      <c r="FN6" s="234"/>
      <c r="FO6" s="234"/>
      <c r="FP6" s="234"/>
      <c r="FQ6" s="234"/>
      <c r="FR6" s="234"/>
      <c r="FS6" s="234"/>
      <c r="FT6" s="234"/>
      <c r="FU6" s="234"/>
      <c r="FV6" s="234"/>
      <c r="FW6" s="234"/>
      <c r="FX6" s="234"/>
      <c r="FY6" s="234"/>
      <c r="FZ6" s="234"/>
      <c r="GA6" s="234"/>
      <c r="GB6" s="234"/>
      <c r="GC6" s="234"/>
      <c r="GD6" s="234"/>
      <c r="GE6" s="234"/>
      <c r="GF6" s="234"/>
      <c r="GG6" s="234"/>
      <c r="GH6" s="234"/>
      <c r="GI6" s="234"/>
      <c r="GJ6" s="234"/>
      <c r="GK6" s="234"/>
      <c r="GL6" s="234"/>
      <c r="GM6" s="236"/>
      <c r="GN6" s="236"/>
      <c r="GO6" s="236"/>
      <c r="GP6" s="234"/>
      <c r="GQ6" s="234"/>
      <c r="GR6" s="234"/>
      <c r="GS6" s="234"/>
      <c r="GT6" s="234"/>
      <c r="GU6" s="234"/>
      <c r="GV6" s="234"/>
      <c r="GW6" s="234"/>
      <c r="GX6" s="234"/>
      <c r="GY6" s="234"/>
      <c r="GZ6" s="234"/>
      <c r="HA6" s="234"/>
      <c r="HB6" s="234"/>
      <c r="HC6" s="234"/>
      <c r="HD6" s="234"/>
      <c r="HE6" s="234"/>
      <c r="HF6" s="234"/>
      <c r="HG6" s="234"/>
      <c r="HH6" s="234"/>
      <c r="HI6" s="234"/>
      <c r="HJ6" s="234"/>
      <c r="HK6" s="234"/>
      <c r="HL6" s="234"/>
      <c r="HM6" s="234"/>
      <c r="HN6" s="234"/>
      <c r="HO6" s="237"/>
      <c r="HP6" s="321">
        <f>+'Staffing-Roles'!DS114</f>
        <v>0</v>
      </c>
      <c r="HQ6" s="319">
        <f>+'Staffing-Roles'!DS141</f>
        <v>0</v>
      </c>
      <c r="HR6" s="320">
        <f>+HP6*$HR$3</f>
        <v>0</v>
      </c>
      <c r="HS6" s="320">
        <f>+HQ6*$HS$3</f>
        <v>0</v>
      </c>
      <c r="HT6" s="329">
        <f t="shared" ref="HT6:HT25" si="0">+HR6*I6</f>
        <v>0</v>
      </c>
      <c r="HU6" s="329">
        <f t="shared" ref="HU6:HU25" si="1">+HS6*J6</f>
        <v>0</v>
      </c>
      <c r="HV6" s="330">
        <f t="shared" ref="HV6:HV25" si="2">+HT6+HU6</f>
        <v>0</v>
      </c>
      <c r="HX6" s="337">
        <f>+(HP6*$HX$3)*I6</f>
        <v>0</v>
      </c>
      <c r="HY6" s="338">
        <f>+(HQ6*$HY$3)*J6</f>
        <v>0</v>
      </c>
      <c r="HZ6" s="339">
        <f>+HX6+HY6</f>
        <v>0</v>
      </c>
    </row>
    <row r="7" spans="1:16384" s="80" customFormat="1" ht="12.75">
      <c r="A7" s="83">
        <f>+A6+1</f>
        <v>2</v>
      </c>
      <c r="B7" s="84"/>
      <c r="C7" s="84"/>
      <c r="D7" s="84"/>
      <c r="E7" s="84"/>
      <c r="F7" s="238" t="str">
        <f t="shared" ref="F7:F70" si="3">+B7&amp;"/"&amp;C7&amp;"/"&amp;D7&amp;"/"&amp;E7</f>
        <v>///</v>
      </c>
      <c r="G7" s="239">
        <f>VLOOKUP($F7,$Q$101:$T$1500,3,0)</f>
        <v>0</v>
      </c>
      <c r="H7" s="240">
        <f t="shared" ref="H7:H70" si="4">+IFERROR(VLOOKUP($G7,$C$505:$O$1001,13,0),0)</f>
        <v>0</v>
      </c>
      <c r="I7" s="378"/>
      <c r="J7" s="378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  <c r="AX7" s="241"/>
      <c r="AY7" s="241"/>
      <c r="AZ7" s="241"/>
      <c r="BA7" s="241"/>
      <c r="BB7" s="241"/>
      <c r="BC7" s="241"/>
      <c r="BD7" s="241"/>
      <c r="BE7" s="241"/>
      <c r="BF7" s="241"/>
      <c r="BG7" s="241"/>
      <c r="BH7" s="241"/>
      <c r="BI7" s="241"/>
      <c r="BJ7" s="241"/>
      <c r="BK7" s="241"/>
      <c r="BL7" s="241"/>
      <c r="BM7" s="241"/>
      <c r="BN7" s="241"/>
      <c r="BO7" s="241"/>
      <c r="BP7" s="241"/>
      <c r="BQ7" s="241"/>
      <c r="BR7" s="241"/>
      <c r="BS7" s="241"/>
      <c r="BT7" s="241"/>
      <c r="BU7" s="241"/>
      <c r="BV7" s="241"/>
      <c r="BW7" s="241"/>
      <c r="BX7" s="241"/>
      <c r="BY7" s="241"/>
      <c r="BZ7" s="241"/>
      <c r="CA7" s="241"/>
      <c r="CB7" s="241"/>
      <c r="CC7" s="241"/>
      <c r="CD7" s="241"/>
      <c r="CE7" s="241"/>
      <c r="CF7" s="241"/>
      <c r="CG7" s="241"/>
      <c r="CH7" s="241"/>
      <c r="CI7" s="241"/>
      <c r="CJ7" s="241"/>
      <c r="CK7" s="241"/>
      <c r="CL7" s="241"/>
      <c r="CM7" s="241"/>
      <c r="CN7" s="241"/>
      <c r="CO7" s="241"/>
      <c r="CP7" s="241"/>
      <c r="CQ7" s="241"/>
      <c r="CR7" s="241"/>
      <c r="CS7" s="241"/>
      <c r="CT7" s="241"/>
      <c r="CU7" s="241"/>
      <c r="CV7" s="241"/>
      <c r="CW7" s="241"/>
      <c r="CX7" s="241"/>
      <c r="CY7" s="241"/>
      <c r="CZ7" s="241"/>
      <c r="DA7" s="241"/>
      <c r="DB7" s="241"/>
      <c r="DC7" s="241"/>
      <c r="DD7" s="241"/>
      <c r="DE7" s="241"/>
      <c r="DF7" s="241"/>
      <c r="DG7" s="241"/>
      <c r="DH7" s="241"/>
      <c r="DI7" s="241"/>
      <c r="DJ7" s="241"/>
      <c r="DK7" s="241"/>
      <c r="DL7" s="241"/>
      <c r="DM7" s="241"/>
      <c r="DN7" s="241"/>
      <c r="DO7" s="241"/>
      <c r="DP7" s="241"/>
      <c r="DQ7" s="241"/>
      <c r="DR7" s="241"/>
      <c r="DS7" s="241"/>
      <c r="DT7" s="241"/>
      <c r="DU7" s="241"/>
      <c r="DV7" s="241"/>
      <c r="DW7" s="241"/>
      <c r="DX7" s="241"/>
      <c r="DY7" s="241"/>
      <c r="DZ7" s="241"/>
      <c r="EA7" s="241"/>
      <c r="EB7" s="241"/>
      <c r="EC7" s="241"/>
      <c r="ED7" s="241"/>
      <c r="EE7" s="241"/>
      <c r="EF7" s="241"/>
      <c r="EG7" s="241"/>
      <c r="EH7" s="241"/>
      <c r="EI7" s="241"/>
      <c r="EJ7" s="241"/>
      <c r="EK7" s="241"/>
      <c r="EL7" s="241"/>
      <c r="EM7" s="241"/>
      <c r="EN7" s="241"/>
      <c r="EO7" s="241"/>
      <c r="EP7" s="241"/>
      <c r="EQ7" s="241"/>
      <c r="ER7" s="241"/>
      <c r="ES7" s="241"/>
      <c r="ET7" s="241"/>
      <c r="EU7" s="241"/>
      <c r="EV7" s="241"/>
      <c r="EW7" s="241"/>
      <c r="EX7" s="241"/>
      <c r="EY7" s="241"/>
      <c r="EZ7" s="241"/>
      <c r="FA7" s="241"/>
      <c r="FB7" s="241"/>
      <c r="FC7" s="241"/>
      <c r="FD7" s="241"/>
      <c r="FE7" s="241"/>
      <c r="FF7" s="241"/>
      <c r="FG7" s="241"/>
      <c r="FH7" s="241"/>
      <c r="FI7" s="241"/>
      <c r="FJ7" s="241"/>
      <c r="FK7" s="241"/>
      <c r="FL7" s="241"/>
      <c r="FM7" s="241"/>
      <c r="FN7" s="241"/>
      <c r="FO7" s="241"/>
      <c r="FP7" s="241"/>
      <c r="FQ7" s="241"/>
      <c r="FR7" s="241"/>
      <c r="FS7" s="241"/>
      <c r="FT7" s="241"/>
      <c r="FU7" s="241"/>
      <c r="FV7" s="241"/>
      <c r="FW7" s="241"/>
      <c r="FX7" s="241"/>
      <c r="FY7" s="241"/>
      <c r="FZ7" s="241"/>
      <c r="GA7" s="241"/>
      <c r="GB7" s="241"/>
      <c r="GC7" s="241"/>
      <c r="GD7" s="241"/>
      <c r="GE7" s="241"/>
      <c r="GF7" s="241"/>
      <c r="GG7" s="241"/>
      <c r="GH7" s="241"/>
      <c r="GI7" s="241"/>
      <c r="GJ7" s="241"/>
      <c r="GK7" s="241"/>
      <c r="GL7" s="241"/>
      <c r="GM7" s="242"/>
      <c r="GN7" s="242"/>
      <c r="GO7" s="242"/>
      <c r="GP7" s="241"/>
      <c r="GQ7" s="241"/>
      <c r="GR7" s="241"/>
      <c r="GS7" s="241"/>
      <c r="GT7" s="241"/>
      <c r="GU7" s="241"/>
      <c r="GV7" s="241"/>
      <c r="GW7" s="241"/>
      <c r="GX7" s="241"/>
      <c r="GY7" s="241"/>
      <c r="GZ7" s="241"/>
      <c r="HA7" s="241"/>
      <c r="HB7" s="241"/>
      <c r="HC7" s="241"/>
      <c r="HD7" s="241"/>
      <c r="HE7" s="241"/>
      <c r="HF7" s="241"/>
      <c r="HG7" s="241"/>
      <c r="HH7" s="241"/>
      <c r="HI7" s="241"/>
      <c r="HJ7" s="241"/>
      <c r="HK7" s="241"/>
      <c r="HL7" s="241"/>
      <c r="HM7" s="241"/>
      <c r="HN7" s="241"/>
      <c r="HO7" s="243"/>
      <c r="HP7" s="321">
        <f>+'Staffing-Roles'!DS115</f>
        <v>0</v>
      </c>
      <c r="HQ7" s="319">
        <f>+'Staffing-Roles'!DS142</f>
        <v>0</v>
      </c>
      <c r="HR7" s="318">
        <f t="shared" ref="HR7:HR26" si="5">+HP7*$HR$3</f>
        <v>0</v>
      </c>
      <c r="HS7" s="318">
        <f t="shared" ref="HS7:HS26" si="6">+HQ7*$HS$3</f>
        <v>0</v>
      </c>
      <c r="HT7" s="331">
        <f t="shared" si="0"/>
        <v>0</v>
      </c>
      <c r="HU7" s="331">
        <f t="shared" si="1"/>
        <v>0</v>
      </c>
      <c r="HV7" s="332">
        <f t="shared" si="2"/>
        <v>0</v>
      </c>
      <c r="HX7" s="340">
        <f t="shared" ref="HX7:HX26" si="7">+(HP7*$HX$3)*I7</f>
        <v>0</v>
      </c>
      <c r="HY7" s="331">
        <f t="shared" ref="HY7:HY26" si="8">+(HQ7*$HY$3)*J7</f>
        <v>0</v>
      </c>
      <c r="HZ7" s="332">
        <f t="shared" ref="HZ7:HZ26" si="9">+HX7+HY7</f>
        <v>0</v>
      </c>
    </row>
    <row r="8" spans="1:16384" s="80" customFormat="1" ht="12.75">
      <c r="A8" s="83">
        <f t="shared" ref="A8:A71" si="10">+A7+1</f>
        <v>3</v>
      </c>
      <c r="B8" s="84"/>
      <c r="C8" s="84"/>
      <c r="D8" s="84"/>
      <c r="E8" s="84"/>
      <c r="F8" s="238" t="str">
        <f t="shared" si="3"/>
        <v>///</v>
      </c>
      <c r="G8" s="239">
        <f t="shared" ref="G8:G71" si="11">VLOOKUP($F8,$Q$101:$T$1500,3,0)</f>
        <v>0</v>
      </c>
      <c r="H8" s="240">
        <f t="shared" si="4"/>
        <v>0</v>
      </c>
      <c r="I8" s="378"/>
      <c r="J8" s="378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  <c r="AA8" s="241"/>
      <c r="AB8" s="241"/>
      <c r="AC8" s="241"/>
      <c r="AD8" s="241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  <c r="AX8" s="241"/>
      <c r="AY8" s="241"/>
      <c r="AZ8" s="241"/>
      <c r="BA8" s="241"/>
      <c r="BB8" s="241"/>
      <c r="BC8" s="241"/>
      <c r="BD8" s="241"/>
      <c r="BE8" s="241"/>
      <c r="BF8" s="241"/>
      <c r="BG8" s="241"/>
      <c r="BH8" s="241"/>
      <c r="BI8" s="241"/>
      <c r="BJ8" s="241"/>
      <c r="BK8" s="241"/>
      <c r="BL8" s="241"/>
      <c r="BM8" s="241"/>
      <c r="BN8" s="241"/>
      <c r="BO8" s="241"/>
      <c r="BP8" s="241"/>
      <c r="BQ8" s="241"/>
      <c r="BR8" s="241"/>
      <c r="BS8" s="241"/>
      <c r="BT8" s="241"/>
      <c r="BU8" s="241"/>
      <c r="BV8" s="241"/>
      <c r="BW8" s="241"/>
      <c r="BX8" s="241"/>
      <c r="BY8" s="241"/>
      <c r="BZ8" s="241"/>
      <c r="CA8" s="241"/>
      <c r="CB8" s="241"/>
      <c r="CC8" s="241"/>
      <c r="CD8" s="241"/>
      <c r="CE8" s="241"/>
      <c r="CF8" s="241"/>
      <c r="CG8" s="241"/>
      <c r="CH8" s="241"/>
      <c r="CI8" s="241"/>
      <c r="CJ8" s="241"/>
      <c r="CK8" s="241"/>
      <c r="CL8" s="241"/>
      <c r="CM8" s="241"/>
      <c r="CN8" s="241"/>
      <c r="CO8" s="241"/>
      <c r="CP8" s="241"/>
      <c r="CQ8" s="241"/>
      <c r="CR8" s="241"/>
      <c r="CS8" s="241"/>
      <c r="CT8" s="241"/>
      <c r="CU8" s="241"/>
      <c r="CV8" s="241"/>
      <c r="CW8" s="241"/>
      <c r="CX8" s="241"/>
      <c r="CY8" s="241"/>
      <c r="CZ8" s="241"/>
      <c r="DA8" s="241"/>
      <c r="DB8" s="241"/>
      <c r="DC8" s="241"/>
      <c r="DD8" s="241"/>
      <c r="DE8" s="241"/>
      <c r="DF8" s="241"/>
      <c r="DG8" s="241"/>
      <c r="DH8" s="241"/>
      <c r="DI8" s="241"/>
      <c r="DJ8" s="241"/>
      <c r="DK8" s="241"/>
      <c r="DL8" s="241"/>
      <c r="DM8" s="241"/>
      <c r="DN8" s="241"/>
      <c r="DO8" s="241"/>
      <c r="DP8" s="241"/>
      <c r="DQ8" s="241"/>
      <c r="DR8" s="241"/>
      <c r="DS8" s="241"/>
      <c r="DT8" s="241"/>
      <c r="DU8" s="241"/>
      <c r="DV8" s="241"/>
      <c r="DW8" s="241"/>
      <c r="DX8" s="241"/>
      <c r="DY8" s="241"/>
      <c r="DZ8" s="241"/>
      <c r="EA8" s="241"/>
      <c r="EB8" s="241"/>
      <c r="EC8" s="241"/>
      <c r="ED8" s="241"/>
      <c r="EE8" s="241"/>
      <c r="EF8" s="241"/>
      <c r="EG8" s="241"/>
      <c r="EH8" s="241"/>
      <c r="EI8" s="241"/>
      <c r="EJ8" s="241"/>
      <c r="EK8" s="241"/>
      <c r="EL8" s="241"/>
      <c r="EM8" s="241"/>
      <c r="EN8" s="241"/>
      <c r="EO8" s="241"/>
      <c r="EP8" s="241"/>
      <c r="EQ8" s="241"/>
      <c r="ER8" s="241"/>
      <c r="ES8" s="241"/>
      <c r="ET8" s="241"/>
      <c r="EU8" s="241"/>
      <c r="EV8" s="241"/>
      <c r="EW8" s="241"/>
      <c r="EX8" s="241"/>
      <c r="EY8" s="241"/>
      <c r="EZ8" s="241"/>
      <c r="FA8" s="241"/>
      <c r="FB8" s="241"/>
      <c r="FC8" s="241"/>
      <c r="FD8" s="241"/>
      <c r="FE8" s="241"/>
      <c r="FF8" s="241"/>
      <c r="FG8" s="241"/>
      <c r="FH8" s="241"/>
      <c r="FI8" s="241"/>
      <c r="FJ8" s="241"/>
      <c r="FK8" s="241"/>
      <c r="FL8" s="241"/>
      <c r="FM8" s="241"/>
      <c r="FN8" s="241"/>
      <c r="FO8" s="241"/>
      <c r="FP8" s="241"/>
      <c r="FQ8" s="241"/>
      <c r="FR8" s="241"/>
      <c r="FS8" s="241"/>
      <c r="FT8" s="241"/>
      <c r="FU8" s="241"/>
      <c r="FV8" s="241"/>
      <c r="FW8" s="241"/>
      <c r="FX8" s="241"/>
      <c r="FY8" s="241"/>
      <c r="FZ8" s="241"/>
      <c r="GA8" s="241"/>
      <c r="GB8" s="241"/>
      <c r="GC8" s="241"/>
      <c r="GD8" s="241"/>
      <c r="GE8" s="241"/>
      <c r="GF8" s="241"/>
      <c r="GG8" s="241"/>
      <c r="GH8" s="241"/>
      <c r="GI8" s="241"/>
      <c r="GJ8" s="241"/>
      <c r="GK8" s="241"/>
      <c r="GL8" s="241"/>
      <c r="GM8" s="242"/>
      <c r="GN8" s="242"/>
      <c r="GO8" s="242"/>
      <c r="GP8" s="241"/>
      <c r="GQ8" s="241"/>
      <c r="GR8" s="241"/>
      <c r="GS8" s="241"/>
      <c r="GT8" s="241"/>
      <c r="GU8" s="241"/>
      <c r="GV8" s="241"/>
      <c r="GW8" s="241"/>
      <c r="GX8" s="241"/>
      <c r="GY8" s="241"/>
      <c r="GZ8" s="241"/>
      <c r="HA8" s="241"/>
      <c r="HB8" s="241"/>
      <c r="HC8" s="241"/>
      <c r="HD8" s="241"/>
      <c r="HE8" s="241"/>
      <c r="HF8" s="241"/>
      <c r="HG8" s="241"/>
      <c r="HH8" s="241"/>
      <c r="HI8" s="241"/>
      <c r="HJ8" s="241"/>
      <c r="HK8" s="241"/>
      <c r="HL8" s="241"/>
      <c r="HM8" s="241"/>
      <c r="HN8" s="241"/>
      <c r="HO8" s="243"/>
      <c r="HP8" s="321">
        <f>+'Staffing-Roles'!DS116</f>
        <v>0</v>
      </c>
      <c r="HQ8" s="319">
        <f>+'Staffing-Roles'!DS143</f>
        <v>0</v>
      </c>
      <c r="HR8" s="318">
        <f t="shared" si="5"/>
        <v>0</v>
      </c>
      <c r="HS8" s="318">
        <f t="shared" si="6"/>
        <v>0</v>
      </c>
      <c r="HT8" s="331">
        <f t="shared" si="0"/>
        <v>0</v>
      </c>
      <c r="HU8" s="331">
        <f t="shared" si="1"/>
        <v>0</v>
      </c>
      <c r="HV8" s="332">
        <f t="shared" si="2"/>
        <v>0</v>
      </c>
      <c r="HX8" s="340">
        <f t="shared" si="7"/>
        <v>0</v>
      </c>
      <c r="HY8" s="331">
        <f t="shared" si="8"/>
        <v>0</v>
      </c>
      <c r="HZ8" s="332">
        <f t="shared" si="9"/>
        <v>0</v>
      </c>
    </row>
    <row r="9" spans="1:16384" s="80" customFormat="1" ht="12.75">
      <c r="A9" s="83">
        <f t="shared" si="10"/>
        <v>4</v>
      </c>
      <c r="B9" s="84"/>
      <c r="C9" s="84"/>
      <c r="D9" s="84"/>
      <c r="E9" s="84"/>
      <c r="F9" s="238" t="str">
        <f t="shared" si="3"/>
        <v>///</v>
      </c>
      <c r="G9" s="239">
        <f t="shared" si="11"/>
        <v>0</v>
      </c>
      <c r="H9" s="240">
        <f t="shared" si="4"/>
        <v>0</v>
      </c>
      <c r="I9" s="378"/>
      <c r="J9" s="378"/>
      <c r="K9" s="244" t="s">
        <v>341</v>
      </c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  <c r="AA9" s="241"/>
      <c r="AB9" s="241"/>
      <c r="AC9" s="241"/>
      <c r="AD9" s="241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  <c r="AX9" s="241"/>
      <c r="AY9" s="241"/>
      <c r="AZ9" s="241"/>
      <c r="BA9" s="241"/>
      <c r="BB9" s="241"/>
      <c r="BC9" s="241"/>
      <c r="BD9" s="241"/>
      <c r="BE9" s="241"/>
      <c r="BF9" s="241"/>
      <c r="BG9" s="241"/>
      <c r="BH9" s="241"/>
      <c r="BI9" s="241"/>
      <c r="BJ9" s="241"/>
      <c r="BK9" s="241"/>
      <c r="BL9" s="241"/>
      <c r="BM9" s="241"/>
      <c r="BN9" s="241"/>
      <c r="BO9" s="241"/>
      <c r="BP9" s="241"/>
      <c r="BQ9" s="241"/>
      <c r="BR9" s="241"/>
      <c r="BS9" s="241"/>
      <c r="BT9" s="241"/>
      <c r="BU9" s="241"/>
      <c r="BV9" s="241"/>
      <c r="BW9" s="241"/>
      <c r="BX9" s="241"/>
      <c r="BY9" s="241"/>
      <c r="BZ9" s="241"/>
      <c r="CA9" s="241"/>
      <c r="CB9" s="241"/>
      <c r="CC9" s="241"/>
      <c r="CD9" s="241"/>
      <c r="CE9" s="241"/>
      <c r="CF9" s="241"/>
      <c r="CG9" s="241"/>
      <c r="CH9" s="241"/>
      <c r="CI9" s="241"/>
      <c r="CJ9" s="241"/>
      <c r="CK9" s="241"/>
      <c r="CL9" s="241"/>
      <c r="CM9" s="241"/>
      <c r="CN9" s="241"/>
      <c r="CO9" s="241"/>
      <c r="CP9" s="241"/>
      <c r="CQ9" s="241"/>
      <c r="CR9" s="241"/>
      <c r="CS9" s="241"/>
      <c r="CT9" s="241"/>
      <c r="CU9" s="241"/>
      <c r="CV9" s="241"/>
      <c r="CW9" s="241"/>
      <c r="CX9" s="241"/>
      <c r="CY9" s="241"/>
      <c r="CZ9" s="241"/>
      <c r="DA9" s="241"/>
      <c r="DB9" s="241"/>
      <c r="DC9" s="241"/>
      <c r="DD9" s="241"/>
      <c r="DE9" s="241"/>
      <c r="DF9" s="241"/>
      <c r="DG9" s="241"/>
      <c r="DH9" s="241"/>
      <c r="DI9" s="241"/>
      <c r="DJ9" s="241"/>
      <c r="DK9" s="241"/>
      <c r="DL9" s="241"/>
      <c r="DM9" s="241"/>
      <c r="DN9" s="241"/>
      <c r="DO9" s="241"/>
      <c r="DP9" s="241"/>
      <c r="DQ9" s="241"/>
      <c r="DR9" s="241"/>
      <c r="DS9" s="241"/>
      <c r="DT9" s="241"/>
      <c r="DU9" s="241"/>
      <c r="DV9" s="241"/>
      <c r="DW9" s="241"/>
      <c r="DX9" s="241"/>
      <c r="DY9" s="241"/>
      <c r="DZ9" s="241"/>
      <c r="EA9" s="241"/>
      <c r="EB9" s="241"/>
      <c r="EC9" s="241"/>
      <c r="ED9" s="241"/>
      <c r="EE9" s="241"/>
      <c r="EF9" s="241"/>
      <c r="EG9" s="241"/>
      <c r="EH9" s="241"/>
      <c r="EI9" s="241"/>
      <c r="EJ9" s="241"/>
      <c r="EK9" s="241"/>
      <c r="EL9" s="241"/>
      <c r="EM9" s="241"/>
      <c r="EN9" s="241"/>
      <c r="EO9" s="241"/>
      <c r="EP9" s="241"/>
      <c r="EQ9" s="241"/>
      <c r="ER9" s="241"/>
      <c r="ES9" s="241"/>
      <c r="ET9" s="241"/>
      <c r="EU9" s="241"/>
      <c r="EV9" s="241"/>
      <c r="EW9" s="241"/>
      <c r="EX9" s="241"/>
      <c r="EY9" s="241"/>
      <c r="EZ9" s="241"/>
      <c r="FA9" s="241"/>
      <c r="FB9" s="241"/>
      <c r="FC9" s="241"/>
      <c r="FD9" s="241"/>
      <c r="FE9" s="241"/>
      <c r="FF9" s="241"/>
      <c r="FG9" s="241"/>
      <c r="FH9" s="241"/>
      <c r="FI9" s="241"/>
      <c r="FJ9" s="241"/>
      <c r="FK9" s="241"/>
      <c r="FL9" s="241"/>
      <c r="FM9" s="241"/>
      <c r="FN9" s="241"/>
      <c r="FO9" s="241"/>
      <c r="FP9" s="241"/>
      <c r="FQ9" s="241"/>
      <c r="FR9" s="241"/>
      <c r="FS9" s="241"/>
      <c r="FT9" s="241"/>
      <c r="FU9" s="241"/>
      <c r="FV9" s="241"/>
      <c r="FW9" s="241"/>
      <c r="FX9" s="241"/>
      <c r="FY9" s="241"/>
      <c r="FZ9" s="241"/>
      <c r="GA9" s="241"/>
      <c r="GB9" s="241"/>
      <c r="GC9" s="241"/>
      <c r="GD9" s="241"/>
      <c r="GE9" s="241"/>
      <c r="GF9" s="241"/>
      <c r="GG9" s="241"/>
      <c r="GH9" s="241"/>
      <c r="GI9" s="241"/>
      <c r="GJ9" s="241"/>
      <c r="GK9" s="241"/>
      <c r="GL9" s="241"/>
      <c r="GM9" s="241"/>
      <c r="GN9" s="241"/>
      <c r="GO9" s="241"/>
      <c r="GP9" s="241"/>
      <c r="GQ9" s="241"/>
      <c r="GR9" s="241"/>
      <c r="GS9" s="241"/>
      <c r="GT9" s="241"/>
      <c r="GU9" s="241"/>
      <c r="GV9" s="241"/>
      <c r="GW9" s="241"/>
      <c r="GX9" s="241"/>
      <c r="GY9" s="241"/>
      <c r="GZ9" s="241"/>
      <c r="HA9" s="241"/>
      <c r="HB9" s="241"/>
      <c r="HC9" s="241"/>
      <c r="HD9" s="241"/>
      <c r="HE9" s="241"/>
      <c r="HF9" s="241"/>
      <c r="HG9" s="241"/>
      <c r="HH9" s="241"/>
      <c r="HI9" s="241"/>
      <c r="HJ9" s="241"/>
      <c r="HK9" s="241"/>
      <c r="HL9" s="241"/>
      <c r="HM9" s="241"/>
      <c r="HN9" s="241"/>
      <c r="HO9" s="243"/>
      <c r="HP9" s="321">
        <f>+'Staffing-Roles'!DS117</f>
        <v>0</v>
      </c>
      <c r="HQ9" s="319">
        <f>+'Staffing-Roles'!DS144</f>
        <v>0</v>
      </c>
      <c r="HR9" s="318">
        <f t="shared" si="5"/>
        <v>0</v>
      </c>
      <c r="HS9" s="318">
        <f t="shared" si="6"/>
        <v>0</v>
      </c>
      <c r="HT9" s="331">
        <f t="shared" si="0"/>
        <v>0</v>
      </c>
      <c r="HU9" s="331">
        <f t="shared" si="1"/>
        <v>0</v>
      </c>
      <c r="HV9" s="332">
        <f t="shared" si="2"/>
        <v>0</v>
      </c>
      <c r="HX9" s="340">
        <f t="shared" si="7"/>
        <v>0</v>
      </c>
      <c r="HY9" s="331">
        <f t="shared" si="8"/>
        <v>0</v>
      </c>
      <c r="HZ9" s="332">
        <f t="shared" si="9"/>
        <v>0</v>
      </c>
    </row>
    <row r="10" spans="1:16384" s="80" customFormat="1" ht="12.75">
      <c r="A10" s="83">
        <f t="shared" si="10"/>
        <v>5</v>
      </c>
      <c r="B10" s="84"/>
      <c r="C10" s="84"/>
      <c r="D10" s="84"/>
      <c r="E10" s="84"/>
      <c r="F10" s="238" t="str">
        <f t="shared" si="3"/>
        <v>///</v>
      </c>
      <c r="G10" s="239">
        <f t="shared" si="11"/>
        <v>0</v>
      </c>
      <c r="H10" s="240">
        <f t="shared" si="4"/>
        <v>0</v>
      </c>
      <c r="I10" s="378"/>
      <c r="J10" s="378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/>
      <c r="CF10" s="241"/>
      <c r="CG10" s="241"/>
      <c r="CH10" s="241"/>
      <c r="CI10" s="241"/>
      <c r="CJ10" s="241"/>
      <c r="CK10" s="241"/>
      <c r="CL10" s="241"/>
      <c r="CM10" s="241"/>
      <c r="CN10" s="241"/>
      <c r="CO10" s="241"/>
      <c r="CP10" s="241"/>
      <c r="CQ10" s="241"/>
      <c r="CR10" s="241"/>
      <c r="CS10" s="241"/>
      <c r="CT10" s="241"/>
      <c r="CU10" s="241"/>
      <c r="CV10" s="241"/>
      <c r="CW10" s="241"/>
      <c r="CX10" s="241"/>
      <c r="CY10" s="241"/>
      <c r="CZ10" s="241"/>
      <c r="DA10" s="241"/>
      <c r="DB10" s="241"/>
      <c r="DC10" s="241"/>
      <c r="DD10" s="241"/>
      <c r="DE10" s="241"/>
      <c r="DF10" s="241"/>
      <c r="DG10" s="241"/>
      <c r="DH10" s="241"/>
      <c r="DI10" s="241"/>
      <c r="DJ10" s="241"/>
      <c r="DK10" s="241"/>
      <c r="DL10" s="241"/>
      <c r="DM10" s="241"/>
      <c r="DN10" s="241"/>
      <c r="DO10" s="241"/>
      <c r="DP10" s="241"/>
      <c r="DQ10" s="241"/>
      <c r="DR10" s="241"/>
      <c r="DS10" s="241"/>
      <c r="DT10" s="241"/>
      <c r="DU10" s="241"/>
      <c r="DV10" s="241"/>
      <c r="DW10" s="241"/>
      <c r="DX10" s="241"/>
      <c r="DY10" s="241"/>
      <c r="DZ10" s="241"/>
      <c r="EA10" s="241"/>
      <c r="EB10" s="241"/>
      <c r="EC10" s="241"/>
      <c r="ED10" s="241"/>
      <c r="EE10" s="241"/>
      <c r="EF10" s="241"/>
      <c r="EG10" s="241"/>
      <c r="EH10" s="241"/>
      <c r="EI10" s="241"/>
      <c r="EJ10" s="241"/>
      <c r="EK10" s="241"/>
      <c r="EL10" s="241"/>
      <c r="EM10" s="241"/>
      <c r="EN10" s="241"/>
      <c r="EO10" s="241"/>
      <c r="EP10" s="241"/>
      <c r="EQ10" s="241"/>
      <c r="ER10" s="241"/>
      <c r="ES10" s="241"/>
      <c r="ET10" s="241"/>
      <c r="EU10" s="241"/>
      <c r="EV10" s="241"/>
      <c r="EW10" s="241"/>
      <c r="EX10" s="241"/>
      <c r="EY10" s="241"/>
      <c r="EZ10" s="241"/>
      <c r="FA10" s="241"/>
      <c r="FB10" s="241"/>
      <c r="FC10" s="241"/>
      <c r="FD10" s="241"/>
      <c r="FE10" s="241"/>
      <c r="FF10" s="241"/>
      <c r="FG10" s="241"/>
      <c r="FH10" s="241"/>
      <c r="FI10" s="241"/>
      <c r="FJ10" s="241"/>
      <c r="FK10" s="241"/>
      <c r="FL10" s="241"/>
      <c r="FM10" s="241"/>
      <c r="FN10" s="241"/>
      <c r="FO10" s="241"/>
      <c r="FP10" s="241"/>
      <c r="FQ10" s="241"/>
      <c r="FR10" s="241"/>
      <c r="FS10" s="241"/>
      <c r="FT10" s="241"/>
      <c r="FU10" s="241"/>
      <c r="FV10" s="241"/>
      <c r="FW10" s="241"/>
      <c r="FX10" s="241"/>
      <c r="FY10" s="241"/>
      <c r="FZ10" s="241"/>
      <c r="GA10" s="241"/>
      <c r="GB10" s="241"/>
      <c r="GC10" s="241"/>
      <c r="GD10" s="241"/>
      <c r="GE10" s="241"/>
      <c r="GF10" s="241"/>
      <c r="GG10" s="241"/>
      <c r="GH10" s="241"/>
      <c r="GI10" s="241"/>
      <c r="GJ10" s="241"/>
      <c r="GK10" s="241"/>
      <c r="GL10" s="241"/>
      <c r="GM10" s="241"/>
      <c r="GN10" s="241"/>
      <c r="GO10" s="241"/>
      <c r="GP10" s="241"/>
      <c r="GQ10" s="241"/>
      <c r="GR10" s="241"/>
      <c r="GS10" s="241"/>
      <c r="GT10" s="241"/>
      <c r="GU10" s="241"/>
      <c r="GV10" s="241"/>
      <c r="GW10" s="241"/>
      <c r="GX10" s="241"/>
      <c r="GY10" s="241"/>
      <c r="GZ10" s="241"/>
      <c r="HA10" s="241"/>
      <c r="HB10" s="241"/>
      <c r="HC10" s="241"/>
      <c r="HD10" s="241"/>
      <c r="HE10" s="241"/>
      <c r="HF10" s="241"/>
      <c r="HG10" s="241"/>
      <c r="HH10" s="241"/>
      <c r="HI10" s="241"/>
      <c r="HJ10" s="241"/>
      <c r="HK10" s="241"/>
      <c r="HL10" s="241"/>
      <c r="HM10" s="241"/>
      <c r="HN10" s="241"/>
      <c r="HO10" s="243"/>
      <c r="HP10" s="321">
        <f>+'Staffing-Roles'!DS118</f>
        <v>0</v>
      </c>
      <c r="HQ10" s="319">
        <f>+'Staffing-Roles'!DS145</f>
        <v>0</v>
      </c>
      <c r="HR10" s="318">
        <f t="shared" si="5"/>
        <v>0</v>
      </c>
      <c r="HS10" s="318">
        <f t="shared" si="6"/>
        <v>0</v>
      </c>
      <c r="HT10" s="331">
        <f t="shared" si="0"/>
        <v>0</v>
      </c>
      <c r="HU10" s="331">
        <f t="shared" si="1"/>
        <v>0</v>
      </c>
      <c r="HV10" s="332">
        <f t="shared" si="2"/>
        <v>0</v>
      </c>
      <c r="HX10" s="340">
        <f t="shared" si="7"/>
        <v>0</v>
      </c>
      <c r="HY10" s="331">
        <f t="shared" si="8"/>
        <v>0</v>
      </c>
      <c r="HZ10" s="332">
        <f t="shared" si="9"/>
        <v>0</v>
      </c>
    </row>
    <row r="11" spans="1:16384" s="78" customFormat="1" ht="15.75" customHeight="1">
      <c r="A11" s="83">
        <f t="shared" si="10"/>
        <v>6</v>
      </c>
      <c r="B11" s="84"/>
      <c r="C11" s="84"/>
      <c r="D11" s="84"/>
      <c r="E11" s="84"/>
      <c r="F11" s="238" t="str">
        <f t="shared" si="3"/>
        <v>///</v>
      </c>
      <c r="G11" s="239">
        <f t="shared" si="11"/>
        <v>0</v>
      </c>
      <c r="H11" s="240">
        <f t="shared" si="4"/>
        <v>0</v>
      </c>
      <c r="I11" s="378"/>
      <c r="J11" s="378"/>
      <c r="K11" s="245" t="s">
        <v>75</v>
      </c>
      <c r="L11" s="246" t="s">
        <v>81</v>
      </c>
      <c r="M11" s="246" t="s">
        <v>82</v>
      </c>
      <c r="N11" s="246" t="s">
        <v>194</v>
      </c>
      <c r="O11" s="246" t="s">
        <v>88</v>
      </c>
      <c r="P11" s="246" t="s">
        <v>83</v>
      </c>
      <c r="Q11" s="246" t="s">
        <v>92</v>
      </c>
      <c r="R11" s="246" t="s">
        <v>195</v>
      </c>
      <c r="S11" s="246" t="s">
        <v>192</v>
      </c>
      <c r="T11" s="246" t="s">
        <v>87</v>
      </c>
      <c r="U11" s="246" t="s">
        <v>146</v>
      </c>
      <c r="V11" s="246" t="s">
        <v>196</v>
      </c>
      <c r="W11" s="246" t="s">
        <v>197</v>
      </c>
      <c r="X11" s="246" t="s">
        <v>198</v>
      </c>
      <c r="Y11" s="246" t="s">
        <v>199</v>
      </c>
      <c r="Z11" s="246" t="s">
        <v>200</v>
      </c>
      <c r="AA11" s="246" t="s">
        <v>201</v>
      </c>
      <c r="AB11" s="246" t="s">
        <v>78</v>
      </c>
      <c r="AC11" s="246" t="s">
        <v>202</v>
      </c>
      <c r="AD11" s="246" t="s">
        <v>203</v>
      </c>
      <c r="AE11" s="246" t="s">
        <v>204</v>
      </c>
      <c r="AF11" s="246" t="s">
        <v>205</v>
      </c>
      <c r="AG11" s="246" t="s">
        <v>206</v>
      </c>
      <c r="AH11" s="246" t="s">
        <v>207</v>
      </c>
      <c r="AI11" s="246" t="s">
        <v>107</v>
      </c>
      <c r="AJ11" s="246" t="s">
        <v>208</v>
      </c>
      <c r="AK11" s="246" t="s">
        <v>154</v>
      </c>
      <c r="AL11" s="246" t="s">
        <v>209</v>
      </c>
      <c r="AM11" s="246" t="s">
        <v>210</v>
      </c>
      <c r="AN11" s="246" t="s">
        <v>155</v>
      </c>
      <c r="AO11" s="246" t="s">
        <v>211</v>
      </c>
      <c r="AP11" s="246" t="s">
        <v>156</v>
      </c>
      <c r="AQ11" s="246" t="s">
        <v>212</v>
      </c>
      <c r="AR11" s="246" t="s">
        <v>115</v>
      </c>
      <c r="AS11" s="246" t="s">
        <v>213</v>
      </c>
      <c r="AT11" s="246" t="s">
        <v>116</v>
      </c>
      <c r="AU11" s="246" t="s">
        <v>214</v>
      </c>
      <c r="AV11" s="246" t="s">
        <v>158</v>
      </c>
      <c r="AW11" s="246" t="s">
        <v>215</v>
      </c>
      <c r="AX11" s="246" t="s">
        <v>216</v>
      </c>
      <c r="AY11" s="246" t="s">
        <v>217</v>
      </c>
      <c r="AZ11" s="246" t="s">
        <v>218</v>
      </c>
      <c r="BA11" s="246" t="s">
        <v>219</v>
      </c>
      <c r="BB11" s="246" t="s">
        <v>742</v>
      </c>
      <c r="BC11" s="246" t="s">
        <v>220</v>
      </c>
      <c r="BD11" s="246" t="s">
        <v>221</v>
      </c>
      <c r="BE11" s="246" t="s">
        <v>101</v>
      </c>
      <c r="BF11" s="246" t="s">
        <v>222</v>
      </c>
      <c r="BG11" s="246" t="s">
        <v>223</v>
      </c>
      <c r="BH11" s="246" t="s">
        <v>224</v>
      </c>
      <c r="BI11" s="246" t="s">
        <v>225</v>
      </c>
      <c r="BJ11" s="246" t="s">
        <v>126</v>
      </c>
      <c r="BK11" s="246" t="s">
        <v>226</v>
      </c>
      <c r="BL11" s="246" t="s">
        <v>342</v>
      </c>
      <c r="BM11" s="246" t="s">
        <v>227</v>
      </c>
      <c r="BN11" s="246" t="s">
        <v>743</v>
      </c>
      <c r="BO11" s="246" t="s">
        <v>121</v>
      </c>
      <c r="BP11" s="246" t="s">
        <v>162</v>
      </c>
      <c r="BQ11" s="246" t="s">
        <v>97</v>
      </c>
      <c r="BR11" s="246" t="s">
        <v>98</v>
      </c>
      <c r="BS11" s="246" t="s">
        <v>228</v>
      </c>
      <c r="BT11" s="246" t="s">
        <v>99</v>
      </c>
      <c r="BU11" s="246" t="s">
        <v>229</v>
      </c>
      <c r="BV11" s="246" t="s">
        <v>230</v>
      </c>
      <c r="BW11" s="246" t="s">
        <v>231</v>
      </c>
      <c r="BX11" s="246" t="s">
        <v>232</v>
      </c>
      <c r="BY11" s="246" t="s">
        <v>72</v>
      </c>
      <c r="BZ11" s="246" t="s">
        <v>750</v>
      </c>
      <c r="CA11" s="246" t="s">
        <v>233</v>
      </c>
      <c r="CB11" s="246" t="s">
        <v>163</v>
      </c>
      <c r="CC11" s="246" t="s">
        <v>343</v>
      </c>
      <c r="CD11" s="246" t="s">
        <v>234</v>
      </c>
      <c r="CE11" s="246" t="s">
        <v>235</v>
      </c>
      <c r="CF11" s="246" t="s">
        <v>236</v>
      </c>
      <c r="CG11" s="246" t="s">
        <v>237</v>
      </c>
      <c r="CH11" s="246" t="s">
        <v>125</v>
      </c>
      <c r="CI11" s="246" t="s">
        <v>238</v>
      </c>
      <c r="CJ11" s="246" t="s">
        <v>109</v>
      </c>
      <c r="CK11" s="246" t="s">
        <v>239</v>
      </c>
      <c r="CL11" s="246" t="s">
        <v>240</v>
      </c>
      <c r="CM11" s="246" t="s">
        <v>241</v>
      </c>
      <c r="CN11" s="246" t="s">
        <v>167</v>
      </c>
      <c r="CO11" s="246" t="s">
        <v>25</v>
      </c>
      <c r="CP11" s="246" t="s">
        <v>242</v>
      </c>
      <c r="CQ11" s="246" t="s">
        <v>130</v>
      </c>
      <c r="CR11" s="246" t="s">
        <v>243</v>
      </c>
      <c r="CS11" s="246" t="s">
        <v>122</v>
      </c>
      <c r="CT11" s="246" t="s">
        <v>244</v>
      </c>
      <c r="CU11" s="246" t="s">
        <v>168</v>
      </c>
      <c r="CV11" s="246" t="s">
        <v>245</v>
      </c>
      <c r="CW11" s="246" t="s">
        <v>246</v>
      </c>
      <c r="CX11" s="246" t="s">
        <v>247</v>
      </c>
      <c r="CY11" s="246" t="s">
        <v>248</v>
      </c>
      <c r="CZ11" s="246" t="s">
        <v>127</v>
      </c>
      <c r="DA11" s="246" t="s">
        <v>249</v>
      </c>
      <c r="DB11" s="246" t="s">
        <v>169</v>
      </c>
      <c r="DC11" s="246" t="s">
        <v>250</v>
      </c>
      <c r="DD11" s="246" t="s">
        <v>251</v>
      </c>
      <c r="DE11" s="246" t="s">
        <v>252</v>
      </c>
      <c r="DF11" s="246" t="s">
        <v>253</v>
      </c>
      <c r="DG11" s="246" t="s">
        <v>254</v>
      </c>
      <c r="DH11" s="246" t="s">
        <v>183</v>
      </c>
      <c r="DI11" s="246" t="s">
        <v>191</v>
      </c>
      <c r="DJ11" s="246" t="s">
        <v>255</v>
      </c>
      <c r="DK11" s="246" t="s">
        <v>256</v>
      </c>
      <c r="DL11" s="246" t="s">
        <v>257</v>
      </c>
      <c r="DM11" s="246" t="s">
        <v>79</v>
      </c>
      <c r="DN11" s="246" t="s">
        <v>744</v>
      </c>
      <c r="DO11" s="246" t="s">
        <v>258</v>
      </c>
      <c r="DP11" s="246" t="s">
        <v>745</v>
      </c>
      <c r="DQ11" s="246" t="s">
        <v>259</v>
      </c>
      <c r="DR11" s="246" t="s">
        <v>746</v>
      </c>
      <c r="DS11" s="246" t="s">
        <v>260</v>
      </c>
      <c r="DT11" s="246" t="s">
        <v>747</v>
      </c>
      <c r="DU11" s="246" t="s">
        <v>748</v>
      </c>
      <c r="DV11" s="246" t="s">
        <v>30</v>
      </c>
      <c r="DW11" s="246" t="s">
        <v>85</v>
      </c>
      <c r="DX11" s="246" t="s">
        <v>261</v>
      </c>
      <c r="DY11" s="246" t="s">
        <v>93</v>
      </c>
      <c r="DZ11" s="246" t="s">
        <v>262</v>
      </c>
      <c r="EA11" s="246" t="s">
        <v>263</v>
      </c>
      <c r="EB11" s="246" t="s">
        <v>264</v>
      </c>
      <c r="EC11" s="246" t="s">
        <v>265</v>
      </c>
      <c r="ED11" s="246" t="s">
        <v>266</v>
      </c>
      <c r="EE11" s="246" t="s">
        <v>267</v>
      </c>
      <c r="EF11" s="246" t="s">
        <v>268</v>
      </c>
      <c r="EG11" s="246" t="s">
        <v>269</v>
      </c>
      <c r="EH11" s="246" t="s">
        <v>270</v>
      </c>
      <c r="EI11" s="246" t="s">
        <v>271</v>
      </c>
      <c r="EJ11" s="246" t="s">
        <v>272</v>
      </c>
      <c r="EK11" s="246" t="s">
        <v>273</v>
      </c>
      <c r="EL11" s="246" t="s">
        <v>274</v>
      </c>
      <c r="EM11" s="246" t="s">
        <v>275</v>
      </c>
      <c r="EN11" s="246" t="s">
        <v>118</v>
      </c>
      <c r="EO11" s="246" t="s">
        <v>276</v>
      </c>
      <c r="EP11" s="246" t="s">
        <v>277</v>
      </c>
      <c r="EQ11" s="246" t="s">
        <v>278</v>
      </c>
      <c r="ER11" s="246" t="s">
        <v>279</v>
      </c>
      <c r="ES11" s="246" t="s">
        <v>280</v>
      </c>
      <c r="ET11" s="246" t="s">
        <v>281</v>
      </c>
      <c r="EU11" s="246" t="s">
        <v>282</v>
      </c>
      <c r="EV11" s="246" t="s">
        <v>283</v>
      </c>
      <c r="EW11" s="246" t="s">
        <v>284</v>
      </c>
      <c r="EX11" s="246" t="s">
        <v>285</v>
      </c>
      <c r="EY11" s="246" t="s">
        <v>286</v>
      </c>
      <c r="EZ11" s="246" t="s">
        <v>287</v>
      </c>
      <c r="FA11" s="246" t="s">
        <v>288</v>
      </c>
      <c r="FB11" s="246" t="s">
        <v>289</v>
      </c>
      <c r="FC11" s="246" t="s">
        <v>290</v>
      </c>
      <c r="FD11" s="246" t="s">
        <v>291</v>
      </c>
      <c r="FE11" s="246" t="s">
        <v>129</v>
      </c>
      <c r="FF11" s="246" t="s">
        <v>292</v>
      </c>
      <c r="FG11" s="246" t="s">
        <v>293</v>
      </c>
      <c r="FH11" s="246" t="s">
        <v>294</v>
      </c>
      <c r="FI11" s="246" t="s">
        <v>295</v>
      </c>
      <c r="FJ11" s="246" t="s">
        <v>296</v>
      </c>
      <c r="FK11" s="246" t="s">
        <v>131</v>
      </c>
      <c r="FL11" s="246" t="s">
        <v>297</v>
      </c>
      <c r="FM11" s="246" t="s">
        <v>298</v>
      </c>
      <c r="FN11" s="246" t="s">
        <v>299</v>
      </c>
      <c r="FO11" s="246" t="s">
        <v>300</v>
      </c>
      <c r="FP11" s="246" t="s">
        <v>344</v>
      </c>
      <c r="FQ11" s="246" t="s">
        <v>133</v>
      </c>
      <c r="FR11" s="246" t="s">
        <v>301</v>
      </c>
      <c r="FS11" s="246" t="s">
        <v>80</v>
      </c>
      <c r="FT11" s="246" t="s">
        <v>89</v>
      </c>
      <c r="FU11" s="246" t="s">
        <v>302</v>
      </c>
      <c r="FV11" s="246" t="s">
        <v>303</v>
      </c>
      <c r="FW11" s="246" t="s">
        <v>105</v>
      </c>
      <c r="FX11" s="246" t="s">
        <v>304</v>
      </c>
      <c r="FY11" s="246" t="s">
        <v>305</v>
      </c>
      <c r="FZ11" s="246" t="s">
        <v>306</v>
      </c>
      <c r="GA11" s="246" t="s">
        <v>307</v>
      </c>
      <c r="GB11" s="246" t="s">
        <v>308</v>
      </c>
      <c r="GC11" s="246" t="s">
        <v>309</v>
      </c>
      <c r="GD11" s="246" t="s">
        <v>310</v>
      </c>
      <c r="GE11" s="246" t="s">
        <v>311</v>
      </c>
      <c r="GF11" s="246" t="s">
        <v>312</v>
      </c>
      <c r="GG11" s="246" t="s">
        <v>313</v>
      </c>
      <c r="GH11" s="246" t="s">
        <v>314</v>
      </c>
      <c r="GI11" s="246" t="s">
        <v>315</v>
      </c>
      <c r="GJ11" s="246" t="s">
        <v>316</v>
      </c>
      <c r="GK11" s="246" t="s">
        <v>317</v>
      </c>
      <c r="GL11" s="246" t="s">
        <v>318</v>
      </c>
      <c r="GM11" s="246" t="s">
        <v>741</v>
      </c>
      <c r="GN11" s="246" t="s">
        <v>708</v>
      </c>
      <c r="GO11" s="246" t="s">
        <v>709</v>
      </c>
      <c r="GP11" s="246" t="s">
        <v>714</v>
      </c>
      <c r="GQ11" s="246" t="s">
        <v>715</v>
      </c>
      <c r="GR11" s="246" t="s">
        <v>716</v>
      </c>
      <c r="GS11" s="246" t="s">
        <v>717</v>
      </c>
      <c r="GT11" s="247" t="s">
        <v>741</v>
      </c>
      <c r="GU11" s="247" t="s">
        <v>710</v>
      </c>
      <c r="GV11" s="246" t="s">
        <v>711</v>
      </c>
      <c r="GW11" s="246" t="s">
        <v>718</v>
      </c>
      <c r="GX11" s="246" t="s">
        <v>719</v>
      </c>
      <c r="GY11" s="246" t="s">
        <v>720</v>
      </c>
      <c r="GZ11" s="246" t="s">
        <v>721</v>
      </c>
      <c r="HA11" s="247" t="s">
        <v>712</v>
      </c>
      <c r="HB11" s="246" t="s">
        <v>713</v>
      </c>
      <c r="HC11" s="246" t="s">
        <v>749</v>
      </c>
      <c r="HD11" s="246" t="s">
        <v>754</v>
      </c>
      <c r="HE11" s="246" t="s">
        <v>349</v>
      </c>
      <c r="HF11" s="246" t="s">
        <v>128</v>
      </c>
      <c r="HG11" s="246" t="s">
        <v>812</v>
      </c>
      <c r="HH11" s="247" t="s">
        <v>813</v>
      </c>
      <c r="HI11" s="247" t="s">
        <v>815</v>
      </c>
      <c r="HJ11" s="247" t="s">
        <v>816</v>
      </c>
      <c r="HK11" s="247" t="s">
        <v>817</v>
      </c>
      <c r="HL11" s="242" t="s">
        <v>818</v>
      </c>
      <c r="HM11" s="242" t="s">
        <v>814</v>
      </c>
      <c r="HN11" s="246"/>
      <c r="HO11" s="243"/>
      <c r="HP11" s="321">
        <f>+'Staffing-Roles'!DS119</f>
        <v>0</v>
      </c>
      <c r="HQ11" s="319">
        <f>+'Staffing-Roles'!DS146</f>
        <v>0</v>
      </c>
      <c r="HR11" s="318">
        <f t="shared" si="5"/>
        <v>0</v>
      </c>
      <c r="HS11" s="318">
        <f t="shared" si="6"/>
        <v>0</v>
      </c>
      <c r="HT11" s="331">
        <f t="shared" si="0"/>
        <v>0</v>
      </c>
      <c r="HU11" s="331">
        <f t="shared" si="1"/>
        <v>0</v>
      </c>
      <c r="HV11" s="332">
        <f t="shared" si="2"/>
        <v>0</v>
      </c>
      <c r="HX11" s="340">
        <f t="shared" si="7"/>
        <v>0</v>
      </c>
      <c r="HY11" s="331">
        <f t="shared" si="8"/>
        <v>0</v>
      </c>
      <c r="HZ11" s="332">
        <f t="shared" si="9"/>
        <v>0</v>
      </c>
    </row>
    <row r="12" spans="1:16384" s="80" customFormat="1" ht="15.75" customHeight="1">
      <c r="A12" s="83">
        <f t="shared" si="10"/>
        <v>7</v>
      </c>
      <c r="B12" s="84"/>
      <c r="C12" s="84"/>
      <c r="D12" s="84"/>
      <c r="E12" s="84"/>
      <c r="F12" s="238" t="str">
        <f t="shared" si="3"/>
        <v>///</v>
      </c>
      <c r="G12" s="239">
        <f t="shared" si="11"/>
        <v>0</v>
      </c>
      <c r="H12" s="240">
        <f t="shared" si="4"/>
        <v>0</v>
      </c>
      <c r="I12" s="378"/>
      <c r="J12" s="378"/>
      <c r="K12" s="248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47"/>
      <c r="BE12" s="247"/>
      <c r="BF12" s="247"/>
      <c r="BG12" s="247"/>
      <c r="BH12" s="247"/>
      <c r="BI12" s="247"/>
      <c r="BJ12" s="247"/>
      <c r="BK12" s="247"/>
      <c r="BL12" s="247"/>
      <c r="BM12" s="247"/>
      <c r="BN12" s="247"/>
      <c r="BO12" s="247"/>
      <c r="BP12" s="247"/>
      <c r="BQ12" s="247" t="s">
        <v>99</v>
      </c>
      <c r="BR12" s="247"/>
      <c r="BS12" s="247"/>
      <c r="BT12" s="247"/>
      <c r="BU12" s="247"/>
      <c r="BV12" s="247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47"/>
      <c r="CQ12" s="247"/>
      <c r="CR12" s="247"/>
      <c r="CS12" s="247"/>
      <c r="CT12" s="247"/>
      <c r="CU12" s="247"/>
      <c r="CV12" s="247"/>
      <c r="CW12" s="247"/>
      <c r="CX12" s="247"/>
      <c r="CY12" s="247"/>
      <c r="CZ12" s="247"/>
      <c r="DA12" s="247"/>
      <c r="DB12" s="247"/>
      <c r="DC12" s="247"/>
      <c r="DD12" s="247"/>
      <c r="DE12" s="247"/>
      <c r="DF12" s="247"/>
      <c r="DG12" s="247"/>
      <c r="DH12" s="247"/>
      <c r="DI12" s="247"/>
      <c r="DJ12" s="247"/>
      <c r="DK12" s="247"/>
      <c r="DL12" s="247"/>
      <c r="DM12" s="247"/>
      <c r="DN12" s="247"/>
      <c r="DO12" s="247"/>
      <c r="DP12" s="247"/>
      <c r="DQ12" s="247"/>
      <c r="DR12" s="247"/>
      <c r="DS12" s="247"/>
      <c r="DT12" s="247"/>
      <c r="DU12" s="247"/>
      <c r="DV12" s="247"/>
      <c r="DW12" s="247"/>
      <c r="DX12" s="247"/>
      <c r="DY12" s="247"/>
      <c r="DZ12" s="247"/>
      <c r="EA12" s="247"/>
      <c r="EB12" s="247"/>
      <c r="EC12" s="247"/>
      <c r="ED12" s="247"/>
      <c r="EE12" s="247"/>
      <c r="EF12" s="247"/>
      <c r="EG12" s="247"/>
      <c r="EH12" s="247"/>
      <c r="EI12" s="247"/>
      <c r="EJ12" s="247"/>
      <c r="EK12" s="247"/>
      <c r="EL12" s="247"/>
      <c r="EM12" s="247"/>
      <c r="EN12" s="247"/>
      <c r="EO12" s="247"/>
      <c r="EP12" s="247"/>
      <c r="EQ12" s="247"/>
      <c r="ER12" s="247"/>
      <c r="ES12" s="247"/>
      <c r="ET12" s="247"/>
      <c r="EU12" s="247"/>
      <c r="EV12" s="247"/>
      <c r="EW12" s="247"/>
      <c r="EX12" s="247"/>
      <c r="EY12" s="247"/>
      <c r="EZ12" s="247"/>
      <c r="FA12" s="247"/>
      <c r="FB12" s="247"/>
      <c r="FC12" s="247"/>
      <c r="FD12" s="247"/>
      <c r="FE12" s="247"/>
      <c r="FF12" s="247"/>
      <c r="FG12" s="247"/>
      <c r="FH12" s="247"/>
      <c r="FI12" s="247"/>
      <c r="FJ12" s="247"/>
      <c r="FK12" s="247" t="s">
        <v>642</v>
      </c>
      <c r="FL12" s="247"/>
      <c r="FM12" s="247"/>
      <c r="FN12" s="247"/>
      <c r="FO12" s="247"/>
      <c r="FP12" s="247"/>
      <c r="FQ12" s="247"/>
      <c r="FR12" s="247"/>
      <c r="FS12" s="247"/>
      <c r="FT12" s="247"/>
      <c r="FU12" s="247"/>
      <c r="FV12" s="247"/>
      <c r="FW12" s="247"/>
      <c r="FX12" s="247"/>
      <c r="FY12" s="247"/>
      <c r="FZ12" s="247"/>
      <c r="GA12" s="247"/>
      <c r="GB12" s="247"/>
      <c r="GC12" s="247"/>
      <c r="GD12" s="247"/>
      <c r="GE12" s="247"/>
      <c r="GF12" s="247"/>
      <c r="GG12" s="247"/>
      <c r="GH12" s="247"/>
      <c r="GI12" s="247"/>
      <c r="GJ12" s="247"/>
      <c r="GK12" s="247"/>
      <c r="GL12" s="247"/>
      <c r="GM12" s="247"/>
      <c r="GN12" s="247" t="s">
        <v>709</v>
      </c>
      <c r="GO12" s="247"/>
      <c r="GP12" s="241"/>
      <c r="GQ12" s="241"/>
      <c r="GR12" s="241"/>
      <c r="GS12" s="241"/>
      <c r="GT12" s="247"/>
      <c r="GU12" s="247" t="s">
        <v>711</v>
      </c>
      <c r="GV12" s="247"/>
      <c r="GW12" s="247"/>
      <c r="GX12" s="247"/>
      <c r="GY12" s="247"/>
      <c r="GZ12" s="241"/>
      <c r="HA12" s="241"/>
      <c r="HB12" s="241"/>
      <c r="HC12" s="241"/>
      <c r="HD12" s="247"/>
      <c r="HE12" s="241"/>
      <c r="HF12" s="241"/>
      <c r="HG12" s="241"/>
      <c r="HH12" s="241"/>
      <c r="HI12" s="241"/>
      <c r="HJ12" s="241"/>
      <c r="HK12" s="241"/>
      <c r="HL12" s="241"/>
      <c r="HM12" s="241"/>
      <c r="HN12" s="241"/>
      <c r="HO12" s="243"/>
      <c r="HP12" s="321">
        <f>+'Staffing-Roles'!DS120</f>
        <v>0</v>
      </c>
      <c r="HQ12" s="319">
        <f>+'Staffing-Roles'!DS147</f>
        <v>0</v>
      </c>
      <c r="HR12" s="318">
        <f t="shared" si="5"/>
        <v>0</v>
      </c>
      <c r="HS12" s="318">
        <f t="shared" si="6"/>
        <v>0</v>
      </c>
      <c r="HT12" s="331">
        <f t="shared" si="0"/>
        <v>0</v>
      </c>
      <c r="HU12" s="331">
        <f t="shared" si="1"/>
        <v>0</v>
      </c>
      <c r="HV12" s="332">
        <f t="shared" si="2"/>
        <v>0</v>
      </c>
      <c r="HX12" s="340">
        <f t="shared" si="7"/>
        <v>0</v>
      </c>
      <c r="HY12" s="331">
        <f t="shared" si="8"/>
        <v>0</v>
      </c>
      <c r="HZ12" s="332">
        <f t="shared" si="9"/>
        <v>0</v>
      </c>
    </row>
    <row r="13" spans="1:16384" ht="12.75">
      <c r="A13" s="83">
        <f t="shared" si="10"/>
        <v>8</v>
      </c>
      <c r="B13" s="84"/>
      <c r="C13" s="84"/>
      <c r="D13" s="84"/>
      <c r="E13" s="84"/>
      <c r="F13" s="84" t="str">
        <f t="shared" si="3"/>
        <v>///</v>
      </c>
      <c r="G13" s="249">
        <f t="shared" si="11"/>
        <v>0</v>
      </c>
      <c r="H13" s="240">
        <f t="shared" si="4"/>
        <v>0</v>
      </c>
      <c r="I13" s="378"/>
      <c r="J13" s="378"/>
      <c r="K13" s="247" t="s">
        <v>81</v>
      </c>
      <c r="L13" s="247" t="s">
        <v>82</v>
      </c>
      <c r="M13" s="247" t="s">
        <v>192</v>
      </c>
      <c r="N13" s="247" t="s">
        <v>88</v>
      </c>
      <c r="O13" s="247" t="s">
        <v>84</v>
      </c>
      <c r="P13" s="247" t="s">
        <v>84</v>
      </c>
      <c r="Q13" s="247" t="s">
        <v>84</v>
      </c>
      <c r="R13" s="247" t="s">
        <v>84</v>
      </c>
      <c r="S13" s="247" t="s">
        <v>84</v>
      </c>
      <c r="T13" s="247" t="s">
        <v>146</v>
      </c>
      <c r="U13" s="247" t="s">
        <v>196</v>
      </c>
      <c r="V13" s="247" t="s">
        <v>84</v>
      </c>
      <c r="W13" s="247" t="s">
        <v>84</v>
      </c>
      <c r="X13" s="247" t="s">
        <v>84</v>
      </c>
      <c r="Y13" s="247" t="s">
        <v>84</v>
      </c>
      <c r="Z13" s="247" t="s">
        <v>84</v>
      </c>
      <c r="AA13" s="247" t="s">
        <v>84</v>
      </c>
      <c r="AB13" s="247" t="s">
        <v>202</v>
      </c>
      <c r="AC13" s="247" t="s">
        <v>203</v>
      </c>
      <c r="AD13" s="247" t="s">
        <v>84</v>
      </c>
      <c r="AE13" s="247" t="s">
        <v>205</v>
      </c>
      <c r="AF13" s="247" t="s">
        <v>84</v>
      </c>
      <c r="AG13" s="247" t="s">
        <v>207</v>
      </c>
      <c r="AH13" s="247" t="s">
        <v>84</v>
      </c>
      <c r="AI13" s="247" t="s">
        <v>208</v>
      </c>
      <c r="AJ13" s="247" t="s">
        <v>84</v>
      </c>
      <c r="AK13" s="247" t="s">
        <v>209</v>
      </c>
      <c r="AL13" s="247" t="s">
        <v>84</v>
      </c>
      <c r="AM13" s="247" t="s">
        <v>84</v>
      </c>
      <c r="AN13" s="247" t="s">
        <v>211</v>
      </c>
      <c r="AO13" s="247" t="s">
        <v>84</v>
      </c>
      <c r="AP13" s="247" t="s">
        <v>212</v>
      </c>
      <c r="AQ13" s="247" t="s">
        <v>84</v>
      </c>
      <c r="AR13" s="247" t="s">
        <v>213</v>
      </c>
      <c r="AS13" s="247" t="s">
        <v>84</v>
      </c>
      <c r="AT13" s="247" t="s">
        <v>214</v>
      </c>
      <c r="AU13" s="247" t="s">
        <v>84</v>
      </c>
      <c r="AV13" s="247" t="s">
        <v>215</v>
      </c>
      <c r="AW13" s="247" t="s">
        <v>84</v>
      </c>
      <c r="AX13" s="247" t="s">
        <v>84</v>
      </c>
      <c r="AY13" s="247" t="s">
        <v>84</v>
      </c>
      <c r="AZ13" s="247" t="s">
        <v>84</v>
      </c>
      <c r="BA13" s="247" t="s">
        <v>84</v>
      </c>
      <c r="BB13" s="247" t="s">
        <v>220</v>
      </c>
      <c r="BC13" s="247" t="s">
        <v>221</v>
      </c>
      <c r="BD13" s="247" t="s">
        <v>84</v>
      </c>
      <c r="BE13" s="247" t="s">
        <v>222</v>
      </c>
      <c r="BF13" s="247" t="s">
        <v>84</v>
      </c>
      <c r="BG13" s="247" t="s">
        <v>224</v>
      </c>
      <c r="BH13" s="247" t="s">
        <v>84</v>
      </c>
      <c r="BI13" s="247" t="s">
        <v>126</v>
      </c>
      <c r="BJ13" s="247" t="s">
        <v>84</v>
      </c>
      <c r="BK13" s="247" t="s">
        <v>342</v>
      </c>
      <c r="BL13" s="247" t="s">
        <v>84</v>
      </c>
      <c r="BM13" s="247" t="s">
        <v>743</v>
      </c>
      <c r="BN13" s="247" t="s">
        <v>84</v>
      </c>
      <c r="BO13" s="247" t="s">
        <v>162</v>
      </c>
      <c r="BP13" s="247" t="s">
        <v>84</v>
      </c>
      <c r="BQ13" s="247" t="s">
        <v>98</v>
      </c>
      <c r="BR13" s="247" t="s">
        <v>228</v>
      </c>
      <c r="BS13" s="247" t="s">
        <v>84</v>
      </c>
      <c r="BT13" s="247" t="s">
        <v>229</v>
      </c>
      <c r="BU13" s="247" t="s">
        <v>84</v>
      </c>
      <c r="BV13" s="247" t="s">
        <v>231</v>
      </c>
      <c r="BW13" s="247" t="s">
        <v>84</v>
      </c>
      <c r="BX13" s="247" t="s">
        <v>84</v>
      </c>
      <c r="BY13" s="247" t="s">
        <v>319</v>
      </c>
      <c r="BZ13" s="247" t="s">
        <v>84</v>
      </c>
      <c r="CA13" s="247" t="s">
        <v>84</v>
      </c>
      <c r="CB13" s="247" t="s">
        <v>320</v>
      </c>
      <c r="CC13" s="247" t="s">
        <v>84</v>
      </c>
      <c r="CD13" s="247" t="s">
        <v>235</v>
      </c>
      <c r="CE13" s="247" t="s">
        <v>84</v>
      </c>
      <c r="CF13" s="247" t="s">
        <v>237</v>
      </c>
      <c r="CG13" s="247" t="s">
        <v>84</v>
      </c>
      <c r="CH13" s="247" t="s">
        <v>238</v>
      </c>
      <c r="CI13" s="247" t="s">
        <v>84</v>
      </c>
      <c r="CJ13" s="247" t="s">
        <v>239</v>
      </c>
      <c r="CK13" s="247" t="s">
        <v>84</v>
      </c>
      <c r="CL13" s="247" t="s">
        <v>321</v>
      </c>
      <c r="CM13" s="247" t="s">
        <v>84</v>
      </c>
      <c r="CN13" s="247" t="s">
        <v>322</v>
      </c>
      <c r="CO13" s="247" t="s">
        <v>323</v>
      </c>
      <c r="CP13" s="247" t="s">
        <v>84</v>
      </c>
      <c r="CQ13" s="247" t="s">
        <v>243</v>
      </c>
      <c r="CR13" s="247" t="s">
        <v>84</v>
      </c>
      <c r="CS13" s="247" t="s">
        <v>244</v>
      </c>
      <c r="CT13" s="247" t="s">
        <v>84</v>
      </c>
      <c r="CU13" s="247" t="s">
        <v>245</v>
      </c>
      <c r="CV13" s="247" t="s">
        <v>84</v>
      </c>
      <c r="CW13" s="247" t="s">
        <v>84</v>
      </c>
      <c r="CX13" s="247" t="s">
        <v>248</v>
      </c>
      <c r="CY13" s="247" t="s">
        <v>84</v>
      </c>
      <c r="CZ13" s="247" t="s">
        <v>249</v>
      </c>
      <c r="DA13" s="247" t="s">
        <v>84</v>
      </c>
      <c r="DB13" s="247" t="s">
        <v>250</v>
      </c>
      <c r="DC13" s="247" t="s">
        <v>84</v>
      </c>
      <c r="DD13" s="247" t="s">
        <v>252</v>
      </c>
      <c r="DE13" s="247" t="s">
        <v>84</v>
      </c>
      <c r="DF13" s="247" t="s">
        <v>254</v>
      </c>
      <c r="DG13" s="247" t="s">
        <v>84</v>
      </c>
      <c r="DH13" s="247" t="s">
        <v>191</v>
      </c>
      <c r="DI13" s="247" t="s">
        <v>255</v>
      </c>
      <c r="DJ13" s="247" t="s">
        <v>84</v>
      </c>
      <c r="DK13" s="247" t="s">
        <v>84</v>
      </c>
      <c r="DL13" s="247" t="s">
        <v>84</v>
      </c>
      <c r="DM13" s="247" t="s">
        <v>744</v>
      </c>
      <c r="DN13" s="247" t="s">
        <v>258</v>
      </c>
      <c r="DO13" s="247" t="s">
        <v>84</v>
      </c>
      <c r="DP13" s="247" t="s">
        <v>259</v>
      </c>
      <c r="DQ13" s="247" t="s">
        <v>84</v>
      </c>
      <c r="DR13" s="247" t="s">
        <v>260</v>
      </c>
      <c r="DS13" s="247" t="s">
        <v>84</v>
      </c>
      <c r="DT13" s="247" t="s">
        <v>748</v>
      </c>
      <c r="DU13" s="247" t="s">
        <v>84</v>
      </c>
      <c r="DV13" s="247" t="s">
        <v>85</v>
      </c>
      <c r="DW13" s="247" t="s">
        <v>345</v>
      </c>
      <c r="DX13" s="247" t="s">
        <v>345</v>
      </c>
      <c r="DY13" s="247" t="s">
        <v>262</v>
      </c>
      <c r="DZ13" s="247" t="s">
        <v>84</v>
      </c>
      <c r="EA13" s="247" t="s">
        <v>84</v>
      </c>
      <c r="EB13" s="247" t="s">
        <v>84</v>
      </c>
      <c r="EC13" s="247" t="s">
        <v>84</v>
      </c>
      <c r="ED13" s="247" t="s">
        <v>84</v>
      </c>
      <c r="EE13" s="247" t="s">
        <v>84</v>
      </c>
      <c r="EF13" s="247" t="s">
        <v>84</v>
      </c>
      <c r="EG13" s="247" t="s">
        <v>84</v>
      </c>
      <c r="EH13" s="247" t="s">
        <v>84</v>
      </c>
      <c r="EI13" s="247" t="s">
        <v>84</v>
      </c>
      <c r="EJ13" s="247" t="s">
        <v>84</v>
      </c>
      <c r="EK13" s="247" t="s">
        <v>84</v>
      </c>
      <c r="EL13" s="247" t="s">
        <v>84</v>
      </c>
      <c r="EM13" s="247" t="s">
        <v>84</v>
      </c>
      <c r="EN13" s="247" t="s">
        <v>276</v>
      </c>
      <c r="EO13" s="247" t="s">
        <v>84</v>
      </c>
      <c r="EP13" s="247" t="s">
        <v>84</v>
      </c>
      <c r="EQ13" s="247" t="s">
        <v>84</v>
      </c>
      <c r="ER13" s="247" t="s">
        <v>84</v>
      </c>
      <c r="ES13" s="247" t="s">
        <v>84</v>
      </c>
      <c r="ET13" s="247" t="s">
        <v>84</v>
      </c>
      <c r="EU13" s="247" t="s">
        <v>84</v>
      </c>
      <c r="EV13" s="247" t="s">
        <v>84</v>
      </c>
      <c r="EW13" s="247" t="s">
        <v>84</v>
      </c>
      <c r="EX13" s="247" t="s">
        <v>84</v>
      </c>
      <c r="EY13" s="247" t="s">
        <v>84</v>
      </c>
      <c r="EZ13" s="247" t="s">
        <v>84</v>
      </c>
      <c r="FA13" s="247" t="s">
        <v>84</v>
      </c>
      <c r="FB13" s="247" t="s">
        <v>84</v>
      </c>
      <c r="FC13" s="247" t="s">
        <v>84</v>
      </c>
      <c r="FD13" s="247" t="s">
        <v>84</v>
      </c>
      <c r="FE13" s="247" t="s">
        <v>292</v>
      </c>
      <c r="FF13" s="247" t="s">
        <v>84</v>
      </c>
      <c r="FG13" s="247" t="s">
        <v>84</v>
      </c>
      <c r="FH13" s="247" t="s">
        <v>84</v>
      </c>
      <c r="FI13" s="247" t="s">
        <v>84</v>
      </c>
      <c r="FJ13" s="247" t="s">
        <v>84</v>
      </c>
      <c r="FK13" s="247" t="s">
        <v>297</v>
      </c>
      <c r="FL13" s="247" t="s">
        <v>84</v>
      </c>
      <c r="FM13" s="247" t="s">
        <v>84</v>
      </c>
      <c r="FN13" s="247" t="s">
        <v>84</v>
      </c>
      <c r="FO13" s="247" t="s">
        <v>84</v>
      </c>
      <c r="FP13" s="247" t="s">
        <v>324</v>
      </c>
      <c r="FQ13" s="247" t="s">
        <v>301</v>
      </c>
      <c r="FR13" s="247" t="s">
        <v>84</v>
      </c>
      <c r="FS13" s="247" t="s">
        <v>89</v>
      </c>
      <c r="FT13" s="247" t="s">
        <v>306</v>
      </c>
      <c r="FU13" s="247" t="s">
        <v>309</v>
      </c>
      <c r="FV13" s="247" t="s">
        <v>310</v>
      </c>
      <c r="FW13" s="247" t="s">
        <v>313</v>
      </c>
      <c r="FX13" s="247" t="s">
        <v>325</v>
      </c>
      <c r="FY13" s="247" t="s">
        <v>316</v>
      </c>
      <c r="FZ13" s="247" t="s">
        <v>84</v>
      </c>
      <c r="GA13" s="247" t="s">
        <v>84</v>
      </c>
      <c r="GB13" s="247" t="s">
        <v>84</v>
      </c>
      <c r="GC13" s="247" t="s">
        <v>84</v>
      </c>
      <c r="GD13" s="247" t="s">
        <v>84</v>
      </c>
      <c r="GE13" s="247" t="s">
        <v>84</v>
      </c>
      <c r="GF13" s="247" t="s">
        <v>84</v>
      </c>
      <c r="GG13" s="247" t="s">
        <v>84</v>
      </c>
      <c r="GH13" s="247" t="s">
        <v>84</v>
      </c>
      <c r="GI13" s="247" t="s">
        <v>84</v>
      </c>
      <c r="GJ13" s="247" t="s">
        <v>84</v>
      </c>
      <c r="GK13" s="247" t="s">
        <v>84</v>
      </c>
      <c r="GL13" s="247" t="s">
        <v>84</v>
      </c>
      <c r="GM13" s="247" t="s">
        <v>708</v>
      </c>
      <c r="GN13" s="247" t="s">
        <v>714</v>
      </c>
      <c r="GO13" s="247" t="s">
        <v>84</v>
      </c>
      <c r="GP13" s="247" t="s">
        <v>84</v>
      </c>
      <c r="GQ13" s="247" t="s">
        <v>84</v>
      </c>
      <c r="GR13" s="247" t="s">
        <v>84</v>
      </c>
      <c r="GS13" s="247" t="s">
        <v>84</v>
      </c>
      <c r="GT13" s="247" t="s">
        <v>710</v>
      </c>
      <c r="GU13" s="247" t="s">
        <v>718</v>
      </c>
      <c r="GV13" s="247" t="s">
        <v>84</v>
      </c>
      <c r="GW13" s="247" t="s">
        <v>84</v>
      </c>
      <c r="GX13" s="247" t="s">
        <v>84</v>
      </c>
      <c r="GY13" s="247" t="s">
        <v>84</v>
      </c>
      <c r="GZ13" s="247" t="s">
        <v>84</v>
      </c>
      <c r="HA13" s="247" t="s">
        <v>713</v>
      </c>
      <c r="HB13" s="247" t="s">
        <v>84</v>
      </c>
      <c r="HC13" s="247" t="s">
        <v>750</v>
      </c>
      <c r="HD13" s="247" t="s">
        <v>84</v>
      </c>
      <c r="HE13" s="247" t="s">
        <v>84</v>
      </c>
      <c r="HF13" s="247" t="s">
        <v>349</v>
      </c>
      <c r="HG13" s="247" t="s">
        <v>813</v>
      </c>
      <c r="HH13" s="247" t="s">
        <v>815</v>
      </c>
      <c r="HI13" s="247" t="s">
        <v>91</v>
      </c>
      <c r="HJ13" s="247" t="s">
        <v>84</v>
      </c>
      <c r="HK13" s="247" t="s">
        <v>84</v>
      </c>
      <c r="HL13" s="247" t="s">
        <v>91</v>
      </c>
      <c r="HM13" s="247" t="s">
        <v>84</v>
      </c>
      <c r="HN13" s="247"/>
      <c r="HO13" s="243"/>
      <c r="HP13" s="321">
        <f>+'Staffing-Roles'!DS121</f>
        <v>0</v>
      </c>
      <c r="HQ13" s="319">
        <f>+'Staffing-Roles'!DS148</f>
        <v>0</v>
      </c>
      <c r="HR13" s="318">
        <f t="shared" si="5"/>
        <v>0</v>
      </c>
      <c r="HS13" s="318">
        <f t="shared" si="6"/>
        <v>0</v>
      </c>
      <c r="HT13" s="331">
        <f t="shared" si="0"/>
        <v>0</v>
      </c>
      <c r="HU13" s="331">
        <f t="shared" si="1"/>
        <v>0</v>
      </c>
      <c r="HV13" s="332">
        <f t="shared" si="2"/>
        <v>0</v>
      </c>
      <c r="HX13" s="340">
        <f t="shared" si="7"/>
        <v>0</v>
      </c>
      <c r="HY13" s="331">
        <f t="shared" si="8"/>
        <v>0</v>
      </c>
      <c r="HZ13" s="332">
        <f t="shared" si="9"/>
        <v>0</v>
      </c>
    </row>
    <row r="14" spans="1:16384" ht="12.75">
      <c r="A14" s="83">
        <f t="shared" si="10"/>
        <v>9</v>
      </c>
      <c r="B14" s="84"/>
      <c r="C14" s="84"/>
      <c r="D14" s="84"/>
      <c r="E14" s="84"/>
      <c r="F14" s="84" t="str">
        <f t="shared" si="3"/>
        <v>///</v>
      </c>
      <c r="G14" s="249">
        <f t="shared" si="11"/>
        <v>0</v>
      </c>
      <c r="H14" s="240">
        <f t="shared" si="4"/>
        <v>0</v>
      </c>
      <c r="I14" s="378"/>
      <c r="J14" s="378"/>
      <c r="K14" s="247" t="s">
        <v>87</v>
      </c>
      <c r="L14" s="247" t="s">
        <v>194</v>
      </c>
      <c r="M14" s="242"/>
      <c r="N14" s="247" t="s">
        <v>83</v>
      </c>
      <c r="O14" s="247" t="s">
        <v>193</v>
      </c>
      <c r="P14" s="247" t="s">
        <v>193</v>
      </c>
      <c r="Q14" s="247" t="s">
        <v>193</v>
      </c>
      <c r="R14" s="247" t="s">
        <v>91</v>
      </c>
      <c r="S14" s="247" t="s">
        <v>193</v>
      </c>
      <c r="T14" s="247" t="s">
        <v>778</v>
      </c>
      <c r="U14" s="247" t="s">
        <v>197</v>
      </c>
      <c r="V14" s="247" t="s">
        <v>193</v>
      </c>
      <c r="W14" s="247" t="s">
        <v>193</v>
      </c>
      <c r="X14" s="247" t="s">
        <v>193</v>
      </c>
      <c r="Y14" s="247" t="s">
        <v>91</v>
      </c>
      <c r="Z14" s="247" t="s">
        <v>91</v>
      </c>
      <c r="AA14" s="247" t="s">
        <v>91</v>
      </c>
      <c r="AB14" s="247" t="s">
        <v>204</v>
      </c>
      <c r="AC14" s="242"/>
      <c r="AD14" s="247" t="s">
        <v>702</v>
      </c>
      <c r="AE14" s="242"/>
      <c r="AF14" s="247" t="s">
        <v>193</v>
      </c>
      <c r="AG14" s="242"/>
      <c r="AH14" s="247" t="s">
        <v>193</v>
      </c>
      <c r="AI14" s="242"/>
      <c r="AJ14" s="247" t="s">
        <v>193</v>
      </c>
      <c r="AK14" s="247" t="s">
        <v>210</v>
      </c>
      <c r="AL14" s="247" t="s">
        <v>193</v>
      </c>
      <c r="AM14" s="247" t="s">
        <v>193</v>
      </c>
      <c r="AN14" s="242"/>
      <c r="AO14" s="247" t="s">
        <v>193</v>
      </c>
      <c r="AP14" s="242"/>
      <c r="AQ14" s="247" t="s">
        <v>193</v>
      </c>
      <c r="AR14" s="242"/>
      <c r="AS14" s="247" t="s">
        <v>193</v>
      </c>
      <c r="AT14" s="242"/>
      <c r="AU14" s="247" t="s">
        <v>193</v>
      </c>
      <c r="AV14" s="247" t="s">
        <v>216</v>
      </c>
      <c r="AW14" s="247" t="s">
        <v>193</v>
      </c>
      <c r="AX14" s="247" t="s">
        <v>193</v>
      </c>
      <c r="AY14" s="247" t="s">
        <v>193</v>
      </c>
      <c r="AZ14" s="247" t="s">
        <v>193</v>
      </c>
      <c r="BA14" s="247" t="s">
        <v>193</v>
      </c>
      <c r="BB14" s="247" t="s">
        <v>101</v>
      </c>
      <c r="BC14" s="242"/>
      <c r="BD14" s="247" t="s">
        <v>193</v>
      </c>
      <c r="BE14" s="242"/>
      <c r="BF14" s="247" t="s">
        <v>193</v>
      </c>
      <c r="BG14" s="242"/>
      <c r="BH14" s="247" t="s">
        <v>91</v>
      </c>
      <c r="BI14" s="242"/>
      <c r="BJ14" s="247" t="s">
        <v>193</v>
      </c>
      <c r="BK14" s="242"/>
      <c r="BL14" s="247" t="s">
        <v>193</v>
      </c>
      <c r="BM14" s="242"/>
      <c r="BN14" s="247" t="s">
        <v>91</v>
      </c>
      <c r="BO14" s="242"/>
      <c r="BP14" s="247" t="s">
        <v>193</v>
      </c>
      <c r="BQ14" s="247" t="s">
        <v>230</v>
      </c>
      <c r="BR14" s="242"/>
      <c r="BS14" s="247" t="s">
        <v>193</v>
      </c>
      <c r="BT14" s="242"/>
      <c r="BU14" s="247" t="s">
        <v>193</v>
      </c>
      <c r="BV14" s="247" t="s">
        <v>126</v>
      </c>
      <c r="BW14" s="247" t="s">
        <v>193</v>
      </c>
      <c r="BX14" s="247" t="s">
        <v>193</v>
      </c>
      <c r="BY14" s="247"/>
      <c r="BZ14" s="247" t="s">
        <v>193</v>
      </c>
      <c r="CA14" s="247" t="s">
        <v>193</v>
      </c>
      <c r="CB14" s="247" t="s">
        <v>326</v>
      </c>
      <c r="CC14" s="247" t="s">
        <v>193</v>
      </c>
      <c r="CD14" s="242"/>
      <c r="CE14" s="247" t="s">
        <v>193</v>
      </c>
      <c r="CF14" s="242" t="s">
        <v>248</v>
      </c>
      <c r="CG14" s="247" t="s">
        <v>193</v>
      </c>
      <c r="CH14" s="242"/>
      <c r="CI14" s="247" t="s">
        <v>193</v>
      </c>
      <c r="CJ14" s="242"/>
      <c r="CK14" s="247" t="s">
        <v>193</v>
      </c>
      <c r="CL14" s="247" t="s">
        <v>241</v>
      </c>
      <c r="CM14" s="247" t="s">
        <v>193</v>
      </c>
      <c r="CN14" s="247" t="s">
        <v>327</v>
      </c>
      <c r="CO14" s="247" t="s">
        <v>242</v>
      </c>
      <c r="CP14" s="247" t="s">
        <v>193</v>
      </c>
      <c r="CQ14" s="242"/>
      <c r="CR14" s="247" t="s">
        <v>193</v>
      </c>
      <c r="CS14" s="242"/>
      <c r="CT14" s="247" t="s">
        <v>193</v>
      </c>
      <c r="CU14" s="247" t="s">
        <v>246</v>
      </c>
      <c r="CV14" s="247" t="s">
        <v>193</v>
      </c>
      <c r="CW14" s="247" t="s">
        <v>193</v>
      </c>
      <c r="CX14" s="242"/>
      <c r="CY14" s="247" t="s">
        <v>91</v>
      </c>
      <c r="CZ14" s="242"/>
      <c r="DA14" s="247" t="s">
        <v>193</v>
      </c>
      <c r="DB14" s="242"/>
      <c r="DC14" s="247" t="s">
        <v>193</v>
      </c>
      <c r="DD14" s="242"/>
      <c r="DE14" s="247" t="s">
        <v>193</v>
      </c>
      <c r="DF14" s="242"/>
      <c r="DG14" s="247" t="s">
        <v>193</v>
      </c>
      <c r="DH14" s="247"/>
      <c r="DI14" s="247" t="s">
        <v>256</v>
      </c>
      <c r="DJ14" s="247" t="s">
        <v>193</v>
      </c>
      <c r="DK14" s="247" t="s">
        <v>193</v>
      </c>
      <c r="DL14" s="247" t="s">
        <v>91</v>
      </c>
      <c r="DM14" s="247" t="s">
        <v>745</v>
      </c>
      <c r="DN14" s="242"/>
      <c r="DO14" s="247" t="s">
        <v>193</v>
      </c>
      <c r="DP14" s="242"/>
      <c r="DQ14" s="247" t="s">
        <v>193</v>
      </c>
      <c r="DR14" s="242"/>
      <c r="DS14" s="247" t="s">
        <v>193</v>
      </c>
      <c r="DT14" s="242"/>
      <c r="DU14" s="247" t="s">
        <v>193</v>
      </c>
      <c r="DV14" s="247" t="s">
        <v>93</v>
      </c>
      <c r="DW14" s="247" t="s">
        <v>346</v>
      </c>
      <c r="DX14" s="247" t="s">
        <v>346</v>
      </c>
      <c r="DY14" s="247" t="s">
        <v>263</v>
      </c>
      <c r="DZ14" s="247" t="s">
        <v>193</v>
      </c>
      <c r="EA14" s="247" t="s">
        <v>193</v>
      </c>
      <c r="EB14" s="247" t="s">
        <v>193</v>
      </c>
      <c r="EC14" s="247" t="s">
        <v>193</v>
      </c>
      <c r="ED14" s="247" t="s">
        <v>193</v>
      </c>
      <c r="EE14" s="247" t="s">
        <v>193</v>
      </c>
      <c r="EF14" s="247" t="s">
        <v>193</v>
      </c>
      <c r="EG14" s="247" t="s">
        <v>193</v>
      </c>
      <c r="EH14" s="247" t="s">
        <v>91</v>
      </c>
      <c r="EI14" s="247" t="s">
        <v>91</v>
      </c>
      <c r="EJ14" s="247" t="s">
        <v>91</v>
      </c>
      <c r="EK14" s="247" t="s">
        <v>91</v>
      </c>
      <c r="EL14" s="247" t="s">
        <v>91</v>
      </c>
      <c r="EM14" s="247" t="s">
        <v>91</v>
      </c>
      <c r="EN14" s="247" t="s">
        <v>277</v>
      </c>
      <c r="EO14" s="247" t="s">
        <v>193</v>
      </c>
      <c r="EP14" s="247" t="s">
        <v>193</v>
      </c>
      <c r="EQ14" s="247" t="s">
        <v>193</v>
      </c>
      <c r="ER14" s="247" t="s">
        <v>193</v>
      </c>
      <c r="ES14" s="247" t="s">
        <v>193</v>
      </c>
      <c r="ET14" s="247" t="s">
        <v>193</v>
      </c>
      <c r="EU14" s="247" t="s">
        <v>193</v>
      </c>
      <c r="EV14" s="242"/>
      <c r="EW14" s="247" t="s">
        <v>193</v>
      </c>
      <c r="EX14" s="247" t="s">
        <v>193</v>
      </c>
      <c r="EY14" s="247" t="s">
        <v>193</v>
      </c>
      <c r="EZ14" s="247" t="s">
        <v>193</v>
      </c>
      <c r="FA14" s="247" t="s">
        <v>193</v>
      </c>
      <c r="FB14" s="247" t="s">
        <v>193</v>
      </c>
      <c r="FC14" s="247" t="s">
        <v>193</v>
      </c>
      <c r="FD14" s="247" t="s">
        <v>91</v>
      </c>
      <c r="FE14" s="247" t="s">
        <v>293</v>
      </c>
      <c r="FF14" s="247" t="s">
        <v>193</v>
      </c>
      <c r="FG14" s="247" t="s">
        <v>193</v>
      </c>
      <c r="FH14" s="247" t="s">
        <v>193</v>
      </c>
      <c r="FI14" s="247" t="s">
        <v>193</v>
      </c>
      <c r="FJ14" s="247" t="s">
        <v>193</v>
      </c>
      <c r="FK14" s="247" t="s">
        <v>298</v>
      </c>
      <c r="FL14" s="247" t="s">
        <v>193</v>
      </c>
      <c r="FM14" s="247" t="s">
        <v>193</v>
      </c>
      <c r="FN14" s="247" t="s">
        <v>193</v>
      </c>
      <c r="FO14" s="247" t="s">
        <v>193</v>
      </c>
      <c r="FP14" s="247" t="s">
        <v>328</v>
      </c>
      <c r="FQ14" s="242"/>
      <c r="FR14" s="247" t="s">
        <v>193</v>
      </c>
      <c r="FS14" s="247" t="s">
        <v>302</v>
      </c>
      <c r="FT14" s="247" t="s">
        <v>307</v>
      </c>
      <c r="FU14" s="242"/>
      <c r="FV14" s="247" t="s">
        <v>311</v>
      </c>
      <c r="FW14" s="247" t="s">
        <v>314</v>
      </c>
      <c r="FX14" s="247" t="s">
        <v>329</v>
      </c>
      <c r="FY14" s="247" t="s">
        <v>317</v>
      </c>
      <c r="FZ14" s="247" t="s">
        <v>193</v>
      </c>
      <c r="GA14" s="247" t="s">
        <v>91</v>
      </c>
      <c r="GB14" s="247" t="s">
        <v>193</v>
      </c>
      <c r="GC14" s="247" t="s">
        <v>91</v>
      </c>
      <c r="GD14" s="247" t="s">
        <v>193</v>
      </c>
      <c r="GE14" s="247" t="s">
        <v>91</v>
      </c>
      <c r="GF14" s="247" t="s">
        <v>193</v>
      </c>
      <c r="GG14" s="247" t="s">
        <v>193</v>
      </c>
      <c r="GH14" s="247" t="s">
        <v>91</v>
      </c>
      <c r="GI14" s="247" t="s">
        <v>193</v>
      </c>
      <c r="GJ14" s="247" t="s">
        <v>91</v>
      </c>
      <c r="GK14" s="247" t="s">
        <v>91</v>
      </c>
      <c r="GL14" s="247" t="s">
        <v>193</v>
      </c>
      <c r="GM14" s="247" t="s">
        <v>710</v>
      </c>
      <c r="GN14" s="247" t="s">
        <v>715</v>
      </c>
      <c r="GO14" s="247" t="s">
        <v>193</v>
      </c>
      <c r="GP14" s="247" t="s">
        <v>91</v>
      </c>
      <c r="GQ14" s="247" t="s">
        <v>193</v>
      </c>
      <c r="GR14" s="247" t="s">
        <v>91</v>
      </c>
      <c r="GS14" s="247" t="s">
        <v>193</v>
      </c>
      <c r="GT14" s="247"/>
      <c r="GU14" s="247" t="s">
        <v>719</v>
      </c>
      <c r="GV14" s="247" t="s">
        <v>193</v>
      </c>
      <c r="GW14" s="247" t="s">
        <v>91</v>
      </c>
      <c r="GX14" s="247" t="s">
        <v>193</v>
      </c>
      <c r="GY14" s="247" t="s">
        <v>91</v>
      </c>
      <c r="GZ14" s="247" t="s">
        <v>193</v>
      </c>
      <c r="HA14" s="247"/>
      <c r="HB14" s="247" t="s">
        <v>193</v>
      </c>
      <c r="HC14" s="247"/>
      <c r="HD14" s="247" t="s">
        <v>193</v>
      </c>
      <c r="HE14" s="247" t="s">
        <v>193</v>
      </c>
      <c r="HF14" s="247"/>
      <c r="HG14" s="247"/>
      <c r="HH14" s="247" t="s">
        <v>816</v>
      </c>
      <c r="HI14" s="247"/>
      <c r="HJ14" s="247" t="s">
        <v>193</v>
      </c>
      <c r="HK14" s="247" t="s">
        <v>193</v>
      </c>
      <c r="HL14" s="247" t="s">
        <v>84</v>
      </c>
      <c r="HM14" s="247"/>
      <c r="HN14" s="247"/>
      <c r="HO14" s="243"/>
      <c r="HP14" s="321">
        <f>+'Staffing-Roles'!DS122</f>
        <v>0</v>
      </c>
      <c r="HQ14" s="319">
        <f>+'Staffing-Roles'!DS149</f>
        <v>0</v>
      </c>
      <c r="HR14" s="318">
        <f t="shared" si="5"/>
        <v>0</v>
      </c>
      <c r="HS14" s="318">
        <f t="shared" si="6"/>
        <v>0</v>
      </c>
      <c r="HT14" s="331">
        <f t="shared" si="0"/>
        <v>0</v>
      </c>
      <c r="HU14" s="331">
        <f t="shared" si="1"/>
        <v>0</v>
      </c>
      <c r="HV14" s="332">
        <f t="shared" si="2"/>
        <v>0</v>
      </c>
      <c r="HX14" s="340">
        <f t="shared" si="7"/>
        <v>0</v>
      </c>
      <c r="HY14" s="331">
        <f t="shared" si="8"/>
        <v>0</v>
      </c>
      <c r="HZ14" s="332">
        <f t="shared" si="9"/>
        <v>0</v>
      </c>
    </row>
    <row r="15" spans="1:16384" ht="12.75">
      <c r="A15" s="83">
        <f t="shared" si="10"/>
        <v>10</v>
      </c>
      <c r="B15" s="84"/>
      <c r="C15" s="84"/>
      <c r="D15" s="84"/>
      <c r="E15" s="84"/>
      <c r="F15" s="84" t="str">
        <f t="shared" si="3"/>
        <v>///</v>
      </c>
      <c r="G15" s="249">
        <f t="shared" si="11"/>
        <v>0</v>
      </c>
      <c r="H15" s="240">
        <f t="shared" si="4"/>
        <v>0</v>
      </c>
      <c r="I15" s="378"/>
      <c r="J15" s="378"/>
      <c r="K15" s="247" t="s">
        <v>78</v>
      </c>
      <c r="L15" s="242"/>
      <c r="M15" s="242"/>
      <c r="N15" s="247" t="s">
        <v>92</v>
      </c>
      <c r="O15" s="247" t="s">
        <v>91</v>
      </c>
      <c r="P15" s="247" t="s">
        <v>91</v>
      </c>
      <c r="Q15" s="247" t="s">
        <v>91</v>
      </c>
      <c r="R15" s="242"/>
      <c r="S15" s="247" t="s">
        <v>91</v>
      </c>
      <c r="T15" s="247" t="s">
        <v>780</v>
      </c>
      <c r="U15" s="247" t="s">
        <v>198</v>
      </c>
      <c r="V15" s="247" t="s">
        <v>91</v>
      </c>
      <c r="W15" s="247" t="s">
        <v>91</v>
      </c>
      <c r="X15" s="247" t="s">
        <v>91</v>
      </c>
      <c r="Y15" s="242"/>
      <c r="Z15" s="242"/>
      <c r="AA15" s="242"/>
      <c r="AB15" s="247" t="s">
        <v>206</v>
      </c>
      <c r="AC15" s="242"/>
      <c r="AD15" s="247" t="s">
        <v>91</v>
      </c>
      <c r="AE15" s="242"/>
      <c r="AF15" s="247" t="s">
        <v>91</v>
      </c>
      <c r="AG15" s="242"/>
      <c r="AH15" s="247" t="s">
        <v>91</v>
      </c>
      <c r="AI15" s="242"/>
      <c r="AJ15" s="247" t="s">
        <v>91</v>
      </c>
      <c r="AK15" s="247" t="s">
        <v>347</v>
      </c>
      <c r="AL15" s="247" t="s">
        <v>91</v>
      </c>
      <c r="AM15" s="247" t="s">
        <v>91</v>
      </c>
      <c r="AN15" s="242"/>
      <c r="AO15" s="247" t="s">
        <v>91</v>
      </c>
      <c r="AP15" s="242"/>
      <c r="AQ15" s="247" t="s">
        <v>91</v>
      </c>
      <c r="AR15" s="242"/>
      <c r="AS15" s="247" t="s">
        <v>91</v>
      </c>
      <c r="AT15" s="242"/>
      <c r="AU15" s="247" t="s">
        <v>91</v>
      </c>
      <c r="AV15" s="247" t="s">
        <v>217</v>
      </c>
      <c r="AW15" s="247" t="s">
        <v>91</v>
      </c>
      <c r="AX15" s="247" t="s">
        <v>91</v>
      </c>
      <c r="AY15" s="247" t="s">
        <v>91</v>
      </c>
      <c r="AZ15" s="247" t="s">
        <v>91</v>
      </c>
      <c r="BA15" s="247" t="s">
        <v>91</v>
      </c>
      <c r="BB15" s="247" t="s">
        <v>223</v>
      </c>
      <c r="BC15" s="242"/>
      <c r="BD15" s="247" t="s">
        <v>91</v>
      </c>
      <c r="BE15" s="242"/>
      <c r="BF15" s="247" t="s">
        <v>91</v>
      </c>
      <c r="BG15" s="242"/>
      <c r="BH15" s="242"/>
      <c r="BI15" s="242"/>
      <c r="BJ15" s="247" t="s">
        <v>91</v>
      </c>
      <c r="BK15" s="242"/>
      <c r="BL15" s="247" t="s">
        <v>91</v>
      </c>
      <c r="BM15" s="242"/>
      <c r="BN15" s="242"/>
      <c r="BO15" s="242"/>
      <c r="BP15" s="247" t="s">
        <v>91</v>
      </c>
      <c r="BQ15" s="247" t="s">
        <v>72</v>
      </c>
      <c r="BR15" s="242"/>
      <c r="BS15" s="247" t="s">
        <v>91</v>
      </c>
      <c r="BT15" s="242"/>
      <c r="BU15" s="247" t="s">
        <v>91</v>
      </c>
      <c r="BV15" s="246" t="s">
        <v>754</v>
      </c>
      <c r="BW15" s="247" t="s">
        <v>91</v>
      </c>
      <c r="BX15" s="247" t="s">
        <v>91</v>
      </c>
      <c r="BY15" s="247"/>
      <c r="BZ15" s="247" t="s">
        <v>91</v>
      </c>
      <c r="CA15" s="247" t="s">
        <v>91</v>
      </c>
      <c r="CB15" s="247" t="s">
        <v>331</v>
      </c>
      <c r="CC15" s="247" t="s">
        <v>91</v>
      </c>
      <c r="CD15" s="242"/>
      <c r="CE15" s="247" t="s">
        <v>91</v>
      </c>
      <c r="CF15" s="242"/>
      <c r="CG15" s="247" t="s">
        <v>91</v>
      </c>
      <c r="CH15" s="242"/>
      <c r="CI15" s="247" t="s">
        <v>91</v>
      </c>
      <c r="CJ15" s="242"/>
      <c r="CK15" s="247" t="s">
        <v>91</v>
      </c>
      <c r="CL15" s="242"/>
      <c r="CM15" s="247" t="s">
        <v>91</v>
      </c>
      <c r="CN15" s="242"/>
      <c r="CO15" s="247" t="s">
        <v>332</v>
      </c>
      <c r="CP15" s="247" t="s">
        <v>91</v>
      </c>
      <c r="CQ15" s="242"/>
      <c r="CR15" s="247" t="s">
        <v>91</v>
      </c>
      <c r="CS15" s="242"/>
      <c r="CT15" s="247" t="s">
        <v>91</v>
      </c>
      <c r="CU15" s="242"/>
      <c r="CV15" s="247" t="s">
        <v>91</v>
      </c>
      <c r="CW15" s="247" t="s">
        <v>91</v>
      </c>
      <c r="CX15" s="242"/>
      <c r="CY15" s="242"/>
      <c r="CZ15" s="242"/>
      <c r="DA15" s="247" t="s">
        <v>91</v>
      </c>
      <c r="DB15" s="242"/>
      <c r="DC15" s="247" t="s">
        <v>91</v>
      </c>
      <c r="DD15" s="242"/>
      <c r="DE15" s="247" t="s">
        <v>91</v>
      </c>
      <c r="DF15" s="242"/>
      <c r="DG15" s="247" t="s">
        <v>91</v>
      </c>
      <c r="DH15" s="247"/>
      <c r="DI15" s="247" t="s">
        <v>257</v>
      </c>
      <c r="DJ15" s="247" t="s">
        <v>91</v>
      </c>
      <c r="DK15" s="247" t="s">
        <v>91</v>
      </c>
      <c r="DL15" s="242"/>
      <c r="DM15" s="247" t="s">
        <v>746</v>
      </c>
      <c r="DN15" s="242"/>
      <c r="DO15" s="247" t="s">
        <v>91</v>
      </c>
      <c r="DP15" s="242"/>
      <c r="DQ15" s="247" t="s">
        <v>91</v>
      </c>
      <c r="DR15" s="242"/>
      <c r="DS15" s="247" t="s">
        <v>91</v>
      </c>
      <c r="DT15" s="242"/>
      <c r="DU15" s="247" t="s">
        <v>91</v>
      </c>
      <c r="DV15" s="247" t="s">
        <v>118</v>
      </c>
      <c r="DW15" s="247" t="s">
        <v>348</v>
      </c>
      <c r="DX15" s="247" t="s">
        <v>348</v>
      </c>
      <c r="DY15" s="247" t="s">
        <v>333</v>
      </c>
      <c r="DZ15" s="247" t="s">
        <v>91</v>
      </c>
      <c r="EA15" s="247" t="s">
        <v>91</v>
      </c>
      <c r="EB15" s="247" t="s">
        <v>91</v>
      </c>
      <c r="EC15" s="247" t="s">
        <v>91</v>
      </c>
      <c r="ED15" s="247" t="s">
        <v>91</v>
      </c>
      <c r="EE15" s="247" t="s">
        <v>91</v>
      </c>
      <c r="EF15" s="247" t="s">
        <v>91</v>
      </c>
      <c r="EG15" s="247" t="s">
        <v>91</v>
      </c>
      <c r="EH15" s="242"/>
      <c r="EI15" s="242"/>
      <c r="EJ15" s="242"/>
      <c r="EK15" s="242"/>
      <c r="EL15" s="242"/>
      <c r="EM15" s="242"/>
      <c r="EN15" s="247" t="s">
        <v>278</v>
      </c>
      <c r="EO15" s="247" t="s">
        <v>91</v>
      </c>
      <c r="EP15" s="247" t="s">
        <v>91</v>
      </c>
      <c r="EQ15" s="247" t="s">
        <v>91</v>
      </c>
      <c r="ER15" s="247" t="s">
        <v>91</v>
      </c>
      <c r="ES15" s="247" t="s">
        <v>91</v>
      </c>
      <c r="ET15" s="247" t="s">
        <v>91</v>
      </c>
      <c r="EU15" s="247" t="s">
        <v>91</v>
      </c>
      <c r="EV15" s="242"/>
      <c r="EW15" s="247" t="s">
        <v>91</v>
      </c>
      <c r="EX15" s="247" t="s">
        <v>91</v>
      </c>
      <c r="EY15" s="247" t="s">
        <v>91</v>
      </c>
      <c r="EZ15" s="247" t="s">
        <v>91</v>
      </c>
      <c r="FA15" s="247" t="s">
        <v>91</v>
      </c>
      <c r="FB15" s="247" t="s">
        <v>91</v>
      </c>
      <c r="FC15" s="247" t="s">
        <v>91</v>
      </c>
      <c r="FD15" s="242"/>
      <c r="FE15" s="247" t="s">
        <v>294</v>
      </c>
      <c r="FF15" s="247" t="s">
        <v>91</v>
      </c>
      <c r="FG15" s="247" t="s">
        <v>91</v>
      </c>
      <c r="FH15" s="247" t="s">
        <v>91</v>
      </c>
      <c r="FI15" s="247" t="s">
        <v>91</v>
      </c>
      <c r="FJ15" s="247" t="s">
        <v>91</v>
      </c>
      <c r="FK15" s="247" t="s">
        <v>299</v>
      </c>
      <c r="FL15" s="247" t="s">
        <v>91</v>
      </c>
      <c r="FM15" s="247" t="s">
        <v>91</v>
      </c>
      <c r="FN15" s="247" t="s">
        <v>91</v>
      </c>
      <c r="FO15" s="247" t="s">
        <v>91</v>
      </c>
      <c r="FP15" s="242"/>
      <c r="FQ15" s="242"/>
      <c r="FR15" s="247" t="s">
        <v>91</v>
      </c>
      <c r="FS15" s="247" t="s">
        <v>303</v>
      </c>
      <c r="FT15" s="247" t="s">
        <v>308</v>
      </c>
      <c r="FU15" s="242"/>
      <c r="FV15" s="247" t="s">
        <v>312</v>
      </c>
      <c r="FW15" s="247" t="s">
        <v>315</v>
      </c>
      <c r="FX15" s="242"/>
      <c r="FY15" s="247" t="s">
        <v>318</v>
      </c>
      <c r="FZ15" s="247" t="s">
        <v>91</v>
      </c>
      <c r="GA15" s="242"/>
      <c r="GB15" s="247" t="s">
        <v>91</v>
      </c>
      <c r="GC15" s="242"/>
      <c r="GD15" s="247" t="s">
        <v>91</v>
      </c>
      <c r="GE15" s="242"/>
      <c r="GF15" s="247" t="s">
        <v>91</v>
      </c>
      <c r="GG15" s="247" t="s">
        <v>91</v>
      </c>
      <c r="GH15" s="242"/>
      <c r="GI15" s="247" t="s">
        <v>91</v>
      </c>
      <c r="GJ15" s="242"/>
      <c r="GK15" s="242"/>
      <c r="GL15" s="247" t="s">
        <v>91</v>
      </c>
      <c r="GM15" s="247"/>
      <c r="GN15" s="247" t="s">
        <v>716</v>
      </c>
      <c r="GO15" s="247" t="s">
        <v>91</v>
      </c>
      <c r="GP15" s="247"/>
      <c r="GQ15" s="247" t="s">
        <v>91</v>
      </c>
      <c r="GR15" s="247"/>
      <c r="GS15" s="247" t="s">
        <v>91</v>
      </c>
      <c r="GT15" s="247"/>
      <c r="GU15" s="247" t="s">
        <v>720</v>
      </c>
      <c r="GV15" s="247" t="s">
        <v>91</v>
      </c>
      <c r="GW15" s="247"/>
      <c r="GX15" s="247" t="s">
        <v>91</v>
      </c>
      <c r="GY15" s="247"/>
      <c r="GZ15" s="247" t="s">
        <v>91</v>
      </c>
      <c r="HA15" s="247"/>
      <c r="HB15" s="247" t="s">
        <v>91</v>
      </c>
      <c r="HC15" s="247"/>
      <c r="HD15" s="247" t="s">
        <v>91</v>
      </c>
      <c r="HE15" s="247" t="s">
        <v>91</v>
      </c>
      <c r="HF15" s="247"/>
      <c r="HG15" s="247"/>
      <c r="HH15" s="247" t="s">
        <v>817</v>
      </c>
      <c r="HI15" s="247"/>
      <c r="HJ15" s="247" t="s">
        <v>91</v>
      </c>
      <c r="HK15" s="247" t="s">
        <v>91</v>
      </c>
      <c r="HL15" s="247"/>
      <c r="HM15" s="247"/>
      <c r="HN15" s="247"/>
      <c r="HO15" s="243"/>
      <c r="HP15" s="321">
        <f>+'Staffing-Roles'!DS123</f>
        <v>0</v>
      </c>
      <c r="HQ15" s="319">
        <f>+'Staffing-Roles'!DS150</f>
        <v>0</v>
      </c>
      <c r="HR15" s="318">
        <f t="shared" si="5"/>
        <v>0</v>
      </c>
      <c r="HS15" s="318">
        <f t="shared" si="6"/>
        <v>0</v>
      </c>
      <c r="HT15" s="331">
        <f t="shared" si="0"/>
        <v>0</v>
      </c>
      <c r="HU15" s="331">
        <f t="shared" si="1"/>
        <v>0</v>
      </c>
      <c r="HV15" s="332">
        <f t="shared" si="2"/>
        <v>0</v>
      </c>
      <c r="HX15" s="340">
        <f t="shared" si="7"/>
        <v>0</v>
      </c>
      <c r="HY15" s="331">
        <f t="shared" si="8"/>
        <v>0</v>
      </c>
      <c r="HZ15" s="332">
        <f t="shared" si="9"/>
        <v>0</v>
      </c>
    </row>
    <row r="16" spans="1:16384" ht="12.75">
      <c r="A16" s="83">
        <f t="shared" si="10"/>
        <v>11</v>
      </c>
      <c r="B16" s="84"/>
      <c r="C16" s="84"/>
      <c r="D16" s="84"/>
      <c r="E16" s="84"/>
      <c r="F16" s="84" t="str">
        <f t="shared" si="3"/>
        <v>///</v>
      </c>
      <c r="G16" s="249">
        <f t="shared" si="11"/>
        <v>0</v>
      </c>
      <c r="H16" s="240">
        <f t="shared" si="4"/>
        <v>0</v>
      </c>
      <c r="I16" s="378"/>
      <c r="J16" s="378"/>
      <c r="K16" s="247" t="s">
        <v>742</v>
      </c>
      <c r="L16" s="242"/>
      <c r="M16" s="242"/>
      <c r="N16" s="247" t="s">
        <v>195</v>
      </c>
      <c r="O16" s="242"/>
      <c r="P16" s="242"/>
      <c r="Q16" s="242"/>
      <c r="R16" s="242"/>
      <c r="S16" s="242"/>
      <c r="T16" s="247" t="s">
        <v>782</v>
      </c>
      <c r="U16" s="247" t="s">
        <v>199</v>
      </c>
      <c r="V16" s="242"/>
      <c r="W16" s="242"/>
      <c r="X16" s="242"/>
      <c r="Y16" s="242"/>
      <c r="Z16" s="242"/>
      <c r="AA16" s="242"/>
      <c r="AB16" s="247" t="s">
        <v>107</v>
      </c>
      <c r="AC16" s="242"/>
      <c r="AD16" s="242"/>
      <c r="AE16" s="242"/>
      <c r="AF16" s="242"/>
      <c r="AG16" s="242"/>
      <c r="AH16" s="242"/>
      <c r="AI16" s="242"/>
      <c r="AJ16" s="242"/>
      <c r="AK16" s="242"/>
      <c r="AL16" s="242"/>
      <c r="AM16" s="242"/>
      <c r="AN16" s="242"/>
      <c r="AO16" s="242"/>
      <c r="AP16" s="242"/>
      <c r="AQ16" s="242"/>
      <c r="AR16" s="242"/>
      <c r="AS16" s="242"/>
      <c r="AT16" s="242"/>
      <c r="AU16" s="242"/>
      <c r="AV16" s="247" t="s">
        <v>219</v>
      </c>
      <c r="AW16" s="242"/>
      <c r="AX16" s="242"/>
      <c r="AY16" s="242"/>
      <c r="AZ16" s="242"/>
      <c r="BA16" s="242"/>
      <c r="BB16" s="247" t="s">
        <v>225</v>
      </c>
      <c r="BC16" s="242"/>
      <c r="BD16" s="242"/>
      <c r="BE16" s="242"/>
      <c r="BF16" s="242"/>
      <c r="BG16" s="242"/>
      <c r="BH16" s="242"/>
      <c r="BI16" s="242"/>
      <c r="BJ16" s="242"/>
      <c r="BK16" s="242"/>
      <c r="BL16" s="242"/>
      <c r="BM16" s="242"/>
      <c r="BN16" s="242"/>
      <c r="BO16" s="242"/>
      <c r="BP16" s="242"/>
      <c r="BQ16" s="247" t="s">
        <v>334</v>
      </c>
      <c r="BR16" s="242"/>
      <c r="BS16" s="242"/>
      <c r="BT16" s="242"/>
      <c r="BU16" s="242"/>
      <c r="BV16" s="247" t="s">
        <v>232</v>
      </c>
      <c r="BW16" s="242"/>
      <c r="BX16" s="242"/>
      <c r="BY16" s="242"/>
      <c r="BZ16" s="242"/>
      <c r="CA16" s="242"/>
      <c r="CB16" s="242"/>
      <c r="CC16" s="242"/>
      <c r="CD16" s="242"/>
      <c r="CE16" s="242"/>
      <c r="CF16" s="242"/>
      <c r="CG16" s="242"/>
      <c r="CH16" s="242"/>
      <c r="CI16" s="242"/>
      <c r="CJ16" s="242"/>
      <c r="CK16" s="242"/>
      <c r="CL16" s="242"/>
      <c r="CM16" s="242"/>
      <c r="CN16" s="242"/>
      <c r="CO16" s="242"/>
      <c r="CP16" s="242"/>
      <c r="CQ16" s="242"/>
      <c r="CR16" s="242"/>
      <c r="CS16" s="242"/>
      <c r="CT16" s="242"/>
      <c r="CU16" s="242"/>
      <c r="CV16" s="242"/>
      <c r="CW16" s="242"/>
      <c r="CX16" s="242"/>
      <c r="CY16" s="242"/>
      <c r="CZ16" s="242"/>
      <c r="DA16" s="242"/>
      <c r="DB16" s="242"/>
      <c r="DC16" s="242"/>
      <c r="DD16" s="242"/>
      <c r="DE16" s="242"/>
      <c r="DF16" s="242"/>
      <c r="DG16" s="242"/>
      <c r="DH16" s="242"/>
      <c r="DI16" s="242"/>
      <c r="DJ16" s="242"/>
      <c r="DK16" s="242"/>
      <c r="DL16" s="242"/>
      <c r="DM16" s="247" t="s">
        <v>747</v>
      </c>
      <c r="DN16" s="242"/>
      <c r="DO16" s="242"/>
      <c r="DP16" s="242"/>
      <c r="DQ16" s="242"/>
      <c r="DR16" s="242"/>
      <c r="DS16" s="242"/>
      <c r="DT16" s="242"/>
      <c r="DU16" s="242"/>
      <c r="DV16" s="247" t="s">
        <v>128</v>
      </c>
      <c r="DW16" s="242"/>
      <c r="DX16" s="242"/>
      <c r="DY16" s="247" t="s">
        <v>264</v>
      </c>
      <c r="DZ16" s="242"/>
      <c r="EA16" s="242"/>
      <c r="EB16" s="242"/>
      <c r="EC16" s="242"/>
      <c r="ED16" s="242"/>
      <c r="EE16" s="242"/>
      <c r="EF16" s="242"/>
      <c r="EG16" s="242"/>
      <c r="EH16" s="242"/>
      <c r="EI16" s="242"/>
      <c r="EJ16" s="242"/>
      <c r="EK16" s="242"/>
      <c r="EL16" s="242"/>
      <c r="EM16" s="242"/>
      <c r="EN16" s="247" t="s">
        <v>279</v>
      </c>
      <c r="EO16" s="242"/>
      <c r="EP16" s="242"/>
      <c r="EQ16" s="242"/>
      <c r="ER16" s="242"/>
      <c r="ES16" s="242"/>
      <c r="ET16" s="242"/>
      <c r="EU16" s="242"/>
      <c r="EV16" s="242"/>
      <c r="EW16" s="242"/>
      <c r="EX16" s="242"/>
      <c r="EY16" s="242"/>
      <c r="EZ16" s="242"/>
      <c r="FA16" s="242"/>
      <c r="FB16" s="242"/>
      <c r="FC16" s="242"/>
      <c r="FD16" s="242"/>
      <c r="FE16" s="247" t="s">
        <v>295</v>
      </c>
      <c r="FF16" s="242"/>
      <c r="FG16" s="242"/>
      <c r="FH16" s="242"/>
      <c r="FI16" s="242"/>
      <c r="FJ16" s="242"/>
      <c r="FK16" s="247" t="s">
        <v>300</v>
      </c>
      <c r="FL16" s="242"/>
      <c r="FM16" s="242"/>
      <c r="FN16" s="242"/>
      <c r="FO16" s="242"/>
      <c r="FP16" s="242"/>
      <c r="FQ16" s="242"/>
      <c r="FR16" s="242"/>
      <c r="FS16" s="247" t="s">
        <v>105</v>
      </c>
      <c r="FT16" s="242"/>
      <c r="FU16" s="242"/>
      <c r="FV16" s="242"/>
      <c r="FW16" s="242"/>
      <c r="FX16" s="242"/>
      <c r="FY16" s="242"/>
      <c r="FZ16" s="242"/>
      <c r="GA16" s="242"/>
      <c r="GB16" s="242"/>
      <c r="GC16" s="242"/>
      <c r="GD16" s="242"/>
      <c r="GE16" s="242"/>
      <c r="GF16" s="242"/>
      <c r="GG16" s="242"/>
      <c r="GH16" s="242"/>
      <c r="GI16" s="242"/>
      <c r="GJ16" s="242"/>
      <c r="GK16" s="242"/>
      <c r="GL16" s="242"/>
      <c r="GM16" s="247"/>
      <c r="GN16" s="247" t="s">
        <v>717</v>
      </c>
      <c r="GO16" s="247"/>
      <c r="GP16" s="242"/>
      <c r="GQ16" s="242"/>
      <c r="GR16" s="242"/>
      <c r="GS16" s="242"/>
      <c r="GT16" s="247"/>
      <c r="GU16" s="247" t="s">
        <v>721</v>
      </c>
      <c r="GV16" s="247"/>
      <c r="GW16" s="247"/>
      <c r="GX16" s="247"/>
      <c r="GY16" s="247"/>
      <c r="GZ16" s="242"/>
      <c r="HA16" s="242"/>
      <c r="HB16" s="242"/>
      <c r="HC16" s="242"/>
      <c r="HD16" s="242"/>
      <c r="HE16" s="242"/>
      <c r="HF16" s="242"/>
      <c r="HG16" s="242"/>
      <c r="HH16" s="242" t="s">
        <v>818</v>
      </c>
      <c r="HI16" s="242"/>
      <c r="HJ16" s="242"/>
      <c r="HK16" s="242"/>
      <c r="HL16" s="242"/>
      <c r="HM16" s="242"/>
      <c r="HN16" s="242"/>
      <c r="HO16" s="243"/>
      <c r="HP16" s="321">
        <f>+'Staffing-Roles'!DS124</f>
        <v>0</v>
      </c>
      <c r="HQ16" s="319">
        <f>+'Staffing-Roles'!DS151</f>
        <v>0</v>
      </c>
      <c r="HR16" s="318">
        <f t="shared" si="5"/>
        <v>0</v>
      </c>
      <c r="HS16" s="318">
        <f t="shared" si="6"/>
        <v>0</v>
      </c>
      <c r="HT16" s="331">
        <f t="shared" si="0"/>
        <v>0</v>
      </c>
      <c r="HU16" s="331">
        <f t="shared" si="1"/>
        <v>0</v>
      </c>
      <c r="HV16" s="332">
        <f t="shared" si="2"/>
        <v>0</v>
      </c>
      <c r="HX16" s="340">
        <f t="shared" si="7"/>
        <v>0</v>
      </c>
      <c r="HY16" s="331">
        <f t="shared" si="8"/>
        <v>0</v>
      </c>
      <c r="HZ16" s="332">
        <f t="shared" si="9"/>
        <v>0</v>
      </c>
    </row>
    <row r="17" spans="1:234" ht="12.75">
      <c r="A17" s="83">
        <f t="shared" si="10"/>
        <v>12</v>
      </c>
      <c r="B17" s="84"/>
      <c r="C17" s="84"/>
      <c r="D17" s="84"/>
      <c r="E17" s="84"/>
      <c r="F17" s="84" t="str">
        <f t="shared" si="3"/>
        <v>///</v>
      </c>
      <c r="G17" s="249">
        <f t="shared" si="11"/>
        <v>0</v>
      </c>
      <c r="H17" s="240">
        <f t="shared" si="4"/>
        <v>0</v>
      </c>
      <c r="I17" s="378"/>
      <c r="J17" s="378"/>
      <c r="K17" s="247" t="s">
        <v>97</v>
      </c>
      <c r="L17" s="242"/>
      <c r="M17" s="242"/>
      <c r="N17" s="242"/>
      <c r="O17" s="242"/>
      <c r="P17" s="242"/>
      <c r="Q17" s="242"/>
      <c r="R17" s="242"/>
      <c r="S17" s="242"/>
      <c r="T17" s="247" t="s">
        <v>786</v>
      </c>
      <c r="U17" s="247" t="s">
        <v>200</v>
      </c>
      <c r="V17" s="242"/>
      <c r="W17" s="242"/>
      <c r="X17" s="242"/>
      <c r="Y17" s="242"/>
      <c r="Z17" s="242"/>
      <c r="AA17" s="242"/>
      <c r="AB17" s="247" t="s">
        <v>154</v>
      </c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7" t="s">
        <v>218</v>
      </c>
      <c r="AW17" s="242"/>
      <c r="AX17" s="242"/>
      <c r="AY17" s="242"/>
      <c r="AZ17" s="242"/>
      <c r="BA17" s="242"/>
      <c r="BB17" s="247" t="s">
        <v>226</v>
      </c>
      <c r="BC17" s="242"/>
      <c r="BD17" s="242"/>
      <c r="BE17" s="242"/>
      <c r="BF17" s="242"/>
      <c r="BG17" s="242"/>
      <c r="BH17" s="242"/>
      <c r="BI17" s="242"/>
      <c r="BJ17" s="242"/>
      <c r="BK17" s="242"/>
      <c r="BL17" s="242"/>
      <c r="BM17" s="242"/>
      <c r="BN17" s="242"/>
      <c r="BO17" s="242"/>
      <c r="BP17" s="242"/>
      <c r="BQ17" s="247" t="s">
        <v>123</v>
      </c>
      <c r="BR17" s="242"/>
      <c r="BS17" s="242"/>
      <c r="BT17" s="242"/>
      <c r="BU17" s="242"/>
      <c r="BV17" s="242"/>
      <c r="BW17" s="242"/>
      <c r="BX17" s="242"/>
      <c r="BY17" s="242"/>
      <c r="BZ17" s="242"/>
      <c r="CA17" s="242"/>
      <c r="CB17" s="242"/>
      <c r="CC17" s="242"/>
      <c r="CD17" s="242"/>
      <c r="CE17" s="242"/>
      <c r="CF17" s="242"/>
      <c r="CG17" s="242"/>
      <c r="CH17" s="242"/>
      <c r="CI17" s="242"/>
      <c r="CJ17" s="242"/>
      <c r="CK17" s="242"/>
      <c r="CL17" s="242"/>
      <c r="CM17" s="242"/>
      <c r="CN17" s="242"/>
      <c r="CO17" s="242"/>
      <c r="CP17" s="242"/>
      <c r="CQ17" s="242"/>
      <c r="CR17" s="242"/>
      <c r="CS17" s="242"/>
      <c r="CT17" s="242"/>
      <c r="CU17" s="242"/>
      <c r="CV17" s="242"/>
      <c r="CW17" s="242"/>
      <c r="CX17" s="242"/>
      <c r="CY17" s="242"/>
      <c r="CZ17" s="242"/>
      <c r="DA17" s="242"/>
      <c r="DB17" s="242"/>
      <c r="DC17" s="242"/>
      <c r="DD17" s="242"/>
      <c r="DE17" s="242"/>
      <c r="DF17" s="242"/>
      <c r="DG17" s="242"/>
      <c r="DH17" s="242"/>
      <c r="DI17" s="242"/>
      <c r="DJ17" s="242"/>
      <c r="DK17" s="242"/>
      <c r="DL17" s="242"/>
      <c r="DM17" s="247" t="s">
        <v>712</v>
      </c>
      <c r="DN17" s="242"/>
      <c r="DO17" s="242"/>
      <c r="DP17" s="242"/>
      <c r="DQ17" s="242"/>
      <c r="DR17" s="242"/>
      <c r="DS17" s="242"/>
      <c r="DT17" s="242"/>
      <c r="DU17" s="242"/>
      <c r="DV17" s="247" t="s">
        <v>129</v>
      </c>
      <c r="DW17" s="242"/>
      <c r="DX17" s="242"/>
      <c r="DY17" s="247" t="s">
        <v>265</v>
      </c>
      <c r="DZ17" s="242"/>
      <c r="EA17" s="242"/>
      <c r="EB17" s="242"/>
      <c r="EC17" s="242"/>
      <c r="ED17" s="242"/>
      <c r="EE17" s="242"/>
      <c r="EF17" s="242"/>
      <c r="EG17" s="242"/>
      <c r="EH17" s="242"/>
      <c r="EI17" s="242"/>
      <c r="EJ17" s="242"/>
      <c r="EK17" s="242"/>
      <c r="EL17" s="242"/>
      <c r="EM17" s="242"/>
      <c r="EN17" s="247" t="s">
        <v>280</v>
      </c>
      <c r="EO17" s="242"/>
      <c r="EP17" s="242"/>
      <c r="EQ17" s="242"/>
      <c r="ER17" s="242"/>
      <c r="ES17" s="242"/>
      <c r="ET17" s="242"/>
      <c r="EU17" s="242"/>
      <c r="EV17" s="242"/>
      <c r="EW17" s="242"/>
      <c r="EX17" s="242"/>
      <c r="EY17" s="242"/>
      <c r="EZ17" s="242"/>
      <c r="FA17" s="242"/>
      <c r="FB17" s="242"/>
      <c r="FC17" s="242"/>
      <c r="FD17" s="242"/>
      <c r="FE17" s="247" t="s">
        <v>296</v>
      </c>
      <c r="FF17" s="242"/>
      <c r="FG17" s="242"/>
      <c r="FH17" s="242"/>
      <c r="FI17" s="242"/>
      <c r="FJ17" s="242"/>
      <c r="FK17" s="242"/>
      <c r="FL17" s="242"/>
      <c r="FM17" s="242"/>
      <c r="FN17" s="242"/>
      <c r="FO17" s="242"/>
      <c r="FP17" s="242"/>
      <c r="FQ17" s="242"/>
      <c r="FR17" s="242"/>
      <c r="FS17" s="247" t="s">
        <v>305</v>
      </c>
      <c r="FT17" s="242"/>
      <c r="FU17" s="242"/>
      <c r="FV17" s="242"/>
      <c r="FW17" s="242"/>
      <c r="FX17" s="242"/>
      <c r="FY17" s="242"/>
      <c r="FZ17" s="242"/>
      <c r="GA17" s="242"/>
      <c r="GB17" s="242"/>
      <c r="GC17" s="242"/>
      <c r="GD17" s="242"/>
      <c r="GE17" s="242"/>
      <c r="GF17" s="242"/>
      <c r="GG17" s="242"/>
      <c r="GH17" s="242"/>
      <c r="GI17" s="242"/>
      <c r="GJ17" s="242"/>
      <c r="GK17" s="242"/>
      <c r="GL17" s="242"/>
      <c r="GM17" s="247"/>
      <c r="GN17" s="247"/>
      <c r="GO17" s="247"/>
      <c r="GP17" s="242"/>
      <c r="GQ17" s="242"/>
      <c r="GR17" s="242"/>
      <c r="GS17" s="242"/>
      <c r="GT17" s="242"/>
      <c r="GU17" s="242"/>
      <c r="GV17" s="242"/>
      <c r="GW17" s="242"/>
      <c r="GX17" s="242"/>
      <c r="GY17" s="242"/>
      <c r="GZ17" s="242"/>
      <c r="HA17" s="242"/>
      <c r="HB17" s="242"/>
      <c r="HC17" s="242"/>
      <c r="HD17" s="242"/>
      <c r="HE17" s="242"/>
      <c r="HF17" s="242"/>
      <c r="HG17" s="242"/>
      <c r="HH17" s="242" t="s">
        <v>814</v>
      </c>
      <c r="HI17" s="242"/>
      <c r="HJ17" s="242"/>
      <c r="HK17" s="242"/>
      <c r="HL17" s="242"/>
      <c r="HM17" s="242"/>
      <c r="HN17" s="242"/>
      <c r="HO17" s="243"/>
      <c r="HP17" s="321">
        <f>+'Staffing-Roles'!DS125</f>
        <v>0</v>
      </c>
      <c r="HQ17" s="319">
        <f>+'Staffing-Roles'!DS152</f>
        <v>0</v>
      </c>
      <c r="HR17" s="318">
        <f t="shared" si="5"/>
        <v>0</v>
      </c>
      <c r="HS17" s="318">
        <f t="shared" si="6"/>
        <v>0</v>
      </c>
      <c r="HT17" s="331">
        <f t="shared" si="0"/>
        <v>0</v>
      </c>
      <c r="HU17" s="331">
        <f t="shared" si="1"/>
        <v>0</v>
      </c>
      <c r="HV17" s="332">
        <f t="shared" si="2"/>
        <v>0</v>
      </c>
      <c r="HX17" s="340">
        <f t="shared" si="7"/>
        <v>0</v>
      </c>
      <c r="HY17" s="331">
        <f t="shared" si="8"/>
        <v>0</v>
      </c>
      <c r="HZ17" s="332">
        <f t="shared" si="9"/>
        <v>0</v>
      </c>
    </row>
    <row r="18" spans="1:234" ht="12.75">
      <c r="A18" s="83">
        <f t="shared" si="10"/>
        <v>13</v>
      </c>
      <c r="B18" s="84"/>
      <c r="C18" s="84"/>
      <c r="D18" s="84"/>
      <c r="E18" s="84"/>
      <c r="F18" s="84" t="str">
        <f t="shared" si="3"/>
        <v>///</v>
      </c>
      <c r="G18" s="249">
        <f t="shared" si="11"/>
        <v>0</v>
      </c>
      <c r="H18" s="240">
        <f t="shared" si="4"/>
        <v>0</v>
      </c>
      <c r="I18" s="378"/>
      <c r="J18" s="378"/>
      <c r="K18" s="247" t="s">
        <v>30</v>
      </c>
      <c r="L18" s="242"/>
      <c r="M18" s="242"/>
      <c r="N18" s="242"/>
      <c r="O18" s="242"/>
      <c r="P18" s="242"/>
      <c r="Q18" s="242"/>
      <c r="R18" s="242"/>
      <c r="S18" s="242"/>
      <c r="T18" s="247" t="s">
        <v>787</v>
      </c>
      <c r="U18" s="247" t="s">
        <v>201</v>
      </c>
      <c r="V18" s="242"/>
      <c r="W18" s="242"/>
      <c r="X18" s="242"/>
      <c r="Y18" s="242"/>
      <c r="Z18" s="242"/>
      <c r="AA18" s="242"/>
      <c r="AB18" s="247" t="s">
        <v>155</v>
      </c>
      <c r="AC18" s="242"/>
      <c r="AD18" s="242"/>
      <c r="AE18" s="242"/>
      <c r="AF18" s="242"/>
      <c r="AG18" s="242"/>
      <c r="AH18" s="242"/>
      <c r="AI18" s="242"/>
      <c r="AJ18" s="242"/>
      <c r="AK18" s="242"/>
      <c r="AL18" s="242"/>
      <c r="AM18" s="242"/>
      <c r="AN18" s="242"/>
      <c r="AO18" s="242"/>
      <c r="AP18" s="242"/>
      <c r="AQ18" s="242"/>
      <c r="AR18" s="242"/>
      <c r="AS18" s="242"/>
      <c r="AT18" s="242"/>
      <c r="AU18" s="242"/>
      <c r="AV18" s="242"/>
      <c r="AW18" s="242"/>
      <c r="AX18" s="242"/>
      <c r="AY18" s="242"/>
      <c r="AZ18" s="242"/>
      <c r="BA18" s="242"/>
      <c r="BB18" s="247" t="s">
        <v>227</v>
      </c>
      <c r="BC18" s="242"/>
      <c r="BD18" s="242"/>
      <c r="BE18" s="242"/>
      <c r="BF18" s="242"/>
      <c r="BG18" s="242"/>
      <c r="BH18" s="242"/>
      <c r="BI18" s="242"/>
      <c r="BJ18" s="242"/>
      <c r="BK18" s="242"/>
      <c r="BL18" s="242"/>
      <c r="BM18" s="242"/>
      <c r="BN18" s="242"/>
      <c r="BO18" s="242"/>
      <c r="BP18" s="242"/>
      <c r="BQ18" s="247" t="s">
        <v>234</v>
      </c>
      <c r="BR18" s="242"/>
      <c r="BS18" s="242"/>
      <c r="BT18" s="242"/>
      <c r="BU18" s="242"/>
      <c r="BV18" s="242"/>
      <c r="BW18" s="242"/>
      <c r="BX18" s="242"/>
      <c r="BY18" s="242"/>
      <c r="BZ18" s="242"/>
      <c r="CA18" s="242"/>
      <c r="CB18" s="242"/>
      <c r="CC18" s="242"/>
      <c r="CD18" s="242"/>
      <c r="CE18" s="242"/>
      <c r="CF18" s="242"/>
      <c r="CG18" s="242"/>
      <c r="CH18" s="242"/>
      <c r="CI18" s="242"/>
      <c r="CJ18" s="242"/>
      <c r="CK18" s="242"/>
      <c r="CL18" s="242"/>
      <c r="CM18" s="242"/>
      <c r="CN18" s="242"/>
      <c r="CO18" s="242"/>
      <c r="CP18" s="242"/>
      <c r="CQ18" s="242"/>
      <c r="CR18" s="242"/>
      <c r="CS18" s="242"/>
      <c r="CT18" s="242"/>
      <c r="CU18" s="242"/>
      <c r="CV18" s="242"/>
      <c r="CW18" s="242"/>
      <c r="CX18" s="242"/>
      <c r="CY18" s="242"/>
      <c r="CZ18" s="242"/>
      <c r="DA18" s="242"/>
      <c r="DB18" s="242"/>
      <c r="DC18" s="242"/>
      <c r="DD18" s="242"/>
      <c r="DE18" s="242"/>
      <c r="DF18" s="242"/>
      <c r="DG18" s="242"/>
      <c r="DH18" s="242"/>
      <c r="DI18" s="242"/>
      <c r="DJ18" s="242"/>
      <c r="DK18" s="242"/>
      <c r="DL18" s="242"/>
      <c r="DM18" s="242"/>
      <c r="DN18" s="242"/>
      <c r="DO18" s="242"/>
      <c r="DP18" s="242"/>
      <c r="DQ18" s="242"/>
      <c r="DR18" s="242"/>
      <c r="DS18" s="242"/>
      <c r="DT18" s="242"/>
      <c r="DU18" s="242"/>
      <c r="DV18" s="247" t="s">
        <v>131</v>
      </c>
      <c r="DW18" s="242"/>
      <c r="DX18" s="242"/>
      <c r="DY18" s="247" t="s">
        <v>266</v>
      </c>
      <c r="DZ18" s="242"/>
      <c r="EA18" s="242"/>
      <c r="EB18" s="242"/>
      <c r="EC18" s="242"/>
      <c r="ED18" s="242"/>
      <c r="EE18" s="242"/>
      <c r="EF18" s="242"/>
      <c r="EG18" s="242"/>
      <c r="EH18" s="242"/>
      <c r="EI18" s="242"/>
      <c r="EJ18" s="242"/>
      <c r="EK18" s="242"/>
      <c r="EL18" s="242"/>
      <c r="EM18" s="242"/>
      <c r="EN18" s="247" t="s">
        <v>281</v>
      </c>
      <c r="EO18" s="242"/>
      <c r="EP18" s="242"/>
      <c r="EQ18" s="242"/>
      <c r="ER18" s="242"/>
      <c r="ES18" s="242"/>
      <c r="ET18" s="242"/>
      <c r="EU18" s="242"/>
      <c r="EV18" s="242"/>
      <c r="EW18" s="242"/>
      <c r="EX18" s="242"/>
      <c r="EY18" s="242"/>
      <c r="EZ18" s="242"/>
      <c r="FA18" s="242"/>
      <c r="FB18" s="242"/>
      <c r="FC18" s="242"/>
      <c r="FD18" s="242"/>
      <c r="FE18" s="242"/>
      <c r="FF18" s="242"/>
      <c r="FG18" s="242"/>
      <c r="FH18" s="242"/>
      <c r="FI18" s="242"/>
      <c r="FJ18" s="242"/>
      <c r="FK18" s="242"/>
      <c r="FL18" s="242"/>
      <c r="FM18" s="242"/>
      <c r="FN18" s="242"/>
      <c r="FO18" s="242"/>
      <c r="FP18" s="242"/>
      <c r="FQ18" s="242"/>
      <c r="FR18" s="242"/>
      <c r="FS18" s="247" t="s">
        <v>304</v>
      </c>
      <c r="FT18" s="242"/>
      <c r="FU18" s="242"/>
      <c r="FV18" s="242"/>
      <c r="FW18" s="242"/>
      <c r="FX18" s="242"/>
      <c r="FY18" s="242"/>
      <c r="FZ18" s="242"/>
      <c r="GA18" s="242"/>
      <c r="GB18" s="242"/>
      <c r="GC18" s="242"/>
      <c r="GD18" s="242"/>
      <c r="GE18" s="242"/>
      <c r="GF18" s="242"/>
      <c r="GG18" s="242"/>
      <c r="GH18" s="242"/>
      <c r="GI18" s="242"/>
      <c r="GJ18" s="242"/>
      <c r="GK18" s="242"/>
      <c r="GL18" s="242"/>
      <c r="GM18" s="242"/>
      <c r="GN18" s="242"/>
      <c r="GO18" s="242"/>
      <c r="GP18" s="242"/>
      <c r="GQ18" s="242"/>
      <c r="GR18" s="242"/>
      <c r="GS18" s="242"/>
      <c r="GT18" s="242"/>
      <c r="GU18" s="242"/>
      <c r="GV18" s="242"/>
      <c r="GW18" s="242"/>
      <c r="GX18" s="242"/>
      <c r="GY18" s="242"/>
      <c r="GZ18" s="242"/>
      <c r="HA18" s="242"/>
      <c r="HB18" s="242"/>
      <c r="HC18" s="242"/>
      <c r="HD18" s="242"/>
      <c r="HE18" s="242"/>
      <c r="HF18" s="242"/>
      <c r="HG18" s="242"/>
      <c r="HH18" s="242"/>
      <c r="HI18" s="242"/>
      <c r="HJ18" s="242"/>
      <c r="HK18" s="242"/>
      <c r="HL18" s="242"/>
      <c r="HM18" s="242"/>
      <c r="HN18" s="242"/>
      <c r="HO18" s="243"/>
      <c r="HP18" s="321">
        <f>+'Staffing-Roles'!DS126</f>
        <v>0</v>
      </c>
      <c r="HQ18" s="319">
        <f>+'Staffing-Roles'!DS153</f>
        <v>0</v>
      </c>
      <c r="HR18" s="318">
        <f t="shared" si="5"/>
        <v>0</v>
      </c>
      <c r="HS18" s="318">
        <f t="shared" si="6"/>
        <v>0</v>
      </c>
      <c r="HT18" s="331">
        <f t="shared" si="0"/>
        <v>0</v>
      </c>
      <c r="HU18" s="331">
        <f t="shared" si="1"/>
        <v>0</v>
      </c>
      <c r="HV18" s="332">
        <f t="shared" si="2"/>
        <v>0</v>
      </c>
      <c r="HX18" s="340">
        <f t="shared" si="7"/>
        <v>0</v>
      </c>
      <c r="HY18" s="331">
        <f t="shared" si="8"/>
        <v>0</v>
      </c>
      <c r="HZ18" s="332">
        <f t="shared" si="9"/>
        <v>0</v>
      </c>
    </row>
    <row r="19" spans="1:234" ht="12.75">
      <c r="A19" s="83">
        <f t="shared" si="10"/>
        <v>14</v>
      </c>
      <c r="B19" s="84"/>
      <c r="C19" s="84"/>
      <c r="D19" s="84"/>
      <c r="E19" s="84"/>
      <c r="F19" s="84" t="str">
        <f t="shared" si="3"/>
        <v>///</v>
      </c>
      <c r="G19" s="249">
        <f t="shared" si="11"/>
        <v>0</v>
      </c>
      <c r="H19" s="240">
        <f t="shared" si="4"/>
        <v>0</v>
      </c>
      <c r="I19" s="378"/>
      <c r="J19" s="378"/>
      <c r="K19" s="247" t="s">
        <v>80</v>
      </c>
      <c r="L19" s="242"/>
      <c r="M19" s="242"/>
      <c r="N19" s="242"/>
      <c r="O19" s="242"/>
      <c r="P19" s="242"/>
      <c r="Q19" s="242"/>
      <c r="R19" s="242"/>
      <c r="S19" s="242"/>
      <c r="T19" s="242"/>
      <c r="U19" s="242"/>
      <c r="V19" s="242"/>
      <c r="W19" s="242"/>
      <c r="X19" s="242"/>
      <c r="Y19" s="242"/>
      <c r="Z19" s="242"/>
      <c r="AA19" s="242"/>
      <c r="AB19" s="247" t="s">
        <v>156</v>
      </c>
      <c r="AC19" s="242"/>
      <c r="AD19" s="242"/>
      <c r="AE19" s="242"/>
      <c r="AF19" s="242"/>
      <c r="AG19" s="242"/>
      <c r="AH19" s="242"/>
      <c r="AI19" s="242"/>
      <c r="AJ19" s="242"/>
      <c r="AK19" s="242"/>
      <c r="AL19" s="242"/>
      <c r="AM19" s="242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7" t="s">
        <v>121</v>
      </c>
      <c r="BC19" s="242"/>
      <c r="BD19" s="242"/>
      <c r="BE19" s="242"/>
      <c r="BF19" s="242"/>
      <c r="BG19" s="242"/>
      <c r="BH19" s="242"/>
      <c r="BI19" s="242"/>
      <c r="BJ19" s="242"/>
      <c r="BK19" s="242"/>
      <c r="BL19" s="242"/>
      <c r="BM19" s="242"/>
      <c r="BN19" s="242"/>
      <c r="BO19" s="242"/>
      <c r="BP19" s="242"/>
      <c r="BQ19" s="247" t="s">
        <v>247</v>
      </c>
      <c r="BR19" s="242"/>
      <c r="BS19" s="242"/>
      <c r="BT19" s="242"/>
      <c r="BU19" s="242"/>
      <c r="BV19" s="242"/>
      <c r="BW19" s="242"/>
      <c r="BX19" s="242"/>
      <c r="BY19" s="242"/>
      <c r="BZ19" s="242"/>
      <c r="CA19" s="242"/>
      <c r="CB19" s="242"/>
      <c r="CC19" s="242"/>
      <c r="CD19" s="242"/>
      <c r="CE19" s="242"/>
      <c r="CF19" s="242"/>
      <c r="CG19" s="242"/>
      <c r="CH19" s="242"/>
      <c r="CI19" s="242"/>
      <c r="CJ19" s="242"/>
      <c r="CK19" s="242"/>
      <c r="CL19" s="242"/>
      <c r="CM19" s="242"/>
      <c r="CN19" s="242"/>
      <c r="CO19" s="242"/>
      <c r="CP19" s="242"/>
      <c r="CQ19" s="242"/>
      <c r="CR19" s="242"/>
      <c r="CS19" s="242"/>
      <c r="CT19" s="242"/>
      <c r="CU19" s="242"/>
      <c r="CV19" s="242"/>
      <c r="CW19" s="242"/>
      <c r="CX19" s="242"/>
      <c r="CY19" s="242"/>
      <c r="CZ19" s="242"/>
      <c r="DA19" s="242"/>
      <c r="DB19" s="242"/>
      <c r="DC19" s="242"/>
      <c r="DD19" s="242"/>
      <c r="DE19" s="242"/>
      <c r="DF19" s="242"/>
      <c r="DG19" s="242"/>
      <c r="DH19" s="242"/>
      <c r="DI19" s="242"/>
      <c r="DJ19" s="242"/>
      <c r="DK19" s="242"/>
      <c r="DL19" s="242"/>
      <c r="DM19" s="242"/>
      <c r="DN19" s="242"/>
      <c r="DO19" s="242"/>
      <c r="DP19" s="242"/>
      <c r="DQ19" s="242"/>
      <c r="DR19" s="242"/>
      <c r="DS19" s="242"/>
      <c r="DT19" s="242"/>
      <c r="DU19" s="242"/>
      <c r="DV19" s="247" t="s">
        <v>344</v>
      </c>
      <c r="DW19" s="242"/>
      <c r="DX19" s="242"/>
      <c r="DY19" s="247" t="s">
        <v>267</v>
      </c>
      <c r="DZ19" s="242"/>
      <c r="EA19" s="242"/>
      <c r="EB19" s="242"/>
      <c r="EC19" s="242"/>
      <c r="ED19" s="242"/>
      <c r="EE19" s="242"/>
      <c r="EF19" s="242"/>
      <c r="EG19" s="242"/>
      <c r="EH19" s="242"/>
      <c r="EI19" s="242"/>
      <c r="EJ19" s="242"/>
      <c r="EK19" s="242"/>
      <c r="EL19" s="242"/>
      <c r="EM19" s="242"/>
      <c r="EN19" s="247" t="s">
        <v>282</v>
      </c>
      <c r="EO19" s="242"/>
      <c r="EP19" s="242"/>
      <c r="EQ19" s="242"/>
      <c r="ER19" s="242"/>
      <c r="ES19" s="242"/>
      <c r="ET19" s="242"/>
      <c r="EU19" s="242"/>
      <c r="EV19" s="242"/>
      <c r="EW19" s="242"/>
      <c r="EX19" s="242"/>
      <c r="EY19" s="242"/>
      <c r="EZ19" s="242"/>
      <c r="FA19" s="242"/>
      <c r="FB19" s="242"/>
      <c r="FC19" s="242"/>
      <c r="FD19" s="242"/>
      <c r="FE19" s="242"/>
      <c r="FF19" s="242"/>
      <c r="FG19" s="242"/>
      <c r="FH19" s="242"/>
      <c r="FI19" s="242"/>
      <c r="FJ19" s="242"/>
      <c r="FK19" s="242"/>
      <c r="FL19" s="242"/>
      <c r="FM19" s="242"/>
      <c r="FN19" s="242"/>
      <c r="FO19" s="242"/>
      <c r="FP19" s="242"/>
      <c r="FQ19" s="242"/>
      <c r="FR19" s="242"/>
      <c r="FS19" s="242"/>
      <c r="FT19" s="242"/>
      <c r="FU19" s="242"/>
      <c r="FV19" s="242"/>
      <c r="FW19" s="242"/>
      <c r="FX19" s="242"/>
      <c r="FY19" s="242"/>
      <c r="FZ19" s="242"/>
      <c r="GA19" s="242"/>
      <c r="GB19" s="242"/>
      <c r="GC19" s="242"/>
      <c r="GD19" s="242"/>
      <c r="GE19" s="242"/>
      <c r="GF19" s="242"/>
      <c r="GG19" s="242"/>
      <c r="GH19" s="242"/>
      <c r="GI19" s="242"/>
      <c r="GJ19" s="242"/>
      <c r="GK19" s="242"/>
      <c r="GL19" s="242"/>
      <c r="GM19" s="242"/>
      <c r="GN19" s="242"/>
      <c r="GO19" s="242"/>
      <c r="GP19" s="242"/>
      <c r="GQ19" s="242"/>
      <c r="GR19" s="242"/>
      <c r="GS19" s="242"/>
      <c r="GT19" s="242"/>
      <c r="GU19" s="242"/>
      <c r="GV19" s="242"/>
      <c r="GW19" s="242"/>
      <c r="GX19" s="242"/>
      <c r="GY19" s="242"/>
      <c r="GZ19" s="242"/>
      <c r="HA19" s="242"/>
      <c r="HB19" s="242"/>
      <c r="HC19" s="242"/>
      <c r="HD19" s="242"/>
      <c r="HE19" s="242"/>
      <c r="HF19" s="242"/>
      <c r="HG19" s="242"/>
      <c r="HH19" s="242"/>
      <c r="HI19" s="242"/>
      <c r="HJ19" s="242"/>
      <c r="HK19" s="242"/>
      <c r="HL19" s="242"/>
      <c r="HM19" s="242"/>
      <c r="HN19" s="242"/>
      <c r="HO19" s="243"/>
      <c r="HP19" s="321">
        <f>+'Staffing-Roles'!DS127</f>
        <v>0</v>
      </c>
      <c r="HQ19" s="319">
        <f>+'Staffing-Roles'!DS154</f>
        <v>0</v>
      </c>
      <c r="HR19" s="318">
        <f t="shared" si="5"/>
        <v>0</v>
      </c>
      <c r="HS19" s="318">
        <f t="shared" si="6"/>
        <v>0</v>
      </c>
      <c r="HT19" s="331">
        <f t="shared" si="0"/>
        <v>0</v>
      </c>
      <c r="HU19" s="331">
        <f t="shared" si="1"/>
        <v>0</v>
      </c>
      <c r="HV19" s="332">
        <f t="shared" si="2"/>
        <v>0</v>
      </c>
      <c r="HX19" s="340">
        <f t="shared" si="7"/>
        <v>0</v>
      </c>
      <c r="HY19" s="331">
        <f t="shared" si="8"/>
        <v>0</v>
      </c>
      <c r="HZ19" s="332">
        <f t="shared" si="9"/>
        <v>0</v>
      </c>
    </row>
    <row r="20" spans="1:234" ht="12.75">
      <c r="A20" s="83">
        <f t="shared" si="10"/>
        <v>15</v>
      </c>
      <c r="B20" s="84"/>
      <c r="C20" s="84"/>
      <c r="D20" s="84"/>
      <c r="E20" s="84"/>
      <c r="F20" s="84" t="str">
        <f t="shared" si="3"/>
        <v>///</v>
      </c>
      <c r="G20" s="249">
        <f t="shared" si="11"/>
        <v>0</v>
      </c>
      <c r="H20" s="240">
        <f t="shared" si="4"/>
        <v>0</v>
      </c>
      <c r="I20" s="378"/>
      <c r="J20" s="378"/>
      <c r="K20" s="247" t="s">
        <v>183</v>
      </c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247" t="s">
        <v>115</v>
      </c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2"/>
      <c r="BK20" s="242"/>
      <c r="BL20" s="242"/>
      <c r="BM20" s="242"/>
      <c r="BN20" s="242"/>
      <c r="BO20" s="242"/>
      <c r="BP20" s="242"/>
      <c r="BQ20" s="247" t="s">
        <v>336</v>
      </c>
      <c r="BR20" s="242"/>
      <c r="BS20" s="242"/>
      <c r="BT20" s="242"/>
      <c r="BU20" s="242"/>
      <c r="BV20" s="242"/>
      <c r="BW20" s="242"/>
      <c r="BX20" s="242"/>
      <c r="BY20" s="242"/>
      <c r="BZ20" s="242"/>
      <c r="CA20" s="242"/>
      <c r="CB20" s="242"/>
      <c r="CC20" s="242"/>
      <c r="CD20" s="242"/>
      <c r="CE20" s="242"/>
      <c r="CF20" s="242"/>
      <c r="CG20" s="242"/>
      <c r="CH20" s="242"/>
      <c r="CI20" s="242"/>
      <c r="CJ20" s="242"/>
      <c r="CK20" s="242"/>
      <c r="CL20" s="242"/>
      <c r="CM20" s="242"/>
      <c r="CN20" s="242"/>
      <c r="CO20" s="242"/>
      <c r="CP20" s="242"/>
      <c r="CQ20" s="242"/>
      <c r="CR20" s="242"/>
      <c r="CS20" s="242"/>
      <c r="CT20" s="242"/>
      <c r="CU20" s="242"/>
      <c r="CV20" s="242"/>
      <c r="CW20" s="242"/>
      <c r="CX20" s="242"/>
      <c r="CY20" s="242"/>
      <c r="CZ20" s="242"/>
      <c r="DA20" s="242"/>
      <c r="DB20" s="242"/>
      <c r="DC20" s="242"/>
      <c r="DD20" s="242"/>
      <c r="DE20" s="242"/>
      <c r="DF20" s="242"/>
      <c r="DG20" s="242"/>
      <c r="DH20" s="242"/>
      <c r="DI20" s="242"/>
      <c r="DJ20" s="242"/>
      <c r="DK20" s="242"/>
      <c r="DL20" s="242"/>
      <c r="DM20" s="242"/>
      <c r="DN20" s="242"/>
      <c r="DO20" s="242"/>
      <c r="DP20" s="242"/>
      <c r="DQ20" s="242"/>
      <c r="DR20" s="242"/>
      <c r="DS20" s="242"/>
      <c r="DT20" s="242"/>
      <c r="DU20" s="242"/>
      <c r="DV20" s="247" t="s">
        <v>744</v>
      </c>
      <c r="DW20" s="242"/>
      <c r="DX20" s="242"/>
      <c r="DY20" s="247" t="s">
        <v>268</v>
      </c>
      <c r="DZ20" s="242"/>
      <c r="EA20" s="242"/>
      <c r="EB20" s="242"/>
      <c r="EC20" s="242"/>
      <c r="ED20" s="242"/>
      <c r="EE20" s="242"/>
      <c r="EF20" s="242"/>
      <c r="EG20" s="242"/>
      <c r="EH20" s="242"/>
      <c r="EI20" s="242"/>
      <c r="EJ20" s="242"/>
      <c r="EK20" s="242"/>
      <c r="EL20" s="242"/>
      <c r="EM20" s="242"/>
      <c r="EN20" s="247" t="s">
        <v>335</v>
      </c>
      <c r="EO20" s="242"/>
      <c r="EP20" s="242"/>
      <c r="EQ20" s="242"/>
      <c r="ER20" s="242"/>
      <c r="ES20" s="242"/>
      <c r="ET20" s="242"/>
      <c r="EU20" s="242"/>
      <c r="EV20" s="242"/>
      <c r="EW20" s="242"/>
      <c r="EX20" s="242"/>
      <c r="EY20" s="242"/>
      <c r="EZ20" s="242"/>
      <c r="FA20" s="242"/>
      <c r="FB20" s="242"/>
      <c r="FC20" s="242"/>
      <c r="FD20" s="242"/>
      <c r="FE20" s="242"/>
      <c r="FF20" s="242"/>
      <c r="FG20" s="242"/>
      <c r="FH20" s="242"/>
      <c r="FI20" s="242"/>
      <c r="FJ20" s="242"/>
      <c r="FK20" s="242"/>
      <c r="FL20" s="242"/>
      <c r="FM20" s="242"/>
      <c r="FN20" s="242"/>
      <c r="FO20" s="242"/>
      <c r="FP20" s="242"/>
      <c r="FQ20" s="242"/>
      <c r="FR20" s="242"/>
      <c r="FS20" s="242"/>
      <c r="FT20" s="242"/>
      <c r="FU20" s="242"/>
      <c r="FV20" s="242"/>
      <c r="FW20" s="242"/>
      <c r="FX20" s="242"/>
      <c r="FY20" s="242"/>
      <c r="FZ20" s="242"/>
      <c r="GA20" s="242"/>
      <c r="GB20" s="242"/>
      <c r="GC20" s="242"/>
      <c r="GD20" s="242"/>
      <c r="GE20" s="242"/>
      <c r="GF20" s="242"/>
      <c r="GG20" s="242"/>
      <c r="GH20" s="242"/>
      <c r="GI20" s="242"/>
      <c r="GJ20" s="242"/>
      <c r="GK20" s="242"/>
      <c r="GL20" s="242"/>
      <c r="GM20" s="242"/>
      <c r="GN20" s="242"/>
      <c r="GO20" s="242"/>
      <c r="GP20" s="242"/>
      <c r="GQ20" s="242"/>
      <c r="GR20" s="242"/>
      <c r="GS20" s="242"/>
      <c r="GT20" s="242"/>
      <c r="GU20" s="242"/>
      <c r="GV20" s="242"/>
      <c r="GW20" s="242"/>
      <c r="GX20" s="242"/>
      <c r="GY20" s="242"/>
      <c r="GZ20" s="242"/>
      <c r="HA20" s="242"/>
      <c r="HB20" s="242"/>
      <c r="HC20" s="242"/>
      <c r="HD20" s="242"/>
      <c r="HE20" s="242"/>
      <c r="HF20" s="242"/>
      <c r="HG20" s="242"/>
      <c r="HH20" s="242"/>
      <c r="HI20" s="242"/>
      <c r="HJ20" s="242"/>
      <c r="HK20" s="242"/>
      <c r="HL20" s="242"/>
      <c r="HM20" s="242"/>
      <c r="HN20" s="242"/>
      <c r="HO20" s="243"/>
      <c r="HP20" s="321">
        <f>+'Staffing-Roles'!DS128</f>
        <v>0</v>
      </c>
      <c r="HQ20" s="319">
        <f>+'Staffing-Roles'!DS155</f>
        <v>0</v>
      </c>
      <c r="HR20" s="318">
        <f t="shared" si="5"/>
        <v>0</v>
      </c>
      <c r="HS20" s="318">
        <f t="shared" si="6"/>
        <v>0</v>
      </c>
      <c r="HT20" s="331">
        <f t="shared" si="0"/>
        <v>0</v>
      </c>
      <c r="HU20" s="331">
        <f t="shared" si="1"/>
        <v>0</v>
      </c>
      <c r="HV20" s="332">
        <f t="shared" si="2"/>
        <v>0</v>
      </c>
      <c r="HX20" s="340">
        <f t="shared" si="7"/>
        <v>0</v>
      </c>
      <c r="HY20" s="331">
        <f t="shared" si="8"/>
        <v>0</v>
      </c>
      <c r="HZ20" s="332">
        <f t="shared" si="9"/>
        <v>0</v>
      </c>
    </row>
    <row r="21" spans="1:234" ht="12.75">
      <c r="A21" s="83">
        <f t="shared" si="10"/>
        <v>16</v>
      </c>
      <c r="B21" s="84"/>
      <c r="C21" s="84"/>
      <c r="D21" s="84"/>
      <c r="E21" s="84"/>
      <c r="F21" s="84" t="str">
        <f t="shared" si="3"/>
        <v>///</v>
      </c>
      <c r="G21" s="249">
        <f t="shared" si="11"/>
        <v>0</v>
      </c>
      <c r="H21" s="240">
        <f t="shared" si="4"/>
        <v>0</v>
      </c>
      <c r="I21" s="378"/>
      <c r="J21" s="378"/>
      <c r="K21" s="247" t="s">
        <v>741</v>
      </c>
      <c r="L21" s="242"/>
      <c r="M21" s="242"/>
      <c r="N21" s="242"/>
      <c r="O21" s="242"/>
      <c r="P21" s="242"/>
      <c r="Q21" s="242"/>
      <c r="R21" s="242"/>
      <c r="S21" s="242"/>
      <c r="T21" s="242"/>
      <c r="U21" s="242"/>
      <c r="V21" s="242"/>
      <c r="W21" s="242"/>
      <c r="X21" s="242"/>
      <c r="Y21" s="242"/>
      <c r="Z21" s="242"/>
      <c r="AA21" s="242"/>
      <c r="AB21" s="247" t="s">
        <v>116</v>
      </c>
      <c r="AC21" s="242"/>
      <c r="AD21" s="242"/>
      <c r="AE21" s="242"/>
      <c r="AF21" s="242"/>
      <c r="AG21" s="242"/>
      <c r="AH21" s="242"/>
      <c r="AI21" s="242"/>
      <c r="AJ21" s="242"/>
      <c r="AK21" s="242"/>
      <c r="AL21" s="242"/>
      <c r="AM21" s="242"/>
      <c r="AN21" s="242"/>
      <c r="AO21" s="242"/>
      <c r="AP21" s="242"/>
      <c r="AQ21" s="242"/>
      <c r="AR21" s="242"/>
      <c r="AS21" s="242"/>
      <c r="AT21" s="242"/>
      <c r="AU21" s="242"/>
      <c r="AV21" s="242"/>
      <c r="AW21" s="242"/>
      <c r="AX21" s="242"/>
      <c r="AY21" s="242"/>
      <c r="AZ21" s="242"/>
      <c r="BA21" s="242"/>
      <c r="BB21" s="242"/>
      <c r="BC21" s="242"/>
      <c r="BD21" s="242"/>
      <c r="BE21" s="242"/>
      <c r="BF21" s="242"/>
      <c r="BG21" s="242"/>
      <c r="BH21" s="242"/>
      <c r="BI21" s="242"/>
      <c r="BJ21" s="242"/>
      <c r="BK21" s="242"/>
      <c r="BL21" s="242"/>
      <c r="BM21" s="242"/>
      <c r="BN21" s="242"/>
      <c r="BO21" s="242"/>
      <c r="BP21" s="242"/>
      <c r="BQ21" s="247" t="s">
        <v>109</v>
      </c>
      <c r="BR21" s="242"/>
      <c r="BS21" s="242"/>
      <c r="BT21" s="242"/>
      <c r="BU21" s="242"/>
      <c r="BV21" s="242"/>
      <c r="BW21" s="242"/>
      <c r="BX21" s="242"/>
      <c r="BY21" s="242"/>
      <c r="BZ21" s="242"/>
      <c r="CA21" s="242"/>
      <c r="CB21" s="242"/>
      <c r="CC21" s="242"/>
      <c r="CD21" s="242"/>
      <c r="CE21" s="242"/>
      <c r="CF21" s="242"/>
      <c r="CG21" s="242"/>
      <c r="CH21" s="242"/>
      <c r="CI21" s="242"/>
      <c r="CJ21" s="242"/>
      <c r="CK21" s="242"/>
      <c r="CL21" s="242"/>
      <c r="CM21" s="242"/>
      <c r="CN21" s="242"/>
      <c r="CO21" s="242"/>
      <c r="CP21" s="242"/>
      <c r="CQ21" s="242"/>
      <c r="CR21" s="242"/>
      <c r="CS21" s="242"/>
      <c r="CT21" s="242"/>
      <c r="CU21" s="242"/>
      <c r="CV21" s="242"/>
      <c r="CW21" s="242"/>
      <c r="CX21" s="242"/>
      <c r="CY21" s="242"/>
      <c r="CZ21" s="242"/>
      <c r="DA21" s="242"/>
      <c r="DB21" s="242"/>
      <c r="DC21" s="242"/>
      <c r="DD21" s="242"/>
      <c r="DE21" s="242"/>
      <c r="DF21" s="242"/>
      <c r="DG21" s="242"/>
      <c r="DH21" s="242"/>
      <c r="DI21" s="242"/>
      <c r="DJ21" s="242"/>
      <c r="DK21" s="242"/>
      <c r="DL21" s="242"/>
      <c r="DM21" s="242"/>
      <c r="DN21" s="242"/>
      <c r="DO21" s="242"/>
      <c r="DP21" s="242"/>
      <c r="DQ21" s="242"/>
      <c r="DR21" s="242"/>
      <c r="DS21" s="242"/>
      <c r="DT21" s="242"/>
      <c r="DU21" s="242"/>
      <c r="DV21" s="247" t="s">
        <v>745</v>
      </c>
      <c r="DW21" s="242"/>
      <c r="DX21" s="242"/>
      <c r="DY21" s="247" t="s">
        <v>269</v>
      </c>
      <c r="DZ21" s="242"/>
      <c r="EA21" s="242"/>
      <c r="EB21" s="242"/>
      <c r="EC21" s="242"/>
      <c r="ED21" s="242"/>
      <c r="EE21" s="242"/>
      <c r="EF21" s="242"/>
      <c r="EG21" s="242"/>
      <c r="EH21" s="242"/>
      <c r="EI21" s="242"/>
      <c r="EJ21" s="242"/>
      <c r="EK21" s="242"/>
      <c r="EL21" s="242"/>
      <c r="EM21" s="242"/>
      <c r="EN21" s="247" t="s">
        <v>284</v>
      </c>
      <c r="EO21" s="242"/>
      <c r="EP21" s="242"/>
      <c r="EQ21" s="242"/>
      <c r="ER21" s="242"/>
      <c r="ES21" s="242"/>
      <c r="ET21" s="242"/>
      <c r="EU21" s="242"/>
      <c r="EV21" s="242"/>
      <c r="EW21" s="242"/>
      <c r="EX21" s="242"/>
      <c r="EY21" s="242"/>
      <c r="EZ21" s="242"/>
      <c r="FA21" s="242"/>
      <c r="FB21" s="242"/>
      <c r="FC21" s="242"/>
      <c r="FD21" s="242"/>
      <c r="FE21" s="242"/>
      <c r="FF21" s="242"/>
      <c r="FG21" s="242"/>
      <c r="FH21" s="242"/>
      <c r="FI21" s="242"/>
      <c r="FJ21" s="242"/>
      <c r="FK21" s="242"/>
      <c r="FL21" s="242"/>
      <c r="FM21" s="242"/>
      <c r="FN21" s="242"/>
      <c r="FO21" s="242"/>
      <c r="FP21" s="242"/>
      <c r="FQ21" s="242"/>
      <c r="FR21" s="242"/>
      <c r="FS21" s="242"/>
      <c r="FT21" s="242"/>
      <c r="FU21" s="242"/>
      <c r="FV21" s="242"/>
      <c r="FW21" s="242"/>
      <c r="FX21" s="242"/>
      <c r="FY21" s="242"/>
      <c r="FZ21" s="242"/>
      <c r="GA21" s="242"/>
      <c r="GB21" s="242"/>
      <c r="GC21" s="242"/>
      <c r="GD21" s="242"/>
      <c r="GE21" s="242"/>
      <c r="GF21" s="242"/>
      <c r="GG21" s="242"/>
      <c r="GH21" s="242"/>
      <c r="GI21" s="242"/>
      <c r="GJ21" s="242"/>
      <c r="GK21" s="242"/>
      <c r="GL21" s="242"/>
      <c r="GM21" s="242"/>
      <c r="GN21" s="242"/>
      <c r="GO21" s="242"/>
      <c r="GP21" s="242"/>
      <c r="GQ21" s="242"/>
      <c r="GR21" s="242"/>
      <c r="GS21" s="242"/>
      <c r="GT21" s="242"/>
      <c r="GU21" s="242"/>
      <c r="GV21" s="242"/>
      <c r="GW21" s="242"/>
      <c r="GX21" s="242"/>
      <c r="GY21" s="242"/>
      <c r="GZ21" s="242"/>
      <c r="HA21" s="242"/>
      <c r="HB21" s="242"/>
      <c r="HC21" s="242"/>
      <c r="HD21" s="242"/>
      <c r="HE21" s="242"/>
      <c r="HF21" s="242"/>
      <c r="HG21" s="242"/>
      <c r="HH21" s="242"/>
      <c r="HI21" s="242"/>
      <c r="HJ21" s="242"/>
      <c r="HK21" s="242"/>
      <c r="HL21" s="242"/>
      <c r="HM21" s="242"/>
      <c r="HN21" s="242"/>
      <c r="HO21" s="243"/>
      <c r="HP21" s="321">
        <f>+'Staffing-Roles'!DS129</f>
        <v>0</v>
      </c>
      <c r="HQ21" s="319">
        <f>+'Staffing-Roles'!DS156</f>
        <v>0</v>
      </c>
      <c r="HR21" s="318">
        <f t="shared" si="5"/>
        <v>0</v>
      </c>
      <c r="HS21" s="318">
        <f t="shared" si="6"/>
        <v>0</v>
      </c>
      <c r="HT21" s="331">
        <f t="shared" si="0"/>
        <v>0</v>
      </c>
      <c r="HU21" s="331">
        <f t="shared" si="1"/>
        <v>0</v>
      </c>
      <c r="HV21" s="332">
        <f t="shared" si="2"/>
        <v>0</v>
      </c>
      <c r="HX21" s="340">
        <f t="shared" si="7"/>
        <v>0</v>
      </c>
      <c r="HY21" s="331">
        <f t="shared" si="8"/>
        <v>0</v>
      </c>
      <c r="HZ21" s="332">
        <f t="shared" si="9"/>
        <v>0</v>
      </c>
    </row>
    <row r="22" spans="1:234" ht="12.75">
      <c r="A22" s="83">
        <f t="shared" si="10"/>
        <v>17</v>
      </c>
      <c r="B22" s="84"/>
      <c r="C22" s="84"/>
      <c r="D22" s="84"/>
      <c r="E22" s="84"/>
      <c r="F22" s="84" t="str">
        <f t="shared" si="3"/>
        <v>///</v>
      </c>
      <c r="G22" s="249">
        <f t="shared" si="11"/>
        <v>0</v>
      </c>
      <c r="H22" s="240">
        <f t="shared" si="4"/>
        <v>0</v>
      </c>
      <c r="I22" s="378"/>
      <c r="J22" s="378"/>
      <c r="K22" s="250" t="s">
        <v>812</v>
      </c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47" t="s">
        <v>158</v>
      </c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0"/>
      <c r="BA22" s="250"/>
      <c r="BB22" s="250"/>
      <c r="BC22" s="250"/>
      <c r="BD22" s="250"/>
      <c r="BE22" s="250"/>
      <c r="BF22" s="250"/>
      <c r="BG22" s="250"/>
      <c r="BH22" s="250"/>
      <c r="BI22" s="250"/>
      <c r="BJ22" s="250"/>
      <c r="BK22" s="250"/>
      <c r="BL22" s="250"/>
      <c r="BM22" s="250"/>
      <c r="BN22" s="250"/>
      <c r="BO22" s="250"/>
      <c r="BP22" s="250"/>
      <c r="BQ22" s="247" t="s">
        <v>240</v>
      </c>
      <c r="BR22" s="250"/>
      <c r="BS22" s="250"/>
      <c r="BT22" s="250"/>
      <c r="BU22" s="250"/>
      <c r="BV22" s="250"/>
      <c r="BW22" s="250"/>
      <c r="BX22" s="250"/>
      <c r="BY22" s="250"/>
      <c r="BZ22" s="247"/>
      <c r="CA22" s="250"/>
      <c r="CB22" s="250"/>
      <c r="CC22" s="250"/>
      <c r="CD22" s="250"/>
      <c r="CE22" s="250"/>
      <c r="CF22" s="242"/>
      <c r="CG22" s="250"/>
      <c r="CH22" s="250"/>
      <c r="CI22" s="250"/>
      <c r="CJ22" s="250"/>
      <c r="CK22" s="250"/>
      <c r="CL22" s="250"/>
      <c r="CM22" s="250"/>
      <c r="CN22" s="250"/>
      <c r="CO22" s="250"/>
      <c r="CP22" s="250"/>
      <c r="CQ22" s="250"/>
      <c r="CR22" s="250"/>
      <c r="CS22" s="250"/>
      <c r="CT22" s="250"/>
      <c r="CU22" s="250"/>
      <c r="CV22" s="250"/>
      <c r="CW22" s="250"/>
      <c r="CX22" s="250"/>
      <c r="CY22" s="250"/>
      <c r="CZ22" s="250"/>
      <c r="DA22" s="250"/>
      <c r="DB22" s="250"/>
      <c r="DC22" s="250"/>
      <c r="DD22" s="250"/>
      <c r="DE22" s="250"/>
      <c r="DF22" s="250"/>
      <c r="DG22" s="250"/>
      <c r="DH22" s="250"/>
      <c r="DI22" s="250"/>
      <c r="DJ22" s="250"/>
      <c r="DK22" s="250"/>
      <c r="DL22" s="250"/>
      <c r="DM22" s="250"/>
      <c r="DN22" s="250"/>
      <c r="DO22" s="250"/>
      <c r="DP22" s="250"/>
      <c r="DQ22" s="250"/>
      <c r="DR22" s="250"/>
      <c r="DS22" s="250"/>
      <c r="DT22" s="250"/>
      <c r="DU22" s="250"/>
      <c r="DV22" s="247" t="s">
        <v>746</v>
      </c>
      <c r="DW22" s="250"/>
      <c r="DX22" s="250"/>
      <c r="DY22" s="247" t="s">
        <v>270</v>
      </c>
      <c r="DZ22" s="250"/>
      <c r="EA22" s="250"/>
      <c r="EB22" s="250"/>
      <c r="EC22" s="250"/>
      <c r="ED22" s="250"/>
      <c r="EE22" s="250"/>
      <c r="EF22" s="250"/>
      <c r="EG22" s="250"/>
      <c r="EH22" s="250"/>
      <c r="EI22" s="250"/>
      <c r="EJ22" s="250"/>
      <c r="EK22" s="250"/>
      <c r="EL22" s="250"/>
      <c r="EM22" s="250"/>
      <c r="EN22" s="247" t="s">
        <v>285</v>
      </c>
      <c r="EO22" s="250"/>
      <c r="EP22" s="250"/>
      <c r="EQ22" s="250"/>
      <c r="ER22" s="250"/>
      <c r="ES22" s="250"/>
      <c r="ET22" s="250"/>
      <c r="EU22" s="250"/>
      <c r="EV22" s="250"/>
      <c r="EW22" s="250"/>
      <c r="EX22" s="250"/>
      <c r="EY22" s="250"/>
      <c r="EZ22" s="250"/>
      <c r="FA22" s="250"/>
      <c r="FB22" s="250"/>
      <c r="FC22" s="250"/>
      <c r="FD22" s="250"/>
      <c r="FE22" s="250"/>
      <c r="FF22" s="250"/>
      <c r="FG22" s="250"/>
      <c r="FH22" s="250"/>
      <c r="FI22" s="250"/>
      <c r="FJ22" s="250"/>
      <c r="FK22" s="250"/>
      <c r="FL22" s="250"/>
      <c r="FM22" s="250"/>
      <c r="FN22" s="250"/>
      <c r="FO22" s="250"/>
      <c r="FP22" s="250"/>
      <c r="FQ22" s="250"/>
      <c r="FR22" s="250"/>
      <c r="FS22" s="250"/>
      <c r="FT22" s="250"/>
      <c r="FU22" s="250"/>
      <c r="FV22" s="250"/>
      <c r="FW22" s="250"/>
      <c r="FX22" s="250"/>
      <c r="FY22" s="250"/>
      <c r="FZ22" s="250"/>
      <c r="GA22" s="250"/>
      <c r="GB22" s="250"/>
      <c r="GC22" s="250"/>
      <c r="GD22" s="250"/>
      <c r="GE22" s="250"/>
      <c r="GF22" s="250"/>
      <c r="GG22" s="250"/>
      <c r="GH22" s="250"/>
      <c r="GI22" s="250"/>
      <c r="GJ22" s="250"/>
      <c r="GK22" s="250"/>
      <c r="GL22" s="250"/>
      <c r="GM22" s="250"/>
      <c r="GN22" s="250"/>
      <c r="GO22" s="242"/>
      <c r="GP22" s="242"/>
      <c r="GQ22" s="242"/>
      <c r="GR22" s="242"/>
      <c r="GS22" s="242"/>
      <c r="GT22" s="242"/>
      <c r="GU22" s="242"/>
      <c r="GV22" s="242"/>
      <c r="GW22" s="242"/>
      <c r="GX22" s="242"/>
      <c r="GY22" s="242"/>
      <c r="GZ22" s="242"/>
      <c r="HA22" s="242"/>
      <c r="HB22" s="242"/>
      <c r="HC22" s="242"/>
      <c r="HD22" s="250"/>
      <c r="HE22" s="242"/>
      <c r="HF22" s="242"/>
      <c r="HG22" s="242"/>
      <c r="HH22" s="242"/>
      <c r="HI22" s="242"/>
      <c r="HJ22" s="242"/>
      <c r="HK22" s="242"/>
      <c r="HL22" s="242"/>
      <c r="HM22" s="242"/>
      <c r="HN22" s="242"/>
      <c r="HO22" s="243"/>
      <c r="HP22" s="321">
        <f>+'Staffing-Roles'!DS130</f>
        <v>0</v>
      </c>
      <c r="HQ22" s="319">
        <f>+'Staffing-Roles'!DS157</f>
        <v>0</v>
      </c>
      <c r="HR22" s="318">
        <f t="shared" si="5"/>
        <v>0</v>
      </c>
      <c r="HS22" s="318">
        <f t="shared" si="6"/>
        <v>0</v>
      </c>
      <c r="HT22" s="331">
        <f t="shared" si="0"/>
        <v>0</v>
      </c>
      <c r="HU22" s="331">
        <f t="shared" si="1"/>
        <v>0</v>
      </c>
      <c r="HV22" s="332">
        <f t="shared" si="2"/>
        <v>0</v>
      </c>
      <c r="HX22" s="340">
        <f t="shared" si="7"/>
        <v>0</v>
      </c>
      <c r="HY22" s="331">
        <f t="shared" si="8"/>
        <v>0</v>
      </c>
      <c r="HZ22" s="332">
        <f t="shared" si="9"/>
        <v>0</v>
      </c>
    </row>
    <row r="23" spans="1:234" ht="12.75">
      <c r="A23" s="83">
        <f t="shared" si="10"/>
        <v>18</v>
      </c>
      <c r="B23" s="84"/>
      <c r="C23" s="84"/>
      <c r="D23" s="84"/>
      <c r="E23" s="84"/>
      <c r="F23" s="84" t="str">
        <f t="shared" si="3"/>
        <v>///</v>
      </c>
      <c r="G23" s="249">
        <f t="shared" si="11"/>
        <v>0</v>
      </c>
      <c r="H23" s="240">
        <f t="shared" si="4"/>
        <v>0</v>
      </c>
      <c r="I23" s="378"/>
      <c r="J23" s="378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46" t="s">
        <v>749</v>
      </c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0"/>
      <c r="BA23" s="250"/>
      <c r="BB23" s="250"/>
      <c r="BC23" s="250"/>
      <c r="BD23" s="250"/>
      <c r="BE23" s="250"/>
      <c r="BF23" s="250"/>
      <c r="BG23" s="250"/>
      <c r="BH23" s="250"/>
      <c r="BI23" s="250"/>
      <c r="BJ23" s="250"/>
      <c r="BK23" s="250"/>
      <c r="BL23" s="250"/>
      <c r="BM23" s="250"/>
      <c r="BN23" s="250"/>
      <c r="BO23" s="250"/>
      <c r="BP23" s="250"/>
      <c r="BQ23" s="247" t="s">
        <v>167</v>
      </c>
      <c r="BR23" s="250"/>
      <c r="BS23" s="250"/>
      <c r="BT23" s="250"/>
      <c r="BU23" s="250"/>
      <c r="BV23" s="250"/>
      <c r="BW23" s="250"/>
      <c r="BX23" s="250"/>
      <c r="BY23" s="250"/>
      <c r="BZ23" s="250"/>
      <c r="CA23" s="250"/>
      <c r="CB23" s="250"/>
      <c r="CC23" s="250"/>
      <c r="CD23" s="250"/>
      <c r="CE23" s="250"/>
      <c r="CF23" s="247"/>
      <c r="CG23" s="250"/>
      <c r="CH23" s="250"/>
      <c r="CI23" s="250"/>
      <c r="CJ23" s="250"/>
      <c r="CK23" s="250"/>
      <c r="CL23" s="250"/>
      <c r="CM23" s="250"/>
      <c r="CN23" s="250"/>
      <c r="CO23" s="250"/>
      <c r="CP23" s="250"/>
      <c r="CQ23" s="250"/>
      <c r="CR23" s="250"/>
      <c r="CS23" s="250"/>
      <c r="CT23" s="250"/>
      <c r="CU23" s="250"/>
      <c r="CV23" s="250"/>
      <c r="CW23" s="250"/>
      <c r="CX23" s="250"/>
      <c r="CY23" s="250"/>
      <c r="CZ23" s="250"/>
      <c r="DA23" s="250"/>
      <c r="DB23" s="250"/>
      <c r="DC23" s="250"/>
      <c r="DD23" s="250"/>
      <c r="DE23" s="250"/>
      <c r="DF23" s="250"/>
      <c r="DG23" s="250"/>
      <c r="DH23" s="250"/>
      <c r="DI23" s="250"/>
      <c r="DJ23" s="250"/>
      <c r="DK23" s="250"/>
      <c r="DL23" s="250"/>
      <c r="DM23" s="250"/>
      <c r="DN23" s="250"/>
      <c r="DO23" s="250"/>
      <c r="DP23" s="250"/>
      <c r="DQ23" s="250"/>
      <c r="DR23" s="250"/>
      <c r="DS23" s="250"/>
      <c r="DT23" s="250"/>
      <c r="DU23" s="250"/>
      <c r="DV23" s="247" t="s">
        <v>747</v>
      </c>
      <c r="DW23" s="250"/>
      <c r="DX23" s="250"/>
      <c r="DY23" s="247" t="s">
        <v>271</v>
      </c>
      <c r="DZ23" s="250"/>
      <c r="EA23" s="250"/>
      <c r="EB23" s="250"/>
      <c r="EC23" s="250"/>
      <c r="ED23" s="250"/>
      <c r="EE23" s="250"/>
      <c r="EF23" s="250"/>
      <c r="EG23" s="250"/>
      <c r="EH23" s="250"/>
      <c r="EI23" s="250"/>
      <c r="EJ23" s="250"/>
      <c r="EK23" s="250"/>
      <c r="EL23" s="250"/>
      <c r="EM23" s="250"/>
      <c r="EN23" s="247" t="s">
        <v>286</v>
      </c>
      <c r="EO23" s="250"/>
      <c r="EP23" s="250"/>
      <c r="EQ23" s="250"/>
      <c r="ER23" s="250"/>
      <c r="ES23" s="250"/>
      <c r="ET23" s="250"/>
      <c r="EU23" s="250"/>
      <c r="EV23" s="250"/>
      <c r="EW23" s="250"/>
      <c r="EX23" s="250"/>
      <c r="EY23" s="250"/>
      <c r="EZ23" s="250"/>
      <c r="FA23" s="250"/>
      <c r="FB23" s="250"/>
      <c r="FC23" s="250"/>
      <c r="FD23" s="247"/>
      <c r="FE23" s="247"/>
      <c r="FF23" s="250"/>
      <c r="FG23" s="250"/>
      <c r="FH23" s="250"/>
      <c r="FI23" s="250"/>
      <c r="FJ23" s="250"/>
      <c r="FK23" s="250"/>
      <c r="FL23" s="250"/>
      <c r="FM23" s="250"/>
      <c r="FN23" s="250"/>
      <c r="FO23" s="250"/>
      <c r="FP23" s="250"/>
      <c r="FQ23" s="250"/>
      <c r="FR23" s="250"/>
      <c r="FS23" s="250"/>
      <c r="FT23" s="250"/>
      <c r="FU23" s="250"/>
      <c r="FV23" s="250"/>
      <c r="FW23" s="250"/>
      <c r="FX23" s="250"/>
      <c r="FY23" s="250"/>
      <c r="FZ23" s="250"/>
      <c r="GA23" s="250"/>
      <c r="GB23" s="250"/>
      <c r="GC23" s="250"/>
      <c r="GD23" s="250"/>
      <c r="GE23" s="250"/>
      <c r="GF23" s="250"/>
      <c r="GG23" s="250"/>
      <c r="GH23" s="250"/>
      <c r="GI23" s="250"/>
      <c r="GJ23" s="250"/>
      <c r="GK23" s="250"/>
      <c r="GL23" s="250"/>
      <c r="GM23" s="250"/>
      <c r="GN23" s="250"/>
      <c r="GO23" s="242"/>
      <c r="GP23" s="242"/>
      <c r="GQ23" s="242"/>
      <c r="GR23" s="242"/>
      <c r="GS23" s="242"/>
      <c r="GT23" s="242"/>
      <c r="GU23" s="242"/>
      <c r="GV23" s="242"/>
      <c r="GW23" s="242"/>
      <c r="GX23" s="242"/>
      <c r="GY23" s="242"/>
      <c r="GZ23" s="242"/>
      <c r="HA23" s="242"/>
      <c r="HB23" s="242"/>
      <c r="HC23" s="242"/>
      <c r="HD23" s="250"/>
      <c r="HE23" s="242"/>
      <c r="HF23" s="242"/>
      <c r="HG23" s="242"/>
      <c r="HH23" s="242"/>
      <c r="HI23" s="242"/>
      <c r="HJ23" s="242"/>
      <c r="HK23" s="242"/>
      <c r="HL23" s="242"/>
      <c r="HM23" s="242"/>
      <c r="HN23" s="242"/>
      <c r="HO23" s="243"/>
      <c r="HP23" s="321">
        <f>+'Staffing-Roles'!DS131</f>
        <v>0</v>
      </c>
      <c r="HQ23" s="319">
        <f>+'Staffing-Roles'!DS158</f>
        <v>0</v>
      </c>
      <c r="HR23" s="318">
        <f t="shared" si="5"/>
        <v>0</v>
      </c>
      <c r="HS23" s="318">
        <f t="shared" si="6"/>
        <v>0</v>
      </c>
      <c r="HT23" s="331">
        <f t="shared" si="0"/>
        <v>0</v>
      </c>
      <c r="HU23" s="331">
        <f t="shared" si="1"/>
        <v>0</v>
      </c>
      <c r="HV23" s="332">
        <f t="shared" si="2"/>
        <v>0</v>
      </c>
      <c r="HX23" s="340">
        <f t="shared" si="7"/>
        <v>0</v>
      </c>
      <c r="HY23" s="331">
        <f t="shared" si="8"/>
        <v>0</v>
      </c>
      <c r="HZ23" s="332">
        <f t="shared" si="9"/>
        <v>0</v>
      </c>
    </row>
    <row r="24" spans="1:234" ht="12.75">
      <c r="A24" s="83">
        <f t="shared" si="10"/>
        <v>19</v>
      </c>
      <c r="B24" s="84"/>
      <c r="C24" s="84"/>
      <c r="D24" s="84"/>
      <c r="E24" s="84"/>
      <c r="F24" s="84" t="str">
        <f t="shared" si="3"/>
        <v>///</v>
      </c>
      <c r="G24" s="249">
        <f t="shared" si="11"/>
        <v>0</v>
      </c>
      <c r="H24" s="240">
        <f t="shared" si="4"/>
        <v>0</v>
      </c>
      <c r="I24" s="378"/>
      <c r="J24" s="378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47" t="s">
        <v>25</v>
      </c>
      <c r="BR24" s="250"/>
      <c r="BS24" s="250"/>
      <c r="BT24" s="250"/>
      <c r="BU24" s="250"/>
      <c r="BV24" s="250"/>
      <c r="BW24" s="250"/>
      <c r="BX24" s="250"/>
      <c r="BY24" s="250"/>
      <c r="BZ24" s="247"/>
      <c r="CA24" s="250"/>
      <c r="CB24" s="250"/>
      <c r="CC24" s="247"/>
      <c r="CD24" s="250"/>
      <c r="CE24" s="250"/>
      <c r="CF24" s="247"/>
      <c r="CG24" s="250"/>
      <c r="CH24" s="250"/>
      <c r="CI24" s="250"/>
      <c r="CJ24" s="250"/>
      <c r="CK24" s="250"/>
      <c r="CL24" s="250"/>
      <c r="CM24" s="250"/>
      <c r="CN24" s="250"/>
      <c r="CO24" s="250"/>
      <c r="CP24" s="250"/>
      <c r="CQ24" s="250"/>
      <c r="CR24" s="250"/>
      <c r="CS24" s="250"/>
      <c r="CT24" s="250"/>
      <c r="CU24" s="250"/>
      <c r="CV24" s="250"/>
      <c r="CW24" s="250"/>
      <c r="CX24" s="250"/>
      <c r="CY24" s="250"/>
      <c r="CZ24" s="250"/>
      <c r="DA24" s="250"/>
      <c r="DB24" s="250"/>
      <c r="DC24" s="250"/>
      <c r="DD24" s="250"/>
      <c r="DE24" s="250"/>
      <c r="DF24" s="250"/>
      <c r="DG24" s="250"/>
      <c r="DH24" s="250"/>
      <c r="DI24" s="250"/>
      <c r="DJ24" s="250"/>
      <c r="DK24" s="250"/>
      <c r="DL24" s="250"/>
      <c r="DM24" s="250"/>
      <c r="DN24" s="250"/>
      <c r="DO24" s="250"/>
      <c r="DP24" s="250"/>
      <c r="DQ24" s="250"/>
      <c r="DR24" s="250"/>
      <c r="DS24" s="250"/>
      <c r="DT24" s="250"/>
      <c r="DU24" s="250"/>
      <c r="DV24" s="247" t="s">
        <v>712</v>
      </c>
      <c r="DW24" s="250"/>
      <c r="DX24" s="250"/>
      <c r="DY24" s="247" t="s">
        <v>272</v>
      </c>
      <c r="DZ24" s="250"/>
      <c r="EA24" s="250"/>
      <c r="EB24" s="250"/>
      <c r="EC24" s="250"/>
      <c r="ED24" s="250"/>
      <c r="EE24" s="250"/>
      <c r="EF24" s="250"/>
      <c r="EG24" s="250"/>
      <c r="EH24" s="250"/>
      <c r="EI24" s="250"/>
      <c r="EJ24" s="250"/>
      <c r="EK24" s="250"/>
      <c r="EL24" s="250"/>
      <c r="EM24" s="250"/>
      <c r="EN24" s="247" t="s">
        <v>287</v>
      </c>
      <c r="EO24" s="250"/>
      <c r="EP24" s="250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0"/>
      <c r="FW24" s="250"/>
      <c r="FX24" s="250"/>
      <c r="FY24" s="250"/>
      <c r="FZ24" s="250"/>
      <c r="GA24" s="250"/>
      <c r="GB24" s="250"/>
      <c r="GC24" s="250"/>
      <c r="GD24" s="250"/>
      <c r="GE24" s="250"/>
      <c r="GF24" s="250"/>
      <c r="GG24" s="250"/>
      <c r="GH24" s="250"/>
      <c r="GI24" s="250"/>
      <c r="GJ24" s="250"/>
      <c r="GK24" s="250"/>
      <c r="GL24" s="250"/>
      <c r="GM24" s="250"/>
      <c r="GN24" s="250"/>
      <c r="GO24" s="242"/>
      <c r="GP24" s="242"/>
      <c r="GQ24" s="242"/>
      <c r="GR24" s="242"/>
      <c r="GS24" s="242"/>
      <c r="GT24" s="242"/>
      <c r="GU24" s="242"/>
      <c r="GV24" s="242"/>
      <c r="GW24" s="242"/>
      <c r="GX24" s="242"/>
      <c r="GY24" s="242"/>
      <c r="GZ24" s="242"/>
      <c r="HA24" s="242"/>
      <c r="HB24" s="242"/>
      <c r="HC24" s="242"/>
      <c r="HD24" s="250"/>
      <c r="HE24" s="242"/>
      <c r="HF24" s="242"/>
      <c r="HG24" s="242"/>
      <c r="HH24" s="242"/>
      <c r="HI24" s="242"/>
      <c r="HJ24" s="242"/>
      <c r="HK24" s="242"/>
      <c r="HL24" s="242"/>
      <c r="HM24" s="242"/>
      <c r="HN24" s="242"/>
      <c r="HO24" s="243"/>
      <c r="HP24" s="321">
        <f>+'Staffing-Roles'!DS132</f>
        <v>0</v>
      </c>
      <c r="HQ24" s="319">
        <f>+'Staffing-Roles'!DS159</f>
        <v>0</v>
      </c>
      <c r="HR24" s="318">
        <f t="shared" si="5"/>
        <v>0</v>
      </c>
      <c r="HS24" s="318">
        <f t="shared" si="6"/>
        <v>0</v>
      </c>
      <c r="HT24" s="331">
        <f t="shared" si="0"/>
        <v>0</v>
      </c>
      <c r="HU24" s="331">
        <f t="shared" si="1"/>
        <v>0</v>
      </c>
      <c r="HV24" s="332">
        <f t="shared" si="2"/>
        <v>0</v>
      </c>
      <c r="HX24" s="340">
        <f t="shared" si="7"/>
        <v>0</v>
      </c>
      <c r="HY24" s="331">
        <f t="shared" si="8"/>
        <v>0</v>
      </c>
      <c r="HZ24" s="332">
        <f t="shared" si="9"/>
        <v>0</v>
      </c>
    </row>
    <row r="25" spans="1:234" ht="12.75">
      <c r="A25" s="83">
        <f t="shared" si="10"/>
        <v>20</v>
      </c>
      <c r="B25" s="84"/>
      <c r="C25" s="84"/>
      <c r="D25" s="84"/>
      <c r="E25" s="84"/>
      <c r="F25" s="84" t="str">
        <f t="shared" si="3"/>
        <v>///</v>
      </c>
      <c r="G25" s="249">
        <f t="shared" si="11"/>
        <v>0</v>
      </c>
      <c r="H25" s="240">
        <f t="shared" si="4"/>
        <v>0</v>
      </c>
      <c r="I25" s="378"/>
      <c r="J25" s="378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0"/>
      <c r="BA25" s="250"/>
      <c r="BB25" s="250"/>
      <c r="BC25" s="250"/>
      <c r="BD25" s="250"/>
      <c r="BE25" s="250"/>
      <c r="BF25" s="250"/>
      <c r="BG25" s="250"/>
      <c r="BH25" s="250"/>
      <c r="BI25" s="250"/>
      <c r="BJ25" s="250"/>
      <c r="BK25" s="250"/>
      <c r="BL25" s="250"/>
      <c r="BM25" s="250"/>
      <c r="BN25" s="250"/>
      <c r="BO25" s="250"/>
      <c r="BP25" s="250"/>
      <c r="BQ25" s="247" t="s">
        <v>130</v>
      </c>
      <c r="BR25" s="250"/>
      <c r="BS25" s="250"/>
      <c r="BT25" s="250"/>
      <c r="BU25" s="250"/>
      <c r="BV25" s="250"/>
      <c r="BW25" s="250"/>
      <c r="BX25" s="250"/>
      <c r="BY25" s="250"/>
      <c r="BZ25" s="250"/>
      <c r="CA25" s="250"/>
      <c r="CB25" s="250"/>
      <c r="CC25" s="247"/>
      <c r="CD25" s="250"/>
      <c r="CE25" s="250"/>
      <c r="CF25" s="250"/>
      <c r="CG25" s="250"/>
      <c r="CH25" s="250"/>
      <c r="CI25" s="250"/>
      <c r="CJ25" s="250"/>
      <c r="CK25" s="250"/>
      <c r="CL25" s="250"/>
      <c r="CM25" s="250"/>
      <c r="CN25" s="250"/>
      <c r="CO25" s="250"/>
      <c r="CP25" s="250"/>
      <c r="CQ25" s="250"/>
      <c r="CR25" s="250"/>
      <c r="CS25" s="250"/>
      <c r="CT25" s="250"/>
      <c r="CU25" s="250"/>
      <c r="CV25" s="250"/>
      <c r="CW25" s="250"/>
      <c r="CX25" s="250"/>
      <c r="CY25" s="250"/>
      <c r="CZ25" s="250"/>
      <c r="DA25" s="250"/>
      <c r="DB25" s="250"/>
      <c r="DC25" s="250"/>
      <c r="DD25" s="250"/>
      <c r="DE25" s="250"/>
      <c r="DF25" s="250"/>
      <c r="DG25" s="250"/>
      <c r="DH25" s="250"/>
      <c r="DI25" s="250"/>
      <c r="DJ25" s="250"/>
      <c r="DK25" s="250"/>
      <c r="DL25" s="250"/>
      <c r="DM25" s="250"/>
      <c r="DN25" s="250"/>
      <c r="DO25" s="250"/>
      <c r="DP25" s="250"/>
      <c r="DQ25" s="250"/>
      <c r="DR25" s="250"/>
      <c r="DS25" s="250"/>
      <c r="DT25" s="250"/>
      <c r="DU25" s="250"/>
      <c r="DV25" s="247" t="s">
        <v>163</v>
      </c>
      <c r="DW25" s="250"/>
      <c r="DX25" s="250"/>
      <c r="DY25" s="247" t="s">
        <v>273</v>
      </c>
      <c r="DZ25" s="250"/>
      <c r="EA25" s="250"/>
      <c r="EB25" s="250"/>
      <c r="EC25" s="250"/>
      <c r="ED25" s="250"/>
      <c r="EE25" s="250"/>
      <c r="EF25" s="250"/>
      <c r="EG25" s="250"/>
      <c r="EH25" s="250"/>
      <c r="EI25" s="250"/>
      <c r="EJ25" s="250"/>
      <c r="EK25" s="250"/>
      <c r="EL25" s="250"/>
      <c r="EM25" s="250"/>
      <c r="EN25" s="247" t="s">
        <v>288</v>
      </c>
      <c r="EO25" s="250"/>
      <c r="EP25" s="250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47"/>
      <c r="FE25" s="247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0"/>
      <c r="FW25" s="250"/>
      <c r="FX25" s="250"/>
      <c r="FY25" s="250"/>
      <c r="FZ25" s="250"/>
      <c r="GA25" s="250"/>
      <c r="GB25" s="250"/>
      <c r="GC25" s="250"/>
      <c r="GD25" s="250"/>
      <c r="GE25" s="250"/>
      <c r="GF25" s="250"/>
      <c r="GG25" s="250"/>
      <c r="GH25" s="250"/>
      <c r="GI25" s="250"/>
      <c r="GJ25" s="250"/>
      <c r="GK25" s="250"/>
      <c r="GL25" s="250"/>
      <c r="GM25" s="250"/>
      <c r="GN25" s="250"/>
      <c r="GO25" s="242"/>
      <c r="GP25" s="242"/>
      <c r="GQ25" s="242"/>
      <c r="GR25" s="242"/>
      <c r="GS25" s="242"/>
      <c r="GT25" s="242"/>
      <c r="GU25" s="242"/>
      <c r="GV25" s="242"/>
      <c r="GW25" s="242"/>
      <c r="GX25" s="242"/>
      <c r="GY25" s="242"/>
      <c r="GZ25" s="242"/>
      <c r="HA25" s="242"/>
      <c r="HB25" s="242"/>
      <c r="HC25" s="242"/>
      <c r="HD25" s="250"/>
      <c r="HE25" s="242"/>
      <c r="HF25" s="242"/>
      <c r="HG25" s="242"/>
      <c r="HH25" s="242"/>
      <c r="HI25" s="242"/>
      <c r="HJ25" s="242"/>
      <c r="HK25" s="242"/>
      <c r="HL25" s="242"/>
      <c r="HM25" s="242"/>
      <c r="HN25" s="242"/>
      <c r="HO25" s="243"/>
      <c r="HP25" s="321">
        <f>+'Staffing-Roles'!DS133</f>
        <v>0</v>
      </c>
      <c r="HQ25" s="319">
        <f>+'Staffing-Roles'!DS160</f>
        <v>0</v>
      </c>
      <c r="HR25" s="318">
        <f t="shared" si="5"/>
        <v>0</v>
      </c>
      <c r="HS25" s="318">
        <f t="shared" si="6"/>
        <v>0</v>
      </c>
      <c r="HT25" s="331">
        <f t="shared" si="0"/>
        <v>0</v>
      </c>
      <c r="HU25" s="331">
        <f t="shared" si="1"/>
        <v>0</v>
      </c>
      <c r="HV25" s="332">
        <f t="shared" si="2"/>
        <v>0</v>
      </c>
      <c r="HX25" s="340">
        <f t="shared" si="7"/>
        <v>0</v>
      </c>
      <c r="HY25" s="331">
        <f t="shared" si="8"/>
        <v>0</v>
      </c>
      <c r="HZ25" s="332">
        <f t="shared" si="9"/>
        <v>0</v>
      </c>
    </row>
    <row r="26" spans="1:234" ht="13.5" thickBot="1">
      <c r="A26" s="83">
        <f t="shared" si="10"/>
        <v>21</v>
      </c>
      <c r="B26" s="84"/>
      <c r="C26" s="84"/>
      <c r="D26" s="84"/>
      <c r="E26" s="84"/>
      <c r="F26" s="84" t="str">
        <f t="shared" si="3"/>
        <v>///</v>
      </c>
      <c r="G26" s="249">
        <f t="shared" si="11"/>
        <v>0</v>
      </c>
      <c r="H26" s="240">
        <f t="shared" si="4"/>
        <v>0</v>
      </c>
      <c r="I26" s="378"/>
      <c r="J26" s="378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0"/>
      <c r="BA26" s="250"/>
      <c r="BB26" s="250"/>
      <c r="BC26" s="250"/>
      <c r="BD26" s="250"/>
      <c r="BE26" s="250"/>
      <c r="BF26" s="250"/>
      <c r="BG26" s="250"/>
      <c r="BH26" s="250"/>
      <c r="BI26" s="250"/>
      <c r="BJ26" s="250"/>
      <c r="BK26" s="250"/>
      <c r="BL26" s="250"/>
      <c r="BM26" s="250"/>
      <c r="BN26" s="250"/>
      <c r="BO26" s="250"/>
      <c r="BP26" s="250"/>
      <c r="BQ26" s="247" t="s">
        <v>122</v>
      </c>
      <c r="BR26" s="250"/>
      <c r="BS26" s="250"/>
      <c r="BT26" s="250"/>
      <c r="BU26" s="250"/>
      <c r="BV26" s="250"/>
      <c r="BW26" s="250"/>
      <c r="BX26" s="250"/>
      <c r="BY26" s="250"/>
      <c r="BZ26" s="250"/>
      <c r="CA26" s="250"/>
      <c r="CB26" s="250"/>
      <c r="CC26" s="250"/>
      <c r="CD26" s="250"/>
      <c r="CE26" s="250"/>
      <c r="CF26" s="250"/>
      <c r="CG26" s="250"/>
      <c r="CH26" s="250"/>
      <c r="CI26" s="250"/>
      <c r="CJ26" s="250"/>
      <c r="CK26" s="250"/>
      <c r="CL26" s="250"/>
      <c r="CM26" s="250"/>
      <c r="CN26" s="250"/>
      <c r="CO26" s="250"/>
      <c r="CP26" s="250"/>
      <c r="CQ26" s="250"/>
      <c r="CR26" s="250"/>
      <c r="CS26" s="250"/>
      <c r="CT26" s="250"/>
      <c r="CU26" s="250"/>
      <c r="CV26" s="250"/>
      <c r="CW26" s="250"/>
      <c r="CX26" s="250"/>
      <c r="CY26" s="250"/>
      <c r="CZ26" s="250"/>
      <c r="DA26" s="250"/>
      <c r="DB26" s="250"/>
      <c r="DC26" s="250"/>
      <c r="DD26" s="250"/>
      <c r="DE26" s="250"/>
      <c r="DF26" s="250"/>
      <c r="DG26" s="250"/>
      <c r="DH26" s="250"/>
      <c r="DI26" s="250"/>
      <c r="DJ26" s="250"/>
      <c r="DK26" s="250"/>
      <c r="DL26" s="250"/>
      <c r="DM26" s="250"/>
      <c r="DN26" s="250"/>
      <c r="DO26" s="250"/>
      <c r="DP26" s="250"/>
      <c r="DQ26" s="250"/>
      <c r="DR26" s="250"/>
      <c r="DS26" s="250"/>
      <c r="DT26" s="250"/>
      <c r="DU26" s="250"/>
      <c r="DV26" s="250" t="s">
        <v>128</v>
      </c>
      <c r="DW26" s="250"/>
      <c r="DX26" s="250"/>
      <c r="DY26" s="247" t="s">
        <v>274</v>
      </c>
      <c r="DZ26" s="250"/>
      <c r="EA26" s="250"/>
      <c r="EB26" s="250"/>
      <c r="EC26" s="250"/>
      <c r="ED26" s="250"/>
      <c r="EE26" s="250"/>
      <c r="EF26" s="250"/>
      <c r="EG26" s="250"/>
      <c r="EH26" s="250"/>
      <c r="EI26" s="250"/>
      <c r="EJ26" s="250"/>
      <c r="EK26" s="250"/>
      <c r="EL26" s="250"/>
      <c r="EM26" s="250"/>
      <c r="EN26" s="247" t="s">
        <v>289</v>
      </c>
      <c r="EO26" s="250"/>
      <c r="EP26" s="250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47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0"/>
      <c r="FW26" s="250"/>
      <c r="FX26" s="250"/>
      <c r="FY26" s="250"/>
      <c r="FZ26" s="250"/>
      <c r="GA26" s="250"/>
      <c r="GB26" s="250"/>
      <c r="GC26" s="250"/>
      <c r="GD26" s="250"/>
      <c r="GE26" s="250"/>
      <c r="GF26" s="250"/>
      <c r="GG26" s="250"/>
      <c r="GH26" s="250"/>
      <c r="GI26" s="250"/>
      <c r="GJ26" s="250"/>
      <c r="GK26" s="250"/>
      <c r="GL26" s="250"/>
      <c r="GM26" s="250"/>
      <c r="GN26" s="250"/>
      <c r="GO26" s="242"/>
      <c r="GP26" s="242"/>
      <c r="GQ26" s="242"/>
      <c r="GR26" s="242"/>
      <c r="GS26" s="242"/>
      <c r="GT26" s="242"/>
      <c r="GU26" s="242"/>
      <c r="GV26" s="242"/>
      <c r="GW26" s="242"/>
      <c r="GX26" s="242"/>
      <c r="GY26" s="242"/>
      <c r="GZ26" s="242"/>
      <c r="HA26" s="242"/>
      <c r="HB26" s="242"/>
      <c r="HC26" s="242"/>
      <c r="HD26" s="250"/>
      <c r="HE26" s="242"/>
      <c r="HF26" s="242"/>
      <c r="HG26" s="242"/>
      <c r="HH26" s="242"/>
      <c r="HI26" s="242"/>
      <c r="HJ26" s="242"/>
      <c r="HK26" s="242"/>
      <c r="HL26" s="242"/>
      <c r="HM26" s="242"/>
      <c r="HN26" s="242"/>
      <c r="HO26" s="243"/>
      <c r="HP26" s="321">
        <f>+'Staffing-Roles'!DS134</f>
        <v>0</v>
      </c>
      <c r="HQ26" s="319">
        <f>+'Staffing-Roles'!DS161</f>
        <v>0</v>
      </c>
      <c r="HR26" s="322">
        <f t="shared" si="5"/>
        <v>0</v>
      </c>
      <c r="HS26" s="322">
        <f t="shared" si="6"/>
        <v>0</v>
      </c>
      <c r="HT26" s="333">
        <f>+HR26*I26</f>
        <v>0</v>
      </c>
      <c r="HU26" s="333">
        <f>+HS26*J26</f>
        <v>0</v>
      </c>
      <c r="HV26" s="334">
        <f>+HT26+HU26</f>
        <v>0</v>
      </c>
      <c r="HX26" s="341">
        <f t="shared" si="7"/>
        <v>0</v>
      </c>
      <c r="HY26" s="333">
        <f t="shared" si="8"/>
        <v>0</v>
      </c>
      <c r="HZ26" s="334">
        <f t="shared" si="9"/>
        <v>0</v>
      </c>
    </row>
    <row r="27" spans="1:234" ht="12.75" hidden="1">
      <c r="A27" s="83">
        <f t="shared" si="10"/>
        <v>22</v>
      </c>
      <c r="B27" s="84"/>
      <c r="C27" s="84"/>
      <c r="D27" s="84"/>
      <c r="E27" s="84"/>
      <c r="F27" s="84" t="str">
        <f t="shared" si="3"/>
        <v>///</v>
      </c>
      <c r="G27" s="249">
        <f t="shared" si="11"/>
        <v>0</v>
      </c>
      <c r="H27" s="240">
        <f t="shared" si="4"/>
        <v>0</v>
      </c>
      <c r="I27" s="243"/>
      <c r="J27" s="243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0"/>
      <c r="BA27" s="250"/>
      <c r="BB27" s="250"/>
      <c r="BC27" s="250"/>
      <c r="BD27" s="250"/>
      <c r="BE27" s="250"/>
      <c r="BF27" s="250"/>
      <c r="BG27" s="250"/>
      <c r="BH27" s="250"/>
      <c r="BI27" s="250"/>
      <c r="BJ27" s="250"/>
      <c r="BK27" s="250"/>
      <c r="BL27" s="250"/>
      <c r="BM27" s="250"/>
      <c r="BN27" s="250"/>
      <c r="BO27" s="250"/>
      <c r="BP27" s="250"/>
      <c r="BQ27" s="247" t="s">
        <v>168</v>
      </c>
      <c r="BR27" s="250"/>
      <c r="BS27" s="250"/>
      <c r="BT27" s="250"/>
      <c r="BU27" s="250"/>
      <c r="BV27" s="250"/>
      <c r="BW27" s="250"/>
      <c r="BX27" s="250"/>
      <c r="BY27" s="250"/>
      <c r="BZ27" s="250"/>
      <c r="CA27" s="250"/>
      <c r="CB27" s="250"/>
      <c r="CC27" s="250"/>
      <c r="CD27" s="250"/>
      <c r="CE27" s="250"/>
      <c r="CF27" s="250"/>
      <c r="CG27" s="250"/>
      <c r="CH27" s="250"/>
      <c r="CI27" s="250"/>
      <c r="CJ27" s="250"/>
      <c r="CK27" s="250"/>
      <c r="CL27" s="250"/>
      <c r="CM27" s="250"/>
      <c r="CN27" s="250"/>
      <c r="CO27" s="250"/>
      <c r="CP27" s="250"/>
      <c r="CQ27" s="250"/>
      <c r="CR27" s="250"/>
      <c r="CS27" s="250"/>
      <c r="CT27" s="250"/>
      <c r="CU27" s="250"/>
      <c r="CV27" s="250"/>
      <c r="CW27" s="250"/>
      <c r="CX27" s="250"/>
      <c r="CY27" s="250"/>
      <c r="CZ27" s="250"/>
      <c r="DA27" s="250"/>
      <c r="DB27" s="250"/>
      <c r="DC27" s="250"/>
      <c r="DD27" s="250"/>
      <c r="DE27" s="250"/>
      <c r="DF27" s="250"/>
      <c r="DG27" s="250"/>
      <c r="DH27" s="250"/>
      <c r="DI27" s="250"/>
      <c r="DJ27" s="250"/>
      <c r="DK27" s="250"/>
      <c r="DL27" s="250"/>
      <c r="DM27" s="250"/>
      <c r="DN27" s="250"/>
      <c r="DO27" s="250"/>
      <c r="DP27" s="250"/>
      <c r="DQ27" s="250"/>
      <c r="DR27" s="250"/>
      <c r="DS27" s="250"/>
      <c r="DT27" s="250"/>
      <c r="DU27" s="250"/>
      <c r="DV27" s="250"/>
      <c r="DW27" s="250"/>
      <c r="DX27" s="250"/>
      <c r="DY27" s="247" t="s">
        <v>275</v>
      </c>
      <c r="DZ27" s="250"/>
      <c r="EA27" s="250"/>
      <c r="EB27" s="250"/>
      <c r="EC27" s="250"/>
      <c r="ED27" s="250"/>
      <c r="EE27" s="250"/>
      <c r="EF27" s="250"/>
      <c r="EG27" s="250"/>
      <c r="EH27" s="250"/>
      <c r="EI27" s="250"/>
      <c r="EJ27" s="250"/>
      <c r="EK27" s="250"/>
      <c r="EL27" s="250"/>
      <c r="EM27" s="250"/>
      <c r="EN27" s="247" t="s">
        <v>337</v>
      </c>
      <c r="EO27" s="250"/>
      <c r="EP27" s="250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47"/>
      <c r="FF27" s="250"/>
      <c r="FG27" s="250"/>
      <c r="FH27" s="250"/>
      <c r="FI27" s="250"/>
      <c r="FJ27" s="250"/>
      <c r="FK27" s="247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0"/>
      <c r="FW27" s="250"/>
      <c r="FX27" s="250"/>
      <c r="FY27" s="250"/>
      <c r="FZ27" s="250"/>
      <c r="GA27" s="250"/>
      <c r="GB27" s="250"/>
      <c r="GC27" s="250"/>
      <c r="GD27" s="250"/>
      <c r="GE27" s="250"/>
      <c r="GF27" s="250"/>
      <c r="GG27" s="250"/>
      <c r="GH27" s="250"/>
      <c r="GI27" s="250"/>
      <c r="GJ27" s="250"/>
      <c r="GK27" s="250"/>
      <c r="GL27" s="250"/>
      <c r="GM27" s="250"/>
      <c r="GN27" s="250"/>
      <c r="GO27" s="242"/>
      <c r="GP27" s="242"/>
      <c r="GQ27" s="242"/>
      <c r="GR27" s="242"/>
      <c r="GS27" s="242"/>
      <c r="GT27" s="242"/>
      <c r="GU27" s="242"/>
      <c r="GV27" s="242"/>
      <c r="GW27" s="242"/>
      <c r="GX27" s="242"/>
      <c r="GY27" s="242"/>
      <c r="GZ27" s="242"/>
      <c r="HA27" s="242"/>
      <c r="HB27" s="242"/>
      <c r="HC27" s="242"/>
      <c r="HD27" s="250"/>
      <c r="HE27" s="242"/>
      <c r="HF27" s="242"/>
      <c r="HG27" s="242"/>
      <c r="HH27" s="242"/>
      <c r="HI27" s="242"/>
      <c r="HJ27" s="242"/>
      <c r="HK27" s="242"/>
      <c r="HL27" s="242"/>
      <c r="HM27" s="242"/>
      <c r="HN27" s="242"/>
      <c r="HO27" s="243"/>
    </row>
    <row r="28" spans="1:234" ht="12.75" hidden="1">
      <c r="A28" s="83">
        <f t="shared" si="10"/>
        <v>23</v>
      </c>
      <c r="B28" s="84"/>
      <c r="C28" s="84"/>
      <c r="D28" s="84"/>
      <c r="E28" s="84"/>
      <c r="F28" s="84" t="str">
        <f t="shared" si="3"/>
        <v>///</v>
      </c>
      <c r="G28" s="249">
        <f t="shared" si="11"/>
        <v>0</v>
      </c>
      <c r="H28" s="240">
        <f t="shared" si="4"/>
        <v>0</v>
      </c>
      <c r="I28" s="243"/>
      <c r="J28" s="243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0"/>
      <c r="BA28" s="250"/>
      <c r="BB28" s="250"/>
      <c r="BC28" s="250"/>
      <c r="BD28" s="250"/>
      <c r="BE28" s="250"/>
      <c r="BF28" s="250"/>
      <c r="BG28" s="250"/>
      <c r="BH28" s="250"/>
      <c r="BI28" s="250"/>
      <c r="BJ28" s="250"/>
      <c r="BK28" s="250"/>
      <c r="BL28" s="250"/>
      <c r="BM28" s="250"/>
      <c r="BN28" s="250"/>
      <c r="BO28" s="250"/>
      <c r="BP28" s="250"/>
      <c r="BQ28" s="247" t="s">
        <v>127</v>
      </c>
      <c r="BR28" s="250"/>
      <c r="BS28" s="250"/>
      <c r="BT28" s="250"/>
      <c r="BU28" s="250"/>
      <c r="BV28" s="250"/>
      <c r="BW28" s="250"/>
      <c r="BX28" s="250"/>
      <c r="BY28" s="250"/>
      <c r="BZ28" s="250"/>
      <c r="CA28" s="250"/>
      <c r="CB28" s="250"/>
      <c r="CC28" s="250"/>
      <c r="CD28" s="250"/>
      <c r="CE28" s="250"/>
      <c r="CF28" s="250"/>
      <c r="CG28" s="250"/>
      <c r="CH28" s="250"/>
      <c r="CI28" s="250"/>
      <c r="CJ28" s="250"/>
      <c r="CK28" s="250"/>
      <c r="CL28" s="250"/>
      <c r="CM28" s="250"/>
      <c r="CN28" s="250"/>
      <c r="CO28" s="250"/>
      <c r="CP28" s="250"/>
      <c r="CQ28" s="250"/>
      <c r="CR28" s="250"/>
      <c r="CS28" s="250"/>
      <c r="CT28" s="250"/>
      <c r="CU28" s="250"/>
      <c r="CV28" s="250"/>
      <c r="CW28" s="250"/>
      <c r="CX28" s="250"/>
      <c r="CY28" s="250"/>
      <c r="CZ28" s="250"/>
      <c r="DA28" s="250"/>
      <c r="DB28" s="250"/>
      <c r="DC28" s="250"/>
      <c r="DD28" s="250"/>
      <c r="DE28" s="250"/>
      <c r="DF28" s="250"/>
      <c r="DG28" s="250"/>
      <c r="DH28" s="250"/>
      <c r="DI28" s="250"/>
      <c r="DJ28" s="250"/>
      <c r="DK28" s="250"/>
      <c r="DL28" s="250"/>
      <c r="DM28" s="250"/>
      <c r="DN28" s="250"/>
      <c r="DO28" s="250"/>
      <c r="DP28" s="250"/>
      <c r="DQ28" s="250"/>
      <c r="DR28" s="250"/>
      <c r="DS28" s="250"/>
      <c r="DT28" s="250"/>
      <c r="DU28" s="250"/>
      <c r="DV28" s="250"/>
      <c r="DW28" s="250"/>
      <c r="DX28" s="250"/>
      <c r="DY28" s="250"/>
      <c r="DZ28" s="250"/>
      <c r="EA28" s="250"/>
      <c r="EB28" s="250"/>
      <c r="EC28" s="250"/>
      <c r="ED28" s="250"/>
      <c r="EE28" s="250"/>
      <c r="EF28" s="250"/>
      <c r="EG28" s="250"/>
      <c r="EH28" s="250"/>
      <c r="EI28" s="250"/>
      <c r="EJ28" s="250"/>
      <c r="EK28" s="250"/>
      <c r="EL28" s="250"/>
      <c r="EM28" s="250"/>
      <c r="EN28" s="247" t="s">
        <v>338</v>
      </c>
      <c r="EO28" s="250"/>
      <c r="EP28" s="250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47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0"/>
      <c r="FW28" s="250"/>
      <c r="FX28" s="250"/>
      <c r="FY28" s="250"/>
      <c r="FZ28" s="250"/>
      <c r="GA28" s="250"/>
      <c r="GB28" s="250"/>
      <c r="GC28" s="250"/>
      <c r="GD28" s="250"/>
      <c r="GE28" s="250"/>
      <c r="GF28" s="250"/>
      <c r="GG28" s="250"/>
      <c r="GH28" s="250"/>
      <c r="GI28" s="250"/>
      <c r="GJ28" s="250"/>
      <c r="GK28" s="250"/>
      <c r="GL28" s="250"/>
      <c r="GM28" s="250"/>
      <c r="GN28" s="250"/>
      <c r="GO28" s="242"/>
      <c r="GP28" s="242"/>
      <c r="GQ28" s="242"/>
      <c r="GR28" s="242"/>
      <c r="GS28" s="242"/>
      <c r="GT28" s="242"/>
      <c r="GU28" s="242"/>
      <c r="GV28" s="242"/>
      <c r="GW28" s="242"/>
      <c r="GX28" s="242"/>
      <c r="GY28" s="242"/>
      <c r="GZ28" s="242"/>
      <c r="HA28" s="242"/>
      <c r="HB28" s="242"/>
      <c r="HC28" s="242"/>
      <c r="HD28" s="250"/>
      <c r="HE28" s="242"/>
      <c r="HF28" s="242"/>
      <c r="HG28" s="242"/>
      <c r="HH28" s="242"/>
      <c r="HI28" s="242"/>
      <c r="HJ28" s="242"/>
      <c r="HK28" s="242"/>
      <c r="HL28" s="242"/>
      <c r="HM28" s="242"/>
      <c r="HN28" s="242"/>
      <c r="HO28" s="243"/>
    </row>
    <row r="29" spans="1:234" ht="12.75" hidden="1">
      <c r="A29" s="83">
        <f t="shared" si="10"/>
        <v>24</v>
      </c>
      <c r="B29" s="84"/>
      <c r="C29" s="84"/>
      <c r="D29" s="84"/>
      <c r="E29" s="84"/>
      <c r="F29" s="84" t="str">
        <f t="shared" si="3"/>
        <v>///</v>
      </c>
      <c r="G29" s="249">
        <f t="shared" si="11"/>
        <v>0</v>
      </c>
      <c r="H29" s="240">
        <f t="shared" si="4"/>
        <v>0</v>
      </c>
      <c r="I29" s="243"/>
      <c r="J29" s="243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0"/>
      <c r="BA29" s="250"/>
      <c r="BB29" s="250"/>
      <c r="BC29" s="250"/>
      <c r="BD29" s="250"/>
      <c r="BE29" s="250"/>
      <c r="BF29" s="250"/>
      <c r="BG29" s="250"/>
      <c r="BH29" s="250"/>
      <c r="BI29" s="250"/>
      <c r="BJ29" s="250"/>
      <c r="BK29" s="250"/>
      <c r="BL29" s="250"/>
      <c r="BM29" s="250"/>
      <c r="BN29" s="250"/>
      <c r="BO29" s="250"/>
      <c r="BP29" s="250"/>
      <c r="BQ29" s="247" t="s">
        <v>169</v>
      </c>
      <c r="BR29" s="250"/>
      <c r="BS29" s="250"/>
      <c r="BT29" s="250"/>
      <c r="BU29" s="250"/>
      <c r="BV29" s="250"/>
      <c r="BW29" s="250"/>
      <c r="BX29" s="250"/>
      <c r="BY29" s="250"/>
      <c r="BZ29" s="250"/>
      <c r="CA29" s="250"/>
      <c r="CB29" s="250"/>
      <c r="CC29" s="250"/>
      <c r="CD29" s="250"/>
      <c r="CE29" s="250"/>
      <c r="CF29" s="250"/>
      <c r="CG29" s="250"/>
      <c r="CH29" s="250"/>
      <c r="CI29" s="250"/>
      <c r="CJ29" s="250"/>
      <c r="CK29" s="250"/>
      <c r="CL29" s="250"/>
      <c r="CM29" s="250"/>
      <c r="CN29" s="250"/>
      <c r="CO29" s="250"/>
      <c r="CP29" s="250"/>
      <c r="CQ29" s="250"/>
      <c r="CR29" s="250"/>
      <c r="CS29" s="250"/>
      <c r="CT29" s="250"/>
      <c r="CU29" s="250"/>
      <c r="CV29" s="250"/>
      <c r="CW29" s="250"/>
      <c r="CX29" s="250"/>
      <c r="CY29" s="250"/>
      <c r="CZ29" s="250"/>
      <c r="DA29" s="250"/>
      <c r="DB29" s="250"/>
      <c r="DC29" s="250"/>
      <c r="DD29" s="250"/>
      <c r="DE29" s="250"/>
      <c r="DF29" s="250"/>
      <c r="DG29" s="250"/>
      <c r="DH29" s="250"/>
      <c r="DI29" s="250"/>
      <c r="DJ29" s="250"/>
      <c r="DK29" s="250"/>
      <c r="DL29" s="250"/>
      <c r="DM29" s="250"/>
      <c r="DN29" s="250"/>
      <c r="DO29" s="250"/>
      <c r="DP29" s="250"/>
      <c r="DQ29" s="250"/>
      <c r="DR29" s="250"/>
      <c r="DS29" s="250"/>
      <c r="DT29" s="250"/>
      <c r="DU29" s="250"/>
      <c r="DV29" s="250"/>
      <c r="DW29" s="250"/>
      <c r="DX29" s="250"/>
      <c r="DY29" s="250"/>
      <c r="DZ29" s="250"/>
      <c r="EA29" s="250"/>
      <c r="EB29" s="250"/>
      <c r="EC29" s="250"/>
      <c r="ED29" s="250"/>
      <c r="EE29" s="250"/>
      <c r="EF29" s="250"/>
      <c r="EG29" s="250"/>
      <c r="EH29" s="250"/>
      <c r="EI29" s="250"/>
      <c r="EJ29" s="250"/>
      <c r="EK29" s="250"/>
      <c r="EL29" s="250"/>
      <c r="EM29" s="250"/>
      <c r="EN29" s="247" t="s">
        <v>339</v>
      </c>
      <c r="EO29" s="250"/>
      <c r="EP29" s="250"/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47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0"/>
      <c r="FW29" s="250"/>
      <c r="FX29" s="250"/>
      <c r="FY29" s="250"/>
      <c r="FZ29" s="250"/>
      <c r="GA29" s="250"/>
      <c r="GB29" s="250"/>
      <c r="GC29" s="250"/>
      <c r="GD29" s="250"/>
      <c r="GE29" s="250"/>
      <c r="GF29" s="250"/>
      <c r="GG29" s="250"/>
      <c r="GH29" s="250"/>
      <c r="GI29" s="250"/>
      <c r="GJ29" s="250"/>
      <c r="GK29" s="250"/>
      <c r="GL29" s="250"/>
      <c r="GM29" s="250"/>
      <c r="GN29" s="250"/>
      <c r="GO29" s="242"/>
      <c r="GP29" s="242"/>
      <c r="GQ29" s="242"/>
      <c r="GR29" s="242"/>
      <c r="GS29" s="242"/>
      <c r="GT29" s="242"/>
      <c r="GU29" s="242"/>
      <c r="GV29" s="242"/>
      <c r="GW29" s="242"/>
      <c r="GX29" s="242"/>
      <c r="GY29" s="242"/>
      <c r="GZ29" s="242"/>
      <c r="HA29" s="242"/>
      <c r="HB29" s="242"/>
      <c r="HC29" s="242"/>
      <c r="HD29" s="250"/>
      <c r="HE29" s="242"/>
      <c r="HF29" s="242"/>
      <c r="HG29" s="242"/>
      <c r="HH29" s="242"/>
      <c r="HI29" s="242"/>
      <c r="HJ29" s="242"/>
      <c r="HK29" s="242"/>
      <c r="HL29" s="242"/>
      <c r="HM29" s="242"/>
      <c r="HN29" s="242"/>
      <c r="HO29" s="243"/>
    </row>
    <row r="30" spans="1:234" ht="12.75" hidden="1">
      <c r="A30" s="83">
        <f t="shared" si="10"/>
        <v>25</v>
      </c>
      <c r="B30" s="84"/>
      <c r="C30" s="84"/>
      <c r="D30" s="84"/>
      <c r="E30" s="84"/>
      <c r="F30" s="84" t="str">
        <f t="shared" si="3"/>
        <v>///</v>
      </c>
      <c r="G30" s="249">
        <f t="shared" si="11"/>
        <v>0</v>
      </c>
      <c r="H30" s="240">
        <f t="shared" si="4"/>
        <v>0</v>
      </c>
      <c r="I30" s="243"/>
      <c r="J30" s="243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0"/>
      <c r="BA30" s="250"/>
      <c r="BB30" s="250"/>
      <c r="BC30" s="250"/>
      <c r="BD30" s="250"/>
      <c r="BE30" s="250"/>
      <c r="BF30" s="250"/>
      <c r="BG30" s="250"/>
      <c r="BH30" s="250"/>
      <c r="BI30" s="250"/>
      <c r="BJ30" s="250"/>
      <c r="BK30" s="250"/>
      <c r="BL30" s="250"/>
      <c r="BM30" s="250"/>
      <c r="BN30" s="250"/>
      <c r="BO30" s="250"/>
      <c r="BP30" s="250"/>
      <c r="BQ30" s="247" t="s">
        <v>251</v>
      </c>
      <c r="BR30" s="250"/>
      <c r="BS30" s="250"/>
      <c r="BT30" s="250"/>
      <c r="BU30" s="250"/>
      <c r="BV30" s="250"/>
      <c r="BW30" s="250"/>
      <c r="BX30" s="250"/>
      <c r="BY30" s="250"/>
      <c r="BZ30" s="250"/>
      <c r="CA30" s="250"/>
      <c r="CB30" s="250"/>
      <c r="CC30" s="250"/>
      <c r="CD30" s="250"/>
      <c r="CE30" s="250"/>
      <c r="CF30" s="250"/>
      <c r="CG30" s="250"/>
      <c r="CH30" s="250"/>
      <c r="CI30" s="250"/>
      <c r="CJ30" s="250"/>
      <c r="CK30" s="250"/>
      <c r="CL30" s="250"/>
      <c r="CM30" s="250"/>
      <c r="CN30" s="250"/>
      <c r="CO30" s="250"/>
      <c r="CP30" s="250"/>
      <c r="CQ30" s="250"/>
      <c r="CR30" s="250"/>
      <c r="CS30" s="250"/>
      <c r="CT30" s="250"/>
      <c r="CU30" s="250"/>
      <c r="CV30" s="250"/>
      <c r="CW30" s="250"/>
      <c r="CX30" s="250"/>
      <c r="CY30" s="250"/>
      <c r="CZ30" s="250"/>
      <c r="DA30" s="250"/>
      <c r="DB30" s="250"/>
      <c r="DC30" s="250"/>
      <c r="DD30" s="250"/>
      <c r="DE30" s="250"/>
      <c r="DF30" s="250"/>
      <c r="DG30" s="250"/>
      <c r="DH30" s="250"/>
      <c r="DI30" s="250"/>
      <c r="DJ30" s="250"/>
      <c r="DK30" s="250"/>
      <c r="DL30" s="250"/>
      <c r="DM30" s="250"/>
      <c r="DN30" s="250"/>
      <c r="DO30" s="250"/>
      <c r="DP30" s="250"/>
      <c r="DQ30" s="250"/>
      <c r="DR30" s="250"/>
      <c r="DS30" s="250"/>
      <c r="DT30" s="250"/>
      <c r="DU30" s="250"/>
      <c r="DV30" s="250"/>
      <c r="DW30" s="250"/>
      <c r="DX30" s="250"/>
      <c r="DY30" s="250"/>
      <c r="DZ30" s="250"/>
      <c r="EA30" s="250"/>
      <c r="EB30" s="250"/>
      <c r="EC30" s="250"/>
      <c r="ED30" s="250"/>
      <c r="EE30" s="250"/>
      <c r="EF30" s="250"/>
      <c r="EG30" s="250"/>
      <c r="EH30" s="250"/>
      <c r="EI30" s="250"/>
      <c r="EJ30" s="250"/>
      <c r="EK30" s="250"/>
      <c r="EL30" s="250"/>
      <c r="EM30" s="250"/>
      <c r="EN30" s="247" t="s">
        <v>290</v>
      </c>
      <c r="EO30" s="250"/>
      <c r="EP30" s="250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47"/>
      <c r="FL30" s="250"/>
      <c r="FM30" s="250"/>
      <c r="FN30" s="250"/>
      <c r="FO30" s="250"/>
      <c r="FP30" s="250"/>
      <c r="FQ30" s="250"/>
      <c r="FR30" s="250"/>
      <c r="FS30" s="250"/>
      <c r="FT30" s="250"/>
      <c r="FU30" s="250"/>
      <c r="FV30" s="250"/>
      <c r="FW30" s="250"/>
      <c r="FX30" s="250"/>
      <c r="FY30" s="250"/>
      <c r="FZ30" s="250"/>
      <c r="GA30" s="250"/>
      <c r="GB30" s="250"/>
      <c r="GC30" s="250"/>
      <c r="GD30" s="250"/>
      <c r="GE30" s="250"/>
      <c r="GF30" s="250"/>
      <c r="GG30" s="250"/>
      <c r="GH30" s="250"/>
      <c r="GI30" s="250"/>
      <c r="GJ30" s="250"/>
      <c r="GK30" s="250"/>
      <c r="GL30" s="250"/>
      <c r="GM30" s="250"/>
      <c r="GN30" s="250"/>
      <c r="GO30" s="242"/>
      <c r="GP30" s="242"/>
      <c r="GQ30" s="242"/>
      <c r="GR30" s="242"/>
      <c r="GS30" s="242"/>
      <c r="GT30" s="242"/>
      <c r="GU30" s="242"/>
      <c r="GV30" s="242"/>
      <c r="GW30" s="242"/>
      <c r="GX30" s="242"/>
      <c r="GY30" s="242"/>
      <c r="GZ30" s="242"/>
      <c r="HA30" s="242"/>
      <c r="HB30" s="242"/>
      <c r="HC30" s="242"/>
      <c r="HD30" s="250"/>
      <c r="HE30" s="242"/>
      <c r="HF30" s="242"/>
      <c r="HG30" s="242"/>
      <c r="HH30" s="242"/>
      <c r="HI30" s="242"/>
      <c r="HJ30" s="242"/>
      <c r="HK30" s="242"/>
      <c r="HL30" s="242"/>
      <c r="HM30" s="242"/>
      <c r="HN30" s="242"/>
      <c r="HO30" s="243"/>
    </row>
    <row r="31" spans="1:234" ht="12.75" hidden="1">
      <c r="A31" s="83">
        <f t="shared" si="10"/>
        <v>26</v>
      </c>
      <c r="B31" s="84"/>
      <c r="C31" s="84"/>
      <c r="D31" s="84"/>
      <c r="E31" s="84"/>
      <c r="F31" s="84" t="str">
        <f t="shared" si="3"/>
        <v>///</v>
      </c>
      <c r="G31" s="249">
        <f t="shared" si="11"/>
        <v>0</v>
      </c>
      <c r="H31" s="240">
        <f t="shared" si="4"/>
        <v>0</v>
      </c>
      <c r="I31" s="243"/>
      <c r="J31" s="243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0"/>
      <c r="BA31" s="250"/>
      <c r="BB31" s="250"/>
      <c r="BC31" s="250"/>
      <c r="BD31" s="250"/>
      <c r="BE31" s="250"/>
      <c r="BF31" s="250"/>
      <c r="BG31" s="250"/>
      <c r="BH31" s="250"/>
      <c r="BI31" s="250"/>
      <c r="BJ31" s="250"/>
      <c r="BK31" s="250"/>
      <c r="BL31" s="250"/>
      <c r="BM31" s="250"/>
      <c r="BN31" s="250"/>
      <c r="BO31" s="250"/>
      <c r="BP31" s="250"/>
      <c r="BQ31" s="247" t="s">
        <v>253</v>
      </c>
      <c r="BR31" s="250"/>
      <c r="BS31" s="250"/>
      <c r="BT31" s="250"/>
      <c r="BU31" s="250"/>
      <c r="BV31" s="250"/>
      <c r="BW31" s="250"/>
      <c r="BX31" s="250"/>
      <c r="BY31" s="250"/>
      <c r="BZ31" s="250"/>
      <c r="CA31" s="250"/>
      <c r="CB31" s="250"/>
      <c r="CC31" s="250"/>
      <c r="CD31" s="250"/>
      <c r="CE31" s="250"/>
      <c r="CF31" s="250"/>
      <c r="CG31" s="250"/>
      <c r="CH31" s="250"/>
      <c r="CI31" s="250"/>
      <c r="CJ31" s="250"/>
      <c r="CK31" s="250"/>
      <c r="CL31" s="250"/>
      <c r="CM31" s="250"/>
      <c r="CN31" s="250"/>
      <c r="CO31" s="250"/>
      <c r="CP31" s="250"/>
      <c r="CQ31" s="250"/>
      <c r="CR31" s="250"/>
      <c r="CS31" s="250"/>
      <c r="CT31" s="250"/>
      <c r="CU31" s="250"/>
      <c r="CV31" s="250"/>
      <c r="CW31" s="250"/>
      <c r="CX31" s="250"/>
      <c r="CY31" s="250"/>
      <c r="CZ31" s="250"/>
      <c r="DA31" s="250"/>
      <c r="DB31" s="250"/>
      <c r="DC31" s="250"/>
      <c r="DD31" s="250"/>
      <c r="DE31" s="250"/>
      <c r="DF31" s="250"/>
      <c r="DG31" s="250"/>
      <c r="DH31" s="250"/>
      <c r="DI31" s="250"/>
      <c r="DJ31" s="250"/>
      <c r="DK31" s="250"/>
      <c r="DL31" s="250"/>
      <c r="DM31" s="250"/>
      <c r="DN31" s="250"/>
      <c r="DO31" s="250"/>
      <c r="DP31" s="250"/>
      <c r="DQ31" s="250"/>
      <c r="DR31" s="250"/>
      <c r="DS31" s="250"/>
      <c r="DT31" s="250"/>
      <c r="DU31" s="250"/>
      <c r="DV31" s="250"/>
      <c r="DW31" s="250"/>
      <c r="DX31" s="250"/>
      <c r="DY31" s="250"/>
      <c r="DZ31" s="250"/>
      <c r="EA31" s="250"/>
      <c r="EB31" s="250"/>
      <c r="EC31" s="250"/>
      <c r="ED31" s="250"/>
      <c r="EE31" s="250"/>
      <c r="EF31" s="250"/>
      <c r="EG31" s="250"/>
      <c r="EH31" s="250"/>
      <c r="EI31" s="250"/>
      <c r="EJ31" s="250"/>
      <c r="EK31" s="250"/>
      <c r="EL31" s="250"/>
      <c r="EM31" s="250"/>
      <c r="EN31" s="247" t="s">
        <v>291</v>
      </c>
      <c r="EO31" s="250"/>
      <c r="EP31" s="250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47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0"/>
      <c r="FW31" s="250"/>
      <c r="FX31" s="250"/>
      <c r="FY31" s="250"/>
      <c r="FZ31" s="250"/>
      <c r="GA31" s="250"/>
      <c r="GB31" s="250"/>
      <c r="GC31" s="250"/>
      <c r="GD31" s="250"/>
      <c r="GE31" s="250"/>
      <c r="GF31" s="250"/>
      <c r="GG31" s="250"/>
      <c r="GH31" s="250"/>
      <c r="GI31" s="250"/>
      <c r="GJ31" s="250"/>
      <c r="GK31" s="250"/>
      <c r="GL31" s="250"/>
      <c r="GM31" s="250"/>
      <c r="GN31" s="250"/>
      <c r="GO31" s="242"/>
      <c r="GP31" s="242"/>
      <c r="GQ31" s="242"/>
      <c r="GR31" s="242"/>
      <c r="GS31" s="242"/>
      <c r="GT31" s="242"/>
      <c r="GU31" s="242"/>
      <c r="GV31" s="242"/>
      <c r="GW31" s="242"/>
      <c r="GX31" s="242"/>
      <c r="GY31" s="242"/>
      <c r="GZ31" s="242"/>
      <c r="HA31" s="242"/>
      <c r="HB31" s="242"/>
      <c r="HC31" s="242"/>
      <c r="HD31" s="250"/>
      <c r="HE31" s="242"/>
      <c r="HF31" s="242"/>
      <c r="HG31" s="242"/>
      <c r="HH31" s="242"/>
      <c r="HI31" s="242"/>
      <c r="HJ31" s="242"/>
      <c r="HK31" s="242"/>
      <c r="HL31" s="242"/>
      <c r="HM31" s="242"/>
      <c r="HN31" s="242"/>
      <c r="HO31" s="243"/>
    </row>
    <row r="32" spans="1:234" ht="12.75" hidden="1">
      <c r="A32" s="83">
        <f t="shared" si="10"/>
        <v>27</v>
      </c>
      <c r="B32" s="84"/>
      <c r="C32" s="84"/>
      <c r="D32" s="84"/>
      <c r="E32" s="84"/>
      <c r="F32" s="84" t="str">
        <f t="shared" si="3"/>
        <v>///</v>
      </c>
      <c r="G32" s="249">
        <f t="shared" si="11"/>
        <v>0</v>
      </c>
      <c r="H32" s="240">
        <f t="shared" si="4"/>
        <v>0</v>
      </c>
      <c r="I32" s="243"/>
      <c r="J32" s="243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0"/>
      <c r="BA32" s="250"/>
      <c r="BB32" s="250"/>
      <c r="BC32" s="250"/>
      <c r="BD32" s="250"/>
      <c r="BE32" s="250"/>
      <c r="BF32" s="250"/>
      <c r="BG32" s="250"/>
      <c r="BH32" s="250"/>
      <c r="BI32" s="250"/>
      <c r="BJ32" s="250"/>
      <c r="BK32" s="250"/>
      <c r="BL32" s="250"/>
      <c r="BM32" s="250"/>
      <c r="BN32" s="250"/>
      <c r="BO32" s="250"/>
      <c r="BP32" s="250"/>
      <c r="BQ32" s="247" t="s">
        <v>133</v>
      </c>
      <c r="BR32" s="250"/>
      <c r="BS32" s="250"/>
      <c r="BT32" s="250"/>
      <c r="BU32" s="250"/>
      <c r="BV32" s="250"/>
      <c r="BW32" s="250"/>
      <c r="BX32" s="250"/>
      <c r="BY32" s="250"/>
      <c r="BZ32" s="250"/>
      <c r="CA32" s="250"/>
      <c r="CB32" s="250"/>
      <c r="CC32" s="250"/>
      <c r="CD32" s="250"/>
      <c r="CE32" s="250"/>
      <c r="CF32" s="250"/>
      <c r="CG32" s="250"/>
      <c r="CH32" s="250"/>
      <c r="CI32" s="250"/>
      <c r="CJ32" s="250"/>
      <c r="CK32" s="250"/>
      <c r="CL32" s="250"/>
      <c r="CM32" s="250"/>
      <c r="CN32" s="250"/>
      <c r="CO32" s="250"/>
      <c r="CP32" s="250"/>
      <c r="CQ32" s="250"/>
      <c r="CR32" s="250"/>
      <c r="CS32" s="250"/>
      <c r="CT32" s="250"/>
      <c r="CU32" s="250"/>
      <c r="CV32" s="250"/>
      <c r="CW32" s="250"/>
      <c r="CX32" s="250"/>
      <c r="CY32" s="250"/>
      <c r="CZ32" s="250"/>
      <c r="DA32" s="250"/>
      <c r="DB32" s="250"/>
      <c r="DC32" s="250"/>
      <c r="DD32" s="250"/>
      <c r="DE32" s="250"/>
      <c r="DF32" s="250"/>
      <c r="DG32" s="250"/>
      <c r="DH32" s="250"/>
      <c r="DI32" s="250"/>
      <c r="DJ32" s="250"/>
      <c r="DK32" s="250"/>
      <c r="DL32" s="250"/>
      <c r="DM32" s="250"/>
      <c r="DN32" s="250"/>
      <c r="DO32" s="250"/>
      <c r="DP32" s="250"/>
      <c r="DQ32" s="250"/>
      <c r="DR32" s="250"/>
      <c r="DS32" s="250"/>
      <c r="DT32" s="250"/>
      <c r="DU32" s="250"/>
      <c r="DV32" s="250"/>
      <c r="DW32" s="250"/>
      <c r="DX32" s="250"/>
      <c r="DY32" s="250"/>
      <c r="DZ32" s="250"/>
      <c r="EA32" s="250"/>
      <c r="EB32" s="250"/>
      <c r="EC32" s="250"/>
      <c r="ED32" s="250"/>
      <c r="EE32" s="250"/>
      <c r="EF32" s="250"/>
      <c r="EG32" s="250"/>
      <c r="EH32" s="250"/>
      <c r="EI32" s="250"/>
      <c r="EJ32" s="250"/>
      <c r="EK32" s="250"/>
      <c r="EL32" s="250"/>
      <c r="EM32" s="250"/>
      <c r="EN32" s="242"/>
      <c r="EO32" s="250"/>
      <c r="EP32" s="250"/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0"/>
      <c r="FW32" s="250"/>
      <c r="FX32" s="250"/>
      <c r="FY32" s="250"/>
      <c r="FZ32" s="250"/>
      <c r="GA32" s="250"/>
      <c r="GB32" s="250"/>
      <c r="GC32" s="250"/>
      <c r="GD32" s="250"/>
      <c r="GE32" s="250"/>
      <c r="GF32" s="250"/>
      <c r="GG32" s="250"/>
      <c r="GH32" s="250"/>
      <c r="GI32" s="250"/>
      <c r="GJ32" s="250"/>
      <c r="GK32" s="250"/>
      <c r="GL32" s="250"/>
      <c r="GM32" s="250"/>
      <c r="GN32" s="250"/>
      <c r="GO32" s="242"/>
      <c r="GP32" s="242"/>
      <c r="GQ32" s="242"/>
      <c r="GR32" s="242"/>
      <c r="GS32" s="242"/>
      <c r="GT32" s="242"/>
      <c r="GU32" s="242"/>
      <c r="GV32" s="242"/>
      <c r="GW32" s="242"/>
      <c r="GX32" s="242"/>
      <c r="GY32" s="242"/>
      <c r="GZ32" s="242"/>
      <c r="HA32" s="242"/>
      <c r="HB32" s="242"/>
      <c r="HC32" s="242"/>
      <c r="HD32" s="250"/>
      <c r="HE32" s="242"/>
      <c r="HF32" s="242"/>
      <c r="HG32" s="242"/>
      <c r="HH32" s="242"/>
      <c r="HI32" s="242"/>
      <c r="HJ32" s="242"/>
      <c r="HK32" s="242"/>
      <c r="HL32" s="242"/>
      <c r="HM32" s="242"/>
      <c r="HN32" s="242"/>
      <c r="HO32" s="243"/>
    </row>
    <row r="33" spans="1:223" ht="12.75" hidden="1">
      <c r="A33" s="83">
        <f t="shared" si="10"/>
        <v>28</v>
      </c>
      <c r="B33" s="84"/>
      <c r="C33" s="84"/>
      <c r="D33" s="84"/>
      <c r="E33" s="84"/>
      <c r="F33" s="84" t="str">
        <f t="shared" si="3"/>
        <v>///</v>
      </c>
      <c r="G33" s="249">
        <f t="shared" si="11"/>
        <v>0</v>
      </c>
      <c r="H33" s="240">
        <f t="shared" si="4"/>
        <v>0</v>
      </c>
      <c r="I33" s="243"/>
      <c r="J33" s="243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0"/>
      <c r="BA33" s="250"/>
      <c r="BB33" s="250"/>
      <c r="BC33" s="250"/>
      <c r="BD33" s="250"/>
      <c r="BE33" s="250"/>
      <c r="BF33" s="250"/>
      <c r="BG33" s="250"/>
      <c r="BH33" s="250"/>
      <c r="BI33" s="250"/>
      <c r="BJ33" s="250"/>
      <c r="BK33" s="250"/>
      <c r="BL33" s="250"/>
      <c r="BM33" s="250"/>
      <c r="BN33" s="250"/>
      <c r="BO33" s="250"/>
      <c r="BP33" s="250"/>
      <c r="BQ33" s="250"/>
      <c r="BR33" s="250"/>
      <c r="BS33" s="250"/>
      <c r="BT33" s="250"/>
      <c r="BU33" s="250"/>
      <c r="BV33" s="250"/>
      <c r="BW33" s="250"/>
      <c r="BX33" s="250"/>
      <c r="BY33" s="250"/>
      <c r="BZ33" s="250"/>
      <c r="CA33" s="250"/>
      <c r="CB33" s="250"/>
      <c r="CC33" s="250"/>
      <c r="CD33" s="250"/>
      <c r="CE33" s="250"/>
      <c r="CF33" s="250"/>
      <c r="CG33" s="250"/>
      <c r="CH33" s="250"/>
      <c r="CI33" s="250"/>
      <c r="CJ33" s="250"/>
      <c r="CK33" s="250"/>
      <c r="CL33" s="250"/>
      <c r="CM33" s="250"/>
      <c r="CN33" s="250"/>
      <c r="CO33" s="250"/>
      <c r="CP33" s="250"/>
      <c r="CQ33" s="250"/>
      <c r="CR33" s="250"/>
      <c r="CS33" s="250"/>
      <c r="CT33" s="250"/>
      <c r="CU33" s="250"/>
      <c r="CV33" s="250"/>
      <c r="CW33" s="250"/>
      <c r="CX33" s="250"/>
      <c r="CY33" s="250"/>
      <c r="CZ33" s="250"/>
      <c r="DA33" s="250"/>
      <c r="DB33" s="250"/>
      <c r="DC33" s="250"/>
      <c r="DD33" s="250"/>
      <c r="DE33" s="250"/>
      <c r="DF33" s="250"/>
      <c r="DG33" s="250"/>
      <c r="DH33" s="250"/>
      <c r="DI33" s="250"/>
      <c r="DJ33" s="250"/>
      <c r="DK33" s="250"/>
      <c r="DL33" s="250"/>
      <c r="DM33" s="250"/>
      <c r="DN33" s="250"/>
      <c r="DO33" s="250"/>
      <c r="DP33" s="250"/>
      <c r="DQ33" s="250"/>
      <c r="DR33" s="250"/>
      <c r="DS33" s="250"/>
      <c r="DT33" s="250"/>
      <c r="DU33" s="250"/>
      <c r="DV33" s="250"/>
      <c r="DW33" s="250"/>
      <c r="DX33" s="250"/>
      <c r="DY33" s="250"/>
      <c r="DZ33" s="250"/>
      <c r="EA33" s="250"/>
      <c r="EB33" s="250"/>
      <c r="EC33" s="250"/>
      <c r="ED33" s="250"/>
      <c r="EE33" s="250"/>
      <c r="EF33" s="250"/>
      <c r="EG33" s="250"/>
      <c r="EH33" s="250"/>
      <c r="EI33" s="250"/>
      <c r="EJ33" s="250"/>
      <c r="EK33" s="250"/>
      <c r="EL33" s="250"/>
      <c r="EM33" s="250"/>
      <c r="EN33" s="250"/>
      <c r="EO33" s="250"/>
      <c r="EP33" s="250"/>
      <c r="EQ33" s="250"/>
      <c r="ER33" s="250"/>
      <c r="ES33" s="250"/>
      <c r="ET33" s="250"/>
      <c r="EU33" s="250"/>
      <c r="EV33" s="250"/>
      <c r="EW33" s="250"/>
      <c r="EX33" s="250"/>
      <c r="EY33" s="250"/>
      <c r="EZ33" s="250"/>
      <c r="FA33" s="250"/>
      <c r="FB33" s="250"/>
      <c r="FC33" s="250"/>
      <c r="FD33" s="250"/>
      <c r="FE33" s="250"/>
      <c r="FF33" s="250"/>
      <c r="FG33" s="250"/>
      <c r="FH33" s="250"/>
      <c r="FI33" s="250"/>
      <c r="FJ33" s="250"/>
      <c r="FK33" s="250"/>
      <c r="FL33" s="250"/>
      <c r="FM33" s="250"/>
      <c r="FN33" s="250"/>
      <c r="FO33" s="250"/>
      <c r="FP33" s="250"/>
      <c r="FQ33" s="250"/>
      <c r="FR33" s="250"/>
      <c r="FS33" s="250"/>
      <c r="FT33" s="250"/>
      <c r="FU33" s="250"/>
      <c r="FV33" s="250"/>
      <c r="FW33" s="250"/>
      <c r="FX33" s="250"/>
      <c r="FY33" s="250"/>
      <c r="FZ33" s="250"/>
      <c r="GA33" s="250"/>
      <c r="GB33" s="250"/>
      <c r="GC33" s="250"/>
      <c r="GD33" s="250"/>
      <c r="GE33" s="250"/>
      <c r="GF33" s="250"/>
      <c r="GG33" s="250"/>
      <c r="GH33" s="250"/>
      <c r="GI33" s="250"/>
      <c r="GJ33" s="250"/>
      <c r="GK33" s="250"/>
      <c r="GL33" s="250"/>
      <c r="GM33" s="250"/>
      <c r="GN33" s="250"/>
      <c r="GO33" s="242"/>
      <c r="GP33" s="242"/>
      <c r="GQ33" s="242"/>
      <c r="GR33" s="242"/>
      <c r="GS33" s="242"/>
      <c r="GT33" s="242"/>
      <c r="GU33" s="242"/>
      <c r="GV33" s="242"/>
      <c r="GW33" s="242"/>
      <c r="GX33" s="242"/>
      <c r="GY33" s="242"/>
      <c r="GZ33" s="242"/>
      <c r="HA33" s="242"/>
      <c r="HB33" s="242"/>
      <c r="HC33" s="242"/>
      <c r="HD33" s="250"/>
      <c r="HE33" s="242"/>
      <c r="HF33" s="242"/>
      <c r="HG33" s="242"/>
      <c r="HH33" s="242"/>
      <c r="HI33" s="242"/>
      <c r="HJ33" s="242"/>
      <c r="HK33" s="242"/>
      <c r="HL33" s="242"/>
      <c r="HM33" s="242"/>
      <c r="HN33" s="242"/>
      <c r="HO33" s="243"/>
    </row>
    <row r="34" spans="1:223" ht="12.75" hidden="1">
      <c r="A34" s="83">
        <f t="shared" si="10"/>
        <v>29</v>
      </c>
      <c r="B34" s="84"/>
      <c r="C34" s="84"/>
      <c r="D34" s="84"/>
      <c r="E34" s="84"/>
      <c r="F34" s="84" t="str">
        <f t="shared" si="3"/>
        <v>///</v>
      </c>
      <c r="G34" s="249">
        <f t="shared" si="11"/>
        <v>0</v>
      </c>
      <c r="H34" s="240">
        <f t="shared" si="4"/>
        <v>0</v>
      </c>
      <c r="I34" s="243"/>
      <c r="J34" s="243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0"/>
      <c r="BA34" s="250"/>
      <c r="BB34" s="250"/>
      <c r="BC34" s="250"/>
      <c r="BD34" s="250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0"/>
      <c r="BS34" s="250"/>
      <c r="BT34" s="250"/>
      <c r="BU34" s="250"/>
      <c r="BV34" s="250"/>
      <c r="BW34" s="250"/>
      <c r="BX34" s="250"/>
      <c r="BY34" s="250"/>
      <c r="BZ34" s="250"/>
      <c r="CA34" s="250"/>
      <c r="CB34" s="250"/>
      <c r="CC34" s="250"/>
      <c r="CD34" s="250"/>
      <c r="CE34" s="250"/>
      <c r="CF34" s="250"/>
      <c r="CG34" s="250"/>
      <c r="CH34" s="250"/>
      <c r="CI34" s="250"/>
      <c r="CJ34" s="250"/>
      <c r="CK34" s="250"/>
      <c r="CL34" s="250"/>
      <c r="CM34" s="250"/>
      <c r="CN34" s="250"/>
      <c r="CO34" s="250"/>
      <c r="CP34" s="250"/>
      <c r="CQ34" s="250"/>
      <c r="CR34" s="250"/>
      <c r="CS34" s="250"/>
      <c r="CT34" s="250"/>
      <c r="CU34" s="250"/>
      <c r="CV34" s="250"/>
      <c r="CW34" s="250"/>
      <c r="CX34" s="250"/>
      <c r="CY34" s="250"/>
      <c r="CZ34" s="250"/>
      <c r="DA34" s="250"/>
      <c r="DB34" s="250"/>
      <c r="DC34" s="250"/>
      <c r="DD34" s="250"/>
      <c r="DE34" s="250"/>
      <c r="DF34" s="250"/>
      <c r="DG34" s="250"/>
      <c r="DH34" s="250"/>
      <c r="DI34" s="250"/>
      <c r="DJ34" s="250"/>
      <c r="DK34" s="250"/>
      <c r="DL34" s="250"/>
      <c r="DM34" s="250"/>
      <c r="DN34" s="250"/>
      <c r="DO34" s="250"/>
      <c r="DP34" s="250"/>
      <c r="DQ34" s="250"/>
      <c r="DR34" s="250"/>
      <c r="DS34" s="250"/>
      <c r="DT34" s="250"/>
      <c r="DU34" s="250"/>
      <c r="DV34" s="250"/>
      <c r="DW34" s="250"/>
      <c r="DX34" s="250"/>
      <c r="DY34" s="250"/>
      <c r="DZ34" s="250"/>
      <c r="EA34" s="250"/>
      <c r="EB34" s="250"/>
      <c r="EC34" s="250"/>
      <c r="ED34" s="250"/>
      <c r="EE34" s="250"/>
      <c r="EF34" s="250"/>
      <c r="EG34" s="250"/>
      <c r="EH34" s="250"/>
      <c r="EI34" s="250"/>
      <c r="EJ34" s="250"/>
      <c r="EK34" s="250"/>
      <c r="EL34" s="250"/>
      <c r="EM34" s="250"/>
      <c r="EN34" s="250"/>
      <c r="EO34" s="250"/>
      <c r="EP34" s="250"/>
      <c r="EQ34" s="250"/>
      <c r="ER34" s="250"/>
      <c r="ES34" s="250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0"/>
      <c r="FW34" s="250"/>
      <c r="FX34" s="250"/>
      <c r="FY34" s="250"/>
      <c r="FZ34" s="250"/>
      <c r="GA34" s="250"/>
      <c r="GB34" s="250"/>
      <c r="GC34" s="250"/>
      <c r="GD34" s="250"/>
      <c r="GE34" s="250"/>
      <c r="GF34" s="250"/>
      <c r="GG34" s="250"/>
      <c r="GH34" s="250"/>
      <c r="GI34" s="250"/>
      <c r="GJ34" s="250"/>
      <c r="GK34" s="250"/>
      <c r="GL34" s="250"/>
      <c r="GM34" s="250"/>
      <c r="GN34" s="250"/>
      <c r="GO34" s="242"/>
      <c r="GP34" s="242"/>
      <c r="GQ34" s="242"/>
      <c r="GR34" s="242"/>
      <c r="GS34" s="242"/>
      <c r="GT34" s="242"/>
      <c r="GU34" s="242"/>
      <c r="GV34" s="242"/>
      <c r="GW34" s="242"/>
      <c r="GX34" s="242"/>
      <c r="GY34" s="242"/>
      <c r="GZ34" s="242"/>
      <c r="HA34" s="242"/>
      <c r="HB34" s="242"/>
      <c r="HC34" s="242"/>
      <c r="HD34" s="250"/>
      <c r="HE34" s="242"/>
      <c r="HF34" s="242"/>
      <c r="HG34" s="242"/>
      <c r="HH34" s="242"/>
      <c r="HI34" s="242"/>
      <c r="HJ34" s="242"/>
      <c r="HK34" s="242"/>
      <c r="HL34" s="242"/>
      <c r="HM34" s="242"/>
      <c r="HN34" s="242"/>
      <c r="HO34" s="243"/>
    </row>
    <row r="35" spans="1:223" ht="12.75" hidden="1">
      <c r="A35" s="83">
        <f t="shared" si="10"/>
        <v>30</v>
      </c>
      <c r="B35" s="84"/>
      <c r="C35" s="84"/>
      <c r="D35" s="84"/>
      <c r="E35" s="84"/>
      <c r="F35" s="84" t="str">
        <f t="shared" si="3"/>
        <v>///</v>
      </c>
      <c r="G35" s="249">
        <f t="shared" si="11"/>
        <v>0</v>
      </c>
      <c r="H35" s="240">
        <f t="shared" si="4"/>
        <v>0</v>
      </c>
      <c r="I35" s="243"/>
      <c r="J35" s="243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  <c r="Z35" s="242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  <c r="AM35" s="242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2"/>
      <c r="BK35" s="242"/>
      <c r="BL35" s="242"/>
      <c r="BM35" s="242"/>
      <c r="BN35" s="242"/>
      <c r="BO35" s="242"/>
      <c r="BP35" s="242"/>
      <c r="BQ35" s="242"/>
      <c r="BR35" s="242"/>
      <c r="BS35" s="242"/>
      <c r="BT35" s="242"/>
      <c r="BU35" s="242"/>
      <c r="BV35" s="242"/>
      <c r="BW35" s="242"/>
      <c r="BX35" s="242"/>
      <c r="BY35" s="242"/>
      <c r="BZ35" s="242"/>
      <c r="CA35" s="242"/>
      <c r="CB35" s="242"/>
      <c r="CC35" s="242"/>
      <c r="CD35" s="242"/>
      <c r="CE35" s="242"/>
      <c r="CF35" s="242"/>
      <c r="CG35" s="242"/>
      <c r="CH35" s="242"/>
      <c r="CI35" s="242"/>
      <c r="CJ35" s="242"/>
      <c r="CK35" s="242"/>
      <c r="CL35" s="242"/>
      <c r="CM35" s="242"/>
      <c r="CN35" s="242"/>
      <c r="CO35" s="242"/>
      <c r="CP35" s="242"/>
      <c r="CQ35" s="242"/>
      <c r="CR35" s="242"/>
      <c r="CS35" s="242"/>
      <c r="CT35" s="242"/>
      <c r="CU35" s="242"/>
      <c r="CV35" s="242"/>
      <c r="CW35" s="242"/>
      <c r="CX35" s="242"/>
      <c r="CY35" s="242"/>
      <c r="CZ35" s="242"/>
      <c r="DA35" s="242"/>
      <c r="DB35" s="242"/>
      <c r="DC35" s="242"/>
      <c r="DD35" s="242"/>
      <c r="DE35" s="242"/>
      <c r="DF35" s="242"/>
      <c r="DG35" s="242"/>
      <c r="DH35" s="242"/>
      <c r="DI35" s="242"/>
      <c r="DJ35" s="242"/>
      <c r="DK35" s="242"/>
      <c r="DL35" s="242"/>
      <c r="DM35" s="242"/>
      <c r="DN35" s="242"/>
      <c r="DO35" s="242"/>
      <c r="DP35" s="242"/>
      <c r="DQ35" s="242"/>
      <c r="DR35" s="242"/>
      <c r="DS35" s="242"/>
      <c r="DT35" s="242"/>
      <c r="DU35" s="242"/>
      <c r="DV35" s="242"/>
      <c r="DW35" s="242"/>
      <c r="DX35" s="242"/>
      <c r="DY35" s="242"/>
      <c r="DZ35" s="242"/>
      <c r="EA35" s="242"/>
      <c r="EB35" s="242"/>
      <c r="EC35" s="242"/>
      <c r="ED35" s="242"/>
      <c r="EE35" s="242"/>
      <c r="EF35" s="242"/>
      <c r="EG35" s="242"/>
      <c r="EH35" s="242"/>
      <c r="EI35" s="242"/>
      <c r="EJ35" s="242"/>
      <c r="EK35" s="242"/>
      <c r="EL35" s="242"/>
      <c r="EM35" s="242"/>
      <c r="EN35" s="242"/>
      <c r="EO35" s="242"/>
      <c r="EP35" s="242"/>
      <c r="EQ35" s="242"/>
      <c r="ER35" s="242"/>
      <c r="ES35" s="242"/>
      <c r="ET35" s="242"/>
      <c r="EU35" s="242"/>
      <c r="EV35" s="242"/>
      <c r="EW35" s="242"/>
      <c r="EX35" s="242"/>
      <c r="EY35" s="242"/>
      <c r="EZ35" s="242"/>
      <c r="FA35" s="242"/>
      <c r="FB35" s="242"/>
      <c r="FC35" s="242"/>
      <c r="FD35" s="242"/>
      <c r="FE35" s="242"/>
      <c r="FF35" s="242"/>
      <c r="FG35" s="242"/>
      <c r="FH35" s="242"/>
      <c r="FI35" s="242"/>
      <c r="FJ35" s="242"/>
      <c r="FK35" s="242"/>
      <c r="FL35" s="242"/>
      <c r="FM35" s="242"/>
      <c r="FN35" s="242"/>
      <c r="FO35" s="242"/>
      <c r="FP35" s="242"/>
      <c r="FQ35" s="242"/>
      <c r="FR35" s="242"/>
      <c r="FS35" s="242"/>
      <c r="FT35" s="242"/>
      <c r="FU35" s="242"/>
      <c r="FV35" s="242"/>
      <c r="FW35" s="242"/>
      <c r="FX35" s="242"/>
      <c r="FY35" s="242"/>
      <c r="FZ35" s="242"/>
      <c r="GA35" s="242"/>
      <c r="GB35" s="242"/>
      <c r="GC35" s="242"/>
      <c r="GD35" s="242"/>
      <c r="GE35" s="242"/>
      <c r="GF35" s="242"/>
      <c r="GG35" s="242"/>
      <c r="GH35" s="242"/>
      <c r="GI35" s="242"/>
      <c r="GJ35" s="242"/>
      <c r="GK35" s="242"/>
      <c r="GL35" s="242"/>
      <c r="GM35" s="242"/>
      <c r="GN35" s="242"/>
      <c r="GO35" s="242"/>
      <c r="GP35" s="242"/>
      <c r="GQ35" s="242"/>
      <c r="GR35" s="242"/>
      <c r="GS35" s="242"/>
      <c r="GT35" s="242"/>
      <c r="GU35" s="242"/>
      <c r="GV35" s="242"/>
      <c r="GW35" s="242"/>
      <c r="GX35" s="242"/>
      <c r="GY35" s="242"/>
      <c r="GZ35" s="242"/>
      <c r="HA35" s="242"/>
      <c r="HB35" s="242"/>
      <c r="HC35" s="242"/>
      <c r="HD35" s="242"/>
      <c r="HE35" s="242"/>
      <c r="HF35" s="242"/>
      <c r="HG35" s="242"/>
      <c r="HH35" s="242"/>
      <c r="HI35" s="242"/>
      <c r="HJ35" s="242"/>
      <c r="HK35" s="242"/>
      <c r="HL35" s="242"/>
      <c r="HM35" s="242"/>
      <c r="HN35" s="242"/>
      <c r="HO35" s="243"/>
    </row>
    <row r="36" spans="1:223" ht="12.75" hidden="1">
      <c r="A36" s="83">
        <f t="shared" si="10"/>
        <v>31</v>
      </c>
      <c r="B36" s="84"/>
      <c r="C36" s="84"/>
      <c r="D36" s="84"/>
      <c r="E36" s="84"/>
      <c r="F36" s="84" t="str">
        <f t="shared" si="3"/>
        <v>///</v>
      </c>
      <c r="G36" s="249">
        <f t="shared" si="11"/>
        <v>0</v>
      </c>
      <c r="H36" s="240">
        <f t="shared" si="4"/>
        <v>0</v>
      </c>
      <c r="I36" s="243"/>
      <c r="J36" s="243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  <c r="Z36" s="242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2"/>
      <c r="BK36" s="242"/>
      <c r="BL36" s="242"/>
      <c r="BM36" s="242"/>
      <c r="BN36" s="242"/>
      <c r="BO36" s="242"/>
      <c r="BP36" s="242"/>
      <c r="BQ36" s="242"/>
      <c r="BR36" s="242"/>
      <c r="BS36" s="242"/>
      <c r="BT36" s="242"/>
      <c r="BU36" s="242"/>
      <c r="BV36" s="242"/>
      <c r="BW36" s="242"/>
      <c r="BX36" s="242"/>
      <c r="BY36" s="242"/>
      <c r="BZ36" s="242"/>
      <c r="CA36" s="242"/>
      <c r="CB36" s="242"/>
      <c r="CC36" s="242"/>
      <c r="CD36" s="242"/>
      <c r="CE36" s="242"/>
      <c r="CF36" s="242"/>
      <c r="CG36" s="242"/>
      <c r="CH36" s="242"/>
      <c r="CI36" s="242"/>
      <c r="CJ36" s="242"/>
      <c r="CK36" s="242"/>
      <c r="CL36" s="242"/>
      <c r="CM36" s="242"/>
      <c r="CN36" s="242"/>
      <c r="CO36" s="242"/>
      <c r="CP36" s="242"/>
      <c r="CQ36" s="242"/>
      <c r="CR36" s="242"/>
      <c r="CS36" s="242"/>
      <c r="CT36" s="242"/>
      <c r="CU36" s="242"/>
      <c r="CV36" s="242"/>
      <c r="CW36" s="242"/>
      <c r="CX36" s="242"/>
      <c r="CY36" s="242"/>
      <c r="CZ36" s="242"/>
      <c r="DA36" s="242"/>
      <c r="DB36" s="242"/>
      <c r="DC36" s="242"/>
      <c r="DD36" s="242"/>
      <c r="DE36" s="242"/>
      <c r="DF36" s="242"/>
      <c r="DG36" s="242"/>
      <c r="DH36" s="242"/>
      <c r="DI36" s="242"/>
      <c r="DJ36" s="242"/>
      <c r="DK36" s="242"/>
      <c r="DL36" s="242"/>
      <c r="DM36" s="242"/>
      <c r="DN36" s="242"/>
      <c r="DO36" s="242"/>
      <c r="DP36" s="242"/>
      <c r="DQ36" s="242"/>
      <c r="DR36" s="242"/>
      <c r="DS36" s="242"/>
      <c r="DT36" s="242"/>
      <c r="DU36" s="242"/>
      <c r="DV36" s="242"/>
      <c r="DW36" s="242"/>
      <c r="DX36" s="242"/>
      <c r="DY36" s="242"/>
      <c r="DZ36" s="242"/>
      <c r="EA36" s="242"/>
      <c r="EB36" s="242"/>
      <c r="EC36" s="242"/>
      <c r="ED36" s="242"/>
      <c r="EE36" s="242"/>
      <c r="EF36" s="242"/>
      <c r="EG36" s="242"/>
      <c r="EH36" s="242"/>
      <c r="EI36" s="242"/>
      <c r="EJ36" s="242"/>
      <c r="EK36" s="242"/>
      <c r="EL36" s="242"/>
      <c r="EM36" s="242"/>
      <c r="EN36" s="242"/>
      <c r="EO36" s="242"/>
      <c r="EP36" s="242"/>
      <c r="EQ36" s="242"/>
      <c r="ER36" s="242"/>
      <c r="ES36" s="242"/>
      <c r="ET36" s="242"/>
      <c r="EU36" s="242"/>
      <c r="EV36" s="242"/>
      <c r="EW36" s="242"/>
      <c r="EX36" s="242"/>
      <c r="EY36" s="242"/>
      <c r="EZ36" s="242"/>
      <c r="FA36" s="242"/>
      <c r="FB36" s="242"/>
      <c r="FC36" s="242"/>
      <c r="FD36" s="242"/>
      <c r="FE36" s="242"/>
      <c r="FF36" s="242"/>
      <c r="FG36" s="242"/>
      <c r="FH36" s="242"/>
      <c r="FI36" s="242"/>
      <c r="FJ36" s="242"/>
      <c r="FK36" s="242"/>
      <c r="FL36" s="242"/>
      <c r="FM36" s="242"/>
      <c r="FN36" s="242"/>
      <c r="FO36" s="242"/>
      <c r="FP36" s="242"/>
      <c r="FQ36" s="242"/>
      <c r="FR36" s="242"/>
      <c r="FS36" s="242"/>
      <c r="FT36" s="242"/>
      <c r="FU36" s="242"/>
      <c r="FV36" s="242"/>
      <c r="FW36" s="242"/>
      <c r="FX36" s="242"/>
      <c r="FY36" s="242"/>
      <c r="FZ36" s="242"/>
      <c r="GA36" s="242"/>
      <c r="GB36" s="242"/>
      <c r="GC36" s="242"/>
      <c r="GD36" s="242"/>
      <c r="GE36" s="242"/>
      <c r="GF36" s="242"/>
      <c r="GG36" s="242"/>
      <c r="GH36" s="242"/>
      <c r="GI36" s="242"/>
      <c r="GJ36" s="242"/>
      <c r="GK36" s="242"/>
      <c r="GL36" s="242"/>
      <c r="GM36" s="242"/>
      <c r="GN36" s="242"/>
      <c r="GO36" s="242"/>
      <c r="GP36" s="242"/>
      <c r="GQ36" s="242"/>
      <c r="GR36" s="242"/>
      <c r="GS36" s="242"/>
      <c r="GT36" s="242"/>
      <c r="GU36" s="242"/>
      <c r="GV36" s="242"/>
      <c r="GW36" s="242"/>
      <c r="GX36" s="242"/>
      <c r="GY36" s="242"/>
      <c r="GZ36" s="242"/>
      <c r="HA36" s="242"/>
      <c r="HB36" s="242"/>
      <c r="HC36" s="242"/>
      <c r="HD36" s="242"/>
      <c r="HE36" s="242"/>
      <c r="HF36" s="242"/>
      <c r="HG36" s="242"/>
      <c r="HH36" s="242"/>
      <c r="HI36" s="242"/>
      <c r="HJ36" s="242"/>
      <c r="HK36" s="242"/>
      <c r="HL36" s="242"/>
      <c r="HM36" s="242"/>
      <c r="HN36" s="242"/>
      <c r="HO36" s="243"/>
    </row>
    <row r="37" spans="1:223" ht="12.75" hidden="1">
      <c r="A37" s="83">
        <f t="shared" si="10"/>
        <v>32</v>
      </c>
      <c r="B37" s="84"/>
      <c r="C37" s="84"/>
      <c r="D37" s="84"/>
      <c r="E37" s="84"/>
      <c r="F37" s="84" t="str">
        <f t="shared" si="3"/>
        <v>///</v>
      </c>
      <c r="G37" s="249">
        <f t="shared" si="11"/>
        <v>0</v>
      </c>
      <c r="H37" s="240">
        <f t="shared" si="4"/>
        <v>0</v>
      </c>
      <c r="I37" s="243"/>
      <c r="J37" s="243"/>
      <c r="K37" s="242"/>
      <c r="L37" s="246" t="s">
        <v>787</v>
      </c>
      <c r="M37" s="246" t="s">
        <v>788</v>
      </c>
      <c r="N37" s="246" t="s">
        <v>789</v>
      </c>
      <c r="O37" s="246" t="s">
        <v>790</v>
      </c>
      <c r="P37" s="246" t="s">
        <v>782</v>
      </c>
      <c r="Q37" s="246" t="s">
        <v>791</v>
      </c>
      <c r="R37" s="246" t="s">
        <v>792</v>
      </c>
      <c r="S37" s="246" t="s">
        <v>783</v>
      </c>
      <c r="T37" s="246" t="s">
        <v>780</v>
      </c>
      <c r="U37" s="246" t="s">
        <v>781</v>
      </c>
      <c r="V37" s="246" t="s">
        <v>784</v>
      </c>
      <c r="W37" s="246" t="s">
        <v>785</v>
      </c>
      <c r="X37" s="246" t="s">
        <v>786</v>
      </c>
      <c r="Y37" s="246" t="s">
        <v>793</v>
      </c>
      <c r="Z37" s="246" t="s">
        <v>794</v>
      </c>
      <c r="AA37" s="246" t="s">
        <v>795</v>
      </c>
      <c r="AB37" s="246" t="s">
        <v>778</v>
      </c>
      <c r="AC37" s="246" t="s">
        <v>779</v>
      </c>
      <c r="AD37" s="246" t="s">
        <v>796</v>
      </c>
      <c r="AE37" s="246" t="s">
        <v>797</v>
      </c>
      <c r="AF37" s="242"/>
      <c r="AG37" s="242"/>
      <c r="AH37" s="242"/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2"/>
      <c r="BU37" s="242"/>
      <c r="BV37" s="242"/>
      <c r="BW37" s="242"/>
      <c r="BX37" s="242"/>
      <c r="BY37" s="242"/>
      <c r="BZ37" s="242"/>
      <c r="CA37" s="242"/>
      <c r="CB37" s="242"/>
      <c r="CC37" s="242"/>
      <c r="CD37" s="242"/>
      <c r="CE37" s="242"/>
      <c r="CF37" s="242"/>
      <c r="CG37" s="242"/>
      <c r="CH37" s="242"/>
      <c r="CI37" s="242"/>
      <c r="CJ37" s="242"/>
      <c r="CK37" s="242"/>
      <c r="CL37" s="242"/>
      <c r="CM37" s="242"/>
      <c r="CN37" s="242"/>
      <c r="CO37" s="242"/>
      <c r="CP37" s="242"/>
      <c r="CQ37" s="242"/>
      <c r="CR37" s="242"/>
      <c r="CS37" s="242"/>
      <c r="CT37" s="242"/>
      <c r="CU37" s="242"/>
      <c r="CV37" s="242"/>
      <c r="CW37" s="242"/>
      <c r="CX37" s="242"/>
      <c r="CY37" s="242"/>
      <c r="CZ37" s="242"/>
      <c r="DA37" s="242"/>
      <c r="DB37" s="242"/>
      <c r="DC37" s="242"/>
      <c r="DD37" s="242"/>
      <c r="DE37" s="242"/>
      <c r="DF37" s="242"/>
      <c r="DG37" s="242"/>
      <c r="DH37" s="242"/>
      <c r="DI37" s="242"/>
      <c r="DJ37" s="242"/>
      <c r="DK37" s="242"/>
      <c r="DL37" s="242"/>
      <c r="DM37" s="242"/>
      <c r="DN37" s="242"/>
      <c r="DO37" s="242"/>
      <c r="DP37" s="242"/>
      <c r="DQ37" s="242"/>
      <c r="DR37" s="242"/>
      <c r="DS37" s="242"/>
      <c r="DT37" s="242"/>
      <c r="DU37" s="242"/>
      <c r="DV37" s="242"/>
      <c r="DW37" s="242"/>
      <c r="DX37" s="242"/>
      <c r="DY37" s="242"/>
      <c r="DZ37" s="242"/>
      <c r="EA37" s="242"/>
      <c r="EB37" s="242"/>
      <c r="EC37" s="242"/>
      <c r="ED37" s="242"/>
      <c r="EE37" s="242"/>
      <c r="EF37" s="242"/>
      <c r="EG37" s="242"/>
      <c r="EH37" s="242"/>
      <c r="EI37" s="242"/>
      <c r="EJ37" s="242"/>
      <c r="EK37" s="242"/>
      <c r="EL37" s="242"/>
      <c r="EM37" s="242"/>
      <c r="EN37" s="242"/>
      <c r="EO37" s="242"/>
      <c r="EP37" s="242"/>
      <c r="EQ37" s="242"/>
      <c r="ER37" s="242"/>
      <c r="ES37" s="242"/>
      <c r="ET37" s="242"/>
      <c r="EU37" s="242"/>
      <c r="EV37" s="242"/>
      <c r="EW37" s="242"/>
      <c r="EX37" s="242"/>
      <c r="EY37" s="242"/>
      <c r="EZ37" s="242"/>
      <c r="FA37" s="242"/>
      <c r="FB37" s="242"/>
      <c r="FC37" s="242"/>
      <c r="FD37" s="242"/>
      <c r="FE37" s="242"/>
      <c r="FF37" s="242"/>
      <c r="FG37" s="242"/>
      <c r="FH37" s="242"/>
      <c r="FI37" s="242"/>
      <c r="FJ37" s="242"/>
      <c r="FK37" s="242"/>
      <c r="FL37" s="242"/>
      <c r="FM37" s="242"/>
      <c r="FN37" s="242"/>
      <c r="FO37" s="242"/>
      <c r="FP37" s="242"/>
      <c r="FQ37" s="242"/>
      <c r="FR37" s="242"/>
      <c r="FS37" s="242"/>
      <c r="FT37" s="242"/>
      <c r="FU37" s="242"/>
      <c r="FV37" s="242"/>
      <c r="FW37" s="242"/>
      <c r="FX37" s="242"/>
      <c r="FY37" s="242"/>
      <c r="FZ37" s="242"/>
      <c r="GA37" s="242"/>
      <c r="GB37" s="242"/>
      <c r="GC37" s="242"/>
      <c r="GD37" s="242"/>
      <c r="GE37" s="242"/>
      <c r="GF37" s="242"/>
      <c r="GG37" s="242"/>
      <c r="GH37" s="242"/>
      <c r="GI37" s="242"/>
      <c r="GJ37" s="242"/>
      <c r="GK37" s="242"/>
      <c r="GL37" s="242"/>
      <c r="GM37" s="242"/>
      <c r="GN37" s="242"/>
      <c r="GO37" s="242"/>
      <c r="GP37" s="242"/>
      <c r="GQ37" s="242"/>
      <c r="GR37" s="242"/>
      <c r="GS37" s="242"/>
      <c r="GT37" s="242"/>
      <c r="GU37" s="242"/>
      <c r="GV37" s="242"/>
      <c r="GW37" s="242"/>
      <c r="GX37" s="242"/>
      <c r="GY37" s="242"/>
      <c r="GZ37" s="242"/>
      <c r="HA37" s="242"/>
      <c r="HB37" s="242"/>
      <c r="HC37" s="242"/>
      <c r="HD37" s="242"/>
      <c r="HE37" s="242"/>
      <c r="HF37" s="242"/>
      <c r="HG37" s="242"/>
      <c r="HH37" s="242"/>
      <c r="HI37" s="242"/>
      <c r="HJ37" s="242"/>
      <c r="HK37" s="242"/>
      <c r="HL37" s="242"/>
      <c r="HM37" s="242"/>
      <c r="HN37" s="242"/>
      <c r="HO37" s="243"/>
    </row>
    <row r="38" spans="1:223" ht="12.75" hidden="1">
      <c r="A38" s="83">
        <f t="shared" si="10"/>
        <v>33</v>
      </c>
      <c r="B38" s="84"/>
      <c r="C38" s="84"/>
      <c r="D38" s="84"/>
      <c r="E38" s="84"/>
      <c r="F38" s="84" t="str">
        <f t="shared" si="3"/>
        <v>///</v>
      </c>
      <c r="G38" s="249">
        <f t="shared" si="11"/>
        <v>0</v>
      </c>
      <c r="H38" s="240">
        <f t="shared" si="4"/>
        <v>0</v>
      </c>
      <c r="I38" s="243"/>
      <c r="J38" s="243"/>
      <c r="K38" s="242"/>
      <c r="L38" s="247" t="s">
        <v>788</v>
      </c>
      <c r="M38" s="247" t="s">
        <v>84</v>
      </c>
      <c r="N38" s="247" t="s">
        <v>84</v>
      </c>
      <c r="O38" s="247" t="s">
        <v>91</v>
      </c>
      <c r="P38" s="247" t="s">
        <v>791</v>
      </c>
      <c r="Q38" s="247" t="s">
        <v>84</v>
      </c>
      <c r="R38" s="247" t="s">
        <v>84</v>
      </c>
      <c r="S38" s="247" t="s">
        <v>91</v>
      </c>
      <c r="T38" s="247" t="s">
        <v>781</v>
      </c>
      <c r="U38" s="247" t="s">
        <v>84</v>
      </c>
      <c r="V38" s="247" t="s">
        <v>84</v>
      </c>
      <c r="W38" s="247" t="s">
        <v>91</v>
      </c>
      <c r="X38" s="247" t="s">
        <v>793</v>
      </c>
      <c r="Y38" s="247" t="s">
        <v>84</v>
      </c>
      <c r="Z38" s="247" t="s">
        <v>84</v>
      </c>
      <c r="AA38" s="247" t="s">
        <v>91</v>
      </c>
      <c r="AB38" s="247" t="s">
        <v>779</v>
      </c>
      <c r="AC38" s="247" t="s">
        <v>84</v>
      </c>
      <c r="AD38" s="247" t="s">
        <v>84</v>
      </c>
      <c r="AE38" s="247" t="s">
        <v>91</v>
      </c>
      <c r="AF38" s="242"/>
      <c r="AG38" s="242"/>
      <c r="AH38" s="242"/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2"/>
      <c r="BU38" s="242"/>
      <c r="BV38" s="242"/>
      <c r="BW38" s="242"/>
      <c r="BX38" s="242"/>
      <c r="BY38" s="242"/>
      <c r="BZ38" s="242"/>
      <c r="CA38" s="242"/>
      <c r="CB38" s="242"/>
      <c r="CC38" s="242"/>
      <c r="CD38" s="242"/>
      <c r="CE38" s="242"/>
      <c r="CF38" s="242"/>
      <c r="CG38" s="242"/>
      <c r="CH38" s="242"/>
      <c r="CI38" s="242"/>
      <c r="CJ38" s="242"/>
      <c r="CK38" s="242"/>
      <c r="CL38" s="242"/>
      <c r="CM38" s="242"/>
      <c r="CN38" s="242"/>
      <c r="CO38" s="242"/>
      <c r="CP38" s="242"/>
      <c r="CQ38" s="242"/>
      <c r="CR38" s="242"/>
      <c r="CS38" s="242"/>
      <c r="CT38" s="242"/>
      <c r="CU38" s="242"/>
      <c r="CV38" s="242"/>
      <c r="CW38" s="242"/>
      <c r="CX38" s="242"/>
      <c r="CY38" s="242"/>
      <c r="CZ38" s="242"/>
      <c r="DA38" s="242"/>
      <c r="DB38" s="242"/>
      <c r="DC38" s="242"/>
      <c r="DD38" s="242"/>
      <c r="DE38" s="242"/>
      <c r="DF38" s="242"/>
      <c r="DG38" s="242"/>
      <c r="DH38" s="242"/>
      <c r="DI38" s="242"/>
      <c r="DJ38" s="242"/>
      <c r="DK38" s="242"/>
      <c r="DL38" s="242"/>
      <c r="DM38" s="242"/>
      <c r="DN38" s="242"/>
      <c r="DO38" s="242"/>
      <c r="DP38" s="242"/>
      <c r="DQ38" s="242"/>
      <c r="DR38" s="242"/>
      <c r="DS38" s="242"/>
      <c r="DT38" s="242"/>
      <c r="DU38" s="242"/>
      <c r="DV38" s="242"/>
      <c r="DW38" s="242"/>
      <c r="DX38" s="242"/>
      <c r="DY38" s="242"/>
      <c r="DZ38" s="242"/>
      <c r="EA38" s="242"/>
      <c r="EB38" s="242"/>
      <c r="EC38" s="242"/>
      <c r="ED38" s="242"/>
      <c r="EE38" s="242"/>
      <c r="EF38" s="242"/>
      <c r="EG38" s="242"/>
      <c r="EH38" s="242"/>
      <c r="EI38" s="242"/>
      <c r="EJ38" s="242"/>
      <c r="EK38" s="242"/>
      <c r="EL38" s="242"/>
      <c r="EM38" s="242"/>
      <c r="EN38" s="242"/>
      <c r="EO38" s="242"/>
      <c r="EP38" s="242"/>
      <c r="EQ38" s="242"/>
      <c r="ER38" s="242"/>
      <c r="ES38" s="242"/>
      <c r="ET38" s="242"/>
      <c r="EU38" s="242"/>
      <c r="EV38" s="242"/>
      <c r="EW38" s="242"/>
      <c r="EX38" s="242"/>
      <c r="EY38" s="242"/>
      <c r="EZ38" s="242"/>
      <c r="FA38" s="242"/>
      <c r="FB38" s="242"/>
      <c r="FC38" s="242"/>
      <c r="FD38" s="242"/>
      <c r="FE38" s="242"/>
      <c r="FF38" s="242"/>
      <c r="FG38" s="242"/>
      <c r="FH38" s="242"/>
      <c r="FI38" s="242"/>
      <c r="FJ38" s="242"/>
      <c r="FK38" s="242"/>
      <c r="FL38" s="242"/>
      <c r="FM38" s="242"/>
      <c r="FN38" s="242"/>
      <c r="FO38" s="242"/>
      <c r="FP38" s="242"/>
      <c r="FQ38" s="242"/>
      <c r="FR38" s="242"/>
      <c r="FS38" s="242"/>
      <c r="FT38" s="242"/>
      <c r="FU38" s="242"/>
      <c r="FV38" s="242"/>
      <c r="FW38" s="242"/>
      <c r="FX38" s="242"/>
      <c r="FY38" s="242"/>
      <c r="FZ38" s="242"/>
      <c r="GA38" s="242"/>
      <c r="GB38" s="242"/>
      <c r="GC38" s="242"/>
      <c r="GD38" s="242"/>
      <c r="GE38" s="242"/>
      <c r="GF38" s="242"/>
      <c r="GG38" s="242"/>
      <c r="GH38" s="242"/>
      <c r="GI38" s="242"/>
      <c r="GJ38" s="242"/>
      <c r="GK38" s="242"/>
      <c r="GL38" s="242"/>
      <c r="GM38" s="242"/>
      <c r="GN38" s="242"/>
      <c r="GO38" s="242"/>
      <c r="GP38" s="242"/>
      <c r="GQ38" s="242"/>
      <c r="GR38" s="242"/>
      <c r="GS38" s="242"/>
      <c r="GT38" s="242"/>
      <c r="GU38" s="242"/>
      <c r="GV38" s="242"/>
      <c r="GW38" s="242"/>
      <c r="GX38" s="242"/>
      <c r="GY38" s="242"/>
      <c r="GZ38" s="242"/>
      <c r="HA38" s="242"/>
      <c r="HB38" s="242"/>
      <c r="HC38" s="242"/>
      <c r="HD38" s="242"/>
      <c r="HE38" s="242"/>
      <c r="HF38" s="242"/>
      <c r="HG38" s="242"/>
      <c r="HH38" s="242"/>
      <c r="HI38" s="242"/>
      <c r="HJ38" s="242"/>
      <c r="HK38" s="242"/>
      <c r="HL38" s="242"/>
      <c r="HM38" s="242"/>
      <c r="HN38" s="242"/>
      <c r="HO38" s="243"/>
    </row>
    <row r="39" spans="1:223" ht="12.75" hidden="1">
      <c r="A39" s="83">
        <f t="shared" si="10"/>
        <v>34</v>
      </c>
      <c r="B39" s="84"/>
      <c r="C39" s="84"/>
      <c r="D39" s="84"/>
      <c r="E39" s="84"/>
      <c r="F39" s="84" t="str">
        <f t="shared" si="3"/>
        <v>///</v>
      </c>
      <c r="G39" s="249">
        <f t="shared" si="11"/>
        <v>0</v>
      </c>
      <c r="H39" s="240">
        <f t="shared" si="4"/>
        <v>0</v>
      </c>
      <c r="I39" s="243"/>
      <c r="J39" s="243"/>
      <c r="K39" s="242"/>
      <c r="L39" s="247" t="s">
        <v>789</v>
      </c>
      <c r="M39" s="247" t="s">
        <v>91</v>
      </c>
      <c r="N39" s="247" t="s">
        <v>91</v>
      </c>
      <c r="O39" s="247" t="s">
        <v>193</v>
      </c>
      <c r="P39" s="247" t="s">
        <v>792</v>
      </c>
      <c r="Q39" s="247" t="s">
        <v>91</v>
      </c>
      <c r="R39" s="247" t="s">
        <v>91</v>
      </c>
      <c r="S39" s="247" t="s">
        <v>193</v>
      </c>
      <c r="T39" s="247" t="s">
        <v>784</v>
      </c>
      <c r="U39" s="247" t="s">
        <v>91</v>
      </c>
      <c r="V39" s="247" t="s">
        <v>91</v>
      </c>
      <c r="W39" s="247" t="s">
        <v>193</v>
      </c>
      <c r="X39" s="247" t="s">
        <v>794</v>
      </c>
      <c r="Y39" s="247" t="s">
        <v>91</v>
      </c>
      <c r="Z39" s="247" t="s">
        <v>91</v>
      </c>
      <c r="AA39" s="247" t="s">
        <v>193</v>
      </c>
      <c r="AB39" s="247" t="s">
        <v>796</v>
      </c>
      <c r="AC39" s="247" t="s">
        <v>91</v>
      </c>
      <c r="AD39" s="247" t="s">
        <v>91</v>
      </c>
      <c r="AE39" s="247" t="s">
        <v>193</v>
      </c>
      <c r="AF39" s="242"/>
      <c r="AG39" s="242"/>
      <c r="AH39" s="242"/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242"/>
      <c r="BD39" s="242"/>
      <c r="BE39" s="242"/>
      <c r="BF39" s="242"/>
      <c r="BG39" s="242"/>
      <c r="BH39" s="242"/>
      <c r="BI39" s="242"/>
      <c r="BJ39" s="242"/>
      <c r="BK39" s="242"/>
      <c r="BL39" s="242"/>
      <c r="BM39" s="242"/>
      <c r="BN39" s="242"/>
      <c r="BO39" s="242"/>
      <c r="BP39" s="242"/>
      <c r="BQ39" s="242"/>
      <c r="BR39" s="242"/>
      <c r="BS39" s="242"/>
      <c r="BT39" s="242"/>
      <c r="BU39" s="242"/>
      <c r="BV39" s="242"/>
      <c r="BW39" s="242"/>
      <c r="BX39" s="242"/>
      <c r="BY39" s="242"/>
      <c r="BZ39" s="242"/>
      <c r="CA39" s="242"/>
      <c r="CB39" s="242"/>
      <c r="CC39" s="242"/>
      <c r="CD39" s="242"/>
      <c r="CE39" s="242"/>
      <c r="CF39" s="242"/>
      <c r="CG39" s="242"/>
      <c r="CH39" s="242"/>
      <c r="CI39" s="242"/>
      <c r="CJ39" s="242"/>
      <c r="CK39" s="242"/>
      <c r="CL39" s="242"/>
      <c r="CM39" s="242"/>
      <c r="CN39" s="242"/>
      <c r="CO39" s="242"/>
      <c r="CP39" s="242"/>
      <c r="CQ39" s="242"/>
      <c r="CR39" s="242"/>
      <c r="CS39" s="242"/>
      <c r="CT39" s="242"/>
      <c r="CU39" s="242"/>
      <c r="CV39" s="242"/>
      <c r="CW39" s="242"/>
      <c r="CX39" s="242"/>
      <c r="CY39" s="242"/>
      <c r="CZ39" s="242"/>
      <c r="DA39" s="242"/>
      <c r="DB39" s="242"/>
      <c r="DC39" s="242"/>
      <c r="DD39" s="242"/>
      <c r="DE39" s="242"/>
      <c r="DF39" s="242"/>
      <c r="DG39" s="242"/>
      <c r="DH39" s="242"/>
      <c r="DI39" s="242"/>
      <c r="DJ39" s="242"/>
      <c r="DK39" s="242"/>
      <c r="DL39" s="242"/>
      <c r="DM39" s="242"/>
      <c r="DN39" s="242"/>
      <c r="DO39" s="242"/>
      <c r="DP39" s="242"/>
      <c r="DQ39" s="242"/>
      <c r="DR39" s="242"/>
      <c r="DS39" s="242"/>
      <c r="DT39" s="242"/>
      <c r="DU39" s="242"/>
      <c r="DV39" s="242"/>
      <c r="DW39" s="242"/>
      <c r="DX39" s="242"/>
      <c r="DY39" s="242"/>
      <c r="DZ39" s="242"/>
      <c r="EA39" s="242"/>
      <c r="EB39" s="242"/>
      <c r="EC39" s="242"/>
      <c r="ED39" s="242"/>
      <c r="EE39" s="242"/>
      <c r="EF39" s="242"/>
      <c r="EG39" s="242"/>
      <c r="EH39" s="242"/>
      <c r="EI39" s="242"/>
      <c r="EJ39" s="242"/>
      <c r="EK39" s="242"/>
      <c r="EL39" s="242"/>
      <c r="EM39" s="242"/>
      <c r="EN39" s="242"/>
      <c r="EO39" s="242"/>
      <c r="EP39" s="242"/>
      <c r="EQ39" s="242"/>
      <c r="ER39" s="242"/>
      <c r="ES39" s="242"/>
      <c r="ET39" s="242"/>
      <c r="EU39" s="242"/>
      <c r="EV39" s="242"/>
      <c r="EW39" s="242"/>
      <c r="EX39" s="242"/>
      <c r="EY39" s="242"/>
      <c r="EZ39" s="242"/>
      <c r="FA39" s="242"/>
      <c r="FB39" s="242"/>
      <c r="FC39" s="242"/>
      <c r="FD39" s="242"/>
      <c r="FE39" s="242"/>
      <c r="FF39" s="242"/>
      <c r="FG39" s="242"/>
      <c r="FH39" s="242"/>
      <c r="FI39" s="242"/>
      <c r="FJ39" s="242"/>
      <c r="FK39" s="242"/>
      <c r="FL39" s="242"/>
      <c r="FM39" s="242"/>
      <c r="FN39" s="242"/>
      <c r="FO39" s="242"/>
      <c r="FP39" s="242"/>
      <c r="FQ39" s="242"/>
      <c r="FR39" s="242"/>
      <c r="FS39" s="242"/>
      <c r="FT39" s="242"/>
      <c r="FU39" s="242"/>
      <c r="FV39" s="242"/>
      <c r="FW39" s="242"/>
      <c r="FX39" s="242"/>
      <c r="FY39" s="242"/>
      <c r="FZ39" s="242"/>
      <c r="GA39" s="242"/>
      <c r="GB39" s="242"/>
      <c r="GC39" s="242"/>
      <c r="GD39" s="242"/>
      <c r="GE39" s="242"/>
      <c r="GF39" s="242"/>
      <c r="GG39" s="242"/>
      <c r="GH39" s="242"/>
      <c r="GI39" s="242"/>
      <c r="GJ39" s="242"/>
      <c r="GK39" s="242"/>
      <c r="GL39" s="242"/>
      <c r="GM39" s="242"/>
      <c r="GN39" s="242"/>
      <c r="GO39" s="242"/>
      <c r="GP39" s="242"/>
      <c r="GQ39" s="242"/>
      <c r="GR39" s="242"/>
      <c r="GS39" s="242"/>
      <c r="GT39" s="242"/>
      <c r="GU39" s="242"/>
      <c r="GV39" s="242"/>
      <c r="GW39" s="242"/>
      <c r="GX39" s="242"/>
      <c r="GY39" s="242"/>
      <c r="GZ39" s="242"/>
      <c r="HA39" s="242"/>
      <c r="HB39" s="242"/>
      <c r="HC39" s="242"/>
      <c r="HD39" s="242"/>
      <c r="HE39" s="242"/>
      <c r="HF39" s="242"/>
      <c r="HG39" s="242"/>
      <c r="HH39" s="242"/>
      <c r="HI39" s="242"/>
      <c r="HJ39" s="242"/>
      <c r="HK39" s="242"/>
      <c r="HL39" s="242"/>
      <c r="HM39" s="242"/>
      <c r="HN39" s="242"/>
      <c r="HO39" s="243"/>
    </row>
    <row r="40" spans="1:223" ht="12.75" hidden="1">
      <c r="A40" s="83">
        <f t="shared" si="10"/>
        <v>35</v>
      </c>
      <c r="B40" s="84"/>
      <c r="C40" s="84"/>
      <c r="D40" s="84"/>
      <c r="E40" s="84"/>
      <c r="F40" s="84" t="str">
        <f t="shared" si="3"/>
        <v>///</v>
      </c>
      <c r="G40" s="249">
        <f t="shared" si="11"/>
        <v>0</v>
      </c>
      <c r="H40" s="240">
        <f t="shared" si="4"/>
        <v>0</v>
      </c>
      <c r="I40" s="243"/>
      <c r="J40" s="243"/>
      <c r="K40" s="242"/>
      <c r="L40" s="247" t="s">
        <v>790</v>
      </c>
      <c r="M40" s="247" t="s">
        <v>193</v>
      </c>
      <c r="N40" s="247" t="s">
        <v>193</v>
      </c>
      <c r="O40" s="247"/>
      <c r="P40" s="247" t="s">
        <v>783</v>
      </c>
      <c r="Q40" s="247" t="s">
        <v>193</v>
      </c>
      <c r="R40" s="247" t="s">
        <v>193</v>
      </c>
      <c r="S40" s="247"/>
      <c r="T40" s="247" t="s">
        <v>785</v>
      </c>
      <c r="U40" s="247" t="s">
        <v>193</v>
      </c>
      <c r="V40" s="247" t="s">
        <v>193</v>
      </c>
      <c r="W40" s="247"/>
      <c r="X40" s="247" t="s">
        <v>795</v>
      </c>
      <c r="Y40" s="247" t="s">
        <v>193</v>
      </c>
      <c r="Z40" s="247" t="s">
        <v>193</v>
      </c>
      <c r="AA40" s="247"/>
      <c r="AB40" s="247" t="s">
        <v>797</v>
      </c>
      <c r="AC40" s="247" t="s">
        <v>193</v>
      </c>
      <c r="AD40" s="247" t="s">
        <v>193</v>
      </c>
      <c r="AE40" s="247"/>
      <c r="AF40" s="242"/>
      <c r="AG40" s="242"/>
      <c r="AH40" s="242"/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242"/>
      <c r="BD40" s="242"/>
      <c r="BE40" s="242"/>
      <c r="BF40" s="242"/>
      <c r="BG40" s="242"/>
      <c r="BH40" s="242"/>
      <c r="BI40" s="242"/>
      <c r="BJ40" s="242"/>
      <c r="BK40" s="242"/>
      <c r="BL40" s="242"/>
      <c r="BM40" s="242"/>
      <c r="BN40" s="242"/>
      <c r="BO40" s="242"/>
      <c r="BP40" s="242"/>
      <c r="BQ40" s="242"/>
      <c r="BR40" s="242"/>
      <c r="BS40" s="242"/>
      <c r="BT40" s="242"/>
      <c r="BU40" s="242"/>
      <c r="BV40" s="242"/>
      <c r="BW40" s="242"/>
      <c r="BX40" s="242"/>
      <c r="BY40" s="242"/>
      <c r="BZ40" s="242"/>
      <c r="CA40" s="242"/>
      <c r="CB40" s="242"/>
      <c r="CC40" s="242"/>
      <c r="CD40" s="242"/>
      <c r="CE40" s="242"/>
      <c r="CF40" s="242"/>
      <c r="CG40" s="242"/>
      <c r="CH40" s="242"/>
      <c r="CI40" s="242"/>
      <c r="CJ40" s="242"/>
      <c r="CK40" s="242"/>
      <c r="CL40" s="242"/>
      <c r="CM40" s="242"/>
      <c r="CN40" s="242"/>
      <c r="CO40" s="242"/>
      <c r="CP40" s="242"/>
      <c r="CQ40" s="242"/>
      <c r="CR40" s="242"/>
      <c r="CS40" s="242"/>
      <c r="CT40" s="242"/>
      <c r="CU40" s="242"/>
      <c r="CV40" s="242"/>
      <c r="CW40" s="242"/>
      <c r="CX40" s="242"/>
      <c r="CY40" s="242"/>
      <c r="CZ40" s="242"/>
      <c r="DA40" s="242"/>
      <c r="DB40" s="242"/>
      <c r="DC40" s="242"/>
      <c r="DD40" s="242"/>
      <c r="DE40" s="242"/>
      <c r="DF40" s="242"/>
      <c r="DG40" s="242"/>
      <c r="DH40" s="242"/>
      <c r="DI40" s="242"/>
      <c r="DJ40" s="242"/>
      <c r="DK40" s="242"/>
      <c r="DL40" s="242"/>
      <c r="DM40" s="242"/>
      <c r="DN40" s="242"/>
      <c r="DO40" s="242"/>
      <c r="DP40" s="242"/>
      <c r="DQ40" s="242"/>
      <c r="DR40" s="242"/>
      <c r="DS40" s="242"/>
      <c r="DT40" s="242"/>
      <c r="DU40" s="242"/>
      <c r="DV40" s="242"/>
      <c r="DW40" s="242"/>
      <c r="DX40" s="242"/>
      <c r="DY40" s="242"/>
      <c r="DZ40" s="242"/>
      <c r="EA40" s="242"/>
      <c r="EB40" s="242"/>
      <c r="EC40" s="242"/>
      <c r="ED40" s="242"/>
      <c r="EE40" s="242"/>
      <c r="EF40" s="242"/>
      <c r="EG40" s="242"/>
      <c r="EH40" s="242"/>
      <c r="EI40" s="242"/>
      <c r="EJ40" s="242"/>
      <c r="EK40" s="242"/>
      <c r="EL40" s="242"/>
      <c r="EM40" s="242"/>
      <c r="EN40" s="242"/>
      <c r="EO40" s="242"/>
      <c r="EP40" s="242"/>
      <c r="EQ40" s="242"/>
      <c r="ER40" s="242"/>
      <c r="ES40" s="242"/>
      <c r="ET40" s="242"/>
      <c r="EU40" s="242"/>
      <c r="EV40" s="242"/>
      <c r="EW40" s="242"/>
      <c r="EX40" s="242"/>
      <c r="EY40" s="242"/>
      <c r="EZ40" s="242"/>
      <c r="FA40" s="242"/>
      <c r="FB40" s="242"/>
      <c r="FC40" s="242"/>
      <c r="FD40" s="242"/>
      <c r="FE40" s="242"/>
      <c r="FF40" s="242"/>
      <c r="FG40" s="242"/>
      <c r="FH40" s="242"/>
      <c r="FI40" s="242"/>
      <c r="FJ40" s="242"/>
      <c r="FK40" s="242"/>
      <c r="FL40" s="242"/>
      <c r="FM40" s="242"/>
      <c r="FN40" s="242"/>
      <c r="FO40" s="242"/>
      <c r="FP40" s="242"/>
      <c r="FQ40" s="242"/>
      <c r="FR40" s="242"/>
      <c r="FS40" s="242"/>
      <c r="FT40" s="242"/>
      <c r="FU40" s="242"/>
      <c r="FV40" s="242"/>
      <c r="FW40" s="242"/>
      <c r="FX40" s="242"/>
      <c r="FY40" s="242"/>
      <c r="FZ40" s="242"/>
      <c r="GA40" s="242"/>
      <c r="GB40" s="242"/>
      <c r="GC40" s="242"/>
      <c r="GD40" s="242"/>
      <c r="GE40" s="242"/>
      <c r="GF40" s="242"/>
      <c r="GG40" s="242"/>
      <c r="GH40" s="242"/>
      <c r="GI40" s="242"/>
      <c r="GJ40" s="242"/>
      <c r="GK40" s="242"/>
      <c r="GL40" s="242"/>
      <c r="GM40" s="242"/>
      <c r="GN40" s="242"/>
      <c r="GO40" s="242"/>
      <c r="GP40" s="242"/>
      <c r="GQ40" s="242"/>
      <c r="GR40" s="242"/>
      <c r="GS40" s="242"/>
      <c r="GT40" s="242"/>
      <c r="GU40" s="242"/>
      <c r="GV40" s="242"/>
      <c r="GW40" s="242"/>
      <c r="GX40" s="242"/>
      <c r="GY40" s="242"/>
      <c r="GZ40" s="242"/>
      <c r="HA40" s="242"/>
      <c r="HB40" s="242"/>
      <c r="HC40" s="242"/>
      <c r="HD40" s="242"/>
      <c r="HE40" s="242"/>
      <c r="HF40" s="242"/>
      <c r="HG40" s="242"/>
      <c r="HH40" s="242"/>
      <c r="HI40" s="242"/>
      <c r="HJ40" s="242"/>
      <c r="HK40" s="242"/>
      <c r="HL40" s="242"/>
      <c r="HM40" s="242"/>
      <c r="HN40" s="242"/>
      <c r="HO40" s="243"/>
    </row>
    <row r="41" spans="1:223" ht="12.75" hidden="1" customHeight="1">
      <c r="A41" s="83">
        <f t="shared" si="10"/>
        <v>36</v>
      </c>
      <c r="B41" s="84"/>
      <c r="C41" s="84"/>
      <c r="D41" s="84"/>
      <c r="E41" s="84"/>
      <c r="F41" s="84" t="str">
        <f t="shared" si="3"/>
        <v>///</v>
      </c>
      <c r="G41" s="249">
        <f t="shared" si="11"/>
        <v>0</v>
      </c>
      <c r="H41" s="240">
        <f t="shared" si="4"/>
        <v>0</v>
      </c>
      <c r="I41" s="243"/>
      <c r="J41" s="243"/>
      <c r="K41" s="242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242"/>
      <c r="BD41" s="242"/>
      <c r="BE41" s="242"/>
      <c r="BF41" s="242"/>
      <c r="BG41" s="242"/>
      <c r="BH41" s="242"/>
      <c r="BI41" s="242"/>
      <c r="BJ41" s="242"/>
      <c r="BK41" s="242"/>
      <c r="BL41" s="242"/>
      <c r="BM41" s="242"/>
      <c r="BN41" s="242"/>
      <c r="BO41" s="242"/>
      <c r="BP41" s="242"/>
      <c r="BQ41" s="242"/>
      <c r="BR41" s="242"/>
      <c r="BS41" s="242"/>
      <c r="BT41" s="242"/>
      <c r="BU41" s="242"/>
      <c r="BV41" s="242"/>
      <c r="BW41" s="242"/>
      <c r="BX41" s="242"/>
      <c r="BY41" s="242"/>
      <c r="BZ41" s="242"/>
      <c r="CA41" s="242"/>
      <c r="CB41" s="242"/>
      <c r="CC41" s="242"/>
      <c r="CD41" s="242"/>
      <c r="CE41" s="242"/>
      <c r="CF41" s="242"/>
      <c r="CG41" s="242"/>
      <c r="CH41" s="242"/>
      <c r="CI41" s="242"/>
      <c r="CJ41" s="242"/>
      <c r="CK41" s="242"/>
      <c r="CL41" s="242"/>
      <c r="CM41" s="242"/>
      <c r="CN41" s="242"/>
      <c r="CO41" s="242"/>
      <c r="CP41" s="242"/>
      <c r="CQ41" s="242"/>
      <c r="CR41" s="242"/>
      <c r="CS41" s="242"/>
      <c r="CT41" s="242"/>
      <c r="CU41" s="242"/>
      <c r="CV41" s="242"/>
      <c r="CW41" s="242"/>
      <c r="CX41" s="242"/>
      <c r="CY41" s="242"/>
      <c r="CZ41" s="242"/>
      <c r="DA41" s="242"/>
      <c r="DB41" s="242"/>
      <c r="DC41" s="242"/>
      <c r="DD41" s="242"/>
      <c r="DE41" s="242"/>
      <c r="DF41" s="242"/>
      <c r="DG41" s="242"/>
      <c r="DH41" s="242"/>
      <c r="DI41" s="242"/>
      <c r="DJ41" s="242"/>
      <c r="DK41" s="242"/>
      <c r="DL41" s="242"/>
      <c r="DM41" s="242"/>
      <c r="DN41" s="242"/>
      <c r="DO41" s="242"/>
      <c r="DP41" s="242"/>
      <c r="DQ41" s="242"/>
      <c r="DR41" s="242"/>
      <c r="DS41" s="242"/>
      <c r="DT41" s="242"/>
      <c r="DU41" s="242"/>
      <c r="DV41" s="242"/>
      <c r="DW41" s="242"/>
      <c r="DX41" s="242"/>
      <c r="DY41" s="242"/>
      <c r="DZ41" s="242"/>
      <c r="EA41" s="242"/>
      <c r="EB41" s="242"/>
      <c r="EC41" s="242"/>
      <c r="ED41" s="242"/>
      <c r="EE41" s="242"/>
      <c r="EF41" s="242"/>
      <c r="EG41" s="242"/>
      <c r="EH41" s="242"/>
      <c r="EI41" s="242"/>
      <c r="EJ41" s="242"/>
      <c r="EK41" s="242"/>
      <c r="EL41" s="242"/>
      <c r="EM41" s="242"/>
      <c r="EN41" s="242"/>
      <c r="EO41" s="242"/>
      <c r="EP41" s="242"/>
      <c r="EQ41" s="242"/>
      <c r="ER41" s="242"/>
      <c r="ES41" s="242"/>
      <c r="ET41" s="242"/>
      <c r="EU41" s="242"/>
      <c r="EV41" s="242"/>
      <c r="EW41" s="242"/>
      <c r="EX41" s="242"/>
      <c r="EY41" s="242"/>
      <c r="EZ41" s="242"/>
      <c r="FA41" s="242"/>
      <c r="FB41" s="242"/>
      <c r="FC41" s="242"/>
      <c r="FD41" s="242"/>
      <c r="FE41" s="242"/>
      <c r="FF41" s="242"/>
      <c r="FG41" s="242"/>
      <c r="FH41" s="242"/>
      <c r="FI41" s="242"/>
      <c r="FJ41" s="242"/>
      <c r="FK41" s="242"/>
      <c r="FL41" s="242"/>
      <c r="FM41" s="242"/>
      <c r="FN41" s="242"/>
      <c r="FO41" s="242"/>
      <c r="FP41" s="242"/>
      <c r="FQ41" s="242"/>
      <c r="FR41" s="242"/>
      <c r="FS41" s="242"/>
      <c r="FT41" s="242"/>
      <c r="FU41" s="242"/>
      <c r="FV41" s="242"/>
      <c r="FW41" s="242"/>
      <c r="FX41" s="242"/>
      <c r="FY41" s="242"/>
      <c r="FZ41" s="242"/>
      <c r="GA41" s="242"/>
      <c r="GB41" s="242"/>
      <c r="GC41" s="242"/>
      <c r="GD41" s="242"/>
      <c r="GE41" s="242"/>
      <c r="GF41" s="242"/>
      <c r="GG41" s="242"/>
      <c r="GH41" s="242"/>
      <c r="GI41" s="242"/>
      <c r="GJ41" s="242"/>
      <c r="GK41" s="242"/>
      <c r="GL41" s="242"/>
      <c r="GM41" s="242"/>
      <c r="GN41" s="242"/>
      <c r="GO41" s="242"/>
      <c r="GP41" s="242"/>
      <c r="GQ41" s="242"/>
      <c r="GR41" s="242"/>
      <c r="GS41" s="242"/>
      <c r="GT41" s="242"/>
      <c r="GU41" s="242"/>
      <c r="GV41" s="242"/>
      <c r="GW41" s="242"/>
      <c r="GX41" s="242"/>
      <c r="GY41" s="242"/>
      <c r="GZ41" s="242"/>
      <c r="HA41" s="242"/>
      <c r="HB41" s="242"/>
      <c r="HC41" s="242"/>
      <c r="HD41" s="242"/>
      <c r="HE41" s="242"/>
      <c r="HF41" s="242"/>
      <c r="HG41" s="242"/>
      <c r="HH41" s="242"/>
      <c r="HI41" s="242"/>
      <c r="HJ41" s="242"/>
      <c r="HK41" s="242"/>
      <c r="HL41" s="242"/>
      <c r="HM41" s="242"/>
      <c r="HN41" s="242"/>
      <c r="HO41" s="243"/>
    </row>
    <row r="42" spans="1:223" ht="12.75" hidden="1" customHeight="1">
      <c r="A42" s="83">
        <f t="shared" si="10"/>
        <v>37</v>
      </c>
      <c r="B42" s="84"/>
      <c r="C42" s="84"/>
      <c r="D42" s="84"/>
      <c r="E42" s="84"/>
      <c r="F42" s="84" t="str">
        <f t="shared" si="3"/>
        <v>///</v>
      </c>
      <c r="G42" s="249">
        <f t="shared" si="11"/>
        <v>0</v>
      </c>
      <c r="H42" s="240">
        <f t="shared" si="4"/>
        <v>0</v>
      </c>
      <c r="I42" s="243"/>
      <c r="J42" s="243"/>
      <c r="K42" s="242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47"/>
      <c r="AC42" s="247"/>
      <c r="AD42" s="247"/>
      <c r="AE42" s="247"/>
      <c r="AF42" s="242"/>
      <c r="AG42" s="242"/>
      <c r="AH42" s="242"/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242"/>
      <c r="BD42" s="242"/>
      <c r="BE42" s="242"/>
      <c r="BF42" s="242"/>
      <c r="BG42" s="242"/>
      <c r="BH42" s="242"/>
      <c r="BI42" s="242"/>
      <c r="BJ42" s="242"/>
      <c r="BK42" s="242"/>
      <c r="BL42" s="242"/>
      <c r="BM42" s="242"/>
      <c r="BN42" s="242"/>
      <c r="BO42" s="242"/>
      <c r="BP42" s="242"/>
      <c r="BQ42" s="242"/>
      <c r="BR42" s="242"/>
      <c r="BS42" s="242"/>
      <c r="BT42" s="242"/>
      <c r="BU42" s="242"/>
      <c r="BV42" s="242"/>
      <c r="BW42" s="242"/>
      <c r="BX42" s="242"/>
      <c r="BY42" s="242"/>
      <c r="BZ42" s="242"/>
      <c r="CA42" s="242"/>
      <c r="CB42" s="242"/>
      <c r="CC42" s="242"/>
      <c r="CD42" s="242"/>
      <c r="CE42" s="242"/>
      <c r="CF42" s="242"/>
      <c r="CG42" s="242"/>
      <c r="CH42" s="242"/>
      <c r="CI42" s="242"/>
      <c r="CJ42" s="242"/>
      <c r="CK42" s="242"/>
      <c r="CL42" s="242"/>
      <c r="CM42" s="242"/>
      <c r="CN42" s="242"/>
      <c r="CO42" s="242"/>
      <c r="CP42" s="242"/>
      <c r="CQ42" s="242"/>
      <c r="CR42" s="242"/>
      <c r="CS42" s="242"/>
      <c r="CT42" s="242"/>
      <c r="CU42" s="242"/>
      <c r="CV42" s="242"/>
      <c r="CW42" s="242"/>
      <c r="CX42" s="242"/>
      <c r="CY42" s="242"/>
      <c r="CZ42" s="242"/>
      <c r="DA42" s="242"/>
      <c r="DB42" s="242"/>
      <c r="DC42" s="242"/>
      <c r="DD42" s="242"/>
      <c r="DE42" s="242"/>
      <c r="DF42" s="242"/>
      <c r="DG42" s="242"/>
      <c r="DH42" s="242"/>
      <c r="DI42" s="242"/>
      <c r="DJ42" s="242"/>
      <c r="DK42" s="242"/>
      <c r="DL42" s="242"/>
      <c r="DM42" s="242"/>
      <c r="DN42" s="242"/>
      <c r="DO42" s="242"/>
      <c r="DP42" s="242"/>
      <c r="DQ42" s="242"/>
      <c r="DR42" s="242"/>
      <c r="DS42" s="242"/>
      <c r="DT42" s="242"/>
      <c r="DU42" s="242"/>
      <c r="DV42" s="242"/>
      <c r="DW42" s="242"/>
      <c r="DX42" s="242"/>
      <c r="DY42" s="242"/>
      <c r="DZ42" s="242"/>
      <c r="EA42" s="242"/>
      <c r="EB42" s="242"/>
      <c r="EC42" s="242"/>
      <c r="ED42" s="242"/>
      <c r="EE42" s="242"/>
      <c r="EF42" s="242"/>
      <c r="EG42" s="242"/>
      <c r="EH42" s="242"/>
      <c r="EI42" s="242"/>
      <c r="EJ42" s="242"/>
      <c r="EK42" s="242"/>
      <c r="EL42" s="242"/>
      <c r="EM42" s="242"/>
      <c r="EN42" s="242"/>
      <c r="EO42" s="242"/>
      <c r="EP42" s="242"/>
      <c r="EQ42" s="242"/>
      <c r="ER42" s="242"/>
      <c r="ES42" s="242"/>
      <c r="ET42" s="242"/>
      <c r="EU42" s="242"/>
      <c r="EV42" s="242"/>
      <c r="EW42" s="242"/>
      <c r="EX42" s="242"/>
      <c r="EY42" s="242"/>
      <c r="EZ42" s="242"/>
      <c r="FA42" s="242"/>
      <c r="FB42" s="242"/>
      <c r="FC42" s="242"/>
      <c r="FD42" s="242"/>
      <c r="FE42" s="242"/>
      <c r="FF42" s="242"/>
      <c r="FG42" s="242"/>
      <c r="FH42" s="242"/>
      <c r="FI42" s="242"/>
      <c r="FJ42" s="242"/>
      <c r="FK42" s="242"/>
      <c r="FL42" s="242"/>
      <c r="FM42" s="242"/>
      <c r="FN42" s="242"/>
      <c r="FO42" s="242"/>
      <c r="FP42" s="242"/>
      <c r="FQ42" s="242"/>
      <c r="FR42" s="242"/>
      <c r="FS42" s="242"/>
      <c r="FT42" s="242"/>
      <c r="FU42" s="242"/>
      <c r="FV42" s="242"/>
      <c r="FW42" s="242"/>
      <c r="FX42" s="242"/>
      <c r="FY42" s="242"/>
      <c r="FZ42" s="242"/>
      <c r="GA42" s="242"/>
      <c r="GB42" s="242"/>
      <c r="GC42" s="242"/>
      <c r="GD42" s="242"/>
      <c r="GE42" s="242"/>
      <c r="GF42" s="242"/>
      <c r="GG42" s="242"/>
      <c r="GH42" s="242"/>
      <c r="GI42" s="242"/>
      <c r="GJ42" s="242"/>
      <c r="GK42" s="242"/>
      <c r="GL42" s="242"/>
      <c r="GM42" s="242"/>
      <c r="GN42" s="242"/>
      <c r="GO42" s="242"/>
      <c r="GP42" s="242"/>
      <c r="GQ42" s="242"/>
      <c r="GR42" s="242"/>
      <c r="GS42" s="242"/>
      <c r="GT42" s="242"/>
      <c r="GU42" s="242"/>
      <c r="GV42" s="242"/>
      <c r="GW42" s="242"/>
      <c r="GX42" s="242"/>
      <c r="GY42" s="242"/>
      <c r="GZ42" s="242"/>
      <c r="HA42" s="242"/>
      <c r="HB42" s="242"/>
      <c r="HC42" s="242"/>
      <c r="HD42" s="242"/>
      <c r="HE42" s="242"/>
      <c r="HF42" s="242"/>
      <c r="HG42" s="242"/>
      <c r="HH42" s="242"/>
      <c r="HI42" s="242"/>
      <c r="HJ42" s="242"/>
      <c r="HK42" s="242"/>
      <c r="HL42" s="242"/>
      <c r="HM42" s="242"/>
      <c r="HN42" s="242"/>
      <c r="HO42" s="243"/>
    </row>
    <row r="43" spans="1:223" ht="12.75" hidden="1" customHeight="1">
      <c r="A43" s="83">
        <f t="shared" si="10"/>
        <v>38</v>
      </c>
      <c r="B43" s="84"/>
      <c r="C43" s="84"/>
      <c r="D43" s="84"/>
      <c r="E43" s="84"/>
      <c r="F43" s="84" t="str">
        <f t="shared" si="3"/>
        <v>///</v>
      </c>
      <c r="G43" s="249">
        <f t="shared" si="11"/>
        <v>0</v>
      </c>
      <c r="H43" s="240">
        <f t="shared" si="4"/>
        <v>0</v>
      </c>
      <c r="I43" s="243"/>
      <c r="J43" s="243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242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242"/>
      <c r="BD43" s="242"/>
      <c r="BE43" s="242"/>
      <c r="BF43" s="242"/>
      <c r="BG43" s="242"/>
      <c r="BH43" s="242"/>
      <c r="BI43" s="242"/>
      <c r="BJ43" s="242"/>
      <c r="BK43" s="242"/>
      <c r="BL43" s="242"/>
      <c r="BM43" s="242"/>
      <c r="BN43" s="242"/>
      <c r="BO43" s="242"/>
      <c r="BP43" s="242"/>
      <c r="BQ43" s="242"/>
      <c r="BR43" s="242"/>
      <c r="BS43" s="242"/>
      <c r="BT43" s="242"/>
      <c r="BU43" s="242"/>
      <c r="BV43" s="242"/>
      <c r="BW43" s="242"/>
      <c r="BX43" s="242"/>
      <c r="BY43" s="242"/>
      <c r="BZ43" s="242"/>
      <c r="CA43" s="242"/>
      <c r="CB43" s="242"/>
      <c r="CC43" s="242"/>
      <c r="CD43" s="242"/>
      <c r="CE43" s="242"/>
      <c r="CF43" s="242"/>
      <c r="CG43" s="242"/>
      <c r="CH43" s="242"/>
      <c r="CI43" s="242"/>
      <c r="CJ43" s="242"/>
      <c r="CK43" s="242"/>
      <c r="CL43" s="242"/>
      <c r="CM43" s="242"/>
      <c r="CN43" s="242"/>
      <c r="CO43" s="242"/>
      <c r="CP43" s="242"/>
      <c r="CQ43" s="242"/>
      <c r="CR43" s="242"/>
      <c r="CS43" s="242"/>
      <c r="CT43" s="242"/>
      <c r="CU43" s="242"/>
      <c r="CV43" s="242"/>
      <c r="CW43" s="242"/>
      <c r="CX43" s="242"/>
      <c r="CY43" s="242"/>
      <c r="CZ43" s="242"/>
      <c r="DA43" s="242"/>
      <c r="DB43" s="242"/>
      <c r="DC43" s="242"/>
      <c r="DD43" s="242"/>
      <c r="DE43" s="242"/>
      <c r="DF43" s="242"/>
      <c r="DG43" s="242"/>
      <c r="DH43" s="242"/>
      <c r="DI43" s="242"/>
      <c r="DJ43" s="242"/>
      <c r="DK43" s="242"/>
      <c r="DL43" s="242"/>
      <c r="DM43" s="242"/>
      <c r="DN43" s="242"/>
      <c r="DO43" s="242"/>
      <c r="DP43" s="242"/>
      <c r="DQ43" s="242"/>
      <c r="DR43" s="242"/>
      <c r="DS43" s="242"/>
      <c r="DT43" s="242"/>
      <c r="DU43" s="242"/>
      <c r="DV43" s="242"/>
      <c r="DW43" s="242"/>
      <c r="DX43" s="242"/>
      <c r="DY43" s="242"/>
      <c r="DZ43" s="242"/>
      <c r="EA43" s="242"/>
      <c r="EB43" s="242"/>
      <c r="EC43" s="242"/>
      <c r="ED43" s="242"/>
      <c r="EE43" s="242"/>
      <c r="EF43" s="242"/>
      <c r="EG43" s="242"/>
      <c r="EH43" s="242"/>
      <c r="EI43" s="242"/>
      <c r="EJ43" s="242"/>
      <c r="EK43" s="242"/>
      <c r="EL43" s="242"/>
      <c r="EM43" s="242"/>
      <c r="EN43" s="242"/>
      <c r="EO43" s="242"/>
      <c r="EP43" s="242"/>
      <c r="EQ43" s="242"/>
      <c r="ER43" s="242"/>
      <c r="ES43" s="242"/>
      <c r="ET43" s="242"/>
      <c r="EU43" s="242"/>
      <c r="EV43" s="242"/>
      <c r="EW43" s="242"/>
      <c r="EX43" s="242"/>
      <c r="EY43" s="242"/>
      <c r="EZ43" s="242"/>
      <c r="FA43" s="242"/>
      <c r="FB43" s="242"/>
      <c r="FC43" s="242"/>
      <c r="FD43" s="242"/>
      <c r="FE43" s="242"/>
      <c r="FF43" s="242"/>
      <c r="FG43" s="242"/>
      <c r="FH43" s="242"/>
      <c r="FI43" s="242"/>
      <c r="FJ43" s="242"/>
      <c r="FK43" s="242"/>
      <c r="FL43" s="242"/>
      <c r="FM43" s="242"/>
      <c r="FN43" s="242"/>
      <c r="FO43" s="242"/>
      <c r="FP43" s="242"/>
      <c r="FQ43" s="242"/>
      <c r="FR43" s="242"/>
      <c r="FS43" s="242"/>
      <c r="FT43" s="242"/>
      <c r="FU43" s="242"/>
      <c r="FV43" s="242"/>
      <c r="FW43" s="242"/>
      <c r="FX43" s="242"/>
      <c r="FY43" s="242"/>
      <c r="FZ43" s="242"/>
      <c r="GA43" s="242"/>
      <c r="GB43" s="242"/>
      <c r="GC43" s="242"/>
      <c r="GD43" s="242"/>
      <c r="GE43" s="242"/>
      <c r="GF43" s="242"/>
      <c r="GG43" s="242"/>
      <c r="GH43" s="242"/>
      <c r="GI43" s="242"/>
      <c r="GJ43" s="242"/>
      <c r="GK43" s="242"/>
      <c r="GL43" s="242"/>
      <c r="GM43" s="242"/>
      <c r="GN43" s="242"/>
      <c r="GO43" s="242"/>
      <c r="GP43" s="242"/>
      <c r="GQ43" s="242"/>
      <c r="GR43" s="242"/>
      <c r="GS43" s="242"/>
      <c r="GT43" s="242"/>
      <c r="GU43" s="242"/>
      <c r="GV43" s="242"/>
      <c r="GW43" s="242"/>
      <c r="GX43" s="242"/>
      <c r="GY43" s="242"/>
      <c r="GZ43" s="242"/>
      <c r="HA43" s="242"/>
      <c r="HB43" s="242"/>
      <c r="HC43" s="242"/>
      <c r="HD43" s="242"/>
      <c r="HE43" s="242"/>
      <c r="HF43" s="242"/>
      <c r="HG43" s="242"/>
      <c r="HH43" s="242"/>
      <c r="HI43" s="242"/>
      <c r="HJ43" s="242"/>
      <c r="HK43" s="242"/>
      <c r="HL43" s="242"/>
      <c r="HM43" s="242"/>
      <c r="HN43" s="242"/>
      <c r="HO43" s="243"/>
    </row>
    <row r="44" spans="1:223" ht="12.75" hidden="1" customHeight="1">
      <c r="A44" s="83">
        <f t="shared" si="10"/>
        <v>39</v>
      </c>
      <c r="B44" s="84"/>
      <c r="C44" s="84"/>
      <c r="D44" s="84"/>
      <c r="E44" s="84"/>
      <c r="F44" s="84" t="str">
        <f t="shared" si="3"/>
        <v>///</v>
      </c>
      <c r="G44" s="249">
        <f t="shared" si="11"/>
        <v>0</v>
      </c>
      <c r="H44" s="240">
        <f t="shared" si="4"/>
        <v>0</v>
      </c>
      <c r="I44" s="243"/>
      <c r="J44" s="243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42"/>
      <c r="AU44" s="242"/>
      <c r="AV44" s="242"/>
      <c r="AW44" s="242"/>
      <c r="AX44" s="242"/>
      <c r="AY44" s="242"/>
      <c r="AZ44" s="242"/>
      <c r="BA44" s="242"/>
      <c r="BB44" s="242"/>
      <c r="BC44" s="242"/>
      <c r="BD44" s="242"/>
      <c r="BE44" s="242"/>
      <c r="BF44" s="242"/>
      <c r="BG44" s="242"/>
      <c r="BH44" s="242"/>
      <c r="BI44" s="242"/>
      <c r="BJ44" s="242"/>
      <c r="BK44" s="242"/>
      <c r="BL44" s="242"/>
      <c r="BM44" s="242"/>
      <c r="BN44" s="242"/>
      <c r="BO44" s="242"/>
      <c r="BP44" s="242"/>
      <c r="BQ44" s="242"/>
      <c r="BR44" s="242"/>
      <c r="BS44" s="242"/>
      <c r="BT44" s="242"/>
      <c r="BU44" s="242"/>
      <c r="BV44" s="242"/>
      <c r="BW44" s="242"/>
      <c r="BX44" s="242"/>
      <c r="BY44" s="242"/>
      <c r="BZ44" s="242"/>
      <c r="CA44" s="242"/>
      <c r="CB44" s="242"/>
      <c r="CC44" s="242"/>
      <c r="CD44" s="242"/>
      <c r="CE44" s="242"/>
      <c r="CF44" s="242"/>
      <c r="CG44" s="242"/>
      <c r="CH44" s="242"/>
      <c r="CI44" s="242"/>
      <c r="CJ44" s="242"/>
      <c r="CK44" s="242"/>
      <c r="CL44" s="242"/>
      <c r="CM44" s="242"/>
      <c r="CN44" s="242"/>
      <c r="CO44" s="242"/>
      <c r="CP44" s="242"/>
      <c r="CQ44" s="242"/>
      <c r="CR44" s="242"/>
      <c r="CS44" s="242"/>
      <c r="CT44" s="242"/>
      <c r="CU44" s="242"/>
      <c r="CV44" s="242"/>
      <c r="CW44" s="242"/>
      <c r="CX44" s="242"/>
      <c r="CY44" s="242"/>
      <c r="CZ44" s="242"/>
      <c r="DA44" s="242"/>
      <c r="DB44" s="242"/>
      <c r="DC44" s="242"/>
      <c r="DD44" s="242"/>
      <c r="DE44" s="242"/>
      <c r="DF44" s="242"/>
      <c r="DG44" s="242"/>
      <c r="DH44" s="242"/>
      <c r="DI44" s="242"/>
      <c r="DJ44" s="242"/>
      <c r="DK44" s="242"/>
      <c r="DL44" s="242"/>
      <c r="DM44" s="242"/>
      <c r="DN44" s="242"/>
      <c r="DO44" s="242"/>
      <c r="DP44" s="242"/>
      <c r="DQ44" s="242"/>
      <c r="DR44" s="242"/>
      <c r="DS44" s="242"/>
      <c r="DT44" s="242"/>
      <c r="DU44" s="242"/>
      <c r="DV44" s="242"/>
      <c r="DW44" s="242"/>
      <c r="DX44" s="242"/>
      <c r="DY44" s="242"/>
      <c r="DZ44" s="242"/>
      <c r="EA44" s="242"/>
      <c r="EB44" s="242"/>
      <c r="EC44" s="242"/>
      <c r="ED44" s="242"/>
      <c r="EE44" s="242"/>
      <c r="EF44" s="242"/>
      <c r="EG44" s="242"/>
      <c r="EH44" s="242"/>
      <c r="EI44" s="242"/>
      <c r="EJ44" s="242"/>
      <c r="EK44" s="242"/>
      <c r="EL44" s="242"/>
      <c r="EM44" s="242"/>
      <c r="EN44" s="242"/>
      <c r="EO44" s="242"/>
      <c r="EP44" s="242"/>
      <c r="EQ44" s="242"/>
      <c r="ER44" s="242"/>
      <c r="ES44" s="242"/>
      <c r="ET44" s="242"/>
      <c r="EU44" s="242"/>
      <c r="EV44" s="242"/>
      <c r="EW44" s="242"/>
      <c r="EX44" s="242"/>
      <c r="EY44" s="242"/>
      <c r="EZ44" s="242"/>
      <c r="FA44" s="242"/>
      <c r="FB44" s="242"/>
      <c r="FC44" s="242"/>
      <c r="FD44" s="242"/>
      <c r="FE44" s="242"/>
      <c r="FF44" s="242"/>
      <c r="FG44" s="242"/>
      <c r="FH44" s="242"/>
      <c r="FI44" s="242"/>
      <c r="FJ44" s="242"/>
      <c r="FK44" s="242"/>
      <c r="FL44" s="242"/>
      <c r="FM44" s="242"/>
      <c r="FN44" s="242"/>
      <c r="FO44" s="242"/>
      <c r="FP44" s="242"/>
      <c r="FQ44" s="242"/>
      <c r="FR44" s="242"/>
      <c r="FS44" s="242"/>
      <c r="FT44" s="242"/>
      <c r="FU44" s="242"/>
      <c r="FV44" s="242"/>
      <c r="FW44" s="242"/>
      <c r="FX44" s="242"/>
      <c r="FY44" s="242"/>
      <c r="FZ44" s="242"/>
      <c r="GA44" s="242"/>
      <c r="GB44" s="242"/>
      <c r="GC44" s="242"/>
      <c r="GD44" s="242"/>
      <c r="GE44" s="242"/>
      <c r="GF44" s="242"/>
      <c r="GG44" s="242"/>
      <c r="GH44" s="242"/>
      <c r="GI44" s="242"/>
      <c r="GJ44" s="242"/>
      <c r="GK44" s="242"/>
      <c r="GL44" s="242"/>
      <c r="GM44" s="242"/>
      <c r="GN44" s="242"/>
      <c r="GO44" s="242"/>
      <c r="GP44" s="242"/>
      <c r="GQ44" s="242"/>
      <c r="GR44" s="242"/>
      <c r="GS44" s="242"/>
      <c r="GT44" s="242"/>
      <c r="GU44" s="242"/>
      <c r="GV44" s="242"/>
      <c r="GW44" s="242"/>
      <c r="GX44" s="242"/>
      <c r="GY44" s="242"/>
      <c r="GZ44" s="242"/>
      <c r="HA44" s="242"/>
      <c r="HB44" s="242"/>
      <c r="HC44" s="242"/>
      <c r="HD44" s="242"/>
      <c r="HE44" s="242"/>
      <c r="HF44" s="242"/>
      <c r="HG44" s="242"/>
      <c r="HH44" s="242"/>
      <c r="HI44" s="242"/>
      <c r="HJ44" s="242"/>
      <c r="HK44" s="242"/>
      <c r="HL44" s="242"/>
      <c r="HM44" s="242"/>
      <c r="HN44" s="242"/>
      <c r="HO44" s="243"/>
    </row>
    <row r="45" spans="1:223" ht="12.75" hidden="1" customHeight="1">
      <c r="A45" s="83">
        <f t="shared" si="10"/>
        <v>40</v>
      </c>
      <c r="B45" s="84"/>
      <c r="C45" s="84"/>
      <c r="D45" s="84"/>
      <c r="E45" s="84"/>
      <c r="F45" s="84" t="str">
        <f t="shared" si="3"/>
        <v>///</v>
      </c>
      <c r="G45" s="249">
        <f t="shared" si="11"/>
        <v>0</v>
      </c>
      <c r="H45" s="240">
        <f t="shared" si="4"/>
        <v>0</v>
      </c>
      <c r="I45" s="243"/>
      <c r="J45" s="243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2"/>
      <c r="AS45" s="242"/>
      <c r="AT45" s="242"/>
      <c r="AU45" s="242"/>
      <c r="AV45" s="242"/>
      <c r="AW45" s="242"/>
      <c r="AX45" s="242"/>
      <c r="AY45" s="242"/>
      <c r="AZ45" s="242"/>
      <c r="BA45" s="242"/>
      <c r="BB45" s="242"/>
      <c r="BC45" s="242"/>
      <c r="BD45" s="242"/>
      <c r="BE45" s="242"/>
      <c r="BF45" s="242"/>
      <c r="BG45" s="242"/>
      <c r="BH45" s="242"/>
      <c r="BI45" s="242"/>
      <c r="BJ45" s="242"/>
      <c r="BK45" s="242"/>
      <c r="BL45" s="242"/>
      <c r="BM45" s="242"/>
      <c r="BN45" s="242"/>
      <c r="BO45" s="242"/>
      <c r="BP45" s="242"/>
      <c r="BQ45" s="242"/>
      <c r="BR45" s="242"/>
      <c r="BS45" s="242"/>
      <c r="BT45" s="242"/>
      <c r="BU45" s="242"/>
      <c r="BV45" s="242"/>
      <c r="BW45" s="242"/>
      <c r="BX45" s="242"/>
      <c r="BY45" s="242"/>
      <c r="BZ45" s="242"/>
      <c r="CA45" s="242"/>
      <c r="CB45" s="242"/>
      <c r="CC45" s="242"/>
      <c r="CD45" s="242"/>
      <c r="CE45" s="242"/>
      <c r="CF45" s="242"/>
      <c r="CG45" s="242"/>
      <c r="CH45" s="242"/>
      <c r="CI45" s="242"/>
      <c r="CJ45" s="242"/>
      <c r="CK45" s="242"/>
      <c r="CL45" s="242"/>
      <c r="CM45" s="242"/>
      <c r="CN45" s="242"/>
      <c r="CO45" s="242"/>
      <c r="CP45" s="242"/>
      <c r="CQ45" s="242"/>
      <c r="CR45" s="242"/>
      <c r="CS45" s="242"/>
      <c r="CT45" s="242"/>
      <c r="CU45" s="242"/>
      <c r="CV45" s="242"/>
      <c r="CW45" s="242"/>
      <c r="CX45" s="242"/>
      <c r="CY45" s="242"/>
      <c r="CZ45" s="242"/>
      <c r="DA45" s="242"/>
      <c r="DB45" s="242"/>
      <c r="DC45" s="242"/>
      <c r="DD45" s="242"/>
      <c r="DE45" s="242"/>
      <c r="DF45" s="242"/>
      <c r="DG45" s="242"/>
      <c r="DH45" s="242"/>
      <c r="DI45" s="242"/>
      <c r="DJ45" s="242"/>
      <c r="DK45" s="242"/>
      <c r="DL45" s="242"/>
      <c r="DM45" s="242"/>
      <c r="DN45" s="242"/>
      <c r="DO45" s="242"/>
      <c r="DP45" s="242"/>
      <c r="DQ45" s="242"/>
      <c r="DR45" s="242"/>
      <c r="DS45" s="242"/>
      <c r="DT45" s="242"/>
      <c r="DU45" s="242"/>
      <c r="DV45" s="242"/>
      <c r="DW45" s="242"/>
      <c r="DX45" s="242"/>
      <c r="DY45" s="242"/>
      <c r="DZ45" s="242"/>
      <c r="EA45" s="242"/>
      <c r="EB45" s="242"/>
      <c r="EC45" s="242"/>
      <c r="ED45" s="242"/>
      <c r="EE45" s="242"/>
      <c r="EF45" s="242"/>
      <c r="EG45" s="242"/>
      <c r="EH45" s="242"/>
      <c r="EI45" s="242"/>
      <c r="EJ45" s="242"/>
      <c r="EK45" s="242"/>
      <c r="EL45" s="242"/>
      <c r="EM45" s="242"/>
      <c r="EN45" s="242"/>
      <c r="EO45" s="242"/>
      <c r="EP45" s="242"/>
      <c r="EQ45" s="242"/>
      <c r="ER45" s="242"/>
      <c r="ES45" s="242"/>
      <c r="ET45" s="242"/>
      <c r="EU45" s="242"/>
      <c r="EV45" s="242"/>
      <c r="EW45" s="242"/>
      <c r="EX45" s="242"/>
      <c r="EY45" s="242"/>
      <c r="EZ45" s="242"/>
      <c r="FA45" s="242"/>
      <c r="FB45" s="242"/>
      <c r="FC45" s="242"/>
      <c r="FD45" s="242"/>
      <c r="FE45" s="242"/>
      <c r="FF45" s="242"/>
      <c r="FG45" s="242"/>
      <c r="FH45" s="242"/>
      <c r="FI45" s="242"/>
      <c r="FJ45" s="242"/>
      <c r="FK45" s="242"/>
      <c r="FL45" s="242"/>
      <c r="FM45" s="242"/>
      <c r="FN45" s="242"/>
      <c r="FO45" s="242"/>
      <c r="FP45" s="242"/>
      <c r="FQ45" s="242"/>
      <c r="FR45" s="242"/>
      <c r="FS45" s="242"/>
      <c r="FT45" s="242"/>
      <c r="FU45" s="242"/>
      <c r="FV45" s="242"/>
      <c r="FW45" s="242"/>
      <c r="FX45" s="242"/>
      <c r="FY45" s="242"/>
      <c r="FZ45" s="242"/>
      <c r="GA45" s="242"/>
      <c r="GB45" s="242"/>
      <c r="GC45" s="242"/>
      <c r="GD45" s="242"/>
      <c r="GE45" s="242"/>
      <c r="GF45" s="242"/>
      <c r="GG45" s="242"/>
      <c r="GH45" s="242"/>
      <c r="GI45" s="242"/>
      <c r="GJ45" s="242"/>
      <c r="GK45" s="242"/>
      <c r="GL45" s="242"/>
      <c r="GM45" s="242"/>
      <c r="GN45" s="242"/>
      <c r="GO45" s="242"/>
      <c r="GP45" s="242"/>
      <c r="GQ45" s="242"/>
      <c r="GR45" s="242"/>
      <c r="GS45" s="242"/>
      <c r="GT45" s="242"/>
      <c r="GU45" s="242"/>
      <c r="GV45" s="242"/>
      <c r="GW45" s="242"/>
      <c r="GX45" s="242"/>
      <c r="GY45" s="242"/>
      <c r="GZ45" s="242"/>
      <c r="HA45" s="242"/>
      <c r="HB45" s="242"/>
      <c r="HC45" s="242"/>
      <c r="HD45" s="242"/>
      <c r="HE45" s="242"/>
      <c r="HF45" s="242"/>
      <c r="HG45" s="242"/>
      <c r="HH45" s="242"/>
      <c r="HI45" s="242"/>
      <c r="HJ45" s="242"/>
      <c r="HK45" s="242"/>
      <c r="HL45" s="242"/>
      <c r="HM45" s="242"/>
      <c r="HN45" s="242"/>
      <c r="HO45" s="243"/>
    </row>
    <row r="46" spans="1:223" ht="12.75" hidden="1" customHeight="1">
      <c r="A46" s="83">
        <f t="shared" si="10"/>
        <v>41</v>
      </c>
      <c r="B46" s="84"/>
      <c r="C46" s="84"/>
      <c r="D46" s="84"/>
      <c r="E46" s="84"/>
      <c r="F46" s="84" t="str">
        <f t="shared" si="3"/>
        <v>///</v>
      </c>
      <c r="G46" s="249">
        <f t="shared" si="11"/>
        <v>0</v>
      </c>
      <c r="H46" s="240">
        <f t="shared" si="4"/>
        <v>0</v>
      </c>
      <c r="I46" s="243"/>
      <c r="J46" s="243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242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  <c r="AM46" s="242"/>
      <c r="AN46" s="242"/>
      <c r="AO46" s="242"/>
      <c r="AP46" s="242"/>
      <c r="AQ46" s="242"/>
      <c r="AR46" s="242"/>
      <c r="AS46" s="242"/>
      <c r="AT46" s="242"/>
      <c r="AU46" s="242"/>
      <c r="AV46" s="242"/>
      <c r="AW46" s="242"/>
      <c r="AX46" s="242"/>
      <c r="AY46" s="242"/>
      <c r="AZ46" s="242"/>
      <c r="BA46" s="242"/>
      <c r="BB46" s="242"/>
      <c r="BC46" s="242"/>
      <c r="BD46" s="242"/>
      <c r="BE46" s="242"/>
      <c r="BF46" s="242"/>
      <c r="BG46" s="242"/>
      <c r="BH46" s="242"/>
      <c r="BI46" s="242"/>
      <c r="BJ46" s="242"/>
      <c r="BK46" s="242"/>
      <c r="BL46" s="242"/>
      <c r="BM46" s="242"/>
      <c r="BN46" s="242"/>
      <c r="BO46" s="242"/>
      <c r="BP46" s="242"/>
      <c r="BQ46" s="242"/>
      <c r="BR46" s="242"/>
      <c r="BS46" s="242"/>
      <c r="BT46" s="242"/>
      <c r="BU46" s="242"/>
      <c r="BV46" s="242"/>
      <c r="BW46" s="242"/>
      <c r="BX46" s="242"/>
      <c r="BY46" s="242"/>
      <c r="BZ46" s="242"/>
      <c r="CA46" s="242"/>
      <c r="CB46" s="242"/>
      <c r="CC46" s="242"/>
      <c r="CD46" s="242"/>
      <c r="CE46" s="242"/>
      <c r="CF46" s="242"/>
      <c r="CG46" s="242"/>
      <c r="CH46" s="242"/>
      <c r="CI46" s="242"/>
      <c r="CJ46" s="242"/>
      <c r="CK46" s="242"/>
      <c r="CL46" s="242"/>
      <c r="CM46" s="242"/>
      <c r="CN46" s="242"/>
      <c r="CO46" s="242"/>
      <c r="CP46" s="242"/>
      <c r="CQ46" s="242"/>
      <c r="CR46" s="242"/>
      <c r="CS46" s="242"/>
      <c r="CT46" s="242"/>
      <c r="CU46" s="242"/>
      <c r="CV46" s="242"/>
      <c r="CW46" s="242"/>
      <c r="CX46" s="242"/>
      <c r="CY46" s="242"/>
      <c r="CZ46" s="242"/>
      <c r="DA46" s="242"/>
      <c r="DB46" s="242"/>
      <c r="DC46" s="242"/>
      <c r="DD46" s="242"/>
      <c r="DE46" s="242"/>
      <c r="DF46" s="242"/>
      <c r="DG46" s="242"/>
      <c r="DH46" s="242"/>
      <c r="DI46" s="242"/>
      <c r="DJ46" s="242"/>
      <c r="DK46" s="242"/>
      <c r="DL46" s="242"/>
      <c r="DM46" s="242"/>
      <c r="DN46" s="242"/>
      <c r="DO46" s="242"/>
      <c r="DP46" s="242"/>
      <c r="DQ46" s="242"/>
      <c r="DR46" s="242"/>
      <c r="DS46" s="242"/>
      <c r="DT46" s="242"/>
      <c r="DU46" s="242"/>
      <c r="DV46" s="242"/>
      <c r="DW46" s="242"/>
      <c r="DX46" s="242"/>
      <c r="DY46" s="242"/>
      <c r="DZ46" s="242"/>
      <c r="EA46" s="242"/>
      <c r="EB46" s="242"/>
      <c r="EC46" s="242"/>
      <c r="ED46" s="242"/>
      <c r="EE46" s="242"/>
      <c r="EF46" s="242"/>
      <c r="EG46" s="242"/>
      <c r="EH46" s="242"/>
      <c r="EI46" s="242"/>
      <c r="EJ46" s="242"/>
      <c r="EK46" s="242"/>
      <c r="EL46" s="242"/>
      <c r="EM46" s="242"/>
      <c r="EN46" s="242"/>
      <c r="EO46" s="242"/>
      <c r="EP46" s="242"/>
      <c r="EQ46" s="242"/>
      <c r="ER46" s="242"/>
      <c r="ES46" s="242"/>
      <c r="ET46" s="242"/>
      <c r="EU46" s="242"/>
      <c r="EV46" s="242"/>
      <c r="EW46" s="242"/>
      <c r="EX46" s="242"/>
      <c r="EY46" s="242"/>
      <c r="EZ46" s="242"/>
      <c r="FA46" s="242"/>
      <c r="FB46" s="242"/>
      <c r="FC46" s="242"/>
      <c r="FD46" s="242"/>
      <c r="FE46" s="242"/>
      <c r="FF46" s="242"/>
      <c r="FG46" s="242"/>
      <c r="FH46" s="242"/>
      <c r="FI46" s="242"/>
      <c r="FJ46" s="242"/>
      <c r="FK46" s="242"/>
      <c r="FL46" s="242"/>
      <c r="FM46" s="242"/>
      <c r="FN46" s="242"/>
      <c r="FO46" s="242"/>
      <c r="FP46" s="242"/>
      <c r="FQ46" s="242"/>
      <c r="FR46" s="242"/>
      <c r="FS46" s="242"/>
      <c r="FT46" s="242"/>
      <c r="FU46" s="242"/>
      <c r="FV46" s="242"/>
      <c r="FW46" s="242"/>
      <c r="FX46" s="242"/>
      <c r="FY46" s="242"/>
      <c r="FZ46" s="242"/>
      <c r="GA46" s="242"/>
      <c r="GB46" s="242"/>
      <c r="GC46" s="242"/>
      <c r="GD46" s="242"/>
      <c r="GE46" s="242"/>
      <c r="GF46" s="242"/>
      <c r="GG46" s="242"/>
      <c r="GH46" s="242"/>
      <c r="GI46" s="242"/>
      <c r="GJ46" s="242"/>
      <c r="GK46" s="242"/>
      <c r="GL46" s="242"/>
      <c r="GM46" s="242"/>
      <c r="GN46" s="242"/>
      <c r="GO46" s="242"/>
      <c r="GP46" s="242"/>
      <c r="GQ46" s="242"/>
      <c r="GR46" s="242"/>
      <c r="GS46" s="242"/>
      <c r="GT46" s="242"/>
      <c r="GU46" s="242"/>
      <c r="GV46" s="242"/>
      <c r="GW46" s="242"/>
      <c r="GX46" s="242"/>
      <c r="GY46" s="242"/>
      <c r="GZ46" s="242"/>
      <c r="HA46" s="242"/>
      <c r="HB46" s="242"/>
      <c r="HC46" s="242"/>
      <c r="HD46" s="242"/>
      <c r="HE46" s="242"/>
      <c r="HF46" s="242"/>
      <c r="HG46" s="242"/>
      <c r="HH46" s="242"/>
      <c r="HI46" s="242"/>
      <c r="HJ46" s="242"/>
      <c r="HK46" s="242"/>
      <c r="HL46" s="242"/>
      <c r="HM46" s="242"/>
      <c r="HN46" s="242"/>
      <c r="HO46" s="243"/>
    </row>
    <row r="47" spans="1:223" ht="12.75" hidden="1" customHeight="1">
      <c r="A47" s="83">
        <f t="shared" si="10"/>
        <v>42</v>
      </c>
      <c r="B47" s="84"/>
      <c r="C47" s="84"/>
      <c r="D47" s="84"/>
      <c r="E47" s="84"/>
      <c r="F47" s="84" t="str">
        <f t="shared" si="3"/>
        <v>///</v>
      </c>
      <c r="G47" s="249">
        <f t="shared" si="11"/>
        <v>0</v>
      </c>
      <c r="H47" s="240">
        <f t="shared" si="4"/>
        <v>0</v>
      </c>
      <c r="I47" s="243"/>
      <c r="J47" s="243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242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242"/>
      <c r="BD47" s="242"/>
      <c r="BE47" s="242"/>
      <c r="BF47" s="242"/>
      <c r="BG47" s="242"/>
      <c r="BH47" s="242"/>
      <c r="BI47" s="242"/>
      <c r="BJ47" s="242"/>
      <c r="BK47" s="242"/>
      <c r="BL47" s="242"/>
      <c r="BM47" s="242"/>
      <c r="BN47" s="242"/>
      <c r="BO47" s="242"/>
      <c r="BP47" s="242"/>
      <c r="BQ47" s="242"/>
      <c r="BR47" s="242"/>
      <c r="BS47" s="242"/>
      <c r="BT47" s="242"/>
      <c r="BU47" s="242"/>
      <c r="BV47" s="242"/>
      <c r="BW47" s="242"/>
      <c r="BX47" s="242"/>
      <c r="BY47" s="242"/>
      <c r="BZ47" s="242"/>
      <c r="CA47" s="242"/>
      <c r="CB47" s="242"/>
      <c r="CC47" s="242"/>
      <c r="CD47" s="242"/>
      <c r="CE47" s="242"/>
      <c r="CF47" s="242"/>
      <c r="CG47" s="242"/>
      <c r="CH47" s="242"/>
      <c r="CI47" s="242"/>
      <c r="CJ47" s="242"/>
      <c r="CK47" s="242"/>
      <c r="CL47" s="242"/>
      <c r="CM47" s="242"/>
      <c r="CN47" s="242"/>
      <c r="CO47" s="242"/>
      <c r="CP47" s="242"/>
      <c r="CQ47" s="242"/>
      <c r="CR47" s="242"/>
      <c r="CS47" s="242"/>
      <c r="CT47" s="242"/>
      <c r="CU47" s="242"/>
      <c r="CV47" s="242"/>
      <c r="CW47" s="242"/>
      <c r="CX47" s="242"/>
      <c r="CY47" s="242"/>
      <c r="CZ47" s="242"/>
      <c r="DA47" s="242"/>
      <c r="DB47" s="242"/>
      <c r="DC47" s="242"/>
      <c r="DD47" s="242"/>
      <c r="DE47" s="242"/>
      <c r="DF47" s="242"/>
      <c r="DG47" s="242"/>
      <c r="DH47" s="242"/>
      <c r="DI47" s="242"/>
      <c r="DJ47" s="242"/>
      <c r="DK47" s="242"/>
      <c r="DL47" s="242"/>
      <c r="DM47" s="242"/>
      <c r="DN47" s="242"/>
      <c r="DO47" s="242"/>
      <c r="DP47" s="242"/>
      <c r="DQ47" s="242"/>
      <c r="DR47" s="242"/>
      <c r="DS47" s="242"/>
      <c r="DT47" s="242"/>
      <c r="DU47" s="242"/>
      <c r="DV47" s="242"/>
      <c r="DW47" s="242"/>
      <c r="DX47" s="242"/>
      <c r="DY47" s="242"/>
      <c r="DZ47" s="242"/>
      <c r="EA47" s="242"/>
      <c r="EB47" s="242"/>
      <c r="EC47" s="242"/>
      <c r="ED47" s="242"/>
      <c r="EE47" s="242"/>
      <c r="EF47" s="242"/>
      <c r="EG47" s="242"/>
      <c r="EH47" s="242"/>
      <c r="EI47" s="242"/>
      <c r="EJ47" s="242"/>
      <c r="EK47" s="242"/>
      <c r="EL47" s="242"/>
      <c r="EM47" s="242"/>
      <c r="EN47" s="242"/>
      <c r="EO47" s="242"/>
      <c r="EP47" s="242"/>
      <c r="EQ47" s="242"/>
      <c r="ER47" s="242"/>
      <c r="ES47" s="242"/>
      <c r="ET47" s="242"/>
      <c r="EU47" s="242"/>
      <c r="EV47" s="242"/>
      <c r="EW47" s="242"/>
      <c r="EX47" s="242"/>
      <c r="EY47" s="242"/>
      <c r="EZ47" s="242"/>
      <c r="FA47" s="242"/>
      <c r="FB47" s="242"/>
      <c r="FC47" s="242"/>
      <c r="FD47" s="242"/>
      <c r="FE47" s="242"/>
      <c r="FF47" s="242"/>
      <c r="FG47" s="242"/>
      <c r="FH47" s="242"/>
      <c r="FI47" s="242"/>
      <c r="FJ47" s="242"/>
      <c r="FK47" s="242"/>
      <c r="FL47" s="242"/>
      <c r="FM47" s="242"/>
      <c r="FN47" s="242"/>
      <c r="FO47" s="242"/>
      <c r="FP47" s="242"/>
      <c r="FQ47" s="242"/>
      <c r="FR47" s="242"/>
      <c r="FS47" s="242"/>
      <c r="FT47" s="242"/>
      <c r="FU47" s="242"/>
      <c r="FV47" s="242"/>
      <c r="FW47" s="242"/>
      <c r="FX47" s="242"/>
      <c r="FY47" s="242"/>
      <c r="FZ47" s="242"/>
      <c r="GA47" s="242"/>
      <c r="GB47" s="242"/>
      <c r="GC47" s="242"/>
      <c r="GD47" s="242"/>
      <c r="GE47" s="242"/>
      <c r="GF47" s="242"/>
      <c r="GG47" s="242"/>
      <c r="GH47" s="242"/>
      <c r="GI47" s="242"/>
      <c r="GJ47" s="242"/>
      <c r="GK47" s="242"/>
      <c r="GL47" s="242"/>
      <c r="GM47" s="242"/>
      <c r="GN47" s="242"/>
      <c r="GO47" s="242"/>
      <c r="GP47" s="242"/>
      <c r="GQ47" s="242"/>
      <c r="GR47" s="242"/>
      <c r="GS47" s="242"/>
      <c r="GT47" s="242"/>
      <c r="GU47" s="242"/>
      <c r="GV47" s="242"/>
      <c r="GW47" s="242"/>
      <c r="GX47" s="242"/>
      <c r="GY47" s="242"/>
      <c r="GZ47" s="242"/>
      <c r="HA47" s="242"/>
      <c r="HB47" s="242"/>
      <c r="HC47" s="242"/>
      <c r="HD47" s="242"/>
      <c r="HE47" s="242"/>
      <c r="HF47" s="242"/>
      <c r="HG47" s="242"/>
      <c r="HH47" s="242"/>
      <c r="HI47" s="242"/>
      <c r="HJ47" s="242"/>
      <c r="HK47" s="242"/>
      <c r="HL47" s="242"/>
      <c r="HM47" s="242"/>
      <c r="HN47" s="242"/>
      <c r="HO47" s="243"/>
    </row>
    <row r="48" spans="1:223" ht="12.75" hidden="1" customHeight="1">
      <c r="A48" s="83">
        <f t="shared" si="10"/>
        <v>43</v>
      </c>
      <c r="B48" s="84"/>
      <c r="C48" s="84"/>
      <c r="D48" s="84"/>
      <c r="E48" s="84"/>
      <c r="F48" s="84" t="str">
        <f t="shared" si="3"/>
        <v>///</v>
      </c>
      <c r="G48" s="249">
        <f t="shared" si="11"/>
        <v>0</v>
      </c>
      <c r="H48" s="240">
        <f t="shared" si="4"/>
        <v>0</v>
      </c>
      <c r="I48" s="243"/>
      <c r="J48" s="243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242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  <c r="AM48" s="242"/>
      <c r="AN48" s="242"/>
      <c r="AO48" s="242"/>
      <c r="AP48" s="242"/>
      <c r="AQ48" s="242"/>
      <c r="AR48" s="242"/>
      <c r="AS48" s="242"/>
      <c r="AT48" s="242"/>
      <c r="AU48" s="242"/>
      <c r="AV48" s="242"/>
      <c r="AW48" s="242"/>
      <c r="AX48" s="242"/>
      <c r="AY48" s="242"/>
      <c r="AZ48" s="242"/>
      <c r="BA48" s="242"/>
      <c r="BB48" s="242"/>
      <c r="BC48" s="242"/>
      <c r="BD48" s="242"/>
      <c r="BE48" s="242"/>
      <c r="BF48" s="242"/>
      <c r="BG48" s="242"/>
      <c r="BH48" s="242"/>
      <c r="BI48" s="242"/>
      <c r="BJ48" s="242"/>
      <c r="BK48" s="242"/>
      <c r="BL48" s="242"/>
      <c r="BM48" s="242"/>
      <c r="BN48" s="242"/>
      <c r="BO48" s="242"/>
      <c r="BP48" s="242"/>
      <c r="BQ48" s="242"/>
      <c r="BR48" s="242"/>
      <c r="BS48" s="242"/>
      <c r="BT48" s="242"/>
      <c r="BU48" s="242"/>
      <c r="BV48" s="242"/>
      <c r="BW48" s="242"/>
      <c r="BX48" s="242"/>
      <c r="BY48" s="242"/>
      <c r="BZ48" s="242"/>
      <c r="CA48" s="242"/>
      <c r="CB48" s="242"/>
      <c r="CC48" s="242"/>
      <c r="CD48" s="242"/>
      <c r="CE48" s="242"/>
      <c r="CF48" s="242"/>
      <c r="CG48" s="242"/>
      <c r="CH48" s="242"/>
      <c r="CI48" s="242"/>
      <c r="CJ48" s="242"/>
      <c r="CK48" s="242"/>
      <c r="CL48" s="242"/>
      <c r="CM48" s="242"/>
      <c r="CN48" s="242"/>
      <c r="CO48" s="242"/>
      <c r="CP48" s="242"/>
      <c r="CQ48" s="242"/>
      <c r="CR48" s="242"/>
      <c r="CS48" s="242"/>
      <c r="CT48" s="242"/>
      <c r="CU48" s="242"/>
      <c r="CV48" s="242"/>
      <c r="CW48" s="242"/>
      <c r="CX48" s="242"/>
      <c r="CY48" s="242"/>
      <c r="CZ48" s="242"/>
      <c r="DA48" s="242"/>
      <c r="DB48" s="242"/>
      <c r="DC48" s="242"/>
      <c r="DD48" s="242"/>
      <c r="DE48" s="242"/>
      <c r="DF48" s="242"/>
      <c r="DG48" s="242"/>
      <c r="DH48" s="242"/>
      <c r="DI48" s="242"/>
      <c r="DJ48" s="242"/>
      <c r="DK48" s="242"/>
      <c r="DL48" s="242"/>
      <c r="DM48" s="242"/>
      <c r="DN48" s="242"/>
      <c r="DO48" s="242"/>
      <c r="DP48" s="242"/>
      <c r="DQ48" s="242"/>
      <c r="DR48" s="242"/>
      <c r="DS48" s="242"/>
      <c r="DT48" s="242"/>
      <c r="DU48" s="242"/>
      <c r="DV48" s="242"/>
      <c r="DW48" s="242"/>
      <c r="DX48" s="242"/>
      <c r="DY48" s="242"/>
      <c r="DZ48" s="242"/>
      <c r="EA48" s="242"/>
      <c r="EB48" s="242"/>
      <c r="EC48" s="242"/>
      <c r="ED48" s="242"/>
      <c r="EE48" s="242"/>
      <c r="EF48" s="242"/>
      <c r="EG48" s="242"/>
      <c r="EH48" s="242"/>
      <c r="EI48" s="242"/>
      <c r="EJ48" s="242"/>
      <c r="EK48" s="242"/>
      <c r="EL48" s="242"/>
      <c r="EM48" s="242"/>
      <c r="EN48" s="242"/>
      <c r="EO48" s="242"/>
      <c r="EP48" s="242"/>
      <c r="EQ48" s="242"/>
      <c r="ER48" s="242"/>
      <c r="ES48" s="242"/>
      <c r="ET48" s="242"/>
      <c r="EU48" s="242"/>
      <c r="EV48" s="242"/>
      <c r="EW48" s="242"/>
      <c r="EX48" s="242"/>
      <c r="EY48" s="242"/>
      <c r="EZ48" s="242"/>
      <c r="FA48" s="242"/>
      <c r="FB48" s="242"/>
      <c r="FC48" s="242"/>
      <c r="FD48" s="242"/>
      <c r="FE48" s="242"/>
      <c r="FF48" s="242"/>
      <c r="FG48" s="242"/>
      <c r="FH48" s="242"/>
      <c r="FI48" s="242"/>
      <c r="FJ48" s="242"/>
      <c r="FK48" s="242"/>
      <c r="FL48" s="242"/>
      <c r="FM48" s="242"/>
      <c r="FN48" s="242"/>
      <c r="FO48" s="242"/>
      <c r="FP48" s="242"/>
      <c r="FQ48" s="242"/>
      <c r="FR48" s="242"/>
      <c r="FS48" s="242"/>
      <c r="FT48" s="242"/>
      <c r="FU48" s="242"/>
      <c r="FV48" s="242"/>
      <c r="FW48" s="242"/>
      <c r="FX48" s="242"/>
      <c r="FY48" s="242"/>
      <c r="FZ48" s="242"/>
      <c r="GA48" s="242"/>
      <c r="GB48" s="242"/>
      <c r="GC48" s="242"/>
      <c r="GD48" s="242"/>
      <c r="GE48" s="242"/>
      <c r="GF48" s="242"/>
      <c r="GG48" s="242"/>
      <c r="GH48" s="242"/>
      <c r="GI48" s="242"/>
      <c r="GJ48" s="242"/>
      <c r="GK48" s="242"/>
      <c r="GL48" s="242"/>
      <c r="GM48" s="242"/>
      <c r="GN48" s="242"/>
      <c r="GO48" s="242"/>
      <c r="GP48" s="242"/>
      <c r="GQ48" s="242"/>
      <c r="GR48" s="242"/>
      <c r="GS48" s="242"/>
      <c r="GT48" s="242"/>
      <c r="GU48" s="242"/>
      <c r="GV48" s="242"/>
      <c r="GW48" s="242"/>
      <c r="GX48" s="242"/>
      <c r="GY48" s="242"/>
      <c r="GZ48" s="242"/>
      <c r="HA48" s="242"/>
      <c r="HB48" s="242"/>
      <c r="HC48" s="242"/>
      <c r="HD48" s="242"/>
      <c r="HE48" s="242"/>
      <c r="HF48" s="242"/>
      <c r="HG48" s="242"/>
      <c r="HH48" s="242"/>
      <c r="HI48" s="242"/>
      <c r="HJ48" s="242"/>
      <c r="HK48" s="242"/>
      <c r="HL48" s="242"/>
      <c r="HM48" s="242"/>
      <c r="HN48" s="242"/>
      <c r="HO48" s="243"/>
    </row>
    <row r="49" spans="1:223" ht="12.75" hidden="1" customHeight="1">
      <c r="A49" s="83">
        <f t="shared" si="10"/>
        <v>44</v>
      </c>
      <c r="B49" s="84"/>
      <c r="C49" s="84"/>
      <c r="D49" s="84"/>
      <c r="E49" s="84"/>
      <c r="F49" s="84" t="str">
        <f t="shared" si="3"/>
        <v>///</v>
      </c>
      <c r="G49" s="249">
        <f t="shared" si="11"/>
        <v>0</v>
      </c>
      <c r="H49" s="240">
        <f t="shared" si="4"/>
        <v>0</v>
      </c>
      <c r="I49" s="243"/>
      <c r="J49" s="243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242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  <c r="AM49" s="242"/>
      <c r="AN49" s="242"/>
      <c r="AO49" s="242"/>
      <c r="AP49" s="242"/>
      <c r="AQ49" s="242"/>
      <c r="AR49" s="242"/>
      <c r="AS49" s="242"/>
      <c r="AT49" s="242"/>
      <c r="AU49" s="242"/>
      <c r="AV49" s="242"/>
      <c r="AW49" s="242"/>
      <c r="AX49" s="242"/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2"/>
      <c r="BU49" s="242"/>
      <c r="BV49" s="242"/>
      <c r="BW49" s="242"/>
      <c r="BX49" s="242"/>
      <c r="BY49" s="242"/>
      <c r="BZ49" s="242"/>
      <c r="CA49" s="242"/>
      <c r="CB49" s="242"/>
      <c r="CC49" s="242"/>
      <c r="CD49" s="242"/>
      <c r="CE49" s="242"/>
      <c r="CF49" s="242"/>
      <c r="CG49" s="242"/>
      <c r="CH49" s="242"/>
      <c r="CI49" s="242"/>
      <c r="CJ49" s="242"/>
      <c r="CK49" s="242"/>
      <c r="CL49" s="242"/>
      <c r="CM49" s="242"/>
      <c r="CN49" s="242"/>
      <c r="CO49" s="242"/>
      <c r="CP49" s="242"/>
      <c r="CQ49" s="242"/>
      <c r="CR49" s="242"/>
      <c r="CS49" s="242"/>
      <c r="CT49" s="242"/>
      <c r="CU49" s="242"/>
      <c r="CV49" s="242"/>
      <c r="CW49" s="242"/>
      <c r="CX49" s="242"/>
      <c r="CY49" s="242"/>
      <c r="CZ49" s="242"/>
      <c r="DA49" s="242"/>
      <c r="DB49" s="242"/>
      <c r="DC49" s="242"/>
      <c r="DD49" s="242"/>
      <c r="DE49" s="242"/>
      <c r="DF49" s="242"/>
      <c r="DG49" s="242"/>
      <c r="DH49" s="242"/>
      <c r="DI49" s="242"/>
      <c r="DJ49" s="242"/>
      <c r="DK49" s="242"/>
      <c r="DL49" s="242"/>
      <c r="DM49" s="242"/>
      <c r="DN49" s="242"/>
      <c r="DO49" s="242"/>
      <c r="DP49" s="242"/>
      <c r="DQ49" s="242"/>
      <c r="DR49" s="242"/>
      <c r="DS49" s="242"/>
      <c r="DT49" s="242"/>
      <c r="DU49" s="242"/>
      <c r="DV49" s="242"/>
      <c r="DW49" s="242"/>
      <c r="DX49" s="242"/>
      <c r="DY49" s="242"/>
      <c r="DZ49" s="242"/>
      <c r="EA49" s="242"/>
      <c r="EB49" s="242"/>
      <c r="EC49" s="242"/>
      <c r="ED49" s="242"/>
      <c r="EE49" s="242"/>
      <c r="EF49" s="242"/>
      <c r="EG49" s="242"/>
      <c r="EH49" s="242"/>
      <c r="EI49" s="242"/>
      <c r="EJ49" s="242"/>
      <c r="EK49" s="242"/>
      <c r="EL49" s="242"/>
      <c r="EM49" s="242"/>
      <c r="EN49" s="242"/>
      <c r="EO49" s="242"/>
      <c r="EP49" s="242"/>
      <c r="EQ49" s="242"/>
      <c r="ER49" s="242"/>
      <c r="ES49" s="242"/>
      <c r="ET49" s="242"/>
      <c r="EU49" s="242"/>
      <c r="EV49" s="242"/>
      <c r="EW49" s="242"/>
      <c r="EX49" s="242"/>
      <c r="EY49" s="242"/>
      <c r="EZ49" s="242"/>
      <c r="FA49" s="242"/>
      <c r="FB49" s="242"/>
      <c r="FC49" s="242"/>
      <c r="FD49" s="242"/>
      <c r="FE49" s="242"/>
      <c r="FF49" s="242"/>
      <c r="FG49" s="242"/>
      <c r="FH49" s="242"/>
      <c r="FI49" s="242"/>
      <c r="FJ49" s="242"/>
      <c r="FK49" s="242"/>
      <c r="FL49" s="242"/>
      <c r="FM49" s="242"/>
      <c r="FN49" s="242"/>
      <c r="FO49" s="242"/>
      <c r="FP49" s="242"/>
      <c r="FQ49" s="242"/>
      <c r="FR49" s="242"/>
      <c r="FS49" s="242"/>
      <c r="FT49" s="242"/>
      <c r="FU49" s="242"/>
      <c r="FV49" s="242"/>
      <c r="FW49" s="242"/>
      <c r="FX49" s="242"/>
      <c r="FY49" s="242"/>
      <c r="FZ49" s="242"/>
      <c r="GA49" s="242"/>
      <c r="GB49" s="242"/>
      <c r="GC49" s="242"/>
      <c r="GD49" s="242"/>
      <c r="GE49" s="242"/>
      <c r="GF49" s="242"/>
      <c r="GG49" s="242"/>
      <c r="GH49" s="242"/>
      <c r="GI49" s="242"/>
      <c r="GJ49" s="242"/>
      <c r="GK49" s="242"/>
      <c r="GL49" s="242"/>
      <c r="GM49" s="242"/>
      <c r="GN49" s="242"/>
      <c r="GO49" s="242"/>
      <c r="GP49" s="242"/>
      <c r="GQ49" s="242"/>
      <c r="GR49" s="242"/>
      <c r="GS49" s="242"/>
      <c r="GT49" s="242"/>
      <c r="GU49" s="242"/>
      <c r="GV49" s="242"/>
      <c r="GW49" s="242"/>
      <c r="GX49" s="242"/>
      <c r="GY49" s="242"/>
      <c r="GZ49" s="242"/>
      <c r="HA49" s="242"/>
      <c r="HB49" s="242"/>
      <c r="HC49" s="242"/>
      <c r="HD49" s="242"/>
      <c r="HE49" s="242"/>
      <c r="HF49" s="242"/>
      <c r="HG49" s="242"/>
      <c r="HH49" s="242"/>
      <c r="HI49" s="242"/>
      <c r="HJ49" s="242"/>
      <c r="HK49" s="242"/>
      <c r="HL49" s="242"/>
      <c r="HM49" s="242"/>
      <c r="HN49" s="242"/>
      <c r="HO49" s="243"/>
    </row>
    <row r="50" spans="1:223" ht="12.75" hidden="1" customHeight="1">
      <c r="A50" s="83">
        <f t="shared" si="10"/>
        <v>45</v>
      </c>
      <c r="B50" s="84"/>
      <c r="C50" s="84"/>
      <c r="D50" s="84"/>
      <c r="E50" s="84"/>
      <c r="F50" s="84" t="str">
        <f t="shared" si="3"/>
        <v>///</v>
      </c>
      <c r="G50" s="249">
        <f t="shared" si="11"/>
        <v>0</v>
      </c>
      <c r="H50" s="240">
        <f t="shared" si="4"/>
        <v>0</v>
      </c>
      <c r="I50" s="243"/>
      <c r="J50" s="243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242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242"/>
      <c r="BD50" s="242"/>
      <c r="BE50" s="242"/>
      <c r="BF50" s="242"/>
      <c r="BG50" s="242"/>
      <c r="BH50" s="242"/>
      <c r="BI50" s="242"/>
      <c r="BJ50" s="242"/>
      <c r="BK50" s="242"/>
      <c r="BL50" s="242"/>
      <c r="BM50" s="242"/>
      <c r="BN50" s="242"/>
      <c r="BO50" s="242"/>
      <c r="BP50" s="242"/>
      <c r="BQ50" s="242"/>
      <c r="BR50" s="242"/>
      <c r="BS50" s="242"/>
      <c r="BT50" s="242"/>
      <c r="BU50" s="242"/>
      <c r="BV50" s="242"/>
      <c r="BW50" s="242"/>
      <c r="BX50" s="242"/>
      <c r="BY50" s="242"/>
      <c r="BZ50" s="242"/>
      <c r="CA50" s="242"/>
      <c r="CB50" s="242"/>
      <c r="CC50" s="242"/>
      <c r="CD50" s="242"/>
      <c r="CE50" s="242"/>
      <c r="CF50" s="242"/>
      <c r="CG50" s="242"/>
      <c r="CH50" s="242"/>
      <c r="CI50" s="242"/>
      <c r="CJ50" s="242"/>
      <c r="CK50" s="242"/>
      <c r="CL50" s="242"/>
      <c r="CM50" s="242"/>
      <c r="CN50" s="242"/>
      <c r="CO50" s="242"/>
      <c r="CP50" s="242"/>
      <c r="CQ50" s="242"/>
      <c r="CR50" s="242"/>
      <c r="CS50" s="242"/>
      <c r="CT50" s="242"/>
      <c r="CU50" s="242"/>
      <c r="CV50" s="242"/>
      <c r="CW50" s="242"/>
      <c r="CX50" s="242"/>
      <c r="CY50" s="242"/>
      <c r="CZ50" s="242"/>
      <c r="DA50" s="242"/>
      <c r="DB50" s="242"/>
      <c r="DC50" s="242"/>
      <c r="DD50" s="242"/>
      <c r="DE50" s="242"/>
      <c r="DF50" s="242"/>
      <c r="DG50" s="242"/>
      <c r="DH50" s="242"/>
      <c r="DI50" s="242"/>
      <c r="DJ50" s="242"/>
      <c r="DK50" s="242"/>
      <c r="DL50" s="242"/>
      <c r="DM50" s="242"/>
      <c r="DN50" s="242"/>
      <c r="DO50" s="242"/>
      <c r="DP50" s="242"/>
      <c r="DQ50" s="242"/>
      <c r="DR50" s="242"/>
      <c r="DS50" s="242"/>
      <c r="DT50" s="242"/>
      <c r="DU50" s="242"/>
      <c r="DV50" s="242"/>
      <c r="DW50" s="242"/>
      <c r="DX50" s="242"/>
      <c r="DY50" s="242"/>
      <c r="DZ50" s="242"/>
      <c r="EA50" s="242"/>
      <c r="EB50" s="242"/>
      <c r="EC50" s="242"/>
      <c r="ED50" s="242"/>
      <c r="EE50" s="242"/>
      <c r="EF50" s="242"/>
      <c r="EG50" s="242"/>
      <c r="EH50" s="242"/>
      <c r="EI50" s="242"/>
      <c r="EJ50" s="242"/>
      <c r="EK50" s="242"/>
      <c r="EL50" s="242"/>
      <c r="EM50" s="242"/>
      <c r="EN50" s="242"/>
      <c r="EO50" s="242"/>
      <c r="EP50" s="242"/>
      <c r="EQ50" s="242"/>
      <c r="ER50" s="242"/>
      <c r="ES50" s="242"/>
      <c r="ET50" s="242"/>
      <c r="EU50" s="242"/>
      <c r="EV50" s="242"/>
      <c r="EW50" s="242"/>
      <c r="EX50" s="242"/>
      <c r="EY50" s="242"/>
      <c r="EZ50" s="242"/>
      <c r="FA50" s="242"/>
      <c r="FB50" s="242"/>
      <c r="FC50" s="242"/>
      <c r="FD50" s="242"/>
      <c r="FE50" s="242"/>
      <c r="FF50" s="242"/>
      <c r="FG50" s="242"/>
      <c r="FH50" s="242"/>
      <c r="FI50" s="242"/>
      <c r="FJ50" s="242"/>
      <c r="FK50" s="242"/>
      <c r="FL50" s="242"/>
      <c r="FM50" s="242"/>
      <c r="FN50" s="242"/>
      <c r="FO50" s="242"/>
      <c r="FP50" s="242"/>
      <c r="FQ50" s="242"/>
      <c r="FR50" s="242"/>
      <c r="FS50" s="242"/>
      <c r="FT50" s="242"/>
      <c r="FU50" s="242"/>
      <c r="FV50" s="242"/>
      <c r="FW50" s="242"/>
      <c r="FX50" s="242"/>
      <c r="FY50" s="242"/>
      <c r="FZ50" s="242"/>
      <c r="GA50" s="242"/>
      <c r="GB50" s="242"/>
      <c r="GC50" s="242"/>
      <c r="GD50" s="242"/>
      <c r="GE50" s="242"/>
      <c r="GF50" s="242"/>
      <c r="GG50" s="242"/>
      <c r="GH50" s="242"/>
      <c r="GI50" s="242"/>
      <c r="GJ50" s="242"/>
      <c r="GK50" s="242"/>
      <c r="GL50" s="242"/>
      <c r="GM50" s="242"/>
      <c r="GN50" s="242"/>
      <c r="GO50" s="242"/>
      <c r="GP50" s="242"/>
      <c r="GQ50" s="242"/>
      <c r="GR50" s="242"/>
      <c r="GS50" s="242"/>
      <c r="GT50" s="242"/>
      <c r="GU50" s="242"/>
      <c r="GV50" s="242"/>
      <c r="GW50" s="242"/>
      <c r="GX50" s="242"/>
      <c r="GY50" s="242"/>
      <c r="GZ50" s="242"/>
      <c r="HA50" s="242"/>
      <c r="HB50" s="242"/>
      <c r="HC50" s="242"/>
      <c r="HD50" s="242"/>
      <c r="HE50" s="242"/>
      <c r="HF50" s="242"/>
      <c r="HG50" s="242"/>
      <c r="HH50" s="242"/>
      <c r="HI50" s="242"/>
      <c r="HJ50" s="242"/>
      <c r="HK50" s="242"/>
      <c r="HL50" s="242"/>
      <c r="HM50" s="242"/>
      <c r="HN50" s="242"/>
      <c r="HO50" s="243"/>
    </row>
    <row r="51" spans="1:223" ht="12.75" hidden="1" customHeight="1">
      <c r="A51" s="83">
        <f t="shared" si="10"/>
        <v>46</v>
      </c>
      <c r="B51" s="84"/>
      <c r="C51" s="84"/>
      <c r="D51" s="84"/>
      <c r="E51" s="84"/>
      <c r="F51" s="84" t="str">
        <f t="shared" si="3"/>
        <v>///</v>
      </c>
      <c r="G51" s="249">
        <f t="shared" si="11"/>
        <v>0</v>
      </c>
      <c r="H51" s="240">
        <f t="shared" si="4"/>
        <v>0</v>
      </c>
      <c r="I51" s="243"/>
      <c r="J51" s="243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242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242"/>
      <c r="BD51" s="242"/>
      <c r="BE51" s="242"/>
      <c r="BF51" s="242"/>
      <c r="BG51" s="242"/>
      <c r="BH51" s="242"/>
      <c r="BI51" s="242"/>
      <c r="BJ51" s="242"/>
      <c r="BK51" s="242"/>
      <c r="BL51" s="242"/>
      <c r="BM51" s="242"/>
      <c r="BN51" s="242"/>
      <c r="BO51" s="242"/>
      <c r="BP51" s="242"/>
      <c r="BQ51" s="242"/>
      <c r="BR51" s="242"/>
      <c r="BS51" s="242"/>
      <c r="BT51" s="242"/>
      <c r="BU51" s="242"/>
      <c r="BV51" s="242"/>
      <c r="BW51" s="242"/>
      <c r="BX51" s="242"/>
      <c r="BY51" s="242"/>
      <c r="BZ51" s="242"/>
      <c r="CA51" s="242"/>
      <c r="CB51" s="242"/>
      <c r="CC51" s="242"/>
      <c r="CD51" s="242"/>
      <c r="CE51" s="242"/>
      <c r="CF51" s="242"/>
      <c r="CG51" s="242"/>
      <c r="CH51" s="242"/>
      <c r="CI51" s="242"/>
      <c r="CJ51" s="242"/>
      <c r="CK51" s="242"/>
      <c r="CL51" s="242"/>
      <c r="CM51" s="242"/>
      <c r="CN51" s="242"/>
      <c r="CO51" s="242"/>
      <c r="CP51" s="242"/>
      <c r="CQ51" s="242"/>
      <c r="CR51" s="242"/>
      <c r="CS51" s="242"/>
      <c r="CT51" s="242"/>
      <c r="CU51" s="242"/>
      <c r="CV51" s="242"/>
      <c r="CW51" s="242"/>
      <c r="CX51" s="242"/>
      <c r="CY51" s="242"/>
      <c r="CZ51" s="242"/>
      <c r="DA51" s="242"/>
      <c r="DB51" s="242"/>
      <c r="DC51" s="242"/>
      <c r="DD51" s="242"/>
      <c r="DE51" s="242"/>
      <c r="DF51" s="242"/>
      <c r="DG51" s="242"/>
      <c r="DH51" s="242"/>
      <c r="DI51" s="242"/>
      <c r="DJ51" s="242"/>
      <c r="DK51" s="242"/>
      <c r="DL51" s="242"/>
      <c r="DM51" s="242"/>
      <c r="DN51" s="242"/>
      <c r="DO51" s="242"/>
      <c r="DP51" s="242"/>
      <c r="DQ51" s="242"/>
      <c r="DR51" s="242"/>
      <c r="DS51" s="242"/>
      <c r="DT51" s="242"/>
      <c r="DU51" s="242"/>
      <c r="DV51" s="242"/>
      <c r="DW51" s="242"/>
      <c r="DX51" s="242"/>
      <c r="DY51" s="242"/>
      <c r="DZ51" s="242"/>
      <c r="EA51" s="242"/>
      <c r="EB51" s="242"/>
      <c r="EC51" s="242"/>
      <c r="ED51" s="242"/>
      <c r="EE51" s="242"/>
      <c r="EF51" s="242"/>
      <c r="EG51" s="242"/>
      <c r="EH51" s="242"/>
      <c r="EI51" s="242"/>
      <c r="EJ51" s="242"/>
      <c r="EK51" s="242"/>
      <c r="EL51" s="242"/>
      <c r="EM51" s="242"/>
      <c r="EN51" s="242"/>
      <c r="EO51" s="242"/>
      <c r="EP51" s="242"/>
      <c r="EQ51" s="242"/>
      <c r="ER51" s="242"/>
      <c r="ES51" s="242"/>
      <c r="ET51" s="242"/>
      <c r="EU51" s="242"/>
      <c r="EV51" s="242"/>
      <c r="EW51" s="242"/>
      <c r="EX51" s="242"/>
      <c r="EY51" s="242"/>
      <c r="EZ51" s="242"/>
      <c r="FA51" s="242"/>
      <c r="FB51" s="242"/>
      <c r="FC51" s="242"/>
      <c r="FD51" s="242"/>
      <c r="FE51" s="242"/>
      <c r="FF51" s="242"/>
      <c r="FG51" s="242"/>
      <c r="FH51" s="242"/>
      <c r="FI51" s="242"/>
      <c r="FJ51" s="242"/>
      <c r="FK51" s="242"/>
      <c r="FL51" s="242"/>
      <c r="FM51" s="242"/>
      <c r="FN51" s="242"/>
      <c r="FO51" s="242"/>
      <c r="FP51" s="242"/>
      <c r="FQ51" s="242"/>
      <c r="FR51" s="242"/>
      <c r="FS51" s="242"/>
      <c r="FT51" s="242"/>
      <c r="FU51" s="242"/>
      <c r="FV51" s="242"/>
      <c r="FW51" s="242"/>
      <c r="FX51" s="242"/>
      <c r="FY51" s="242"/>
      <c r="FZ51" s="242"/>
      <c r="GA51" s="242"/>
      <c r="GB51" s="242"/>
      <c r="GC51" s="242"/>
      <c r="GD51" s="242"/>
      <c r="GE51" s="242"/>
      <c r="GF51" s="242"/>
      <c r="GG51" s="242"/>
      <c r="GH51" s="242"/>
      <c r="GI51" s="242"/>
      <c r="GJ51" s="242"/>
      <c r="GK51" s="242"/>
      <c r="GL51" s="242"/>
      <c r="GM51" s="242"/>
      <c r="GN51" s="242"/>
      <c r="GO51" s="242"/>
      <c r="GP51" s="242"/>
      <c r="GQ51" s="242"/>
      <c r="GR51" s="242"/>
      <c r="GS51" s="242"/>
      <c r="GT51" s="242"/>
      <c r="GU51" s="242"/>
      <c r="GV51" s="242"/>
      <c r="GW51" s="242"/>
      <c r="GX51" s="242"/>
      <c r="GY51" s="242"/>
      <c r="GZ51" s="242"/>
      <c r="HA51" s="242"/>
      <c r="HB51" s="242"/>
      <c r="HC51" s="242"/>
      <c r="HD51" s="242"/>
      <c r="HE51" s="242"/>
      <c r="HF51" s="242"/>
      <c r="HG51" s="242"/>
      <c r="HH51" s="242"/>
      <c r="HI51" s="242"/>
      <c r="HJ51" s="242"/>
      <c r="HK51" s="242"/>
      <c r="HL51" s="242"/>
      <c r="HM51" s="242"/>
      <c r="HN51" s="242"/>
      <c r="HO51" s="243"/>
    </row>
    <row r="52" spans="1:223" ht="12.75" hidden="1" customHeight="1">
      <c r="A52" s="83">
        <f t="shared" si="10"/>
        <v>47</v>
      </c>
      <c r="B52" s="84"/>
      <c r="C52" s="84"/>
      <c r="D52" s="84"/>
      <c r="E52" s="84"/>
      <c r="F52" s="84" t="str">
        <f t="shared" si="3"/>
        <v>///</v>
      </c>
      <c r="G52" s="249">
        <f t="shared" si="11"/>
        <v>0</v>
      </c>
      <c r="H52" s="240">
        <f t="shared" si="4"/>
        <v>0</v>
      </c>
      <c r="I52" s="243"/>
      <c r="J52" s="243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242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242"/>
      <c r="BD52" s="242"/>
      <c r="BE52" s="242"/>
      <c r="BF52" s="242"/>
      <c r="BG52" s="242"/>
      <c r="BH52" s="242"/>
      <c r="BI52" s="242"/>
      <c r="BJ52" s="242"/>
      <c r="BK52" s="242"/>
      <c r="BL52" s="242"/>
      <c r="BM52" s="242"/>
      <c r="BN52" s="242"/>
      <c r="BO52" s="242"/>
      <c r="BP52" s="242"/>
      <c r="BQ52" s="242"/>
      <c r="BR52" s="242"/>
      <c r="BS52" s="242"/>
      <c r="BT52" s="242"/>
      <c r="BU52" s="242"/>
      <c r="BV52" s="242"/>
      <c r="BW52" s="242"/>
      <c r="BX52" s="242"/>
      <c r="BY52" s="242"/>
      <c r="BZ52" s="242"/>
      <c r="CA52" s="242"/>
      <c r="CB52" s="242"/>
      <c r="CC52" s="242"/>
      <c r="CD52" s="242"/>
      <c r="CE52" s="242"/>
      <c r="CF52" s="242"/>
      <c r="CG52" s="242"/>
      <c r="CH52" s="242"/>
      <c r="CI52" s="242"/>
      <c r="CJ52" s="242"/>
      <c r="CK52" s="242"/>
      <c r="CL52" s="242"/>
      <c r="CM52" s="242"/>
      <c r="CN52" s="242"/>
      <c r="CO52" s="242"/>
      <c r="CP52" s="242"/>
      <c r="CQ52" s="242"/>
      <c r="CR52" s="242"/>
      <c r="CS52" s="242"/>
      <c r="CT52" s="242"/>
      <c r="CU52" s="242"/>
      <c r="CV52" s="242"/>
      <c r="CW52" s="242"/>
      <c r="CX52" s="242"/>
      <c r="CY52" s="242"/>
      <c r="CZ52" s="242"/>
      <c r="DA52" s="242"/>
      <c r="DB52" s="242"/>
      <c r="DC52" s="242"/>
      <c r="DD52" s="242"/>
      <c r="DE52" s="242"/>
      <c r="DF52" s="242"/>
      <c r="DG52" s="242"/>
      <c r="DH52" s="242"/>
      <c r="DI52" s="242"/>
      <c r="DJ52" s="242"/>
      <c r="DK52" s="242"/>
      <c r="DL52" s="242"/>
      <c r="DM52" s="242"/>
      <c r="DN52" s="242"/>
      <c r="DO52" s="242"/>
      <c r="DP52" s="242"/>
      <c r="DQ52" s="242"/>
      <c r="DR52" s="242"/>
      <c r="DS52" s="242"/>
      <c r="DT52" s="242"/>
      <c r="DU52" s="242"/>
      <c r="DV52" s="242"/>
      <c r="DW52" s="242"/>
      <c r="DX52" s="242"/>
      <c r="DY52" s="242"/>
      <c r="DZ52" s="242"/>
      <c r="EA52" s="242"/>
      <c r="EB52" s="242"/>
      <c r="EC52" s="242"/>
      <c r="ED52" s="242"/>
      <c r="EE52" s="242"/>
      <c r="EF52" s="242"/>
      <c r="EG52" s="242"/>
      <c r="EH52" s="242"/>
      <c r="EI52" s="242"/>
      <c r="EJ52" s="242"/>
      <c r="EK52" s="242"/>
      <c r="EL52" s="242"/>
      <c r="EM52" s="242"/>
      <c r="EN52" s="242"/>
      <c r="EO52" s="242"/>
      <c r="EP52" s="242"/>
      <c r="EQ52" s="242"/>
      <c r="ER52" s="242"/>
      <c r="ES52" s="242"/>
      <c r="ET52" s="242"/>
      <c r="EU52" s="242"/>
      <c r="EV52" s="242"/>
      <c r="EW52" s="242"/>
      <c r="EX52" s="242"/>
      <c r="EY52" s="242"/>
      <c r="EZ52" s="242"/>
      <c r="FA52" s="242"/>
      <c r="FB52" s="242"/>
      <c r="FC52" s="242"/>
      <c r="FD52" s="242"/>
      <c r="FE52" s="242"/>
      <c r="FF52" s="242"/>
      <c r="FG52" s="242"/>
      <c r="FH52" s="242"/>
      <c r="FI52" s="242"/>
      <c r="FJ52" s="242"/>
      <c r="FK52" s="242"/>
      <c r="FL52" s="242"/>
      <c r="FM52" s="242"/>
      <c r="FN52" s="242"/>
      <c r="FO52" s="242"/>
      <c r="FP52" s="242"/>
      <c r="FQ52" s="242"/>
      <c r="FR52" s="242"/>
      <c r="FS52" s="242"/>
      <c r="FT52" s="242"/>
      <c r="FU52" s="242"/>
      <c r="FV52" s="242"/>
      <c r="FW52" s="242"/>
      <c r="FX52" s="242"/>
      <c r="FY52" s="242"/>
      <c r="FZ52" s="242"/>
      <c r="GA52" s="242"/>
      <c r="GB52" s="242"/>
      <c r="GC52" s="242"/>
      <c r="GD52" s="242"/>
      <c r="GE52" s="242"/>
      <c r="GF52" s="242"/>
      <c r="GG52" s="242"/>
      <c r="GH52" s="242"/>
      <c r="GI52" s="242"/>
      <c r="GJ52" s="242"/>
      <c r="GK52" s="242"/>
      <c r="GL52" s="242"/>
      <c r="GM52" s="242"/>
      <c r="GN52" s="242"/>
      <c r="GO52" s="242"/>
      <c r="GP52" s="242"/>
      <c r="GQ52" s="242"/>
      <c r="GR52" s="242"/>
      <c r="GS52" s="242"/>
      <c r="GT52" s="242"/>
      <c r="GU52" s="242"/>
      <c r="GV52" s="242"/>
      <c r="GW52" s="242"/>
      <c r="GX52" s="242"/>
      <c r="GY52" s="242"/>
      <c r="GZ52" s="242"/>
      <c r="HA52" s="242"/>
      <c r="HB52" s="242"/>
      <c r="HC52" s="242"/>
      <c r="HD52" s="242"/>
      <c r="HE52" s="242"/>
      <c r="HF52" s="242"/>
      <c r="HG52" s="242"/>
      <c r="HH52" s="242"/>
      <c r="HI52" s="242"/>
      <c r="HJ52" s="242"/>
      <c r="HK52" s="242"/>
      <c r="HL52" s="242"/>
      <c r="HM52" s="242"/>
      <c r="HN52" s="242"/>
      <c r="HO52" s="243"/>
    </row>
    <row r="53" spans="1:223" ht="12.75" hidden="1" customHeight="1">
      <c r="A53" s="83">
        <f t="shared" si="10"/>
        <v>48</v>
      </c>
      <c r="B53" s="84"/>
      <c r="C53" s="84"/>
      <c r="D53" s="84"/>
      <c r="E53" s="84"/>
      <c r="F53" s="84" t="str">
        <f t="shared" si="3"/>
        <v>///</v>
      </c>
      <c r="G53" s="249">
        <f t="shared" si="11"/>
        <v>0</v>
      </c>
      <c r="H53" s="240">
        <f t="shared" si="4"/>
        <v>0</v>
      </c>
      <c r="I53" s="243"/>
      <c r="J53" s="243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242"/>
      <c r="BD53" s="242"/>
      <c r="BE53" s="242"/>
      <c r="BF53" s="242"/>
      <c r="BG53" s="242"/>
      <c r="BH53" s="242"/>
      <c r="BI53" s="242"/>
      <c r="BJ53" s="242"/>
      <c r="BK53" s="242"/>
      <c r="BL53" s="242"/>
      <c r="BM53" s="242"/>
      <c r="BN53" s="242"/>
      <c r="BO53" s="242"/>
      <c r="BP53" s="242"/>
      <c r="BQ53" s="242"/>
      <c r="BR53" s="242"/>
      <c r="BS53" s="242"/>
      <c r="BT53" s="242"/>
      <c r="BU53" s="242"/>
      <c r="BV53" s="242"/>
      <c r="BW53" s="242"/>
      <c r="BX53" s="242"/>
      <c r="BY53" s="242"/>
      <c r="BZ53" s="242"/>
      <c r="CA53" s="242"/>
      <c r="CB53" s="242"/>
      <c r="CC53" s="242"/>
      <c r="CD53" s="242"/>
      <c r="CE53" s="242"/>
      <c r="CF53" s="242"/>
      <c r="CG53" s="242"/>
      <c r="CH53" s="242"/>
      <c r="CI53" s="242"/>
      <c r="CJ53" s="242"/>
      <c r="CK53" s="242"/>
      <c r="CL53" s="242"/>
      <c r="CM53" s="242"/>
      <c r="CN53" s="242"/>
      <c r="CO53" s="242"/>
      <c r="CP53" s="242"/>
      <c r="CQ53" s="242"/>
      <c r="CR53" s="242"/>
      <c r="CS53" s="242"/>
      <c r="CT53" s="242"/>
      <c r="CU53" s="242"/>
      <c r="CV53" s="242"/>
      <c r="CW53" s="242"/>
      <c r="CX53" s="242"/>
      <c r="CY53" s="242"/>
      <c r="CZ53" s="242"/>
      <c r="DA53" s="242"/>
      <c r="DB53" s="242"/>
      <c r="DC53" s="242"/>
      <c r="DD53" s="242"/>
      <c r="DE53" s="242"/>
      <c r="DF53" s="242"/>
      <c r="DG53" s="242"/>
      <c r="DH53" s="242"/>
      <c r="DI53" s="242"/>
      <c r="DJ53" s="242"/>
      <c r="DK53" s="242"/>
      <c r="DL53" s="242"/>
      <c r="DM53" s="242"/>
      <c r="DN53" s="242"/>
      <c r="DO53" s="242"/>
      <c r="DP53" s="242"/>
      <c r="DQ53" s="242"/>
      <c r="DR53" s="242"/>
      <c r="DS53" s="242"/>
      <c r="DT53" s="242"/>
      <c r="DU53" s="242"/>
      <c r="DV53" s="242"/>
      <c r="DW53" s="242"/>
      <c r="DX53" s="242"/>
      <c r="DY53" s="242"/>
      <c r="DZ53" s="242"/>
      <c r="EA53" s="242"/>
      <c r="EB53" s="242"/>
      <c r="EC53" s="242"/>
      <c r="ED53" s="242"/>
      <c r="EE53" s="242"/>
      <c r="EF53" s="242"/>
      <c r="EG53" s="242"/>
      <c r="EH53" s="242"/>
      <c r="EI53" s="242"/>
      <c r="EJ53" s="242"/>
      <c r="EK53" s="242"/>
      <c r="EL53" s="242"/>
      <c r="EM53" s="242"/>
      <c r="EN53" s="242"/>
      <c r="EO53" s="242"/>
      <c r="EP53" s="242"/>
      <c r="EQ53" s="242"/>
      <c r="ER53" s="242"/>
      <c r="ES53" s="242"/>
      <c r="ET53" s="242"/>
      <c r="EU53" s="242"/>
      <c r="EV53" s="242"/>
      <c r="EW53" s="242"/>
      <c r="EX53" s="242"/>
      <c r="EY53" s="242"/>
      <c r="EZ53" s="242"/>
      <c r="FA53" s="242"/>
      <c r="FB53" s="242"/>
      <c r="FC53" s="242"/>
      <c r="FD53" s="242"/>
      <c r="FE53" s="242"/>
      <c r="FF53" s="242"/>
      <c r="FG53" s="242"/>
      <c r="FH53" s="242"/>
      <c r="FI53" s="242"/>
      <c r="FJ53" s="242"/>
      <c r="FK53" s="242"/>
      <c r="FL53" s="242"/>
      <c r="FM53" s="242"/>
      <c r="FN53" s="242"/>
      <c r="FO53" s="242"/>
      <c r="FP53" s="242"/>
      <c r="FQ53" s="242"/>
      <c r="FR53" s="242"/>
      <c r="FS53" s="242"/>
      <c r="FT53" s="242"/>
      <c r="FU53" s="242"/>
      <c r="FV53" s="242"/>
      <c r="FW53" s="242"/>
      <c r="FX53" s="242"/>
      <c r="FY53" s="242"/>
      <c r="FZ53" s="242"/>
      <c r="GA53" s="242"/>
      <c r="GB53" s="242"/>
      <c r="GC53" s="242"/>
      <c r="GD53" s="242"/>
      <c r="GE53" s="242"/>
      <c r="GF53" s="242"/>
      <c r="GG53" s="242"/>
      <c r="GH53" s="242"/>
      <c r="GI53" s="242"/>
      <c r="GJ53" s="242"/>
      <c r="GK53" s="242"/>
      <c r="GL53" s="242"/>
      <c r="GM53" s="242"/>
      <c r="GN53" s="242"/>
      <c r="GO53" s="242"/>
      <c r="GP53" s="242"/>
      <c r="GQ53" s="242"/>
      <c r="GR53" s="242"/>
      <c r="GS53" s="242"/>
      <c r="GT53" s="242"/>
      <c r="GU53" s="242"/>
      <c r="GV53" s="242"/>
      <c r="GW53" s="242"/>
      <c r="GX53" s="242"/>
      <c r="GY53" s="242"/>
      <c r="GZ53" s="242"/>
      <c r="HA53" s="242"/>
      <c r="HB53" s="242"/>
      <c r="HC53" s="242"/>
      <c r="HD53" s="242"/>
      <c r="HE53" s="242"/>
      <c r="HF53" s="242"/>
      <c r="HG53" s="242"/>
      <c r="HH53" s="242"/>
      <c r="HI53" s="242"/>
      <c r="HJ53" s="242"/>
      <c r="HK53" s="242"/>
      <c r="HL53" s="242"/>
      <c r="HM53" s="242"/>
      <c r="HN53" s="242"/>
      <c r="HO53" s="243"/>
    </row>
    <row r="54" spans="1:223" ht="12.75" hidden="1" customHeight="1">
      <c r="A54" s="83">
        <f t="shared" si="10"/>
        <v>49</v>
      </c>
      <c r="B54" s="84"/>
      <c r="C54" s="84"/>
      <c r="D54" s="84"/>
      <c r="E54" s="84"/>
      <c r="F54" s="84" t="str">
        <f t="shared" si="3"/>
        <v>///</v>
      </c>
      <c r="G54" s="249">
        <f t="shared" si="11"/>
        <v>0</v>
      </c>
      <c r="H54" s="240">
        <f t="shared" si="4"/>
        <v>0</v>
      </c>
      <c r="I54" s="243"/>
      <c r="J54" s="243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42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242"/>
      <c r="BD54" s="242"/>
      <c r="BE54" s="242"/>
      <c r="BF54" s="242"/>
      <c r="BG54" s="242"/>
      <c r="BH54" s="242"/>
      <c r="BI54" s="242"/>
      <c r="BJ54" s="242"/>
      <c r="BK54" s="242"/>
      <c r="BL54" s="242"/>
      <c r="BM54" s="242"/>
      <c r="BN54" s="242"/>
      <c r="BO54" s="242"/>
      <c r="BP54" s="242"/>
      <c r="BQ54" s="242"/>
      <c r="BR54" s="242"/>
      <c r="BS54" s="242"/>
      <c r="BT54" s="242"/>
      <c r="BU54" s="242"/>
      <c r="BV54" s="242"/>
      <c r="BW54" s="242"/>
      <c r="BX54" s="242"/>
      <c r="BY54" s="242"/>
      <c r="BZ54" s="242"/>
      <c r="CA54" s="242"/>
      <c r="CB54" s="242"/>
      <c r="CC54" s="242"/>
      <c r="CD54" s="242"/>
      <c r="CE54" s="242"/>
      <c r="CF54" s="242"/>
      <c r="CG54" s="242"/>
      <c r="CH54" s="242"/>
      <c r="CI54" s="242"/>
      <c r="CJ54" s="242"/>
      <c r="CK54" s="242"/>
      <c r="CL54" s="242"/>
      <c r="CM54" s="242"/>
      <c r="CN54" s="242"/>
      <c r="CO54" s="242"/>
      <c r="CP54" s="242"/>
      <c r="CQ54" s="242"/>
      <c r="CR54" s="242"/>
      <c r="CS54" s="242"/>
      <c r="CT54" s="242"/>
      <c r="CU54" s="242"/>
      <c r="CV54" s="242"/>
      <c r="CW54" s="242"/>
      <c r="CX54" s="242"/>
      <c r="CY54" s="242"/>
      <c r="CZ54" s="242"/>
      <c r="DA54" s="242"/>
      <c r="DB54" s="242"/>
      <c r="DC54" s="242"/>
      <c r="DD54" s="242"/>
      <c r="DE54" s="242"/>
      <c r="DF54" s="242"/>
      <c r="DG54" s="242"/>
      <c r="DH54" s="242"/>
      <c r="DI54" s="242"/>
      <c r="DJ54" s="242"/>
      <c r="DK54" s="242"/>
      <c r="DL54" s="242"/>
      <c r="DM54" s="242"/>
      <c r="DN54" s="242"/>
      <c r="DO54" s="242"/>
      <c r="DP54" s="242"/>
      <c r="DQ54" s="242"/>
      <c r="DR54" s="242"/>
      <c r="DS54" s="242"/>
      <c r="DT54" s="242"/>
      <c r="DU54" s="242"/>
      <c r="DV54" s="242"/>
      <c r="DW54" s="242"/>
      <c r="DX54" s="242"/>
      <c r="DY54" s="242"/>
      <c r="DZ54" s="242"/>
      <c r="EA54" s="242"/>
      <c r="EB54" s="242"/>
      <c r="EC54" s="242"/>
      <c r="ED54" s="242"/>
      <c r="EE54" s="242"/>
      <c r="EF54" s="242"/>
      <c r="EG54" s="242"/>
      <c r="EH54" s="242"/>
      <c r="EI54" s="242"/>
      <c r="EJ54" s="242"/>
      <c r="EK54" s="242"/>
      <c r="EL54" s="242"/>
      <c r="EM54" s="242"/>
      <c r="EN54" s="242"/>
      <c r="EO54" s="242"/>
      <c r="EP54" s="242"/>
      <c r="EQ54" s="242"/>
      <c r="ER54" s="242"/>
      <c r="ES54" s="242"/>
      <c r="ET54" s="242"/>
      <c r="EU54" s="242"/>
      <c r="EV54" s="242"/>
      <c r="EW54" s="242"/>
      <c r="EX54" s="242"/>
      <c r="EY54" s="242"/>
      <c r="EZ54" s="242"/>
      <c r="FA54" s="242"/>
      <c r="FB54" s="242"/>
      <c r="FC54" s="242"/>
      <c r="FD54" s="242"/>
      <c r="FE54" s="242"/>
      <c r="FF54" s="242"/>
      <c r="FG54" s="242"/>
      <c r="FH54" s="242"/>
      <c r="FI54" s="242"/>
      <c r="FJ54" s="242"/>
      <c r="FK54" s="242"/>
      <c r="FL54" s="242"/>
      <c r="FM54" s="242"/>
      <c r="FN54" s="242"/>
      <c r="FO54" s="242"/>
      <c r="FP54" s="242"/>
      <c r="FQ54" s="242"/>
      <c r="FR54" s="242"/>
      <c r="FS54" s="242"/>
      <c r="FT54" s="242"/>
      <c r="FU54" s="242"/>
      <c r="FV54" s="242"/>
      <c r="FW54" s="242"/>
      <c r="FX54" s="242"/>
      <c r="FY54" s="242"/>
      <c r="FZ54" s="242"/>
      <c r="GA54" s="242"/>
      <c r="GB54" s="242"/>
      <c r="GC54" s="242"/>
      <c r="GD54" s="242"/>
      <c r="GE54" s="242"/>
      <c r="GF54" s="242"/>
      <c r="GG54" s="242"/>
      <c r="GH54" s="242"/>
      <c r="GI54" s="242"/>
      <c r="GJ54" s="242"/>
      <c r="GK54" s="242"/>
      <c r="GL54" s="242"/>
      <c r="GM54" s="242"/>
      <c r="GN54" s="242"/>
      <c r="GO54" s="242"/>
      <c r="GP54" s="242"/>
      <c r="GQ54" s="242"/>
      <c r="GR54" s="242"/>
      <c r="GS54" s="242"/>
      <c r="GT54" s="242"/>
      <c r="GU54" s="242"/>
      <c r="GV54" s="242"/>
      <c r="GW54" s="242"/>
      <c r="GX54" s="242"/>
      <c r="GY54" s="242"/>
      <c r="GZ54" s="242"/>
      <c r="HA54" s="242"/>
      <c r="HB54" s="242"/>
      <c r="HC54" s="242"/>
      <c r="HD54" s="242"/>
      <c r="HE54" s="242"/>
      <c r="HF54" s="242"/>
      <c r="HG54" s="242"/>
      <c r="HH54" s="242"/>
      <c r="HI54" s="242"/>
      <c r="HJ54" s="242"/>
      <c r="HK54" s="242"/>
      <c r="HL54" s="242"/>
      <c r="HM54" s="242"/>
      <c r="HN54" s="242"/>
      <c r="HO54" s="243"/>
    </row>
    <row r="55" spans="1:223" ht="12.75" hidden="1" customHeight="1">
      <c r="A55" s="83">
        <f t="shared" si="10"/>
        <v>50</v>
      </c>
      <c r="B55" s="84"/>
      <c r="C55" s="84"/>
      <c r="D55" s="84"/>
      <c r="E55" s="84"/>
      <c r="F55" s="84" t="str">
        <f t="shared" si="3"/>
        <v>///</v>
      </c>
      <c r="G55" s="249">
        <f t="shared" si="11"/>
        <v>0</v>
      </c>
      <c r="H55" s="240">
        <f t="shared" si="4"/>
        <v>0</v>
      </c>
      <c r="I55" s="243"/>
      <c r="J55" s="243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42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242"/>
      <c r="BD55" s="242"/>
      <c r="BE55" s="242"/>
      <c r="BF55" s="242"/>
      <c r="BG55" s="242"/>
      <c r="BH55" s="242"/>
      <c r="BI55" s="242"/>
      <c r="BJ55" s="242"/>
      <c r="BK55" s="242"/>
      <c r="BL55" s="242"/>
      <c r="BM55" s="242"/>
      <c r="BN55" s="242"/>
      <c r="BO55" s="242"/>
      <c r="BP55" s="242"/>
      <c r="BQ55" s="242"/>
      <c r="BR55" s="242"/>
      <c r="BS55" s="242"/>
      <c r="BT55" s="242"/>
      <c r="BU55" s="242"/>
      <c r="BV55" s="242"/>
      <c r="BW55" s="242"/>
      <c r="BX55" s="242"/>
      <c r="BY55" s="242"/>
      <c r="BZ55" s="242"/>
      <c r="CA55" s="242"/>
      <c r="CB55" s="242"/>
      <c r="CC55" s="242"/>
      <c r="CD55" s="242"/>
      <c r="CE55" s="242"/>
      <c r="CF55" s="242"/>
      <c r="CG55" s="242"/>
      <c r="CH55" s="242"/>
      <c r="CI55" s="242"/>
      <c r="CJ55" s="242"/>
      <c r="CK55" s="242"/>
      <c r="CL55" s="242"/>
      <c r="CM55" s="242"/>
      <c r="CN55" s="242"/>
      <c r="CO55" s="242"/>
      <c r="CP55" s="242"/>
      <c r="CQ55" s="242"/>
      <c r="CR55" s="242"/>
      <c r="CS55" s="242"/>
      <c r="CT55" s="242"/>
      <c r="CU55" s="242"/>
      <c r="CV55" s="242"/>
      <c r="CW55" s="242"/>
      <c r="CX55" s="242"/>
      <c r="CY55" s="242"/>
      <c r="CZ55" s="242"/>
      <c r="DA55" s="242"/>
      <c r="DB55" s="242"/>
      <c r="DC55" s="242"/>
      <c r="DD55" s="242"/>
      <c r="DE55" s="242"/>
      <c r="DF55" s="242"/>
      <c r="DG55" s="242"/>
      <c r="DH55" s="242"/>
      <c r="DI55" s="242"/>
      <c r="DJ55" s="242"/>
      <c r="DK55" s="242"/>
      <c r="DL55" s="242"/>
      <c r="DM55" s="242"/>
      <c r="DN55" s="242"/>
      <c r="DO55" s="242"/>
      <c r="DP55" s="242"/>
      <c r="DQ55" s="242"/>
      <c r="DR55" s="242"/>
      <c r="DS55" s="242"/>
      <c r="DT55" s="242"/>
      <c r="DU55" s="242"/>
      <c r="DV55" s="242"/>
      <c r="DW55" s="242"/>
      <c r="DX55" s="242"/>
      <c r="DY55" s="242"/>
      <c r="DZ55" s="242"/>
      <c r="EA55" s="242"/>
      <c r="EB55" s="242"/>
      <c r="EC55" s="242"/>
      <c r="ED55" s="242"/>
      <c r="EE55" s="242"/>
      <c r="EF55" s="242"/>
      <c r="EG55" s="242"/>
      <c r="EH55" s="242"/>
      <c r="EI55" s="242"/>
      <c r="EJ55" s="242"/>
      <c r="EK55" s="242"/>
      <c r="EL55" s="242"/>
      <c r="EM55" s="242"/>
      <c r="EN55" s="242"/>
      <c r="EO55" s="242"/>
      <c r="EP55" s="242"/>
      <c r="EQ55" s="242"/>
      <c r="ER55" s="242"/>
      <c r="ES55" s="242"/>
      <c r="ET55" s="242"/>
      <c r="EU55" s="242"/>
      <c r="EV55" s="242"/>
      <c r="EW55" s="242"/>
      <c r="EX55" s="242"/>
      <c r="EY55" s="242"/>
      <c r="EZ55" s="242"/>
      <c r="FA55" s="242"/>
      <c r="FB55" s="242"/>
      <c r="FC55" s="242"/>
      <c r="FD55" s="242"/>
      <c r="FE55" s="242"/>
      <c r="FF55" s="242"/>
      <c r="FG55" s="242"/>
      <c r="FH55" s="242"/>
      <c r="FI55" s="242"/>
      <c r="FJ55" s="242"/>
      <c r="FK55" s="242"/>
      <c r="FL55" s="242"/>
      <c r="FM55" s="242"/>
      <c r="FN55" s="242"/>
      <c r="FO55" s="242"/>
      <c r="FP55" s="242"/>
      <c r="FQ55" s="242"/>
      <c r="FR55" s="242"/>
      <c r="FS55" s="242"/>
      <c r="FT55" s="242"/>
      <c r="FU55" s="242"/>
      <c r="FV55" s="242"/>
      <c r="FW55" s="242"/>
      <c r="FX55" s="242"/>
      <c r="FY55" s="242"/>
      <c r="FZ55" s="242"/>
      <c r="GA55" s="242"/>
      <c r="GB55" s="242"/>
      <c r="GC55" s="242"/>
      <c r="GD55" s="242"/>
      <c r="GE55" s="242"/>
      <c r="GF55" s="242"/>
      <c r="GG55" s="242"/>
      <c r="GH55" s="242"/>
      <c r="GI55" s="242"/>
      <c r="GJ55" s="242"/>
      <c r="GK55" s="242"/>
      <c r="GL55" s="242"/>
      <c r="GM55" s="242"/>
      <c r="GN55" s="242"/>
      <c r="GO55" s="242"/>
      <c r="GP55" s="242"/>
      <c r="GQ55" s="242"/>
      <c r="GR55" s="242"/>
      <c r="GS55" s="242"/>
      <c r="GT55" s="242"/>
      <c r="GU55" s="242"/>
      <c r="GV55" s="242"/>
      <c r="GW55" s="242"/>
      <c r="GX55" s="242"/>
      <c r="GY55" s="242"/>
      <c r="GZ55" s="242"/>
      <c r="HA55" s="242"/>
      <c r="HB55" s="242"/>
      <c r="HC55" s="242"/>
      <c r="HD55" s="242"/>
      <c r="HE55" s="242"/>
      <c r="HF55" s="242"/>
      <c r="HG55" s="242"/>
      <c r="HH55" s="242"/>
      <c r="HI55" s="242"/>
      <c r="HJ55" s="242"/>
      <c r="HK55" s="242"/>
      <c r="HL55" s="242"/>
      <c r="HM55" s="242"/>
      <c r="HN55" s="242"/>
      <c r="HO55" s="243"/>
    </row>
    <row r="56" spans="1:223" ht="12.75" hidden="1" customHeight="1">
      <c r="A56" s="83">
        <f t="shared" si="10"/>
        <v>51</v>
      </c>
      <c r="B56" s="84"/>
      <c r="C56" s="84"/>
      <c r="D56" s="84"/>
      <c r="E56" s="84"/>
      <c r="F56" s="84" t="str">
        <f t="shared" si="3"/>
        <v>///</v>
      </c>
      <c r="G56" s="249">
        <f t="shared" si="11"/>
        <v>0</v>
      </c>
      <c r="H56" s="240">
        <f t="shared" si="4"/>
        <v>0</v>
      </c>
      <c r="I56" s="243"/>
      <c r="J56" s="243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42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  <c r="AM56" s="242"/>
      <c r="AN56" s="242"/>
      <c r="AO56" s="242"/>
      <c r="AP56" s="242"/>
      <c r="AQ56" s="242"/>
      <c r="AR56" s="242"/>
      <c r="AS56" s="242"/>
      <c r="AT56" s="242"/>
      <c r="AU56" s="242"/>
      <c r="AV56" s="242"/>
      <c r="AW56" s="242"/>
      <c r="AX56" s="242"/>
      <c r="AY56" s="242"/>
      <c r="AZ56" s="242"/>
      <c r="BA56" s="242"/>
      <c r="BB56" s="242"/>
      <c r="BC56" s="242"/>
      <c r="BD56" s="242"/>
      <c r="BE56" s="242"/>
      <c r="BF56" s="242"/>
      <c r="BG56" s="242"/>
      <c r="BH56" s="242"/>
      <c r="BI56" s="242"/>
      <c r="BJ56" s="242"/>
      <c r="BK56" s="242"/>
      <c r="BL56" s="242"/>
      <c r="BM56" s="242"/>
      <c r="BN56" s="242"/>
      <c r="BO56" s="242"/>
      <c r="BP56" s="242"/>
      <c r="BQ56" s="242"/>
      <c r="BR56" s="242"/>
      <c r="BS56" s="242"/>
      <c r="BT56" s="242"/>
      <c r="BU56" s="242"/>
      <c r="BV56" s="242"/>
      <c r="BW56" s="242"/>
      <c r="BX56" s="242"/>
      <c r="BY56" s="242"/>
      <c r="BZ56" s="242"/>
      <c r="CA56" s="242"/>
      <c r="CB56" s="242"/>
      <c r="CC56" s="242"/>
      <c r="CD56" s="242"/>
      <c r="CE56" s="242"/>
      <c r="CF56" s="242"/>
      <c r="CG56" s="242"/>
      <c r="CH56" s="242"/>
      <c r="CI56" s="242"/>
      <c r="CJ56" s="242"/>
      <c r="CK56" s="242"/>
      <c r="CL56" s="242"/>
      <c r="CM56" s="242"/>
      <c r="CN56" s="242"/>
      <c r="CO56" s="242"/>
      <c r="CP56" s="242"/>
      <c r="CQ56" s="242"/>
      <c r="CR56" s="242"/>
      <c r="CS56" s="242"/>
      <c r="CT56" s="242"/>
      <c r="CU56" s="242"/>
      <c r="CV56" s="242"/>
      <c r="CW56" s="242"/>
      <c r="CX56" s="242"/>
      <c r="CY56" s="242"/>
      <c r="CZ56" s="242"/>
      <c r="DA56" s="242"/>
      <c r="DB56" s="242"/>
      <c r="DC56" s="242"/>
      <c r="DD56" s="242"/>
      <c r="DE56" s="242"/>
      <c r="DF56" s="242"/>
      <c r="DG56" s="242"/>
      <c r="DH56" s="242"/>
      <c r="DI56" s="242"/>
      <c r="DJ56" s="242"/>
      <c r="DK56" s="242"/>
      <c r="DL56" s="242"/>
      <c r="DM56" s="242"/>
      <c r="DN56" s="242"/>
      <c r="DO56" s="242"/>
      <c r="DP56" s="242"/>
      <c r="DQ56" s="242"/>
      <c r="DR56" s="242"/>
      <c r="DS56" s="242"/>
      <c r="DT56" s="242"/>
      <c r="DU56" s="242"/>
      <c r="DV56" s="242"/>
      <c r="DW56" s="242"/>
      <c r="DX56" s="242"/>
      <c r="DY56" s="242"/>
      <c r="DZ56" s="242"/>
      <c r="EA56" s="242"/>
      <c r="EB56" s="242"/>
      <c r="EC56" s="242"/>
      <c r="ED56" s="242"/>
      <c r="EE56" s="242"/>
      <c r="EF56" s="242"/>
      <c r="EG56" s="242"/>
      <c r="EH56" s="242"/>
      <c r="EI56" s="242"/>
      <c r="EJ56" s="242"/>
      <c r="EK56" s="242"/>
      <c r="EL56" s="242"/>
      <c r="EM56" s="242"/>
      <c r="EN56" s="242"/>
      <c r="EO56" s="242"/>
      <c r="EP56" s="242"/>
      <c r="EQ56" s="242"/>
      <c r="ER56" s="242"/>
      <c r="ES56" s="242"/>
      <c r="ET56" s="242"/>
      <c r="EU56" s="242"/>
      <c r="EV56" s="242"/>
      <c r="EW56" s="242"/>
      <c r="EX56" s="242"/>
      <c r="EY56" s="242"/>
      <c r="EZ56" s="242"/>
      <c r="FA56" s="242"/>
      <c r="FB56" s="242"/>
      <c r="FC56" s="242"/>
      <c r="FD56" s="242"/>
      <c r="FE56" s="242"/>
      <c r="FF56" s="242"/>
      <c r="FG56" s="242"/>
      <c r="FH56" s="242"/>
      <c r="FI56" s="242"/>
      <c r="FJ56" s="242"/>
      <c r="FK56" s="242"/>
      <c r="FL56" s="242"/>
      <c r="FM56" s="242"/>
      <c r="FN56" s="242"/>
      <c r="FO56" s="242"/>
      <c r="FP56" s="242"/>
      <c r="FQ56" s="242"/>
      <c r="FR56" s="242"/>
      <c r="FS56" s="242"/>
      <c r="FT56" s="242"/>
      <c r="FU56" s="242"/>
      <c r="FV56" s="242"/>
      <c r="FW56" s="242"/>
      <c r="FX56" s="242"/>
      <c r="FY56" s="242"/>
      <c r="FZ56" s="242"/>
      <c r="GA56" s="242"/>
      <c r="GB56" s="242"/>
      <c r="GC56" s="242"/>
      <c r="GD56" s="242"/>
      <c r="GE56" s="242"/>
      <c r="GF56" s="242"/>
      <c r="GG56" s="242"/>
      <c r="GH56" s="242"/>
      <c r="GI56" s="242"/>
      <c r="GJ56" s="242"/>
      <c r="GK56" s="242"/>
      <c r="GL56" s="242"/>
      <c r="GM56" s="242"/>
      <c r="GN56" s="242"/>
      <c r="GO56" s="242"/>
      <c r="GP56" s="242"/>
      <c r="GQ56" s="242"/>
      <c r="GR56" s="242"/>
      <c r="GS56" s="242"/>
      <c r="GT56" s="242"/>
      <c r="GU56" s="242"/>
      <c r="GV56" s="242"/>
      <c r="GW56" s="242"/>
      <c r="GX56" s="242"/>
      <c r="GY56" s="242"/>
      <c r="GZ56" s="242"/>
      <c r="HA56" s="242"/>
      <c r="HB56" s="242"/>
      <c r="HC56" s="242"/>
      <c r="HD56" s="242"/>
      <c r="HE56" s="242"/>
      <c r="HF56" s="242"/>
      <c r="HG56" s="242"/>
      <c r="HH56" s="242"/>
      <c r="HI56" s="242"/>
      <c r="HJ56" s="242"/>
      <c r="HK56" s="242"/>
      <c r="HL56" s="242"/>
      <c r="HM56" s="242"/>
      <c r="HN56" s="242"/>
      <c r="HO56" s="243"/>
    </row>
    <row r="57" spans="1:223" ht="12.75" hidden="1" customHeight="1">
      <c r="A57" s="83">
        <f t="shared" si="10"/>
        <v>52</v>
      </c>
      <c r="B57" s="84"/>
      <c r="C57" s="84"/>
      <c r="D57" s="84"/>
      <c r="E57" s="84"/>
      <c r="F57" s="84" t="str">
        <f t="shared" si="3"/>
        <v>///</v>
      </c>
      <c r="G57" s="249">
        <f t="shared" si="11"/>
        <v>0</v>
      </c>
      <c r="H57" s="240">
        <f t="shared" si="4"/>
        <v>0</v>
      </c>
      <c r="I57" s="243"/>
      <c r="J57" s="243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242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242"/>
      <c r="BD57" s="242"/>
      <c r="BE57" s="242"/>
      <c r="BF57" s="242"/>
      <c r="BG57" s="242"/>
      <c r="BH57" s="242"/>
      <c r="BI57" s="242"/>
      <c r="BJ57" s="242"/>
      <c r="BK57" s="242"/>
      <c r="BL57" s="242"/>
      <c r="BM57" s="242"/>
      <c r="BN57" s="242"/>
      <c r="BO57" s="242"/>
      <c r="BP57" s="242"/>
      <c r="BQ57" s="242"/>
      <c r="BR57" s="242"/>
      <c r="BS57" s="242"/>
      <c r="BT57" s="242"/>
      <c r="BU57" s="242"/>
      <c r="BV57" s="242"/>
      <c r="BW57" s="242"/>
      <c r="BX57" s="242"/>
      <c r="BY57" s="242"/>
      <c r="BZ57" s="242"/>
      <c r="CA57" s="242"/>
      <c r="CB57" s="242"/>
      <c r="CC57" s="242"/>
      <c r="CD57" s="242"/>
      <c r="CE57" s="242"/>
      <c r="CF57" s="242"/>
      <c r="CG57" s="242"/>
      <c r="CH57" s="242"/>
      <c r="CI57" s="242"/>
      <c r="CJ57" s="242"/>
      <c r="CK57" s="242"/>
      <c r="CL57" s="242"/>
      <c r="CM57" s="242"/>
      <c r="CN57" s="242"/>
      <c r="CO57" s="242"/>
      <c r="CP57" s="242"/>
      <c r="CQ57" s="242"/>
      <c r="CR57" s="242"/>
      <c r="CS57" s="242"/>
      <c r="CT57" s="242"/>
      <c r="CU57" s="242"/>
      <c r="CV57" s="242"/>
      <c r="CW57" s="242"/>
      <c r="CX57" s="242"/>
      <c r="CY57" s="242"/>
      <c r="CZ57" s="242"/>
      <c r="DA57" s="242"/>
      <c r="DB57" s="242"/>
      <c r="DC57" s="242"/>
      <c r="DD57" s="242"/>
      <c r="DE57" s="242"/>
      <c r="DF57" s="242"/>
      <c r="DG57" s="242"/>
      <c r="DH57" s="242"/>
      <c r="DI57" s="242"/>
      <c r="DJ57" s="242"/>
      <c r="DK57" s="242"/>
      <c r="DL57" s="242"/>
      <c r="DM57" s="242"/>
      <c r="DN57" s="242"/>
      <c r="DO57" s="242"/>
      <c r="DP57" s="242"/>
      <c r="DQ57" s="242"/>
      <c r="DR57" s="242"/>
      <c r="DS57" s="242"/>
      <c r="DT57" s="242"/>
      <c r="DU57" s="242"/>
      <c r="DV57" s="242"/>
      <c r="DW57" s="242"/>
      <c r="DX57" s="242"/>
      <c r="DY57" s="242"/>
      <c r="DZ57" s="242"/>
      <c r="EA57" s="242"/>
      <c r="EB57" s="242"/>
      <c r="EC57" s="242"/>
      <c r="ED57" s="242"/>
      <c r="EE57" s="242"/>
      <c r="EF57" s="242"/>
      <c r="EG57" s="242"/>
      <c r="EH57" s="242"/>
      <c r="EI57" s="242"/>
      <c r="EJ57" s="242"/>
      <c r="EK57" s="242"/>
      <c r="EL57" s="242"/>
      <c r="EM57" s="242"/>
      <c r="EN57" s="242"/>
      <c r="EO57" s="242"/>
      <c r="EP57" s="242"/>
      <c r="EQ57" s="242"/>
      <c r="ER57" s="242"/>
      <c r="ES57" s="242"/>
      <c r="ET57" s="242"/>
      <c r="EU57" s="242"/>
      <c r="EV57" s="242"/>
      <c r="EW57" s="242"/>
      <c r="EX57" s="242"/>
      <c r="EY57" s="242"/>
      <c r="EZ57" s="242"/>
      <c r="FA57" s="242"/>
      <c r="FB57" s="242"/>
      <c r="FC57" s="242"/>
      <c r="FD57" s="242"/>
      <c r="FE57" s="242"/>
      <c r="FF57" s="242"/>
      <c r="FG57" s="242"/>
      <c r="FH57" s="242"/>
      <c r="FI57" s="242"/>
      <c r="FJ57" s="242"/>
      <c r="FK57" s="242"/>
      <c r="FL57" s="242"/>
      <c r="FM57" s="242"/>
      <c r="FN57" s="242"/>
      <c r="FO57" s="242"/>
      <c r="FP57" s="242"/>
      <c r="FQ57" s="242"/>
      <c r="FR57" s="242"/>
      <c r="FS57" s="242"/>
      <c r="FT57" s="242"/>
      <c r="FU57" s="242"/>
      <c r="FV57" s="242"/>
      <c r="FW57" s="242"/>
      <c r="FX57" s="242"/>
      <c r="FY57" s="242"/>
      <c r="FZ57" s="242"/>
      <c r="GA57" s="242"/>
      <c r="GB57" s="242"/>
      <c r="GC57" s="242"/>
      <c r="GD57" s="242"/>
      <c r="GE57" s="242"/>
      <c r="GF57" s="242"/>
      <c r="GG57" s="242"/>
      <c r="GH57" s="242"/>
      <c r="GI57" s="242"/>
      <c r="GJ57" s="242"/>
      <c r="GK57" s="242"/>
      <c r="GL57" s="242"/>
      <c r="GM57" s="242"/>
      <c r="GN57" s="242"/>
      <c r="GO57" s="242"/>
      <c r="GP57" s="242"/>
      <c r="GQ57" s="242"/>
      <c r="GR57" s="242"/>
      <c r="GS57" s="242"/>
      <c r="GT57" s="242"/>
      <c r="GU57" s="242"/>
      <c r="GV57" s="242"/>
      <c r="GW57" s="242"/>
      <c r="GX57" s="242"/>
      <c r="GY57" s="242"/>
      <c r="GZ57" s="242"/>
      <c r="HA57" s="242"/>
      <c r="HB57" s="242"/>
      <c r="HC57" s="242"/>
      <c r="HD57" s="242"/>
      <c r="HE57" s="242"/>
      <c r="HF57" s="242"/>
      <c r="HG57" s="242"/>
      <c r="HH57" s="242"/>
      <c r="HI57" s="242"/>
      <c r="HJ57" s="242"/>
      <c r="HK57" s="242"/>
      <c r="HL57" s="242"/>
      <c r="HM57" s="242"/>
      <c r="HN57" s="242"/>
      <c r="HO57" s="243"/>
    </row>
    <row r="58" spans="1:223" ht="12.75" hidden="1" customHeight="1">
      <c r="A58" s="83">
        <f t="shared" si="10"/>
        <v>53</v>
      </c>
      <c r="B58" s="84"/>
      <c r="C58" s="84"/>
      <c r="D58" s="84"/>
      <c r="E58" s="84"/>
      <c r="F58" s="84" t="str">
        <f t="shared" si="3"/>
        <v>///</v>
      </c>
      <c r="G58" s="249">
        <f t="shared" si="11"/>
        <v>0</v>
      </c>
      <c r="H58" s="240">
        <f t="shared" si="4"/>
        <v>0</v>
      </c>
      <c r="I58" s="243"/>
      <c r="J58" s="243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242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242"/>
      <c r="BD58" s="242"/>
      <c r="BE58" s="242"/>
      <c r="BF58" s="242"/>
      <c r="BG58" s="242"/>
      <c r="BH58" s="242"/>
      <c r="BI58" s="242"/>
      <c r="BJ58" s="242"/>
      <c r="BK58" s="242"/>
      <c r="BL58" s="242"/>
      <c r="BM58" s="242"/>
      <c r="BN58" s="242"/>
      <c r="BO58" s="242"/>
      <c r="BP58" s="242"/>
      <c r="BQ58" s="242"/>
      <c r="BR58" s="242"/>
      <c r="BS58" s="242"/>
      <c r="BT58" s="242"/>
      <c r="BU58" s="242"/>
      <c r="BV58" s="242"/>
      <c r="BW58" s="242"/>
      <c r="BX58" s="242"/>
      <c r="BY58" s="242"/>
      <c r="BZ58" s="242"/>
      <c r="CA58" s="242"/>
      <c r="CB58" s="242"/>
      <c r="CC58" s="242"/>
      <c r="CD58" s="242"/>
      <c r="CE58" s="242"/>
      <c r="CF58" s="242"/>
      <c r="CG58" s="242"/>
      <c r="CH58" s="242"/>
      <c r="CI58" s="242"/>
      <c r="CJ58" s="242"/>
      <c r="CK58" s="242"/>
      <c r="CL58" s="242"/>
      <c r="CM58" s="242"/>
      <c r="CN58" s="242"/>
      <c r="CO58" s="242"/>
      <c r="CP58" s="242"/>
      <c r="CQ58" s="242"/>
      <c r="CR58" s="242"/>
      <c r="CS58" s="242"/>
      <c r="CT58" s="242"/>
      <c r="CU58" s="242"/>
      <c r="CV58" s="242"/>
      <c r="CW58" s="242"/>
      <c r="CX58" s="242"/>
      <c r="CY58" s="242"/>
      <c r="CZ58" s="242"/>
      <c r="DA58" s="242"/>
      <c r="DB58" s="242"/>
      <c r="DC58" s="242"/>
      <c r="DD58" s="242"/>
      <c r="DE58" s="242"/>
      <c r="DF58" s="242"/>
      <c r="DG58" s="242"/>
      <c r="DH58" s="242"/>
      <c r="DI58" s="242"/>
      <c r="DJ58" s="242"/>
      <c r="DK58" s="242"/>
      <c r="DL58" s="242"/>
      <c r="DM58" s="242"/>
      <c r="DN58" s="242"/>
      <c r="DO58" s="242"/>
      <c r="DP58" s="242"/>
      <c r="DQ58" s="242"/>
      <c r="DR58" s="242"/>
      <c r="DS58" s="242"/>
      <c r="DT58" s="242"/>
      <c r="DU58" s="242"/>
      <c r="DV58" s="242"/>
      <c r="DW58" s="242"/>
      <c r="DX58" s="242"/>
      <c r="DY58" s="242"/>
      <c r="DZ58" s="242"/>
      <c r="EA58" s="242"/>
      <c r="EB58" s="242"/>
      <c r="EC58" s="242"/>
      <c r="ED58" s="242"/>
      <c r="EE58" s="242"/>
      <c r="EF58" s="242"/>
      <c r="EG58" s="242"/>
      <c r="EH58" s="242"/>
      <c r="EI58" s="242"/>
      <c r="EJ58" s="242"/>
      <c r="EK58" s="242"/>
      <c r="EL58" s="242"/>
      <c r="EM58" s="242"/>
      <c r="EN58" s="242"/>
      <c r="EO58" s="242"/>
      <c r="EP58" s="242"/>
      <c r="EQ58" s="242"/>
      <c r="ER58" s="242"/>
      <c r="ES58" s="242"/>
      <c r="ET58" s="242"/>
      <c r="EU58" s="242"/>
      <c r="EV58" s="242"/>
      <c r="EW58" s="242"/>
      <c r="EX58" s="242"/>
      <c r="EY58" s="242"/>
      <c r="EZ58" s="242"/>
      <c r="FA58" s="242"/>
      <c r="FB58" s="242"/>
      <c r="FC58" s="242"/>
      <c r="FD58" s="242"/>
      <c r="FE58" s="242"/>
      <c r="FF58" s="242"/>
      <c r="FG58" s="242"/>
      <c r="FH58" s="242"/>
      <c r="FI58" s="242"/>
      <c r="FJ58" s="242"/>
      <c r="FK58" s="242"/>
      <c r="FL58" s="242"/>
      <c r="FM58" s="242"/>
      <c r="FN58" s="242"/>
      <c r="FO58" s="242"/>
      <c r="FP58" s="242"/>
      <c r="FQ58" s="242"/>
      <c r="FR58" s="242"/>
      <c r="FS58" s="242"/>
      <c r="FT58" s="242"/>
      <c r="FU58" s="242"/>
      <c r="FV58" s="242"/>
      <c r="FW58" s="242"/>
      <c r="FX58" s="242"/>
      <c r="FY58" s="242"/>
      <c r="FZ58" s="242"/>
      <c r="GA58" s="242"/>
      <c r="GB58" s="242"/>
      <c r="GC58" s="242"/>
      <c r="GD58" s="242"/>
      <c r="GE58" s="242"/>
      <c r="GF58" s="242"/>
      <c r="GG58" s="242"/>
      <c r="GH58" s="242"/>
      <c r="GI58" s="242"/>
      <c r="GJ58" s="242"/>
      <c r="GK58" s="242"/>
      <c r="GL58" s="242"/>
      <c r="GM58" s="242"/>
      <c r="GN58" s="242"/>
      <c r="GO58" s="242"/>
      <c r="GP58" s="242"/>
      <c r="GQ58" s="242"/>
      <c r="GR58" s="242"/>
      <c r="GS58" s="242"/>
      <c r="GT58" s="242"/>
      <c r="GU58" s="242"/>
      <c r="GV58" s="242"/>
      <c r="GW58" s="242"/>
      <c r="GX58" s="242"/>
      <c r="GY58" s="242"/>
      <c r="GZ58" s="242"/>
      <c r="HA58" s="242"/>
      <c r="HB58" s="242"/>
      <c r="HC58" s="242"/>
      <c r="HD58" s="242"/>
      <c r="HE58" s="242"/>
      <c r="HF58" s="242"/>
      <c r="HG58" s="242"/>
      <c r="HH58" s="242"/>
      <c r="HI58" s="242"/>
      <c r="HJ58" s="242"/>
      <c r="HK58" s="242"/>
      <c r="HL58" s="242"/>
      <c r="HM58" s="242"/>
      <c r="HN58" s="242"/>
      <c r="HO58" s="243"/>
    </row>
    <row r="59" spans="1:223" ht="12.75" hidden="1" customHeight="1">
      <c r="A59" s="83">
        <f t="shared" si="10"/>
        <v>54</v>
      </c>
      <c r="B59" s="84"/>
      <c r="C59" s="84"/>
      <c r="D59" s="84"/>
      <c r="E59" s="84"/>
      <c r="F59" s="84" t="str">
        <f t="shared" si="3"/>
        <v>///</v>
      </c>
      <c r="G59" s="249">
        <f t="shared" si="11"/>
        <v>0</v>
      </c>
      <c r="H59" s="240">
        <f t="shared" si="4"/>
        <v>0</v>
      </c>
      <c r="I59" s="243"/>
      <c r="J59" s="243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242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242"/>
      <c r="BD59" s="242"/>
      <c r="BE59" s="242"/>
      <c r="BF59" s="242"/>
      <c r="BG59" s="242"/>
      <c r="BH59" s="242"/>
      <c r="BI59" s="242"/>
      <c r="BJ59" s="242"/>
      <c r="BK59" s="242"/>
      <c r="BL59" s="242"/>
      <c r="BM59" s="242"/>
      <c r="BN59" s="242"/>
      <c r="BO59" s="242"/>
      <c r="BP59" s="242"/>
      <c r="BQ59" s="242"/>
      <c r="BR59" s="242"/>
      <c r="BS59" s="242"/>
      <c r="BT59" s="242"/>
      <c r="BU59" s="242"/>
      <c r="BV59" s="242"/>
      <c r="BW59" s="242"/>
      <c r="BX59" s="242"/>
      <c r="BY59" s="242"/>
      <c r="BZ59" s="242"/>
      <c r="CA59" s="242"/>
      <c r="CB59" s="242"/>
      <c r="CC59" s="242"/>
      <c r="CD59" s="242"/>
      <c r="CE59" s="242"/>
      <c r="CF59" s="242"/>
      <c r="CG59" s="242"/>
      <c r="CH59" s="242"/>
      <c r="CI59" s="242"/>
      <c r="CJ59" s="242"/>
      <c r="CK59" s="242"/>
      <c r="CL59" s="242"/>
      <c r="CM59" s="242"/>
      <c r="CN59" s="242"/>
      <c r="CO59" s="242"/>
      <c r="CP59" s="242"/>
      <c r="CQ59" s="242"/>
      <c r="CR59" s="242"/>
      <c r="CS59" s="242"/>
      <c r="CT59" s="242"/>
      <c r="CU59" s="242"/>
      <c r="CV59" s="242"/>
      <c r="CW59" s="242"/>
      <c r="CX59" s="242"/>
      <c r="CY59" s="242"/>
      <c r="CZ59" s="242"/>
      <c r="DA59" s="242"/>
      <c r="DB59" s="242"/>
      <c r="DC59" s="242"/>
      <c r="DD59" s="242"/>
      <c r="DE59" s="242"/>
      <c r="DF59" s="242"/>
      <c r="DG59" s="242"/>
      <c r="DH59" s="242"/>
      <c r="DI59" s="242"/>
      <c r="DJ59" s="242"/>
      <c r="DK59" s="242"/>
      <c r="DL59" s="242"/>
      <c r="DM59" s="242"/>
      <c r="DN59" s="242"/>
      <c r="DO59" s="242"/>
      <c r="DP59" s="242"/>
      <c r="DQ59" s="242"/>
      <c r="DR59" s="242"/>
      <c r="DS59" s="242"/>
      <c r="DT59" s="242"/>
      <c r="DU59" s="242"/>
      <c r="DV59" s="242"/>
      <c r="DW59" s="242"/>
      <c r="DX59" s="242"/>
      <c r="DY59" s="242"/>
      <c r="DZ59" s="242"/>
      <c r="EA59" s="242"/>
      <c r="EB59" s="242"/>
      <c r="EC59" s="242"/>
      <c r="ED59" s="242"/>
      <c r="EE59" s="242"/>
      <c r="EF59" s="242"/>
      <c r="EG59" s="242"/>
      <c r="EH59" s="242"/>
      <c r="EI59" s="242"/>
      <c r="EJ59" s="242"/>
      <c r="EK59" s="242"/>
      <c r="EL59" s="242"/>
      <c r="EM59" s="242"/>
      <c r="EN59" s="242"/>
      <c r="EO59" s="242"/>
      <c r="EP59" s="242"/>
      <c r="EQ59" s="242"/>
      <c r="ER59" s="242"/>
      <c r="ES59" s="242"/>
      <c r="ET59" s="242"/>
      <c r="EU59" s="242"/>
      <c r="EV59" s="242"/>
      <c r="EW59" s="242"/>
      <c r="EX59" s="242"/>
      <c r="EY59" s="242"/>
      <c r="EZ59" s="242"/>
      <c r="FA59" s="242"/>
      <c r="FB59" s="242"/>
      <c r="FC59" s="242"/>
      <c r="FD59" s="242"/>
      <c r="FE59" s="242"/>
      <c r="FF59" s="242"/>
      <c r="FG59" s="242"/>
      <c r="FH59" s="242"/>
      <c r="FI59" s="242"/>
      <c r="FJ59" s="242"/>
      <c r="FK59" s="242"/>
      <c r="FL59" s="242"/>
      <c r="FM59" s="242"/>
      <c r="FN59" s="242"/>
      <c r="FO59" s="242"/>
      <c r="FP59" s="242"/>
      <c r="FQ59" s="242"/>
      <c r="FR59" s="242"/>
      <c r="FS59" s="242"/>
      <c r="FT59" s="242"/>
      <c r="FU59" s="242"/>
      <c r="FV59" s="242"/>
      <c r="FW59" s="242"/>
      <c r="FX59" s="242"/>
      <c r="FY59" s="242"/>
      <c r="FZ59" s="242"/>
      <c r="GA59" s="242"/>
      <c r="GB59" s="242"/>
      <c r="GC59" s="242"/>
      <c r="GD59" s="242"/>
      <c r="GE59" s="242"/>
      <c r="GF59" s="242"/>
      <c r="GG59" s="242"/>
      <c r="GH59" s="242"/>
      <c r="GI59" s="242"/>
      <c r="GJ59" s="242"/>
      <c r="GK59" s="242"/>
      <c r="GL59" s="242"/>
      <c r="GM59" s="242"/>
      <c r="GN59" s="242"/>
      <c r="GO59" s="242"/>
      <c r="GP59" s="242"/>
      <c r="GQ59" s="242"/>
      <c r="GR59" s="242"/>
      <c r="GS59" s="242"/>
      <c r="GT59" s="242"/>
      <c r="GU59" s="242"/>
      <c r="GV59" s="242"/>
      <c r="GW59" s="242"/>
      <c r="GX59" s="242"/>
      <c r="GY59" s="242"/>
      <c r="GZ59" s="242"/>
      <c r="HA59" s="242"/>
      <c r="HB59" s="242"/>
      <c r="HC59" s="242"/>
      <c r="HD59" s="242"/>
      <c r="HE59" s="242"/>
      <c r="HF59" s="242"/>
      <c r="HG59" s="242"/>
      <c r="HH59" s="242"/>
      <c r="HI59" s="242"/>
      <c r="HJ59" s="242"/>
      <c r="HK59" s="242"/>
      <c r="HL59" s="242"/>
      <c r="HM59" s="242"/>
      <c r="HN59" s="242"/>
      <c r="HO59" s="243"/>
    </row>
    <row r="60" spans="1:223" ht="12.75" hidden="1" customHeight="1">
      <c r="A60" s="83">
        <f t="shared" si="10"/>
        <v>55</v>
      </c>
      <c r="B60" s="84"/>
      <c r="C60" s="84"/>
      <c r="D60" s="84"/>
      <c r="E60" s="84"/>
      <c r="F60" s="84" t="str">
        <f t="shared" si="3"/>
        <v>///</v>
      </c>
      <c r="G60" s="249">
        <f t="shared" si="11"/>
        <v>0</v>
      </c>
      <c r="H60" s="240">
        <f t="shared" si="4"/>
        <v>0</v>
      </c>
      <c r="I60" s="243"/>
      <c r="J60" s="243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42"/>
      <c r="AO60" s="242"/>
      <c r="AP60" s="242"/>
      <c r="AQ60" s="242"/>
      <c r="AR60" s="242"/>
      <c r="AS60" s="242"/>
      <c r="AT60" s="242"/>
      <c r="AU60" s="242"/>
      <c r="AV60" s="242"/>
      <c r="AW60" s="242"/>
      <c r="AX60" s="242"/>
      <c r="AY60" s="242"/>
      <c r="AZ60" s="242"/>
      <c r="BA60" s="242"/>
      <c r="BB60" s="242"/>
      <c r="BC60" s="242"/>
      <c r="BD60" s="242"/>
      <c r="BE60" s="242"/>
      <c r="BF60" s="242"/>
      <c r="BG60" s="242"/>
      <c r="BH60" s="242"/>
      <c r="BI60" s="242"/>
      <c r="BJ60" s="242"/>
      <c r="BK60" s="242"/>
      <c r="BL60" s="242"/>
      <c r="BM60" s="242"/>
      <c r="BN60" s="242"/>
      <c r="BO60" s="242"/>
      <c r="BP60" s="242"/>
      <c r="BQ60" s="242"/>
      <c r="BR60" s="242"/>
      <c r="BS60" s="242"/>
      <c r="BT60" s="242"/>
      <c r="BU60" s="242"/>
      <c r="BV60" s="242"/>
      <c r="BW60" s="242"/>
      <c r="BX60" s="242"/>
      <c r="BY60" s="242"/>
      <c r="BZ60" s="242"/>
      <c r="CA60" s="242"/>
      <c r="CB60" s="242"/>
      <c r="CC60" s="242"/>
      <c r="CD60" s="242"/>
      <c r="CE60" s="242"/>
      <c r="CF60" s="242"/>
      <c r="CG60" s="242"/>
      <c r="CH60" s="242"/>
      <c r="CI60" s="242"/>
      <c r="CJ60" s="242"/>
      <c r="CK60" s="242"/>
      <c r="CL60" s="242"/>
      <c r="CM60" s="242"/>
      <c r="CN60" s="242"/>
      <c r="CO60" s="242"/>
      <c r="CP60" s="242"/>
      <c r="CQ60" s="242"/>
      <c r="CR60" s="242"/>
      <c r="CS60" s="242"/>
      <c r="CT60" s="242"/>
      <c r="CU60" s="242"/>
      <c r="CV60" s="242"/>
      <c r="CW60" s="242"/>
      <c r="CX60" s="242"/>
      <c r="CY60" s="242"/>
      <c r="CZ60" s="242"/>
      <c r="DA60" s="242"/>
      <c r="DB60" s="242"/>
      <c r="DC60" s="242"/>
      <c r="DD60" s="242"/>
      <c r="DE60" s="242"/>
      <c r="DF60" s="242"/>
      <c r="DG60" s="242"/>
      <c r="DH60" s="242"/>
      <c r="DI60" s="242"/>
      <c r="DJ60" s="242"/>
      <c r="DK60" s="242"/>
      <c r="DL60" s="242"/>
      <c r="DM60" s="242"/>
      <c r="DN60" s="242"/>
      <c r="DO60" s="242"/>
      <c r="DP60" s="242"/>
      <c r="DQ60" s="242"/>
      <c r="DR60" s="242"/>
      <c r="DS60" s="242"/>
      <c r="DT60" s="242"/>
      <c r="DU60" s="242"/>
      <c r="DV60" s="242"/>
      <c r="DW60" s="242"/>
      <c r="DX60" s="242"/>
      <c r="DY60" s="242"/>
      <c r="DZ60" s="242"/>
      <c r="EA60" s="242"/>
      <c r="EB60" s="242"/>
      <c r="EC60" s="242"/>
      <c r="ED60" s="242"/>
      <c r="EE60" s="242"/>
      <c r="EF60" s="242"/>
      <c r="EG60" s="242"/>
      <c r="EH60" s="242"/>
      <c r="EI60" s="242"/>
      <c r="EJ60" s="242"/>
      <c r="EK60" s="242"/>
      <c r="EL60" s="242"/>
      <c r="EM60" s="242"/>
      <c r="EN60" s="242"/>
      <c r="EO60" s="242"/>
      <c r="EP60" s="242"/>
      <c r="EQ60" s="242"/>
      <c r="ER60" s="242"/>
      <c r="ES60" s="242"/>
      <c r="ET60" s="242"/>
      <c r="EU60" s="242"/>
      <c r="EV60" s="242"/>
      <c r="EW60" s="242"/>
      <c r="EX60" s="242"/>
      <c r="EY60" s="242"/>
      <c r="EZ60" s="242"/>
      <c r="FA60" s="242"/>
      <c r="FB60" s="242"/>
      <c r="FC60" s="242"/>
      <c r="FD60" s="242"/>
      <c r="FE60" s="242"/>
      <c r="FF60" s="242"/>
      <c r="FG60" s="242"/>
      <c r="FH60" s="242"/>
      <c r="FI60" s="242"/>
      <c r="FJ60" s="242"/>
      <c r="FK60" s="242"/>
      <c r="FL60" s="242"/>
      <c r="FM60" s="242"/>
      <c r="FN60" s="242"/>
      <c r="FO60" s="242"/>
      <c r="FP60" s="242"/>
      <c r="FQ60" s="242"/>
      <c r="FR60" s="242"/>
      <c r="FS60" s="242"/>
      <c r="FT60" s="242"/>
      <c r="FU60" s="242"/>
      <c r="FV60" s="242"/>
      <c r="FW60" s="242"/>
      <c r="FX60" s="242"/>
      <c r="FY60" s="242"/>
      <c r="FZ60" s="242"/>
      <c r="GA60" s="242"/>
      <c r="GB60" s="242"/>
      <c r="GC60" s="242"/>
      <c r="GD60" s="242"/>
      <c r="GE60" s="242"/>
      <c r="GF60" s="242"/>
      <c r="GG60" s="242"/>
      <c r="GH60" s="242"/>
      <c r="GI60" s="242"/>
      <c r="GJ60" s="242"/>
      <c r="GK60" s="242"/>
      <c r="GL60" s="242"/>
      <c r="GM60" s="242"/>
      <c r="GN60" s="242"/>
      <c r="GO60" s="242"/>
      <c r="GP60" s="242"/>
      <c r="GQ60" s="242"/>
      <c r="GR60" s="242"/>
      <c r="GS60" s="242"/>
      <c r="GT60" s="242"/>
      <c r="GU60" s="242"/>
      <c r="GV60" s="242"/>
      <c r="GW60" s="242"/>
      <c r="GX60" s="242"/>
      <c r="GY60" s="242"/>
      <c r="GZ60" s="242"/>
      <c r="HA60" s="242"/>
      <c r="HB60" s="242"/>
      <c r="HC60" s="242"/>
      <c r="HD60" s="242"/>
      <c r="HE60" s="242"/>
      <c r="HF60" s="242"/>
      <c r="HG60" s="242"/>
      <c r="HH60" s="242"/>
      <c r="HI60" s="242"/>
      <c r="HJ60" s="242"/>
      <c r="HK60" s="242"/>
      <c r="HL60" s="242"/>
      <c r="HM60" s="242"/>
      <c r="HN60" s="242"/>
      <c r="HO60" s="243"/>
    </row>
    <row r="61" spans="1:223" ht="12.75" hidden="1" customHeight="1" thickBot="1">
      <c r="A61" s="83">
        <f t="shared" si="10"/>
        <v>56</v>
      </c>
      <c r="B61" s="84"/>
      <c r="C61" s="84"/>
      <c r="D61" s="84"/>
      <c r="E61" s="84"/>
      <c r="F61" s="84" t="str">
        <f t="shared" si="3"/>
        <v>///</v>
      </c>
      <c r="G61" s="249">
        <f t="shared" si="11"/>
        <v>0</v>
      </c>
      <c r="H61" s="240">
        <f t="shared" si="4"/>
        <v>0</v>
      </c>
      <c r="I61" s="243"/>
      <c r="J61" s="243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242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242"/>
      <c r="BD61" s="242"/>
      <c r="BE61" s="242"/>
      <c r="BF61" s="242"/>
      <c r="BG61" s="242"/>
      <c r="BH61" s="242"/>
      <c r="BI61" s="242"/>
      <c r="BJ61" s="242"/>
      <c r="BK61" s="242"/>
      <c r="BL61" s="242"/>
      <c r="BM61" s="242"/>
      <c r="BN61" s="242"/>
      <c r="BO61" s="242"/>
      <c r="BP61" s="242"/>
      <c r="BQ61" s="242"/>
      <c r="BR61" s="242"/>
      <c r="BS61" s="242"/>
      <c r="BT61" s="242"/>
      <c r="BU61" s="242"/>
      <c r="BV61" s="242"/>
      <c r="BW61" s="242"/>
      <c r="BX61" s="242"/>
      <c r="BY61" s="242"/>
      <c r="BZ61" s="242"/>
      <c r="CA61" s="242"/>
      <c r="CB61" s="242"/>
      <c r="CC61" s="242"/>
      <c r="CD61" s="242"/>
      <c r="CE61" s="242"/>
      <c r="CF61" s="242"/>
      <c r="CG61" s="242"/>
      <c r="CH61" s="242"/>
      <c r="CI61" s="242"/>
      <c r="CJ61" s="242"/>
      <c r="CK61" s="242"/>
      <c r="CL61" s="242"/>
      <c r="CM61" s="242"/>
      <c r="CN61" s="242"/>
      <c r="CO61" s="242"/>
      <c r="CP61" s="242"/>
      <c r="CQ61" s="242"/>
      <c r="CR61" s="242"/>
      <c r="CS61" s="242"/>
      <c r="CT61" s="242"/>
      <c r="CU61" s="242"/>
      <c r="CV61" s="242"/>
      <c r="CW61" s="242"/>
      <c r="CX61" s="242"/>
      <c r="CY61" s="242"/>
      <c r="CZ61" s="242"/>
      <c r="DA61" s="242"/>
      <c r="DB61" s="242"/>
      <c r="DC61" s="242"/>
      <c r="DD61" s="242"/>
      <c r="DE61" s="242"/>
      <c r="DF61" s="242"/>
      <c r="DG61" s="242"/>
      <c r="DH61" s="242"/>
      <c r="DI61" s="242"/>
      <c r="DJ61" s="242"/>
      <c r="DK61" s="242"/>
      <c r="DL61" s="242"/>
      <c r="DM61" s="242"/>
      <c r="DN61" s="242"/>
      <c r="DO61" s="242"/>
      <c r="DP61" s="242"/>
      <c r="DQ61" s="242"/>
      <c r="DR61" s="242"/>
      <c r="DS61" s="242"/>
      <c r="DT61" s="242"/>
      <c r="DU61" s="242"/>
      <c r="DV61" s="242"/>
      <c r="DW61" s="242"/>
      <c r="DX61" s="242"/>
      <c r="DY61" s="242"/>
      <c r="DZ61" s="242"/>
      <c r="EA61" s="242"/>
      <c r="EB61" s="242"/>
      <c r="EC61" s="242"/>
      <c r="ED61" s="242"/>
      <c r="EE61" s="242"/>
      <c r="EF61" s="242"/>
      <c r="EG61" s="242"/>
      <c r="EH61" s="242"/>
      <c r="EI61" s="242"/>
      <c r="EJ61" s="242"/>
      <c r="EK61" s="242"/>
      <c r="EL61" s="242"/>
      <c r="EM61" s="242"/>
      <c r="EN61" s="242"/>
      <c r="EO61" s="242"/>
      <c r="EP61" s="242"/>
      <c r="EQ61" s="242"/>
      <c r="ER61" s="242"/>
      <c r="ES61" s="242"/>
      <c r="ET61" s="242"/>
      <c r="EU61" s="242"/>
      <c r="EV61" s="242"/>
      <c r="EW61" s="242"/>
      <c r="EX61" s="242"/>
      <c r="EY61" s="242"/>
      <c r="EZ61" s="242"/>
      <c r="FA61" s="242"/>
      <c r="FB61" s="242"/>
      <c r="FC61" s="242"/>
      <c r="FD61" s="242"/>
      <c r="FE61" s="242"/>
      <c r="FF61" s="242"/>
      <c r="FG61" s="242"/>
      <c r="FH61" s="242"/>
      <c r="FI61" s="242"/>
      <c r="FJ61" s="242"/>
      <c r="FK61" s="242"/>
      <c r="FL61" s="242"/>
      <c r="FM61" s="242"/>
      <c r="FN61" s="242"/>
      <c r="FO61" s="242"/>
      <c r="FP61" s="242"/>
      <c r="FQ61" s="242"/>
      <c r="FR61" s="242"/>
      <c r="FS61" s="242"/>
      <c r="FT61" s="242"/>
      <c r="FU61" s="242"/>
      <c r="FV61" s="242"/>
      <c r="FW61" s="242"/>
      <c r="FX61" s="242"/>
      <c r="FY61" s="242"/>
      <c r="FZ61" s="242"/>
      <c r="GA61" s="242"/>
      <c r="GB61" s="242"/>
      <c r="GC61" s="242"/>
      <c r="GD61" s="242"/>
      <c r="GE61" s="242"/>
      <c r="GF61" s="242"/>
      <c r="GG61" s="242"/>
      <c r="GH61" s="242"/>
      <c r="GI61" s="242"/>
      <c r="GJ61" s="242"/>
      <c r="GK61" s="242"/>
      <c r="GL61" s="242"/>
      <c r="GM61" s="242"/>
      <c r="GN61" s="242"/>
      <c r="GO61" s="242"/>
      <c r="GP61" s="242"/>
      <c r="GQ61" s="242"/>
      <c r="GR61" s="242"/>
      <c r="GS61" s="242"/>
      <c r="GT61" s="242"/>
      <c r="GU61" s="242"/>
      <c r="GV61" s="242"/>
      <c r="GW61" s="242"/>
      <c r="GX61" s="242"/>
      <c r="GY61" s="242"/>
      <c r="GZ61" s="242"/>
      <c r="HA61" s="242"/>
      <c r="HB61" s="242"/>
      <c r="HC61" s="242"/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/>
      <c r="HO61" s="243"/>
    </row>
    <row r="62" spans="1:223" ht="12.75" hidden="1" customHeight="1">
      <c r="A62" s="83">
        <f t="shared" si="10"/>
        <v>57</v>
      </c>
      <c r="B62" s="84"/>
      <c r="C62" s="84"/>
      <c r="D62" s="84"/>
      <c r="E62" s="84"/>
      <c r="F62" s="84" t="str">
        <f t="shared" si="3"/>
        <v>///</v>
      </c>
      <c r="G62" s="249">
        <f t="shared" si="11"/>
        <v>0</v>
      </c>
      <c r="H62" s="240">
        <f t="shared" si="4"/>
        <v>0</v>
      </c>
      <c r="I62" s="243"/>
      <c r="J62" s="243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242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  <c r="AM62" s="242"/>
      <c r="AN62" s="242"/>
      <c r="AO62" s="242"/>
      <c r="AP62" s="242"/>
      <c r="AQ62" s="242"/>
      <c r="AR62" s="242"/>
      <c r="AS62" s="242"/>
      <c r="AT62" s="242"/>
      <c r="AU62" s="242"/>
      <c r="AV62" s="242"/>
      <c r="AW62" s="242"/>
      <c r="AX62" s="242"/>
      <c r="AY62" s="242"/>
      <c r="AZ62" s="242"/>
      <c r="BA62" s="242"/>
      <c r="BB62" s="242"/>
      <c r="BC62" s="242"/>
      <c r="BD62" s="242"/>
      <c r="BE62" s="242"/>
      <c r="BF62" s="242"/>
      <c r="BG62" s="242"/>
      <c r="BH62" s="242"/>
      <c r="BI62" s="242"/>
      <c r="BJ62" s="242"/>
      <c r="BK62" s="242"/>
      <c r="BL62" s="242"/>
      <c r="BM62" s="242"/>
      <c r="BN62" s="242"/>
      <c r="BO62" s="242"/>
      <c r="BP62" s="242"/>
      <c r="BQ62" s="242"/>
      <c r="BR62" s="242"/>
      <c r="BS62" s="242"/>
      <c r="BT62" s="242"/>
      <c r="BU62" s="242"/>
      <c r="BV62" s="242"/>
      <c r="BW62" s="242"/>
      <c r="BX62" s="242"/>
      <c r="BY62" s="242"/>
      <c r="BZ62" s="242"/>
      <c r="CA62" s="242"/>
      <c r="CB62" s="242"/>
      <c r="CC62" s="242"/>
      <c r="CD62" s="242"/>
      <c r="CE62" s="242"/>
      <c r="CF62" s="242"/>
      <c r="CG62" s="242"/>
      <c r="CH62" s="242"/>
      <c r="CI62" s="242"/>
      <c r="CJ62" s="242"/>
      <c r="CK62" s="242"/>
      <c r="CL62" s="242"/>
      <c r="CM62" s="242"/>
      <c r="CN62" s="242"/>
      <c r="CO62" s="242"/>
      <c r="CP62" s="242"/>
      <c r="CQ62" s="242"/>
      <c r="CR62" s="242"/>
      <c r="CS62" s="242"/>
      <c r="CT62" s="242"/>
      <c r="CU62" s="242"/>
      <c r="CV62" s="242"/>
      <c r="CW62" s="242"/>
      <c r="CX62" s="242"/>
      <c r="CY62" s="242"/>
      <c r="CZ62" s="242"/>
      <c r="DA62" s="242"/>
      <c r="DB62" s="242"/>
      <c r="DC62" s="242"/>
      <c r="DD62" s="242"/>
      <c r="DE62" s="242"/>
      <c r="DF62" s="242"/>
      <c r="DG62" s="242"/>
      <c r="DH62" s="242"/>
      <c r="DI62" s="242"/>
      <c r="DJ62" s="242"/>
      <c r="DK62" s="242"/>
      <c r="DL62" s="242"/>
      <c r="DM62" s="242"/>
      <c r="DN62" s="242"/>
      <c r="DO62" s="242"/>
      <c r="DP62" s="242"/>
      <c r="DQ62" s="242"/>
      <c r="DR62" s="242"/>
      <c r="DS62" s="242"/>
      <c r="DT62" s="242"/>
      <c r="DU62" s="242"/>
      <c r="DV62" s="242"/>
      <c r="DW62" s="242"/>
      <c r="DX62" s="242"/>
      <c r="DY62" s="242"/>
      <c r="DZ62" s="242"/>
      <c r="EA62" s="242"/>
      <c r="EB62" s="242"/>
      <c r="EC62" s="242"/>
      <c r="ED62" s="242"/>
      <c r="EE62" s="242"/>
      <c r="EF62" s="242"/>
      <c r="EG62" s="242"/>
      <c r="EH62" s="242"/>
      <c r="EI62" s="242"/>
      <c r="EJ62" s="242"/>
      <c r="EK62" s="242"/>
      <c r="EL62" s="242"/>
      <c r="EM62" s="242"/>
      <c r="EN62" s="242"/>
      <c r="EO62" s="242"/>
      <c r="EP62" s="242"/>
      <c r="EQ62" s="242"/>
      <c r="ER62" s="242"/>
      <c r="ES62" s="242"/>
      <c r="ET62" s="242"/>
      <c r="EU62" s="242"/>
      <c r="EV62" s="242"/>
      <c r="EW62" s="242"/>
      <c r="EX62" s="242"/>
      <c r="EY62" s="242"/>
      <c r="EZ62" s="242"/>
      <c r="FA62" s="242"/>
      <c r="FB62" s="242"/>
      <c r="FC62" s="242"/>
      <c r="FD62" s="242"/>
      <c r="FE62" s="242"/>
      <c r="FF62" s="242"/>
      <c r="FG62" s="242"/>
      <c r="FH62" s="242"/>
      <c r="FI62" s="242"/>
      <c r="FJ62" s="242"/>
      <c r="FK62" s="242"/>
      <c r="FL62" s="242"/>
      <c r="FM62" s="242"/>
      <c r="FN62" s="242"/>
      <c r="FO62" s="242"/>
      <c r="FP62" s="242"/>
      <c r="FQ62" s="242"/>
      <c r="FR62" s="242"/>
      <c r="FS62" s="242"/>
      <c r="FT62" s="242"/>
      <c r="FU62" s="242"/>
      <c r="FV62" s="242"/>
      <c r="FW62" s="242"/>
      <c r="FX62" s="242"/>
      <c r="FY62" s="242"/>
      <c r="FZ62" s="242"/>
      <c r="GA62" s="242"/>
      <c r="GB62" s="242"/>
      <c r="GC62" s="242"/>
      <c r="GD62" s="242"/>
      <c r="GE62" s="242"/>
      <c r="GF62" s="242"/>
      <c r="GG62" s="242"/>
      <c r="GH62" s="242"/>
      <c r="GI62" s="242"/>
      <c r="GJ62" s="242"/>
      <c r="GK62" s="242"/>
      <c r="GL62" s="242"/>
      <c r="GM62" s="242"/>
      <c r="GN62" s="242"/>
      <c r="GO62" s="242"/>
      <c r="GP62" s="242"/>
      <c r="GQ62" s="242"/>
      <c r="GR62" s="242"/>
      <c r="GS62" s="242"/>
      <c r="GT62" s="242"/>
      <c r="GU62" s="242"/>
      <c r="GV62" s="242"/>
      <c r="GW62" s="242"/>
      <c r="GX62" s="242"/>
      <c r="GY62" s="242"/>
      <c r="GZ62" s="242"/>
      <c r="HA62" s="242"/>
      <c r="HB62" s="242"/>
      <c r="HC62" s="242"/>
      <c r="HD62" s="242"/>
      <c r="HE62" s="242"/>
      <c r="HF62" s="242"/>
      <c r="HG62" s="242"/>
      <c r="HH62" s="242"/>
      <c r="HI62" s="242"/>
      <c r="HJ62" s="242"/>
      <c r="HK62" s="242"/>
      <c r="HL62" s="242"/>
      <c r="HM62" s="242"/>
      <c r="HN62" s="242"/>
      <c r="HO62" s="243"/>
    </row>
    <row r="63" spans="1:223" ht="12.75" hidden="1" customHeight="1">
      <c r="A63" s="83">
        <f t="shared" si="10"/>
        <v>58</v>
      </c>
      <c r="B63" s="84"/>
      <c r="C63" s="84"/>
      <c r="D63" s="84"/>
      <c r="E63" s="84"/>
      <c r="F63" s="84" t="str">
        <f t="shared" si="3"/>
        <v>///</v>
      </c>
      <c r="G63" s="249">
        <f t="shared" si="11"/>
        <v>0</v>
      </c>
      <c r="H63" s="240">
        <f t="shared" si="4"/>
        <v>0</v>
      </c>
      <c r="I63" s="243"/>
      <c r="J63" s="243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42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242"/>
      <c r="BD63" s="242"/>
      <c r="BE63" s="242"/>
      <c r="BF63" s="242"/>
      <c r="BG63" s="242"/>
      <c r="BH63" s="242"/>
      <c r="BI63" s="242"/>
      <c r="BJ63" s="242"/>
      <c r="BK63" s="242"/>
      <c r="BL63" s="242"/>
      <c r="BM63" s="242"/>
      <c r="BN63" s="242"/>
      <c r="BO63" s="242"/>
      <c r="BP63" s="242"/>
      <c r="BQ63" s="242"/>
      <c r="BR63" s="242"/>
      <c r="BS63" s="242"/>
      <c r="BT63" s="242"/>
      <c r="BU63" s="242"/>
      <c r="BV63" s="242"/>
      <c r="BW63" s="242"/>
      <c r="BX63" s="242"/>
      <c r="BY63" s="242"/>
      <c r="BZ63" s="242"/>
      <c r="CA63" s="242"/>
      <c r="CB63" s="242"/>
      <c r="CC63" s="242"/>
      <c r="CD63" s="242"/>
      <c r="CE63" s="242"/>
      <c r="CF63" s="242"/>
      <c r="CG63" s="242"/>
      <c r="CH63" s="242"/>
      <c r="CI63" s="242"/>
      <c r="CJ63" s="242"/>
      <c r="CK63" s="242"/>
      <c r="CL63" s="242"/>
      <c r="CM63" s="242"/>
      <c r="CN63" s="242"/>
      <c r="CO63" s="242"/>
      <c r="CP63" s="242"/>
      <c r="CQ63" s="242"/>
      <c r="CR63" s="242"/>
      <c r="CS63" s="242"/>
      <c r="CT63" s="242"/>
      <c r="CU63" s="242"/>
      <c r="CV63" s="242"/>
      <c r="CW63" s="242"/>
      <c r="CX63" s="242"/>
      <c r="CY63" s="242"/>
      <c r="CZ63" s="242"/>
      <c r="DA63" s="242"/>
      <c r="DB63" s="242"/>
      <c r="DC63" s="242"/>
      <c r="DD63" s="242"/>
      <c r="DE63" s="242"/>
      <c r="DF63" s="242"/>
      <c r="DG63" s="242"/>
      <c r="DH63" s="242"/>
      <c r="DI63" s="242"/>
      <c r="DJ63" s="242"/>
      <c r="DK63" s="242"/>
      <c r="DL63" s="242"/>
      <c r="DM63" s="242"/>
      <c r="DN63" s="242"/>
      <c r="DO63" s="242"/>
      <c r="DP63" s="242"/>
      <c r="DQ63" s="242"/>
      <c r="DR63" s="242"/>
      <c r="DS63" s="242"/>
      <c r="DT63" s="242"/>
      <c r="DU63" s="242"/>
      <c r="DV63" s="242"/>
      <c r="DW63" s="242"/>
      <c r="DX63" s="242"/>
      <c r="DY63" s="242"/>
      <c r="DZ63" s="242"/>
      <c r="EA63" s="242"/>
      <c r="EB63" s="242"/>
      <c r="EC63" s="242"/>
      <c r="ED63" s="242"/>
      <c r="EE63" s="242"/>
      <c r="EF63" s="242"/>
      <c r="EG63" s="242"/>
      <c r="EH63" s="242"/>
      <c r="EI63" s="242"/>
      <c r="EJ63" s="242"/>
      <c r="EK63" s="242"/>
      <c r="EL63" s="242"/>
      <c r="EM63" s="242"/>
      <c r="EN63" s="242"/>
      <c r="EO63" s="242"/>
      <c r="EP63" s="242"/>
      <c r="EQ63" s="242"/>
      <c r="ER63" s="242"/>
      <c r="ES63" s="242"/>
      <c r="ET63" s="242"/>
      <c r="EU63" s="242"/>
      <c r="EV63" s="242"/>
      <c r="EW63" s="242"/>
      <c r="EX63" s="242"/>
      <c r="EY63" s="242"/>
      <c r="EZ63" s="242"/>
      <c r="FA63" s="242"/>
      <c r="FB63" s="242"/>
      <c r="FC63" s="242"/>
      <c r="FD63" s="242"/>
      <c r="FE63" s="242"/>
      <c r="FF63" s="242"/>
      <c r="FG63" s="242"/>
      <c r="FH63" s="242"/>
      <c r="FI63" s="242"/>
      <c r="FJ63" s="242"/>
      <c r="FK63" s="242"/>
      <c r="FL63" s="242"/>
      <c r="FM63" s="242"/>
      <c r="FN63" s="242"/>
      <c r="FO63" s="242"/>
      <c r="FP63" s="242"/>
      <c r="FQ63" s="242"/>
      <c r="FR63" s="242"/>
      <c r="FS63" s="242"/>
      <c r="FT63" s="242"/>
      <c r="FU63" s="242"/>
      <c r="FV63" s="242"/>
      <c r="FW63" s="242"/>
      <c r="FX63" s="242"/>
      <c r="FY63" s="242"/>
      <c r="FZ63" s="242"/>
      <c r="GA63" s="242"/>
      <c r="GB63" s="242"/>
      <c r="GC63" s="242"/>
      <c r="GD63" s="242"/>
      <c r="GE63" s="242"/>
      <c r="GF63" s="242"/>
      <c r="GG63" s="242"/>
      <c r="GH63" s="242"/>
      <c r="GI63" s="242"/>
      <c r="GJ63" s="242"/>
      <c r="GK63" s="242"/>
      <c r="GL63" s="242"/>
      <c r="GM63" s="242"/>
      <c r="GN63" s="242"/>
      <c r="GO63" s="242"/>
      <c r="GP63" s="242"/>
      <c r="GQ63" s="242"/>
      <c r="GR63" s="242"/>
      <c r="GS63" s="242"/>
      <c r="GT63" s="242"/>
      <c r="GU63" s="242"/>
      <c r="GV63" s="242"/>
      <c r="GW63" s="242"/>
      <c r="GX63" s="242"/>
      <c r="GY63" s="242"/>
      <c r="GZ63" s="242"/>
      <c r="HA63" s="242"/>
      <c r="HB63" s="242"/>
      <c r="HC63" s="242"/>
      <c r="HD63" s="242"/>
      <c r="HE63" s="242"/>
      <c r="HF63" s="242"/>
      <c r="HG63" s="242"/>
      <c r="HH63" s="242"/>
      <c r="HI63" s="242"/>
      <c r="HJ63" s="242"/>
      <c r="HK63" s="242"/>
      <c r="HL63" s="242"/>
      <c r="HM63" s="242"/>
      <c r="HN63" s="242"/>
      <c r="HO63" s="243"/>
    </row>
    <row r="64" spans="1:223" ht="12.75" hidden="1" customHeight="1">
      <c r="A64" s="83">
        <f t="shared" si="10"/>
        <v>59</v>
      </c>
      <c r="B64" s="84"/>
      <c r="C64" s="84"/>
      <c r="D64" s="84"/>
      <c r="E64" s="84"/>
      <c r="F64" s="84" t="str">
        <f t="shared" si="3"/>
        <v>///</v>
      </c>
      <c r="G64" s="249">
        <f t="shared" si="11"/>
        <v>0</v>
      </c>
      <c r="H64" s="240">
        <f t="shared" si="4"/>
        <v>0</v>
      </c>
      <c r="I64" s="243"/>
      <c r="J64" s="243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42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242"/>
      <c r="BD64" s="242"/>
      <c r="BE64" s="242"/>
      <c r="BF64" s="242"/>
      <c r="BG64" s="242"/>
      <c r="BH64" s="242"/>
      <c r="BI64" s="242"/>
      <c r="BJ64" s="242"/>
      <c r="BK64" s="242"/>
      <c r="BL64" s="242"/>
      <c r="BM64" s="242"/>
      <c r="BN64" s="242"/>
      <c r="BO64" s="242"/>
      <c r="BP64" s="242"/>
      <c r="BQ64" s="242"/>
      <c r="BR64" s="242"/>
      <c r="BS64" s="242"/>
      <c r="BT64" s="242"/>
      <c r="BU64" s="242"/>
      <c r="BV64" s="242"/>
      <c r="BW64" s="242"/>
      <c r="BX64" s="242"/>
      <c r="BY64" s="242"/>
      <c r="BZ64" s="242"/>
      <c r="CA64" s="242"/>
      <c r="CB64" s="242"/>
      <c r="CC64" s="242"/>
      <c r="CD64" s="242"/>
      <c r="CE64" s="242"/>
      <c r="CF64" s="242"/>
      <c r="CG64" s="242"/>
      <c r="CH64" s="242"/>
      <c r="CI64" s="242"/>
      <c r="CJ64" s="242"/>
      <c r="CK64" s="242"/>
      <c r="CL64" s="242"/>
      <c r="CM64" s="242"/>
      <c r="CN64" s="242"/>
      <c r="CO64" s="242"/>
      <c r="CP64" s="242"/>
      <c r="CQ64" s="242"/>
      <c r="CR64" s="242"/>
      <c r="CS64" s="242"/>
      <c r="CT64" s="242"/>
      <c r="CU64" s="242"/>
      <c r="CV64" s="242"/>
      <c r="CW64" s="242"/>
      <c r="CX64" s="242"/>
      <c r="CY64" s="242"/>
      <c r="CZ64" s="242"/>
      <c r="DA64" s="242"/>
      <c r="DB64" s="242"/>
      <c r="DC64" s="242"/>
      <c r="DD64" s="242"/>
      <c r="DE64" s="242"/>
      <c r="DF64" s="242"/>
      <c r="DG64" s="242"/>
      <c r="DH64" s="242"/>
      <c r="DI64" s="242"/>
      <c r="DJ64" s="242"/>
      <c r="DK64" s="242"/>
      <c r="DL64" s="242"/>
      <c r="DM64" s="242"/>
      <c r="DN64" s="242"/>
      <c r="DO64" s="242"/>
      <c r="DP64" s="242"/>
      <c r="DQ64" s="242"/>
      <c r="DR64" s="242"/>
      <c r="DS64" s="242"/>
      <c r="DT64" s="242"/>
      <c r="DU64" s="242"/>
      <c r="DV64" s="242"/>
      <c r="DW64" s="242"/>
      <c r="DX64" s="242"/>
      <c r="DY64" s="242"/>
      <c r="DZ64" s="242"/>
      <c r="EA64" s="242"/>
      <c r="EB64" s="242"/>
      <c r="EC64" s="242"/>
      <c r="ED64" s="242"/>
      <c r="EE64" s="242"/>
      <c r="EF64" s="242"/>
      <c r="EG64" s="242"/>
      <c r="EH64" s="242"/>
      <c r="EI64" s="242"/>
      <c r="EJ64" s="242"/>
      <c r="EK64" s="242"/>
      <c r="EL64" s="242"/>
      <c r="EM64" s="242"/>
      <c r="EN64" s="242"/>
      <c r="EO64" s="242"/>
      <c r="EP64" s="242"/>
      <c r="EQ64" s="242"/>
      <c r="ER64" s="242"/>
      <c r="ES64" s="242"/>
      <c r="ET64" s="242"/>
      <c r="EU64" s="242"/>
      <c r="EV64" s="242"/>
      <c r="EW64" s="242"/>
      <c r="EX64" s="242"/>
      <c r="EY64" s="242"/>
      <c r="EZ64" s="242"/>
      <c r="FA64" s="242"/>
      <c r="FB64" s="242"/>
      <c r="FC64" s="242"/>
      <c r="FD64" s="242"/>
      <c r="FE64" s="242"/>
      <c r="FF64" s="242"/>
      <c r="FG64" s="242"/>
      <c r="FH64" s="242"/>
      <c r="FI64" s="242"/>
      <c r="FJ64" s="242"/>
      <c r="FK64" s="242"/>
      <c r="FL64" s="242"/>
      <c r="FM64" s="242"/>
      <c r="FN64" s="242"/>
      <c r="FO64" s="242"/>
      <c r="FP64" s="242"/>
      <c r="FQ64" s="242"/>
      <c r="FR64" s="242"/>
      <c r="FS64" s="242"/>
      <c r="FT64" s="242"/>
      <c r="FU64" s="242"/>
      <c r="FV64" s="242"/>
      <c r="FW64" s="242"/>
      <c r="FX64" s="242"/>
      <c r="FY64" s="242"/>
      <c r="FZ64" s="242"/>
      <c r="GA64" s="242"/>
      <c r="GB64" s="242"/>
      <c r="GC64" s="242"/>
      <c r="GD64" s="242"/>
      <c r="GE64" s="242"/>
      <c r="GF64" s="242"/>
      <c r="GG64" s="242"/>
      <c r="GH64" s="242"/>
      <c r="GI64" s="242"/>
      <c r="GJ64" s="242"/>
      <c r="GK64" s="242"/>
      <c r="GL64" s="242"/>
      <c r="GM64" s="242"/>
      <c r="GN64" s="242"/>
      <c r="GO64" s="242"/>
      <c r="GP64" s="242"/>
      <c r="GQ64" s="242"/>
      <c r="GR64" s="242"/>
      <c r="GS64" s="242"/>
      <c r="GT64" s="242"/>
      <c r="GU64" s="242"/>
      <c r="GV64" s="242"/>
      <c r="GW64" s="242"/>
      <c r="GX64" s="242"/>
      <c r="GY64" s="242"/>
      <c r="GZ64" s="242"/>
      <c r="HA64" s="242"/>
      <c r="HB64" s="242"/>
      <c r="HC64" s="242"/>
      <c r="HD64" s="242"/>
      <c r="HE64" s="242"/>
      <c r="HF64" s="242"/>
      <c r="HG64" s="242"/>
      <c r="HH64" s="242"/>
      <c r="HI64" s="242"/>
      <c r="HJ64" s="242"/>
      <c r="HK64" s="242"/>
      <c r="HL64" s="242"/>
      <c r="HM64" s="242"/>
      <c r="HN64" s="242"/>
      <c r="HO64" s="243"/>
    </row>
    <row r="65" spans="1:223" ht="12.75" hidden="1" customHeight="1">
      <c r="A65" s="83">
        <f t="shared" si="10"/>
        <v>60</v>
      </c>
      <c r="B65" s="84"/>
      <c r="C65" s="84"/>
      <c r="D65" s="84"/>
      <c r="E65" s="84"/>
      <c r="F65" s="84" t="str">
        <f t="shared" si="3"/>
        <v>///</v>
      </c>
      <c r="G65" s="249">
        <f t="shared" si="11"/>
        <v>0</v>
      </c>
      <c r="H65" s="240">
        <f t="shared" si="4"/>
        <v>0</v>
      </c>
      <c r="I65" s="243"/>
      <c r="J65" s="243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42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  <c r="AM65" s="242"/>
      <c r="AN65" s="242"/>
      <c r="AO65" s="242"/>
      <c r="AP65" s="242"/>
      <c r="AQ65" s="242"/>
      <c r="AR65" s="242"/>
      <c r="AS65" s="242"/>
      <c r="AT65" s="242"/>
      <c r="AU65" s="242"/>
      <c r="AV65" s="242"/>
      <c r="AW65" s="242"/>
      <c r="AX65" s="242"/>
      <c r="AY65" s="242"/>
      <c r="AZ65" s="242"/>
      <c r="BA65" s="242"/>
      <c r="BB65" s="242"/>
      <c r="BC65" s="242"/>
      <c r="BD65" s="242"/>
      <c r="BE65" s="242"/>
      <c r="BF65" s="242"/>
      <c r="BG65" s="242"/>
      <c r="BH65" s="242"/>
      <c r="BI65" s="242"/>
      <c r="BJ65" s="242"/>
      <c r="BK65" s="242"/>
      <c r="BL65" s="242"/>
      <c r="BM65" s="242"/>
      <c r="BN65" s="242"/>
      <c r="BO65" s="242"/>
      <c r="BP65" s="242"/>
      <c r="BQ65" s="242"/>
      <c r="BR65" s="242"/>
      <c r="BS65" s="242"/>
      <c r="BT65" s="242"/>
      <c r="BU65" s="242"/>
      <c r="BV65" s="242"/>
      <c r="BW65" s="242"/>
      <c r="BX65" s="242"/>
      <c r="BY65" s="242"/>
      <c r="BZ65" s="242"/>
      <c r="CA65" s="242"/>
      <c r="CB65" s="242"/>
      <c r="CC65" s="242"/>
      <c r="CD65" s="242"/>
      <c r="CE65" s="242"/>
      <c r="CF65" s="242"/>
      <c r="CG65" s="242"/>
      <c r="CH65" s="242"/>
      <c r="CI65" s="242"/>
      <c r="CJ65" s="242"/>
      <c r="CK65" s="242"/>
      <c r="CL65" s="242"/>
      <c r="CM65" s="242"/>
      <c r="CN65" s="242"/>
      <c r="CO65" s="242"/>
      <c r="CP65" s="242"/>
      <c r="CQ65" s="242"/>
      <c r="CR65" s="242"/>
      <c r="CS65" s="242"/>
      <c r="CT65" s="242"/>
      <c r="CU65" s="242"/>
      <c r="CV65" s="242"/>
      <c r="CW65" s="242"/>
      <c r="CX65" s="242"/>
      <c r="CY65" s="242"/>
      <c r="CZ65" s="242"/>
      <c r="DA65" s="242"/>
      <c r="DB65" s="242"/>
      <c r="DC65" s="242"/>
      <c r="DD65" s="242"/>
      <c r="DE65" s="242"/>
      <c r="DF65" s="242"/>
      <c r="DG65" s="242"/>
      <c r="DH65" s="242"/>
      <c r="DI65" s="242"/>
      <c r="DJ65" s="242"/>
      <c r="DK65" s="242"/>
      <c r="DL65" s="242"/>
      <c r="DM65" s="242"/>
      <c r="DN65" s="242"/>
      <c r="DO65" s="242"/>
      <c r="DP65" s="242"/>
      <c r="DQ65" s="242"/>
      <c r="DR65" s="242"/>
      <c r="DS65" s="242"/>
      <c r="DT65" s="242"/>
      <c r="DU65" s="242"/>
      <c r="DV65" s="242"/>
      <c r="DW65" s="242"/>
      <c r="DX65" s="242"/>
      <c r="DY65" s="242"/>
      <c r="DZ65" s="242"/>
      <c r="EA65" s="242"/>
      <c r="EB65" s="242"/>
      <c r="EC65" s="242"/>
      <c r="ED65" s="242"/>
      <c r="EE65" s="242"/>
      <c r="EF65" s="242"/>
      <c r="EG65" s="242"/>
      <c r="EH65" s="242"/>
      <c r="EI65" s="242"/>
      <c r="EJ65" s="242"/>
      <c r="EK65" s="242"/>
      <c r="EL65" s="242"/>
      <c r="EM65" s="242"/>
      <c r="EN65" s="242"/>
      <c r="EO65" s="242"/>
      <c r="EP65" s="242"/>
      <c r="EQ65" s="242"/>
      <c r="ER65" s="242"/>
      <c r="ES65" s="242"/>
      <c r="ET65" s="242"/>
      <c r="EU65" s="242"/>
      <c r="EV65" s="242"/>
      <c r="EW65" s="242"/>
      <c r="EX65" s="242"/>
      <c r="EY65" s="242"/>
      <c r="EZ65" s="242"/>
      <c r="FA65" s="242"/>
      <c r="FB65" s="242"/>
      <c r="FC65" s="242"/>
      <c r="FD65" s="242"/>
      <c r="FE65" s="242"/>
      <c r="FF65" s="242"/>
      <c r="FG65" s="242"/>
      <c r="FH65" s="242"/>
      <c r="FI65" s="242"/>
      <c r="FJ65" s="242"/>
      <c r="FK65" s="242"/>
      <c r="FL65" s="242"/>
      <c r="FM65" s="242"/>
      <c r="FN65" s="242"/>
      <c r="FO65" s="242"/>
      <c r="FP65" s="242"/>
      <c r="FQ65" s="242"/>
      <c r="FR65" s="242"/>
      <c r="FS65" s="242"/>
      <c r="FT65" s="242"/>
      <c r="FU65" s="242"/>
      <c r="FV65" s="242"/>
      <c r="FW65" s="242"/>
      <c r="FX65" s="242"/>
      <c r="FY65" s="242"/>
      <c r="FZ65" s="242"/>
      <c r="GA65" s="242"/>
      <c r="GB65" s="242"/>
      <c r="GC65" s="242"/>
      <c r="GD65" s="242"/>
      <c r="GE65" s="242"/>
      <c r="GF65" s="242"/>
      <c r="GG65" s="242"/>
      <c r="GH65" s="242"/>
      <c r="GI65" s="242"/>
      <c r="GJ65" s="242"/>
      <c r="GK65" s="242"/>
      <c r="GL65" s="242"/>
      <c r="GM65" s="242"/>
      <c r="GN65" s="242"/>
      <c r="GO65" s="242"/>
      <c r="GP65" s="242"/>
      <c r="GQ65" s="242"/>
      <c r="GR65" s="242"/>
      <c r="GS65" s="242"/>
      <c r="GT65" s="242"/>
      <c r="GU65" s="242"/>
      <c r="GV65" s="242"/>
      <c r="GW65" s="242"/>
      <c r="GX65" s="242"/>
      <c r="GY65" s="242"/>
      <c r="GZ65" s="242"/>
      <c r="HA65" s="242"/>
      <c r="HB65" s="242"/>
      <c r="HC65" s="242"/>
      <c r="HD65" s="242"/>
      <c r="HE65" s="242"/>
      <c r="HF65" s="242"/>
      <c r="HG65" s="242"/>
      <c r="HH65" s="242"/>
      <c r="HI65" s="242"/>
      <c r="HJ65" s="242"/>
      <c r="HK65" s="242"/>
      <c r="HL65" s="242"/>
      <c r="HM65" s="242"/>
      <c r="HN65" s="242"/>
      <c r="HO65" s="243"/>
    </row>
    <row r="66" spans="1:223" ht="12.75" hidden="1" customHeight="1">
      <c r="A66" s="83">
        <f t="shared" si="10"/>
        <v>61</v>
      </c>
      <c r="B66" s="84"/>
      <c r="C66" s="84"/>
      <c r="D66" s="84"/>
      <c r="E66" s="84"/>
      <c r="F66" s="84" t="str">
        <f t="shared" si="3"/>
        <v>///</v>
      </c>
      <c r="G66" s="249">
        <f t="shared" si="11"/>
        <v>0</v>
      </c>
      <c r="H66" s="240">
        <f t="shared" si="4"/>
        <v>0</v>
      </c>
      <c r="I66" s="243"/>
      <c r="J66" s="243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42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  <c r="AM66" s="242"/>
      <c r="AN66" s="242"/>
      <c r="AO66" s="242"/>
      <c r="AP66" s="242"/>
      <c r="AQ66" s="242"/>
      <c r="AR66" s="242"/>
      <c r="AS66" s="242"/>
      <c r="AT66" s="242"/>
      <c r="AU66" s="242"/>
      <c r="AV66" s="242"/>
      <c r="AW66" s="242"/>
      <c r="AX66" s="242"/>
      <c r="AY66" s="242"/>
      <c r="AZ66" s="242"/>
      <c r="BA66" s="242"/>
      <c r="BB66" s="242"/>
      <c r="BC66" s="242"/>
      <c r="BD66" s="242"/>
      <c r="BE66" s="242"/>
      <c r="BF66" s="242"/>
      <c r="BG66" s="242"/>
      <c r="BH66" s="242"/>
      <c r="BI66" s="242"/>
      <c r="BJ66" s="242"/>
      <c r="BK66" s="242"/>
      <c r="BL66" s="242"/>
      <c r="BM66" s="242"/>
      <c r="BN66" s="242"/>
      <c r="BO66" s="242"/>
      <c r="BP66" s="242"/>
      <c r="BQ66" s="242"/>
      <c r="BR66" s="242"/>
      <c r="BS66" s="242"/>
      <c r="BT66" s="242"/>
      <c r="BU66" s="242"/>
      <c r="BV66" s="242"/>
      <c r="BW66" s="242"/>
      <c r="BX66" s="242"/>
      <c r="BY66" s="242"/>
      <c r="BZ66" s="242"/>
      <c r="CA66" s="242"/>
      <c r="CB66" s="242"/>
      <c r="CC66" s="242"/>
      <c r="CD66" s="242"/>
      <c r="CE66" s="242"/>
      <c r="CF66" s="242"/>
      <c r="CG66" s="242"/>
      <c r="CH66" s="242"/>
      <c r="CI66" s="242"/>
      <c r="CJ66" s="242"/>
      <c r="CK66" s="242"/>
      <c r="CL66" s="242"/>
      <c r="CM66" s="242"/>
      <c r="CN66" s="242"/>
      <c r="CO66" s="242"/>
      <c r="CP66" s="242"/>
      <c r="CQ66" s="242"/>
      <c r="CR66" s="242"/>
      <c r="CS66" s="242"/>
      <c r="CT66" s="242"/>
      <c r="CU66" s="242"/>
      <c r="CV66" s="242"/>
      <c r="CW66" s="242"/>
      <c r="CX66" s="242"/>
      <c r="CY66" s="242"/>
      <c r="CZ66" s="242"/>
      <c r="DA66" s="242"/>
      <c r="DB66" s="242"/>
      <c r="DC66" s="242"/>
      <c r="DD66" s="242"/>
      <c r="DE66" s="242"/>
      <c r="DF66" s="242"/>
      <c r="DG66" s="242"/>
      <c r="DH66" s="242"/>
      <c r="DI66" s="242"/>
      <c r="DJ66" s="242"/>
      <c r="DK66" s="242"/>
      <c r="DL66" s="242"/>
      <c r="DM66" s="242"/>
      <c r="DN66" s="242"/>
      <c r="DO66" s="242"/>
      <c r="DP66" s="242"/>
      <c r="DQ66" s="242"/>
      <c r="DR66" s="242"/>
      <c r="DS66" s="242"/>
      <c r="DT66" s="242"/>
      <c r="DU66" s="242"/>
      <c r="DV66" s="242"/>
      <c r="DW66" s="242"/>
      <c r="DX66" s="242"/>
      <c r="DY66" s="242"/>
      <c r="DZ66" s="242"/>
      <c r="EA66" s="242"/>
      <c r="EB66" s="242"/>
      <c r="EC66" s="242"/>
      <c r="ED66" s="242"/>
      <c r="EE66" s="242"/>
      <c r="EF66" s="242"/>
      <c r="EG66" s="242"/>
      <c r="EH66" s="242"/>
      <c r="EI66" s="242"/>
      <c r="EJ66" s="242"/>
      <c r="EK66" s="242"/>
      <c r="EL66" s="242"/>
      <c r="EM66" s="242"/>
      <c r="EN66" s="242"/>
      <c r="EO66" s="242"/>
      <c r="EP66" s="242"/>
      <c r="EQ66" s="242"/>
      <c r="ER66" s="242"/>
      <c r="ES66" s="242"/>
      <c r="ET66" s="242"/>
      <c r="EU66" s="242"/>
      <c r="EV66" s="242"/>
      <c r="EW66" s="242"/>
      <c r="EX66" s="242"/>
      <c r="EY66" s="242"/>
      <c r="EZ66" s="242"/>
      <c r="FA66" s="242"/>
      <c r="FB66" s="242"/>
      <c r="FC66" s="242"/>
      <c r="FD66" s="242"/>
      <c r="FE66" s="242"/>
      <c r="FF66" s="242"/>
      <c r="FG66" s="242"/>
      <c r="FH66" s="242"/>
      <c r="FI66" s="242"/>
      <c r="FJ66" s="242"/>
      <c r="FK66" s="242"/>
      <c r="FL66" s="242"/>
      <c r="FM66" s="242"/>
      <c r="FN66" s="242"/>
      <c r="FO66" s="242"/>
      <c r="FP66" s="242"/>
      <c r="FQ66" s="242"/>
      <c r="FR66" s="242"/>
      <c r="FS66" s="242"/>
      <c r="FT66" s="242"/>
      <c r="FU66" s="242"/>
      <c r="FV66" s="242"/>
      <c r="FW66" s="242"/>
      <c r="FX66" s="242"/>
      <c r="FY66" s="242"/>
      <c r="FZ66" s="242"/>
      <c r="GA66" s="242"/>
      <c r="GB66" s="242"/>
      <c r="GC66" s="242"/>
      <c r="GD66" s="242"/>
      <c r="GE66" s="242"/>
      <c r="GF66" s="242"/>
      <c r="GG66" s="242"/>
      <c r="GH66" s="242"/>
      <c r="GI66" s="242"/>
      <c r="GJ66" s="242"/>
      <c r="GK66" s="242"/>
      <c r="GL66" s="242"/>
      <c r="GM66" s="242"/>
      <c r="GN66" s="242"/>
      <c r="GO66" s="242"/>
      <c r="GP66" s="242"/>
      <c r="GQ66" s="242"/>
      <c r="GR66" s="242"/>
      <c r="GS66" s="242"/>
      <c r="GT66" s="242"/>
      <c r="GU66" s="242"/>
      <c r="GV66" s="242"/>
      <c r="GW66" s="242"/>
      <c r="GX66" s="242"/>
      <c r="GY66" s="242"/>
      <c r="GZ66" s="242"/>
      <c r="HA66" s="242"/>
      <c r="HB66" s="242"/>
      <c r="HC66" s="242"/>
      <c r="HD66" s="242"/>
      <c r="HE66" s="242"/>
      <c r="HF66" s="242"/>
      <c r="HG66" s="242"/>
      <c r="HH66" s="242"/>
      <c r="HI66" s="242"/>
      <c r="HJ66" s="242"/>
      <c r="HK66" s="242"/>
      <c r="HL66" s="242"/>
      <c r="HM66" s="242"/>
      <c r="HN66" s="242"/>
      <c r="HO66" s="243"/>
    </row>
    <row r="67" spans="1:223" ht="12.75" hidden="1" customHeight="1">
      <c r="A67" s="83">
        <f t="shared" si="10"/>
        <v>62</v>
      </c>
      <c r="B67" s="84"/>
      <c r="C67" s="84"/>
      <c r="D67" s="84"/>
      <c r="E67" s="84"/>
      <c r="F67" s="84" t="str">
        <f t="shared" si="3"/>
        <v>///</v>
      </c>
      <c r="G67" s="249">
        <f t="shared" si="11"/>
        <v>0</v>
      </c>
      <c r="H67" s="240">
        <f t="shared" si="4"/>
        <v>0</v>
      </c>
      <c r="I67" s="243"/>
      <c r="J67" s="243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242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42"/>
      <c r="AN67" s="242"/>
      <c r="AO67" s="242"/>
      <c r="AP67" s="242"/>
      <c r="AQ67" s="242"/>
      <c r="AR67" s="242"/>
      <c r="AS67" s="242"/>
      <c r="AT67" s="242"/>
      <c r="AU67" s="242"/>
      <c r="AV67" s="242"/>
      <c r="AW67" s="242"/>
      <c r="AX67" s="242"/>
      <c r="AY67" s="242"/>
      <c r="AZ67" s="242"/>
      <c r="BA67" s="242"/>
      <c r="BB67" s="242"/>
      <c r="BC67" s="242"/>
      <c r="BD67" s="242"/>
      <c r="BE67" s="242"/>
      <c r="BF67" s="242"/>
      <c r="BG67" s="242"/>
      <c r="BH67" s="242"/>
      <c r="BI67" s="242"/>
      <c r="BJ67" s="242"/>
      <c r="BK67" s="242"/>
      <c r="BL67" s="242"/>
      <c r="BM67" s="242"/>
      <c r="BN67" s="242"/>
      <c r="BO67" s="242"/>
      <c r="BP67" s="242"/>
      <c r="BQ67" s="242"/>
      <c r="BR67" s="242"/>
      <c r="BS67" s="242"/>
      <c r="BT67" s="242"/>
      <c r="BU67" s="242"/>
      <c r="BV67" s="242"/>
      <c r="BW67" s="242"/>
      <c r="BX67" s="242"/>
      <c r="BY67" s="242"/>
      <c r="BZ67" s="242"/>
      <c r="CA67" s="242"/>
      <c r="CB67" s="242"/>
      <c r="CC67" s="242"/>
      <c r="CD67" s="242"/>
      <c r="CE67" s="242"/>
      <c r="CF67" s="242"/>
      <c r="CG67" s="242"/>
      <c r="CH67" s="242"/>
      <c r="CI67" s="242"/>
      <c r="CJ67" s="242"/>
      <c r="CK67" s="242"/>
      <c r="CL67" s="242"/>
      <c r="CM67" s="242"/>
      <c r="CN67" s="242"/>
      <c r="CO67" s="242"/>
      <c r="CP67" s="242"/>
      <c r="CQ67" s="242"/>
      <c r="CR67" s="242"/>
      <c r="CS67" s="242"/>
      <c r="CT67" s="242"/>
      <c r="CU67" s="242"/>
      <c r="CV67" s="242"/>
      <c r="CW67" s="242"/>
      <c r="CX67" s="242"/>
      <c r="CY67" s="242"/>
      <c r="CZ67" s="242"/>
      <c r="DA67" s="242"/>
      <c r="DB67" s="242"/>
      <c r="DC67" s="242"/>
      <c r="DD67" s="242"/>
      <c r="DE67" s="242"/>
      <c r="DF67" s="242"/>
      <c r="DG67" s="242"/>
      <c r="DH67" s="242"/>
      <c r="DI67" s="242"/>
      <c r="DJ67" s="242"/>
      <c r="DK67" s="242"/>
      <c r="DL67" s="242"/>
      <c r="DM67" s="242"/>
      <c r="DN67" s="242"/>
      <c r="DO67" s="242"/>
      <c r="DP67" s="242"/>
      <c r="DQ67" s="242"/>
      <c r="DR67" s="242"/>
      <c r="DS67" s="242"/>
      <c r="DT67" s="242"/>
      <c r="DU67" s="242"/>
      <c r="DV67" s="242"/>
      <c r="DW67" s="242"/>
      <c r="DX67" s="242"/>
      <c r="DY67" s="242"/>
      <c r="DZ67" s="242"/>
      <c r="EA67" s="242"/>
      <c r="EB67" s="242"/>
      <c r="EC67" s="242"/>
      <c r="ED67" s="242"/>
      <c r="EE67" s="242"/>
      <c r="EF67" s="242"/>
      <c r="EG67" s="242"/>
      <c r="EH67" s="242"/>
      <c r="EI67" s="242"/>
      <c r="EJ67" s="242"/>
      <c r="EK67" s="242"/>
      <c r="EL67" s="242"/>
      <c r="EM67" s="242"/>
      <c r="EN67" s="242"/>
      <c r="EO67" s="242"/>
      <c r="EP67" s="242"/>
      <c r="EQ67" s="242"/>
      <c r="ER67" s="242"/>
      <c r="ES67" s="242"/>
      <c r="ET67" s="242"/>
      <c r="EU67" s="242"/>
      <c r="EV67" s="242"/>
      <c r="EW67" s="242"/>
      <c r="EX67" s="242"/>
      <c r="EY67" s="242"/>
      <c r="EZ67" s="242"/>
      <c r="FA67" s="242"/>
      <c r="FB67" s="242"/>
      <c r="FC67" s="242"/>
      <c r="FD67" s="242"/>
      <c r="FE67" s="242"/>
      <c r="FF67" s="242"/>
      <c r="FG67" s="242"/>
      <c r="FH67" s="242"/>
      <c r="FI67" s="242"/>
      <c r="FJ67" s="242"/>
      <c r="FK67" s="242"/>
      <c r="FL67" s="242"/>
      <c r="FM67" s="242"/>
      <c r="FN67" s="242"/>
      <c r="FO67" s="242"/>
      <c r="FP67" s="242"/>
      <c r="FQ67" s="242"/>
      <c r="FR67" s="242"/>
      <c r="FS67" s="242"/>
      <c r="FT67" s="242"/>
      <c r="FU67" s="242"/>
      <c r="FV67" s="242"/>
      <c r="FW67" s="242"/>
      <c r="FX67" s="242"/>
      <c r="FY67" s="242"/>
      <c r="FZ67" s="242"/>
      <c r="GA67" s="242"/>
      <c r="GB67" s="242"/>
      <c r="GC67" s="242"/>
      <c r="GD67" s="242"/>
      <c r="GE67" s="242"/>
      <c r="GF67" s="242"/>
      <c r="GG67" s="242"/>
      <c r="GH67" s="242"/>
      <c r="GI67" s="242"/>
      <c r="GJ67" s="242"/>
      <c r="GK67" s="242"/>
      <c r="GL67" s="242"/>
      <c r="GM67" s="242"/>
      <c r="GN67" s="242"/>
      <c r="GO67" s="242"/>
      <c r="GP67" s="242"/>
      <c r="GQ67" s="242"/>
      <c r="GR67" s="242"/>
      <c r="GS67" s="242"/>
      <c r="GT67" s="242"/>
      <c r="GU67" s="242"/>
      <c r="GV67" s="242"/>
      <c r="GW67" s="242"/>
      <c r="GX67" s="242"/>
      <c r="GY67" s="242"/>
      <c r="GZ67" s="242"/>
      <c r="HA67" s="242"/>
      <c r="HB67" s="242"/>
      <c r="HC67" s="242"/>
      <c r="HD67" s="242"/>
      <c r="HE67" s="242"/>
      <c r="HF67" s="242"/>
      <c r="HG67" s="242"/>
      <c r="HH67" s="242"/>
      <c r="HI67" s="242"/>
      <c r="HJ67" s="242"/>
      <c r="HK67" s="242"/>
      <c r="HL67" s="242"/>
      <c r="HM67" s="242"/>
      <c r="HN67" s="242"/>
      <c r="HO67" s="243"/>
    </row>
    <row r="68" spans="1:223" ht="12.75" hidden="1" customHeight="1">
      <c r="A68" s="83">
        <f t="shared" si="10"/>
        <v>63</v>
      </c>
      <c r="B68" s="84"/>
      <c r="C68" s="84"/>
      <c r="D68" s="84"/>
      <c r="E68" s="84"/>
      <c r="F68" s="84" t="str">
        <f t="shared" si="3"/>
        <v>///</v>
      </c>
      <c r="G68" s="249">
        <f t="shared" si="11"/>
        <v>0</v>
      </c>
      <c r="H68" s="240">
        <f t="shared" si="4"/>
        <v>0</v>
      </c>
      <c r="I68" s="243"/>
      <c r="J68" s="243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42"/>
      <c r="BF68" s="242"/>
      <c r="BG68" s="242"/>
      <c r="BH68" s="242"/>
      <c r="BI68" s="242"/>
      <c r="BJ68" s="242"/>
      <c r="BK68" s="242"/>
      <c r="BL68" s="242"/>
      <c r="BM68" s="242"/>
      <c r="BN68" s="242"/>
      <c r="BO68" s="242"/>
      <c r="BP68" s="242"/>
      <c r="BQ68" s="242"/>
      <c r="BR68" s="242"/>
      <c r="BS68" s="242"/>
      <c r="BT68" s="242"/>
      <c r="BU68" s="242"/>
      <c r="BV68" s="242"/>
      <c r="BW68" s="242"/>
      <c r="BX68" s="242"/>
      <c r="BY68" s="242"/>
      <c r="BZ68" s="242"/>
      <c r="CA68" s="242"/>
      <c r="CB68" s="242"/>
      <c r="CC68" s="242"/>
      <c r="CD68" s="242"/>
      <c r="CE68" s="242"/>
      <c r="CF68" s="242"/>
      <c r="CG68" s="242"/>
      <c r="CH68" s="242"/>
      <c r="CI68" s="242"/>
      <c r="CJ68" s="242"/>
      <c r="CK68" s="242"/>
      <c r="CL68" s="242"/>
      <c r="CM68" s="242"/>
      <c r="CN68" s="242"/>
      <c r="CO68" s="242"/>
      <c r="CP68" s="242"/>
      <c r="CQ68" s="242"/>
      <c r="CR68" s="242"/>
      <c r="CS68" s="242"/>
      <c r="CT68" s="242"/>
      <c r="CU68" s="242"/>
      <c r="CV68" s="242"/>
      <c r="CW68" s="242"/>
      <c r="CX68" s="242"/>
      <c r="CY68" s="242"/>
      <c r="CZ68" s="242"/>
      <c r="DA68" s="242"/>
      <c r="DB68" s="242"/>
      <c r="DC68" s="242"/>
      <c r="DD68" s="242"/>
      <c r="DE68" s="242"/>
      <c r="DF68" s="242"/>
      <c r="DG68" s="242"/>
      <c r="DH68" s="242"/>
      <c r="DI68" s="242"/>
      <c r="DJ68" s="242"/>
      <c r="DK68" s="242"/>
      <c r="DL68" s="242"/>
      <c r="DM68" s="242"/>
      <c r="DN68" s="242"/>
      <c r="DO68" s="242"/>
      <c r="DP68" s="242"/>
      <c r="DQ68" s="242"/>
      <c r="DR68" s="242"/>
      <c r="DS68" s="242"/>
      <c r="DT68" s="242"/>
      <c r="DU68" s="242"/>
      <c r="DV68" s="242"/>
      <c r="DW68" s="242"/>
      <c r="DX68" s="242"/>
      <c r="DY68" s="242"/>
      <c r="DZ68" s="242"/>
      <c r="EA68" s="242"/>
      <c r="EB68" s="242"/>
      <c r="EC68" s="242"/>
      <c r="ED68" s="242"/>
      <c r="EE68" s="242"/>
      <c r="EF68" s="242"/>
      <c r="EG68" s="242"/>
      <c r="EH68" s="242"/>
      <c r="EI68" s="242"/>
      <c r="EJ68" s="242"/>
      <c r="EK68" s="242"/>
      <c r="EL68" s="242"/>
      <c r="EM68" s="242"/>
      <c r="EN68" s="242"/>
      <c r="EO68" s="242"/>
      <c r="EP68" s="242"/>
      <c r="EQ68" s="242"/>
      <c r="ER68" s="242"/>
      <c r="ES68" s="242"/>
      <c r="ET68" s="242"/>
      <c r="EU68" s="242"/>
      <c r="EV68" s="242"/>
      <c r="EW68" s="242"/>
      <c r="EX68" s="242"/>
      <c r="EY68" s="242"/>
      <c r="EZ68" s="242"/>
      <c r="FA68" s="242"/>
      <c r="FB68" s="242"/>
      <c r="FC68" s="242"/>
      <c r="FD68" s="242"/>
      <c r="FE68" s="242"/>
      <c r="FF68" s="242"/>
      <c r="FG68" s="242"/>
      <c r="FH68" s="242"/>
      <c r="FI68" s="242"/>
      <c r="FJ68" s="242"/>
      <c r="FK68" s="242"/>
      <c r="FL68" s="242"/>
      <c r="FM68" s="242"/>
      <c r="FN68" s="242"/>
      <c r="FO68" s="242"/>
      <c r="FP68" s="242"/>
      <c r="FQ68" s="242"/>
      <c r="FR68" s="242"/>
      <c r="FS68" s="242"/>
      <c r="FT68" s="242"/>
      <c r="FU68" s="242"/>
      <c r="FV68" s="242"/>
      <c r="FW68" s="242"/>
      <c r="FX68" s="242"/>
      <c r="FY68" s="242"/>
      <c r="FZ68" s="242"/>
      <c r="GA68" s="242"/>
      <c r="GB68" s="242"/>
      <c r="GC68" s="242"/>
      <c r="GD68" s="242"/>
      <c r="GE68" s="242"/>
      <c r="GF68" s="242"/>
      <c r="GG68" s="242"/>
      <c r="GH68" s="242"/>
      <c r="GI68" s="242"/>
      <c r="GJ68" s="242"/>
      <c r="GK68" s="242"/>
      <c r="GL68" s="242"/>
      <c r="GM68" s="242"/>
      <c r="GN68" s="242"/>
      <c r="GO68" s="242"/>
      <c r="GP68" s="242"/>
      <c r="GQ68" s="242"/>
      <c r="GR68" s="242"/>
      <c r="GS68" s="242"/>
      <c r="GT68" s="242"/>
      <c r="GU68" s="242"/>
      <c r="GV68" s="242"/>
      <c r="GW68" s="242"/>
      <c r="GX68" s="242"/>
      <c r="GY68" s="242"/>
      <c r="GZ68" s="242"/>
      <c r="HA68" s="242"/>
      <c r="HB68" s="242"/>
      <c r="HC68" s="242"/>
      <c r="HD68" s="242"/>
      <c r="HE68" s="242"/>
      <c r="HF68" s="242"/>
      <c r="HG68" s="242"/>
      <c r="HH68" s="242"/>
      <c r="HI68" s="242"/>
      <c r="HJ68" s="242"/>
      <c r="HK68" s="242"/>
      <c r="HL68" s="242"/>
      <c r="HM68" s="242"/>
      <c r="HN68" s="242"/>
      <c r="HO68" s="243"/>
    </row>
    <row r="69" spans="1:223" ht="12.75" hidden="1" customHeight="1">
      <c r="A69" s="83">
        <f t="shared" si="10"/>
        <v>64</v>
      </c>
      <c r="B69" s="84"/>
      <c r="C69" s="84"/>
      <c r="D69" s="84"/>
      <c r="E69" s="84"/>
      <c r="F69" s="84" t="str">
        <f t="shared" si="3"/>
        <v>///</v>
      </c>
      <c r="G69" s="249">
        <f t="shared" si="11"/>
        <v>0</v>
      </c>
      <c r="H69" s="240">
        <f t="shared" si="4"/>
        <v>0</v>
      </c>
      <c r="I69" s="243"/>
      <c r="J69" s="243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42"/>
      <c r="BF69" s="242"/>
      <c r="BG69" s="242"/>
      <c r="BH69" s="242"/>
      <c r="BI69" s="242"/>
      <c r="BJ69" s="242"/>
      <c r="BK69" s="242"/>
      <c r="BL69" s="242"/>
      <c r="BM69" s="242"/>
      <c r="BN69" s="242"/>
      <c r="BO69" s="242"/>
      <c r="BP69" s="242"/>
      <c r="BQ69" s="242"/>
      <c r="BR69" s="242"/>
      <c r="BS69" s="242"/>
      <c r="BT69" s="242"/>
      <c r="BU69" s="242"/>
      <c r="BV69" s="242"/>
      <c r="BW69" s="242"/>
      <c r="BX69" s="242"/>
      <c r="BY69" s="242"/>
      <c r="BZ69" s="242"/>
      <c r="CA69" s="242"/>
      <c r="CB69" s="242"/>
      <c r="CC69" s="242"/>
      <c r="CD69" s="242"/>
      <c r="CE69" s="242"/>
      <c r="CF69" s="242"/>
      <c r="CG69" s="242"/>
      <c r="CH69" s="242"/>
      <c r="CI69" s="242"/>
      <c r="CJ69" s="242"/>
      <c r="CK69" s="242"/>
      <c r="CL69" s="242"/>
      <c r="CM69" s="242"/>
      <c r="CN69" s="242"/>
      <c r="CO69" s="242"/>
      <c r="CP69" s="242"/>
      <c r="CQ69" s="242"/>
      <c r="CR69" s="242"/>
      <c r="CS69" s="242"/>
      <c r="CT69" s="242"/>
      <c r="CU69" s="242"/>
      <c r="CV69" s="242"/>
      <c r="CW69" s="242"/>
      <c r="CX69" s="242"/>
      <c r="CY69" s="242"/>
      <c r="CZ69" s="242"/>
      <c r="DA69" s="242"/>
      <c r="DB69" s="242"/>
      <c r="DC69" s="242"/>
      <c r="DD69" s="242"/>
      <c r="DE69" s="242"/>
      <c r="DF69" s="242"/>
      <c r="DG69" s="242"/>
      <c r="DH69" s="242"/>
      <c r="DI69" s="242"/>
      <c r="DJ69" s="242"/>
      <c r="DK69" s="242"/>
      <c r="DL69" s="242"/>
      <c r="DM69" s="242"/>
      <c r="DN69" s="242"/>
      <c r="DO69" s="242"/>
      <c r="DP69" s="242"/>
      <c r="DQ69" s="242"/>
      <c r="DR69" s="242"/>
      <c r="DS69" s="242"/>
      <c r="DT69" s="242"/>
      <c r="DU69" s="242"/>
      <c r="DV69" s="242"/>
      <c r="DW69" s="242"/>
      <c r="DX69" s="242"/>
      <c r="DY69" s="242"/>
      <c r="DZ69" s="242"/>
      <c r="EA69" s="242"/>
      <c r="EB69" s="242"/>
      <c r="EC69" s="242"/>
      <c r="ED69" s="242"/>
      <c r="EE69" s="242"/>
      <c r="EF69" s="242"/>
      <c r="EG69" s="242"/>
      <c r="EH69" s="242"/>
      <c r="EI69" s="242"/>
      <c r="EJ69" s="242"/>
      <c r="EK69" s="242"/>
      <c r="EL69" s="242"/>
      <c r="EM69" s="242"/>
      <c r="EN69" s="242"/>
      <c r="EO69" s="242"/>
      <c r="EP69" s="242"/>
      <c r="EQ69" s="242"/>
      <c r="ER69" s="242"/>
      <c r="ES69" s="242"/>
      <c r="ET69" s="242"/>
      <c r="EU69" s="242"/>
      <c r="EV69" s="242"/>
      <c r="EW69" s="242"/>
      <c r="EX69" s="242"/>
      <c r="EY69" s="242"/>
      <c r="EZ69" s="242"/>
      <c r="FA69" s="242"/>
      <c r="FB69" s="242"/>
      <c r="FC69" s="242"/>
      <c r="FD69" s="242"/>
      <c r="FE69" s="242"/>
      <c r="FF69" s="242"/>
      <c r="FG69" s="242"/>
      <c r="FH69" s="242"/>
      <c r="FI69" s="242"/>
      <c r="FJ69" s="242"/>
      <c r="FK69" s="242"/>
      <c r="FL69" s="242"/>
      <c r="FM69" s="242"/>
      <c r="FN69" s="242"/>
      <c r="FO69" s="242"/>
      <c r="FP69" s="242"/>
      <c r="FQ69" s="242"/>
      <c r="FR69" s="242"/>
      <c r="FS69" s="242"/>
      <c r="FT69" s="242"/>
      <c r="FU69" s="242"/>
      <c r="FV69" s="242"/>
      <c r="FW69" s="242"/>
      <c r="FX69" s="242"/>
      <c r="FY69" s="242"/>
      <c r="FZ69" s="242"/>
      <c r="GA69" s="242"/>
      <c r="GB69" s="242"/>
      <c r="GC69" s="242"/>
      <c r="GD69" s="242"/>
      <c r="GE69" s="242"/>
      <c r="GF69" s="242"/>
      <c r="GG69" s="242"/>
      <c r="GH69" s="242"/>
      <c r="GI69" s="242"/>
      <c r="GJ69" s="242"/>
      <c r="GK69" s="242"/>
      <c r="GL69" s="242"/>
      <c r="GM69" s="242"/>
      <c r="GN69" s="242"/>
      <c r="GO69" s="242"/>
      <c r="GP69" s="242"/>
      <c r="GQ69" s="242"/>
      <c r="GR69" s="242"/>
      <c r="GS69" s="242"/>
      <c r="GT69" s="242"/>
      <c r="GU69" s="242"/>
      <c r="GV69" s="242"/>
      <c r="GW69" s="242"/>
      <c r="GX69" s="242"/>
      <c r="GY69" s="242"/>
      <c r="GZ69" s="242"/>
      <c r="HA69" s="242"/>
      <c r="HB69" s="242"/>
      <c r="HC69" s="242"/>
      <c r="HD69" s="242"/>
      <c r="HE69" s="242"/>
      <c r="HF69" s="242"/>
      <c r="HG69" s="242"/>
      <c r="HH69" s="242"/>
      <c r="HI69" s="242"/>
      <c r="HJ69" s="242"/>
      <c r="HK69" s="242"/>
      <c r="HL69" s="242"/>
      <c r="HM69" s="242"/>
      <c r="HN69" s="242"/>
      <c r="HO69" s="243"/>
    </row>
    <row r="70" spans="1:223" ht="12.75" hidden="1" customHeight="1">
      <c r="A70" s="83">
        <f t="shared" si="10"/>
        <v>65</v>
      </c>
      <c r="B70" s="84"/>
      <c r="C70" s="84"/>
      <c r="D70" s="84"/>
      <c r="E70" s="84"/>
      <c r="F70" s="84" t="str">
        <f t="shared" si="3"/>
        <v>///</v>
      </c>
      <c r="G70" s="249">
        <f t="shared" si="11"/>
        <v>0</v>
      </c>
      <c r="H70" s="240">
        <f t="shared" si="4"/>
        <v>0</v>
      </c>
      <c r="I70" s="243"/>
      <c r="J70" s="243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  <c r="AM70" s="242"/>
      <c r="AN70" s="242"/>
      <c r="AO70" s="242"/>
      <c r="AP70" s="242"/>
      <c r="AQ70" s="242"/>
      <c r="AR70" s="242"/>
      <c r="AS70" s="242"/>
      <c r="AT70" s="242"/>
      <c r="AU70" s="242"/>
      <c r="AV70" s="242"/>
      <c r="AW70" s="242"/>
      <c r="AX70" s="242"/>
      <c r="AY70" s="242"/>
      <c r="AZ70" s="242"/>
      <c r="BA70" s="242"/>
      <c r="BB70" s="242"/>
      <c r="BC70" s="242"/>
      <c r="BD70" s="242"/>
      <c r="BE70" s="242"/>
      <c r="BF70" s="242"/>
      <c r="BG70" s="242"/>
      <c r="BH70" s="242"/>
      <c r="BI70" s="242"/>
      <c r="BJ70" s="242"/>
      <c r="BK70" s="242"/>
      <c r="BL70" s="242"/>
      <c r="BM70" s="242"/>
      <c r="BN70" s="242"/>
      <c r="BO70" s="242"/>
      <c r="BP70" s="242"/>
      <c r="BQ70" s="242"/>
      <c r="BR70" s="242"/>
      <c r="BS70" s="242"/>
      <c r="BT70" s="242"/>
      <c r="BU70" s="242"/>
      <c r="BV70" s="242"/>
      <c r="BW70" s="242"/>
      <c r="BX70" s="242"/>
      <c r="BY70" s="242"/>
      <c r="BZ70" s="242"/>
      <c r="CA70" s="242"/>
      <c r="CB70" s="242"/>
      <c r="CC70" s="242"/>
      <c r="CD70" s="242"/>
      <c r="CE70" s="242"/>
      <c r="CF70" s="242"/>
      <c r="CG70" s="242"/>
      <c r="CH70" s="242"/>
      <c r="CI70" s="242"/>
      <c r="CJ70" s="242"/>
      <c r="CK70" s="242"/>
      <c r="CL70" s="242"/>
      <c r="CM70" s="242"/>
      <c r="CN70" s="242"/>
      <c r="CO70" s="242"/>
      <c r="CP70" s="242"/>
      <c r="CQ70" s="242"/>
      <c r="CR70" s="242"/>
      <c r="CS70" s="242"/>
      <c r="CT70" s="242"/>
      <c r="CU70" s="242"/>
      <c r="CV70" s="242"/>
      <c r="CW70" s="242"/>
      <c r="CX70" s="242"/>
      <c r="CY70" s="242"/>
      <c r="CZ70" s="242"/>
      <c r="DA70" s="242"/>
      <c r="DB70" s="242"/>
      <c r="DC70" s="242"/>
      <c r="DD70" s="242"/>
      <c r="DE70" s="242"/>
      <c r="DF70" s="242"/>
      <c r="DG70" s="242"/>
      <c r="DH70" s="242"/>
      <c r="DI70" s="242"/>
      <c r="DJ70" s="242"/>
      <c r="DK70" s="242"/>
      <c r="DL70" s="242"/>
      <c r="DM70" s="242"/>
      <c r="DN70" s="242"/>
      <c r="DO70" s="242"/>
      <c r="DP70" s="242"/>
      <c r="DQ70" s="242"/>
      <c r="DR70" s="242"/>
      <c r="DS70" s="242"/>
      <c r="DT70" s="242"/>
      <c r="DU70" s="242"/>
      <c r="DV70" s="242"/>
      <c r="DW70" s="242"/>
      <c r="DX70" s="242"/>
      <c r="DY70" s="242"/>
      <c r="DZ70" s="242"/>
      <c r="EA70" s="242"/>
      <c r="EB70" s="242"/>
      <c r="EC70" s="242"/>
      <c r="ED70" s="242"/>
      <c r="EE70" s="242"/>
      <c r="EF70" s="242"/>
      <c r="EG70" s="242"/>
      <c r="EH70" s="242"/>
      <c r="EI70" s="242"/>
      <c r="EJ70" s="242"/>
      <c r="EK70" s="242"/>
      <c r="EL70" s="242"/>
      <c r="EM70" s="242"/>
      <c r="EN70" s="242"/>
      <c r="EO70" s="242"/>
      <c r="EP70" s="242"/>
      <c r="EQ70" s="242"/>
      <c r="ER70" s="242"/>
      <c r="ES70" s="242"/>
      <c r="ET70" s="242"/>
      <c r="EU70" s="242"/>
      <c r="EV70" s="242"/>
      <c r="EW70" s="242"/>
      <c r="EX70" s="242"/>
      <c r="EY70" s="242"/>
      <c r="EZ70" s="242"/>
      <c r="FA70" s="242"/>
      <c r="FB70" s="242"/>
      <c r="FC70" s="242"/>
      <c r="FD70" s="242"/>
      <c r="FE70" s="242"/>
      <c r="FF70" s="242"/>
      <c r="FG70" s="242"/>
      <c r="FH70" s="242"/>
      <c r="FI70" s="242"/>
      <c r="FJ70" s="242"/>
      <c r="FK70" s="242"/>
      <c r="FL70" s="242"/>
      <c r="FM70" s="242"/>
      <c r="FN70" s="242"/>
      <c r="FO70" s="242"/>
      <c r="FP70" s="242"/>
      <c r="FQ70" s="242"/>
      <c r="FR70" s="242"/>
      <c r="FS70" s="242"/>
      <c r="FT70" s="242"/>
      <c r="FU70" s="242"/>
      <c r="FV70" s="242"/>
      <c r="FW70" s="242"/>
      <c r="FX70" s="242"/>
      <c r="FY70" s="242"/>
      <c r="FZ70" s="242"/>
      <c r="GA70" s="242"/>
      <c r="GB70" s="242"/>
      <c r="GC70" s="242"/>
      <c r="GD70" s="242"/>
      <c r="GE70" s="242"/>
      <c r="GF70" s="242"/>
      <c r="GG70" s="242"/>
      <c r="GH70" s="242"/>
      <c r="GI70" s="242"/>
      <c r="GJ70" s="242"/>
      <c r="GK70" s="242"/>
      <c r="GL70" s="242"/>
      <c r="GM70" s="242"/>
      <c r="GN70" s="242"/>
      <c r="GO70" s="242"/>
      <c r="GP70" s="242"/>
      <c r="GQ70" s="242"/>
      <c r="GR70" s="242"/>
      <c r="GS70" s="242"/>
      <c r="GT70" s="242"/>
      <c r="GU70" s="242"/>
      <c r="GV70" s="242"/>
      <c r="GW70" s="242"/>
      <c r="GX70" s="242"/>
      <c r="GY70" s="242"/>
      <c r="GZ70" s="242"/>
      <c r="HA70" s="242"/>
      <c r="HB70" s="242"/>
      <c r="HC70" s="242"/>
      <c r="HD70" s="242"/>
      <c r="HE70" s="242"/>
      <c r="HF70" s="242"/>
      <c r="HG70" s="242"/>
      <c r="HH70" s="242"/>
      <c r="HI70" s="242"/>
      <c r="HJ70" s="242"/>
      <c r="HK70" s="242"/>
      <c r="HL70" s="242"/>
      <c r="HM70" s="242"/>
      <c r="HN70" s="242"/>
      <c r="HO70" s="243"/>
    </row>
    <row r="71" spans="1:223" ht="12.75" hidden="1" customHeight="1">
      <c r="A71" s="83">
        <f t="shared" si="10"/>
        <v>66</v>
      </c>
      <c r="B71" s="84"/>
      <c r="C71" s="84"/>
      <c r="D71" s="84"/>
      <c r="E71" s="84"/>
      <c r="F71" s="84" t="str">
        <f t="shared" ref="F71:F134" si="12">+B71&amp;"/"&amp;C71&amp;"/"&amp;D71&amp;"/"&amp;E71</f>
        <v>///</v>
      </c>
      <c r="G71" s="249">
        <f t="shared" si="11"/>
        <v>0</v>
      </c>
      <c r="H71" s="240">
        <f t="shared" ref="H71:H134" si="13">+IFERROR(VLOOKUP($G71,$C$505:$O$1001,13,0),0)</f>
        <v>0</v>
      </c>
      <c r="I71" s="243"/>
      <c r="J71" s="243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42"/>
      <c r="BF71" s="242"/>
      <c r="BG71" s="242"/>
      <c r="BH71" s="242"/>
      <c r="BI71" s="242"/>
      <c r="BJ71" s="242"/>
      <c r="BK71" s="242"/>
      <c r="BL71" s="242"/>
      <c r="BM71" s="242"/>
      <c r="BN71" s="242"/>
      <c r="BO71" s="242"/>
      <c r="BP71" s="242"/>
      <c r="BQ71" s="242"/>
      <c r="BR71" s="242"/>
      <c r="BS71" s="242"/>
      <c r="BT71" s="242"/>
      <c r="BU71" s="242"/>
      <c r="BV71" s="242"/>
      <c r="BW71" s="242"/>
      <c r="BX71" s="242"/>
      <c r="BY71" s="242"/>
      <c r="BZ71" s="242"/>
      <c r="CA71" s="242"/>
      <c r="CB71" s="242"/>
      <c r="CC71" s="242"/>
      <c r="CD71" s="242"/>
      <c r="CE71" s="242"/>
      <c r="CF71" s="242"/>
      <c r="CG71" s="242"/>
      <c r="CH71" s="242"/>
      <c r="CI71" s="242"/>
      <c r="CJ71" s="242"/>
      <c r="CK71" s="242"/>
      <c r="CL71" s="242"/>
      <c r="CM71" s="242"/>
      <c r="CN71" s="242"/>
      <c r="CO71" s="242"/>
      <c r="CP71" s="242"/>
      <c r="CQ71" s="242"/>
      <c r="CR71" s="242"/>
      <c r="CS71" s="242"/>
      <c r="CT71" s="242"/>
      <c r="CU71" s="242"/>
      <c r="CV71" s="242"/>
      <c r="CW71" s="242"/>
      <c r="CX71" s="242"/>
      <c r="CY71" s="242"/>
      <c r="CZ71" s="242"/>
      <c r="DA71" s="242"/>
      <c r="DB71" s="242"/>
      <c r="DC71" s="242"/>
      <c r="DD71" s="242"/>
      <c r="DE71" s="242"/>
      <c r="DF71" s="242"/>
      <c r="DG71" s="242"/>
      <c r="DH71" s="242"/>
      <c r="DI71" s="242"/>
      <c r="DJ71" s="242"/>
      <c r="DK71" s="242"/>
      <c r="DL71" s="242"/>
      <c r="DM71" s="242"/>
      <c r="DN71" s="242"/>
      <c r="DO71" s="242"/>
      <c r="DP71" s="242"/>
      <c r="DQ71" s="242"/>
      <c r="DR71" s="242"/>
      <c r="DS71" s="242"/>
      <c r="DT71" s="242"/>
      <c r="DU71" s="242"/>
      <c r="DV71" s="242"/>
      <c r="DW71" s="242"/>
      <c r="DX71" s="242"/>
      <c r="DY71" s="242"/>
      <c r="DZ71" s="242"/>
      <c r="EA71" s="242"/>
      <c r="EB71" s="242"/>
      <c r="EC71" s="242"/>
      <c r="ED71" s="242"/>
      <c r="EE71" s="242"/>
      <c r="EF71" s="242"/>
      <c r="EG71" s="242"/>
      <c r="EH71" s="242"/>
      <c r="EI71" s="242"/>
      <c r="EJ71" s="242"/>
      <c r="EK71" s="242"/>
      <c r="EL71" s="242"/>
      <c r="EM71" s="242"/>
      <c r="EN71" s="242"/>
      <c r="EO71" s="242"/>
      <c r="EP71" s="242"/>
      <c r="EQ71" s="242"/>
      <c r="ER71" s="242"/>
      <c r="ES71" s="242"/>
      <c r="ET71" s="242"/>
      <c r="EU71" s="242"/>
      <c r="EV71" s="242"/>
      <c r="EW71" s="242"/>
      <c r="EX71" s="242"/>
      <c r="EY71" s="242"/>
      <c r="EZ71" s="242"/>
      <c r="FA71" s="242"/>
      <c r="FB71" s="242"/>
      <c r="FC71" s="242"/>
      <c r="FD71" s="242"/>
      <c r="FE71" s="242"/>
      <c r="FF71" s="242"/>
      <c r="FG71" s="242"/>
      <c r="FH71" s="242"/>
      <c r="FI71" s="242"/>
      <c r="FJ71" s="242"/>
      <c r="FK71" s="242"/>
      <c r="FL71" s="242"/>
      <c r="FM71" s="242"/>
      <c r="FN71" s="242"/>
      <c r="FO71" s="242"/>
      <c r="FP71" s="242"/>
      <c r="FQ71" s="242"/>
      <c r="FR71" s="242"/>
      <c r="FS71" s="242"/>
      <c r="FT71" s="242"/>
      <c r="FU71" s="242"/>
      <c r="FV71" s="242"/>
      <c r="FW71" s="242"/>
      <c r="FX71" s="242"/>
      <c r="FY71" s="242"/>
      <c r="FZ71" s="242"/>
      <c r="GA71" s="242"/>
      <c r="GB71" s="242"/>
      <c r="GC71" s="242"/>
      <c r="GD71" s="242"/>
      <c r="GE71" s="242"/>
      <c r="GF71" s="242"/>
      <c r="GG71" s="242"/>
      <c r="GH71" s="242"/>
      <c r="GI71" s="242"/>
      <c r="GJ71" s="242"/>
      <c r="GK71" s="242"/>
      <c r="GL71" s="242"/>
      <c r="GM71" s="242"/>
      <c r="GN71" s="242"/>
      <c r="GO71" s="242"/>
      <c r="GP71" s="242"/>
      <c r="GQ71" s="242"/>
      <c r="GR71" s="242"/>
      <c r="GS71" s="242"/>
      <c r="GT71" s="242"/>
      <c r="GU71" s="242"/>
      <c r="GV71" s="242"/>
      <c r="GW71" s="242"/>
      <c r="GX71" s="242"/>
      <c r="GY71" s="242"/>
      <c r="GZ71" s="242"/>
      <c r="HA71" s="242"/>
      <c r="HB71" s="242"/>
      <c r="HC71" s="242"/>
      <c r="HD71" s="242"/>
      <c r="HE71" s="242"/>
      <c r="HF71" s="242"/>
      <c r="HG71" s="242"/>
      <c r="HH71" s="242"/>
      <c r="HI71" s="242"/>
      <c r="HJ71" s="242"/>
      <c r="HK71" s="242"/>
      <c r="HL71" s="242"/>
      <c r="HM71" s="242"/>
      <c r="HN71" s="242"/>
      <c r="HO71" s="243"/>
    </row>
    <row r="72" spans="1:223" ht="12.75" hidden="1" customHeight="1">
      <c r="A72" s="83">
        <f t="shared" ref="A72:A135" si="14">+A71+1</f>
        <v>67</v>
      </c>
      <c r="B72" s="84"/>
      <c r="C72" s="84"/>
      <c r="D72" s="84"/>
      <c r="E72" s="84"/>
      <c r="F72" s="84" t="str">
        <f t="shared" si="12"/>
        <v>///</v>
      </c>
      <c r="G72" s="249">
        <f t="shared" ref="G72:G135" si="15">VLOOKUP($F72,$Q$101:$T$1500,3,0)</f>
        <v>0</v>
      </c>
      <c r="H72" s="240">
        <f t="shared" si="13"/>
        <v>0</v>
      </c>
      <c r="I72" s="243"/>
      <c r="J72" s="243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  <c r="AM72" s="242"/>
      <c r="AN72" s="242"/>
      <c r="AO72" s="242"/>
      <c r="AP72" s="242"/>
      <c r="AQ72" s="242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2"/>
      <c r="BC72" s="242"/>
      <c r="BD72" s="242"/>
      <c r="BE72" s="242"/>
      <c r="BF72" s="242"/>
      <c r="BG72" s="242"/>
      <c r="BH72" s="242"/>
      <c r="BI72" s="242"/>
      <c r="BJ72" s="242"/>
      <c r="BK72" s="242"/>
      <c r="BL72" s="242"/>
      <c r="BM72" s="242"/>
      <c r="BN72" s="242"/>
      <c r="BO72" s="242"/>
      <c r="BP72" s="242"/>
      <c r="BQ72" s="242"/>
      <c r="BR72" s="242"/>
      <c r="BS72" s="242"/>
      <c r="BT72" s="242"/>
      <c r="BU72" s="242"/>
      <c r="BV72" s="242"/>
      <c r="BW72" s="242"/>
      <c r="BX72" s="242"/>
      <c r="BY72" s="242"/>
      <c r="BZ72" s="242"/>
      <c r="CA72" s="242"/>
      <c r="CB72" s="242"/>
      <c r="CC72" s="242"/>
      <c r="CD72" s="242"/>
      <c r="CE72" s="242"/>
      <c r="CF72" s="242"/>
      <c r="CG72" s="242"/>
      <c r="CH72" s="242"/>
      <c r="CI72" s="242"/>
      <c r="CJ72" s="242"/>
      <c r="CK72" s="242"/>
      <c r="CL72" s="242"/>
      <c r="CM72" s="242"/>
      <c r="CN72" s="242"/>
      <c r="CO72" s="242"/>
      <c r="CP72" s="242"/>
      <c r="CQ72" s="242"/>
      <c r="CR72" s="242"/>
      <c r="CS72" s="242"/>
      <c r="CT72" s="242"/>
      <c r="CU72" s="242"/>
      <c r="CV72" s="242"/>
      <c r="CW72" s="242"/>
      <c r="CX72" s="242"/>
      <c r="CY72" s="242"/>
      <c r="CZ72" s="242"/>
      <c r="DA72" s="242"/>
      <c r="DB72" s="242"/>
      <c r="DC72" s="242"/>
      <c r="DD72" s="242"/>
      <c r="DE72" s="242"/>
      <c r="DF72" s="242"/>
      <c r="DG72" s="242"/>
      <c r="DH72" s="242"/>
      <c r="DI72" s="242"/>
      <c r="DJ72" s="242"/>
      <c r="DK72" s="242"/>
      <c r="DL72" s="242"/>
      <c r="DM72" s="242"/>
      <c r="DN72" s="242"/>
      <c r="DO72" s="242"/>
      <c r="DP72" s="242"/>
      <c r="DQ72" s="242"/>
      <c r="DR72" s="242"/>
      <c r="DS72" s="242"/>
      <c r="DT72" s="242"/>
      <c r="DU72" s="242"/>
      <c r="DV72" s="242"/>
      <c r="DW72" s="242"/>
      <c r="DX72" s="242"/>
      <c r="DY72" s="242"/>
      <c r="DZ72" s="242"/>
      <c r="EA72" s="242"/>
      <c r="EB72" s="242"/>
      <c r="EC72" s="242"/>
      <c r="ED72" s="242"/>
      <c r="EE72" s="242"/>
      <c r="EF72" s="242"/>
      <c r="EG72" s="242"/>
      <c r="EH72" s="242"/>
      <c r="EI72" s="242"/>
      <c r="EJ72" s="242"/>
      <c r="EK72" s="242"/>
      <c r="EL72" s="242"/>
      <c r="EM72" s="242"/>
      <c r="EN72" s="242"/>
      <c r="EO72" s="242"/>
      <c r="EP72" s="242"/>
      <c r="EQ72" s="242"/>
      <c r="ER72" s="242"/>
      <c r="ES72" s="242"/>
      <c r="ET72" s="242"/>
      <c r="EU72" s="242"/>
      <c r="EV72" s="242"/>
      <c r="EW72" s="242"/>
      <c r="EX72" s="242"/>
      <c r="EY72" s="242"/>
      <c r="EZ72" s="242"/>
      <c r="FA72" s="242"/>
      <c r="FB72" s="242"/>
      <c r="FC72" s="242"/>
      <c r="FD72" s="242"/>
      <c r="FE72" s="242"/>
      <c r="FF72" s="242"/>
      <c r="FG72" s="242"/>
      <c r="FH72" s="242"/>
      <c r="FI72" s="242"/>
      <c r="FJ72" s="242"/>
      <c r="FK72" s="242"/>
      <c r="FL72" s="242"/>
      <c r="FM72" s="242"/>
      <c r="FN72" s="242"/>
      <c r="FO72" s="242"/>
      <c r="FP72" s="242"/>
      <c r="FQ72" s="242"/>
      <c r="FR72" s="242"/>
      <c r="FS72" s="242"/>
      <c r="FT72" s="242"/>
      <c r="FU72" s="242"/>
      <c r="FV72" s="242"/>
      <c r="FW72" s="242"/>
      <c r="FX72" s="242"/>
      <c r="FY72" s="242"/>
      <c r="FZ72" s="242"/>
      <c r="GA72" s="242"/>
      <c r="GB72" s="242"/>
      <c r="GC72" s="242"/>
      <c r="GD72" s="242"/>
      <c r="GE72" s="242"/>
      <c r="GF72" s="242"/>
      <c r="GG72" s="242"/>
      <c r="GH72" s="242"/>
      <c r="GI72" s="242"/>
      <c r="GJ72" s="242"/>
      <c r="GK72" s="242"/>
      <c r="GL72" s="242"/>
      <c r="GM72" s="242"/>
      <c r="GN72" s="242"/>
      <c r="GO72" s="242"/>
      <c r="GP72" s="242"/>
      <c r="GQ72" s="242"/>
      <c r="GR72" s="242"/>
      <c r="GS72" s="242"/>
      <c r="GT72" s="242"/>
      <c r="GU72" s="242"/>
      <c r="GV72" s="242"/>
      <c r="GW72" s="242"/>
      <c r="GX72" s="242"/>
      <c r="GY72" s="242"/>
      <c r="GZ72" s="242"/>
      <c r="HA72" s="242"/>
      <c r="HB72" s="242"/>
      <c r="HC72" s="242"/>
      <c r="HD72" s="242"/>
      <c r="HE72" s="242"/>
      <c r="HF72" s="242"/>
      <c r="HG72" s="242"/>
      <c r="HH72" s="242"/>
      <c r="HI72" s="242"/>
      <c r="HJ72" s="242"/>
      <c r="HK72" s="242"/>
      <c r="HL72" s="242"/>
      <c r="HM72" s="242"/>
      <c r="HN72" s="242"/>
      <c r="HO72" s="243"/>
    </row>
    <row r="73" spans="1:223" ht="12.75" hidden="1" customHeight="1">
      <c r="A73" s="83">
        <f t="shared" si="14"/>
        <v>68</v>
      </c>
      <c r="B73" s="84"/>
      <c r="C73" s="84"/>
      <c r="D73" s="84"/>
      <c r="E73" s="84"/>
      <c r="F73" s="84" t="str">
        <f t="shared" si="12"/>
        <v>///</v>
      </c>
      <c r="G73" s="249">
        <f t="shared" si="15"/>
        <v>0</v>
      </c>
      <c r="H73" s="240">
        <f t="shared" si="13"/>
        <v>0</v>
      </c>
      <c r="I73" s="243"/>
      <c r="J73" s="243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  <c r="AM73" s="242"/>
      <c r="AN73" s="242"/>
      <c r="AO73" s="242"/>
      <c r="AP73" s="242"/>
      <c r="AQ73" s="242"/>
      <c r="AR73" s="242"/>
      <c r="AS73" s="242"/>
      <c r="AT73" s="242"/>
      <c r="AU73" s="242"/>
      <c r="AV73" s="242"/>
      <c r="AW73" s="242"/>
      <c r="AX73" s="242"/>
      <c r="AY73" s="242"/>
      <c r="AZ73" s="242"/>
      <c r="BA73" s="242"/>
      <c r="BB73" s="242"/>
      <c r="BC73" s="242"/>
      <c r="BD73" s="242"/>
      <c r="BE73" s="242"/>
      <c r="BF73" s="242"/>
      <c r="BG73" s="242"/>
      <c r="BH73" s="242"/>
      <c r="BI73" s="242"/>
      <c r="BJ73" s="242"/>
      <c r="BK73" s="242"/>
      <c r="BL73" s="242"/>
      <c r="BM73" s="242"/>
      <c r="BN73" s="242"/>
      <c r="BO73" s="242"/>
      <c r="BP73" s="242"/>
      <c r="BQ73" s="242"/>
      <c r="BR73" s="242"/>
      <c r="BS73" s="242"/>
      <c r="BT73" s="242"/>
      <c r="BU73" s="242"/>
      <c r="BV73" s="242"/>
      <c r="BW73" s="242"/>
      <c r="BX73" s="242"/>
      <c r="BY73" s="242"/>
      <c r="BZ73" s="242"/>
      <c r="CA73" s="242"/>
      <c r="CB73" s="242"/>
      <c r="CC73" s="242"/>
      <c r="CD73" s="242"/>
      <c r="CE73" s="242"/>
      <c r="CF73" s="242"/>
      <c r="CG73" s="242"/>
      <c r="CH73" s="242"/>
      <c r="CI73" s="242"/>
      <c r="CJ73" s="242"/>
      <c r="CK73" s="242"/>
      <c r="CL73" s="242"/>
      <c r="CM73" s="242"/>
      <c r="CN73" s="242"/>
      <c r="CO73" s="242"/>
      <c r="CP73" s="242"/>
      <c r="CQ73" s="242"/>
      <c r="CR73" s="242"/>
      <c r="CS73" s="242"/>
      <c r="CT73" s="242"/>
      <c r="CU73" s="242"/>
      <c r="CV73" s="242"/>
      <c r="CW73" s="242"/>
      <c r="CX73" s="242"/>
      <c r="CY73" s="242"/>
      <c r="CZ73" s="242"/>
      <c r="DA73" s="242"/>
      <c r="DB73" s="242"/>
      <c r="DC73" s="242"/>
      <c r="DD73" s="242"/>
      <c r="DE73" s="242"/>
      <c r="DF73" s="242"/>
      <c r="DG73" s="242"/>
      <c r="DH73" s="242"/>
      <c r="DI73" s="242"/>
      <c r="DJ73" s="242"/>
      <c r="DK73" s="242"/>
      <c r="DL73" s="242"/>
      <c r="DM73" s="242"/>
      <c r="DN73" s="242"/>
      <c r="DO73" s="242"/>
      <c r="DP73" s="242"/>
      <c r="DQ73" s="242"/>
      <c r="DR73" s="242"/>
      <c r="DS73" s="242"/>
      <c r="DT73" s="242"/>
      <c r="DU73" s="242"/>
      <c r="DV73" s="242"/>
      <c r="DW73" s="242"/>
      <c r="DX73" s="242"/>
      <c r="DY73" s="242"/>
      <c r="DZ73" s="242"/>
      <c r="EA73" s="242"/>
      <c r="EB73" s="242"/>
      <c r="EC73" s="242"/>
      <c r="ED73" s="242"/>
      <c r="EE73" s="242"/>
      <c r="EF73" s="242"/>
      <c r="EG73" s="242"/>
      <c r="EH73" s="242"/>
      <c r="EI73" s="242"/>
      <c r="EJ73" s="242"/>
      <c r="EK73" s="242"/>
      <c r="EL73" s="242"/>
      <c r="EM73" s="242"/>
      <c r="EN73" s="242"/>
      <c r="EO73" s="242"/>
      <c r="EP73" s="242"/>
      <c r="EQ73" s="242"/>
      <c r="ER73" s="242"/>
      <c r="ES73" s="242"/>
      <c r="ET73" s="242"/>
      <c r="EU73" s="242"/>
      <c r="EV73" s="242"/>
      <c r="EW73" s="242"/>
      <c r="EX73" s="242"/>
      <c r="EY73" s="242"/>
      <c r="EZ73" s="242"/>
      <c r="FA73" s="242"/>
      <c r="FB73" s="242"/>
      <c r="FC73" s="242"/>
      <c r="FD73" s="242"/>
      <c r="FE73" s="242"/>
      <c r="FF73" s="242"/>
      <c r="FG73" s="242"/>
      <c r="FH73" s="242"/>
      <c r="FI73" s="242"/>
      <c r="FJ73" s="242"/>
      <c r="FK73" s="242"/>
      <c r="FL73" s="242"/>
      <c r="FM73" s="242"/>
      <c r="FN73" s="242"/>
      <c r="FO73" s="242"/>
      <c r="FP73" s="242"/>
      <c r="FQ73" s="242"/>
      <c r="FR73" s="242"/>
      <c r="FS73" s="242"/>
      <c r="FT73" s="242"/>
      <c r="FU73" s="242"/>
      <c r="FV73" s="242"/>
      <c r="FW73" s="242"/>
      <c r="FX73" s="242"/>
      <c r="FY73" s="242"/>
      <c r="FZ73" s="242"/>
      <c r="GA73" s="242"/>
      <c r="GB73" s="242"/>
      <c r="GC73" s="242"/>
      <c r="GD73" s="242"/>
      <c r="GE73" s="242"/>
      <c r="GF73" s="242"/>
      <c r="GG73" s="242"/>
      <c r="GH73" s="242"/>
      <c r="GI73" s="242"/>
      <c r="GJ73" s="242"/>
      <c r="GK73" s="242"/>
      <c r="GL73" s="242"/>
      <c r="GM73" s="242"/>
      <c r="GN73" s="242"/>
      <c r="GO73" s="242"/>
      <c r="GP73" s="242"/>
      <c r="GQ73" s="242"/>
      <c r="GR73" s="242"/>
      <c r="GS73" s="242"/>
      <c r="GT73" s="242"/>
      <c r="GU73" s="242"/>
      <c r="GV73" s="242"/>
      <c r="GW73" s="242"/>
      <c r="GX73" s="242"/>
      <c r="GY73" s="242"/>
      <c r="GZ73" s="242"/>
      <c r="HA73" s="242"/>
      <c r="HB73" s="242"/>
      <c r="HC73" s="242"/>
      <c r="HD73" s="242"/>
      <c r="HE73" s="242"/>
      <c r="HF73" s="242"/>
      <c r="HG73" s="242"/>
      <c r="HH73" s="242"/>
      <c r="HI73" s="242"/>
      <c r="HJ73" s="242"/>
      <c r="HK73" s="242"/>
      <c r="HL73" s="242"/>
      <c r="HM73" s="242"/>
      <c r="HN73" s="242"/>
      <c r="HO73" s="243"/>
    </row>
    <row r="74" spans="1:223" ht="12.75" hidden="1" customHeight="1">
      <c r="A74" s="83">
        <f t="shared" si="14"/>
        <v>69</v>
      </c>
      <c r="B74" s="84"/>
      <c r="C74" s="84"/>
      <c r="D74" s="84"/>
      <c r="E74" s="84"/>
      <c r="F74" s="84" t="str">
        <f t="shared" si="12"/>
        <v>///</v>
      </c>
      <c r="G74" s="249">
        <f t="shared" si="15"/>
        <v>0</v>
      </c>
      <c r="H74" s="240">
        <f t="shared" si="13"/>
        <v>0</v>
      </c>
      <c r="I74" s="243"/>
      <c r="J74" s="243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  <c r="AM74" s="242"/>
      <c r="AN74" s="242"/>
      <c r="AO74" s="242"/>
      <c r="AP74" s="242"/>
      <c r="AQ74" s="242"/>
      <c r="AR74" s="242"/>
      <c r="AS74" s="242"/>
      <c r="AT74" s="242"/>
      <c r="AU74" s="242"/>
      <c r="AV74" s="242"/>
      <c r="AW74" s="242"/>
      <c r="AX74" s="242"/>
      <c r="AY74" s="242"/>
      <c r="AZ74" s="242"/>
      <c r="BA74" s="242"/>
      <c r="BB74" s="242"/>
      <c r="BC74" s="242"/>
      <c r="BD74" s="242"/>
      <c r="BE74" s="242"/>
      <c r="BF74" s="242"/>
      <c r="BG74" s="242"/>
      <c r="BH74" s="242"/>
      <c r="BI74" s="242"/>
      <c r="BJ74" s="242"/>
      <c r="BK74" s="242"/>
      <c r="BL74" s="242"/>
      <c r="BM74" s="242"/>
      <c r="BN74" s="242"/>
      <c r="BO74" s="242"/>
      <c r="BP74" s="242"/>
      <c r="BQ74" s="242"/>
      <c r="BR74" s="242"/>
      <c r="BS74" s="242"/>
      <c r="BT74" s="242"/>
      <c r="BU74" s="242"/>
      <c r="BV74" s="242"/>
      <c r="BW74" s="242"/>
      <c r="BX74" s="242"/>
      <c r="BY74" s="242"/>
      <c r="BZ74" s="242"/>
      <c r="CA74" s="242"/>
      <c r="CB74" s="242"/>
      <c r="CC74" s="242"/>
      <c r="CD74" s="242"/>
      <c r="CE74" s="242"/>
      <c r="CF74" s="242"/>
      <c r="CG74" s="242"/>
      <c r="CH74" s="242"/>
      <c r="CI74" s="242"/>
      <c r="CJ74" s="242"/>
      <c r="CK74" s="242"/>
      <c r="CL74" s="242"/>
      <c r="CM74" s="242"/>
      <c r="CN74" s="242"/>
      <c r="CO74" s="242"/>
      <c r="CP74" s="242"/>
      <c r="CQ74" s="242"/>
      <c r="CR74" s="242"/>
      <c r="CS74" s="242"/>
      <c r="CT74" s="242"/>
      <c r="CU74" s="242"/>
      <c r="CV74" s="242"/>
      <c r="CW74" s="242"/>
      <c r="CX74" s="242"/>
      <c r="CY74" s="242"/>
      <c r="CZ74" s="242"/>
      <c r="DA74" s="242"/>
      <c r="DB74" s="242"/>
      <c r="DC74" s="242"/>
      <c r="DD74" s="242"/>
      <c r="DE74" s="242"/>
      <c r="DF74" s="242"/>
      <c r="DG74" s="242"/>
      <c r="DH74" s="242"/>
      <c r="DI74" s="242"/>
      <c r="DJ74" s="242"/>
      <c r="DK74" s="242"/>
      <c r="DL74" s="242"/>
      <c r="DM74" s="242"/>
      <c r="DN74" s="242"/>
      <c r="DO74" s="242"/>
      <c r="DP74" s="242"/>
      <c r="DQ74" s="242"/>
      <c r="DR74" s="242"/>
      <c r="DS74" s="242"/>
      <c r="DT74" s="242"/>
      <c r="DU74" s="242"/>
      <c r="DV74" s="242"/>
      <c r="DW74" s="242"/>
      <c r="DX74" s="242"/>
      <c r="DY74" s="242"/>
      <c r="DZ74" s="242"/>
      <c r="EA74" s="242"/>
      <c r="EB74" s="242"/>
      <c r="EC74" s="242"/>
      <c r="ED74" s="242"/>
      <c r="EE74" s="242"/>
      <c r="EF74" s="242"/>
      <c r="EG74" s="242"/>
      <c r="EH74" s="242"/>
      <c r="EI74" s="242"/>
      <c r="EJ74" s="242"/>
      <c r="EK74" s="242"/>
      <c r="EL74" s="242"/>
      <c r="EM74" s="242"/>
      <c r="EN74" s="242"/>
      <c r="EO74" s="242"/>
      <c r="EP74" s="242"/>
      <c r="EQ74" s="242"/>
      <c r="ER74" s="242"/>
      <c r="ES74" s="242"/>
      <c r="ET74" s="242"/>
      <c r="EU74" s="242"/>
      <c r="EV74" s="242"/>
      <c r="EW74" s="242"/>
      <c r="EX74" s="242"/>
      <c r="EY74" s="242"/>
      <c r="EZ74" s="242"/>
      <c r="FA74" s="242"/>
      <c r="FB74" s="242"/>
      <c r="FC74" s="242"/>
      <c r="FD74" s="242"/>
      <c r="FE74" s="242"/>
      <c r="FF74" s="242"/>
      <c r="FG74" s="242"/>
      <c r="FH74" s="242"/>
      <c r="FI74" s="242"/>
      <c r="FJ74" s="242"/>
      <c r="FK74" s="242"/>
      <c r="FL74" s="242"/>
      <c r="FM74" s="242"/>
      <c r="FN74" s="242"/>
      <c r="FO74" s="242"/>
      <c r="FP74" s="242"/>
      <c r="FQ74" s="242"/>
      <c r="FR74" s="242"/>
      <c r="FS74" s="242"/>
      <c r="FT74" s="242"/>
      <c r="FU74" s="242"/>
      <c r="FV74" s="242"/>
      <c r="FW74" s="242"/>
      <c r="FX74" s="242"/>
      <c r="FY74" s="242"/>
      <c r="FZ74" s="242"/>
      <c r="GA74" s="242"/>
      <c r="GB74" s="242"/>
      <c r="GC74" s="242"/>
      <c r="GD74" s="242"/>
      <c r="GE74" s="242"/>
      <c r="GF74" s="242"/>
      <c r="GG74" s="242"/>
      <c r="GH74" s="242"/>
      <c r="GI74" s="242"/>
      <c r="GJ74" s="242"/>
      <c r="GK74" s="242"/>
      <c r="GL74" s="242"/>
      <c r="GM74" s="242"/>
      <c r="GN74" s="242"/>
      <c r="GO74" s="242"/>
      <c r="GP74" s="242"/>
      <c r="GQ74" s="242"/>
      <c r="GR74" s="242"/>
      <c r="GS74" s="242"/>
      <c r="GT74" s="242"/>
      <c r="GU74" s="242"/>
      <c r="GV74" s="242"/>
      <c r="GW74" s="242"/>
      <c r="GX74" s="242"/>
      <c r="GY74" s="242"/>
      <c r="GZ74" s="242"/>
      <c r="HA74" s="242"/>
      <c r="HB74" s="242"/>
      <c r="HC74" s="242"/>
      <c r="HD74" s="242"/>
      <c r="HE74" s="242"/>
      <c r="HF74" s="242"/>
      <c r="HG74" s="242"/>
      <c r="HH74" s="242"/>
      <c r="HI74" s="242"/>
      <c r="HJ74" s="242"/>
      <c r="HK74" s="242"/>
      <c r="HL74" s="242"/>
      <c r="HM74" s="242"/>
      <c r="HN74" s="242"/>
      <c r="HO74" s="243"/>
    </row>
    <row r="75" spans="1:223" ht="12.75" hidden="1" customHeight="1">
      <c r="A75" s="83">
        <f t="shared" si="14"/>
        <v>70</v>
      </c>
      <c r="B75" s="84"/>
      <c r="C75" s="84"/>
      <c r="D75" s="84"/>
      <c r="E75" s="84"/>
      <c r="F75" s="84" t="str">
        <f t="shared" si="12"/>
        <v>///</v>
      </c>
      <c r="G75" s="249">
        <f t="shared" si="15"/>
        <v>0</v>
      </c>
      <c r="H75" s="240">
        <f t="shared" si="13"/>
        <v>0</v>
      </c>
      <c r="I75" s="243"/>
      <c r="J75" s="243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242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  <c r="AM75" s="242"/>
      <c r="AN75" s="242"/>
      <c r="AO75" s="242"/>
      <c r="AP75" s="242"/>
      <c r="AQ75" s="242"/>
      <c r="AR75" s="242"/>
      <c r="AS75" s="242"/>
      <c r="AT75" s="242"/>
      <c r="AU75" s="242"/>
      <c r="AV75" s="242"/>
      <c r="AW75" s="242"/>
      <c r="AX75" s="242"/>
      <c r="AY75" s="242"/>
      <c r="AZ75" s="242"/>
      <c r="BA75" s="242"/>
      <c r="BB75" s="242"/>
      <c r="BC75" s="242"/>
      <c r="BD75" s="242"/>
      <c r="BE75" s="242"/>
      <c r="BF75" s="242"/>
      <c r="BG75" s="242"/>
      <c r="BH75" s="242"/>
      <c r="BI75" s="242"/>
      <c r="BJ75" s="242"/>
      <c r="BK75" s="242"/>
      <c r="BL75" s="242"/>
      <c r="BM75" s="242"/>
      <c r="BN75" s="242"/>
      <c r="BO75" s="242"/>
      <c r="BP75" s="242"/>
      <c r="BQ75" s="242"/>
      <c r="BR75" s="242"/>
      <c r="BS75" s="242"/>
      <c r="BT75" s="242"/>
      <c r="BU75" s="242"/>
      <c r="BV75" s="242"/>
      <c r="BW75" s="242"/>
      <c r="BX75" s="242"/>
      <c r="BY75" s="242"/>
      <c r="BZ75" s="242"/>
      <c r="CA75" s="242"/>
      <c r="CB75" s="242"/>
      <c r="CC75" s="242"/>
      <c r="CD75" s="242"/>
      <c r="CE75" s="242"/>
      <c r="CF75" s="242"/>
      <c r="CG75" s="242"/>
      <c r="CH75" s="242"/>
      <c r="CI75" s="242"/>
      <c r="CJ75" s="242"/>
      <c r="CK75" s="242"/>
      <c r="CL75" s="242"/>
      <c r="CM75" s="242"/>
      <c r="CN75" s="242"/>
      <c r="CO75" s="242"/>
      <c r="CP75" s="242"/>
      <c r="CQ75" s="242"/>
      <c r="CR75" s="242"/>
      <c r="CS75" s="242"/>
      <c r="CT75" s="242"/>
      <c r="CU75" s="242"/>
      <c r="CV75" s="242"/>
      <c r="CW75" s="242"/>
      <c r="CX75" s="242"/>
      <c r="CY75" s="242"/>
      <c r="CZ75" s="242"/>
      <c r="DA75" s="242"/>
      <c r="DB75" s="242"/>
      <c r="DC75" s="242"/>
      <c r="DD75" s="242"/>
      <c r="DE75" s="242"/>
      <c r="DF75" s="242"/>
      <c r="DG75" s="242"/>
      <c r="DH75" s="242"/>
      <c r="DI75" s="242"/>
      <c r="DJ75" s="242"/>
      <c r="DK75" s="242"/>
      <c r="DL75" s="242"/>
      <c r="DM75" s="242"/>
      <c r="DN75" s="242"/>
      <c r="DO75" s="242"/>
      <c r="DP75" s="242"/>
      <c r="DQ75" s="242"/>
      <c r="DR75" s="242"/>
      <c r="DS75" s="242"/>
      <c r="DT75" s="242"/>
      <c r="DU75" s="242"/>
      <c r="DV75" s="242"/>
      <c r="DW75" s="242"/>
      <c r="DX75" s="242"/>
      <c r="DY75" s="242"/>
      <c r="DZ75" s="242"/>
      <c r="EA75" s="242"/>
      <c r="EB75" s="242"/>
      <c r="EC75" s="242"/>
      <c r="ED75" s="242"/>
      <c r="EE75" s="242"/>
      <c r="EF75" s="242"/>
      <c r="EG75" s="242"/>
      <c r="EH75" s="242"/>
      <c r="EI75" s="242"/>
      <c r="EJ75" s="242"/>
      <c r="EK75" s="242"/>
      <c r="EL75" s="242"/>
      <c r="EM75" s="242"/>
      <c r="EN75" s="242"/>
      <c r="EO75" s="242"/>
      <c r="EP75" s="242"/>
      <c r="EQ75" s="242"/>
      <c r="ER75" s="242"/>
      <c r="ES75" s="242"/>
      <c r="ET75" s="242"/>
      <c r="EU75" s="242"/>
      <c r="EV75" s="242"/>
      <c r="EW75" s="242"/>
      <c r="EX75" s="242"/>
      <c r="EY75" s="242"/>
      <c r="EZ75" s="242"/>
      <c r="FA75" s="242"/>
      <c r="FB75" s="242"/>
      <c r="FC75" s="242"/>
      <c r="FD75" s="242"/>
      <c r="FE75" s="242"/>
      <c r="FF75" s="242"/>
      <c r="FG75" s="242"/>
      <c r="FH75" s="242"/>
      <c r="FI75" s="242"/>
      <c r="FJ75" s="242"/>
      <c r="FK75" s="242"/>
      <c r="FL75" s="242"/>
      <c r="FM75" s="242"/>
      <c r="FN75" s="242"/>
      <c r="FO75" s="242"/>
      <c r="FP75" s="242"/>
      <c r="FQ75" s="242"/>
      <c r="FR75" s="242"/>
      <c r="FS75" s="242"/>
      <c r="FT75" s="242"/>
      <c r="FU75" s="242"/>
      <c r="FV75" s="242"/>
      <c r="FW75" s="242"/>
      <c r="FX75" s="242"/>
      <c r="FY75" s="242"/>
      <c r="FZ75" s="242"/>
      <c r="GA75" s="242"/>
      <c r="GB75" s="242"/>
      <c r="GC75" s="242"/>
      <c r="GD75" s="242"/>
      <c r="GE75" s="242"/>
      <c r="GF75" s="242"/>
      <c r="GG75" s="242"/>
      <c r="GH75" s="242"/>
      <c r="GI75" s="242"/>
      <c r="GJ75" s="242"/>
      <c r="GK75" s="242"/>
      <c r="GL75" s="242"/>
      <c r="GM75" s="242"/>
      <c r="GN75" s="242"/>
      <c r="GO75" s="242"/>
      <c r="GP75" s="242"/>
      <c r="GQ75" s="242"/>
      <c r="GR75" s="242"/>
      <c r="GS75" s="242"/>
      <c r="GT75" s="242"/>
      <c r="GU75" s="242"/>
      <c r="GV75" s="242"/>
      <c r="GW75" s="242"/>
      <c r="GX75" s="242"/>
      <c r="GY75" s="242"/>
      <c r="GZ75" s="242"/>
      <c r="HA75" s="242"/>
      <c r="HB75" s="242"/>
      <c r="HC75" s="242"/>
      <c r="HD75" s="242"/>
      <c r="HE75" s="242"/>
      <c r="HF75" s="242"/>
      <c r="HG75" s="242"/>
      <c r="HH75" s="242"/>
      <c r="HI75" s="242"/>
      <c r="HJ75" s="242"/>
      <c r="HK75" s="242"/>
      <c r="HL75" s="242"/>
      <c r="HM75" s="242"/>
      <c r="HN75" s="242"/>
      <c r="HO75" s="243"/>
    </row>
    <row r="76" spans="1:223" ht="12.75" hidden="1" customHeight="1">
      <c r="A76" s="83">
        <f t="shared" si="14"/>
        <v>71</v>
      </c>
      <c r="B76" s="84"/>
      <c r="C76" s="84"/>
      <c r="D76" s="84"/>
      <c r="E76" s="84"/>
      <c r="F76" s="84" t="str">
        <f t="shared" si="12"/>
        <v>///</v>
      </c>
      <c r="G76" s="249">
        <f t="shared" si="15"/>
        <v>0</v>
      </c>
      <c r="H76" s="240">
        <f t="shared" si="13"/>
        <v>0</v>
      </c>
      <c r="I76" s="243"/>
      <c r="J76" s="243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242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  <c r="AM76" s="242"/>
      <c r="AN76" s="242"/>
      <c r="AO76" s="242"/>
      <c r="AP76" s="242"/>
      <c r="AQ76" s="242"/>
      <c r="AR76" s="242"/>
      <c r="AS76" s="242"/>
      <c r="AT76" s="242"/>
      <c r="AU76" s="242"/>
      <c r="AV76" s="242"/>
      <c r="AW76" s="242"/>
      <c r="AX76" s="242"/>
      <c r="AY76" s="242"/>
      <c r="AZ76" s="242"/>
      <c r="BA76" s="242"/>
      <c r="BB76" s="242"/>
      <c r="BC76" s="242"/>
      <c r="BD76" s="242"/>
      <c r="BE76" s="242"/>
      <c r="BF76" s="242"/>
      <c r="BG76" s="242"/>
      <c r="BH76" s="242"/>
      <c r="BI76" s="242"/>
      <c r="BJ76" s="242"/>
      <c r="BK76" s="242"/>
      <c r="BL76" s="242"/>
      <c r="BM76" s="242"/>
      <c r="BN76" s="242"/>
      <c r="BO76" s="242"/>
      <c r="BP76" s="242"/>
      <c r="BQ76" s="242"/>
      <c r="BR76" s="242"/>
      <c r="BS76" s="242"/>
      <c r="BT76" s="242"/>
      <c r="BU76" s="242"/>
      <c r="BV76" s="242"/>
      <c r="BW76" s="242"/>
      <c r="BX76" s="242"/>
      <c r="BY76" s="242"/>
      <c r="BZ76" s="242"/>
      <c r="CA76" s="242"/>
      <c r="CB76" s="242"/>
      <c r="CC76" s="242"/>
      <c r="CD76" s="242"/>
      <c r="CE76" s="242"/>
      <c r="CF76" s="242"/>
      <c r="CG76" s="242"/>
      <c r="CH76" s="242"/>
      <c r="CI76" s="242"/>
      <c r="CJ76" s="242"/>
      <c r="CK76" s="242"/>
      <c r="CL76" s="242"/>
      <c r="CM76" s="242"/>
      <c r="CN76" s="242"/>
      <c r="CO76" s="242"/>
      <c r="CP76" s="242"/>
      <c r="CQ76" s="242"/>
      <c r="CR76" s="242"/>
      <c r="CS76" s="242"/>
      <c r="CT76" s="242"/>
      <c r="CU76" s="242"/>
      <c r="CV76" s="242"/>
      <c r="CW76" s="242"/>
      <c r="CX76" s="242"/>
      <c r="CY76" s="242"/>
      <c r="CZ76" s="242"/>
      <c r="DA76" s="242"/>
      <c r="DB76" s="242"/>
      <c r="DC76" s="242"/>
      <c r="DD76" s="242"/>
      <c r="DE76" s="242"/>
      <c r="DF76" s="242"/>
      <c r="DG76" s="242"/>
      <c r="DH76" s="242"/>
      <c r="DI76" s="242"/>
      <c r="DJ76" s="242"/>
      <c r="DK76" s="242"/>
      <c r="DL76" s="242"/>
      <c r="DM76" s="242"/>
      <c r="DN76" s="242"/>
      <c r="DO76" s="242"/>
      <c r="DP76" s="242"/>
      <c r="DQ76" s="242"/>
      <c r="DR76" s="242"/>
      <c r="DS76" s="242"/>
      <c r="DT76" s="242"/>
      <c r="DU76" s="242"/>
      <c r="DV76" s="242"/>
      <c r="DW76" s="242"/>
      <c r="DX76" s="242"/>
      <c r="DY76" s="242"/>
      <c r="DZ76" s="242"/>
      <c r="EA76" s="242"/>
      <c r="EB76" s="242"/>
      <c r="EC76" s="242"/>
      <c r="ED76" s="242"/>
      <c r="EE76" s="242"/>
      <c r="EF76" s="242"/>
      <c r="EG76" s="242"/>
      <c r="EH76" s="242"/>
      <c r="EI76" s="242"/>
      <c r="EJ76" s="242"/>
      <c r="EK76" s="242"/>
      <c r="EL76" s="242"/>
      <c r="EM76" s="242"/>
      <c r="EN76" s="242"/>
      <c r="EO76" s="242"/>
      <c r="EP76" s="242"/>
      <c r="EQ76" s="242"/>
      <c r="ER76" s="242"/>
      <c r="ES76" s="242"/>
      <c r="ET76" s="242"/>
      <c r="EU76" s="242"/>
      <c r="EV76" s="242"/>
      <c r="EW76" s="242"/>
      <c r="EX76" s="242"/>
      <c r="EY76" s="242"/>
      <c r="EZ76" s="242"/>
      <c r="FA76" s="242"/>
      <c r="FB76" s="242"/>
      <c r="FC76" s="242"/>
      <c r="FD76" s="242"/>
      <c r="FE76" s="242"/>
      <c r="FF76" s="242"/>
      <c r="FG76" s="242"/>
      <c r="FH76" s="242"/>
      <c r="FI76" s="242"/>
      <c r="FJ76" s="242"/>
      <c r="FK76" s="242"/>
      <c r="FL76" s="242"/>
      <c r="FM76" s="242"/>
      <c r="FN76" s="242"/>
      <c r="FO76" s="242"/>
      <c r="FP76" s="242"/>
      <c r="FQ76" s="242"/>
      <c r="FR76" s="242"/>
      <c r="FS76" s="242"/>
      <c r="FT76" s="242"/>
      <c r="FU76" s="242"/>
      <c r="FV76" s="242"/>
      <c r="FW76" s="242"/>
      <c r="FX76" s="242"/>
      <c r="FY76" s="242"/>
      <c r="FZ76" s="242"/>
      <c r="GA76" s="242"/>
      <c r="GB76" s="242"/>
      <c r="GC76" s="242"/>
      <c r="GD76" s="242"/>
      <c r="GE76" s="242"/>
      <c r="GF76" s="242"/>
      <c r="GG76" s="242"/>
      <c r="GH76" s="242"/>
      <c r="GI76" s="242"/>
      <c r="GJ76" s="242"/>
      <c r="GK76" s="242"/>
      <c r="GL76" s="242"/>
      <c r="GM76" s="242"/>
      <c r="GN76" s="242"/>
      <c r="GO76" s="242"/>
      <c r="GP76" s="242"/>
      <c r="GQ76" s="242"/>
      <c r="GR76" s="242"/>
      <c r="GS76" s="242"/>
      <c r="GT76" s="242"/>
      <c r="GU76" s="242"/>
      <c r="GV76" s="242"/>
      <c r="GW76" s="242"/>
      <c r="GX76" s="242"/>
      <c r="GY76" s="242"/>
      <c r="GZ76" s="242"/>
      <c r="HA76" s="242"/>
      <c r="HB76" s="242"/>
      <c r="HC76" s="242"/>
      <c r="HD76" s="242"/>
      <c r="HE76" s="242"/>
      <c r="HF76" s="242"/>
      <c r="HG76" s="242"/>
      <c r="HH76" s="242"/>
      <c r="HI76" s="242"/>
      <c r="HJ76" s="242"/>
      <c r="HK76" s="242"/>
      <c r="HL76" s="242"/>
      <c r="HM76" s="242"/>
      <c r="HN76" s="242"/>
      <c r="HO76" s="243"/>
    </row>
    <row r="77" spans="1:223" ht="12.75" hidden="1" customHeight="1">
      <c r="A77" s="83">
        <f t="shared" si="14"/>
        <v>72</v>
      </c>
      <c r="B77" s="84"/>
      <c r="C77" s="84"/>
      <c r="D77" s="84"/>
      <c r="E77" s="84"/>
      <c r="F77" s="84" t="str">
        <f t="shared" si="12"/>
        <v>///</v>
      </c>
      <c r="G77" s="249">
        <f t="shared" si="15"/>
        <v>0</v>
      </c>
      <c r="H77" s="240">
        <f t="shared" si="13"/>
        <v>0</v>
      </c>
      <c r="I77" s="243"/>
      <c r="J77" s="243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242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  <c r="AM77" s="242"/>
      <c r="AN77" s="242"/>
      <c r="AO77" s="242"/>
      <c r="AP77" s="242"/>
      <c r="AQ77" s="242"/>
      <c r="AR77" s="242"/>
      <c r="AS77" s="242"/>
      <c r="AT77" s="242"/>
      <c r="AU77" s="242"/>
      <c r="AV77" s="242"/>
      <c r="AW77" s="242"/>
      <c r="AX77" s="242"/>
      <c r="AY77" s="242"/>
      <c r="AZ77" s="242"/>
      <c r="BA77" s="242"/>
      <c r="BB77" s="242"/>
      <c r="BC77" s="242"/>
      <c r="BD77" s="242"/>
      <c r="BE77" s="242"/>
      <c r="BF77" s="242"/>
      <c r="BG77" s="242"/>
      <c r="BH77" s="242"/>
      <c r="BI77" s="242"/>
      <c r="BJ77" s="242"/>
      <c r="BK77" s="242"/>
      <c r="BL77" s="242"/>
      <c r="BM77" s="242"/>
      <c r="BN77" s="242"/>
      <c r="BO77" s="242"/>
      <c r="BP77" s="242"/>
      <c r="BQ77" s="242"/>
      <c r="BR77" s="242"/>
      <c r="BS77" s="242"/>
      <c r="BT77" s="242"/>
      <c r="BU77" s="242"/>
      <c r="BV77" s="242"/>
      <c r="BW77" s="242"/>
      <c r="BX77" s="242"/>
      <c r="BY77" s="242"/>
      <c r="BZ77" s="242"/>
      <c r="CA77" s="242"/>
      <c r="CB77" s="242"/>
      <c r="CC77" s="242"/>
      <c r="CD77" s="242"/>
      <c r="CE77" s="242"/>
      <c r="CF77" s="242"/>
      <c r="CG77" s="242"/>
      <c r="CH77" s="242"/>
      <c r="CI77" s="242"/>
      <c r="CJ77" s="242"/>
      <c r="CK77" s="242"/>
      <c r="CL77" s="242"/>
      <c r="CM77" s="242"/>
      <c r="CN77" s="242"/>
      <c r="CO77" s="242"/>
      <c r="CP77" s="242"/>
      <c r="CQ77" s="242"/>
      <c r="CR77" s="242"/>
      <c r="CS77" s="242"/>
      <c r="CT77" s="242"/>
      <c r="CU77" s="242"/>
      <c r="CV77" s="242"/>
      <c r="CW77" s="242"/>
      <c r="CX77" s="242"/>
      <c r="CY77" s="242"/>
      <c r="CZ77" s="242"/>
      <c r="DA77" s="242"/>
      <c r="DB77" s="242"/>
      <c r="DC77" s="242"/>
      <c r="DD77" s="242"/>
      <c r="DE77" s="242"/>
      <c r="DF77" s="242"/>
      <c r="DG77" s="242"/>
      <c r="DH77" s="242"/>
      <c r="DI77" s="242"/>
      <c r="DJ77" s="242"/>
      <c r="DK77" s="242"/>
      <c r="DL77" s="242"/>
      <c r="DM77" s="242"/>
      <c r="DN77" s="242"/>
      <c r="DO77" s="242"/>
      <c r="DP77" s="242"/>
      <c r="DQ77" s="242"/>
      <c r="DR77" s="242"/>
      <c r="DS77" s="242"/>
      <c r="DT77" s="242"/>
      <c r="DU77" s="242"/>
      <c r="DV77" s="242"/>
      <c r="DW77" s="242"/>
      <c r="DX77" s="242"/>
      <c r="DY77" s="242"/>
      <c r="DZ77" s="242"/>
      <c r="EA77" s="242"/>
      <c r="EB77" s="242"/>
      <c r="EC77" s="242"/>
      <c r="ED77" s="242"/>
      <c r="EE77" s="242"/>
      <c r="EF77" s="242"/>
      <c r="EG77" s="242"/>
      <c r="EH77" s="242"/>
      <c r="EI77" s="242"/>
      <c r="EJ77" s="242"/>
      <c r="EK77" s="242"/>
      <c r="EL77" s="242"/>
      <c r="EM77" s="242"/>
      <c r="EN77" s="242"/>
      <c r="EO77" s="242"/>
      <c r="EP77" s="242"/>
      <c r="EQ77" s="242"/>
      <c r="ER77" s="242"/>
      <c r="ES77" s="242"/>
      <c r="ET77" s="242"/>
      <c r="EU77" s="242"/>
      <c r="EV77" s="242"/>
      <c r="EW77" s="242"/>
      <c r="EX77" s="242"/>
      <c r="EY77" s="242"/>
      <c r="EZ77" s="242"/>
      <c r="FA77" s="242"/>
      <c r="FB77" s="242"/>
      <c r="FC77" s="242"/>
      <c r="FD77" s="242"/>
      <c r="FE77" s="242"/>
      <c r="FF77" s="242"/>
      <c r="FG77" s="242"/>
      <c r="FH77" s="242"/>
      <c r="FI77" s="242"/>
      <c r="FJ77" s="242"/>
      <c r="FK77" s="242"/>
      <c r="FL77" s="242"/>
      <c r="FM77" s="242"/>
      <c r="FN77" s="242"/>
      <c r="FO77" s="242"/>
      <c r="FP77" s="242"/>
      <c r="FQ77" s="242"/>
      <c r="FR77" s="242"/>
      <c r="FS77" s="242"/>
      <c r="FT77" s="242"/>
      <c r="FU77" s="242"/>
      <c r="FV77" s="242"/>
      <c r="FW77" s="242"/>
      <c r="FX77" s="242"/>
      <c r="FY77" s="242"/>
      <c r="FZ77" s="242"/>
      <c r="GA77" s="242"/>
      <c r="GB77" s="242"/>
      <c r="GC77" s="242"/>
      <c r="GD77" s="242"/>
      <c r="GE77" s="242"/>
      <c r="GF77" s="242"/>
      <c r="GG77" s="242"/>
      <c r="GH77" s="242"/>
      <c r="GI77" s="242"/>
      <c r="GJ77" s="242"/>
      <c r="GK77" s="242"/>
      <c r="GL77" s="242"/>
      <c r="GM77" s="242"/>
      <c r="GN77" s="242"/>
      <c r="GO77" s="242"/>
      <c r="GP77" s="242"/>
      <c r="GQ77" s="242"/>
      <c r="GR77" s="242"/>
      <c r="GS77" s="242"/>
      <c r="GT77" s="242"/>
      <c r="GU77" s="242"/>
      <c r="GV77" s="242"/>
      <c r="GW77" s="242"/>
      <c r="GX77" s="242"/>
      <c r="GY77" s="242"/>
      <c r="GZ77" s="242"/>
      <c r="HA77" s="242"/>
      <c r="HB77" s="242"/>
      <c r="HC77" s="242"/>
      <c r="HD77" s="242"/>
      <c r="HE77" s="242"/>
      <c r="HF77" s="242"/>
      <c r="HG77" s="242"/>
      <c r="HH77" s="242"/>
      <c r="HI77" s="242"/>
      <c r="HJ77" s="242"/>
      <c r="HK77" s="242"/>
      <c r="HL77" s="242"/>
      <c r="HM77" s="242"/>
      <c r="HN77" s="242"/>
      <c r="HO77" s="243"/>
    </row>
    <row r="78" spans="1:223" ht="12.75" hidden="1" customHeight="1">
      <c r="A78" s="83">
        <f t="shared" si="14"/>
        <v>73</v>
      </c>
      <c r="B78" s="84"/>
      <c r="C78" s="84"/>
      <c r="D78" s="84"/>
      <c r="E78" s="84"/>
      <c r="F78" s="84" t="str">
        <f t="shared" si="12"/>
        <v>///</v>
      </c>
      <c r="G78" s="249">
        <f t="shared" si="15"/>
        <v>0</v>
      </c>
      <c r="H78" s="240">
        <f t="shared" si="13"/>
        <v>0</v>
      </c>
      <c r="I78" s="243"/>
      <c r="J78" s="243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242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  <c r="AM78" s="242"/>
      <c r="AN78" s="242"/>
      <c r="AO78" s="242"/>
      <c r="AP78" s="242"/>
      <c r="AQ78" s="242"/>
      <c r="AR78" s="242"/>
      <c r="AS78" s="242"/>
      <c r="AT78" s="242"/>
      <c r="AU78" s="242"/>
      <c r="AV78" s="242"/>
      <c r="AW78" s="242"/>
      <c r="AX78" s="242"/>
      <c r="AY78" s="242"/>
      <c r="AZ78" s="242"/>
      <c r="BA78" s="242"/>
      <c r="BB78" s="242"/>
      <c r="BC78" s="242"/>
      <c r="BD78" s="242"/>
      <c r="BE78" s="242"/>
      <c r="BF78" s="242"/>
      <c r="BG78" s="242"/>
      <c r="BH78" s="242"/>
      <c r="BI78" s="242"/>
      <c r="BJ78" s="242"/>
      <c r="BK78" s="242"/>
      <c r="BL78" s="242"/>
      <c r="BM78" s="242"/>
      <c r="BN78" s="242"/>
      <c r="BO78" s="242"/>
      <c r="BP78" s="242"/>
      <c r="BQ78" s="242"/>
      <c r="BR78" s="242"/>
      <c r="BS78" s="242"/>
      <c r="BT78" s="242"/>
      <c r="BU78" s="242"/>
      <c r="BV78" s="242"/>
      <c r="BW78" s="242"/>
      <c r="BX78" s="242"/>
      <c r="BY78" s="242"/>
      <c r="BZ78" s="242"/>
      <c r="CA78" s="242"/>
      <c r="CB78" s="242"/>
      <c r="CC78" s="242"/>
      <c r="CD78" s="242"/>
      <c r="CE78" s="242"/>
      <c r="CF78" s="242"/>
      <c r="CG78" s="242"/>
      <c r="CH78" s="242"/>
      <c r="CI78" s="242"/>
      <c r="CJ78" s="242"/>
      <c r="CK78" s="242"/>
      <c r="CL78" s="242"/>
      <c r="CM78" s="242"/>
      <c r="CN78" s="242"/>
      <c r="CO78" s="242"/>
      <c r="CP78" s="242"/>
      <c r="CQ78" s="242"/>
      <c r="CR78" s="242"/>
      <c r="CS78" s="242"/>
      <c r="CT78" s="242"/>
      <c r="CU78" s="242"/>
      <c r="CV78" s="242"/>
      <c r="CW78" s="242"/>
      <c r="CX78" s="242"/>
      <c r="CY78" s="242"/>
      <c r="CZ78" s="242"/>
      <c r="DA78" s="242"/>
      <c r="DB78" s="242"/>
      <c r="DC78" s="242"/>
      <c r="DD78" s="242"/>
      <c r="DE78" s="242"/>
      <c r="DF78" s="242"/>
      <c r="DG78" s="242"/>
      <c r="DH78" s="242"/>
      <c r="DI78" s="242"/>
      <c r="DJ78" s="242"/>
      <c r="DK78" s="242"/>
      <c r="DL78" s="242"/>
      <c r="DM78" s="242"/>
      <c r="DN78" s="242"/>
      <c r="DO78" s="242"/>
      <c r="DP78" s="242"/>
      <c r="DQ78" s="242"/>
      <c r="DR78" s="242"/>
      <c r="DS78" s="242"/>
      <c r="DT78" s="242"/>
      <c r="DU78" s="242"/>
      <c r="DV78" s="242"/>
      <c r="DW78" s="242"/>
      <c r="DX78" s="242"/>
      <c r="DY78" s="242"/>
      <c r="DZ78" s="242"/>
      <c r="EA78" s="242"/>
      <c r="EB78" s="242"/>
      <c r="EC78" s="242"/>
      <c r="ED78" s="242"/>
      <c r="EE78" s="242"/>
      <c r="EF78" s="242"/>
      <c r="EG78" s="242"/>
      <c r="EH78" s="242"/>
      <c r="EI78" s="242"/>
      <c r="EJ78" s="242"/>
      <c r="EK78" s="242"/>
      <c r="EL78" s="242"/>
      <c r="EM78" s="242"/>
      <c r="EN78" s="242"/>
      <c r="EO78" s="242"/>
      <c r="EP78" s="242"/>
      <c r="EQ78" s="242"/>
      <c r="ER78" s="242"/>
      <c r="ES78" s="242"/>
      <c r="ET78" s="242"/>
      <c r="EU78" s="242"/>
      <c r="EV78" s="242"/>
      <c r="EW78" s="242"/>
      <c r="EX78" s="242"/>
      <c r="EY78" s="242"/>
      <c r="EZ78" s="242"/>
      <c r="FA78" s="242"/>
      <c r="FB78" s="242"/>
      <c r="FC78" s="242"/>
      <c r="FD78" s="242"/>
      <c r="FE78" s="242"/>
      <c r="FF78" s="242"/>
      <c r="FG78" s="242"/>
      <c r="FH78" s="242"/>
      <c r="FI78" s="242"/>
      <c r="FJ78" s="242"/>
      <c r="FK78" s="242"/>
      <c r="FL78" s="242"/>
      <c r="FM78" s="242"/>
      <c r="FN78" s="242"/>
      <c r="FO78" s="242"/>
      <c r="FP78" s="242"/>
      <c r="FQ78" s="242"/>
      <c r="FR78" s="242"/>
      <c r="FS78" s="242"/>
      <c r="FT78" s="242"/>
      <c r="FU78" s="242"/>
      <c r="FV78" s="242"/>
      <c r="FW78" s="242"/>
      <c r="FX78" s="242"/>
      <c r="FY78" s="242"/>
      <c r="FZ78" s="242"/>
      <c r="GA78" s="242"/>
      <c r="GB78" s="242"/>
      <c r="GC78" s="242"/>
      <c r="GD78" s="242"/>
      <c r="GE78" s="242"/>
      <c r="GF78" s="242"/>
      <c r="GG78" s="242"/>
      <c r="GH78" s="242"/>
      <c r="GI78" s="242"/>
      <c r="GJ78" s="242"/>
      <c r="GK78" s="242"/>
      <c r="GL78" s="242"/>
      <c r="GM78" s="242"/>
      <c r="GN78" s="242"/>
      <c r="GO78" s="242"/>
      <c r="GP78" s="242"/>
      <c r="GQ78" s="242"/>
      <c r="GR78" s="242"/>
      <c r="GS78" s="242"/>
      <c r="GT78" s="242"/>
      <c r="GU78" s="242"/>
      <c r="GV78" s="242"/>
      <c r="GW78" s="242"/>
      <c r="GX78" s="242"/>
      <c r="GY78" s="242"/>
      <c r="GZ78" s="242"/>
      <c r="HA78" s="242"/>
      <c r="HB78" s="242"/>
      <c r="HC78" s="242"/>
      <c r="HD78" s="242"/>
      <c r="HE78" s="242"/>
      <c r="HF78" s="242"/>
      <c r="HG78" s="242"/>
      <c r="HH78" s="242"/>
      <c r="HI78" s="242"/>
      <c r="HJ78" s="242"/>
      <c r="HK78" s="242"/>
      <c r="HL78" s="242"/>
      <c r="HM78" s="242"/>
      <c r="HN78" s="242"/>
      <c r="HO78" s="243"/>
    </row>
    <row r="79" spans="1:223" ht="12.75" hidden="1" customHeight="1">
      <c r="A79" s="83">
        <f t="shared" si="14"/>
        <v>74</v>
      </c>
      <c r="B79" s="84"/>
      <c r="C79" s="84"/>
      <c r="D79" s="84"/>
      <c r="E79" s="84"/>
      <c r="F79" s="84" t="str">
        <f t="shared" si="12"/>
        <v>///</v>
      </c>
      <c r="G79" s="249">
        <f t="shared" si="15"/>
        <v>0</v>
      </c>
      <c r="H79" s="240">
        <f t="shared" si="13"/>
        <v>0</v>
      </c>
      <c r="I79" s="243"/>
      <c r="J79" s="243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242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  <c r="AM79" s="242"/>
      <c r="AN79" s="242"/>
      <c r="AO79" s="242"/>
      <c r="AP79" s="242"/>
      <c r="AQ79" s="242"/>
      <c r="AR79" s="242"/>
      <c r="AS79" s="242"/>
      <c r="AT79" s="242"/>
      <c r="AU79" s="242"/>
      <c r="AV79" s="242"/>
      <c r="AW79" s="242"/>
      <c r="AX79" s="242"/>
      <c r="AY79" s="242"/>
      <c r="AZ79" s="242"/>
      <c r="BA79" s="242"/>
      <c r="BB79" s="242"/>
      <c r="BC79" s="242"/>
      <c r="BD79" s="242"/>
      <c r="BE79" s="242"/>
      <c r="BF79" s="242"/>
      <c r="BG79" s="242"/>
      <c r="BH79" s="242"/>
      <c r="BI79" s="242"/>
      <c r="BJ79" s="242"/>
      <c r="BK79" s="242"/>
      <c r="BL79" s="242"/>
      <c r="BM79" s="242"/>
      <c r="BN79" s="242"/>
      <c r="BO79" s="242"/>
      <c r="BP79" s="242"/>
      <c r="BQ79" s="242"/>
      <c r="BR79" s="242"/>
      <c r="BS79" s="242"/>
      <c r="BT79" s="242"/>
      <c r="BU79" s="242"/>
      <c r="BV79" s="242"/>
      <c r="BW79" s="242"/>
      <c r="BX79" s="242"/>
      <c r="BY79" s="242"/>
      <c r="BZ79" s="242"/>
      <c r="CA79" s="242"/>
      <c r="CB79" s="242"/>
      <c r="CC79" s="242"/>
      <c r="CD79" s="242"/>
      <c r="CE79" s="242"/>
      <c r="CF79" s="242"/>
      <c r="CG79" s="242"/>
      <c r="CH79" s="242"/>
      <c r="CI79" s="242"/>
      <c r="CJ79" s="242"/>
      <c r="CK79" s="242"/>
      <c r="CL79" s="242"/>
      <c r="CM79" s="242"/>
      <c r="CN79" s="242"/>
      <c r="CO79" s="242"/>
      <c r="CP79" s="242"/>
      <c r="CQ79" s="242"/>
      <c r="CR79" s="242"/>
      <c r="CS79" s="242"/>
      <c r="CT79" s="242"/>
      <c r="CU79" s="242"/>
      <c r="CV79" s="242"/>
      <c r="CW79" s="242"/>
      <c r="CX79" s="242"/>
      <c r="CY79" s="242"/>
      <c r="CZ79" s="242"/>
      <c r="DA79" s="242"/>
      <c r="DB79" s="242"/>
      <c r="DC79" s="242"/>
      <c r="DD79" s="242"/>
      <c r="DE79" s="242"/>
      <c r="DF79" s="242"/>
      <c r="DG79" s="242"/>
      <c r="DH79" s="242"/>
      <c r="DI79" s="242"/>
      <c r="DJ79" s="242"/>
      <c r="DK79" s="242"/>
      <c r="DL79" s="242"/>
      <c r="DM79" s="242"/>
      <c r="DN79" s="242"/>
      <c r="DO79" s="242"/>
      <c r="DP79" s="242"/>
      <c r="DQ79" s="242"/>
      <c r="DR79" s="242"/>
      <c r="DS79" s="242"/>
      <c r="DT79" s="242"/>
      <c r="DU79" s="242"/>
      <c r="DV79" s="242"/>
      <c r="DW79" s="242"/>
      <c r="DX79" s="242"/>
      <c r="DY79" s="242"/>
      <c r="DZ79" s="242"/>
      <c r="EA79" s="242"/>
      <c r="EB79" s="242"/>
      <c r="EC79" s="242"/>
      <c r="ED79" s="242"/>
      <c r="EE79" s="242"/>
      <c r="EF79" s="242"/>
      <c r="EG79" s="242"/>
      <c r="EH79" s="242"/>
      <c r="EI79" s="242"/>
      <c r="EJ79" s="242"/>
      <c r="EK79" s="242"/>
      <c r="EL79" s="242"/>
      <c r="EM79" s="242"/>
      <c r="EN79" s="242"/>
      <c r="EO79" s="242"/>
      <c r="EP79" s="242"/>
      <c r="EQ79" s="242"/>
      <c r="ER79" s="242"/>
      <c r="ES79" s="242"/>
      <c r="ET79" s="242"/>
      <c r="EU79" s="242"/>
      <c r="EV79" s="242"/>
      <c r="EW79" s="242"/>
      <c r="EX79" s="242"/>
      <c r="EY79" s="242"/>
      <c r="EZ79" s="242"/>
      <c r="FA79" s="242"/>
      <c r="FB79" s="242"/>
      <c r="FC79" s="242"/>
      <c r="FD79" s="242"/>
      <c r="FE79" s="242"/>
      <c r="FF79" s="242"/>
      <c r="FG79" s="242"/>
      <c r="FH79" s="242"/>
      <c r="FI79" s="242"/>
      <c r="FJ79" s="242"/>
      <c r="FK79" s="242"/>
      <c r="FL79" s="242"/>
      <c r="FM79" s="242"/>
      <c r="FN79" s="242"/>
      <c r="FO79" s="242"/>
      <c r="FP79" s="242"/>
      <c r="FQ79" s="242"/>
      <c r="FR79" s="242"/>
      <c r="FS79" s="242"/>
      <c r="FT79" s="242"/>
      <c r="FU79" s="242"/>
      <c r="FV79" s="242"/>
      <c r="FW79" s="242"/>
      <c r="FX79" s="242"/>
      <c r="FY79" s="242"/>
      <c r="FZ79" s="242"/>
      <c r="GA79" s="242"/>
      <c r="GB79" s="242"/>
      <c r="GC79" s="242"/>
      <c r="GD79" s="242"/>
      <c r="GE79" s="242"/>
      <c r="GF79" s="242"/>
      <c r="GG79" s="242"/>
      <c r="GH79" s="242"/>
      <c r="GI79" s="242"/>
      <c r="GJ79" s="242"/>
      <c r="GK79" s="242"/>
      <c r="GL79" s="242"/>
      <c r="GM79" s="242"/>
      <c r="GN79" s="242"/>
      <c r="GO79" s="242"/>
      <c r="GP79" s="242"/>
      <c r="GQ79" s="242"/>
      <c r="GR79" s="242"/>
      <c r="GS79" s="242"/>
      <c r="GT79" s="242"/>
      <c r="GU79" s="242"/>
      <c r="GV79" s="242"/>
      <c r="GW79" s="242"/>
      <c r="GX79" s="242"/>
      <c r="GY79" s="242"/>
      <c r="GZ79" s="242"/>
      <c r="HA79" s="242"/>
      <c r="HB79" s="242"/>
      <c r="HC79" s="242"/>
      <c r="HD79" s="242"/>
      <c r="HE79" s="242"/>
      <c r="HF79" s="242"/>
      <c r="HG79" s="242"/>
      <c r="HH79" s="242"/>
      <c r="HI79" s="242"/>
      <c r="HJ79" s="242"/>
      <c r="HK79" s="242"/>
      <c r="HL79" s="242"/>
      <c r="HM79" s="242"/>
      <c r="HN79" s="242"/>
      <c r="HO79" s="243"/>
    </row>
    <row r="80" spans="1:223" ht="12.75" hidden="1" customHeight="1">
      <c r="A80" s="83">
        <f t="shared" si="14"/>
        <v>75</v>
      </c>
      <c r="B80" s="84"/>
      <c r="C80" s="84"/>
      <c r="D80" s="84"/>
      <c r="E80" s="84"/>
      <c r="F80" s="84" t="str">
        <f t="shared" si="12"/>
        <v>///</v>
      </c>
      <c r="G80" s="249">
        <f t="shared" si="15"/>
        <v>0</v>
      </c>
      <c r="H80" s="240">
        <f t="shared" si="13"/>
        <v>0</v>
      </c>
      <c r="I80" s="243"/>
      <c r="J80" s="243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42"/>
      <c r="AO80" s="242"/>
      <c r="AP80" s="242"/>
      <c r="AQ80" s="242"/>
      <c r="AR80" s="242"/>
      <c r="AS80" s="242"/>
      <c r="AT80" s="242"/>
      <c r="AU80" s="242"/>
      <c r="AV80" s="242"/>
      <c r="AW80" s="242"/>
      <c r="AX80" s="242"/>
      <c r="AY80" s="242"/>
      <c r="AZ80" s="242"/>
      <c r="BA80" s="242"/>
      <c r="BB80" s="242"/>
      <c r="BC80" s="242"/>
      <c r="BD80" s="242"/>
      <c r="BE80" s="242"/>
      <c r="BF80" s="242"/>
      <c r="BG80" s="242"/>
      <c r="BH80" s="242"/>
      <c r="BI80" s="242"/>
      <c r="BJ80" s="242"/>
      <c r="BK80" s="242"/>
      <c r="BL80" s="242"/>
      <c r="BM80" s="242"/>
      <c r="BN80" s="242"/>
      <c r="BO80" s="242"/>
      <c r="BP80" s="242"/>
      <c r="BQ80" s="242"/>
      <c r="BR80" s="242"/>
      <c r="BS80" s="242"/>
      <c r="BT80" s="242"/>
      <c r="BU80" s="242"/>
      <c r="BV80" s="242"/>
      <c r="BW80" s="242"/>
      <c r="BX80" s="242"/>
      <c r="BY80" s="242"/>
      <c r="BZ80" s="242"/>
      <c r="CA80" s="242"/>
      <c r="CB80" s="242"/>
      <c r="CC80" s="242"/>
      <c r="CD80" s="242"/>
      <c r="CE80" s="242"/>
      <c r="CF80" s="242"/>
      <c r="CG80" s="242"/>
      <c r="CH80" s="242"/>
      <c r="CI80" s="242"/>
      <c r="CJ80" s="242"/>
      <c r="CK80" s="242"/>
      <c r="CL80" s="242"/>
      <c r="CM80" s="242"/>
      <c r="CN80" s="242"/>
      <c r="CO80" s="242"/>
      <c r="CP80" s="242"/>
      <c r="CQ80" s="242"/>
      <c r="CR80" s="242"/>
      <c r="CS80" s="242"/>
      <c r="CT80" s="242"/>
      <c r="CU80" s="242"/>
      <c r="CV80" s="242"/>
      <c r="CW80" s="242"/>
      <c r="CX80" s="242"/>
      <c r="CY80" s="242"/>
      <c r="CZ80" s="242"/>
      <c r="DA80" s="242"/>
      <c r="DB80" s="242"/>
      <c r="DC80" s="242"/>
      <c r="DD80" s="242"/>
      <c r="DE80" s="242"/>
      <c r="DF80" s="242"/>
      <c r="DG80" s="242"/>
      <c r="DH80" s="242"/>
      <c r="DI80" s="242"/>
      <c r="DJ80" s="242"/>
      <c r="DK80" s="242"/>
      <c r="DL80" s="242"/>
      <c r="DM80" s="242"/>
      <c r="DN80" s="242"/>
      <c r="DO80" s="242"/>
      <c r="DP80" s="242"/>
      <c r="DQ80" s="242"/>
      <c r="DR80" s="242"/>
      <c r="DS80" s="242"/>
      <c r="DT80" s="242"/>
      <c r="DU80" s="242"/>
      <c r="DV80" s="242"/>
      <c r="DW80" s="242"/>
      <c r="DX80" s="242"/>
      <c r="DY80" s="242"/>
      <c r="DZ80" s="242"/>
      <c r="EA80" s="242"/>
      <c r="EB80" s="242"/>
      <c r="EC80" s="242"/>
      <c r="ED80" s="242"/>
      <c r="EE80" s="242"/>
      <c r="EF80" s="242"/>
      <c r="EG80" s="242"/>
      <c r="EH80" s="242"/>
      <c r="EI80" s="242"/>
      <c r="EJ80" s="242"/>
      <c r="EK80" s="242"/>
      <c r="EL80" s="242"/>
      <c r="EM80" s="242"/>
      <c r="EN80" s="242"/>
      <c r="EO80" s="242"/>
      <c r="EP80" s="242"/>
      <c r="EQ80" s="242"/>
      <c r="ER80" s="242"/>
      <c r="ES80" s="242"/>
      <c r="ET80" s="242"/>
      <c r="EU80" s="242"/>
      <c r="EV80" s="242"/>
      <c r="EW80" s="242"/>
      <c r="EX80" s="242"/>
      <c r="EY80" s="242"/>
      <c r="EZ80" s="242"/>
      <c r="FA80" s="242"/>
      <c r="FB80" s="242"/>
      <c r="FC80" s="242"/>
      <c r="FD80" s="242"/>
      <c r="FE80" s="242"/>
      <c r="FF80" s="242"/>
      <c r="FG80" s="242"/>
      <c r="FH80" s="242"/>
      <c r="FI80" s="242"/>
      <c r="FJ80" s="242"/>
      <c r="FK80" s="242"/>
      <c r="FL80" s="242"/>
      <c r="FM80" s="242"/>
      <c r="FN80" s="242"/>
      <c r="FO80" s="242"/>
      <c r="FP80" s="242"/>
      <c r="FQ80" s="242"/>
      <c r="FR80" s="242"/>
      <c r="FS80" s="242"/>
      <c r="FT80" s="242"/>
      <c r="FU80" s="242"/>
      <c r="FV80" s="242"/>
      <c r="FW80" s="242"/>
      <c r="FX80" s="242"/>
      <c r="FY80" s="242"/>
      <c r="FZ80" s="242"/>
      <c r="GA80" s="242"/>
      <c r="GB80" s="242"/>
      <c r="GC80" s="242"/>
      <c r="GD80" s="242"/>
      <c r="GE80" s="242"/>
      <c r="GF80" s="242"/>
      <c r="GG80" s="242"/>
      <c r="GH80" s="242"/>
      <c r="GI80" s="242"/>
      <c r="GJ80" s="242"/>
      <c r="GK80" s="242"/>
      <c r="GL80" s="242"/>
      <c r="GM80" s="242"/>
      <c r="GN80" s="242"/>
      <c r="GO80" s="242"/>
      <c r="GP80" s="242"/>
      <c r="GQ80" s="242"/>
      <c r="GR80" s="242"/>
      <c r="GS80" s="242"/>
      <c r="GT80" s="242"/>
      <c r="GU80" s="242"/>
      <c r="GV80" s="242"/>
      <c r="GW80" s="242"/>
      <c r="GX80" s="242"/>
      <c r="GY80" s="242"/>
      <c r="GZ80" s="242"/>
      <c r="HA80" s="242"/>
      <c r="HB80" s="242"/>
      <c r="HC80" s="242"/>
      <c r="HD80" s="242"/>
      <c r="HE80" s="242"/>
      <c r="HF80" s="242"/>
      <c r="HG80" s="242"/>
      <c r="HH80" s="242"/>
      <c r="HI80" s="242"/>
      <c r="HJ80" s="242"/>
      <c r="HK80" s="242"/>
      <c r="HL80" s="242"/>
      <c r="HM80" s="242"/>
      <c r="HN80" s="242"/>
      <c r="HO80" s="243"/>
    </row>
    <row r="81" spans="1:223" ht="12.75" hidden="1" customHeight="1">
      <c r="A81" s="83">
        <f t="shared" si="14"/>
        <v>76</v>
      </c>
      <c r="B81" s="84"/>
      <c r="C81" s="84"/>
      <c r="D81" s="84"/>
      <c r="E81" s="84"/>
      <c r="F81" s="84" t="str">
        <f t="shared" si="12"/>
        <v>///</v>
      </c>
      <c r="G81" s="249">
        <f t="shared" si="15"/>
        <v>0</v>
      </c>
      <c r="H81" s="240">
        <f t="shared" si="13"/>
        <v>0</v>
      </c>
      <c r="I81" s="243"/>
      <c r="J81" s="243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42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  <c r="AM81" s="242"/>
      <c r="AN81" s="242"/>
      <c r="AO81" s="242"/>
      <c r="AP81" s="242"/>
      <c r="AQ81" s="242"/>
      <c r="AR81" s="242"/>
      <c r="AS81" s="242"/>
      <c r="AT81" s="242"/>
      <c r="AU81" s="242"/>
      <c r="AV81" s="242"/>
      <c r="AW81" s="242"/>
      <c r="AX81" s="242"/>
      <c r="AY81" s="242"/>
      <c r="AZ81" s="242"/>
      <c r="BA81" s="242"/>
      <c r="BB81" s="242"/>
      <c r="BC81" s="242"/>
      <c r="BD81" s="242"/>
      <c r="BE81" s="242"/>
      <c r="BF81" s="242"/>
      <c r="BG81" s="242"/>
      <c r="BH81" s="242"/>
      <c r="BI81" s="242"/>
      <c r="BJ81" s="242"/>
      <c r="BK81" s="242"/>
      <c r="BL81" s="242"/>
      <c r="BM81" s="242"/>
      <c r="BN81" s="242"/>
      <c r="BO81" s="242"/>
      <c r="BP81" s="242"/>
      <c r="BQ81" s="242"/>
      <c r="BR81" s="242"/>
      <c r="BS81" s="242"/>
      <c r="BT81" s="242"/>
      <c r="BU81" s="242"/>
      <c r="BV81" s="242"/>
      <c r="BW81" s="242"/>
      <c r="BX81" s="242"/>
      <c r="BY81" s="242"/>
      <c r="BZ81" s="242"/>
      <c r="CA81" s="242"/>
      <c r="CB81" s="242"/>
      <c r="CC81" s="242"/>
      <c r="CD81" s="242"/>
      <c r="CE81" s="242"/>
      <c r="CF81" s="242"/>
      <c r="CG81" s="242"/>
      <c r="CH81" s="242"/>
      <c r="CI81" s="242"/>
      <c r="CJ81" s="242"/>
      <c r="CK81" s="242"/>
      <c r="CL81" s="242"/>
      <c r="CM81" s="242"/>
      <c r="CN81" s="242"/>
      <c r="CO81" s="242"/>
      <c r="CP81" s="242"/>
      <c r="CQ81" s="242"/>
      <c r="CR81" s="242"/>
      <c r="CS81" s="242"/>
      <c r="CT81" s="242"/>
      <c r="CU81" s="242"/>
      <c r="CV81" s="242"/>
      <c r="CW81" s="242"/>
      <c r="CX81" s="242"/>
      <c r="CY81" s="242"/>
      <c r="CZ81" s="242"/>
      <c r="DA81" s="242"/>
      <c r="DB81" s="242"/>
      <c r="DC81" s="242"/>
      <c r="DD81" s="242"/>
      <c r="DE81" s="242"/>
      <c r="DF81" s="242"/>
      <c r="DG81" s="242"/>
      <c r="DH81" s="242"/>
      <c r="DI81" s="242"/>
      <c r="DJ81" s="242"/>
      <c r="DK81" s="242"/>
      <c r="DL81" s="242"/>
      <c r="DM81" s="242"/>
      <c r="DN81" s="242"/>
      <c r="DO81" s="242"/>
      <c r="DP81" s="242"/>
      <c r="DQ81" s="242"/>
      <c r="DR81" s="242"/>
      <c r="DS81" s="242"/>
      <c r="DT81" s="242"/>
      <c r="DU81" s="242"/>
      <c r="DV81" s="242"/>
      <c r="DW81" s="242"/>
      <c r="DX81" s="242"/>
      <c r="DY81" s="242"/>
      <c r="DZ81" s="242"/>
      <c r="EA81" s="242"/>
      <c r="EB81" s="242"/>
      <c r="EC81" s="242"/>
      <c r="ED81" s="242"/>
      <c r="EE81" s="242"/>
      <c r="EF81" s="242"/>
      <c r="EG81" s="242"/>
      <c r="EH81" s="242"/>
      <c r="EI81" s="242"/>
      <c r="EJ81" s="242"/>
      <c r="EK81" s="242"/>
      <c r="EL81" s="242"/>
      <c r="EM81" s="242"/>
      <c r="EN81" s="242"/>
      <c r="EO81" s="242"/>
      <c r="EP81" s="242"/>
      <c r="EQ81" s="242"/>
      <c r="ER81" s="242"/>
      <c r="ES81" s="242"/>
      <c r="ET81" s="242"/>
      <c r="EU81" s="242"/>
      <c r="EV81" s="242"/>
      <c r="EW81" s="242"/>
      <c r="EX81" s="242"/>
      <c r="EY81" s="242"/>
      <c r="EZ81" s="242"/>
      <c r="FA81" s="242"/>
      <c r="FB81" s="242"/>
      <c r="FC81" s="242"/>
      <c r="FD81" s="242"/>
      <c r="FE81" s="242"/>
      <c r="FF81" s="242"/>
      <c r="FG81" s="242"/>
      <c r="FH81" s="242"/>
      <c r="FI81" s="242"/>
      <c r="FJ81" s="242"/>
      <c r="FK81" s="242"/>
      <c r="FL81" s="242"/>
      <c r="FM81" s="242"/>
      <c r="FN81" s="242"/>
      <c r="FO81" s="242"/>
      <c r="FP81" s="242"/>
      <c r="FQ81" s="242"/>
      <c r="FR81" s="242"/>
      <c r="FS81" s="242"/>
      <c r="FT81" s="242"/>
      <c r="FU81" s="242"/>
      <c r="FV81" s="242"/>
      <c r="FW81" s="242"/>
      <c r="FX81" s="242"/>
      <c r="FY81" s="242"/>
      <c r="FZ81" s="242"/>
      <c r="GA81" s="242"/>
      <c r="GB81" s="242"/>
      <c r="GC81" s="242"/>
      <c r="GD81" s="242"/>
      <c r="GE81" s="242"/>
      <c r="GF81" s="242"/>
      <c r="GG81" s="242"/>
      <c r="GH81" s="242"/>
      <c r="GI81" s="242"/>
      <c r="GJ81" s="242"/>
      <c r="GK81" s="242"/>
      <c r="GL81" s="242"/>
      <c r="GM81" s="242"/>
      <c r="GN81" s="242"/>
      <c r="GO81" s="242"/>
      <c r="GP81" s="242"/>
      <c r="GQ81" s="242"/>
      <c r="GR81" s="242"/>
      <c r="GS81" s="242"/>
      <c r="GT81" s="242"/>
      <c r="GU81" s="242"/>
      <c r="GV81" s="242"/>
      <c r="GW81" s="242"/>
      <c r="GX81" s="242"/>
      <c r="GY81" s="242"/>
      <c r="GZ81" s="242"/>
      <c r="HA81" s="242"/>
      <c r="HB81" s="242"/>
      <c r="HC81" s="242"/>
      <c r="HD81" s="242"/>
      <c r="HE81" s="242"/>
      <c r="HF81" s="242"/>
      <c r="HG81" s="242"/>
      <c r="HH81" s="242"/>
      <c r="HI81" s="242"/>
      <c r="HJ81" s="242"/>
      <c r="HK81" s="242"/>
      <c r="HL81" s="242"/>
      <c r="HM81" s="242"/>
      <c r="HN81" s="242"/>
      <c r="HO81" s="243"/>
    </row>
    <row r="82" spans="1:223" ht="12.75" hidden="1" customHeight="1">
      <c r="A82" s="83">
        <f t="shared" si="14"/>
        <v>77</v>
      </c>
      <c r="B82" s="84"/>
      <c r="C82" s="84"/>
      <c r="D82" s="84"/>
      <c r="E82" s="84"/>
      <c r="F82" s="84" t="str">
        <f t="shared" si="12"/>
        <v>///</v>
      </c>
      <c r="G82" s="249">
        <f t="shared" si="15"/>
        <v>0</v>
      </c>
      <c r="H82" s="240">
        <f t="shared" si="13"/>
        <v>0</v>
      </c>
      <c r="I82" s="243"/>
      <c r="J82" s="243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242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  <c r="AM82" s="242"/>
      <c r="AN82" s="242"/>
      <c r="AO82" s="242"/>
      <c r="AP82" s="242"/>
      <c r="AQ82" s="242"/>
      <c r="AR82" s="242"/>
      <c r="AS82" s="242"/>
      <c r="AT82" s="242"/>
      <c r="AU82" s="242"/>
      <c r="AV82" s="242"/>
      <c r="AW82" s="242"/>
      <c r="AX82" s="242"/>
      <c r="AY82" s="242"/>
      <c r="AZ82" s="242"/>
      <c r="BA82" s="242"/>
      <c r="BB82" s="242"/>
      <c r="BC82" s="242"/>
      <c r="BD82" s="242"/>
      <c r="BE82" s="242"/>
      <c r="BF82" s="242"/>
      <c r="BG82" s="242"/>
      <c r="BH82" s="242"/>
      <c r="BI82" s="242"/>
      <c r="BJ82" s="242"/>
      <c r="BK82" s="242"/>
      <c r="BL82" s="242"/>
      <c r="BM82" s="242"/>
      <c r="BN82" s="242"/>
      <c r="BO82" s="242"/>
      <c r="BP82" s="242"/>
      <c r="BQ82" s="242"/>
      <c r="BR82" s="242"/>
      <c r="BS82" s="242"/>
      <c r="BT82" s="242"/>
      <c r="BU82" s="242"/>
      <c r="BV82" s="242"/>
      <c r="BW82" s="242"/>
      <c r="BX82" s="242"/>
      <c r="BY82" s="242"/>
      <c r="BZ82" s="242"/>
      <c r="CA82" s="242"/>
      <c r="CB82" s="242"/>
      <c r="CC82" s="242"/>
      <c r="CD82" s="242"/>
      <c r="CE82" s="242"/>
      <c r="CF82" s="242"/>
      <c r="CG82" s="242"/>
      <c r="CH82" s="242"/>
      <c r="CI82" s="242"/>
      <c r="CJ82" s="242"/>
      <c r="CK82" s="242"/>
      <c r="CL82" s="242"/>
      <c r="CM82" s="242"/>
      <c r="CN82" s="242"/>
      <c r="CO82" s="242"/>
      <c r="CP82" s="242"/>
      <c r="CQ82" s="242"/>
      <c r="CR82" s="242"/>
      <c r="CS82" s="242"/>
      <c r="CT82" s="242"/>
      <c r="CU82" s="242"/>
      <c r="CV82" s="242"/>
      <c r="CW82" s="242"/>
      <c r="CX82" s="242"/>
      <c r="CY82" s="242"/>
      <c r="CZ82" s="242"/>
      <c r="DA82" s="242"/>
      <c r="DB82" s="242"/>
      <c r="DC82" s="242"/>
      <c r="DD82" s="242"/>
      <c r="DE82" s="242"/>
      <c r="DF82" s="242"/>
      <c r="DG82" s="242"/>
      <c r="DH82" s="242"/>
      <c r="DI82" s="242"/>
      <c r="DJ82" s="242"/>
      <c r="DK82" s="242"/>
      <c r="DL82" s="242"/>
      <c r="DM82" s="242"/>
      <c r="DN82" s="242"/>
      <c r="DO82" s="242"/>
      <c r="DP82" s="242"/>
      <c r="DQ82" s="242"/>
      <c r="DR82" s="242"/>
      <c r="DS82" s="242"/>
      <c r="DT82" s="242"/>
      <c r="DU82" s="242"/>
      <c r="DV82" s="242"/>
      <c r="DW82" s="242"/>
      <c r="DX82" s="242"/>
      <c r="DY82" s="242"/>
      <c r="DZ82" s="242"/>
      <c r="EA82" s="242"/>
      <c r="EB82" s="242"/>
      <c r="EC82" s="242"/>
      <c r="ED82" s="242"/>
      <c r="EE82" s="242"/>
      <c r="EF82" s="242"/>
      <c r="EG82" s="242"/>
      <c r="EH82" s="242"/>
      <c r="EI82" s="242"/>
      <c r="EJ82" s="242"/>
      <c r="EK82" s="242"/>
      <c r="EL82" s="242"/>
      <c r="EM82" s="242"/>
      <c r="EN82" s="242"/>
      <c r="EO82" s="242"/>
      <c r="EP82" s="242"/>
      <c r="EQ82" s="242"/>
      <c r="ER82" s="242"/>
      <c r="ES82" s="242"/>
      <c r="ET82" s="242"/>
      <c r="EU82" s="242"/>
      <c r="EV82" s="242"/>
      <c r="EW82" s="242"/>
      <c r="EX82" s="242"/>
      <c r="EY82" s="242"/>
      <c r="EZ82" s="242"/>
      <c r="FA82" s="242"/>
      <c r="FB82" s="242"/>
      <c r="FC82" s="242"/>
      <c r="FD82" s="242"/>
      <c r="FE82" s="242"/>
      <c r="FF82" s="242"/>
      <c r="FG82" s="242"/>
      <c r="FH82" s="242"/>
      <c r="FI82" s="242"/>
      <c r="FJ82" s="242"/>
      <c r="FK82" s="242"/>
      <c r="FL82" s="242"/>
      <c r="FM82" s="242"/>
      <c r="FN82" s="242"/>
      <c r="FO82" s="242"/>
      <c r="FP82" s="242"/>
      <c r="FQ82" s="242"/>
      <c r="FR82" s="242"/>
      <c r="FS82" s="242"/>
      <c r="FT82" s="242"/>
      <c r="FU82" s="242"/>
      <c r="FV82" s="242"/>
      <c r="FW82" s="242"/>
      <c r="FX82" s="242"/>
      <c r="FY82" s="242"/>
      <c r="FZ82" s="242"/>
      <c r="GA82" s="242"/>
      <c r="GB82" s="242"/>
      <c r="GC82" s="242"/>
      <c r="GD82" s="242"/>
      <c r="GE82" s="242"/>
      <c r="GF82" s="242"/>
      <c r="GG82" s="242"/>
      <c r="GH82" s="242"/>
      <c r="GI82" s="242"/>
      <c r="GJ82" s="242"/>
      <c r="GK82" s="242"/>
      <c r="GL82" s="242"/>
      <c r="GM82" s="242"/>
      <c r="GN82" s="242"/>
      <c r="GO82" s="242"/>
      <c r="GP82" s="242"/>
      <c r="GQ82" s="242"/>
      <c r="GR82" s="242"/>
      <c r="GS82" s="242"/>
      <c r="GT82" s="242"/>
      <c r="GU82" s="242"/>
      <c r="GV82" s="242"/>
      <c r="GW82" s="242"/>
      <c r="GX82" s="242"/>
      <c r="GY82" s="242"/>
      <c r="GZ82" s="242"/>
      <c r="HA82" s="242"/>
      <c r="HB82" s="242"/>
      <c r="HC82" s="242"/>
      <c r="HD82" s="242"/>
      <c r="HE82" s="242"/>
      <c r="HF82" s="242"/>
      <c r="HG82" s="242"/>
      <c r="HH82" s="242"/>
      <c r="HI82" s="242"/>
      <c r="HJ82" s="242"/>
      <c r="HK82" s="242"/>
      <c r="HL82" s="242"/>
      <c r="HM82" s="242"/>
      <c r="HN82" s="242"/>
      <c r="HO82" s="243"/>
    </row>
    <row r="83" spans="1:223" ht="12.75" hidden="1" customHeight="1">
      <c r="A83" s="83">
        <f t="shared" si="14"/>
        <v>78</v>
      </c>
      <c r="B83" s="84"/>
      <c r="C83" s="84"/>
      <c r="D83" s="84"/>
      <c r="E83" s="84"/>
      <c r="F83" s="84" t="str">
        <f t="shared" si="12"/>
        <v>///</v>
      </c>
      <c r="G83" s="249">
        <f t="shared" si="15"/>
        <v>0</v>
      </c>
      <c r="H83" s="240">
        <f t="shared" si="13"/>
        <v>0</v>
      </c>
      <c r="I83" s="243"/>
      <c r="J83" s="243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42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  <c r="AM83" s="242"/>
      <c r="AN83" s="242"/>
      <c r="AO83" s="242"/>
      <c r="AP83" s="242"/>
      <c r="AQ83" s="242"/>
      <c r="AR83" s="242"/>
      <c r="AS83" s="242"/>
      <c r="AT83" s="242"/>
      <c r="AU83" s="242"/>
      <c r="AV83" s="242"/>
      <c r="AW83" s="242"/>
      <c r="AX83" s="242"/>
      <c r="AY83" s="242"/>
      <c r="AZ83" s="242"/>
      <c r="BA83" s="242"/>
      <c r="BB83" s="242"/>
      <c r="BC83" s="242"/>
      <c r="BD83" s="242"/>
      <c r="BE83" s="242"/>
      <c r="BF83" s="242"/>
      <c r="BG83" s="242"/>
      <c r="BH83" s="242"/>
      <c r="BI83" s="242"/>
      <c r="BJ83" s="242"/>
      <c r="BK83" s="242"/>
      <c r="BL83" s="242"/>
      <c r="BM83" s="242"/>
      <c r="BN83" s="242"/>
      <c r="BO83" s="242"/>
      <c r="BP83" s="242"/>
      <c r="BQ83" s="242"/>
      <c r="BR83" s="242"/>
      <c r="BS83" s="242"/>
      <c r="BT83" s="242"/>
      <c r="BU83" s="242"/>
      <c r="BV83" s="242"/>
      <c r="BW83" s="242"/>
      <c r="BX83" s="242"/>
      <c r="BY83" s="242"/>
      <c r="BZ83" s="242"/>
      <c r="CA83" s="242"/>
      <c r="CB83" s="242"/>
      <c r="CC83" s="242"/>
      <c r="CD83" s="242"/>
      <c r="CE83" s="242"/>
      <c r="CF83" s="242"/>
      <c r="CG83" s="242"/>
      <c r="CH83" s="242"/>
      <c r="CI83" s="242"/>
      <c r="CJ83" s="242"/>
      <c r="CK83" s="242"/>
      <c r="CL83" s="242"/>
      <c r="CM83" s="242"/>
      <c r="CN83" s="242"/>
      <c r="CO83" s="242"/>
      <c r="CP83" s="242"/>
      <c r="CQ83" s="242"/>
      <c r="CR83" s="242"/>
      <c r="CS83" s="242"/>
      <c r="CT83" s="242"/>
      <c r="CU83" s="242"/>
      <c r="CV83" s="242"/>
      <c r="CW83" s="242"/>
      <c r="CX83" s="242"/>
      <c r="CY83" s="242"/>
      <c r="CZ83" s="242"/>
      <c r="DA83" s="242"/>
      <c r="DB83" s="242"/>
      <c r="DC83" s="242"/>
      <c r="DD83" s="242"/>
      <c r="DE83" s="242"/>
      <c r="DF83" s="242"/>
      <c r="DG83" s="242"/>
      <c r="DH83" s="242"/>
      <c r="DI83" s="242"/>
      <c r="DJ83" s="242"/>
      <c r="DK83" s="242"/>
      <c r="DL83" s="242"/>
      <c r="DM83" s="242"/>
      <c r="DN83" s="242"/>
      <c r="DO83" s="242"/>
      <c r="DP83" s="242"/>
      <c r="DQ83" s="242"/>
      <c r="DR83" s="242"/>
      <c r="DS83" s="242"/>
      <c r="DT83" s="242"/>
      <c r="DU83" s="242"/>
      <c r="DV83" s="242"/>
      <c r="DW83" s="242"/>
      <c r="DX83" s="242"/>
      <c r="DY83" s="242"/>
      <c r="DZ83" s="242"/>
      <c r="EA83" s="242"/>
      <c r="EB83" s="242"/>
      <c r="EC83" s="242"/>
      <c r="ED83" s="242"/>
      <c r="EE83" s="242"/>
      <c r="EF83" s="242"/>
      <c r="EG83" s="242"/>
      <c r="EH83" s="242"/>
      <c r="EI83" s="242"/>
      <c r="EJ83" s="242"/>
      <c r="EK83" s="242"/>
      <c r="EL83" s="242"/>
      <c r="EM83" s="242"/>
      <c r="EN83" s="242"/>
      <c r="EO83" s="242"/>
      <c r="EP83" s="242"/>
      <c r="EQ83" s="242"/>
      <c r="ER83" s="242"/>
      <c r="ES83" s="242"/>
      <c r="ET83" s="242"/>
      <c r="EU83" s="242"/>
      <c r="EV83" s="242"/>
      <c r="EW83" s="242"/>
      <c r="EX83" s="242"/>
      <c r="EY83" s="242"/>
      <c r="EZ83" s="242"/>
      <c r="FA83" s="242"/>
      <c r="FB83" s="242"/>
      <c r="FC83" s="242"/>
      <c r="FD83" s="242"/>
      <c r="FE83" s="242"/>
      <c r="FF83" s="242"/>
      <c r="FG83" s="242"/>
      <c r="FH83" s="242"/>
      <c r="FI83" s="242"/>
      <c r="FJ83" s="242"/>
      <c r="FK83" s="242"/>
      <c r="FL83" s="242"/>
      <c r="FM83" s="242"/>
      <c r="FN83" s="242"/>
      <c r="FO83" s="242"/>
      <c r="FP83" s="242"/>
      <c r="FQ83" s="242"/>
      <c r="FR83" s="242"/>
      <c r="FS83" s="242"/>
      <c r="FT83" s="242"/>
      <c r="FU83" s="242"/>
      <c r="FV83" s="242"/>
      <c r="FW83" s="242"/>
      <c r="FX83" s="242"/>
      <c r="FY83" s="242"/>
      <c r="FZ83" s="242"/>
      <c r="GA83" s="242"/>
      <c r="GB83" s="242"/>
      <c r="GC83" s="242"/>
      <c r="GD83" s="242"/>
      <c r="GE83" s="242"/>
      <c r="GF83" s="242"/>
      <c r="GG83" s="242"/>
      <c r="GH83" s="242"/>
      <c r="GI83" s="242"/>
      <c r="GJ83" s="242"/>
      <c r="GK83" s="242"/>
      <c r="GL83" s="242"/>
      <c r="GM83" s="242"/>
      <c r="GN83" s="242"/>
      <c r="GO83" s="242"/>
      <c r="GP83" s="242"/>
      <c r="GQ83" s="242"/>
      <c r="GR83" s="242"/>
      <c r="GS83" s="242"/>
      <c r="GT83" s="242"/>
      <c r="GU83" s="242"/>
      <c r="GV83" s="242"/>
      <c r="GW83" s="242"/>
      <c r="GX83" s="242"/>
      <c r="GY83" s="242"/>
      <c r="GZ83" s="242"/>
      <c r="HA83" s="242"/>
      <c r="HB83" s="242"/>
      <c r="HC83" s="242"/>
      <c r="HD83" s="242"/>
      <c r="HE83" s="242"/>
      <c r="HF83" s="242"/>
      <c r="HG83" s="242"/>
      <c r="HH83" s="242"/>
      <c r="HI83" s="242"/>
      <c r="HJ83" s="242"/>
      <c r="HK83" s="242"/>
      <c r="HL83" s="242"/>
      <c r="HM83" s="242"/>
      <c r="HN83" s="242"/>
      <c r="HO83" s="243"/>
    </row>
    <row r="84" spans="1:223" ht="12.75" hidden="1" customHeight="1">
      <c r="A84" s="83">
        <f t="shared" si="14"/>
        <v>79</v>
      </c>
      <c r="B84" s="84"/>
      <c r="C84" s="84"/>
      <c r="D84" s="84"/>
      <c r="E84" s="84"/>
      <c r="F84" s="84" t="str">
        <f t="shared" si="12"/>
        <v>///</v>
      </c>
      <c r="G84" s="249">
        <f t="shared" si="15"/>
        <v>0</v>
      </c>
      <c r="H84" s="240">
        <f t="shared" si="13"/>
        <v>0</v>
      </c>
      <c r="I84" s="243"/>
      <c r="J84" s="243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242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  <c r="AM84" s="242"/>
      <c r="AN84" s="242"/>
      <c r="AO84" s="242"/>
      <c r="AP84" s="242"/>
      <c r="AQ84" s="242"/>
      <c r="AR84" s="242"/>
      <c r="AS84" s="242"/>
      <c r="AT84" s="242"/>
      <c r="AU84" s="242"/>
      <c r="AV84" s="242"/>
      <c r="AW84" s="242"/>
      <c r="AX84" s="242"/>
      <c r="AY84" s="242"/>
      <c r="AZ84" s="242"/>
      <c r="BA84" s="242"/>
      <c r="BB84" s="242"/>
      <c r="BC84" s="242"/>
      <c r="BD84" s="242"/>
      <c r="BE84" s="242"/>
      <c r="BF84" s="242"/>
      <c r="BG84" s="242"/>
      <c r="BH84" s="242"/>
      <c r="BI84" s="242"/>
      <c r="BJ84" s="242"/>
      <c r="BK84" s="242"/>
      <c r="BL84" s="242"/>
      <c r="BM84" s="242"/>
      <c r="BN84" s="242"/>
      <c r="BO84" s="242"/>
      <c r="BP84" s="242"/>
      <c r="BQ84" s="242"/>
      <c r="BR84" s="242"/>
      <c r="BS84" s="242"/>
      <c r="BT84" s="242"/>
      <c r="BU84" s="242"/>
      <c r="BV84" s="242"/>
      <c r="BW84" s="242"/>
      <c r="BX84" s="242"/>
      <c r="BY84" s="242"/>
      <c r="BZ84" s="242"/>
      <c r="CA84" s="242"/>
      <c r="CB84" s="242"/>
      <c r="CC84" s="242"/>
      <c r="CD84" s="242"/>
      <c r="CE84" s="242"/>
      <c r="CF84" s="242"/>
      <c r="CG84" s="242"/>
      <c r="CH84" s="242"/>
      <c r="CI84" s="242"/>
      <c r="CJ84" s="242"/>
      <c r="CK84" s="242"/>
      <c r="CL84" s="242"/>
      <c r="CM84" s="242"/>
      <c r="CN84" s="242"/>
      <c r="CO84" s="242"/>
      <c r="CP84" s="242"/>
      <c r="CQ84" s="242"/>
      <c r="CR84" s="242"/>
      <c r="CS84" s="242"/>
      <c r="CT84" s="242"/>
      <c r="CU84" s="242"/>
      <c r="CV84" s="242"/>
      <c r="CW84" s="242"/>
      <c r="CX84" s="242"/>
      <c r="CY84" s="242"/>
      <c r="CZ84" s="242"/>
      <c r="DA84" s="242"/>
      <c r="DB84" s="242"/>
      <c r="DC84" s="242"/>
      <c r="DD84" s="242"/>
      <c r="DE84" s="242"/>
      <c r="DF84" s="242"/>
      <c r="DG84" s="242"/>
      <c r="DH84" s="242"/>
      <c r="DI84" s="242"/>
      <c r="DJ84" s="242"/>
      <c r="DK84" s="242"/>
      <c r="DL84" s="242"/>
      <c r="DM84" s="242"/>
      <c r="DN84" s="242"/>
      <c r="DO84" s="242"/>
      <c r="DP84" s="242"/>
      <c r="DQ84" s="242"/>
      <c r="DR84" s="242"/>
      <c r="DS84" s="242"/>
      <c r="DT84" s="242"/>
      <c r="DU84" s="242"/>
      <c r="DV84" s="242"/>
      <c r="DW84" s="242"/>
      <c r="DX84" s="242"/>
      <c r="DY84" s="242"/>
      <c r="DZ84" s="242"/>
      <c r="EA84" s="242"/>
      <c r="EB84" s="242"/>
      <c r="EC84" s="242"/>
      <c r="ED84" s="242"/>
      <c r="EE84" s="242"/>
      <c r="EF84" s="242"/>
      <c r="EG84" s="242"/>
      <c r="EH84" s="242"/>
      <c r="EI84" s="242"/>
      <c r="EJ84" s="242"/>
      <c r="EK84" s="242"/>
      <c r="EL84" s="242"/>
      <c r="EM84" s="242"/>
      <c r="EN84" s="242"/>
      <c r="EO84" s="242"/>
      <c r="EP84" s="242"/>
      <c r="EQ84" s="242"/>
      <c r="ER84" s="242"/>
      <c r="ES84" s="242"/>
      <c r="ET84" s="242"/>
      <c r="EU84" s="242"/>
      <c r="EV84" s="242"/>
      <c r="EW84" s="242"/>
      <c r="EX84" s="242"/>
      <c r="EY84" s="242"/>
      <c r="EZ84" s="242"/>
      <c r="FA84" s="242"/>
      <c r="FB84" s="242"/>
      <c r="FC84" s="242"/>
      <c r="FD84" s="242"/>
      <c r="FE84" s="242"/>
      <c r="FF84" s="242"/>
      <c r="FG84" s="242"/>
      <c r="FH84" s="242"/>
      <c r="FI84" s="242"/>
      <c r="FJ84" s="242"/>
      <c r="FK84" s="242"/>
      <c r="FL84" s="242"/>
      <c r="FM84" s="242"/>
      <c r="FN84" s="242"/>
      <c r="FO84" s="242"/>
      <c r="FP84" s="242"/>
      <c r="FQ84" s="242"/>
      <c r="FR84" s="242"/>
      <c r="FS84" s="242"/>
      <c r="FT84" s="242"/>
      <c r="FU84" s="242"/>
      <c r="FV84" s="242"/>
      <c r="FW84" s="242"/>
      <c r="FX84" s="242"/>
      <c r="FY84" s="242"/>
      <c r="FZ84" s="242"/>
      <c r="GA84" s="242"/>
      <c r="GB84" s="242"/>
      <c r="GC84" s="242"/>
      <c r="GD84" s="242"/>
      <c r="GE84" s="242"/>
      <c r="GF84" s="242"/>
      <c r="GG84" s="242"/>
      <c r="GH84" s="242"/>
      <c r="GI84" s="242"/>
      <c r="GJ84" s="242"/>
      <c r="GK84" s="242"/>
      <c r="GL84" s="242"/>
      <c r="GM84" s="242"/>
      <c r="GN84" s="242"/>
      <c r="GO84" s="242"/>
      <c r="GP84" s="242"/>
      <c r="GQ84" s="242"/>
      <c r="GR84" s="242"/>
      <c r="GS84" s="242"/>
      <c r="GT84" s="242"/>
      <c r="GU84" s="242"/>
      <c r="GV84" s="242"/>
      <c r="GW84" s="242"/>
      <c r="GX84" s="242"/>
      <c r="GY84" s="242"/>
      <c r="GZ84" s="242"/>
      <c r="HA84" s="242"/>
      <c r="HB84" s="242"/>
      <c r="HC84" s="242"/>
      <c r="HD84" s="242"/>
      <c r="HE84" s="242"/>
      <c r="HF84" s="242"/>
      <c r="HG84" s="242"/>
      <c r="HH84" s="242"/>
      <c r="HI84" s="242"/>
      <c r="HJ84" s="242"/>
      <c r="HK84" s="242"/>
      <c r="HL84" s="242"/>
      <c r="HM84" s="242"/>
      <c r="HN84" s="242"/>
      <c r="HO84" s="243"/>
    </row>
    <row r="85" spans="1:223" ht="12.75" hidden="1" customHeight="1">
      <c r="A85" s="83">
        <f t="shared" si="14"/>
        <v>80</v>
      </c>
      <c r="B85" s="84"/>
      <c r="C85" s="84"/>
      <c r="D85" s="84"/>
      <c r="E85" s="84"/>
      <c r="F85" s="84" t="str">
        <f t="shared" si="12"/>
        <v>///</v>
      </c>
      <c r="G85" s="249">
        <f t="shared" si="15"/>
        <v>0</v>
      </c>
      <c r="H85" s="240">
        <f t="shared" si="13"/>
        <v>0</v>
      </c>
      <c r="I85" s="243"/>
      <c r="J85" s="243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42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  <c r="AM85" s="242"/>
      <c r="AN85" s="242"/>
      <c r="AO85" s="242"/>
      <c r="AP85" s="242"/>
      <c r="AQ85" s="242"/>
      <c r="AR85" s="242"/>
      <c r="AS85" s="242"/>
      <c r="AT85" s="242"/>
      <c r="AU85" s="242"/>
      <c r="AV85" s="242"/>
      <c r="AW85" s="242"/>
      <c r="AX85" s="242"/>
      <c r="AY85" s="242"/>
      <c r="AZ85" s="242"/>
      <c r="BA85" s="242"/>
      <c r="BB85" s="242"/>
      <c r="BC85" s="242"/>
      <c r="BD85" s="242"/>
      <c r="BE85" s="242"/>
      <c r="BF85" s="242"/>
      <c r="BG85" s="242"/>
      <c r="BH85" s="242"/>
      <c r="BI85" s="242"/>
      <c r="BJ85" s="242"/>
      <c r="BK85" s="242"/>
      <c r="BL85" s="242"/>
      <c r="BM85" s="242"/>
      <c r="BN85" s="242"/>
      <c r="BO85" s="242"/>
      <c r="BP85" s="242"/>
      <c r="BQ85" s="242"/>
      <c r="BR85" s="242"/>
      <c r="BS85" s="242"/>
      <c r="BT85" s="242"/>
      <c r="BU85" s="242"/>
      <c r="BV85" s="242"/>
      <c r="BW85" s="242"/>
      <c r="BX85" s="242"/>
      <c r="BY85" s="242"/>
      <c r="BZ85" s="242"/>
      <c r="CA85" s="242"/>
      <c r="CB85" s="242"/>
      <c r="CC85" s="242"/>
      <c r="CD85" s="242"/>
      <c r="CE85" s="242"/>
      <c r="CF85" s="242"/>
      <c r="CG85" s="242"/>
      <c r="CH85" s="242"/>
      <c r="CI85" s="242"/>
      <c r="CJ85" s="242"/>
      <c r="CK85" s="242"/>
      <c r="CL85" s="242"/>
      <c r="CM85" s="242"/>
      <c r="CN85" s="242"/>
      <c r="CO85" s="242"/>
      <c r="CP85" s="242"/>
      <c r="CQ85" s="242"/>
      <c r="CR85" s="242"/>
      <c r="CS85" s="242"/>
      <c r="CT85" s="242"/>
      <c r="CU85" s="242"/>
      <c r="CV85" s="242"/>
      <c r="CW85" s="242"/>
      <c r="CX85" s="242"/>
      <c r="CY85" s="242"/>
      <c r="CZ85" s="242"/>
      <c r="DA85" s="242"/>
      <c r="DB85" s="242"/>
      <c r="DC85" s="242"/>
      <c r="DD85" s="242"/>
      <c r="DE85" s="242"/>
      <c r="DF85" s="242"/>
      <c r="DG85" s="242"/>
      <c r="DH85" s="242"/>
      <c r="DI85" s="242"/>
      <c r="DJ85" s="242"/>
      <c r="DK85" s="242"/>
      <c r="DL85" s="242"/>
      <c r="DM85" s="242"/>
      <c r="DN85" s="242"/>
      <c r="DO85" s="242"/>
      <c r="DP85" s="242"/>
      <c r="DQ85" s="242"/>
      <c r="DR85" s="242"/>
      <c r="DS85" s="242"/>
      <c r="DT85" s="242"/>
      <c r="DU85" s="242"/>
      <c r="DV85" s="242"/>
      <c r="DW85" s="242"/>
      <c r="DX85" s="242"/>
      <c r="DY85" s="242"/>
      <c r="DZ85" s="242"/>
      <c r="EA85" s="242"/>
      <c r="EB85" s="242"/>
      <c r="EC85" s="242"/>
      <c r="ED85" s="242"/>
      <c r="EE85" s="242"/>
      <c r="EF85" s="242"/>
      <c r="EG85" s="242"/>
      <c r="EH85" s="242"/>
      <c r="EI85" s="242"/>
      <c r="EJ85" s="242"/>
      <c r="EK85" s="242"/>
      <c r="EL85" s="242"/>
      <c r="EM85" s="242"/>
      <c r="EN85" s="242"/>
      <c r="EO85" s="242"/>
      <c r="EP85" s="242"/>
      <c r="EQ85" s="242"/>
      <c r="ER85" s="242"/>
      <c r="ES85" s="242"/>
      <c r="ET85" s="242"/>
      <c r="EU85" s="242"/>
      <c r="EV85" s="242"/>
      <c r="EW85" s="242"/>
      <c r="EX85" s="242"/>
      <c r="EY85" s="242"/>
      <c r="EZ85" s="242"/>
      <c r="FA85" s="242"/>
      <c r="FB85" s="242"/>
      <c r="FC85" s="242"/>
      <c r="FD85" s="242"/>
      <c r="FE85" s="242"/>
      <c r="FF85" s="242"/>
      <c r="FG85" s="242"/>
      <c r="FH85" s="242"/>
      <c r="FI85" s="242"/>
      <c r="FJ85" s="242"/>
      <c r="FK85" s="242"/>
      <c r="FL85" s="242"/>
      <c r="FM85" s="242"/>
      <c r="FN85" s="242"/>
      <c r="FO85" s="242"/>
      <c r="FP85" s="242"/>
      <c r="FQ85" s="242"/>
      <c r="FR85" s="242"/>
      <c r="FS85" s="242"/>
      <c r="FT85" s="242"/>
      <c r="FU85" s="242"/>
      <c r="FV85" s="242"/>
      <c r="FW85" s="242"/>
      <c r="FX85" s="242"/>
      <c r="FY85" s="242"/>
      <c r="FZ85" s="242"/>
      <c r="GA85" s="242"/>
      <c r="GB85" s="242"/>
      <c r="GC85" s="242"/>
      <c r="GD85" s="242"/>
      <c r="GE85" s="242"/>
      <c r="GF85" s="242"/>
      <c r="GG85" s="242"/>
      <c r="GH85" s="242"/>
      <c r="GI85" s="242"/>
      <c r="GJ85" s="242"/>
      <c r="GK85" s="242"/>
      <c r="GL85" s="242"/>
      <c r="GM85" s="242"/>
      <c r="GN85" s="242"/>
      <c r="GO85" s="242"/>
      <c r="GP85" s="242"/>
      <c r="GQ85" s="242"/>
      <c r="GR85" s="242"/>
      <c r="GS85" s="242"/>
      <c r="GT85" s="242"/>
      <c r="GU85" s="242"/>
      <c r="GV85" s="242"/>
      <c r="GW85" s="242"/>
      <c r="GX85" s="242"/>
      <c r="GY85" s="242"/>
      <c r="GZ85" s="242"/>
      <c r="HA85" s="242"/>
      <c r="HB85" s="242"/>
      <c r="HC85" s="242"/>
      <c r="HD85" s="242"/>
      <c r="HE85" s="242"/>
      <c r="HF85" s="242"/>
      <c r="HG85" s="242"/>
      <c r="HH85" s="242"/>
      <c r="HI85" s="242"/>
      <c r="HJ85" s="242"/>
      <c r="HK85" s="242"/>
      <c r="HL85" s="242"/>
      <c r="HM85" s="242"/>
      <c r="HN85" s="242"/>
      <c r="HO85" s="243"/>
    </row>
    <row r="86" spans="1:223" ht="12.75" hidden="1" customHeight="1">
      <c r="A86" s="83">
        <f t="shared" si="14"/>
        <v>81</v>
      </c>
      <c r="B86" s="84"/>
      <c r="C86" s="84"/>
      <c r="D86" s="84"/>
      <c r="E86" s="84"/>
      <c r="F86" s="84" t="str">
        <f t="shared" si="12"/>
        <v>///</v>
      </c>
      <c r="G86" s="249">
        <f t="shared" si="15"/>
        <v>0</v>
      </c>
      <c r="H86" s="240">
        <f t="shared" si="13"/>
        <v>0</v>
      </c>
      <c r="I86" s="243"/>
      <c r="J86" s="243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42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  <c r="AM86" s="242"/>
      <c r="AN86" s="242"/>
      <c r="AO86" s="242"/>
      <c r="AP86" s="242"/>
      <c r="AQ86" s="242"/>
      <c r="AR86" s="242"/>
      <c r="AS86" s="242"/>
      <c r="AT86" s="242"/>
      <c r="AU86" s="242"/>
      <c r="AV86" s="242"/>
      <c r="AW86" s="242"/>
      <c r="AX86" s="242"/>
      <c r="AY86" s="242"/>
      <c r="AZ86" s="242"/>
      <c r="BA86" s="242"/>
      <c r="BB86" s="242"/>
      <c r="BC86" s="242"/>
      <c r="BD86" s="242"/>
      <c r="BE86" s="242"/>
      <c r="BF86" s="242"/>
      <c r="BG86" s="242"/>
      <c r="BH86" s="242"/>
      <c r="BI86" s="242"/>
      <c r="BJ86" s="242"/>
      <c r="BK86" s="242"/>
      <c r="BL86" s="242"/>
      <c r="BM86" s="242"/>
      <c r="BN86" s="242"/>
      <c r="BO86" s="242"/>
      <c r="BP86" s="242"/>
      <c r="BQ86" s="242"/>
      <c r="BR86" s="242"/>
      <c r="BS86" s="242"/>
      <c r="BT86" s="242"/>
      <c r="BU86" s="242"/>
      <c r="BV86" s="242"/>
      <c r="BW86" s="242"/>
      <c r="BX86" s="242"/>
      <c r="BY86" s="242"/>
      <c r="BZ86" s="242"/>
      <c r="CA86" s="242"/>
      <c r="CB86" s="242"/>
      <c r="CC86" s="242"/>
      <c r="CD86" s="242"/>
      <c r="CE86" s="242"/>
      <c r="CF86" s="242"/>
      <c r="CG86" s="242"/>
      <c r="CH86" s="242"/>
      <c r="CI86" s="242"/>
      <c r="CJ86" s="242"/>
      <c r="CK86" s="242"/>
      <c r="CL86" s="242"/>
      <c r="CM86" s="242"/>
      <c r="CN86" s="242"/>
      <c r="CO86" s="242"/>
      <c r="CP86" s="242"/>
      <c r="CQ86" s="242"/>
      <c r="CR86" s="242"/>
      <c r="CS86" s="242"/>
      <c r="CT86" s="242"/>
      <c r="CU86" s="242"/>
      <c r="CV86" s="242"/>
      <c r="CW86" s="242"/>
      <c r="CX86" s="242"/>
      <c r="CY86" s="242"/>
      <c r="CZ86" s="242"/>
      <c r="DA86" s="242"/>
      <c r="DB86" s="242"/>
      <c r="DC86" s="242"/>
      <c r="DD86" s="242"/>
      <c r="DE86" s="242"/>
      <c r="DF86" s="242"/>
      <c r="DG86" s="242"/>
      <c r="DH86" s="242"/>
      <c r="DI86" s="242"/>
      <c r="DJ86" s="242"/>
      <c r="DK86" s="242"/>
      <c r="DL86" s="242"/>
      <c r="DM86" s="242"/>
      <c r="DN86" s="242"/>
      <c r="DO86" s="242"/>
      <c r="DP86" s="242"/>
      <c r="DQ86" s="242"/>
      <c r="DR86" s="242"/>
      <c r="DS86" s="242"/>
      <c r="DT86" s="242"/>
      <c r="DU86" s="242"/>
      <c r="DV86" s="242"/>
      <c r="DW86" s="242"/>
      <c r="DX86" s="242"/>
      <c r="DY86" s="242"/>
      <c r="DZ86" s="242"/>
      <c r="EA86" s="242"/>
      <c r="EB86" s="242"/>
      <c r="EC86" s="242"/>
      <c r="ED86" s="242"/>
      <c r="EE86" s="242"/>
      <c r="EF86" s="242"/>
      <c r="EG86" s="242"/>
      <c r="EH86" s="242"/>
      <c r="EI86" s="242"/>
      <c r="EJ86" s="242"/>
      <c r="EK86" s="242"/>
      <c r="EL86" s="242"/>
      <c r="EM86" s="242"/>
      <c r="EN86" s="242"/>
      <c r="EO86" s="242"/>
      <c r="EP86" s="242"/>
      <c r="EQ86" s="242"/>
      <c r="ER86" s="242"/>
      <c r="ES86" s="242"/>
      <c r="ET86" s="242"/>
      <c r="EU86" s="242"/>
      <c r="EV86" s="242"/>
      <c r="EW86" s="242"/>
      <c r="EX86" s="242"/>
      <c r="EY86" s="242"/>
      <c r="EZ86" s="242"/>
      <c r="FA86" s="242"/>
      <c r="FB86" s="242"/>
      <c r="FC86" s="242"/>
      <c r="FD86" s="242"/>
      <c r="FE86" s="242"/>
      <c r="FF86" s="242"/>
      <c r="FG86" s="242"/>
      <c r="FH86" s="242"/>
      <c r="FI86" s="242"/>
      <c r="FJ86" s="242"/>
      <c r="FK86" s="242"/>
      <c r="FL86" s="242"/>
      <c r="FM86" s="242"/>
      <c r="FN86" s="242"/>
      <c r="FO86" s="242"/>
      <c r="FP86" s="242"/>
      <c r="FQ86" s="242"/>
      <c r="FR86" s="242"/>
      <c r="FS86" s="242"/>
      <c r="FT86" s="242"/>
      <c r="FU86" s="242"/>
      <c r="FV86" s="242"/>
      <c r="FW86" s="242"/>
      <c r="FX86" s="242"/>
      <c r="FY86" s="242"/>
      <c r="FZ86" s="242"/>
      <c r="GA86" s="242"/>
      <c r="GB86" s="242"/>
      <c r="GC86" s="242"/>
      <c r="GD86" s="242"/>
      <c r="GE86" s="242"/>
      <c r="GF86" s="242"/>
      <c r="GG86" s="242"/>
      <c r="GH86" s="242"/>
      <c r="GI86" s="242"/>
      <c r="GJ86" s="242"/>
      <c r="GK86" s="242"/>
      <c r="GL86" s="242"/>
      <c r="GM86" s="242"/>
      <c r="GN86" s="242"/>
      <c r="GO86" s="242"/>
      <c r="GP86" s="242"/>
      <c r="GQ86" s="242"/>
      <c r="GR86" s="242"/>
      <c r="GS86" s="242"/>
      <c r="GT86" s="242"/>
      <c r="GU86" s="242"/>
      <c r="GV86" s="242"/>
      <c r="GW86" s="242"/>
      <c r="GX86" s="242"/>
      <c r="GY86" s="242"/>
      <c r="GZ86" s="242"/>
      <c r="HA86" s="242"/>
      <c r="HB86" s="242"/>
      <c r="HC86" s="242"/>
      <c r="HD86" s="242"/>
      <c r="HE86" s="242"/>
      <c r="HF86" s="242"/>
      <c r="HG86" s="242"/>
      <c r="HH86" s="242"/>
      <c r="HI86" s="242"/>
      <c r="HJ86" s="242"/>
      <c r="HK86" s="242"/>
      <c r="HL86" s="242"/>
      <c r="HM86" s="242"/>
      <c r="HN86" s="242"/>
      <c r="HO86" s="243"/>
    </row>
    <row r="87" spans="1:223" ht="12.75" hidden="1" customHeight="1">
      <c r="A87" s="83">
        <f t="shared" si="14"/>
        <v>82</v>
      </c>
      <c r="B87" s="84"/>
      <c r="C87" s="84"/>
      <c r="D87" s="84"/>
      <c r="E87" s="84"/>
      <c r="F87" s="84" t="str">
        <f t="shared" si="12"/>
        <v>///</v>
      </c>
      <c r="G87" s="249">
        <f t="shared" si="15"/>
        <v>0</v>
      </c>
      <c r="H87" s="240">
        <f t="shared" si="13"/>
        <v>0</v>
      </c>
      <c r="I87" s="243"/>
      <c r="J87" s="243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242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  <c r="AM87" s="242"/>
      <c r="AN87" s="242"/>
      <c r="AO87" s="242"/>
      <c r="AP87" s="242"/>
      <c r="AQ87" s="242"/>
      <c r="AR87" s="242"/>
      <c r="AS87" s="242"/>
      <c r="AT87" s="242"/>
      <c r="AU87" s="242"/>
      <c r="AV87" s="242"/>
      <c r="AW87" s="242"/>
      <c r="AX87" s="242"/>
      <c r="AY87" s="242"/>
      <c r="AZ87" s="242"/>
      <c r="BA87" s="242"/>
      <c r="BB87" s="242"/>
      <c r="BC87" s="242"/>
      <c r="BD87" s="242"/>
      <c r="BE87" s="242"/>
      <c r="BF87" s="242"/>
      <c r="BG87" s="242"/>
      <c r="BH87" s="242"/>
      <c r="BI87" s="242"/>
      <c r="BJ87" s="242"/>
      <c r="BK87" s="242"/>
      <c r="BL87" s="242"/>
      <c r="BM87" s="242"/>
      <c r="BN87" s="242"/>
      <c r="BO87" s="242"/>
      <c r="BP87" s="242"/>
      <c r="BQ87" s="242"/>
      <c r="BR87" s="242"/>
      <c r="BS87" s="242"/>
      <c r="BT87" s="242"/>
      <c r="BU87" s="242"/>
      <c r="BV87" s="242"/>
      <c r="BW87" s="242"/>
      <c r="BX87" s="242"/>
      <c r="BY87" s="242"/>
      <c r="BZ87" s="242"/>
      <c r="CA87" s="242"/>
      <c r="CB87" s="242"/>
      <c r="CC87" s="242"/>
      <c r="CD87" s="242"/>
      <c r="CE87" s="242"/>
      <c r="CF87" s="242"/>
      <c r="CG87" s="242"/>
      <c r="CH87" s="242"/>
      <c r="CI87" s="242"/>
      <c r="CJ87" s="242"/>
      <c r="CK87" s="242"/>
      <c r="CL87" s="242"/>
      <c r="CM87" s="242"/>
      <c r="CN87" s="242"/>
      <c r="CO87" s="242"/>
      <c r="CP87" s="242"/>
      <c r="CQ87" s="242"/>
      <c r="CR87" s="242"/>
      <c r="CS87" s="242"/>
      <c r="CT87" s="242"/>
      <c r="CU87" s="242"/>
      <c r="CV87" s="242"/>
      <c r="CW87" s="242"/>
      <c r="CX87" s="242"/>
      <c r="CY87" s="242"/>
      <c r="CZ87" s="242"/>
      <c r="DA87" s="242"/>
      <c r="DB87" s="242"/>
      <c r="DC87" s="242"/>
      <c r="DD87" s="242"/>
      <c r="DE87" s="242"/>
      <c r="DF87" s="242"/>
      <c r="DG87" s="242"/>
      <c r="DH87" s="242"/>
      <c r="DI87" s="242"/>
      <c r="DJ87" s="242"/>
      <c r="DK87" s="242"/>
      <c r="DL87" s="242"/>
      <c r="DM87" s="242"/>
      <c r="DN87" s="242"/>
      <c r="DO87" s="242"/>
      <c r="DP87" s="242"/>
      <c r="DQ87" s="242"/>
      <c r="DR87" s="242"/>
      <c r="DS87" s="242"/>
      <c r="DT87" s="242"/>
      <c r="DU87" s="242"/>
      <c r="DV87" s="242"/>
      <c r="DW87" s="242"/>
      <c r="DX87" s="242"/>
      <c r="DY87" s="242"/>
      <c r="DZ87" s="242"/>
      <c r="EA87" s="242"/>
      <c r="EB87" s="242"/>
      <c r="EC87" s="242"/>
      <c r="ED87" s="242"/>
      <c r="EE87" s="242"/>
      <c r="EF87" s="242"/>
      <c r="EG87" s="242"/>
      <c r="EH87" s="242"/>
      <c r="EI87" s="242"/>
      <c r="EJ87" s="242"/>
      <c r="EK87" s="242"/>
      <c r="EL87" s="242"/>
      <c r="EM87" s="242"/>
      <c r="EN87" s="242"/>
      <c r="EO87" s="242"/>
      <c r="EP87" s="242"/>
      <c r="EQ87" s="242"/>
      <c r="ER87" s="242"/>
      <c r="ES87" s="242"/>
      <c r="ET87" s="242"/>
      <c r="EU87" s="242"/>
      <c r="EV87" s="242"/>
      <c r="EW87" s="242"/>
      <c r="EX87" s="242"/>
      <c r="EY87" s="242"/>
      <c r="EZ87" s="242"/>
      <c r="FA87" s="242"/>
      <c r="FB87" s="242"/>
      <c r="FC87" s="242"/>
      <c r="FD87" s="242"/>
      <c r="FE87" s="242"/>
      <c r="FF87" s="242"/>
      <c r="FG87" s="242"/>
      <c r="FH87" s="242"/>
      <c r="FI87" s="242"/>
      <c r="FJ87" s="242"/>
      <c r="FK87" s="242"/>
      <c r="FL87" s="242"/>
      <c r="FM87" s="242"/>
      <c r="FN87" s="242"/>
      <c r="FO87" s="242"/>
      <c r="FP87" s="242"/>
      <c r="FQ87" s="242"/>
      <c r="FR87" s="242"/>
      <c r="FS87" s="242"/>
      <c r="FT87" s="242"/>
      <c r="FU87" s="242"/>
      <c r="FV87" s="242"/>
      <c r="FW87" s="242"/>
      <c r="FX87" s="242"/>
      <c r="FY87" s="242"/>
      <c r="FZ87" s="242"/>
      <c r="GA87" s="242"/>
      <c r="GB87" s="242"/>
      <c r="GC87" s="242"/>
      <c r="GD87" s="242"/>
      <c r="GE87" s="242"/>
      <c r="GF87" s="242"/>
      <c r="GG87" s="242"/>
      <c r="GH87" s="242"/>
      <c r="GI87" s="242"/>
      <c r="GJ87" s="242"/>
      <c r="GK87" s="242"/>
      <c r="GL87" s="242"/>
      <c r="GM87" s="242"/>
      <c r="GN87" s="242"/>
      <c r="GO87" s="242"/>
      <c r="GP87" s="242"/>
      <c r="GQ87" s="242"/>
      <c r="GR87" s="242"/>
      <c r="GS87" s="242"/>
      <c r="GT87" s="242"/>
      <c r="GU87" s="242"/>
      <c r="GV87" s="242"/>
      <c r="GW87" s="242"/>
      <c r="GX87" s="242"/>
      <c r="GY87" s="242"/>
      <c r="GZ87" s="242"/>
      <c r="HA87" s="242"/>
      <c r="HB87" s="242"/>
      <c r="HC87" s="242"/>
      <c r="HD87" s="242"/>
      <c r="HE87" s="242"/>
      <c r="HF87" s="242"/>
      <c r="HG87" s="242"/>
      <c r="HH87" s="242"/>
      <c r="HI87" s="242"/>
      <c r="HJ87" s="242"/>
      <c r="HK87" s="242"/>
      <c r="HL87" s="242"/>
      <c r="HM87" s="242"/>
      <c r="HN87" s="242"/>
      <c r="HO87" s="243"/>
    </row>
    <row r="88" spans="1:223" ht="12.75" hidden="1" customHeight="1">
      <c r="A88" s="83">
        <f t="shared" si="14"/>
        <v>83</v>
      </c>
      <c r="B88" s="84"/>
      <c r="C88" s="84"/>
      <c r="D88" s="84"/>
      <c r="E88" s="84"/>
      <c r="F88" s="84" t="str">
        <f t="shared" si="12"/>
        <v>///</v>
      </c>
      <c r="G88" s="249">
        <f t="shared" si="15"/>
        <v>0</v>
      </c>
      <c r="H88" s="240">
        <f t="shared" si="13"/>
        <v>0</v>
      </c>
      <c r="I88" s="243"/>
      <c r="J88" s="243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42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  <c r="AM88" s="242"/>
      <c r="AN88" s="242"/>
      <c r="AO88" s="242"/>
      <c r="AP88" s="242"/>
      <c r="AQ88" s="242"/>
      <c r="AR88" s="242"/>
      <c r="AS88" s="242"/>
      <c r="AT88" s="242"/>
      <c r="AU88" s="242"/>
      <c r="AV88" s="242"/>
      <c r="AW88" s="242"/>
      <c r="AX88" s="242"/>
      <c r="AY88" s="242"/>
      <c r="AZ88" s="242"/>
      <c r="BA88" s="242"/>
      <c r="BB88" s="242"/>
      <c r="BC88" s="242"/>
      <c r="BD88" s="242"/>
      <c r="BE88" s="242"/>
      <c r="BF88" s="242"/>
      <c r="BG88" s="242"/>
      <c r="BH88" s="242"/>
      <c r="BI88" s="242"/>
      <c r="BJ88" s="242"/>
      <c r="BK88" s="242"/>
      <c r="BL88" s="242"/>
      <c r="BM88" s="242"/>
      <c r="BN88" s="242"/>
      <c r="BO88" s="242"/>
      <c r="BP88" s="242"/>
      <c r="BQ88" s="242"/>
      <c r="BR88" s="242"/>
      <c r="BS88" s="242"/>
      <c r="BT88" s="242"/>
      <c r="BU88" s="242"/>
      <c r="BV88" s="242"/>
      <c r="BW88" s="242"/>
      <c r="BX88" s="242"/>
      <c r="BY88" s="242"/>
      <c r="BZ88" s="242"/>
      <c r="CA88" s="242"/>
      <c r="CB88" s="242"/>
      <c r="CC88" s="242"/>
      <c r="CD88" s="242"/>
      <c r="CE88" s="242"/>
      <c r="CF88" s="242"/>
      <c r="CG88" s="242"/>
      <c r="CH88" s="242"/>
      <c r="CI88" s="242"/>
      <c r="CJ88" s="242"/>
      <c r="CK88" s="242"/>
      <c r="CL88" s="242"/>
      <c r="CM88" s="242"/>
      <c r="CN88" s="242"/>
      <c r="CO88" s="242"/>
      <c r="CP88" s="242"/>
      <c r="CQ88" s="242"/>
      <c r="CR88" s="242"/>
      <c r="CS88" s="242"/>
      <c r="CT88" s="242"/>
      <c r="CU88" s="242"/>
      <c r="CV88" s="242"/>
      <c r="CW88" s="242"/>
      <c r="CX88" s="242"/>
      <c r="CY88" s="242"/>
      <c r="CZ88" s="242"/>
      <c r="DA88" s="242"/>
      <c r="DB88" s="242"/>
      <c r="DC88" s="242"/>
      <c r="DD88" s="242"/>
      <c r="DE88" s="242"/>
      <c r="DF88" s="242"/>
      <c r="DG88" s="242"/>
      <c r="DH88" s="242"/>
      <c r="DI88" s="242"/>
      <c r="DJ88" s="242"/>
      <c r="DK88" s="242"/>
      <c r="DL88" s="242"/>
      <c r="DM88" s="242"/>
      <c r="DN88" s="242"/>
      <c r="DO88" s="242"/>
      <c r="DP88" s="242"/>
      <c r="DQ88" s="242"/>
      <c r="DR88" s="242"/>
      <c r="DS88" s="242"/>
      <c r="DT88" s="242"/>
      <c r="DU88" s="242"/>
      <c r="DV88" s="242"/>
      <c r="DW88" s="242"/>
      <c r="DX88" s="242"/>
      <c r="DY88" s="242"/>
      <c r="DZ88" s="242"/>
      <c r="EA88" s="242"/>
      <c r="EB88" s="242"/>
      <c r="EC88" s="242"/>
      <c r="ED88" s="242"/>
      <c r="EE88" s="242"/>
      <c r="EF88" s="242"/>
      <c r="EG88" s="242"/>
      <c r="EH88" s="242"/>
      <c r="EI88" s="242"/>
      <c r="EJ88" s="242"/>
      <c r="EK88" s="242"/>
      <c r="EL88" s="242"/>
      <c r="EM88" s="242"/>
      <c r="EN88" s="242"/>
      <c r="EO88" s="242"/>
      <c r="EP88" s="242"/>
      <c r="EQ88" s="242"/>
      <c r="ER88" s="242"/>
      <c r="ES88" s="242"/>
      <c r="ET88" s="242"/>
      <c r="EU88" s="242"/>
      <c r="EV88" s="242"/>
      <c r="EW88" s="242"/>
      <c r="EX88" s="242"/>
      <c r="EY88" s="242"/>
      <c r="EZ88" s="242"/>
      <c r="FA88" s="242"/>
      <c r="FB88" s="242"/>
      <c r="FC88" s="242"/>
      <c r="FD88" s="242"/>
      <c r="FE88" s="242"/>
      <c r="FF88" s="242"/>
      <c r="FG88" s="242"/>
      <c r="FH88" s="242"/>
      <c r="FI88" s="242"/>
      <c r="FJ88" s="242"/>
      <c r="FK88" s="242"/>
      <c r="FL88" s="242"/>
      <c r="FM88" s="242"/>
      <c r="FN88" s="242"/>
      <c r="FO88" s="242"/>
      <c r="FP88" s="242"/>
      <c r="FQ88" s="242"/>
      <c r="FR88" s="242"/>
      <c r="FS88" s="242"/>
      <c r="FT88" s="242"/>
      <c r="FU88" s="242"/>
      <c r="FV88" s="242"/>
      <c r="FW88" s="242"/>
      <c r="FX88" s="242"/>
      <c r="FY88" s="242"/>
      <c r="FZ88" s="242"/>
      <c r="GA88" s="242"/>
      <c r="GB88" s="242"/>
      <c r="GC88" s="242"/>
      <c r="GD88" s="242"/>
      <c r="GE88" s="242"/>
      <c r="GF88" s="242"/>
      <c r="GG88" s="242"/>
      <c r="GH88" s="242"/>
      <c r="GI88" s="242"/>
      <c r="GJ88" s="242"/>
      <c r="GK88" s="242"/>
      <c r="GL88" s="242"/>
      <c r="GM88" s="242"/>
      <c r="GN88" s="242"/>
      <c r="GO88" s="242"/>
      <c r="GP88" s="242"/>
      <c r="GQ88" s="242"/>
      <c r="GR88" s="242"/>
      <c r="GS88" s="242"/>
      <c r="GT88" s="242"/>
      <c r="GU88" s="242"/>
      <c r="GV88" s="242"/>
      <c r="GW88" s="242"/>
      <c r="GX88" s="242"/>
      <c r="GY88" s="242"/>
      <c r="GZ88" s="242"/>
      <c r="HA88" s="242"/>
      <c r="HB88" s="242"/>
      <c r="HC88" s="242"/>
      <c r="HD88" s="242"/>
      <c r="HE88" s="242"/>
      <c r="HF88" s="242"/>
      <c r="HG88" s="242"/>
      <c r="HH88" s="242"/>
      <c r="HI88" s="242"/>
      <c r="HJ88" s="242"/>
      <c r="HK88" s="242"/>
      <c r="HL88" s="242"/>
      <c r="HM88" s="242"/>
      <c r="HN88" s="242"/>
      <c r="HO88" s="243"/>
    </row>
    <row r="89" spans="1:223" ht="12.75" hidden="1" customHeight="1">
      <c r="A89" s="83">
        <f t="shared" si="14"/>
        <v>84</v>
      </c>
      <c r="B89" s="84"/>
      <c r="C89" s="84"/>
      <c r="D89" s="84"/>
      <c r="E89" s="84"/>
      <c r="F89" s="84" t="str">
        <f t="shared" si="12"/>
        <v>///</v>
      </c>
      <c r="G89" s="249">
        <f t="shared" si="15"/>
        <v>0</v>
      </c>
      <c r="H89" s="240">
        <f t="shared" si="13"/>
        <v>0</v>
      </c>
      <c r="I89" s="243"/>
      <c r="J89" s="243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42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  <c r="AM89" s="242"/>
      <c r="AN89" s="242"/>
      <c r="AO89" s="242"/>
      <c r="AP89" s="242"/>
      <c r="AQ89" s="242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2"/>
      <c r="BC89" s="242"/>
      <c r="BD89" s="242"/>
      <c r="BE89" s="242"/>
      <c r="BF89" s="242"/>
      <c r="BG89" s="242"/>
      <c r="BH89" s="242"/>
      <c r="BI89" s="242"/>
      <c r="BJ89" s="242"/>
      <c r="BK89" s="242"/>
      <c r="BL89" s="242"/>
      <c r="BM89" s="242"/>
      <c r="BN89" s="242"/>
      <c r="BO89" s="242"/>
      <c r="BP89" s="242"/>
      <c r="BQ89" s="242"/>
      <c r="BR89" s="242"/>
      <c r="BS89" s="242"/>
      <c r="BT89" s="242"/>
      <c r="BU89" s="242"/>
      <c r="BV89" s="242"/>
      <c r="BW89" s="242"/>
      <c r="BX89" s="242"/>
      <c r="BY89" s="242"/>
      <c r="BZ89" s="242"/>
      <c r="CA89" s="242"/>
      <c r="CB89" s="242"/>
      <c r="CC89" s="242"/>
      <c r="CD89" s="242"/>
      <c r="CE89" s="242"/>
      <c r="CF89" s="242"/>
      <c r="CG89" s="242"/>
      <c r="CH89" s="242"/>
      <c r="CI89" s="242"/>
      <c r="CJ89" s="242"/>
      <c r="CK89" s="242"/>
      <c r="CL89" s="242"/>
      <c r="CM89" s="242"/>
      <c r="CN89" s="242"/>
      <c r="CO89" s="242"/>
      <c r="CP89" s="242"/>
      <c r="CQ89" s="242"/>
      <c r="CR89" s="242"/>
      <c r="CS89" s="242"/>
      <c r="CT89" s="242"/>
      <c r="CU89" s="242"/>
      <c r="CV89" s="242"/>
      <c r="CW89" s="242"/>
      <c r="CX89" s="242"/>
      <c r="CY89" s="242"/>
      <c r="CZ89" s="242"/>
      <c r="DA89" s="242"/>
      <c r="DB89" s="242"/>
      <c r="DC89" s="242"/>
      <c r="DD89" s="242"/>
      <c r="DE89" s="242"/>
      <c r="DF89" s="242"/>
      <c r="DG89" s="242"/>
      <c r="DH89" s="242"/>
      <c r="DI89" s="242"/>
      <c r="DJ89" s="242"/>
      <c r="DK89" s="242"/>
      <c r="DL89" s="242"/>
      <c r="DM89" s="242"/>
      <c r="DN89" s="242"/>
      <c r="DO89" s="242"/>
      <c r="DP89" s="242"/>
      <c r="DQ89" s="242"/>
      <c r="DR89" s="242"/>
      <c r="DS89" s="242"/>
      <c r="DT89" s="242"/>
      <c r="DU89" s="242"/>
      <c r="DV89" s="242"/>
      <c r="DW89" s="242"/>
      <c r="DX89" s="242"/>
      <c r="DY89" s="242"/>
      <c r="DZ89" s="242"/>
      <c r="EA89" s="242"/>
      <c r="EB89" s="242"/>
      <c r="EC89" s="242"/>
      <c r="ED89" s="242"/>
      <c r="EE89" s="242"/>
      <c r="EF89" s="242"/>
      <c r="EG89" s="242"/>
      <c r="EH89" s="242"/>
      <c r="EI89" s="242"/>
      <c r="EJ89" s="242"/>
      <c r="EK89" s="242"/>
      <c r="EL89" s="242"/>
      <c r="EM89" s="242"/>
      <c r="EN89" s="242"/>
      <c r="EO89" s="242"/>
      <c r="EP89" s="242"/>
      <c r="EQ89" s="242"/>
      <c r="ER89" s="242"/>
      <c r="ES89" s="242"/>
      <c r="ET89" s="242"/>
      <c r="EU89" s="242"/>
      <c r="EV89" s="242"/>
      <c r="EW89" s="242"/>
      <c r="EX89" s="242"/>
      <c r="EY89" s="242"/>
      <c r="EZ89" s="242"/>
      <c r="FA89" s="242"/>
      <c r="FB89" s="242"/>
      <c r="FC89" s="242"/>
      <c r="FD89" s="242"/>
      <c r="FE89" s="242"/>
      <c r="FF89" s="242"/>
      <c r="FG89" s="242"/>
      <c r="FH89" s="242"/>
      <c r="FI89" s="242"/>
      <c r="FJ89" s="242"/>
      <c r="FK89" s="242"/>
      <c r="FL89" s="242"/>
      <c r="FM89" s="242"/>
      <c r="FN89" s="242"/>
      <c r="FO89" s="242"/>
      <c r="FP89" s="242"/>
      <c r="FQ89" s="242"/>
      <c r="FR89" s="242"/>
      <c r="FS89" s="242"/>
      <c r="FT89" s="242"/>
      <c r="FU89" s="242"/>
      <c r="FV89" s="242"/>
      <c r="FW89" s="242"/>
      <c r="FX89" s="242"/>
      <c r="FY89" s="242"/>
      <c r="FZ89" s="242"/>
      <c r="GA89" s="242"/>
      <c r="GB89" s="242"/>
      <c r="GC89" s="242"/>
      <c r="GD89" s="242"/>
      <c r="GE89" s="242"/>
      <c r="GF89" s="242"/>
      <c r="GG89" s="242"/>
      <c r="GH89" s="242"/>
      <c r="GI89" s="242"/>
      <c r="GJ89" s="242"/>
      <c r="GK89" s="242"/>
      <c r="GL89" s="242"/>
      <c r="GM89" s="242"/>
      <c r="GN89" s="242"/>
      <c r="GO89" s="242"/>
      <c r="GP89" s="242"/>
      <c r="GQ89" s="242"/>
      <c r="GR89" s="242"/>
      <c r="GS89" s="242"/>
      <c r="GT89" s="242"/>
      <c r="GU89" s="242"/>
      <c r="GV89" s="242"/>
      <c r="GW89" s="242"/>
      <c r="GX89" s="242"/>
      <c r="GY89" s="242"/>
      <c r="GZ89" s="242"/>
      <c r="HA89" s="242"/>
      <c r="HB89" s="242"/>
      <c r="HC89" s="242"/>
      <c r="HD89" s="242"/>
      <c r="HE89" s="242"/>
      <c r="HF89" s="242"/>
      <c r="HG89" s="242"/>
      <c r="HH89" s="242"/>
      <c r="HI89" s="242"/>
      <c r="HJ89" s="242"/>
      <c r="HK89" s="242"/>
      <c r="HL89" s="242"/>
      <c r="HM89" s="242"/>
      <c r="HN89" s="242"/>
      <c r="HO89" s="243"/>
    </row>
    <row r="90" spans="1:223" ht="12.75" hidden="1" customHeight="1">
      <c r="A90" s="83">
        <f t="shared" si="14"/>
        <v>85</v>
      </c>
      <c r="B90" s="84"/>
      <c r="C90" s="84"/>
      <c r="D90" s="84"/>
      <c r="E90" s="84"/>
      <c r="F90" s="84" t="str">
        <f t="shared" si="12"/>
        <v>///</v>
      </c>
      <c r="G90" s="249">
        <f t="shared" si="15"/>
        <v>0</v>
      </c>
      <c r="H90" s="240">
        <f t="shared" si="13"/>
        <v>0</v>
      </c>
      <c r="I90" s="243"/>
      <c r="J90" s="243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42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  <c r="AM90" s="242"/>
      <c r="AN90" s="242"/>
      <c r="AO90" s="242"/>
      <c r="AP90" s="242"/>
      <c r="AQ90" s="242"/>
      <c r="AR90" s="242"/>
      <c r="AS90" s="242"/>
      <c r="AT90" s="242"/>
      <c r="AU90" s="242"/>
      <c r="AV90" s="242"/>
      <c r="AW90" s="242"/>
      <c r="AX90" s="242"/>
      <c r="AY90" s="242"/>
      <c r="AZ90" s="242"/>
      <c r="BA90" s="242"/>
      <c r="BB90" s="242"/>
      <c r="BC90" s="242"/>
      <c r="BD90" s="242"/>
      <c r="BE90" s="242"/>
      <c r="BF90" s="242"/>
      <c r="BG90" s="242"/>
      <c r="BH90" s="242"/>
      <c r="BI90" s="242"/>
      <c r="BJ90" s="242"/>
      <c r="BK90" s="242"/>
      <c r="BL90" s="242"/>
      <c r="BM90" s="242"/>
      <c r="BN90" s="242"/>
      <c r="BO90" s="242"/>
      <c r="BP90" s="242"/>
      <c r="BQ90" s="242"/>
      <c r="BR90" s="242"/>
      <c r="BS90" s="242"/>
      <c r="BT90" s="242"/>
      <c r="BU90" s="242"/>
      <c r="BV90" s="242"/>
      <c r="BW90" s="242"/>
      <c r="BX90" s="242"/>
      <c r="BY90" s="242"/>
      <c r="BZ90" s="242"/>
      <c r="CA90" s="242"/>
      <c r="CB90" s="242"/>
      <c r="CC90" s="242"/>
      <c r="CD90" s="242"/>
      <c r="CE90" s="242"/>
      <c r="CF90" s="242"/>
      <c r="CG90" s="242"/>
      <c r="CH90" s="242"/>
      <c r="CI90" s="242"/>
      <c r="CJ90" s="242"/>
      <c r="CK90" s="242"/>
      <c r="CL90" s="242"/>
      <c r="CM90" s="242"/>
      <c r="CN90" s="242"/>
      <c r="CO90" s="242"/>
      <c r="CP90" s="242"/>
      <c r="CQ90" s="242"/>
      <c r="CR90" s="242"/>
      <c r="CS90" s="242"/>
      <c r="CT90" s="242"/>
      <c r="CU90" s="242"/>
      <c r="CV90" s="242"/>
      <c r="CW90" s="242"/>
      <c r="CX90" s="242"/>
      <c r="CY90" s="242"/>
      <c r="CZ90" s="242"/>
      <c r="DA90" s="242"/>
      <c r="DB90" s="242"/>
      <c r="DC90" s="242"/>
      <c r="DD90" s="242"/>
      <c r="DE90" s="242"/>
      <c r="DF90" s="242"/>
      <c r="DG90" s="242"/>
      <c r="DH90" s="242"/>
      <c r="DI90" s="242"/>
      <c r="DJ90" s="242"/>
      <c r="DK90" s="242"/>
      <c r="DL90" s="242"/>
      <c r="DM90" s="242"/>
      <c r="DN90" s="242"/>
      <c r="DO90" s="242"/>
      <c r="DP90" s="242"/>
      <c r="DQ90" s="242"/>
      <c r="DR90" s="242"/>
      <c r="DS90" s="242"/>
      <c r="DT90" s="242"/>
      <c r="DU90" s="242"/>
      <c r="DV90" s="242"/>
      <c r="DW90" s="242"/>
      <c r="DX90" s="242"/>
      <c r="DY90" s="242"/>
      <c r="DZ90" s="242"/>
      <c r="EA90" s="242"/>
      <c r="EB90" s="242"/>
      <c r="EC90" s="242"/>
      <c r="ED90" s="242"/>
      <c r="EE90" s="242"/>
      <c r="EF90" s="242"/>
      <c r="EG90" s="242"/>
      <c r="EH90" s="242"/>
      <c r="EI90" s="242"/>
      <c r="EJ90" s="242"/>
      <c r="EK90" s="242"/>
      <c r="EL90" s="242"/>
      <c r="EM90" s="242"/>
      <c r="EN90" s="242"/>
      <c r="EO90" s="242"/>
      <c r="EP90" s="242"/>
      <c r="EQ90" s="242"/>
      <c r="ER90" s="242"/>
      <c r="ES90" s="242"/>
      <c r="ET90" s="242"/>
      <c r="EU90" s="242"/>
      <c r="EV90" s="242"/>
      <c r="EW90" s="242"/>
      <c r="EX90" s="242"/>
      <c r="EY90" s="242"/>
      <c r="EZ90" s="242"/>
      <c r="FA90" s="242"/>
      <c r="FB90" s="242"/>
      <c r="FC90" s="242"/>
      <c r="FD90" s="242"/>
      <c r="FE90" s="242"/>
      <c r="FF90" s="242"/>
      <c r="FG90" s="242"/>
      <c r="FH90" s="242"/>
      <c r="FI90" s="242"/>
      <c r="FJ90" s="242"/>
      <c r="FK90" s="242"/>
      <c r="FL90" s="242"/>
      <c r="FM90" s="242"/>
      <c r="FN90" s="242"/>
      <c r="FO90" s="242"/>
      <c r="FP90" s="242"/>
      <c r="FQ90" s="242"/>
      <c r="FR90" s="242"/>
      <c r="FS90" s="242"/>
      <c r="FT90" s="242"/>
      <c r="FU90" s="242"/>
      <c r="FV90" s="242"/>
      <c r="FW90" s="242"/>
      <c r="FX90" s="242"/>
      <c r="FY90" s="242"/>
      <c r="FZ90" s="242"/>
      <c r="GA90" s="242"/>
      <c r="GB90" s="242"/>
      <c r="GC90" s="242"/>
      <c r="GD90" s="242"/>
      <c r="GE90" s="242"/>
      <c r="GF90" s="242"/>
      <c r="GG90" s="242"/>
      <c r="GH90" s="242"/>
      <c r="GI90" s="242"/>
      <c r="GJ90" s="242"/>
      <c r="GK90" s="242"/>
      <c r="GL90" s="242"/>
      <c r="GM90" s="242"/>
      <c r="GN90" s="242"/>
      <c r="GO90" s="242"/>
      <c r="GP90" s="242"/>
      <c r="GQ90" s="242"/>
      <c r="GR90" s="242"/>
      <c r="GS90" s="242"/>
      <c r="GT90" s="242"/>
      <c r="GU90" s="242"/>
      <c r="GV90" s="242"/>
      <c r="GW90" s="242"/>
      <c r="GX90" s="242"/>
      <c r="GY90" s="242"/>
      <c r="GZ90" s="242"/>
      <c r="HA90" s="242"/>
      <c r="HB90" s="242"/>
      <c r="HC90" s="242"/>
      <c r="HD90" s="242"/>
      <c r="HE90" s="242"/>
      <c r="HF90" s="242"/>
      <c r="HG90" s="242"/>
      <c r="HH90" s="242"/>
      <c r="HI90" s="242"/>
      <c r="HJ90" s="242"/>
      <c r="HK90" s="242"/>
      <c r="HL90" s="242"/>
      <c r="HM90" s="242"/>
      <c r="HN90" s="242"/>
      <c r="HO90" s="243"/>
    </row>
    <row r="91" spans="1:223" ht="12.75" hidden="1" customHeight="1">
      <c r="A91" s="83">
        <f t="shared" si="14"/>
        <v>86</v>
      </c>
      <c r="B91" s="84"/>
      <c r="C91" s="84"/>
      <c r="D91" s="84"/>
      <c r="E91" s="84"/>
      <c r="F91" s="84" t="str">
        <f t="shared" si="12"/>
        <v>///</v>
      </c>
      <c r="G91" s="249">
        <f t="shared" si="15"/>
        <v>0</v>
      </c>
      <c r="H91" s="240">
        <f t="shared" si="13"/>
        <v>0</v>
      </c>
      <c r="I91" s="243"/>
      <c r="J91" s="243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42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  <c r="AM91" s="242"/>
      <c r="AN91" s="242"/>
      <c r="AO91" s="242"/>
      <c r="AP91" s="242"/>
      <c r="AQ91" s="242"/>
      <c r="AR91" s="242"/>
      <c r="AS91" s="242"/>
      <c r="AT91" s="242"/>
      <c r="AU91" s="242"/>
      <c r="AV91" s="242"/>
      <c r="AW91" s="242"/>
      <c r="AX91" s="242"/>
      <c r="AY91" s="242"/>
      <c r="AZ91" s="242"/>
      <c r="BA91" s="242"/>
      <c r="BB91" s="242"/>
      <c r="BC91" s="242"/>
      <c r="BD91" s="242"/>
      <c r="BE91" s="242"/>
      <c r="BF91" s="242"/>
      <c r="BG91" s="242"/>
      <c r="BH91" s="242"/>
      <c r="BI91" s="242"/>
      <c r="BJ91" s="242"/>
      <c r="BK91" s="242"/>
      <c r="BL91" s="242"/>
      <c r="BM91" s="242"/>
      <c r="BN91" s="242"/>
      <c r="BO91" s="242"/>
      <c r="BP91" s="242"/>
      <c r="BQ91" s="242"/>
      <c r="BR91" s="242"/>
      <c r="BS91" s="242"/>
      <c r="BT91" s="242"/>
      <c r="BU91" s="242"/>
      <c r="BV91" s="242"/>
      <c r="BW91" s="242"/>
      <c r="BX91" s="242"/>
      <c r="BY91" s="242"/>
      <c r="BZ91" s="242"/>
      <c r="CA91" s="242"/>
      <c r="CB91" s="242"/>
      <c r="CC91" s="242"/>
      <c r="CD91" s="242"/>
      <c r="CE91" s="242"/>
      <c r="CF91" s="242"/>
      <c r="CG91" s="242"/>
      <c r="CH91" s="242"/>
      <c r="CI91" s="242"/>
      <c r="CJ91" s="242"/>
      <c r="CK91" s="242"/>
      <c r="CL91" s="242"/>
      <c r="CM91" s="242"/>
      <c r="CN91" s="242"/>
      <c r="CO91" s="242"/>
      <c r="CP91" s="242"/>
      <c r="CQ91" s="242"/>
      <c r="CR91" s="242"/>
      <c r="CS91" s="242"/>
      <c r="CT91" s="242"/>
      <c r="CU91" s="242"/>
      <c r="CV91" s="242"/>
      <c r="CW91" s="242"/>
      <c r="CX91" s="242"/>
      <c r="CY91" s="242"/>
      <c r="CZ91" s="242"/>
      <c r="DA91" s="242"/>
      <c r="DB91" s="242"/>
      <c r="DC91" s="242"/>
      <c r="DD91" s="242"/>
      <c r="DE91" s="242"/>
      <c r="DF91" s="242"/>
      <c r="DG91" s="242"/>
      <c r="DH91" s="242"/>
      <c r="DI91" s="242"/>
      <c r="DJ91" s="242"/>
      <c r="DK91" s="242"/>
      <c r="DL91" s="242"/>
      <c r="DM91" s="242"/>
      <c r="DN91" s="242"/>
      <c r="DO91" s="242"/>
      <c r="DP91" s="242"/>
      <c r="DQ91" s="242"/>
      <c r="DR91" s="242"/>
      <c r="DS91" s="242"/>
      <c r="DT91" s="242"/>
      <c r="DU91" s="242"/>
      <c r="DV91" s="242"/>
      <c r="DW91" s="242"/>
      <c r="DX91" s="242"/>
      <c r="DY91" s="242"/>
      <c r="DZ91" s="242"/>
      <c r="EA91" s="242"/>
      <c r="EB91" s="242"/>
      <c r="EC91" s="242"/>
      <c r="ED91" s="242"/>
      <c r="EE91" s="242"/>
      <c r="EF91" s="242"/>
      <c r="EG91" s="242"/>
      <c r="EH91" s="242"/>
      <c r="EI91" s="242"/>
      <c r="EJ91" s="242"/>
      <c r="EK91" s="242"/>
      <c r="EL91" s="242"/>
      <c r="EM91" s="242"/>
      <c r="EN91" s="242"/>
      <c r="EO91" s="242"/>
      <c r="EP91" s="242"/>
      <c r="EQ91" s="242"/>
      <c r="ER91" s="242"/>
      <c r="ES91" s="242"/>
      <c r="ET91" s="242"/>
      <c r="EU91" s="242"/>
      <c r="EV91" s="242"/>
      <c r="EW91" s="242"/>
      <c r="EX91" s="242"/>
      <c r="EY91" s="242"/>
      <c r="EZ91" s="242"/>
      <c r="FA91" s="242"/>
      <c r="FB91" s="242"/>
      <c r="FC91" s="242"/>
      <c r="FD91" s="242"/>
      <c r="FE91" s="242"/>
      <c r="FF91" s="242"/>
      <c r="FG91" s="242"/>
      <c r="FH91" s="242"/>
      <c r="FI91" s="242"/>
      <c r="FJ91" s="242"/>
      <c r="FK91" s="242"/>
      <c r="FL91" s="242"/>
      <c r="FM91" s="242"/>
      <c r="FN91" s="242"/>
      <c r="FO91" s="242"/>
      <c r="FP91" s="242"/>
      <c r="FQ91" s="242"/>
      <c r="FR91" s="242"/>
      <c r="FS91" s="242"/>
      <c r="FT91" s="242"/>
      <c r="FU91" s="242"/>
      <c r="FV91" s="242"/>
      <c r="FW91" s="242"/>
      <c r="FX91" s="242"/>
      <c r="FY91" s="242"/>
      <c r="FZ91" s="242"/>
      <c r="GA91" s="242"/>
      <c r="GB91" s="242"/>
      <c r="GC91" s="242"/>
      <c r="GD91" s="242"/>
      <c r="GE91" s="242"/>
      <c r="GF91" s="242"/>
      <c r="GG91" s="242"/>
      <c r="GH91" s="242"/>
      <c r="GI91" s="242"/>
      <c r="GJ91" s="242"/>
      <c r="GK91" s="242"/>
      <c r="GL91" s="242"/>
      <c r="GM91" s="242"/>
      <c r="GN91" s="242"/>
      <c r="GO91" s="242"/>
      <c r="GP91" s="242"/>
      <c r="GQ91" s="242"/>
      <c r="GR91" s="242"/>
      <c r="GS91" s="242"/>
      <c r="GT91" s="242"/>
      <c r="GU91" s="242"/>
      <c r="GV91" s="242"/>
      <c r="GW91" s="242"/>
      <c r="GX91" s="242"/>
      <c r="GY91" s="242"/>
      <c r="GZ91" s="242"/>
      <c r="HA91" s="242"/>
      <c r="HB91" s="242"/>
      <c r="HC91" s="242"/>
      <c r="HD91" s="242"/>
      <c r="HE91" s="242"/>
      <c r="HF91" s="242"/>
      <c r="HG91" s="242"/>
      <c r="HH91" s="242"/>
      <c r="HI91" s="242"/>
      <c r="HJ91" s="242"/>
      <c r="HK91" s="242"/>
      <c r="HL91" s="242"/>
      <c r="HM91" s="242"/>
      <c r="HN91" s="242"/>
      <c r="HO91" s="243"/>
    </row>
    <row r="92" spans="1:223" ht="12.75" hidden="1" customHeight="1">
      <c r="A92" s="83">
        <f t="shared" si="14"/>
        <v>87</v>
      </c>
      <c r="B92" s="84"/>
      <c r="C92" s="84"/>
      <c r="D92" s="84"/>
      <c r="E92" s="84"/>
      <c r="F92" s="84" t="str">
        <f t="shared" si="12"/>
        <v>///</v>
      </c>
      <c r="G92" s="249">
        <f t="shared" si="15"/>
        <v>0</v>
      </c>
      <c r="H92" s="240">
        <f t="shared" si="13"/>
        <v>0</v>
      </c>
      <c r="I92" s="243"/>
      <c r="J92" s="243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  <c r="AM92" s="242"/>
      <c r="AN92" s="242"/>
      <c r="AO92" s="242"/>
      <c r="AP92" s="242"/>
      <c r="AQ92" s="242"/>
      <c r="AR92" s="242"/>
      <c r="AS92" s="242"/>
      <c r="AT92" s="242"/>
      <c r="AU92" s="242"/>
      <c r="AV92" s="242"/>
      <c r="AW92" s="242"/>
      <c r="AX92" s="242"/>
      <c r="AY92" s="242"/>
      <c r="AZ92" s="242"/>
      <c r="BA92" s="242"/>
      <c r="BB92" s="242"/>
      <c r="BC92" s="242"/>
      <c r="BD92" s="242"/>
      <c r="BE92" s="242"/>
      <c r="BF92" s="242"/>
      <c r="BG92" s="242"/>
      <c r="BH92" s="242"/>
      <c r="BI92" s="242"/>
      <c r="BJ92" s="242"/>
      <c r="BK92" s="242"/>
      <c r="BL92" s="242"/>
      <c r="BM92" s="242"/>
      <c r="BN92" s="242"/>
      <c r="BO92" s="242"/>
      <c r="BP92" s="242"/>
      <c r="BQ92" s="242"/>
      <c r="BR92" s="242"/>
      <c r="BS92" s="242"/>
      <c r="BT92" s="242"/>
      <c r="BU92" s="242"/>
      <c r="BV92" s="242"/>
      <c r="BW92" s="242"/>
      <c r="BX92" s="242"/>
      <c r="BY92" s="242"/>
      <c r="BZ92" s="242"/>
      <c r="CA92" s="242"/>
      <c r="CB92" s="242"/>
      <c r="CC92" s="242"/>
      <c r="CD92" s="242"/>
      <c r="CE92" s="242"/>
      <c r="CF92" s="242"/>
      <c r="CG92" s="242"/>
      <c r="CH92" s="242"/>
      <c r="CI92" s="242"/>
      <c r="CJ92" s="242"/>
      <c r="CK92" s="242"/>
      <c r="CL92" s="242"/>
      <c r="CM92" s="242"/>
      <c r="CN92" s="242"/>
      <c r="CO92" s="242"/>
      <c r="CP92" s="242"/>
      <c r="CQ92" s="242"/>
      <c r="CR92" s="242"/>
      <c r="CS92" s="242"/>
      <c r="CT92" s="242"/>
      <c r="CU92" s="242"/>
      <c r="CV92" s="242"/>
      <c r="CW92" s="242"/>
      <c r="CX92" s="242"/>
      <c r="CY92" s="242"/>
      <c r="CZ92" s="242"/>
      <c r="DA92" s="242"/>
      <c r="DB92" s="242"/>
      <c r="DC92" s="242"/>
      <c r="DD92" s="242"/>
      <c r="DE92" s="242"/>
      <c r="DF92" s="242"/>
      <c r="DG92" s="242"/>
      <c r="DH92" s="242"/>
      <c r="DI92" s="242"/>
      <c r="DJ92" s="242"/>
      <c r="DK92" s="242"/>
      <c r="DL92" s="242"/>
      <c r="DM92" s="242"/>
      <c r="DN92" s="242"/>
      <c r="DO92" s="242"/>
      <c r="DP92" s="242"/>
      <c r="DQ92" s="242"/>
      <c r="DR92" s="242"/>
      <c r="DS92" s="242"/>
      <c r="DT92" s="242"/>
      <c r="DU92" s="242"/>
      <c r="DV92" s="242"/>
      <c r="DW92" s="242"/>
      <c r="DX92" s="242"/>
      <c r="DY92" s="242"/>
      <c r="DZ92" s="242"/>
      <c r="EA92" s="242"/>
      <c r="EB92" s="242"/>
      <c r="EC92" s="242"/>
      <c r="ED92" s="242"/>
      <c r="EE92" s="242"/>
      <c r="EF92" s="242"/>
      <c r="EG92" s="242"/>
      <c r="EH92" s="242"/>
      <c r="EI92" s="242"/>
      <c r="EJ92" s="242"/>
      <c r="EK92" s="242"/>
      <c r="EL92" s="242"/>
      <c r="EM92" s="242"/>
      <c r="EN92" s="242"/>
      <c r="EO92" s="242"/>
      <c r="EP92" s="242"/>
      <c r="EQ92" s="242"/>
      <c r="ER92" s="242"/>
      <c r="ES92" s="242"/>
      <c r="ET92" s="242"/>
      <c r="EU92" s="242"/>
      <c r="EV92" s="242"/>
      <c r="EW92" s="242"/>
      <c r="EX92" s="242"/>
      <c r="EY92" s="242"/>
      <c r="EZ92" s="242"/>
      <c r="FA92" s="242"/>
      <c r="FB92" s="242"/>
      <c r="FC92" s="242"/>
      <c r="FD92" s="242"/>
      <c r="FE92" s="242"/>
      <c r="FF92" s="242"/>
      <c r="FG92" s="242"/>
      <c r="FH92" s="242"/>
      <c r="FI92" s="242"/>
      <c r="FJ92" s="242"/>
      <c r="FK92" s="242"/>
      <c r="FL92" s="242"/>
      <c r="FM92" s="242"/>
      <c r="FN92" s="242"/>
      <c r="FO92" s="242"/>
      <c r="FP92" s="242"/>
      <c r="FQ92" s="242"/>
      <c r="FR92" s="242"/>
      <c r="FS92" s="242"/>
      <c r="FT92" s="242"/>
      <c r="FU92" s="242"/>
      <c r="FV92" s="242"/>
      <c r="FW92" s="242"/>
      <c r="FX92" s="242"/>
      <c r="FY92" s="242"/>
      <c r="FZ92" s="242"/>
      <c r="GA92" s="242"/>
      <c r="GB92" s="242"/>
      <c r="GC92" s="242"/>
      <c r="GD92" s="242"/>
      <c r="GE92" s="242"/>
      <c r="GF92" s="242"/>
      <c r="GG92" s="242"/>
      <c r="GH92" s="242"/>
      <c r="GI92" s="242"/>
      <c r="GJ92" s="242"/>
      <c r="GK92" s="242"/>
      <c r="GL92" s="242"/>
      <c r="GM92" s="242"/>
      <c r="GN92" s="242"/>
      <c r="GO92" s="242"/>
      <c r="GP92" s="242"/>
      <c r="GQ92" s="242"/>
      <c r="GR92" s="242"/>
      <c r="GS92" s="242"/>
      <c r="GT92" s="242"/>
      <c r="GU92" s="242"/>
      <c r="GV92" s="242"/>
      <c r="GW92" s="242"/>
      <c r="GX92" s="242"/>
      <c r="GY92" s="242"/>
      <c r="GZ92" s="242"/>
      <c r="HA92" s="242"/>
      <c r="HB92" s="242"/>
      <c r="HC92" s="242"/>
      <c r="HD92" s="242"/>
      <c r="HE92" s="242"/>
      <c r="HF92" s="242"/>
      <c r="HG92" s="242"/>
      <c r="HH92" s="242"/>
      <c r="HI92" s="242"/>
      <c r="HJ92" s="242"/>
      <c r="HK92" s="242"/>
      <c r="HL92" s="242"/>
      <c r="HM92" s="242"/>
      <c r="HN92" s="242"/>
      <c r="HO92" s="243"/>
    </row>
    <row r="93" spans="1:223" ht="12.75" hidden="1" customHeight="1">
      <c r="A93" s="83">
        <f t="shared" si="14"/>
        <v>88</v>
      </c>
      <c r="B93" s="84"/>
      <c r="C93" s="84"/>
      <c r="D93" s="84"/>
      <c r="E93" s="84"/>
      <c r="F93" s="84" t="str">
        <f t="shared" si="12"/>
        <v>///</v>
      </c>
      <c r="G93" s="249">
        <f t="shared" si="15"/>
        <v>0</v>
      </c>
      <c r="H93" s="240">
        <f t="shared" si="13"/>
        <v>0</v>
      </c>
      <c r="I93" s="243"/>
      <c r="J93" s="243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42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  <c r="AM93" s="242"/>
      <c r="AN93" s="242"/>
      <c r="AO93" s="242"/>
      <c r="AP93" s="242"/>
      <c r="AQ93" s="242"/>
      <c r="AR93" s="242"/>
      <c r="AS93" s="242"/>
      <c r="AT93" s="242"/>
      <c r="AU93" s="242"/>
      <c r="AV93" s="242"/>
      <c r="AW93" s="242"/>
      <c r="AX93" s="242"/>
      <c r="AY93" s="242"/>
      <c r="AZ93" s="242"/>
      <c r="BA93" s="242"/>
      <c r="BB93" s="242"/>
      <c r="BC93" s="242"/>
      <c r="BD93" s="242"/>
      <c r="BE93" s="242"/>
      <c r="BF93" s="242"/>
      <c r="BG93" s="242"/>
      <c r="BH93" s="242"/>
      <c r="BI93" s="242"/>
      <c r="BJ93" s="242"/>
      <c r="BK93" s="242"/>
      <c r="BL93" s="242"/>
      <c r="BM93" s="242"/>
      <c r="BN93" s="242"/>
      <c r="BO93" s="242"/>
      <c r="BP93" s="242"/>
      <c r="BQ93" s="242"/>
      <c r="BR93" s="242"/>
      <c r="BS93" s="242"/>
      <c r="BT93" s="242"/>
      <c r="BU93" s="242"/>
      <c r="BV93" s="242"/>
      <c r="BW93" s="242"/>
      <c r="BX93" s="242"/>
      <c r="BY93" s="242"/>
      <c r="BZ93" s="242"/>
      <c r="CA93" s="242"/>
      <c r="CB93" s="242"/>
      <c r="CC93" s="242"/>
      <c r="CD93" s="242"/>
      <c r="CE93" s="242"/>
      <c r="CF93" s="242"/>
      <c r="CG93" s="242"/>
      <c r="CH93" s="242"/>
      <c r="CI93" s="242"/>
      <c r="CJ93" s="242"/>
      <c r="CK93" s="242"/>
      <c r="CL93" s="242"/>
      <c r="CM93" s="242"/>
      <c r="CN93" s="242"/>
      <c r="CO93" s="242"/>
      <c r="CP93" s="242"/>
      <c r="CQ93" s="242"/>
      <c r="CR93" s="242"/>
      <c r="CS93" s="242"/>
      <c r="CT93" s="242"/>
      <c r="CU93" s="242"/>
      <c r="CV93" s="242"/>
      <c r="CW93" s="242"/>
      <c r="CX93" s="242"/>
      <c r="CY93" s="242"/>
      <c r="CZ93" s="242"/>
      <c r="DA93" s="242"/>
      <c r="DB93" s="242"/>
      <c r="DC93" s="242"/>
      <c r="DD93" s="242"/>
      <c r="DE93" s="242"/>
      <c r="DF93" s="242"/>
      <c r="DG93" s="242"/>
      <c r="DH93" s="242"/>
      <c r="DI93" s="242"/>
      <c r="DJ93" s="242"/>
      <c r="DK93" s="242"/>
      <c r="DL93" s="242"/>
      <c r="DM93" s="242"/>
      <c r="DN93" s="242"/>
      <c r="DO93" s="242"/>
      <c r="DP93" s="242"/>
      <c r="DQ93" s="242"/>
      <c r="DR93" s="242"/>
      <c r="DS93" s="242"/>
      <c r="DT93" s="242"/>
      <c r="DU93" s="242"/>
      <c r="DV93" s="242"/>
      <c r="DW93" s="242"/>
      <c r="DX93" s="242"/>
      <c r="DY93" s="242"/>
      <c r="DZ93" s="242"/>
      <c r="EA93" s="242"/>
      <c r="EB93" s="242"/>
      <c r="EC93" s="242"/>
      <c r="ED93" s="242"/>
      <c r="EE93" s="242"/>
      <c r="EF93" s="242"/>
      <c r="EG93" s="242"/>
      <c r="EH93" s="242"/>
      <c r="EI93" s="242"/>
      <c r="EJ93" s="242"/>
      <c r="EK93" s="242"/>
      <c r="EL93" s="242"/>
      <c r="EM93" s="242"/>
      <c r="EN93" s="242"/>
      <c r="EO93" s="242"/>
      <c r="EP93" s="242"/>
      <c r="EQ93" s="242"/>
      <c r="ER93" s="242"/>
      <c r="ES93" s="242"/>
      <c r="ET93" s="242"/>
      <c r="EU93" s="242"/>
      <c r="EV93" s="242"/>
      <c r="EW93" s="242"/>
      <c r="EX93" s="242"/>
      <c r="EY93" s="242"/>
      <c r="EZ93" s="242"/>
      <c r="FA93" s="242"/>
      <c r="FB93" s="242"/>
      <c r="FC93" s="242"/>
      <c r="FD93" s="242"/>
      <c r="FE93" s="242"/>
      <c r="FF93" s="242"/>
      <c r="FG93" s="242"/>
      <c r="FH93" s="242"/>
      <c r="FI93" s="242"/>
      <c r="FJ93" s="242"/>
      <c r="FK93" s="242"/>
      <c r="FL93" s="242"/>
      <c r="FM93" s="242"/>
      <c r="FN93" s="242"/>
      <c r="FO93" s="242"/>
      <c r="FP93" s="242"/>
      <c r="FQ93" s="242"/>
      <c r="FR93" s="242"/>
      <c r="FS93" s="242"/>
      <c r="FT93" s="242"/>
      <c r="FU93" s="242"/>
      <c r="FV93" s="242"/>
      <c r="FW93" s="242"/>
      <c r="FX93" s="242"/>
      <c r="FY93" s="242"/>
      <c r="FZ93" s="242"/>
      <c r="GA93" s="242"/>
      <c r="GB93" s="242"/>
      <c r="GC93" s="242"/>
      <c r="GD93" s="242"/>
      <c r="GE93" s="242"/>
      <c r="GF93" s="242"/>
      <c r="GG93" s="242"/>
      <c r="GH93" s="242"/>
      <c r="GI93" s="242"/>
      <c r="GJ93" s="242"/>
      <c r="GK93" s="242"/>
      <c r="GL93" s="242"/>
      <c r="GM93" s="242"/>
      <c r="GN93" s="242"/>
      <c r="GO93" s="242"/>
      <c r="GP93" s="242"/>
      <c r="GQ93" s="242"/>
      <c r="GR93" s="242"/>
      <c r="GS93" s="242"/>
      <c r="GT93" s="242"/>
      <c r="GU93" s="242"/>
      <c r="GV93" s="242"/>
      <c r="GW93" s="242"/>
      <c r="GX93" s="242"/>
      <c r="GY93" s="242"/>
      <c r="GZ93" s="242"/>
      <c r="HA93" s="242"/>
      <c r="HB93" s="242"/>
      <c r="HC93" s="242"/>
      <c r="HD93" s="242"/>
      <c r="HE93" s="242"/>
      <c r="HF93" s="242"/>
      <c r="HG93" s="242"/>
      <c r="HH93" s="242"/>
      <c r="HI93" s="242"/>
      <c r="HJ93" s="242"/>
      <c r="HK93" s="242"/>
      <c r="HL93" s="242"/>
      <c r="HM93" s="242"/>
      <c r="HN93" s="242"/>
      <c r="HO93" s="243"/>
    </row>
    <row r="94" spans="1:223" ht="12.75" hidden="1" customHeight="1">
      <c r="A94" s="83">
        <f t="shared" si="14"/>
        <v>89</v>
      </c>
      <c r="B94" s="84"/>
      <c r="C94" s="84"/>
      <c r="D94" s="84"/>
      <c r="E94" s="84"/>
      <c r="F94" s="84" t="str">
        <f t="shared" si="12"/>
        <v>///</v>
      </c>
      <c r="G94" s="249">
        <f t="shared" si="15"/>
        <v>0</v>
      </c>
      <c r="H94" s="240">
        <f t="shared" si="13"/>
        <v>0</v>
      </c>
      <c r="I94" s="243"/>
      <c r="J94" s="243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42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  <c r="AM94" s="242"/>
      <c r="AN94" s="242"/>
      <c r="AO94" s="242"/>
      <c r="AP94" s="242"/>
      <c r="AQ94" s="242"/>
      <c r="AR94" s="242"/>
      <c r="AS94" s="242"/>
      <c r="AT94" s="242"/>
      <c r="AU94" s="242"/>
      <c r="AV94" s="242"/>
      <c r="AW94" s="242"/>
      <c r="AX94" s="242"/>
      <c r="AY94" s="242"/>
      <c r="AZ94" s="242"/>
      <c r="BA94" s="242"/>
      <c r="BB94" s="242"/>
      <c r="BC94" s="242"/>
      <c r="BD94" s="242"/>
      <c r="BE94" s="242"/>
      <c r="BF94" s="242"/>
      <c r="BG94" s="242"/>
      <c r="BH94" s="242"/>
      <c r="BI94" s="242"/>
      <c r="BJ94" s="242"/>
      <c r="BK94" s="242"/>
      <c r="BL94" s="242"/>
      <c r="BM94" s="242"/>
      <c r="BN94" s="242"/>
      <c r="BO94" s="242"/>
      <c r="BP94" s="242"/>
      <c r="BQ94" s="242"/>
      <c r="BR94" s="242"/>
      <c r="BS94" s="242"/>
      <c r="BT94" s="242"/>
      <c r="BU94" s="242"/>
      <c r="BV94" s="242"/>
      <c r="BW94" s="242"/>
      <c r="BX94" s="242"/>
      <c r="BY94" s="242"/>
      <c r="BZ94" s="242"/>
      <c r="CA94" s="242"/>
      <c r="CB94" s="242"/>
      <c r="CC94" s="242"/>
      <c r="CD94" s="242"/>
      <c r="CE94" s="242"/>
      <c r="CF94" s="242"/>
      <c r="CG94" s="242"/>
      <c r="CH94" s="242"/>
      <c r="CI94" s="242"/>
      <c r="CJ94" s="242"/>
      <c r="CK94" s="242"/>
      <c r="CL94" s="242"/>
      <c r="CM94" s="242"/>
      <c r="CN94" s="242"/>
      <c r="CO94" s="242"/>
      <c r="CP94" s="242"/>
      <c r="CQ94" s="242"/>
      <c r="CR94" s="242"/>
      <c r="CS94" s="242"/>
      <c r="CT94" s="242"/>
      <c r="CU94" s="242"/>
      <c r="CV94" s="242"/>
      <c r="CW94" s="242"/>
      <c r="CX94" s="242"/>
      <c r="CY94" s="242"/>
      <c r="CZ94" s="242"/>
      <c r="DA94" s="242"/>
      <c r="DB94" s="242"/>
      <c r="DC94" s="242"/>
      <c r="DD94" s="242"/>
      <c r="DE94" s="242"/>
      <c r="DF94" s="242"/>
      <c r="DG94" s="242"/>
      <c r="DH94" s="242"/>
      <c r="DI94" s="242"/>
      <c r="DJ94" s="242"/>
      <c r="DK94" s="242"/>
      <c r="DL94" s="242"/>
      <c r="DM94" s="242"/>
      <c r="DN94" s="242"/>
      <c r="DO94" s="242"/>
      <c r="DP94" s="242"/>
      <c r="DQ94" s="242"/>
      <c r="DR94" s="242"/>
      <c r="DS94" s="242"/>
      <c r="DT94" s="242"/>
      <c r="DU94" s="242"/>
      <c r="DV94" s="242"/>
      <c r="DW94" s="242"/>
      <c r="DX94" s="242"/>
      <c r="DY94" s="242"/>
      <c r="DZ94" s="242"/>
      <c r="EA94" s="242"/>
      <c r="EB94" s="242"/>
      <c r="EC94" s="242"/>
      <c r="ED94" s="242"/>
      <c r="EE94" s="242"/>
      <c r="EF94" s="242"/>
      <c r="EG94" s="242"/>
      <c r="EH94" s="242"/>
      <c r="EI94" s="242"/>
      <c r="EJ94" s="242"/>
      <c r="EK94" s="242"/>
      <c r="EL94" s="242"/>
      <c r="EM94" s="242"/>
      <c r="EN94" s="242"/>
      <c r="EO94" s="242"/>
      <c r="EP94" s="242"/>
      <c r="EQ94" s="242"/>
      <c r="ER94" s="242"/>
      <c r="ES94" s="242"/>
      <c r="ET94" s="242"/>
      <c r="EU94" s="242"/>
      <c r="EV94" s="242"/>
      <c r="EW94" s="242"/>
      <c r="EX94" s="242"/>
      <c r="EY94" s="242"/>
      <c r="EZ94" s="242"/>
      <c r="FA94" s="242"/>
      <c r="FB94" s="242"/>
      <c r="FC94" s="242"/>
      <c r="FD94" s="242"/>
      <c r="FE94" s="242"/>
      <c r="FF94" s="242"/>
      <c r="FG94" s="242"/>
      <c r="FH94" s="242"/>
      <c r="FI94" s="242"/>
      <c r="FJ94" s="242"/>
      <c r="FK94" s="242"/>
      <c r="FL94" s="242"/>
      <c r="FM94" s="242"/>
      <c r="FN94" s="242"/>
      <c r="FO94" s="242"/>
      <c r="FP94" s="242"/>
      <c r="FQ94" s="242"/>
      <c r="FR94" s="242"/>
      <c r="FS94" s="242"/>
      <c r="FT94" s="242"/>
      <c r="FU94" s="242"/>
      <c r="FV94" s="242"/>
      <c r="FW94" s="242"/>
      <c r="FX94" s="242"/>
      <c r="FY94" s="242"/>
      <c r="FZ94" s="242"/>
      <c r="GA94" s="242"/>
      <c r="GB94" s="242"/>
      <c r="GC94" s="242"/>
      <c r="GD94" s="242"/>
      <c r="GE94" s="242"/>
      <c r="GF94" s="242"/>
      <c r="GG94" s="242"/>
      <c r="GH94" s="242"/>
      <c r="GI94" s="242"/>
      <c r="GJ94" s="242"/>
      <c r="GK94" s="242"/>
      <c r="GL94" s="242"/>
      <c r="GM94" s="242"/>
      <c r="GN94" s="242"/>
      <c r="GO94" s="242"/>
      <c r="GP94" s="242"/>
      <c r="GQ94" s="242"/>
      <c r="GR94" s="242"/>
      <c r="GS94" s="242"/>
      <c r="GT94" s="242"/>
      <c r="GU94" s="242"/>
      <c r="GV94" s="242"/>
      <c r="GW94" s="242"/>
      <c r="GX94" s="242"/>
      <c r="GY94" s="242"/>
      <c r="GZ94" s="242"/>
      <c r="HA94" s="242"/>
      <c r="HB94" s="242"/>
      <c r="HC94" s="242"/>
      <c r="HD94" s="242"/>
      <c r="HE94" s="242"/>
      <c r="HF94" s="242"/>
      <c r="HG94" s="242"/>
      <c r="HH94" s="242"/>
      <c r="HI94" s="242"/>
      <c r="HJ94" s="242"/>
      <c r="HK94" s="242"/>
      <c r="HL94" s="242"/>
      <c r="HM94" s="242"/>
      <c r="HN94" s="242"/>
      <c r="HO94" s="243"/>
    </row>
    <row r="95" spans="1:223" ht="12.75" hidden="1" customHeight="1">
      <c r="A95" s="83">
        <f t="shared" si="14"/>
        <v>90</v>
      </c>
      <c r="B95" s="84"/>
      <c r="C95" s="84"/>
      <c r="D95" s="84"/>
      <c r="E95" s="84"/>
      <c r="F95" s="84" t="str">
        <f t="shared" si="12"/>
        <v>///</v>
      </c>
      <c r="G95" s="249">
        <f t="shared" si="15"/>
        <v>0</v>
      </c>
      <c r="H95" s="240">
        <f t="shared" si="13"/>
        <v>0</v>
      </c>
      <c r="I95" s="243"/>
      <c r="J95" s="243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42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  <c r="AM95" s="242"/>
      <c r="AN95" s="242"/>
      <c r="AO95" s="242"/>
      <c r="AP95" s="242"/>
      <c r="AQ95" s="242"/>
      <c r="AR95" s="242"/>
      <c r="AS95" s="242"/>
      <c r="AT95" s="242"/>
      <c r="AU95" s="242"/>
      <c r="AV95" s="242"/>
      <c r="AW95" s="242"/>
      <c r="AX95" s="242"/>
      <c r="AY95" s="242"/>
      <c r="AZ95" s="242"/>
      <c r="BA95" s="242"/>
      <c r="BB95" s="242"/>
      <c r="BC95" s="242"/>
      <c r="BD95" s="242"/>
      <c r="BE95" s="242"/>
      <c r="BF95" s="242"/>
      <c r="BG95" s="242"/>
      <c r="BH95" s="242"/>
      <c r="BI95" s="242"/>
      <c r="BJ95" s="242"/>
      <c r="BK95" s="242"/>
      <c r="BL95" s="242"/>
      <c r="BM95" s="242"/>
      <c r="BN95" s="242"/>
      <c r="BO95" s="242"/>
      <c r="BP95" s="242"/>
      <c r="BQ95" s="242"/>
      <c r="BR95" s="242"/>
      <c r="BS95" s="242"/>
      <c r="BT95" s="242"/>
      <c r="BU95" s="242"/>
      <c r="BV95" s="242"/>
      <c r="BW95" s="242"/>
      <c r="BX95" s="242"/>
      <c r="BY95" s="242"/>
      <c r="BZ95" s="242"/>
      <c r="CA95" s="242"/>
      <c r="CB95" s="242"/>
      <c r="CC95" s="242"/>
      <c r="CD95" s="242"/>
      <c r="CE95" s="242"/>
      <c r="CF95" s="242"/>
      <c r="CG95" s="242"/>
      <c r="CH95" s="242"/>
      <c r="CI95" s="242"/>
      <c r="CJ95" s="242"/>
      <c r="CK95" s="242"/>
      <c r="CL95" s="242"/>
      <c r="CM95" s="242"/>
      <c r="CN95" s="242"/>
      <c r="CO95" s="242"/>
      <c r="CP95" s="242"/>
      <c r="CQ95" s="242"/>
      <c r="CR95" s="242"/>
      <c r="CS95" s="242"/>
      <c r="CT95" s="242"/>
      <c r="CU95" s="242"/>
      <c r="CV95" s="242"/>
      <c r="CW95" s="242"/>
      <c r="CX95" s="242"/>
      <c r="CY95" s="242"/>
      <c r="CZ95" s="242"/>
      <c r="DA95" s="242"/>
      <c r="DB95" s="242"/>
      <c r="DC95" s="242"/>
      <c r="DD95" s="242"/>
      <c r="DE95" s="242"/>
      <c r="DF95" s="242"/>
      <c r="DG95" s="242"/>
      <c r="DH95" s="242"/>
      <c r="DI95" s="242"/>
      <c r="DJ95" s="242"/>
      <c r="DK95" s="242"/>
      <c r="DL95" s="242"/>
      <c r="DM95" s="242"/>
      <c r="DN95" s="242"/>
      <c r="DO95" s="242"/>
      <c r="DP95" s="242"/>
      <c r="DQ95" s="242"/>
      <c r="DR95" s="242"/>
      <c r="DS95" s="242"/>
      <c r="DT95" s="242"/>
      <c r="DU95" s="242"/>
      <c r="DV95" s="242"/>
      <c r="DW95" s="242"/>
      <c r="DX95" s="242"/>
      <c r="DY95" s="242"/>
      <c r="DZ95" s="242"/>
      <c r="EA95" s="242"/>
      <c r="EB95" s="242"/>
      <c r="EC95" s="242"/>
      <c r="ED95" s="242"/>
      <c r="EE95" s="242"/>
      <c r="EF95" s="242"/>
      <c r="EG95" s="242"/>
      <c r="EH95" s="242"/>
      <c r="EI95" s="242"/>
      <c r="EJ95" s="242"/>
      <c r="EK95" s="242"/>
      <c r="EL95" s="242"/>
      <c r="EM95" s="242"/>
      <c r="EN95" s="242"/>
      <c r="EO95" s="242"/>
      <c r="EP95" s="242"/>
      <c r="EQ95" s="242"/>
      <c r="ER95" s="242"/>
      <c r="ES95" s="242"/>
      <c r="ET95" s="242"/>
      <c r="EU95" s="242"/>
      <c r="EV95" s="242"/>
      <c r="EW95" s="242"/>
      <c r="EX95" s="242"/>
      <c r="EY95" s="242"/>
      <c r="EZ95" s="242"/>
      <c r="FA95" s="242"/>
      <c r="FB95" s="242"/>
      <c r="FC95" s="242"/>
      <c r="FD95" s="242"/>
      <c r="FE95" s="242"/>
      <c r="FF95" s="242"/>
      <c r="FG95" s="242"/>
      <c r="FH95" s="242"/>
      <c r="FI95" s="242"/>
      <c r="FJ95" s="242"/>
      <c r="FK95" s="242"/>
      <c r="FL95" s="242"/>
      <c r="FM95" s="242"/>
      <c r="FN95" s="242"/>
      <c r="FO95" s="242"/>
      <c r="FP95" s="242"/>
      <c r="FQ95" s="242"/>
      <c r="FR95" s="242"/>
      <c r="FS95" s="242"/>
      <c r="FT95" s="242"/>
      <c r="FU95" s="242"/>
      <c r="FV95" s="242"/>
      <c r="FW95" s="242"/>
      <c r="FX95" s="242"/>
      <c r="FY95" s="242"/>
      <c r="FZ95" s="242"/>
      <c r="GA95" s="242"/>
      <c r="GB95" s="242"/>
      <c r="GC95" s="242"/>
      <c r="GD95" s="242"/>
      <c r="GE95" s="242"/>
      <c r="GF95" s="242"/>
      <c r="GG95" s="242"/>
      <c r="GH95" s="242"/>
      <c r="GI95" s="242"/>
      <c r="GJ95" s="242"/>
      <c r="GK95" s="242"/>
      <c r="GL95" s="242"/>
      <c r="GM95" s="242"/>
      <c r="GN95" s="242"/>
      <c r="GO95" s="242"/>
      <c r="GP95" s="242"/>
      <c r="GQ95" s="242"/>
      <c r="GR95" s="242"/>
      <c r="GS95" s="242"/>
      <c r="GT95" s="242"/>
      <c r="GU95" s="242"/>
      <c r="GV95" s="242"/>
      <c r="GW95" s="242"/>
      <c r="GX95" s="242"/>
      <c r="GY95" s="242"/>
      <c r="GZ95" s="242"/>
      <c r="HA95" s="242"/>
      <c r="HB95" s="242"/>
      <c r="HC95" s="242"/>
      <c r="HD95" s="242"/>
      <c r="HE95" s="242"/>
      <c r="HF95" s="242"/>
      <c r="HG95" s="242"/>
      <c r="HH95" s="242"/>
      <c r="HI95" s="242"/>
      <c r="HJ95" s="242"/>
      <c r="HK95" s="242"/>
      <c r="HL95" s="242"/>
      <c r="HM95" s="242"/>
      <c r="HN95" s="242"/>
      <c r="HO95" s="243"/>
    </row>
    <row r="96" spans="1:223" ht="12.75" hidden="1" customHeight="1">
      <c r="A96" s="83">
        <f t="shared" si="14"/>
        <v>91</v>
      </c>
      <c r="B96" s="84"/>
      <c r="C96" s="84"/>
      <c r="D96" s="84"/>
      <c r="E96" s="84"/>
      <c r="F96" s="84" t="str">
        <f t="shared" si="12"/>
        <v>///</v>
      </c>
      <c r="G96" s="249">
        <f t="shared" si="15"/>
        <v>0</v>
      </c>
      <c r="H96" s="240">
        <f t="shared" si="13"/>
        <v>0</v>
      </c>
      <c r="I96" s="243"/>
      <c r="J96" s="243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42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  <c r="AM96" s="242"/>
      <c r="AN96" s="242"/>
      <c r="AO96" s="242"/>
      <c r="AP96" s="242"/>
      <c r="AQ96" s="242"/>
      <c r="AR96" s="242"/>
      <c r="AS96" s="242"/>
      <c r="AT96" s="242"/>
      <c r="AU96" s="242"/>
      <c r="AV96" s="242"/>
      <c r="AW96" s="242"/>
      <c r="AX96" s="242"/>
      <c r="AY96" s="242"/>
      <c r="AZ96" s="242"/>
      <c r="BA96" s="242"/>
      <c r="BB96" s="242"/>
      <c r="BC96" s="242"/>
      <c r="BD96" s="242"/>
      <c r="BE96" s="242"/>
      <c r="BF96" s="242"/>
      <c r="BG96" s="242"/>
      <c r="BH96" s="242"/>
      <c r="BI96" s="242"/>
      <c r="BJ96" s="242"/>
      <c r="BK96" s="242"/>
      <c r="BL96" s="242"/>
      <c r="BM96" s="242"/>
      <c r="BN96" s="242"/>
      <c r="BO96" s="242"/>
      <c r="BP96" s="242"/>
      <c r="BQ96" s="242"/>
      <c r="BR96" s="242"/>
      <c r="BS96" s="242"/>
      <c r="BT96" s="242"/>
      <c r="BU96" s="242"/>
      <c r="BV96" s="242"/>
      <c r="BW96" s="242"/>
      <c r="BX96" s="242"/>
      <c r="BY96" s="242"/>
      <c r="BZ96" s="242"/>
      <c r="CA96" s="242"/>
      <c r="CB96" s="242"/>
      <c r="CC96" s="242"/>
      <c r="CD96" s="242"/>
      <c r="CE96" s="242"/>
      <c r="CF96" s="242"/>
      <c r="CG96" s="242"/>
      <c r="CH96" s="242"/>
      <c r="CI96" s="242"/>
      <c r="CJ96" s="242"/>
      <c r="CK96" s="242"/>
      <c r="CL96" s="242"/>
      <c r="CM96" s="242"/>
      <c r="CN96" s="242"/>
      <c r="CO96" s="242"/>
      <c r="CP96" s="242"/>
      <c r="CQ96" s="242"/>
      <c r="CR96" s="242"/>
      <c r="CS96" s="242"/>
      <c r="CT96" s="242"/>
      <c r="CU96" s="242"/>
      <c r="CV96" s="242"/>
      <c r="CW96" s="242"/>
      <c r="CX96" s="242"/>
      <c r="CY96" s="242"/>
      <c r="CZ96" s="242"/>
      <c r="DA96" s="242"/>
      <c r="DB96" s="242"/>
      <c r="DC96" s="242"/>
      <c r="DD96" s="242"/>
      <c r="DE96" s="242"/>
      <c r="DF96" s="242"/>
      <c r="DG96" s="242"/>
      <c r="DH96" s="242"/>
      <c r="DI96" s="242"/>
      <c r="DJ96" s="242"/>
      <c r="DK96" s="242"/>
      <c r="DL96" s="242"/>
      <c r="DM96" s="242"/>
      <c r="DN96" s="242"/>
      <c r="DO96" s="242"/>
      <c r="DP96" s="242"/>
      <c r="DQ96" s="242"/>
      <c r="DR96" s="242"/>
      <c r="DS96" s="242"/>
      <c r="DT96" s="242"/>
      <c r="DU96" s="242"/>
      <c r="DV96" s="242"/>
      <c r="DW96" s="242"/>
      <c r="DX96" s="242"/>
      <c r="DY96" s="242"/>
      <c r="DZ96" s="242"/>
      <c r="EA96" s="242"/>
      <c r="EB96" s="242"/>
      <c r="EC96" s="242"/>
      <c r="ED96" s="242"/>
      <c r="EE96" s="242"/>
      <c r="EF96" s="242"/>
      <c r="EG96" s="242"/>
      <c r="EH96" s="242"/>
      <c r="EI96" s="242"/>
      <c r="EJ96" s="242"/>
      <c r="EK96" s="242"/>
      <c r="EL96" s="242"/>
      <c r="EM96" s="242"/>
      <c r="EN96" s="242"/>
      <c r="EO96" s="242"/>
      <c r="EP96" s="242"/>
      <c r="EQ96" s="242"/>
      <c r="ER96" s="242"/>
      <c r="ES96" s="242"/>
      <c r="ET96" s="242"/>
      <c r="EU96" s="242"/>
      <c r="EV96" s="242"/>
      <c r="EW96" s="242"/>
      <c r="EX96" s="242"/>
      <c r="EY96" s="242"/>
      <c r="EZ96" s="242"/>
      <c r="FA96" s="242"/>
      <c r="FB96" s="242"/>
      <c r="FC96" s="242"/>
      <c r="FD96" s="242"/>
      <c r="FE96" s="242"/>
      <c r="FF96" s="242"/>
      <c r="FG96" s="242"/>
      <c r="FH96" s="242"/>
      <c r="FI96" s="242"/>
      <c r="FJ96" s="242"/>
      <c r="FK96" s="242"/>
      <c r="FL96" s="242"/>
      <c r="FM96" s="242"/>
      <c r="FN96" s="242"/>
      <c r="FO96" s="242"/>
      <c r="FP96" s="242"/>
      <c r="FQ96" s="242"/>
      <c r="FR96" s="242"/>
      <c r="FS96" s="242"/>
      <c r="FT96" s="242"/>
      <c r="FU96" s="242"/>
      <c r="FV96" s="242"/>
      <c r="FW96" s="242"/>
      <c r="FX96" s="242"/>
      <c r="FY96" s="242"/>
      <c r="FZ96" s="242"/>
      <c r="GA96" s="242"/>
      <c r="GB96" s="242"/>
      <c r="GC96" s="242"/>
      <c r="GD96" s="242"/>
      <c r="GE96" s="242"/>
      <c r="GF96" s="242"/>
      <c r="GG96" s="242"/>
      <c r="GH96" s="242"/>
      <c r="GI96" s="242"/>
      <c r="GJ96" s="242"/>
      <c r="GK96" s="242"/>
      <c r="GL96" s="242"/>
      <c r="GM96" s="242"/>
      <c r="GN96" s="242"/>
      <c r="GO96" s="242"/>
      <c r="GP96" s="242"/>
      <c r="GQ96" s="242"/>
      <c r="GR96" s="242"/>
      <c r="GS96" s="242"/>
      <c r="GT96" s="242"/>
      <c r="GU96" s="242"/>
      <c r="GV96" s="242"/>
      <c r="GW96" s="242"/>
      <c r="GX96" s="242"/>
      <c r="GY96" s="242"/>
      <c r="GZ96" s="242"/>
      <c r="HA96" s="242"/>
      <c r="HB96" s="242"/>
      <c r="HC96" s="242"/>
      <c r="HD96" s="242"/>
      <c r="HE96" s="242"/>
      <c r="HF96" s="242"/>
      <c r="HG96" s="242"/>
      <c r="HH96" s="242"/>
      <c r="HI96" s="242"/>
      <c r="HJ96" s="242"/>
      <c r="HK96" s="242"/>
      <c r="HL96" s="242"/>
      <c r="HM96" s="242"/>
      <c r="HN96" s="242"/>
      <c r="HO96" s="243"/>
    </row>
    <row r="97" spans="1:223" ht="12.75" hidden="1" customHeight="1">
      <c r="A97" s="83">
        <f t="shared" si="14"/>
        <v>92</v>
      </c>
      <c r="B97" s="84"/>
      <c r="C97" s="84"/>
      <c r="D97" s="84"/>
      <c r="E97" s="84"/>
      <c r="F97" s="84" t="str">
        <f t="shared" si="12"/>
        <v>///</v>
      </c>
      <c r="G97" s="249">
        <f t="shared" si="15"/>
        <v>0</v>
      </c>
      <c r="H97" s="240">
        <f t="shared" si="13"/>
        <v>0</v>
      </c>
      <c r="I97" s="243"/>
      <c r="J97" s="243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242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  <c r="AM97" s="242"/>
      <c r="AN97" s="242"/>
      <c r="AO97" s="242"/>
      <c r="AP97" s="242"/>
      <c r="AQ97" s="242"/>
      <c r="AR97" s="242"/>
      <c r="AS97" s="242"/>
      <c r="AT97" s="242"/>
      <c r="AU97" s="242"/>
      <c r="AV97" s="242"/>
      <c r="AW97" s="242"/>
      <c r="AX97" s="242"/>
      <c r="AY97" s="242"/>
      <c r="AZ97" s="242"/>
      <c r="BA97" s="242"/>
      <c r="BB97" s="242"/>
      <c r="BC97" s="242"/>
      <c r="BD97" s="242"/>
      <c r="BE97" s="242"/>
      <c r="BF97" s="242"/>
      <c r="BG97" s="242"/>
      <c r="BH97" s="242"/>
      <c r="BI97" s="242"/>
      <c r="BJ97" s="242"/>
      <c r="BK97" s="242"/>
      <c r="BL97" s="242"/>
      <c r="BM97" s="242"/>
      <c r="BN97" s="242"/>
      <c r="BO97" s="242"/>
      <c r="BP97" s="242"/>
      <c r="BQ97" s="242"/>
      <c r="BR97" s="242"/>
      <c r="BS97" s="242"/>
      <c r="BT97" s="242"/>
      <c r="BU97" s="242"/>
      <c r="BV97" s="242"/>
      <c r="BW97" s="242"/>
      <c r="BX97" s="242"/>
      <c r="BY97" s="242"/>
      <c r="BZ97" s="242"/>
      <c r="CA97" s="242"/>
      <c r="CB97" s="242"/>
      <c r="CC97" s="242"/>
      <c r="CD97" s="242"/>
      <c r="CE97" s="242"/>
      <c r="CF97" s="242"/>
      <c r="CG97" s="242"/>
      <c r="CH97" s="242"/>
      <c r="CI97" s="242"/>
      <c r="CJ97" s="242"/>
      <c r="CK97" s="242"/>
      <c r="CL97" s="242"/>
      <c r="CM97" s="242"/>
      <c r="CN97" s="242"/>
      <c r="CO97" s="242"/>
      <c r="CP97" s="242"/>
      <c r="CQ97" s="242"/>
      <c r="CR97" s="242"/>
      <c r="CS97" s="242"/>
      <c r="CT97" s="242"/>
      <c r="CU97" s="242"/>
      <c r="CV97" s="242"/>
      <c r="CW97" s="242"/>
      <c r="CX97" s="242"/>
      <c r="CY97" s="242"/>
      <c r="CZ97" s="242"/>
      <c r="DA97" s="242"/>
      <c r="DB97" s="242"/>
      <c r="DC97" s="242"/>
      <c r="DD97" s="242"/>
      <c r="DE97" s="242"/>
      <c r="DF97" s="242"/>
      <c r="DG97" s="242"/>
      <c r="DH97" s="242"/>
      <c r="DI97" s="242"/>
      <c r="DJ97" s="242"/>
      <c r="DK97" s="242"/>
      <c r="DL97" s="242"/>
      <c r="DM97" s="242"/>
      <c r="DN97" s="242"/>
      <c r="DO97" s="242"/>
      <c r="DP97" s="242"/>
      <c r="DQ97" s="242"/>
      <c r="DR97" s="242"/>
      <c r="DS97" s="242"/>
      <c r="DT97" s="242"/>
      <c r="DU97" s="242"/>
      <c r="DV97" s="242"/>
      <c r="DW97" s="242"/>
      <c r="DX97" s="242"/>
      <c r="DY97" s="242"/>
      <c r="DZ97" s="242"/>
      <c r="EA97" s="242"/>
      <c r="EB97" s="242"/>
      <c r="EC97" s="242"/>
      <c r="ED97" s="242"/>
      <c r="EE97" s="242"/>
      <c r="EF97" s="242"/>
      <c r="EG97" s="242"/>
      <c r="EH97" s="242"/>
      <c r="EI97" s="242"/>
      <c r="EJ97" s="242"/>
      <c r="EK97" s="242"/>
      <c r="EL97" s="242"/>
      <c r="EM97" s="242"/>
      <c r="EN97" s="242"/>
      <c r="EO97" s="242"/>
      <c r="EP97" s="242"/>
      <c r="EQ97" s="242"/>
      <c r="ER97" s="242"/>
      <c r="ES97" s="242"/>
      <c r="ET97" s="242"/>
      <c r="EU97" s="242"/>
      <c r="EV97" s="242"/>
      <c r="EW97" s="242"/>
      <c r="EX97" s="242"/>
      <c r="EY97" s="242"/>
      <c r="EZ97" s="242"/>
      <c r="FA97" s="242"/>
      <c r="FB97" s="242"/>
      <c r="FC97" s="242"/>
      <c r="FD97" s="242"/>
      <c r="FE97" s="242"/>
      <c r="FF97" s="242"/>
      <c r="FG97" s="242"/>
      <c r="FH97" s="242"/>
      <c r="FI97" s="242"/>
      <c r="FJ97" s="242"/>
      <c r="FK97" s="242"/>
      <c r="FL97" s="242"/>
      <c r="FM97" s="242"/>
      <c r="FN97" s="242"/>
      <c r="FO97" s="242"/>
      <c r="FP97" s="242"/>
      <c r="FQ97" s="242"/>
      <c r="FR97" s="242"/>
      <c r="FS97" s="242"/>
      <c r="FT97" s="242"/>
      <c r="FU97" s="242"/>
      <c r="FV97" s="242"/>
      <c r="FW97" s="242"/>
      <c r="FX97" s="242"/>
      <c r="FY97" s="242"/>
      <c r="FZ97" s="242"/>
      <c r="GA97" s="242"/>
      <c r="GB97" s="242"/>
      <c r="GC97" s="242"/>
      <c r="GD97" s="242"/>
      <c r="GE97" s="242"/>
      <c r="GF97" s="242"/>
      <c r="GG97" s="242"/>
      <c r="GH97" s="242"/>
      <c r="GI97" s="242"/>
      <c r="GJ97" s="242"/>
      <c r="GK97" s="242"/>
      <c r="GL97" s="242"/>
      <c r="GM97" s="242"/>
      <c r="GN97" s="242"/>
      <c r="GO97" s="242"/>
      <c r="GP97" s="242"/>
      <c r="GQ97" s="242"/>
      <c r="GR97" s="242"/>
      <c r="GS97" s="242"/>
      <c r="GT97" s="242"/>
      <c r="GU97" s="242"/>
      <c r="GV97" s="242"/>
      <c r="GW97" s="242"/>
      <c r="GX97" s="242"/>
      <c r="GY97" s="242"/>
      <c r="GZ97" s="242"/>
      <c r="HA97" s="242"/>
      <c r="HB97" s="242"/>
      <c r="HC97" s="242"/>
      <c r="HD97" s="242"/>
      <c r="HE97" s="242"/>
      <c r="HF97" s="242"/>
      <c r="HG97" s="242"/>
      <c r="HH97" s="242"/>
      <c r="HI97" s="242"/>
      <c r="HJ97" s="242"/>
      <c r="HK97" s="242"/>
      <c r="HL97" s="242"/>
      <c r="HM97" s="242"/>
      <c r="HN97" s="242"/>
      <c r="HO97" s="243"/>
    </row>
    <row r="98" spans="1:223" ht="12.75" hidden="1" customHeight="1">
      <c r="A98" s="83">
        <f t="shared" si="14"/>
        <v>93</v>
      </c>
      <c r="B98" s="84"/>
      <c r="C98" s="84"/>
      <c r="D98" s="84"/>
      <c r="E98" s="84"/>
      <c r="F98" s="84" t="str">
        <f t="shared" si="12"/>
        <v>///</v>
      </c>
      <c r="G98" s="249">
        <f t="shared" si="15"/>
        <v>0</v>
      </c>
      <c r="H98" s="240">
        <f t="shared" si="13"/>
        <v>0</v>
      </c>
      <c r="I98" s="243"/>
      <c r="J98" s="243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42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  <c r="AM98" s="242"/>
      <c r="AN98" s="242"/>
      <c r="AO98" s="242"/>
      <c r="AP98" s="242"/>
      <c r="AQ98" s="242"/>
      <c r="AR98" s="242"/>
      <c r="AS98" s="242"/>
      <c r="AT98" s="242"/>
      <c r="AU98" s="242"/>
      <c r="AV98" s="242"/>
      <c r="AW98" s="242"/>
      <c r="AX98" s="242"/>
      <c r="AY98" s="242"/>
      <c r="AZ98" s="242"/>
      <c r="BA98" s="242"/>
      <c r="BB98" s="242"/>
      <c r="BC98" s="242"/>
      <c r="BD98" s="242"/>
      <c r="BE98" s="242"/>
      <c r="BF98" s="242"/>
      <c r="BG98" s="242"/>
      <c r="BH98" s="242"/>
      <c r="BI98" s="242"/>
      <c r="BJ98" s="242"/>
      <c r="BK98" s="242"/>
      <c r="BL98" s="242"/>
      <c r="BM98" s="242"/>
      <c r="BN98" s="242"/>
      <c r="BO98" s="242"/>
      <c r="BP98" s="242"/>
      <c r="BQ98" s="242"/>
      <c r="BR98" s="242"/>
      <c r="BS98" s="242"/>
      <c r="BT98" s="242"/>
      <c r="BU98" s="242"/>
      <c r="BV98" s="242"/>
      <c r="BW98" s="242"/>
      <c r="BX98" s="242"/>
      <c r="BY98" s="242"/>
      <c r="BZ98" s="242"/>
      <c r="CA98" s="242"/>
      <c r="CB98" s="242"/>
      <c r="CC98" s="242"/>
      <c r="CD98" s="242"/>
      <c r="CE98" s="242"/>
      <c r="CF98" s="242"/>
      <c r="CG98" s="242"/>
      <c r="CH98" s="242"/>
      <c r="CI98" s="242"/>
      <c r="CJ98" s="242"/>
      <c r="CK98" s="242"/>
      <c r="CL98" s="242"/>
      <c r="CM98" s="242"/>
      <c r="CN98" s="242"/>
      <c r="CO98" s="242"/>
      <c r="CP98" s="242"/>
      <c r="CQ98" s="242"/>
      <c r="CR98" s="242"/>
      <c r="CS98" s="242"/>
      <c r="CT98" s="242"/>
      <c r="CU98" s="242"/>
      <c r="CV98" s="242"/>
      <c r="CW98" s="242"/>
      <c r="CX98" s="242"/>
      <c r="CY98" s="242"/>
      <c r="CZ98" s="242"/>
      <c r="DA98" s="242"/>
      <c r="DB98" s="242"/>
      <c r="DC98" s="242"/>
      <c r="DD98" s="242"/>
      <c r="DE98" s="242"/>
      <c r="DF98" s="242"/>
      <c r="DG98" s="242"/>
      <c r="DH98" s="242"/>
      <c r="DI98" s="242"/>
      <c r="DJ98" s="242"/>
      <c r="DK98" s="242"/>
      <c r="DL98" s="242"/>
      <c r="DM98" s="242"/>
      <c r="DN98" s="242"/>
      <c r="DO98" s="242"/>
      <c r="DP98" s="242"/>
      <c r="DQ98" s="242"/>
      <c r="DR98" s="242"/>
      <c r="DS98" s="242"/>
      <c r="DT98" s="242"/>
      <c r="DU98" s="242"/>
      <c r="DV98" s="242"/>
      <c r="DW98" s="242"/>
      <c r="DX98" s="242"/>
      <c r="DY98" s="242"/>
      <c r="DZ98" s="242"/>
      <c r="EA98" s="242"/>
      <c r="EB98" s="242"/>
      <c r="EC98" s="242"/>
      <c r="ED98" s="242"/>
      <c r="EE98" s="242"/>
      <c r="EF98" s="242"/>
      <c r="EG98" s="242"/>
      <c r="EH98" s="242"/>
      <c r="EI98" s="242"/>
      <c r="EJ98" s="242"/>
      <c r="EK98" s="242"/>
      <c r="EL98" s="242"/>
      <c r="EM98" s="242"/>
      <c r="EN98" s="242"/>
      <c r="EO98" s="242"/>
      <c r="EP98" s="242"/>
      <c r="EQ98" s="242"/>
      <c r="ER98" s="242"/>
      <c r="ES98" s="242"/>
      <c r="ET98" s="242"/>
      <c r="EU98" s="242"/>
      <c r="EV98" s="242"/>
      <c r="EW98" s="242"/>
      <c r="EX98" s="242"/>
      <c r="EY98" s="242"/>
      <c r="EZ98" s="242"/>
      <c r="FA98" s="242"/>
      <c r="FB98" s="242"/>
      <c r="FC98" s="242"/>
      <c r="FD98" s="242"/>
      <c r="FE98" s="242"/>
      <c r="FF98" s="242"/>
      <c r="FG98" s="242"/>
      <c r="FH98" s="242"/>
      <c r="FI98" s="242"/>
      <c r="FJ98" s="242"/>
      <c r="FK98" s="242"/>
      <c r="FL98" s="242"/>
      <c r="FM98" s="242"/>
      <c r="FN98" s="242"/>
      <c r="FO98" s="242"/>
      <c r="FP98" s="242"/>
      <c r="FQ98" s="242"/>
      <c r="FR98" s="242"/>
      <c r="FS98" s="242"/>
      <c r="FT98" s="242"/>
      <c r="FU98" s="242"/>
      <c r="FV98" s="242"/>
      <c r="FW98" s="242"/>
      <c r="FX98" s="242"/>
      <c r="FY98" s="242"/>
      <c r="FZ98" s="242"/>
      <c r="GA98" s="242"/>
      <c r="GB98" s="242"/>
      <c r="GC98" s="242"/>
      <c r="GD98" s="242"/>
      <c r="GE98" s="242"/>
      <c r="GF98" s="242"/>
      <c r="GG98" s="242"/>
      <c r="GH98" s="242"/>
      <c r="GI98" s="242"/>
      <c r="GJ98" s="242"/>
      <c r="GK98" s="242"/>
      <c r="GL98" s="242"/>
      <c r="GM98" s="242"/>
      <c r="GN98" s="242"/>
      <c r="GO98" s="242"/>
      <c r="GP98" s="242"/>
      <c r="GQ98" s="242"/>
      <c r="GR98" s="242"/>
      <c r="GS98" s="242"/>
      <c r="GT98" s="242"/>
      <c r="GU98" s="242"/>
      <c r="GV98" s="242"/>
      <c r="GW98" s="242"/>
      <c r="GX98" s="242"/>
      <c r="GY98" s="242"/>
      <c r="GZ98" s="242"/>
      <c r="HA98" s="242"/>
      <c r="HB98" s="242"/>
      <c r="HC98" s="242"/>
      <c r="HD98" s="242"/>
      <c r="HE98" s="242"/>
      <c r="HF98" s="242"/>
      <c r="HG98" s="242"/>
      <c r="HH98" s="242"/>
      <c r="HI98" s="242"/>
      <c r="HJ98" s="242"/>
      <c r="HK98" s="242"/>
      <c r="HL98" s="242"/>
      <c r="HM98" s="242"/>
      <c r="HN98" s="242"/>
      <c r="HO98" s="243"/>
    </row>
    <row r="99" spans="1:223" ht="12.75" hidden="1" customHeight="1">
      <c r="A99" s="83">
        <f t="shared" si="14"/>
        <v>94</v>
      </c>
      <c r="B99" s="84"/>
      <c r="C99" s="84"/>
      <c r="D99" s="84"/>
      <c r="E99" s="84"/>
      <c r="F99" s="84" t="str">
        <f t="shared" si="12"/>
        <v>///</v>
      </c>
      <c r="G99" s="249">
        <f t="shared" si="15"/>
        <v>0</v>
      </c>
      <c r="H99" s="240">
        <f t="shared" si="13"/>
        <v>0</v>
      </c>
      <c r="I99" s="243"/>
      <c r="J99" s="243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42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  <c r="AM99" s="242"/>
      <c r="AN99" s="242"/>
      <c r="AO99" s="242"/>
      <c r="AP99" s="242"/>
      <c r="AQ99" s="242"/>
      <c r="AR99" s="242"/>
      <c r="AS99" s="242"/>
      <c r="AT99" s="242"/>
      <c r="AU99" s="242"/>
      <c r="AV99" s="242"/>
      <c r="AW99" s="242"/>
      <c r="AX99" s="242"/>
      <c r="AY99" s="242"/>
      <c r="AZ99" s="242"/>
      <c r="BA99" s="242"/>
      <c r="BB99" s="242"/>
      <c r="BC99" s="242"/>
      <c r="BD99" s="242"/>
      <c r="BE99" s="242"/>
      <c r="BF99" s="242"/>
      <c r="BG99" s="242"/>
      <c r="BH99" s="242"/>
      <c r="BI99" s="242"/>
      <c r="BJ99" s="242"/>
      <c r="BK99" s="242"/>
      <c r="BL99" s="242"/>
      <c r="BM99" s="242"/>
      <c r="BN99" s="242"/>
      <c r="BO99" s="242"/>
      <c r="BP99" s="242"/>
      <c r="BQ99" s="242"/>
      <c r="BR99" s="242"/>
      <c r="BS99" s="242"/>
      <c r="BT99" s="242"/>
      <c r="BU99" s="242"/>
      <c r="BV99" s="242"/>
      <c r="BW99" s="242"/>
      <c r="BX99" s="242"/>
      <c r="BY99" s="242"/>
      <c r="BZ99" s="242"/>
      <c r="CA99" s="242"/>
      <c r="CB99" s="242"/>
      <c r="CC99" s="242"/>
      <c r="CD99" s="242"/>
      <c r="CE99" s="242"/>
      <c r="CF99" s="242"/>
      <c r="CG99" s="242"/>
      <c r="CH99" s="242"/>
      <c r="CI99" s="242"/>
      <c r="CJ99" s="242"/>
      <c r="CK99" s="242"/>
      <c r="CL99" s="242"/>
      <c r="CM99" s="242"/>
      <c r="CN99" s="242"/>
      <c r="CO99" s="242"/>
      <c r="CP99" s="242"/>
      <c r="CQ99" s="242"/>
      <c r="CR99" s="242"/>
      <c r="CS99" s="242"/>
      <c r="CT99" s="242"/>
      <c r="CU99" s="242"/>
      <c r="CV99" s="242"/>
      <c r="CW99" s="242"/>
      <c r="CX99" s="242"/>
      <c r="CY99" s="242"/>
      <c r="CZ99" s="242"/>
      <c r="DA99" s="242"/>
      <c r="DB99" s="242"/>
      <c r="DC99" s="242"/>
      <c r="DD99" s="242"/>
      <c r="DE99" s="242"/>
      <c r="DF99" s="242"/>
      <c r="DG99" s="242"/>
      <c r="DH99" s="242"/>
      <c r="DI99" s="242"/>
      <c r="DJ99" s="242"/>
      <c r="DK99" s="242"/>
      <c r="DL99" s="242"/>
      <c r="DM99" s="242"/>
      <c r="DN99" s="242"/>
      <c r="DO99" s="242"/>
      <c r="DP99" s="242"/>
      <c r="DQ99" s="242"/>
      <c r="DR99" s="242"/>
      <c r="DS99" s="242"/>
      <c r="DT99" s="242"/>
      <c r="DU99" s="242"/>
      <c r="DV99" s="242"/>
      <c r="DW99" s="242"/>
      <c r="DX99" s="242"/>
      <c r="DY99" s="242"/>
      <c r="DZ99" s="242"/>
      <c r="EA99" s="242"/>
      <c r="EB99" s="242"/>
      <c r="EC99" s="242"/>
      <c r="ED99" s="242"/>
      <c r="EE99" s="242"/>
      <c r="EF99" s="242"/>
      <c r="EG99" s="242"/>
      <c r="EH99" s="242"/>
      <c r="EI99" s="242"/>
      <c r="EJ99" s="242"/>
      <c r="EK99" s="242"/>
      <c r="EL99" s="242"/>
      <c r="EM99" s="242"/>
      <c r="EN99" s="242"/>
      <c r="EO99" s="242"/>
      <c r="EP99" s="242"/>
      <c r="EQ99" s="242"/>
      <c r="ER99" s="242"/>
      <c r="ES99" s="242"/>
      <c r="ET99" s="242"/>
      <c r="EU99" s="242"/>
      <c r="EV99" s="242"/>
      <c r="EW99" s="242"/>
      <c r="EX99" s="242"/>
      <c r="EY99" s="242"/>
      <c r="EZ99" s="242"/>
      <c r="FA99" s="242"/>
      <c r="FB99" s="242"/>
      <c r="FC99" s="242"/>
      <c r="FD99" s="242"/>
      <c r="FE99" s="242"/>
      <c r="FF99" s="242"/>
      <c r="FG99" s="242"/>
      <c r="FH99" s="242"/>
      <c r="FI99" s="242"/>
      <c r="FJ99" s="242"/>
      <c r="FK99" s="242"/>
      <c r="FL99" s="242"/>
      <c r="FM99" s="242"/>
      <c r="FN99" s="242"/>
      <c r="FO99" s="242"/>
      <c r="FP99" s="242"/>
      <c r="FQ99" s="242"/>
      <c r="FR99" s="242"/>
      <c r="FS99" s="242"/>
      <c r="FT99" s="242"/>
      <c r="FU99" s="242"/>
      <c r="FV99" s="242"/>
      <c r="FW99" s="242"/>
      <c r="FX99" s="242"/>
      <c r="FY99" s="242"/>
      <c r="FZ99" s="242"/>
      <c r="GA99" s="242"/>
      <c r="GB99" s="242"/>
      <c r="GC99" s="242"/>
      <c r="GD99" s="242"/>
      <c r="GE99" s="242"/>
      <c r="GF99" s="242"/>
      <c r="GG99" s="242"/>
      <c r="GH99" s="242"/>
      <c r="GI99" s="242"/>
      <c r="GJ99" s="242"/>
      <c r="GK99" s="242"/>
      <c r="GL99" s="242"/>
      <c r="GM99" s="242"/>
      <c r="GN99" s="242"/>
      <c r="GO99" s="242"/>
      <c r="GP99" s="242"/>
      <c r="GQ99" s="242"/>
      <c r="GR99" s="242"/>
      <c r="GS99" s="242"/>
      <c r="GT99" s="242"/>
      <c r="GU99" s="242"/>
      <c r="GV99" s="242"/>
      <c r="GW99" s="242"/>
      <c r="GX99" s="242"/>
      <c r="GY99" s="242"/>
      <c r="GZ99" s="242"/>
      <c r="HA99" s="242"/>
      <c r="HB99" s="242"/>
      <c r="HC99" s="242"/>
      <c r="HD99" s="242"/>
      <c r="HE99" s="242"/>
      <c r="HF99" s="242"/>
      <c r="HG99" s="242"/>
      <c r="HH99" s="242"/>
      <c r="HI99" s="242"/>
      <c r="HJ99" s="242"/>
      <c r="HK99" s="242"/>
      <c r="HL99" s="242"/>
      <c r="HM99" s="242"/>
      <c r="HN99" s="242"/>
      <c r="HO99" s="243"/>
    </row>
    <row r="100" spans="1:223" ht="12.75" hidden="1" customHeight="1">
      <c r="A100" s="83">
        <f t="shared" si="14"/>
        <v>95</v>
      </c>
      <c r="B100" s="84"/>
      <c r="C100" s="84"/>
      <c r="D100" s="84"/>
      <c r="E100" s="84"/>
      <c r="F100" s="84" t="str">
        <f t="shared" si="12"/>
        <v>///</v>
      </c>
      <c r="G100" s="249">
        <f t="shared" si="15"/>
        <v>0</v>
      </c>
      <c r="H100" s="240">
        <f t="shared" si="13"/>
        <v>0</v>
      </c>
      <c r="I100" s="243"/>
      <c r="J100" s="243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42"/>
      <c r="AO100" s="242"/>
      <c r="AP100" s="242"/>
      <c r="AQ100" s="242"/>
      <c r="AR100" s="242"/>
      <c r="AS100" s="242"/>
      <c r="AT100" s="242"/>
      <c r="AU100" s="242"/>
      <c r="AV100" s="242"/>
      <c r="AW100" s="242"/>
      <c r="AX100" s="242"/>
      <c r="AY100" s="242"/>
      <c r="AZ100" s="242"/>
      <c r="BA100" s="242"/>
      <c r="BB100" s="242"/>
      <c r="BC100" s="242"/>
      <c r="BD100" s="242"/>
      <c r="BE100" s="242"/>
      <c r="BF100" s="242"/>
      <c r="BG100" s="242"/>
      <c r="BH100" s="242"/>
      <c r="BI100" s="242"/>
      <c r="BJ100" s="242"/>
      <c r="BK100" s="242"/>
      <c r="BL100" s="242"/>
      <c r="BM100" s="242"/>
      <c r="BN100" s="242"/>
      <c r="BO100" s="242"/>
      <c r="BP100" s="242"/>
      <c r="BQ100" s="242"/>
      <c r="BR100" s="242"/>
      <c r="BS100" s="242"/>
      <c r="BT100" s="242"/>
      <c r="BU100" s="242"/>
      <c r="BV100" s="242"/>
      <c r="BW100" s="242"/>
      <c r="BX100" s="242"/>
      <c r="BY100" s="242"/>
      <c r="BZ100" s="242"/>
      <c r="CA100" s="242"/>
      <c r="CB100" s="242"/>
      <c r="CC100" s="242"/>
      <c r="CD100" s="242"/>
      <c r="CE100" s="242"/>
      <c r="CF100" s="242"/>
      <c r="CG100" s="242"/>
      <c r="CH100" s="242"/>
      <c r="CI100" s="242"/>
      <c r="CJ100" s="242"/>
      <c r="CK100" s="242"/>
      <c r="CL100" s="242"/>
      <c r="CM100" s="242"/>
      <c r="CN100" s="242"/>
      <c r="CO100" s="242"/>
      <c r="CP100" s="242"/>
      <c r="CQ100" s="242"/>
      <c r="CR100" s="242"/>
      <c r="CS100" s="242"/>
      <c r="CT100" s="242"/>
      <c r="CU100" s="242"/>
      <c r="CV100" s="242"/>
      <c r="CW100" s="242"/>
      <c r="CX100" s="242"/>
      <c r="CY100" s="242"/>
      <c r="CZ100" s="242"/>
      <c r="DA100" s="242"/>
      <c r="DB100" s="242"/>
      <c r="DC100" s="242"/>
      <c r="DD100" s="242"/>
      <c r="DE100" s="242"/>
      <c r="DF100" s="242"/>
      <c r="DG100" s="242"/>
      <c r="DH100" s="242"/>
      <c r="DI100" s="242"/>
      <c r="DJ100" s="242"/>
      <c r="DK100" s="242"/>
      <c r="DL100" s="242"/>
      <c r="DM100" s="242"/>
      <c r="DN100" s="242"/>
      <c r="DO100" s="242"/>
      <c r="DP100" s="242"/>
      <c r="DQ100" s="242"/>
      <c r="DR100" s="242"/>
      <c r="DS100" s="242"/>
      <c r="DT100" s="242"/>
      <c r="DU100" s="242"/>
      <c r="DV100" s="242"/>
      <c r="DW100" s="242"/>
      <c r="DX100" s="242"/>
      <c r="DY100" s="242"/>
      <c r="DZ100" s="242"/>
      <c r="EA100" s="242"/>
      <c r="EB100" s="242"/>
      <c r="EC100" s="242"/>
      <c r="ED100" s="242"/>
      <c r="EE100" s="242"/>
      <c r="EF100" s="242"/>
      <c r="EG100" s="242"/>
      <c r="EH100" s="242"/>
      <c r="EI100" s="242"/>
      <c r="EJ100" s="242"/>
      <c r="EK100" s="242"/>
      <c r="EL100" s="242"/>
      <c r="EM100" s="242"/>
      <c r="EN100" s="242"/>
      <c r="EO100" s="242"/>
      <c r="EP100" s="242"/>
      <c r="EQ100" s="242"/>
      <c r="ER100" s="242"/>
      <c r="ES100" s="242"/>
      <c r="ET100" s="242"/>
      <c r="EU100" s="242"/>
      <c r="EV100" s="242"/>
      <c r="EW100" s="242"/>
      <c r="EX100" s="242"/>
      <c r="EY100" s="242"/>
      <c r="EZ100" s="242"/>
      <c r="FA100" s="242"/>
      <c r="FB100" s="242"/>
      <c r="FC100" s="242"/>
      <c r="FD100" s="242"/>
      <c r="FE100" s="242"/>
      <c r="FF100" s="242"/>
      <c r="FG100" s="242"/>
      <c r="FH100" s="242"/>
      <c r="FI100" s="242"/>
      <c r="FJ100" s="242"/>
      <c r="FK100" s="242"/>
      <c r="FL100" s="242"/>
      <c r="FM100" s="242"/>
      <c r="FN100" s="242"/>
      <c r="FO100" s="242"/>
      <c r="FP100" s="242"/>
      <c r="FQ100" s="242"/>
      <c r="FR100" s="242"/>
      <c r="FS100" s="242"/>
      <c r="FT100" s="242"/>
      <c r="FU100" s="242"/>
      <c r="FV100" s="242"/>
      <c r="FW100" s="242"/>
      <c r="FX100" s="242"/>
      <c r="FY100" s="242"/>
      <c r="FZ100" s="242"/>
      <c r="GA100" s="242"/>
      <c r="GB100" s="242"/>
      <c r="GC100" s="242"/>
      <c r="GD100" s="242"/>
      <c r="GE100" s="242"/>
      <c r="GF100" s="242"/>
      <c r="GG100" s="242"/>
      <c r="GH100" s="242"/>
      <c r="GI100" s="242"/>
      <c r="GJ100" s="242"/>
      <c r="GK100" s="242"/>
      <c r="GL100" s="242"/>
      <c r="GM100" s="242"/>
      <c r="GN100" s="242"/>
      <c r="GO100" s="242"/>
      <c r="GP100" s="242"/>
      <c r="GQ100" s="242"/>
      <c r="GR100" s="242"/>
      <c r="GS100" s="242"/>
      <c r="GT100" s="242"/>
      <c r="GU100" s="242"/>
      <c r="GV100" s="242"/>
      <c r="GW100" s="242"/>
      <c r="GX100" s="242"/>
      <c r="GY100" s="242"/>
      <c r="GZ100" s="242"/>
      <c r="HA100" s="242"/>
      <c r="HB100" s="242"/>
      <c r="HC100" s="242"/>
      <c r="HD100" s="242"/>
      <c r="HE100" s="242"/>
      <c r="HF100" s="242"/>
      <c r="HG100" s="242"/>
      <c r="HH100" s="242"/>
      <c r="HI100" s="242"/>
      <c r="HJ100" s="242"/>
      <c r="HK100" s="242"/>
      <c r="HL100" s="242"/>
      <c r="HM100" s="242"/>
      <c r="HN100" s="242"/>
      <c r="HO100" s="243"/>
    </row>
    <row r="101" spans="1:223" ht="12.75" hidden="1" customHeight="1">
      <c r="A101" s="83">
        <f t="shared" si="14"/>
        <v>96</v>
      </c>
      <c r="B101" s="84"/>
      <c r="C101" s="84"/>
      <c r="D101" s="84"/>
      <c r="E101" s="84"/>
      <c r="F101" s="84" t="str">
        <f t="shared" si="12"/>
        <v>///</v>
      </c>
      <c r="G101" s="249">
        <f t="shared" si="15"/>
        <v>0</v>
      </c>
      <c r="H101" s="240">
        <f t="shared" si="13"/>
        <v>0</v>
      </c>
      <c r="I101" s="243"/>
      <c r="J101" s="243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42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  <c r="AM101" s="242"/>
      <c r="AN101" s="242"/>
      <c r="AO101" s="242"/>
      <c r="AP101" s="242"/>
      <c r="AQ101" s="242"/>
      <c r="AR101" s="242"/>
      <c r="AS101" s="242"/>
      <c r="AT101" s="242"/>
      <c r="AU101" s="242"/>
      <c r="AV101" s="242"/>
      <c r="AW101" s="242"/>
      <c r="AX101" s="242"/>
      <c r="AY101" s="242"/>
      <c r="AZ101" s="242"/>
      <c r="BA101" s="242"/>
      <c r="BB101" s="242"/>
      <c r="BC101" s="242"/>
      <c r="BD101" s="242"/>
      <c r="BE101" s="242"/>
      <c r="BF101" s="242"/>
      <c r="BG101" s="242"/>
      <c r="BH101" s="242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2"/>
      <c r="BS101" s="242"/>
      <c r="BT101" s="242"/>
      <c r="BU101" s="242"/>
      <c r="BV101" s="242"/>
      <c r="BW101" s="242"/>
      <c r="BX101" s="242"/>
      <c r="BY101" s="242"/>
      <c r="BZ101" s="242"/>
      <c r="CA101" s="242"/>
      <c r="CB101" s="242"/>
      <c r="CC101" s="242"/>
      <c r="CD101" s="242"/>
      <c r="CE101" s="242"/>
      <c r="CF101" s="242"/>
      <c r="CG101" s="242"/>
      <c r="CH101" s="242"/>
      <c r="CI101" s="242"/>
      <c r="CJ101" s="242"/>
      <c r="CK101" s="242"/>
      <c r="CL101" s="242"/>
      <c r="CM101" s="242"/>
      <c r="CN101" s="242"/>
      <c r="CO101" s="242"/>
      <c r="CP101" s="242"/>
      <c r="CQ101" s="242"/>
      <c r="CR101" s="242"/>
      <c r="CS101" s="242"/>
      <c r="CT101" s="242"/>
      <c r="CU101" s="242"/>
      <c r="CV101" s="242"/>
      <c r="CW101" s="242"/>
      <c r="CX101" s="242"/>
      <c r="CY101" s="242"/>
      <c r="CZ101" s="242"/>
      <c r="DA101" s="242"/>
      <c r="DB101" s="242"/>
      <c r="DC101" s="242"/>
      <c r="DD101" s="242"/>
      <c r="DE101" s="242"/>
      <c r="DF101" s="242"/>
      <c r="DG101" s="242"/>
      <c r="DH101" s="242"/>
      <c r="DI101" s="242"/>
      <c r="DJ101" s="242"/>
      <c r="DK101" s="242"/>
      <c r="DL101" s="242"/>
      <c r="DM101" s="242"/>
      <c r="DN101" s="242"/>
      <c r="DO101" s="242"/>
      <c r="DP101" s="242"/>
      <c r="DQ101" s="242"/>
      <c r="DR101" s="242"/>
      <c r="DS101" s="242"/>
      <c r="DT101" s="242"/>
      <c r="DU101" s="242"/>
      <c r="DV101" s="242"/>
      <c r="DW101" s="242"/>
      <c r="DX101" s="242"/>
      <c r="DY101" s="242"/>
      <c r="DZ101" s="242"/>
      <c r="EA101" s="242"/>
      <c r="EB101" s="242"/>
      <c r="EC101" s="242"/>
      <c r="ED101" s="242"/>
      <c r="EE101" s="242"/>
      <c r="EF101" s="242"/>
      <c r="EG101" s="242"/>
      <c r="EH101" s="242"/>
      <c r="EI101" s="242"/>
      <c r="EJ101" s="242"/>
      <c r="EK101" s="242"/>
      <c r="EL101" s="242"/>
      <c r="EM101" s="242"/>
      <c r="EN101" s="242"/>
      <c r="EO101" s="242"/>
      <c r="EP101" s="242"/>
      <c r="EQ101" s="242"/>
      <c r="ER101" s="242"/>
      <c r="ES101" s="242"/>
      <c r="ET101" s="242"/>
      <c r="EU101" s="242"/>
      <c r="EV101" s="242"/>
      <c r="EW101" s="242"/>
      <c r="EX101" s="242"/>
      <c r="EY101" s="242"/>
      <c r="EZ101" s="242"/>
      <c r="FA101" s="242"/>
      <c r="FB101" s="242"/>
      <c r="FC101" s="242"/>
      <c r="FD101" s="242"/>
      <c r="FE101" s="242"/>
      <c r="FF101" s="242"/>
      <c r="FG101" s="242"/>
      <c r="FH101" s="242"/>
      <c r="FI101" s="242"/>
      <c r="FJ101" s="242"/>
      <c r="FK101" s="242"/>
      <c r="FL101" s="242"/>
      <c r="FM101" s="242"/>
      <c r="FN101" s="242"/>
      <c r="FO101" s="242"/>
      <c r="FP101" s="242"/>
      <c r="FQ101" s="242"/>
      <c r="FR101" s="242"/>
      <c r="FS101" s="242"/>
      <c r="FT101" s="242"/>
      <c r="FU101" s="242"/>
      <c r="FV101" s="242"/>
      <c r="FW101" s="242"/>
      <c r="FX101" s="242"/>
      <c r="FY101" s="242"/>
      <c r="FZ101" s="242"/>
      <c r="GA101" s="242"/>
      <c r="GB101" s="242"/>
      <c r="GC101" s="242"/>
      <c r="GD101" s="242"/>
      <c r="GE101" s="242"/>
      <c r="GF101" s="242"/>
      <c r="GG101" s="242"/>
      <c r="GH101" s="242"/>
      <c r="GI101" s="242"/>
      <c r="GJ101" s="242"/>
      <c r="GK101" s="242"/>
      <c r="GL101" s="242"/>
      <c r="GM101" s="242"/>
      <c r="GN101" s="242"/>
      <c r="GO101" s="242"/>
      <c r="GP101" s="242"/>
      <c r="GQ101" s="242"/>
      <c r="GR101" s="242"/>
      <c r="GS101" s="242"/>
      <c r="GT101" s="242"/>
      <c r="GU101" s="242"/>
      <c r="GV101" s="242"/>
      <c r="GW101" s="242"/>
      <c r="GX101" s="242"/>
      <c r="GY101" s="242"/>
      <c r="GZ101" s="242"/>
      <c r="HA101" s="242"/>
      <c r="HB101" s="242"/>
      <c r="HC101" s="242"/>
      <c r="HD101" s="242"/>
      <c r="HE101" s="242"/>
      <c r="HF101" s="242"/>
      <c r="HG101" s="242"/>
      <c r="HH101" s="242"/>
      <c r="HI101" s="242"/>
      <c r="HJ101" s="242"/>
      <c r="HK101" s="242"/>
      <c r="HL101" s="242"/>
      <c r="HM101" s="242"/>
      <c r="HN101" s="242"/>
      <c r="HO101" s="243"/>
    </row>
    <row r="102" spans="1:223" ht="12.75" hidden="1" customHeight="1">
      <c r="A102" s="83">
        <f t="shared" si="14"/>
        <v>97</v>
      </c>
      <c r="B102" s="84"/>
      <c r="C102" s="84"/>
      <c r="D102" s="84"/>
      <c r="E102" s="84"/>
      <c r="F102" s="84" t="str">
        <f t="shared" si="12"/>
        <v>///</v>
      </c>
      <c r="G102" s="249">
        <f t="shared" si="15"/>
        <v>0</v>
      </c>
      <c r="H102" s="240">
        <f t="shared" si="13"/>
        <v>0</v>
      </c>
      <c r="I102" s="243"/>
      <c r="J102" s="243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42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  <c r="AM102" s="242"/>
      <c r="AN102" s="242"/>
      <c r="AO102" s="242"/>
      <c r="AP102" s="242"/>
      <c r="AQ102" s="242"/>
      <c r="AR102" s="242"/>
      <c r="AS102" s="242"/>
      <c r="AT102" s="242"/>
      <c r="AU102" s="242"/>
      <c r="AV102" s="242"/>
      <c r="AW102" s="242"/>
      <c r="AX102" s="242"/>
      <c r="AY102" s="242"/>
      <c r="AZ102" s="242"/>
      <c r="BA102" s="242"/>
      <c r="BB102" s="242"/>
      <c r="BC102" s="242"/>
      <c r="BD102" s="242"/>
      <c r="BE102" s="242"/>
      <c r="BF102" s="242"/>
      <c r="BG102" s="242"/>
      <c r="BH102" s="242"/>
      <c r="BI102" s="242"/>
      <c r="BJ102" s="242"/>
      <c r="BK102" s="242"/>
      <c r="BL102" s="242"/>
      <c r="BM102" s="242"/>
      <c r="BN102" s="242"/>
      <c r="BO102" s="242"/>
      <c r="BP102" s="242"/>
      <c r="BQ102" s="242"/>
      <c r="BR102" s="242"/>
      <c r="BS102" s="242"/>
      <c r="BT102" s="242"/>
      <c r="BU102" s="242"/>
      <c r="BV102" s="242"/>
      <c r="BW102" s="242"/>
      <c r="BX102" s="242"/>
      <c r="BY102" s="242"/>
      <c r="BZ102" s="242"/>
      <c r="CA102" s="242"/>
      <c r="CB102" s="242"/>
      <c r="CC102" s="242"/>
      <c r="CD102" s="242"/>
      <c r="CE102" s="242"/>
      <c r="CF102" s="242"/>
      <c r="CG102" s="242"/>
      <c r="CH102" s="242"/>
      <c r="CI102" s="242"/>
      <c r="CJ102" s="242"/>
      <c r="CK102" s="242"/>
      <c r="CL102" s="242"/>
      <c r="CM102" s="242"/>
      <c r="CN102" s="242"/>
      <c r="CO102" s="242"/>
      <c r="CP102" s="242"/>
      <c r="CQ102" s="242"/>
      <c r="CR102" s="242"/>
      <c r="CS102" s="242"/>
      <c r="CT102" s="242"/>
      <c r="CU102" s="242"/>
      <c r="CV102" s="242"/>
      <c r="CW102" s="242"/>
      <c r="CX102" s="242"/>
      <c r="CY102" s="242"/>
      <c r="CZ102" s="242"/>
      <c r="DA102" s="242"/>
      <c r="DB102" s="242"/>
      <c r="DC102" s="242"/>
      <c r="DD102" s="242"/>
      <c r="DE102" s="242"/>
      <c r="DF102" s="242"/>
      <c r="DG102" s="242"/>
      <c r="DH102" s="242"/>
      <c r="DI102" s="242"/>
      <c r="DJ102" s="242"/>
      <c r="DK102" s="242"/>
      <c r="DL102" s="242"/>
      <c r="DM102" s="242"/>
      <c r="DN102" s="242"/>
      <c r="DO102" s="242"/>
      <c r="DP102" s="242"/>
      <c r="DQ102" s="242"/>
      <c r="DR102" s="242"/>
      <c r="DS102" s="242"/>
      <c r="DT102" s="242"/>
      <c r="DU102" s="242"/>
      <c r="DV102" s="242"/>
      <c r="DW102" s="242"/>
      <c r="DX102" s="242"/>
      <c r="DY102" s="242"/>
      <c r="DZ102" s="242"/>
      <c r="EA102" s="242"/>
      <c r="EB102" s="242"/>
      <c r="EC102" s="242"/>
      <c r="ED102" s="242"/>
      <c r="EE102" s="242"/>
      <c r="EF102" s="242"/>
      <c r="EG102" s="242"/>
      <c r="EH102" s="242"/>
      <c r="EI102" s="242"/>
      <c r="EJ102" s="242"/>
      <c r="EK102" s="242"/>
      <c r="EL102" s="242"/>
      <c r="EM102" s="242"/>
      <c r="EN102" s="242"/>
      <c r="EO102" s="242"/>
      <c r="EP102" s="242"/>
      <c r="EQ102" s="242"/>
      <c r="ER102" s="242"/>
      <c r="ES102" s="242"/>
      <c r="ET102" s="242"/>
      <c r="EU102" s="242"/>
      <c r="EV102" s="242"/>
      <c r="EW102" s="242"/>
      <c r="EX102" s="242"/>
      <c r="EY102" s="242"/>
      <c r="EZ102" s="242"/>
      <c r="FA102" s="242"/>
      <c r="FB102" s="242"/>
      <c r="FC102" s="242"/>
      <c r="FD102" s="242"/>
      <c r="FE102" s="242"/>
      <c r="FF102" s="242"/>
      <c r="FG102" s="242"/>
      <c r="FH102" s="242"/>
      <c r="FI102" s="242"/>
      <c r="FJ102" s="242"/>
      <c r="FK102" s="242"/>
      <c r="FL102" s="242"/>
      <c r="FM102" s="242"/>
      <c r="FN102" s="242"/>
      <c r="FO102" s="242"/>
      <c r="FP102" s="242"/>
      <c r="FQ102" s="242"/>
      <c r="FR102" s="242"/>
      <c r="FS102" s="242"/>
      <c r="FT102" s="242"/>
      <c r="FU102" s="242"/>
      <c r="FV102" s="242"/>
      <c r="FW102" s="242"/>
      <c r="FX102" s="242"/>
      <c r="FY102" s="242"/>
      <c r="FZ102" s="242"/>
      <c r="GA102" s="242"/>
      <c r="GB102" s="242"/>
      <c r="GC102" s="242"/>
      <c r="GD102" s="242"/>
      <c r="GE102" s="242"/>
      <c r="GF102" s="242"/>
      <c r="GG102" s="242"/>
      <c r="GH102" s="242"/>
      <c r="GI102" s="242"/>
      <c r="GJ102" s="242"/>
      <c r="GK102" s="242"/>
      <c r="GL102" s="242"/>
      <c r="GM102" s="242"/>
      <c r="GN102" s="242"/>
      <c r="GO102" s="242"/>
      <c r="GP102" s="242"/>
      <c r="GQ102" s="242"/>
      <c r="GR102" s="242"/>
      <c r="GS102" s="242"/>
      <c r="GT102" s="242"/>
      <c r="GU102" s="242"/>
      <c r="GV102" s="242"/>
      <c r="GW102" s="242"/>
      <c r="GX102" s="242"/>
      <c r="GY102" s="242"/>
      <c r="GZ102" s="242"/>
      <c r="HA102" s="242"/>
      <c r="HB102" s="242"/>
      <c r="HC102" s="242"/>
      <c r="HD102" s="242"/>
      <c r="HE102" s="242"/>
      <c r="HF102" s="242"/>
      <c r="HG102" s="242"/>
      <c r="HH102" s="242"/>
      <c r="HI102" s="242"/>
      <c r="HJ102" s="242"/>
      <c r="HK102" s="242"/>
      <c r="HL102" s="242"/>
      <c r="HM102" s="242"/>
      <c r="HN102" s="242"/>
      <c r="HO102" s="243"/>
    </row>
    <row r="103" spans="1:223" ht="12.75" hidden="1" customHeight="1">
      <c r="A103" s="83">
        <f t="shared" si="14"/>
        <v>98</v>
      </c>
      <c r="B103" s="84"/>
      <c r="C103" s="84"/>
      <c r="D103" s="84"/>
      <c r="E103" s="84"/>
      <c r="F103" s="84" t="str">
        <f t="shared" si="12"/>
        <v>///</v>
      </c>
      <c r="G103" s="249">
        <f t="shared" si="15"/>
        <v>0</v>
      </c>
      <c r="H103" s="240">
        <f t="shared" si="13"/>
        <v>0</v>
      </c>
      <c r="I103" s="243"/>
      <c r="J103" s="243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42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242"/>
      <c r="AV103" s="242"/>
      <c r="AW103" s="242"/>
      <c r="AX103" s="242"/>
      <c r="AY103" s="242"/>
      <c r="AZ103" s="242"/>
      <c r="BA103" s="242"/>
      <c r="BB103" s="242"/>
      <c r="BC103" s="242"/>
      <c r="BD103" s="242"/>
      <c r="BE103" s="242"/>
      <c r="BF103" s="242"/>
      <c r="BG103" s="242"/>
      <c r="BH103" s="242"/>
      <c r="BI103" s="242"/>
      <c r="BJ103" s="242"/>
      <c r="BK103" s="242"/>
      <c r="BL103" s="242"/>
      <c r="BM103" s="242"/>
      <c r="BN103" s="242"/>
      <c r="BO103" s="242"/>
      <c r="BP103" s="242"/>
      <c r="BQ103" s="242"/>
      <c r="BR103" s="242"/>
      <c r="BS103" s="242"/>
      <c r="BT103" s="242"/>
      <c r="BU103" s="242"/>
      <c r="BV103" s="242"/>
      <c r="BW103" s="242"/>
      <c r="BX103" s="242"/>
      <c r="BY103" s="242"/>
      <c r="BZ103" s="242"/>
      <c r="CA103" s="242"/>
      <c r="CB103" s="242"/>
      <c r="CC103" s="242"/>
      <c r="CD103" s="242"/>
      <c r="CE103" s="242"/>
      <c r="CF103" s="242"/>
      <c r="CG103" s="242"/>
      <c r="CH103" s="242"/>
      <c r="CI103" s="242"/>
      <c r="CJ103" s="242"/>
      <c r="CK103" s="242"/>
      <c r="CL103" s="242"/>
      <c r="CM103" s="242"/>
      <c r="CN103" s="242"/>
      <c r="CO103" s="242"/>
      <c r="CP103" s="242"/>
      <c r="CQ103" s="242"/>
      <c r="CR103" s="242"/>
      <c r="CS103" s="242"/>
      <c r="CT103" s="242"/>
      <c r="CU103" s="242"/>
      <c r="CV103" s="242"/>
      <c r="CW103" s="242"/>
      <c r="CX103" s="242"/>
      <c r="CY103" s="242"/>
      <c r="CZ103" s="242"/>
      <c r="DA103" s="242"/>
      <c r="DB103" s="242"/>
      <c r="DC103" s="242"/>
      <c r="DD103" s="242"/>
      <c r="DE103" s="242"/>
      <c r="DF103" s="242"/>
      <c r="DG103" s="242"/>
      <c r="DH103" s="242"/>
      <c r="DI103" s="242"/>
      <c r="DJ103" s="242"/>
      <c r="DK103" s="242"/>
      <c r="DL103" s="242"/>
      <c r="DM103" s="242"/>
      <c r="DN103" s="242"/>
      <c r="DO103" s="242"/>
      <c r="DP103" s="242"/>
      <c r="DQ103" s="242"/>
      <c r="DR103" s="242"/>
      <c r="DS103" s="242"/>
      <c r="DT103" s="242"/>
      <c r="DU103" s="242"/>
      <c r="DV103" s="242"/>
      <c r="DW103" s="242"/>
      <c r="DX103" s="242"/>
      <c r="DY103" s="242"/>
      <c r="DZ103" s="242"/>
      <c r="EA103" s="242"/>
      <c r="EB103" s="242"/>
      <c r="EC103" s="242"/>
      <c r="ED103" s="242"/>
      <c r="EE103" s="242"/>
      <c r="EF103" s="242"/>
      <c r="EG103" s="242"/>
      <c r="EH103" s="242"/>
      <c r="EI103" s="242"/>
      <c r="EJ103" s="242"/>
      <c r="EK103" s="242"/>
      <c r="EL103" s="242"/>
      <c r="EM103" s="242"/>
      <c r="EN103" s="242"/>
      <c r="EO103" s="242"/>
      <c r="EP103" s="242"/>
      <c r="EQ103" s="242"/>
      <c r="ER103" s="242"/>
      <c r="ES103" s="242"/>
      <c r="ET103" s="242"/>
      <c r="EU103" s="242"/>
      <c r="EV103" s="242"/>
      <c r="EW103" s="242"/>
      <c r="EX103" s="242"/>
      <c r="EY103" s="242"/>
      <c r="EZ103" s="242"/>
      <c r="FA103" s="242"/>
      <c r="FB103" s="242"/>
      <c r="FC103" s="242"/>
      <c r="FD103" s="242"/>
      <c r="FE103" s="242"/>
      <c r="FF103" s="242"/>
      <c r="FG103" s="242"/>
      <c r="FH103" s="242"/>
      <c r="FI103" s="242"/>
      <c r="FJ103" s="242"/>
      <c r="FK103" s="242"/>
      <c r="FL103" s="242"/>
      <c r="FM103" s="242"/>
      <c r="FN103" s="242"/>
      <c r="FO103" s="242"/>
      <c r="FP103" s="242"/>
      <c r="FQ103" s="242"/>
      <c r="FR103" s="242"/>
      <c r="FS103" s="242"/>
      <c r="FT103" s="242"/>
      <c r="FU103" s="242"/>
      <c r="FV103" s="242"/>
      <c r="FW103" s="242"/>
      <c r="FX103" s="242"/>
      <c r="FY103" s="242"/>
      <c r="FZ103" s="242"/>
      <c r="GA103" s="242"/>
      <c r="GB103" s="242"/>
      <c r="GC103" s="242"/>
      <c r="GD103" s="242"/>
      <c r="GE103" s="242"/>
      <c r="GF103" s="242"/>
      <c r="GG103" s="242"/>
      <c r="GH103" s="242"/>
      <c r="GI103" s="242"/>
      <c r="GJ103" s="242"/>
      <c r="GK103" s="242"/>
      <c r="GL103" s="242"/>
      <c r="GM103" s="242"/>
      <c r="GN103" s="242"/>
      <c r="GO103" s="242"/>
      <c r="GP103" s="242"/>
      <c r="GQ103" s="242"/>
      <c r="GR103" s="242"/>
      <c r="GS103" s="242"/>
      <c r="GT103" s="242"/>
      <c r="GU103" s="242"/>
      <c r="GV103" s="242"/>
      <c r="GW103" s="242"/>
      <c r="GX103" s="242"/>
      <c r="GY103" s="242"/>
      <c r="GZ103" s="242"/>
      <c r="HA103" s="242"/>
      <c r="HB103" s="242"/>
      <c r="HC103" s="242"/>
      <c r="HD103" s="242"/>
      <c r="HE103" s="242"/>
      <c r="HF103" s="242"/>
      <c r="HG103" s="242"/>
      <c r="HH103" s="242"/>
      <c r="HI103" s="242"/>
      <c r="HJ103" s="242"/>
      <c r="HK103" s="242"/>
      <c r="HL103" s="242"/>
      <c r="HM103" s="242"/>
      <c r="HN103" s="242"/>
      <c r="HO103" s="243"/>
    </row>
    <row r="104" spans="1:223" ht="12.75" hidden="1" customHeight="1">
      <c r="A104" s="83">
        <f t="shared" si="14"/>
        <v>99</v>
      </c>
      <c r="B104" s="84"/>
      <c r="C104" s="84"/>
      <c r="D104" s="84"/>
      <c r="E104" s="84"/>
      <c r="F104" s="84" t="str">
        <f t="shared" si="12"/>
        <v>///</v>
      </c>
      <c r="G104" s="249">
        <f t="shared" si="15"/>
        <v>0</v>
      </c>
      <c r="H104" s="240">
        <f t="shared" si="13"/>
        <v>0</v>
      </c>
      <c r="I104" s="243"/>
      <c r="J104" s="243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42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242"/>
      <c r="AV104" s="242"/>
      <c r="AW104" s="242"/>
      <c r="AX104" s="242"/>
      <c r="AY104" s="242"/>
      <c r="AZ104" s="242"/>
      <c r="BA104" s="242"/>
      <c r="BB104" s="242"/>
      <c r="BC104" s="242"/>
      <c r="BD104" s="242"/>
      <c r="BE104" s="242"/>
      <c r="BF104" s="242"/>
      <c r="BG104" s="242"/>
      <c r="BH104" s="242"/>
      <c r="BI104" s="242"/>
      <c r="BJ104" s="242"/>
      <c r="BK104" s="242"/>
      <c r="BL104" s="242"/>
      <c r="BM104" s="242"/>
      <c r="BN104" s="242"/>
      <c r="BO104" s="242"/>
      <c r="BP104" s="242"/>
      <c r="BQ104" s="242"/>
      <c r="BR104" s="242"/>
      <c r="BS104" s="242"/>
      <c r="BT104" s="242"/>
      <c r="BU104" s="242"/>
      <c r="BV104" s="242"/>
      <c r="BW104" s="242"/>
      <c r="BX104" s="242"/>
      <c r="BY104" s="242"/>
      <c r="BZ104" s="242"/>
      <c r="CA104" s="242"/>
      <c r="CB104" s="242"/>
      <c r="CC104" s="242"/>
      <c r="CD104" s="242"/>
      <c r="CE104" s="242"/>
      <c r="CF104" s="242"/>
      <c r="CG104" s="242"/>
      <c r="CH104" s="242"/>
      <c r="CI104" s="242"/>
      <c r="CJ104" s="242"/>
      <c r="CK104" s="242"/>
      <c r="CL104" s="242"/>
      <c r="CM104" s="242"/>
      <c r="CN104" s="242"/>
      <c r="CO104" s="242"/>
      <c r="CP104" s="242"/>
      <c r="CQ104" s="242"/>
      <c r="CR104" s="242"/>
      <c r="CS104" s="242"/>
      <c r="CT104" s="242"/>
      <c r="CU104" s="242"/>
      <c r="CV104" s="242"/>
      <c r="CW104" s="242"/>
      <c r="CX104" s="242"/>
      <c r="CY104" s="242"/>
      <c r="CZ104" s="242"/>
      <c r="DA104" s="242"/>
      <c r="DB104" s="242"/>
      <c r="DC104" s="242"/>
      <c r="DD104" s="242"/>
      <c r="DE104" s="242"/>
      <c r="DF104" s="242"/>
      <c r="DG104" s="242"/>
      <c r="DH104" s="242"/>
      <c r="DI104" s="242"/>
      <c r="DJ104" s="242"/>
      <c r="DK104" s="242"/>
      <c r="DL104" s="242"/>
      <c r="DM104" s="242"/>
      <c r="DN104" s="242"/>
      <c r="DO104" s="242"/>
      <c r="DP104" s="242"/>
      <c r="DQ104" s="242"/>
      <c r="DR104" s="242"/>
      <c r="DS104" s="242"/>
      <c r="DT104" s="242"/>
      <c r="DU104" s="242"/>
      <c r="DV104" s="242"/>
      <c r="DW104" s="242"/>
      <c r="DX104" s="242"/>
      <c r="DY104" s="242"/>
      <c r="DZ104" s="242"/>
      <c r="EA104" s="242"/>
      <c r="EB104" s="242"/>
      <c r="EC104" s="242"/>
      <c r="ED104" s="242"/>
      <c r="EE104" s="242"/>
      <c r="EF104" s="242"/>
      <c r="EG104" s="242"/>
      <c r="EH104" s="242"/>
      <c r="EI104" s="242"/>
      <c r="EJ104" s="242"/>
      <c r="EK104" s="242"/>
      <c r="EL104" s="242"/>
      <c r="EM104" s="242"/>
      <c r="EN104" s="242"/>
      <c r="EO104" s="242"/>
      <c r="EP104" s="242"/>
      <c r="EQ104" s="242"/>
      <c r="ER104" s="242"/>
      <c r="ES104" s="242"/>
      <c r="ET104" s="242"/>
      <c r="EU104" s="242"/>
      <c r="EV104" s="242"/>
      <c r="EW104" s="242"/>
      <c r="EX104" s="242"/>
      <c r="EY104" s="242"/>
      <c r="EZ104" s="242"/>
      <c r="FA104" s="242"/>
      <c r="FB104" s="242"/>
      <c r="FC104" s="242"/>
      <c r="FD104" s="242"/>
      <c r="FE104" s="242"/>
      <c r="FF104" s="242"/>
      <c r="FG104" s="242"/>
      <c r="FH104" s="242"/>
      <c r="FI104" s="242"/>
      <c r="FJ104" s="242"/>
      <c r="FK104" s="242"/>
      <c r="FL104" s="242"/>
      <c r="FM104" s="242"/>
      <c r="FN104" s="242"/>
      <c r="FO104" s="242"/>
      <c r="FP104" s="242"/>
      <c r="FQ104" s="242"/>
      <c r="FR104" s="242"/>
      <c r="FS104" s="242"/>
      <c r="FT104" s="242"/>
      <c r="FU104" s="242"/>
      <c r="FV104" s="242"/>
      <c r="FW104" s="242"/>
      <c r="FX104" s="242"/>
      <c r="FY104" s="242"/>
      <c r="FZ104" s="242"/>
      <c r="GA104" s="242"/>
      <c r="GB104" s="242"/>
      <c r="GC104" s="242"/>
      <c r="GD104" s="242"/>
      <c r="GE104" s="242"/>
      <c r="GF104" s="242"/>
      <c r="GG104" s="242"/>
      <c r="GH104" s="242"/>
      <c r="GI104" s="242"/>
      <c r="GJ104" s="242"/>
      <c r="GK104" s="242"/>
      <c r="GL104" s="242"/>
      <c r="GM104" s="242"/>
      <c r="GN104" s="242"/>
      <c r="GO104" s="242"/>
      <c r="GP104" s="242"/>
      <c r="GQ104" s="242"/>
      <c r="GR104" s="242"/>
      <c r="GS104" s="242"/>
      <c r="GT104" s="242"/>
      <c r="GU104" s="242"/>
      <c r="GV104" s="242"/>
      <c r="GW104" s="242"/>
      <c r="GX104" s="242"/>
      <c r="GY104" s="242"/>
      <c r="GZ104" s="242"/>
      <c r="HA104" s="242"/>
      <c r="HB104" s="242"/>
      <c r="HC104" s="242"/>
      <c r="HD104" s="242"/>
      <c r="HE104" s="242"/>
      <c r="HF104" s="242"/>
      <c r="HG104" s="242"/>
      <c r="HH104" s="242"/>
      <c r="HI104" s="242"/>
      <c r="HJ104" s="242"/>
      <c r="HK104" s="242"/>
      <c r="HL104" s="242"/>
      <c r="HM104" s="242"/>
      <c r="HN104" s="242"/>
      <c r="HO104" s="243"/>
    </row>
    <row r="105" spans="1:223" ht="12.75" hidden="1" customHeight="1">
      <c r="A105" s="83">
        <f t="shared" si="14"/>
        <v>100</v>
      </c>
      <c r="B105" s="84"/>
      <c r="C105" s="84"/>
      <c r="D105" s="84"/>
      <c r="E105" s="84"/>
      <c r="F105" s="84" t="str">
        <f t="shared" si="12"/>
        <v>///</v>
      </c>
      <c r="G105" s="249">
        <f t="shared" si="15"/>
        <v>0</v>
      </c>
      <c r="H105" s="240">
        <f t="shared" si="13"/>
        <v>0</v>
      </c>
      <c r="I105" s="243"/>
      <c r="J105" s="243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42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  <c r="AM105" s="242"/>
      <c r="AN105" s="242"/>
      <c r="AO105" s="242"/>
      <c r="AP105" s="242"/>
      <c r="AQ105" s="242"/>
      <c r="AR105" s="242"/>
      <c r="AS105" s="242"/>
      <c r="AT105" s="242"/>
      <c r="AU105" s="242"/>
      <c r="AV105" s="242"/>
      <c r="AW105" s="242"/>
      <c r="AX105" s="242"/>
      <c r="AY105" s="242"/>
      <c r="AZ105" s="242"/>
      <c r="BA105" s="242"/>
      <c r="BB105" s="242"/>
      <c r="BC105" s="242"/>
      <c r="BD105" s="242"/>
      <c r="BE105" s="242"/>
      <c r="BF105" s="242"/>
      <c r="BG105" s="242"/>
      <c r="BH105" s="242"/>
      <c r="BI105" s="242"/>
      <c r="BJ105" s="242"/>
      <c r="BK105" s="242"/>
      <c r="BL105" s="242"/>
      <c r="BM105" s="242"/>
      <c r="BN105" s="242"/>
      <c r="BO105" s="242"/>
      <c r="BP105" s="242"/>
      <c r="BQ105" s="242"/>
      <c r="BR105" s="242"/>
      <c r="BS105" s="242"/>
      <c r="BT105" s="242"/>
      <c r="BU105" s="242"/>
      <c r="BV105" s="242"/>
      <c r="BW105" s="242"/>
      <c r="BX105" s="242"/>
      <c r="BY105" s="242"/>
      <c r="BZ105" s="242"/>
      <c r="CA105" s="242"/>
      <c r="CB105" s="242"/>
      <c r="CC105" s="242"/>
      <c r="CD105" s="242"/>
      <c r="CE105" s="242"/>
      <c r="CF105" s="242"/>
      <c r="CG105" s="242"/>
      <c r="CH105" s="242"/>
      <c r="CI105" s="242"/>
      <c r="CJ105" s="242"/>
      <c r="CK105" s="242"/>
      <c r="CL105" s="242"/>
      <c r="CM105" s="242"/>
      <c r="CN105" s="242"/>
      <c r="CO105" s="242"/>
      <c r="CP105" s="242"/>
      <c r="CQ105" s="242"/>
      <c r="CR105" s="242"/>
      <c r="CS105" s="242"/>
      <c r="CT105" s="242"/>
      <c r="CU105" s="242"/>
      <c r="CV105" s="242"/>
      <c r="CW105" s="242"/>
      <c r="CX105" s="242"/>
      <c r="CY105" s="242"/>
      <c r="CZ105" s="242"/>
      <c r="DA105" s="242"/>
      <c r="DB105" s="242"/>
      <c r="DC105" s="242"/>
      <c r="DD105" s="242"/>
      <c r="DE105" s="242"/>
      <c r="DF105" s="242"/>
      <c r="DG105" s="242"/>
      <c r="DH105" s="242"/>
      <c r="DI105" s="242"/>
      <c r="DJ105" s="242"/>
      <c r="DK105" s="242"/>
      <c r="DL105" s="242"/>
      <c r="DM105" s="242"/>
      <c r="DN105" s="242"/>
      <c r="DO105" s="242"/>
      <c r="DP105" s="242"/>
      <c r="DQ105" s="242"/>
      <c r="DR105" s="242"/>
      <c r="DS105" s="242"/>
      <c r="DT105" s="242"/>
      <c r="DU105" s="242"/>
      <c r="DV105" s="242"/>
      <c r="DW105" s="242"/>
      <c r="DX105" s="242"/>
      <c r="DY105" s="242"/>
      <c r="DZ105" s="242"/>
      <c r="EA105" s="242"/>
      <c r="EB105" s="242"/>
      <c r="EC105" s="242"/>
      <c r="ED105" s="242"/>
      <c r="EE105" s="242"/>
      <c r="EF105" s="242"/>
      <c r="EG105" s="242"/>
      <c r="EH105" s="242"/>
      <c r="EI105" s="242"/>
      <c r="EJ105" s="242"/>
      <c r="EK105" s="242"/>
      <c r="EL105" s="242"/>
      <c r="EM105" s="242"/>
      <c r="EN105" s="242"/>
      <c r="EO105" s="242"/>
      <c r="EP105" s="242"/>
      <c r="EQ105" s="242"/>
      <c r="ER105" s="242"/>
      <c r="ES105" s="242"/>
      <c r="ET105" s="242"/>
      <c r="EU105" s="242"/>
      <c r="EV105" s="242"/>
      <c r="EW105" s="242"/>
      <c r="EX105" s="242"/>
      <c r="EY105" s="242"/>
      <c r="EZ105" s="242"/>
      <c r="FA105" s="242"/>
      <c r="FB105" s="242"/>
      <c r="FC105" s="242"/>
      <c r="FD105" s="242"/>
      <c r="FE105" s="242"/>
      <c r="FF105" s="242"/>
      <c r="FG105" s="242"/>
      <c r="FH105" s="242"/>
      <c r="FI105" s="242"/>
      <c r="FJ105" s="242"/>
      <c r="FK105" s="242"/>
      <c r="FL105" s="242"/>
      <c r="FM105" s="242"/>
      <c r="FN105" s="242"/>
      <c r="FO105" s="242"/>
      <c r="FP105" s="242"/>
      <c r="FQ105" s="242"/>
      <c r="FR105" s="242"/>
      <c r="FS105" s="242"/>
      <c r="FT105" s="242"/>
      <c r="FU105" s="242"/>
      <c r="FV105" s="242"/>
      <c r="FW105" s="242"/>
      <c r="FX105" s="242"/>
      <c r="FY105" s="242"/>
      <c r="FZ105" s="242"/>
      <c r="GA105" s="242"/>
      <c r="GB105" s="242"/>
      <c r="GC105" s="242"/>
      <c r="GD105" s="242"/>
      <c r="GE105" s="242"/>
      <c r="GF105" s="242"/>
      <c r="GG105" s="242"/>
      <c r="GH105" s="242"/>
      <c r="GI105" s="242"/>
      <c r="GJ105" s="242"/>
      <c r="GK105" s="242"/>
      <c r="GL105" s="242"/>
      <c r="GM105" s="242"/>
      <c r="GN105" s="242"/>
      <c r="GO105" s="242"/>
      <c r="GP105" s="242"/>
      <c r="GQ105" s="242"/>
      <c r="GR105" s="242"/>
      <c r="GS105" s="242"/>
      <c r="GT105" s="242"/>
      <c r="GU105" s="242"/>
      <c r="GV105" s="242"/>
      <c r="GW105" s="242"/>
      <c r="GX105" s="242"/>
      <c r="GY105" s="242"/>
      <c r="GZ105" s="242"/>
      <c r="HA105" s="242"/>
      <c r="HB105" s="242"/>
      <c r="HC105" s="242"/>
      <c r="HD105" s="242"/>
      <c r="HE105" s="242"/>
      <c r="HF105" s="242"/>
      <c r="HG105" s="242"/>
      <c r="HH105" s="242"/>
      <c r="HI105" s="242"/>
      <c r="HJ105" s="242"/>
      <c r="HK105" s="242"/>
      <c r="HL105" s="242"/>
      <c r="HM105" s="242"/>
      <c r="HN105" s="242"/>
      <c r="HO105" s="243"/>
    </row>
    <row r="106" spans="1:223" ht="12.75" hidden="1" customHeight="1">
      <c r="A106" s="83">
        <f t="shared" si="14"/>
        <v>101</v>
      </c>
      <c r="B106" s="84"/>
      <c r="C106" s="84"/>
      <c r="D106" s="84"/>
      <c r="E106" s="84"/>
      <c r="F106" s="84" t="str">
        <f t="shared" si="12"/>
        <v>///</v>
      </c>
      <c r="G106" s="249">
        <f t="shared" si="15"/>
        <v>0</v>
      </c>
      <c r="H106" s="240">
        <f t="shared" si="13"/>
        <v>0</v>
      </c>
      <c r="I106" s="243"/>
      <c r="J106" s="243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42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  <c r="AM106" s="242"/>
      <c r="AN106" s="242"/>
      <c r="AO106" s="242"/>
      <c r="AP106" s="242"/>
      <c r="AQ106" s="242"/>
      <c r="AR106" s="242"/>
      <c r="AS106" s="242"/>
      <c r="AT106" s="242"/>
      <c r="AU106" s="242"/>
      <c r="AV106" s="242"/>
      <c r="AW106" s="242"/>
      <c r="AX106" s="242"/>
      <c r="AY106" s="242"/>
      <c r="AZ106" s="242"/>
      <c r="BA106" s="242"/>
      <c r="BB106" s="242"/>
      <c r="BC106" s="242"/>
      <c r="BD106" s="242"/>
      <c r="BE106" s="242"/>
      <c r="BF106" s="242"/>
      <c r="BG106" s="242"/>
      <c r="BH106" s="242"/>
      <c r="BI106" s="242"/>
      <c r="BJ106" s="242"/>
      <c r="BK106" s="242"/>
      <c r="BL106" s="242"/>
      <c r="BM106" s="242"/>
      <c r="BN106" s="242"/>
      <c r="BO106" s="242"/>
      <c r="BP106" s="242"/>
      <c r="BQ106" s="242"/>
      <c r="BR106" s="242"/>
      <c r="BS106" s="242"/>
      <c r="BT106" s="242"/>
      <c r="BU106" s="242"/>
      <c r="BV106" s="242"/>
      <c r="BW106" s="242"/>
      <c r="BX106" s="242"/>
      <c r="BY106" s="242"/>
      <c r="BZ106" s="242"/>
      <c r="CA106" s="242"/>
      <c r="CB106" s="242"/>
      <c r="CC106" s="242"/>
      <c r="CD106" s="242"/>
      <c r="CE106" s="242"/>
      <c r="CF106" s="242"/>
      <c r="CG106" s="242"/>
      <c r="CH106" s="242"/>
      <c r="CI106" s="242"/>
      <c r="CJ106" s="242"/>
      <c r="CK106" s="242"/>
      <c r="CL106" s="242"/>
      <c r="CM106" s="242"/>
      <c r="CN106" s="242"/>
      <c r="CO106" s="242"/>
      <c r="CP106" s="242"/>
      <c r="CQ106" s="242"/>
      <c r="CR106" s="242"/>
      <c r="CS106" s="242"/>
      <c r="CT106" s="242"/>
      <c r="CU106" s="242"/>
      <c r="CV106" s="242"/>
      <c r="CW106" s="242"/>
      <c r="CX106" s="242"/>
      <c r="CY106" s="242"/>
      <c r="CZ106" s="242"/>
      <c r="DA106" s="242"/>
      <c r="DB106" s="242"/>
      <c r="DC106" s="242"/>
      <c r="DD106" s="242"/>
      <c r="DE106" s="242"/>
      <c r="DF106" s="242"/>
      <c r="DG106" s="242"/>
      <c r="DH106" s="242"/>
      <c r="DI106" s="242"/>
      <c r="DJ106" s="242"/>
      <c r="DK106" s="242"/>
      <c r="DL106" s="242"/>
      <c r="DM106" s="242"/>
      <c r="DN106" s="242"/>
      <c r="DO106" s="242"/>
      <c r="DP106" s="242"/>
      <c r="DQ106" s="242"/>
      <c r="DR106" s="242"/>
      <c r="DS106" s="242"/>
      <c r="DT106" s="242"/>
      <c r="DU106" s="242"/>
      <c r="DV106" s="242"/>
      <c r="DW106" s="242"/>
      <c r="DX106" s="242"/>
      <c r="DY106" s="242"/>
      <c r="DZ106" s="242"/>
      <c r="EA106" s="242"/>
      <c r="EB106" s="242"/>
      <c r="EC106" s="242"/>
      <c r="ED106" s="242"/>
      <c r="EE106" s="242"/>
      <c r="EF106" s="242"/>
      <c r="EG106" s="242"/>
      <c r="EH106" s="242"/>
      <c r="EI106" s="242"/>
      <c r="EJ106" s="242"/>
      <c r="EK106" s="242"/>
      <c r="EL106" s="242"/>
      <c r="EM106" s="242"/>
      <c r="EN106" s="242"/>
      <c r="EO106" s="242"/>
      <c r="EP106" s="242"/>
      <c r="EQ106" s="242"/>
      <c r="ER106" s="242"/>
      <c r="ES106" s="242"/>
      <c r="ET106" s="242"/>
      <c r="EU106" s="242"/>
      <c r="EV106" s="242"/>
      <c r="EW106" s="242"/>
      <c r="EX106" s="242"/>
      <c r="EY106" s="242"/>
      <c r="EZ106" s="242"/>
      <c r="FA106" s="242"/>
      <c r="FB106" s="242"/>
      <c r="FC106" s="242"/>
      <c r="FD106" s="242"/>
      <c r="FE106" s="242"/>
      <c r="FF106" s="242"/>
      <c r="FG106" s="242"/>
      <c r="FH106" s="242"/>
      <c r="FI106" s="242"/>
      <c r="FJ106" s="242"/>
      <c r="FK106" s="242"/>
      <c r="FL106" s="242"/>
      <c r="FM106" s="242"/>
      <c r="FN106" s="242"/>
      <c r="FO106" s="242"/>
      <c r="FP106" s="242"/>
      <c r="FQ106" s="242"/>
      <c r="FR106" s="242"/>
      <c r="FS106" s="242"/>
      <c r="FT106" s="242"/>
      <c r="FU106" s="242"/>
      <c r="FV106" s="242"/>
      <c r="FW106" s="242"/>
      <c r="FX106" s="242"/>
      <c r="FY106" s="242"/>
      <c r="FZ106" s="242"/>
      <c r="GA106" s="242"/>
      <c r="GB106" s="242"/>
      <c r="GC106" s="242"/>
      <c r="GD106" s="242"/>
      <c r="GE106" s="242"/>
      <c r="GF106" s="242"/>
      <c r="GG106" s="242"/>
      <c r="GH106" s="242"/>
      <c r="GI106" s="242"/>
      <c r="GJ106" s="242"/>
      <c r="GK106" s="242"/>
      <c r="GL106" s="242"/>
      <c r="GM106" s="242"/>
      <c r="GN106" s="242"/>
      <c r="GO106" s="242"/>
      <c r="GP106" s="242"/>
      <c r="GQ106" s="242"/>
      <c r="GR106" s="242"/>
      <c r="GS106" s="242"/>
      <c r="GT106" s="242"/>
      <c r="GU106" s="242"/>
      <c r="GV106" s="242"/>
      <c r="GW106" s="242"/>
      <c r="GX106" s="242"/>
      <c r="GY106" s="242"/>
      <c r="GZ106" s="242"/>
      <c r="HA106" s="242"/>
      <c r="HB106" s="242"/>
      <c r="HC106" s="242"/>
      <c r="HD106" s="242"/>
      <c r="HE106" s="242"/>
      <c r="HF106" s="242"/>
      <c r="HG106" s="242"/>
      <c r="HH106" s="242"/>
      <c r="HI106" s="242"/>
      <c r="HJ106" s="242"/>
      <c r="HK106" s="242"/>
      <c r="HL106" s="242"/>
      <c r="HM106" s="242"/>
      <c r="HN106" s="242"/>
      <c r="HO106" s="243"/>
    </row>
    <row r="107" spans="1:223" ht="12.75" hidden="1" customHeight="1">
      <c r="A107" s="83">
        <f t="shared" si="14"/>
        <v>102</v>
      </c>
      <c r="B107" s="84"/>
      <c r="C107" s="84"/>
      <c r="D107" s="84"/>
      <c r="E107" s="84"/>
      <c r="F107" s="84" t="str">
        <f t="shared" si="12"/>
        <v>///</v>
      </c>
      <c r="G107" s="249">
        <f t="shared" si="15"/>
        <v>0</v>
      </c>
      <c r="H107" s="240">
        <f t="shared" si="13"/>
        <v>0</v>
      </c>
      <c r="I107" s="243"/>
      <c r="J107" s="243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42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  <c r="AM107" s="242"/>
      <c r="AN107" s="242"/>
      <c r="AO107" s="242"/>
      <c r="AP107" s="242"/>
      <c r="AQ107" s="242"/>
      <c r="AR107" s="242"/>
      <c r="AS107" s="242"/>
      <c r="AT107" s="242"/>
      <c r="AU107" s="242"/>
      <c r="AV107" s="242"/>
      <c r="AW107" s="242"/>
      <c r="AX107" s="242"/>
      <c r="AY107" s="242"/>
      <c r="AZ107" s="242"/>
      <c r="BA107" s="242"/>
      <c r="BB107" s="242"/>
      <c r="BC107" s="242"/>
      <c r="BD107" s="242"/>
      <c r="BE107" s="242"/>
      <c r="BF107" s="242"/>
      <c r="BG107" s="242"/>
      <c r="BH107" s="242"/>
      <c r="BI107" s="242"/>
      <c r="BJ107" s="242"/>
      <c r="BK107" s="242"/>
      <c r="BL107" s="242"/>
      <c r="BM107" s="242"/>
      <c r="BN107" s="242"/>
      <c r="BO107" s="242"/>
      <c r="BP107" s="242"/>
      <c r="BQ107" s="242"/>
      <c r="BR107" s="242"/>
      <c r="BS107" s="242"/>
      <c r="BT107" s="242"/>
      <c r="BU107" s="242"/>
      <c r="BV107" s="242"/>
      <c r="BW107" s="242"/>
      <c r="BX107" s="242"/>
      <c r="BY107" s="242"/>
      <c r="BZ107" s="242"/>
      <c r="CA107" s="242"/>
      <c r="CB107" s="242"/>
      <c r="CC107" s="242"/>
      <c r="CD107" s="242"/>
      <c r="CE107" s="242"/>
      <c r="CF107" s="242"/>
      <c r="CG107" s="242"/>
      <c r="CH107" s="242"/>
      <c r="CI107" s="242"/>
      <c r="CJ107" s="242"/>
      <c r="CK107" s="242"/>
      <c r="CL107" s="242"/>
      <c r="CM107" s="242"/>
      <c r="CN107" s="242"/>
      <c r="CO107" s="242"/>
      <c r="CP107" s="242"/>
      <c r="CQ107" s="242"/>
      <c r="CR107" s="242"/>
      <c r="CS107" s="242"/>
      <c r="CT107" s="242"/>
      <c r="CU107" s="242"/>
      <c r="CV107" s="242"/>
      <c r="CW107" s="242"/>
      <c r="CX107" s="242"/>
      <c r="CY107" s="242"/>
      <c r="CZ107" s="242"/>
      <c r="DA107" s="242"/>
      <c r="DB107" s="242"/>
      <c r="DC107" s="242"/>
      <c r="DD107" s="242"/>
      <c r="DE107" s="242"/>
      <c r="DF107" s="242"/>
      <c r="DG107" s="242"/>
      <c r="DH107" s="242"/>
      <c r="DI107" s="242"/>
      <c r="DJ107" s="242"/>
      <c r="DK107" s="242"/>
      <c r="DL107" s="242"/>
      <c r="DM107" s="242"/>
      <c r="DN107" s="242"/>
      <c r="DO107" s="242"/>
      <c r="DP107" s="242"/>
      <c r="DQ107" s="242"/>
      <c r="DR107" s="242"/>
      <c r="DS107" s="242"/>
      <c r="DT107" s="242"/>
      <c r="DU107" s="242"/>
      <c r="DV107" s="242"/>
      <c r="DW107" s="242"/>
      <c r="DX107" s="242"/>
      <c r="DY107" s="242"/>
      <c r="DZ107" s="242"/>
      <c r="EA107" s="242"/>
      <c r="EB107" s="242"/>
      <c r="EC107" s="242"/>
      <c r="ED107" s="242"/>
      <c r="EE107" s="242"/>
      <c r="EF107" s="242"/>
      <c r="EG107" s="242"/>
      <c r="EH107" s="242"/>
      <c r="EI107" s="242"/>
      <c r="EJ107" s="242"/>
      <c r="EK107" s="242"/>
      <c r="EL107" s="242"/>
      <c r="EM107" s="242"/>
      <c r="EN107" s="242"/>
      <c r="EO107" s="242"/>
      <c r="EP107" s="242"/>
      <c r="EQ107" s="242"/>
      <c r="ER107" s="242"/>
      <c r="ES107" s="242"/>
      <c r="ET107" s="242"/>
      <c r="EU107" s="242"/>
      <c r="EV107" s="242"/>
      <c r="EW107" s="242"/>
      <c r="EX107" s="242"/>
      <c r="EY107" s="242"/>
      <c r="EZ107" s="242"/>
      <c r="FA107" s="242"/>
      <c r="FB107" s="242"/>
      <c r="FC107" s="242"/>
      <c r="FD107" s="242"/>
      <c r="FE107" s="242"/>
      <c r="FF107" s="242"/>
      <c r="FG107" s="242"/>
      <c r="FH107" s="242"/>
      <c r="FI107" s="242"/>
      <c r="FJ107" s="242"/>
      <c r="FK107" s="242"/>
      <c r="FL107" s="242"/>
      <c r="FM107" s="242"/>
      <c r="FN107" s="242"/>
      <c r="FO107" s="242"/>
      <c r="FP107" s="242"/>
      <c r="FQ107" s="242"/>
      <c r="FR107" s="242"/>
      <c r="FS107" s="242"/>
      <c r="FT107" s="242"/>
      <c r="FU107" s="242"/>
      <c r="FV107" s="242"/>
      <c r="FW107" s="242"/>
      <c r="FX107" s="242"/>
      <c r="FY107" s="242"/>
      <c r="FZ107" s="242"/>
      <c r="GA107" s="242"/>
      <c r="GB107" s="242"/>
      <c r="GC107" s="242"/>
      <c r="GD107" s="242"/>
      <c r="GE107" s="242"/>
      <c r="GF107" s="242"/>
      <c r="GG107" s="242"/>
      <c r="GH107" s="242"/>
      <c r="GI107" s="242"/>
      <c r="GJ107" s="242"/>
      <c r="GK107" s="242"/>
      <c r="GL107" s="242"/>
      <c r="GM107" s="242"/>
      <c r="GN107" s="242"/>
      <c r="GO107" s="242"/>
      <c r="GP107" s="242"/>
      <c r="GQ107" s="242"/>
      <c r="GR107" s="242"/>
      <c r="GS107" s="242"/>
      <c r="GT107" s="242"/>
      <c r="GU107" s="242"/>
      <c r="GV107" s="242"/>
      <c r="GW107" s="242"/>
      <c r="GX107" s="242"/>
      <c r="GY107" s="242"/>
      <c r="GZ107" s="242"/>
      <c r="HA107" s="242"/>
      <c r="HB107" s="242"/>
      <c r="HC107" s="242"/>
      <c r="HD107" s="242"/>
      <c r="HE107" s="242"/>
      <c r="HF107" s="242"/>
      <c r="HG107" s="242"/>
      <c r="HH107" s="242"/>
      <c r="HI107" s="242"/>
      <c r="HJ107" s="242"/>
      <c r="HK107" s="242"/>
      <c r="HL107" s="242"/>
      <c r="HM107" s="242"/>
      <c r="HN107" s="242"/>
      <c r="HO107" s="243"/>
    </row>
    <row r="108" spans="1:223" ht="12.75" hidden="1" customHeight="1">
      <c r="A108" s="83">
        <f t="shared" si="14"/>
        <v>103</v>
      </c>
      <c r="B108" s="84"/>
      <c r="C108" s="84"/>
      <c r="D108" s="84"/>
      <c r="E108" s="84"/>
      <c r="F108" s="84" t="str">
        <f t="shared" si="12"/>
        <v>///</v>
      </c>
      <c r="G108" s="249">
        <f t="shared" si="15"/>
        <v>0</v>
      </c>
      <c r="H108" s="240">
        <f t="shared" si="13"/>
        <v>0</v>
      </c>
      <c r="I108" s="243"/>
      <c r="J108" s="243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42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  <c r="AM108" s="242"/>
      <c r="AN108" s="242"/>
      <c r="AO108" s="242"/>
      <c r="AP108" s="242"/>
      <c r="AQ108" s="242"/>
      <c r="AR108" s="242"/>
      <c r="AS108" s="242"/>
      <c r="AT108" s="242"/>
      <c r="AU108" s="242"/>
      <c r="AV108" s="242"/>
      <c r="AW108" s="242"/>
      <c r="AX108" s="242"/>
      <c r="AY108" s="242"/>
      <c r="AZ108" s="242"/>
      <c r="BA108" s="242"/>
      <c r="BB108" s="242"/>
      <c r="BC108" s="242"/>
      <c r="BD108" s="242"/>
      <c r="BE108" s="242"/>
      <c r="BF108" s="242"/>
      <c r="BG108" s="242"/>
      <c r="BH108" s="242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2"/>
      <c r="BS108" s="242"/>
      <c r="BT108" s="242"/>
      <c r="BU108" s="242"/>
      <c r="BV108" s="242"/>
      <c r="BW108" s="242"/>
      <c r="BX108" s="242"/>
      <c r="BY108" s="242"/>
      <c r="BZ108" s="242"/>
      <c r="CA108" s="242"/>
      <c r="CB108" s="242"/>
      <c r="CC108" s="242"/>
      <c r="CD108" s="242"/>
      <c r="CE108" s="242"/>
      <c r="CF108" s="242"/>
      <c r="CG108" s="242"/>
      <c r="CH108" s="242"/>
      <c r="CI108" s="242"/>
      <c r="CJ108" s="242"/>
      <c r="CK108" s="242"/>
      <c r="CL108" s="242"/>
      <c r="CM108" s="242"/>
      <c r="CN108" s="242"/>
      <c r="CO108" s="242"/>
      <c r="CP108" s="242"/>
      <c r="CQ108" s="242"/>
      <c r="CR108" s="242"/>
      <c r="CS108" s="242"/>
      <c r="CT108" s="242"/>
      <c r="CU108" s="242"/>
      <c r="CV108" s="242"/>
      <c r="CW108" s="242"/>
      <c r="CX108" s="242"/>
      <c r="CY108" s="242"/>
      <c r="CZ108" s="242"/>
      <c r="DA108" s="242"/>
      <c r="DB108" s="242"/>
      <c r="DC108" s="242"/>
      <c r="DD108" s="242"/>
      <c r="DE108" s="242"/>
      <c r="DF108" s="242"/>
      <c r="DG108" s="242"/>
      <c r="DH108" s="242"/>
      <c r="DI108" s="242"/>
      <c r="DJ108" s="242"/>
      <c r="DK108" s="242"/>
      <c r="DL108" s="242"/>
      <c r="DM108" s="242"/>
      <c r="DN108" s="242"/>
      <c r="DO108" s="242"/>
      <c r="DP108" s="242"/>
      <c r="DQ108" s="242"/>
      <c r="DR108" s="242"/>
      <c r="DS108" s="242"/>
      <c r="DT108" s="242"/>
      <c r="DU108" s="242"/>
      <c r="DV108" s="242"/>
      <c r="DW108" s="242"/>
      <c r="DX108" s="242"/>
      <c r="DY108" s="242"/>
      <c r="DZ108" s="242"/>
      <c r="EA108" s="242"/>
      <c r="EB108" s="242"/>
      <c r="EC108" s="242"/>
      <c r="ED108" s="242"/>
      <c r="EE108" s="242"/>
      <c r="EF108" s="242"/>
      <c r="EG108" s="242"/>
      <c r="EH108" s="242"/>
      <c r="EI108" s="242"/>
      <c r="EJ108" s="242"/>
      <c r="EK108" s="242"/>
      <c r="EL108" s="242"/>
      <c r="EM108" s="242"/>
      <c r="EN108" s="242"/>
      <c r="EO108" s="242"/>
      <c r="EP108" s="242"/>
      <c r="EQ108" s="242"/>
      <c r="ER108" s="242"/>
      <c r="ES108" s="242"/>
      <c r="ET108" s="242"/>
      <c r="EU108" s="242"/>
      <c r="EV108" s="242"/>
      <c r="EW108" s="242"/>
      <c r="EX108" s="242"/>
      <c r="EY108" s="242"/>
      <c r="EZ108" s="242"/>
      <c r="FA108" s="242"/>
      <c r="FB108" s="242"/>
      <c r="FC108" s="242"/>
      <c r="FD108" s="242"/>
      <c r="FE108" s="242"/>
      <c r="FF108" s="242"/>
      <c r="FG108" s="242"/>
      <c r="FH108" s="242"/>
      <c r="FI108" s="242"/>
      <c r="FJ108" s="242"/>
      <c r="FK108" s="242"/>
      <c r="FL108" s="242"/>
      <c r="FM108" s="242"/>
      <c r="FN108" s="242"/>
      <c r="FO108" s="242"/>
      <c r="FP108" s="242"/>
      <c r="FQ108" s="242"/>
      <c r="FR108" s="242"/>
      <c r="FS108" s="242"/>
      <c r="FT108" s="242"/>
      <c r="FU108" s="242"/>
      <c r="FV108" s="242"/>
      <c r="FW108" s="242"/>
      <c r="FX108" s="242"/>
      <c r="FY108" s="242"/>
      <c r="FZ108" s="242"/>
      <c r="GA108" s="242"/>
      <c r="GB108" s="242"/>
      <c r="GC108" s="242"/>
      <c r="GD108" s="242"/>
      <c r="GE108" s="242"/>
      <c r="GF108" s="242"/>
      <c r="GG108" s="242"/>
      <c r="GH108" s="242"/>
      <c r="GI108" s="242"/>
      <c r="GJ108" s="242"/>
      <c r="GK108" s="242"/>
      <c r="GL108" s="242"/>
      <c r="GM108" s="242"/>
      <c r="GN108" s="242"/>
      <c r="GO108" s="242"/>
      <c r="GP108" s="242"/>
      <c r="GQ108" s="242"/>
      <c r="GR108" s="242"/>
      <c r="GS108" s="242"/>
      <c r="GT108" s="242"/>
      <c r="GU108" s="242"/>
      <c r="GV108" s="242"/>
      <c r="GW108" s="242"/>
      <c r="GX108" s="242"/>
      <c r="GY108" s="242"/>
      <c r="GZ108" s="242"/>
      <c r="HA108" s="242"/>
      <c r="HB108" s="242"/>
      <c r="HC108" s="242"/>
      <c r="HD108" s="242"/>
      <c r="HE108" s="242"/>
      <c r="HF108" s="242"/>
      <c r="HG108" s="242"/>
      <c r="HH108" s="242"/>
      <c r="HI108" s="242"/>
      <c r="HJ108" s="242"/>
      <c r="HK108" s="242"/>
      <c r="HL108" s="242"/>
      <c r="HM108" s="242"/>
      <c r="HN108" s="242"/>
      <c r="HO108" s="243"/>
    </row>
    <row r="109" spans="1:223" ht="12.75" hidden="1" customHeight="1">
      <c r="A109" s="83">
        <f t="shared" si="14"/>
        <v>104</v>
      </c>
      <c r="B109" s="84"/>
      <c r="C109" s="84"/>
      <c r="D109" s="84"/>
      <c r="E109" s="84"/>
      <c r="F109" s="84" t="str">
        <f t="shared" si="12"/>
        <v>///</v>
      </c>
      <c r="G109" s="249">
        <f t="shared" si="15"/>
        <v>0</v>
      </c>
      <c r="H109" s="240">
        <f t="shared" si="13"/>
        <v>0</v>
      </c>
      <c r="I109" s="243"/>
      <c r="J109" s="243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42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  <c r="AM109" s="242"/>
      <c r="AN109" s="242"/>
      <c r="AO109" s="242"/>
      <c r="AP109" s="242"/>
      <c r="AQ109" s="242"/>
      <c r="AR109" s="242"/>
      <c r="AS109" s="242"/>
      <c r="AT109" s="242"/>
      <c r="AU109" s="242"/>
      <c r="AV109" s="242"/>
      <c r="AW109" s="242"/>
      <c r="AX109" s="242"/>
      <c r="AY109" s="242"/>
      <c r="AZ109" s="242"/>
      <c r="BA109" s="242"/>
      <c r="BB109" s="242"/>
      <c r="BC109" s="242"/>
      <c r="BD109" s="242"/>
      <c r="BE109" s="242"/>
      <c r="BF109" s="242"/>
      <c r="BG109" s="242"/>
      <c r="BH109" s="242"/>
      <c r="BI109" s="242"/>
      <c r="BJ109" s="242"/>
      <c r="BK109" s="242"/>
      <c r="BL109" s="242"/>
      <c r="BM109" s="242"/>
      <c r="BN109" s="242"/>
      <c r="BO109" s="242"/>
      <c r="BP109" s="242"/>
      <c r="BQ109" s="242"/>
      <c r="BR109" s="242"/>
      <c r="BS109" s="242"/>
      <c r="BT109" s="242"/>
      <c r="BU109" s="242"/>
      <c r="BV109" s="242"/>
      <c r="BW109" s="242"/>
      <c r="BX109" s="242"/>
      <c r="BY109" s="242"/>
      <c r="BZ109" s="242"/>
      <c r="CA109" s="242"/>
      <c r="CB109" s="242"/>
      <c r="CC109" s="242"/>
      <c r="CD109" s="242"/>
      <c r="CE109" s="242"/>
      <c r="CF109" s="242"/>
      <c r="CG109" s="242"/>
      <c r="CH109" s="242"/>
      <c r="CI109" s="242"/>
      <c r="CJ109" s="242"/>
      <c r="CK109" s="242"/>
      <c r="CL109" s="242"/>
      <c r="CM109" s="242"/>
      <c r="CN109" s="242"/>
      <c r="CO109" s="242"/>
      <c r="CP109" s="242"/>
      <c r="CQ109" s="242"/>
      <c r="CR109" s="242"/>
      <c r="CS109" s="242"/>
      <c r="CT109" s="242"/>
      <c r="CU109" s="242"/>
      <c r="CV109" s="242"/>
      <c r="CW109" s="242"/>
      <c r="CX109" s="242"/>
      <c r="CY109" s="242"/>
      <c r="CZ109" s="242"/>
      <c r="DA109" s="242"/>
      <c r="DB109" s="242"/>
      <c r="DC109" s="242"/>
      <c r="DD109" s="242"/>
      <c r="DE109" s="242"/>
      <c r="DF109" s="242"/>
      <c r="DG109" s="242"/>
      <c r="DH109" s="242"/>
      <c r="DI109" s="242"/>
      <c r="DJ109" s="242"/>
      <c r="DK109" s="242"/>
      <c r="DL109" s="242"/>
      <c r="DM109" s="242"/>
      <c r="DN109" s="242"/>
      <c r="DO109" s="242"/>
      <c r="DP109" s="242"/>
      <c r="DQ109" s="242"/>
      <c r="DR109" s="242"/>
      <c r="DS109" s="242"/>
      <c r="DT109" s="242"/>
      <c r="DU109" s="242"/>
      <c r="DV109" s="242"/>
      <c r="DW109" s="242"/>
      <c r="DX109" s="242"/>
      <c r="DY109" s="242"/>
      <c r="DZ109" s="242"/>
      <c r="EA109" s="242"/>
      <c r="EB109" s="242"/>
      <c r="EC109" s="242"/>
      <c r="ED109" s="242"/>
      <c r="EE109" s="242"/>
      <c r="EF109" s="242"/>
      <c r="EG109" s="242"/>
      <c r="EH109" s="242"/>
      <c r="EI109" s="242"/>
      <c r="EJ109" s="242"/>
      <c r="EK109" s="242"/>
      <c r="EL109" s="242"/>
      <c r="EM109" s="242"/>
      <c r="EN109" s="242"/>
      <c r="EO109" s="242"/>
      <c r="EP109" s="242"/>
      <c r="EQ109" s="242"/>
      <c r="ER109" s="242"/>
      <c r="ES109" s="242"/>
      <c r="ET109" s="242"/>
      <c r="EU109" s="242"/>
      <c r="EV109" s="242"/>
      <c r="EW109" s="242"/>
      <c r="EX109" s="242"/>
      <c r="EY109" s="242"/>
      <c r="EZ109" s="242"/>
      <c r="FA109" s="242"/>
      <c r="FB109" s="242"/>
      <c r="FC109" s="242"/>
      <c r="FD109" s="242"/>
      <c r="FE109" s="242"/>
      <c r="FF109" s="242"/>
      <c r="FG109" s="242"/>
      <c r="FH109" s="242"/>
      <c r="FI109" s="242"/>
      <c r="FJ109" s="242"/>
      <c r="FK109" s="242"/>
      <c r="FL109" s="242"/>
      <c r="FM109" s="242"/>
      <c r="FN109" s="242"/>
      <c r="FO109" s="242"/>
      <c r="FP109" s="242"/>
      <c r="FQ109" s="242"/>
      <c r="FR109" s="242"/>
      <c r="FS109" s="242"/>
      <c r="FT109" s="242"/>
      <c r="FU109" s="242"/>
      <c r="FV109" s="242"/>
      <c r="FW109" s="242"/>
      <c r="FX109" s="242"/>
      <c r="FY109" s="242"/>
      <c r="FZ109" s="242"/>
      <c r="GA109" s="242"/>
      <c r="GB109" s="242"/>
      <c r="GC109" s="242"/>
      <c r="GD109" s="242"/>
      <c r="GE109" s="242"/>
      <c r="GF109" s="242"/>
      <c r="GG109" s="242"/>
      <c r="GH109" s="242"/>
      <c r="GI109" s="242"/>
      <c r="GJ109" s="242"/>
      <c r="GK109" s="242"/>
      <c r="GL109" s="242"/>
      <c r="GM109" s="242"/>
      <c r="GN109" s="242"/>
      <c r="GO109" s="242"/>
      <c r="GP109" s="242"/>
      <c r="GQ109" s="242"/>
      <c r="GR109" s="242"/>
      <c r="GS109" s="242"/>
      <c r="GT109" s="242"/>
      <c r="GU109" s="242"/>
      <c r="GV109" s="242"/>
      <c r="GW109" s="242"/>
      <c r="GX109" s="242"/>
      <c r="GY109" s="242"/>
      <c r="GZ109" s="242"/>
      <c r="HA109" s="242"/>
      <c r="HB109" s="242"/>
      <c r="HC109" s="242"/>
      <c r="HD109" s="242"/>
      <c r="HE109" s="242"/>
      <c r="HF109" s="242"/>
      <c r="HG109" s="242"/>
      <c r="HH109" s="242"/>
      <c r="HI109" s="242"/>
      <c r="HJ109" s="242"/>
      <c r="HK109" s="242"/>
      <c r="HL109" s="242"/>
      <c r="HM109" s="242"/>
      <c r="HN109" s="242"/>
      <c r="HO109" s="243"/>
    </row>
    <row r="110" spans="1:223" ht="12.75" hidden="1" customHeight="1">
      <c r="A110" s="83">
        <f t="shared" si="14"/>
        <v>105</v>
      </c>
      <c r="B110" s="84"/>
      <c r="C110" s="84"/>
      <c r="D110" s="84"/>
      <c r="E110" s="84"/>
      <c r="F110" s="84" t="str">
        <f t="shared" si="12"/>
        <v>///</v>
      </c>
      <c r="G110" s="249">
        <f t="shared" si="15"/>
        <v>0</v>
      </c>
      <c r="H110" s="240">
        <f t="shared" si="13"/>
        <v>0</v>
      </c>
      <c r="I110" s="243"/>
      <c r="J110" s="243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42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  <c r="AM110" s="242"/>
      <c r="AN110" s="242"/>
      <c r="AO110" s="242"/>
      <c r="AP110" s="242"/>
      <c r="AQ110" s="242"/>
      <c r="AR110" s="242"/>
      <c r="AS110" s="242"/>
      <c r="AT110" s="242"/>
      <c r="AU110" s="242"/>
      <c r="AV110" s="242"/>
      <c r="AW110" s="242"/>
      <c r="AX110" s="242"/>
      <c r="AY110" s="242"/>
      <c r="AZ110" s="242"/>
      <c r="BA110" s="242"/>
      <c r="BB110" s="242"/>
      <c r="BC110" s="242"/>
      <c r="BD110" s="242"/>
      <c r="BE110" s="242"/>
      <c r="BF110" s="242"/>
      <c r="BG110" s="242"/>
      <c r="BH110" s="242"/>
      <c r="BI110" s="242"/>
      <c r="BJ110" s="242"/>
      <c r="BK110" s="242"/>
      <c r="BL110" s="242"/>
      <c r="BM110" s="242"/>
      <c r="BN110" s="242"/>
      <c r="BO110" s="242"/>
      <c r="BP110" s="242"/>
      <c r="BQ110" s="242"/>
      <c r="BR110" s="242"/>
      <c r="BS110" s="242"/>
      <c r="BT110" s="242"/>
      <c r="BU110" s="242"/>
      <c r="BV110" s="242"/>
      <c r="BW110" s="242"/>
      <c r="BX110" s="242"/>
      <c r="BY110" s="242"/>
      <c r="BZ110" s="242"/>
      <c r="CA110" s="242"/>
      <c r="CB110" s="242"/>
      <c r="CC110" s="242"/>
      <c r="CD110" s="242"/>
      <c r="CE110" s="242"/>
      <c r="CF110" s="242"/>
      <c r="CG110" s="242"/>
      <c r="CH110" s="242"/>
      <c r="CI110" s="242"/>
      <c r="CJ110" s="242"/>
      <c r="CK110" s="242"/>
      <c r="CL110" s="242"/>
      <c r="CM110" s="242"/>
      <c r="CN110" s="242"/>
      <c r="CO110" s="242"/>
      <c r="CP110" s="242"/>
      <c r="CQ110" s="242"/>
      <c r="CR110" s="242"/>
      <c r="CS110" s="242"/>
      <c r="CT110" s="242"/>
      <c r="CU110" s="242"/>
      <c r="CV110" s="242"/>
      <c r="CW110" s="242"/>
      <c r="CX110" s="242"/>
      <c r="CY110" s="242"/>
      <c r="CZ110" s="242"/>
      <c r="DA110" s="242"/>
      <c r="DB110" s="242"/>
      <c r="DC110" s="242"/>
      <c r="DD110" s="242"/>
      <c r="DE110" s="242"/>
      <c r="DF110" s="242"/>
      <c r="DG110" s="242"/>
      <c r="DH110" s="242"/>
      <c r="DI110" s="242"/>
      <c r="DJ110" s="242"/>
      <c r="DK110" s="242"/>
      <c r="DL110" s="242"/>
      <c r="DM110" s="242"/>
      <c r="DN110" s="242"/>
      <c r="DO110" s="242"/>
      <c r="DP110" s="242"/>
      <c r="DQ110" s="242"/>
      <c r="DR110" s="242"/>
      <c r="DS110" s="242"/>
      <c r="DT110" s="242"/>
      <c r="DU110" s="242"/>
      <c r="DV110" s="242"/>
      <c r="DW110" s="242"/>
      <c r="DX110" s="242"/>
      <c r="DY110" s="242"/>
      <c r="DZ110" s="242"/>
      <c r="EA110" s="242"/>
      <c r="EB110" s="242"/>
      <c r="EC110" s="242"/>
      <c r="ED110" s="242"/>
      <c r="EE110" s="242"/>
      <c r="EF110" s="242"/>
      <c r="EG110" s="242"/>
      <c r="EH110" s="242"/>
      <c r="EI110" s="242"/>
      <c r="EJ110" s="242"/>
      <c r="EK110" s="242"/>
      <c r="EL110" s="242"/>
      <c r="EM110" s="242"/>
      <c r="EN110" s="242"/>
      <c r="EO110" s="242"/>
      <c r="EP110" s="242"/>
      <c r="EQ110" s="242"/>
      <c r="ER110" s="242"/>
      <c r="ES110" s="242"/>
      <c r="ET110" s="242"/>
      <c r="EU110" s="242"/>
      <c r="EV110" s="242"/>
      <c r="EW110" s="242"/>
      <c r="EX110" s="242"/>
      <c r="EY110" s="242"/>
      <c r="EZ110" s="242"/>
      <c r="FA110" s="242"/>
      <c r="FB110" s="242"/>
      <c r="FC110" s="242"/>
      <c r="FD110" s="242"/>
      <c r="FE110" s="242"/>
      <c r="FF110" s="242"/>
      <c r="FG110" s="242"/>
      <c r="FH110" s="242"/>
      <c r="FI110" s="242"/>
      <c r="FJ110" s="242"/>
      <c r="FK110" s="242"/>
      <c r="FL110" s="242"/>
      <c r="FM110" s="242"/>
      <c r="FN110" s="242"/>
      <c r="FO110" s="242"/>
      <c r="FP110" s="242"/>
      <c r="FQ110" s="242"/>
      <c r="FR110" s="242"/>
      <c r="FS110" s="242"/>
      <c r="FT110" s="242"/>
      <c r="FU110" s="242"/>
      <c r="FV110" s="242"/>
      <c r="FW110" s="242"/>
      <c r="FX110" s="242"/>
      <c r="FY110" s="242"/>
      <c r="FZ110" s="242"/>
      <c r="GA110" s="242"/>
      <c r="GB110" s="242"/>
      <c r="GC110" s="242"/>
      <c r="GD110" s="242"/>
      <c r="GE110" s="242"/>
      <c r="GF110" s="242"/>
      <c r="GG110" s="242"/>
      <c r="GH110" s="242"/>
      <c r="GI110" s="242"/>
      <c r="GJ110" s="242"/>
      <c r="GK110" s="242"/>
      <c r="GL110" s="242"/>
      <c r="GM110" s="242"/>
      <c r="GN110" s="242"/>
      <c r="GO110" s="242"/>
      <c r="GP110" s="242"/>
      <c r="GQ110" s="242"/>
      <c r="GR110" s="242"/>
      <c r="GS110" s="242"/>
      <c r="GT110" s="242"/>
      <c r="GU110" s="242"/>
      <c r="GV110" s="242"/>
      <c r="GW110" s="242"/>
      <c r="GX110" s="242"/>
      <c r="GY110" s="242"/>
      <c r="GZ110" s="242"/>
      <c r="HA110" s="242"/>
      <c r="HB110" s="242"/>
      <c r="HC110" s="242"/>
      <c r="HD110" s="242"/>
      <c r="HE110" s="242"/>
      <c r="HF110" s="242"/>
      <c r="HG110" s="242"/>
      <c r="HH110" s="242"/>
      <c r="HI110" s="242"/>
      <c r="HJ110" s="242"/>
      <c r="HK110" s="242"/>
      <c r="HL110" s="242"/>
      <c r="HM110" s="242"/>
      <c r="HN110" s="242"/>
      <c r="HO110" s="243"/>
    </row>
    <row r="111" spans="1:223" ht="12.75" hidden="1" customHeight="1">
      <c r="A111" s="83">
        <f t="shared" si="14"/>
        <v>106</v>
      </c>
      <c r="B111" s="84"/>
      <c r="C111" s="84"/>
      <c r="D111" s="84"/>
      <c r="E111" s="84"/>
      <c r="F111" s="84" t="str">
        <f t="shared" si="12"/>
        <v>///</v>
      </c>
      <c r="G111" s="249">
        <f t="shared" si="15"/>
        <v>0</v>
      </c>
      <c r="H111" s="240">
        <f t="shared" si="13"/>
        <v>0</v>
      </c>
      <c r="I111" s="243"/>
      <c r="J111" s="243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42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  <c r="AM111" s="242"/>
      <c r="AN111" s="242"/>
      <c r="AO111" s="242"/>
      <c r="AP111" s="242"/>
      <c r="AQ111" s="242"/>
      <c r="AR111" s="242"/>
      <c r="AS111" s="242"/>
      <c r="AT111" s="242"/>
      <c r="AU111" s="242"/>
      <c r="AV111" s="242"/>
      <c r="AW111" s="242"/>
      <c r="AX111" s="242"/>
      <c r="AY111" s="242"/>
      <c r="AZ111" s="242"/>
      <c r="BA111" s="242"/>
      <c r="BB111" s="242"/>
      <c r="BC111" s="242"/>
      <c r="BD111" s="242"/>
      <c r="BE111" s="242"/>
      <c r="BF111" s="242"/>
      <c r="BG111" s="242"/>
      <c r="BH111" s="242"/>
      <c r="BI111" s="242"/>
      <c r="BJ111" s="242"/>
      <c r="BK111" s="242"/>
      <c r="BL111" s="242"/>
      <c r="BM111" s="242"/>
      <c r="BN111" s="242"/>
      <c r="BO111" s="242"/>
      <c r="BP111" s="242"/>
      <c r="BQ111" s="242"/>
      <c r="BR111" s="242"/>
      <c r="BS111" s="242"/>
      <c r="BT111" s="242"/>
      <c r="BU111" s="242"/>
      <c r="BV111" s="242"/>
      <c r="BW111" s="242"/>
      <c r="BX111" s="242"/>
      <c r="BY111" s="242"/>
      <c r="BZ111" s="242"/>
      <c r="CA111" s="242"/>
      <c r="CB111" s="242"/>
      <c r="CC111" s="242"/>
      <c r="CD111" s="242"/>
      <c r="CE111" s="242"/>
      <c r="CF111" s="242"/>
      <c r="CG111" s="242"/>
      <c r="CH111" s="242"/>
      <c r="CI111" s="242"/>
      <c r="CJ111" s="242"/>
      <c r="CK111" s="242"/>
      <c r="CL111" s="242"/>
      <c r="CM111" s="242"/>
      <c r="CN111" s="242"/>
      <c r="CO111" s="242"/>
      <c r="CP111" s="242"/>
      <c r="CQ111" s="242"/>
      <c r="CR111" s="242"/>
      <c r="CS111" s="242"/>
      <c r="CT111" s="242"/>
      <c r="CU111" s="242"/>
      <c r="CV111" s="242"/>
      <c r="CW111" s="242"/>
      <c r="CX111" s="242"/>
      <c r="CY111" s="242"/>
      <c r="CZ111" s="242"/>
      <c r="DA111" s="242"/>
      <c r="DB111" s="242"/>
      <c r="DC111" s="242"/>
      <c r="DD111" s="242"/>
      <c r="DE111" s="242"/>
      <c r="DF111" s="242"/>
      <c r="DG111" s="242"/>
      <c r="DH111" s="242"/>
      <c r="DI111" s="242"/>
      <c r="DJ111" s="242"/>
      <c r="DK111" s="242"/>
      <c r="DL111" s="242"/>
      <c r="DM111" s="242"/>
      <c r="DN111" s="242"/>
      <c r="DO111" s="242"/>
      <c r="DP111" s="242"/>
      <c r="DQ111" s="242"/>
      <c r="DR111" s="242"/>
      <c r="DS111" s="242"/>
      <c r="DT111" s="242"/>
      <c r="DU111" s="242"/>
      <c r="DV111" s="242"/>
      <c r="DW111" s="242"/>
      <c r="DX111" s="242"/>
      <c r="DY111" s="242"/>
      <c r="DZ111" s="242"/>
      <c r="EA111" s="242"/>
      <c r="EB111" s="242"/>
      <c r="EC111" s="242"/>
      <c r="ED111" s="242"/>
      <c r="EE111" s="242"/>
      <c r="EF111" s="242"/>
      <c r="EG111" s="242"/>
      <c r="EH111" s="242"/>
      <c r="EI111" s="242"/>
      <c r="EJ111" s="242"/>
      <c r="EK111" s="242"/>
      <c r="EL111" s="242"/>
      <c r="EM111" s="242"/>
      <c r="EN111" s="242"/>
      <c r="EO111" s="242"/>
      <c r="EP111" s="242"/>
      <c r="EQ111" s="242"/>
      <c r="ER111" s="242"/>
      <c r="ES111" s="242"/>
      <c r="ET111" s="242"/>
      <c r="EU111" s="242"/>
      <c r="EV111" s="242"/>
      <c r="EW111" s="242"/>
      <c r="EX111" s="242"/>
      <c r="EY111" s="242"/>
      <c r="EZ111" s="242"/>
      <c r="FA111" s="242"/>
      <c r="FB111" s="242"/>
      <c r="FC111" s="242"/>
      <c r="FD111" s="242"/>
      <c r="FE111" s="242"/>
      <c r="FF111" s="242"/>
      <c r="FG111" s="242"/>
      <c r="FH111" s="242"/>
      <c r="FI111" s="242"/>
      <c r="FJ111" s="242"/>
      <c r="FK111" s="242"/>
      <c r="FL111" s="242"/>
      <c r="FM111" s="242"/>
      <c r="FN111" s="242"/>
      <c r="FO111" s="242"/>
      <c r="FP111" s="242"/>
      <c r="FQ111" s="242"/>
      <c r="FR111" s="242"/>
      <c r="FS111" s="242"/>
      <c r="FT111" s="242"/>
      <c r="FU111" s="242"/>
      <c r="FV111" s="242"/>
      <c r="FW111" s="242"/>
      <c r="FX111" s="242"/>
      <c r="FY111" s="242"/>
      <c r="FZ111" s="242"/>
      <c r="GA111" s="242"/>
      <c r="GB111" s="242"/>
      <c r="GC111" s="242"/>
      <c r="GD111" s="242"/>
      <c r="GE111" s="242"/>
      <c r="GF111" s="242"/>
      <c r="GG111" s="242"/>
      <c r="GH111" s="242"/>
      <c r="GI111" s="242"/>
      <c r="GJ111" s="242"/>
      <c r="GK111" s="242"/>
      <c r="GL111" s="242"/>
      <c r="GM111" s="242"/>
      <c r="GN111" s="242"/>
      <c r="GO111" s="242"/>
      <c r="GP111" s="242"/>
      <c r="GQ111" s="242"/>
      <c r="GR111" s="242"/>
      <c r="GS111" s="242"/>
      <c r="GT111" s="242"/>
      <c r="GU111" s="242"/>
      <c r="GV111" s="242"/>
      <c r="GW111" s="242"/>
      <c r="GX111" s="242"/>
      <c r="GY111" s="242"/>
      <c r="GZ111" s="242"/>
      <c r="HA111" s="242"/>
      <c r="HB111" s="242"/>
      <c r="HC111" s="242"/>
      <c r="HD111" s="242"/>
      <c r="HE111" s="242"/>
      <c r="HF111" s="242"/>
      <c r="HG111" s="242"/>
      <c r="HH111" s="242"/>
      <c r="HI111" s="242"/>
      <c r="HJ111" s="242"/>
      <c r="HK111" s="242"/>
      <c r="HL111" s="242"/>
      <c r="HM111" s="242"/>
      <c r="HN111" s="242"/>
      <c r="HO111" s="243"/>
    </row>
    <row r="112" spans="1:223" ht="12.75" hidden="1" customHeight="1">
      <c r="A112" s="83">
        <f t="shared" si="14"/>
        <v>107</v>
      </c>
      <c r="B112" s="84"/>
      <c r="C112" s="84"/>
      <c r="D112" s="84"/>
      <c r="E112" s="84"/>
      <c r="F112" s="84" t="str">
        <f t="shared" si="12"/>
        <v>///</v>
      </c>
      <c r="G112" s="249">
        <f t="shared" si="15"/>
        <v>0</v>
      </c>
      <c r="H112" s="240">
        <f t="shared" si="13"/>
        <v>0</v>
      </c>
      <c r="I112" s="243"/>
      <c r="J112" s="243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242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  <c r="AM112" s="242"/>
      <c r="AN112" s="242"/>
      <c r="AO112" s="242"/>
      <c r="AP112" s="242"/>
      <c r="AQ112" s="242"/>
      <c r="AR112" s="242"/>
      <c r="AS112" s="242"/>
      <c r="AT112" s="242"/>
      <c r="AU112" s="242"/>
      <c r="AV112" s="242"/>
      <c r="AW112" s="242"/>
      <c r="AX112" s="242"/>
      <c r="AY112" s="242"/>
      <c r="AZ112" s="242"/>
      <c r="BA112" s="242"/>
      <c r="BB112" s="242"/>
      <c r="BC112" s="242"/>
      <c r="BD112" s="242"/>
      <c r="BE112" s="242"/>
      <c r="BF112" s="242"/>
      <c r="BG112" s="242"/>
      <c r="BH112" s="242"/>
      <c r="BI112" s="242"/>
      <c r="BJ112" s="242"/>
      <c r="BK112" s="242"/>
      <c r="BL112" s="242"/>
      <c r="BM112" s="242"/>
      <c r="BN112" s="242"/>
      <c r="BO112" s="242"/>
      <c r="BP112" s="242"/>
      <c r="BQ112" s="242"/>
      <c r="BR112" s="242"/>
      <c r="BS112" s="242"/>
      <c r="BT112" s="242"/>
      <c r="BU112" s="242"/>
      <c r="BV112" s="242"/>
      <c r="BW112" s="242"/>
      <c r="BX112" s="242"/>
      <c r="BY112" s="242"/>
      <c r="BZ112" s="242"/>
      <c r="CA112" s="242"/>
      <c r="CB112" s="242"/>
      <c r="CC112" s="242"/>
      <c r="CD112" s="242"/>
      <c r="CE112" s="242"/>
      <c r="CF112" s="242"/>
      <c r="CG112" s="242"/>
      <c r="CH112" s="242"/>
      <c r="CI112" s="242"/>
      <c r="CJ112" s="242"/>
      <c r="CK112" s="242"/>
      <c r="CL112" s="242"/>
      <c r="CM112" s="242"/>
      <c r="CN112" s="242"/>
      <c r="CO112" s="242"/>
      <c r="CP112" s="242"/>
      <c r="CQ112" s="242"/>
      <c r="CR112" s="242"/>
      <c r="CS112" s="242"/>
      <c r="CT112" s="242"/>
      <c r="CU112" s="242"/>
      <c r="CV112" s="242"/>
      <c r="CW112" s="242"/>
      <c r="CX112" s="242"/>
      <c r="CY112" s="242"/>
      <c r="CZ112" s="242"/>
      <c r="DA112" s="242"/>
      <c r="DB112" s="242"/>
      <c r="DC112" s="242"/>
      <c r="DD112" s="242"/>
      <c r="DE112" s="242"/>
      <c r="DF112" s="242"/>
      <c r="DG112" s="242"/>
      <c r="DH112" s="242"/>
      <c r="DI112" s="242"/>
      <c r="DJ112" s="242"/>
      <c r="DK112" s="242"/>
      <c r="DL112" s="242"/>
      <c r="DM112" s="242"/>
      <c r="DN112" s="242"/>
      <c r="DO112" s="242"/>
      <c r="DP112" s="242"/>
      <c r="DQ112" s="242"/>
      <c r="DR112" s="242"/>
      <c r="DS112" s="242"/>
      <c r="DT112" s="242"/>
      <c r="DU112" s="242"/>
      <c r="DV112" s="242"/>
      <c r="DW112" s="242"/>
      <c r="DX112" s="242"/>
      <c r="DY112" s="242"/>
      <c r="DZ112" s="242"/>
      <c r="EA112" s="242"/>
      <c r="EB112" s="242"/>
      <c r="EC112" s="242"/>
      <c r="ED112" s="242"/>
      <c r="EE112" s="242"/>
      <c r="EF112" s="242"/>
      <c r="EG112" s="242"/>
      <c r="EH112" s="242"/>
      <c r="EI112" s="242"/>
      <c r="EJ112" s="242"/>
      <c r="EK112" s="242"/>
      <c r="EL112" s="242"/>
      <c r="EM112" s="242"/>
      <c r="EN112" s="242"/>
      <c r="EO112" s="242"/>
      <c r="EP112" s="242"/>
      <c r="EQ112" s="242"/>
      <c r="ER112" s="242"/>
      <c r="ES112" s="242"/>
      <c r="ET112" s="242"/>
      <c r="EU112" s="242"/>
      <c r="EV112" s="242"/>
      <c r="EW112" s="242"/>
      <c r="EX112" s="242"/>
      <c r="EY112" s="242"/>
      <c r="EZ112" s="242"/>
      <c r="FA112" s="242"/>
      <c r="FB112" s="242"/>
      <c r="FC112" s="242"/>
      <c r="FD112" s="242"/>
      <c r="FE112" s="242"/>
      <c r="FF112" s="242"/>
      <c r="FG112" s="242"/>
      <c r="FH112" s="242"/>
      <c r="FI112" s="242"/>
      <c r="FJ112" s="242"/>
      <c r="FK112" s="242"/>
      <c r="FL112" s="242"/>
      <c r="FM112" s="242"/>
      <c r="FN112" s="242"/>
      <c r="FO112" s="242"/>
      <c r="FP112" s="242"/>
      <c r="FQ112" s="242"/>
      <c r="FR112" s="242"/>
      <c r="FS112" s="242"/>
      <c r="FT112" s="242"/>
      <c r="FU112" s="242"/>
      <c r="FV112" s="242"/>
      <c r="FW112" s="242"/>
      <c r="FX112" s="242"/>
      <c r="FY112" s="242"/>
      <c r="FZ112" s="242"/>
      <c r="GA112" s="242"/>
      <c r="GB112" s="242"/>
      <c r="GC112" s="242"/>
      <c r="GD112" s="242"/>
      <c r="GE112" s="242"/>
      <c r="GF112" s="242"/>
      <c r="GG112" s="242"/>
      <c r="GH112" s="242"/>
      <c r="GI112" s="242"/>
      <c r="GJ112" s="242"/>
      <c r="GK112" s="242"/>
      <c r="GL112" s="242"/>
      <c r="GM112" s="242"/>
      <c r="GN112" s="242"/>
      <c r="GO112" s="242"/>
      <c r="GP112" s="242"/>
      <c r="GQ112" s="242"/>
      <c r="GR112" s="242"/>
      <c r="GS112" s="242"/>
      <c r="GT112" s="242"/>
      <c r="GU112" s="242"/>
      <c r="GV112" s="242"/>
      <c r="GW112" s="242"/>
      <c r="GX112" s="242"/>
      <c r="GY112" s="242"/>
      <c r="GZ112" s="242"/>
      <c r="HA112" s="242"/>
      <c r="HB112" s="242"/>
      <c r="HC112" s="242"/>
      <c r="HD112" s="242"/>
      <c r="HE112" s="242"/>
      <c r="HF112" s="242"/>
      <c r="HG112" s="242"/>
      <c r="HH112" s="242"/>
      <c r="HI112" s="242"/>
      <c r="HJ112" s="242"/>
      <c r="HK112" s="242"/>
      <c r="HL112" s="242"/>
      <c r="HM112" s="242"/>
      <c r="HN112" s="242"/>
      <c r="HO112" s="243"/>
    </row>
    <row r="113" spans="1:223" ht="12.75" hidden="1" customHeight="1">
      <c r="A113" s="83">
        <f t="shared" si="14"/>
        <v>108</v>
      </c>
      <c r="B113" s="84"/>
      <c r="C113" s="84"/>
      <c r="D113" s="84"/>
      <c r="E113" s="84"/>
      <c r="F113" s="84" t="str">
        <f t="shared" si="12"/>
        <v>///</v>
      </c>
      <c r="G113" s="249">
        <f t="shared" si="15"/>
        <v>0</v>
      </c>
      <c r="H113" s="240">
        <f t="shared" si="13"/>
        <v>0</v>
      </c>
      <c r="I113" s="243"/>
      <c r="J113" s="243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42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  <c r="AM113" s="242"/>
      <c r="AN113" s="242"/>
      <c r="AO113" s="242"/>
      <c r="AP113" s="242"/>
      <c r="AQ113" s="242"/>
      <c r="AR113" s="242"/>
      <c r="AS113" s="242"/>
      <c r="AT113" s="242"/>
      <c r="AU113" s="242"/>
      <c r="AV113" s="242"/>
      <c r="AW113" s="242"/>
      <c r="AX113" s="242"/>
      <c r="AY113" s="242"/>
      <c r="AZ113" s="242"/>
      <c r="BA113" s="242"/>
      <c r="BB113" s="242"/>
      <c r="BC113" s="242"/>
      <c r="BD113" s="242"/>
      <c r="BE113" s="242"/>
      <c r="BF113" s="242"/>
      <c r="BG113" s="242"/>
      <c r="BH113" s="242"/>
      <c r="BI113" s="242"/>
      <c r="BJ113" s="242"/>
      <c r="BK113" s="242"/>
      <c r="BL113" s="242"/>
      <c r="BM113" s="242"/>
      <c r="BN113" s="242"/>
      <c r="BO113" s="242"/>
      <c r="BP113" s="242"/>
      <c r="BQ113" s="242"/>
      <c r="BR113" s="242"/>
      <c r="BS113" s="242"/>
      <c r="BT113" s="242"/>
      <c r="BU113" s="242"/>
      <c r="BV113" s="242"/>
      <c r="BW113" s="242"/>
      <c r="BX113" s="242"/>
      <c r="BY113" s="242"/>
      <c r="BZ113" s="242"/>
      <c r="CA113" s="242"/>
      <c r="CB113" s="242"/>
      <c r="CC113" s="242"/>
      <c r="CD113" s="242"/>
      <c r="CE113" s="242"/>
      <c r="CF113" s="242"/>
      <c r="CG113" s="242"/>
      <c r="CH113" s="242"/>
      <c r="CI113" s="242"/>
      <c r="CJ113" s="242"/>
      <c r="CK113" s="242"/>
      <c r="CL113" s="242"/>
      <c r="CM113" s="242"/>
      <c r="CN113" s="242"/>
      <c r="CO113" s="242"/>
      <c r="CP113" s="242"/>
      <c r="CQ113" s="242"/>
      <c r="CR113" s="242"/>
      <c r="CS113" s="242"/>
      <c r="CT113" s="242"/>
      <c r="CU113" s="242"/>
      <c r="CV113" s="242"/>
      <c r="CW113" s="242"/>
      <c r="CX113" s="242"/>
      <c r="CY113" s="242"/>
      <c r="CZ113" s="242"/>
      <c r="DA113" s="242"/>
      <c r="DB113" s="242"/>
      <c r="DC113" s="242"/>
      <c r="DD113" s="242"/>
      <c r="DE113" s="242"/>
      <c r="DF113" s="242"/>
      <c r="DG113" s="242"/>
      <c r="DH113" s="242"/>
      <c r="DI113" s="242"/>
      <c r="DJ113" s="242"/>
      <c r="DK113" s="242"/>
      <c r="DL113" s="242"/>
      <c r="DM113" s="242"/>
      <c r="DN113" s="242"/>
      <c r="DO113" s="242"/>
      <c r="DP113" s="242"/>
      <c r="DQ113" s="242"/>
      <c r="DR113" s="242"/>
      <c r="DS113" s="242"/>
      <c r="DT113" s="242"/>
      <c r="DU113" s="242"/>
      <c r="DV113" s="242"/>
      <c r="DW113" s="242"/>
      <c r="DX113" s="242"/>
      <c r="DY113" s="242"/>
      <c r="DZ113" s="242"/>
      <c r="EA113" s="242"/>
      <c r="EB113" s="242"/>
      <c r="EC113" s="242"/>
      <c r="ED113" s="242"/>
      <c r="EE113" s="242"/>
      <c r="EF113" s="242"/>
      <c r="EG113" s="242"/>
      <c r="EH113" s="242"/>
      <c r="EI113" s="242"/>
      <c r="EJ113" s="242"/>
      <c r="EK113" s="242"/>
      <c r="EL113" s="242"/>
      <c r="EM113" s="242"/>
      <c r="EN113" s="242"/>
      <c r="EO113" s="242"/>
      <c r="EP113" s="242"/>
      <c r="EQ113" s="242"/>
      <c r="ER113" s="242"/>
      <c r="ES113" s="242"/>
      <c r="ET113" s="242"/>
      <c r="EU113" s="242"/>
      <c r="EV113" s="242"/>
      <c r="EW113" s="242"/>
      <c r="EX113" s="242"/>
      <c r="EY113" s="242"/>
      <c r="EZ113" s="242"/>
      <c r="FA113" s="242"/>
      <c r="FB113" s="242"/>
      <c r="FC113" s="242"/>
      <c r="FD113" s="242"/>
      <c r="FE113" s="242"/>
      <c r="FF113" s="242"/>
      <c r="FG113" s="242"/>
      <c r="FH113" s="242"/>
      <c r="FI113" s="242"/>
      <c r="FJ113" s="242"/>
      <c r="FK113" s="242"/>
      <c r="FL113" s="242"/>
      <c r="FM113" s="242"/>
      <c r="FN113" s="242"/>
      <c r="FO113" s="242"/>
      <c r="FP113" s="242"/>
      <c r="FQ113" s="242"/>
      <c r="FR113" s="242"/>
      <c r="FS113" s="242"/>
      <c r="FT113" s="242"/>
      <c r="FU113" s="242"/>
      <c r="FV113" s="242"/>
      <c r="FW113" s="242"/>
      <c r="FX113" s="242"/>
      <c r="FY113" s="242"/>
      <c r="FZ113" s="242"/>
      <c r="GA113" s="242"/>
      <c r="GB113" s="242"/>
      <c r="GC113" s="242"/>
      <c r="GD113" s="242"/>
      <c r="GE113" s="242"/>
      <c r="GF113" s="242"/>
      <c r="GG113" s="242"/>
      <c r="GH113" s="242"/>
      <c r="GI113" s="242"/>
      <c r="GJ113" s="242"/>
      <c r="GK113" s="242"/>
      <c r="GL113" s="242"/>
      <c r="GM113" s="242"/>
      <c r="GN113" s="242"/>
      <c r="GO113" s="242"/>
      <c r="GP113" s="242"/>
      <c r="GQ113" s="242"/>
      <c r="GR113" s="242"/>
      <c r="GS113" s="242"/>
      <c r="GT113" s="242"/>
      <c r="GU113" s="242"/>
      <c r="GV113" s="242"/>
      <c r="GW113" s="242"/>
      <c r="GX113" s="242"/>
      <c r="GY113" s="242"/>
      <c r="GZ113" s="242"/>
      <c r="HA113" s="242"/>
      <c r="HB113" s="242"/>
      <c r="HC113" s="242"/>
      <c r="HD113" s="242"/>
      <c r="HE113" s="242"/>
      <c r="HF113" s="242"/>
      <c r="HG113" s="242"/>
      <c r="HH113" s="242"/>
      <c r="HI113" s="242"/>
      <c r="HJ113" s="242"/>
      <c r="HK113" s="242"/>
      <c r="HL113" s="242"/>
      <c r="HM113" s="242"/>
      <c r="HN113" s="242"/>
      <c r="HO113" s="243"/>
    </row>
    <row r="114" spans="1:223" ht="12.75" hidden="1" customHeight="1">
      <c r="A114" s="83">
        <f t="shared" si="14"/>
        <v>109</v>
      </c>
      <c r="B114" s="84"/>
      <c r="C114" s="84"/>
      <c r="D114" s="84"/>
      <c r="E114" s="84"/>
      <c r="F114" s="84" t="str">
        <f t="shared" si="12"/>
        <v>///</v>
      </c>
      <c r="G114" s="249">
        <f t="shared" si="15"/>
        <v>0</v>
      </c>
      <c r="H114" s="240">
        <f t="shared" si="13"/>
        <v>0</v>
      </c>
      <c r="I114" s="243"/>
      <c r="J114" s="243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42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  <c r="AM114" s="242"/>
      <c r="AN114" s="242"/>
      <c r="AO114" s="242"/>
      <c r="AP114" s="242"/>
      <c r="AQ114" s="242"/>
      <c r="AR114" s="242"/>
      <c r="AS114" s="242"/>
      <c r="AT114" s="242"/>
      <c r="AU114" s="242"/>
      <c r="AV114" s="242"/>
      <c r="AW114" s="242"/>
      <c r="AX114" s="242"/>
      <c r="AY114" s="242"/>
      <c r="AZ114" s="242"/>
      <c r="BA114" s="242"/>
      <c r="BB114" s="242"/>
      <c r="BC114" s="242"/>
      <c r="BD114" s="242"/>
      <c r="BE114" s="242"/>
      <c r="BF114" s="242"/>
      <c r="BG114" s="242"/>
      <c r="BH114" s="242"/>
      <c r="BI114" s="242"/>
      <c r="BJ114" s="242"/>
      <c r="BK114" s="242"/>
      <c r="BL114" s="242"/>
      <c r="BM114" s="242"/>
      <c r="BN114" s="242"/>
      <c r="BO114" s="242"/>
      <c r="BP114" s="242"/>
      <c r="BQ114" s="242"/>
      <c r="BR114" s="242"/>
      <c r="BS114" s="242"/>
      <c r="BT114" s="242"/>
      <c r="BU114" s="242"/>
      <c r="BV114" s="242"/>
      <c r="BW114" s="242"/>
      <c r="BX114" s="242"/>
      <c r="BY114" s="242"/>
      <c r="BZ114" s="242"/>
      <c r="CA114" s="242"/>
      <c r="CB114" s="242"/>
      <c r="CC114" s="242"/>
      <c r="CD114" s="242"/>
      <c r="CE114" s="242"/>
      <c r="CF114" s="242"/>
      <c r="CG114" s="242"/>
      <c r="CH114" s="242"/>
      <c r="CI114" s="242"/>
      <c r="CJ114" s="242"/>
      <c r="CK114" s="242"/>
      <c r="CL114" s="242"/>
      <c r="CM114" s="242"/>
      <c r="CN114" s="242"/>
      <c r="CO114" s="242"/>
      <c r="CP114" s="242"/>
      <c r="CQ114" s="242"/>
      <c r="CR114" s="242"/>
      <c r="CS114" s="242"/>
      <c r="CT114" s="242"/>
      <c r="CU114" s="242"/>
      <c r="CV114" s="242"/>
      <c r="CW114" s="242"/>
      <c r="CX114" s="242"/>
      <c r="CY114" s="242"/>
      <c r="CZ114" s="242"/>
      <c r="DA114" s="242"/>
      <c r="DB114" s="242"/>
      <c r="DC114" s="242"/>
      <c r="DD114" s="242"/>
      <c r="DE114" s="242"/>
      <c r="DF114" s="242"/>
      <c r="DG114" s="242"/>
      <c r="DH114" s="242"/>
      <c r="DI114" s="242"/>
      <c r="DJ114" s="242"/>
      <c r="DK114" s="242"/>
      <c r="DL114" s="242"/>
      <c r="DM114" s="242"/>
      <c r="DN114" s="242"/>
      <c r="DO114" s="242"/>
      <c r="DP114" s="242"/>
      <c r="DQ114" s="242"/>
      <c r="DR114" s="242"/>
      <c r="DS114" s="242"/>
      <c r="DT114" s="242"/>
      <c r="DU114" s="242"/>
      <c r="DV114" s="242"/>
      <c r="DW114" s="242"/>
      <c r="DX114" s="242"/>
      <c r="DY114" s="242"/>
      <c r="DZ114" s="242"/>
      <c r="EA114" s="242"/>
      <c r="EB114" s="242"/>
      <c r="EC114" s="242"/>
      <c r="ED114" s="242"/>
      <c r="EE114" s="242"/>
      <c r="EF114" s="242"/>
      <c r="EG114" s="242"/>
      <c r="EH114" s="242"/>
      <c r="EI114" s="242"/>
      <c r="EJ114" s="242"/>
      <c r="EK114" s="242"/>
      <c r="EL114" s="242"/>
      <c r="EM114" s="242"/>
      <c r="EN114" s="242"/>
      <c r="EO114" s="242"/>
      <c r="EP114" s="242"/>
      <c r="EQ114" s="242"/>
      <c r="ER114" s="242"/>
      <c r="ES114" s="242"/>
      <c r="ET114" s="242"/>
      <c r="EU114" s="242"/>
      <c r="EV114" s="242"/>
      <c r="EW114" s="242"/>
      <c r="EX114" s="242"/>
      <c r="EY114" s="242"/>
      <c r="EZ114" s="242"/>
      <c r="FA114" s="242"/>
      <c r="FB114" s="242"/>
      <c r="FC114" s="242"/>
      <c r="FD114" s="242"/>
      <c r="FE114" s="242"/>
      <c r="FF114" s="242"/>
      <c r="FG114" s="242"/>
      <c r="FH114" s="242"/>
      <c r="FI114" s="242"/>
      <c r="FJ114" s="242"/>
      <c r="FK114" s="242"/>
      <c r="FL114" s="242"/>
      <c r="FM114" s="242"/>
      <c r="FN114" s="242"/>
      <c r="FO114" s="242"/>
      <c r="FP114" s="242"/>
      <c r="FQ114" s="242"/>
      <c r="FR114" s="242"/>
      <c r="FS114" s="242"/>
      <c r="FT114" s="242"/>
      <c r="FU114" s="242"/>
      <c r="FV114" s="242"/>
      <c r="FW114" s="242"/>
      <c r="FX114" s="242"/>
      <c r="FY114" s="242"/>
      <c r="FZ114" s="242"/>
      <c r="GA114" s="242"/>
      <c r="GB114" s="242"/>
      <c r="GC114" s="242"/>
      <c r="GD114" s="242"/>
      <c r="GE114" s="242"/>
      <c r="GF114" s="242"/>
      <c r="GG114" s="242"/>
      <c r="GH114" s="242"/>
      <c r="GI114" s="242"/>
      <c r="GJ114" s="242"/>
      <c r="GK114" s="242"/>
      <c r="GL114" s="242"/>
      <c r="GM114" s="242"/>
      <c r="GN114" s="242"/>
      <c r="GO114" s="242"/>
      <c r="GP114" s="242"/>
      <c r="GQ114" s="242"/>
      <c r="GR114" s="242"/>
      <c r="GS114" s="242"/>
      <c r="GT114" s="242"/>
      <c r="GU114" s="242"/>
      <c r="GV114" s="242"/>
      <c r="GW114" s="242"/>
      <c r="GX114" s="242"/>
      <c r="GY114" s="242"/>
      <c r="GZ114" s="242"/>
      <c r="HA114" s="242"/>
      <c r="HB114" s="242"/>
      <c r="HC114" s="242"/>
      <c r="HD114" s="242"/>
      <c r="HE114" s="242"/>
      <c r="HF114" s="242"/>
      <c r="HG114" s="242"/>
      <c r="HH114" s="242"/>
      <c r="HI114" s="242"/>
      <c r="HJ114" s="242"/>
      <c r="HK114" s="242"/>
      <c r="HL114" s="242"/>
      <c r="HM114" s="242"/>
      <c r="HN114" s="242"/>
      <c r="HO114" s="243"/>
    </row>
    <row r="115" spans="1:223" ht="12.75" hidden="1" customHeight="1">
      <c r="A115" s="83">
        <f t="shared" si="14"/>
        <v>110</v>
      </c>
      <c r="B115" s="84"/>
      <c r="C115" s="84"/>
      <c r="D115" s="84"/>
      <c r="E115" s="84"/>
      <c r="F115" s="84" t="str">
        <f t="shared" si="12"/>
        <v>///</v>
      </c>
      <c r="G115" s="249">
        <f t="shared" si="15"/>
        <v>0</v>
      </c>
      <c r="H115" s="240">
        <f t="shared" si="13"/>
        <v>0</v>
      </c>
      <c r="I115" s="243"/>
      <c r="J115" s="243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42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  <c r="AM115" s="242"/>
      <c r="AN115" s="242"/>
      <c r="AO115" s="242"/>
      <c r="AP115" s="242"/>
      <c r="AQ115" s="242"/>
      <c r="AR115" s="242"/>
      <c r="AS115" s="242"/>
      <c r="AT115" s="242"/>
      <c r="AU115" s="242"/>
      <c r="AV115" s="242"/>
      <c r="AW115" s="242"/>
      <c r="AX115" s="242"/>
      <c r="AY115" s="242"/>
      <c r="AZ115" s="242"/>
      <c r="BA115" s="242"/>
      <c r="BB115" s="242"/>
      <c r="BC115" s="242"/>
      <c r="BD115" s="242"/>
      <c r="BE115" s="242"/>
      <c r="BF115" s="242"/>
      <c r="BG115" s="242"/>
      <c r="BH115" s="242"/>
      <c r="BI115" s="242"/>
      <c r="BJ115" s="242"/>
      <c r="BK115" s="242"/>
      <c r="BL115" s="242"/>
      <c r="BM115" s="242"/>
      <c r="BN115" s="242"/>
      <c r="BO115" s="242"/>
      <c r="BP115" s="242"/>
      <c r="BQ115" s="242"/>
      <c r="BR115" s="242"/>
      <c r="BS115" s="242"/>
      <c r="BT115" s="242"/>
      <c r="BU115" s="242"/>
      <c r="BV115" s="242"/>
      <c r="BW115" s="242"/>
      <c r="BX115" s="242"/>
      <c r="BY115" s="242"/>
      <c r="BZ115" s="242"/>
      <c r="CA115" s="242"/>
      <c r="CB115" s="242"/>
      <c r="CC115" s="242"/>
      <c r="CD115" s="242"/>
      <c r="CE115" s="242"/>
      <c r="CF115" s="242"/>
      <c r="CG115" s="242"/>
      <c r="CH115" s="242"/>
      <c r="CI115" s="242"/>
      <c r="CJ115" s="242"/>
      <c r="CK115" s="242"/>
      <c r="CL115" s="242"/>
      <c r="CM115" s="242"/>
      <c r="CN115" s="242"/>
      <c r="CO115" s="242"/>
      <c r="CP115" s="242"/>
      <c r="CQ115" s="242"/>
      <c r="CR115" s="242"/>
      <c r="CS115" s="242"/>
      <c r="CT115" s="242"/>
      <c r="CU115" s="242"/>
      <c r="CV115" s="242"/>
      <c r="CW115" s="242"/>
      <c r="CX115" s="242"/>
      <c r="CY115" s="242"/>
      <c r="CZ115" s="242"/>
      <c r="DA115" s="242"/>
      <c r="DB115" s="242"/>
      <c r="DC115" s="242"/>
      <c r="DD115" s="242"/>
      <c r="DE115" s="242"/>
      <c r="DF115" s="242"/>
      <c r="DG115" s="242"/>
      <c r="DH115" s="242"/>
      <c r="DI115" s="242"/>
      <c r="DJ115" s="242"/>
      <c r="DK115" s="242"/>
      <c r="DL115" s="242"/>
      <c r="DM115" s="242"/>
      <c r="DN115" s="242"/>
      <c r="DO115" s="242"/>
      <c r="DP115" s="242"/>
      <c r="DQ115" s="242"/>
      <c r="DR115" s="242"/>
      <c r="DS115" s="242"/>
      <c r="DT115" s="242"/>
      <c r="DU115" s="242"/>
      <c r="DV115" s="242"/>
      <c r="DW115" s="242"/>
      <c r="DX115" s="242"/>
      <c r="DY115" s="242"/>
      <c r="DZ115" s="242"/>
      <c r="EA115" s="242"/>
      <c r="EB115" s="242"/>
      <c r="EC115" s="242"/>
      <c r="ED115" s="242"/>
      <c r="EE115" s="242"/>
      <c r="EF115" s="242"/>
      <c r="EG115" s="242"/>
      <c r="EH115" s="242"/>
      <c r="EI115" s="242"/>
      <c r="EJ115" s="242"/>
      <c r="EK115" s="242"/>
      <c r="EL115" s="242"/>
      <c r="EM115" s="242"/>
      <c r="EN115" s="242"/>
      <c r="EO115" s="242"/>
      <c r="EP115" s="242"/>
      <c r="EQ115" s="242"/>
      <c r="ER115" s="242"/>
      <c r="ES115" s="242"/>
      <c r="ET115" s="242"/>
      <c r="EU115" s="242"/>
      <c r="EV115" s="242"/>
      <c r="EW115" s="242"/>
      <c r="EX115" s="242"/>
      <c r="EY115" s="242"/>
      <c r="EZ115" s="242"/>
      <c r="FA115" s="242"/>
      <c r="FB115" s="242"/>
      <c r="FC115" s="242"/>
      <c r="FD115" s="242"/>
      <c r="FE115" s="242"/>
      <c r="FF115" s="242"/>
      <c r="FG115" s="242"/>
      <c r="FH115" s="242"/>
      <c r="FI115" s="242"/>
      <c r="FJ115" s="242"/>
      <c r="FK115" s="242"/>
      <c r="FL115" s="242"/>
      <c r="FM115" s="242"/>
      <c r="FN115" s="242"/>
      <c r="FO115" s="242"/>
      <c r="FP115" s="242"/>
      <c r="FQ115" s="242"/>
      <c r="FR115" s="242"/>
      <c r="FS115" s="242"/>
      <c r="FT115" s="242"/>
      <c r="FU115" s="242"/>
      <c r="FV115" s="242"/>
      <c r="FW115" s="242"/>
      <c r="FX115" s="242"/>
      <c r="FY115" s="242"/>
      <c r="FZ115" s="242"/>
      <c r="GA115" s="242"/>
      <c r="GB115" s="242"/>
      <c r="GC115" s="242"/>
      <c r="GD115" s="242"/>
      <c r="GE115" s="242"/>
      <c r="GF115" s="242"/>
      <c r="GG115" s="242"/>
      <c r="GH115" s="242"/>
      <c r="GI115" s="242"/>
      <c r="GJ115" s="242"/>
      <c r="GK115" s="242"/>
      <c r="GL115" s="242"/>
      <c r="GM115" s="242"/>
      <c r="GN115" s="242"/>
      <c r="GO115" s="242"/>
      <c r="GP115" s="242"/>
      <c r="GQ115" s="242"/>
      <c r="GR115" s="242"/>
      <c r="GS115" s="242"/>
      <c r="GT115" s="242"/>
      <c r="GU115" s="242"/>
      <c r="GV115" s="242"/>
      <c r="GW115" s="242"/>
      <c r="GX115" s="242"/>
      <c r="GY115" s="242"/>
      <c r="GZ115" s="242"/>
      <c r="HA115" s="242"/>
      <c r="HB115" s="242"/>
      <c r="HC115" s="242"/>
      <c r="HD115" s="242"/>
      <c r="HE115" s="242"/>
      <c r="HF115" s="242"/>
      <c r="HG115" s="242"/>
      <c r="HH115" s="242"/>
      <c r="HI115" s="242"/>
      <c r="HJ115" s="242"/>
      <c r="HK115" s="242"/>
      <c r="HL115" s="242"/>
      <c r="HM115" s="242"/>
      <c r="HN115" s="242"/>
      <c r="HO115" s="243"/>
    </row>
    <row r="116" spans="1:223" ht="12.75" hidden="1" customHeight="1">
      <c r="A116" s="83">
        <f t="shared" si="14"/>
        <v>111</v>
      </c>
      <c r="B116" s="84"/>
      <c r="C116" s="84"/>
      <c r="D116" s="84"/>
      <c r="E116" s="84"/>
      <c r="F116" s="84" t="str">
        <f t="shared" si="12"/>
        <v>///</v>
      </c>
      <c r="G116" s="249">
        <f t="shared" si="15"/>
        <v>0</v>
      </c>
      <c r="H116" s="240">
        <f t="shared" si="13"/>
        <v>0</v>
      </c>
      <c r="I116" s="243"/>
      <c r="J116" s="243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42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  <c r="AM116" s="242"/>
      <c r="AN116" s="242"/>
      <c r="AO116" s="242"/>
      <c r="AP116" s="242"/>
      <c r="AQ116" s="242"/>
      <c r="AR116" s="242"/>
      <c r="AS116" s="242"/>
      <c r="AT116" s="242"/>
      <c r="AU116" s="242"/>
      <c r="AV116" s="242"/>
      <c r="AW116" s="242"/>
      <c r="AX116" s="242"/>
      <c r="AY116" s="242"/>
      <c r="AZ116" s="242"/>
      <c r="BA116" s="242"/>
      <c r="BB116" s="242"/>
      <c r="BC116" s="242"/>
      <c r="BD116" s="242"/>
      <c r="BE116" s="242"/>
      <c r="BF116" s="242"/>
      <c r="BG116" s="242"/>
      <c r="BH116" s="242"/>
      <c r="BI116" s="242"/>
      <c r="BJ116" s="242"/>
      <c r="BK116" s="242"/>
      <c r="BL116" s="242"/>
      <c r="BM116" s="242"/>
      <c r="BN116" s="242"/>
      <c r="BO116" s="242"/>
      <c r="BP116" s="242"/>
      <c r="BQ116" s="242"/>
      <c r="BR116" s="242"/>
      <c r="BS116" s="242"/>
      <c r="BT116" s="242"/>
      <c r="BU116" s="242"/>
      <c r="BV116" s="242"/>
      <c r="BW116" s="242"/>
      <c r="BX116" s="242"/>
      <c r="BY116" s="242"/>
      <c r="BZ116" s="242"/>
      <c r="CA116" s="242"/>
      <c r="CB116" s="242"/>
      <c r="CC116" s="242"/>
      <c r="CD116" s="242"/>
      <c r="CE116" s="242"/>
      <c r="CF116" s="242"/>
      <c r="CG116" s="242"/>
      <c r="CH116" s="242"/>
      <c r="CI116" s="242"/>
      <c r="CJ116" s="242"/>
      <c r="CK116" s="242"/>
      <c r="CL116" s="242"/>
      <c r="CM116" s="242"/>
      <c r="CN116" s="242"/>
      <c r="CO116" s="242"/>
      <c r="CP116" s="242"/>
      <c r="CQ116" s="242"/>
      <c r="CR116" s="242"/>
      <c r="CS116" s="242"/>
      <c r="CT116" s="242"/>
      <c r="CU116" s="242"/>
      <c r="CV116" s="242"/>
      <c r="CW116" s="242"/>
      <c r="CX116" s="242"/>
      <c r="CY116" s="242"/>
      <c r="CZ116" s="242"/>
      <c r="DA116" s="242"/>
      <c r="DB116" s="242"/>
      <c r="DC116" s="242"/>
      <c r="DD116" s="242"/>
      <c r="DE116" s="242"/>
      <c r="DF116" s="242"/>
      <c r="DG116" s="242"/>
      <c r="DH116" s="242"/>
      <c r="DI116" s="242"/>
      <c r="DJ116" s="242"/>
      <c r="DK116" s="242"/>
      <c r="DL116" s="242"/>
      <c r="DM116" s="242"/>
      <c r="DN116" s="242"/>
      <c r="DO116" s="242"/>
      <c r="DP116" s="242"/>
      <c r="DQ116" s="242"/>
      <c r="DR116" s="242"/>
      <c r="DS116" s="242"/>
      <c r="DT116" s="242"/>
      <c r="DU116" s="242"/>
      <c r="DV116" s="242"/>
      <c r="DW116" s="242"/>
      <c r="DX116" s="242"/>
      <c r="DY116" s="242"/>
      <c r="DZ116" s="242"/>
      <c r="EA116" s="242"/>
      <c r="EB116" s="242"/>
      <c r="EC116" s="242"/>
      <c r="ED116" s="242"/>
      <c r="EE116" s="242"/>
      <c r="EF116" s="242"/>
      <c r="EG116" s="242"/>
      <c r="EH116" s="242"/>
      <c r="EI116" s="242"/>
      <c r="EJ116" s="242"/>
      <c r="EK116" s="242"/>
      <c r="EL116" s="242"/>
      <c r="EM116" s="242"/>
      <c r="EN116" s="242"/>
      <c r="EO116" s="242"/>
      <c r="EP116" s="242"/>
      <c r="EQ116" s="242"/>
      <c r="ER116" s="242"/>
      <c r="ES116" s="242"/>
      <c r="ET116" s="242"/>
      <c r="EU116" s="242"/>
      <c r="EV116" s="242"/>
      <c r="EW116" s="242"/>
      <c r="EX116" s="242"/>
      <c r="EY116" s="242"/>
      <c r="EZ116" s="242"/>
      <c r="FA116" s="242"/>
      <c r="FB116" s="242"/>
      <c r="FC116" s="242"/>
      <c r="FD116" s="242"/>
      <c r="FE116" s="242"/>
      <c r="FF116" s="242"/>
      <c r="FG116" s="242"/>
      <c r="FH116" s="242"/>
      <c r="FI116" s="242"/>
      <c r="FJ116" s="242"/>
      <c r="FK116" s="242"/>
      <c r="FL116" s="242"/>
      <c r="FM116" s="242"/>
      <c r="FN116" s="242"/>
      <c r="FO116" s="242"/>
      <c r="FP116" s="242"/>
      <c r="FQ116" s="242"/>
      <c r="FR116" s="242"/>
      <c r="FS116" s="242"/>
      <c r="FT116" s="242"/>
      <c r="FU116" s="242"/>
      <c r="FV116" s="242"/>
      <c r="FW116" s="242"/>
      <c r="FX116" s="242"/>
      <c r="FY116" s="242"/>
      <c r="FZ116" s="242"/>
      <c r="GA116" s="242"/>
      <c r="GB116" s="242"/>
      <c r="GC116" s="242"/>
      <c r="GD116" s="242"/>
      <c r="GE116" s="242"/>
      <c r="GF116" s="242"/>
      <c r="GG116" s="242"/>
      <c r="GH116" s="242"/>
      <c r="GI116" s="242"/>
      <c r="GJ116" s="242"/>
      <c r="GK116" s="242"/>
      <c r="GL116" s="242"/>
      <c r="GM116" s="242"/>
      <c r="GN116" s="242"/>
      <c r="GO116" s="242"/>
      <c r="GP116" s="242"/>
      <c r="GQ116" s="242"/>
      <c r="GR116" s="242"/>
      <c r="GS116" s="242"/>
      <c r="GT116" s="242"/>
      <c r="GU116" s="242"/>
      <c r="GV116" s="242"/>
      <c r="GW116" s="242"/>
      <c r="GX116" s="242"/>
      <c r="GY116" s="242"/>
      <c r="GZ116" s="242"/>
      <c r="HA116" s="242"/>
      <c r="HB116" s="242"/>
      <c r="HC116" s="242"/>
      <c r="HD116" s="242"/>
      <c r="HE116" s="242"/>
      <c r="HF116" s="242"/>
      <c r="HG116" s="242"/>
      <c r="HH116" s="242"/>
      <c r="HI116" s="242"/>
      <c r="HJ116" s="242"/>
      <c r="HK116" s="242"/>
      <c r="HL116" s="242"/>
      <c r="HM116" s="242"/>
      <c r="HN116" s="242"/>
      <c r="HO116" s="243"/>
    </row>
    <row r="117" spans="1:223" ht="12.75" hidden="1" customHeight="1">
      <c r="A117" s="83">
        <f t="shared" si="14"/>
        <v>112</v>
      </c>
      <c r="B117" s="84"/>
      <c r="C117" s="84"/>
      <c r="D117" s="84"/>
      <c r="E117" s="84"/>
      <c r="F117" s="84" t="str">
        <f t="shared" si="12"/>
        <v>///</v>
      </c>
      <c r="G117" s="249">
        <f t="shared" si="15"/>
        <v>0</v>
      </c>
      <c r="H117" s="240">
        <f t="shared" si="13"/>
        <v>0</v>
      </c>
      <c r="I117" s="243"/>
      <c r="J117" s="243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242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  <c r="AM117" s="242"/>
      <c r="AN117" s="242"/>
      <c r="AO117" s="242"/>
      <c r="AP117" s="242"/>
      <c r="AQ117" s="242"/>
      <c r="AR117" s="242"/>
      <c r="AS117" s="242"/>
      <c r="AT117" s="242"/>
      <c r="AU117" s="242"/>
      <c r="AV117" s="242"/>
      <c r="AW117" s="242"/>
      <c r="AX117" s="242"/>
      <c r="AY117" s="242"/>
      <c r="AZ117" s="242"/>
      <c r="BA117" s="242"/>
      <c r="BB117" s="242"/>
      <c r="BC117" s="242"/>
      <c r="BD117" s="242"/>
      <c r="BE117" s="242"/>
      <c r="BF117" s="242"/>
      <c r="BG117" s="242"/>
      <c r="BH117" s="242"/>
      <c r="BI117" s="242"/>
      <c r="BJ117" s="242"/>
      <c r="BK117" s="242"/>
      <c r="BL117" s="242"/>
      <c r="BM117" s="242"/>
      <c r="BN117" s="242"/>
      <c r="BO117" s="242"/>
      <c r="BP117" s="242"/>
      <c r="BQ117" s="242"/>
      <c r="BR117" s="242"/>
      <c r="BS117" s="242"/>
      <c r="BT117" s="242"/>
      <c r="BU117" s="242"/>
      <c r="BV117" s="242"/>
      <c r="BW117" s="242"/>
      <c r="BX117" s="242"/>
      <c r="BY117" s="242"/>
      <c r="BZ117" s="242"/>
      <c r="CA117" s="242"/>
      <c r="CB117" s="242"/>
      <c r="CC117" s="242"/>
      <c r="CD117" s="242"/>
      <c r="CE117" s="242"/>
      <c r="CF117" s="242"/>
      <c r="CG117" s="242"/>
      <c r="CH117" s="242"/>
      <c r="CI117" s="242"/>
      <c r="CJ117" s="242"/>
      <c r="CK117" s="242"/>
      <c r="CL117" s="242"/>
      <c r="CM117" s="242"/>
      <c r="CN117" s="242"/>
      <c r="CO117" s="242"/>
      <c r="CP117" s="242"/>
      <c r="CQ117" s="242"/>
      <c r="CR117" s="242"/>
      <c r="CS117" s="242"/>
      <c r="CT117" s="242"/>
      <c r="CU117" s="242"/>
      <c r="CV117" s="242"/>
      <c r="CW117" s="242"/>
      <c r="CX117" s="242"/>
      <c r="CY117" s="242"/>
      <c r="CZ117" s="242"/>
      <c r="DA117" s="242"/>
      <c r="DB117" s="242"/>
      <c r="DC117" s="242"/>
      <c r="DD117" s="242"/>
      <c r="DE117" s="242"/>
      <c r="DF117" s="242"/>
      <c r="DG117" s="242"/>
      <c r="DH117" s="242"/>
      <c r="DI117" s="242"/>
      <c r="DJ117" s="242"/>
      <c r="DK117" s="242"/>
      <c r="DL117" s="242"/>
      <c r="DM117" s="242"/>
      <c r="DN117" s="242"/>
      <c r="DO117" s="242"/>
      <c r="DP117" s="242"/>
      <c r="DQ117" s="242"/>
      <c r="DR117" s="242"/>
      <c r="DS117" s="242"/>
      <c r="DT117" s="242"/>
      <c r="DU117" s="242"/>
      <c r="DV117" s="242"/>
      <c r="DW117" s="242"/>
      <c r="DX117" s="242"/>
      <c r="DY117" s="242"/>
      <c r="DZ117" s="242"/>
      <c r="EA117" s="242"/>
      <c r="EB117" s="242"/>
      <c r="EC117" s="242"/>
      <c r="ED117" s="242"/>
      <c r="EE117" s="242"/>
      <c r="EF117" s="242"/>
      <c r="EG117" s="242"/>
      <c r="EH117" s="242"/>
      <c r="EI117" s="242"/>
      <c r="EJ117" s="242"/>
      <c r="EK117" s="242"/>
      <c r="EL117" s="242"/>
      <c r="EM117" s="242"/>
      <c r="EN117" s="242"/>
      <c r="EO117" s="242"/>
      <c r="EP117" s="242"/>
      <c r="EQ117" s="242"/>
      <c r="ER117" s="242"/>
      <c r="ES117" s="242"/>
      <c r="ET117" s="242"/>
      <c r="EU117" s="242"/>
      <c r="EV117" s="242"/>
      <c r="EW117" s="242"/>
      <c r="EX117" s="242"/>
      <c r="EY117" s="242"/>
      <c r="EZ117" s="242"/>
      <c r="FA117" s="242"/>
      <c r="FB117" s="242"/>
      <c r="FC117" s="242"/>
      <c r="FD117" s="242"/>
      <c r="FE117" s="242"/>
      <c r="FF117" s="242"/>
      <c r="FG117" s="242"/>
      <c r="FH117" s="242"/>
      <c r="FI117" s="242"/>
      <c r="FJ117" s="242"/>
      <c r="FK117" s="242"/>
      <c r="FL117" s="242"/>
      <c r="FM117" s="242"/>
      <c r="FN117" s="242"/>
      <c r="FO117" s="242"/>
      <c r="FP117" s="242"/>
      <c r="FQ117" s="242"/>
      <c r="FR117" s="242"/>
      <c r="FS117" s="242"/>
      <c r="FT117" s="242"/>
      <c r="FU117" s="242"/>
      <c r="FV117" s="242"/>
      <c r="FW117" s="242"/>
      <c r="FX117" s="242"/>
      <c r="FY117" s="242"/>
      <c r="FZ117" s="242"/>
      <c r="GA117" s="242"/>
      <c r="GB117" s="242"/>
      <c r="GC117" s="242"/>
      <c r="GD117" s="242"/>
      <c r="GE117" s="242"/>
      <c r="GF117" s="242"/>
      <c r="GG117" s="242"/>
      <c r="GH117" s="242"/>
      <c r="GI117" s="242"/>
      <c r="GJ117" s="242"/>
      <c r="GK117" s="242"/>
      <c r="GL117" s="242"/>
      <c r="GM117" s="242"/>
      <c r="GN117" s="242"/>
      <c r="GO117" s="242"/>
      <c r="GP117" s="242"/>
      <c r="GQ117" s="242"/>
      <c r="GR117" s="242"/>
      <c r="GS117" s="242"/>
      <c r="GT117" s="242"/>
      <c r="GU117" s="242"/>
      <c r="GV117" s="242"/>
      <c r="GW117" s="242"/>
      <c r="GX117" s="242"/>
      <c r="GY117" s="242"/>
      <c r="GZ117" s="242"/>
      <c r="HA117" s="242"/>
      <c r="HB117" s="242"/>
      <c r="HC117" s="242"/>
      <c r="HD117" s="242"/>
      <c r="HE117" s="242"/>
      <c r="HF117" s="242"/>
      <c r="HG117" s="242"/>
      <c r="HH117" s="242"/>
      <c r="HI117" s="242"/>
      <c r="HJ117" s="242"/>
      <c r="HK117" s="242"/>
      <c r="HL117" s="242"/>
      <c r="HM117" s="242"/>
      <c r="HN117" s="242"/>
      <c r="HO117" s="243"/>
    </row>
    <row r="118" spans="1:223" ht="12.75" hidden="1" customHeight="1">
      <c r="A118" s="83">
        <f t="shared" si="14"/>
        <v>113</v>
      </c>
      <c r="B118" s="84"/>
      <c r="C118" s="84"/>
      <c r="D118" s="84"/>
      <c r="E118" s="84"/>
      <c r="F118" s="84" t="str">
        <f t="shared" si="12"/>
        <v>///</v>
      </c>
      <c r="G118" s="249">
        <f t="shared" si="15"/>
        <v>0</v>
      </c>
      <c r="H118" s="240">
        <f t="shared" si="13"/>
        <v>0</v>
      </c>
      <c r="I118" s="243"/>
      <c r="J118" s="243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242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  <c r="AM118" s="242"/>
      <c r="AN118" s="242"/>
      <c r="AO118" s="242"/>
      <c r="AP118" s="242"/>
      <c r="AQ118" s="242"/>
      <c r="AR118" s="242"/>
      <c r="AS118" s="242"/>
      <c r="AT118" s="242"/>
      <c r="AU118" s="242"/>
      <c r="AV118" s="242"/>
      <c r="AW118" s="242"/>
      <c r="AX118" s="242"/>
      <c r="AY118" s="242"/>
      <c r="AZ118" s="242"/>
      <c r="BA118" s="242"/>
      <c r="BB118" s="242"/>
      <c r="BC118" s="242"/>
      <c r="BD118" s="242"/>
      <c r="BE118" s="242"/>
      <c r="BF118" s="242"/>
      <c r="BG118" s="242"/>
      <c r="BH118" s="242"/>
      <c r="BI118" s="242"/>
      <c r="BJ118" s="242"/>
      <c r="BK118" s="242"/>
      <c r="BL118" s="242"/>
      <c r="BM118" s="242"/>
      <c r="BN118" s="242"/>
      <c r="BO118" s="242"/>
      <c r="BP118" s="242"/>
      <c r="BQ118" s="242"/>
      <c r="BR118" s="242"/>
      <c r="BS118" s="242"/>
      <c r="BT118" s="242"/>
      <c r="BU118" s="242"/>
      <c r="BV118" s="242"/>
      <c r="BW118" s="242"/>
      <c r="BX118" s="242"/>
      <c r="BY118" s="242"/>
      <c r="BZ118" s="242"/>
      <c r="CA118" s="242"/>
      <c r="CB118" s="242"/>
      <c r="CC118" s="242"/>
      <c r="CD118" s="242"/>
      <c r="CE118" s="242"/>
      <c r="CF118" s="242"/>
      <c r="CG118" s="242"/>
      <c r="CH118" s="242"/>
      <c r="CI118" s="242"/>
      <c r="CJ118" s="242"/>
      <c r="CK118" s="242"/>
      <c r="CL118" s="242"/>
      <c r="CM118" s="242"/>
      <c r="CN118" s="242"/>
      <c r="CO118" s="242"/>
      <c r="CP118" s="242"/>
      <c r="CQ118" s="242"/>
      <c r="CR118" s="242"/>
      <c r="CS118" s="242"/>
      <c r="CT118" s="242"/>
      <c r="CU118" s="242"/>
      <c r="CV118" s="242"/>
      <c r="CW118" s="242"/>
      <c r="CX118" s="242"/>
      <c r="CY118" s="242"/>
      <c r="CZ118" s="242"/>
      <c r="DA118" s="242"/>
      <c r="DB118" s="242"/>
      <c r="DC118" s="242"/>
      <c r="DD118" s="242"/>
      <c r="DE118" s="242"/>
      <c r="DF118" s="242"/>
      <c r="DG118" s="242"/>
      <c r="DH118" s="242"/>
      <c r="DI118" s="242"/>
      <c r="DJ118" s="242"/>
      <c r="DK118" s="242"/>
      <c r="DL118" s="242"/>
      <c r="DM118" s="242"/>
      <c r="DN118" s="242"/>
      <c r="DO118" s="242"/>
      <c r="DP118" s="242"/>
      <c r="DQ118" s="242"/>
      <c r="DR118" s="242"/>
      <c r="DS118" s="242"/>
      <c r="DT118" s="242"/>
      <c r="DU118" s="242"/>
      <c r="DV118" s="242"/>
      <c r="DW118" s="242"/>
      <c r="DX118" s="242"/>
      <c r="DY118" s="242"/>
      <c r="DZ118" s="242"/>
      <c r="EA118" s="242"/>
      <c r="EB118" s="242"/>
      <c r="EC118" s="242"/>
      <c r="ED118" s="242"/>
      <c r="EE118" s="242"/>
      <c r="EF118" s="242"/>
      <c r="EG118" s="242"/>
      <c r="EH118" s="242"/>
      <c r="EI118" s="242"/>
      <c r="EJ118" s="242"/>
      <c r="EK118" s="242"/>
      <c r="EL118" s="242"/>
      <c r="EM118" s="242"/>
      <c r="EN118" s="242"/>
      <c r="EO118" s="242"/>
      <c r="EP118" s="242"/>
      <c r="EQ118" s="242"/>
      <c r="ER118" s="242"/>
      <c r="ES118" s="242"/>
      <c r="ET118" s="242"/>
      <c r="EU118" s="242"/>
      <c r="EV118" s="242"/>
      <c r="EW118" s="242"/>
      <c r="EX118" s="242"/>
      <c r="EY118" s="242"/>
      <c r="EZ118" s="242"/>
      <c r="FA118" s="242"/>
      <c r="FB118" s="242"/>
      <c r="FC118" s="242"/>
      <c r="FD118" s="242"/>
      <c r="FE118" s="242"/>
      <c r="FF118" s="242"/>
      <c r="FG118" s="242"/>
      <c r="FH118" s="242"/>
      <c r="FI118" s="242"/>
      <c r="FJ118" s="242"/>
      <c r="FK118" s="242"/>
      <c r="FL118" s="242"/>
      <c r="FM118" s="242"/>
      <c r="FN118" s="242"/>
      <c r="FO118" s="242"/>
      <c r="FP118" s="242"/>
      <c r="FQ118" s="242"/>
      <c r="FR118" s="242"/>
      <c r="FS118" s="242"/>
      <c r="FT118" s="242"/>
      <c r="FU118" s="242"/>
      <c r="FV118" s="242"/>
      <c r="FW118" s="242"/>
      <c r="FX118" s="242"/>
      <c r="FY118" s="242"/>
      <c r="FZ118" s="242"/>
      <c r="GA118" s="242"/>
      <c r="GB118" s="242"/>
      <c r="GC118" s="242"/>
      <c r="GD118" s="242"/>
      <c r="GE118" s="242"/>
      <c r="GF118" s="242"/>
      <c r="GG118" s="242"/>
      <c r="GH118" s="242"/>
      <c r="GI118" s="242"/>
      <c r="GJ118" s="242"/>
      <c r="GK118" s="242"/>
      <c r="GL118" s="242"/>
      <c r="GM118" s="242"/>
      <c r="GN118" s="242"/>
      <c r="GO118" s="242"/>
      <c r="GP118" s="242"/>
      <c r="GQ118" s="242"/>
      <c r="GR118" s="242"/>
      <c r="GS118" s="242"/>
      <c r="GT118" s="242"/>
      <c r="GU118" s="242"/>
      <c r="GV118" s="242"/>
      <c r="GW118" s="242"/>
      <c r="GX118" s="242"/>
      <c r="GY118" s="242"/>
      <c r="GZ118" s="242"/>
      <c r="HA118" s="242"/>
      <c r="HB118" s="242"/>
      <c r="HC118" s="242"/>
      <c r="HD118" s="242"/>
      <c r="HE118" s="242"/>
      <c r="HF118" s="242"/>
      <c r="HG118" s="242"/>
      <c r="HH118" s="242"/>
      <c r="HI118" s="242"/>
      <c r="HJ118" s="242"/>
      <c r="HK118" s="242"/>
      <c r="HL118" s="242"/>
      <c r="HM118" s="242"/>
      <c r="HN118" s="242"/>
      <c r="HO118" s="243"/>
    </row>
    <row r="119" spans="1:223" ht="12.75" hidden="1" customHeight="1">
      <c r="A119" s="83">
        <f t="shared" si="14"/>
        <v>114</v>
      </c>
      <c r="B119" s="84"/>
      <c r="C119" s="84"/>
      <c r="D119" s="84"/>
      <c r="E119" s="84"/>
      <c r="F119" s="84" t="str">
        <f t="shared" si="12"/>
        <v>///</v>
      </c>
      <c r="G119" s="249">
        <f t="shared" si="15"/>
        <v>0</v>
      </c>
      <c r="H119" s="240">
        <f t="shared" si="13"/>
        <v>0</v>
      </c>
      <c r="I119" s="243"/>
      <c r="J119" s="243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242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  <c r="AM119" s="242"/>
      <c r="AN119" s="242"/>
      <c r="AO119" s="242"/>
      <c r="AP119" s="242"/>
      <c r="AQ119" s="242"/>
      <c r="AR119" s="242"/>
      <c r="AS119" s="242"/>
      <c r="AT119" s="242"/>
      <c r="AU119" s="242"/>
      <c r="AV119" s="242"/>
      <c r="AW119" s="242"/>
      <c r="AX119" s="242"/>
      <c r="AY119" s="242"/>
      <c r="AZ119" s="242"/>
      <c r="BA119" s="242"/>
      <c r="BB119" s="242"/>
      <c r="BC119" s="242"/>
      <c r="BD119" s="242"/>
      <c r="BE119" s="242"/>
      <c r="BF119" s="242"/>
      <c r="BG119" s="242"/>
      <c r="BH119" s="242"/>
      <c r="BI119" s="242"/>
      <c r="BJ119" s="242"/>
      <c r="BK119" s="242"/>
      <c r="BL119" s="242"/>
      <c r="BM119" s="242"/>
      <c r="BN119" s="242"/>
      <c r="BO119" s="242"/>
      <c r="BP119" s="242"/>
      <c r="BQ119" s="242"/>
      <c r="BR119" s="242"/>
      <c r="BS119" s="242"/>
      <c r="BT119" s="242"/>
      <c r="BU119" s="242"/>
      <c r="BV119" s="242"/>
      <c r="BW119" s="242"/>
      <c r="BX119" s="242"/>
      <c r="BY119" s="242"/>
      <c r="BZ119" s="242"/>
      <c r="CA119" s="242"/>
      <c r="CB119" s="242"/>
      <c r="CC119" s="242"/>
      <c r="CD119" s="242"/>
      <c r="CE119" s="242"/>
      <c r="CF119" s="242"/>
      <c r="CG119" s="242"/>
      <c r="CH119" s="242"/>
      <c r="CI119" s="242"/>
      <c r="CJ119" s="242"/>
      <c r="CK119" s="242"/>
      <c r="CL119" s="242"/>
      <c r="CM119" s="242"/>
      <c r="CN119" s="242"/>
      <c r="CO119" s="242"/>
      <c r="CP119" s="242"/>
      <c r="CQ119" s="242"/>
      <c r="CR119" s="242"/>
      <c r="CS119" s="242"/>
      <c r="CT119" s="242"/>
      <c r="CU119" s="242"/>
      <c r="CV119" s="242"/>
      <c r="CW119" s="242"/>
      <c r="CX119" s="242"/>
      <c r="CY119" s="242"/>
      <c r="CZ119" s="242"/>
      <c r="DA119" s="242"/>
      <c r="DB119" s="242"/>
      <c r="DC119" s="242"/>
      <c r="DD119" s="242"/>
      <c r="DE119" s="242"/>
      <c r="DF119" s="242"/>
      <c r="DG119" s="242"/>
      <c r="DH119" s="242"/>
      <c r="DI119" s="242"/>
      <c r="DJ119" s="242"/>
      <c r="DK119" s="242"/>
      <c r="DL119" s="242"/>
      <c r="DM119" s="242"/>
      <c r="DN119" s="242"/>
      <c r="DO119" s="242"/>
      <c r="DP119" s="242"/>
      <c r="DQ119" s="242"/>
      <c r="DR119" s="242"/>
      <c r="DS119" s="242"/>
      <c r="DT119" s="242"/>
      <c r="DU119" s="242"/>
      <c r="DV119" s="242"/>
      <c r="DW119" s="242"/>
      <c r="DX119" s="242"/>
      <c r="DY119" s="242"/>
      <c r="DZ119" s="242"/>
      <c r="EA119" s="242"/>
      <c r="EB119" s="242"/>
      <c r="EC119" s="242"/>
      <c r="ED119" s="242"/>
      <c r="EE119" s="242"/>
      <c r="EF119" s="242"/>
      <c r="EG119" s="242"/>
      <c r="EH119" s="242"/>
      <c r="EI119" s="242"/>
      <c r="EJ119" s="242"/>
      <c r="EK119" s="242"/>
      <c r="EL119" s="242"/>
      <c r="EM119" s="242"/>
      <c r="EN119" s="242"/>
      <c r="EO119" s="242"/>
      <c r="EP119" s="242"/>
      <c r="EQ119" s="242"/>
      <c r="ER119" s="242"/>
      <c r="ES119" s="242"/>
      <c r="ET119" s="242"/>
      <c r="EU119" s="242"/>
      <c r="EV119" s="242"/>
      <c r="EW119" s="242"/>
      <c r="EX119" s="242"/>
      <c r="EY119" s="242"/>
      <c r="EZ119" s="242"/>
      <c r="FA119" s="242"/>
      <c r="FB119" s="242"/>
      <c r="FC119" s="242"/>
      <c r="FD119" s="242"/>
      <c r="FE119" s="242"/>
      <c r="FF119" s="242"/>
      <c r="FG119" s="242"/>
      <c r="FH119" s="242"/>
      <c r="FI119" s="242"/>
      <c r="FJ119" s="242"/>
      <c r="FK119" s="242"/>
      <c r="FL119" s="242"/>
      <c r="FM119" s="242"/>
      <c r="FN119" s="242"/>
      <c r="FO119" s="242"/>
      <c r="FP119" s="242"/>
      <c r="FQ119" s="242"/>
      <c r="FR119" s="242"/>
      <c r="FS119" s="242"/>
      <c r="FT119" s="242"/>
      <c r="FU119" s="242"/>
      <c r="FV119" s="242"/>
      <c r="FW119" s="242"/>
      <c r="FX119" s="242"/>
      <c r="FY119" s="242"/>
      <c r="FZ119" s="242"/>
      <c r="GA119" s="242"/>
      <c r="GB119" s="242"/>
      <c r="GC119" s="242"/>
      <c r="GD119" s="242"/>
      <c r="GE119" s="242"/>
      <c r="GF119" s="242"/>
      <c r="GG119" s="242"/>
      <c r="GH119" s="242"/>
      <c r="GI119" s="242"/>
      <c r="GJ119" s="242"/>
      <c r="GK119" s="242"/>
      <c r="GL119" s="242"/>
      <c r="GM119" s="242"/>
      <c r="GN119" s="242"/>
      <c r="GO119" s="242"/>
      <c r="GP119" s="242"/>
      <c r="GQ119" s="242"/>
      <c r="GR119" s="242"/>
      <c r="GS119" s="242"/>
      <c r="GT119" s="242"/>
      <c r="GU119" s="242"/>
      <c r="GV119" s="242"/>
      <c r="GW119" s="242"/>
      <c r="GX119" s="242"/>
      <c r="GY119" s="242"/>
      <c r="GZ119" s="242"/>
      <c r="HA119" s="242"/>
      <c r="HB119" s="242"/>
      <c r="HC119" s="242"/>
      <c r="HD119" s="242"/>
      <c r="HE119" s="242"/>
      <c r="HF119" s="242"/>
      <c r="HG119" s="242"/>
      <c r="HH119" s="242"/>
      <c r="HI119" s="242"/>
      <c r="HJ119" s="242"/>
      <c r="HK119" s="242"/>
      <c r="HL119" s="242"/>
      <c r="HM119" s="242"/>
      <c r="HN119" s="242"/>
      <c r="HO119" s="243"/>
    </row>
    <row r="120" spans="1:223" ht="12.75" hidden="1" customHeight="1">
      <c r="A120" s="83">
        <f t="shared" si="14"/>
        <v>115</v>
      </c>
      <c r="B120" s="84"/>
      <c r="C120" s="84"/>
      <c r="D120" s="84"/>
      <c r="E120" s="84"/>
      <c r="F120" s="84" t="str">
        <f t="shared" si="12"/>
        <v>///</v>
      </c>
      <c r="G120" s="249">
        <f t="shared" si="15"/>
        <v>0</v>
      </c>
      <c r="H120" s="240">
        <f t="shared" si="13"/>
        <v>0</v>
      </c>
      <c r="I120" s="243"/>
      <c r="J120" s="243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42"/>
      <c r="AO120" s="242"/>
      <c r="AP120" s="242"/>
      <c r="AQ120" s="242"/>
      <c r="AR120" s="242"/>
      <c r="AS120" s="242"/>
      <c r="AT120" s="242"/>
      <c r="AU120" s="242"/>
      <c r="AV120" s="242"/>
      <c r="AW120" s="242"/>
      <c r="AX120" s="242"/>
      <c r="AY120" s="242"/>
      <c r="AZ120" s="242"/>
      <c r="BA120" s="242"/>
      <c r="BB120" s="242"/>
      <c r="BC120" s="242"/>
      <c r="BD120" s="242"/>
      <c r="BE120" s="242"/>
      <c r="BF120" s="242"/>
      <c r="BG120" s="242"/>
      <c r="BH120" s="242"/>
      <c r="BI120" s="242"/>
      <c r="BJ120" s="242"/>
      <c r="BK120" s="242"/>
      <c r="BL120" s="242"/>
      <c r="BM120" s="242"/>
      <c r="BN120" s="242"/>
      <c r="BO120" s="242"/>
      <c r="BP120" s="242"/>
      <c r="BQ120" s="242"/>
      <c r="BR120" s="242"/>
      <c r="BS120" s="242"/>
      <c r="BT120" s="242"/>
      <c r="BU120" s="242"/>
      <c r="BV120" s="242"/>
      <c r="BW120" s="242"/>
      <c r="BX120" s="242"/>
      <c r="BY120" s="242"/>
      <c r="BZ120" s="242"/>
      <c r="CA120" s="242"/>
      <c r="CB120" s="242"/>
      <c r="CC120" s="242"/>
      <c r="CD120" s="242"/>
      <c r="CE120" s="242"/>
      <c r="CF120" s="242"/>
      <c r="CG120" s="242"/>
      <c r="CH120" s="242"/>
      <c r="CI120" s="242"/>
      <c r="CJ120" s="242"/>
      <c r="CK120" s="242"/>
      <c r="CL120" s="242"/>
      <c r="CM120" s="242"/>
      <c r="CN120" s="242"/>
      <c r="CO120" s="242"/>
      <c r="CP120" s="242"/>
      <c r="CQ120" s="242"/>
      <c r="CR120" s="242"/>
      <c r="CS120" s="242"/>
      <c r="CT120" s="242"/>
      <c r="CU120" s="242"/>
      <c r="CV120" s="242"/>
      <c r="CW120" s="242"/>
      <c r="CX120" s="242"/>
      <c r="CY120" s="242"/>
      <c r="CZ120" s="242"/>
      <c r="DA120" s="242"/>
      <c r="DB120" s="242"/>
      <c r="DC120" s="242"/>
      <c r="DD120" s="242"/>
      <c r="DE120" s="242"/>
      <c r="DF120" s="242"/>
      <c r="DG120" s="242"/>
      <c r="DH120" s="242"/>
      <c r="DI120" s="242"/>
      <c r="DJ120" s="242"/>
      <c r="DK120" s="242"/>
      <c r="DL120" s="242"/>
      <c r="DM120" s="242"/>
      <c r="DN120" s="242"/>
      <c r="DO120" s="242"/>
      <c r="DP120" s="242"/>
      <c r="DQ120" s="242"/>
      <c r="DR120" s="242"/>
      <c r="DS120" s="242"/>
      <c r="DT120" s="242"/>
      <c r="DU120" s="242"/>
      <c r="DV120" s="242"/>
      <c r="DW120" s="242"/>
      <c r="DX120" s="242"/>
      <c r="DY120" s="242"/>
      <c r="DZ120" s="242"/>
      <c r="EA120" s="242"/>
      <c r="EB120" s="242"/>
      <c r="EC120" s="242"/>
      <c r="ED120" s="242"/>
      <c r="EE120" s="242"/>
      <c r="EF120" s="242"/>
      <c r="EG120" s="242"/>
      <c r="EH120" s="242"/>
      <c r="EI120" s="242"/>
      <c r="EJ120" s="242"/>
      <c r="EK120" s="242"/>
      <c r="EL120" s="242"/>
      <c r="EM120" s="242"/>
      <c r="EN120" s="242"/>
      <c r="EO120" s="242"/>
      <c r="EP120" s="242"/>
      <c r="EQ120" s="242"/>
      <c r="ER120" s="242"/>
      <c r="ES120" s="242"/>
      <c r="ET120" s="242"/>
      <c r="EU120" s="242"/>
      <c r="EV120" s="242"/>
      <c r="EW120" s="242"/>
      <c r="EX120" s="242"/>
      <c r="EY120" s="242"/>
      <c r="EZ120" s="242"/>
      <c r="FA120" s="242"/>
      <c r="FB120" s="242"/>
      <c r="FC120" s="242"/>
      <c r="FD120" s="242"/>
      <c r="FE120" s="242"/>
      <c r="FF120" s="242"/>
      <c r="FG120" s="242"/>
      <c r="FH120" s="242"/>
      <c r="FI120" s="242"/>
      <c r="FJ120" s="242"/>
      <c r="FK120" s="242"/>
      <c r="FL120" s="242"/>
      <c r="FM120" s="242"/>
      <c r="FN120" s="242"/>
      <c r="FO120" s="242"/>
      <c r="FP120" s="242"/>
      <c r="FQ120" s="242"/>
      <c r="FR120" s="242"/>
      <c r="FS120" s="242"/>
      <c r="FT120" s="242"/>
      <c r="FU120" s="242"/>
      <c r="FV120" s="242"/>
      <c r="FW120" s="242"/>
      <c r="FX120" s="242"/>
      <c r="FY120" s="242"/>
      <c r="FZ120" s="242"/>
      <c r="GA120" s="242"/>
      <c r="GB120" s="242"/>
      <c r="GC120" s="242"/>
      <c r="GD120" s="242"/>
      <c r="GE120" s="242"/>
      <c r="GF120" s="242"/>
      <c r="GG120" s="242"/>
      <c r="GH120" s="242"/>
      <c r="GI120" s="242"/>
      <c r="GJ120" s="242"/>
      <c r="GK120" s="242"/>
      <c r="GL120" s="242"/>
      <c r="GM120" s="242"/>
      <c r="GN120" s="242"/>
      <c r="GO120" s="242"/>
      <c r="GP120" s="242"/>
      <c r="GQ120" s="242"/>
      <c r="GR120" s="242"/>
      <c r="GS120" s="242"/>
      <c r="GT120" s="242"/>
      <c r="GU120" s="242"/>
      <c r="GV120" s="242"/>
      <c r="GW120" s="242"/>
      <c r="GX120" s="242"/>
      <c r="GY120" s="242"/>
      <c r="GZ120" s="242"/>
      <c r="HA120" s="242"/>
      <c r="HB120" s="242"/>
      <c r="HC120" s="242"/>
      <c r="HD120" s="242"/>
      <c r="HE120" s="242"/>
      <c r="HF120" s="242"/>
      <c r="HG120" s="242"/>
      <c r="HH120" s="242"/>
      <c r="HI120" s="242"/>
      <c r="HJ120" s="242"/>
      <c r="HK120" s="242"/>
      <c r="HL120" s="242"/>
      <c r="HM120" s="242"/>
      <c r="HN120" s="242"/>
      <c r="HO120" s="243"/>
    </row>
    <row r="121" spans="1:223" ht="12.75" hidden="1" customHeight="1">
      <c r="A121" s="83">
        <f t="shared" si="14"/>
        <v>116</v>
      </c>
      <c r="B121" s="84"/>
      <c r="C121" s="84"/>
      <c r="D121" s="84"/>
      <c r="E121" s="84"/>
      <c r="F121" s="84" t="str">
        <f t="shared" si="12"/>
        <v>///</v>
      </c>
      <c r="G121" s="249">
        <f t="shared" si="15"/>
        <v>0</v>
      </c>
      <c r="H121" s="240">
        <f t="shared" si="13"/>
        <v>0</v>
      </c>
      <c r="I121" s="243"/>
      <c r="J121" s="243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242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  <c r="AM121" s="242"/>
      <c r="AN121" s="242"/>
      <c r="AO121" s="242"/>
      <c r="AP121" s="242"/>
      <c r="AQ121" s="242"/>
      <c r="AR121" s="242"/>
      <c r="AS121" s="242"/>
      <c r="AT121" s="242"/>
      <c r="AU121" s="242"/>
      <c r="AV121" s="242"/>
      <c r="AW121" s="242"/>
      <c r="AX121" s="242"/>
      <c r="AY121" s="242"/>
      <c r="AZ121" s="242"/>
      <c r="BA121" s="242"/>
      <c r="BB121" s="242"/>
      <c r="BC121" s="242"/>
      <c r="BD121" s="242"/>
      <c r="BE121" s="242"/>
      <c r="BF121" s="242"/>
      <c r="BG121" s="242"/>
      <c r="BH121" s="242"/>
      <c r="BI121" s="242"/>
      <c r="BJ121" s="242"/>
      <c r="BK121" s="242"/>
      <c r="BL121" s="242"/>
      <c r="BM121" s="242"/>
      <c r="BN121" s="242"/>
      <c r="BO121" s="242"/>
      <c r="BP121" s="242"/>
      <c r="BQ121" s="242"/>
      <c r="BR121" s="242"/>
      <c r="BS121" s="242"/>
      <c r="BT121" s="242"/>
      <c r="BU121" s="242"/>
      <c r="BV121" s="242"/>
      <c r="BW121" s="242"/>
      <c r="BX121" s="242"/>
      <c r="BY121" s="242"/>
      <c r="BZ121" s="242"/>
      <c r="CA121" s="242"/>
      <c r="CB121" s="242"/>
      <c r="CC121" s="242"/>
      <c r="CD121" s="242"/>
      <c r="CE121" s="242"/>
      <c r="CF121" s="242"/>
      <c r="CG121" s="242"/>
      <c r="CH121" s="242"/>
      <c r="CI121" s="242"/>
      <c r="CJ121" s="242"/>
      <c r="CK121" s="242"/>
      <c r="CL121" s="242"/>
      <c r="CM121" s="242"/>
      <c r="CN121" s="242"/>
      <c r="CO121" s="242"/>
      <c r="CP121" s="242"/>
      <c r="CQ121" s="242"/>
      <c r="CR121" s="242"/>
      <c r="CS121" s="242"/>
      <c r="CT121" s="242"/>
      <c r="CU121" s="242"/>
      <c r="CV121" s="242"/>
      <c r="CW121" s="242"/>
      <c r="CX121" s="242"/>
      <c r="CY121" s="242"/>
      <c r="CZ121" s="242"/>
      <c r="DA121" s="242"/>
      <c r="DB121" s="242"/>
      <c r="DC121" s="242"/>
      <c r="DD121" s="242"/>
      <c r="DE121" s="242"/>
      <c r="DF121" s="242"/>
      <c r="DG121" s="242"/>
      <c r="DH121" s="242"/>
      <c r="DI121" s="242"/>
      <c r="DJ121" s="242"/>
      <c r="DK121" s="242"/>
      <c r="DL121" s="242"/>
      <c r="DM121" s="242"/>
      <c r="DN121" s="242"/>
      <c r="DO121" s="242"/>
      <c r="DP121" s="242"/>
      <c r="DQ121" s="242"/>
      <c r="DR121" s="242"/>
      <c r="DS121" s="242"/>
      <c r="DT121" s="242"/>
      <c r="DU121" s="242"/>
      <c r="DV121" s="242"/>
      <c r="DW121" s="242"/>
      <c r="DX121" s="242"/>
      <c r="DY121" s="242"/>
      <c r="DZ121" s="242"/>
      <c r="EA121" s="242"/>
      <c r="EB121" s="242"/>
      <c r="EC121" s="242"/>
      <c r="ED121" s="242"/>
      <c r="EE121" s="242"/>
      <c r="EF121" s="242"/>
      <c r="EG121" s="242"/>
      <c r="EH121" s="242"/>
      <c r="EI121" s="242"/>
      <c r="EJ121" s="242"/>
      <c r="EK121" s="242"/>
      <c r="EL121" s="242"/>
      <c r="EM121" s="242"/>
      <c r="EN121" s="242"/>
      <c r="EO121" s="242"/>
      <c r="EP121" s="242"/>
      <c r="EQ121" s="242"/>
      <c r="ER121" s="242"/>
      <c r="ES121" s="242"/>
      <c r="ET121" s="242"/>
      <c r="EU121" s="242"/>
      <c r="EV121" s="242"/>
      <c r="EW121" s="242"/>
      <c r="EX121" s="242"/>
      <c r="EY121" s="242"/>
      <c r="EZ121" s="242"/>
      <c r="FA121" s="242"/>
      <c r="FB121" s="242"/>
      <c r="FC121" s="242"/>
      <c r="FD121" s="242"/>
      <c r="FE121" s="242"/>
      <c r="FF121" s="242"/>
      <c r="FG121" s="242"/>
      <c r="FH121" s="242"/>
      <c r="FI121" s="242"/>
      <c r="FJ121" s="242"/>
      <c r="FK121" s="242"/>
      <c r="FL121" s="242"/>
      <c r="FM121" s="242"/>
      <c r="FN121" s="242"/>
      <c r="FO121" s="242"/>
      <c r="FP121" s="242"/>
      <c r="FQ121" s="242"/>
      <c r="FR121" s="242"/>
      <c r="FS121" s="242"/>
      <c r="FT121" s="242"/>
      <c r="FU121" s="242"/>
      <c r="FV121" s="242"/>
      <c r="FW121" s="242"/>
      <c r="FX121" s="242"/>
      <c r="FY121" s="242"/>
      <c r="FZ121" s="242"/>
      <c r="GA121" s="242"/>
      <c r="GB121" s="242"/>
      <c r="GC121" s="242"/>
      <c r="GD121" s="242"/>
      <c r="GE121" s="242"/>
      <c r="GF121" s="242"/>
      <c r="GG121" s="242"/>
      <c r="GH121" s="242"/>
      <c r="GI121" s="242"/>
      <c r="GJ121" s="242"/>
      <c r="GK121" s="242"/>
      <c r="GL121" s="242"/>
      <c r="GM121" s="242"/>
      <c r="GN121" s="242"/>
      <c r="GO121" s="242"/>
      <c r="GP121" s="242"/>
      <c r="GQ121" s="242"/>
      <c r="GR121" s="242"/>
      <c r="GS121" s="242"/>
      <c r="GT121" s="242"/>
      <c r="GU121" s="242"/>
      <c r="GV121" s="242"/>
      <c r="GW121" s="242"/>
      <c r="GX121" s="242"/>
      <c r="GY121" s="242"/>
      <c r="GZ121" s="242"/>
      <c r="HA121" s="242"/>
      <c r="HB121" s="242"/>
      <c r="HC121" s="242"/>
      <c r="HD121" s="242"/>
      <c r="HE121" s="242"/>
      <c r="HF121" s="242"/>
      <c r="HG121" s="242"/>
      <c r="HH121" s="242"/>
      <c r="HI121" s="242"/>
      <c r="HJ121" s="242"/>
      <c r="HK121" s="242"/>
      <c r="HL121" s="242"/>
      <c r="HM121" s="242"/>
      <c r="HN121" s="242"/>
      <c r="HO121" s="243"/>
    </row>
    <row r="122" spans="1:223" ht="12.75" hidden="1" customHeight="1">
      <c r="A122" s="83">
        <f t="shared" si="14"/>
        <v>117</v>
      </c>
      <c r="B122" s="84"/>
      <c r="C122" s="84"/>
      <c r="D122" s="84"/>
      <c r="E122" s="84"/>
      <c r="F122" s="84" t="str">
        <f t="shared" si="12"/>
        <v>///</v>
      </c>
      <c r="G122" s="249">
        <f t="shared" si="15"/>
        <v>0</v>
      </c>
      <c r="H122" s="240">
        <f t="shared" si="13"/>
        <v>0</v>
      </c>
      <c r="I122" s="243"/>
      <c r="J122" s="243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242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  <c r="AM122" s="242"/>
      <c r="AN122" s="242"/>
      <c r="AO122" s="242"/>
      <c r="AP122" s="242"/>
      <c r="AQ122" s="242"/>
      <c r="AR122" s="242"/>
      <c r="AS122" s="242"/>
      <c r="AT122" s="242"/>
      <c r="AU122" s="242"/>
      <c r="AV122" s="242"/>
      <c r="AW122" s="242"/>
      <c r="AX122" s="242"/>
      <c r="AY122" s="242"/>
      <c r="AZ122" s="242"/>
      <c r="BA122" s="242"/>
      <c r="BB122" s="242"/>
      <c r="BC122" s="242"/>
      <c r="BD122" s="242"/>
      <c r="BE122" s="242"/>
      <c r="BF122" s="242"/>
      <c r="BG122" s="242"/>
      <c r="BH122" s="242"/>
      <c r="BI122" s="242"/>
      <c r="BJ122" s="242"/>
      <c r="BK122" s="242"/>
      <c r="BL122" s="242"/>
      <c r="BM122" s="242"/>
      <c r="BN122" s="242"/>
      <c r="BO122" s="242"/>
      <c r="BP122" s="242"/>
      <c r="BQ122" s="242"/>
      <c r="BR122" s="242"/>
      <c r="BS122" s="242"/>
      <c r="BT122" s="242"/>
      <c r="BU122" s="242"/>
      <c r="BV122" s="242"/>
      <c r="BW122" s="242"/>
      <c r="BX122" s="242"/>
      <c r="BY122" s="242"/>
      <c r="BZ122" s="242"/>
      <c r="CA122" s="242"/>
      <c r="CB122" s="242"/>
      <c r="CC122" s="242"/>
      <c r="CD122" s="242"/>
      <c r="CE122" s="242"/>
      <c r="CF122" s="242"/>
      <c r="CG122" s="242"/>
      <c r="CH122" s="242"/>
      <c r="CI122" s="242"/>
      <c r="CJ122" s="242"/>
      <c r="CK122" s="242"/>
      <c r="CL122" s="242"/>
      <c r="CM122" s="242"/>
      <c r="CN122" s="242"/>
      <c r="CO122" s="242"/>
      <c r="CP122" s="242"/>
      <c r="CQ122" s="242"/>
      <c r="CR122" s="242"/>
      <c r="CS122" s="242"/>
      <c r="CT122" s="242"/>
      <c r="CU122" s="242"/>
      <c r="CV122" s="242"/>
      <c r="CW122" s="242"/>
      <c r="CX122" s="242"/>
      <c r="CY122" s="242"/>
      <c r="CZ122" s="242"/>
      <c r="DA122" s="242"/>
      <c r="DB122" s="242"/>
      <c r="DC122" s="242"/>
      <c r="DD122" s="242"/>
      <c r="DE122" s="242"/>
      <c r="DF122" s="242"/>
      <c r="DG122" s="242"/>
      <c r="DH122" s="242"/>
      <c r="DI122" s="242"/>
      <c r="DJ122" s="242"/>
      <c r="DK122" s="242"/>
      <c r="DL122" s="242"/>
      <c r="DM122" s="242"/>
      <c r="DN122" s="242"/>
      <c r="DO122" s="242"/>
      <c r="DP122" s="242"/>
      <c r="DQ122" s="242"/>
      <c r="DR122" s="242"/>
      <c r="DS122" s="242"/>
      <c r="DT122" s="242"/>
      <c r="DU122" s="242"/>
      <c r="DV122" s="242"/>
      <c r="DW122" s="242"/>
      <c r="DX122" s="242"/>
      <c r="DY122" s="242"/>
      <c r="DZ122" s="242"/>
      <c r="EA122" s="242"/>
      <c r="EB122" s="242"/>
      <c r="EC122" s="242"/>
      <c r="ED122" s="242"/>
      <c r="EE122" s="242"/>
      <c r="EF122" s="242"/>
      <c r="EG122" s="242"/>
      <c r="EH122" s="242"/>
      <c r="EI122" s="242"/>
      <c r="EJ122" s="242"/>
      <c r="EK122" s="242"/>
      <c r="EL122" s="242"/>
      <c r="EM122" s="242"/>
      <c r="EN122" s="242"/>
      <c r="EO122" s="242"/>
      <c r="EP122" s="242"/>
      <c r="EQ122" s="242"/>
      <c r="ER122" s="242"/>
      <c r="ES122" s="242"/>
      <c r="ET122" s="242"/>
      <c r="EU122" s="242"/>
      <c r="EV122" s="242"/>
      <c r="EW122" s="242"/>
      <c r="EX122" s="242"/>
      <c r="EY122" s="242"/>
      <c r="EZ122" s="242"/>
      <c r="FA122" s="242"/>
      <c r="FB122" s="242"/>
      <c r="FC122" s="242"/>
      <c r="FD122" s="242"/>
      <c r="FE122" s="242"/>
      <c r="FF122" s="242"/>
      <c r="FG122" s="242"/>
      <c r="FH122" s="242"/>
      <c r="FI122" s="242"/>
      <c r="FJ122" s="242"/>
      <c r="FK122" s="242"/>
      <c r="FL122" s="242"/>
      <c r="FM122" s="242"/>
      <c r="FN122" s="242"/>
      <c r="FO122" s="242"/>
      <c r="FP122" s="242"/>
      <c r="FQ122" s="242"/>
      <c r="FR122" s="242"/>
      <c r="FS122" s="242"/>
      <c r="FT122" s="242"/>
      <c r="FU122" s="242"/>
      <c r="FV122" s="242"/>
      <c r="FW122" s="242"/>
      <c r="FX122" s="242"/>
      <c r="FY122" s="242"/>
      <c r="FZ122" s="242"/>
      <c r="GA122" s="242"/>
      <c r="GB122" s="242"/>
      <c r="GC122" s="242"/>
      <c r="GD122" s="242"/>
      <c r="GE122" s="242"/>
      <c r="GF122" s="242"/>
      <c r="GG122" s="242"/>
      <c r="GH122" s="242"/>
      <c r="GI122" s="242"/>
      <c r="GJ122" s="242"/>
      <c r="GK122" s="242"/>
      <c r="GL122" s="242"/>
      <c r="GM122" s="242"/>
      <c r="GN122" s="242"/>
      <c r="GO122" s="242"/>
      <c r="GP122" s="242"/>
      <c r="GQ122" s="242"/>
      <c r="GR122" s="242"/>
      <c r="GS122" s="242"/>
      <c r="GT122" s="242"/>
      <c r="GU122" s="242"/>
      <c r="GV122" s="242"/>
      <c r="GW122" s="242"/>
      <c r="GX122" s="242"/>
      <c r="GY122" s="242"/>
      <c r="GZ122" s="242"/>
      <c r="HA122" s="242"/>
      <c r="HB122" s="242"/>
      <c r="HC122" s="242"/>
      <c r="HD122" s="242"/>
      <c r="HE122" s="242"/>
      <c r="HF122" s="242"/>
      <c r="HG122" s="242"/>
      <c r="HH122" s="242"/>
      <c r="HI122" s="242"/>
      <c r="HJ122" s="242"/>
      <c r="HK122" s="242"/>
      <c r="HL122" s="242"/>
      <c r="HM122" s="242"/>
      <c r="HN122" s="242"/>
      <c r="HO122" s="243"/>
    </row>
    <row r="123" spans="1:223" ht="12.75" hidden="1" customHeight="1">
      <c r="A123" s="83">
        <f t="shared" si="14"/>
        <v>118</v>
      </c>
      <c r="B123" s="84"/>
      <c r="C123" s="84"/>
      <c r="D123" s="84"/>
      <c r="E123" s="84"/>
      <c r="F123" s="84" t="str">
        <f t="shared" si="12"/>
        <v>///</v>
      </c>
      <c r="G123" s="249">
        <f t="shared" si="15"/>
        <v>0</v>
      </c>
      <c r="H123" s="240">
        <f t="shared" si="13"/>
        <v>0</v>
      </c>
      <c r="I123" s="243"/>
      <c r="J123" s="243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242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  <c r="AM123" s="242"/>
      <c r="AN123" s="242"/>
      <c r="AO123" s="242"/>
      <c r="AP123" s="242"/>
      <c r="AQ123" s="242"/>
      <c r="AR123" s="242"/>
      <c r="AS123" s="242"/>
      <c r="AT123" s="242"/>
      <c r="AU123" s="242"/>
      <c r="AV123" s="242"/>
      <c r="AW123" s="242"/>
      <c r="AX123" s="242"/>
      <c r="AY123" s="242"/>
      <c r="AZ123" s="242"/>
      <c r="BA123" s="242"/>
      <c r="BB123" s="242"/>
      <c r="BC123" s="242"/>
      <c r="BD123" s="242"/>
      <c r="BE123" s="242"/>
      <c r="BF123" s="242"/>
      <c r="BG123" s="242"/>
      <c r="BH123" s="242"/>
      <c r="BI123" s="242"/>
      <c r="BJ123" s="242"/>
      <c r="BK123" s="242"/>
      <c r="BL123" s="242"/>
      <c r="BM123" s="242"/>
      <c r="BN123" s="242"/>
      <c r="BO123" s="242"/>
      <c r="BP123" s="242"/>
      <c r="BQ123" s="242"/>
      <c r="BR123" s="242"/>
      <c r="BS123" s="242"/>
      <c r="BT123" s="242"/>
      <c r="BU123" s="242"/>
      <c r="BV123" s="242"/>
      <c r="BW123" s="242"/>
      <c r="BX123" s="242"/>
      <c r="BY123" s="242"/>
      <c r="BZ123" s="242"/>
      <c r="CA123" s="242"/>
      <c r="CB123" s="242"/>
      <c r="CC123" s="242"/>
      <c r="CD123" s="242"/>
      <c r="CE123" s="242"/>
      <c r="CF123" s="242"/>
      <c r="CG123" s="242"/>
      <c r="CH123" s="242"/>
      <c r="CI123" s="242"/>
      <c r="CJ123" s="242"/>
      <c r="CK123" s="242"/>
      <c r="CL123" s="242"/>
      <c r="CM123" s="242"/>
      <c r="CN123" s="242"/>
      <c r="CO123" s="242"/>
      <c r="CP123" s="242"/>
      <c r="CQ123" s="242"/>
      <c r="CR123" s="242"/>
      <c r="CS123" s="242"/>
      <c r="CT123" s="242"/>
      <c r="CU123" s="242"/>
      <c r="CV123" s="242"/>
      <c r="CW123" s="242"/>
      <c r="CX123" s="242"/>
      <c r="CY123" s="242"/>
      <c r="CZ123" s="242"/>
      <c r="DA123" s="242"/>
      <c r="DB123" s="242"/>
      <c r="DC123" s="242"/>
      <c r="DD123" s="242"/>
      <c r="DE123" s="242"/>
      <c r="DF123" s="242"/>
      <c r="DG123" s="242"/>
      <c r="DH123" s="242"/>
      <c r="DI123" s="242"/>
      <c r="DJ123" s="242"/>
      <c r="DK123" s="242"/>
      <c r="DL123" s="242"/>
      <c r="DM123" s="242"/>
      <c r="DN123" s="242"/>
      <c r="DO123" s="242"/>
      <c r="DP123" s="242"/>
      <c r="DQ123" s="242"/>
      <c r="DR123" s="242"/>
      <c r="DS123" s="242"/>
      <c r="DT123" s="242"/>
      <c r="DU123" s="242"/>
      <c r="DV123" s="242"/>
      <c r="DW123" s="242"/>
      <c r="DX123" s="242"/>
      <c r="DY123" s="242"/>
      <c r="DZ123" s="242"/>
      <c r="EA123" s="242"/>
      <c r="EB123" s="242"/>
      <c r="EC123" s="242"/>
      <c r="ED123" s="242"/>
      <c r="EE123" s="242"/>
      <c r="EF123" s="242"/>
      <c r="EG123" s="242"/>
      <c r="EH123" s="242"/>
      <c r="EI123" s="242"/>
      <c r="EJ123" s="242"/>
      <c r="EK123" s="242"/>
      <c r="EL123" s="242"/>
      <c r="EM123" s="242"/>
      <c r="EN123" s="242"/>
      <c r="EO123" s="242"/>
      <c r="EP123" s="242"/>
      <c r="EQ123" s="242"/>
      <c r="ER123" s="242"/>
      <c r="ES123" s="242"/>
      <c r="ET123" s="242"/>
      <c r="EU123" s="242"/>
      <c r="EV123" s="242"/>
      <c r="EW123" s="242"/>
      <c r="EX123" s="242"/>
      <c r="EY123" s="242"/>
      <c r="EZ123" s="242"/>
      <c r="FA123" s="242"/>
      <c r="FB123" s="242"/>
      <c r="FC123" s="242"/>
      <c r="FD123" s="242"/>
      <c r="FE123" s="242"/>
      <c r="FF123" s="242"/>
      <c r="FG123" s="242"/>
      <c r="FH123" s="242"/>
      <c r="FI123" s="242"/>
      <c r="FJ123" s="242"/>
      <c r="FK123" s="242"/>
      <c r="FL123" s="242"/>
      <c r="FM123" s="242"/>
      <c r="FN123" s="242"/>
      <c r="FO123" s="242"/>
      <c r="FP123" s="242"/>
      <c r="FQ123" s="242"/>
      <c r="FR123" s="242"/>
      <c r="FS123" s="242"/>
      <c r="FT123" s="242"/>
      <c r="FU123" s="242"/>
      <c r="FV123" s="242"/>
      <c r="FW123" s="242"/>
      <c r="FX123" s="242"/>
      <c r="FY123" s="242"/>
      <c r="FZ123" s="242"/>
      <c r="GA123" s="242"/>
      <c r="GB123" s="242"/>
      <c r="GC123" s="242"/>
      <c r="GD123" s="242"/>
      <c r="GE123" s="242"/>
      <c r="GF123" s="242"/>
      <c r="GG123" s="242"/>
      <c r="GH123" s="242"/>
      <c r="GI123" s="242"/>
      <c r="GJ123" s="242"/>
      <c r="GK123" s="242"/>
      <c r="GL123" s="242"/>
      <c r="GM123" s="242"/>
      <c r="GN123" s="242"/>
      <c r="GO123" s="242"/>
      <c r="GP123" s="242"/>
      <c r="GQ123" s="242"/>
      <c r="GR123" s="242"/>
      <c r="GS123" s="242"/>
      <c r="GT123" s="242"/>
      <c r="GU123" s="242"/>
      <c r="GV123" s="242"/>
      <c r="GW123" s="242"/>
      <c r="GX123" s="242"/>
      <c r="GY123" s="242"/>
      <c r="GZ123" s="242"/>
      <c r="HA123" s="242"/>
      <c r="HB123" s="242"/>
      <c r="HC123" s="242"/>
      <c r="HD123" s="242"/>
      <c r="HE123" s="242"/>
      <c r="HF123" s="242"/>
      <c r="HG123" s="242"/>
      <c r="HH123" s="242"/>
      <c r="HI123" s="242"/>
      <c r="HJ123" s="242"/>
      <c r="HK123" s="242"/>
      <c r="HL123" s="242"/>
      <c r="HM123" s="242"/>
      <c r="HN123" s="242"/>
      <c r="HO123" s="243"/>
    </row>
    <row r="124" spans="1:223" ht="12.75" hidden="1" customHeight="1">
      <c r="A124" s="83">
        <f t="shared" si="14"/>
        <v>119</v>
      </c>
      <c r="B124" s="84"/>
      <c r="C124" s="84"/>
      <c r="D124" s="84"/>
      <c r="E124" s="84"/>
      <c r="F124" s="84" t="str">
        <f t="shared" si="12"/>
        <v>///</v>
      </c>
      <c r="G124" s="249">
        <f t="shared" si="15"/>
        <v>0</v>
      </c>
      <c r="H124" s="240">
        <f t="shared" si="13"/>
        <v>0</v>
      </c>
      <c r="I124" s="243"/>
      <c r="J124" s="243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242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  <c r="AM124" s="242"/>
      <c r="AN124" s="242"/>
      <c r="AO124" s="242"/>
      <c r="AP124" s="242"/>
      <c r="AQ124" s="242"/>
      <c r="AR124" s="242"/>
      <c r="AS124" s="242"/>
      <c r="AT124" s="242"/>
      <c r="AU124" s="242"/>
      <c r="AV124" s="242"/>
      <c r="AW124" s="242"/>
      <c r="AX124" s="242"/>
      <c r="AY124" s="242"/>
      <c r="AZ124" s="242"/>
      <c r="BA124" s="242"/>
      <c r="BB124" s="242"/>
      <c r="BC124" s="242"/>
      <c r="BD124" s="242"/>
      <c r="BE124" s="242"/>
      <c r="BF124" s="242"/>
      <c r="BG124" s="242"/>
      <c r="BH124" s="242"/>
      <c r="BI124" s="242"/>
      <c r="BJ124" s="242"/>
      <c r="BK124" s="242"/>
      <c r="BL124" s="242"/>
      <c r="BM124" s="242"/>
      <c r="BN124" s="242"/>
      <c r="BO124" s="242"/>
      <c r="BP124" s="242"/>
      <c r="BQ124" s="242"/>
      <c r="BR124" s="242"/>
      <c r="BS124" s="242"/>
      <c r="BT124" s="242"/>
      <c r="BU124" s="242"/>
      <c r="BV124" s="242"/>
      <c r="BW124" s="242"/>
      <c r="BX124" s="242"/>
      <c r="BY124" s="242"/>
      <c r="BZ124" s="242"/>
      <c r="CA124" s="242"/>
      <c r="CB124" s="242"/>
      <c r="CC124" s="242"/>
      <c r="CD124" s="242"/>
      <c r="CE124" s="242"/>
      <c r="CF124" s="242"/>
      <c r="CG124" s="242"/>
      <c r="CH124" s="242"/>
      <c r="CI124" s="242"/>
      <c r="CJ124" s="242"/>
      <c r="CK124" s="242"/>
      <c r="CL124" s="242"/>
      <c r="CM124" s="242"/>
      <c r="CN124" s="242"/>
      <c r="CO124" s="242"/>
      <c r="CP124" s="242"/>
      <c r="CQ124" s="242"/>
      <c r="CR124" s="242"/>
      <c r="CS124" s="242"/>
      <c r="CT124" s="242"/>
      <c r="CU124" s="242"/>
      <c r="CV124" s="242"/>
      <c r="CW124" s="242"/>
      <c r="CX124" s="242"/>
      <c r="CY124" s="242"/>
      <c r="CZ124" s="242"/>
      <c r="DA124" s="242"/>
      <c r="DB124" s="242"/>
      <c r="DC124" s="242"/>
      <c r="DD124" s="242"/>
      <c r="DE124" s="242"/>
      <c r="DF124" s="242"/>
      <c r="DG124" s="242"/>
      <c r="DH124" s="242"/>
      <c r="DI124" s="242"/>
      <c r="DJ124" s="242"/>
      <c r="DK124" s="242"/>
      <c r="DL124" s="242"/>
      <c r="DM124" s="242"/>
      <c r="DN124" s="242"/>
      <c r="DO124" s="242"/>
      <c r="DP124" s="242"/>
      <c r="DQ124" s="242"/>
      <c r="DR124" s="242"/>
      <c r="DS124" s="242"/>
      <c r="DT124" s="242"/>
      <c r="DU124" s="242"/>
      <c r="DV124" s="242"/>
      <c r="DW124" s="242"/>
      <c r="DX124" s="242"/>
      <c r="DY124" s="242"/>
      <c r="DZ124" s="242"/>
      <c r="EA124" s="242"/>
      <c r="EB124" s="242"/>
      <c r="EC124" s="242"/>
      <c r="ED124" s="242"/>
      <c r="EE124" s="242"/>
      <c r="EF124" s="242"/>
      <c r="EG124" s="242"/>
      <c r="EH124" s="242"/>
      <c r="EI124" s="242"/>
      <c r="EJ124" s="242"/>
      <c r="EK124" s="242"/>
      <c r="EL124" s="242"/>
      <c r="EM124" s="242"/>
      <c r="EN124" s="242"/>
      <c r="EO124" s="242"/>
      <c r="EP124" s="242"/>
      <c r="EQ124" s="242"/>
      <c r="ER124" s="242"/>
      <c r="ES124" s="242"/>
      <c r="ET124" s="242"/>
      <c r="EU124" s="242"/>
      <c r="EV124" s="242"/>
      <c r="EW124" s="242"/>
      <c r="EX124" s="242"/>
      <c r="EY124" s="242"/>
      <c r="EZ124" s="242"/>
      <c r="FA124" s="242"/>
      <c r="FB124" s="242"/>
      <c r="FC124" s="242"/>
      <c r="FD124" s="242"/>
      <c r="FE124" s="242"/>
      <c r="FF124" s="242"/>
      <c r="FG124" s="242"/>
      <c r="FH124" s="242"/>
      <c r="FI124" s="242"/>
      <c r="FJ124" s="242"/>
      <c r="FK124" s="242"/>
      <c r="FL124" s="242"/>
      <c r="FM124" s="242"/>
      <c r="FN124" s="242"/>
      <c r="FO124" s="242"/>
      <c r="FP124" s="242"/>
      <c r="FQ124" s="242"/>
      <c r="FR124" s="242"/>
      <c r="FS124" s="242"/>
      <c r="FT124" s="242"/>
      <c r="FU124" s="242"/>
      <c r="FV124" s="242"/>
      <c r="FW124" s="242"/>
      <c r="FX124" s="242"/>
      <c r="FY124" s="242"/>
      <c r="FZ124" s="242"/>
      <c r="GA124" s="242"/>
      <c r="GB124" s="242"/>
      <c r="GC124" s="242"/>
      <c r="GD124" s="242"/>
      <c r="GE124" s="242"/>
      <c r="GF124" s="242"/>
      <c r="GG124" s="242"/>
      <c r="GH124" s="242"/>
      <c r="GI124" s="242"/>
      <c r="GJ124" s="242"/>
      <c r="GK124" s="242"/>
      <c r="GL124" s="242"/>
      <c r="GM124" s="242"/>
      <c r="GN124" s="242"/>
      <c r="GO124" s="242"/>
      <c r="GP124" s="242"/>
      <c r="GQ124" s="242"/>
      <c r="GR124" s="242"/>
      <c r="GS124" s="242"/>
      <c r="GT124" s="242"/>
      <c r="GU124" s="242"/>
      <c r="GV124" s="242"/>
      <c r="GW124" s="242"/>
      <c r="GX124" s="242"/>
      <c r="GY124" s="242"/>
      <c r="GZ124" s="242"/>
      <c r="HA124" s="242"/>
      <c r="HB124" s="242"/>
      <c r="HC124" s="242"/>
      <c r="HD124" s="242"/>
      <c r="HE124" s="242"/>
      <c r="HF124" s="242"/>
      <c r="HG124" s="242"/>
      <c r="HH124" s="242"/>
      <c r="HI124" s="242"/>
      <c r="HJ124" s="242"/>
      <c r="HK124" s="242"/>
      <c r="HL124" s="242"/>
      <c r="HM124" s="242"/>
      <c r="HN124" s="242"/>
      <c r="HO124" s="243"/>
    </row>
    <row r="125" spans="1:223" ht="12.75" hidden="1" customHeight="1">
      <c r="A125" s="83">
        <f t="shared" si="14"/>
        <v>120</v>
      </c>
      <c r="B125" s="84"/>
      <c r="C125" s="84"/>
      <c r="D125" s="84"/>
      <c r="E125" s="84"/>
      <c r="F125" s="84" t="str">
        <f t="shared" si="12"/>
        <v>///</v>
      </c>
      <c r="G125" s="249">
        <f t="shared" si="15"/>
        <v>0</v>
      </c>
      <c r="H125" s="240">
        <f t="shared" si="13"/>
        <v>0</v>
      </c>
      <c r="I125" s="243"/>
      <c r="J125" s="243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242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  <c r="AM125" s="242"/>
      <c r="AN125" s="242"/>
      <c r="AO125" s="242"/>
      <c r="AP125" s="242"/>
      <c r="AQ125" s="242"/>
      <c r="AR125" s="242"/>
      <c r="AS125" s="242"/>
      <c r="AT125" s="242"/>
      <c r="AU125" s="242"/>
      <c r="AV125" s="242"/>
      <c r="AW125" s="242"/>
      <c r="AX125" s="242"/>
      <c r="AY125" s="242"/>
      <c r="AZ125" s="242"/>
      <c r="BA125" s="242"/>
      <c r="BB125" s="242"/>
      <c r="BC125" s="242"/>
      <c r="BD125" s="242"/>
      <c r="BE125" s="242"/>
      <c r="BF125" s="242"/>
      <c r="BG125" s="242"/>
      <c r="BH125" s="242"/>
      <c r="BI125" s="242"/>
      <c r="BJ125" s="242"/>
      <c r="BK125" s="242"/>
      <c r="BL125" s="242"/>
      <c r="BM125" s="242"/>
      <c r="BN125" s="242"/>
      <c r="BO125" s="242"/>
      <c r="BP125" s="242"/>
      <c r="BQ125" s="242"/>
      <c r="BR125" s="242"/>
      <c r="BS125" s="242"/>
      <c r="BT125" s="242"/>
      <c r="BU125" s="242"/>
      <c r="BV125" s="242"/>
      <c r="BW125" s="242"/>
      <c r="BX125" s="242"/>
      <c r="BY125" s="242"/>
      <c r="BZ125" s="242"/>
      <c r="CA125" s="242"/>
      <c r="CB125" s="242"/>
      <c r="CC125" s="242"/>
      <c r="CD125" s="242"/>
      <c r="CE125" s="242"/>
      <c r="CF125" s="242"/>
      <c r="CG125" s="242"/>
      <c r="CH125" s="242"/>
      <c r="CI125" s="242"/>
      <c r="CJ125" s="242"/>
      <c r="CK125" s="242"/>
      <c r="CL125" s="242"/>
      <c r="CM125" s="242"/>
      <c r="CN125" s="242"/>
      <c r="CO125" s="242"/>
      <c r="CP125" s="242"/>
      <c r="CQ125" s="242"/>
      <c r="CR125" s="242"/>
      <c r="CS125" s="242"/>
      <c r="CT125" s="242"/>
      <c r="CU125" s="242"/>
      <c r="CV125" s="242"/>
      <c r="CW125" s="242"/>
      <c r="CX125" s="242"/>
      <c r="CY125" s="242"/>
      <c r="CZ125" s="242"/>
      <c r="DA125" s="242"/>
      <c r="DB125" s="242"/>
      <c r="DC125" s="242"/>
      <c r="DD125" s="242"/>
      <c r="DE125" s="242"/>
      <c r="DF125" s="242"/>
      <c r="DG125" s="242"/>
      <c r="DH125" s="242"/>
      <c r="DI125" s="242"/>
      <c r="DJ125" s="242"/>
      <c r="DK125" s="242"/>
      <c r="DL125" s="242"/>
      <c r="DM125" s="242"/>
      <c r="DN125" s="242"/>
      <c r="DO125" s="242"/>
      <c r="DP125" s="242"/>
      <c r="DQ125" s="242"/>
      <c r="DR125" s="242"/>
      <c r="DS125" s="242"/>
      <c r="DT125" s="242"/>
      <c r="DU125" s="242"/>
      <c r="DV125" s="242"/>
      <c r="DW125" s="242"/>
      <c r="DX125" s="242"/>
      <c r="DY125" s="242"/>
      <c r="DZ125" s="242"/>
      <c r="EA125" s="242"/>
      <c r="EB125" s="242"/>
      <c r="EC125" s="242"/>
      <c r="ED125" s="242"/>
      <c r="EE125" s="242"/>
      <c r="EF125" s="242"/>
      <c r="EG125" s="242"/>
      <c r="EH125" s="242"/>
      <c r="EI125" s="242"/>
      <c r="EJ125" s="242"/>
      <c r="EK125" s="242"/>
      <c r="EL125" s="242"/>
      <c r="EM125" s="242"/>
      <c r="EN125" s="242"/>
      <c r="EO125" s="242"/>
      <c r="EP125" s="242"/>
      <c r="EQ125" s="242"/>
      <c r="ER125" s="242"/>
      <c r="ES125" s="242"/>
      <c r="ET125" s="242"/>
      <c r="EU125" s="242"/>
      <c r="EV125" s="242"/>
      <c r="EW125" s="242"/>
      <c r="EX125" s="242"/>
      <c r="EY125" s="242"/>
      <c r="EZ125" s="242"/>
      <c r="FA125" s="242"/>
      <c r="FB125" s="242"/>
      <c r="FC125" s="242"/>
      <c r="FD125" s="242"/>
      <c r="FE125" s="242"/>
      <c r="FF125" s="242"/>
      <c r="FG125" s="242"/>
      <c r="FH125" s="242"/>
      <c r="FI125" s="242"/>
      <c r="FJ125" s="242"/>
      <c r="FK125" s="242"/>
      <c r="FL125" s="242"/>
      <c r="FM125" s="242"/>
      <c r="FN125" s="242"/>
      <c r="FO125" s="242"/>
      <c r="FP125" s="242"/>
      <c r="FQ125" s="242"/>
      <c r="FR125" s="242"/>
      <c r="FS125" s="242"/>
      <c r="FT125" s="242"/>
      <c r="FU125" s="242"/>
      <c r="FV125" s="242"/>
      <c r="FW125" s="242"/>
      <c r="FX125" s="242"/>
      <c r="FY125" s="242"/>
      <c r="FZ125" s="242"/>
      <c r="GA125" s="242"/>
      <c r="GB125" s="242"/>
      <c r="GC125" s="242"/>
      <c r="GD125" s="242"/>
      <c r="GE125" s="242"/>
      <c r="GF125" s="242"/>
      <c r="GG125" s="242"/>
      <c r="GH125" s="242"/>
      <c r="GI125" s="242"/>
      <c r="GJ125" s="242"/>
      <c r="GK125" s="242"/>
      <c r="GL125" s="242"/>
      <c r="GM125" s="242"/>
      <c r="GN125" s="242"/>
      <c r="GO125" s="242"/>
      <c r="GP125" s="242"/>
      <c r="GQ125" s="242"/>
      <c r="GR125" s="242"/>
      <c r="GS125" s="242"/>
      <c r="GT125" s="242"/>
      <c r="GU125" s="242"/>
      <c r="GV125" s="242"/>
      <c r="GW125" s="242"/>
      <c r="GX125" s="242"/>
      <c r="GY125" s="242"/>
      <c r="GZ125" s="242"/>
      <c r="HA125" s="242"/>
      <c r="HB125" s="242"/>
      <c r="HC125" s="242"/>
      <c r="HD125" s="242"/>
      <c r="HE125" s="242"/>
      <c r="HF125" s="242"/>
      <c r="HG125" s="242"/>
      <c r="HH125" s="242"/>
      <c r="HI125" s="242"/>
      <c r="HJ125" s="242"/>
      <c r="HK125" s="242"/>
      <c r="HL125" s="242"/>
      <c r="HM125" s="242"/>
      <c r="HN125" s="242"/>
      <c r="HO125" s="243"/>
    </row>
    <row r="126" spans="1:223" ht="12.75" hidden="1" customHeight="1">
      <c r="A126" s="83">
        <f t="shared" si="14"/>
        <v>121</v>
      </c>
      <c r="B126" s="84"/>
      <c r="C126" s="84"/>
      <c r="D126" s="84"/>
      <c r="E126" s="84"/>
      <c r="F126" s="84" t="str">
        <f t="shared" si="12"/>
        <v>///</v>
      </c>
      <c r="G126" s="249">
        <f t="shared" si="15"/>
        <v>0</v>
      </c>
      <c r="H126" s="240">
        <f t="shared" si="13"/>
        <v>0</v>
      </c>
      <c r="I126" s="243"/>
      <c r="J126" s="243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242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  <c r="AM126" s="242"/>
      <c r="AN126" s="242"/>
      <c r="AO126" s="242"/>
      <c r="AP126" s="242"/>
      <c r="AQ126" s="242"/>
      <c r="AR126" s="242"/>
      <c r="AS126" s="242"/>
      <c r="AT126" s="242"/>
      <c r="AU126" s="242"/>
      <c r="AV126" s="242"/>
      <c r="AW126" s="242"/>
      <c r="AX126" s="242"/>
      <c r="AY126" s="242"/>
      <c r="AZ126" s="242"/>
      <c r="BA126" s="242"/>
      <c r="BB126" s="242"/>
      <c r="BC126" s="242"/>
      <c r="BD126" s="242"/>
      <c r="BE126" s="242"/>
      <c r="BF126" s="242"/>
      <c r="BG126" s="242"/>
      <c r="BH126" s="242"/>
      <c r="BI126" s="242"/>
      <c r="BJ126" s="242"/>
      <c r="BK126" s="242"/>
      <c r="BL126" s="242"/>
      <c r="BM126" s="242"/>
      <c r="BN126" s="242"/>
      <c r="BO126" s="242"/>
      <c r="BP126" s="242"/>
      <c r="BQ126" s="242"/>
      <c r="BR126" s="242"/>
      <c r="BS126" s="242"/>
      <c r="BT126" s="242"/>
      <c r="BU126" s="242"/>
      <c r="BV126" s="242"/>
      <c r="BW126" s="242"/>
      <c r="BX126" s="242"/>
      <c r="BY126" s="242"/>
      <c r="BZ126" s="242"/>
      <c r="CA126" s="242"/>
      <c r="CB126" s="242"/>
      <c r="CC126" s="242"/>
      <c r="CD126" s="242"/>
      <c r="CE126" s="242"/>
      <c r="CF126" s="242"/>
      <c r="CG126" s="242"/>
      <c r="CH126" s="242"/>
      <c r="CI126" s="242"/>
      <c r="CJ126" s="242"/>
      <c r="CK126" s="242"/>
      <c r="CL126" s="242"/>
      <c r="CM126" s="242"/>
      <c r="CN126" s="242"/>
      <c r="CO126" s="242"/>
      <c r="CP126" s="242"/>
      <c r="CQ126" s="242"/>
      <c r="CR126" s="242"/>
      <c r="CS126" s="242"/>
      <c r="CT126" s="242"/>
      <c r="CU126" s="242"/>
      <c r="CV126" s="242"/>
      <c r="CW126" s="242"/>
      <c r="CX126" s="242"/>
      <c r="CY126" s="242"/>
      <c r="CZ126" s="242"/>
      <c r="DA126" s="242"/>
      <c r="DB126" s="242"/>
      <c r="DC126" s="242"/>
      <c r="DD126" s="242"/>
      <c r="DE126" s="242"/>
      <c r="DF126" s="242"/>
      <c r="DG126" s="242"/>
      <c r="DH126" s="242"/>
      <c r="DI126" s="242"/>
      <c r="DJ126" s="242"/>
      <c r="DK126" s="242"/>
      <c r="DL126" s="242"/>
      <c r="DM126" s="242"/>
      <c r="DN126" s="242"/>
      <c r="DO126" s="242"/>
      <c r="DP126" s="242"/>
      <c r="DQ126" s="242"/>
      <c r="DR126" s="242"/>
      <c r="DS126" s="242"/>
      <c r="DT126" s="242"/>
      <c r="DU126" s="242"/>
      <c r="DV126" s="242"/>
      <c r="DW126" s="242"/>
      <c r="DX126" s="242"/>
      <c r="DY126" s="242"/>
      <c r="DZ126" s="242"/>
      <c r="EA126" s="242"/>
      <c r="EB126" s="242"/>
      <c r="EC126" s="242"/>
      <c r="ED126" s="242"/>
      <c r="EE126" s="242"/>
      <c r="EF126" s="242"/>
      <c r="EG126" s="242"/>
      <c r="EH126" s="242"/>
      <c r="EI126" s="242"/>
      <c r="EJ126" s="242"/>
      <c r="EK126" s="242"/>
      <c r="EL126" s="242"/>
      <c r="EM126" s="242"/>
      <c r="EN126" s="242"/>
      <c r="EO126" s="242"/>
      <c r="EP126" s="242"/>
      <c r="EQ126" s="242"/>
      <c r="ER126" s="242"/>
      <c r="ES126" s="242"/>
      <c r="ET126" s="242"/>
      <c r="EU126" s="242"/>
      <c r="EV126" s="242"/>
      <c r="EW126" s="242"/>
      <c r="EX126" s="242"/>
      <c r="EY126" s="242"/>
      <c r="EZ126" s="242"/>
      <c r="FA126" s="242"/>
      <c r="FB126" s="242"/>
      <c r="FC126" s="242"/>
      <c r="FD126" s="242"/>
      <c r="FE126" s="242"/>
      <c r="FF126" s="242"/>
      <c r="FG126" s="242"/>
      <c r="FH126" s="242"/>
      <c r="FI126" s="242"/>
      <c r="FJ126" s="242"/>
      <c r="FK126" s="242"/>
      <c r="FL126" s="242"/>
      <c r="FM126" s="242"/>
      <c r="FN126" s="242"/>
      <c r="FO126" s="242"/>
      <c r="FP126" s="242"/>
      <c r="FQ126" s="242"/>
      <c r="FR126" s="242"/>
      <c r="FS126" s="242"/>
      <c r="FT126" s="242"/>
      <c r="FU126" s="242"/>
      <c r="FV126" s="242"/>
      <c r="FW126" s="242"/>
      <c r="FX126" s="242"/>
      <c r="FY126" s="242"/>
      <c r="FZ126" s="242"/>
      <c r="GA126" s="242"/>
      <c r="GB126" s="242"/>
      <c r="GC126" s="242"/>
      <c r="GD126" s="242"/>
      <c r="GE126" s="242"/>
      <c r="GF126" s="242"/>
      <c r="GG126" s="242"/>
      <c r="GH126" s="242"/>
      <c r="GI126" s="242"/>
      <c r="GJ126" s="242"/>
      <c r="GK126" s="242"/>
      <c r="GL126" s="242"/>
      <c r="GM126" s="242"/>
      <c r="GN126" s="242"/>
      <c r="GO126" s="242"/>
      <c r="GP126" s="242"/>
      <c r="GQ126" s="242"/>
      <c r="GR126" s="242"/>
      <c r="GS126" s="242"/>
      <c r="GT126" s="242"/>
      <c r="GU126" s="242"/>
      <c r="GV126" s="242"/>
      <c r="GW126" s="242"/>
      <c r="GX126" s="242"/>
      <c r="GY126" s="242"/>
      <c r="GZ126" s="242"/>
      <c r="HA126" s="242"/>
      <c r="HB126" s="242"/>
      <c r="HC126" s="242"/>
      <c r="HD126" s="242"/>
      <c r="HE126" s="242"/>
      <c r="HF126" s="242"/>
      <c r="HG126" s="242"/>
      <c r="HH126" s="242"/>
      <c r="HI126" s="242"/>
      <c r="HJ126" s="242"/>
      <c r="HK126" s="242"/>
      <c r="HL126" s="242"/>
      <c r="HM126" s="242"/>
      <c r="HN126" s="242"/>
      <c r="HO126" s="243"/>
    </row>
    <row r="127" spans="1:223" ht="12.75" hidden="1" customHeight="1">
      <c r="A127" s="83">
        <f t="shared" si="14"/>
        <v>122</v>
      </c>
      <c r="B127" s="84"/>
      <c r="C127" s="84"/>
      <c r="D127" s="84"/>
      <c r="E127" s="84"/>
      <c r="F127" s="84" t="str">
        <f t="shared" si="12"/>
        <v>///</v>
      </c>
      <c r="G127" s="249">
        <f t="shared" si="15"/>
        <v>0</v>
      </c>
      <c r="H127" s="240">
        <f t="shared" si="13"/>
        <v>0</v>
      </c>
      <c r="I127" s="243"/>
      <c r="J127" s="243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242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  <c r="AM127" s="242"/>
      <c r="AN127" s="242"/>
      <c r="AO127" s="242"/>
      <c r="AP127" s="242"/>
      <c r="AQ127" s="242"/>
      <c r="AR127" s="242"/>
      <c r="AS127" s="242"/>
      <c r="AT127" s="242"/>
      <c r="AU127" s="242"/>
      <c r="AV127" s="242"/>
      <c r="AW127" s="242"/>
      <c r="AX127" s="242"/>
      <c r="AY127" s="242"/>
      <c r="AZ127" s="242"/>
      <c r="BA127" s="242"/>
      <c r="BB127" s="242"/>
      <c r="BC127" s="242"/>
      <c r="BD127" s="242"/>
      <c r="BE127" s="242"/>
      <c r="BF127" s="242"/>
      <c r="BG127" s="242"/>
      <c r="BH127" s="242"/>
      <c r="BI127" s="242"/>
      <c r="BJ127" s="242"/>
      <c r="BK127" s="242"/>
      <c r="BL127" s="242"/>
      <c r="BM127" s="242"/>
      <c r="BN127" s="242"/>
      <c r="BO127" s="242"/>
      <c r="BP127" s="242"/>
      <c r="BQ127" s="242"/>
      <c r="BR127" s="242"/>
      <c r="BS127" s="242"/>
      <c r="BT127" s="242"/>
      <c r="BU127" s="242"/>
      <c r="BV127" s="242"/>
      <c r="BW127" s="242"/>
      <c r="BX127" s="242"/>
      <c r="BY127" s="242"/>
      <c r="BZ127" s="242"/>
      <c r="CA127" s="242"/>
      <c r="CB127" s="242"/>
      <c r="CC127" s="242"/>
      <c r="CD127" s="242"/>
      <c r="CE127" s="242"/>
      <c r="CF127" s="242"/>
      <c r="CG127" s="242"/>
      <c r="CH127" s="242"/>
      <c r="CI127" s="242"/>
      <c r="CJ127" s="242"/>
      <c r="CK127" s="242"/>
      <c r="CL127" s="242"/>
      <c r="CM127" s="242"/>
      <c r="CN127" s="242"/>
      <c r="CO127" s="242"/>
      <c r="CP127" s="242"/>
      <c r="CQ127" s="242"/>
      <c r="CR127" s="242"/>
      <c r="CS127" s="242"/>
      <c r="CT127" s="242"/>
      <c r="CU127" s="242"/>
      <c r="CV127" s="242"/>
      <c r="CW127" s="242"/>
      <c r="CX127" s="242"/>
      <c r="CY127" s="242"/>
      <c r="CZ127" s="242"/>
      <c r="DA127" s="242"/>
      <c r="DB127" s="242"/>
      <c r="DC127" s="242"/>
      <c r="DD127" s="242"/>
      <c r="DE127" s="242"/>
      <c r="DF127" s="242"/>
      <c r="DG127" s="242"/>
      <c r="DH127" s="242"/>
      <c r="DI127" s="242"/>
      <c r="DJ127" s="242"/>
      <c r="DK127" s="242"/>
      <c r="DL127" s="242"/>
      <c r="DM127" s="242"/>
      <c r="DN127" s="242"/>
      <c r="DO127" s="242"/>
      <c r="DP127" s="242"/>
      <c r="DQ127" s="242"/>
      <c r="DR127" s="242"/>
      <c r="DS127" s="242"/>
      <c r="DT127" s="242"/>
      <c r="DU127" s="242"/>
      <c r="DV127" s="242"/>
      <c r="DW127" s="242"/>
      <c r="DX127" s="242"/>
      <c r="DY127" s="242"/>
      <c r="DZ127" s="242"/>
      <c r="EA127" s="242"/>
      <c r="EB127" s="242"/>
      <c r="EC127" s="242"/>
      <c r="ED127" s="242"/>
      <c r="EE127" s="242"/>
      <c r="EF127" s="242"/>
      <c r="EG127" s="242"/>
      <c r="EH127" s="242"/>
      <c r="EI127" s="242"/>
      <c r="EJ127" s="242"/>
      <c r="EK127" s="242"/>
      <c r="EL127" s="242"/>
      <c r="EM127" s="242"/>
      <c r="EN127" s="242"/>
      <c r="EO127" s="242"/>
      <c r="EP127" s="242"/>
      <c r="EQ127" s="242"/>
      <c r="ER127" s="242"/>
      <c r="ES127" s="242"/>
      <c r="ET127" s="242"/>
      <c r="EU127" s="242"/>
      <c r="EV127" s="242"/>
      <c r="EW127" s="242"/>
      <c r="EX127" s="242"/>
      <c r="EY127" s="242"/>
      <c r="EZ127" s="242"/>
      <c r="FA127" s="242"/>
      <c r="FB127" s="242"/>
      <c r="FC127" s="242"/>
      <c r="FD127" s="242"/>
      <c r="FE127" s="242"/>
      <c r="FF127" s="242"/>
      <c r="FG127" s="242"/>
      <c r="FH127" s="242"/>
      <c r="FI127" s="242"/>
      <c r="FJ127" s="242"/>
      <c r="FK127" s="242"/>
      <c r="FL127" s="242"/>
      <c r="FM127" s="242"/>
      <c r="FN127" s="242"/>
      <c r="FO127" s="242"/>
      <c r="FP127" s="242"/>
      <c r="FQ127" s="242"/>
      <c r="FR127" s="242"/>
      <c r="FS127" s="242"/>
      <c r="FT127" s="242"/>
      <c r="FU127" s="242"/>
      <c r="FV127" s="242"/>
      <c r="FW127" s="242"/>
      <c r="FX127" s="242"/>
      <c r="FY127" s="242"/>
      <c r="FZ127" s="242"/>
      <c r="GA127" s="242"/>
      <c r="GB127" s="242"/>
      <c r="GC127" s="242"/>
      <c r="GD127" s="242"/>
      <c r="GE127" s="242"/>
      <c r="GF127" s="242"/>
      <c r="GG127" s="242"/>
      <c r="GH127" s="242"/>
      <c r="GI127" s="242"/>
      <c r="GJ127" s="242"/>
      <c r="GK127" s="242"/>
      <c r="GL127" s="242"/>
      <c r="GM127" s="242"/>
      <c r="GN127" s="242"/>
      <c r="GO127" s="242"/>
      <c r="GP127" s="242"/>
      <c r="GQ127" s="242"/>
      <c r="GR127" s="242"/>
      <c r="GS127" s="242"/>
      <c r="GT127" s="242"/>
      <c r="GU127" s="242"/>
      <c r="GV127" s="242"/>
      <c r="GW127" s="242"/>
      <c r="GX127" s="242"/>
      <c r="GY127" s="242"/>
      <c r="GZ127" s="242"/>
      <c r="HA127" s="242"/>
      <c r="HB127" s="242"/>
      <c r="HC127" s="242"/>
      <c r="HD127" s="242"/>
      <c r="HE127" s="242"/>
      <c r="HF127" s="242"/>
      <c r="HG127" s="242"/>
      <c r="HH127" s="242"/>
      <c r="HI127" s="242"/>
      <c r="HJ127" s="242"/>
      <c r="HK127" s="242"/>
      <c r="HL127" s="242"/>
      <c r="HM127" s="242"/>
      <c r="HN127" s="242"/>
      <c r="HO127" s="243"/>
    </row>
    <row r="128" spans="1:223" ht="12.75" hidden="1" customHeight="1">
      <c r="A128" s="83">
        <f t="shared" si="14"/>
        <v>123</v>
      </c>
      <c r="B128" s="84"/>
      <c r="C128" s="84"/>
      <c r="D128" s="84"/>
      <c r="E128" s="84"/>
      <c r="F128" s="84" t="str">
        <f t="shared" si="12"/>
        <v>///</v>
      </c>
      <c r="G128" s="249">
        <f t="shared" si="15"/>
        <v>0</v>
      </c>
      <c r="H128" s="240">
        <f t="shared" si="13"/>
        <v>0</v>
      </c>
      <c r="I128" s="243"/>
      <c r="J128" s="243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242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  <c r="AM128" s="242"/>
      <c r="AN128" s="242"/>
      <c r="AO128" s="242"/>
      <c r="AP128" s="242"/>
      <c r="AQ128" s="242"/>
      <c r="AR128" s="242"/>
      <c r="AS128" s="242"/>
      <c r="AT128" s="242"/>
      <c r="AU128" s="242"/>
      <c r="AV128" s="242"/>
      <c r="AW128" s="242"/>
      <c r="AX128" s="242"/>
      <c r="AY128" s="242"/>
      <c r="AZ128" s="242"/>
      <c r="BA128" s="242"/>
      <c r="BB128" s="242"/>
      <c r="BC128" s="242"/>
      <c r="BD128" s="242"/>
      <c r="BE128" s="242"/>
      <c r="BF128" s="242"/>
      <c r="BG128" s="242"/>
      <c r="BH128" s="242"/>
      <c r="BI128" s="242"/>
      <c r="BJ128" s="242"/>
      <c r="BK128" s="242"/>
      <c r="BL128" s="242"/>
      <c r="BM128" s="242"/>
      <c r="BN128" s="242"/>
      <c r="BO128" s="242"/>
      <c r="BP128" s="242"/>
      <c r="BQ128" s="242"/>
      <c r="BR128" s="242"/>
      <c r="BS128" s="242"/>
      <c r="BT128" s="242"/>
      <c r="BU128" s="242"/>
      <c r="BV128" s="242"/>
      <c r="BW128" s="242"/>
      <c r="BX128" s="242"/>
      <c r="BY128" s="242"/>
      <c r="BZ128" s="242"/>
      <c r="CA128" s="242"/>
      <c r="CB128" s="242"/>
      <c r="CC128" s="242"/>
      <c r="CD128" s="242"/>
      <c r="CE128" s="242"/>
      <c r="CF128" s="242"/>
      <c r="CG128" s="242"/>
      <c r="CH128" s="242"/>
      <c r="CI128" s="242"/>
      <c r="CJ128" s="242"/>
      <c r="CK128" s="242"/>
      <c r="CL128" s="242"/>
      <c r="CM128" s="242"/>
      <c r="CN128" s="242"/>
      <c r="CO128" s="242"/>
      <c r="CP128" s="242"/>
      <c r="CQ128" s="242"/>
      <c r="CR128" s="242"/>
      <c r="CS128" s="242"/>
      <c r="CT128" s="242"/>
      <c r="CU128" s="242"/>
      <c r="CV128" s="242"/>
      <c r="CW128" s="242"/>
      <c r="CX128" s="242"/>
      <c r="CY128" s="242"/>
      <c r="CZ128" s="242"/>
      <c r="DA128" s="242"/>
      <c r="DB128" s="242"/>
      <c r="DC128" s="242"/>
      <c r="DD128" s="242"/>
      <c r="DE128" s="242"/>
      <c r="DF128" s="242"/>
      <c r="DG128" s="242"/>
      <c r="DH128" s="242"/>
      <c r="DI128" s="242"/>
      <c r="DJ128" s="242"/>
      <c r="DK128" s="242"/>
      <c r="DL128" s="242"/>
      <c r="DM128" s="242"/>
      <c r="DN128" s="242"/>
      <c r="DO128" s="242"/>
      <c r="DP128" s="242"/>
      <c r="DQ128" s="242"/>
      <c r="DR128" s="242"/>
      <c r="DS128" s="242"/>
      <c r="DT128" s="242"/>
      <c r="DU128" s="242"/>
      <c r="DV128" s="242"/>
      <c r="DW128" s="242"/>
      <c r="DX128" s="242"/>
      <c r="DY128" s="242"/>
      <c r="DZ128" s="242"/>
      <c r="EA128" s="242"/>
      <c r="EB128" s="242"/>
      <c r="EC128" s="242"/>
      <c r="ED128" s="242"/>
      <c r="EE128" s="242"/>
      <c r="EF128" s="242"/>
      <c r="EG128" s="242"/>
      <c r="EH128" s="242"/>
      <c r="EI128" s="242"/>
      <c r="EJ128" s="242"/>
      <c r="EK128" s="242"/>
      <c r="EL128" s="242"/>
      <c r="EM128" s="242"/>
      <c r="EN128" s="242"/>
      <c r="EO128" s="242"/>
      <c r="EP128" s="242"/>
      <c r="EQ128" s="242"/>
      <c r="ER128" s="242"/>
      <c r="ES128" s="242"/>
      <c r="ET128" s="242"/>
      <c r="EU128" s="242"/>
      <c r="EV128" s="242"/>
      <c r="EW128" s="242"/>
      <c r="EX128" s="242"/>
      <c r="EY128" s="242"/>
      <c r="EZ128" s="242"/>
      <c r="FA128" s="242"/>
      <c r="FB128" s="242"/>
      <c r="FC128" s="242"/>
      <c r="FD128" s="242"/>
      <c r="FE128" s="242"/>
      <c r="FF128" s="242"/>
      <c r="FG128" s="242"/>
      <c r="FH128" s="242"/>
      <c r="FI128" s="242"/>
      <c r="FJ128" s="242"/>
      <c r="FK128" s="242"/>
      <c r="FL128" s="242"/>
      <c r="FM128" s="242"/>
      <c r="FN128" s="242"/>
      <c r="FO128" s="242"/>
      <c r="FP128" s="242"/>
      <c r="FQ128" s="242"/>
      <c r="FR128" s="242"/>
      <c r="FS128" s="242"/>
      <c r="FT128" s="242"/>
      <c r="FU128" s="242"/>
      <c r="FV128" s="242"/>
      <c r="FW128" s="242"/>
      <c r="FX128" s="242"/>
      <c r="FY128" s="242"/>
      <c r="FZ128" s="242"/>
      <c r="GA128" s="242"/>
      <c r="GB128" s="242"/>
      <c r="GC128" s="242"/>
      <c r="GD128" s="242"/>
      <c r="GE128" s="242"/>
      <c r="GF128" s="242"/>
      <c r="GG128" s="242"/>
      <c r="GH128" s="242"/>
      <c r="GI128" s="242"/>
      <c r="GJ128" s="242"/>
      <c r="GK128" s="242"/>
      <c r="GL128" s="242"/>
      <c r="GM128" s="242"/>
      <c r="GN128" s="242"/>
      <c r="GO128" s="242"/>
      <c r="GP128" s="242"/>
      <c r="GQ128" s="242"/>
      <c r="GR128" s="242"/>
      <c r="GS128" s="242"/>
      <c r="GT128" s="242"/>
      <c r="GU128" s="242"/>
      <c r="GV128" s="242"/>
      <c r="GW128" s="242"/>
      <c r="GX128" s="242"/>
      <c r="GY128" s="242"/>
      <c r="GZ128" s="242"/>
      <c r="HA128" s="242"/>
      <c r="HB128" s="242"/>
      <c r="HC128" s="242"/>
      <c r="HD128" s="242"/>
      <c r="HE128" s="242"/>
      <c r="HF128" s="242"/>
      <c r="HG128" s="242"/>
      <c r="HH128" s="242"/>
      <c r="HI128" s="242"/>
      <c r="HJ128" s="242"/>
      <c r="HK128" s="242"/>
      <c r="HL128" s="242"/>
      <c r="HM128" s="242"/>
      <c r="HN128" s="242"/>
      <c r="HO128" s="243"/>
    </row>
    <row r="129" spans="1:223" ht="12.75" hidden="1" customHeight="1">
      <c r="A129" s="83">
        <f t="shared" si="14"/>
        <v>124</v>
      </c>
      <c r="B129" s="84"/>
      <c r="C129" s="84"/>
      <c r="D129" s="84"/>
      <c r="E129" s="84"/>
      <c r="F129" s="84" t="str">
        <f t="shared" si="12"/>
        <v>///</v>
      </c>
      <c r="G129" s="249">
        <f t="shared" si="15"/>
        <v>0</v>
      </c>
      <c r="H129" s="240">
        <f t="shared" si="13"/>
        <v>0</v>
      </c>
      <c r="I129" s="243"/>
      <c r="J129" s="243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242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  <c r="AM129" s="242"/>
      <c r="AN129" s="242"/>
      <c r="AO129" s="242"/>
      <c r="AP129" s="242"/>
      <c r="AQ129" s="242"/>
      <c r="AR129" s="242"/>
      <c r="AS129" s="242"/>
      <c r="AT129" s="242"/>
      <c r="AU129" s="242"/>
      <c r="AV129" s="242"/>
      <c r="AW129" s="242"/>
      <c r="AX129" s="242"/>
      <c r="AY129" s="242"/>
      <c r="AZ129" s="242"/>
      <c r="BA129" s="242"/>
      <c r="BB129" s="242"/>
      <c r="BC129" s="242"/>
      <c r="BD129" s="242"/>
      <c r="BE129" s="242"/>
      <c r="BF129" s="242"/>
      <c r="BG129" s="242"/>
      <c r="BH129" s="242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2"/>
      <c r="BS129" s="242"/>
      <c r="BT129" s="242"/>
      <c r="BU129" s="242"/>
      <c r="BV129" s="242"/>
      <c r="BW129" s="242"/>
      <c r="BX129" s="242"/>
      <c r="BY129" s="242"/>
      <c r="BZ129" s="242"/>
      <c r="CA129" s="242"/>
      <c r="CB129" s="242"/>
      <c r="CC129" s="242"/>
      <c r="CD129" s="242"/>
      <c r="CE129" s="242"/>
      <c r="CF129" s="242"/>
      <c r="CG129" s="242"/>
      <c r="CH129" s="242"/>
      <c r="CI129" s="242"/>
      <c r="CJ129" s="242"/>
      <c r="CK129" s="242"/>
      <c r="CL129" s="242"/>
      <c r="CM129" s="242"/>
      <c r="CN129" s="242"/>
      <c r="CO129" s="242"/>
      <c r="CP129" s="242"/>
      <c r="CQ129" s="242"/>
      <c r="CR129" s="242"/>
      <c r="CS129" s="242"/>
      <c r="CT129" s="242"/>
      <c r="CU129" s="242"/>
      <c r="CV129" s="242"/>
      <c r="CW129" s="242"/>
      <c r="CX129" s="242"/>
      <c r="CY129" s="242"/>
      <c r="CZ129" s="242"/>
      <c r="DA129" s="242"/>
      <c r="DB129" s="242"/>
      <c r="DC129" s="242"/>
      <c r="DD129" s="242"/>
      <c r="DE129" s="242"/>
      <c r="DF129" s="242"/>
      <c r="DG129" s="242"/>
      <c r="DH129" s="242"/>
      <c r="DI129" s="242"/>
      <c r="DJ129" s="242"/>
      <c r="DK129" s="242"/>
      <c r="DL129" s="242"/>
      <c r="DM129" s="242"/>
      <c r="DN129" s="242"/>
      <c r="DO129" s="242"/>
      <c r="DP129" s="242"/>
      <c r="DQ129" s="242"/>
      <c r="DR129" s="242"/>
      <c r="DS129" s="242"/>
      <c r="DT129" s="242"/>
      <c r="DU129" s="242"/>
      <c r="DV129" s="242"/>
      <c r="DW129" s="242"/>
      <c r="DX129" s="242"/>
      <c r="DY129" s="242"/>
      <c r="DZ129" s="242"/>
      <c r="EA129" s="242"/>
      <c r="EB129" s="242"/>
      <c r="EC129" s="242"/>
      <c r="ED129" s="242"/>
      <c r="EE129" s="242"/>
      <c r="EF129" s="242"/>
      <c r="EG129" s="242"/>
      <c r="EH129" s="242"/>
      <c r="EI129" s="242"/>
      <c r="EJ129" s="242"/>
      <c r="EK129" s="242"/>
      <c r="EL129" s="242"/>
      <c r="EM129" s="242"/>
      <c r="EN129" s="242"/>
      <c r="EO129" s="242"/>
      <c r="EP129" s="242"/>
      <c r="EQ129" s="242"/>
      <c r="ER129" s="242"/>
      <c r="ES129" s="242"/>
      <c r="ET129" s="242"/>
      <c r="EU129" s="242"/>
      <c r="EV129" s="242"/>
      <c r="EW129" s="242"/>
      <c r="EX129" s="242"/>
      <c r="EY129" s="242"/>
      <c r="EZ129" s="242"/>
      <c r="FA129" s="242"/>
      <c r="FB129" s="242"/>
      <c r="FC129" s="242"/>
      <c r="FD129" s="242"/>
      <c r="FE129" s="242"/>
      <c r="FF129" s="242"/>
      <c r="FG129" s="242"/>
      <c r="FH129" s="242"/>
      <c r="FI129" s="242"/>
      <c r="FJ129" s="242"/>
      <c r="FK129" s="242"/>
      <c r="FL129" s="242"/>
      <c r="FM129" s="242"/>
      <c r="FN129" s="242"/>
      <c r="FO129" s="242"/>
      <c r="FP129" s="242"/>
      <c r="FQ129" s="242"/>
      <c r="FR129" s="242"/>
      <c r="FS129" s="242"/>
      <c r="FT129" s="242"/>
      <c r="FU129" s="242"/>
      <c r="FV129" s="242"/>
      <c r="FW129" s="242"/>
      <c r="FX129" s="242"/>
      <c r="FY129" s="242"/>
      <c r="FZ129" s="242"/>
      <c r="GA129" s="242"/>
      <c r="GB129" s="242"/>
      <c r="GC129" s="242"/>
      <c r="GD129" s="242"/>
      <c r="GE129" s="242"/>
      <c r="GF129" s="242"/>
      <c r="GG129" s="242"/>
      <c r="GH129" s="242"/>
      <c r="GI129" s="242"/>
      <c r="GJ129" s="242"/>
      <c r="GK129" s="242"/>
      <c r="GL129" s="242"/>
      <c r="GM129" s="242"/>
      <c r="GN129" s="242"/>
      <c r="GO129" s="242"/>
      <c r="GP129" s="242"/>
      <c r="GQ129" s="242"/>
      <c r="GR129" s="242"/>
      <c r="GS129" s="242"/>
      <c r="GT129" s="242"/>
      <c r="GU129" s="242"/>
      <c r="GV129" s="242"/>
      <c r="GW129" s="242"/>
      <c r="GX129" s="242"/>
      <c r="GY129" s="242"/>
      <c r="GZ129" s="242"/>
      <c r="HA129" s="242"/>
      <c r="HB129" s="242"/>
      <c r="HC129" s="242"/>
      <c r="HD129" s="242"/>
      <c r="HE129" s="242"/>
      <c r="HF129" s="242"/>
      <c r="HG129" s="242"/>
      <c r="HH129" s="242"/>
      <c r="HI129" s="242"/>
      <c r="HJ129" s="242"/>
      <c r="HK129" s="242"/>
      <c r="HL129" s="242"/>
      <c r="HM129" s="242"/>
      <c r="HN129" s="242"/>
      <c r="HO129" s="243"/>
    </row>
    <row r="130" spans="1:223" ht="12.75" hidden="1" customHeight="1">
      <c r="A130" s="83">
        <f t="shared" si="14"/>
        <v>125</v>
      </c>
      <c r="B130" s="84"/>
      <c r="C130" s="84"/>
      <c r="D130" s="84"/>
      <c r="E130" s="84"/>
      <c r="F130" s="84" t="str">
        <f t="shared" si="12"/>
        <v>///</v>
      </c>
      <c r="G130" s="249">
        <f t="shared" si="15"/>
        <v>0</v>
      </c>
      <c r="H130" s="240">
        <f t="shared" si="13"/>
        <v>0</v>
      </c>
      <c r="I130" s="243"/>
      <c r="J130" s="243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242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  <c r="AM130" s="242"/>
      <c r="AN130" s="242"/>
      <c r="AO130" s="242"/>
      <c r="AP130" s="242"/>
      <c r="AQ130" s="242"/>
      <c r="AR130" s="242"/>
      <c r="AS130" s="242"/>
      <c r="AT130" s="242"/>
      <c r="AU130" s="242"/>
      <c r="AV130" s="242"/>
      <c r="AW130" s="242"/>
      <c r="AX130" s="242"/>
      <c r="AY130" s="242"/>
      <c r="AZ130" s="242"/>
      <c r="BA130" s="242"/>
      <c r="BB130" s="242"/>
      <c r="BC130" s="242"/>
      <c r="BD130" s="242"/>
      <c r="BE130" s="242"/>
      <c r="BF130" s="242"/>
      <c r="BG130" s="242"/>
      <c r="BH130" s="242"/>
      <c r="BI130" s="242"/>
      <c r="BJ130" s="242"/>
      <c r="BK130" s="242"/>
      <c r="BL130" s="242"/>
      <c r="BM130" s="242"/>
      <c r="BN130" s="242"/>
      <c r="BO130" s="242"/>
      <c r="BP130" s="242"/>
      <c r="BQ130" s="242"/>
      <c r="BR130" s="242"/>
      <c r="BS130" s="242"/>
      <c r="BT130" s="242"/>
      <c r="BU130" s="242"/>
      <c r="BV130" s="242"/>
      <c r="BW130" s="242"/>
      <c r="BX130" s="242"/>
      <c r="BY130" s="242"/>
      <c r="BZ130" s="242"/>
      <c r="CA130" s="242"/>
      <c r="CB130" s="242"/>
      <c r="CC130" s="242"/>
      <c r="CD130" s="242"/>
      <c r="CE130" s="242"/>
      <c r="CF130" s="242"/>
      <c r="CG130" s="242"/>
      <c r="CH130" s="242"/>
      <c r="CI130" s="242"/>
      <c r="CJ130" s="242"/>
      <c r="CK130" s="242"/>
      <c r="CL130" s="242"/>
      <c r="CM130" s="242"/>
      <c r="CN130" s="242"/>
      <c r="CO130" s="242"/>
      <c r="CP130" s="242"/>
      <c r="CQ130" s="242"/>
      <c r="CR130" s="242"/>
      <c r="CS130" s="242"/>
      <c r="CT130" s="242"/>
      <c r="CU130" s="242"/>
      <c r="CV130" s="242"/>
      <c r="CW130" s="242"/>
      <c r="CX130" s="242"/>
      <c r="CY130" s="242"/>
      <c r="CZ130" s="242"/>
      <c r="DA130" s="242"/>
      <c r="DB130" s="242"/>
      <c r="DC130" s="242"/>
      <c r="DD130" s="242"/>
      <c r="DE130" s="242"/>
      <c r="DF130" s="242"/>
      <c r="DG130" s="242"/>
      <c r="DH130" s="242"/>
      <c r="DI130" s="242"/>
      <c r="DJ130" s="242"/>
      <c r="DK130" s="242"/>
      <c r="DL130" s="242"/>
      <c r="DM130" s="242"/>
      <c r="DN130" s="242"/>
      <c r="DO130" s="242"/>
      <c r="DP130" s="242"/>
      <c r="DQ130" s="242"/>
      <c r="DR130" s="242"/>
      <c r="DS130" s="242"/>
      <c r="DT130" s="242"/>
      <c r="DU130" s="242"/>
      <c r="DV130" s="242"/>
      <c r="DW130" s="242"/>
      <c r="DX130" s="242"/>
      <c r="DY130" s="242"/>
      <c r="DZ130" s="242"/>
      <c r="EA130" s="242"/>
      <c r="EB130" s="242"/>
      <c r="EC130" s="242"/>
      <c r="ED130" s="242"/>
      <c r="EE130" s="242"/>
      <c r="EF130" s="242"/>
      <c r="EG130" s="242"/>
      <c r="EH130" s="242"/>
      <c r="EI130" s="242"/>
      <c r="EJ130" s="242"/>
      <c r="EK130" s="242"/>
      <c r="EL130" s="242"/>
      <c r="EM130" s="242"/>
      <c r="EN130" s="242"/>
      <c r="EO130" s="242"/>
      <c r="EP130" s="242"/>
      <c r="EQ130" s="242"/>
      <c r="ER130" s="242"/>
      <c r="ES130" s="242"/>
      <c r="ET130" s="242"/>
      <c r="EU130" s="242"/>
      <c r="EV130" s="242"/>
      <c r="EW130" s="242"/>
      <c r="EX130" s="242"/>
      <c r="EY130" s="242"/>
      <c r="EZ130" s="242"/>
      <c r="FA130" s="242"/>
      <c r="FB130" s="242"/>
      <c r="FC130" s="242"/>
      <c r="FD130" s="242"/>
      <c r="FE130" s="242"/>
      <c r="FF130" s="242"/>
      <c r="FG130" s="242"/>
      <c r="FH130" s="242"/>
      <c r="FI130" s="242"/>
      <c r="FJ130" s="242"/>
      <c r="FK130" s="242"/>
      <c r="FL130" s="242"/>
      <c r="FM130" s="242"/>
      <c r="FN130" s="242"/>
      <c r="FO130" s="242"/>
      <c r="FP130" s="242"/>
      <c r="FQ130" s="242"/>
      <c r="FR130" s="242"/>
      <c r="FS130" s="242"/>
      <c r="FT130" s="242"/>
      <c r="FU130" s="242"/>
      <c r="FV130" s="242"/>
      <c r="FW130" s="242"/>
      <c r="FX130" s="242"/>
      <c r="FY130" s="242"/>
      <c r="FZ130" s="242"/>
      <c r="GA130" s="242"/>
      <c r="GB130" s="242"/>
      <c r="GC130" s="242"/>
      <c r="GD130" s="242"/>
      <c r="GE130" s="242"/>
      <c r="GF130" s="242"/>
      <c r="GG130" s="242"/>
      <c r="GH130" s="242"/>
      <c r="GI130" s="242"/>
      <c r="GJ130" s="242"/>
      <c r="GK130" s="242"/>
      <c r="GL130" s="242"/>
      <c r="GM130" s="242"/>
      <c r="GN130" s="242"/>
      <c r="GO130" s="242"/>
      <c r="GP130" s="242"/>
      <c r="GQ130" s="242"/>
      <c r="GR130" s="242"/>
      <c r="GS130" s="242"/>
      <c r="GT130" s="242"/>
      <c r="GU130" s="242"/>
      <c r="GV130" s="242"/>
      <c r="GW130" s="242"/>
      <c r="GX130" s="242"/>
      <c r="GY130" s="242"/>
      <c r="GZ130" s="242"/>
      <c r="HA130" s="242"/>
      <c r="HB130" s="242"/>
      <c r="HC130" s="242"/>
      <c r="HD130" s="242"/>
      <c r="HE130" s="242"/>
      <c r="HF130" s="242"/>
      <c r="HG130" s="242"/>
      <c r="HH130" s="242"/>
      <c r="HI130" s="242"/>
      <c r="HJ130" s="242"/>
      <c r="HK130" s="242"/>
      <c r="HL130" s="242"/>
      <c r="HM130" s="242"/>
      <c r="HN130" s="242"/>
      <c r="HO130" s="243"/>
    </row>
    <row r="131" spans="1:223" ht="12.75" hidden="1" customHeight="1">
      <c r="A131" s="83">
        <f t="shared" si="14"/>
        <v>126</v>
      </c>
      <c r="B131" s="84"/>
      <c r="C131" s="84"/>
      <c r="D131" s="84"/>
      <c r="E131" s="84"/>
      <c r="F131" s="84" t="str">
        <f t="shared" si="12"/>
        <v>///</v>
      </c>
      <c r="G131" s="249">
        <f t="shared" si="15"/>
        <v>0</v>
      </c>
      <c r="H131" s="240">
        <f t="shared" si="13"/>
        <v>0</v>
      </c>
      <c r="I131" s="243"/>
      <c r="J131" s="243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242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  <c r="AM131" s="242"/>
      <c r="AN131" s="242"/>
      <c r="AO131" s="242"/>
      <c r="AP131" s="242"/>
      <c r="AQ131" s="242"/>
      <c r="AR131" s="242"/>
      <c r="AS131" s="242"/>
      <c r="AT131" s="242"/>
      <c r="AU131" s="242"/>
      <c r="AV131" s="242"/>
      <c r="AW131" s="242"/>
      <c r="AX131" s="242"/>
      <c r="AY131" s="242"/>
      <c r="AZ131" s="242"/>
      <c r="BA131" s="242"/>
      <c r="BB131" s="242"/>
      <c r="BC131" s="242"/>
      <c r="BD131" s="242"/>
      <c r="BE131" s="242"/>
      <c r="BF131" s="242"/>
      <c r="BG131" s="242"/>
      <c r="BH131" s="242"/>
      <c r="BI131" s="242"/>
      <c r="BJ131" s="242"/>
      <c r="BK131" s="242"/>
      <c r="BL131" s="242"/>
      <c r="BM131" s="242"/>
      <c r="BN131" s="242"/>
      <c r="BO131" s="242"/>
      <c r="BP131" s="242"/>
      <c r="BQ131" s="242"/>
      <c r="BR131" s="242"/>
      <c r="BS131" s="242"/>
      <c r="BT131" s="242"/>
      <c r="BU131" s="242"/>
      <c r="BV131" s="242"/>
      <c r="BW131" s="242"/>
      <c r="BX131" s="242"/>
      <c r="BY131" s="242"/>
      <c r="BZ131" s="242"/>
      <c r="CA131" s="242"/>
      <c r="CB131" s="242"/>
      <c r="CC131" s="242"/>
      <c r="CD131" s="242"/>
      <c r="CE131" s="242"/>
      <c r="CF131" s="242"/>
      <c r="CG131" s="242"/>
      <c r="CH131" s="242"/>
      <c r="CI131" s="242"/>
      <c r="CJ131" s="242"/>
      <c r="CK131" s="242"/>
      <c r="CL131" s="242"/>
      <c r="CM131" s="242"/>
      <c r="CN131" s="242"/>
      <c r="CO131" s="242"/>
      <c r="CP131" s="242"/>
      <c r="CQ131" s="242"/>
      <c r="CR131" s="242"/>
      <c r="CS131" s="242"/>
      <c r="CT131" s="242"/>
      <c r="CU131" s="242"/>
      <c r="CV131" s="242"/>
      <c r="CW131" s="242"/>
      <c r="CX131" s="242"/>
      <c r="CY131" s="242"/>
      <c r="CZ131" s="242"/>
      <c r="DA131" s="242"/>
      <c r="DB131" s="242"/>
      <c r="DC131" s="242"/>
      <c r="DD131" s="242"/>
      <c r="DE131" s="242"/>
      <c r="DF131" s="242"/>
      <c r="DG131" s="242"/>
      <c r="DH131" s="242"/>
      <c r="DI131" s="242"/>
      <c r="DJ131" s="242"/>
      <c r="DK131" s="242"/>
      <c r="DL131" s="242"/>
      <c r="DM131" s="242"/>
      <c r="DN131" s="242"/>
      <c r="DO131" s="242"/>
      <c r="DP131" s="242"/>
      <c r="DQ131" s="242"/>
      <c r="DR131" s="242"/>
      <c r="DS131" s="242"/>
      <c r="DT131" s="242"/>
      <c r="DU131" s="242"/>
      <c r="DV131" s="242"/>
      <c r="DW131" s="242"/>
      <c r="DX131" s="242"/>
      <c r="DY131" s="242"/>
      <c r="DZ131" s="242"/>
      <c r="EA131" s="242"/>
      <c r="EB131" s="242"/>
      <c r="EC131" s="242"/>
      <c r="ED131" s="242"/>
      <c r="EE131" s="242"/>
      <c r="EF131" s="242"/>
      <c r="EG131" s="242"/>
      <c r="EH131" s="242"/>
      <c r="EI131" s="242"/>
      <c r="EJ131" s="242"/>
      <c r="EK131" s="242"/>
      <c r="EL131" s="242"/>
      <c r="EM131" s="242"/>
      <c r="EN131" s="242"/>
      <c r="EO131" s="242"/>
      <c r="EP131" s="242"/>
      <c r="EQ131" s="242"/>
      <c r="ER131" s="242"/>
      <c r="ES131" s="242"/>
      <c r="ET131" s="242"/>
      <c r="EU131" s="242"/>
      <c r="EV131" s="242"/>
      <c r="EW131" s="242"/>
      <c r="EX131" s="242"/>
      <c r="EY131" s="242"/>
      <c r="EZ131" s="242"/>
      <c r="FA131" s="242"/>
      <c r="FB131" s="242"/>
      <c r="FC131" s="242"/>
      <c r="FD131" s="242"/>
      <c r="FE131" s="242"/>
      <c r="FF131" s="242"/>
      <c r="FG131" s="242"/>
      <c r="FH131" s="242"/>
      <c r="FI131" s="242"/>
      <c r="FJ131" s="242"/>
      <c r="FK131" s="242"/>
      <c r="FL131" s="242"/>
      <c r="FM131" s="242"/>
      <c r="FN131" s="242"/>
      <c r="FO131" s="242"/>
      <c r="FP131" s="242"/>
      <c r="FQ131" s="242"/>
      <c r="FR131" s="242"/>
      <c r="FS131" s="242"/>
      <c r="FT131" s="242"/>
      <c r="FU131" s="242"/>
      <c r="FV131" s="242"/>
      <c r="FW131" s="242"/>
      <c r="FX131" s="242"/>
      <c r="FY131" s="242"/>
      <c r="FZ131" s="242"/>
      <c r="GA131" s="242"/>
      <c r="GB131" s="242"/>
      <c r="GC131" s="242"/>
      <c r="GD131" s="242"/>
      <c r="GE131" s="242"/>
      <c r="GF131" s="242"/>
      <c r="GG131" s="242"/>
      <c r="GH131" s="242"/>
      <c r="GI131" s="242"/>
      <c r="GJ131" s="242"/>
      <c r="GK131" s="242"/>
      <c r="GL131" s="242"/>
      <c r="GM131" s="242"/>
      <c r="GN131" s="242"/>
      <c r="GO131" s="242"/>
      <c r="GP131" s="242"/>
      <c r="GQ131" s="242"/>
      <c r="GR131" s="242"/>
      <c r="GS131" s="242"/>
      <c r="GT131" s="242"/>
      <c r="GU131" s="242"/>
      <c r="GV131" s="242"/>
      <c r="GW131" s="242"/>
      <c r="GX131" s="242"/>
      <c r="GY131" s="242"/>
      <c r="GZ131" s="242"/>
      <c r="HA131" s="242"/>
      <c r="HB131" s="242"/>
      <c r="HC131" s="242"/>
      <c r="HD131" s="242"/>
      <c r="HE131" s="242"/>
      <c r="HF131" s="242"/>
      <c r="HG131" s="242"/>
      <c r="HH131" s="242"/>
      <c r="HI131" s="242"/>
      <c r="HJ131" s="242"/>
      <c r="HK131" s="242"/>
      <c r="HL131" s="242"/>
      <c r="HM131" s="242"/>
      <c r="HN131" s="242"/>
      <c r="HO131" s="243"/>
    </row>
    <row r="132" spans="1:223" ht="12.75" hidden="1" customHeight="1">
      <c r="A132" s="83">
        <f t="shared" si="14"/>
        <v>127</v>
      </c>
      <c r="B132" s="84"/>
      <c r="C132" s="84"/>
      <c r="D132" s="84"/>
      <c r="E132" s="84"/>
      <c r="F132" s="84" t="str">
        <f t="shared" si="12"/>
        <v>///</v>
      </c>
      <c r="G132" s="249">
        <f t="shared" si="15"/>
        <v>0</v>
      </c>
      <c r="H132" s="240">
        <f t="shared" si="13"/>
        <v>0</v>
      </c>
      <c r="I132" s="243"/>
      <c r="J132" s="243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242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  <c r="AM132" s="242"/>
      <c r="AN132" s="242"/>
      <c r="AO132" s="242"/>
      <c r="AP132" s="242"/>
      <c r="AQ132" s="242"/>
      <c r="AR132" s="242"/>
      <c r="AS132" s="242"/>
      <c r="AT132" s="242"/>
      <c r="AU132" s="242"/>
      <c r="AV132" s="242"/>
      <c r="AW132" s="242"/>
      <c r="AX132" s="242"/>
      <c r="AY132" s="242"/>
      <c r="AZ132" s="242"/>
      <c r="BA132" s="242"/>
      <c r="BB132" s="242"/>
      <c r="BC132" s="242"/>
      <c r="BD132" s="242"/>
      <c r="BE132" s="242"/>
      <c r="BF132" s="242"/>
      <c r="BG132" s="242"/>
      <c r="BH132" s="242"/>
      <c r="BI132" s="242"/>
      <c r="BJ132" s="242"/>
      <c r="BK132" s="242"/>
      <c r="BL132" s="242"/>
      <c r="BM132" s="242"/>
      <c r="BN132" s="242"/>
      <c r="BO132" s="242"/>
      <c r="BP132" s="242"/>
      <c r="BQ132" s="242"/>
      <c r="BR132" s="242"/>
      <c r="BS132" s="242"/>
      <c r="BT132" s="242"/>
      <c r="BU132" s="242"/>
      <c r="BV132" s="242"/>
      <c r="BW132" s="242"/>
      <c r="BX132" s="242"/>
      <c r="BY132" s="242"/>
      <c r="BZ132" s="242"/>
      <c r="CA132" s="242"/>
      <c r="CB132" s="242"/>
      <c r="CC132" s="242"/>
      <c r="CD132" s="242"/>
      <c r="CE132" s="242"/>
      <c r="CF132" s="242"/>
      <c r="CG132" s="242"/>
      <c r="CH132" s="242"/>
      <c r="CI132" s="242"/>
      <c r="CJ132" s="242"/>
      <c r="CK132" s="242"/>
      <c r="CL132" s="242"/>
      <c r="CM132" s="242"/>
      <c r="CN132" s="242"/>
      <c r="CO132" s="242"/>
      <c r="CP132" s="242"/>
      <c r="CQ132" s="242"/>
      <c r="CR132" s="242"/>
      <c r="CS132" s="242"/>
      <c r="CT132" s="242"/>
      <c r="CU132" s="242"/>
      <c r="CV132" s="242"/>
      <c r="CW132" s="242"/>
      <c r="CX132" s="242"/>
      <c r="CY132" s="242"/>
      <c r="CZ132" s="242"/>
      <c r="DA132" s="242"/>
      <c r="DB132" s="242"/>
      <c r="DC132" s="242"/>
      <c r="DD132" s="242"/>
      <c r="DE132" s="242"/>
      <c r="DF132" s="242"/>
      <c r="DG132" s="242"/>
      <c r="DH132" s="242"/>
      <c r="DI132" s="242"/>
      <c r="DJ132" s="242"/>
      <c r="DK132" s="242"/>
      <c r="DL132" s="242"/>
      <c r="DM132" s="242"/>
      <c r="DN132" s="242"/>
      <c r="DO132" s="242"/>
      <c r="DP132" s="242"/>
      <c r="DQ132" s="242"/>
      <c r="DR132" s="242"/>
      <c r="DS132" s="242"/>
      <c r="DT132" s="242"/>
      <c r="DU132" s="242"/>
      <c r="DV132" s="242"/>
      <c r="DW132" s="242"/>
      <c r="DX132" s="242"/>
      <c r="DY132" s="242"/>
      <c r="DZ132" s="242"/>
      <c r="EA132" s="242"/>
      <c r="EB132" s="242"/>
      <c r="EC132" s="242"/>
      <c r="ED132" s="242"/>
      <c r="EE132" s="242"/>
      <c r="EF132" s="242"/>
      <c r="EG132" s="242"/>
      <c r="EH132" s="242"/>
      <c r="EI132" s="242"/>
      <c r="EJ132" s="242"/>
      <c r="EK132" s="242"/>
      <c r="EL132" s="242"/>
      <c r="EM132" s="242"/>
      <c r="EN132" s="242"/>
      <c r="EO132" s="242"/>
      <c r="EP132" s="242"/>
      <c r="EQ132" s="242"/>
      <c r="ER132" s="242"/>
      <c r="ES132" s="242"/>
      <c r="ET132" s="242"/>
      <c r="EU132" s="242"/>
      <c r="EV132" s="242"/>
      <c r="EW132" s="242"/>
      <c r="EX132" s="242"/>
      <c r="EY132" s="242"/>
      <c r="EZ132" s="242"/>
      <c r="FA132" s="242"/>
      <c r="FB132" s="242"/>
      <c r="FC132" s="242"/>
      <c r="FD132" s="242"/>
      <c r="FE132" s="242"/>
      <c r="FF132" s="242"/>
      <c r="FG132" s="242"/>
      <c r="FH132" s="242"/>
      <c r="FI132" s="242"/>
      <c r="FJ132" s="242"/>
      <c r="FK132" s="242"/>
      <c r="FL132" s="242"/>
      <c r="FM132" s="242"/>
      <c r="FN132" s="242"/>
      <c r="FO132" s="242"/>
      <c r="FP132" s="242"/>
      <c r="FQ132" s="242"/>
      <c r="FR132" s="242"/>
      <c r="FS132" s="242"/>
      <c r="FT132" s="242"/>
      <c r="FU132" s="242"/>
      <c r="FV132" s="242"/>
      <c r="FW132" s="242"/>
      <c r="FX132" s="242"/>
      <c r="FY132" s="242"/>
      <c r="FZ132" s="242"/>
      <c r="GA132" s="242"/>
      <c r="GB132" s="242"/>
      <c r="GC132" s="242"/>
      <c r="GD132" s="242"/>
      <c r="GE132" s="242"/>
      <c r="GF132" s="242"/>
      <c r="GG132" s="242"/>
      <c r="GH132" s="242"/>
      <c r="GI132" s="242"/>
      <c r="GJ132" s="242"/>
      <c r="GK132" s="242"/>
      <c r="GL132" s="242"/>
      <c r="GM132" s="242"/>
      <c r="GN132" s="242"/>
      <c r="GO132" s="242"/>
      <c r="GP132" s="242"/>
      <c r="GQ132" s="242"/>
      <c r="GR132" s="242"/>
      <c r="GS132" s="242"/>
      <c r="GT132" s="242"/>
      <c r="GU132" s="242"/>
      <c r="GV132" s="242"/>
      <c r="GW132" s="242"/>
      <c r="GX132" s="242"/>
      <c r="GY132" s="242"/>
      <c r="GZ132" s="242"/>
      <c r="HA132" s="242"/>
      <c r="HB132" s="242"/>
      <c r="HC132" s="242"/>
      <c r="HD132" s="242"/>
      <c r="HE132" s="242"/>
      <c r="HF132" s="242"/>
      <c r="HG132" s="242"/>
      <c r="HH132" s="242"/>
      <c r="HI132" s="242"/>
      <c r="HJ132" s="242"/>
      <c r="HK132" s="242"/>
      <c r="HL132" s="242"/>
      <c r="HM132" s="242"/>
      <c r="HN132" s="242"/>
      <c r="HO132" s="243"/>
    </row>
    <row r="133" spans="1:223" ht="12.75" hidden="1" customHeight="1">
      <c r="A133" s="83">
        <f t="shared" si="14"/>
        <v>128</v>
      </c>
      <c r="B133" s="84"/>
      <c r="C133" s="84"/>
      <c r="D133" s="84"/>
      <c r="E133" s="84"/>
      <c r="F133" s="84" t="str">
        <f t="shared" si="12"/>
        <v>///</v>
      </c>
      <c r="G133" s="249">
        <f t="shared" si="15"/>
        <v>0</v>
      </c>
      <c r="H133" s="240">
        <f t="shared" si="13"/>
        <v>0</v>
      </c>
      <c r="I133" s="243"/>
      <c r="J133" s="243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242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  <c r="AM133" s="242"/>
      <c r="AN133" s="242"/>
      <c r="AO133" s="242"/>
      <c r="AP133" s="242"/>
      <c r="AQ133" s="242"/>
      <c r="AR133" s="242"/>
      <c r="AS133" s="242"/>
      <c r="AT133" s="242"/>
      <c r="AU133" s="242"/>
      <c r="AV133" s="242"/>
      <c r="AW133" s="242"/>
      <c r="AX133" s="242"/>
      <c r="AY133" s="242"/>
      <c r="AZ133" s="242"/>
      <c r="BA133" s="242"/>
      <c r="BB133" s="242"/>
      <c r="BC133" s="242"/>
      <c r="BD133" s="242"/>
      <c r="BE133" s="242"/>
      <c r="BF133" s="242"/>
      <c r="BG133" s="242"/>
      <c r="BH133" s="242"/>
      <c r="BI133" s="242"/>
      <c r="BJ133" s="242"/>
      <c r="BK133" s="242"/>
      <c r="BL133" s="242"/>
      <c r="BM133" s="242"/>
      <c r="BN133" s="242"/>
      <c r="BO133" s="242"/>
      <c r="BP133" s="242"/>
      <c r="BQ133" s="242"/>
      <c r="BR133" s="242"/>
      <c r="BS133" s="242"/>
      <c r="BT133" s="242"/>
      <c r="BU133" s="242"/>
      <c r="BV133" s="242"/>
      <c r="BW133" s="242"/>
      <c r="BX133" s="242"/>
      <c r="BY133" s="242"/>
      <c r="BZ133" s="242"/>
      <c r="CA133" s="242"/>
      <c r="CB133" s="242"/>
      <c r="CC133" s="242"/>
      <c r="CD133" s="242"/>
      <c r="CE133" s="242"/>
      <c r="CF133" s="242"/>
      <c r="CG133" s="242"/>
      <c r="CH133" s="242"/>
      <c r="CI133" s="242"/>
      <c r="CJ133" s="242"/>
      <c r="CK133" s="242"/>
      <c r="CL133" s="242"/>
      <c r="CM133" s="242"/>
      <c r="CN133" s="242"/>
      <c r="CO133" s="242"/>
      <c r="CP133" s="242"/>
      <c r="CQ133" s="242"/>
      <c r="CR133" s="242"/>
      <c r="CS133" s="242"/>
      <c r="CT133" s="242"/>
      <c r="CU133" s="242"/>
      <c r="CV133" s="242"/>
      <c r="CW133" s="242"/>
      <c r="CX133" s="242"/>
      <c r="CY133" s="242"/>
      <c r="CZ133" s="242"/>
      <c r="DA133" s="242"/>
      <c r="DB133" s="242"/>
      <c r="DC133" s="242"/>
      <c r="DD133" s="242"/>
      <c r="DE133" s="242"/>
      <c r="DF133" s="242"/>
      <c r="DG133" s="242"/>
      <c r="DH133" s="242"/>
      <c r="DI133" s="242"/>
      <c r="DJ133" s="242"/>
      <c r="DK133" s="242"/>
      <c r="DL133" s="242"/>
      <c r="DM133" s="242"/>
      <c r="DN133" s="242"/>
      <c r="DO133" s="242"/>
      <c r="DP133" s="242"/>
      <c r="DQ133" s="242"/>
      <c r="DR133" s="242"/>
      <c r="DS133" s="242"/>
      <c r="DT133" s="242"/>
      <c r="DU133" s="242"/>
      <c r="DV133" s="242"/>
      <c r="DW133" s="242"/>
      <c r="DX133" s="242"/>
      <c r="DY133" s="242"/>
      <c r="DZ133" s="242"/>
      <c r="EA133" s="242"/>
      <c r="EB133" s="242"/>
      <c r="EC133" s="242"/>
      <c r="ED133" s="242"/>
      <c r="EE133" s="242"/>
      <c r="EF133" s="242"/>
      <c r="EG133" s="242"/>
      <c r="EH133" s="242"/>
      <c r="EI133" s="242"/>
      <c r="EJ133" s="242"/>
      <c r="EK133" s="242"/>
      <c r="EL133" s="242"/>
      <c r="EM133" s="242"/>
      <c r="EN133" s="242"/>
      <c r="EO133" s="242"/>
      <c r="EP133" s="242"/>
      <c r="EQ133" s="242"/>
      <c r="ER133" s="242"/>
      <c r="ES133" s="242"/>
      <c r="ET133" s="242"/>
      <c r="EU133" s="242"/>
      <c r="EV133" s="242"/>
      <c r="EW133" s="242"/>
      <c r="EX133" s="242"/>
      <c r="EY133" s="242"/>
      <c r="EZ133" s="242"/>
      <c r="FA133" s="242"/>
      <c r="FB133" s="242"/>
      <c r="FC133" s="242"/>
      <c r="FD133" s="242"/>
      <c r="FE133" s="242"/>
      <c r="FF133" s="242"/>
      <c r="FG133" s="242"/>
      <c r="FH133" s="242"/>
      <c r="FI133" s="242"/>
      <c r="FJ133" s="242"/>
      <c r="FK133" s="242"/>
      <c r="FL133" s="242"/>
      <c r="FM133" s="242"/>
      <c r="FN133" s="242"/>
      <c r="FO133" s="242"/>
      <c r="FP133" s="242"/>
      <c r="FQ133" s="242"/>
      <c r="FR133" s="242"/>
      <c r="FS133" s="242"/>
      <c r="FT133" s="242"/>
      <c r="FU133" s="242"/>
      <c r="FV133" s="242"/>
      <c r="FW133" s="242"/>
      <c r="FX133" s="242"/>
      <c r="FY133" s="242"/>
      <c r="FZ133" s="242"/>
      <c r="GA133" s="242"/>
      <c r="GB133" s="242"/>
      <c r="GC133" s="242"/>
      <c r="GD133" s="242"/>
      <c r="GE133" s="242"/>
      <c r="GF133" s="242"/>
      <c r="GG133" s="242"/>
      <c r="GH133" s="242"/>
      <c r="GI133" s="242"/>
      <c r="GJ133" s="242"/>
      <c r="GK133" s="242"/>
      <c r="GL133" s="242"/>
      <c r="GM133" s="242"/>
      <c r="GN133" s="242"/>
      <c r="GO133" s="242"/>
      <c r="GP133" s="242"/>
      <c r="GQ133" s="242"/>
      <c r="GR133" s="242"/>
      <c r="GS133" s="242"/>
      <c r="GT133" s="242"/>
      <c r="GU133" s="242"/>
      <c r="GV133" s="242"/>
      <c r="GW133" s="242"/>
      <c r="GX133" s="242"/>
      <c r="GY133" s="242"/>
      <c r="GZ133" s="242"/>
      <c r="HA133" s="242"/>
      <c r="HB133" s="242"/>
      <c r="HC133" s="242"/>
      <c r="HD133" s="242"/>
      <c r="HE133" s="242"/>
      <c r="HF133" s="242"/>
      <c r="HG133" s="242"/>
      <c r="HH133" s="242"/>
      <c r="HI133" s="242"/>
      <c r="HJ133" s="242"/>
      <c r="HK133" s="242"/>
      <c r="HL133" s="242"/>
      <c r="HM133" s="242"/>
      <c r="HN133" s="242"/>
      <c r="HO133" s="243"/>
    </row>
    <row r="134" spans="1:223" ht="12.75" hidden="1" customHeight="1">
      <c r="A134" s="83">
        <f t="shared" si="14"/>
        <v>129</v>
      </c>
      <c r="B134" s="84"/>
      <c r="C134" s="84"/>
      <c r="D134" s="84"/>
      <c r="E134" s="84"/>
      <c r="F134" s="84" t="str">
        <f t="shared" si="12"/>
        <v>///</v>
      </c>
      <c r="G134" s="249">
        <f t="shared" si="15"/>
        <v>0</v>
      </c>
      <c r="H134" s="240">
        <f t="shared" si="13"/>
        <v>0</v>
      </c>
      <c r="I134" s="243"/>
      <c r="J134" s="243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242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  <c r="AM134" s="242"/>
      <c r="AN134" s="242"/>
      <c r="AO134" s="242"/>
      <c r="AP134" s="242"/>
      <c r="AQ134" s="242"/>
      <c r="AR134" s="242"/>
      <c r="AS134" s="242"/>
      <c r="AT134" s="242"/>
      <c r="AU134" s="242"/>
      <c r="AV134" s="242"/>
      <c r="AW134" s="242"/>
      <c r="AX134" s="242"/>
      <c r="AY134" s="242"/>
      <c r="AZ134" s="242"/>
      <c r="BA134" s="242"/>
      <c r="BB134" s="242"/>
      <c r="BC134" s="242"/>
      <c r="BD134" s="242"/>
      <c r="BE134" s="242"/>
      <c r="BF134" s="242"/>
      <c r="BG134" s="242"/>
      <c r="BH134" s="242"/>
      <c r="BI134" s="242"/>
      <c r="BJ134" s="242"/>
      <c r="BK134" s="242"/>
      <c r="BL134" s="242"/>
      <c r="BM134" s="242"/>
      <c r="BN134" s="242"/>
      <c r="BO134" s="242"/>
      <c r="BP134" s="242"/>
      <c r="BQ134" s="242"/>
      <c r="BR134" s="242"/>
      <c r="BS134" s="242"/>
      <c r="BT134" s="242"/>
      <c r="BU134" s="242"/>
      <c r="BV134" s="242"/>
      <c r="BW134" s="242"/>
      <c r="BX134" s="242"/>
      <c r="BY134" s="242"/>
      <c r="BZ134" s="242"/>
      <c r="CA134" s="242"/>
      <c r="CB134" s="242"/>
      <c r="CC134" s="242"/>
      <c r="CD134" s="242"/>
      <c r="CE134" s="242"/>
      <c r="CF134" s="242"/>
      <c r="CG134" s="242"/>
      <c r="CH134" s="242"/>
      <c r="CI134" s="242"/>
      <c r="CJ134" s="242"/>
      <c r="CK134" s="242"/>
      <c r="CL134" s="242"/>
      <c r="CM134" s="242"/>
      <c r="CN134" s="242"/>
      <c r="CO134" s="242"/>
      <c r="CP134" s="242"/>
      <c r="CQ134" s="242"/>
      <c r="CR134" s="242"/>
      <c r="CS134" s="242"/>
      <c r="CT134" s="242"/>
      <c r="CU134" s="242"/>
      <c r="CV134" s="242"/>
      <c r="CW134" s="242"/>
      <c r="CX134" s="242"/>
      <c r="CY134" s="242"/>
      <c r="CZ134" s="242"/>
      <c r="DA134" s="242"/>
      <c r="DB134" s="242"/>
      <c r="DC134" s="242"/>
      <c r="DD134" s="242"/>
      <c r="DE134" s="242"/>
      <c r="DF134" s="242"/>
      <c r="DG134" s="242"/>
      <c r="DH134" s="242"/>
      <c r="DI134" s="242"/>
      <c r="DJ134" s="242"/>
      <c r="DK134" s="242"/>
      <c r="DL134" s="242"/>
      <c r="DM134" s="242"/>
      <c r="DN134" s="242"/>
      <c r="DO134" s="242"/>
      <c r="DP134" s="242"/>
      <c r="DQ134" s="242"/>
      <c r="DR134" s="242"/>
      <c r="DS134" s="242"/>
      <c r="DT134" s="242"/>
      <c r="DU134" s="242"/>
      <c r="DV134" s="242"/>
      <c r="DW134" s="242"/>
      <c r="DX134" s="242"/>
      <c r="DY134" s="242"/>
      <c r="DZ134" s="242"/>
      <c r="EA134" s="242"/>
      <c r="EB134" s="242"/>
      <c r="EC134" s="242"/>
      <c r="ED134" s="242"/>
      <c r="EE134" s="242"/>
      <c r="EF134" s="242"/>
      <c r="EG134" s="242"/>
      <c r="EH134" s="242"/>
      <c r="EI134" s="242"/>
      <c r="EJ134" s="242"/>
      <c r="EK134" s="242"/>
      <c r="EL134" s="242"/>
      <c r="EM134" s="242"/>
      <c r="EN134" s="242"/>
      <c r="EO134" s="242"/>
      <c r="EP134" s="242"/>
      <c r="EQ134" s="242"/>
      <c r="ER134" s="242"/>
      <c r="ES134" s="242"/>
      <c r="ET134" s="242"/>
      <c r="EU134" s="242"/>
      <c r="EV134" s="242"/>
      <c r="EW134" s="242"/>
      <c r="EX134" s="242"/>
      <c r="EY134" s="242"/>
      <c r="EZ134" s="242"/>
      <c r="FA134" s="242"/>
      <c r="FB134" s="242"/>
      <c r="FC134" s="242"/>
      <c r="FD134" s="242"/>
      <c r="FE134" s="242"/>
      <c r="FF134" s="242"/>
      <c r="FG134" s="242"/>
      <c r="FH134" s="242"/>
      <c r="FI134" s="242"/>
      <c r="FJ134" s="242"/>
      <c r="FK134" s="242"/>
      <c r="FL134" s="242"/>
      <c r="FM134" s="242"/>
      <c r="FN134" s="242"/>
      <c r="FO134" s="242"/>
      <c r="FP134" s="242"/>
      <c r="FQ134" s="242"/>
      <c r="FR134" s="242"/>
      <c r="FS134" s="242"/>
      <c r="FT134" s="242"/>
      <c r="FU134" s="242"/>
      <c r="FV134" s="242"/>
      <c r="FW134" s="242"/>
      <c r="FX134" s="242"/>
      <c r="FY134" s="242"/>
      <c r="FZ134" s="242"/>
      <c r="GA134" s="242"/>
      <c r="GB134" s="242"/>
      <c r="GC134" s="242"/>
      <c r="GD134" s="242"/>
      <c r="GE134" s="242"/>
      <c r="GF134" s="242"/>
      <c r="GG134" s="242"/>
      <c r="GH134" s="242"/>
      <c r="GI134" s="242"/>
      <c r="GJ134" s="242"/>
      <c r="GK134" s="242"/>
      <c r="GL134" s="242"/>
      <c r="GM134" s="242"/>
      <c r="GN134" s="242"/>
      <c r="GO134" s="242"/>
      <c r="GP134" s="242"/>
      <c r="GQ134" s="242"/>
      <c r="GR134" s="242"/>
      <c r="GS134" s="242"/>
      <c r="GT134" s="242"/>
      <c r="GU134" s="242"/>
      <c r="GV134" s="242"/>
      <c r="GW134" s="242"/>
      <c r="GX134" s="242"/>
      <c r="GY134" s="242"/>
      <c r="GZ134" s="242"/>
      <c r="HA134" s="242"/>
      <c r="HB134" s="242"/>
      <c r="HC134" s="242"/>
      <c r="HD134" s="242"/>
      <c r="HE134" s="242"/>
      <c r="HF134" s="242"/>
      <c r="HG134" s="242"/>
      <c r="HH134" s="242"/>
      <c r="HI134" s="242"/>
      <c r="HJ134" s="242"/>
      <c r="HK134" s="242"/>
      <c r="HL134" s="242"/>
      <c r="HM134" s="242"/>
      <c r="HN134" s="242"/>
      <c r="HO134" s="243"/>
    </row>
    <row r="135" spans="1:223" ht="12.75" hidden="1" customHeight="1">
      <c r="A135" s="83">
        <f t="shared" si="14"/>
        <v>130</v>
      </c>
      <c r="B135" s="84"/>
      <c r="C135" s="84"/>
      <c r="D135" s="84"/>
      <c r="E135" s="84"/>
      <c r="F135" s="84" t="str">
        <f t="shared" ref="F135:F180" si="16">+B135&amp;"/"&amp;C135&amp;"/"&amp;D135&amp;"/"&amp;E135</f>
        <v>///</v>
      </c>
      <c r="G135" s="249">
        <f t="shared" si="15"/>
        <v>0</v>
      </c>
      <c r="H135" s="240">
        <f t="shared" ref="H135:H180" si="17">+IFERROR(VLOOKUP($G135,$C$505:$O$1001,13,0),0)</f>
        <v>0</v>
      </c>
      <c r="I135" s="243"/>
      <c r="J135" s="243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242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  <c r="AM135" s="242"/>
      <c r="AN135" s="242"/>
      <c r="AO135" s="242"/>
      <c r="AP135" s="242"/>
      <c r="AQ135" s="242"/>
      <c r="AR135" s="242"/>
      <c r="AS135" s="242"/>
      <c r="AT135" s="242"/>
      <c r="AU135" s="242"/>
      <c r="AV135" s="242"/>
      <c r="AW135" s="242"/>
      <c r="AX135" s="242"/>
      <c r="AY135" s="242"/>
      <c r="AZ135" s="242"/>
      <c r="BA135" s="242"/>
      <c r="BB135" s="242"/>
      <c r="BC135" s="242"/>
      <c r="BD135" s="242"/>
      <c r="BE135" s="242"/>
      <c r="BF135" s="242"/>
      <c r="BG135" s="242"/>
      <c r="BH135" s="242"/>
      <c r="BI135" s="242"/>
      <c r="BJ135" s="242"/>
      <c r="BK135" s="242"/>
      <c r="BL135" s="242"/>
      <c r="BM135" s="242"/>
      <c r="BN135" s="242"/>
      <c r="BO135" s="242"/>
      <c r="BP135" s="242"/>
      <c r="BQ135" s="242"/>
      <c r="BR135" s="242"/>
      <c r="BS135" s="242"/>
      <c r="BT135" s="242"/>
      <c r="BU135" s="242"/>
      <c r="BV135" s="242"/>
      <c r="BW135" s="242"/>
      <c r="BX135" s="242"/>
      <c r="BY135" s="242"/>
      <c r="BZ135" s="242"/>
      <c r="CA135" s="242"/>
      <c r="CB135" s="242"/>
      <c r="CC135" s="242"/>
      <c r="CD135" s="242"/>
      <c r="CE135" s="242"/>
      <c r="CF135" s="242"/>
      <c r="CG135" s="242"/>
      <c r="CH135" s="242"/>
      <c r="CI135" s="242"/>
      <c r="CJ135" s="242"/>
      <c r="CK135" s="242"/>
      <c r="CL135" s="242"/>
      <c r="CM135" s="242"/>
      <c r="CN135" s="242"/>
      <c r="CO135" s="242"/>
      <c r="CP135" s="242"/>
      <c r="CQ135" s="242"/>
      <c r="CR135" s="242"/>
      <c r="CS135" s="242"/>
      <c r="CT135" s="242"/>
      <c r="CU135" s="242"/>
      <c r="CV135" s="242"/>
      <c r="CW135" s="242"/>
      <c r="CX135" s="242"/>
      <c r="CY135" s="242"/>
      <c r="CZ135" s="242"/>
      <c r="DA135" s="242"/>
      <c r="DB135" s="242"/>
      <c r="DC135" s="242"/>
      <c r="DD135" s="242"/>
      <c r="DE135" s="242"/>
      <c r="DF135" s="242"/>
      <c r="DG135" s="242"/>
      <c r="DH135" s="242"/>
      <c r="DI135" s="242"/>
      <c r="DJ135" s="242"/>
      <c r="DK135" s="242"/>
      <c r="DL135" s="242"/>
      <c r="DM135" s="242"/>
      <c r="DN135" s="242"/>
      <c r="DO135" s="242"/>
      <c r="DP135" s="242"/>
      <c r="DQ135" s="242"/>
      <c r="DR135" s="242"/>
      <c r="DS135" s="242"/>
      <c r="DT135" s="242"/>
      <c r="DU135" s="242"/>
      <c r="DV135" s="242"/>
      <c r="DW135" s="242"/>
      <c r="DX135" s="242"/>
      <c r="DY135" s="242"/>
      <c r="DZ135" s="242"/>
      <c r="EA135" s="242"/>
      <c r="EB135" s="242"/>
      <c r="EC135" s="242"/>
      <c r="ED135" s="242"/>
      <c r="EE135" s="242"/>
      <c r="EF135" s="242"/>
      <c r="EG135" s="242"/>
      <c r="EH135" s="242"/>
      <c r="EI135" s="242"/>
      <c r="EJ135" s="242"/>
      <c r="EK135" s="242"/>
      <c r="EL135" s="242"/>
      <c r="EM135" s="242"/>
      <c r="EN135" s="242"/>
      <c r="EO135" s="242"/>
      <c r="EP135" s="242"/>
      <c r="EQ135" s="242"/>
      <c r="ER135" s="242"/>
      <c r="ES135" s="242"/>
      <c r="ET135" s="242"/>
      <c r="EU135" s="242"/>
      <c r="EV135" s="242"/>
      <c r="EW135" s="242"/>
      <c r="EX135" s="242"/>
      <c r="EY135" s="242"/>
      <c r="EZ135" s="242"/>
      <c r="FA135" s="242"/>
      <c r="FB135" s="242"/>
      <c r="FC135" s="242"/>
      <c r="FD135" s="242"/>
      <c r="FE135" s="242"/>
      <c r="FF135" s="242"/>
      <c r="FG135" s="242"/>
      <c r="FH135" s="242"/>
      <c r="FI135" s="242"/>
      <c r="FJ135" s="242"/>
      <c r="FK135" s="242"/>
      <c r="FL135" s="242"/>
      <c r="FM135" s="242"/>
      <c r="FN135" s="242"/>
      <c r="FO135" s="242"/>
      <c r="FP135" s="242"/>
      <c r="FQ135" s="242"/>
      <c r="FR135" s="242"/>
      <c r="FS135" s="242"/>
      <c r="FT135" s="242"/>
      <c r="FU135" s="242"/>
      <c r="FV135" s="242"/>
      <c r="FW135" s="242"/>
      <c r="FX135" s="242"/>
      <c r="FY135" s="242"/>
      <c r="FZ135" s="242"/>
      <c r="GA135" s="242"/>
      <c r="GB135" s="242"/>
      <c r="GC135" s="242"/>
      <c r="GD135" s="242"/>
      <c r="GE135" s="242"/>
      <c r="GF135" s="242"/>
      <c r="GG135" s="242"/>
      <c r="GH135" s="242"/>
      <c r="GI135" s="242"/>
      <c r="GJ135" s="242"/>
      <c r="GK135" s="242"/>
      <c r="GL135" s="242"/>
      <c r="GM135" s="242"/>
      <c r="GN135" s="242"/>
      <c r="GO135" s="242"/>
      <c r="GP135" s="242"/>
      <c r="GQ135" s="242"/>
      <c r="GR135" s="242"/>
      <c r="GS135" s="242"/>
      <c r="GT135" s="242"/>
      <c r="GU135" s="242"/>
      <c r="GV135" s="242"/>
      <c r="GW135" s="242"/>
      <c r="GX135" s="242"/>
      <c r="GY135" s="242"/>
      <c r="GZ135" s="242"/>
      <c r="HA135" s="242"/>
      <c r="HB135" s="242"/>
      <c r="HC135" s="242"/>
      <c r="HD135" s="242"/>
      <c r="HE135" s="242"/>
      <c r="HF135" s="242"/>
      <c r="HG135" s="242"/>
      <c r="HH135" s="242"/>
      <c r="HI135" s="242"/>
      <c r="HJ135" s="242"/>
      <c r="HK135" s="242"/>
      <c r="HL135" s="242"/>
      <c r="HM135" s="242"/>
      <c r="HN135" s="242"/>
      <c r="HO135" s="243"/>
    </row>
    <row r="136" spans="1:223" ht="12.75" hidden="1" customHeight="1">
      <c r="A136" s="83">
        <f t="shared" ref="A136:A180" si="18">+A135+1</f>
        <v>131</v>
      </c>
      <c r="B136" s="84"/>
      <c r="C136" s="84"/>
      <c r="D136" s="84"/>
      <c r="E136" s="84"/>
      <c r="F136" s="84" t="str">
        <f t="shared" si="16"/>
        <v>///</v>
      </c>
      <c r="G136" s="249">
        <f t="shared" ref="G136:G180" si="19">VLOOKUP($F136,$Q$101:$T$1500,3,0)</f>
        <v>0</v>
      </c>
      <c r="H136" s="240">
        <f t="shared" si="17"/>
        <v>0</v>
      </c>
      <c r="I136" s="243"/>
      <c r="J136" s="243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242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  <c r="AM136" s="242"/>
      <c r="AN136" s="242"/>
      <c r="AO136" s="242"/>
      <c r="AP136" s="242"/>
      <c r="AQ136" s="242"/>
      <c r="AR136" s="242"/>
      <c r="AS136" s="242"/>
      <c r="AT136" s="242"/>
      <c r="AU136" s="242"/>
      <c r="AV136" s="242"/>
      <c r="AW136" s="242"/>
      <c r="AX136" s="242"/>
      <c r="AY136" s="242"/>
      <c r="AZ136" s="242"/>
      <c r="BA136" s="242"/>
      <c r="BB136" s="242"/>
      <c r="BC136" s="242"/>
      <c r="BD136" s="242"/>
      <c r="BE136" s="242"/>
      <c r="BF136" s="242"/>
      <c r="BG136" s="242"/>
      <c r="BH136" s="242"/>
      <c r="BI136" s="242"/>
      <c r="BJ136" s="242"/>
      <c r="BK136" s="242"/>
      <c r="BL136" s="242"/>
      <c r="BM136" s="242"/>
      <c r="BN136" s="242"/>
      <c r="BO136" s="242"/>
      <c r="BP136" s="242"/>
      <c r="BQ136" s="242"/>
      <c r="BR136" s="242"/>
      <c r="BS136" s="242"/>
      <c r="BT136" s="242"/>
      <c r="BU136" s="242"/>
      <c r="BV136" s="242"/>
      <c r="BW136" s="242"/>
      <c r="BX136" s="242"/>
      <c r="BY136" s="242"/>
      <c r="BZ136" s="242"/>
      <c r="CA136" s="242"/>
      <c r="CB136" s="242"/>
      <c r="CC136" s="242"/>
      <c r="CD136" s="242"/>
      <c r="CE136" s="242"/>
      <c r="CF136" s="242"/>
      <c r="CG136" s="242"/>
      <c r="CH136" s="242"/>
      <c r="CI136" s="242"/>
      <c r="CJ136" s="242"/>
      <c r="CK136" s="242"/>
      <c r="CL136" s="242"/>
      <c r="CM136" s="242"/>
      <c r="CN136" s="242"/>
      <c r="CO136" s="242"/>
      <c r="CP136" s="242"/>
      <c r="CQ136" s="242"/>
      <c r="CR136" s="242"/>
      <c r="CS136" s="242"/>
      <c r="CT136" s="242"/>
      <c r="CU136" s="242"/>
      <c r="CV136" s="242"/>
      <c r="CW136" s="242"/>
      <c r="CX136" s="242"/>
      <c r="CY136" s="242"/>
      <c r="CZ136" s="242"/>
      <c r="DA136" s="242"/>
      <c r="DB136" s="242"/>
      <c r="DC136" s="242"/>
      <c r="DD136" s="242"/>
      <c r="DE136" s="242"/>
      <c r="DF136" s="242"/>
      <c r="DG136" s="242"/>
      <c r="DH136" s="242"/>
      <c r="DI136" s="242"/>
      <c r="DJ136" s="242"/>
      <c r="DK136" s="242"/>
      <c r="DL136" s="242"/>
      <c r="DM136" s="242"/>
      <c r="DN136" s="242"/>
      <c r="DO136" s="242"/>
      <c r="DP136" s="242"/>
      <c r="DQ136" s="242"/>
      <c r="DR136" s="242"/>
      <c r="DS136" s="242"/>
      <c r="DT136" s="242"/>
      <c r="DU136" s="242"/>
      <c r="DV136" s="242"/>
      <c r="DW136" s="242"/>
      <c r="DX136" s="242"/>
      <c r="DY136" s="242"/>
      <c r="DZ136" s="242"/>
      <c r="EA136" s="242"/>
      <c r="EB136" s="242"/>
      <c r="EC136" s="242"/>
      <c r="ED136" s="242"/>
      <c r="EE136" s="242"/>
      <c r="EF136" s="242"/>
      <c r="EG136" s="242"/>
      <c r="EH136" s="242"/>
      <c r="EI136" s="242"/>
      <c r="EJ136" s="242"/>
      <c r="EK136" s="242"/>
      <c r="EL136" s="242"/>
      <c r="EM136" s="242"/>
      <c r="EN136" s="242"/>
      <c r="EO136" s="242"/>
      <c r="EP136" s="242"/>
      <c r="EQ136" s="242"/>
      <c r="ER136" s="242"/>
      <c r="ES136" s="242"/>
      <c r="ET136" s="242"/>
      <c r="EU136" s="242"/>
      <c r="EV136" s="242"/>
      <c r="EW136" s="242"/>
      <c r="EX136" s="242"/>
      <c r="EY136" s="242"/>
      <c r="EZ136" s="242"/>
      <c r="FA136" s="242"/>
      <c r="FB136" s="242"/>
      <c r="FC136" s="242"/>
      <c r="FD136" s="242"/>
      <c r="FE136" s="242"/>
      <c r="FF136" s="242"/>
      <c r="FG136" s="242"/>
      <c r="FH136" s="242"/>
      <c r="FI136" s="242"/>
      <c r="FJ136" s="242"/>
      <c r="FK136" s="242"/>
      <c r="FL136" s="242"/>
      <c r="FM136" s="242"/>
      <c r="FN136" s="242"/>
      <c r="FO136" s="242"/>
      <c r="FP136" s="242"/>
      <c r="FQ136" s="242"/>
      <c r="FR136" s="242"/>
      <c r="FS136" s="242"/>
      <c r="FT136" s="242"/>
      <c r="FU136" s="242"/>
      <c r="FV136" s="242"/>
      <c r="FW136" s="242"/>
      <c r="FX136" s="242"/>
      <c r="FY136" s="242"/>
      <c r="FZ136" s="242"/>
      <c r="GA136" s="242"/>
      <c r="GB136" s="242"/>
      <c r="GC136" s="242"/>
      <c r="GD136" s="242"/>
      <c r="GE136" s="242"/>
      <c r="GF136" s="242"/>
      <c r="GG136" s="242"/>
      <c r="GH136" s="242"/>
      <c r="GI136" s="242"/>
      <c r="GJ136" s="242"/>
      <c r="GK136" s="242"/>
      <c r="GL136" s="242"/>
      <c r="GM136" s="242"/>
      <c r="GN136" s="242"/>
      <c r="GO136" s="242"/>
      <c r="GP136" s="242"/>
      <c r="GQ136" s="242"/>
      <c r="GR136" s="242"/>
      <c r="GS136" s="242"/>
      <c r="GT136" s="242"/>
      <c r="GU136" s="242"/>
      <c r="GV136" s="242"/>
      <c r="GW136" s="242"/>
      <c r="GX136" s="242"/>
      <c r="GY136" s="242"/>
      <c r="GZ136" s="242"/>
      <c r="HA136" s="242"/>
      <c r="HB136" s="242"/>
      <c r="HC136" s="242"/>
      <c r="HD136" s="242"/>
      <c r="HE136" s="242"/>
      <c r="HF136" s="242"/>
      <c r="HG136" s="242"/>
      <c r="HH136" s="242"/>
      <c r="HI136" s="242"/>
      <c r="HJ136" s="242"/>
      <c r="HK136" s="242"/>
      <c r="HL136" s="242"/>
      <c r="HM136" s="242"/>
      <c r="HN136" s="242"/>
      <c r="HO136" s="243"/>
    </row>
    <row r="137" spans="1:223" ht="12.75" hidden="1" customHeight="1">
      <c r="A137" s="83">
        <f t="shared" si="18"/>
        <v>132</v>
      </c>
      <c r="B137" s="84"/>
      <c r="C137" s="84"/>
      <c r="D137" s="84"/>
      <c r="E137" s="84"/>
      <c r="F137" s="84" t="str">
        <f t="shared" si="16"/>
        <v>///</v>
      </c>
      <c r="G137" s="249">
        <f t="shared" si="19"/>
        <v>0</v>
      </c>
      <c r="H137" s="240">
        <f t="shared" si="17"/>
        <v>0</v>
      </c>
      <c r="I137" s="243"/>
      <c r="J137" s="243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242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  <c r="AM137" s="242"/>
      <c r="AN137" s="242"/>
      <c r="AO137" s="242"/>
      <c r="AP137" s="242"/>
      <c r="AQ137" s="242"/>
      <c r="AR137" s="242"/>
      <c r="AS137" s="242"/>
      <c r="AT137" s="242"/>
      <c r="AU137" s="242"/>
      <c r="AV137" s="242"/>
      <c r="AW137" s="242"/>
      <c r="AX137" s="242"/>
      <c r="AY137" s="242"/>
      <c r="AZ137" s="242"/>
      <c r="BA137" s="242"/>
      <c r="BB137" s="242"/>
      <c r="BC137" s="242"/>
      <c r="BD137" s="242"/>
      <c r="BE137" s="242"/>
      <c r="BF137" s="242"/>
      <c r="BG137" s="242"/>
      <c r="BH137" s="242"/>
      <c r="BI137" s="242"/>
      <c r="BJ137" s="242"/>
      <c r="BK137" s="242"/>
      <c r="BL137" s="242"/>
      <c r="BM137" s="242"/>
      <c r="BN137" s="242"/>
      <c r="BO137" s="242"/>
      <c r="BP137" s="242"/>
      <c r="BQ137" s="242"/>
      <c r="BR137" s="242"/>
      <c r="BS137" s="242"/>
      <c r="BT137" s="242"/>
      <c r="BU137" s="242"/>
      <c r="BV137" s="242"/>
      <c r="BW137" s="242"/>
      <c r="BX137" s="242"/>
      <c r="BY137" s="242"/>
      <c r="BZ137" s="242"/>
      <c r="CA137" s="242"/>
      <c r="CB137" s="242"/>
      <c r="CC137" s="242"/>
      <c r="CD137" s="242"/>
      <c r="CE137" s="242"/>
      <c r="CF137" s="242"/>
      <c r="CG137" s="242"/>
      <c r="CH137" s="242"/>
      <c r="CI137" s="242"/>
      <c r="CJ137" s="242"/>
      <c r="CK137" s="242"/>
      <c r="CL137" s="242"/>
      <c r="CM137" s="242"/>
      <c r="CN137" s="242"/>
      <c r="CO137" s="242"/>
      <c r="CP137" s="242"/>
      <c r="CQ137" s="242"/>
      <c r="CR137" s="242"/>
      <c r="CS137" s="242"/>
      <c r="CT137" s="242"/>
      <c r="CU137" s="242"/>
      <c r="CV137" s="242"/>
      <c r="CW137" s="242"/>
      <c r="CX137" s="242"/>
      <c r="CY137" s="242"/>
      <c r="CZ137" s="242"/>
      <c r="DA137" s="242"/>
      <c r="DB137" s="242"/>
      <c r="DC137" s="242"/>
      <c r="DD137" s="242"/>
      <c r="DE137" s="242"/>
      <c r="DF137" s="242"/>
      <c r="DG137" s="242"/>
      <c r="DH137" s="242"/>
      <c r="DI137" s="242"/>
      <c r="DJ137" s="242"/>
      <c r="DK137" s="242"/>
      <c r="DL137" s="242"/>
      <c r="DM137" s="242"/>
      <c r="DN137" s="242"/>
      <c r="DO137" s="242"/>
      <c r="DP137" s="242"/>
      <c r="DQ137" s="242"/>
      <c r="DR137" s="242"/>
      <c r="DS137" s="242"/>
      <c r="DT137" s="242"/>
      <c r="DU137" s="242"/>
      <c r="DV137" s="242"/>
      <c r="DW137" s="242"/>
      <c r="DX137" s="242"/>
      <c r="DY137" s="242"/>
      <c r="DZ137" s="242"/>
      <c r="EA137" s="242"/>
      <c r="EB137" s="242"/>
      <c r="EC137" s="242"/>
      <c r="ED137" s="242"/>
      <c r="EE137" s="242"/>
      <c r="EF137" s="242"/>
      <c r="EG137" s="242"/>
      <c r="EH137" s="242"/>
      <c r="EI137" s="242"/>
      <c r="EJ137" s="242"/>
      <c r="EK137" s="242"/>
      <c r="EL137" s="242"/>
      <c r="EM137" s="242"/>
      <c r="EN137" s="242"/>
      <c r="EO137" s="242"/>
      <c r="EP137" s="242"/>
      <c r="EQ137" s="242"/>
      <c r="ER137" s="242"/>
      <c r="ES137" s="242"/>
      <c r="ET137" s="242"/>
      <c r="EU137" s="242"/>
      <c r="EV137" s="242"/>
      <c r="EW137" s="242"/>
      <c r="EX137" s="242"/>
      <c r="EY137" s="242"/>
      <c r="EZ137" s="242"/>
      <c r="FA137" s="242"/>
      <c r="FB137" s="242"/>
      <c r="FC137" s="242"/>
      <c r="FD137" s="242"/>
      <c r="FE137" s="242"/>
      <c r="FF137" s="242"/>
      <c r="FG137" s="242"/>
      <c r="FH137" s="242"/>
      <c r="FI137" s="242"/>
      <c r="FJ137" s="242"/>
      <c r="FK137" s="242"/>
      <c r="FL137" s="242"/>
      <c r="FM137" s="242"/>
      <c r="FN137" s="242"/>
      <c r="FO137" s="242"/>
      <c r="FP137" s="242"/>
      <c r="FQ137" s="242"/>
      <c r="FR137" s="242"/>
      <c r="FS137" s="242"/>
      <c r="FT137" s="242"/>
      <c r="FU137" s="242"/>
      <c r="FV137" s="242"/>
      <c r="FW137" s="242"/>
      <c r="FX137" s="242"/>
      <c r="FY137" s="242"/>
      <c r="FZ137" s="242"/>
      <c r="GA137" s="242"/>
      <c r="GB137" s="242"/>
      <c r="GC137" s="242"/>
      <c r="GD137" s="242"/>
      <c r="GE137" s="242"/>
      <c r="GF137" s="242"/>
      <c r="GG137" s="242"/>
      <c r="GH137" s="242"/>
      <c r="GI137" s="242"/>
      <c r="GJ137" s="242"/>
      <c r="GK137" s="242"/>
      <c r="GL137" s="242"/>
      <c r="GM137" s="242"/>
      <c r="GN137" s="242"/>
      <c r="GO137" s="242"/>
      <c r="GP137" s="242"/>
      <c r="GQ137" s="242"/>
      <c r="GR137" s="242"/>
      <c r="GS137" s="242"/>
      <c r="GT137" s="242"/>
      <c r="GU137" s="242"/>
      <c r="GV137" s="242"/>
      <c r="GW137" s="242"/>
      <c r="GX137" s="242"/>
      <c r="GY137" s="242"/>
      <c r="GZ137" s="242"/>
      <c r="HA137" s="242"/>
      <c r="HB137" s="242"/>
      <c r="HC137" s="242"/>
      <c r="HD137" s="242"/>
      <c r="HE137" s="242"/>
      <c r="HF137" s="242"/>
      <c r="HG137" s="242"/>
      <c r="HH137" s="242"/>
      <c r="HI137" s="242"/>
      <c r="HJ137" s="242"/>
      <c r="HK137" s="242"/>
      <c r="HL137" s="242"/>
      <c r="HM137" s="242"/>
      <c r="HN137" s="242"/>
      <c r="HO137" s="243"/>
    </row>
    <row r="138" spans="1:223" ht="12.75" hidden="1" customHeight="1">
      <c r="A138" s="83">
        <f t="shared" si="18"/>
        <v>133</v>
      </c>
      <c r="B138" s="84"/>
      <c r="C138" s="84"/>
      <c r="D138" s="84"/>
      <c r="E138" s="84"/>
      <c r="F138" s="84" t="str">
        <f t="shared" si="16"/>
        <v>///</v>
      </c>
      <c r="G138" s="249">
        <f t="shared" si="19"/>
        <v>0</v>
      </c>
      <c r="H138" s="240">
        <f t="shared" si="17"/>
        <v>0</v>
      </c>
      <c r="I138" s="243"/>
      <c r="J138" s="243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242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  <c r="AM138" s="242"/>
      <c r="AN138" s="242"/>
      <c r="AO138" s="242"/>
      <c r="AP138" s="242"/>
      <c r="AQ138" s="242"/>
      <c r="AR138" s="242"/>
      <c r="AS138" s="242"/>
      <c r="AT138" s="242"/>
      <c r="AU138" s="242"/>
      <c r="AV138" s="242"/>
      <c r="AW138" s="242"/>
      <c r="AX138" s="242"/>
      <c r="AY138" s="242"/>
      <c r="AZ138" s="242"/>
      <c r="BA138" s="242"/>
      <c r="BB138" s="242"/>
      <c r="BC138" s="242"/>
      <c r="BD138" s="242"/>
      <c r="BE138" s="242"/>
      <c r="BF138" s="242"/>
      <c r="BG138" s="242"/>
      <c r="BH138" s="242"/>
      <c r="BI138" s="242"/>
      <c r="BJ138" s="242"/>
      <c r="BK138" s="242"/>
      <c r="BL138" s="242"/>
      <c r="BM138" s="242"/>
      <c r="BN138" s="242"/>
      <c r="BO138" s="242"/>
      <c r="BP138" s="242"/>
      <c r="BQ138" s="242"/>
      <c r="BR138" s="242"/>
      <c r="BS138" s="242"/>
      <c r="BT138" s="242"/>
      <c r="BU138" s="242"/>
      <c r="BV138" s="242"/>
      <c r="BW138" s="242"/>
      <c r="BX138" s="242"/>
      <c r="BY138" s="242"/>
      <c r="BZ138" s="242"/>
      <c r="CA138" s="242"/>
      <c r="CB138" s="242"/>
      <c r="CC138" s="242"/>
      <c r="CD138" s="242"/>
      <c r="CE138" s="242"/>
      <c r="CF138" s="242"/>
      <c r="CG138" s="242"/>
      <c r="CH138" s="242"/>
      <c r="CI138" s="242"/>
      <c r="CJ138" s="242"/>
      <c r="CK138" s="242"/>
      <c r="CL138" s="242"/>
      <c r="CM138" s="242"/>
      <c r="CN138" s="242"/>
      <c r="CO138" s="242"/>
      <c r="CP138" s="242"/>
      <c r="CQ138" s="242"/>
      <c r="CR138" s="242"/>
      <c r="CS138" s="242"/>
      <c r="CT138" s="242"/>
      <c r="CU138" s="242"/>
      <c r="CV138" s="242"/>
      <c r="CW138" s="242"/>
      <c r="CX138" s="242"/>
      <c r="CY138" s="242"/>
      <c r="CZ138" s="242"/>
      <c r="DA138" s="242"/>
      <c r="DB138" s="242"/>
      <c r="DC138" s="242"/>
      <c r="DD138" s="242"/>
      <c r="DE138" s="242"/>
      <c r="DF138" s="242"/>
      <c r="DG138" s="242"/>
      <c r="DH138" s="242"/>
      <c r="DI138" s="242"/>
      <c r="DJ138" s="242"/>
      <c r="DK138" s="242"/>
      <c r="DL138" s="242"/>
      <c r="DM138" s="242"/>
      <c r="DN138" s="242"/>
      <c r="DO138" s="242"/>
      <c r="DP138" s="242"/>
      <c r="DQ138" s="242"/>
      <c r="DR138" s="242"/>
      <c r="DS138" s="242"/>
      <c r="DT138" s="242"/>
      <c r="DU138" s="242"/>
      <c r="DV138" s="242"/>
      <c r="DW138" s="242"/>
      <c r="DX138" s="242"/>
      <c r="DY138" s="242"/>
      <c r="DZ138" s="242"/>
      <c r="EA138" s="242"/>
      <c r="EB138" s="242"/>
      <c r="EC138" s="242"/>
      <c r="ED138" s="242"/>
      <c r="EE138" s="242"/>
      <c r="EF138" s="242"/>
      <c r="EG138" s="242"/>
      <c r="EH138" s="242"/>
      <c r="EI138" s="242"/>
      <c r="EJ138" s="242"/>
      <c r="EK138" s="242"/>
      <c r="EL138" s="242"/>
      <c r="EM138" s="242"/>
      <c r="EN138" s="242"/>
      <c r="EO138" s="242"/>
      <c r="EP138" s="242"/>
      <c r="EQ138" s="242"/>
      <c r="ER138" s="242"/>
      <c r="ES138" s="242"/>
      <c r="ET138" s="242"/>
      <c r="EU138" s="242"/>
      <c r="EV138" s="242"/>
      <c r="EW138" s="242"/>
      <c r="EX138" s="242"/>
      <c r="EY138" s="242"/>
      <c r="EZ138" s="242"/>
      <c r="FA138" s="242"/>
      <c r="FB138" s="242"/>
      <c r="FC138" s="242"/>
      <c r="FD138" s="242"/>
      <c r="FE138" s="242"/>
      <c r="FF138" s="242"/>
      <c r="FG138" s="242"/>
      <c r="FH138" s="242"/>
      <c r="FI138" s="242"/>
      <c r="FJ138" s="242"/>
      <c r="FK138" s="242"/>
      <c r="FL138" s="242"/>
      <c r="FM138" s="242"/>
      <c r="FN138" s="242"/>
      <c r="FO138" s="242"/>
      <c r="FP138" s="242"/>
      <c r="FQ138" s="242"/>
      <c r="FR138" s="242"/>
      <c r="FS138" s="242"/>
      <c r="FT138" s="242"/>
      <c r="FU138" s="242"/>
      <c r="FV138" s="242"/>
      <c r="FW138" s="242"/>
      <c r="FX138" s="242"/>
      <c r="FY138" s="242"/>
      <c r="FZ138" s="242"/>
      <c r="GA138" s="242"/>
      <c r="GB138" s="242"/>
      <c r="GC138" s="242"/>
      <c r="GD138" s="242"/>
      <c r="GE138" s="242"/>
      <c r="GF138" s="242"/>
      <c r="GG138" s="242"/>
      <c r="GH138" s="242"/>
      <c r="GI138" s="242"/>
      <c r="GJ138" s="242"/>
      <c r="GK138" s="242"/>
      <c r="GL138" s="242"/>
      <c r="GM138" s="242"/>
      <c r="GN138" s="242"/>
      <c r="GO138" s="242"/>
      <c r="GP138" s="242"/>
      <c r="GQ138" s="242"/>
      <c r="GR138" s="242"/>
      <c r="GS138" s="242"/>
      <c r="GT138" s="242"/>
      <c r="GU138" s="242"/>
      <c r="GV138" s="242"/>
      <c r="GW138" s="242"/>
      <c r="GX138" s="242"/>
      <c r="GY138" s="242"/>
      <c r="GZ138" s="242"/>
      <c r="HA138" s="242"/>
      <c r="HB138" s="242"/>
      <c r="HC138" s="242"/>
      <c r="HD138" s="242"/>
      <c r="HE138" s="242"/>
      <c r="HF138" s="242"/>
      <c r="HG138" s="242"/>
      <c r="HH138" s="242"/>
      <c r="HI138" s="242"/>
      <c r="HJ138" s="242"/>
      <c r="HK138" s="242"/>
      <c r="HL138" s="242"/>
      <c r="HM138" s="242"/>
      <c r="HN138" s="242"/>
      <c r="HO138" s="243"/>
    </row>
    <row r="139" spans="1:223" ht="12.75" hidden="1" customHeight="1">
      <c r="A139" s="83">
        <f t="shared" si="18"/>
        <v>134</v>
      </c>
      <c r="B139" s="84"/>
      <c r="C139" s="84"/>
      <c r="D139" s="84"/>
      <c r="E139" s="84"/>
      <c r="F139" s="84" t="str">
        <f t="shared" si="16"/>
        <v>///</v>
      </c>
      <c r="G139" s="249">
        <f t="shared" si="19"/>
        <v>0</v>
      </c>
      <c r="H139" s="240">
        <f t="shared" si="17"/>
        <v>0</v>
      </c>
      <c r="I139" s="243"/>
      <c r="J139" s="243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242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  <c r="AM139" s="242"/>
      <c r="AN139" s="242"/>
      <c r="AO139" s="242"/>
      <c r="AP139" s="242"/>
      <c r="AQ139" s="242"/>
      <c r="AR139" s="242"/>
      <c r="AS139" s="242"/>
      <c r="AT139" s="242"/>
      <c r="AU139" s="242"/>
      <c r="AV139" s="242"/>
      <c r="AW139" s="242"/>
      <c r="AX139" s="242"/>
      <c r="AY139" s="242"/>
      <c r="AZ139" s="242"/>
      <c r="BA139" s="242"/>
      <c r="BB139" s="242"/>
      <c r="BC139" s="242"/>
      <c r="BD139" s="242"/>
      <c r="BE139" s="242"/>
      <c r="BF139" s="242"/>
      <c r="BG139" s="242"/>
      <c r="BH139" s="242"/>
      <c r="BI139" s="242"/>
      <c r="BJ139" s="242"/>
      <c r="BK139" s="242"/>
      <c r="BL139" s="242"/>
      <c r="BM139" s="242"/>
      <c r="BN139" s="242"/>
      <c r="BO139" s="242"/>
      <c r="BP139" s="242"/>
      <c r="BQ139" s="242"/>
      <c r="BR139" s="242"/>
      <c r="BS139" s="242"/>
      <c r="BT139" s="242"/>
      <c r="BU139" s="242"/>
      <c r="BV139" s="242"/>
      <c r="BW139" s="242"/>
      <c r="BX139" s="242"/>
      <c r="BY139" s="242"/>
      <c r="BZ139" s="242"/>
      <c r="CA139" s="242"/>
      <c r="CB139" s="242"/>
      <c r="CC139" s="242"/>
      <c r="CD139" s="242"/>
      <c r="CE139" s="242"/>
      <c r="CF139" s="242"/>
      <c r="CG139" s="242"/>
      <c r="CH139" s="242"/>
      <c r="CI139" s="242"/>
      <c r="CJ139" s="242"/>
      <c r="CK139" s="242"/>
      <c r="CL139" s="242"/>
      <c r="CM139" s="242"/>
      <c r="CN139" s="242"/>
      <c r="CO139" s="242"/>
      <c r="CP139" s="242"/>
      <c r="CQ139" s="242"/>
      <c r="CR139" s="242"/>
      <c r="CS139" s="242"/>
      <c r="CT139" s="242"/>
      <c r="CU139" s="242"/>
      <c r="CV139" s="242"/>
      <c r="CW139" s="242"/>
      <c r="CX139" s="242"/>
      <c r="CY139" s="242"/>
      <c r="CZ139" s="242"/>
      <c r="DA139" s="242"/>
      <c r="DB139" s="242"/>
      <c r="DC139" s="242"/>
      <c r="DD139" s="242"/>
      <c r="DE139" s="242"/>
      <c r="DF139" s="242"/>
      <c r="DG139" s="242"/>
      <c r="DH139" s="242"/>
      <c r="DI139" s="242"/>
      <c r="DJ139" s="242"/>
      <c r="DK139" s="242"/>
      <c r="DL139" s="242"/>
      <c r="DM139" s="242"/>
      <c r="DN139" s="242"/>
      <c r="DO139" s="242"/>
      <c r="DP139" s="242"/>
      <c r="DQ139" s="242"/>
      <c r="DR139" s="242"/>
      <c r="DS139" s="242"/>
      <c r="DT139" s="242"/>
      <c r="DU139" s="242"/>
      <c r="DV139" s="242"/>
      <c r="DW139" s="242"/>
      <c r="DX139" s="242"/>
      <c r="DY139" s="242"/>
      <c r="DZ139" s="242"/>
      <c r="EA139" s="242"/>
      <c r="EB139" s="242"/>
      <c r="EC139" s="242"/>
      <c r="ED139" s="242"/>
      <c r="EE139" s="242"/>
      <c r="EF139" s="242"/>
      <c r="EG139" s="242"/>
      <c r="EH139" s="242"/>
      <c r="EI139" s="242"/>
      <c r="EJ139" s="242"/>
      <c r="EK139" s="242"/>
      <c r="EL139" s="242"/>
      <c r="EM139" s="242"/>
      <c r="EN139" s="242"/>
      <c r="EO139" s="242"/>
      <c r="EP139" s="242"/>
      <c r="EQ139" s="242"/>
      <c r="ER139" s="242"/>
      <c r="ES139" s="242"/>
      <c r="ET139" s="242"/>
      <c r="EU139" s="242"/>
      <c r="EV139" s="242"/>
      <c r="EW139" s="242"/>
      <c r="EX139" s="242"/>
      <c r="EY139" s="242"/>
      <c r="EZ139" s="242"/>
      <c r="FA139" s="242"/>
      <c r="FB139" s="242"/>
      <c r="FC139" s="242"/>
      <c r="FD139" s="242"/>
      <c r="FE139" s="242"/>
      <c r="FF139" s="242"/>
      <c r="FG139" s="242"/>
      <c r="FH139" s="242"/>
      <c r="FI139" s="242"/>
      <c r="FJ139" s="242"/>
      <c r="FK139" s="242"/>
      <c r="FL139" s="242"/>
      <c r="FM139" s="242"/>
      <c r="FN139" s="242"/>
      <c r="FO139" s="242"/>
      <c r="FP139" s="242"/>
      <c r="FQ139" s="242"/>
      <c r="FR139" s="242"/>
      <c r="FS139" s="242"/>
      <c r="FT139" s="242"/>
      <c r="FU139" s="242"/>
      <c r="FV139" s="242"/>
      <c r="FW139" s="242"/>
      <c r="FX139" s="242"/>
      <c r="FY139" s="242"/>
      <c r="FZ139" s="242"/>
      <c r="GA139" s="242"/>
      <c r="GB139" s="242"/>
      <c r="GC139" s="242"/>
      <c r="GD139" s="242"/>
      <c r="GE139" s="242"/>
      <c r="GF139" s="242"/>
      <c r="GG139" s="242"/>
      <c r="GH139" s="242"/>
      <c r="GI139" s="242"/>
      <c r="GJ139" s="242"/>
      <c r="GK139" s="242"/>
      <c r="GL139" s="242"/>
      <c r="GM139" s="242"/>
      <c r="GN139" s="242"/>
      <c r="GO139" s="242"/>
      <c r="GP139" s="242"/>
      <c r="GQ139" s="242"/>
      <c r="GR139" s="242"/>
      <c r="GS139" s="242"/>
      <c r="GT139" s="242"/>
      <c r="GU139" s="242"/>
      <c r="GV139" s="242"/>
      <c r="GW139" s="242"/>
      <c r="GX139" s="242"/>
      <c r="GY139" s="242"/>
      <c r="GZ139" s="242"/>
      <c r="HA139" s="242"/>
      <c r="HB139" s="242"/>
      <c r="HC139" s="242"/>
      <c r="HD139" s="242"/>
      <c r="HE139" s="242"/>
      <c r="HF139" s="242"/>
      <c r="HG139" s="242"/>
      <c r="HH139" s="242"/>
      <c r="HI139" s="242"/>
      <c r="HJ139" s="242"/>
      <c r="HK139" s="242"/>
      <c r="HL139" s="242"/>
      <c r="HM139" s="242"/>
      <c r="HN139" s="242"/>
      <c r="HO139" s="243"/>
    </row>
    <row r="140" spans="1:223" ht="12.75" hidden="1" customHeight="1">
      <c r="A140" s="83">
        <f t="shared" si="18"/>
        <v>135</v>
      </c>
      <c r="B140" s="84"/>
      <c r="C140" s="84"/>
      <c r="D140" s="84"/>
      <c r="E140" s="84"/>
      <c r="F140" s="84" t="str">
        <f t="shared" si="16"/>
        <v>///</v>
      </c>
      <c r="G140" s="249">
        <f t="shared" si="19"/>
        <v>0</v>
      </c>
      <c r="H140" s="240">
        <f t="shared" si="17"/>
        <v>0</v>
      </c>
      <c r="I140" s="243"/>
      <c r="J140" s="243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42"/>
      <c r="AO140" s="242"/>
      <c r="AP140" s="242"/>
      <c r="AQ140" s="242"/>
      <c r="AR140" s="242"/>
      <c r="AS140" s="242"/>
      <c r="AT140" s="242"/>
      <c r="AU140" s="242"/>
      <c r="AV140" s="242"/>
      <c r="AW140" s="242"/>
      <c r="AX140" s="242"/>
      <c r="AY140" s="242"/>
      <c r="AZ140" s="242"/>
      <c r="BA140" s="242"/>
      <c r="BB140" s="242"/>
      <c r="BC140" s="242"/>
      <c r="BD140" s="242"/>
      <c r="BE140" s="242"/>
      <c r="BF140" s="242"/>
      <c r="BG140" s="242"/>
      <c r="BH140" s="242"/>
      <c r="BI140" s="242"/>
      <c r="BJ140" s="242"/>
      <c r="BK140" s="242"/>
      <c r="BL140" s="242"/>
      <c r="BM140" s="242"/>
      <c r="BN140" s="242"/>
      <c r="BO140" s="242"/>
      <c r="BP140" s="242"/>
      <c r="BQ140" s="242"/>
      <c r="BR140" s="242"/>
      <c r="BS140" s="242"/>
      <c r="BT140" s="242"/>
      <c r="BU140" s="242"/>
      <c r="BV140" s="242"/>
      <c r="BW140" s="242"/>
      <c r="BX140" s="242"/>
      <c r="BY140" s="242"/>
      <c r="BZ140" s="242"/>
      <c r="CA140" s="242"/>
      <c r="CB140" s="242"/>
      <c r="CC140" s="242"/>
      <c r="CD140" s="242"/>
      <c r="CE140" s="242"/>
      <c r="CF140" s="242"/>
      <c r="CG140" s="242"/>
      <c r="CH140" s="242"/>
      <c r="CI140" s="242"/>
      <c r="CJ140" s="242"/>
      <c r="CK140" s="242"/>
      <c r="CL140" s="242"/>
      <c r="CM140" s="242"/>
      <c r="CN140" s="242"/>
      <c r="CO140" s="242"/>
      <c r="CP140" s="242"/>
      <c r="CQ140" s="242"/>
      <c r="CR140" s="242"/>
      <c r="CS140" s="242"/>
      <c r="CT140" s="242"/>
      <c r="CU140" s="242"/>
      <c r="CV140" s="242"/>
      <c r="CW140" s="242"/>
      <c r="CX140" s="242"/>
      <c r="CY140" s="242"/>
      <c r="CZ140" s="242"/>
      <c r="DA140" s="242"/>
      <c r="DB140" s="242"/>
      <c r="DC140" s="242"/>
      <c r="DD140" s="242"/>
      <c r="DE140" s="242"/>
      <c r="DF140" s="242"/>
      <c r="DG140" s="242"/>
      <c r="DH140" s="242"/>
      <c r="DI140" s="242"/>
      <c r="DJ140" s="242"/>
      <c r="DK140" s="242"/>
      <c r="DL140" s="242"/>
      <c r="DM140" s="242"/>
      <c r="DN140" s="242"/>
      <c r="DO140" s="242"/>
      <c r="DP140" s="242"/>
      <c r="DQ140" s="242"/>
      <c r="DR140" s="242"/>
      <c r="DS140" s="242"/>
      <c r="DT140" s="242"/>
      <c r="DU140" s="242"/>
      <c r="DV140" s="242"/>
      <c r="DW140" s="242"/>
      <c r="DX140" s="242"/>
      <c r="DY140" s="242"/>
      <c r="DZ140" s="242"/>
      <c r="EA140" s="242"/>
      <c r="EB140" s="242"/>
      <c r="EC140" s="242"/>
      <c r="ED140" s="242"/>
      <c r="EE140" s="242"/>
      <c r="EF140" s="242"/>
      <c r="EG140" s="242"/>
      <c r="EH140" s="242"/>
      <c r="EI140" s="242"/>
      <c r="EJ140" s="242"/>
      <c r="EK140" s="242"/>
      <c r="EL140" s="242"/>
      <c r="EM140" s="242"/>
      <c r="EN140" s="242"/>
      <c r="EO140" s="242"/>
      <c r="EP140" s="242"/>
      <c r="EQ140" s="242"/>
      <c r="ER140" s="242"/>
      <c r="ES140" s="242"/>
      <c r="ET140" s="242"/>
      <c r="EU140" s="242"/>
      <c r="EV140" s="242"/>
      <c r="EW140" s="242"/>
      <c r="EX140" s="242"/>
      <c r="EY140" s="242"/>
      <c r="EZ140" s="242"/>
      <c r="FA140" s="242"/>
      <c r="FB140" s="242"/>
      <c r="FC140" s="242"/>
      <c r="FD140" s="242"/>
      <c r="FE140" s="242"/>
      <c r="FF140" s="242"/>
      <c r="FG140" s="242"/>
      <c r="FH140" s="242"/>
      <c r="FI140" s="242"/>
      <c r="FJ140" s="242"/>
      <c r="FK140" s="242"/>
      <c r="FL140" s="242"/>
      <c r="FM140" s="242"/>
      <c r="FN140" s="242"/>
      <c r="FO140" s="242"/>
      <c r="FP140" s="242"/>
      <c r="FQ140" s="242"/>
      <c r="FR140" s="242"/>
      <c r="FS140" s="242"/>
      <c r="FT140" s="242"/>
      <c r="FU140" s="242"/>
      <c r="FV140" s="242"/>
      <c r="FW140" s="242"/>
      <c r="FX140" s="242"/>
      <c r="FY140" s="242"/>
      <c r="FZ140" s="242"/>
      <c r="GA140" s="242"/>
      <c r="GB140" s="242"/>
      <c r="GC140" s="242"/>
      <c r="GD140" s="242"/>
      <c r="GE140" s="242"/>
      <c r="GF140" s="242"/>
      <c r="GG140" s="242"/>
      <c r="GH140" s="242"/>
      <c r="GI140" s="242"/>
      <c r="GJ140" s="242"/>
      <c r="GK140" s="242"/>
      <c r="GL140" s="242"/>
      <c r="GM140" s="242"/>
      <c r="GN140" s="242"/>
      <c r="GO140" s="242"/>
      <c r="GP140" s="242"/>
      <c r="GQ140" s="242"/>
      <c r="GR140" s="242"/>
      <c r="GS140" s="242"/>
      <c r="GT140" s="242"/>
      <c r="GU140" s="242"/>
      <c r="GV140" s="242"/>
      <c r="GW140" s="242"/>
      <c r="GX140" s="242"/>
      <c r="GY140" s="242"/>
      <c r="GZ140" s="242"/>
      <c r="HA140" s="242"/>
      <c r="HB140" s="242"/>
      <c r="HC140" s="242"/>
      <c r="HD140" s="242"/>
      <c r="HE140" s="242"/>
      <c r="HF140" s="242"/>
      <c r="HG140" s="242"/>
      <c r="HH140" s="242"/>
      <c r="HI140" s="242"/>
      <c r="HJ140" s="242"/>
      <c r="HK140" s="242"/>
      <c r="HL140" s="242"/>
      <c r="HM140" s="242"/>
      <c r="HN140" s="242"/>
      <c r="HO140" s="243"/>
    </row>
    <row r="141" spans="1:223" ht="12.75" hidden="1" customHeight="1">
      <c r="A141" s="83">
        <f t="shared" si="18"/>
        <v>136</v>
      </c>
      <c r="B141" s="84"/>
      <c r="C141" s="84"/>
      <c r="D141" s="84"/>
      <c r="E141" s="84"/>
      <c r="F141" s="84" t="str">
        <f t="shared" si="16"/>
        <v>///</v>
      </c>
      <c r="G141" s="249">
        <f t="shared" si="19"/>
        <v>0</v>
      </c>
      <c r="H141" s="240">
        <f t="shared" si="17"/>
        <v>0</v>
      </c>
      <c r="I141" s="243"/>
      <c r="J141" s="243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242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  <c r="AM141" s="242"/>
      <c r="AN141" s="242"/>
      <c r="AO141" s="242"/>
      <c r="AP141" s="242"/>
      <c r="AQ141" s="242"/>
      <c r="AR141" s="242"/>
      <c r="AS141" s="242"/>
      <c r="AT141" s="242"/>
      <c r="AU141" s="242"/>
      <c r="AV141" s="242"/>
      <c r="AW141" s="242"/>
      <c r="AX141" s="242"/>
      <c r="AY141" s="242"/>
      <c r="AZ141" s="242"/>
      <c r="BA141" s="242"/>
      <c r="BB141" s="242"/>
      <c r="BC141" s="242"/>
      <c r="BD141" s="242"/>
      <c r="BE141" s="242"/>
      <c r="BF141" s="242"/>
      <c r="BG141" s="242"/>
      <c r="BH141" s="242"/>
      <c r="BI141" s="242"/>
      <c r="BJ141" s="242"/>
      <c r="BK141" s="242"/>
      <c r="BL141" s="242"/>
      <c r="BM141" s="242"/>
      <c r="BN141" s="242"/>
      <c r="BO141" s="242"/>
      <c r="BP141" s="242"/>
      <c r="BQ141" s="242"/>
      <c r="BR141" s="242"/>
      <c r="BS141" s="242"/>
      <c r="BT141" s="242"/>
      <c r="BU141" s="242"/>
      <c r="BV141" s="242"/>
      <c r="BW141" s="242"/>
      <c r="BX141" s="242"/>
      <c r="BY141" s="242"/>
      <c r="BZ141" s="242"/>
      <c r="CA141" s="242"/>
      <c r="CB141" s="242"/>
      <c r="CC141" s="242"/>
      <c r="CD141" s="242"/>
      <c r="CE141" s="242"/>
      <c r="CF141" s="242"/>
      <c r="CG141" s="242"/>
      <c r="CH141" s="242"/>
      <c r="CI141" s="242"/>
      <c r="CJ141" s="242"/>
      <c r="CK141" s="242"/>
      <c r="CL141" s="242"/>
      <c r="CM141" s="242"/>
      <c r="CN141" s="242"/>
      <c r="CO141" s="242"/>
      <c r="CP141" s="242"/>
      <c r="CQ141" s="242"/>
      <c r="CR141" s="242"/>
      <c r="CS141" s="242"/>
      <c r="CT141" s="242"/>
      <c r="CU141" s="242"/>
      <c r="CV141" s="242"/>
      <c r="CW141" s="242"/>
      <c r="CX141" s="242"/>
      <c r="CY141" s="242"/>
      <c r="CZ141" s="242"/>
      <c r="DA141" s="242"/>
      <c r="DB141" s="242"/>
      <c r="DC141" s="242"/>
      <c r="DD141" s="242"/>
      <c r="DE141" s="242"/>
      <c r="DF141" s="242"/>
      <c r="DG141" s="242"/>
      <c r="DH141" s="242"/>
      <c r="DI141" s="242"/>
      <c r="DJ141" s="242"/>
      <c r="DK141" s="242"/>
      <c r="DL141" s="242"/>
      <c r="DM141" s="242"/>
      <c r="DN141" s="242"/>
      <c r="DO141" s="242"/>
      <c r="DP141" s="242"/>
      <c r="DQ141" s="242"/>
      <c r="DR141" s="242"/>
      <c r="DS141" s="242"/>
      <c r="DT141" s="242"/>
      <c r="DU141" s="242"/>
      <c r="DV141" s="242"/>
      <c r="DW141" s="242"/>
      <c r="DX141" s="242"/>
      <c r="DY141" s="242"/>
      <c r="DZ141" s="242"/>
      <c r="EA141" s="242"/>
      <c r="EB141" s="242"/>
      <c r="EC141" s="242"/>
      <c r="ED141" s="242"/>
      <c r="EE141" s="242"/>
      <c r="EF141" s="242"/>
      <c r="EG141" s="242"/>
      <c r="EH141" s="242"/>
      <c r="EI141" s="242"/>
      <c r="EJ141" s="242"/>
      <c r="EK141" s="242"/>
      <c r="EL141" s="242"/>
      <c r="EM141" s="242"/>
      <c r="EN141" s="242"/>
      <c r="EO141" s="242"/>
      <c r="EP141" s="242"/>
      <c r="EQ141" s="242"/>
      <c r="ER141" s="242"/>
      <c r="ES141" s="242"/>
      <c r="ET141" s="242"/>
      <c r="EU141" s="242"/>
      <c r="EV141" s="242"/>
      <c r="EW141" s="242"/>
      <c r="EX141" s="242"/>
      <c r="EY141" s="242"/>
      <c r="EZ141" s="242"/>
      <c r="FA141" s="242"/>
      <c r="FB141" s="242"/>
      <c r="FC141" s="242"/>
      <c r="FD141" s="242"/>
      <c r="FE141" s="242"/>
      <c r="FF141" s="242"/>
      <c r="FG141" s="242"/>
      <c r="FH141" s="242"/>
      <c r="FI141" s="242"/>
      <c r="FJ141" s="242"/>
      <c r="FK141" s="242"/>
      <c r="FL141" s="242"/>
      <c r="FM141" s="242"/>
      <c r="FN141" s="242"/>
      <c r="FO141" s="242"/>
      <c r="FP141" s="242"/>
      <c r="FQ141" s="242"/>
      <c r="FR141" s="242"/>
      <c r="FS141" s="242"/>
      <c r="FT141" s="242"/>
      <c r="FU141" s="242"/>
      <c r="FV141" s="242"/>
      <c r="FW141" s="242"/>
      <c r="FX141" s="242"/>
      <c r="FY141" s="242"/>
      <c r="FZ141" s="242"/>
      <c r="GA141" s="242"/>
      <c r="GB141" s="242"/>
      <c r="GC141" s="242"/>
      <c r="GD141" s="242"/>
      <c r="GE141" s="242"/>
      <c r="GF141" s="242"/>
      <c r="GG141" s="242"/>
      <c r="GH141" s="242"/>
      <c r="GI141" s="242"/>
      <c r="GJ141" s="242"/>
      <c r="GK141" s="242"/>
      <c r="GL141" s="242"/>
      <c r="GM141" s="242"/>
      <c r="GN141" s="242"/>
      <c r="GO141" s="242"/>
      <c r="GP141" s="242"/>
      <c r="GQ141" s="242"/>
      <c r="GR141" s="242"/>
      <c r="GS141" s="242"/>
      <c r="GT141" s="242"/>
      <c r="GU141" s="242"/>
      <c r="GV141" s="242"/>
      <c r="GW141" s="242"/>
      <c r="GX141" s="242"/>
      <c r="GY141" s="242"/>
      <c r="GZ141" s="242"/>
      <c r="HA141" s="242"/>
      <c r="HB141" s="242"/>
      <c r="HC141" s="242"/>
      <c r="HD141" s="242"/>
      <c r="HE141" s="242"/>
      <c r="HF141" s="242"/>
      <c r="HG141" s="242"/>
      <c r="HH141" s="242"/>
      <c r="HI141" s="242"/>
      <c r="HJ141" s="242"/>
      <c r="HK141" s="242"/>
      <c r="HL141" s="242"/>
      <c r="HM141" s="242"/>
      <c r="HN141" s="242"/>
      <c r="HO141" s="243"/>
    </row>
    <row r="142" spans="1:223" ht="12.75" hidden="1" customHeight="1">
      <c r="A142" s="83">
        <f t="shared" si="18"/>
        <v>137</v>
      </c>
      <c r="B142" s="84"/>
      <c r="C142" s="84"/>
      <c r="D142" s="84"/>
      <c r="E142" s="84"/>
      <c r="F142" s="84" t="str">
        <f t="shared" si="16"/>
        <v>///</v>
      </c>
      <c r="G142" s="249">
        <f t="shared" si="19"/>
        <v>0</v>
      </c>
      <c r="H142" s="240">
        <f t="shared" si="17"/>
        <v>0</v>
      </c>
      <c r="I142" s="243"/>
      <c r="J142" s="243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242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  <c r="AM142" s="242"/>
      <c r="AN142" s="242"/>
      <c r="AO142" s="242"/>
      <c r="AP142" s="242"/>
      <c r="AQ142" s="242"/>
      <c r="AR142" s="242"/>
      <c r="AS142" s="242"/>
      <c r="AT142" s="242"/>
      <c r="AU142" s="242"/>
      <c r="AV142" s="242"/>
      <c r="AW142" s="242"/>
      <c r="AX142" s="242"/>
      <c r="AY142" s="242"/>
      <c r="AZ142" s="242"/>
      <c r="BA142" s="242"/>
      <c r="BB142" s="242"/>
      <c r="BC142" s="242"/>
      <c r="BD142" s="242"/>
      <c r="BE142" s="242"/>
      <c r="BF142" s="242"/>
      <c r="BG142" s="242"/>
      <c r="BH142" s="242"/>
      <c r="BI142" s="242"/>
      <c r="BJ142" s="242"/>
      <c r="BK142" s="242"/>
      <c r="BL142" s="242"/>
      <c r="BM142" s="242"/>
      <c r="BN142" s="242"/>
      <c r="BO142" s="242"/>
      <c r="BP142" s="242"/>
      <c r="BQ142" s="242"/>
      <c r="BR142" s="242"/>
      <c r="BS142" s="242"/>
      <c r="BT142" s="242"/>
      <c r="BU142" s="242"/>
      <c r="BV142" s="242"/>
      <c r="BW142" s="242"/>
      <c r="BX142" s="242"/>
      <c r="BY142" s="242"/>
      <c r="BZ142" s="242"/>
      <c r="CA142" s="242"/>
      <c r="CB142" s="242"/>
      <c r="CC142" s="242"/>
      <c r="CD142" s="242"/>
      <c r="CE142" s="242"/>
      <c r="CF142" s="242"/>
      <c r="CG142" s="242"/>
      <c r="CH142" s="242"/>
      <c r="CI142" s="242"/>
      <c r="CJ142" s="242"/>
      <c r="CK142" s="242"/>
      <c r="CL142" s="242"/>
      <c r="CM142" s="242"/>
      <c r="CN142" s="242"/>
      <c r="CO142" s="242"/>
      <c r="CP142" s="242"/>
      <c r="CQ142" s="242"/>
      <c r="CR142" s="242"/>
      <c r="CS142" s="242"/>
      <c r="CT142" s="242"/>
      <c r="CU142" s="242"/>
      <c r="CV142" s="242"/>
      <c r="CW142" s="242"/>
      <c r="CX142" s="242"/>
      <c r="CY142" s="242"/>
      <c r="CZ142" s="242"/>
      <c r="DA142" s="242"/>
      <c r="DB142" s="242"/>
      <c r="DC142" s="242"/>
      <c r="DD142" s="242"/>
      <c r="DE142" s="242"/>
      <c r="DF142" s="242"/>
      <c r="DG142" s="242"/>
      <c r="DH142" s="242"/>
      <c r="DI142" s="242"/>
      <c r="DJ142" s="242"/>
      <c r="DK142" s="242"/>
      <c r="DL142" s="242"/>
      <c r="DM142" s="242"/>
      <c r="DN142" s="242"/>
      <c r="DO142" s="242"/>
      <c r="DP142" s="242"/>
      <c r="DQ142" s="242"/>
      <c r="DR142" s="242"/>
      <c r="DS142" s="242"/>
      <c r="DT142" s="242"/>
      <c r="DU142" s="242"/>
      <c r="DV142" s="242"/>
      <c r="DW142" s="242"/>
      <c r="DX142" s="242"/>
      <c r="DY142" s="242"/>
      <c r="DZ142" s="242"/>
      <c r="EA142" s="242"/>
      <c r="EB142" s="242"/>
      <c r="EC142" s="242"/>
      <c r="ED142" s="242"/>
      <c r="EE142" s="242"/>
      <c r="EF142" s="242"/>
      <c r="EG142" s="242"/>
      <c r="EH142" s="242"/>
      <c r="EI142" s="242"/>
      <c r="EJ142" s="242"/>
      <c r="EK142" s="242"/>
      <c r="EL142" s="242"/>
      <c r="EM142" s="242"/>
      <c r="EN142" s="242"/>
      <c r="EO142" s="242"/>
      <c r="EP142" s="242"/>
      <c r="EQ142" s="242"/>
      <c r="ER142" s="242"/>
      <c r="ES142" s="242"/>
      <c r="ET142" s="242"/>
      <c r="EU142" s="242"/>
      <c r="EV142" s="242"/>
      <c r="EW142" s="242"/>
      <c r="EX142" s="242"/>
      <c r="EY142" s="242"/>
      <c r="EZ142" s="242"/>
      <c r="FA142" s="242"/>
      <c r="FB142" s="242"/>
      <c r="FC142" s="242"/>
      <c r="FD142" s="242"/>
      <c r="FE142" s="242"/>
      <c r="FF142" s="242"/>
      <c r="FG142" s="242"/>
      <c r="FH142" s="242"/>
      <c r="FI142" s="242"/>
      <c r="FJ142" s="242"/>
      <c r="FK142" s="242"/>
      <c r="FL142" s="242"/>
      <c r="FM142" s="242"/>
      <c r="FN142" s="242"/>
      <c r="FO142" s="242"/>
      <c r="FP142" s="242"/>
      <c r="FQ142" s="242"/>
      <c r="FR142" s="242"/>
      <c r="FS142" s="242"/>
      <c r="FT142" s="242"/>
      <c r="FU142" s="242"/>
      <c r="FV142" s="242"/>
      <c r="FW142" s="242"/>
      <c r="FX142" s="242"/>
      <c r="FY142" s="242"/>
      <c r="FZ142" s="242"/>
      <c r="GA142" s="242"/>
      <c r="GB142" s="242"/>
      <c r="GC142" s="242"/>
      <c r="GD142" s="242"/>
      <c r="GE142" s="242"/>
      <c r="GF142" s="242"/>
      <c r="GG142" s="242"/>
      <c r="GH142" s="242"/>
      <c r="GI142" s="242"/>
      <c r="GJ142" s="242"/>
      <c r="GK142" s="242"/>
      <c r="GL142" s="242"/>
      <c r="GM142" s="242"/>
      <c r="GN142" s="242"/>
      <c r="GO142" s="242"/>
      <c r="GP142" s="242"/>
      <c r="GQ142" s="242"/>
      <c r="GR142" s="242"/>
      <c r="GS142" s="242"/>
      <c r="GT142" s="242"/>
      <c r="GU142" s="242"/>
      <c r="GV142" s="242"/>
      <c r="GW142" s="242"/>
      <c r="GX142" s="242"/>
      <c r="GY142" s="242"/>
      <c r="GZ142" s="242"/>
      <c r="HA142" s="242"/>
      <c r="HB142" s="242"/>
      <c r="HC142" s="242"/>
      <c r="HD142" s="242"/>
      <c r="HE142" s="242"/>
      <c r="HF142" s="242"/>
      <c r="HG142" s="242"/>
      <c r="HH142" s="242"/>
      <c r="HI142" s="242"/>
      <c r="HJ142" s="242"/>
      <c r="HK142" s="242"/>
      <c r="HL142" s="242"/>
      <c r="HM142" s="242"/>
      <c r="HN142" s="242"/>
      <c r="HO142" s="243"/>
    </row>
    <row r="143" spans="1:223" ht="12.75" hidden="1" customHeight="1">
      <c r="A143" s="83">
        <f t="shared" si="18"/>
        <v>138</v>
      </c>
      <c r="B143" s="84"/>
      <c r="C143" s="84"/>
      <c r="D143" s="84"/>
      <c r="E143" s="84"/>
      <c r="F143" s="84" t="str">
        <f t="shared" si="16"/>
        <v>///</v>
      </c>
      <c r="G143" s="249">
        <f t="shared" si="19"/>
        <v>0</v>
      </c>
      <c r="H143" s="240">
        <f t="shared" si="17"/>
        <v>0</v>
      </c>
      <c r="I143" s="243"/>
      <c r="J143" s="243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242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  <c r="AM143" s="242"/>
      <c r="AN143" s="242"/>
      <c r="AO143" s="242"/>
      <c r="AP143" s="242"/>
      <c r="AQ143" s="242"/>
      <c r="AR143" s="242"/>
      <c r="AS143" s="242"/>
      <c r="AT143" s="242"/>
      <c r="AU143" s="242"/>
      <c r="AV143" s="242"/>
      <c r="AW143" s="242"/>
      <c r="AX143" s="242"/>
      <c r="AY143" s="242"/>
      <c r="AZ143" s="242"/>
      <c r="BA143" s="242"/>
      <c r="BB143" s="242"/>
      <c r="BC143" s="242"/>
      <c r="BD143" s="242"/>
      <c r="BE143" s="242"/>
      <c r="BF143" s="242"/>
      <c r="BG143" s="242"/>
      <c r="BH143" s="242"/>
      <c r="BI143" s="242"/>
      <c r="BJ143" s="242"/>
      <c r="BK143" s="242"/>
      <c r="BL143" s="242"/>
      <c r="BM143" s="242"/>
      <c r="BN143" s="242"/>
      <c r="BO143" s="242"/>
      <c r="BP143" s="242"/>
      <c r="BQ143" s="242"/>
      <c r="BR143" s="242"/>
      <c r="BS143" s="242"/>
      <c r="BT143" s="242"/>
      <c r="BU143" s="242"/>
      <c r="BV143" s="242"/>
      <c r="BW143" s="242"/>
      <c r="BX143" s="242"/>
      <c r="BY143" s="242"/>
      <c r="BZ143" s="242"/>
      <c r="CA143" s="242"/>
      <c r="CB143" s="242"/>
      <c r="CC143" s="242"/>
      <c r="CD143" s="242"/>
      <c r="CE143" s="242"/>
      <c r="CF143" s="242"/>
      <c r="CG143" s="242"/>
      <c r="CH143" s="242"/>
      <c r="CI143" s="242"/>
      <c r="CJ143" s="242"/>
      <c r="CK143" s="242"/>
      <c r="CL143" s="242"/>
      <c r="CM143" s="242"/>
      <c r="CN143" s="242"/>
      <c r="CO143" s="242"/>
      <c r="CP143" s="242"/>
      <c r="CQ143" s="242"/>
      <c r="CR143" s="242"/>
      <c r="CS143" s="242"/>
      <c r="CT143" s="242"/>
      <c r="CU143" s="242"/>
      <c r="CV143" s="242"/>
      <c r="CW143" s="242"/>
      <c r="CX143" s="242"/>
      <c r="CY143" s="242"/>
      <c r="CZ143" s="242"/>
      <c r="DA143" s="242"/>
      <c r="DB143" s="242"/>
      <c r="DC143" s="242"/>
      <c r="DD143" s="242"/>
      <c r="DE143" s="242"/>
      <c r="DF143" s="242"/>
      <c r="DG143" s="242"/>
      <c r="DH143" s="242"/>
      <c r="DI143" s="242"/>
      <c r="DJ143" s="242"/>
      <c r="DK143" s="242"/>
      <c r="DL143" s="242"/>
      <c r="DM143" s="242"/>
      <c r="DN143" s="242"/>
      <c r="DO143" s="242"/>
      <c r="DP143" s="242"/>
      <c r="DQ143" s="242"/>
      <c r="DR143" s="242"/>
      <c r="DS143" s="242"/>
      <c r="DT143" s="242"/>
      <c r="DU143" s="242"/>
      <c r="DV143" s="242"/>
      <c r="DW143" s="242"/>
      <c r="DX143" s="242"/>
      <c r="DY143" s="242"/>
      <c r="DZ143" s="242"/>
      <c r="EA143" s="242"/>
      <c r="EB143" s="242"/>
      <c r="EC143" s="242"/>
      <c r="ED143" s="242"/>
      <c r="EE143" s="242"/>
      <c r="EF143" s="242"/>
      <c r="EG143" s="242"/>
      <c r="EH143" s="242"/>
      <c r="EI143" s="242"/>
      <c r="EJ143" s="242"/>
      <c r="EK143" s="242"/>
      <c r="EL143" s="242"/>
      <c r="EM143" s="242"/>
      <c r="EN143" s="242"/>
      <c r="EO143" s="242"/>
      <c r="EP143" s="242"/>
      <c r="EQ143" s="242"/>
      <c r="ER143" s="242"/>
      <c r="ES143" s="242"/>
      <c r="ET143" s="242"/>
      <c r="EU143" s="242"/>
      <c r="EV143" s="242"/>
      <c r="EW143" s="242"/>
      <c r="EX143" s="242"/>
      <c r="EY143" s="242"/>
      <c r="EZ143" s="242"/>
      <c r="FA143" s="242"/>
      <c r="FB143" s="242"/>
      <c r="FC143" s="242"/>
      <c r="FD143" s="242"/>
      <c r="FE143" s="242"/>
      <c r="FF143" s="242"/>
      <c r="FG143" s="242"/>
      <c r="FH143" s="242"/>
      <c r="FI143" s="242"/>
      <c r="FJ143" s="242"/>
      <c r="FK143" s="242"/>
      <c r="FL143" s="242"/>
      <c r="FM143" s="242"/>
      <c r="FN143" s="242"/>
      <c r="FO143" s="242"/>
      <c r="FP143" s="242"/>
      <c r="FQ143" s="242"/>
      <c r="FR143" s="242"/>
      <c r="FS143" s="242"/>
      <c r="FT143" s="242"/>
      <c r="FU143" s="242"/>
      <c r="FV143" s="242"/>
      <c r="FW143" s="242"/>
      <c r="FX143" s="242"/>
      <c r="FY143" s="242"/>
      <c r="FZ143" s="242"/>
      <c r="GA143" s="242"/>
      <c r="GB143" s="242"/>
      <c r="GC143" s="242"/>
      <c r="GD143" s="242"/>
      <c r="GE143" s="242"/>
      <c r="GF143" s="242"/>
      <c r="GG143" s="242"/>
      <c r="GH143" s="242"/>
      <c r="GI143" s="242"/>
      <c r="GJ143" s="242"/>
      <c r="GK143" s="242"/>
      <c r="GL143" s="242"/>
      <c r="GM143" s="242"/>
      <c r="GN143" s="242"/>
      <c r="GO143" s="242"/>
      <c r="GP143" s="242"/>
      <c r="GQ143" s="242"/>
      <c r="GR143" s="242"/>
      <c r="GS143" s="242"/>
      <c r="GT143" s="242"/>
      <c r="GU143" s="242"/>
      <c r="GV143" s="242"/>
      <c r="GW143" s="242"/>
      <c r="GX143" s="242"/>
      <c r="GY143" s="242"/>
      <c r="GZ143" s="242"/>
      <c r="HA143" s="242"/>
      <c r="HB143" s="242"/>
      <c r="HC143" s="242"/>
      <c r="HD143" s="242"/>
      <c r="HE143" s="242"/>
      <c r="HF143" s="242"/>
      <c r="HG143" s="242"/>
      <c r="HH143" s="242"/>
      <c r="HI143" s="242"/>
      <c r="HJ143" s="242"/>
      <c r="HK143" s="242"/>
      <c r="HL143" s="242"/>
      <c r="HM143" s="242"/>
      <c r="HN143" s="242"/>
      <c r="HO143" s="243"/>
    </row>
    <row r="144" spans="1:223" ht="12.75" hidden="1" customHeight="1">
      <c r="A144" s="83">
        <f t="shared" si="18"/>
        <v>139</v>
      </c>
      <c r="B144" s="84"/>
      <c r="C144" s="84"/>
      <c r="D144" s="84"/>
      <c r="E144" s="84"/>
      <c r="F144" s="84" t="str">
        <f t="shared" si="16"/>
        <v>///</v>
      </c>
      <c r="G144" s="249">
        <f t="shared" si="19"/>
        <v>0</v>
      </c>
      <c r="H144" s="240">
        <f t="shared" si="17"/>
        <v>0</v>
      </c>
      <c r="I144" s="243"/>
      <c r="J144" s="243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242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  <c r="AM144" s="242"/>
      <c r="AN144" s="242"/>
      <c r="AO144" s="242"/>
      <c r="AP144" s="242"/>
      <c r="AQ144" s="242"/>
      <c r="AR144" s="242"/>
      <c r="AS144" s="242"/>
      <c r="AT144" s="242"/>
      <c r="AU144" s="242"/>
      <c r="AV144" s="242"/>
      <c r="AW144" s="242"/>
      <c r="AX144" s="242"/>
      <c r="AY144" s="242"/>
      <c r="AZ144" s="242"/>
      <c r="BA144" s="242"/>
      <c r="BB144" s="242"/>
      <c r="BC144" s="242"/>
      <c r="BD144" s="242"/>
      <c r="BE144" s="242"/>
      <c r="BF144" s="242"/>
      <c r="BG144" s="242"/>
      <c r="BH144" s="242"/>
      <c r="BI144" s="242"/>
      <c r="BJ144" s="242"/>
      <c r="BK144" s="242"/>
      <c r="BL144" s="242"/>
      <c r="BM144" s="242"/>
      <c r="BN144" s="242"/>
      <c r="BO144" s="242"/>
      <c r="BP144" s="242"/>
      <c r="BQ144" s="242"/>
      <c r="BR144" s="242"/>
      <c r="BS144" s="242"/>
      <c r="BT144" s="242"/>
      <c r="BU144" s="242"/>
      <c r="BV144" s="242"/>
      <c r="BW144" s="242"/>
      <c r="BX144" s="242"/>
      <c r="BY144" s="242"/>
      <c r="BZ144" s="242"/>
      <c r="CA144" s="242"/>
      <c r="CB144" s="242"/>
      <c r="CC144" s="242"/>
      <c r="CD144" s="242"/>
      <c r="CE144" s="242"/>
      <c r="CF144" s="242"/>
      <c r="CG144" s="242"/>
      <c r="CH144" s="242"/>
      <c r="CI144" s="242"/>
      <c r="CJ144" s="242"/>
      <c r="CK144" s="242"/>
      <c r="CL144" s="242"/>
      <c r="CM144" s="242"/>
      <c r="CN144" s="242"/>
      <c r="CO144" s="242"/>
      <c r="CP144" s="242"/>
      <c r="CQ144" s="242"/>
      <c r="CR144" s="242"/>
      <c r="CS144" s="242"/>
      <c r="CT144" s="242"/>
      <c r="CU144" s="242"/>
      <c r="CV144" s="242"/>
      <c r="CW144" s="242"/>
      <c r="CX144" s="242"/>
      <c r="CY144" s="242"/>
      <c r="CZ144" s="242"/>
      <c r="DA144" s="242"/>
      <c r="DB144" s="242"/>
      <c r="DC144" s="242"/>
      <c r="DD144" s="242"/>
      <c r="DE144" s="242"/>
      <c r="DF144" s="242"/>
      <c r="DG144" s="242"/>
      <c r="DH144" s="242"/>
      <c r="DI144" s="242"/>
      <c r="DJ144" s="242"/>
      <c r="DK144" s="242"/>
      <c r="DL144" s="242"/>
      <c r="DM144" s="242"/>
      <c r="DN144" s="242"/>
      <c r="DO144" s="242"/>
      <c r="DP144" s="242"/>
      <c r="DQ144" s="242"/>
      <c r="DR144" s="242"/>
      <c r="DS144" s="242"/>
      <c r="DT144" s="242"/>
      <c r="DU144" s="242"/>
      <c r="DV144" s="242"/>
      <c r="DW144" s="242"/>
      <c r="DX144" s="242"/>
      <c r="DY144" s="242"/>
      <c r="DZ144" s="242"/>
      <c r="EA144" s="242"/>
      <c r="EB144" s="242"/>
      <c r="EC144" s="242"/>
      <c r="ED144" s="242"/>
      <c r="EE144" s="242"/>
      <c r="EF144" s="242"/>
      <c r="EG144" s="242"/>
      <c r="EH144" s="242"/>
      <c r="EI144" s="242"/>
      <c r="EJ144" s="242"/>
      <c r="EK144" s="242"/>
      <c r="EL144" s="242"/>
      <c r="EM144" s="242"/>
      <c r="EN144" s="242"/>
      <c r="EO144" s="242"/>
      <c r="EP144" s="242"/>
      <c r="EQ144" s="242"/>
      <c r="ER144" s="242"/>
      <c r="ES144" s="242"/>
      <c r="ET144" s="242"/>
      <c r="EU144" s="242"/>
      <c r="EV144" s="242"/>
      <c r="EW144" s="242"/>
      <c r="EX144" s="242"/>
      <c r="EY144" s="242"/>
      <c r="EZ144" s="242"/>
      <c r="FA144" s="242"/>
      <c r="FB144" s="242"/>
      <c r="FC144" s="242"/>
      <c r="FD144" s="242"/>
      <c r="FE144" s="242"/>
      <c r="FF144" s="242"/>
      <c r="FG144" s="242"/>
      <c r="FH144" s="242"/>
      <c r="FI144" s="242"/>
      <c r="FJ144" s="242"/>
      <c r="FK144" s="242"/>
      <c r="FL144" s="242"/>
      <c r="FM144" s="242"/>
      <c r="FN144" s="242"/>
      <c r="FO144" s="242"/>
      <c r="FP144" s="242"/>
      <c r="FQ144" s="242"/>
      <c r="FR144" s="242"/>
      <c r="FS144" s="242"/>
      <c r="FT144" s="242"/>
      <c r="FU144" s="242"/>
      <c r="FV144" s="242"/>
      <c r="FW144" s="242"/>
      <c r="FX144" s="242"/>
      <c r="FY144" s="242"/>
      <c r="FZ144" s="242"/>
      <c r="GA144" s="242"/>
      <c r="GB144" s="242"/>
      <c r="GC144" s="242"/>
      <c r="GD144" s="242"/>
      <c r="GE144" s="242"/>
      <c r="GF144" s="242"/>
      <c r="GG144" s="242"/>
      <c r="GH144" s="242"/>
      <c r="GI144" s="242"/>
      <c r="GJ144" s="242"/>
      <c r="GK144" s="242"/>
      <c r="GL144" s="242"/>
      <c r="GM144" s="242"/>
      <c r="GN144" s="242"/>
      <c r="GO144" s="242"/>
      <c r="GP144" s="242"/>
      <c r="GQ144" s="242"/>
      <c r="GR144" s="242"/>
      <c r="GS144" s="242"/>
      <c r="GT144" s="242"/>
      <c r="GU144" s="242"/>
      <c r="GV144" s="242"/>
      <c r="GW144" s="242"/>
      <c r="GX144" s="242"/>
      <c r="GY144" s="242"/>
      <c r="GZ144" s="242"/>
      <c r="HA144" s="242"/>
      <c r="HB144" s="242"/>
      <c r="HC144" s="242"/>
      <c r="HD144" s="242"/>
      <c r="HE144" s="242"/>
      <c r="HF144" s="242"/>
      <c r="HG144" s="242"/>
      <c r="HH144" s="242"/>
      <c r="HI144" s="242"/>
      <c r="HJ144" s="242"/>
      <c r="HK144" s="242"/>
      <c r="HL144" s="242"/>
      <c r="HM144" s="242"/>
      <c r="HN144" s="242"/>
      <c r="HO144" s="243"/>
    </row>
    <row r="145" spans="1:223" ht="12.75" hidden="1" customHeight="1">
      <c r="A145" s="83">
        <f t="shared" si="18"/>
        <v>140</v>
      </c>
      <c r="B145" s="84"/>
      <c r="C145" s="84"/>
      <c r="D145" s="84"/>
      <c r="E145" s="84"/>
      <c r="F145" s="84" t="str">
        <f t="shared" si="16"/>
        <v>///</v>
      </c>
      <c r="G145" s="249">
        <f t="shared" si="19"/>
        <v>0</v>
      </c>
      <c r="H145" s="240">
        <f t="shared" si="17"/>
        <v>0</v>
      </c>
      <c r="I145" s="243"/>
      <c r="J145" s="243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242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  <c r="AM145" s="242"/>
      <c r="AN145" s="242"/>
      <c r="AO145" s="242"/>
      <c r="AP145" s="242"/>
      <c r="AQ145" s="242"/>
      <c r="AR145" s="242"/>
      <c r="AS145" s="242"/>
      <c r="AT145" s="242"/>
      <c r="AU145" s="242"/>
      <c r="AV145" s="242"/>
      <c r="AW145" s="242"/>
      <c r="AX145" s="242"/>
      <c r="AY145" s="242"/>
      <c r="AZ145" s="242"/>
      <c r="BA145" s="242"/>
      <c r="BB145" s="242"/>
      <c r="BC145" s="242"/>
      <c r="BD145" s="242"/>
      <c r="BE145" s="242"/>
      <c r="BF145" s="242"/>
      <c r="BG145" s="242"/>
      <c r="BH145" s="242"/>
      <c r="BI145" s="242"/>
      <c r="BJ145" s="242"/>
      <c r="BK145" s="242"/>
      <c r="BL145" s="242"/>
      <c r="BM145" s="242"/>
      <c r="BN145" s="242"/>
      <c r="BO145" s="242"/>
      <c r="BP145" s="242"/>
      <c r="BQ145" s="242"/>
      <c r="BR145" s="242"/>
      <c r="BS145" s="242"/>
      <c r="BT145" s="242"/>
      <c r="BU145" s="242"/>
      <c r="BV145" s="242"/>
      <c r="BW145" s="242"/>
      <c r="BX145" s="242"/>
      <c r="BY145" s="242"/>
      <c r="BZ145" s="242"/>
      <c r="CA145" s="242"/>
      <c r="CB145" s="242"/>
      <c r="CC145" s="242"/>
      <c r="CD145" s="242"/>
      <c r="CE145" s="242"/>
      <c r="CF145" s="242"/>
      <c r="CG145" s="242"/>
      <c r="CH145" s="242"/>
      <c r="CI145" s="242"/>
      <c r="CJ145" s="242"/>
      <c r="CK145" s="242"/>
      <c r="CL145" s="242"/>
      <c r="CM145" s="242"/>
      <c r="CN145" s="242"/>
      <c r="CO145" s="242"/>
      <c r="CP145" s="242"/>
      <c r="CQ145" s="242"/>
      <c r="CR145" s="242"/>
      <c r="CS145" s="242"/>
      <c r="CT145" s="242"/>
      <c r="CU145" s="242"/>
      <c r="CV145" s="242"/>
      <c r="CW145" s="242"/>
      <c r="CX145" s="242"/>
      <c r="CY145" s="242"/>
      <c r="CZ145" s="242"/>
      <c r="DA145" s="242"/>
      <c r="DB145" s="242"/>
      <c r="DC145" s="242"/>
      <c r="DD145" s="242"/>
      <c r="DE145" s="242"/>
      <c r="DF145" s="242"/>
      <c r="DG145" s="242"/>
      <c r="DH145" s="242"/>
      <c r="DI145" s="242"/>
      <c r="DJ145" s="242"/>
      <c r="DK145" s="242"/>
      <c r="DL145" s="242"/>
      <c r="DM145" s="242"/>
      <c r="DN145" s="242"/>
      <c r="DO145" s="242"/>
      <c r="DP145" s="242"/>
      <c r="DQ145" s="242"/>
      <c r="DR145" s="242"/>
      <c r="DS145" s="242"/>
      <c r="DT145" s="242"/>
      <c r="DU145" s="242"/>
      <c r="DV145" s="242"/>
      <c r="DW145" s="242"/>
      <c r="DX145" s="242"/>
      <c r="DY145" s="242"/>
      <c r="DZ145" s="242"/>
      <c r="EA145" s="242"/>
      <c r="EB145" s="242"/>
      <c r="EC145" s="242"/>
      <c r="ED145" s="242"/>
      <c r="EE145" s="242"/>
      <c r="EF145" s="242"/>
      <c r="EG145" s="242"/>
      <c r="EH145" s="242"/>
      <c r="EI145" s="242"/>
      <c r="EJ145" s="242"/>
      <c r="EK145" s="242"/>
      <c r="EL145" s="242"/>
      <c r="EM145" s="242"/>
      <c r="EN145" s="242"/>
      <c r="EO145" s="242"/>
      <c r="EP145" s="242"/>
      <c r="EQ145" s="242"/>
      <c r="ER145" s="242"/>
      <c r="ES145" s="242"/>
      <c r="ET145" s="242"/>
      <c r="EU145" s="242"/>
      <c r="EV145" s="242"/>
      <c r="EW145" s="242"/>
      <c r="EX145" s="242"/>
      <c r="EY145" s="242"/>
      <c r="EZ145" s="242"/>
      <c r="FA145" s="242"/>
      <c r="FB145" s="242"/>
      <c r="FC145" s="242"/>
      <c r="FD145" s="242"/>
      <c r="FE145" s="242"/>
      <c r="FF145" s="242"/>
      <c r="FG145" s="242"/>
      <c r="FH145" s="242"/>
      <c r="FI145" s="242"/>
      <c r="FJ145" s="242"/>
      <c r="FK145" s="242"/>
      <c r="FL145" s="242"/>
      <c r="FM145" s="242"/>
      <c r="FN145" s="242"/>
      <c r="FO145" s="242"/>
      <c r="FP145" s="242"/>
      <c r="FQ145" s="242"/>
      <c r="FR145" s="242"/>
      <c r="FS145" s="242"/>
      <c r="FT145" s="242"/>
      <c r="FU145" s="242"/>
      <c r="FV145" s="242"/>
      <c r="FW145" s="242"/>
      <c r="FX145" s="242"/>
      <c r="FY145" s="242"/>
      <c r="FZ145" s="242"/>
      <c r="GA145" s="242"/>
      <c r="GB145" s="242"/>
      <c r="GC145" s="242"/>
      <c r="GD145" s="242"/>
      <c r="GE145" s="242"/>
      <c r="GF145" s="242"/>
      <c r="GG145" s="242"/>
      <c r="GH145" s="242"/>
      <c r="GI145" s="242"/>
      <c r="GJ145" s="242"/>
      <c r="GK145" s="242"/>
      <c r="GL145" s="242"/>
      <c r="GM145" s="242"/>
      <c r="GN145" s="242"/>
      <c r="GO145" s="242"/>
      <c r="GP145" s="242"/>
      <c r="GQ145" s="242"/>
      <c r="GR145" s="242"/>
      <c r="GS145" s="242"/>
      <c r="GT145" s="242"/>
      <c r="GU145" s="242"/>
      <c r="GV145" s="242"/>
      <c r="GW145" s="242"/>
      <c r="GX145" s="242"/>
      <c r="GY145" s="242"/>
      <c r="GZ145" s="242"/>
      <c r="HA145" s="242"/>
      <c r="HB145" s="242"/>
      <c r="HC145" s="242"/>
      <c r="HD145" s="242"/>
      <c r="HE145" s="242"/>
      <c r="HF145" s="242"/>
      <c r="HG145" s="242"/>
      <c r="HH145" s="242"/>
      <c r="HI145" s="242"/>
      <c r="HJ145" s="242"/>
      <c r="HK145" s="242"/>
      <c r="HL145" s="242"/>
      <c r="HM145" s="242"/>
      <c r="HN145" s="242"/>
      <c r="HO145" s="243"/>
    </row>
    <row r="146" spans="1:223" ht="12.75" hidden="1" customHeight="1">
      <c r="A146" s="83">
        <f t="shared" si="18"/>
        <v>141</v>
      </c>
      <c r="B146" s="84"/>
      <c r="C146" s="84"/>
      <c r="D146" s="84"/>
      <c r="E146" s="84"/>
      <c r="F146" s="84" t="str">
        <f t="shared" si="16"/>
        <v>///</v>
      </c>
      <c r="G146" s="249">
        <f t="shared" si="19"/>
        <v>0</v>
      </c>
      <c r="H146" s="240">
        <f t="shared" si="17"/>
        <v>0</v>
      </c>
      <c r="I146" s="243"/>
      <c r="J146" s="243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242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  <c r="AM146" s="242"/>
      <c r="AN146" s="242"/>
      <c r="AO146" s="242"/>
      <c r="AP146" s="242"/>
      <c r="AQ146" s="242"/>
      <c r="AR146" s="242"/>
      <c r="AS146" s="242"/>
      <c r="AT146" s="242"/>
      <c r="AU146" s="242"/>
      <c r="AV146" s="242"/>
      <c r="AW146" s="242"/>
      <c r="AX146" s="242"/>
      <c r="AY146" s="242"/>
      <c r="AZ146" s="242"/>
      <c r="BA146" s="242"/>
      <c r="BB146" s="242"/>
      <c r="BC146" s="242"/>
      <c r="BD146" s="242"/>
      <c r="BE146" s="242"/>
      <c r="BF146" s="242"/>
      <c r="BG146" s="242"/>
      <c r="BH146" s="242"/>
      <c r="BI146" s="242"/>
      <c r="BJ146" s="242"/>
      <c r="BK146" s="242"/>
      <c r="BL146" s="242"/>
      <c r="BM146" s="242"/>
      <c r="BN146" s="242"/>
      <c r="BO146" s="242"/>
      <c r="BP146" s="242"/>
      <c r="BQ146" s="242"/>
      <c r="BR146" s="242"/>
      <c r="BS146" s="242"/>
      <c r="BT146" s="242"/>
      <c r="BU146" s="242"/>
      <c r="BV146" s="242"/>
      <c r="BW146" s="242"/>
      <c r="BX146" s="242"/>
      <c r="BY146" s="242"/>
      <c r="BZ146" s="242"/>
      <c r="CA146" s="242"/>
      <c r="CB146" s="242"/>
      <c r="CC146" s="242"/>
      <c r="CD146" s="242"/>
      <c r="CE146" s="242"/>
      <c r="CF146" s="242"/>
      <c r="CG146" s="242"/>
      <c r="CH146" s="242"/>
      <c r="CI146" s="242"/>
      <c r="CJ146" s="242"/>
      <c r="CK146" s="242"/>
      <c r="CL146" s="242"/>
      <c r="CM146" s="242"/>
      <c r="CN146" s="242"/>
      <c r="CO146" s="242"/>
      <c r="CP146" s="242"/>
      <c r="CQ146" s="242"/>
      <c r="CR146" s="242"/>
      <c r="CS146" s="242"/>
      <c r="CT146" s="242"/>
      <c r="CU146" s="242"/>
      <c r="CV146" s="242"/>
      <c r="CW146" s="242"/>
      <c r="CX146" s="242"/>
      <c r="CY146" s="242"/>
      <c r="CZ146" s="242"/>
      <c r="DA146" s="242"/>
      <c r="DB146" s="242"/>
      <c r="DC146" s="242"/>
      <c r="DD146" s="242"/>
      <c r="DE146" s="242"/>
      <c r="DF146" s="242"/>
      <c r="DG146" s="242"/>
      <c r="DH146" s="242"/>
      <c r="DI146" s="242"/>
      <c r="DJ146" s="242"/>
      <c r="DK146" s="242"/>
      <c r="DL146" s="242"/>
      <c r="DM146" s="242"/>
      <c r="DN146" s="242"/>
      <c r="DO146" s="242"/>
      <c r="DP146" s="242"/>
      <c r="DQ146" s="242"/>
      <c r="DR146" s="242"/>
      <c r="DS146" s="242"/>
      <c r="DT146" s="242"/>
      <c r="DU146" s="242"/>
      <c r="DV146" s="242"/>
      <c r="DW146" s="242"/>
      <c r="DX146" s="242"/>
      <c r="DY146" s="242"/>
      <c r="DZ146" s="242"/>
      <c r="EA146" s="242"/>
      <c r="EB146" s="242"/>
      <c r="EC146" s="242"/>
      <c r="ED146" s="242"/>
      <c r="EE146" s="242"/>
      <c r="EF146" s="242"/>
      <c r="EG146" s="242"/>
      <c r="EH146" s="242"/>
      <c r="EI146" s="242"/>
      <c r="EJ146" s="242"/>
      <c r="EK146" s="242"/>
      <c r="EL146" s="242"/>
      <c r="EM146" s="242"/>
      <c r="EN146" s="242"/>
      <c r="EO146" s="242"/>
      <c r="EP146" s="242"/>
      <c r="EQ146" s="242"/>
      <c r="ER146" s="242"/>
      <c r="ES146" s="242"/>
      <c r="ET146" s="242"/>
      <c r="EU146" s="242"/>
      <c r="EV146" s="242"/>
      <c r="EW146" s="242"/>
      <c r="EX146" s="242"/>
      <c r="EY146" s="242"/>
      <c r="EZ146" s="242"/>
      <c r="FA146" s="242"/>
      <c r="FB146" s="242"/>
      <c r="FC146" s="242"/>
      <c r="FD146" s="242"/>
      <c r="FE146" s="242"/>
      <c r="FF146" s="242"/>
      <c r="FG146" s="242"/>
      <c r="FH146" s="242"/>
      <c r="FI146" s="242"/>
      <c r="FJ146" s="242"/>
      <c r="FK146" s="242"/>
      <c r="FL146" s="242"/>
      <c r="FM146" s="242"/>
      <c r="FN146" s="242"/>
      <c r="FO146" s="242"/>
      <c r="FP146" s="242"/>
      <c r="FQ146" s="242"/>
      <c r="FR146" s="242"/>
      <c r="FS146" s="242"/>
      <c r="FT146" s="242"/>
      <c r="FU146" s="242"/>
      <c r="FV146" s="242"/>
      <c r="FW146" s="242"/>
      <c r="FX146" s="242"/>
      <c r="FY146" s="242"/>
      <c r="FZ146" s="242"/>
      <c r="GA146" s="242"/>
      <c r="GB146" s="242"/>
      <c r="GC146" s="242"/>
      <c r="GD146" s="242"/>
      <c r="GE146" s="242"/>
      <c r="GF146" s="242"/>
      <c r="GG146" s="242"/>
      <c r="GH146" s="242"/>
      <c r="GI146" s="242"/>
      <c r="GJ146" s="242"/>
      <c r="GK146" s="242"/>
      <c r="GL146" s="242"/>
      <c r="GM146" s="242"/>
      <c r="GN146" s="242"/>
      <c r="GO146" s="242"/>
      <c r="GP146" s="242"/>
      <c r="GQ146" s="242"/>
      <c r="GR146" s="242"/>
      <c r="GS146" s="242"/>
      <c r="GT146" s="242"/>
      <c r="GU146" s="242"/>
      <c r="GV146" s="242"/>
      <c r="GW146" s="242"/>
      <c r="GX146" s="242"/>
      <c r="GY146" s="242"/>
      <c r="GZ146" s="242"/>
      <c r="HA146" s="242"/>
      <c r="HB146" s="242"/>
      <c r="HC146" s="242"/>
      <c r="HD146" s="242"/>
      <c r="HE146" s="242"/>
      <c r="HF146" s="242"/>
      <c r="HG146" s="242"/>
      <c r="HH146" s="242"/>
      <c r="HI146" s="242"/>
      <c r="HJ146" s="242"/>
      <c r="HK146" s="242"/>
      <c r="HL146" s="242"/>
      <c r="HM146" s="242"/>
      <c r="HN146" s="242"/>
      <c r="HO146" s="243"/>
    </row>
    <row r="147" spans="1:223" ht="12.75" hidden="1" customHeight="1">
      <c r="A147" s="83">
        <f t="shared" si="18"/>
        <v>142</v>
      </c>
      <c r="B147" s="84"/>
      <c r="C147" s="84"/>
      <c r="D147" s="84"/>
      <c r="E147" s="84"/>
      <c r="F147" s="84" t="str">
        <f t="shared" si="16"/>
        <v>///</v>
      </c>
      <c r="G147" s="249">
        <f t="shared" si="19"/>
        <v>0</v>
      </c>
      <c r="H147" s="240">
        <f t="shared" si="17"/>
        <v>0</v>
      </c>
      <c r="I147" s="243"/>
      <c r="J147" s="243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242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  <c r="AM147" s="242"/>
      <c r="AN147" s="242"/>
      <c r="AO147" s="242"/>
      <c r="AP147" s="242"/>
      <c r="AQ147" s="242"/>
      <c r="AR147" s="242"/>
      <c r="AS147" s="242"/>
      <c r="AT147" s="242"/>
      <c r="AU147" s="242"/>
      <c r="AV147" s="242"/>
      <c r="AW147" s="242"/>
      <c r="AX147" s="242"/>
      <c r="AY147" s="242"/>
      <c r="AZ147" s="242"/>
      <c r="BA147" s="242"/>
      <c r="BB147" s="242"/>
      <c r="BC147" s="242"/>
      <c r="BD147" s="242"/>
      <c r="BE147" s="242"/>
      <c r="BF147" s="242"/>
      <c r="BG147" s="242"/>
      <c r="BH147" s="242"/>
      <c r="BI147" s="242"/>
      <c r="BJ147" s="242"/>
      <c r="BK147" s="242"/>
      <c r="BL147" s="242"/>
      <c r="BM147" s="242"/>
      <c r="BN147" s="242"/>
      <c r="BO147" s="242"/>
      <c r="BP147" s="242"/>
      <c r="BQ147" s="242"/>
      <c r="BR147" s="242"/>
      <c r="BS147" s="242"/>
      <c r="BT147" s="242"/>
      <c r="BU147" s="242"/>
      <c r="BV147" s="242"/>
      <c r="BW147" s="242"/>
      <c r="BX147" s="242"/>
      <c r="BY147" s="242"/>
      <c r="BZ147" s="242"/>
      <c r="CA147" s="242"/>
      <c r="CB147" s="242"/>
      <c r="CC147" s="242"/>
      <c r="CD147" s="242"/>
      <c r="CE147" s="242"/>
      <c r="CF147" s="242"/>
      <c r="CG147" s="242"/>
      <c r="CH147" s="242"/>
      <c r="CI147" s="242"/>
      <c r="CJ147" s="242"/>
      <c r="CK147" s="242"/>
      <c r="CL147" s="242"/>
      <c r="CM147" s="242"/>
      <c r="CN147" s="242"/>
      <c r="CO147" s="242"/>
      <c r="CP147" s="242"/>
      <c r="CQ147" s="242"/>
      <c r="CR147" s="242"/>
      <c r="CS147" s="242"/>
      <c r="CT147" s="242"/>
      <c r="CU147" s="242"/>
      <c r="CV147" s="242"/>
      <c r="CW147" s="242"/>
      <c r="CX147" s="242"/>
      <c r="CY147" s="242"/>
      <c r="CZ147" s="242"/>
      <c r="DA147" s="242"/>
      <c r="DB147" s="242"/>
      <c r="DC147" s="242"/>
      <c r="DD147" s="242"/>
      <c r="DE147" s="242"/>
      <c r="DF147" s="242"/>
      <c r="DG147" s="242"/>
      <c r="DH147" s="242"/>
      <c r="DI147" s="242"/>
      <c r="DJ147" s="242"/>
      <c r="DK147" s="242"/>
      <c r="DL147" s="242"/>
      <c r="DM147" s="242"/>
      <c r="DN147" s="242"/>
      <c r="DO147" s="242"/>
      <c r="DP147" s="242"/>
      <c r="DQ147" s="242"/>
      <c r="DR147" s="242"/>
      <c r="DS147" s="242"/>
      <c r="DT147" s="242"/>
      <c r="DU147" s="242"/>
      <c r="DV147" s="242"/>
      <c r="DW147" s="242"/>
      <c r="DX147" s="242"/>
      <c r="DY147" s="242"/>
      <c r="DZ147" s="242"/>
      <c r="EA147" s="242"/>
      <c r="EB147" s="242"/>
      <c r="EC147" s="242"/>
      <c r="ED147" s="242"/>
      <c r="EE147" s="242"/>
      <c r="EF147" s="242"/>
      <c r="EG147" s="242"/>
      <c r="EH147" s="242"/>
      <c r="EI147" s="242"/>
      <c r="EJ147" s="242"/>
      <c r="EK147" s="242"/>
      <c r="EL147" s="242"/>
      <c r="EM147" s="242"/>
      <c r="EN147" s="242"/>
      <c r="EO147" s="242"/>
      <c r="EP147" s="242"/>
      <c r="EQ147" s="242"/>
      <c r="ER147" s="242"/>
      <c r="ES147" s="242"/>
      <c r="ET147" s="242"/>
      <c r="EU147" s="242"/>
      <c r="EV147" s="242"/>
      <c r="EW147" s="242"/>
      <c r="EX147" s="242"/>
      <c r="EY147" s="242"/>
      <c r="EZ147" s="242"/>
      <c r="FA147" s="242"/>
      <c r="FB147" s="242"/>
      <c r="FC147" s="242"/>
      <c r="FD147" s="242"/>
      <c r="FE147" s="242"/>
      <c r="FF147" s="242"/>
      <c r="FG147" s="242"/>
      <c r="FH147" s="242"/>
      <c r="FI147" s="242"/>
      <c r="FJ147" s="242"/>
      <c r="FK147" s="242"/>
      <c r="FL147" s="242"/>
      <c r="FM147" s="242"/>
      <c r="FN147" s="242"/>
      <c r="FO147" s="242"/>
      <c r="FP147" s="242"/>
      <c r="FQ147" s="242"/>
      <c r="FR147" s="242"/>
      <c r="FS147" s="242"/>
      <c r="FT147" s="242"/>
      <c r="FU147" s="242"/>
      <c r="FV147" s="242"/>
      <c r="FW147" s="242"/>
      <c r="FX147" s="242"/>
      <c r="FY147" s="242"/>
      <c r="FZ147" s="242"/>
      <c r="GA147" s="242"/>
      <c r="GB147" s="242"/>
      <c r="GC147" s="242"/>
      <c r="GD147" s="242"/>
      <c r="GE147" s="242"/>
      <c r="GF147" s="242"/>
      <c r="GG147" s="242"/>
      <c r="GH147" s="242"/>
      <c r="GI147" s="242"/>
      <c r="GJ147" s="242"/>
      <c r="GK147" s="242"/>
      <c r="GL147" s="242"/>
      <c r="GM147" s="242"/>
      <c r="GN147" s="242"/>
      <c r="GO147" s="242"/>
      <c r="GP147" s="242"/>
      <c r="GQ147" s="242"/>
      <c r="GR147" s="242"/>
      <c r="GS147" s="242"/>
      <c r="GT147" s="242"/>
      <c r="GU147" s="242"/>
      <c r="GV147" s="242"/>
      <c r="GW147" s="242"/>
      <c r="GX147" s="242"/>
      <c r="GY147" s="242"/>
      <c r="GZ147" s="242"/>
      <c r="HA147" s="242"/>
      <c r="HB147" s="242"/>
      <c r="HC147" s="242"/>
      <c r="HD147" s="242"/>
      <c r="HE147" s="242"/>
      <c r="HF147" s="242"/>
      <c r="HG147" s="242"/>
      <c r="HH147" s="242"/>
      <c r="HI147" s="242"/>
      <c r="HJ147" s="242"/>
      <c r="HK147" s="242"/>
      <c r="HL147" s="242"/>
      <c r="HM147" s="242"/>
      <c r="HN147" s="242"/>
      <c r="HO147" s="243"/>
    </row>
    <row r="148" spans="1:223" ht="12.75" hidden="1" customHeight="1">
      <c r="A148" s="83">
        <f t="shared" si="18"/>
        <v>143</v>
      </c>
      <c r="B148" s="84"/>
      <c r="C148" s="84"/>
      <c r="D148" s="84"/>
      <c r="E148" s="84"/>
      <c r="F148" s="84" t="str">
        <f t="shared" si="16"/>
        <v>///</v>
      </c>
      <c r="G148" s="249">
        <f t="shared" si="19"/>
        <v>0</v>
      </c>
      <c r="H148" s="240">
        <f t="shared" si="17"/>
        <v>0</v>
      </c>
      <c r="I148" s="243"/>
      <c r="J148" s="243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242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  <c r="AM148" s="242"/>
      <c r="AN148" s="242"/>
      <c r="AO148" s="242"/>
      <c r="AP148" s="242"/>
      <c r="AQ148" s="242"/>
      <c r="AR148" s="242"/>
      <c r="AS148" s="242"/>
      <c r="AT148" s="242"/>
      <c r="AU148" s="242"/>
      <c r="AV148" s="242"/>
      <c r="AW148" s="242"/>
      <c r="AX148" s="242"/>
      <c r="AY148" s="242"/>
      <c r="AZ148" s="242"/>
      <c r="BA148" s="242"/>
      <c r="BB148" s="242"/>
      <c r="BC148" s="242"/>
      <c r="BD148" s="242"/>
      <c r="BE148" s="242"/>
      <c r="BF148" s="242"/>
      <c r="BG148" s="242"/>
      <c r="BH148" s="242"/>
      <c r="BI148" s="242"/>
      <c r="BJ148" s="242"/>
      <c r="BK148" s="242"/>
      <c r="BL148" s="242"/>
      <c r="BM148" s="242"/>
      <c r="BN148" s="242"/>
      <c r="BO148" s="242"/>
      <c r="BP148" s="242"/>
      <c r="BQ148" s="242"/>
      <c r="BR148" s="242"/>
      <c r="BS148" s="242"/>
      <c r="BT148" s="242"/>
      <c r="BU148" s="242"/>
      <c r="BV148" s="242"/>
      <c r="BW148" s="242"/>
      <c r="BX148" s="242"/>
      <c r="BY148" s="242"/>
      <c r="BZ148" s="242"/>
      <c r="CA148" s="242"/>
      <c r="CB148" s="242"/>
      <c r="CC148" s="242"/>
      <c r="CD148" s="242"/>
      <c r="CE148" s="242"/>
      <c r="CF148" s="242"/>
      <c r="CG148" s="242"/>
      <c r="CH148" s="242"/>
      <c r="CI148" s="242"/>
      <c r="CJ148" s="242"/>
      <c r="CK148" s="242"/>
      <c r="CL148" s="242"/>
      <c r="CM148" s="242"/>
      <c r="CN148" s="242"/>
      <c r="CO148" s="242"/>
      <c r="CP148" s="242"/>
      <c r="CQ148" s="242"/>
      <c r="CR148" s="242"/>
      <c r="CS148" s="242"/>
      <c r="CT148" s="242"/>
      <c r="CU148" s="242"/>
      <c r="CV148" s="242"/>
      <c r="CW148" s="242"/>
      <c r="CX148" s="242"/>
      <c r="CY148" s="242"/>
      <c r="CZ148" s="242"/>
      <c r="DA148" s="242"/>
      <c r="DB148" s="242"/>
      <c r="DC148" s="242"/>
      <c r="DD148" s="242"/>
      <c r="DE148" s="242"/>
      <c r="DF148" s="242"/>
      <c r="DG148" s="242"/>
      <c r="DH148" s="242"/>
      <c r="DI148" s="242"/>
      <c r="DJ148" s="242"/>
      <c r="DK148" s="242"/>
      <c r="DL148" s="242"/>
      <c r="DM148" s="242"/>
      <c r="DN148" s="242"/>
      <c r="DO148" s="242"/>
      <c r="DP148" s="242"/>
      <c r="DQ148" s="242"/>
      <c r="DR148" s="242"/>
      <c r="DS148" s="242"/>
      <c r="DT148" s="242"/>
      <c r="DU148" s="242"/>
      <c r="DV148" s="242"/>
      <c r="DW148" s="242"/>
      <c r="DX148" s="242"/>
      <c r="DY148" s="242"/>
      <c r="DZ148" s="242"/>
      <c r="EA148" s="242"/>
      <c r="EB148" s="242"/>
      <c r="EC148" s="242"/>
      <c r="ED148" s="242"/>
      <c r="EE148" s="242"/>
      <c r="EF148" s="242"/>
      <c r="EG148" s="242"/>
      <c r="EH148" s="242"/>
      <c r="EI148" s="242"/>
      <c r="EJ148" s="242"/>
      <c r="EK148" s="242"/>
      <c r="EL148" s="242"/>
      <c r="EM148" s="242"/>
      <c r="EN148" s="242"/>
      <c r="EO148" s="242"/>
      <c r="EP148" s="242"/>
      <c r="EQ148" s="242"/>
      <c r="ER148" s="242"/>
      <c r="ES148" s="242"/>
      <c r="ET148" s="242"/>
      <c r="EU148" s="242"/>
      <c r="EV148" s="242"/>
      <c r="EW148" s="242"/>
      <c r="EX148" s="242"/>
      <c r="EY148" s="242"/>
      <c r="EZ148" s="242"/>
      <c r="FA148" s="242"/>
      <c r="FB148" s="242"/>
      <c r="FC148" s="242"/>
      <c r="FD148" s="242"/>
      <c r="FE148" s="242"/>
      <c r="FF148" s="242"/>
      <c r="FG148" s="242"/>
      <c r="FH148" s="242"/>
      <c r="FI148" s="242"/>
      <c r="FJ148" s="242"/>
      <c r="FK148" s="242"/>
      <c r="FL148" s="242"/>
      <c r="FM148" s="242"/>
      <c r="FN148" s="242"/>
      <c r="FO148" s="242"/>
      <c r="FP148" s="242"/>
      <c r="FQ148" s="242"/>
      <c r="FR148" s="242"/>
      <c r="FS148" s="242"/>
      <c r="FT148" s="242"/>
      <c r="FU148" s="242"/>
      <c r="FV148" s="242"/>
      <c r="FW148" s="242"/>
      <c r="FX148" s="242"/>
      <c r="FY148" s="242"/>
      <c r="FZ148" s="242"/>
      <c r="GA148" s="242"/>
      <c r="GB148" s="242"/>
      <c r="GC148" s="242"/>
      <c r="GD148" s="242"/>
      <c r="GE148" s="242"/>
      <c r="GF148" s="242"/>
      <c r="GG148" s="242"/>
      <c r="GH148" s="242"/>
      <c r="GI148" s="242"/>
      <c r="GJ148" s="242"/>
      <c r="GK148" s="242"/>
      <c r="GL148" s="242"/>
      <c r="GM148" s="242"/>
      <c r="GN148" s="242"/>
      <c r="GO148" s="242"/>
      <c r="GP148" s="242"/>
      <c r="GQ148" s="242"/>
      <c r="GR148" s="242"/>
      <c r="GS148" s="242"/>
      <c r="GT148" s="242"/>
      <c r="GU148" s="242"/>
      <c r="GV148" s="242"/>
      <c r="GW148" s="242"/>
      <c r="GX148" s="242"/>
      <c r="GY148" s="242"/>
      <c r="GZ148" s="242"/>
      <c r="HA148" s="242"/>
      <c r="HB148" s="242"/>
      <c r="HC148" s="242"/>
      <c r="HD148" s="242"/>
      <c r="HE148" s="242"/>
      <c r="HF148" s="242"/>
      <c r="HG148" s="242"/>
      <c r="HH148" s="242"/>
      <c r="HI148" s="242"/>
      <c r="HJ148" s="242"/>
      <c r="HK148" s="242"/>
      <c r="HL148" s="242"/>
      <c r="HM148" s="242"/>
      <c r="HN148" s="242"/>
      <c r="HO148" s="243"/>
    </row>
    <row r="149" spans="1:223" ht="12.75" hidden="1" customHeight="1">
      <c r="A149" s="83">
        <f t="shared" si="18"/>
        <v>144</v>
      </c>
      <c r="B149" s="84"/>
      <c r="C149" s="84"/>
      <c r="D149" s="84"/>
      <c r="E149" s="84"/>
      <c r="F149" s="84" t="str">
        <f t="shared" si="16"/>
        <v>///</v>
      </c>
      <c r="G149" s="249">
        <f t="shared" si="19"/>
        <v>0</v>
      </c>
      <c r="H149" s="240">
        <f t="shared" si="17"/>
        <v>0</v>
      </c>
      <c r="I149" s="243"/>
      <c r="J149" s="243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242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  <c r="AM149" s="242"/>
      <c r="AN149" s="242"/>
      <c r="AO149" s="242"/>
      <c r="AP149" s="242"/>
      <c r="AQ149" s="242"/>
      <c r="AR149" s="242"/>
      <c r="AS149" s="242"/>
      <c r="AT149" s="242"/>
      <c r="AU149" s="242"/>
      <c r="AV149" s="242"/>
      <c r="AW149" s="242"/>
      <c r="AX149" s="242"/>
      <c r="AY149" s="242"/>
      <c r="AZ149" s="242"/>
      <c r="BA149" s="242"/>
      <c r="BB149" s="242"/>
      <c r="BC149" s="242"/>
      <c r="BD149" s="242"/>
      <c r="BE149" s="242"/>
      <c r="BF149" s="242"/>
      <c r="BG149" s="242"/>
      <c r="BH149" s="242"/>
      <c r="BI149" s="242"/>
      <c r="BJ149" s="242"/>
      <c r="BK149" s="242"/>
      <c r="BL149" s="242"/>
      <c r="BM149" s="242"/>
      <c r="BN149" s="242"/>
      <c r="BO149" s="242"/>
      <c r="BP149" s="242"/>
      <c r="BQ149" s="242"/>
      <c r="BR149" s="242"/>
      <c r="BS149" s="242"/>
      <c r="BT149" s="242"/>
      <c r="BU149" s="242"/>
      <c r="BV149" s="242"/>
      <c r="BW149" s="242"/>
      <c r="BX149" s="242"/>
      <c r="BY149" s="242"/>
      <c r="BZ149" s="242"/>
      <c r="CA149" s="242"/>
      <c r="CB149" s="242"/>
      <c r="CC149" s="242"/>
      <c r="CD149" s="242"/>
      <c r="CE149" s="242"/>
      <c r="CF149" s="242"/>
      <c r="CG149" s="242"/>
      <c r="CH149" s="242"/>
      <c r="CI149" s="242"/>
      <c r="CJ149" s="242"/>
      <c r="CK149" s="242"/>
      <c r="CL149" s="242"/>
      <c r="CM149" s="242"/>
      <c r="CN149" s="242"/>
      <c r="CO149" s="242"/>
      <c r="CP149" s="242"/>
      <c r="CQ149" s="242"/>
      <c r="CR149" s="242"/>
      <c r="CS149" s="242"/>
      <c r="CT149" s="242"/>
      <c r="CU149" s="242"/>
      <c r="CV149" s="242"/>
      <c r="CW149" s="242"/>
      <c r="CX149" s="242"/>
      <c r="CY149" s="242"/>
      <c r="CZ149" s="242"/>
      <c r="DA149" s="242"/>
      <c r="DB149" s="242"/>
      <c r="DC149" s="242"/>
      <c r="DD149" s="242"/>
      <c r="DE149" s="242"/>
      <c r="DF149" s="242"/>
      <c r="DG149" s="242"/>
      <c r="DH149" s="242"/>
      <c r="DI149" s="242"/>
      <c r="DJ149" s="242"/>
      <c r="DK149" s="242"/>
      <c r="DL149" s="242"/>
      <c r="DM149" s="242"/>
      <c r="DN149" s="242"/>
      <c r="DO149" s="242"/>
      <c r="DP149" s="242"/>
      <c r="DQ149" s="242"/>
      <c r="DR149" s="242"/>
      <c r="DS149" s="242"/>
      <c r="DT149" s="242"/>
      <c r="DU149" s="242"/>
      <c r="DV149" s="242"/>
      <c r="DW149" s="242"/>
      <c r="DX149" s="242"/>
      <c r="DY149" s="242"/>
      <c r="DZ149" s="242"/>
      <c r="EA149" s="242"/>
      <c r="EB149" s="242"/>
      <c r="EC149" s="242"/>
      <c r="ED149" s="242"/>
      <c r="EE149" s="242"/>
      <c r="EF149" s="242"/>
      <c r="EG149" s="242"/>
      <c r="EH149" s="242"/>
      <c r="EI149" s="242"/>
      <c r="EJ149" s="242"/>
      <c r="EK149" s="242"/>
      <c r="EL149" s="242"/>
      <c r="EM149" s="242"/>
      <c r="EN149" s="242"/>
      <c r="EO149" s="242"/>
      <c r="EP149" s="242"/>
      <c r="EQ149" s="242"/>
      <c r="ER149" s="242"/>
      <c r="ES149" s="242"/>
      <c r="ET149" s="242"/>
      <c r="EU149" s="242"/>
      <c r="EV149" s="242"/>
      <c r="EW149" s="242"/>
      <c r="EX149" s="242"/>
      <c r="EY149" s="242"/>
      <c r="EZ149" s="242"/>
      <c r="FA149" s="242"/>
      <c r="FB149" s="242"/>
      <c r="FC149" s="242"/>
      <c r="FD149" s="242"/>
      <c r="FE149" s="242"/>
      <c r="FF149" s="242"/>
      <c r="FG149" s="242"/>
      <c r="FH149" s="242"/>
      <c r="FI149" s="242"/>
      <c r="FJ149" s="242"/>
      <c r="FK149" s="242"/>
      <c r="FL149" s="242"/>
      <c r="FM149" s="242"/>
      <c r="FN149" s="242"/>
      <c r="FO149" s="242"/>
      <c r="FP149" s="242"/>
      <c r="FQ149" s="242"/>
      <c r="FR149" s="242"/>
      <c r="FS149" s="242"/>
      <c r="FT149" s="242"/>
      <c r="FU149" s="242"/>
      <c r="FV149" s="242"/>
      <c r="FW149" s="242"/>
      <c r="FX149" s="242"/>
      <c r="FY149" s="242"/>
      <c r="FZ149" s="242"/>
      <c r="GA149" s="242"/>
      <c r="GB149" s="242"/>
      <c r="GC149" s="242"/>
      <c r="GD149" s="242"/>
      <c r="GE149" s="242"/>
      <c r="GF149" s="242"/>
      <c r="GG149" s="242"/>
      <c r="GH149" s="242"/>
      <c r="GI149" s="242"/>
      <c r="GJ149" s="242"/>
      <c r="GK149" s="242"/>
      <c r="GL149" s="242"/>
      <c r="GM149" s="242"/>
      <c r="GN149" s="242"/>
      <c r="GO149" s="242"/>
      <c r="GP149" s="242"/>
      <c r="GQ149" s="242"/>
      <c r="GR149" s="242"/>
      <c r="GS149" s="242"/>
      <c r="GT149" s="242"/>
      <c r="GU149" s="242"/>
      <c r="GV149" s="242"/>
      <c r="GW149" s="242"/>
      <c r="GX149" s="242"/>
      <c r="GY149" s="242"/>
      <c r="GZ149" s="242"/>
      <c r="HA149" s="242"/>
      <c r="HB149" s="242"/>
      <c r="HC149" s="242"/>
      <c r="HD149" s="242"/>
      <c r="HE149" s="242"/>
      <c r="HF149" s="242"/>
      <c r="HG149" s="242"/>
      <c r="HH149" s="242"/>
      <c r="HI149" s="242"/>
      <c r="HJ149" s="242"/>
      <c r="HK149" s="242"/>
      <c r="HL149" s="242"/>
      <c r="HM149" s="242"/>
      <c r="HN149" s="242"/>
      <c r="HO149" s="243"/>
    </row>
    <row r="150" spans="1:223" ht="12.75" hidden="1" customHeight="1">
      <c r="A150" s="83">
        <f t="shared" si="18"/>
        <v>145</v>
      </c>
      <c r="B150" s="84"/>
      <c r="C150" s="84"/>
      <c r="D150" s="84"/>
      <c r="E150" s="84"/>
      <c r="F150" s="84" t="str">
        <f t="shared" si="16"/>
        <v>///</v>
      </c>
      <c r="G150" s="249">
        <f t="shared" si="19"/>
        <v>0</v>
      </c>
      <c r="H150" s="240">
        <f t="shared" si="17"/>
        <v>0</v>
      </c>
      <c r="I150" s="243"/>
      <c r="J150" s="243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242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  <c r="AM150" s="242"/>
      <c r="AN150" s="242"/>
      <c r="AO150" s="242"/>
      <c r="AP150" s="242"/>
      <c r="AQ150" s="242"/>
      <c r="AR150" s="242"/>
      <c r="AS150" s="242"/>
      <c r="AT150" s="242"/>
      <c r="AU150" s="242"/>
      <c r="AV150" s="242"/>
      <c r="AW150" s="242"/>
      <c r="AX150" s="242"/>
      <c r="AY150" s="242"/>
      <c r="AZ150" s="242"/>
      <c r="BA150" s="242"/>
      <c r="BB150" s="242"/>
      <c r="BC150" s="242"/>
      <c r="BD150" s="242"/>
      <c r="BE150" s="242"/>
      <c r="BF150" s="242"/>
      <c r="BG150" s="242"/>
      <c r="BH150" s="242"/>
      <c r="BI150" s="242"/>
      <c r="BJ150" s="242"/>
      <c r="BK150" s="242"/>
      <c r="BL150" s="242"/>
      <c r="BM150" s="242"/>
      <c r="BN150" s="242"/>
      <c r="BO150" s="242"/>
      <c r="BP150" s="242"/>
      <c r="BQ150" s="242"/>
      <c r="BR150" s="242"/>
      <c r="BS150" s="242"/>
      <c r="BT150" s="242"/>
      <c r="BU150" s="242"/>
      <c r="BV150" s="242"/>
      <c r="BW150" s="242"/>
      <c r="BX150" s="242"/>
      <c r="BY150" s="242"/>
      <c r="BZ150" s="242"/>
      <c r="CA150" s="242"/>
      <c r="CB150" s="242"/>
      <c r="CC150" s="242"/>
      <c r="CD150" s="242"/>
      <c r="CE150" s="242"/>
      <c r="CF150" s="242"/>
      <c r="CG150" s="242"/>
      <c r="CH150" s="242"/>
      <c r="CI150" s="242"/>
      <c r="CJ150" s="242"/>
      <c r="CK150" s="242"/>
      <c r="CL150" s="242"/>
      <c r="CM150" s="242"/>
      <c r="CN150" s="242"/>
      <c r="CO150" s="242"/>
      <c r="CP150" s="242"/>
      <c r="CQ150" s="242"/>
      <c r="CR150" s="242"/>
      <c r="CS150" s="242"/>
      <c r="CT150" s="242"/>
      <c r="CU150" s="242"/>
      <c r="CV150" s="242"/>
      <c r="CW150" s="242"/>
      <c r="CX150" s="242"/>
      <c r="CY150" s="242"/>
      <c r="CZ150" s="242"/>
      <c r="DA150" s="242"/>
      <c r="DB150" s="242"/>
      <c r="DC150" s="242"/>
      <c r="DD150" s="242"/>
      <c r="DE150" s="242"/>
      <c r="DF150" s="242"/>
      <c r="DG150" s="242"/>
      <c r="DH150" s="242"/>
      <c r="DI150" s="242"/>
      <c r="DJ150" s="242"/>
      <c r="DK150" s="242"/>
      <c r="DL150" s="242"/>
      <c r="DM150" s="242"/>
      <c r="DN150" s="242"/>
      <c r="DO150" s="242"/>
      <c r="DP150" s="242"/>
      <c r="DQ150" s="242"/>
      <c r="DR150" s="242"/>
      <c r="DS150" s="242"/>
      <c r="DT150" s="242"/>
      <c r="DU150" s="242"/>
      <c r="DV150" s="242"/>
      <c r="DW150" s="242"/>
      <c r="DX150" s="242"/>
      <c r="DY150" s="242"/>
      <c r="DZ150" s="242"/>
      <c r="EA150" s="242"/>
      <c r="EB150" s="242"/>
      <c r="EC150" s="242"/>
      <c r="ED150" s="242"/>
      <c r="EE150" s="242"/>
      <c r="EF150" s="242"/>
      <c r="EG150" s="242"/>
      <c r="EH150" s="242"/>
      <c r="EI150" s="242"/>
      <c r="EJ150" s="242"/>
      <c r="EK150" s="242"/>
      <c r="EL150" s="242"/>
      <c r="EM150" s="242"/>
      <c r="EN150" s="242"/>
      <c r="EO150" s="242"/>
      <c r="EP150" s="242"/>
      <c r="EQ150" s="242"/>
      <c r="ER150" s="242"/>
      <c r="ES150" s="242"/>
      <c r="ET150" s="242"/>
      <c r="EU150" s="242"/>
      <c r="EV150" s="242"/>
      <c r="EW150" s="242"/>
      <c r="EX150" s="242"/>
      <c r="EY150" s="242"/>
      <c r="EZ150" s="242"/>
      <c r="FA150" s="242"/>
      <c r="FB150" s="242"/>
      <c r="FC150" s="242"/>
      <c r="FD150" s="242"/>
      <c r="FE150" s="242"/>
      <c r="FF150" s="242"/>
      <c r="FG150" s="242"/>
      <c r="FH150" s="242"/>
      <c r="FI150" s="242"/>
      <c r="FJ150" s="242"/>
      <c r="FK150" s="242"/>
      <c r="FL150" s="242"/>
      <c r="FM150" s="242"/>
      <c r="FN150" s="242"/>
      <c r="FO150" s="242"/>
      <c r="FP150" s="242"/>
      <c r="FQ150" s="242"/>
      <c r="FR150" s="242"/>
      <c r="FS150" s="242"/>
      <c r="FT150" s="242"/>
      <c r="FU150" s="242"/>
      <c r="FV150" s="242"/>
      <c r="FW150" s="242"/>
      <c r="FX150" s="242"/>
      <c r="FY150" s="242"/>
      <c r="FZ150" s="242"/>
      <c r="GA150" s="242"/>
      <c r="GB150" s="242"/>
      <c r="GC150" s="242"/>
      <c r="GD150" s="242"/>
      <c r="GE150" s="242"/>
      <c r="GF150" s="242"/>
      <c r="GG150" s="242"/>
      <c r="GH150" s="242"/>
      <c r="GI150" s="242"/>
      <c r="GJ150" s="242"/>
      <c r="GK150" s="242"/>
      <c r="GL150" s="242"/>
      <c r="GM150" s="242"/>
      <c r="GN150" s="242"/>
      <c r="GO150" s="242"/>
      <c r="GP150" s="242"/>
      <c r="GQ150" s="242"/>
      <c r="GR150" s="242"/>
      <c r="GS150" s="242"/>
      <c r="GT150" s="242"/>
      <c r="GU150" s="242"/>
      <c r="GV150" s="242"/>
      <c r="GW150" s="242"/>
      <c r="GX150" s="242"/>
      <c r="GY150" s="242"/>
      <c r="GZ150" s="242"/>
      <c r="HA150" s="242"/>
      <c r="HB150" s="242"/>
      <c r="HC150" s="242"/>
      <c r="HD150" s="242"/>
      <c r="HE150" s="242"/>
      <c r="HF150" s="242"/>
      <c r="HG150" s="242"/>
      <c r="HH150" s="242"/>
      <c r="HI150" s="242"/>
      <c r="HJ150" s="242"/>
      <c r="HK150" s="242"/>
      <c r="HL150" s="242"/>
      <c r="HM150" s="242"/>
      <c r="HN150" s="242"/>
      <c r="HO150" s="243"/>
    </row>
    <row r="151" spans="1:223" ht="12.75" hidden="1" customHeight="1">
      <c r="A151" s="83">
        <f t="shared" si="18"/>
        <v>146</v>
      </c>
      <c r="B151" s="84"/>
      <c r="C151" s="84"/>
      <c r="D151" s="84"/>
      <c r="E151" s="84"/>
      <c r="F151" s="84" t="str">
        <f t="shared" si="16"/>
        <v>///</v>
      </c>
      <c r="G151" s="249">
        <f t="shared" si="19"/>
        <v>0</v>
      </c>
      <c r="H151" s="240">
        <f t="shared" si="17"/>
        <v>0</v>
      </c>
      <c r="I151" s="243"/>
      <c r="J151" s="243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242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  <c r="AM151" s="242"/>
      <c r="AN151" s="242"/>
      <c r="AO151" s="242"/>
      <c r="AP151" s="242"/>
      <c r="AQ151" s="242"/>
      <c r="AR151" s="242"/>
      <c r="AS151" s="242"/>
      <c r="AT151" s="242"/>
      <c r="AU151" s="242"/>
      <c r="AV151" s="242"/>
      <c r="AW151" s="242"/>
      <c r="AX151" s="242"/>
      <c r="AY151" s="242"/>
      <c r="AZ151" s="242"/>
      <c r="BA151" s="242"/>
      <c r="BB151" s="242"/>
      <c r="BC151" s="242"/>
      <c r="BD151" s="242"/>
      <c r="BE151" s="242"/>
      <c r="BF151" s="242"/>
      <c r="BG151" s="242"/>
      <c r="BH151" s="242"/>
      <c r="BI151" s="242"/>
      <c r="BJ151" s="242"/>
      <c r="BK151" s="242"/>
      <c r="BL151" s="242"/>
      <c r="BM151" s="242"/>
      <c r="BN151" s="242"/>
      <c r="BO151" s="242"/>
      <c r="BP151" s="242"/>
      <c r="BQ151" s="242"/>
      <c r="BR151" s="242"/>
      <c r="BS151" s="242"/>
      <c r="BT151" s="242"/>
      <c r="BU151" s="242"/>
      <c r="BV151" s="242"/>
      <c r="BW151" s="242"/>
      <c r="BX151" s="242"/>
      <c r="BY151" s="242"/>
      <c r="BZ151" s="242"/>
      <c r="CA151" s="242"/>
      <c r="CB151" s="242"/>
      <c r="CC151" s="242"/>
      <c r="CD151" s="242"/>
      <c r="CE151" s="242"/>
      <c r="CF151" s="242"/>
      <c r="CG151" s="242"/>
      <c r="CH151" s="242"/>
      <c r="CI151" s="242"/>
      <c r="CJ151" s="242"/>
      <c r="CK151" s="242"/>
      <c r="CL151" s="242"/>
      <c r="CM151" s="242"/>
      <c r="CN151" s="242"/>
      <c r="CO151" s="242"/>
      <c r="CP151" s="242"/>
      <c r="CQ151" s="242"/>
      <c r="CR151" s="242"/>
      <c r="CS151" s="242"/>
      <c r="CT151" s="242"/>
      <c r="CU151" s="242"/>
      <c r="CV151" s="242"/>
      <c r="CW151" s="242"/>
      <c r="CX151" s="242"/>
      <c r="CY151" s="242"/>
      <c r="CZ151" s="242"/>
      <c r="DA151" s="242"/>
      <c r="DB151" s="242"/>
      <c r="DC151" s="242"/>
      <c r="DD151" s="242"/>
      <c r="DE151" s="242"/>
      <c r="DF151" s="242"/>
      <c r="DG151" s="242"/>
      <c r="DH151" s="242"/>
      <c r="DI151" s="242"/>
      <c r="DJ151" s="242"/>
      <c r="DK151" s="242"/>
      <c r="DL151" s="242"/>
      <c r="DM151" s="242"/>
      <c r="DN151" s="242"/>
      <c r="DO151" s="242"/>
      <c r="DP151" s="242"/>
      <c r="DQ151" s="242"/>
      <c r="DR151" s="242"/>
      <c r="DS151" s="242"/>
      <c r="DT151" s="242"/>
      <c r="DU151" s="242"/>
      <c r="DV151" s="242"/>
      <c r="DW151" s="242"/>
      <c r="DX151" s="242"/>
      <c r="DY151" s="242"/>
      <c r="DZ151" s="242"/>
      <c r="EA151" s="242"/>
      <c r="EB151" s="242"/>
      <c r="EC151" s="242"/>
      <c r="ED151" s="242"/>
      <c r="EE151" s="242"/>
      <c r="EF151" s="242"/>
      <c r="EG151" s="242"/>
      <c r="EH151" s="242"/>
      <c r="EI151" s="242"/>
      <c r="EJ151" s="242"/>
      <c r="EK151" s="242"/>
      <c r="EL151" s="242"/>
      <c r="EM151" s="242"/>
      <c r="EN151" s="242"/>
      <c r="EO151" s="242"/>
      <c r="EP151" s="242"/>
      <c r="EQ151" s="242"/>
      <c r="ER151" s="242"/>
      <c r="ES151" s="242"/>
      <c r="ET151" s="242"/>
      <c r="EU151" s="242"/>
      <c r="EV151" s="242"/>
      <c r="EW151" s="242"/>
      <c r="EX151" s="242"/>
      <c r="EY151" s="242"/>
      <c r="EZ151" s="242"/>
      <c r="FA151" s="242"/>
      <c r="FB151" s="242"/>
      <c r="FC151" s="242"/>
      <c r="FD151" s="242"/>
      <c r="FE151" s="242"/>
      <c r="FF151" s="242"/>
      <c r="FG151" s="242"/>
      <c r="FH151" s="242"/>
      <c r="FI151" s="242"/>
      <c r="FJ151" s="242"/>
      <c r="FK151" s="242"/>
      <c r="FL151" s="242"/>
      <c r="FM151" s="242"/>
      <c r="FN151" s="242"/>
      <c r="FO151" s="242"/>
      <c r="FP151" s="242"/>
      <c r="FQ151" s="242"/>
      <c r="FR151" s="242"/>
      <c r="FS151" s="242"/>
      <c r="FT151" s="242"/>
      <c r="FU151" s="242"/>
      <c r="FV151" s="242"/>
      <c r="FW151" s="242"/>
      <c r="FX151" s="242"/>
      <c r="FY151" s="242"/>
      <c r="FZ151" s="242"/>
      <c r="GA151" s="242"/>
      <c r="GB151" s="242"/>
      <c r="GC151" s="242"/>
      <c r="GD151" s="242"/>
      <c r="GE151" s="242"/>
      <c r="GF151" s="242"/>
      <c r="GG151" s="242"/>
      <c r="GH151" s="242"/>
      <c r="GI151" s="242"/>
      <c r="GJ151" s="242"/>
      <c r="GK151" s="242"/>
      <c r="GL151" s="242"/>
      <c r="GM151" s="242"/>
      <c r="GN151" s="242"/>
      <c r="GO151" s="242"/>
      <c r="GP151" s="242"/>
      <c r="GQ151" s="242"/>
      <c r="GR151" s="242"/>
      <c r="GS151" s="242"/>
      <c r="GT151" s="242"/>
      <c r="GU151" s="242"/>
      <c r="GV151" s="242"/>
      <c r="GW151" s="242"/>
      <c r="GX151" s="242"/>
      <c r="GY151" s="242"/>
      <c r="GZ151" s="242"/>
      <c r="HA151" s="242"/>
      <c r="HB151" s="242"/>
      <c r="HC151" s="242"/>
      <c r="HD151" s="242"/>
      <c r="HE151" s="242"/>
      <c r="HF151" s="242"/>
      <c r="HG151" s="242"/>
      <c r="HH151" s="242"/>
      <c r="HI151" s="242"/>
      <c r="HJ151" s="242"/>
      <c r="HK151" s="242"/>
      <c r="HL151" s="242"/>
      <c r="HM151" s="242"/>
      <c r="HN151" s="242"/>
      <c r="HO151" s="243"/>
    </row>
    <row r="152" spans="1:223" ht="12.75" hidden="1" customHeight="1">
      <c r="A152" s="83">
        <f t="shared" si="18"/>
        <v>147</v>
      </c>
      <c r="B152" s="84"/>
      <c r="C152" s="84"/>
      <c r="D152" s="84"/>
      <c r="E152" s="84"/>
      <c r="F152" s="84" t="str">
        <f t="shared" si="16"/>
        <v>///</v>
      </c>
      <c r="G152" s="249">
        <f t="shared" si="19"/>
        <v>0</v>
      </c>
      <c r="H152" s="240">
        <f t="shared" si="17"/>
        <v>0</v>
      </c>
      <c r="I152" s="243"/>
      <c r="J152" s="243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242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  <c r="AM152" s="242"/>
      <c r="AN152" s="242"/>
      <c r="AO152" s="242"/>
      <c r="AP152" s="242"/>
      <c r="AQ152" s="242"/>
      <c r="AR152" s="242"/>
      <c r="AS152" s="242"/>
      <c r="AT152" s="242"/>
      <c r="AU152" s="242"/>
      <c r="AV152" s="242"/>
      <c r="AW152" s="242"/>
      <c r="AX152" s="242"/>
      <c r="AY152" s="242"/>
      <c r="AZ152" s="242"/>
      <c r="BA152" s="242"/>
      <c r="BB152" s="242"/>
      <c r="BC152" s="242"/>
      <c r="BD152" s="242"/>
      <c r="BE152" s="242"/>
      <c r="BF152" s="242"/>
      <c r="BG152" s="242"/>
      <c r="BH152" s="242"/>
      <c r="BI152" s="242"/>
      <c r="BJ152" s="242"/>
      <c r="BK152" s="242"/>
      <c r="BL152" s="242"/>
      <c r="BM152" s="242"/>
      <c r="BN152" s="242"/>
      <c r="BO152" s="242"/>
      <c r="BP152" s="242"/>
      <c r="BQ152" s="242"/>
      <c r="BR152" s="242"/>
      <c r="BS152" s="242"/>
      <c r="BT152" s="242"/>
      <c r="BU152" s="242"/>
      <c r="BV152" s="242"/>
      <c r="BW152" s="242"/>
      <c r="BX152" s="242"/>
      <c r="BY152" s="242"/>
      <c r="BZ152" s="242"/>
      <c r="CA152" s="242"/>
      <c r="CB152" s="242"/>
      <c r="CC152" s="242"/>
      <c r="CD152" s="242"/>
      <c r="CE152" s="242"/>
      <c r="CF152" s="242"/>
      <c r="CG152" s="242"/>
      <c r="CH152" s="242"/>
      <c r="CI152" s="242"/>
      <c r="CJ152" s="242"/>
      <c r="CK152" s="242"/>
      <c r="CL152" s="242"/>
      <c r="CM152" s="242"/>
      <c r="CN152" s="242"/>
      <c r="CO152" s="242"/>
      <c r="CP152" s="242"/>
      <c r="CQ152" s="242"/>
      <c r="CR152" s="242"/>
      <c r="CS152" s="242"/>
      <c r="CT152" s="242"/>
      <c r="CU152" s="242"/>
      <c r="CV152" s="242"/>
      <c r="CW152" s="242"/>
      <c r="CX152" s="242"/>
      <c r="CY152" s="242"/>
      <c r="CZ152" s="242"/>
      <c r="DA152" s="242"/>
      <c r="DB152" s="242"/>
      <c r="DC152" s="242"/>
      <c r="DD152" s="242"/>
      <c r="DE152" s="242"/>
      <c r="DF152" s="242"/>
      <c r="DG152" s="242"/>
      <c r="DH152" s="242"/>
      <c r="DI152" s="242"/>
      <c r="DJ152" s="242"/>
      <c r="DK152" s="242"/>
      <c r="DL152" s="242"/>
      <c r="DM152" s="242"/>
      <c r="DN152" s="242"/>
      <c r="DO152" s="242"/>
      <c r="DP152" s="242"/>
      <c r="DQ152" s="242"/>
      <c r="DR152" s="242"/>
      <c r="DS152" s="242"/>
      <c r="DT152" s="242"/>
      <c r="DU152" s="242"/>
      <c r="DV152" s="242"/>
      <c r="DW152" s="242"/>
      <c r="DX152" s="242"/>
      <c r="DY152" s="242"/>
      <c r="DZ152" s="242"/>
      <c r="EA152" s="242"/>
      <c r="EB152" s="242"/>
      <c r="EC152" s="242"/>
      <c r="ED152" s="242"/>
      <c r="EE152" s="242"/>
      <c r="EF152" s="242"/>
      <c r="EG152" s="242"/>
      <c r="EH152" s="242"/>
      <c r="EI152" s="242"/>
      <c r="EJ152" s="242"/>
      <c r="EK152" s="242"/>
      <c r="EL152" s="242"/>
      <c r="EM152" s="242"/>
      <c r="EN152" s="242"/>
      <c r="EO152" s="242"/>
      <c r="EP152" s="242"/>
      <c r="EQ152" s="242"/>
      <c r="ER152" s="242"/>
      <c r="ES152" s="242"/>
      <c r="ET152" s="242"/>
      <c r="EU152" s="242"/>
      <c r="EV152" s="242"/>
      <c r="EW152" s="242"/>
      <c r="EX152" s="242"/>
      <c r="EY152" s="242"/>
      <c r="EZ152" s="242"/>
      <c r="FA152" s="242"/>
      <c r="FB152" s="242"/>
      <c r="FC152" s="242"/>
      <c r="FD152" s="242"/>
      <c r="FE152" s="242"/>
      <c r="FF152" s="242"/>
      <c r="FG152" s="242"/>
      <c r="FH152" s="242"/>
      <c r="FI152" s="242"/>
      <c r="FJ152" s="242"/>
      <c r="FK152" s="242"/>
      <c r="FL152" s="242"/>
      <c r="FM152" s="242"/>
      <c r="FN152" s="242"/>
      <c r="FO152" s="242"/>
      <c r="FP152" s="242"/>
      <c r="FQ152" s="242"/>
      <c r="FR152" s="242"/>
      <c r="FS152" s="242"/>
      <c r="FT152" s="242"/>
      <c r="FU152" s="242"/>
      <c r="FV152" s="242"/>
      <c r="FW152" s="242"/>
      <c r="FX152" s="242"/>
      <c r="FY152" s="242"/>
      <c r="FZ152" s="242"/>
      <c r="GA152" s="242"/>
      <c r="GB152" s="242"/>
      <c r="GC152" s="242"/>
      <c r="GD152" s="242"/>
      <c r="GE152" s="242"/>
      <c r="GF152" s="242"/>
      <c r="GG152" s="242"/>
      <c r="GH152" s="242"/>
      <c r="GI152" s="242"/>
      <c r="GJ152" s="242"/>
      <c r="GK152" s="242"/>
      <c r="GL152" s="242"/>
      <c r="GM152" s="242"/>
      <c r="GN152" s="242"/>
      <c r="GO152" s="242"/>
      <c r="GP152" s="242"/>
      <c r="GQ152" s="242"/>
      <c r="GR152" s="242"/>
      <c r="GS152" s="242"/>
      <c r="GT152" s="242"/>
      <c r="GU152" s="242"/>
      <c r="GV152" s="242"/>
      <c r="GW152" s="242"/>
      <c r="GX152" s="242"/>
      <c r="GY152" s="242"/>
      <c r="GZ152" s="242"/>
      <c r="HA152" s="242"/>
      <c r="HB152" s="242"/>
      <c r="HC152" s="242"/>
      <c r="HD152" s="242"/>
      <c r="HE152" s="242"/>
      <c r="HF152" s="242"/>
      <c r="HG152" s="242"/>
      <c r="HH152" s="242"/>
      <c r="HI152" s="242"/>
      <c r="HJ152" s="242"/>
      <c r="HK152" s="242"/>
      <c r="HL152" s="242"/>
      <c r="HM152" s="242"/>
      <c r="HN152" s="242"/>
      <c r="HO152" s="243"/>
    </row>
    <row r="153" spans="1:223" ht="12.75" hidden="1" customHeight="1">
      <c r="A153" s="83">
        <f t="shared" si="18"/>
        <v>148</v>
      </c>
      <c r="B153" s="84"/>
      <c r="C153" s="84"/>
      <c r="D153" s="84"/>
      <c r="E153" s="84"/>
      <c r="F153" s="84" t="str">
        <f t="shared" si="16"/>
        <v>///</v>
      </c>
      <c r="G153" s="249">
        <f t="shared" si="19"/>
        <v>0</v>
      </c>
      <c r="H153" s="240">
        <f t="shared" si="17"/>
        <v>0</v>
      </c>
      <c r="I153" s="243"/>
      <c r="J153" s="243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242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  <c r="AM153" s="242"/>
      <c r="AN153" s="242"/>
      <c r="AO153" s="242"/>
      <c r="AP153" s="242"/>
      <c r="AQ153" s="242"/>
      <c r="AR153" s="242"/>
      <c r="AS153" s="242"/>
      <c r="AT153" s="242"/>
      <c r="AU153" s="242"/>
      <c r="AV153" s="242"/>
      <c r="AW153" s="242"/>
      <c r="AX153" s="242"/>
      <c r="AY153" s="242"/>
      <c r="AZ153" s="242"/>
      <c r="BA153" s="242"/>
      <c r="BB153" s="242"/>
      <c r="BC153" s="242"/>
      <c r="BD153" s="242"/>
      <c r="BE153" s="242"/>
      <c r="BF153" s="242"/>
      <c r="BG153" s="242"/>
      <c r="BH153" s="242"/>
      <c r="BI153" s="242"/>
      <c r="BJ153" s="242"/>
      <c r="BK153" s="242"/>
      <c r="BL153" s="242"/>
      <c r="BM153" s="242"/>
      <c r="BN153" s="242"/>
      <c r="BO153" s="242"/>
      <c r="BP153" s="242"/>
      <c r="BQ153" s="242"/>
      <c r="BR153" s="242"/>
      <c r="BS153" s="242"/>
      <c r="BT153" s="242"/>
      <c r="BU153" s="242"/>
      <c r="BV153" s="242"/>
      <c r="BW153" s="242"/>
      <c r="BX153" s="242"/>
      <c r="BY153" s="242"/>
      <c r="BZ153" s="242"/>
      <c r="CA153" s="242"/>
      <c r="CB153" s="242"/>
      <c r="CC153" s="242"/>
      <c r="CD153" s="242"/>
      <c r="CE153" s="242"/>
      <c r="CF153" s="242"/>
      <c r="CG153" s="242"/>
      <c r="CH153" s="242"/>
      <c r="CI153" s="242"/>
      <c r="CJ153" s="242"/>
      <c r="CK153" s="242"/>
      <c r="CL153" s="242"/>
      <c r="CM153" s="242"/>
      <c r="CN153" s="242"/>
      <c r="CO153" s="242"/>
      <c r="CP153" s="242"/>
      <c r="CQ153" s="242"/>
      <c r="CR153" s="242"/>
      <c r="CS153" s="242"/>
      <c r="CT153" s="242"/>
      <c r="CU153" s="242"/>
      <c r="CV153" s="242"/>
      <c r="CW153" s="242"/>
      <c r="CX153" s="242"/>
      <c r="CY153" s="242"/>
      <c r="CZ153" s="242"/>
      <c r="DA153" s="242"/>
      <c r="DB153" s="242"/>
      <c r="DC153" s="242"/>
      <c r="DD153" s="242"/>
      <c r="DE153" s="242"/>
      <c r="DF153" s="242"/>
      <c r="DG153" s="242"/>
      <c r="DH153" s="242"/>
      <c r="DI153" s="242"/>
      <c r="DJ153" s="242"/>
      <c r="DK153" s="242"/>
      <c r="DL153" s="242"/>
      <c r="DM153" s="242"/>
      <c r="DN153" s="242"/>
      <c r="DO153" s="242"/>
      <c r="DP153" s="242"/>
      <c r="DQ153" s="242"/>
      <c r="DR153" s="242"/>
      <c r="DS153" s="242"/>
      <c r="DT153" s="242"/>
      <c r="DU153" s="242"/>
      <c r="DV153" s="242"/>
      <c r="DW153" s="242"/>
      <c r="DX153" s="242"/>
      <c r="DY153" s="242"/>
      <c r="DZ153" s="242"/>
      <c r="EA153" s="242"/>
      <c r="EB153" s="242"/>
      <c r="EC153" s="242"/>
      <c r="ED153" s="242"/>
      <c r="EE153" s="242"/>
      <c r="EF153" s="242"/>
      <c r="EG153" s="242"/>
      <c r="EH153" s="242"/>
      <c r="EI153" s="242"/>
      <c r="EJ153" s="242"/>
      <c r="EK153" s="242"/>
      <c r="EL153" s="242"/>
      <c r="EM153" s="242"/>
      <c r="EN153" s="242"/>
      <c r="EO153" s="242"/>
      <c r="EP153" s="242"/>
      <c r="EQ153" s="242"/>
      <c r="ER153" s="242"/>
      <c r="ES153" s="242"/>
      <c r="ET153" s="242"/>
      <c r="EU153" s="242"/>
      <c r="EV153" s="242"/>
      <c r="EW153" s="242"/>
      <c r="EX153" s="242"/>
      <c r="EY153" s="242"/>
      <c r="EZ153" s="242"/>
      <c r="FA153" s="242"/>
      <c r="FB153" s="242"/>
      <c r="FC153" s="242"/>
      <c r="FD153" s="242"/>
      <c r="FE153" s="242"/>
      <c r="FF153" s="242"/>
      <c r="FG153" s="242"/>
      <c r="FH153" s="242"/>
      <c r="FI153" s="242"/>
      <c r="FJ153" s="242"/>
      <c r="FK153" s="242"/>
      <c r="FL153" s="242"/>
      <c r="FM153" s="242"/>
      <c r="FN153" s="242"/>
      <c r="FO153" s="242"/>
      <c r="FP153" s="242"/>
      <c r="FQ153" s="242"/>
      <c r="FR153" s="242"/>
      <c r="FS153" s="242"/>
      <c r="FT153" s="242"/>
      <c r="FU153" s="242"/>
      <c r="FV153" s="242"/>
      <c r="FW153" s="242"/>
      <c r="FX153" s="242"/>
      <c r="FY153" s="242"/>
      <c r="FZ153" s="242"/>
      <c r="GA153" s="242"/>
      <c r="GB153" s="242"/>
      <c r="GC153" s="242"/>
      <c r="GD153" s="242"/>
      <c r="GE153" s="242"/>
      <c r="GF153" s="242"/>
      <c r="GG153" s="242"/>
      <c r="GH153" s="242"/>
      <c r="GI153" s="242"/>
      <c r="GJ153" s="242"/>
      <c r="GK153" s="242"/>
      <c r="GL153" s="242"/>
      <c r="GM153" s="242"/>
      <c r="GN153" s="242"/>
      <c r="GO153" s="242"/>
      <c r="GP153" s="242"/>
      <c r="GQ153" s="242"/>
      <c r="GR153" s="242"/>
      <c r="GS153" s="242"/>
      <c r="GT153" s="242"/>
      <c r="GU153" s="242"/>
      <c r="GV153" s="242"/>
      <c r="GW153" s="242"/>
      <c r="GX153" s="242"/>
      <c r="GY153" s="242"/>
      <c r="GZ153" s="242"/>
      <c r="HA153" s="242"/>
      <c r="HB153" s="242"/>
      <c r="HC153" s="242"/>
      <c r="HD153" s="242"/>
      <c r="HE153" s="242"/>
      <c r="HF153" s="242"/>
      <c r="HG153" s="242"/>
      <c r="HH153" s="242"/>
      <c r="HI153" s="242"/>
      <c r="HJ153" s="242"/>
      <c r="HK153" s="242"/>
      <c r="HL153" s="242"/>
      <c r="HM153" s="242"/>
      <c r="HN153" s="242"/>
      <c r="HO153" s="243"/>
    </row>
    <row r="154" spans="1:223" ht="12.75" hidden="1" customHeight="1">
      <c r="A154" s="83">
        <f t="shared" si="18"/>
        <v>149</v>
      </c>
      <c r="B154" s="84"/>
      <c r="C154" s="84"/>
      <c r="D154" s="84"/>
      <c r="E154" s="84"/>
      <c r="F154" s="84" t="str">
        <f t="shared" si="16"/>
        <v>///</v>
      </c>
      <c r="G154" s="249">
        <f t="shared" si="19"/>
        <v>0</v>
      </c>
      <c r="H154" s="240">
        <f t="shared" si="17"/>
        <v>0</v>
      </c>
      <c r="I154" s="243"/>
      <c r="J154" s="243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242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  <c r="AM154" s="242"/>
      <c r="AN154" s="242"/>
      <c r="AO154" s="242"/>
      <c r="AP154" s="242"/>
      <c r="AQ154" s="242"/>
      <c r="AR154" s="242"/>
      <c r="AS154" s="242"/>
      <c r="AT154" s="242"/>
      <c r="AU154" s="242"/>
      <c r="AV154" s="242"/>
      <c r="AW154" s="242"/>
      <c r="AX154" s="242"/>
      <c r="AY154" s="242"/>
      <c r="AZ154" s="242"/>
      <c r="BA154" s="242"/>
      <c r="BB154" s="242"/>
      <c r="BC154" s="242"/>
      <c r="BD154" s="242"/>
      <c r="BE154" s="242"/>
      <c r="BF154" s="242"/>
      <c r="BG154" s="242"/>
      <c r="BH154" s="242"/>
      <c r="BI154" s="242"/>
      <c r="BJ154" s="242"/>
      <c r="BK154" s="242"/>
      <c r="BL154" s="242"/>
      <c r="BM154" s="242"/>
      <c r="BN154" s="242"/>
      <c r="BO154" s="242"/>
      <c r="BP154" s="242"/>
      <c r="BQ154" s="242"/>
      <c r="BR154" s="242"/>
      <c r="BS154" s="242"/>
      <c r="BT154" s="242"/>
      <c r="BU154" s="242"/>
      <c r="BV154" s="242"/>
      <c r="BW154" s="242"/>
      <c r="BX154" s="242"/>
      <c r="BY154" s="242"/>
      <c r="BZ154" s="242"/>
      <c r="CA154" s="242"/>
      <c r="CB154" s="242"/>
      <c r="CC154" s="242"/>
      <c r="CD154" s="242"/>
      <c r="CE154" s="242"/>
      <c r="CF154" s="242"/>
      <c r="CG154" s="242"/>
      <c r="CH154" s="242"/>
      <c r="CI154" s="242"/>
      <c r="CJ154" s="242"/>
      <c r="CK154" s="242"/>
      <c r="CL154" s="242"/>
      <c r="CM154" s="242"/>
      <c r="CN154" s="242"/>
      <c r="CO154" s="242"/>
      <c r="CP154" s="242"/>
      <c r="CQ154" s="242"/>
      <c r="CR154" s="242"/>
      <c r="CS154" s="242"/>
      <c r="CT154" s="242"/>
      <c r="CU154" s="242"/>
      <c r="CV154" s="242"/>
      <c r="CW154" s="242"/>
      <c r="CX154" s="242"/>
      <c r="CY154" s="242"/>
      <c r="CZ154" s="242"/>
      <c r="DA154" s="242"/>
      <c r="DB154" s="242"/>
      <c r="DC154" s="242"/>
      <c r="DD154" s="242"/>
      <c r="DE154" s="242"/>
      <c r="DF154" s="242"/>
      <c r="DG154" s="242"/>
      <c r="DH154" s="242"/>
      <c r="DI154" s="242"/>
      <c r="DJ154" s="242"/>
      <c r="DK154" s="242"/>
      <c r="DL154" s="242"/>
      <c r="DM154" s="242"/>
      <c r="DN154" s="242"/>
      <c r="DO154" s="242"/>
      <c r="DP154" s="242"/>
      <c r="DQ154" s="242"/>
      <c r="DR154" s="242"/>
      <c r="DS154" s="242"/>
      <c r="DT154" s="242"/>
      <c r="DU154" s="242"/>
      <c r="DV154" s="242"/>
      <c r="DW154" s="242"/>
      <c r="DX154" s="242"/>
      <c r="DY154" s="242"/>
      <c r="DZ154" s="242"/>
      <c r="EA154" s="242"/>
      <c r="EB154" s="242"/>
      <c r="EC154" s="242"/>
      <c r="ED154" s="242"/>
      <c r="EE154" s="242"/>
      <c r="EF154" s="242"/>
      <c r="EG154" s="242"/>
      <c r="EH154" s="242"/>
      <c r="EI154" s="242"/>
      <c r="EJ154" s="242"/>
      <c r="EK154" s="242"/>
      <c r="EL154" s="242"/>
      <c r="EM154" s="242"/>
      <c r="EN154" s="242"/>
      <c r="EO154" s="242"/>
      <c r="EP154" s="242"/>
      <c r="EQ154" s="242"/>
      <c r="ER154" s="242"/>
      <c r="ES154" s="242"/>
      <c r="ET154" s="242"/>
      <c r="EU154" s="242"/>
      <c r="EV154" s="242"/>
      <c r="EW154" s="242"/>
      <c r="EX154" s="242"/>
      <c r="EY154" s="242"/>
      <c r="EZ154" s="242"/>
      <c r="FA154" s="242"/>
      <c r="FB154" s="242"/>
      <c r="FC154" s="242"/>
      <c r="FD154" s="242"/>
      <c r="FE154" s="242"/>
      <c r="FF154" s="242"/>
      <c r="FG154" s="242"/>
      <c r="FH154" s="242"/>
      <c r="FI154" s="242"/>
      <c r="FJ154" s="242"/>
      <c r="FK154" s="242"/>
      <c r="FL154" s="242"/>
      <c r="FM154" s="242"/>
      <c r="FN154" s="242"/>
      <c r="FO154" s="242"/>
      <c r="FP154" s="242"/>
      <c r="FQ154" s="242"/>
      <c r="FR154" s="242"/>
      <c r="FS154" s="242"/>
      <c r="FT154" s="242"/>
      <c r="FU154" s="242"/>
      <c r="FV154" s="242"/>
      <c r="FW154" s="242"/>
      <c r="FX154" s="242"/>
      <c r="FY154" s="242"/>
      <c r="FZ154" s="242"/>
      <c r="GA154" s="242"/>
      <c r="GB154" s="242"/>
      <c r="GC154" s="242"/>
      <c r="GD154" s="242"/>
      <c r="GE154" s="242"/>
      <c r="GF154" s="242"/>
      <c r="GG154" s="242"/>
      <c r="GH154" s="242"/>
      <c r="GI154" s="242"/>
      <c r="GJ154" s="242"/>
      <c r="GK154" s="242"/>
      <c r="GL154" s="242"/>
      <c r="GM154" s="242"/>
      <c r="GN154" s="242"/>
      <c r="GO154" s="242"/>
      <c r="GP154" s="242"/>
      <c r="GQ154" s="242"/>
      <c r="GR154" s="242"/>
      <c r="GS154" s="242"/>
      <c r="GT154" s="242"/>
      <c r="GU154" s="242"/>
      <c r="GV154" s="242"/>
      <c r="GW154" s="242"/>
      <c r="GX154" s="242"/>
      <c r="GY154" s="242"/>
      <c r="GZ154" s="242"/>
      <c r="HA154" s="242"/>
      <c r="HB154" s="242"/>
      <c r="HC154" s="242"/>
      <c r="HD154" s="242"/>
      <c r="HE154" s="242"/>
      <c r="HF154" s="242"/>
      <c r="HG154" s="242"/>
      <c r="HH154" s="242"/>
      <c r="HI154" s="242"/>
      <c r="HJ154" s="242"/>
      <c r="HK154" s="242"/>
      <c r="HL154" s="242"/>
      <c r="HM154" s="242"/>
      <c r="HN154" s="242"/>
      <c r="HO154" s="243"/>
    </row>
    <row r="155" spans="1:223" ht="12.75" hidden="1" customHeight="1">
      <c r="A155" s="83">
        <f t="shared" si="18"/>
        <v>150</v>
      </c>
      <c r="B155" s="84"/>
      <c r="C155" s="84"/>
      <c r="D155" s="84"/>
      <c r="E155" s="84"/>
      <c r="F155" s="84" t="str">
        <f t="shared" si="16"/>
        <v>///</v>
      </c>
      <c r="G155" s="249">
        <f t="shared" si="19"/>
        <v>0</v>
      </c>
      <c r="H155" s="240">
        <f t="shared" si="17"/>
        <v>0</v>
      </c>
      <c r="I155" s="243"/>
      <c r="J155" s="243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242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  <c r="AM155" s="242"/>
      <c r="AN155" s="242"/>
      <c r="AO155" s="242"/>
      <c r="AP155" s="242"/>
      <c r="AQ155" s="242"/>
      <c r="AR155" s="242"/>
      <c r="AS155" s="242"/>
      <c r="AT155" s="242"/>
      <c r="AU155" s="242"/>
      <c r="AV155" s="242"/>
      <c r="AW155" s="242"/>
      <c r="AX155" s="242"/>
      <c r="AY155" s="242"/>
      <c r="AZ155" s="242"/>
      <c r="BA155" s="242"/>
      <c r="BB155" s="242"/>
      <c r="BC155" s="242"/>
      <c r="BD155" s="242"/>
      <c r="BE155" s="242"/>
      <c r="BF155" s="242"/>
      <c r="BG155" s="242"/>
      <c r="BH155" s="242"/>
      <c r="BI155" s="242"/>
      <c r="BJ155" s="242"/>
      <c r="BK155" s="242"/>
      <c r="BL155" s="242"/>
      <c r="BM155" s="242"/>
      <c r="BN155" s="242"/>
      <c r="BO155" s="242"/>
      <c r="BP155" s="242"/>
      <c r="BQ155" s="242"/>
      <c r="BR155" s="242"/>
      <c r="BS155" s="242"/>
      <c r="BT155" s="242"/>
      <c r="BU155" s="242"/>
      <c r="BV155" s="242"/>
      <c r="BW155" s="242"/>
      <c r="BX155" s="242"/>
      <c r="BY155" s="242"/>
      <c r="BZ155" s="242"/>
      <c r="CA155" s="242"/>
      <c r="CB155" s="242"/>
      <c r="CC155" s="242"/>
      <c r="CD155" s="242"/>
      <c r="CE155" s="242"/>
      <c r="CF155" s="242"/>
      <c r="CG155" s="242"/>
      <c r="CH155" s="242"/>
      <c r="CI155" s="242"/>
      <c r="CJ155" s="242"/>
      <c r="CK155" s="242"/>
      <c r="CL155" s="242"/>
      <c r="CM155" s="242"/>
      <c r="CN155" s="242"/>
      <c r="CO155" s="242"/>
      <c r="CP155" s="242"/>
      <c r="CQ155" s="242"/>
      <c r="CR155" s="242"/>
      <c r="CS155" s="242"/>
      <c r="CT155" s="242"/>
      <c r="CU155" s="242"/>
      <c r="CV155" s="242"/>
      <c r="CW155" s="242"/>
      <c r="CX155" s="242"/>
      <c r="CY155" s="242"/>
      <c r="CZ155" s="242"/>
      <c r="DA155" s="242"/>
      <c r="DB155" s="242"/>
      <c r="DC155" s="242"/>
      <c r="DD155" s="242"/>
      <c r="DE155" s="242"/>
      <c r="DF155" s="242"/>
      <c r="DG155" s="242"/>
      <c r="DH155" s="242"/>
      <c r="DI155" s="242"/>
      <c r="DJ155" s="242"/>
      <c r="DK155" s="242"/>
      <c r="DL155" s="242"/>
      <c r="DM155" s="242"/>
      <c r="DN155" s="242"/>
      <c r="DO155" s="242"/>
      <c r="DP155" s="242"/>
      <c r="DQ155" s="242"/>
      <c r="DR155" s="242"/>
      <c r="DS155" s="242"/>
      <c r="DT155" s="242"/>
      <c r="DU155" s="242"/>
      <c r="DV155" s="242"/>
      <c r="DW155" s="242"/>
      <c r="DX155" s="242"/>
      <c r="DY155" s="242"/>
      <c r="DZ155" s="242"/>
      <c r="EA155" s="242"/>
      <c r="EB155" s="242"/>
      <c r="EC155" s="242"/>
      <c r="ED155" s="242"/>
      <c r="EE155" s="242"/>
      <c r="EF155" s="242"/>
      <c r="EG155" s="242"/>
      <c r="EH155" s="242"/>
      <c r="EI155" s="242"/>
      <c r="EJ155" s="242"/>
      <c r="EK155" s="242"/>
      <c r="EL155" s="242"/>
      <c r="EM155" s="242"/>
      <c r="EN155" s="242"/>
      <c r="EO155" s="242"/>
      <c r="EP155" s="242"/>
      <c r="EQ155" s="242"/>
      <c r="ER155" s="242"/>
      <c r="ES155" s="242"/>
      <c r="ET155" s="242"/>
      <c r="EU155" s="242"/>
      <c r="EV155" s="242"/>
      <c r="EW155" s="242"/>
      <c r="EX155" s="242"/>
      <c r="EY155" s="242"/>
      <c r="EZ155" s="242"/>
      <c r="FA155" s="242"/>
      <c r="FB155" s="242"/>
      <c r="FC155" s="242"/>
      <c r="FD155" s="242"/>
      <c r="FE155" s="242"/>
      <c r="FF155" s="242"/>
      <c r="FG155" s="242"/>
      <c r="FH155" s="242"/>
      <c r="FI155" s="242"/>
      <c r="FJ155" s="242"/>
      <c r="FK155" s="242"/>
      <c r="FL155" s="242"/>
      <c r="FM155" s="242"/>
      <c r="FN155" s="242"/>
      <c r="FO155" s="242"/>
      <c r="FP155" s="242"/>
      <c r="FQ155" s="242"/>
      <c r="FR155" s="242"/>
      <c r="FS155" s="242"/>
      <c r="FT155" s="242"/>
      <c r="FU155" s="242"/>
      <c r="FV155" s="242"/>
      <c r="FW155" s="242"/>
      <c r="FX155" s="242"/>
      <c r="FY155" s="242"/>
      <c r="FZ155" s="242"/>
      <c r="GA155" s="242"/>
      <c r="GB155" s="242"/>
      <c r="GC155" s="242"/>
      <c r="GD155" s="242"/>
      <c r="GE155" s="242"/>
      <c r="GF155" s="242"/>
      <c r="GG155" s="242"/>
      <c r="GH155" s="242"/>
      <c r="GI155" s="242"/>
      <c r="GJ155" s="242"/>
      <c r="GK155" s="242"/>
      <c r="GL155" s="242"/>
      <c r="GM155" s="242"/>
      <c r="GN155" s="242"/>
      <c r="GO155" s="242"/>
      <c r="GP155" s="242"/>
      <c r="GQ155" s="242"/>
      <c r="GR155" s="242"/>
      <c r="GS155" s="242"/>
      <c r="GT155" s="242"/>
      <c r="GU155" s="242"/>
      <c r="GV155" s="242"/>
      <c r="GW155" s="242"/>
      <c r="GX155" s="242"/>
      <c r="GY155" s="242"/>
      <c r="GZ155" s="242"/>
      <c r="HA155" s="242"/>
      <c r="HB155" s="242"/>
      <c r="HC155" s="242"/>
      <c r="HD155" s="242"/>
      <c r="HE155" s="242"/>
      <c r="HF155" s="242"/>
      <c r="HG155" s="242"/>
      <c r="HH155" s="242"/>
      <c r="HI155" s="242"/>
      <c r="HJ155" s="242"/>
      <c r="HK155" s="242"/>
      <c r="HL155" s="242"/>
      <c r="HM155" s="242"/>
      <c r="HN155" s="242"/>
      <c r="HO155" s="243"/>
    </row>
    <row r="156" spans="1:223" ht="12.75" hidden="1" customHeight="1">
      <c r="A156" s="83">
        <f t="shared" si="18"/>
        <v>151</v>
      </c>
      <c r="B156" s="84"/>
      <c r="C156" s="84"/>
      <c r="D156" s="84"/>
      <c r="E156" s="84"/>
      <c r="F156" s="84" t="str">
        <f t="shared" si="16"/>
        <v>///</v>
      </c>
      <c r="G156" s="249">
        <f t="shared" si="19"/>
        <v>0</v>
      </c>
      <c r="H156" s="240">
        <f t="shared" si="17"/>
        <v>0</v>
      </c>
      <c r="I156" s="243"/>
      <c r="J156" s="243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242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  <c r="AM156" s="242"/>
      <c r="AN156" s="242"/>
      <c r="AO156" s="242"/>
      <c r="AP156" s="242"/>
      <c r="AQ156" s="242"/>
      <c r="AR156" s="242"/>
      <c r="AS156" s="242"/>
      <c r="AT156" s="242"/>
      <c r="AU156" s="242"/>
      <c r="AV156" s="242"/>
      <c r="AW156" s="242"/>
      <c r="AX156" s="242"/>
      <c r="AY156" s="242"/>
      <c r="AZ156" s="242"/>
      <c r="BA156" s="242"/>
      <c r="BB156" s="242"/>
      <c r="BC156" s="242"/>
      <c r="BD156" s="242"/>
      <c r="BE156" s="242"/>
      <c r="BF156" s="242"/>
      <c r="BG156" s="242"/>
      <c r="BH156" s="242"/>
      <c r="BI156" s="242"/>
      <c r="BJ156" s="242"/>
      <c r="BK156" s="242"/>
      <c r="BL156" s="242"/>
      <c r="BM156" s="242"/>
      <c r="BN156" s="242"/>
      <c r="BO156" s="242"/>
      <c r="BP156" s="242"/>
      <c r="BQ156" s="242"/>
      <c r="BR156" s="242"/>
      <c r="BS156" s="242"/>
      <c r="BT156" s="242"/>
      <c r="BU156" s="242"/>
      <c r="BV156" s="242"/>
      <c r="BW156" s="242"/>
      <c r="BX156" s="242"/>
      <c r="BY156" s="242"/>
      <c r="BZ156" s="242"/>
      <c r="CA156" s="242"/>
      <c r="CB156" s="242"/>
      <c r="CC156" s="242"/>
      <c r="CD156" s="242"/>
      <c r="CE156" s="242"/>
      <c r="CF156" s="242"/>
      <c r="CG156" s="242"/>
      <c r="CH156" s="242"/>
      <c r="CI156" s="242"/>
      <c r="CJ156" s="242"/>
      <c r="CK156" s="242"/>
      <c r="CL156" s="242"/>
      <c r="CM156" s="242"/>
      <c r="CN156" s="242"/>
      <c r="CO156" s="242"/>
      <c r="CP156" s="242"/>
      <c r="CQ156" s="242"/>
      <c r="CR156" s="242"/>
      <c r="CS156" s="242"/>
      <c r="CT156" s="242"/>
      <c r="CU156" s="242"/>
      <c r="CV156" s="242"/>
      <c r="CW156" s="242"/>
      <c r="CX156" s="242"/>
      <c r="CY156" s="242"/>
      <c r="CZ156" s="242"/>
      <c r="DA156" s="242"/>
      <c r="DB156" s="242"/>
      <c r="DC156" s="242"/>
      <c r="DD156" s="242"/>
      <c r="DE156" s="242"/>
      <c r="DF156" s="242"/>
      <c r="DG156" s="242"/>
      <c r="DH156" s="242"/>
      <c r="DI156" s="242"/>
      <c r="DJ156" s="242"/>
      <c r="DK156" s="242"/>
      <c r="DL156" s="242"/>
      <c r="DM156" s="242"/>
      <c r="DN156" s="242"/>
      <c r="DO156" s="242"/>
      <c r="DP156" s="242"/>
      <c r="DQ156" s="242"/>
      <c r="DR156" s="242"/>
      <c r="DS156" s="242"/>
      <c r="DT156" s="242"/>
      <c r="DU156" s="242"/>
      <c r="DV156" s="242"/>
      <c r="DW156" s="242"/>
      <c r="DX156" s="242"/>
      <c r="DY156" s="242"/>
      <c r="DZ156" s="242"/>
      <c r="EA156" s="242"/>
      <c r="EB156" s="242"/>
      <c r="EC156" s="242"/>
      <c r="ED156" s="242"/>
      <c r="EE156" s="242"/>
      <c r="EF156" s="242"/>
      <c r="EG156" s="242"/>
      <c r="EH156" s="242"/>
      <c r="EI156" s="242"/>
      <c r="EJ156" s="242"/>
      <c r="EK156" s="242"/>
      <c r="EL156" s="242"/>
      <c r="EM156" s="242"/>
      <c r="EN156" s="242"/>
      <c r="EO156" s="242"/>
      <c r="EP156" s="242"/>
      <c r="EQ156" s="242"/>
      <c r="ER156" s="242"/>
      <c r="ES156" s="242"/>
      <c r="ET156" s="242"/>
      <c r="EU156" s="242"/>
      <c r="EV156" s="242"/>
      <c r="EW156" s="242"/>
      <c r="EX156" s="242"/>
      <c r="EY156" s="242"/>
      <c r="EZ156" s="242"/>
      <c r="FA156" s="242"/>
      <c r="FB156" s="242"/>
      <c r="FC156" s="242"/>
      <c r="FD156" s="242"/>
      <c r="FE156" s="242"/>
      <c r="FF156" s="242"/>
      <c r="FG156" s="242"/>
      <c r="FH156" s="242"/>
      <c r="FI156" s="242"/>
      <c r="FJ156" s="242"/>
      <c r="FK156" s="242"/>
      <c r="FL156" s="242"/>
      <c r="FM156" s="242"/>
      <c r="FN156" s="242"/>
      <c r="FO156" s="242"/>
      <c r="FP156" s="242"/>
      <c r="FQ156" s="242"/>
      <c r="FR156" s="242"/>
      <c r="FS156" s="242"/>
      <c r="FT156" s="242"/>
      <c r="FU156" s="242"/>
      <c r="FV156" s="242"/>
      <c r="FW156" s="242"/>
      <c r="FX156" s="242"/>
      <c r="FY156" s="242"/>
      <c r="FZ156" s="242"/>
      <c r="GA156" s="242"/>
      <c r="GB156" s="242"/>
      <c r="GC156" s="242"/>
      <c r="GD156" s="242"/>
      <c r="GE156" s="242"/>
      <c r="GF156" s="242"/>
      <c r="GG156" s="242"/>
      <c r="GH156" s="242"/>
      <c r="GI156" s="242"/>
      <c r="GJ156" s="242"/>
      <c r="GK156" s="242"/>
      <c r="GL156" s="242"/>
      <c r="GM156" s="242"/>
      <c r="GN156" s="242"/>
      <c r="GO156" s="242"/>
      <c r="GP156" s="242"/>
      <c r="GQ156" s="242"/>
      <c r="GR156" s="242"/>
      <c r="GS156" s="242"/>
      <c r="GT156" s="242"/>
      <c r="GU156" s="242"/>
      <c r="GV156" s="242"/>
      <c r="GW156" s="242"/>
      <c r="GX156" s="242"/>
      <c r="GY156" s="242"/>
      <c r="GZ156" s="242"/>
      <c r="HA156" s="242"/>
      <c r="HB156" s="242"/>
      <c r="HC156" s="242"/>
      <c r="HD156" s="242"/>
      <c r="HE156" s="242"/>
      <c r="HF156" s="242"/>
      <c r="HG156" s="242"/>
      <c r="HH156" s="242"/>
      <c r="HI156" s="242"/>
      <c r="HJ156" s="242"/>
      <c r="HK156" s="242"/>
      <c r="HL156" s="242"/>
      <c r="HM156" s="242"/>
      <c r="HN156" s="242"/>
      <c r="HO156" s="243"/>
    </row>
    <row r="157" spans="1:223" ht="12.75" hidden="1" customHeight="1">
      <c r="A157" s="83">
        <f t="shared" si="18"/>
        <v>152</v>
      </c>
      <c r="B157" s="84"/>
      <c r="C157" s="84"/>
      <c r="D157" s="84"/>
      <c r="E157" s="84"/>
      <c r="F157" s="84" t="str">
        <f t="shared" si="16"/>
        <v>///</v>
      </c>
      <c r="G157" s="249">
        <f t="shared" si="19"/>
        <v>0</v>
      </c>
      <c r="H157" s="240">
        <f t="shared" si="17"/>
        <v>0</v>
      </c>
      <c r="I157" s="243"/>
      <c r="J157" s="243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242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  <c r="AM157" s="242"/>
      <c r="AN157" s="242"/>
      <c r="AO157" s="242"/>
      <c r="AP157" s="242"/>
      <c r="AQ157" s="242"/>
      <c r="AR157" s="242"/>
      <c r="AS157" s="242"/>
      <c r="AT157" s="242"/>
      <c r="AU157" s="242"/>
      <c r="AV157" s="242"/>
      <c r="AW157" s="242"/>
      <c r="AX157" s="242"/>
      <c r="AY157" s="242"/>
      <c r="AZ157" s="242"/>
      <c r="BA157" s="242"/>
      <c r="BB157" s="242"/>
      <c r="BC157" s="242"/>
      <c r="BD157" s="242"/>
      <c r="BE157" s="242"/>
      <c r="BF157" s="242"/>
      <c r="BG157" s="242"/>
      <c r="BH157" s="242"/>
      <c r="BI157" s="242"/>
      <c r="BJ157" s="242"/>
      <c r="BK157" s="242"/>
      <c r="BL157" s="242"/>
      <c r="BM157" s="242"/>
      <c r="BN157" s="242"/>
      <c r="BO157" s="242"/>
      <c r="BP157" s="242"/>
      <c r="BQ157" s="242"/>
      <c r="BR157" s="242"/>
      <c r="BS157" s="242"/>
      <c r="BT157" s="242"/>
      <c r="BU157" s="242"/>
      <c r="BV157" s="242"/>
      <c r="BW157" s="242"/>
      <c r="BX157" s="242"/>
      <c r="BY157" s="242"/>
      <c r="BZ157" s="242"/>
      <c r="CA157" s="242"/>
      <c r="CB157" s="242"/>
      <c r="CC157" s="242"/>
      <c r="CD157" s="242"/>
      <c r="CE157" s="242"/>
      <c r="CF157" s="242"/>
      <c r="CG157" s="242"/>
      <c r="CH157" s="242"/>
      <c r="CI157" s="242"/>
      <c r="CJ157" s="242"/>
      <c r="CK157" s="242"/>
      <c r="CL157" s="242"/>
      <c r="CM157" s="242"/>
      <c r="CN157" s="242"/>
      <c r="CO157" s="242"/>
      <c r="CP157" s="242"/>
      <c r="CQ157" s="242"/>
      <c r="CR157" s="242"/>
      <c r="CS157" s="242"/>
      <c r="CT157" s="242"/>
      <c r="CU157" s="242"/>
      <c r="CV157" s="242"/>
      <c r="CW157" s="242"/>
      <c r="CX157" s="242"/>
      <c r="CY157" s="242"/>
      <c r="CZ157" s="242"/>
      <c r="DA157" s="242"/>
      <c r="DB157" s="242"/>
      <c r="DC157" s="242"/>
      <c r="DD157" s="242"/>
      <c r="DE157" s="242"/>
      <c r="DF157" s="242"/>
      <c r="DG157" s="242"/>
      <c r="DH157" s="242"/>
      <c r="DI157" s="242"/>
      <c r="DJ157" s="242"/>
      <c r="DK157" s="242"/>
      <c r="DL157" s="242"/>
      <c r="DM157" s="242"/>
      <c r="DN157" s="242"/>
      <c r="DO157" s="242"/>
      <c r="DP157" s="242"/>
      <c r="DQ157" s="242"/>
      <c r="DR157" s="242"/>
      <c r="DS157" s="242"/>
      <c r="DT157" s="242"/>
      <c r="DU157" s="242"/>
      <c r="DV157" s="242"/>
      <c r="DW157" s="242"/>
      <c r="DX157" s="242"/>
      <c r="DY157" s="242"/>
      <c r="DZ157" s="242"/>
      <c r="EA157" s="242"/>
      <c r="EB157" s="242"/>
      <c r="EC157" s="242"/>
      <c r="ED157" s="242"/>
      <c r="EE157" s="242"/>
      <c r="EF157" s="242"/>
      <c r="EG157" s="242"/>
      <c r="EH157" s="242"/>
      <c r="EI157" s="242"/>
      <c r="EJ157" s="242"/>
      <c r="EK157" s="242"/>
      <c r="EL157" s="242"/>
      <c r="EM157" s="242"/>
      <c r="EN157" s="242"/>
      <c r="EO157" s="242"/>
      <c r="EP157" s="242"/>
      <c r="EQ157" s="242"/>
      <c r="ER157" s="242"/>
      <c r="ES157" s="242"/>
      <c r="ET157" s="242"/>
      <c r="EU157" s="242"/>
      <c r="EV157" s="242"/>
      <c r="EW157" s="242"/>
      <c r="EX157" s="242"/>
      <c r="EY157" s="242"/>
      <c r="EZ157" s="242"/>
      <c r="FA157" s="242"/>
      <c r="FB157" s="242"/>
      <c r="FC157" s="242"/>
      <c r="FD157" s="242"/>
      <c r="FE157" s="242"/>
      <c r="FF157" s="242"/>
      <c r="FG157" s="242"/>
      <c r="FH157" s="242"/>
      <c r="FI157" s="242"/>
      <c r="FJ157" s="242"/>
      <c r="FK157" s="242"/>
      <c r="FL157" s="242"/>
      <c r="FM157" s="242"/>
      <c r="FN157" s="242"/>
      <c r="FO157" s="242"/>
      <c r="FP157" s="242"/>
      <c r="FQ157" s="242"/>
      <c r="FR157" s="242"/>
      <c r="FS157" s="242"/>
      <c r="FT157" s="242"/>
      <c r="FU157" s="242"/>
      <c r="FV157" s="242"/>
      <c r="FW157" s="242"/>
      <c r="FX157" s="242"/>
      <c r="FY157" s="242"/>
      <c r="FZ157" s="242"/>
      <c r="GA157" s="242"/>
      <c r="GB157" s="242"/>
      <c r="GC157" s="242"/>
      <c r="GD157" s="242"/>
      <c r="GE157" s="242"/>
      <c r="GF157" s="242"/>
      <c r="GG157" s="242"/>
      <c r="GH157" s="242"/>
      <c r="GI157" s="242"/>
      <c r="GJ157" s="242"/>
      <c r="GK157" s="242"/>
      <c r="GL157" s="242"/>
      <c r="GM157" s="242"/>
      <c r="GN157" s="242"/>
      <c r="GO157" s="242"/>
      <c r="GP157" s="242"/>
      <c r="GQ157" s="242"/>
      <c r="GR157" s="242"/>
      <c r="GS157" s="242"/>
      <c r="GT157" s="242"/>
      <c r="GU157" s="242"/>
      <c r="GV157" s="242"/>
      <c r="GW157" s="242"/>
      <c r="GX157" s="242"/>
      <c r="GY157" s="242"/>
      <c r="GZ157" s="242"/>
      <c r="HA157" s="242"/>
      <c r="HB157" s="242"/>
      <c r="HC157" s="242"/>
      <c r="HD157" s="242"/>
      <c r="HE157" s="242"/>
      <c r="HF157" s="242"/>
      <c r="HG157" s="242"/>
      <c r="HH157" s="242"/>
      <c r="HI157" s="242"/>
      <c r="HJ157" s="242"/>
      <c r="HK157" s="242"/>
      <c r="HL157" s="242"/>
      <c r="HM157" s="242"/>
      <c r="HN157" s="242"/>
      <c r="HO157" s="243"/>
    </row>
    <row r="158" spans="1:223" ht="12.75" hidden="1" customHeight="1">
      <c r="A158" s="83">
        <f t="shared" si="18"/>
        <v>153</v>
      </c>
      <c r="B158" s="84"/>
      <c r="C158" s="84"/>
      <c r="D158" s="84"/>
      <c r="E158" s="84"/>
      <c r="F158" s="84" t="str">
        <f t="shared" si="16"/>
        <v>///</v>
      </c>
      <c r="G158" s="249">
        <f t="shared" si="19"/>
        <v>0</v>
      </c>
      <c r="H158" s="240">
        <f t="shared" si="17"/>
        <v>0</v>
      </c>
      <c r="I158" s="243"/>
      <c r="J158" s="243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242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  <c r="AM158" s="242"/>
      <c r="AN158" s="242"/>
      <c r="AO158" s="242"/>
      <c r="AP158" s="242"/>
      <c r="AQ158" s="242"/>
      <c r="AR158" s="242"/>
      <c r="AS158" s="242"/>
      <c r="AT158" s="242"/>
      <c r="AU158" s="242"/>
      <c r="AV158" s="242"/>
      <c r="AW158" s="242"/>
      <c r="AX158" s="242"/>
      <c r="AY158" s="242"/>
      <c r="AZ158" s="242"/>
      <c r="BA158" s="242"/>
      <c r="BB158" s="242"/>
      <c r="BC158" s="242"/>
      <c r="BD158" s="242"/>
      <c r="BE158" s="242"/>
      <c r="BF158" s="242"/>
      <c r="BG158" s="242"/>
      <c r="BH158" s="242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2"/>
      <c r="BS158" s="242"/>
      <c r="BT158" s="242"/>
      <c r="BU158" s="242"/>
      <c r="BV158" s="242"/>
      <c r="BW158" s="242"/>
      <c r="BX158" s="242"/>
      <c r="BY158" s="242"/>
      <c r="BZ158" s="242"/>
      <c r="CA158" s="242"/>
      <c r="CB158" s="242"/>
      <c r="CC158" s="242"/>
      <c r="CD158" s="242"/>
      <c r="CE158" s="242"/>
      <c r="CF158" s="242"/>
      <c r="CG158" s="242"/>
      <c r="CH158" s="242"/>
      <c r="CI158" s="242"/>
      <c r="CJ158" s="242"/>
      <c r="CK158" s="242"/>
      <c r="CL158" s="242"/>
      <c r="CM158" s="242"/>
      <c r="CN158" s="242"/>
      <c r="CO158" s="242"/>
      <c r="CP158" s="242"/>
      <c r="CQ158" s="242"/>
      <c r="CR158" s="242"/>
      <c r="CS158" s="242"/>
      <c r="CT158" s="242"/>
      <c r="CU158" s="242"/>
      <c r="CV158" s="242"/>
      <c r="CW158" s="242"/>
      <c r="CX158" s="242"/>
      <c r="CY158" s="242"/>
      <c r="CZ158" s="242"/>
      <c r="DA158" s="242"/>
      <c r="DB158" s="242"/>
      <c r="DC158" s="242"/>
      <c r="DD158" s="242"/>
      <c r="DE158" s="242"/>
      <c r="DF158" s="242"/>
      <c r="DG158" s="242"/>
      <c r="DH158" s="242"/>
      <c r="DI158" s="242"/>
      <c r="DJ158" s="242"/>
      <c r="DK158" s="242"/>
      <c r="DL158" s="242"/>
      <c r="DM158" s="242"/>
      <c r="DN158" s="242"/>
      <c r="DO158" s="242"/>
      <c r="DP158" s="242"/>
      <c r="DQ158" s="242"/>
      <c r="DR158" s="242"/>
      <c r="DS158" s="242"/>
      <c r="DT158" s="242"/>
      <c r="DU158" s="242"/>
      <c r="DV158" s="242"/>
      <c r="DW158" s="242"/>
      <c r="DX158" s="242"/>
      <c r="DY158" s="242"/>
      <c r="DZ158" s="242"/>
      <c r="EA158" s="242"/>
      <c r="EB158" s="242"/>
      <c r="EC158" s="242"/>
      <c r="ED158" s="242"/>
      <c r="EE158" s="242"/>
      <c r="EF158" s="242"/>
      <c r="EG158" s="242"/>
      <c r="EH158" s="242"/>
      <c r="EI158" s="242"/>
      <c r="EJ158" s="242"/>
      <c r="EK158" s="242"/>
      <c r="EL158" s="242"/>
      <c r="EM158" s="242"/>
      <c r="EN158" s="242"/>
      <c r="EO158" s="242"/>
      <c r="EP158" s="242"/>
      <c r="EQ158" s="242"/>
      <c r="ER158" s="242"/>
      <c r="ES158" s="242"/>
      <c r="ET158" s="242"/>
      <c r="EU158" s="242"/>
      <c r="EV158" s="242"/>
      <c r="EW158" s="242"/>
      <c r="EX158" s="242"/>
      <c r="EY158" s="242"/>
      <c r="EZ158" s="242"/>
      <c r="FA158" s="242"/>
      <c r="FB158" s="242"/>
      <c r="FC158" s="242"/>
      <c r="FD158" s="242"/>
      <c r="FE158" s="242"/>
      <c r="FF158" s="242"/>
      <c r="FG158" s="242"/>
      <c r="FH158" s="242"/>
      <c r="FI158" s="242"/>
      <c r="FJ158" s="242"/>
      <c r="FK158" s="242"/>
      <c r="FL158" s="242"/>
      <c r="FM158" s="242"/>
      <c r="FN158" s="242"/>
      <c r="FO158" s="242"/>
      <c r="FP158" s="242"/>
      <c r="FQ158" s="242"/>
      <c r="FR158" s="242"/>
      <c r="FS158" s="242"/>
      <c r="FT158" s="242"/>
      <c r="FU158" s="242"/>
      <c r="FV158" s="242"/>
      <c r="FW158" s="242"/>
      <c r="FX158" s="242"/>
      <c r="FY158" s="242"/>
      <c r="FZ158" s="242"/>
      <c r="GA158" s="242"/>
      <c r="GB158" s="242"/>
      <c r="GC158" s="242"/>
      <c r="GD158" s="242"/>
      <c r="GE158" s="242"/>
      <c r="GF158" s="242"/>
      <c r="GG158" s="242"/>
      <c r="GH158" s="242"/>
      <c r="GI158" s="242"/>
      <c r="GJ158" s="242"/>
      <c r="GK158" s="242"/>
      <c r="GL158" s="242"/>
      <c r="GM158" s="242"/>
      <c r="GN158" s="242"/>
      <c r="GO158" s="242"/>
      <c r="GP158" s="242"/>
      <c r="GQ158" s="242"/>
      <c r="GR158" s="242"/>
      <c r="GS158" s="242"/>
      <c r="GT158" s="242"/>
      <c r="GU158" s="242"/>
      <c r="GV158" s="242"/>
      <c r="GW158" s="242"/>
      <c r="GX158" s="242"/>
      <c r="GY158" s="242"/>
      <c r="GZ158" s="242"/>
      <c r="HA158" s="242"/>
      <c r="HB158" s="242"/>
      <c r="HC158" s="242"/>
      <c r="HD158" s="242"/>
      <c r="HE158" s="242"/>
      <c r="HF158" s="242"/>
      <c r="HG158" s="242"/>
      <c r="HH158" s="242"/>
      <c r="HI158" s="242"/>
      <c r="HJ158" s="242"/>
      <c r="HK158" s="242"/>
      <c r="HL158" s="242"/>
      <c r="HM158" s="242"/>
      <c r="HN158" s="242"/>
      <c r="HO158" s="243"/>
    </row>
    <row r="159" spans="1:223" ht="12.75" hidden="1" customHeight="1">
      <c r="A159" s="83">
        <f t="shared" si="18"/>
        <v>154</v>
      </c>
      <c r="B159" s="84"/>
      <c r="C159" s="84"/>
      <c r="D159" s="84"/>
      <c r="E159" s="84"/>
      <c r="F159" s="84" t="str">
        <f t="shared" si="16"/>
        <v>///</v>
      </c>
      <c r="G159" s="249">
        <f t="shared" si="19"/>
        <v>0</v>
      </c>
      <c r="H159" s="240">
        <f t="shared" si="17"/>
        <v>0</v>
      </c>
      <c r="I159" s="243"/>
      <c r="J159" s="243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242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  <c r="AM159" s="242"/>
      <c r="AN159" s="242"/>
      <c r="AO159" s="242"/>
      <c r="AP159" s="242"/>
      <c r="AQ159" s="242"/>
      <c r="AR159" s="242"/>
      <c r="AS159" s="242"/>
      <c r="AT159" s="242"/>
      <c r="AU159" s="242"/>
      <c r="AV159" s="242"/>
      <c r="AW159" s="242"/>
      <c r="AX159" s="242"/>
      <c r="AY159" s="242"/>
      <c r="AZ159" s="242"/>
      <c r="BA159" s="242"/>
      <c r="BB159" s="242"/>
      <c r="BC159" s="242"/>
      <c r="BD159" s="242"/>
      <c r="BE159" s="242"/>
      <c r="BF159" s="242"/>
      <c r="BG159" s="242"/>
      <c r="BH159" s="242"/>
      <c r="BI159" s="242"/>
      <c r="BJ159" s="242"/>
      <c r="BK159" s="242"/>
      <c r="BL159" s="242"/>
      <c r="BM159" s="242"/>
      <c r="BN159" s="242"/>
      <c r="BO159" s="242"/>
      <c r="BP159" s="242"/>
      <c r="BQ159" s="242"/>
      <c r="BR159" s="242"/>
      <c r="BS159" s="242"/>
      <c r="BT159" s="242"/>
      <c r="BU159" s="242"/>
      <c r="BV159" s="242"/>
      <c r="BW159" s="242"/>
      <c r="BX159" s="242"/>
      <c r="BY159" s="242"/>
      <c r="BZ159" s="242"/>
      <c r="CA159" s="242"/>
      <c r="CB159" s="242"/>
      <c r="CC159" s="242"/>
      <c r="CD159" s="242"/>
      <c r="CE159" s="242"/>
      <c r="CF159" s="242"/>
      <c r="CG159" s="242"/>
      <c r="CH159" s="242"/>
      <c r="CI159" s="242"/>
      <c r="CJ159" s="242"/>
      <c r="CK159" s="242"/>
      <c r="CL159" s="242"/>
      <c r="CM159" s="242"/>
      <c r="CN159" s="242"/>
      <c r="CO159" s="242"/>
      <c r="CP159" s="242"/>
      <c r="CQ159" s="242"/>
      <c r="CR159" s="242"/>
      <c r="CS159" s="242"/>
      <c r="CT159" s="242"/>
      <c r="CU159" s="242"/>
      <c r="CV159" s="242"/>
      <c r="CW159" s="242"/>
      <c r="CX159" s="242"/>
      <c r="CY159" s="242"/>
      <c r="CZ159" s="242"/>
      <c r="DA159" s="242"/>
      <c r="DB159" s="242"/>
      <c r="DC159" s="242"/>
      <c r="DD159" s="242"/>
      <c r="DE159" s="242"/>
      <c r="DF159" s="242"/>
      <c r="DG159" s="242"/>
      <c r="DH159" s="242"/>
      <c r="DI159" s="242"/>
      <c r="DJ159" s="242"/>
      <c r="DK159" s="242"/>
      <c r="DL159" s="242"/>
      <c r="DM159" s="242"/>
      <c r="DN159" s="242"/>
      <c r="DO159" s="242"/>
      <c r="DP159" s="242"/>
      <c r="DQ159" s="242"/>
      <c r="DR159" s="242"/>
      <c r="DS159" s="242"/>
      <c r="DT159" s="242"/>
      <c r="DU159" s="242"/>
      <c r="DV159" s="242"/>
      <c r="DW159" s="242"/>
      <c r="DX159" s="242"/>
      <c r="DY159" s="242"/>
      <c r="DZ159" s="242"/>
      <c r="EA159" s="242"/>
      <c r="EB159" s="242"/>
      <c r="EC159" s="242"/>
      <c r="ED159" s="242"/>
      <c r="EE159" s="242"/>
      <c r="EF159" s="242"/>
      <c r="EG159" s="242"/>
      <c r="EH159" s="242"/>
      <c r="EI159" s="242"/>
      <c r="EJ159" s="242"/>
      <c r="EK159" s="242"/>
      <c r="EL159" s="242"/>
      <c r="EM159" s="242"/>
      <c r="EN159" s="242"/>
      <c r="EO159" s="242"/>
      <c r="EP159" s="242"/>
      <c r="EQ159" s="242"/>
      <c r="ER159" s="242"/>
      <c r="ES159" s="242"/>
      <c r="ET159" s="242"/>
      <c r="EU159" s="242"/>
      <c r="EV159" s="242"/>
      <c r="EW159" s="242"/>
      <c r="EX159" s="242"/>
      <c r="EY159" s="242"/>
      <c r="EZ159" s="242"/>
      <c r="FA159" s="242"/>
      <c r="FB159" s="242"/>
      <c r="FC159" s="242"/>
      <c r="FD159" s="242"/>
      <c r="FE159" s="242"/>
      <c r="FF159" s="242"/>
      <c r="FG159" s="242"/>
      <c r="FH159" s="242"/>
      <c r="FI159" s="242"/>
      <c r="FJ159" s="242"/>
      <c r="FK159" s="242"/>
      <c r="FL159" s="242"/>
      <c r="FM159" s="242"/>
      <c r="FN159" s="242"/>
      <c r="FO159" s="242"/>
      <c r="FP159" s="242"/>
      <c r="FQ159" s="242"/>
      <c r="FR159" s="242"/>
      <c r="FS159" s="242"/>
      <c r="FT159" s="242"/>
      <c r="FU159" s="242"/>
      <c r="FV159" s="242"/>
      <c r="FW159" s="242"/>
      <c r="FX159" s="242"/>
      <c r="FY159" s="242"/>
      <c r="FZ159" s="242"/>
      <c r="GA159" s="242"/>
      <c r="GB159" s="242"/>
      <c r="GC159" s="242"/>
      <c r="GD159" s="242"/>
      <c r="GE159" s="242"/>
      <c r="GF159" s="242"/>
      <c r="GG159" s="242"/>
      <c r="GH159" s="242"/>
      <c r="GI159" s="242"/>
      <c r="GJ159" s="242"/>
      <c r="GK159" s="242"/>
      <c r="GL159" s="242"/>
      <c r="GM159" s="242"/>
      <c r="GN159" s="242"/>
      <c r="GO159" s="242"/>
      <c r="GP159" s="242"/>
      <c r="GQ159" s="242"/>
      <c r="GR159" s="242"/>
      <c r="GS159" s="242"/>
      <c r="GT159" s="242"/>
      <c r="GU159" s="242"/>
      <c r="GV159" s="242"/>
      <c r="GW159" s="242"/>
      <c r="GX159" s="242"/>
      <c r="GY159" s="242"/>
      <c r="GZ159" s="242"/>
      <c r="HA159" s="242"/>
      <c r="HB159" s="242"/>
      <c r="HC159" s="242"/>
      <c r="HD159" s="242"/>
      <c r="HE159" s="242"/>
      <c r="HF159" s="242"/>
      <c r="HG159" s="242"/>
      <c r="HH159" s="242"/>
      <c r="HI159" s="242"/>
      <c r="HJ159" s="242"/>
      <c r="HK159" s="242"/>
      <c r="HL159" s="242"/>
      <c r="HM159" s="242"/>
      <c r="HN159" s="242"/>
      <c r="HO159" s="243"/>
    </row>
    <row r="160" spans="1:223" ht="12.75" hidden="1" customHeight="1">
      <c r="A160" s="83">
        <f t="shared" si="18"/>
        <v>155</v>
      </c>
      <c r="B160" s="84"/>
      <c r="C160" s="84"/>
      <c r="D160" s="84"/>
      <c r="E160" s="84"/>
      <c r="F160" s="84" t="str">
        <f t="shared" si="16"/>
        <v>///</v>
      </c>
      <c r="G160" s="249">
        <f t="shared" si="19"/>
        <v>0</v>
      </c>
      <c r="H160" s="240">
        <f t="shared" si="17"/>
        <v>0</v>
      </c>
      <c r="I160" s="243"/>
      <c r="J160" s="243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N160" s="242"/>
      <c r="AO160" s="242"/>
      <c r="AP160" s="242"/>
      <c r="AQ160" s="242"/>
      <c r="AR160" s="242"/>
      <c r="AS160" s="242"/>
      <c r="AT160" s="242"/>
      <c r="AU160" s="242"/>
      <c r="AV160" s="242"/>
      <c r="AW160" s="242"/>
      <c r="AX160" s="242"/>
      <c r="AY160" s="242"/>
      <c r="AZ160" s="242"/>
      <c r="BA160" s="242"/>
      <c r="BB160" s="242"/>
      <c r="BC160" s="242"/>
      <c r="BD160" s="242"/>
      <c r="BE160" s="242"/>
      <c r="BF160" s="242"/>
      <c r="BG160" s="242"/>
      <c r="BH160" s="242"/>
      <c r="BI160" s="242"/>
      <c r="BJ160" s="242"/>
      <c r="BK160" s="242"/>
      <c r="BL160" s="242"/>
      <c r="BM160" s="242"/>
      <c r="BN160" s="242"/>
      <c r="BO160" s="242"/>
      <c r="BP160" s="242"/>
      <c r="BQ160" s="242"/>
      <c r="BR160" s="242"/>
      <c r="BS160" s="242"/>
      <c r="BT160" s="242"/>
      <c r="BU160" s="242"/>
      <c r="BV160" s="242"/>
      <c r="BW160" s="242"/>
      <c r="BX160" s="242"/>
      <c r="BY160" s="242"/>
      <c r="BZ160" s="242"/>
      <c r="CA160" s="242"/>
      <c r="CB160" s="242"/>
      <c r="CC160" s="242"/>
      <c r="CD160" s="242"/>
      <c r="CE160" s="242"/>
      <c r="CF160" s="242"/>
      <c r="CG160" s="242"/>
      <c r="CH160" s="242"/>
      <c r="CI160" s="242"/>
      <c r="CJ160" s="242"/>
      <c r="CK160" s="242"/>
      <c r="CL160" s="242"/>
      <c r="CM160" s="242"/>
      <c r="CN160" s="242"/>
      <c r="CO160" s="242"/>
      <c r="CP160" s="242"/>
      <c r="CQ160" s="242"/>
      <c r="CR160" s="242"/>
      <c r="CS160" s="242"/>
      <c r="CT160" s="242"/>
      <c r="CU160" s="242"/>
      <c r="CV160" s="242"/>
      <c r="CW160" s="242"/>
      <c r="CX160" s="242"/>
      <c r="CY160" s="242"/>
      <c r="CZ160" s="242"/>
      <c r="DA160" s="242"/>
      <c r="DB160" s="242"/>
      <c r="DC160" s="242"/>
      <c r="DD160" s="242"/>
      <c r="DE160" s="242"/>
      <c r="DF160" s="242"/>
      <c r="DG160" s="242"/>
      <c r="DH160" s="242"/>
      <c r="DI160" s="242"/>
      <c r="DJ160" s="242"/>
      <c r="DK160" s="242"/>
      <c r="DL160" s="242"/>
      <c r="DM160" s="242"/>
      <c r="DN160" s="242"/>
      <c r="DO160" s="242"/>
      <c r="DP160" s="242"/>
      <c r="DQ160" s="242"/>
      <c r="DR160" s="242"/>
      <c r="DS160" s="242"/>
      <c r="DT160" s="242"/>
      <c r="DU160" s="242"/>
      <c r="DV160" s="242"/>
      <c r="DW160" s="242"/>
      <c r="DX160" s="242"/>
      <c r="DY160" s="242"/>
      <c r="DZ160" s="242"/>
      <c r="EA160" s="242"/>
      <c r="EB160" s="242"/>
      <c r="EC160" s="242"/>
      <c r="ED160" s="242"/>
      <c r="EE160" s="242"/>
      <c r="EF160" s="242"/>
      <c r="EG160" s="242"/>
      <c r="EH160" s="242"/>
      <c r="EI160" s="242"/>
      <c r="EJ160" s="242"/>
      <c r="EK160" s="242"/>
      <c r="EL160" s="242"/>
      <c r="EM160" s="242"/>
      <c r="EN160" s="242"/>
      <c r="EO160" s="242"/>
      <c r="EP160" s="242"/>
      <c r="EQ160" s="242"/>
      <c r="ER160" s="242"/>
      <c r="ES160" s="242"/>
      <c r="ET160" s="242"/>
      <c r="EU160" s="242"/>
      <c r="EV160" s="242"/>
      <c r="EW160" s="242"/>
      <c r="EX160" s="242"/>
      <c r="EY160" s="242"/>
      <c r="EZ160" s="242"/>
      <c r="FA160" s="242"/>
      <c r="FB160" s="242"/>
      <c r="FC160" s="242"/>
      <c r="FD160" s="242"/>
      <c r="FE160" s="242"/>
      <c r="FF160" s="242"/>
      <c r="FG160" s="242"/>
      <c r="FH160" s="242"/>
      <c r="FI160" s="242"/>
      <c r="FJ160" s="242"/>
      <c r="FK160" s="242"/>
      <c r="FL160" s="242"/>
      <c r="FM160" s="242"/>
      <c r="FN160" s="242"/>
      <c r="FO160" s="242"/>
      <c r="FP160" s="242"/>
      <c r="FQ160" s="242"/>
      <c r="FR160" s="242"/>
      <c r="FS160" s="242"/>
      <c r="FT160" s="242"/>
      <c r="FU160" s="242"/>
      <c r="FV160" s="242"/>
      <c r="FW160" s="242"/>
      <c r="FX160" s="242"/>
      <c r="FY160" s="242"/>
      <c r="FZ160" s="242"/>
      <c r="GA160" s="242"/>
      <c r="GB160" s="242"/>
      <c r="GC160" s="242"/>
      <c r="GD160" s="242"/>
      <c r="GE160" s="242"/>
      <c r="GF160" s="242"/>
      <c r="GG160" s="242"/>
      <c r="GH160" s="242"/>
      <c r="GI160" s="242"/>
      <c r="GJ160" s="242"/>
      <c r="GK160" s="242"/>
      <c r="GL160" s="242"/>
      <c r="GM160" s="242"/>
      <c r="GN160" s="242"/>
      <c r="GO160" s="242"/>
      <c r="GP160" s="242"/>
      <c r="GQ160" s="242"/>
      <c r="GR160" s="242"/>
      <c r="GS160" s="242"/>
      <c r="GT160" s="242"/>
      <c r="GU160" s="242"/>
      <c r="GV160" s="242"/>
      <c r="GW160" s="242"/>
      <c r="GX160" s="242"/>
      <c r="GY160" s="242"/>
      <c r="GZ160" s="242"/>
      <c r="HA160" s="242"/>
      <c r="HB160" s="242"/>
      <c r="HC160" s="242"/>
      <c r="HD160" s="242"/>
      <c r="HE160" s="242"/>
      <c r="HF160" s="242"/>
      <c r="HG160" s="242"/>
      <c r="HH160" s="242"/>
      <c r="HI160" s="242"/>
      <c r="HJ160" s="242"/>
      <c r="HK160" s="242"/>
      <c r="HL160" s="242"/>
      <c r="HM160" s="242"/>
      <c r="HN160" s="242"/>
      <c r="HO160" s="243"/>
    </row>
    <row r="161" spans="1:223" ht="12.75" hidden="1" customHeight="1">
      <c r="A161" s="83">
        <f t="shared" si="18"/>
        <v>156</v>
      </c>
      <c r="B161" s="84"/>
      <c r="C161" s="84"/>
      <c r="D161" s="84"/>
      <c r="E161" s="84"/>
      <c r="F161" s="84" t="str">
        <f t="shared" si="16"/>
        <v>///</v>
      </c>
      <c r="G161" s="249">
        <f t="shared" si="19"/>
        <v>0</v>
      </c>
      <c r="H161" s="240">
        <f t="shared" si="17"/>
        <v>0</v>
      </c>
      <c r="I161" s="243"/>
      <c r="J161" s="243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242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  <c r="AM161" s="242"/>
      <c r="AN161" s="242"/>
      <c r="AO161" s="242"/>
      <c r="AP161" s="242"/>
      <c r="AQ161" s="242"/>
      <c r="AR161" s="242"/>
      <c r="AS161" s="242"/>
      <c r="AT161" s="242"/>
      <c r="AU161" s="242"/>
      <c r="AV161" s="242"/>
      <c r="AW161" s="242"/>
      <c r="AX161" s="242"/>
      <c r="AY161" s="242"/>
      <c r="AZ161" s="242"/>
      <c r="BA161" s="242"/>
      <c r="BB161" s="242"/>
      <c r="BC161" s="242"/>
      <c r="BD161" s="242"/>
      <c r="BE161" s="242"/>
      <c r="BF161" s="242"/>
      <c r="BG161" s="242"/>
      <c r="BH161" s="242"/>
      <c r="BI161" s="242"/>
      <c r="BJ161" s="242"/>
      <c r="BK161" s="242"/>
      <c r="BL161" s="242"/>
      <c r="BM161" s="242"/>
      <c r="BN161" s="242"/>
      <c r="BO161" s="242"/>
      <c r="BP161" s="242"/>
      <c r="BQ161" s="242"/>
      <c r="BR161" s="242"/>
      <c r="BS161" s="242"/>
      <c r="BT161" s="242"/>
      <c r="BU161" s="242"/>
      <c r="BV161" s="242"/>
      <c r="BW161" s="242"/>
      <c r="BX161" s="242"/>
      <c r="BY161" s="242"/>
      <c r="BZ161" s="242"/>
      <c r="CA161" s="242"/>
      <c r="CB161" s="242"/>
      <c r="CC161" s="242"/>
      <c r="CD161" s="242"/>
      <c r="CE161" s="242"/>
      <c r="CF161" s="242"/>
      <c r="CG161" s="242"/>
      <c r="CH161" s="242"/>
      <c r="CI161" s="242"/>
      <c r="CJ161" s="242"/>
      <c r="CK161" s="242"/>
      <c r="CL161" s="242"/>
      <c r="CM161" s="242"/>
      <c r="CN161" s="242"/>
      <c r="CO161" s="242"/>
      <c r="CP161" s="242"/>
      <c r="CQ161" s="242"/>
      <c r="CR161" s="242"/>
      <c r="CS161" s="242"/>
      <c r="CT161" s="242"/>
      <c r="CU161" s="242"/>
      <c r="CV161" s="242"/>
      <c r="CW161" s="242"/>
      <c r="CX161" s="242"/>
      <c r="CY161" s="242"/>
      <c r="CZ161" s="242"/>
      <c r="DA161" s="242"/>
      <c r="DB161" s="242"/>
      <c r="DC161" s="242"/>
      <c r="DD161" s="242"/>
      <c r="DE161" s="242"/>
      <c r="DF161" s="242"/>
      <c r="DG161" s="242"/>
      <c r="DH161" s="242"/>
      <c r="DI161" s="242"/>
      <c r="DJ161" s="242"/>
      <c r="DK161" s="242"/>
      <c r="DL161" s="242"/>
      <c r="DM161" s="242"/>
      <c r="DN161" s="242"/>
      <c r="DO161" s="242"/>
      <c r="DP161" s="242"/>
      <c r="DQ161" s="242"/>
      <c r="DR161" s="242"/>
      <c r="DS161" s="242"/>
      <c r="DT161" s="242"/>
      <c r="DU161" s="242"/>
      <c r="DV161" s="242"/>
      <c r="DW161" s="242"/>
      <c r="DX161" s="242"/>
      <c r="DY161" s="242"/>
      <c r="DZ161" s="242"/>
      <c r="EA161" s="242"/>
      <c r="EB161" s="242"/>
      <c r="EC161" s="242"/>
      <c r="ED161" s="242"/>
      <c r="EE161" s="242"/>
      <c r="EF161" s="242"/>
      <c r="EG161" s="242"/>
      <c r="EH161" s="242"/>
      <c r="EI161" s="242"/>
      <c r="EJ161" s="242"/>
      <c r="EK161" s="242"/>
      <c r="EL161" s="242"/>
      <c r="EM161" s="242"/>
      <c r="EN161" s="242"/>
      <c r="EO161" s="242"/>
      <c r="EP161" s="242"/>
      <c r="EQ161" s="242"/>
      <c r="ER161" s="242"/>
      <c r="ES161" s="242"/>
      <c r="ET161" s="242"/>
      <c r="EU161" s="242"/>
      <c r="EV161" s="242"/>
      <c r="EW161" s="242"/>
      <c r="EX161" s="242"/>
      <c r="EY161" s="242"/>
      <c r="EZ161" s="242"/>
      <c r="FA161" s="242"/>
      <c r="FB161" s="242"/>
      <c r="FC161" s="242"/>
      <c r="FD161" s="242"/>
      <c r="FE161" s="242"/>
      <c r="FF161" s="242"/>
      <c r="FG161" s="242"/>
      <c r="FH161" s="242"/>
      <c r="FI161" s="242"/>
      <c r="FJ161" s="242"/>
      <c r="FK161" s="242"/>
      <c r="FL161" s="242"/>
      <c r="FM161" s="242"/>
      <c r="FN161" s="242"/>
      <c r="FO161" s="242"/>
      <c r="FP161" s="242"/>
      <c r="FQ161" s="242"/>
      <c r="FR161" s="242"/>
      <c r="FS161" s="242"/>
      <c r="FT161" s="242"/>
      <c r="FU161" s="242"/>
      <c r="FV161" s="242"/>
      <c r="FW161" s="242"/>
      <c r="FX161" s="242"/>
      <c r="FY161" s="242"/>
      <c r="FZ161" s="242"/>
      <c r="GA161" s="242"/>
      <c r="GB161" s="242"/>
      <c r="GC161" s="242"/>
      <c r="GD161" s="242"/>
      <c r="GE161" s="242"/>
      <c r="GF161" s="242"/>
      <c r="GG161" s="242"/>
      <c r="GH161" s="242"/>
      <c r="GI161" s="242"/>
      <c r="GJ161" s="242"/>
      <c r="GK161" s="242"/>
      <c r="GL161" s="242"/>
      <c r="GM161" s="242"/>
      <c r="GN161" s="242"/>
      <c r="GO161" s="242"/>
      <c r="GP161" s="242"/>
      <c r="GQ161" s="242"/>
      <c r="GR161" s="242"/>
      <c r="GS161" s="242"/>
      <c r="GT161" s="242"/>
      <c r="GU161" s="242"/>
      <c r="GV161" s="242"/>
      <c r="GW161" s="242"/>
      <c r="GX161" s="242"/>
      <c r="GY161" s="242"/>
      <c r="GZ161" s="242"/>
      <c r="HA161" s="242"/>
      <c r="HB161" s="242"/>
      <c r="HC161" s="242"/>
      <c r="HD161" s="242"/>
      <c r="HE161" s="242"/>
      <c r="HF161" s="242"/>
      <c r="HG161" s="242"/>
      <c r="HH161" s="242"/>
      <c r="HI161" s="242"/>
      <c r="HJ161" s="242"/>
      <c r="HK161" s="242"/>
      <c r="HL161" s="242"/>
      <c r="HM161" s="242"/>
      <c r="HN161" s="242"/>
      <c r="HO161" s="243"/>
    </row>
    <row r="162" spans="1:223" ht="12.75" hidden="1" customHeight="1">
      <c r="A162" s="83">
        <f t="shared" si="18"/>
        <v>157</v>
      </c>
      <c r="B162" s="84"/>
      <c r="C162" s="84"/>
      <c r="D162" s="84"/>
      <c r="E162" s="84"/>
      <c r="F162" s="84" t="str">
        <f t="shared" si="16"/>
        <v>///</v>
      </c>
      <c r="G162" s="249">
        <f t="shared" si="19"/>
        <v>0</v>
      </c>
      <c r="H162" s="240">
        <f t="shared" si="17"/>
        <v>0</v>
      </c>
      <c r="I162" s="243"/>
      <c r="J162" s="243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242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  <c r="AM162" s="242"/>
      <c r="AN162" s="242"/>
      <c r="AO162" s="242"/>
      <c r="AP162" s="242"/>
      <c r="AQ162" s="242"/>
      <c r="AR162" s="242"/>
      <c r="AS162" s="242"/>
      <c r="AT162" s="242"/>
      <c r="AU162" s="242"/>
      <c r="AV162" s="242"/>
      <c r="AW162" s="242"/>
      <c r="AX162" s="242"/>
      <c r="AY162" s="242"/>
      <c r="AZ162" s="242"/>
      <c r="BA162" s="242"/>
      <c r="BB162" s="242"/>
      <c r="BC162" s="242"/>
      <c r="BD162" s="242"/>
      <c r="BE162" s="242"/>
      <c r="BF162" s="242"/>
      <c r="BG162" s="242"/>
      <c r="BH162" s="242"/>
      <c r="BI162" s="242"/>
      <c r="BJ162" s="242"/>
      <c r="BK162" s="242"/>
      <c r="BL162" s="242"/>
      <c r="BM162" s="242"/>
      <c r="BN162" s="242"/>
      <c r="BO162" s="242"/>
      <c r="BP162" s="242"/>
      <c r="BQ162" s="242"/>
      <c r="BR162" s="242"/>
      <c r="BS162" s="242"/>
      <c r="BT162" s="242"/>
      <c r="BU162" s="242"/>
      <c r="BV162" s="242"/>
      <c r="BW162" s="242"/>
      <c r="BX162" s="242"/>
      <c r="BY162" s="242"/>
      <c r="BZ162" s="242"/>
      <c r="CA162" s="242"/>
      <c r="CB162" s="242"/>
      <c r="CC162" s="242"/>
      <c r="CD162" s="242"/>
      <c r="CE162" s="242"/>
      <c r="CF162" s="242"/>
      <c r="CG162" s="242"/>
      <c r="CH162" s="242"/>
      <c r="CI162" s="242"/>
      <c r="CJ162" s="242"/>
      <c r="CK162" s="242"/>
      <c r="CL162" s="242"/>
      <c r="CM162" s="242"/>
      <c r="CN162" s="242"/>
      <c r="CO162" s="242"/>
      <c r="CP162" s="242"/>
      <c r="CQ162" s="242"/>
      <c r="CR162" s="242"/>
      <c r="CS162" s="242"/>
      <c r="CT162" s="242"/>
      <c r="CU162" s="242"/>
      <c r="CV162" s="242"/>
      <c r="CW162" s="242"/>
      <c r="CX162" s="242"/>
      <c r="CY162" s="242"/>
      <c r="CZ162" s="242"/>
      <c r="DA162" s="242"/>
      <c r="DB162" s="242"/>
      <c r="DC162" s="242"/>
      <c r="DD162" s="242"/>
      <c r="DE162" s="242"/>
      <c r="DF162" s="242"/>
      <c r="DG162" s="242"/>
      <c r="DH162" s="242"/>
      <c r="DI162" s="242"/>
      <c r="DJ162" s="242"/>
      <c r="DK162" s="242"/>
      <c r="DL162" s="242"/>
      <c r="DM162" s="242"/>
      <c r="DN162" s="242"/>
      <c r="DO162" s="242"/>
      <c r="DP162" s="242"/>
      <c r="DQ162" s="242"/>
      <c r="DR162" s="242"/>
      <c r="DS162" s="242"/>
      <c r="DT162" s="242"/>
      <c r="DU162" s="242"/>
      <c r="DV162" s="242"/>
      <c r="DW162" s="242"/>
      <c r="DX162" s="242"/>
      <c r="DY162" s="242"/>
      <c r="DZ162" s="242"/>
      <c r="EA162" s="242"/>
      <c r="EB162" s="242"/>
      <c r="EC162" s="242"/>
      <c r="ED162" s="242"/>
      <c r="EE162" s="242"/>
      <c r="EF162" s="242"/>
      <c r="EG162" s="242"/>
      <c r="EH162" s="242"/>
      <c r="EI162" s="242"/>
      <c r="EJ162" s="242"/>
      <c r="EK162" s="242"/>
      <c r="EL162" s="242"/>
      <c r="EM162" s="242"/>
      <c r="EN162" s="242"/>
      <c r="EO162" s="242"/>
      <c r="EP162" s="242"/>
      <c r="EQ162" s="242"/>
      <c r="ER162" s="242"/>
      <c r="ES162" s="242"/>
      <c r="ET162" s="242"/>
      <c r="EU162" s="242"/>
      <c r="EV162" s="242"/>
      <c r="EW162" s="242"/>
      <c r="EX162" s="242"/>
      <c r="EY162" s="242"/>
      <c r="EZ162" s="242"/>
      <c r="FA162" s="242"/>
      <c r="FB162" s="242"/>
      <c r="FC162" s="242"/>
      <c r="FD162" s="242"/>
      <c r="FE162" s="242"/>
      <c r="FF162" s="242"/>
      <c r="FG162" s="242"/>
      <c r="FH162" s="242"/>
      <c r="FI162" s="242"/>
      <c r="FJ162" s="242"/>
      <c r="FK162" s="242"/>
      <c r="FL162" s="242"/>
      <c r="FM162" s="242"/>
      <c r="FN162" s="242"/>
      <c r="FO162" s="242"/>
      <c r="FP162" s="242"/>
      <c r="FQ162" s="242"/>
      <c r="FR162" s="242"/>
      <c r="FS162" s="242"/>
      <c r="FT162" s="242"/>
      <c r="FU162" s="242"/>
      <c r="FV162" s="242"/>
      <c r="FW162" s="242"/>
      <c r="FX162" s="242"/>
      <c r="FY162" s="242"/>
      <c r="FZ162" s="242"/>
      <c r="GA162" s="242"/>
      <c r="GB162" s="242"/>
      <c r="GC162" s="242"/>
      <c r="GD162" s="242"/>
      <c r="GE162" s="242"/>
      <c r="GF162" s="242"/>
      <c r="GG162" s="242"/>
      <c r="GH162" s="242"/>
      <c r="GI162" s="242"/>
      <c r="GJ162" s="242"/>
      <c r="GK162" s="242"/>
      <c r="GL162" s="242"/>
      <c r="GM162" s="242"/>
      <c r="GN162" s="242"/>
      <c r="GO162" s="242"/>
      <c r="GP162" s="242"/>
      <c r="GQ162" s="242"/>
      <c r="GR162" s="242"/>
      <c r="GS162" s="242"/>
      <c r="GT162" s="242"/>
      <c r="GU162" s="242"/>
      <c r="GV162" s="242"/>
      <c r="GW162" s="242"/>
      <c r="GX162" s="242"/>
      <c r="GY162" s="242"/>
      <c r="GZ162" s="242"/>
      <c r="HA162" s="242"/>
      <c r="HB162" s="242"/>
      <c r="HC162" s="242"/>
      <c r="HD162" s="242"/>
      <c r="HE162" s="242"/>
      <c r="HF162" s="242"/>
      <c r="HG162" s="242"/>
      <c r="HH162" s="242"/>
      <c r="HI162" s="242"/>
      <c r="HJ162" s="242"/>
      <c r="HK162" s="242"/>
      <c r="HL162" s="242"/>
      <c r="HM162" s="242"/>
      <c r="HN162" s="242"/>
      <c r="HO162" s="243"/>
    </row>
    <row r="163" spans="1:223" ht="12.75" hidden="1" customHeight="1">
      <c r="A163" s="83">
        <f t="shared" si="18"/>
        <v>158</v>
      </c>
      <c r="B163" s="84"/>
      <c r="C163" s="84"/>
      <c r="D163" s="84"/>
      <c r="E163" s="84"/>
      <c r="F163" s="84" t="str">
        <f t="shared" si="16"/>
        <v>///</v>
      </c>
      <c r="G163" s="249">
        <f t="shared" si="19"/>
        <v>0</v>
      </c>
      <c r="H163" s="240">
        <f t="shared" si="17"/>
        <v>0</v>
      </c>
      <c r="I163" s="243"/>
      <c r="J163" s="243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242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  <c r="AM163" s="242"/>
      <c r="AN163" s="242"/>
      <c r="AO163" s="242"/>
      <c r="AP163" s="242"/>
      <c r="AQ163" s="242"/>
      <c r="AR163" s="242"/>
      <c r="AS163" s="242"/>
      <c r="AT163" s="242"/>
      <c r="AU163" s="242"/>
      <c r="AV163" s="242"/>
      <c r="AW163" s="242"/>
      <c r="AX163" s="242"/>
      <c r="AY163" s="242"/>
      <c r="AZ163" s="242"/>
      <c r="BA163" s="242"/>
      <c r="BB163" s="242"/>
      <c r="BC163" s="242"/>
      <c r="BD163" s="242"/>
      <c r="BE163" s="242"/>
      <c r="BF163" s="242"/>
      <c r="BG163" s="242"/>
      <c r="BH163" s="242"/>
      <c r="BI163" s="242"/>
      <c r="BJ163" s="242"/>
      <c r="BK163" s="242"/>
      <c r="BL163" s="242"/>
      <c r="BM163" s="242"/>
      <c r="BN163" s="242"/>
      <c r="BO163" s="242"/>
      <c r="BP163" s="242"/>
      <c r="BQ163" s="242"/>
      <c r="BR163" s="242"/>
      <c r="BS163" s="242"/>
      <c r="BT163" s="242"/>
      <c r="BU163" s="242"/>
      <c r="BV163" s="242"/>
      <c r="BW163" s="242"/>
      <c r="BX163" s="242"/>
      <c r="BY163" s="242"/>
      <c r="BZ163" s="242"/>
      <c r="CA163" s="242"/>
      <c r="CB163" s="242"/>
      <c r="CC163" s="242"/>
      <c r="CD163" s="242"/>
      <c r="CE163" s="242"/>
      <c r="CF163" s="242"/>
      <c r="CG163" s="242"/>
      <c r="CH163" s="242"/>
      <c r="CI163" s="242"/>
      <c r="CJ163" s="242"/>
      <c r="CK163" s="242"/>
      <c r="CL163" s="242"/>
      <c r="CM163" s="242"/>
      <c r="CN163" s="242"/>
      <c r="CO163" s="242"/>
      <c r="CP163" s="242"/>
      <c r="CQ163" s="242"/>
      <c r="CR163" s="242"/>
      <c r="CS163" s="242"/>
      <c r="CT163" s="242"/>
      <c r="CU163" s="242"/>
      <c r="CV163" s="242"/>
      <c r="CW163" s="242"/>
      <c r="CX163" s="242"/>
      <c r="CY163" s="242"/>
      <c r="CZ163" s="242"/>
      <c r="DA163" s="242"/>
      <c r="DB163" s="242"/>
      <c r="DC163" s="242"/>
      <c r="DD163" s="242"/>
      <c r="DE163" s="242"/>
      <c r="DF163" s="242"/>
      <c r="DG163" s="242"/>
      <c r="DH163" s="242"/>
      <c r="DI163" s="242"/>
      <c r="DJ163" s="242"/>
      <c r="DK163" s="242"/>
      <c r="DL163" s="242"/>
      <c r="DM163" s="242"/>
      <c r="DN163" s="242"/>
      <c r="DO163" s="242"/>
      <c r="DP163" s="242"/>
      <c r="DQ163" s="242"/>
      <c r="DR163" s="242"/>
      <c r="DS163" s="242"/>
      <c r="DT163" s="242"/>
      <c r="DU163" s="242"/>
      <c r="DV163" s="242"/>
      <c r="DW163" s="242"/>
      <c r="DX163" s="242"/>
      <c r="DY163" s="242"/>
      <c r="DZ163" s="242"/>
      <c r="EA163" s="242"/>
      <c r="EB163" s="242"/>
      <c r="EC163" s="242"/>
      <c r="ED163" s="242"/>
      <c r="EE163" s="242"/>
      <c r="EF163" s="242"/>
      <c r="EG163" s="242"/>
      <c r="EH163" s="242"/>
      <c r="EI163" s="242"/>
      <c r="EJ163" s="242"/>
      <c r="EK163" s="242"/>
      <c r="EL163" s="242"/>
      <c r="EM163" s="242"/>
      <c r="EN163" s="242"/>
      <c r="EO163" s="242"/>
      <c r="EP163" s="242"/>
      <c r="EQ163" s="242"/>
      <c r="ER163" s="242"/>
      <c r="ES163" s="242"/>
      <c r="ET163" s="242"/>
      <c r="EU163" s="242"/>
      <c r="EV163" s="242"/>
      <c r="EW163" s="242"/>
      <c r="EX163" s="242"/>
      <c r="EY163" s="242"/>
      <c r="EZ163" s="242"/>
      <c r="FA163" s="242"/>
      <c r="FB163" s="242"/>
      <c r="FC163" s="242"/>
      <c r="FD163" s="242"/>
      <c r="FE163" s="242"/>
      <c r="FF163" s="242"/>
      <c r="FG163" s="242"/>
      <c r="FH163" s="242"/>
      <c r="FI163" s="242"/>
      <c r="FJ163" s="242"/>
      <c r="FK163" s="242"/>
      <c r="FL163" s="242"/>
      <c r="FM163" s="242"/>
      <c r="FN163" s="242"/>
      <c r="FO163" s="242"/>
      <c r="FP163" s="242"/>
      <c r="FQ163" s="242"/>
      <c r="FR163" s="242"/>
      <c r="FS163" s="242"/>
      <c r="FT163" s="242"/>
      <c r="FU163" s="242"/>
      <c r="FV163" s="242"/>
      <c r="FW163" s="242"/>
      <c r="FX163" s="242"/>
      <c r="FY163" s="242"/>
      <c r="FZ163" s="242"/>
      <c r="GA163" s="242"/>
      <c r="GB163" s="242"/>
      <c r="GC163" s="242"/>
      <c r="GD163" s="242"/>
      <c r="GE163" s="242"/>
      <c r="GF163" s="242"/>
      <c r="GG163" s="242"/>
      <c r="GH163" s="242"/>
      <c r="GI163" s="242"/>
      <c r="GJ163" s="242"/>
      <c r="GK163" s="242"/>
      <c r="GL163" s="242"/>
      <c r="GM163" s="242"/>
      <c r="GN163" s="242"/>
      <c r="GO163" s="242"/>
      <c r="GP163" s="242"/>
      <c r="GQ163" s="242"/>
      <c r="GR163" s="242"/>
      <c r="GS163" s="242"/>
      <c r="GT163" s="242"/>
      <c r="GU163" s="242"/>
      <c r="GV163" s="242"/>
      <c r="GW163" s="242"/>
      <c r="GX163" s="242"/>
      <c r="GY163" s="242"/>
      <c r="GZ163" s="242"/>
      <c r="HA163" s="242"/>
      <c r="HB163" s="242"/>
      <c r="HC163" s="242"/>
      <c r="HD163" s="242"/>
      <c r="HE163" s="242"/>
      <c r="HF163" s="242"/>
      <c r="HG163" s="242"/>
      <c r="HH163" s="242"/>
      <c r="HI163" s="242"/>
      <c r="HJ163" s="242"/>
      <c r="HK163" s="242"/>
      <c r="HL163" s="242"/>
      <c r="HM163" s="242"/>
      <c r="HN163" s="242"/>
      <c r="HO163" s="243"/>
    </row>
    <row r="164" spans="1:223" ht="12.75" hidden="1" customHeight="1">
      <c r="A164" s="83">
        <f t="shared" si="18"/>
        <v>159</v>
      </c>
      <c r="B164" s="84"/>
      <c r="C164" s="84"/>
      <c r="D164" s="84"/>
      <c r="E164" s="84"/>
      <c r="F164" s="84" t="str">
        <f t="shared" si="16"/>
        <v>///</v>
      </c>
      <c r="G164" s="249">
        <f t="shared" si="19"/>
        <v>0</v>
      </c>
      <c r="H164" s="240">
        <f t="shared" si="17"/>
        <v>0</v>
      </c>
      <c r="I164" s="243"/>
      <c r="J164" s="243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242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  <c r="AM164" s="242"/>
      <c r="AN164" s="242"/>
      <c r="AO164" s="242"/>
      <c r="AP164" s="242"/>
      <c r="AQ164" s="242"/>
      <c r="AR164" s="242"/>
      <c r="AS164" s="242"/>
      <c r="AT164" s="242"/>
      <c r="AU164" s="242"/>
      <c r="AV164" s="242"/>
      <c r="AW164" s="242"/>
      <c r="AX164" s="242"/>
      <c r="AY164" s="242"/>
      <c r="AZ164" s="242"/>
      <c r="BA164" s="242"/>
      <c r="BB164" s="242"/>
      <c r="BC164" s="242"/>
      <c r="BD164" s="242"/>
      <c r="BE164" s="242"/>
      <c r="BF164" s="242"/>
      <c r="BG164" s="242"/>
      <c r="BH164" s="242"/>
      <c r="BI164" s="242"/>
      <c r="BJ164" s="242"/>
      <c r="BK164" s="242"/>
      <c r="BL164" s="242"/>
      <c r="BM164" s="242"/>
      <c r="BN164" s="242"/>
      <c r="BO164" s="242"/>
      <c r="BP164" s="242"/>
      <c r="BQ164" s="242"/>
      <c r="BR164" s="242"/>
      <c r="BS164" s="242"/>
      <c r="BT164" s="242"/>
      <c r="BU164" s="242"/>
      <c r="BV164" s="242"/>
      <c r="BW164" s="242"/>
      <c r="BX164" s="242"/>
      <c r="BY164" s="242"/>
      <c r="BZ164" s="242"/>
      <c r="CA164" s="242"/>
      <c r="CB164" s="242"/>
      <c r="CC164" s="242"/>
      <c r="CD164" s="242"/>
      <c r="CE164" s="242"/>
      <c r="CF164" s="242"/>
      <c r="CG164" s="242"/>
      <c r="CH164" s="242"/>
      <c r="CI164" s="242"/>
      <c r="CJ164" s="242"/>
      <c r="CK164" s="242"/>
      <c r="CL164" s="242"/>
      <c r="CM164" s="242"/>
      <c r="CN164" s="242"/>
      <c r="CO164" s="242"/>
      <c r="CP164" s="242"/>
      <c r="CQ164" s="242"/>
      <c r="CR164" s="242"/>
      <c r="CS164" s="242"/>
      <c r="CT164" s="242"/>
      <c r="CU164" s="242"/>
      <c r="CV164" s="242"/>
      <c r="CW164" s="242"/>
      <c r="CX164" s="242"/>
      <c r="CY164" s="242"/>
      <c r="CZ164" s="242"/>
      <c r="DA164" s="242"/>
      <c r="DB164" s="242"/>
      <c r="DC164" s="242"/>
      <c r="DD164" s="242"/>
      <c r="DE164" s="242"/>
      <c r="DF164" s="242"/>
      <c r="DG164" s="242"/>
      <c r="DH164" s="242"/>
      <c r="DI164" s="242"/>
      <c r="DJ164" s="242"/>
      <c r="DK164" s="242"/>
      <c r="DL164" s="242"/>
      <c r="DM164" s="242"/>
      <c r="DN164" s="242"/>
      <c r="DO164" s="242"/>
      <c r="DP164" s="242"/>
      <c r="DQ164" s="242"/>
      <c r="DR164" s="242"/>
      <c r="DS164" s="242"/>
      <c r="DT164" s="242"/>
      <c r="DU164" s="242"/>
      <c r="DV164" s="242"/>
      <c r="DW164" s="242"/>
      <c r="DX164" s="242"/>
      <c r="DY164" s="242"/>
      <c r="DZ164" s="242"/>
      <c r="EA164" s="242"/>
      <c r="EB164" s="242"/>
      <c r="EC164" s="242"/>
      <c r="ED164" s="242"/>
      <c r="EE164" s="242"/>
      <c r="EF164" s="242"/>
      <c r="EG164" s="242"/>
      <c r="EH164" s="242"/>
      <c r="EI164" s="242"/>
      <c r="EJ164" s="242"/>
      <c r="EK164" s="242"/>
      <c r="EL164" s="242"/>
      <c r="EM164" s="242"/>
      <c r="EN164" s="242"/>
      <c r="EO164" s="242"/>
      <c r="EP164" s="242"/>
      <c r="EQ164" s="242"/>
      <c r="ER164" s="242"/>
      <c r="ES164" s="242"/>
      <c r="ET164" s="242"/>
      <c r="EU164" s="242"/>
      <c r="EV164" s="242"/>
      <c r="EW164" s="242"/>
      <c r="EX164" s="242"/>
      <c r="EY164" s="242"/>
      <c r="EZ164" s="242"/>
      <c r="FA164" s="242"/>
      <c r="FB164" s="242"/>
      <c r="FC164" s="242"/>
      <c r="FD164" s="242"/>
      <c r="FE164" s="242"/>
      <c r="FF164" s="242"/>
      <c r="FG164" s="242"/>
      <c r="FH164" s="242"/>
      <c r="FI164" s="242"/>
      <c r="FJ164" s="242"/>
      <c r="FK164" s="242"/>
      <c r="FL164" s="242"/>
      <c r="FM164" s="242"/>
      <c r="FN164" s="242"/>
      <c r="FO164" s="242"/>
      <c r="FP164" s="242"/>
      <c r="FQ164" s="242"/>
      <c r="FR164" s="242"/>
      <c r="FS164" s="242"/>
      <c r="FT164" s="242"/>
      <c r="FU164" s="242"/>
      <c r="FV164" s="242"/>
      <c r="FW164" s="242"/>
      <c r="FX164" s="242"/>
      <c r="FY164" s="242"/>
      <c r="FZ164" s="242"/>
      <c r="GA164" s="242"/>
      <c r="GB164" s="242"/>
      <c r="GC164" s="242"/>
      <c r="GD164" s="242"/>
      <c r="GE164" s="242"/>
      <c r="GF164" s="242"/>
      <c r="GG164" s="242"/>
      <c r="GH164" s="242"/>
      <c r="GI164" s="242"/>
      <c r="GJ164" s="242"/>
      <c r="GK164" s="242"/>
      <c r="GL164" s="242"/>
      <c r="GM164" s="242"/>
      <c r="GN164" s="242"/>
      <c r="GO164" s="242"/>
      <c r="GP164" s="242"/>
      <c r="GQ164" s="242"/>
      <c r="GR164" s="242"/>
      <c r="GS164" s="242"/>
      <c r="GT164" s="242"/>
      <c r="GU164" s="242"/>
      <c r="GV164" s="242"/>
      <c r="GW164" s="242"/>
      <c r="GX164" s="242"/>
      <c r="GY164" s="242"/>
      <c r="GZ164" s="242"/>
      <c r="HA164" s="242"/>
      <c r="HB164" s="242"/>
      <c r="HC164" s="242"/>
      <c r="HD164" s="242"/>
      <c r="HE164" s="242"/>
      <c r="HF164" s="242"/>
      <c r="HG164" s="242"/>
      <c r="HH164" s="242"/>
      <c r="HI164" s="242"/>
      <c r="HJ164" s="242"/>
      <c r="HK164" s="242"/>
      <c r="HL164" s="242"/>
      <c r="HM164" s="242"/>
      <c r="HN164" s="242"/>
      <c r="HO164" s="243"/>
    </row>
    <row r="165" spans="1:223" ht="12.75" hidden="1" customHeight="1">
      <c r="A165" s="83">
        <f t="shared" si="18"/>
        <v>160</v>
      </c>
      <c r="B165" s="84"/>
      <c r="C165" s="84"/>
      <c r="D165" s="84"/>
      <c r="E165" s="84"/>
      <c r="F165" s="84" t="str">
        <f t="shared" si="16"/>
        <v>///</v>
      </c>
      <c r="G165" s="249">
        <f t="shared" si="19"/>
        <v>0</v>
      </c>
      <c r="H165" s="240">
        <f t="shared" si="17"/>
        <v>0</v>
      </c>
      <c r="I165" s="243"/>
      <c r="J165" s="243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242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  <c r="AM165" s="242"/>
      <c r="AN165" s="242"/>
      <c r="AO165" s="242"/>
      <c r="AP165" s="242"/>
      <c r="AQ165" s="242"/>
      <c r="AR165" s="242"/>
      <c r="AS165" s="242"/>
      <c r="AT165" s="242"/>
      <c r="AU165" s="242"/>
      <c r="AV165" s="242"/>
      <c r="AW165" s="242"/>
      <c r="AX165" s="242"/>
      <c r="AY165" s="242"/>
      <c r="AZ165" s="242"/>
      <c r="BA165" s="242"/>
      <c r="BB165" s="242"/>
      <c r="BC165" s="242"/>
      <c r="BD165" s="242"/>
      <c r="BE165" s="242"/>
      <c r="BF165" s="242"/>
      <c r="BG165" s="242"/>
      <c r="BH165" s="242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2"/>
      <c r="BS165" s="242"/>
      <c r="BT165" s="242"/>
      <c r="BU165" s="242"/>
      <c r="BV165" s="242"/>
      <c r="BW165" s="242"/>
      <c r="BX165" s="242"/>
      <c r="BY165" s="242"/>
      <c r="BZ165" s="242"/>
      <c r="CA165" s="242"/>
      <c r="CB165" s="242"/>
      <c r="CC165" s="242"/>
      <c r="CD165" s="242"/>
      <c r="CE165" s="242"/>
      <c r="CF165" s="242"/>
      <c r="CG165" s="242"/>
      <c r="CH165" s="242"/>
      <c r="CI165" s="242"/>
      <c r="CJ165" s="242"/>
      <c r="CK165" s="242"/>
      <c r="CL165" s="242"/>
      <c r="CM165" s="242"/>
      <c r="CN165" s="242"/>
      <c r="CO165" s="242"/>
      <c r="CP165" s="242"/>
      <c r="CQ165" s="242"/>
      <c r="CR165" s="242"/>
      <c r="CS165" s="242"/>
      <c r="CT165" s="242"/>
      <c r="CU165" s="242"/>
      <c r="CV165" s="242"/>
      <c r="CW165" s="242"/>
      <c r="CX165" s="242"/>
      <c r="CY165" s="242"/>
      <c r="CZ165" s="242"/>
      <c r="DA165" s="242"/>
      <c r="DB165" s="242"/>
      <c r="DC165" s="242"/>
      <c r="DD165" s="242"/>
      <c r="DE165" s="242"/>
      <c r="DF165" s="242"/>
      <c r="DG165" s="242"/>
      <c r="DH165" s="242"/>
      <c r="DI165" s="242"/>
      <c r="DJ165" s="242"/>
      <c r="DK165" s="242"/>
      <c r="DL165" s="242"/>
      <c r="DM165" s="242"/>
      <c r="DN165" s="242"/>
      <c r="DO165" s="242"/>
      <c r="DP165" s="242"/>
      <c r="DQ165" s="242"/>
      <c r="DR165" s="242"/>
      <c r="DS165" s="242"/>
      <c r="DT165" s="242"/>
      <c r="DU165" s="242"/>
      <c r="DV165" s="242"/>
      <c r="DW165" s="242"/>
      <c r="DX165" s="242"/>
      <c r="DY165" s="242"/>
      <c r="DZ165" s="242"/>
      <c r="EA165" s="242"/>
      <c r="EB165" s="242"/>
      <c r="EC165" s="242"/>
      <c r="ED165" s="242"/>
      <c r="EE165" s="242"/>
      <c r="EF165" s="242"/>
      <c r="EG165" s="242"/>
      <c r="EH165" s="242"/>
      <c r="EI165" s="242"/>
      <c r="EJ165" s="242"/>
      <c r="EK165" s="242"/>
      <c r="EL165" s="242"/>
      <c r="EM165" s="242"/>
      <c r="EN165" s="242"/>
      <c r="EO165" s="242"/>
      <c r="EP165" s="242"/>
      <c r="EQ165" s="242"/>
      <c r="ER165" s="242"/>
      <c r="ES165" s="242"/>
      <c r="ET165" s="242"/>
      <c r="EU165" s="242"/>
      <c r="EV165" s="242"/>
      <c r="EW165" s="242"/>
      <c r="EX165" s="242"/>
      <c r="EY165" s="242"/>
      <c r="EZ165" s="242"/>
      <c r="FA165" s="242"/>
      <c r="FB165" s="242"/>
      <c r="FC165" s="242"/>
      <c r="FD165" s="242"/>
      <c r="FE165" s="242"/>
      <c r="FF165" s="242"/>
      <c r="FG165" s="242"/>
      <c r="FH165" s="242"/>
      <c r="FI165" s="242"/>
      <c r="FJ165" s="242"/>
      <c r="FK165" s="242"/>
      <c r="FL165" s="242"/>
      <c r="FM165" s="242"/>
      <c r="FN165" s="242"/>
      <c r="FO165" s="242"/>
      <c r="FP165" s="242"/>
      <c r="FQ165" s="242"/>
      <c r="FR165" s="242"/>
      <c r="FS165" s="242"/>
      <c r="FT165" s="242"/>
      <c r="FU165" s="242"/>
      <c r="FV165" s="242"/>
      <c r="FW165" s="242"/>
      <c r="FX165" s="242"/>
      <c r="FY165" s="242"/>
      <c r="FZ165" s="242"/>
      <c r="GA165" s="242"/>
      <c r="GB165" s="242"/>
      <c r="GC165" s="242"/>
      <c r="GD165" s="242"/>
      <c r="GE165" s="242"/>
      <c r="GF165" s="242"/>
      <c r="GG165" s="242"/>
      <c r="GH165" s="242"/>
      <c r="GI165" s="242"/>
      <c r="GJ165" s="242"/>
      <c r="GK165" s="242"/>
      <c r="GL165" s="242"/>
      <c r="GM165" s="242"/>
      <c r="GN165" s="242"/>
      <c r="GO165" s="242"/>
      <c r="GP165" s="242"/>
      <c r="GQ165" s="242"/>
      <c r="GR165" s="242"/>
      <c r="GS165" s="242"/>
      <c r="GT165" s="242"/>
      <c r="GU165" s="242"/>
      <c r="GV165" s="242"/>
      <c r="GW165" s="242"/>
      <c r="GX165" s="242"/>
      <c r="GY165" s="242"/>
      <c r="GZ165" s="242"/>
      <c r="HA165" s="242"/>
      <c r="HB165" s="242"/>
      <c r="HC165" s="242"/>
      <c r="HD165" s="242"/>
      <c r="HE165" s="242"/>
      <c r="HF165" s="242"/>
      <c r="HG165" s="242"/>
      <c r="HH165" s="242"/>
      <c r="HI165" s="242"/>
      <c r="HJ165" s="242"/>
      <c r="HK165" s="242"/>
      <c r="HL165" s="242"/>
      <c r="HM165" s="242"/>
      <c r="HN165" s="242"/>
      <c r="HO165" s="243"/>
    </row>
    <row r="166" spans="1:223" ht="12.75" hidden="1" customHeight="1">
      <c r="A166" s="83">
        <f t="shared" si="18"/>
        <v>161</v>
      </c>
      <c r="B166" s="84"/>
      <c r="C166" s="84"/>
      <c r="D166" s="84"/>
      <c r="E166" s="84"/>
      <c r="F166" s="84" t="str">
        <f t="shared" si="16"/>
        <v>///</v>
      </c>
      <c r="G166" s="249">
        <f t="shared" si="19"/>
        <v>0</v>
      </c>
      <c r="H166" s="240">
        <f t="shared" si="17"/>
        <v>0</v>
      </c>
      <c r="I166" s="243"/>
      <c r="J166" s="243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242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  <c r="AM166" s="242"/>
      <c r="AN166" s="242"/>
      <c r="AO166" s="242"/>
      <c r="AP166" s="242"/>
      <c r="AQ166" s="242"/>
      <c r="AR166" s="242"/>
      <c r="AS166" s="242"/>
      <c r="AT166" s="242"/>
      <c r="AU166" s="242"/>
      <c r="AV166" s="242"/>
      <c r="AW166" s="242"/>
      <c r="AX166" s="242"/>
      <c r="AY166" s="242"/>
      <c r="AZ166" s="242"/>
      <c r="BA166" s="242"/>
      <c r="BB166" s="242"/>
      <c r="BC166" s="242"/>
      <c r="BD166" s="242"/>
      <c r="BE166" s="242"/>
      <c r="BF166" s="242"/>
      <c r="BG166" s="242"/>
      <c r="BH166" s="242"/>
      <c r="BI166" s="242"/>
      <c r="BJ166" s="242"/>
      <c r="BK166" s="242"/>
      <c r="BL166" s="242"/>
      <c r="BM166" s="242"/>
      <c r="BN166" s="242"/>
      <c r="BO166" s="242"/>
      <c r="BP166" s="242"/>
      <c r="BQ166" s="242"/>
      <c r="BR166" s="242"/>
      <c r="BS166" s="242"/>
      <c r="BT166" s="242"/>
      <c r="BU166" s="242"/>
      <c r="BV166" s="242"/>
      <c r="BW166" s="242"/>
      <c r="BX166" s="242"/>
      <c r="BY166" s="242"/>
      <c r="BZ166" s="242"/>
      <c r="CA166" s="242"/>
      <c r="CB166" s="242"/>
      <c r="CC166" s="242"/>
      <c r="CD166" s="242"/>
      <c r="CE166" s="242"/>
      <c r="CF166" s="242"/>
      <c r="CG166" s="242"/>
      <c r="CH166" s="242"/>
      <c r="CI166" s="242"/>
      <c r="CJ166" s="242"/>
      <c r="CK166" s="242"/>
      <c r="CL166" s="242"/>
      <c r="CM166" s="242"/>
      <c r="CN166" s="242"/>
      <c r="CO166" s="242"/>
      <c r="CP166" s="242"/>
      <c r="CQ166" s="242"/>
      <c r="CR166" s="242"/>
      <c r="CS166" s="242"/>
      <c r="CT166" s="242"/>
      <c r="CU166" s="242"/>
      <c r="CV166" s="242"/>
      <c r="CW166" s="242"/>
      <c r="CX166" s="242"/>
      <c r="CY166" s="242"/>
      <c r="CZ166" s="242"/>
      <c r="DA166" s="242"/>
      <c r="DB166" s="242"/>
      <c r="DC166" s="242"/>
      <c r="DD166" s="242"/>
      <c r="DE166" s="242"/>
      <c r="DF166" s="242"/>
      <c r="DG166" s="242"/>
      <c r="DH166" s="242"/>
      <c r="DI166" s="242"/>
      <c r="DJ166" s="242"/>
      <c r="DK166" s="242"/>
      <c r="DL166" s="242"/>
      <c r="DM166" s="242"/>
      <c r="DN166" s="242"/>
      <c r="DO166" s="242"/>
      <c r="DP166" s="242"/>
      <c r="DQ166" s="242"/>
      <c r="DR166" s="242"/>
      <c r="DS166" s="242"/>
      <c r="DT166" s="242"/>
      <c r="DU166" s="242"/>
      <c r="DV166" s="242"/>
      <c r="DW166" s="242"/>
      <c r="DX166" s="242"/>
      <c r="DY166" s="242"/>
      <c r="DZ166" s="242"/>
      <c r="EA166" s="242"/>
      <c r="EB166" s="242"/>
      <c r="EC166" s="242"/>
      <c r="ED166" s="242"/>
      <c r="EE166" s="242"/>
      <c r="EF166" s="242"/>
      <c r="EG166" s="242"/>
      <c r="EH166" s="242"/>
      <c r="EI166" s="242"/>
      <c r="EJ166" s="242"/>
      <c r="EK166" s="242"/>
      <c r="EL166" s="242"/>
      <c r="EM166" s="242"/>
      <c r="EN166" s="242"/>
      <c r="EO166" s="242"/>
      <c r="EP166" s="242"/>
      <c r="EQ166" s="242"/>
      <c r="ER166" s="242"/>
      <c r="ES166" s="242"/>
      <c r="ET166" s="242"/>
      <c r="EU166" s="242"/>
      <c r="EV166" s="242"/>
      <c r="EW166" s="242"/>
      <c r="EX166" s="242"/>
      <c r="EY166" s="242"/>
      <c r="EZ166" s="242"/>
      <c r="FA166" s="242"/>
      <c r="FB166" s="242"/>
      <c r="FC166" s="242"/>
      <c r="FD166" s="242"/>
      <c r="FE166" s="242"/>
      <c r="FF166" s="242"/>
      <c r="FG166" s="242"/>
      <c r="FH166" s="242"/>
      <c r="FI166" s="242"/>
      <c r="FJ166" s="242"/>
      <c r="FK166" s="242"/>
      <c r="FL166" s="242"/>
      <c r="FM166" s="242"/>
      <c r="FN166" s="242"/>
      <c r="FO166" s="242"/>
      <c r="FP166" s="242"/>
      <c r="FQ166" s="242"/>
      <c r="FR166" s="242"/>
      <c r="FS166" s="242"/>
      <c r="FT166" s="242"/>
      <c r="FU166" s="242"/>
      <c r="FV166" s="242"/>
      <c r="FW166" s="242"/>
      <c r="FX166" s="242"/>
      <c r="FY166" s="242"/>
      <c r="FZ166" s="242"/>
      <c r="GA166" s="242"/>
      <c r="GB166" s="242"/>
      <c r="GC166" s="242"/>
      <c r="GD166" s="242"/>
      <c r="GE166" s="242"/>
      <c r="GF166" s="242"/>
      <c r="GG166" s="242"/>
      <c r="GH166" s="242"/>
      <c r="GI166" s="242"/>
      <c r="GJ166" s="242"/>
      <c r="GK166" s="242"/>
      <c r="GL166" s="242"/>
      <c r="GM166" s="242"/>
      <c r="GN166" s="242"/>
      <c r="GO166" s="242"/>
      <c r="GP166" s="242"/>
      <c r="GQ166" s="242"/>
      <c r="GR166" s="242"/>
      <c r="GS166" s="242"/>
      <c r="GT166" s="242"/>
      <c r="GU166" s="242"/>
      <c r="GV166" s="242"/>
      <c r="GW166" s="242"/>
      <c r="GX166" s="242"/>
      <c r="GY166" s="242"/>
      <c r="GZ166" s="242"/>
      <c r="HA166" s="242"/>
      <c r="HB166" s="242"/>
      <c r="HC166" s="242"/>
      <c r="HD166" s="242"/>
      <c r="HE166" s="242"/>
      <c r="HF166" s="242"/>
      <c r="HG166" s="242"/>
      <c r="HH166" s="242"/>
      <c r="HI166" s="242"/>
      <c r="HJ166" s="242"/>
      <c r="HK166" s="242"/>
      <c r="HL166" s="242"/>
      <c r="HM166" s="242"/>
      <c r="HN166" s="242"/>
      <c r="HO166" s="243"/>
    </row>
    <row r="167" spans="1:223" ht="12.75" hidden="1" customHeight="1">
      <c r="A167" s="83">
        <f t="shared" si="18"/>
        <v>162</v>
      </c>
      <c r="B167" s="84"/>
      <c r="C167" s="84"/>
      <c r="D167" s="84"/>
      <c r="E167" s="84"/>
      <c r="F167" s="84" t="str">
        <f t="shared" si="16"/>
        <v>///</v>
      </c>
      <c r="G167" s="249">
        <f t="shared" si="19"/>
        <v>0</v>
      </c>
      <c r="H167" s="240">
        <f t="shared" si="17"/>
        <v>0</v>
      </c>
      <c r="I167" s="243"/>
      <c r="J167" s="243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242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  <c r="AM167" s="242"/>
      <c r="AN167" s="242"/>
      <c r="AO167" s="242"/>
      <c r="AP167" s="242"/>
      <c r="AQ167" s="242"/>
      <c r="AR167" s="242"/>
      <c r="AS167" s="242"/>
      <c r="AT167" s="242"/>
      <c r="AU167" s="242"/>
      <c r="AV167" s="242"/>
      <c r="AW167" s="242"/>
      <c r="AX167" s="242"/>
      <c r="AY167" s="242"/>
      <c r="AZ167" s="242"/>
      <c r="BA167" s="242"/>
      <c r="BB167" s="242"/>
      <c r="BC167" s="242"/>
      <c r="BD167" s="242"/>
      <c r="BE167" s="242"/>
      <c r="BF167" s="242"/>
      <c r="BG167" s="242"/>
      <c r="BH167" s="242"/>
      <c r="BI167" s="242"/>
      <c r="BJ167" s="242"/>
      <c r="BK167" s="242"/>
      <c r="BL167" s="242"/>
      <c r="BM167" s="242"/>
      <c r="BN167" s="242"/>
      <c r="BO167" s="242"/>
      <c r="BP167" s="242"/>
      <c r="BQ167" s="242"/>
      <c r="BR167" s="242"/>
      <c r="BS167" s="242"/>
      <c r="BT167" s="242"/>
      <c r="BU167" s="242"/>
      <c r="BV167" s="242"/>
      <c r="BW167" s="242"/>
      <c r="BX167" s="242"/>
      <c r="BY167" s="242"/>
      <c r="BZ167" s="242"/>
      <c r="CA167" s="242"/>
      <c r="CB167" s="242"/>
      <c r="CC167" s="242"/>
      <c r="CD167" s="242"/>
      <c r="CE167" s="242"/>
      <c r="CF167" s="242"/>
      <c r="CG167" s="242"/>
      <c r="CH167" s="242"/>
      <c r="CI167" s="242"/>
      <c r="CJ167" s="242"/>
      <c r="CK167" s="242"/>
      <c r="CL167" s="242"/>
      <c r="CM167" s="242"/>
      <c r="CN167" s="242"/>
      <c r="CO167" s="242"/>
      <c r="CP167" s="242"/>
      <c r="CQ167" s="242"/>
      <c r="CR167" s="242"/>
      <c r="CS167" s="242"/>
      <c r="CT167" s="242"/>
      <c r="CU167" s="242"/>
      <c r="CV167" s="242"/>
      <c r="CW167" s="242"/>
      <c r="CX167" s="242"/>
      <c r="CY167" s="242"/>
      <c r="CZ167" s="242"/>
      <c r="DA167" s="242"/>
      <c r="DB167" s="242"/>
      <c r="DC167" s="242"/>
      <c r="DD167" s="242"/>
      <c r="DE167" s="242"/>
      <c r="DF167" s="242"/>
      <c r="DG167" s="242"/>
      <c r="DH167" s="242"/>
      <c r="DI167" s="242"/>
      <c r="DJ167" s="242"/>
      <c r="DK167" s="242"/>
      <c r="DL167" s="242"/>
      <c r="DM167" s="242"/>
      <c r="DN167" s="242"/>
      <c r="DO167" s="242"/>
      <c r="DP167" s="242"/>
      <c r="DQ167" s="242"/>
      <c r="DR167" s="242"/>
      <c r="DS167" s="242"/>
      <c r="DT167" s="242"/>
      <c r="DU167" s="242"/>
      <c r="DV167" s="242"/>
      <c r="DW167" s="242"/>
      <c r="DX167" s="242"/>
      <c r="DY167" s="242"/>
      <c r="DZ167" s="242"/>
      <c r="EA167" s="242"/>
      <c r="EB167" s="242"/>
      <c r="EC167" s="242"/>
      <c r="ED167" s="242"/>
      <c r="EE167" s="242"/>
      <c r="EF167" s="242"/>
      <c r="EG167" s="242"/>
      <c r="EH167" s="242"/>
      <c r="EI167" s="242"/>
      <c r="EJ167" s="242"/>
      <c r="EK167" s="242"/>
      <c r="EL167" s="242"/>
      <c r="EM167" s="242"/>
      <c r="EN167" s="242"/>
      <c r="EO167" s="242"/>
      <c r="EP167" s="242"/>
      <c r="EQ167" s="242"/>
      <c r="ER167" s="242"/>
      <c r="ES167" s="242"/>
      <c r="ET167" s="242"/>
      <c r="EU167" s="242"/>
      <c r="EV167" s="242"/>
      <c r="EW167" s="242"/>
      <c r="EX167" s="242"/>
      <c r="EY167" s="242"/>
      <c r="EZ167" s="242"/>
      <c r="FA167" s="242"/>
      <c r="FB167" s="242"/>
      <c r="FC167" s="242"/>
      <c r="FD167" s="242"/>
      <c r="FE167" s="242"/>
      <c r="FF167" s="242"/>
      <c r="FG167" s="242"/>
      <c r="FH167" s="242"/>
      <c r="FI167" s="242"/>
      <c r="FJ167" s="242"/>
      <c r="FK167" s="242"/>
      <c r="FL167" s="242"/>
      <c r="FM167" s="242"/>
      <c r="FN167" s="242"/>
      <c r="FO167" s="242"/>
      <c r="FP167" s="242"/>
      <c r="FQ167" s="242"/>
      <c r="FR167" s="242"/>
      <c r="FS167" s="242"/>
      <c r="FT167" s="242"/>
      <c r="FU167" s="242"/>
      <c r="FV167" s="242"/>
      <c r="FW167" s="242"/>
      <c r="FX167" s="242"/>
      <c r="FY167" s="242"/>
      <c r="FZ167" s="242"/>
      <c r="GA167" s="242"/>
      <c r="GB167" s="242"/>
      <c r="GC167" s="242"/>
      <c r="GD167" s="242"/>
      <c r="GE167" s="242"/>
      <c r="GF167" s="242"/>
      <c r="GG167" s="242"/>
      <c r="GH167" s="242"/>
      <c r="GI167" s="242"/>
      <c r="GJ167" s="242"/>
      <c r="GK167" s="242"/>
      <c r="GL167" s="242"/>
      <c r="GM167" s="242"/>
      <c r="GN167" s="242"/>
      <c r="GO167" s="242"/>
      <c r="GP167" s="242"/>
      <c r="GQ167" s="242"/>
      <c r="GR167" s="242"/>
      <c r="GS167" s="242"/>
      <c r="GT167" s="242"/>
      <c r="GU167" s="242"/>
      <c r="GV167" s="242"/>
      <c r="GW167" s="242"/>
      <c r="GX167" s="242"/>
      <c r="GY167" s="242"/>
      <c r="GZ167" s="242"/>
      <c r="HA167" s="242"/>
      <c r="HB167" s="242"/>
      <c r="HC167" s="242"/>
      <c r="HD167" s="242"/>
      <c r="HE167" s="242"/>
      <c r="HF167" s="242"/>
      <c r="HG167" s="242"/>
      <c r="HH167" s="242"/>
      <c r="HI167" s="242"/>
      <c r="HJ167" s="242"/>
      <c r="HK167" s="242"/>
      <c r="HL167" s="242"/>
      <c r="HM167" s="242"/>
      <c r="HN167" s="242"/>
      <c r="HO167" s="243"/>
    </row>
    <row r="168" spans="1:223" ht="12.75" hidden="1" customHeight="1">
      <c r="A168" s="83">
        <f t="shared" si="18"/>
        <v>163</v>
      </c>
      <c r="B168" s="84"/>
      <c r="C168" s="84"/>
      <c r="D168" s="84"/>
      <c r="E168" s="84"/>
      <c r="F168" s="84" t="str">
        <f t="shared" si="16"/>
        <v>///</v>
      </c>
      <c r="G168" s="249">
        <f t="shared" si="19"/>
        <v>0</v>
      </c>
      <c r="H168" s="240">
        <f t="shared" si="17"/>
        <v>0</v>
      </c>
      <c r="I168" s="243"/>
      <c r="J168" s="243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242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  <c r="AM168" s="242"/>
      <c r="AN168" s="242"/>
      <c r="AO168" s="242"/>
      <c r="AP168" s="242"/>
      <c r="AQ168" s="242"/>
      <c r="AR168" s="242"/>
      <c r="AS168" s="242"/>
      <c r="AT168" s="242"/>
      <c r="AU168" s="242"/>
      <c r="AV168" s="242"/>
      <c r="AW168" s="242"/>
      <c r="AX168" s="242"/>
      <c r="AY168" s="242"/>
      <c r="AZ168" s="242"/>
      <c r="BA168" s="242"/>
      <c r="BB168" s="242"/>
      <c r="BC168" s="242"/>
      <c r="BD168" s="242"/>
      <c r="BE168" s="242"/>
      <c r="BF168" s="242"/>
      <c r="BG168" s="242"/>
      <c r="BH168" s="242"/>
      <c r="BI168" s="242"/>
      <c r="BJ168" s="242"/>
      <c r="BK168" s="242"/>
      <c r="BL168" s="242"/>
      <c r="BM168" s="242"/>
      <c r="BN168" s="242"/>
      <c r="BO168" s="242"/>
      <c r="BP168" s="242"/>
      <c r="BQ168" s="242"/>
      <c r="BR168" s="242"/>
      <c r="BS168" s="242"/>
      <c r="BT168" s="242"/>
      <c r="BU168" s="242"/>
      <c r="BV168" s="242"/>
      <c r="BW168" s="242"/>
      <c r="BX168" s="242"/>
      <c r="BY168" s="242"/>
      <c r="BZ168" s="242"/>
      <c r="CA168" s="242"/>
      <c r="CB168" s="242"/>
      <c r="CC168" s="242"/>
      <c r="CD168" s="242"/>
      <c r="CE168" s="242"/>
      <c r="CF168" s="242"/>
      <c r="CG168" s="242"/>
      <c r="CH168" s="242"/>
      <c r="CI168" s="242"/>
      <c r="CJ168" s="242"/>
      <c r="CK168" s="242"/>
      <c r="CL168" s="242"/>
      <c r="CM168" s="242"/>
      <c r="CN168" s="242"/>
      <c r="CO168" s="242"/>
      <c r="CP168" s="242"/>
      <c r="CQ168" s="242"/>
      <c r="CR168" s="242"/>
      <c r="CS168" s="242"/>
      <c r="CT168" s="242"/>
      <c r="CU168" s="242"/>
      <c r="CV168" s="242"/>
      <c r="CW168" s="242"/>
      <c r="CX168" s="242"/>
      <c r="CY168" s="242"/>
      <c r="CZ168" s="242"/>
      <c r="DA168" s="242"/>
      <c r="DB168" s="242"/>
      <c r="DC168" s="242"/>
      <c r="DD168" s="242"/>
      <c r="DE168" s="242"/>
      <c r="DF168" s="242"/>
      <c r="DG168" s="242"/>
      <c r="DH168" s="242"/>
      <c r="DI168" s="242"/>
      <c r="DJ168" s="242"/>
      <c r="DK168" s="242"/>
      <c r="DL168" s="242"/>
      <c r="DM168" s="242"/>
      <c r="DN168" s="242"/>
      <c r="DO168" s="242"/>
      <c r="DP168" s="242"/>
      <c r="DQ168" s="242"/>
      <c r="DR168" s="242"/>
      <c r="DS168" s="242"/>
      <c r="DT168" s="242"/>
      <c r="DU168" s="242"/>
      <c r="DV168" s="242"/>
      <c r="DW168" s="242"/>
      <c r="DX168" s="242"/>
      <c r="DY168" s="242"/>
      <c r="DZ168" s="242"/>
      <c r="EA168" s="242"/>
      <c r="EB168" s="242"/>
      <c r="EC168" s="242"/>
      <c r="ED168" s="242"/>
      <c r="EE168" s="242"/>
      <c r="EF168" s="242"/>
      <c r="EG168" s="242"/>
      <c r="EH168" s="242"/>
      <c r="EI168" s="242"/>
      <c r="EJ168" s="242"/>
      <c r="EK168" s="242"/>
      <c r="EL168" s="242"/>
      <c r="EM168" s="242"/>
      <c r="EN168" s="242"/>
      <c r="EO168" s="242"/>
      <c r="EP168" s="242"/>
      <c r="EQ168" s="242"/>
      <c r="ER168" s="242"/>
      <c r="ES168" s="242"/>
      <c r="ET168" s="242"/>
      <c r="EU168" s="242"/>
      <c r="EV168" s="242"/>
      <c r="EW168" s="242"/>
      <c r="EX168" s="242"/>
      <c r="EY168" s="242"/>
      <c r="EZ168" s="242"/>
      <c r="FA168" s="242"/>
      <c r="FB168" s="242"/>
      <c r="FC168" s="242"/>
      <c r="FD168" s="242"/>
      <c r="FE168" s="242"/>
      <c r="FF168" s="242"/>
      <c r="FG168" s="242"/>
      <c r="FH168" s="242"/>
      <c r="FI168" s="242"/>
      <c r="FJ168" s="242"/>
      <c r="FK168" s="242"/>
      <c r="FL168" s="242"/>
      <c r="FM168" s="242"/>
      <c r="FN168" s="242"/>
      <c r="FO168" s="242"/>
      <c r="FP168" s="242"/>
      <c r="FQ168" s="242"/>
      <c r="FR168" s="242"/>
      <c r="FS168" s="242"/>
      <c r="FT168" s="242"/>
      <c r="FU168" s="242"/>
      <c r="FV168" s="242"/>
      <c r="FW168" s="242"/>
      <c r="FX168" s="242"/>
      <c r="FY168" s="242"/>
      <c r="FZ168" s="242"/>
      <c r="GA168" s="242"/>
      <c r="GB168" s="242"/>
      <c r="GC168" s="242"/>
      <c r="GD168" s="242"/>
      <c r="GE168" s="242"/>
      <c r="GF168" s="242"/>
      <c r="GG168" s="242"/>
      <c r="GH168" s="242"/>
      <c r="GI168" s="242"/>
      <c r="GJ168" s="242"/>
      <c r="GK168" s="242"/>
      <c r="GL168" s="242"/>
      <c r="GM168" s="242"/>
      <c r="GN168" s="242"/>
      <c r="GO168" s="242"/>
      <c r="GP168" s="242"/>
      <c r="GQ168" s="242"/>
      <c r="GR168" s="242"/>
      <c r="GS168" s="242"/>
      <c r="GT168" s="242"/>
      <c r="GU168" s="242"/>
      <c r="GV168" s="242"/>
      <c r="GW168" s="242"/>
      <c r="GX168" s="242"/>
      <c r="GY168" s="242"/>
      <c r="GZ168" s="242"/>
      <c r="HA168" s="242"/>
      <c r="HB168" s="242"/>
      <c r="HC168" s="242"/>
      <c r="HD168" s="242"/>
      <c r="HE168" s="242"/>
      <c r="HF168" s="242"/>
      <c r="HG168" s="242"/>
      <c r="HH168" s="242"/>
      <c r="HI168" s="242"/>
      <c r="HJ168" s="242"/>
      <c r="HK168" s="242"/>
      <c r="HL168" s="242"/>
      <c r="HM168" s="242"/>
      <c r="HN168" s="242"/>
      <c r="HO168" s="243"/>
    </row>
    <row r="169" spans="1:223" ht="12.75" hidden="1" customHeight="1">
      <c r="A169" s="83">
        <f t="shared" si="18"/>
        <v>164</v>
      </c>
      <c r="B169" s="84"/>
      <c r="C169" s="84"/>
      <c r="D169" s="84"/>
      <c r="E169" s="84"/>
      <c r="F169" s="84" t="str">
        <f t="shared" si="16"/>
        <v>///</v>
      </c>
      <c r="G169" s="249">
        <f t="shared" si="19"/>
        <v>0</v>
      </c>
      <c r="H169" s="240">
        <f t="shared" si="17"/>
        <v>0</v>
      </c>
      <c r="I169" s="243"/>
      <c r="J169" s="243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242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  <c r="AM169" s="242"/>
      <c r="AN169" s="242"/>
      <c r="AO169" s="242"/>
      <c r="AP169" s="242"/>
      <c r="AQ169" s="242"/>
      <c r="AR169" s="242"/>
      <c r="AS169" s="242"/>
      <c r="AT169" s="242"/>
      <c r="AU169" s="242"/>
      <c r="AV169" s="242"/>
      <c r="AW169" s="242"/>
      <c r="AX169" s="242"/>
      <c r="AY169" s="242"/>
      <c r="AZ169" s="242"/>
      <c r="BA169" s="242"/>
      <c r="BB169" s="242"/>
      <c r="BC169" s="242"/>
      <c r="BD169" s="242"/>
      <c r="BE169" s="242"/>
      <c r="BF169" s="242"/>
      <c r="BG169" s="242"/>
      <c r="BH169" s="242"/>
      <c r="BI169" s="242"/>
      <c r="BJ169" s="242"/>
      <c r="BK169" s="242"/>
      <c r="BL169" s="242"/>
      <c r="BM169" s="242"/>
      <c r="BN169" s="242"/>
      <c r="BO169" s="242"/>
      <c r="BP169" s="242"/>
      <c r="BQ169" s="242"/>
      <c r="BR169" s="242"/>
      <c r="BS169" s="242"/>
      <c r="BT169" s="242"/>
      <c r="BU169" s="242"/>
      <c r="BV169" s="242"/>
      <c r="BW169" s="242"/>
      <c r="BX169" s="242"/>
      <c r="BY169" s="242"/>
      <c r="BZ169" s="242"/>
      <c r="CA169" s="242"/>
      <c r="CB169" s="242"/>
      <c r="CC169" s="242"/>
      <c r="CD169" s="242"/>
      <c r="CE169" s="242"/>
      <c r="CF169" s="242"/>
      <c r="CG169" s="242"/>
      <c r="CH169" s="242"/>
      <c r="CI169" s="242"/>
      <c r="CJ169" s="242"/>
      <c r="CK169" s="242"/>
      <c r="CL169" s="242"/>
      <c r="CM169" s="242"/>
      <c r="CN169" s="242"/>
      <c r="CO169" s="242"/>
      <c r="CP169" s="242"/>
      <c r="CQ169" s="242"/>
      <c r="CR169" s="242"/>
      <c r="CS169" s="242"/>
      <c r="CT169" s="242"/>
      <c r="CU169" s="242"/>
      <c r="CV169" s="242"/>
      <c r="CW169" s="242"/>
      <c r="CX169" s="242"/>
      <c r="CY169" s="242"/>
      <c r="CZ169" s="242"/>
      <c r="DA169" s="242"/>
      <c r="DB169" s="242"/>
      <c r="DC169" s="242"/>
      <c r="DD169" s="242"/>
      <c r="DE169" s="242"/>
      <c r="DF169" s="242"/>
      <c r="DG169" s="242"/>
      <c r="DH169" s="242"/>
      <c r="DI169" s="242"/>
      <c r="DJ169" s="242"/>
      <c r="DK169" s="242"/>
      <c r="DL169" s="242"/>
      <c r="DM169" s="242"/>
      <c r="DN169" s="242"/>
      <c r="DO169" s="242"/>
      <c r="DP169" s="242"/>
      <c r="DQ169" s="242"/>
      <c r="DR169" s="242"/>
      <c r="DS169" s="242"/>
      <c r="DT169" s="242"/>
      <c r="DU169" s="242"/>
      <c r="DV169" s="242"/>
      <c r="DW169" s="242"/>
      <c r="DX169" s="242"/>
      <c r="DY169" s="242"/>
      <c r="DZ169" s="242"/>
      <c r="EA169" s="242"/>
      <c r="EB169" s="242"/>
      <c r="EC169" s="242"/>
      <c r="ED169" s="242"/>
      <c r="EE169" s="242"/>
      <c r="EF169" s="242"/>
      <c r="EG169" s="242"/>
      <c r="EH169" s="242"/>
      <c r="EI169" s="242"/>
      <c r="EJ169" s="242"/>
      <c r="EK169" s="242"/>
      <c r="EL169" s="242"/>
      <c r="EM169" s="242"/>
      <c r="EN169" s="242"/>
      <c r="EO169" s="242"/>
      <c r="EP169" s="242"/>
      <c r="EQ169" s="242"/>
      <c r="ER169" s="242"/>
      <c r="ES169" s="242"/>
      <c r="ET169" s="242"/>
      <c r="EU169" s="242"/>
      <c r="EV169" s="242"/>
      <c r="EW169" s="242"/>
      <c r="EX169" s="242"/>
      <c r="EY169" s="242"/>
      <c r="EZ169" s="242"/>
      <c r="FA169" s="242"/>
      <c r="FB169" s="242"/>
      <c r="FC169" s="242"/>
      <c r="FD169" s="242"/>
      <c r="FE169" s="242"/>
      <c r="FF169" s="242"/>
      <c r="FG169" s="242"/>
      <c r="FH169" s="242"/>
      <c r="FI169" s="242"/>
      <c r="FJ169" s="242"/>
      <c r="FK169" s="242"/>
      <c r="FL169" s="242"/>
      <c r="FM169" s="242"/>
      <c r="FN169" s="242"/>
      <c r="FO169" s="242"/>
      <c r="FP169" s="242"/>
      <c r="FQ169" s="242"/>
      <c r="FR169" s="242"/>
      <c r="FS169" s="242"/>
      <c r="FT169" s="242"/>
      <c r="FU169" s="242"/>
      <c r="FV169" s="242"/>
      <c r="FW169" s="242"/>
      <c r="FX169" s="242"/>
      <c r="FY169" s="242"/>
      <c r="FZ169" s="242"/>
      <c r="GA169" s="242"/>
      <c r="GB169" s="242"/>
      <c r="GC169" s="242"/>
      <c r="GD169" s="242"/>
      <c r="GE169" s="242"/>
      <c r="GF169" s="242"/>
      <c r="GG169" s="242"/>
      <c r="GH169" s="242"/>
      <c r="GI169" s="242"/>
      <c r="GJ169" s="242"/>
      <c r="GK169" s="242"/>
      <c r="GL169" s="242"/>
      <c r="GM169" s="242"/>
      <c r="GN169" s="242"/>
      <c r="GO169" s="242"/>
      <c r="GP169" s="242"/>
      <c r="GQ169" s="242"/>
      <c r="GR169" s="242"/>
      <c r="GS169" s="242"/>
      <c r="GT169" s="242"/>
      <c r="GU169" s="242"/>
      <c r="GV169" s="242"/>
      <c r="GW169" s="242"/>
      <c r="GX169" s="242"/>
      <c r="GY169" s="242"/>
      <c r="GZ169" s="242"/>
      <c r="HA169" s="242"/>
      <c r="HB169" s="242"/>
      <c r="HC169" s="242"/>
      <c r="HD169" s="242"/>
      <c r="HE169" s="242"/>
      <c r="HF169" s="242"/>
      <c r="HG169" s="242"/>
      <c r="HH169" s="242"/>
      <c r="HI169" s="242"/>
      <c r="HJ169" s="242"/>
      <c r="HK169" s="242"/>
      <c r="HL169" s="242"/>
      <c r="HM169" s="242"/>
      <c r="HN169" s="242"/>
      <c r="HO169" s="243"/>
    </row>
    <row r="170" spans="1:223" ht="12.75" hidden="1" customHeight="1">
      <c r="A170" s="83">
        <f t="shared" si="18"/>
        <v>165</v>
      </c>
      <c r="B170" s="84"/>
      <c r="C170" s="84"/>
      <c r="D170" s="84"/>
      <c r="E170" s="84"/>
      <c r="F170" s="84" t="str">
        <f t="shared" si="16"/>
        <v>///</v>
      </c>
      <c r="G170" s="249">
        <f t="shared" si="19"/>
        <v>0</v>
      </c>
      <c r="H170" s="240">
        <f t="shared" si="17"/>
        <v>0</v>
      </c>
      <c r="I170" s="243"/>
      <c r="J170" s="243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242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  <c r="AM170" s="242"/>
      <c r="AN170" s="242"/>
      <c r="AO170" s="242"/>
      <c r="AP170" s="242"/>
      <c r="AQ170" s="242"/>
      <c r="AR170" s="242"/>
      <c r="AS170" s="242"/>
      <c r="AT170" s="242"/>
      <c r="AU170" s="242"/>
      <c r="AV170" s="242"/>
      <c r="AW170" s="242"/>
      <c r="AX170" s="242"/>
      <c r="AY170" s="242"/>
      <c r="AZ170" s="242"/>
      <c r="BA170" s="242"/>
      <c r="BB170" s="242"/>
      <c r="BC170" s="242"/>
      <c r="BD170" s="242"/>
      <c r="BE170" s="242"/>
      <c r="BF170" s="242"/>
      <c r="BG170" s="242"/>
      <c r="BH170" s="242"/>
      <c r="BI170" s="242"/>
      <c r="BJ170" s="242"/>
      <c r="BK170" s="242"/>
      <c r="BL170" s="242"/>
      <c r="BM170" s="242"/>
      <c r="BN170" s="242"/>
      <c r="BO170" s="242"/>
      <c r="BP170" s="242"/>
      <c r="BQ170" s="242"/>
      <c r="BR170" s="242"/>
      <c r="BS170" s="242"/>
      <c r="BT170" s="242"/>
      <c r="BU170" s="242"/>
      <c r="BV170" s="242"/>
      <c r="BW170" s="242"/>
      <c r="BX170" s="242"/>
      <c r="BY170" s="242"/>
      <c r="BZ170" s="242"/>
      <c r="CA170" s="242"/>
      <c r="CB170" s="242"/>
      <c r="CC170" s="242"/>
      <c r="CD170" s="242"/>
      <c r="CE170" s="242"/>
      <c r="CF170" s="242"/>
      <c r="CG170" s="242"/>
      <c r="CH170" s="242"/>
      <c r="CI170" s="242"/>
      <c r="CJ170" s="242"/>
      <c r="CK170" s="242"/>
      <c r="CL170" s="242"/>
      <c r="CM170" s="242"/>
      <c r="CN170" s="242"/>
      <c r="CO170" s="242"/>
      <c r="CP170" s="242"/>
      <c r="CQ170" s="242"/>
      <c r="CR170" s="242"/>
      <c r="CS170" s="242"/>
      <c r="CT170" s="242"/>
      <c r="CU170" s="242"/>
      <c r="CV170" s="242"/>
      <c r="CW170" s="242"/>
      <c r="CX170" s="242"/>
      <c r="CY170" s="242"/>
      <c r="CZ170" s="242"/>
      <c r="DA170" s="242"/>
      <c r="DB170" s="242"/>
      <c r="DC170" s="242"/>
      <c r="DD170" s="242"/>
      <c r="DE170" s="242"/>
      <c r="DF170" s="242"/>
      <c r="DG170" s="242"/>
      <c r="DH170" s="242"/>
      <c r="DI170" s="242"/>
      <c r="DJ170" s="242"/>
      <c r="DK170" s="242"/>
      <c r="DL170" s="242"/>
      <c r="DM170" s="242"/>
      <c r="DN170" s="242"/>
      <c r="DO170" s="242"/>
      <c r="DP170" s="242"/>
      <c r="DQ170" s="242"/>
      <c r="DR170" s="242"/>
      <c r="DS170" s="242"/>
      <c r="DT170" s="242"/>
      <c r="DU170" s="242"/>
      <c r="DV170" s="242"/>
      <c r="DW170" s="242"/>
      <c r="DX170" s="242"/>
      <c r="DY170" s="242"/>
      <c r="DZ170" s="242"/>
      <c r="EA170" s="242"/>
      <c r="EB170" s="242"/>
      <c r="EC170" s="242"/>
      <c r="ED170" s="242"/>
      <c r="EE170" s="242"/>
      <c r="EF170" s="242"/>
      <c r="EG170" s="242"/>
      <c r="EH170" s="242"/>
      <c r="EI170" s="242"/>
      <c r="EJ170" s="242"/>
      <c r="EK170" s="242"/>
      <c r="EL170" s="242"/>
      <c r="EM170" s="242"/>
      <c r="EN170" s="242"/>
      <c r="EO170" s="242"/>
      <c r="EP170" s="242"/>
      <c r="EQ170" s="242"/>
      <c r="ER170" s="242"/>
      <c r="ES170" s="242"/>
      <c r="ET170" s="242"/>
      <c r="EU170" s="242"/>
      <c r="EV170" s="242"/>
      <c r="EW170" s="242"/>
      <c r="EX170" s="242"/>
      <c r="EY170" s="242"/>
      <c r="EZ170" s="242"/>
      <c r="FA170" s="242"/>
      <c r="FB170" s="242"/>
      <c r="FC170" s="242"/>
      <c r="FD170" s="242"/>
      <c r="FE170" s="242"/>
      <c r="FF170" s="242"/>
      <c r="FG170" s="242"/>
      <c r="FH170" s="242"/>
      <c r="FI170" s="242"/>
      <c r="FJ170" s="242"/>
      <c r="FK170" s="242"/>
      <c r="FL170" s="242"/>
      <c r="FM170" s="242"/>
      <c r="FN170" s="242"/>
      <c r="FO170" s="242"/>
      <c r="FP170" s="242"/>
      <c r="FQ170" s="242"/>
      <c r="FR170" s="242"/>
      <c r="FS170" s="242"/>
      <c r="FT170" s="242"/>
      <c r="FU170" s="242"/>
      <c r="FV170" s="242"/>
      <c r="FW170" s="242"/>
      <c r="FX170" s="242"/>
      <c r="FY170" s="242"/>
      <c r="FZ170" s="242"/>
      <c r="GA170" s="242"/>
      <c r="GB170" s="242"/>
      <c r="GC170" s="242"/>
      <c r="GD170" s="242"/>
      <c r="GE170" s="242"/>
      <c r="GF170" s="242"/>
      <c r="GG170" s="242"/>
      <c r="GH170" s="242"/>
      <c r="GI170" s="242"/>
      <c r="GJ170" s="242"/>
      <c r="GK170" s="242"/>
      <c r="GL170" s="242"/>
      <c r="GM170" s="242"/>
      <c r="GN170" s="242"/>
      <c r="GO170" s="242"/>
      <c r="GP170" s="242"/>
      <c r="GQ170" s="242"/>
      <c r="GR170" s="242"/>
      <c r="GS170" s="242"/>
      <c r="GT170" s="242"/>
      <c r="GU170" s="242"/>
      <c r="GV170" s="242"/>
      <c r="GW170" s="242"/>
      <c r="GX170" s="242"/>
      <c r="GY170" s="242"/>
      <c r="GZ170" s="242"/>
      <c r="HA170" s="242"/>
      <c r="HB170" s="242"/>
      <c r="HC170" s="242"/>
      <c r="HD170" s="242"/>
      <c r="HE170" s="242"/>
      <c r="HF170" s="242"/>
      <c r="HG170" s="242"/>
      <c r="HH170" s="242"/>
      <c r="HI170" s="242"/>
      <c r="HJ170" s="242"/>
      <c r="HK170" s="242"/>
      <c r="HL170" s="242"/>
      <c r="HM170" s="242"/>
      <c r="HN170" s="242"/>
      <c r="HO170" s="243"/>
    </row>
    <row r="171" spans="1:223" ht="12.75" hidden="1" customHeight="1">
      <c r="A171" s="83">
        <f t="shared" si="18"/>
        <v>166</v>
      </c>
      <c r="B171" s="84"/>
      <c r="C171" s="84"/>
      <c r="D171" s="84"/>
      <c r="E171" s="84"/>
      <c r="F171" s="84" t="str">
        <f t="shared" si="16"/>
        <v>///</v>
      </c>
      <c r="G171" s="249">
        <f t="shared" si="19"/>
        <v>0</v>
      </c>
      <c r="H171" s="240">
        <f t="shared" si="17"/>
        <v>0</v>
      </c>
      <c r="I171" s="243"/>
      <c r="J171" s="243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242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  <c r="AM171" s="242"/>
      <c r="AN171" s="242"/>
      <c r="AO171" s="242"/>
      <c r="AP171" s="242"/>
      <c r="AQ171" s="242"/>
      <c r="AR171" s="242"/>
      <c r="AS171" s="242"/>
      <c r="AT171" s="242"/>
      <c r="AU171" s="242"/>
      <c r="AV171" s="242"/>
      <c r="AW171" s="242"/>
      <c r="AX171" s="242"/>
      <c r="AY171" s="242"/>
      <c r="AZ171" s="242"/>
      <c r="BA171" s="242"/>
      <c r="BB171" s="242"/>
      <c r="BC171" s="242"/>
      <c r="BD171" s="242"/>
      <c r="BE171" s="242"/>
      <c r="BF171" s="242"/>
      <c r="BG171" s="242"/>
      <c r="BH171" s="242"/>
      <c r="BI171" s="242"/>
      <c r="BJ171" s="242"/>
      <c r="BK171" s="242"/>
      <c r="BL171" s="242"/>
      <c r="BM171" s="242"/>
      <c r="BN171" s="242"/>
      <c r="BO171" s="242"/>
      <c r="BP171" s="242"/>
      <c r="BQ171" s="242"/>
      <c r="BR171" s="242"/>
      <c r="BS171" s="242"/>
      <c r="BT171" s="242"/>
      <c r="BU171" s="242"/>
      <c r="BV171" s="242"/>
      <c r="BW171" s="242"/>
      <c r="BX171" s="242"/>
      <c r="BY171" s="242"/>
      <c r="BZ171" s="242"/>
      <c r="CA171" s="242"/>
      <c r="CB171" s="242"/>
      <c r="CC171" s="242"/>
      <c r="CD171" s="242"/>
      <c r="CE171" s="242"/>
      <c r="CF171" s="242"/>
      <c r="CG171" s="242"/>
      <c r="CH171" s="242"/>
      <c r="CI171" s="242"/>
      <c r="CJ171" s="242"/>
      <c r="CK171" s="242"/>
      <c r="CL171" s="242"/>
      <c r="CM171" s="242"/>
      <c r="CN171" s="242"/>
      <c r="CO171" s="242"/>
      <c r="CP171" s="242"/>
      <c r="CQ171" s="242"/>
      <c r="CR171" s="242"/>
      <c r="CS171" s="242"/>
      <c r="CT171" s="242"/>
      <c r="CU171" s="242"/>
      <c r="CV171" s="242"/>
      <c r="CW171" s="242"/>
      <c r="CX171" s="242"/>
      <c r="CY171" s="242"/>
      <c r="CZ171" s="242"/>
      <c r="DA171" s="242"/>
      <c r="DB171" s="242"/>
      <c r="DC171" s="242"/>
      <c r="DD171" s="242"/>
      <c r="DE171" s="242"/>
      <c r="DF171" s="242"/>
      <c r="DG171" s="242"/>
      <c r="DH171" s="242"/>
      <c r="DI171" s="242"/>
      <c r="DJ171" s="242"/>
      <c r="DK171" s="242"/>
      <c r="DL171" s="242"/>
      <c r="DM171" s="242"/>
      <c r="DN171" s="242"/>
      <c r="DO171" s="242"/>
      <c r="DP171" s="242"/>
      <c r="DQ171" s="242"/>
      <c r="DR171" s="242"/>
      <c r="DS171" s="242"/>
      <c r="DT171" s="242"/>
      <c r="DU171" s="242"/>
      <c r="DV171" s="242"/>
      <c r="DW171" s="242"/>
      <c r="DX171" s="242"/>
      <c r="DY171" s="242"/>
      <c r="DZ171" s="242"/>
      <c r="EA171" s="242"/>
      <c r="EB171" s="242"/>
      <c r="EC171" s="242"/>
      <c r="ED171" s="242"/>
      <c r="EE171" s="242"/>
      <c r="EF171" s="242"/>
      <c r="EG171" s="242"/>
      <c r="EH171" s="242"/>
      <c r="EI171" s="242"/>
      <c r="EJ171" s="242"/>
      <c r="EK171" s="242"/>
      <c r="EL171" s="242"/>
      <c r="EM171" s="242"/>
      <c r="EN171" s="242"/>
      <c r="EO171" s="242"/>
      <c r="EP171" s="242"/>
      <c r="EQ171" s="242"/>
      <c r="ER171" s="242"/>
      <c r="ES171" s="242"/>
      <c r="ET171" s="242"/>
      <c r="EU171" s="242"/>
      <c r="EV171" s="242"/>
      <c r="EW171" s="242"/>
      <c r="EX171" s="242"/>
      <c r="EY171" s="242"/>
      <c r="EZ171" s="242"/>
      <c r="FA171" s="242"/>
      <c r="FB171" s="242"/>
      <c r="FC171" s="242"/>
      <c r="FD171" s="242"/>
      <c r="FE171" s="242"/>
      <c r="FF171" s="242"/>
      <c r="FG171" s="242"/>
      <c r="FH171" s="242"/>
      <c r="FI171" s="242"/>
      <c r="FJ171" s="242"/>
      <c r="FK171" s="242"/>
      <c r="FL171" s="242"/>
      <c r="FM171" s="242"/>
      <c r="FN171" s="242"/>
      <c r="FO171" s="242"/>
      <c r="FP171" s="242"/>
      <c r="FQ171" s="242"/>
      <c r="FR171" s="242"/>
      <c r="FS171" s="242"/>
      <c r="FT171" s="242"/>
      <c r="FU171" s="242"/>
      <c r="FV171" s="242"/>
      <c r="FW171" s="242"/>
      <c r="FX171" s="242"/>
      <c r="FY171" s="242"/>
      <c r="FZ171" s="242"/>
      <c r="GA171" s="242"/>
      <c r="GB171" s="242"/>
      <c r="GC171" s="242"/>
      <c r="GD171" s="242"/>
      <c r="GE171" s="242"/>
      <c r="GF171" s="242"/>
      <c r="GG171" s="242"/>
      <c r="GH171" s="242"/>
      <c r="GI171" s="242"/>
      <c r="GJ171" s="242"/>
      <c r="GK171" s="242"/>
      <c r="GL171" s="242"/>
      <c r="GM171" s="242"/>
      <c r="GN171" s="242"/>
      <c r="GO171" s="242"/>
      <c r="GP171" s="242"/>
      <c r="GQ171" s="242"/>
      <c r="GR171" s="242"/>
      <c r="GS171" s="242"/>
      <c r="GT171" s="242"/>
      <c r="GU171" s="242"/>
      <c r="GV171" s="242"/>
      <c r="GW171" s="242"/>
      <c r="GX171" s="242"/>
      <c r="GY171" s="242"/>
      <c r="GZ171" s="242"/>
      <c r="HA171" s="242"/>
      <c r="HB171" s="242"/>
      <c r="HC171" s="242"/>
      <c r="HD171" s="242"/>
      <c r="HE171" s="242"/>
      <c r="HF171" s="242"/>
      <c r="HG171" s="242"/>
      <c r="HH171" s="242"/>
      <c r="HI171" s="242"/>
      <c r="HJ171" s="242"/>
      <c r="HK171" s="242"/>
      <c r="HL171" s="242"/>
      <c r="HM171" s="242"/>
      <c r="HN171" s="242"/>
      <c r="HO171" s="243"/>
    </row>
    <row r="172" spans="1:223" ht="12.75" hidden="1" customHeight="1">
      <c r="A172" s="83">
        <f t="shared" si="18"/>
        <v>167</v>
      </c>
      <c r="B172" s="84"/>
      <c r="C172" s="84"/>
      <c r="D172" s="84"/>
      <c r="E172" s="84"/>
      <c r="F172" s="84" t="str">
        <f t="shared" si="16"/>
        <v>///</v>
      </c>
      <c r="G172" s="249">
        <f t="shared" si="19"/>
        <v>0</v>
      </c>
      <c r="H172" s="240">
        <f t="shared" si="17"/>
        <v>0</v>
      </c>
      <c r="I172" s="243"/>
      <c r="J172" s="243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242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  <c r="AM172" s="242"/>
      <c r="AN172" s="242"/>
      <c r="AO172" s="242"/>
      <c r="AP172" s="242"/>
      <c r="AQ172" s="242"/>
      <c r="AR172" s="242"/>
      <c r="AS172" s="242"/>
      <c r="AT172" s="242"/>
      <c r="AU172" s="242"/>
      <c r="AV172" s="242"/>
      <c r="AW172" s="242"/>
      <c r="AX172" s="242"/>
      <c r="AY172" s="242"/>
      <c r="AZ172" s="242"/>
      <c r="BA172" s="242"/>
      <c r="BB172" s="242"/>
      <c r="BC172" s="242"/>
      <c r="BD172" s="242"/>
      <c r="BE172" s="242"/>
      <c r="BF172" s="242"/>
      <c r="BG172" s="242"/>
      <c r="BH172" s="242"/>
      <c r="BI172" s="242"/>
      <c r="BJ172" s="242"/>
      <c r="BK172" s="242"/>
      <c r="BL172" s="242"/>
      <c r="BM172" s="242"/>
      <c r="BN172" s="242"/>
      <c r="BO172" s="242"/>
      <c r="BP172" s="242"/>
      <c r="BQ172" s="242"/>
      <c r="BR172" s="242"/>
      <c r="BS172" s="242"/>
      <c r="BT172" s="242"/>
      <c r="BU172" s="242"/>
      <c r="BV172" s="242"/>
      <c r="BW172" s="242"/>
      <c r="BX172" s="242"/>
      <c r="BY172" s="242"/>
      <c r="BZ172" s="242"/>
      <c r="CA172" s="242"/>
      <c r="CB172" s="242"/>
      <c r="CC172" s="242"/>
      <c r="CD172" s="242"/>
      <c r="CE172" s="242"/>
      <c r="CF172" s="242"/>
      <c r="CG172" s="242"/>
      <c r="CH172" s="242"/>
      <c r="CI172" s="242"/>
      <c r="CJ172" s="242"/>
      <c r="CK172" s="242"/>
      <c r="CL172" s="242"/>
      <c r="CM172" s="242"/>
      <c r="CN172" s="242"/>
      <c r="CO172" s="242"/>
      <c r="CP172" s="242"/>
      <c r="CQ172" s="242"/>
      <c r="CR172" s="242"/>
      <c r="CS172" s="242"/>
      <c r="CT172" s="242"/>
      <c r="CU172" s="242"/>
      <c r="CV172" s="242"/>
      <c r="CW172" s="242"/>
      <c r="CX172" s="242"/>
      <c r="CY172" s="242"/>
      <c r="CZ172" s="242"/>
      <c r="DA172" s="242"/>
      <c r="DB172" s="242"/>
      <c r="DC172" s="242"/>
      <c r="DD172" s="242"/>
      <c r="DE172" s="242"/>
      <c r="DF172" s="242"/>
      <c r="DG172" s="242"/>
      <c r="DH172" s="242"/>
      <c r="DI172" s="242"/>
      <c r="DJ172" s="242"/>
      <c r="DK172" s="242"/>
      <c r="DL172" s="242"/>
      <c r="DM172" s="242"/>
      <c r="DN172" s="242"/>
      <c r="DO172" s="242"/>
      <c r="DP172" s="242"/>
      <c r="DQ172" s="242"/>
      <c r="DR172" s="242"/>
      <c r="DS172" s="242"/>
      <c r="DT172" s="242"/>
      <c r="DU172" s="242"/>
      <c r="DV172" s="242"/>
      <c r="DW172" s="242"/>
      <c r="DX172" s="242"/>
      <c r="DY172" s="242"/>
      <c r="DZ172" s="242"/>
      <c r="EA172" s="242"/>
      <c r="EB172" s="242"/>
      <c r="EC172" s="242"/>
      <c r="ED172" s="242"/>
      <c r="EE172" s="242"/>
      <c r="EF172" s="242"/>
      <c r="EG172" s="242"/>
      <c r="EH172" s="242"/>
      <c r="EI172" s="242"/>
      <c r="EJ172" s="242"/>
      <c r="EK172" s="242"/>
      <c r="EL172" s="242"/>
      <c r="EM172" s="242"/>
      <c r="EN172" s="242"/>
      <c r="EO172" s="242"/>
      <c r="EP172" s="242"/>
      <c r="EQ172" s="242"/>
      <c r="ER172" s="242"/>
      <c r="ES172" s="242"/>
      <c r="ET172" s="242"/>
      <c r="EU172" s="242"/>
      <c r="EV172" s="242"/>
      <c r="EW172" s="242"/>
      <c r="EX172" s="242"/>
      <c r="EY172" s="242"/>
      <c r="EZ172" s="242"/>
      <c r="FA172" s="242"/>
      <c r="FB172" s="242"/>
      <c r="FC172" s="242"/>
      <c r="FD172" s="242"/>
      <c r="FE172" s="242"/>
      <c r="FF172" s="242"/>
      <c r="FG172" s="242"/>
      <c r="FH172" s="242"/>
      <c r="FI172" s="242"/>
      <c r="FJ172" s="242"/>
      <c r="FK172" s="242"/>
      <c r="FL172" s="242"/>
      <c r="FM172" s="242"/>
      <c r="FN172" s="242"/>
      <c r="FO172" s="242"/>
      <c r="FP172" s="242"/>
      <c r="FQ172" s="242"/>
      <c r="FR172" s="242"/>
      <c r="FS172" s="242"/>
      <c r="FT172" s="242"/>
      <c r="FU172" s="242"/>
      <c r="FV172" s="242"/>
      <c r="FW172" s="242"/>
      <c r="FX172" s="242"/>
      <c r="FY172" s="242"/>
      <c r="FZ172" s="242"/>
      <c r="GA172" s="242"/>
      <c r="GB172" s="242"/>
      <c r="GC172" s="242"/>
      <c r="GD172" s="242"/>
      <c r="GE172" s="242"/>
      <c r="GF172" s="242"/>
      <c r="GG172" s="242"/>
      <c r="GH172" s="242"/>
      <c r="GI172" s="242"/>
      <c r="GJ172" s="242"/>
      <c r="GK172" s="242"/>
      <c r="GL172" s="242"/>
      <c r="GM172" s="242"/>
      <c r="GN172" s="242"/>
      <c r="GO172" s="242"/>
      <c r="GP172" s="242"/>
      <c r="GQ172" s="242"/>
      <c r="GR172" s="242"/>
      <c r="GS172" s="242"/>
      <c r="GT172" s="242"/>
      <c r="GU172" s="242"/>
      <c r="GV172" s="242"/>
      <c r="GW172" s="242"/>
      <c r="GX172" s="242"/>
      <c r="GY172" s="242"/>
      <c r="GZ172" s="242"/>
      <c r="HA172" s="242"/>
      <c r="HB172" s="242"/>
      <c r="HC172" s="242"/>
      <c r="HD172" s="242"/>
      <c r="HE172" s="242"/>
      <c r="HF172" s="242"/>
      <c r="HG172" s="242"/>
      <c r="HH172" s="242"/>
      <c r="HI172" s="242"/>
      <c r="HJ172" s="242"/>
      <c r="HK172" s="242"/>
      <c r="HL172" s="242"/>
      <c r="HM172" s="242"/>
      <c r="HN172" s="242"/>
      <c r="HO172" s="243"/>
    </row>
    <row r="173" spans="1:223" ht="12.75" hidden="1" customHeight="1">
      <c r="A173" s="83">
        <f t="shared" si="18"/>
        <v>168</v>
      </c>
      <c r="B173" s="84"/>
      <c r="C173" s="84"/>
      <c r="D173" s="84"/>
      <c r="E173" s="84"/>
      <c r="F173" s="84" t="str">
        <f t="shared" si="16"/>
        <v>///</v>
      </c>
      <c r="G173" s="249">
        <f t="shared" si="19"/>
        <v>0</v>
      </c>
      <c r="H173" s="240">
        <f t="shared" si="17"/>
        <v>0</v>
      </c>
      <c r="I173" s="243"/>
      <c r="J173" s="243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242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  <c r="AM173" s="242"/>
      <c r="AN173" s="242"/>
      <c r="AO173" s="242"/>
      <c r="AP173" s="242"/>
      <c r="AQ173" s="242"/>
      <c r="AR173" s="242"/>
      <c r="AS173" s="242"/>
      <c r="AT173" s="242"/>
      <c r="AU173" s="242"/>
      <c r="AV173" s="242"/>
      <c r="AW173" s="242"/>
      <c r="AX173" s="242"/>
      <c r="AY173" s="242"/>
      <c r="AZ173" s="242"/>
      <c r="BA173" s="242"/>
      <c r="BB173" s="242"/>
      <c r="BC173" s="242"/>
      <c r="BD173" s="242"/>
      <c r="BE173" s="242"/>
      <c r="BF173" s="242"/>
      <c r="BG173" s="242"/>
      <c r="BH173" s="242"/>
      <c r="BI173" s="242"/>
      <c r="BJ173" s="242"/>
      <c r="BK173" s="242"/>
      <c r="BL173" s="242"/>
      <c r="BM173" s="242"/>
      <c r="BN173" s="242"/>
      <c r="BO173" s="242"/>
      <c r="BP173" s="242"/>
      <c r="BQ173" s="242"/>
      <c r="BR173" s="242"/>
      <c r="BS173" s="242"/>
      <c r="BT173" s="242"/>
      <c r="BU173" s="242"/>
      <c r="BV173" s="242"/>
      <c r="BW173" s="242"/>
      <c r="BX173" s="242"/>
      <c r="BY173" s="242"/>
      <c r="BZ173" s="242"/>
      <c r="CA173" s="242"/>
      <c r="CB173" s="242"/>
      <c r="CC173" s="242"/>
      <c r="CD173" s="242"/>
      <c r="CE173" s="242"/>
      <c r="CF173" s="242"/>
      <c r="CG173" s="242"/>
      <c r="CH173" s="242"/>
      <c r="CI173" s="242"/>
      <c r="CJ173" s="242"/>
      <c r="CK173" s="242"/>
      <c r="CL173" s="242"/>
      <c r="CM173" s="242"/>
      <c r="CN173" s="242"/>
      <c r="CO173" s="242"/>
      <c r="CP173" s="242"/>
      <c r="CQ173" s="242"/>
      <c r="CR173" s="242"/>
      <c r="CS173" s="242"/>
      <c r="CT173" s="242"/>
      <c r="CU173" s="242"/>
      <c r="CV173" s="242"/>
      <c r="CW173" s="242"/>
      <c r="CX173" s="242"/>
      <c r="CY173" s="242"/>
      <c r="CZ173" s="242"/>
      <c r="DA173" s="242"/>
      <c r="DB173" s="242"/>
      <c r="DC173" s="242"/>
      <c r="DD173" s="242"/>
      <c r="DE173" s="242"/>
      <c r="DF173" s="242"/>
      <c r="DG173" s="242"/>
      <c r="DH173" s="242"/>
      <c r="DI173" s="242"/>
      <c r="DJ173" s="242"/>
      <c r="DK173" s="242"/>
      <c r="DL173" s="242"/>
      <c r="DM173" s="242"/>
      <c r="DN173" s="242"/>
      <c r="DO173" s="242"/>
      <c r="DP173" s="242"/>
      <c r="DQ173" s="242"/>
      <c r="DR173" s="242"/>
      <c r="DS173" s="242"/>
      <c r="DT173" s="242"/>
      <c r="DU173" s="242"/>
      <c r="DV173" s="242"/>
      <c r="DW173" s="242"/>
      <c r="DX173" s="242"/>
      <c r="DY173" s="242"/>
      <c r="DZ173" s="242"/>
      <c r="EA173" s="242"/>
      <c r="EB173" s="242"/>
      <c r="EC173" s="242"/>
      <c r="ED173" s="242"/>
      <c r="EE173" s="242"/>
      <c r="EF173" s="242"/>
      <c r="EG173" s="242"/>
      <c r="EH173" s="242"/>
      <c r="EI173" s="242"/>
      <c r="EJ173" s="242"/>
      <c r="EK173" s="242"/>
      <c r="EL173" s="242"/>
      <c r="EM173" s="242"/>
      <c r="EN173" s="242"/>
      <c r="EO173" s="242"/>
      <c r="EP173" s="242"/>
      <c r="EQ173" s="242"/>
      <c r="ER173" s="242"/>
      <c r="ES173" s="242"/>
      <c r="ET173" s="242"/>
      <c r="EU173" s="242"/>
      <c r="EV173" s="242"/>
      <c r="EW173" s="242"/>
      <c r="EX173" s="242"/>
      <c r="EY173" s="242"/>
      <c r="EZ173" s="242"/>
      <c r="FA173" s="242"/>
      <c r="FB173" s="242"/>
      <c r="FC173" s="242"/>
      <c r="FD173" s="242"/>
      <c r="FE173" s="242"/>
      <c r="FF173" s="242"/>
      <c r="FG173" s="242"/>
      <c r="FH173" s="242"/>
      <c r="FI173" s="242"/>
      <c r="FJ173" s="242"/>
      <c r="FK173" s="242"/>
      <c r="FL173" s="242"/>
      <c r="FM173" s="242"/>
      <c r="FN173" s="242"/>
      <c r="FO173" s="242"/>
      <c r="FP173" s="242"/>
      <c r="FQ173" s="242"/>
      <c r="FR173" s="242"/>
      <c r="FS173" s="242"/>
      <c r="FT173" s="242"/>
      <c r="FU173" s="242"/>
      <c r="FV173" s="242"/>
      <c r="FW173" s="242"/>
      <c r="FX173" s="242"/>
      <c r="FY173" s="242"/>
      <c r="FZ173" s="242"/>
      <c r="GA173" s="242"/>
      <c r="GB173" s="242"/>
      <c r="GC173" s="242"/>
      <c r="GD173" s="242"/>
      <c r="GE173" s="242"/>
      <c r="GF173" s="242"/>
      <c r="GG173" s="242"/>
      <c r="GH173" s="242"/>
      <c r="GI173" s="242"/>
      <c r="GJ173" s="242"/>
      <c r="GK173" s="242"/>
      <c r="GL173" s="242"/>
      <c r="GM173" s="242"/>
      <c r="GN173" s="242"/>
      <c r="GO173" s="242"/>
      <c r="GP173" s="242"/>
      <c r="GQ173" s="242"/>
      <c r="GR173" s="242"/>
      <c r="GS173" s="242"/>
      <c r="GT173" s="242"/>
      <c r="GU173" s="242"/>
      <c r="GV173" s="242"/>
      <c r="GW173" s="242"/>
      <c r="GX173" s="242"/>
      <c r="GY173" s="242"/>
      <c r="GZ173" s="242"/>
      <c r="HA173" s="242"/>
      <c r="HB173" s="242"/>
      <c r="HC173" s="242"/>
      <c r="HD173" s="242"/>
      <c r="HE173" s="242"/>
      <c r="HF173" s="242"/>
      <c r="HG173" s="242"/>
      <c r="HH173" s="242"/>
      <c r="HI173" s="242"/>
      <c r="HJ173" s="242"/>
      <c r="HK173" s="242"/>
      <c r="HL173" s="242"/>
      <c r="HM173" s="242"/>
      <c r="HN173" s="242"/>
      <c r="HO173" s="243"/>
    </row>
    <row r="174" spans="1:223" ht="12.75" hidden="1" customHeight="1">
      <c r="A174" s="83">
        <f t="shared" si="18"/>
        <v>169</v>
      </c>
      <c r="B174" s="84"/>
      <c r="C174" s="84"/>
      <c r="D174" s="84"/>
      <c r="E174" s="84"/>
      <c r="F174" s="84" t="str">
        <f t="shared" si="16"/>
        <v>///</v>
      </c>
      <c r="G174" s="249">
        <f t="shared" si="19"/>
        <v>0</v>
      </c>
      <c r="H174" s="240">
        <f t="shared" si="17"/>
        <v>0</v>
      </c>
      <c r="I174" s="243"/>
      <c r="J174" s="243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242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  <c r="AM174" s="242"/>
      <c r="AN174" s="242"/>
      <c r="AO174" s="242"/>
      <c r="AP174" s="242"/>
      <c r="AQ174" s="242"/>
      <c r="AR174" s="242"/>
      <c r="AS174" s="242"/>
      <c r="AT174" s="242"/>
      <c r="AU174" s="242"/>
      <c r="AV174" s="242"/>
      <c r="AW174" s="242"/>
      <c r="AX174" s="242"/>
      <c r="AY174" s="242"/>
      <c r="AZ174" s="242"/>
      <c r="BA174" s="242"/>
      <c r="BB174" s="242"/>
      <c r="BC174" s="242"/>
      <c r="BD174" s="242"/>
      <c r="BE174" s="242"/>
      <c r="BF174" s="242"/>
      <c r="BG174" s="242"/>
      <c r="BH174" s="242"/>
      <c r="BI174" s="242"/>
      <c r="BJ174" s="242"/>
      <c r="BK174" s="242"/>
      <c r="BL174" s="242"/>
      <c r="BM174" s="242"/>
      <c r="BN174" s="242"/>
      <c r="BO174" s="242"/>
      <c r="BP174" s="242"/>
      <c r="BQ174" s="242"/>
      <c r="BR174" s="242"/>
      <c r="BS174" s="242"/>
      <c r="BT174" s="242"/>
      <c r="BU174" s="242"/>
      <c r="BV174" s="242"/>
      <c r="BW174" s="242"/>
      <c r="BX174" s="242"/>
      <c r="BY174" s="242"/>
      <c r="BZ174" s="242"/>
      <c r="CA174" s="242"/>
      <c r="CB174" s="242"/>
      <c r="CC174" s="242"/>
      <c r="CD174" s="242"/>
      <c r="CE174" s="242"/>
      <c r="CF174" s="242"/>
      <c r="CG174" s="242"/>
      <c r="CH174" s="242"/>
      <c r="CI174" s="242"/>
      <c r="CJ174" s="242"/>
      <c r="CK174" s="242"/>
      <c r="CL174" s="242"/>
      <c r="CM174" s="242"/>
      <c r="CN174" s="242"/>
      <c r="CO174" s="242"/>
      <c r="CP174" s="242"/>
      <c r="CQ174" s="242"/>
      <c r="CR174" s="242"/>
      <c r="CS174" s="242"/>
      <c r="CT174" s="242"/>
      <c r="CU174" s="242"/>
      <c r="CV174" s="242"/>
      <c r="CW174" s="242"/>
      <c r="CX174" s="242"/>
      <c r="CY174" s="242"/>
      <c r="CZ174" s="242"/>
      <c r="DA174" s="242"/>
      <c r="DB174" s="242"/>
      <c r="DC174" s="242"/>
      <c r="DD174" s="242"/>
      <c r="DE174" s="242"/>
      <c r="DF174" s="242"/>
      <c r="DG174" s="242"/>
      <c r="DH174" s="242"/>
      <c r="DI174" s="242"/>
      <c r="DJ174" s="242"/>
      <c r="DK174" s="242"/>
      <c r="DL174" s="242"/>
      <c r="DM174" s="242"/>
      <c r="DN174" s="242"/>
      <c r="DO174" s="242"/>
      <c r="DP174" s="242"/>
      <c r="DQ174" s="242"/>
      <c r="DR174" s="242"/>
      <c r="DS174" s="242"/>
      <c r="DT174" s="242"/>
      <c r="DU174" s="242"/>
      <c r="DV174" s="242"/>
      <c r="DW174" s="242"/>
      <c r="DX174" s="242"/>
      <c r="DY174" s="242"/>
      <c r="DZ174" s="242"/>
      <c r="EA174" s="242"/>
      <c r="EB174" s="242"/>
      <c r="EC174" s="242"/>
      <c r="ED174" s="242"/>
      <c r="EE174" s="242"/>
      <c r="EF174" s="242"/>
      <c r="EG174" s="242"/>
      <c r="EH174" s="242"/>
      <c r="EI174" s="242"/>
      <c r="EJ174" s="242"/>
      <c r="EK174" s="242"/>
      <c r="EL174" s="242"/>
      <c r="EM174" s="242"/>
      <c r="EN174" s="242"/>
      <c r="EO174" s="242"/>
      <c r="EP174" s="242"/>
      <c r="EQ174" s="242"/>
      <c r="ER174" s="242"/>
      <c r="ES174" s="242"/>
      <c r="ET174" s="242"/>
      <c r="EU174" s="242"/>
      <c r="EV174" s="242"/>
      <c r="EW174" s="242"/>
      <c r="EX174" s="242"/>
      <c r="EY174" s="242"/>
      <c r="EZ174" s="242"/>
      <c r="FA174" s="242"/>
      <c r="FB174" s="242"/>
      <c r="FC174" s="242"/>
      <c r="FD174" s="242"/>
      <c r="FE174" s="242"/>
      <c r="FF174" s="242"/>
      <c r="FG174" s="242"/>
      <c r="FH174" s="242"/>
      <c r="FI174" s="242"/>
      <c r="FJ174" s="242"/>
      <c r="FK174" s="242"/>
      <c r="FL174" s="242"/>
      <c r="FM174" s="242"/>
      <c r="FN174" s="242"/>
      <c r="FO174" s="242"/>
      <c r="FP174" s="242"/>
      <c r="FQ174" s="242"/>
      <c r="FR174" s="242"/>
      <c r="FS174" s="242"/>
      <c r="FT174" s="242"/>
      <c r="FU174" s="242"/>
      <c r="FV174" s="242"/>
      <c r="FW174" s="242"/>
      <c r="FX174" s="242"/>
      <c r="FY174" s="242"/>
      <c r="FZ174" s="242"/>
      <c r="GA174" s="242"/>
      <c r="GB174" s="242"/>
      <c r="GC174" s="242"/>
      <c r="GD174" s="242"/>
      <c r="GE174" s="242"/>
      <c r="GF174" s="242"/>
      <c r="GG174" s="242"/>
      <c r="GH174" s="242"/>
      <c r="GI174" s="242"/>
      <c r="GJ174" s="242"/>
      <c r="GK174" s="242"/>
      <c r="GL174" s="242"/>
      <c r="GM174" s="242"/>
      <c r="GN174" s="242"/>
      <c r="GO174" s="242"/>
      <c r="GP174" s="242"/>
      <c r="GQ174" s="242"/>
      <c r="GR174" s="242"/>
      <c r="GS174" s="242"/>
      <c r="GT174" s="242"/>
      <c r="GU174" s="242"/>
      <c r="GV174" s="242"/>
      <c r="GW174" s="242"/>
      <c r="GX174" s="242"/>
      <c r="GY174" s="242"/>
      <c r="GZ174" s="242"/>
      <c r="HA174" s="242"/>
      <c r="HB174" s="242"/>
      <c r="HC174" s="242"/>
      <c r="HD174" s="242"/>
      <c r="HE174" s="242"/>
      <c r="HF174" s="242"/>
      <c r="HG174" s="242"/>
      <c r="HH174" s="242"/>
      <c r="HI174" s="242"/>
      <c r="HJ174" s="242"/>
      <c r="HK174" s="242"/>
      <c r="HL174" s="242"/>
      <c r="HM174" s="242"/>
      <c r="HN174" s="242"/>
      <c r="HO174" s="243"/>
    </row>
    <row r="175" spans="1:223" ht="12.75" hidden="1" customHeight="1">
      <c r="A175" s="83">
        <f t="shared" si="18"/>
        <v>170</v>
      </c>
      <c r="B175" s="84"/>
      <c r="C175" s="84"/>
      <c r="D175" s="84"/>
      <c r="E175" s="84"/>
      <c r="F175" s="84" t="str">
        <f t="shared" si="16"/>
        <v>///</v>
      </c>
      <c r="G175" s="249">
        <f t="shared" si="19"/>
        <v>0</v>
      </c>
      <c r="H175" s="240">
        <f t="shared" si="17"/>
        <v>0</v>
      </c>
      <c r="I175" s="243"/>
      <c r="J175" s="243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242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  <c r="AM175" s="242"/>
      <c r="AN175" s="242"/>
      <c r="AO175" s="242"/>
      <c r="AP175" s="242"/>
      <c r="AQ175" s="242"/>
      <c r="AR175" s="242"/>
      <c r="AS175" s="242"/>
      <c r="AT175" s="242"/>
      <c r="AU175" s="242"/>
      <c r="AV175" s="242"/>
      <c r="AW175" s="242"/>
      <c r="AX175" s="242"/>
      <c r="AY175" s="242"/>
      <c r="AZ175" s="242"/>
      <c r="BA175" s="242"/>
      <c r="BB175" s="242"/>
      <c r="BC175" s="242"/>
      <c r="BD175" s="242"/>
      <c r="BE175" s="242"/>
      <c r="BF175" s="242"/>
      <c r="BG175" s="242"/>
      <c r="BH175" s="242"/>
      <c r="BI175" s="242"/>
      <c r="BJ175" s="242"/>
      <c r="BK175" s="242"/>
      <c r="BL175" s="242"/>
      <c r="BM175" s="242"/>
      <c r="BN175" s="242"/>
      <c r="BO175" s="242"/>
      <c r="BP175" s="242"/>
      <c r="BQ175" s="242"/>
      <c r="BR175" s="242"/>
      <c r="BS175" s="242"/>
      <c r="BT175" s="242"/>
      <c r="BU175" s="242"/>
      <c r="BV175" s="242"/>
      <c r="BW175" s="242"/>
      <c r="BX175" s="242"/>
      <c r="BY175" s="242"/>
      <c r="BZ175" s="242"/>
      <c r="CA175" s="242"/>
      <c r="CB175" s="242"/>
      <c r="CC175" s="242"/>
      <c r="CD175" s="242"/>
      <c r="CE175" s="242"/>
      <c r="CF175" s="242"/>
      <c r="CG175" s="242"/>
      <c r="CH175" s="242"/>
      <c r="CI175" s="242"/>
      <c r="CJ175" s="242"/>
      <c r="CK175" s="242"/>
      <c r="CL175" s="242"/>
      <c r="CM175" s="242"/>
      <c r="CN175" s="242"/>
      <c r="CO175" s="242"/>
      <c r="CP175" s="242"/>
      <c r="CQ175" s="242"/>
      <c r="CR175" s="242"/>
      <c r="CS175" s="242"/>
      <c r="CT175" s="242"/>
      <c r="CU175" s="242"/>
      <c r="CV175" s="242"/>
      <c r="CW175" s="242"/>
      <c r="CX175" s="242"/>
      <c r="CY175" s="242"/>
      <c r="CZ175" s="242"/>
      <c r="DA175" s="242"/>
      <c r="DB175" s="242"/>
      <c r="DC175" s="242"/>
      <c r="DD175" s="242"/>
      <c r="DE175" s="242"/>
      <c r="DF175" s="242"/>
      <c r="DG175" s="242"/>
      <c r="DH175" s="242"/>
      <c r="DI175" s="242"/>
      <c r="DJ175" s="242"/>
      <c r="DK175" s="242"/>
      <c r="DL175" s="242"/>
      <c r="DM175" s="242"/>
      <c r="DN175" s="242"/>
      <c r="DO175" s="242"/>
      <c r="DP175" s="242"/>
      <c r="DQ175" s="242"/>
      <c r="DR175" s="242"/>
      <c r="DS175" s="242"/>
      <c r="DT175" s="242"/>
      <c r="DU175" s="242"/>
      <c r="DV175" s="242"/>
      <c r="DW175" s="242"/>
      <c r="DX175" s="242"/>
      <c r="DY175" s="242"/>
      <c r="DZ175" s="242"/>
      <c r="EA175" s="242"/>
      <c r="EB175" s="242"/>
      <c r="EC175" s="242"/>
      <c r="ED175" s="242"/>
      <c r="EE175" s="242"/>
      <c r="EF175" s="242"/>
      <c r="EG175" s="242"/>
      <c r="EH175" s="242"/>
      <c r="EI175" s="242"/>
      <c r="EJ175" s="242"/>
      <c r="EK175" s="242"/>
      <c r="EL175" s="242"/>
      <c r="EM175" s="242"/>
      <c r="EN175" s="242"/>
      <c r="EO175" s="242"/>
      <c r="EP175" s="242"/>
      <c r="EQ175" s="242"/>
      <c r="ER175" s="242"/>
      <c r="ES175" s="242"/>
      <c r="ET175" s="242"/>
      <c r="EU175" s="242"/>
      <c r="EV175" s="242"/>
      <c r="EW175" s="242"/>
      <c r="EX175" s="242"/>
      <c r="EY175" s="242"/>
      <c r="EZ175" s="242"/>
      <c r="FA175" s="242"/>
      <c r="FB175" s="242"/>
      <c r="FC175" s="242"/>
      <c r="FD175" s="242"/>
      <c r="FE175" s="242"/>
      <c r="FF175" s="242"/>
      <c r="FG175" s="242"/>
      <c r="FH175" s="242"/>
      <c r="FI175" s="242"/>
      <c r="FJ175" s="242"/>
      <c r="FK175" s="242"/>
      <c r="FL175" s="242"/>
      <c r="FM175" s="242"/>
      <c r="FN175" s="242"/>
      <c r="FO175" s="242"/>
      <c r="FP175" s="242"/>
      <c r="FQ175" s="242"/>
      <c r="FR175" s="242"/>
      <c r="FS175" s="242"/>
      <c r="FT175" s="242"/>
      <c r="FU175" s="242"/>
      <c r="FV175" s="242"/>
      <c r="FW175" s="242"/>
      <c r="FX175" s="242"/>
      <c r="FY175" s="242"/>
      <c r="FZ175" s="242"/>
      <c r="GA175" s="242"/>
      <c r="GB175" s="242"/>
      <c r="GC175" s="242"/>
      <c r="GD175" s="242"/>
      <c r="GE175" s="242"/>
      <c r="GF175" s="242"/>
      <c r="GG175" s="242"/>
      <c r="GH175" s="242"/>
      <c r="GI175" s="242"/>
      <c r="GJ175" s="242"/>
      <c r="GK175" s="242"/>
      <c r="GL175" s="242"/>
      <c r="GM175" s="242"/>
      <c r="GN175" s="242"/>
      <c r="GO175" s="242"/>
      <c r="GP175" s="242"/>
      <c r="GQ175" s="242"/>
      <c r="GR175" s="242"/>
      <c r="GS175" s="242"/>
      <c r="GT175" s="242"/>
      <c r="GU175" s="242"/>
      <c r="GV175" s="242"/>
      <c r="GW175" s="242"/>
      <c r="GX175" s="242"/>
      <c r="GY175" s="242"/>
      <c r="GZ175" s="242"/>
      <c r="HA175" s="242"/>
      <c r="HB175" s="242"/>
      <c r="HC175" s="242"/>
      <c r="HD175" s="242"/>
      <c r="HE175" s="242"/>
      <c r="HF175" s="242"/>
      <c r="HG175" s="242"/>
      <c r="HH175" s="242"/>
      <c r="HI175" s="242"/>
      <c r="HJ175" s="242"/>
      <c r="HK175" s="242"/>
      <c r="HL175" s="242"/>
      <c r="HM175" s="242"/>
      <c r="HN175" s="242"/>
      <c r="HO175" s="243"/>
    </row>
    <row r="176" spans="1:223" ht="12.75" hidden="1" customHeight="1">
      <c r="A176" s="83">
        <f t="shared" si="18"/>
        <v>171</v>
      </c>
      <c r="B176" s="84"/>
      <c r="C176" s="84"/>
      <c r="D176" s="84"/>
      <c r="E176" s="84"/>
      <c r="F176" s="84" t="str">
        <f t="shared" si="16"/>
        <v>///</v>
      </c>
      <c r="G176" s="249">
        <f t="shared" si="19"/>
        <v>0</v>
      </c>
      <c r="H176" s="240">
        <f t="shared" si="17"/>
        <v>0</v>
      </c>
      <c r="I176" s="243"/>
      <c r="J176" s="243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242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  <c r="AM176" s="242"/>
      <c r="AN176" s="242"/>
      <c r="AO176" s="242"/>
      <c r="AP176" s="242"/>
      <c r="AQ176" s="242"/>
      <c r="AR176" s="242"/>
      <c r="AS176" s="242"/>
      <c r="AT176" s="242"/>
      <c r="AU176" s="242"/>
      <c r="AV176" s="242"/>
      <c r="AW176" s="242"/>
      <c r="AX176" s="242"/>
      <c r="AY176" s="242"/>
      <c r="AZ176" s="242"/>
      <c r="BA176" s="242"/>
      <c r="BB176" s="242"/>
      <c r="BC176" s="242"/>
      <c r="BD176" s="242"/>
      <c r="BE176" s="242"/>
      <c r="BF176" s="242"/>
      <c r="BG176" s="242"/>
      <c r="BH176" s="242"/>
      <c r="BI176" s="242"/>
      <c r="BJ176" s="242"/>
      <c r="BK176" s="242"/>
      <c r="BL176" s="242"/>
      <c r="BM176" s="242"/>
      <c r="BN176" s="242"/>
      <c r="BO176" s="242"/>
      <c r="BP176" s="242"/>
      <c r="BQ176" s="242"/>
      <c r="BR176" s="242"/>
      <c r="BS176" s="242"/>
      <c r="BT176" s="242"/>
      <c r="BU176" s="242"/>
      <c r="BV176" s="242"/>
      <c r="BW176" s="242"/>
      <c r="BX176" s="242"/>
      <c r="BY176" s="242"/>
      <c r="BZ176" s="242"/>
      <c r="CA176" s="242"/>
      <c r="CB176" s="242"/>
      <c r="CC176" s="242"/>
      <c r="CD176" s="242"/>
      <c r="CE176" s="242"/>
      <c r="CF176" s="242"/>
      <c r="CG176" s="242"/>
      <c r="CH176" s="242"/>
      <c r="CI176" s="242"/>
      <c r="CJ176" s="242"/>
      <c r="CK176" s="242"/>
      <c r="CL176" s="242"/>
      <c r="CM176" s="242"/>
      <c r="CN176" s="242"/>
      <c r="CO176" s="242"/>
      <c r="CP176" s="242"/>
      <c r="CQ176" s="242"/>
      <c r="CR176" s="242"/>
      <c r="CS176" s="242"/>
      <c r="CT176" s="242"/>
      <c r="CU176" s="242"/>
      <c r="CV176" s="242"/>
      <c r="CW176" s="242"/>
      <c r="CX176" s="242"/>
      <c r="CY176" s="242"/>
      <c r="CZ176" s="242"/>
      <c r="DA176" s="242"/>
      <c r="DB176" s="242"/>
      <c r="DC176" s="242"/>
      <c r="DD176" s="242"/>
      <c r="DE176" s="242"/>
      <c r="DF176" s="242"/>
      <c r="DG176" s="242"/>
      <c r="DH176" s="242"/>
      <c r="DI176" s="242"/>
      <c r="DJ176" s="242"/>
      <c r="DK176" s="242"/>
      <c r="DL176" s="242"/>
      <c r="DM176" s="242"/>
      <c r="DN176" s="242"/>
      <c r="DO176" s="242"/>
      <c r="DP176" s="242"/>
      <c r="DQ176" s="242"/>
      <c r="DR176" s="242"/>
      <c r="DS176" s="242"/>
      <c r="DT176" s="242"/>
      <c r="DU176" s="242"/>
      <c r="DV176" s="242"/>
      <c r="DW176" s="242"/>
      <c r="DX176" s="242"/>
      <c r="DY176" s="242"/>
      <c r="DZ176" s="242"/>
      <c r="EA176" s="242"/>
      <c r="EB176" s="242"/>
      <c r="EC176" s="242"/>
      <c r="ED176" s="242"/>
      <c r="EE176" s="242"/>
      <c r="EF176" s="242"/>
      <c r="EG176" s="242"/>
      <c r="EH176" s="242"/>
      <c r="EI176" s="242"/>
      <c r="EJ176" s="242"/>
      <c r="EK176" s="242"/>
      <c r="EL176" s="242"/>
      <c r="EM176" s="242"/>
      <c r="EN176" s="242"/>
      <c r="EO176" s="242"/>
      <c r="EP176" s="242"/>
      <c r="EQ176" s="242"/>
      <c r="ER176" s="242"/>
      <c r="ES176" s="242"/>
      <c r="ET176" s="242"/>
      <c r="EU176" s="242"/>
      <c r="EV176" s="242"/>
      <c r="EW176" s="242"/>
      <c r="EX176" s="242"/>
      <c r="EY176" s="242"/>
      <c r="EZ176" s="242"/>
      <c r="FA176" s="242"/>
      <c r="FB176" s="242"/>
      <c r="FC176" s="242"/>
      <c r="FD176" s="242"/>
      <c r="FE176" s="242"/>
      <c r="FF176" s="242"/>
      <c r="FG176" s="242"/>
      <c r="FH176" s="242"/>
      <c r="FI176" s="242"/>
      <c r="FJ176" s="242"/>
      <c r="FK176" s="242"/>
      <c r="FL176" s="242"/>
      <c r="FM176" s="242"/>
      <c r="FN176" s="242"/>
      <c r="FO176" s="242"/>
      <c r="FP176" s="242"/>
      <c r="FQ176" s="242"/>
      <c r="FR176" s="242"/>
      <c r="FS176" s="242"/>
      <c r="FT176" s="242"/>
      <c r="FU176" s="242"/>
      <c r="FV176" s="242"/>
      <c r="FW176" s="242"/>
      <c r="FX176" s="242"/>
      <c r="FY176" s="242"/>
      <c r="FZ176" s="242"/>
      <c r="GA176" s="242"/>
      <c r="GB176" s="242"/>
      <c r="GC176" s="242"/>
      <c r="GD176" s="242"/>
      <c r="GE176" s="242"/>
      <c r="GF176" s="242"/>
      <c r="GG176" s="242"/>
      <c r="GH176" s="242"/>
      <c r="GI176" s="242"/>
      <c r="GJ176" s="242"/>
      <c r="GK176" s="242"/>
      <c r="GL176" s="242"/>
      <c r="GM176" s="242"/>
      <c r="GN176" s="242"/>
      <c r="GO176" s="242"/>
      <c r="GP176" s="242"/>
      <c r="GQ176" s="242"/>
      <c r="GR176" s="242"/>
      <c r="GS176" s="242"/>
      <c r="GT176" s="242"/>
      <c r="GU176" s="242"/>
      <c r="GV176" s="242"/>
      <c r="GW176" s="242"/>
      <c r="GX176" s="242"/>
      <c r="GY176" s="242"/>
      <c r="GZ176" s="242"/>
      <c r="HA176" s="242"/>
      <c r="HB176" s="242"/>
      <c r="HC176" s="242"/>
      <c r="HD176" s="242"/>
      <c r="HE176" s="242"/>
      <c r="HF176" s="242"/>
      <c r="HG176" s="242"/>
      <c r="HH176" s="242"/>
      <c r="HI176" s="242"/>
      <c r="HJ176" s="242"/>
      <c r="HK176" s="242"/>
      <c r="HL176" s="242"/>
      <c r="HM176" s="242"/>
      <c r="HN176" s="242"/>
      <c r="HO176" s="243"/>
    </row>
    <row r="177" spans="1:234" ht="12.75" hidden="1" customHeight="1">
      <c r="A177" s="83">
        <f t="shared" si="18"/>
        <v>172</v>
      </c>
      <c r="B177" s="84"/>
      <c r="C177" s="84"/>
      <c r="D177" s="84"/>
      <c r="E177" s="84"/>
      <c r="F177" s="84" t="str">
        <f t="shared" si="16"/>
        <v>///</v>
      </c>
      <c r="G177" s="249">
        <f t="shared" si="19"/>
        <v>0</v>
      </c>
      <c r="H177" s="240">
        <f t="shared" si="17"/>
        <v>0</v>
      </c>
      <c r="I177" s="243"/>
      <c r="J177" s="243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242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  <c r="AM177" s="242"/>
      <c r="AN177" s="242"/>
      <c r="AO177" s="242"/>
      <c r="AP177" s="242"/>
      <c r="AQ177" s="242"/>
      <c r="AR177" s="242"/>
      <c r="AS177" s="242"/>
      <c r="AT177" s="242"/>
      <c r="AU177" s="242"/>
      <c r="AV177" s="242"/>
      <c r="AW177" s="242"/>
      <c r="AX177" s="242"/>
      <c r="AY177" s="242"/>
      <c r="AZ177" s="242"/>
      <c r="BA177" s="242"/>
      <c r="BB177" s="242"/>
      <c r="BC177" s="242"/>
      <c r="BD177" s="242"/>
      <c r="BE177" s="242"/>
      <c r="BF177" s="242"/>
      <c r="BG177" s="242"/>
      <c r="BH177" s="242"/>
      <c r="BI177" s="242"/>
      <c r="BJ177" s="242"/>
      <c r="BK177" s="242"/>
      <c r="BL177" s="242"/>
      <c r="BM177" s="242"/>
      <c r="BN177" s="242"/>
      <c r="BO177" s="242"/>
      <c r="BP177" s="242"/>
      <c r="BQ177" s="242"/>
      <c r="BR177" s="242"/>
      <c r="BS177" s="242"/>
      <c r="BT177" s="242"/>
      <c r="BU177" s="242"/>
      <c r="BV177" s="242"/>
      <c r="BW177" s="242"/>
      <c r="BX177" s="242"/>
      <c r="BY177" s="242"/>
      <c r="BZ177" s="242"/>
      <c r="CA177" s="242"/>
      <c r="CB177" s="242"/>
      <c r="CC177" s="242"/>
      <c r="CD177" s="242"/>
      <c r="CE177" s="242"/>
      <c r="CF177" s="242"/>
      <c r="CG177" s="242"/>
      <c r="CH177" s="242"/>
      <c r="CI177" s="242"/>
      <c r="CJ177" s="242"/>
      <c r="CK177" s="242"/>
      <c r="CL177" s="242"/>
      <c r="CM177" s="242"/>
      <c r="CN177" s="242"/>
      <c r="CO177" s="242"/>
      <c r="CP177" s="242"/>
      <c r="CQ177" s="242"/>
      <c r="CR177" s="242"/>
      <c r="CS177" s="242"/>
      <c r="CT177" s="242"/>
      <c r="CU177" s="242"/>
      <c r="CV177" s="242"/>
      <c r="CW177" s="242"/>
      <c r="CX177" s="242"/>
      <c r="CY177" s="242"/>
      <c r="CZ177" s="242"/>
      <c r="DA177" s="242"/>
      <c r="DB177" s="242"/>
      <c r="DC177" s="242"/>
      <c r="DD177" s="242"/>
      <c r="DE177" s="242"/>
      <c r="DF177" s="242"/>
      <c r="DG177" s="242"/>
      <c r="DH177" s="242"/>
      <c r="DI177" s="242"/>
      <c r="DJ177" s="242"/>
      <c r="DK177" s="242"/>
      <c r="DL177" s="242"/>
      <c r="DM177" s="242"/>
      <c r="DN177" s="242"/>
      <c r="DO177" s="242"/>
      <c r="DP177" s="242"/>
      <c r="DQ177" s="242"/>
      <c r="DR177" s="242"/>
      <c r="DS177" s="242"/>
      <c r="DT177" s="242"/>
      <c r="DU177" s="242"/>
      <c r="DV177" s="242"/>
      <c r="DW177" s="242"/>
      <c r="DX177" s="242"/>
      <c r="DY177" s="242"/>
      <c r="DZ177" s="242"/>
      <c r="EA177" s="242"/>
      <c r="EB177" s="242"/>
      <c r="EC177" s="242"/>
      <c r="ED177" s="242"/>
      <c r="EE177" s="242"/>
      <c r="EF177" s="242"/>
      <c r="EG177" s="242"/>
      <c r="EH177" s="242"/>
      <c r="EI177" s="242"/>
      <c r="EJ177" s="242"/>
      <c r="EK177" s="242"/>
      <c r="EL177" s="242"/>
      <c r="EM177" s="242"/>
      <c r="EN177" s="242"/>
      <c r="EO177" s="242"/>
      <c r="EP177" s="242"/>
      <c r="EQ177" s="242"/>
      <c r="ER177" s="242"/>
      <c r="ES177" s="242"/>
      <c r="ET177" s="242"/>
      <c r="EU177" s="242"/>
      <c r="EV177" s="242"/>
      <c r="EW177" s="242"/>
      <c r="EX177" s="242"/>
      <c r="EY177" s="242"/>
      <c r="EZ177" s="242"/>
      <c r="FA177" s="242"/>
      <c r="FB177" s="242"/>
      <c r="FC177" s="242"/>
      <c r="FD177" s="242"/>
      <c r="FE177" s="242"/>
      <c r="FF177" s="242"/>
      <c r="FG177" s="242"/>
      <c r="FH177" s="242"/>
      <c r="FI177" s="242"/>
      <c r="FJ177" s="242"/>
      <c r="FK177" s="242"/>
      <c r="FL177" s="242"/>
      <c r="FM177" s="242"/>
      <c r="FN177" s="242"/>
      <c r="FO177" s="242"/>
      <c r="FP177" s="242"/>
      <c r="FQ177" s="242"/>
      <c r="FR177" s="242"/>
      <c r="FS177" s="242"/>
      <c r="FT177" s="242"/>
      <c r="FU177" s="242"/>
      <c r="FV177" s="242"/>
      <c r="FW177" s="242"/>
      <c r="FX177" s="242"/>
      <c r="FY177" s="242"/>
      <c r="FZ177" s="242"/>
      <c r="GA177" s="242"/>
      <c r="GB177" s="242"/>
      <c r="GC177" s="242"/>
      <c r="GD177" s="242"/>
      <c r="GE177" s="242"/>
      <c r="GF177" s="242"/>
      <c r="GG177" s="242"/>
      <c r="GH177" s="242"/>
      <c r="GI177" s="242"/>
      <c r="GJ177" s="242"/>
      <c r="GK177" s="242"/>
      <c r="GL177" s="242"/>
      <c r="GM177" s="242"/>
      <c r="GN177" s="242"/>
      <c r="GO177" s="242"/>
      <c r="GP177" s="242"/>
      <c r="GQ177" s="242"/>
      <c r="GR177" s="242"/>
      <c r="GS177" s="242"/>
      <c r="GT177" s="242"/>
      <c r="GU177" s="242"/>
      <c r="GV177" s="242"/>
      <c r="GW177" s="242"/>
      <c r="GX177" s="242"/>
      <c r="GY177" s="242"/>
      <c r="GZ177" s="242"/>
      <c r="HA177" s="242"/>
      <c r="HB177" s="242"/>
      <c r="HC177" s="242"/>
      <c r="HD177" s="242"/>
      <c r="HE177" s="242"/>
      <c r="HF177" s="242"/>
      <c r="HG177" s="242"/>
      <c r="HH177" s="242"/>
      <c r="HI177" s="242"/>
      <c r="HJ177" s="242"/>
      <c r="HK177" s="242"/>
      <c r="HL177" s="242"/>
      <c r="HM177" s="242"/>
      <c r="HN177" s="242"/>
      <c r="HO177" s="243"/>
    </row>
    <row r="178" spans="1:234" ht="12.75" hidden="1" customHeight="1">
      <c r="A178" s="83">
        <f t="shared" si="18"/>
        <v>173</v>
      </c>
      <c r="B178" s="84"/>
      <c r="C178" s="84"/>
      <c r="D178" s="84"/>
      <c r="E178" s="84"/>
      <c r="F178" s="84" t="str">
        <f t="shared" si="16"/>
        <v>///</v>
      </c>
      <c r="G178" s="249">
        <f t="shared" si="19"/>
        <v>0</v>
      </c>
      <c r="H178" s="240">
        <f t="shared" si="17"/>
        <v>0</v>
      </c>
      <c r="I178" s="243"/>
      <c r="J178" s="243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242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  <c r="AM178" s="242"/>
      <c r="AN178" s="242"/>
      <c r="AO178" s="242"/>
      <c r="AP178" s="242"/>
      <c r="AQ178" s="242"/>
      <c r="AR178" s="242"/>
      <c r="AS178" s="242"/>
      <c r="AT178" s="242"/>
      <c r="AU178" s="242"/>
      <c r="AV178" s="242"/>
      <c r="AW178" s="242"/>
      <c r="AX178" s="242"/>
      <c r="AY178" s="242"/>
      <c r="AZ178" s="242"/>
      <c r="BA178" s="242"/>
      <c r="BB178" s="242"/>
      <c r="BC178" s="242"/>
      <c r="BD178" s="242"/>
      <c r="BE178" s="242"/>
      <c r="BF178" s="242"/>
      <c r="BG178" s="242"/>
      <c r="BH178" s="242"/>
      <c r="BI178" s="242"/>
      <c r="BJ178" s="242"/>
      <c r="BK178" s="242"/>
      <c r="BL178" s="242"/>
      <c r="BM178" s="242"/>
      <c r="BN178" s="242"/>
      <c r="BO178" s="242"/>
      <c r="BP178" s="242"/>
      <c r="BQ178" s="242"/>
      <c r="BR178" s="242"/>
      <c r="BS178" s="242"/>
      <c r="BT178" s="242"/>
      <c r="BU178" s="242"/>
      <c r="BV178" s="242"/>
      <c r="BW178" s="242"/>
      <c r="BX178" s="242"/>
      <c r="BY178" s="242"/>
      <c r="BZ178" s="242"/>
      <c r="CA178" s="242"/>
      <c r="CB178" s="242"/>
      <c r="CC178" s="242"/>
      <c r="CD178" s="242"/>
      <c r="CE178" s="242"/>
      <c r="CF178" s="242"/>
      <c r="CG178" s="242"/>
      <c r="CH178" s="242"/>
      <c r="CI178" s="242"/>
      <c r="CJ178" s="242"/>
      <c r="CK178" s="242"/>
      <c r="CL178" s="242"/>
      <c r="CM178" s="242"/>
      <c r="CN178" s="242"/>
      <c r="CO178" s="242"/>
      <c r="CP178" s="242"/>
      <c r="CQ178" s="242"/>
      <c r="CR178" s="242"/>
      <c r="CS178" s="242"/>
      <c r="CT178" s="242"/>
      <c r="CU178" s="242"/>
      <c r="CV178" s="242"/>
      <c r="CW178" s="242"/>
      <c r="CX178" s="242"/>
      <c r="CY178" s="242"/>
      <c r="CZ178" s="242"/>
      <c r="DA178" s="242"/>
      <c r="DB178" s="242"/>
      <c r="DC178" s="242"/>
      <c r="DD178" s="242"/>
      <c r="DE178" s="242"/>
      <c r="DF178" s="242"/>
      <c r="DG178" s="242"/>
      <c r="DH178" s="242"/>
      <c r="DI178" s="242"/>
      <c r="DJ178" s="242"/>
      <c r="DK178" s="242"/>
      <c r="DL178" s="242"/>
      <c r="DM178" s="242"/>
      <c r="DN178" s="242"/>
      <c r="DO178" s="242"/>
      <c r="DP178" s="242"/>
      <c r="DQ178" s="242"/>
      <c r="DR178" s="242"/>
      <c r="DS178" s="242"/>
      <c r="DT178" s="242"/>
      <c r="DU178" s="242"/>
      <c r="DV178" s="242"/>
      <c r="DW178" s="242"/>
      <c r="DX178" s="242"/>
      <c r="DY178" s="242"/>
      <c r="DZ178" s="242"/>
      <c r="EA178" s="242"/>
      <c r="EB178" s="242"/>
      <c r="EC178" s="242"/>
      <c r="ED178" s="242"/>
      <c r="EE178" s="242"/>
      <c r="EF178" s="242"/>
      <c r="EG178" s="242"/>
      <c r="EH178" s="242"/>
      <c r="EI178" s="242"/>
      <c r="EJ178" s="242"/>
      <c r="EK178" s="242"/>
      <c r="EL178" s="242"/>
      <c r="EM178" s="242"/>
      <c r="EN178" s="242"/>
      <c r="EO178" s="242"/>
      <c r="EP178" s="242"/>
      <c r="EQ178" s="242"/>
      <c r="ER178" s="242"/>
      <c r="ES178" s="242"/>
      <c r="ET178" s="242"/>
      <c r="EU178" s="242"/>
      <c r="EV178" s="242"/>
      <c r="EW178" s="242"/>
      <c r="EX178" s="242"/>
      <c r="EY178" s="242"/>
      <c r="EZ178" s="242"/>
      <c r="FA178" s="242"/>
      <c r="FB178" s="242"/>
      <c r="FC178" s="242"/>
      <c r="FD178" s="242"/>
      <c r="FE178" s="242"/>
      <c r="FF178" s="242"/>
      <c r="FG178" s="242"/>
      <c r="FH178" s="242"/>
      <c r="FI178" s="242"/>
      <c r="FJ178" s="242"/>
      <c r="FK178" s="242"/>
      <c r="FL178" s="242"/>
      <c r="FM178" s="242"/>
      <c r="FN178" s="242"/>
      <c r="FO178" s="242"/>
      <c r="FP178" s="242"/>
      <c r="FQ178" s="242"/>
      <c r="FR178" s="242"/>
      <c r="FS178" s="242"/>
      <c r="FT178" s="242"/>
      <c r="FU178" s="242"/>
      <c r="FV178" s="242"/>
      <c r="FW178" s="242"/>
      <c r="FX178" s="242"/>
      <c r="FY178" s="242"/>
      <c r="FZ178" s="242"/>
      <c r="GA178" s="242"/>
      <c r="GB178" s="242"/>
      <c r="GC178" s="242"/>
      <c r="GD178" s="242"/>
      <c r="GE178" s="242"/>
      <c r="GF178" s="242"/>
      <c r="GG178" s="242"/>
      <c r="GH178" s="242"/>
      <c r="GI178" s="242"/>
      <c r="GJ178" s="242"/>
      <c r="GK178" s="242"/>
      <c r="GL178" s="242"/>
      <c r="GM178" s="242"/>
      <c r="GN178" s="242"/>
      <c r="GO178" s="242"/>
      <c r="GP178" s="242"/>
      <c r="GQ178" s="242"/>
      <c r="GR178" s="242"/>
      <c r="GS178" s="242"/>
      <c r="GT178" s="242"/>
      <c r="GU178" s="242"/>
      <c r="GV178" s="242"/>
      <c r="GW178" s="242"/>
      <c r="GX178" s="242"/>
      <c r="GY178" s="242"/>
      <c r="GZ178" s="242"/>
      <c r="HA178" s="242"/>
      <c r="HB178" s="242"/>
      <c r="HC178" s="242"/>
      <c r="HD178" s="242"/>
      <c r="HE178" s="242"/>
      <c r="HF178" s="242"/>
      <c r="HG178" s="242"/>
      <c r="HH178" s="242"/>
      <c r="HI178" s="242"/>
      <c r="HJ178" s="242"/>
      <c r="HK178" s="242"/>
      <c r="HL178" s="242"/>
      <c r="HM178" s="242"/>
      <c r="HN178" s="242"/>
      <c r="HO178" s="243"/>
    </row>
    <row r="179" spans="1:234" ht="12.75" hidden="1" customHeight="1">
      <c r="A179" s="83">
        <f t="shared" si="18"/>
        <v>174</v>
      </c>
      <c r="B179" s="271"/>
      <c r="C179" s="271"/>
      <c r="D179" s="271"/>
      <c r="E179" s="271"/>
      <c r="F179" s="84" t="str">
        <f t="shared" si="16"/>
        <v>///</v>
      </c>
      <c r="G179" s="249">
        <f t="shared" si="19"/>
        <v>0</v>
      </c>
      <c r="H179" s="240">
        <f t="shared" si="17"/>
        <v>0</v>
      </c>
      <c r="I179" s="243"/>
      <c r="J179" s="243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242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  <c r="AM179" s="242"/>
      <c r="AN179" s="242"/>
      <c r="AO179" s="242"/>
      <c r="AP179" s="242"/>
      <c r="AQ179" s="242"/>
      <c r="AR179" s="242"/>
      <c r="AS179" s="242"/>
      <c r="AT179" s="242"/>
      <c r="AU179" s="242"/>
      <c r="AV179" s="242"/>
      <c r="AW179" s="242"/>
      <c r="AX179" s="242"/>
      <c r="AY179" s="242"/>
      <c r="AZ179" s="242"/>
      <c r="BA179" s="242"/>
      <c r="BB179" s="242"/>
      <c r="BC179" s="242"/>
      <c r="BD179" s="242"/>
      <c r="BE179" s="242"/>
      <c r="BF179" s="242"/>
      <c r="BG179" s="242"/>
      <c r="BH179" s="242"/>
      <c r="BI179" s="242"/>
      <c r="BJ179" s="242"/>
      <c r="BK179" s="242"/>
      <c r="BL179" s="242"/>
      <c r="BM179" s="242"/>
      <c r="BN179" s="242"/>
      <c r="BO179" s="242"/>
      <c r="BP179" s="242"/>
      <c r="BQ179" s="242"/>
      <c r="BR179" s="242"/>
      <c r="BS179" s="242"/>
      <c r="BT179" s="242"/>
      <c r="BU179" s="242"/>
      <c r="BV179" s="242"/>
      <c r="BW179" s="242"/>
      <c r="BX179" s="242"/>
      <c r="BY179" s="242"/>
      <c r="BZ179" s="242"/>
      <c r="CA179" s="242"/>
      <c r="CB179" s="242"/>
      <c r="CC179" s="242"/>
      <c r="CD179" s="242"/>
      <c r="CE179" s="242"/>
      <c r="CF179" s="242"/>
      <c r="CG179" s="242"/>
      <c r="CH179" s="242"/>
      <c r="CI179" s="242"/>
      <c r="CJ179" s="242"/>
      <c r="CK179" s="242"/>
      <c r="CL179" s="242"/>
      <c r="CM179" s="242"/>
      <c r="CN179" s="242"/>
      <c r="CO179" s="242"/>
      <c r="CP179" s="242"/>
      <c r="CQ179" s="242"/>
      <c r="CR179" s="242"/>
      <c r="CS179" s="242"/>
      <c r="CT179" s="242"/>
      <c r="CU179" s="242"/>
      <c r="CV179" s="242"/>
      <c r="CW179" s="242"/>
      <c r="CX179" s="242"/>
      <c r="CY179" s="242"/>
      <c r="CZ179" s="242"/>
      <c r="DA179" s="242"/>
      <c r="DB179" s="242"/>
      <c r="DC179" s="242"/>
      <c r="DD179" s="242"/>
      <c r="DE179" s="242"/>
      <c r="DF179" s="242"/>
      <c r="DG179" s="242"/>
      <c r="DH179" s="242"/>
      <c r="DI179" s="242"/>
      <c r="DJ179" s="242"/>
      <c r="DK179" s="242"/>
      <c r="DL179" s="242"/>
      <c r="DM179" s="242"/>
      <c r="DN179" s="242"/>
      <c r="DO179" s="242"/>
      <c r="DP179" s="242"/>
      <c r="DQ179" s="242"/>
      <c r="DR179" s="242"/>
      <c r="DS179" s="242"/>
      <c r="DT179" s="242"/>
      <c r="DU179" s="242"/>
      <c r="DV179" s="242"/>
      <c r="DW179" s="242"/>
      <c r="DX179" s="242"/>
      <c r="DY179" s="242"/>
      <c r="DZ179" s="242"/>
      <c r="EA179" s="242"/>
      <c r="EB179" s="242"/>
      <c r="EC179" s="242"/>
      <c r="ED179" s="242"/>
      <c r="EE179" s="242"/>
      <c r="EF179" s="242"/>
      <c r="EG179" s="242"/>
      <c r="EH179" s="242"/>
      <c r="EI179" s="242"/>
      <c r="EJ179" s="242"/>
      <c r="EK179" s="242"/>
      <c r="EL179" s="242"/>
      <c r="EM179" s="242"/>
      <c r="EN179" s="242"/>
      <c r="EO179" s="242"/>
      <c r="EP179" s="242"/>
      <c r="EQ179" s="242"/>
      <c r="ER179" s="242"/>
      <c r="ES179" s="242"/>
      <c r="ET179" s="242"/>
      <c r="EU179" s="242"/>
      <c r="EV179" s="242"/>
      <c r="EW179" s="242"/>
      <c r="EX179" s="242"/>
      <c r="EY179" s="242"/>
      <c r="EZ179" s="242"/>
      <c r="FA179" s="242"/>
      <c r="FB179" s="242"/>
      <c r="FC179" s="242"/>
      <c r="FD179" s="242"/>
      <c r="FE179" s="242"/>
      <c r="FF179" s="242"/>
      <c r="FG179" s="242"/>
      <c r="FH179" s="242"/>
      <c r="FI179" s="242"/>
      <c r="FJ179" s="242"/>
      <c r="FK179" s="242"/>
      <c r="FL179" s="242"/>
      <c r="FM179" s="242"/>
      <c r="FN179" s="242"/>
      <c r="FO179" s="242"/>
      <c r="FP179" s="242"/>
      <c r="FQ179" s="242"/>
      <c r="FR179" s="242"/>
      <c r="FS179" s="242"/>
      <c r="FT179" s="242"/>
      <c r="FU179" s="242"/>
      <c r="FV179" s="242"/>
      <c r="FW179" s="242"/>
      <c r="FX179" s="242"/>
      <c r="FY179" s="242"/>
      <c r="FZ179" s="242"/>
      <c r="GA179" s="242"/>
      <c r="GB179" s="242"/>
      <c r="GC179" s="242"/>
      <c r="GD179" s="242"/>
      <c r="GE179" s="242"/>
      <c r="GF179" s="242"/>
      <c r="GG179" s="242"/>
      <c r="GH179" s="242"/>
      <c r="GI179" s="242"/>
      <c r="GJ179" s="242"/>
      <c r="GK179" s="242"/>
      <c r="GL179" s="242"/>
      <c r="GM179" s="242"/>
      <c r="GN179" s="242"/>
      <c r="GO179" s="242"/>
      <c r="GP179" s="242"/>
      <c r="GQ179" s="242"/>
      <c r="GR179" s="242"/>
      <c r="GS179" s="242"/>
      <c r="GT179" s="242"/>
      <c r="GU179" s="242"/>
      <c r="GV179" s="242"/>
      <c r="GW179" s="242"/>
      <c r="GX179" s="242"/>
      <c r="GY179" s="242"/>
      <c r="GZ179" s="242"/>
      <c r="HA179" s="242"/>
      <c r="HB179" s="242"/>
      <c r="HC179" s="242"/>
      <c r="HD179" s="242"/>
      <c r="HE179" s="242"/>
      <c r="HF179" s="242"/>
      <c r="HG179" s="242"/>
      <c r="HH179" s="242"/>
      <c r="HI179" s="242"/>
      <c r="HJ179" s="242"/>
      <c r="HK179" s="242"/>
      <c r="HL179" s="242"/>
      <c r="HM179" s="242"/>
      <c r="HN179" s="242"/>
      <c r="HO179" s="243"/>
    </row>
    <row r="180" spans="1:234" ht="12.75" hidden="1" customHeight="1">
      <c r="A180" s="83">
        <f t="shared" si="18"/>
        <v>175</v>
      </c>
      <c r="B180" s="84"/>
      <c r="C180" s="84"/>
      <c r="D180" s="84"/>
      <c r="E180" s="84"/>
      <c r="F180" s="84" t="str">
        <f t="shared" si="16"/>
        <v>///</v>
      </c>
      <c r="G180" s="249">
        <f t="shared" si="19"/>
        <v>0</v>
      </c>
      <c r="H180" s="240">
        <f t="shared" si="17"/>
        <v>0</v>
      </c>
      <c r="I180" s="243"/>
      <c r="J180" s="243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42"/>
      <c r="AO180" s="242"/>
      <c r="AP180" s="242"/>
      <c r="AQ180" s="242"/>
      <c r="AR180" s="242"/>
      <c r="AS180" s="242"/>
      <c r="AT180" s="242"/>
      <c r="AU180" s="242"/>
      <c r="AV180" s="242"/>
      <c r="AW180" s="242"/>
      <c r="AX180" s="242"/>
      <c r="AY180" s="242"/>
      <c r="AZ180" s="242"/>
      <c r="BA180" s="242"/>
      <c r="BB180" s="242"/>
      <c r="BC180" s="242"/>
      <c r="BD180" s="242"/>
      <c r="BE180" s="242"/>
      <c r="BF180" s="242"/>
      <c r="BG180" s="242"/>
      <c r="BH180" s="242"/>
      <c r="BI180" s="242"/>
      <c r="BJ180" s="242"/>
      <c r="BK180" s="242"/>
      <c r="BL180" s="242"/>
      <c r="BM180" s="242"/>
      <c r="BN180" s="242"/>
      <c r="BO180" s="242"/>
      <c r="BP180" s="242"/>
      <c r="BQ180" s="242"/>
      <c r="BR180" s="242"/>
      <c r="BS180" s="242"/>
      <c r="BT180" s="242"/>
      <c r="BU180" s="242"/>
      <c r="BV180" s="242"/>
      <c r="BW180" s="242"/>
      <c r="BX180" s="242"/>
      <c r="BY180" s="242"/>
      <c r="BZ180" s="242"/>
      <c r="CA180" s="242"/>
      <c r="CB180" s="242"/>
      <c r="CC180" s="242"/>
      <c r="CD180" s="242"/>
      <c r="CE180" s="242"/>
      <c r="CF180" s="242"/>
      <c r="CG180" s="242"/>
      <c r="CH180" s="242"/>
      <c r="CI180" s="242"/>
      <c r="CJ180" s="242"/>
      <c r="CK180" s="242"/>
      <c r="CL180" s="242"/>
      <c r="CM180" s="242"/>
      <c r="CN180" s="242"/>
      <c r="CO180" s="242"/>
      <c r="CP180" s="242"/>
      <c r="CQ180" s="242"/>
      <c r="CR180" s="242"/>
      <c r="CS180" s="242"/>
      <c r="CT180" s="242"/>
      <c r="CU180" s="242"/>
      <c r="CV180" s="242"/>
      <c r="CW180" s="242"/>
      <c r="CX180" s="242"/>
      <c r="CY180" s="242"/>
      <c r="CZ180" s="242"/>
      <c r="DA180" s="242"/>
      <c r="DB180" s="242"/>
      <c r="DC180" s="242"/>
      <c r="DD180" s="242"/>
      <c r="DE180" s="242"/>
      <c r="DF180" s="242"/>
      <c r="DG180" s="242"/>
      <c r="DH180" s="242"/>
      <c r="DI180" s="242"/>
      <c r="DJ180" s="242"/>
      <c r="DK180" s="242"/>
      <c r="DL180" s="242"/>
      <c r="DM180" s="242"/>
      <c r="DN180" s="242"/>
      <c r="DO180" s="242"/>
      <c r="DP180" s="242"/>
      <c r="DQ180" s="242"/>
      <c r="DR180" s="242"/>
      <c r="DS180" s="242"/>
      <c r="DT180" s="242"/>
      <c r="DU180" s="242"/>
      <c r="DV180" s="242"/>
      <c r="DW180" s="242"/>
      <c r="DX180" s="242"/>
      <c r="DY180" s="242"/>
      <c r="DZ180" s="242"/>
      <c r="EA180" s="242"/>
      <c r="EB180" s="242"/>
      <c r="EC180" s="242"/>
      <c r="ED180" s="242"/>
      <c r="EE180" s="242"/>
      <c r="EF180" s="242"/>
      <c r="EG180" s="242"/>
      <c r="EH180" s="242"/>
      <c r="EI180" s="242"/>
      <c r="EJ180" s="242"/>
      <c r="EK180" s="242"/>
      <c r="EL180" s="242"/>
      <c r="EM180" s="242"/>
      <c r="EN180" s="242"/>
      <c r="EO180" s="242"/>
      <c r="EP180" s="242"/>
      <c r="EQ180" s="242"/>
      <c r="ER180" s="242"/>
      <c r="ES180" s="242"/>
      <c r="ET180" s="242"/>
      <c r="EU180" s="242"/>
      <c r="EV180" s="242"/>
      <c r="EW180" s="242"/>
      <c r="EX180" s="242"/>
      <c r="EY180" s="242"/>
      <c r="EZ180" s="242"/>
      <c r="FA180" s="242"/>
      <c r="FB180" s="242"/>
      <c r="FC180" s="242"/>
      <c r="FD180" s="242"/>
      <c r="FE180" s="242"/>
      <c r="FF180" s="242"/>
      <c r="FG180" s="242"/>
      <c r="FH180" s="242"/>
      <c r="FI180" s="242"/>
      <c r="FJ180" s="242"/>
      <c r="FK180" s="242"/>
      <c r="FL180" s="242"/>
      <c r="FM180" s="242"/>
      <c r="FN180" s="242"/>
      <c r="FO180" s="242"/>
      <c r="FP180" s="242"/>
      <c r="FQ180" s="242"/>
      <c r="FR180" s="242"/>
      <c r="FS180" s="242"/>
      <c r="FT180" s="242"/>
      <c r="FU180" s="242"/>
      <c r="FV180" s="242"/>
      <c r="FW180" s="242"/>
      <c r="FX180" s="242"/>
      <c r="FY180" s="242"/>
      <c r="FZ180" s="242"/>
      <c r="GA180" s="242"/>
      <c r="GB180" s="242"/>
      <c r="GC180" s="242"/>
      <c r="GD180" s="242"/>
      <c r="GE180" s="242"/>
      <c r="GF180" s="242"/>
      <c r="GG180" s="242"/>
      <c r="GH180" s="242"/>
      <c r="GI180" s="242"/>
      <c r="GJ180" s="242"/>
      <c r="GK180" s="242"/>
      <c r="GL180" s="242"/>
      <c r="GM180" s="242"/>
      <c r="GN180" s="242"/>
      <c r="GO180" s="242"/>
      <c r="GP180" s="242"/>
      <c r="GQ180" s="242"/>
      <c r="GR180" s="242"/>
      <c r="GS180" s="242"/>
      <c r="GT180" s="242"/>
      <c r="GU180" s="242"/>
      <c r="GV180" s="242"/>
      <c r="GW180" s="242"/>
      <c r="GX180" s="242"/>
      <c r="GY180" s="242"/>
      <c r="GZ180" s="242"/>
      <c r="HA180" s="242"/>
      <c r="HB180" s="242"/>
      <c r="HC180" s="242"/>
      <c r="HD180" s="242"/>
      <c r="HE180" s="242"/>
      <c r="HF180" s="242"/>
      <c r="HG180" s="242"/>
      <c r="HH180" s="242"/>
      <c r="HI180" s="242"/>
      <c r="HJ180" s="242"/>
      <c r="HK180" s="242"/>
      <c r="HL180" s="242"/>
      <c r="HM180" s="242"/>
      <c r="HN180" s="242"/>
      <c r="HO180" s="243"/>
    </row>
    <row r="181" spans="1:234" ht="12.75" customHeight="1" thickBot="1">
      <c r="HT181" s="342">
        <f t="shared" ref="HT181:HU181" si="20">SUM(HT6:HT26)</f>
        <v>0</v>
      </c>
      <c r="HU181" s="342">
        <f t="shared" si="20"/>
        <v>0</v>
      </c>
      <c r="HV181" s="342">
        <f>SUM(HV6:HV26)</f>
        <v>0</v>
      </c>
      <c r="HX181" s="342">
        <f t="shared" ref="HX181:HY181" si="21">SUM(HX6:HX26)</f>
        <v>0</v>
      </c>
      <c r="HY181" s="342">
        <f t="shared" si="21"/>
        <v>0</v>
      </c>
      <c r="HZ181" s="342">
        <f>SUM(HZ6:HZ26)</f>
        <v>0</v>
      </c>
    </row>
    <row r="182" spans="1:234" ht="12.75" customHeight="1"/>
    <row r="183" spans="1:234" ht="12.75" customHeight="1"/>
    <row r="184" spans="1:234" ht="12.75" customHeight="1"/>
    <row r="185" spans="1:234" ht="12.75" customHeight="1"/>
    <row r="186" spans="1:234" ht="12.75" customHeight="1"/>
    <row r="187" spans="1:234" ht="12.75" customHeight="1"/>
    <row r="188" spans="1:234" ht="12.75" customHeight="1"/>
    <row r="189" spans="1:234" ht="12.75" customHeight="1"/>
    <row r="190" spans="1:234" ht="12.75" customHeight="1"/>
    <row r="191" spans="1:234" ht="12.75" customHeight="1"/>
    <row r="192" spans="1:23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spans="1:24" ht="12.75" customHeight="1"/>
    <row r="498" spans="1:24" ht="12.75" customHeight="1"/>
    <row r="499" spans="1:24" ht="12.75"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</row>
    <row r="500" spans="1:24" ht="12.75"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</row>
    <row r="501" spans="1:24" ht="12.75"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</row>
    <row r="502" spans="1:24" ht="13.5" thickBot="1"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</row>
    <row r="503" spans="1:24" ht="12.75">
      <c r="A503" s="85" t="s">
        <v>141</v>
      </c>
      <c r="B503" s="86" t="s">
        <v>134</v>
      </c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252"/>
      <c r="O503" s="253"/>
      <c r="P503" s="253"/>
      <c r="Q503" s="253"/>
      <c r="R503" s="253"/>
      <c r="S503" s="253"/>
      <c r="T503" s="254"/>
    </row>
    <row r="504" spans="1:24" s="92" customFormat="1" ht="47.25">
      <c r="A504" s="88"/>
      <c r="B504" s="89"/>
      <c r="C504" s="90" t="s">
        <v>73</v>
      </c>
      <c r="D504" s="91" t="s">
        <v>74</v>
      </c>
      <c r="E504" s="90" t="s">
        <v>75</v>
      </c>
      <c r="F504" s="90" t="s">
        <v>135</v>
      </c>
      <c r="G504" s="90" t="s">
        <v>31</v>
      </c>
      <c r="H504" s="90" t="s">
        <v>136</v>
      </c>
      <c r="I504" s="90" t="s">
        <v>76</v>
      </c>
      <c r="J504" s="90" t="s">
        <v>77</v>
      </c>
      <c r="K504" s="90" t="s">
        <v>142</v>
      </c>
      <c r="L504" s="90" t="s">
        <v>143</v>
      </c>
      <c r="M504" s="90" t="s">
        <v>144</v>
      </c>
      <c r="N504" s="90" t="s">
        <v>137</v>
      </c>
      <c r="O504" s="255" t="s">
        <v>755</v>
      </c>
      <c r="P504" s="89"/>
      <c r="Q504" s="256" t="s">
        <v>190</v>
      </c>
      <c r="R504" s="89"/>
      <c r="S504" s="257" t="s">
        <v>73</v>
      </c>
      <c r="T504" s="258"/>
    </row>
    <row r="505" spans="1:24" ht="15">
      <c r="A505" s="93">
        <v>1</v>
      </c>
      <c r="B505" s="94" t="s">
        <v>350</v>
      </c>
      <c r="C505" s="295" t="s">
        <v>819</v>
      </c>
      <c r="D505" s="94" t="str">
        <f>+[7]GRC!D3</f>
        <v>Cloud</v>
      </c>
      <c r="E505" s="94" t="s">
        <v>81</v>
      </c>
      <c r="F505" s="94" t="s">
        <v>82</v>
      </c>
      <c r="G505" s="94" t="s">
        <v>192</v>
      </c>
      <c r="H505" s="94"/>
      <c r="I505" s="94" t="s">
        <v>84</v>
      </c>
      <c r="J505" s="94" t="s">
        <v>170</v>
      </c>
      <c r="K505" s="94" t="s">
        <v>14</v>
      </c>
      <c r="L505" s="94" t="s">
        <v>71</v>
      </c>
      <c r="M505" s="94" t="s">
        <v>71</v>
      </c>
      <c r="N505" s="94" t="s">
        <v>138</v>
      </c>
      <c r="O505" s="259" t="str">
        <f t="shared" ref="O505:O568" si="22">+K505&amp;" / " &amp;L505</f>
        <v>B4 PM1 (9 to 12 yrs) / None</v>
      </c>
      <c r="P505" s="260"/>
      <c r="Q505" s="260" t="str">
        <f>+E505&amp;"/"&amp;F505&amp;"/"&amp;G505&amp;"/"&amp;I505</f>
        <v>Cloud/Consulting/ConsultantCloud/Junior</v>
      </c>
      <c r="R505" s="261" t="str">
        <f>+O505</f>
        <v>B4 PM1 (9 to 12 yrs) / None</v>
      </c>
      <c r="S505" s="260" t="str">
        <f>+C505</f>
        <v>Cloud_1</v>
      </c>
      <c r="T505" s="262" t="b">
        <v>0</v>
      </c>
      <c r="U505" s="263" t="str">
        <f>+VLOOKUP($C505,[8]GRC!$B$3:$L$350,9,0)</f>
        <v>B4 PM1 (9 to 12 yrs)</v>
      </c>
      <c r="V505" s="263" t="str">
        <f>+VLOOKUP($C505,[8]GRC!$B$3:$L$350,10,0)</f>
        <v>None</v>
      </c>
      <c r="W505" s="263" t="b">
        <f t="shared" ref="W505:X568" si="23">+U505=K505</f>
        <v>1</v>
      </c>
      <c r="X505" s="263" t="b">
        <f t="shared" si="23"/>
        <v>1</v>
      </c>
    </row>
    <row r="506" spans="1:24" ht="15">
      <c r="A506" s="93">
        <v>2</v>
      </c>
      <c r="B506" s="94" t="s">
        <v>351</v>
      </c>
      <c r="C506" s="295" t="s">
        <v>820</v>
      </c>
      <c r="D506" s="94" t="str">
        <f>+[7]GRC!D4</f>
        <v>Cloud</v>
      </c>
      <c r="E506" s="94" t="s">
        <v>81</v>
      </c>
      <c r="F506" s="94" t="s">
        <v>82</v>
      </c>
      <c r="G506" s="94" t="s">
        <v>192</v>
      </c>
      <c r="H506" s="94"/>
      <c r="I506" s="94" t="s">
        <v>193</v>
      </c>
      <c r="J506" s="94" t="s">
        <v>149</v>
      </c>
      <c r="K506" s="94" t="s">
        <v>42</v>
      </c>
      <c r="L506" s="94" t="s">
        <v>41</v>
      </c>
      <c r="M506" s="94" t="s">
        <v>71</v>
      </c>
      <c r="N506" s="94" t="s">
        <v>138</v>
      </c>
      <c r="O506" s="259" t="str">
        <f t="shared" si="22"/>
        <v>B4 PM2 (10 to 14 yrs) / B4 PM3 (12 to 15 yrs)</v>
      </c>
      <c r="P506" s="260"/>
      <c r="Q506" s="260" t="str">
        <f>+E506&amp;"/"&amp;F506&amp;"/"&amp;G506&amp;"/"&amp;I506</f>
        <v>Cloud/Consulting/ConsultantCloud/MidLevel</v>
      </c>
      <c r="R506" s="261" t="str">
        <f t="shared" ref="R506:R569" si="24">+O506</f>
        <v>B4 PM2 (10 to 14 yrs) / B4 PM3 (12 to 15 yrs)</v>
      </c>
      <c r="S506" s="260" t="str">
        <f t="shared" ref="S506:S569" si="25">+C506</f>
        <v>Cloud_11</v>
      </c>
      <c r="T506" s="262" t="b">
        <v>0</v>
      </c>
      <c r="U506" s="263" t="str">
        <f>+VLOOKUP($C506,[8]GRC!$B$3:$L$350,9,0)</f>
        <v>B4 PM2 (10 to 14 yrs)</v>
      </c>
      <c r="V506" s="263" t="str">
        <f>+VLOOKUP($C506,[8]GRC!$B$3:$L$350,10,0)</f>
        <v>B4 PM3 (12 to 15 yrs)</v>
      </c>
      <c r="W506" s="263" t="b">
        <f t="shared" si="23"/>
        <v>1</v>
      </c>
      <c r="X506" s="263" t="b">
        <f t="shared" si="23"/>
        <v>1</v>
      </c>
    </row>
    <row r="507" spans="1:24" ht="15">
      <c r="A507" s="93">
        <v>3</v>
      </c>
      <c r="B507" s="94" t="s">
        <v>352</v>
      </c>
      <c r="C507" s="295" t="s">
        <v>821</v>
      </c>
      <c r="D507" s="94" t="str">
        <f>+[7]GRC!D5</f>
        <v>Cloud</v>
      </c>
      <c r="E507" s="94" t="s">
        <v>81</v>
      </c>
      <c r="F507" s="94" t="s">
        <v>82</v>
      </c>
      <c r="G507" s="94" t="s">
        <v>192</v>
      </c>
      <c r="H507" s="94"/>
      <c r="I507" s="94" t="s">
        <v>91</v>
      </c>
      <c r="J507" s="94" t="s">
        <v>139</v>
      </c>
      <c r="K507" s="94" t="s">
        <v>41</v>
      </c>
      <c r="L507" s="94" t="s">
        <v>13</v>
      </c>
      <c r="M507" s="94" t="s">
        <v>71</v>
      </c>
      <c r="N507" s="94" t="s">
        <v>138</v>
      </c>
      <c r="O507" s="259" t="str">
        <f t="shared" si="22"/>
        <v>B4 PM3 (12 to 15 yrs) / B5 (min 8 yrs)</v>
      </c>
      <c r="P507" s="260"/>
      <c r="Q507" s="260" t="str">
        <f t="shared" ref="Q507:Q570" si="26">+E507&amp;"/"&amp;F507&amp;"/"&amp;G507&amp;"/"&amp;I507</f>
        <v>Cloud/Consulting/ConsultantCloud/Senior</v>
      </c>
      <c r="R507" s="261" t="str">
        <f t="shared" si="24"/>
        <v>B4 PM3 (12 to 15 yrs) / B5 (min 8 yrs)</v>
      </c>
      <c r="S507" s="260" t="str">
        <f t="shared" si="25"/>
        <v>Cloud_2</v>
      </c>
      <c r="T507" s="262" t="b">
        <v>0</v>
      </c>
      <c r="U507" s="263" t="str">
        <f>+VLOOKUP($C507,[8]GRC!$B$3:$L$350,9,0)</f>
        <v>B4 PM3 (12 to 15 yrs)</v>
      </c>
      <c r="V507" s="263" t="str">
        <f>+VLOOKUP($C507,[8]GRC!$B$3:$L$350,10,0)</f>
        <v>B5 (min 8 yrs)</v>
      </c>
      <c r="W507" s="263" t="b">
        <f t="shared" si="23"/>
        <v>1</v>
      </c>
      <c r="X507" s="263" t="b">
        <f t="shared" si="23"/>
        <v>1</v>
      </c>
    </row>
    <row r="508" spans="1:24" ht="15">
      <c r="A508" s="93">
        <v>4</v>
      </c>
      <c r="B508" s="94" t="s">
        <v>353</v>
      </c>
      <c r="C508" s="295" t="s">
        <v>822</v>
      </c>
      <c r="D508" s="94" t="str">
        <f>+[7]GRC!D6</f>
        <v>Cloud</v>
      </c>
      <c r="E508" s="94" t="s">
        <v>81</v>
      </c>
      <c r="F508" s="94" t="s">
        <v>194</v>
      </c>
      <c r="G508" s="94" t="s">
        <v>88</v>
      </c>
      <c r="H508" s="94" t="s">
        <v>95</v>
      </c>
      <c r="I508" s="94" t="s">
        <v>84</v>
      </c>
      <c r="J508" s="94" t="s">
        <v>153</v>
      </c>
      <c r="K508" s="94" t="s">
        <v>18</v>
      </c>
      <c r="L508" s="94" t="s">
        <v>71</v>
      </c>
      <c r="M508" s="94" t="s">
        <v>71</v>
      </c>
      <c r="N508" s="94" t="s">
        <v>138</v>
      </c>
      <c r="O508" s="259" t="str">
        <f t="shared" si="22"/>
        <v>B2 AP3 (3 to 5 yrs) / None</v>
      </c>
      <c r="P508" s="260"/>
      <c r="Q508" s="260" t="str">
        <f t="shared" si="26"/>
        <v>Cloud/PvtPubCloud/Administrator/Junior</v>
      </c>
      <c r="R508" s="261" t="str">
        <f t="shared" si="24"/>
        <v>B2 AP3 (3 to 5 yrs) / None</v>
      </c>
      <c r="S508" s="260" t="str">
        <f t="shared" si="25"/>
        <v>Cloud_15</v>
      </c>
      <c r="T508" s="262" t="b">
        <v>0</v>
      </c>
      <c r="U508" s="263" t="str">
        <f>+VLOOKUP($C508,[8]GRC!$B$3:$L$350,9,0)</f>
        <v>B2 AP3 (3 to 5 yrs)</v>
      </c>
      <c r="V508" s="263" t="str">
        <f>+VLOOKUP($C508,[8]GRC!$B$3:$L$350,10,0)</f>
        <v>None</v>
      </c>
      <c r="W508" s="263" t="b">
        <f t="shared" si="23"/>
        <v>1</v>
      </c>
      <c r="X508" s="263" t="b">
        <f t="shared" si="23"/>
        <v>1</v>
      </c>
    </row>
    <row r="509" spans="1:24" ht="15">
      <c r="A509" s="93">
        <v>5</v>
      </c>
      <c r="B509" s="94" t="s">
        <v>354</v>
      </c>
      <c r="C509" s="295" t="s">
        <v>823</v>
      </c>
      <c r="D509" s="94" t="str">
        <f>+[7]GRC!D7</f>
        <v>Cloud</v>
      </c>
      <c r="E509" s="94" t="s">
        <v>81</v>
      </c>
      <c r="F509" s="94" t="s">
        <v>194</v>
      </c>
      <c r="G509" s="94" t="s">
        <v>88</v>
      </c>
      <c r="H509" s="94" t="s">
        <v>95</v>
      </c>
      <c r="I509" s="94" t="s">
        <v>193</v>
      </c>
      <c r="J509" s="94" t="s">
        <v>145</v>
      </c>
      <c r="K509" s="94" t="s">
        <v>17</v>
      </c>
      <c r="L509" s="94" t="s">
        <v>16</v>
      </c>
      <c r="M509" s="94" t="s">
        <v>71</v>
      </c>
      <c r="N509" s="94" t="s">
        <v>138</v>
      </c>
      <c r="O509" s="259" t="str">
        <f t="shared" si="22"/>
        <v>B3 PL1 (5 to 7 yrs) / B3 PL2 (6 to 8 yrs)</v>
      </c>
      <c r="P509" s="260"/>
      <c r="Q509" s="260" t="str">
        <f t="shared" si="26"/>
        <v>Cloud/PvtPubCloud/Administrator/MidLevel</v>
      </c>
      <c r="R509" s="261" t="str">
        <f t="shared" si="24"/>
        <v>B3 PL1 (5 to 7 yrs) / B3 PL2 (6 to 8 yrs)</v>
      </c>
      <c r="S509" s="260" t="str">
        <f t="shared" si="25"/>
        <v>Cloud_16</v>
      </c>
      <c r="T509" s="262" t="b">
        <v>0</v>
      </c>
      <c r="U509" s="263" t="str">
        <f>+VLOOKUP($C509,[8]GRC!$B$3:$L$350,9,0)</f>
        <v>B3 PL1 (5 to 7 yrs)</v>
      </c>
      <c r="V509" s="263" t="str">
        <f>+VLOOKUP($C509,[8]GRC!$B$3:$L$350,10,0)</f>
        <v>B3 PL2 (6 to 8 yrs)</v>
      </c>
      <c r="W509" s="263" t="b">
        <f t="shared" si="23"/>
        <v>1</v>
      </c>
      <c r="X509" s="263" t="b">
        <f t="shared" si="23"/>
        <v>1</v>
      </c>
    </row>
    <row r="510" spans="1:24" ht="15">
      <c r="A510" s="93">
        <v>6</v>
      </c>
      <c r="B510" s="94" t="s">
        <v>355</v>
      </c>
      <c r="C510" s="295" t="s">
        <v>824</v>
      </c>
      <c r="D510" s="94" t="str">
        <f>+[7]GRC!D8</f>
        <v>Cloud</v>
      </c>
      <c r="E510" s="94" t="s">
        <v>81</v>
      </c>
      <c r="F510" s="94" t="s">
        <v>194</v>
      </c>
      <c r="G510" s="94" t="s">
        <v>88</v>
      </c>
      <c r="H510" s="94" t="s">
        <v>95</v>
      </c>
      <c r="I510" s="94" t="s">
        <v>91</v>
      </c>
      <c r="J510" s="94" t="s">
        <v>147</v>
      </c>
      <c r="K510" s="94" t="s">
        <v>16</v>
      </c>
      <c r="L510" s="94" t="s">
        <v>15</v>
      </c>
      <c r="M510" s="94" t="s">
        <v>71</v>
      </c>
      <c r="N510" s="94" t="s">
        <v>138</v>
      </c>
      <c r="O510" s="259" t="str">
        <f t="shared" si="22"/>
        <v>B3 PL2 (6 to 8 yrs) / B3 PL3 (7 to 10 yrs)</v>
      </c>
      <c r="P510" s="260"/>
      <c r="Q510" s="260" t="str">
        <f t="shared" si="26"/>
        <v>Cloud/PvtPubCloud/Administrator/Senior</v>
      </c>
      <c r="R510" s="261" t="str">
        <f t="shared" si="24"/>
        <v>B3 PL2 (6 to 8 yrs) / B3 PL3 (7 to 10 yrs)</v>
      </c>
      <c r="S510" s="260" t="str">
        <f t="shared" si="25"/>
        <v>Cloud_17</v>
      </c>
      <c r="T510" s="262" t="b">
        <v>0</v>
      </c>
      <c r="U510" s="263" t="str">
        <f>+VLOOKUP($C510,[8]GRC!$B$3:$L$350,9,0)</f>
        <v>B3 PL2 (6 to 8 yrs)</v>
      </c>
      <c r="V510" s="263" t="str">
        <f>+VLOOKUP($C510,[8]GRC!$B$3:$L$350,10,0)</f>
        <v>B3 PL3 (7 to 10 yrs)</v>
      </c>
      <c r="W510" s="263" t="b">
        <f t="shared" si="23"/>
        <v>1</v>
      </c>
      <c r="X510" s="263" t="b">
        <f t="shared" si="23"/>
        <v>1</v>
      </c>
    </row>
    <row r="511" spans="1:24" ht="15">
      <c r="A511" s="93">
        <v>7</v>
      </c>
      <c r="B511" s="94" t="s">
        <v>356</v>
      </c>
      <c r="C511" s="295" t="s">
        <v>825</v>
      </c>
      <c r="D511" s="94" t="str">
        <f>+[7]GRC!D9</f>
        <v>Cloud</v>
      </c>
      <c r="E511" s="94" t="s">
        <v>81</v>
      </c>
      <c r="F511" s="94" t="s">
        <v>194</v>
      </c>
      <c r="G511" s="94" t="s">
        <v>83</v>
      </c>
      <c r="H511" s="94" t="s">
        <v>95</v>
      </c>
      <c r="I511" s="94" t="s">
        <v>84</v>
      </c>
      <c r="J511" s="94" t="s">
        <v>148</v>
      </c>
      <c r="K511" s="94" t="s">
        <v>14</v>
      </c>
      <c r="L511" s="94" t="s">
        <v>71</v>
      </c>
      <c r="M511" s="94" t="s">
        <v>71</v>
      </c>
      <c r="N511" s="94" t="s">
        <v>138</v>
      </c>
      <c r="O511" s="259" t="str">
        <f t="shared" si="22"/>
        <v>B4 PM1 (9 to 12 yrs) / None</v>
      </c>
      <c r="P511" s="260"/>
      <c r="Q511" s="260" t="str">
        <f t="shared" si="26"/>
        <v>Cloud/PvtPubCloud/Architect/Junior</v>
      </c>
      <c r="R511" s="261" t="str">
        <f t="shared" si="24"/>
        <v>B4 PM1 (9 to 12 yrs) / None</v>
      </c>
      <c r="S511" s="260" t="str">
        <f t="shared" si="25"/>
        <v>Cloud_4</v>
      </c>
      <c r="T511" s="262" t="b">
        <v>0</v>
      </c>
      <c r="U511" s="263" t="str">
        <f>+VLOOKUP($C511,[8]GRC!$B$3:$L$350,9,0)</f>
        <v>B4 PM1 (9 to 12 yrs)</v>
      </c>
      <c r="V511" s="263" t="str">
        <f>+VLOOKUP($C511,[8]GRC!$B$3:$L$350,10,0)</f>
        <v>None</v>
      </c>
      <c r="W511" s="263" t="b">
        <f t="shared" si="23"/>
        <v>1</v>
      </c>
      <c r="X511" s="263" t="b">
        <f t="shared" si="23"/>
        <v>1</v>
      </c>
    </row>
    <row r="512" spans="1:24" ht="15">
      <c r="A512" s="93">
        <v>8</v>
      </c>
      <c r="B512" s="94" t="s">
        <v>357</v>
      </c>
      <c r="C512" s="295" t="s">
        <v>826</v>
      </c>
      <c r="D512" s="94" t="str">
        <f>+[7]GRC!D10</f>
        <v>Cloud</v>
      </c>
      <c r="E512" s="94" t="s">
        <v>81</v>
      </c>
      <c r="F512" s="94" t="s">
        <v>194</v>
      </c>
      <c r="G512" s="94" t="s">
        <v>83</v>
      </c>
      <c r="H512" s="94" t="s">
        <v>95</v>
      </c>
      <c r="I512" s="94" t="s">
        <v>193</v>
      </c>
      <c r="J512" s="94" t="s">
        <v>149</v>
      </c>
      <c r="K512" s="94" t="s">
        <v>42</v>
      </c>
      <c r="L512" s="94" t="s">
        <v>41</v>
      </c>
      <c r="M512" s="94" t="s">
        <v>71</v>
      </c>
      <c r="N512" s="94" t="s">
        <v>138</v>
      </c>
      <c r="O512" s="259" t="str">
        <f t="shared" si="22"/>
        <v>B4 PM2 (10 to 14 yrs) / B4 PM3 (12 to 15 yrs)</v>
      </c>
      <c r="P512" s="260"/>
      <c r="Q512" s="260" t="str">
        <f t="shared" si="26"/>
        <v>Cloud/PvtPubCloud/Architect/MidLevel</v>
      </c>
      <c r="R512" s="261" t="str">
        <f t="shared" si="24"/>
        <v>B4 PM2 (10 to 14 yrs) / B4 PM3 (12 to 15 yrs)</v>
      </c>
      <c r="S512" s="260" t="str">
        <f t="shared" si="25"/>
        <v>Cloud_12</v>
      </c>
      <c r="T512" s="262" t="b">
        <v>0</v>
      </c>
      <c r="U512" s="263" t="str">
        <f>+VLOOKUP($C512,[8]GRC!$B$3:$L$350,9,0)</f>
        <v>B4 PM2 (10 to 14 yrs)</v>
      </c>
      <c r="V512" s="263" t="str">
        <f>+VLOOKUP($C512,[8]GRC!$B$3:$L$350,10,0)</f>
        <v>B4 PM3 (12 to 15 yrs)</v>
      </c>
      <c r="W512" s="263" t="b">
        <f t="shared" si="23"/>
        <v>1</v>
      </c>
      <c r="X512" s="263" t="b">
        <f t="shared" si="23"/>
        <v>1</v>
      </c>
    </row>
    <row r="513" spans="1:24" ht="15">
      <c r="A513" s="93">
        <v>9</v>
      </c>
      <c r="B513" s="94" t="s">
        <v>358</v>
      </c>
      <c r="C513" s="295" t="s">
        <v>827</v>
      </c>
      <c r="D513" s="94" t="str">
        <f>+[7]GRC!D11</f>
        <v>Cloud</v>
      </c>
      <c r="E513" s="94" t="s">
        <v>81</v>
      </c>
      <c r="F513" s="94" t="s">
        <v>194</v>
      </c>
      <c r="G513" s="94" t="s">
        <v>83</v>
      </c>
      <c r="H513" s="94" t="s">
        <v>95</v>
      </c>
      <c r="I513" s="94" t="s">
        <v>91</v>
      </c>
      <c r="J513" s="94" t="s">
        <v>139</v>
      </c>
      <c r="K513" s="94" t="s">
        <v>41</v>
      </c>
      <c r="L513" s="94" t="s">
        <v>13</v>
      </c>
      <c r="M513" s="94" t="s">
        <v>71</v>
      </c>
      <c r="N513" s="94" t="s">
        <v>138</v>
      </c>
      <c r="O513" s="259" t="str">
        <f t="shared" si="22"/>
        <v>B4 PM3 (12 to 15 yrs) / B5 (min 8 yrs)</v>
      </c>
      <c r="P513" s="260"/>
      <c r="Q513" s="260" t="str">
        <f t="shared" si="26"/>
        <v>Cloud/PvtPubCloud/Architect/Senior</v>
      </c>
      <c r="R513" s="261" t="str">
        <f t="shared" si="24"/>
        <v>B4 PM3 (12 to 15 yrs) / B5 (min 8 yrs)</v>
      </c>
      <c r="S513" s="260" t="str">
        <f t="shared" si="25"/>
        <v>Cloud_5</v>
      </c>
      <c r="T513" s="262" t="b">
        <v>0</v>
      </c>
      <c r="U513" s="263" t="str">
        <f>+VLOOKUP($C513,[8]GRC!$B$3:$L$350,9,0)</f>
        <v>B4 PM3 (12 to 15 yrs)</v>
      </c>
      <c r="V513" s="263" t="str">
        <f>+VLOOKUP($C513,[8]GRC!$B$3:$L$350,10,0)</f>
        <v>B5 (min 8 yrs)</v>
      </c>
      <c r="W513" s="263" t="b">
        <f t="shared" si="23"/>
        <v>1</v>
      </c>
      <c r="X513" s="263" t="b">
        <f t="shared" si="23"/>
        <v>1</v>
      </c>
    </row>
    <row r="514" spans="1:24" ht="15">
      <c r="A514" s="93">
        <v>10</v>
      </c>
      <c r="B514" s="94" t="s">
        <v>359</v>
      </c>
      <c r="C514" s="295" t="s">
        <v>828</v>
      </c>
      <c r="D514" s="94" t="str">
        <f>+[7]GRC!D12</f>
        <v>Cloud</v>
      </c>
      <c r="E514" s="94" t="s">
        <v>81</v>
      </c>
      <c r="F514" s="94" t="s">
        <v>194</v>
      </c>
      <c r="G514" s="94" t="s">
        <v>92</v>
      </c>
      <c r="H514" s="94" t="s">
        <v>95</v>
      </c>
      <c r="I514" s="94" t="s">
        <v>84</v>
      </c>
      <c r="J514" s="94" t="s">
        <v>150</v>
      </c>
      <c r="K514" s="94" t="s">
        <v>20</v>
      </c>
      <c r="L514" s="94" t="s">
        <v>19</v>
      </c>
      <c r="M514" s="94" t="s">
        <v>71</v>
      </c>
      <c r="N514" s="94" t="s">
        <v>138</v>
      </c>
      <c r="O514" s="259" t="str">
        <f t="shared" si="22"/>
        <v>B2 AP1 / B2 AP2 (0.6 to 3 yrs)</v>
      </c>
      <c r="P514" s="260"/>
      <c r="Q514" s="260" t="str">
        <f t="shared" si="26"/>
        <v>Cloud/PvtPubCloud/Developer/Junior</v>
      </c>
      <c r="R514" s="261" t="str">
        <f t="shared" si="24"/>
        <v>B2 AP1 / B2 AP2 (0.6 to 3 yrs)</v>
      </c>
      <c r="S514" s="260" t="str">
        <f t="shared" si="25"/>
        <v>Cloud_8</v>
      </c>
      <c r="T514" s="262" t="b">
        <v>0</v>
      </c>
      <c r="U514" s="263" t="str">
        <f>+VLOOKUP($C514,[8]GRC!$B$3:$L$350,9,0)</f>
        <v>B2 AP1</v>
      </c>
      <c r="V514" s="263" t="str">
        <f>+VLOOKUP($C514,[8]GRC!$B$3:$L$350,10,0)</f>
        <v>B2 AP2 (0.6 to 3 yrs)</v>
      </c>
      <c r="W514" s="263" t="b">
        <f t="shared" si="23"/>
        <v>1</v>
      </c>
      <c r="X514" s="263" t="b">
        <f t="shared" si="23"/>
        <v>1</v>
      </c>
    </row>
    <row r="515" spans="1:24" ht="15">
      <c r="A515" s="93">
        <v>11</v>
      </c>
      <c r="B515" s="94" t="s">
        <v>360</v>
      </c>
      <c r="C515" s="295" t="s">
        <v>829</v>
      </c>
      <c r="D515" s="94" t="str">
        <f>+[7]GRC!D13</f>
        <v>Cloud</v>
      </c>
      <c r="E515" s="94" t="s">
        <v>81</v>
      </c>
      <c r="F515" s="94" t="s">
        <v>194</v>
      </c>
      <c r="G515" s="94" t="s">
        <v>92</v>
      </c>
      <c r="H515" s="94" t="s">
        <v>95</v>
      </c>
      <c r="I515" s="94" t="s">
        <v>193</v>
      </c>
      <c r="J515" s="94" t="s">
        <v>151</v>
      </c>
      <c r="K515" s="94" t="s">
        <v>19</v>
      </c>
      <c r="L515" s="94" t="s">
        <v>18</v>
      </c>
      <c r="M515" s="94" t="s">
        <v>71</v>
      </c>
      <c r="N515" s="94" t="s">
        <v>138</v>
      </c>
      <c r="O515" s="259" t="str">
        <f t="shared" si="22"/>
        <v>B2 AP2 (0.6 to 3 yrs) / B2 AP3 (3 to 5 yrs)</v>
      </c>
      <c r="P515" s="260"/>
      <c r="Q515" s="260" t="str">
        <f t="shared" si="26"/>
        <v>Cloud/PvtPubCloud/Developer/MidLevel</v>
      </c>
      <c r="R515" s="261" t="str">
        <f t="shared" si="24"/>
        <v>B2 AP2 (0.6 to 3 yrs) / B2 AP3 (3 to 5 yrs)</v>
      </c>
      <c r="S515" s="260" t="str">
        <f t="shared" si="25"/>
        <v>Cloud_9</v>
      </c>
      <c r="T515" s="262" t="b">
        <v>0</v>
      </c>
      <c r="U515" s="263" t="str">
        <f>+VLOOKUP($C515,[8]GRC!$B$3:$L$350,9,0)</f>
        <v>B2 AP2 (0.6 to 3 yrs)</v>
      </c>
      <c r="V515" s="263" t="str">
        <f>+VLOOKUP($C515,[8]GRC!$B$3:$L$350,10,0)</f>
        <v>B2 AP3 (3 to 5 yrs)</v>
      </c>
      <c r="W515" s="263" t="b">
        <f t="shared" si="23"/>
        <v>1</v>
      </c>
      <c r="X515" s="263" t="b">
        <f t="shared" si="23"/>
        <v>1</v>
      </c>
    </row>
    <row r="516" spans="1:24" ht="15">
      <c r="A516" s="93">
        <v>12</v>
      </c>
      <c r="B516" s="94" t="s">
        <v>361</v>
      </c>
      <c r="C516" s="295" t="s">
        <v>830</v>
      </c>
      <c r="D516" s="94" t="str">
        <f>+[7]GRC!D14</f>
        <v>Cloud</v>
      </c>
      <c r="E516" s="94" t="s">
        <v>81</v>
      </c>
      <c r="F516" s="94" t="s">
        <v>194</v>
      </c>
      <c r="G516" s="94" t="s">
        <v>92</v>
      </c>
      <c r="H516" s="94" t="s">
        <v>95</v>
      </c>
      <c r="I516" s="94" t="s">
        <v>91</v>
      </c>
      <c r="J516" s="94" t="s">
        <v>145</v>
      </c>
      <c r="K516" s="94" t="s">
        <v>18</v>
      </c>
      <c r="L516" s="94" t="s">
        <v>17</v>
      </c>
      <c r="M516" s="94" t="s">
        <v>71</v>
      </c>
      <c r="N516" s="94" t="s">
        <v>138</v>
      </c>
      <c r="O516" s="259" t="str">
        <f t="shared" si="22"/>
        <v>B2 AP3 (3 to 5 yrs) / B3 PL1 (5 to 7 yrs)</v>
      </c>
      <c r="P516" s="260"/>
      <c r="Q516" s="260" t="str">
        <f t="shared" si="26"/>
        <v>Cloud/PvtPubCloud/Developer/Senior</v>
      </c>
      <c r="R516" s="261" t="str">
        <f t="shared" si="24"/>
        <v>B2 AP3 (3 to 5 yrs) / B3 PL1 (5 to 7 yrs)</v>
      </c>
      <c r="S516" s="260" t="str">
        <f t="shared" si="25"/>
        <v>Cloud_10</v>
      </c>
      <c r="T516" s="262" t="b">
        <v>0</v>
      </c>
      <c r="U516" s="263" t="str">
        <f>+VLOOKUP($C516,[8]GRC!$B$3:$L$350,9,0)</f>
        <v>B2 AP3 (3 to 5 yrs)</v>
      </c>
      <c r="V516" s="263" t="str">
        <f>+VLOOKUP($C516,[8]GRC!$B$3:$L$350,10,0)</f>
        <v>B3 PL1 (5 to 7 yrs)</v>
      </c>
      <c r="W516" s="263" t="b">
        <f t="shared" si="23"/>
        <v>1</v>
      </c>
      <c r="X516" s="263" t="b">
        <f t="shared" si="23"/>
        <v>1</v>
      </c>
    </row>
    <row r="517" spans="1:24" ht="15">
      <c r="A517" s="93">
        <v>13</v>
      </c>
      <c r="B517" s="94" t="s">
        <v>362</v>
      </c>
      <c r="C517" s="295" t="s">
        <v>831</v>
      </c>
      <c r="D517" s="94" t="str">
        <f>+[7]GRC!D15</f>
        <v>Cloud</v>
      </c>
      <c r="E517" s="94" t="s">
        <v>81</v>
      </c>
      <c r="F517" s="94" t="s">
        <v>194</v>
      </c>
      <c r="G517" s="94" t="s">
        <v>195</v>
      </c>
      <c r="H517" s="94" t="s">
        <v>95</v>
      </c>
      <c r="I517" s="94" t="s">
        <v>84</v>
      </c>
      <c r="J517" s="94" t="s">
        <v>145</v>
      </c>
      <c r="K517" s="94" t="s">
        <v>17</v>
      </c>
      <c r="L517" s="94" t="s">
        <v>16</v>
      </c>
      <c r="M517" s="94" t="s">
        <v>71</v>
      </c>
      <c r="N517" s="94" t="s">
        <v>138</v>
      </c>
      <c r="O517" s="259" t="str">
        <f t="shared" si="22"/>
        <v>B3 PL1 (5 to 7 yrs) / B3 PL2 (6 to 8 yrs)</v>
      </c>
      <c r="P517" s="260"/>
      <c r="Q517" s="260" t="str">
        <f t="shared" si="26"/>
        <v>Cloud/PvtPubCloud/TechnicalLead/Junior</v>
      </c>
      <c r="R517" s="261" t="str">
        <f t="shared" si="24"/>
        <v>B3 PL1 (5 to 7 yrs) / B3 PL2 (6 to 8 yrs)</v>
      </c>
      <c r="S517" s="260" t="str">
        <f t="shared" si="25"/>
        <v>Cloud_13</v>
      </c>
      <c r="T517" s="262" t="b">
        <v>0</v>
      </c>
      <c r="U517" s="263" t="str">
        <f>+VLOOKUP($C517,[8]GRC!$B$3:$L$350,9,0)</f>
        <v>B3 PL1 (5 to 7 yrs)</v>
      </c>
      <c r="V517" s="263" t="str">
        <f>+VLOOKUP($C517,[8]GRC!$B$3:$L$350,10,0)</f>
        <v>B3 PL2 (6 to 8 yrs)</v>
      </c>
      <c r="W517" s="263" t="b">
        <f t="shared" si="23"/>
        <v>1</v>
      </c>
      <c r="X517" s="263" t="b">
        <f t="shared" si="23"/>
        <v>1</v>
      </c>
    </row>
    <row r="518" spans="1:24" ht="15">
      <c r="A518" s="93">
        <v>14</v>
      </c>
      <c r="B518" s="94" t="s">
        <v>363</v>
      </c>
      <c r="C518" s="295" t="s">
        <v>832</v>
      </c>
      <c r="D518" s="94" t="str">
        <f>+[7]GRC!D16</f>
        <v>Cloud</v>
      </c>
      <c r="E518" s="94" t="s">
        <v>81</v>
      </c>
      <c r="F518" s="94" t="s">
        <v>194</v>
      </c>
      <c r="G518" s="94" t="s">
        <v>195</v>
      </c>
      <c r="H518" s="94" t="s">
        <v>95</v>
      </c>
      <c r="I518" s="94" t="s">
        <v>91</v>
      </c>
      <c r="J518" s="94" t="s">
        <v>147</v>
      </c>
      <c r="K518" s="94" t="s">
        <v>15</v>
      </c>
      <c r="L518" s="94" t="s">
        <v>71</v>
      </c>
      <c r="M518" s="94" t="s">
        <v>71</v>
      </c>
      <c r="N518" s="94" t="s">
        <v>138</v>
      </c>
      <c r="O518" s="259" t="str">
        <f t="shared" si="22"/>
        <v>B3 PL3 (7 to 10 yrs) / None</v>
      </c>
      <c r="P518" s="260"/>
      <c r="Q518" s="260" t="str">
        <f t="shared" si="26"/>
        <v>Cloud/PvtPubCloud/TechnicalLead/Senior</v>
      </c>
      <c r="R518" s="261" t="str">
        <f t="shared" si="24"/>
        <v>B3 PL3 (7 to 10 yrs) / None</v>
      </c>
      <c r="S518" s="260" t="str">
        <f t="shared" si="25"/>
        <v>Cloud_14</v>
      </c>
      <c r="T518" s="262" t="b">
        <v>0</v>
      </c>
      <c r="U518" s="263" t="str">
        <f>+VLOOKUP($C518,[8]GRC!$B$3:$L$350,9,0)</f>
        <v>B3 PL3 (7 to 10 yrs)</v>
      </c>
      <c r="V518" s="263" t="str">
        <f>+VLOOKUP($C518,[8]GRC!$B$3:$L$350,10,0)</f>
        <v>None</v>
      </c>
      <c r="W518" s="263" t="b">
        <f t="shared" si="23"/>
        <v>1</v>
      </c>
      <c r="X518" s="263" t="b">
        <f t="shared" si="23"/>
        <v>1</v>
      </c>
    </row>
    <row r="519" spans="1:24" ht="15">
      <c r="A519" s="93">
        <v>15</v>
      </c>
      <c r="B519" s="94" t="s">
        <v>364</v>
      </c>
      <c r="C519" s="295" t="s">
        <v>833</v>
      </c>
      <c r="D519" s="94" t="str">
        <f>+[7]GRC!D17</f>
        <v>ECM</v>
      </c>
      <c r="E519" s="94" t="s">
        <v>87</v>
      </c>
      <c r="F519" s="94" t="s">
        <v>146</v>
      </c>
      <c r="G519" s="94" t="s">
        <v>196</v>
      </c>
      <c r="H519" s="94"/>
      <c r="I519" s="94" t="s">
        <v>84</v>
      </c>
      <c r="J519" s="94" t="s">
        <v>153</v>
      </c>
      <c r="K519" s="94" t="s">
        <v>18</v>
      </c>
      <c r="L519" s="94" t="s">
        <v>71</v>
      </c>
      <c r="M519" s="94" t="s">
        <v>71</v>
      </c>
      <c r="N519" s="94" t="s">
        <v>138</v>
      </c>
      <c r="O519" s="259" t="str">
        <f t="shared" si="22"/>
        <v>B2 AP3 (3 to 5 yrs) / None</v>
      </c>
      <c r="P519" s="260"/>
      <c r="Q519" s="260" t="str">
        <f t="shared" si="26"/>
        <v>ECM/SharePoint/AdministratorSharepoint/Junior</v>
      </c>
      <c r="R519" s="261" t="str">
        <f t="shared" si="24"/>
        <v>B2 AP3 (3 to 5 yrs) / None</v>
      </c>
      <c r="S519" s="260" t="str">
        <f t="shared" si="25"/>
        <v>ECM_1</v>
      </c>
      <c r="T519" s="262" t="b">
        <v>0</v>
      </c>
      <c r="U519" s="263" t="str">
        <f>+VLOOKUP($C519,[8]GRC!$B$3:$L$350,9,0)</f>
        <v>B2 AP3 (3 to 5 yrs)</v>
      </c>
      <c r="V519" s="263" t="str">
        <f>+VLOOKUP($C519,[8]GRC!$B$3:$L$350,10,0)</f>
        <v>None</v>
      </c>
      <c r="W519" s="263" t="b">
        <f t="shared" si="23"/>
        <v>1</v>
      </c>
      <c r="X519" s="263" t="b">
        <f t="shared" si="23"/>
        <v>1</v>
      </c>
    </row>
    <row r="520" spans="1:24" ht="15">
      <c r="A520" s="93">
        <v>16</v>
      </c>
      <c r="B520" s="94" t="s">
        <v>365</v>
      </c>
      <c r="C520" s="295" t="s">
        <v>834</v>
      </c>
      <c r="D520" s="94" t="str">
        <f>+[7]GRC!D18</f>
        <v>ECM</v>
      </c>
      <c r="E520" s="94" t="s">
        <v>87</v>
      </c>
      <c r="F520" s="94" t="s">
        <v>146</v>
      </c>
      <c r="G520" s="94" t="s">
        <v>196</v>
      </c>
      <c r="H520" s="94"/>
      <c r="I520" s="94" t="s">
        <v>193</v>
      </c>
      <c r="J520" s="94" t="s">
        <v>145</v>
      </c>
      <c r="K520" s="94" t="s">
        <v>17</v>
      </c>
      <c r="L520" s="94" t="s">
        <v>16</v>
      </c>
      <c r="M520" s="94" t="s">
        <v>71</v>
      </c>
      <c r="N520" s="94" t="s">
        <v>138</v>
      </c>
      <c r="O520" s="259" t="str">
        <f t="shared" si="22"/>
        <v>B3 PL1 (5 to 7 yrs) / B3 PL2 (6 to 8 yrs)</v>
      </c>
      <c r="P520" s="260"/>
      <c r="Q520" s="260" t="str">
        <f t="shared" si="26"/>
        <v>ECM/SharePoint/AdministratorSharepoint/MidLevel</v>
      </c>
      <c r="R520" s="261" t="str">
        <f t="shared" si="24"/>
        <v>B3 PL1 (5 to 7 yrs) / B3 PL2 (6 to 8 yrs)</v>
      </c>
      <c r="S520" s="260" t="str">
        <f t="shared" si="25"/>
        <v>ECM_20</v>
      </c>
      <c r="T520" s="262" t="b">
        <v>0</v>
      </c>
      <c r="U520" s="263" t="str">
        <f>+VLOOKUP($C520,[8]GRC!$B$3:$L$350,9,0)</f>
        <v>B3 PL1 (5 to 7 yrs)</v>
      </c>
      <c r="V520" s="263" t="str">
        <f>+VLOOKUP($C520,[8]GRC!$B$3:$L$350,10,0)</f>
        <v>B3 PL2 (6 to 8 yrs)</v>
      </c>
      <c r="W520" s="263" t="b">
        <f t="shared" si="23"/>
        <v>1</v>
      </c>
      <c r="X520" s="263" t="b">
        <f t="shared" si="23"/>
        <v>1</v>
      </c>
    </row>
    <row r="521" spans="1:24" ht="15">
      <c r="A521" s="93">
        <v>17</v>
      </c>
      <c r="B521" s="94" t="s">
        <v>366</v>
      </c>
      <c r="C521" s="295" t="s">
        <v>835</v>
      </c>
      <c r="D521" s="94" t="str">
        <f>+[7]GRC!D19</f>
        <v>ECM</v>
      </c>
      <c r="E521" s="94" t="s">
        <v>87</v>
      </c>
      <c r="F521" s="94" t="s">
        <v>146</v>
      </c>
      <c r="G521" s="94" t="s">
        <v>196</v>
      </c>
      <c r="H521" s="94"/>
      <c r="I521" s="94" t="s">
        <v>91</v>
      </c>
      <c r="J521" s="94" t="s">
        <v>147</v>
      </c>
      <c r="K521" s="94" t="s">
        <v>16</v>
      </c>
      <c r="L521" s="94" t="s">
        <v>15</v>
      </c>
      <c r="M521" s="94" t="s">
        <v>71</v>
      </c>
      <c r="N521" s="94" t="s">
        <v>138</v>
      </c>
      <c r="O521" s="259" t="str">
        <f t="shared" si="22"/>
        <v>B3 PL2 (6 to 8 yrs) / B3 PL3 (7 to 10 yrs)</v>
      </c>
      <c r="P521" s="260"/>
      <c r="Q521" s="260" t="str">
        <f t="shared" si="26"/>
        <v>ECM/SharePoint/AdministratorSharepoint/Senior</v>
      </c>
      <c r="R521" s="261" t="str">
        <f t="shared" si="24"/>
        <v>B3 PL2 (6 to 8 yrs) / B3 PL3 (7 to 10 yrs)</v>
      </c>
      <c r="S521" s="260" t="str">
        <f t="shared" si="25"/>
        <v>ECM_2</v>
      </c>
      <c r="T521" s="262" t="b">
        <v>0</v>
      </c>
      <c r="U521" s="263" t="str">
        <f>+VLOOKUP($C521,[8]GRC!$B$3:$L$350,9,0)</f>
        <v>B3 PL2 (6 to 8 yrs)</v>
      </c>
      <c r="V521" s="263" t="str">
        <f>+VLOOKUP($C521,[8]GRC!$B$3:$L$350,10,0)</f>
        <v>B3 PL3 (7 to 10 yrs)</v>
      </c>
      <c r="W521" s="263" t="b">
        <f t="shared" si="23"/>
        <v>1</v>
      </c>
      <c r="X521" s="263" t="b">
        <f t="shared" si="23"/>
        <v>1</v>
      </c>
    </row>
    <row r="522" spans="1:24" ht="15">
      <c r="A522" s="93">
        <v>18</v>
      </c>
      <c r="B522" s="94" t="s">
        <v>367</v>
      </c>
      <c r="C522" s="295" t="s">
        <v>836</v>
      </c>
      <c r="D522" s="94" t="str">
        <f>+[7]GRC!D20</f>
        <v>ECM</v>
      </c>
      <c r="E522" s="94" t="s">
        <v>87</v>
      </c>
      <c r="F522" s="94" t="s">
        <v>146</v>
      </c>
      <c r="G522" s="94" t="s">
        <v>197</v>
      </c>
      <c r="H522" s="94"/>
      <c r="I522" s="94" t="s">
        <v>84</v>
      </c>
      <c r="J522" s="94" t="s">
        <v>148</v>
      </c>
      <c r="K522" s="94" t="s">
        <v>14</v>
      </c>
      <c r="L522" s="94" t="s">
        <v>71</v>
      </c>
      <c r="M522" s="94" t="s">
        <v>71</v>
      </c>
      <c r="N522" s="94" t="s">
        <v>138</v>
      </c>
      <c r="O522" s="259" t="str">
        <f t="shared" si="22"/>
        <v>B4 PM1 (9 to 12 yrs) / None</v>
      </c>
      <c r="P522" s="260"/>
      <c r="Q522" s="260" t="str">
        <f t="shared" si="26"/>
        <v>ECM/SharePoint/ArchitectSharepoint/Junior</v>
      </c>
      <c r="R522" s="261" t="str">
        <f t="shared" si="24"/>
        <v>B4 PM1 (9 to 12 yrs) / None</v>
      </c>
      <c r="S522" s="260" t="str">
        <f t="shared" si="25"/>
        <v>ECM_3</v>
      </c>
      <c r="T522" s="262" t="b">
        <v>0</v>
      </c>
      <c r="U522" s="263" t="str">
        <f>+VLOOKUP($C522,[8]GRC!$B$3:$L$350,9,0)</f>
        <v>B4 PM1 (9 to 12 yrs)</v>
      </c>
      <c r="V522" s="263" t="str">
        <f>+VLOOKUP($C522,[8]GRC!$B$3:$L$350,10,0)</f>
        <v>None</v>
      </c>
      <c r="W522" s="263" t="b">
        <f t="shared" si="23"/>
        <v>1</v>
      </c>
      <c r="X522" s="263" t="b">
        <f t="shared" si="23"/>
        <v>1</v>
      </c>
    </row>
    <row r="523" spans="1:24" ht="15">
      <c r="A523" s="93">
        <v>19</v>
      </c>
      <c r="B523" s="94" t="s">
        <v>368</v>
      </c>
      <c r="C523" s="295" t="s">
        <v>837</v>
      </c>
      <c r="D523" s="94" t="str">
        <f>+[7]GRC!D21</f>
        <v>ECM</v>
      </c>
      <c r="E523" s="94" t="s">
        <v>87</v>
      </c>
      <c r="F523" s="94" t="s">
        <v>146</v>
      </c>
      <c r="G523" s="94" t="s">
        <v>197</v>
      </c>
      <c r="H523" s="94"/>
      <c r="I523" s="94" t="s">
        <v>193</v>
      </c>
      <c r="J523" s="94" t="s">
        <v>149</v>
      </c>
      <c r="K523" s="94" t="s">
        <v>42</v>
      </c>
      <c r="L523" s="94" t="s">
        <v>41</v>
      </c>
      <c r="M523" s="94" t="s">
        <v>71</v>
      </c>
      <c r="N523" s="94" t="s">
        <v>138</v>
      </c>
      <c r="O523" s="259" t="str">
        <f t="shared" si="22"/>
        <v>B4 PM2 (10 to 14 yrs) / B4 PM3 (12 to 15 yrs)</v>
      </c>
      <c r="P523" s="260"/>
      <c r="Q523" s="260" t="str">
        <f t="shared" si="26"/>
        <v>ECM/SharePoint/ArchitectSharepoint/MidLevel</v>
      </c>
      <c r="R523" s="261" t="str">
        <f t="shared" si="24"/>
        <v>B4 PM2 (10 to 14 yrs) / B4 PM3 (12 to 15 yrs)</v>
      </c>
      <c r="S523" s="260" t="str">
        <f t="shared" si="25"/>
        <v>ECM_4</v>
      </c>
      <c r="T523" s="262" t="b">
        <v>0</v>
      </c>
      <c r="U523" s="263" t="str">
        <f>+VLOOKUP($C523,[8]GRC!$B$3:$L$350,9,0)</f>
        <v>B4 PM2 (10 to 14 yrs)</v>
      </c>
      <c r="V523" s="263" t="str">
        <f>+VLOOKUP($C523,[8]GRC!$B$3:$L$350,10,0)</f>
        <v>B4 PM3 (12 to 15 yrs)</v>
      </c>
      <c r="W523" s="263" t="b">
        <f t="shared" si="23"/>
        <v>1</v>
      </c>
      <c r="X523" s="263" t="b">
        <f t="shared" si="23"/>
        <v>1</v>
      </c>
    </row>
    <row r="524" spans="1:24" ht="15">
      <c r="A524" s="93">
        <v>20</v>
      </c>
      <c r="B524" s="94" t="s">
        <v>369</v>
      </c>
      <c r="C524" s="295" t="s">
        <v>838</v>
      </c>
      <c r="D524" s="94" t="str">
        <f>+[7]GRC!D22</f>
        <v>ECM</v>
      </c>
      <c r="E524" s="94" t="s">
        <v>87</v>
      </c>
      <c r="F524" s="94" t="s">
        <v>146</v>
      </c>
      <c r="G524" s="94" t="s">
        <v>197</v>
      </c>
      <c r="H524" s="94"/>
      <c r="I524" s="94" t="s">
        <v>91</v>
      </c>
      <c r="J524" s="94" t="s">
        <v>139</v>
      </c>
      <c r="K524" s="94" t="s">
        <v>41</v>
      </c>
      <c r="L524" s="94" t="s">
        <v>13</v>
      </c>
      <c r="M524" s="94" t="s">
        <v>71</v>
      </c>
      <c r="N524" s="94" t="s">
        <v>138</v>
      </c>
      <c r="O524" s="259" t="str">
        <f t="shared" si="22"/>
        <v>B4 PM3 (12 to 15 yrs) / B5 (min 8 yrs)</v>
      </c>
      <c r="P524" s="260"/>
      <c r="Q524" s="260" t="str">
        <f t="shared" si="26"/>
        <v>ECM/SharePoint/ArchitectSharepoint/Senior</v>
      </c>
      <c r="R524" s="261" t="str">
        <f t="shared" si="24"/>
        <v>B4 PM3 (12 to 15 yrs) / B5 (min 8 yrs)</v>
      </c>
      <c r="S524" s="260" t="str">
        <f t="shared" si="25"/>
        <v>ECM_5</v>
      </c>
      <c r="T524" s="262" t="b">
        <v>0</v>
      </c>
      <c r="U524" s="263" t="str">
        <f>+VLOOKUP($C524,[8]GRC!$B$3:$L$350,9,0)</f>
        <v>B4 PM3 (12 to 15 yrs)</v>
      </c>
      <c r="V524" s="263" t="str">
        <f>+VLOOKUP($C524,[8]GRC!$B$3:$L$350,10,0)</f>
        <v>B5 (min 8 yrs)</v>
      </c>
      <c r="W524" s="263" t="b">
        <f t="shared" si="23"/>
        <v>1</v>
      </c>
      <c r="X524" s="263" t="b">
        <f t="shared" si="23"/>
        <v>1</v>
      </c>
    </row>
    <row r="525" spans="1:24" ht="15">
      <c r="A525" s="93">
        <v>21</v>
      </c>
      <c r="B525" s="94" t="s">
        <v>370</v>
      </c>
      <c r="C525" s="295" t="s">
        <v>839</v>
      </c>
      <c r="D525" s="94" t="str">
        <f>+[7]GRC!D23</f>
        <v>ECM</v>
      </c>
      <c r="E525" s="94" t="s">
        <v>87</v>
      </c>
      <c r="F525" s="94" t="s">
        <v>146</v>
      </c>
      <c r="G525" s="94" t="s">
        <v>198</v>
      </c>
      <c r="H525" s="94"/>
      <c r="I525" s="94" t="s">
        <v>84</v>
      </c>
      <c r="J525" s="94" t="s">
        <v>150</v>
      </c>
      <c r="K525" s="94" t="s">
        <v>20</v>
      </c>
      <c r="L525" s="94" t="s">
        <v>19</v>
      </c>
      <c r="M525" s="94" t="s">
        <v>71</v>
      </c>
      <c r="N525" s="94" t="s">
        <v>138</v>
      </c>
      <c r="O525" s="259" t="str">
        <f t="shared" si="22"/>
        <v>B2 AP1 / B2 AP2 (0.6 to 3 yrs)</v>
      </c>
      <c r="P525" s="260"/>
      <c r="Q525" s="260" t="str">
        <f t="shared" si="26"/>
        <v>ECM/SharePoint/DeveloperSharepoint/Junior</v>
      </c>
      <c r="R525" s="261" t="str">
        <f t="shared" si="24"/>
        <v>B2 AP1 / B2 AP2 (0.6 to 3 yrs)</v>
      </c>
      <c r="S525" s="260" t="str">
        <f t="shared" si="25"/>
        <v>ECM_7</v>
      </c>
      <c r="T525" s="262" t="b">
        <v>0</v>
      </c>
      <c r="U525" s="263" t="str">
        <f>+VLOOKUP($C525,[8]GRC!$B$3:$L$350,9,0)</f>
        <v>B2 AP1</v>
      </c>
      <c r="V525" s="263" t="str">
        <f>+VLOOKUP($C525,[8]GRC!$B$3:$L$350,10,0)</f>
        <v>B2 AP2 (0.6 to 3 yrs)</v>
      </c>
      <c r="W525" s="263" t="b">
        <f t="shared" si="23"/>
        <v>1</v>
      </c>
      <c r="X525" s="263" t="b">
        <f t="shared" si="23"/>
        <v>1</v>
      </c>
    </row>
    <row r="526" spans="1:24" ht="15">
      <c r="A526" s="93">
        <v>22</v>
      </c>
      <c r="B526" s="94" t="s">
        <v>371</v>
      </c>
      <c r="C526" s="295" t="s">
        <v>840</v>
      </c>
      <c r="D526" s="94" t="str">
        <f>+[7]GRC!D24</f>
        <v>ECM</v>
      </c>
      <c r="E526" s="94" t="s">
        <v>87</v>
      </c>
      <c r="F526" s="94" t="s">
        <v>146</v>
      </c>
      <c r="G526" s="94" t="s">
        <v>198</v>
      </c>
      <c r="H526" s="94"/>
      <c r="I526" s="94" t="s">
        <v>193</v>
      </c>
      <c r="J526" s="94" t="s">
        <v>151</v>
      </c>
      <c r="K526" s="94" t="s">
        <v>19</v>
      </c>
      <c r="L526" s="94" t="s">
        <v>18</v>
      </c>
      <c r="M526" s="94" t="s">
        <v>71</v>
      </c>
      <c r="N526" s="94" t="s">
        <v>138</v>
      </c>
      <c r="O526" s="259" t="str">
        <f t="shared" si="22"/>
        <v>B2 AP2 (0.6 to 3 yrs) / B2 AP3 (3 to 5 yrs)</v>
      </c>
      <c r="P526" s="260"/>
      <c r="Q526" s="260" t="str">
        <f t="shared" si="26"/>
        <v>ECM/SharePoint/DeveloperSharepoint/MidLevel</v>
      </c>
      <c r="R526" s="261" t="str">
        <f t="shared" si="24"/>
        <v>B2 AP2 (0.6 to 3 yrs) / B2 AP3 (3 to 5 yrs)</v>
      </c>
      <c r="S526" s="260" t="str">
        <f t="shared" si="25"/>
        <v>ECM_8</v>
      </c>
      <c r="T526" s="262" t="b">
        <v>0</v>
      </c>
      <c r="U526" s="263" t="str">
        <f>+VLOOKUP($C526,[8]GRC!$B$3:$L$350,9,0)</f>
        <v>B2 AP2 (0.6 to 3 yrs)</v>
      </c>
      <c r="V526" s="263" t="str">
        <f>+VLOOKUP($C526,[8]GRC!$B$3:$L$350,10,0)</f>
        <v>B2 AP3 (3 to 5 yrs)</v>
      </c>
      <c r="W526" s="263" t="b">
        <f t="shared" si="23"/>
        <v>1</v>
      </c>
      <c r="X526" s="263" t="b">
        <f t="shared" si="23"/>
        <v>1</v>
      </c>
    </row>
    <row r="527" spans="1:24" ht="15">
      <c r="A527" s="93">
        <v>23</v>
      </c>
      <c r="B527" s="94" t="s">
        <v>372</v>
      </c>
      <c r="C527" s="295" t="s">
        <v>841</v>
      </c>
      <c r="D527" s="94" t="str">
        <f>+[7]GRC!D25</f>
        <v>ECM</v>
      </c>
      <c r="E527" s="94" t="s">
        <v>87</v>
      </c>
      <c r="F527" s="94" t="s">
        <v>146</v>
      </c>
      <c r="G527" s="94" t="s">
        <v>198</v>
      </c>
      <c r="H527" s="94"/>
      <c r="I527" s="94" t="s">
        <v>91</v>
      </c>
      <c r="J527" s="94" t="s">
        <v>145</v>
      </c>
      <c r="K527" s="94" t="s">
        <v>18</v>
      </c>
      <c r="L527" s="94" t="s">
        <v>17</v>
      </c>
      <c r="M527" s="94" t="s">
        <v>71</v>
      </c>
      <c r="N527" s="94" t="s">
        <v>138</v>
      </c>
      <c r="O527" s="259" t="str">
        <f t="shared" si="22"/>
        <v>B2 AP3 (3 to 5 yrs) / B3 PL1 (5 to 7 yrs)</v>
      </c>
      <c r="P527" s="260"/>
      <c r="Q527" s="260" t="str">
        <f t="shared" si="26"/>
        <v>ECM/SharePoint/DeveloperSharepoint/Senior</v>
      </c>
      <c r="R527" s="261" t="str">
        <f t="shared" si="24"/>
        <v>B2 AP3 (3 to 5 yrs) / B3 PL1 (5 to 7 yrs)</v>
      </c>
      <c r="S527" s="260" t="str">
        <f t="shared" si="25"/>
        <v>ECM_9</v>
      </c>
      <c r="T527" s="262" t="b">
        <v>0</v>
      </c>
      <c r="U527" s="263" t="str">
        <f>+VLOOKUP($C527,[8]GRC!$B$3:$L$350,9,0)</f>
        <v>B2 AP3 (3 to 5 yrs)</v>
      </c>
      <c r="V527" s="263" t="str">
        <f>+VLOOKUP($C527,[8]GRC!$B$3:$L$350,10,0)</f>
        <v>B3 PL1 (5 to 7 yrs)</v>
      </c>
      <c r="W527" s="263" t="b">
        <f t="shared" si="23"/>
        <v>1</v>
      </c>
      <c r="X527" s="263" t="b">
        <f t="shared" si="23"/>
        <v>1</v>
      </c>
    </row>
    <row r="528" spans="1:24" ht="15">
      <c r="A528" s="93">
        <v>24</v>
      </c>
      <c r="B528" s="94" t="s">
        <v>373</v>
      </c>
      <c r="C528" s="295" t="s">
        <v>842</v>
      </c>
      <c r="D528" s="94" t="str">
        <f>+[7]GRC!D26</f>
        <v>ECM</v>
      </c>
      <c r="E528" s="94" t="s">
        <v>87</v>
      </c>
      <c r="F528" s="94" t="s">
        <v>146</v>
      </c>
      <c r="G528" s="94" t="s">
        <v>199</v>
      </c>
      <c r="H528" s="94"/>
      <c r="I528" s="94" t="s">
        <v>84</v>
      </c>
      <c r="J528" s="94" t="s">
        <v>145</v>
      </c>
      <c r="K528" s="94" t="s">
        <v>17</v>
      </c>
      <c r="L528" s="94" t="s">
        <v>16</v>
      </c>
      <c r="M528" s="94" t="s">
        <v>71</v>
      </c>
      <c r="N528" s="94" t="s">
        <v>138</v>
      </c>
      <c r="O528" s="259" t="str">
        <f t="shared" si="22"/>
        <v>B3 PL1 (5 to 7 yrs) / B3 PL2 (6 to 8 yrs)</v>
      </c>
      <c r="P528" s="260"/>
      <c r="Q528" s="260" t="str">
        <f t="shared" si="26"/>
        <v>ECM/SharePoint/TechnicalLeadSharepoint/Junior</v>
      </c>
      <c r="R528" s="261" t="str">
        <f t="shared" si="24"/>
        <v>B3 PL1 (5 to 7 yrs) / B3 PL2 (6 to 8 yrs)</v>
      </c>
      <c r="S528" s="260" t="str">
        <f t="shared" si="25"/>
        <v>ECM_10</v>
      </c>
      <c r="T528" s="262" t="b">
        <v>0</v>
      </c>
      <c r="U528" s="263" t="str">
        <f>+VLOOKUP($C528,[8]GRC!$B$3:$L$350,9,0)</f>
        <v>B3 PL1 (5 to 7 yrs)</v>
      </c>
      <c r="V528" s="263" t="str">
        <f>+VLOOKUP($C528,[8]GRC!$B$3:$L$350,10,0)</f>
        <v>B3 PL2 (6 to 8 yrs)</v>
      </c>
      <c r="W528" s="263" t="b">
        <f t="shared" si="23"/>
        <v>1</v>
      </c>
      <c r="X528" s="263" t="b">
        <f t="shared" si="23"/>
        <v>1</v>
      </c>
    </row>
    <row r="529" spans="1:24" ht="15">
      <c r="A529" s="93">
        <v>25</v>
      </c>
      <c r="B529" s="94" t="s">
        <v>374</v>
      </c>
      <c r="C529" s="295" t="s">
        <v>843</v>
      </c>
      <c r="D529" s="94" t="str">
        <f>+[7]GRC!D27</f>
        <v>ECM</v>
      </c>
      <c r="E529" s="94" t="s">
        <v>87</v>
      </c>
      <c r="F529" s="94" t="s">
        <v>146</v>
      </c>
      <c r="G529" s="94" t="s">
        <v>199</v>
      </c>
      <c r="H529" s="94"/>
      <c r="I529" s="94" t="s">
        <v>91</v>
      </c>
      <c r="J529" s="94" t="s">
        <v>147</v>
      </c>
      <c r="K529" s="94" t="s">
        <v>15</v>
      </c>
      <c r="L529" s="94" t="s">
        <v>71</v>
      </c>
      <c r="M529" s="94" t="s">
        <v>71</v>
      </c>
      <c r="N529" s="94" t="s">
        <v>138</v>
      </c>
      <c r="O529" s="259" t="str">
        <f t="shared" si="22"/>
        <v>B3 PL3 (7 to 10 yrs) / None</v>
      </c>
      <c r="P529" s="260"/>
      <c r="Q529" s="260" t="str">
        <f t="shared" si="26"/>
        <v>ECM/SharePoint/TechnicalLeadSharepoint/Senior</v>
      </c>
      <c r="R529" s="261" t="str">
        <f t="shared" si="24"/>
        <v>B3 PL3 (7 to 10 yrs) / None</v>
      </c>
      <c r="S529" s="260" t="str">
        <f t="shared" si="25"/>
        <v>ECM_12</v>
      </c>
      <c r="T529" s="262" t="b">
        <v>0</v>
      </c>
      <c r="U529" s="263" t="str">
        <f>+VLOOKUP($C529,[8]GRC!$B$3:$L$350,9,0)</f>
        <v>B3 PL3 (7 to 10 yrs)</v>
      </c>
      <c r="V529" s="263" t="str">
        <f>+VLOOKUP($C529,[8]GRC!$B$3:$L$350,10,0)</f>
        <v>None</v>
      </c>
      <c r="W529" s="263" t="b">
        <f t="shared" si="23"/>
        <v>1</v>
      </c>
      <c r="X529" s="263" t="b">
        <f t="shared" si="23"/>
        <v>1</v>
      </c>
    </row>
    <row r="530" spans="1:24" ht="15">
      <c r="A530" s="93">
        <v>26</v>
      </c>
      <c r="B530" s="94" t="s">
        <v>375</v>
      </c>
      <c r="C530" s="295" t="s">
        <v>844</v>
      </c>
      <c r="D530" s="94" t="str">
        <f>+[7]GRC!D28</f>
        <v>ECM</v>
      </c>
      <c r="E530" s="94" t="s">
        <v>87</v>
      </c>
      <c r="F530" s="94" t="s">
        <v>146</v>
      </c>
      <c r="G530" s="94" t="s">
        <v>200</v>
      </c>
      <c r="H530" s="94" t="s">
        <v>94</v>
      </c>
      <c r="I530" s="94" t="s">
        <v>84</v>
      </c>
      <c r="J530" s="94" t="s">
        <v>145</v>
      </c>
      <c r="K530" s="94" t="s">
        <v>17</v>
      </c>
      <c r="L530" s="94" t="s">
        <v>16</v>
      </c>
      <c r="M530" s="94" t="s">
        <v>71</v>
      </c>
      <c r="N530" s="94" t="s">
        <v>138</v>
      </c>
      <c r="O530" s="259" t="str">
        <f t="shared" si="22"/>
        <v>B3 PL1 (5 to 7 yrs) / B3 PL2 (6 to 8 yrs)</v>
      </c>
      <c r="P530" s="260"/>
      <c r="Q530" s="260" t="str">
        <f t="shared" si="26"/>
        <v>ECM/SharePoint/TestLeadShaerpoint/Junior</v>
      </c>
      <c r="R530" s="261" t="str">
        <f t="shared" si="24"/>
        <v>B3 PL1 (5 to 7 yrs) / B3 PL2 (6 to 8 yrs)</v>
      </c>
      <c r="S530" s="260" t="str">
        <f t="shared" si="25"/>
        <v>ECM_18</v>
      </c>
      <c r="T530" s="262" t="b">
        <v>0</v>
      </c>
      <c r="U530" s="263" t="str">
        <f>+VLOOKUP($C530,[8]GRC!$B$3:$L$350,9,0)</f>
        <v>B3 PL1 (5 to 7 yrs)</v>
      </c>
      <c r="V530" s="263" t="str">
        <f>+VLOOKUP($C530,[8]GRC!$B$3:$L$350,10,0)</f>
        <v>B3 PL2 (6 to 8 yrs)</v>
      </c>
      <c r="W530" s="263" t="b">
        <f t="shared" si="23"/>
        <v>1</v>
      </c>
      <c r="X530" s="263" t="b">
        <f t="shared" si="23"/>
        <v>1</v>
      </c>
    </row>
    <row r="531" spans="1:24" ht="15">
      <c r="A531" s="93">
        <v>27</v>
      </c>
      <c r="B531" s="94" t="s">
        <v>376</v>
      </c>
      <c r="C531" s="295" t="s">
        <v>845</v>
      </c>
      <c r="D531" s="94" t="str">
        <f>+[7]GRC!D29</f>
        <v>ECM</v>
      </c>
      <c r="E531" s="94" t="s">
        <v>87</v>
      </c>
      <c r="F531" s="94" t="s">
        <v>146</v>
      </c>
      <c r="G531" s="94" t="s">
        <v>200</v>
      </c>
      <c r="H531" s="94" t="s">
        <v>94</v>
      </c>
      <c r="I531" s="94" t="s">
        <v>91</v>
      </c>
      <c r="J531" s="94" t="s">
        <v>147</v>
      </c>
      <c r="K531" s="94" t="s">
        <v>15</v>
      </c>
      <c r="L531" s="94" t="s">
        <v>71</v>
      </c>
      <c r="M531" s="94" t="s">
        <v>71</v>
      </c>
      <c r="N531" s="94" t="s">
        <v>138</v>
      </c>
      <c r="O531" s="259" t="str">
        <f t="shared" si="22"/>
        <v>B3 PL3 (7 to 10 yrs) / None</v>
      </c>
      <c r="P531" s="260"/>
      <c r="Q531" s="260" t="str">
        <f t="shared" si="26"/>
        <v>ECM/SharePoint/TestLeadShaerpoint/Senior</v>
      </c>
      <c r="R531" s="261" t="str">
        <f t="shared" si="24"/>
        <v>B3 PL3 (7 to 10 yrs) / None</v>
      </c>
      <c r="S531" s="260" t="str">
        <f t="shared" si="25"/>
        <v>ECM_19</v>
      </c>
      <c r="T531" s="262" t="b">
        <v>0</v>
      </c>
      <c r="U531" s="263" t="str">
        <f>+VLOOKUP($C531,[8]GRC!$B$3:$L$350,9,0)</f>
        <v>B3 PL3 (7 to 10 yrs)</v>
      </c>
      <c r="V531" s="263" t="str">
        <f>+VLOOKUP($C531,[8]GRC!$B$3:$L$350,10,0)</f>
        <v>None</v>
      </c>
      <c r="W531" s="263" t="b">
        <f t="shared" si="23"/>
        <v>1</v>
      </c>
      <c r="X531" s="263" t="b">
        <f t="shared" si="23"/>
        <v>1</v>
      </c>
    </row>
    <row r="532" spans="1:24" ht="15">
      <c r="A532" s="93">
        <v>28</v>
      </c>
      <c r="B532" s="94" t="s">
        <v>377</v>
      </c>
      <c r="C532" s="295" t="s">
        <v>846</v>
      </c>
      <c r="D532" s="94" t="str">
        <f>+[7]GRC!D30</f>
        <v>ECM</v>
      </c>
      <c r="E532" s="94" t="s">
        <v>87</v>
      </c>
      <c r="F532" s="94" t="s">
        <v>146</v>
      </c>
      <c r="G532" s="94" t="s">
        <v>201</v>
      </c>
      <c r="H532" s="94" t="s">
        <v>94</v>
      </c>
      <c r="I532" s="94" t="s">
        <v>84</v>
      </c>
      <c r="J532" s="94" t="s">
        <v>150</v>
      </c>
      <c r="K532" s="94" t="s">
        <v>20</v>
      </c>
      <c r="L532" s="94" t="s">
        <v>19</v>
      </c>
      <c r="M532" s="94" t="s">
        <v>71</v>
      </c>
      <c r="N532" s="94" t="s">
        <v>138</v>
      </c>
      <c r="O532" s="259" t="str">
        <f t="shared" si="22"/>
        <v>B2 AP1 / B2 AP2 (0.6 to 3 yrs)</v>
      </c>
      <c r="P532" s="260"/>
      <c r="Q532" s="260" t="str">
        <f t="shared" si="26"/>
        <v>ECM/SharePoint/TesterSharepoint/Junior</v>
      </c>
      <c r="R532" s="261" t="str">
        <f t="shared" si="24"/>
        <v>B2 AP1 / B2 AP2 (0.6 to 3 yrs)</v>
      </c>
      <c r="S532" s="260" t="str">
        <f t="shared" si="25"/>
        <v>ECM_15</v>
      </c>
      <c r="T532" s="262" t="b">
        <v>0</v>
      </c>
      <c r="U532" s="263" t="str">
        <f>+VLOOKUP($C532,[8]GRC!$B$3:$L$350,9,0)</f>
        <v>B2 AP1</v>
      </c>
      <c r="V532" s="263" t="str">
        <f>+VLOOKUP($C532,[8]GRC!$B$3:$L$350,10,0)</f>
        <v>B2 AP2 (0.6 to 3 yrs)</v>
      </c>
      <c r="W532" s="263" t="b">
        <f t="shared" si="23"/>
        <v>1</v>
      </c>
      <c r="X532" s="263" t="b">
        <f t="shared" si="23"/>
        <v>1</v>
      </c>
    </row>
    <row r="533" spans="1:24" ht="15">
      <c r="A533" s="93">
        <v>29</v>
      </c>
      <c r="B533" s="94" t="s">
        <v>378</v>
      </c>
      <c r="C533" s="295" t="s">
        <v>847</v>
      </c>
      <c r="D533" s="94" t="str">
        <f>+[7]GRC!D31</f>
        <v>ECM</v>
      </c>
      <c r="E533" s="94" t="s">
        <v>87</v>
      </c>
      <c r="F533" s="94" t="s">
        <v>146</v>
      </c>
      <c r="G533" s="94" t="s">
        <v>201</v>
      </c>
      <c r="H533" s="94" t="s">
        <v>94</v>
      </c>
      <c r="I533" s="94" t="s">
        <v>91</v>
      </c>
      <c r="J533" s="94" t="s">
        <v>151</v>
      </c>
      <c r="K533" s="94" t="s">
        <v>19</v>
      </c>
      <c r="L533" s="94" t="s">
        <v>18</v>
      </c>
      <c r="M533" s="94" t="s">
        <v>71</v>
      </c>
      <c r="N533" s="94" t="s">
        <v>138</v>
      </c>
      <c r="O533" s="259" t="str">
        <f t="shared" si="22"/>
        <v>B2 AP2 (0.6 to 3 yrs) / B2 AP3 (3 to 5 yrs)</v>
      </c>
      <c r="P533" s="260"/>
      <c r="Q533" s="260" t="str">
        <f t="shared" si="26"/>
        <v>ECM/SharePoint/TesterSharepoint/Senior</v>
      </c>
      <c r="R533" s="261" t="str">
        <f t="shared" si="24"/>
        <v>B2 AP2 (0.6 to 3 yrs) / B2 AP3 (3 to 5 yrs)</v>
      </c>
      <c r="S533" s="260" t="str">
        <f t="shared" si="25"/>
        <v>ECM_17</v>
      </c>
      <c r="T533" s="262" t="b">
        <v>0</v>
      </c>
      <c r="U533" s="263" t="str">
        <f>+VLOOKUP($C533,[8]GRC!$B$3:$L$350,9,0)</f>
        <v>B2 AP2 (0.6 to 3 yrs)</v>
      </c>
      <c r="V533" s="263" t="str">
        <f>+VLOOKUP($C533,[8]GRC!$B$3:$L$350,10,0)</f>
        <v>B2 AP3 (3 to 5 yrs)</v>
      </c>
      <c r="W533" s="263" t="b">
        <f t="shared" si="23"/>
        <v>1</v>
      </c>
      <c r="X533" s="263" t="b">
        <f t="shared" si="23"/>
        <v>1</v>
      </c>
    </row>
    <row r="534" spans="1:24" ht="15">
      <c r="A534" s="93">
        <v>30</v>
      </c>
      <c r="B534" s="94" t="s">
        <v>379</v>
      </c>
      <c r="C534" s="295" t="s">
        <v>848</v>
      </c>
      <c r="D534" s="94" t="str">
        <f>+[7]GRC!D32</f>
        <v>IMS</v>
      </c>
      <c r="E534" s="94" t="s">
        <v>78</v>
      </c>
      <c r="F534" s="94" t="s">
        <v>202</v>
      </c>
      <c r="G534" s="94" t="s">
        <v>203</v>
      </c>
      <c r="H534" s="94" t="s">
        <v>86</v>
      </c>
      <c r="I534" s="94" t="s">
        <v>84</v>
      </c>
      <c r="J534" s="94" t="s">
        <v>148</v>
      </c>
      <c r="K534" s="94" t="s">
        <v>14</v>
      </c>
      <c r="L534" s="94" t="s">
        <v>71</v>
      </c>
      <c r="M534" s="94" t="s">
        <v>71</v>
      </c>
      <c r="N534" s="94" t="s">
        <v>72</v>
      </c>
      <c r="O534" s="259" t="str">
        <f t="shared" si="22"/>
        <v>B4 PM1 (9 to 12 yrs) / None</v>
      </c>
      <c r="P534" s="260"/>
      <c r="Q534" s="260" t="str">
        <f t="shared" si="26"/>
        <v>IMS/ArchitectIMS/IMSArchitect/Junior</v>
      </c>
      <c r="R534" s="261" t="str">
        <f t="shared" si="24"/>
        <v>B4 PM1 (9 to 12 yrs) / None</v>
      </c>
      <c r="S534" s="260" t="str">
        <f t="shared" si="25"/>
        <v>IMS_1</v>
      </c>
      <c r="T534" s="262" t="b">
        <v>0</v>
      </c>
      <c r="U534" s="263" t="str">
        <f>+VLOOKUP($C534,[8]GRC!$B$3:$L$350,9,0)</f>
        <v>B4 PM1 (9 to 12 yrs)</v>
      </c>
      <c r="V534" s="263" t="str">
        <f>+VLOOKUP($C534,[8]GRC!$B$3:$L$350,10,0)</f>
        <v>None</v>
      </c>
      <c r="W534" s="263" t="b">
        <f t="shared" si="23"/>
        <v>1</v>
      </c>
      <c r="X534" s="263" t="b">
        <f t="shared" si="23"/>
        <v>1</v>
      </c>
    </row>
    <row r="535" spans="1:24" ht="15">
      <c r="A535" s="93">
        <v>31</v>
      </c>
      <c r="B535" s="94" t="s">
        <v>380</v>
      </c>
      <c r="C535" s="295" t="s">
        <v>849</v>
      </c>
      <c r="D535" s="94" t="str">
        <f>+[7]GRC!D33</f>
        <v>IMS</v>
      </c>
      <c r="E535" s="94" t="s">
        <v>78</v>
      </c>
      <c r="F535" s="94" t="s">
        <v>202</v>
      </c>
      <c r="G535" s="94" t="s">
        <v>203</v>
      </c>
      <c r="H535" s="94" t="s">
        <v>86</v>
      </c>
      <c r="I535" s="94" t="s">
        <v>193</v>
      </c>
      <c r="J535" s="94" t="s">
        <v>149</v>
      </c>
      <c r="K535" s="94" t="s">
        <v>42</v>
      </c>
      <c r="L535" s="94" t="s">
        <v>41</v>
      </c>
      <c r="M535" s="94" t="s">
        <v>71</v>
      </c>
      <c r="N535" s="94" t="s">
        <v>72</v>
      </c>
      <c r="O535" s="259" t="str">
        <f t="shared" si="22"/>
        <v>B4 PM2 (10 to 14 yrs) / B4 PM3 (12 to 15 yrs)</v>
      </c>
      <c r="P535" s="260"/>
      <c r="Q535" s="260" t="str">
        <f t="shared" si="26"/>
        <v>IMS/ArchitectIMS/IMSArchitect/MidLevel</v>
      </c>
      <c r="R535" s="261" t="str">
        <f t="shared" si="24"/>
        <v>B4 PM2 (10 to 14 yrs) / B4 PM3 (12 to 15 yrs)</v>
      </c>
      <c r="S535" s="260" t="str">
        <f t="shared" si="25"/>
        <v>IMS_2</v>
      </c>
      <c r="T535" s="262" t="b">
        <v>0</v>
      </c>
      <c r="U535" s="263" t="str">
        <f>+VLOOKUP($C535,[8]GRC!$B$3:$L$350,9,0)</f>
        <v>B4 PM2 (10 to 14 yrs)</v>
      </c>
      <c r="V535" s="263" t="str">
        <f>+VLOOKUP($C535,[8]GRC!$B$3:$L$350,10,0)</f>
        <v>B4 PM3 (12 to 15 yrs)</v>
      </c>
      <c r="W535" s="263" t="b">
        <f t="shared" si="23"/>
        <v>1</v>
      </c>
      <c r="X535" s="263" t="b">
        <f t="shared" si="23"/>
        <v>1</v>
      </c>
    </row>
    <row r="536" spans="1:24" ht="15">
      <c r="A536" s="93">
        <v>32</v>
      </c>
      <c r="B536" s="94" t="s">
        <v>381</v>
      </c>
      <c r="C536" s="295" t="s">
        <v>850</v>
      </c>
      <c r="D536" s="94" t="str">
        <f>+[7]GRC!D34</f>
        <v>IMS</v>
      </c>
      <c r="E536" s="94" t="s">
        <v>78</v>
      </c>
      <c r="F536" s="94" t="s">
        <v>202</v>
      </c>
      <c r="G536" s="94" t="s">
        <v>203</v>
      </c>
      <c r="H536" s="94" t="s">
        <v>86</v>
      </c>
      <c r="I536" s="94" t="s">
        <v>91</v>
      </c>
      <c r="J536" s="94" t="s">
        <v>139</v>
      </c>
      <c r="K536" s="94" t="s">
        <v>41</v>
      </c>
      <c r="L536" s="94" t="s">
        <v>13</v>
      </c>
      <c r="M536" s="94" t="s">
        <v>71</v>
      </c>
      <c r="N536" s="94" t="s">
        <v>72</v>
      </c>
      <c r="O536" s="259" t="str">
        <f t="shared" si="22"/>
        <v>B4 PM3 (12 to 15 yrs) / B5 (min 8 yrs)</v>
      </c>
      <c r="P536" s="260"/>
      <c r="Q536" s="260" t="str">
        <f t="shared" si="26"/>
        <v>IMS/ArchitectIMS/IMSArchitect/Senior</v>
      </c>
      <c r="R536" s="261" t="str">
        <f t="shared" si="24"/>
        <v>B4 PM3 (12 to 15 yrs) / B5 (min 8 yrs)</v>
      </c>
      <c r="S536" s="260" t="str">
        <f t="shared" si="25"/>
        <v>IMS_3</v>
      </c>
      <c r="T536" s="262" t="b">
        <v>0</v>
      </c>
      <c r="U536" s="263" t="str">
        <f>+VLOOKUP($C536,[8]GRC!$B$3:$L$350,9,0)</f>
        <v>B4 PM3 (12 to 15 yrs)</v>
      </c>
      <c r="V536" s="263" t="str">
        <f>+VLOOKUP($C536,[8]GRC!$B$3:$L$350,10,0)</f>
        <v>B5 (min 8 yrs)</v>
      </c>
      <c r="W536" s="263" t="b">
        <f t="shared" si="23"/>
        <v>1</v>
      </c>
      <c r="X536" s="263" t="b">
        <f t="shared" si="23"/>
        <v>1</v>
      </c>
    </row>
    <row r="537" spans="1:24" ht="15">
      <c r="A537" s="93">
        <v>33</v>
      </c>
      <c r="B537" s="94" t="s">
        <v>382</v>
      </c>
      <c r="C537" s="295" t="s">
        <v>851</v>
      </c>
      <c r="D537" s="94" t="str">
        <f>+[7]GRC!D35</f>
        <v>IMS</v>
      </c>
      <c r="E537" s="94" t="s">
        <v>78</v>
      </c>
      <c r="F537" s="94" t="s">
        <v>204</v>
      </c>
      <c r="G537" s="94" t="s">
        <v>205</v>
      </c>
      <c r="H537" s="94"/>
      <c r="I537" s="94" t="s">
        <v>84</v>
      </c>
      <c r="J537" s="94" t="s">
        <v>153</v>
      </c>
      <c r="K537" s="94" t="s">
        <v>18</v>
      </c>
      <c r="L537" s="94" t="s">
        <v>71</v>
      </c>
      <c r="M537" s="94" t="s">
        <v>71</v>
      </c>
      <c r="N537" s="94" t="s">
        <v>138</v>
      </c>
      <c r="O537" s="259" t="str">
        <f t="shared" si="22"/>
        <v>B2 AP3 (3 to 5 yrs) / None</v>
      </c>
      <c r="P537" s="260"/>
      <c r="Q537" s="260" t="str">
        <f t="shared" si="26"/>
        <v>IMS/BuildandReleaseManagement/BuildManager/Junior</v>
      </c>
      <c r="R537" s="261" t="str">
        <f t="shared" si="24"/>
        <v>B2 AP3 (3 to 5 yrs) / None</v>
      </c>
      <c r="S537" s="260" t="str">
        <f t="shared" si="25"/>
        <v>IMS_4</v>
      </c>
      <c r="T537" s="262" t="b">
        <v>0</v>
      </c>
      <c r="U537" s="263" t="str">
        <f>+VLOOKUP($C537,[8]GRC!$B$3:$L$350,9,0)</f>
        <v>B2 AP3 (3 to 5 yrs)</v>
      </c>
      <c r="V537" s="263" t="str">
        <f>+VLOOKUP($C537,[8]GRC!$B$3:$L$350,10,0)</f>
        <v>None</v>
      </c>
      <c r="W537" s="263" t="b">
        <f t="shared" si="23"/>
        <v>1</v>
      </c>
      <c r="X537" s="263" t="b">
        <f t="shared" si="23"/>
        <v>1</v>
      </c>
    </row>
    <row r="538" spans="1:24" ht="15">
      <c r="A538" s="93">
        <v>34</v>
      </c>
      <c r="B538" s="94" t="s">
        <v>383</v>
      </c>
      <c r="C538" s="295" t="s">
        <v>852</v>
      </c>
      <c r="D538" s="94" t="str">
        <f>+[7]GRC!D36</f>
        <v>IMS</v>
      </c>
      <c r="E538" s="94" t="s">
        <v>78</v>
      </c>
      <c r="F538" s="94" t="s">
        <v>204</v>
      </c>
      <c r="G538" s="94" t="s">
        <v>205</v>
      </c>
      <c r="H538" s="94"/>
      <c r="I538" s="94" t="s">
        <v>193</v>
      </c>
      <c r="J538" s="94" t="s">
        <v>145</v>
      </c>
      <c r="K538" s="94" t="s">
        <v>17</v>
      </c>
      <c r="L538" s="94" t="s">
        <v>16</v>
      </c>
      <c r="M538" s="94" t="s">
        <v>71</v>
      </c>
      <c r="N538" s="94" t="s">
        <v>138</v>
      </c>
      <c r="O538" s="259" t="str">
        <f t="shared" si="22"/>
        <v>B3 PL1 (5 to 7 yrs) / B3 PL2 (6 to 8 yrs)</v>
      </c>
      <c r="P538" s="260"/>
      <c r="Q538" s="260" t="str">
        <f t="shared" si="26"/>
        <v>IMS/BuildandReleaseManagement/BuildManager/MidLevel</v>
      </c>
      <c r="R538" s="261" t="str">
        <f t="shared" si="24"/>
        <v>B3 PL1 (5 to 7 yrs) / B3 PL2 (6 to 8 yrs)</v>
      </c>
      <c r="S538" s="260" t="str">
        <f t="shared" si="25"/>
        <v>IMS_5</v>
      </c>
      <c r="T538" s="262" t="b">
        <v>0</v>
      </c>
      <c r="U538" s="263" t="str">
        <f>+VLOOKUP($C538,[8]GRC!$B$3:$L$350,9,0)</f>
        <v>B3 PL1 (5 to 7 yrs)</v>
      </c>
      <c r="V538" s="263" t="str">
        <f>+VLOOKUP($C538,[8]GRC!$B$3:$L$350,10,0)</f>
        <v>B3 PL2 (6 to 8 yrs)</v>
      </c>
      <c r="W538" s="263" t="b">
        <f t="shared" si="23"/>
        <v>1</v>
      </c>
      <c r="X538" s="263" t="b">
        <f t="shared" si="23"/>
        <v>1</v>
      </c>
    </row>
    <row r="539" spans="1:24" ht="15">
      <c r="A539" s="93">
        <v>35</v>
      </c>
      <c r="B539" s="94" t="s">
        <v>384</v>
      </c>
      <c r="C539" s="295" t="s">
        <v>853</v>
      </c>
      <c r="D539" s="94" t="str">
        <f>+[7]GRC!D37</f>
        <v>IMS</v>
      </c>
      <c r="E539" s="94" t="s">
        <v>78</v>
      </c>
      <c r="F539" s="94" t="s">
        <v>204</v>
      </c>
      <c r="G539" s="94" t="s">
        <v>205</v>
      </c>
      <c r="H539" s="94"/>
      <c r="I539" s="94" t="s">
        <v>91</v>
      </c>
      <c r="J539" s="94" t="s">
        <v>147</v>
      </c>
      <c r="K539" s="94" t="s">
        <v>16</v>
      </c>
      <c r="L539" s="94" t="s">
        <v>15</v>
      </c>
      <c r="M539" s="94" t="s">
        <v>71</v>
      </c>
      <c r="N539" s="94" t="s">
        <v>138</v>
      </c>
      <c r="O539" s="259" t="str">
        <f t="shared" si="22"/>
        <v>B3 PL2 (6 to 8 yrs) / B3 PL3 (7 to 10 yrs)</v>
      </c>
      <c r="P539" s="260"/>
      <c r="Q539" s="260" t="str">
        <f t="shared" si="26"/>
        <v>IMS/BuildandReleaseManagement/BuildManager/Senior</v>
      </c>
      <c r="R539" s="261" t="str">
        <f t="shared" si="24"/>
        <v>B3 PL2 (6 to 8 yrs) / B3 PL3 (7 to 10 yrs)</v>
      </c>
      <c r="S539" s="260" t="str">
        <f t="shared" si="25"/>
        <v>IMS_6</v>
      </c>
      <c r="T539" s="262" t="b">
        <v>0</v>
      </c>
      <c r="U539" s="263" t="str">
        <f>+VLOOKUP($C539,[8]GRC!$B$3:$L$350,9,0)</f>
        <v>B3 PL2 (6 to 8 yrs)</v>
      </c>
      <c r="V539" s="263" t="str">
        <f>+VLOOKUP($C539,[8]GRC!$B$3:$L$350,10,0)</f>
        <v>B3 PL3 (7 to 10 yrs)</v>
      </c>
      <c r="W539" s="263" t="b">
        <f t="shared" si="23"/>
        <v>1</v>
      </c>
      <c r="X539" s="263" t="b">
        <f t="shared" si="23"/>
        <v>1</v>
      </c>
    </row>
    <row r="540" spans="1:24" ht="15">
      <c r="A540" s="93">
        <v>36</v>
      </c>
      <c r="B540" s="94" t="s">
        <v>385</v>
      </c>
      <c r="C540" s="295" t="s">
        <v>854</v>
      </c>
      <c r="D540" s="94" t="str">
        <f>+[7]GRC!D38</f>
        <v>IMS-Basic</v>
      </c>
      <c r="E540" s="160" t="s">
        <v>742</v>
      </c>
      <c r="F540" s="94" t="s">
        <v>220</v>
      </c>
      <c r="G540" s="94" t="s">
        <v>221</v>
      </c>
      <c r="H540" s="94"/>
      <c r="I540" s="94" t="s">
        <v>84</v>
      </c>
      <c r="J540" s="94" t="s">
        <v>150</v>
      </c>
      <c r="K540" s="94" t="s">
        <v>20</v>
      </c>
      <c r="L540" s="94" t="s">
        <v>19</v>
      </c>
      <c r="M540" s="94" t="s">
        <v>71</v>
      </c>
      <c r="N540" s="94" t="s">
        <v>72</v>
      </c>
      <c r="O540" s="259" t="str">
        <f t="shared" si="22"/>
        <v>B2 AP1 / B2 AP2 (0.6 to 3 yrs)</v>
      </c>
      <c r="P540" s="260"/>
      <c r="Q540" s="260" t="str">
        <f t="shared" si="26"/>
        <v>IMSBASIC/DataCentre/DataCenterOperations /Junior</v>
      </c>
      <c r="R540" s="261" t="str">
        <f t="shared" si="24"/>
        <v>B2 AP1 / B2 AP2 (0.6 to 3 yrs)</v>
      </c>
      <c r="S540" s="260" t="str">
        <f t="shared" si="25"/>
        <v>IMS_7</v>
      </c>
      <c r="T540" s="262" t="b">
        <v>0</v>
      </c>
      <c r="U540" s="263" t="str">
        <f>+VLOOKUP($C540,[8]GRC!$B$3:$L$350,9,0)</f>
        <v>B2 AP1</v>
      </c>
      <c r="V540" s="263" t="str">
        <f>+VLOOKUP($C540,[8]GRC!$B$3:$L$350,10,0)</f>
        <v>B2 AP2 (0.6 to 3 yrs)</v>
      </c>
      <c r="W540" s="263" t="b">
        <f t="shared" si="23"/>
        <v>1</v>
      </c>
      <c r="X540" s="263" t="b">
        <f t="shared" si="23"/>
        <v>1</v>
      </c>
    </row>
    <row r="541" spans="1:24" ht="15">
      <c r="A541" s="93">
        <v>37</v>
      </c>
      <c r="B541" s="94" t="s">
        <v>386</v>
      </c>
      <c r="C541" s="295" t="s">
        <v>855</v>
      </c>
      <c r="D541" s="94" t="str">
        <f>+[7]GRC!D39</f>
        <v>IMS-Basic</v>
      </c>
      <c r="E541" s="160" t="s">
        <v>742</v>
      </c>
      <c r="F541" s="94" t="s">
        <v>220</v>
      </c>
      <c r="G541" s="94" t="s">
        <v>221</v>
      </c>
      <c r="H541" s="94"/>
      <c r="I541" s="94" t="s">
        <v>193</v>
      </c>
      <c r="J541" s="94" t="s">
        <v>153</v>
      </c>
      <c r="K541" s="94" t="s">
        <v>19</v>
      </c>
      <c r="L541" s="94" t="s">
        <v>18</v>
      </c>
      <c r="M541" s="94" t="s">
        <v>71</v>
      </c>
      <c r="N541" s="94" t="s">
        <v>72</v>
      </c>
      <c r="O541" s="259" t="str">
        <f t="shared" si="22"/>
        <v>B2 AP2 (0.6 to 3 yrs) / B2 AP3 (3 to 5 yrs)</v>
      </c>
      <c r="P541" s="260"/>
      <c r="Q541" s="260" t="str">
        <f t="shared" si="26"/>
        <v>IMSBASIC/DataCentre/DataCenterOperations /MidLevel</v>
      </c>
      <c r="R541" s="261" t="str">
        <f t="shared" si="24"/>
        <v>B2 AP2 (0.6 to 3 yrs) / B2 AP3 (3 to 5 yrs)</v>
      </c>
      <c r="S541" s="260" t="str">
        <f t="shared" si="25"/>
        <v>IMS_8</v>
      </c>
      <c r="T541" s="262" t="b">
        <v>0</v>
      </c>
      <c r="U541" s="263" t="str">
        <f>+VLOOKUP($C541,[8]GRC!$B$3:$L$350,9,0)</f>
        <v>B2 AP2 (0.6 to 3 yrs)</v>
      </c>
      <c r="V541" s="263" t="str">
        <f>+VLOOKUP($C541,[8]GRC!$B$3:$L$350,10,0)</f>
        <v>B2 AP3 (3 to 5 yrs)</v>
      </c>
      <c r="W541" s="263" t="b">
        <f t="shared" si="23"/>
        <v>1</v>
      </c>
      <c r="X541" s="263" t="b">
        <f t="shared" si="23"/>
        <v>1</v>
      </c>
    </row>
    <row r="542" spans="1:24" ht="15">
      <c r="A542" s="93">
        <v>38</v>
      </c>
      <c r="B542" s="94" t="s">
        <v>387</v>
      </c>
      <c r="C542" s="295" t="s">
        <v>856</v>
      </c>
      <c r="D542" s="94" t="str">
        <f>+[7]GRC!D40</f>
        <v>IMS-Basic</v>
      </c>
      <c r="E542" s="160" t="s">
        <v>742</v>
      </c>
      <c r="F542" s="94" t="s">
        <v>220</v>
      </c>
      <c r="G542" s="94" t="s">
        <v>221</v>
      </c>
      <c r="H542" s="94"/>
      <c r="I542" s="94" t="s">
        <v>91</v>
      </c>
      <c r="J542" s="94" t="s">
        <v>145</v>
      </c>
      <c r="K542" s="94" t="s">
        <v>18</v>
      </c>
      <c r="L542" s="94" t="s">
        <v>17</v>
      </c>
      <c r="M542" s="94" t="s">
        <v>71</v>
      </c>
      <c r="N542" s="94" t="s">
        <v>72</v>
      </c>
      <c r="O542" s="259" t="str">
        <f t="shared" si="22"/>
        <v>B2 AP3 (3 to 5 yrs) / B3 PL1 (5 to 7 yrs)</v>
      </c>
      <c r="P542" s="260"/>
      <c r="Q542" s="260" t="str">
        <f t="shared" si="26"/>
        <v>IMSBASIC/DataCentre/DataCenterOperations /Senior</v>
      </c>
      <c r="R542" s="261" t="str">
        <f t="shared" si="24"/>
        <v>B2 AP3 (3 to 5 yrs) / B3 PL1 (5 to 7 yrs)</v>
      </c>
      <c r="S542" s="260" t="str">
        <f t="shared" si="25"/>
        <v>IMS_9</v>
      </c>
      <c r="T542" s="262" t="b">
        <v>0</v>
      </c>
      <c r="U542" s="263" t="str">
        <f>+VLOOKUP($C542,[8]GRC!$B$3:$L$350,9,0)</f>
        <v>B2 AP3 (3 to 5 yrs)</v>
      </c>
      <c r="V542" s="263" t="str">
        <f>+VLOOKUP($C542,[8]GRC!$B$3:$L$350,10,0)</f>
        <v>B3 PL1 (5 to 7 yrs)</v>
      </c>
      <c r="W542" s="263" t="b">
        <f t="shared" si="23"/>
        <v>1</v>
      </c>
      <c r="X542" s="263" t="b">
        <f t="shared" si="23"/>
        <v>1</v>
      </c>
    </row>
    <row r="543" spans="1:24" ht="15">
      <c r="A543" s="93">
        <v>39</v>
      </c>
      <c r="B543" s="94" t="s">
        <v>388</v>
      </c>
      <c r="C543" s="295" t="s">
        <v>857</v>
      </c>
      <c r="D543" s="94" t="str">
        <f>+[7]GRC!D41</f>
        <v>IMS-Basic</v>
      </c>
      <c r="E543" s="160" t="s">
        <v>742</v>
      </c>
      <c r="F543" s="94" t="s">
        <v>101</v>
      </c>
      <c r="G543" s="94" t="s">
        <v>222</v>
      </c>
      <c r="H543" s="94" t="s">
        <v>102</v>
      </c>
      <c r="I543" s="94" t="s">
        <v>84</v>
      </c>
      <c r="J543" s="94" t="s">
        <v>150</v>
      </c>
      <c r="K543" s="94" t="s">
        <v>20</v>
      </c>
      <c r="L543" s="94" t="s">
        <v>19</v>
      </c>
      <c r="M543" s="94" t="s">
        <v>71</v>
      </c>
      <c r="N543" s="94" t="s">
        <v>72</v>
      </c>
      <c r="O543" s="259" t="str">
        <f t="shared" si="22"/>
        <v>B2 AP1 / B2 AP2 (0.6 to 3 yrs)</v>
      </c>
      <c r="P543" s="260"/>
      <c r="Q543" s="260" t="str">
        <f t="shared" si="26"/>
        <v>IMSBASIC/Desktop/DesktopEngineer/Junior</v>
      </c>
      <c r="R543" s="261" t="str">
        <f t="shared" si="24"/>
        <v>B2 AP1 / B2 AP2 (0.6 to 3 yrs)</v>
      </c>
      <c r="S543" s="260" t="str">
        <f t="shared" si="25"/>
        <v>IMS_10</v>
      </c>
      <c r="T543" s="262" t="b">
        <v>0</v>
      </c>
      <c r="U543" s="263" t="str">
        <f>+VLOOKUP($C543,[8]GRC!$B$3:$L$350,9,0)</f>
        <v>B2 AP1</v>
      </c>
      <c r="V543" s="263" t="str">
        <f>+VLOOKUP($C543,[8]GRC!$B$3:$L$350,10,0)</f>
        <v>B2 AP2 (0.6 to 3 yrs)</v>
      </c>
      <c r="W543" s="263" t="b">
        <f t="shared" si="23"/>
        <v>1</v>
      </c>
      <c r="X543" s="263" t="b">
        <f t="shared" si="23"/>
        <v>1</v>
      </c>
    </row>
    <row r="544" spans="1:24" ht="15">
      <c r="A544" s="93">
        <v>40</v>
      </c>
      <c r="B544" s="94" t="s">
        <v>389</v>
      </c>
      <c r="C544" s="295" t="s">
        <v>858</v>
      </c>
      <c r="D544" s="94" t="str">
        <f>+[7]GRC!D42</f>
        <v>IMS-Basic</v>
      </c>
      <c r="E544" s="160" t="s">
        <v>742</v>
      </c>
      <c r="F544" s="94" t="s">
        <v>101</v>
      </c>
      <c r="G544" s="94" t="s">
        <v>222</v>
      </c>
      <c r="H544" s="94" t="s">
        <v>102</v>
      </c>
      <c r="I544" s="94" t="s">
        <v>193</v>
      </c>
      <c r="J544" s="94" t="s">
        <v>153</v>
      </c>
      <c r="K544" s="94" t="s">
        <v>19</v>
      </c>
      <c r="L544" s="94" t="s">
        <v>18</v>
      </c>
      <c r="M544" s="94" t="s">
        <v>71</v>
      </c>
      <c r="N544" s="94" t="s">
        <v>72</v>
      </c>
      <c r="O544" s="259" t="str">
        <f t="shared" si="22"/>
        <v>B2 AP2 (0.6 to 3 yrs) / B2 AP3 (3 to 5 yrs)</v>
      </c>
      <c r="P544" s="260"/>
      <c r="Q544" s="260" t="str">
        <f t="shared" si="26"/>
        <v>IMSBASIC/Desktop/DesktopEngineer/MidLevel</v>
      </c>
      <c r="R544" s="261" t="str">
        <f t="shared" si="24"/>
        <v>B2 AP2 (0.6 to 3 yrs) / B2 AP3 (3 to 5 yrs)</v>
      </c>
      <c r="S544" s="260" t="str">
        <f t="shared" si="25"/>
        <v>IMS_11</v>
      </c>
      <c r="T544" s="262" t="b">
        <v>0</v>
      </c>
      <c r="U544" s="263" t="str">
        <f>+VLOOKUP($C544,[8]GRC!$B$3:$L$350,9,0)</f>
        <v>B2 AP2 (0.6 to 3 yrs)</v>
      </c>
      <c r="V544" s="263" t="str">
        <f>+VLOOKUP($C544,[8]GRC!$B$3:$L$350,10,0)</f>
        <v>B2 AP3 (3 to 5 yrs)</v>
      </c>
      <c r="W544" s="263" t="b">
        <f t="shared" si="23"/>
        <v>1</v>
      </c>
      <c r="X544" s="263" t="b">
        <f t="shared" si="23"/>
        <v>1</v>
      </c>
    </row>
    <row r="545" spans="1:24" ht="15">
      <c r="A545" s="93">
        <v>41</v>
      </c>
      <c r="B545" s="94" t="s">
        <v>390</v>
      </c>
      <c r="C545" s="295" t="s">
        <v>859</v>
      </c>
      <c r="D545" s="94" t="str">
        <f>+[7]GRC!D43</f>
        <v>IMS-Basic</v>
      </c>
      <c r="E545" s="160" t="s">
        <v>742</v>
      </c>
      <c r="F545" s="94" t="s">
        <v>101</v>
      </c>
      <c r="G545" s="94" t="s">
        <v>222</v>
      </c>
      <c r="H545" s="94" t="s">
        <v>102</v>
      </c>
      <c r="I545" s="94" t="s">
        <v>91</v>
      </c>
      <c r="J545" s="94" t="s">
        <v>145</v>
      </c>
      <c r="K545" s="94" t="s">
        <v>18</v>
      </c>
      <c r="L545" s="94" t="s">
        <v>17</v>
      </c>
      <c r="M545" s="94" t="s">
        <v>71</v>
      </c>
      <c r="N545" s="94" t="s">
        <v>72</v>
      </c>
      <c r="O545" s="259" t="str">
        <f t="shared" si="22"/>
        <v>B2 AP3 (3 to 5 yrs) / B3 PL1 (5 to 7 yrs)</v>
      </c>
      <c r="P545" s="260"/>
      <c r="Q545" s="260" t="str">
        <f t="shared" si="26"/>
        <v>IMSBASIC/Desktop/DesktopEngineer/Senior</v>
      </c>
      <c r="R545" s="261" t="str">
        <f t="shared" si="24"/>
        <v>B2 AP3 (3 to 5 yrs) / B3 PL1 (5 to 7 yrs)</v>
      </c>
      <c r="S545" s="260" t="str">
        <f t="shared" si="25"/>
        <v>IMS_12</v>
      </c>
      <c r="T545" s="262" t="b">
        <v>0</v>
      </c>
      <c r="U545" s="263" t="str">
        <f>+VLOOKUP($C545,[8]GRC!$B$3:$L$350,9,0)</f>
        <v>B2 AP3 (3 to 5 yrs)</v>
      </c>
      <c r="V545" s="263" t="str">
        <f>+VLOOKUP($C545,[8]GRC!$B$3:$L$350,10,0)</f>
        <v>B3 PL1 (5 to 7 yrs)</v>
      </c>
      <c r="W545" s="263" t="b">
        <f t="shared" si="23"/>
        <v>1</v>
      </c>
      <c r="X545" s="263" t="b">
        <f t="shared" si="23"/>
        <v>1</v>
      </c>
    </row>
    <row r="546" spans="1:24" ht="15">
      <c r="A546" s="93">
        <v>42</v>
      </c>
      <c r="B546" s="94" t="s">
        <v>391</v>
      </c>
      <c r="C546" s="295" t="s">
        <v>860</v>
      </c>
      <c r="D546" s="94" t="str">
        <f>+[7]GRC!D44</f>
        <v>IMS-Basic</v>
      </c>
      <c r="E546" s="160" t="s">
        <v>742</v>
      </c>
      <c r="F546" s="94" t="s">
        <v>223</v>
      </c>
      <c r="G546" s="94" t="s">
        <v>224</v>
      </c>
      <c r="H546" s="94"/>
      <c r="I546" s="94" t="s">
        <v>84</v>
      </c>
      <c r="J546" s="94" t="s">
        <v>150</v>
      </c>
      <c r="K546" s="94" t="s">
        <v>20</v>
      </c>
      <c r="L546" s="94" t="s">
        <v>19</v>
      </c>
      <c r="M546" s="94" t="s">
        <v>71</v>
      </c>
      <c r="N546" s="94" t="s">
        <v>72</v>
      </c>
      <c r="O546" s="259" t="str">
        <f t="shared" si="22"/>
        <v>B2 AP1 / B2 AP2 (0.6 to 3 yrs)</v>
      </c>
      <c r="P546" s="260"/>
      <c r="Q546" s="260" t="str">
        <f t="shared" si="26"/>
        <v>IMSBASIC/HelpDesk/HelpDeskAnalyst/Junior</v>
      </c>
      <c r="R546" s="261" t="str">
        <f t="shared" si="24"/>
        <v>B2 AP1 / B2 AP2 (0.6 to 3 yrs)</v>
      </c>
      <c r="S546" s="260" t="str">
        <f t="shared" si="25"/>
        <v>IMS_13</v>
      </c>
      <c r="T546" s="262" t="b">
        <v>0</v>
      </c>
      <c r="U546" s="263" t="str">
        <f>+VLOOKUP($C546,[8]GRC!$B$3:$L$350,9,0)</f>
        <v>B2 AP1</v>
      </c>
      <c r="V546" s="263" t="str">
        <f>+VLOOKUP($C546,[8]GRC!$B$3:$L$350,10,0)</f>
        <v>B2 AP2 (0.6 to 3 yrs)</v>
      </c>
      <c r="W546" s="263" t="b">
        <f t="shared" si="23"/>
        <v>1</v>
      </c>
      <c r="X546" s="263" t="b">
        <f t="shared" si="23"/>
        <v>1</v>
      </c>
    </row>
    <row r="547" spans="1:24" ht="15">
      <c r="A547" s="93">
        <v>43</v>
      </c>
      <c r="B547" s="94" t="s">
        <v>392</v>
      </c>
      <c r="C547" s="295" t="s">
        <v>861</v>
      </c>
      <c r="D547" s="94" t="str">
        <f>+[7]GRC!D45</f>
        <v>IMS-Basic</v>
      </c>
      <c r="E547" s="160" t="s">
        <v>742</v>
      </c>
      <c r="F547" s="94" t="s">
        <v>223</v>
      </c>
      <c r="G547" s="94" t="s">
        <v>224</v>
      </c>
      <c r="H547" s="94"/>
      <c r="I547" s="94" t="s">
        <v>91</v>
      </c>
      <c r="J547" s="94" t="s">
        <v>153</v>
      </c>
      <c r="K547" s="94" t="s">
        <v>19</v>
      </c>
      <c r="L547" s="94" t="s">
        <v>18</v>
      </c>
      <c r="M547" s="94" t="s">
        <v>71</v>
      </c>
      <c r="N547" s="94" t="s">
        <v>72</v>
      </c>
      <c r="O547" s="259" t="str">
        <f t="shared" si="22"/>
        <v>B2 AP2 (0.6 to 3 yrs) / B2 AP3 (3 to 5 yrs)</v>
      </c>
      <c r="P547" s="260"/>
      <c r="Q547" s="260" t="str">
        <f t="shared" si="26"/>
        <v>IMSBASIC/HelpDesk/HelpDeskAnalyst/Senior</v>
      </c>
      <c r="R547" s="261" t="str">
        <f t="shared" si="24"/>
        <v>B2 AP2 (0.6 to 3 yrs) / B2 AP3 (3 to 5 yrs)</v>
      </c>
      <c r="S547" s="260" t="str">
        <f t="shared" si="25"/>
        <v>IMS_14</v>
      </c>
      <c r="T547" s="262" t="b">
        <v>0</v>
      </c>
      <c r="U547" s="263" t="str">
        <f>+VLOOKUP($C547,[8]GRC!$B$3:$L$350,9,0)</f>
        <v>B2 AP2 (0.6 to 3 yrs)</v>
      </c>
      <c r="V547" s="263" t="str">
        <f>+VLOOKUP($C547,[8]GRC!$B$3:$L$350,10,0)</f>
        <v>B2 AP3 (3 to 5 yrs)</v>
      </c>
      <c r="W547" s="263" t="b">
        <f t="shared" si="23"/>
        <v>1</v>
      </c>
      <c r="X547" s="263" t="b">
        <f t="shared" si="23"/>
        <v>1</v>
      </c>
    </row>
    <row r="548" spans="1:24" ht="15">
      <c r="A548" s="93">
        <v>44</v>
      </c>
      <c r="B548" s="94" t="s">
        <v>393</v>
      </c>
      <c r="C548" s="295" t="s">
        <v>862</v>
      </c>
      <c r="D548" s="94" t="str">
        <f>+[7]GRC!D46</f>
        <v>IMS</v>
      </c>
      <c r="E548" s="94" t="s">
        <v>78</v>
      </c>
      <c r="F548" s="94" t="s">
        <v>107</v>
      </c>
      <c r="G548" s="94" t="s">
        <v>208</v>
      </c>
      <c r="H548" s="94"/>
      <c r="I548" s="94" t="s">
        <v>84</v>
      </c>
      <c r="J548" s="94" t="s">
        <v>170</v>
      </c>
      <c r="K548" s="94" t="s">
        <v>14</v>
      </c>
      <c r="L548" s="94" t="s">
        <v>71</v>
      </c>
      <c r="M548" s="94" t="s">
        <v>71</v>
      </c>
      <c r="N548" s="94" t="s">
        <v>72</v>
      </c>
      <c r="O548" s="259" t="str">
        <f t="shared" si="22"/>
        <v>B4 PM1 (9 to 12 yrs) / None</v>
      </c>
      <c r="P548" s="260"/>
      <c r="Q548" s="260" t="str">
        <f t="shared" si="26"/>
        <v>IMS/ITSM/ConsultantITSM/Junior</v>
      </c>
      <c r="R548" s="261" t="str">
        <f t="shared" si="24"/>
        <v>B4 PM1 (9 to 12 yrs) / None</v>
      </c>
      <c r="S548" s="260" t="str">
        <f t="shared" si="25"/>
        <v>IMS_15</v>
      </c>
      <c r="T548" s="262" t="b">
        <v>0</v>
      </c>
      <c r="U548" s="263" t="str">
        <f>+VLOOKUP($C548,[8]GRC!$B$3:$L$350,9,0)</f>
        <v>B4 PM1 (9 to 12 yrs)</v>
      </c>
      <c r="V548" s="263" t="str">
        <f>+VLOOKUP($C548,[8]GRC!$B$3:$L$350,10,0)</f>
        <v>None</v>
      </c>
      <c r="W548" s="263" t="b">
        <f t="shared" si="23"/>
        <v>1</v>
      </c>
      <c r="X548" s="263" t="b">
        <f t="shared" si="23"/>
        <v>1</v>
      </c>
    </row>
    <row r="549" spans="1:24" ht="15">
      <c r="A549" s="93">
        <v>45</v>
      </c>
      <c r="B549" s="94" t="s">
        <v>394</v>
      </c>
      <c r="C549" s="295" t="s">
        <v>863</v>
      </c>
      <c r="D549" s="94" t="str">
        <f>+[7]GRC!D47</f>
        <v>IMS</v>
      </c>
      <c r="E549" s="94" t="s">
        <v>78</v>
      </c>
      <c r="F549" s="94" t="s">
        <v>107</v>
      </c>
      <c r="G549" s="94" t="s">
        <v>208</v>
      </c>
      <c r="H549" s="94"/>
      <c r="I549" s="94" t="s">
        <v>193</v>
      </c>
      <c r="J549" s="94" t="s">
        <v>149</v>
      </c>
      <c r="K549" s="94" t="s">
        <v>42</v>
      </c>
      <c r="L549" s="94" t="s">
        <v>41</v>
      </c>
      <c r="M549" s="94" t="s">
        <v>71</v>
      </c>
      <c r="N549" s="94" t="s">
        <v>72</v>
      </c>
      <c r="O549" s="259" t="str">
        <f t="shared" si="22"/>
        <v>B4 PM2 (10 to 14 yrs) / B4 PM3 (12 to 15 yrs)</v>
      </c>
      <c r="P549" s="260"/>
      <c r="Q549" s="260" t="str">
        <f t="shared" si="26"/>
        <v>IMS/ITSM/ConsultantITSM/MidLevel</v>
      </c>
      <c r="R549" s="261" t="str">
        <f t="shared" si="24"/>
        <v>B4 PM2 (10 to 14 yrs) / B4 PM3 (12 to 15 yrs)</v>
      </c>
      <c r="S549" s="260" t="str">
        <f t="shared" si="25"/>
        <v>IMS_16</v>
      </c>
      <c r="T549" s="262" t="b">
        <v>0</v>
      </c>
      <c r="U549" s="263" t="str">
        <f>+VLOOKUP($C549,[8]GRC!$B$3:$L$350,9,0)</f>
        <v>B4 PM2 (10 to 14 yrs)</v>
      </c>
      <c r="V549" s="263" t="str">
        <f>+VLOOKUP($C549,[8]GRC!$B$3:$L$350,10,0)</f>
        <v>B4 PM3 (12 to 15 yrs)</v>
      </c>
      <c r="W549" s="263" t="b">
        <f t="shared" si="23"/>
        <v>1</v>
      </c>
      <c r="X549" s="263" t="b">
        <f t="shared" si="23"/>
        <v>1</v>
      </c>
    </row>
    <row r="550" spans="1:24" ht="15">
      <c r="A550" s="93">
        <v>46</v>
      </c>
      <c r="B550" s="94" t="s">
        <v>395</v>
      </c>
      <c r="C550" s="295" t="s">
        <v>864</v>
      </c>
      <c r="D550" s="94" t="str">
        <f>+[7]GRC!D48</f>
        <v>IMS</v>
      </c>
      <c r="E550" s="94" t="s">
        <v>78</v>
      </c>
      <c r="F550" s="94" t="s">
        <v>107</v>
      </c>
      <c r="G550" s="94" t="s">
        <v>208</v>
      </c>
      <c r="H550" s="94"/>
      <c r="I550" s="94" t="s">
        <v>91</v>
      </c>
      <c r="J550" s="94" t="s">
        <v>139</v>
      </c>
      <c r="K550" s="94" t="s">
        <v>41</v>
      </c>
      <c r="L550" s="94" t="s">
        <v>13</v>
      </c>
      <c r="M550" s="94" t="s">
        <v>71</v>
      </c>
      <c r="N550" s="94" t="s">
        <v>72</v>
      </c>
      <c r="O550" s="259" t="str">
        <f t="shared" si="22"/>
        <v>B4 PM3 (12 to 15 yrs) / B5 (min 8 yrs)</v>
      </c>
      <c r="P550" s="260"/>
      <c r="Q550" s="260" t="str">
        <f t="shared" si="26"/>
        <v>IMS/ITSM/ConsultantITSM/Senior</v>
      </c>
      <c r="R550" s="261" t="str">
        <f t="shared" si="24"/>
        <v>B4 PM3 (12 to 15 yrs) / B5 (min 8 yrs)</v>
      </c>
      <c r="S550" s="260" t="str">
        <f t="shared" si="25"/>
        <v>IMS_17</v>
      </c>
      <c r="T550" s="262" t="b">
        <v>0</v>
      </c>
      <c r="U550" s="263" t="str">
        <f>+VLOOKUP($C550,[8]GRC!$B$3:$L$350,9,0)</f>
        <v>B4 PM3 (12 to 15 yrs)</v>
      </c>
      <c r="V550" s="263" t="str">
        <f>+VLOOKUP($C550,[8]GRC!$B$3:$L$350,10,0)</f>
        <v>B5 (min 8 yrs)</v>
      </c>
      <c r="W550" s="263" t="b">
        <f t="shared" si="23"/>
        <v>1</v>
      </c>
      <c r="X550" s="263" t="b">
        <f t="shared" si="23"/>
        <v>1</v>
      </c>
    </row>
    <row r="551" spans="1:24" ht="15">
      <c r="A551" s="93">
        <v>47</v>
      </c>
      <c r="B551" s="94" t="s">
        <v>396</v>
      </c>
      <c r="C551" s="295" t="s">
        <v>865</v>
      </c>
      <c r="D551" s="94" t="str">
        <f>+[7]GRC!D49</f>
        <v>IMS-Basic</v>
      </c>
      <c r="E551" s="160" t="s">
        <v>742</v>
      </c>
      <c r="F551" s="94" t="s">
        <v>225</v>
      </c>
      <c r="G551" s="94" t="s">
        <v>126</v>
      </c>
      <c r="H551" s="94" t="s">
        <v>104</v>
      </c>
      <c r="I551" s="94" t="s">
        <v>84</v>
      </c>
      <c r="J551" s="94" t="s">
        <v>150</v>
      </c>
      <c r="K551" s="94" t="s">
        <v>20</v>
      </c>
      <c r="L551" s="94" t="s">
        <v>19</v>
      </c>
      <c r="M551" s="94" t="s">
        <v>71</v>
      </c>
      <c r="N551" s="94" t="s">
        <v>72</v>
      </c>
      <c r="O551" s="259" t="str">
        <f t="shared" si="22"/>
        <v>B2 AP1 / B2 AP2 (0.6 to 3 yrs)</v>
      </c>
      <c r="P551" s="260"/>
      <c r="Q551" s="260" t="str">
        <f t="shared" si="26"/>
        <v>IMSBASIC/MailSetup/Configurator/Junior</v>
      </c>
      <c r="R551" s="261" t="str">
        <f t="shared" si="24"/>
        <v>B2 AP1 / B2 AP2 (0.6 to 3 yrs)</v>
      </c>
      <c r="S551" s="260" t="str">
        <f t="shared" si="25"/>
        <v>IMS_18</v>
      </c>
      <c r="T551" s="262" t="b">
        <v>0</v>
      </c>
      <c r="U551" s="263" t="str">
        <f>+VLOOKUP($C551,[8]GRC!$B$3:$L$350,9,0)</f>
        <v>B2 AP1</v>
      </c>
      <c r="V551" s="263" t="str">
        <f>+VLOOKUP($C551,[8]GRC!$B$3:$L$350,10,0)</f>
        <v>B2 AP2 (0.6 to 3 yrs)</v>
      </c>
      <c r="W551" s="263" t="b">
        <f t="shared" si="23"/>
        <v>1</v>
      </c>
      <c r="X551" s="263" t="b">
        <f t="shared" si="23"/>
        <v>1</v>
      </c>
    </row>
    <row r="552" spans="1:24" ht="15">
      <c r="A552" s="93">
        <v>48</v>
      </c>
      <c r="B552" s="94" t="s">
        <v>397</v>
      </c>
      <c r="C552" s="295" t="s">
        <v>866</v>
      </c>
      <c r="D552" s="94" t="str">
        <f>+[7]GRC!D50</f>
        <v>IMS-Basic</v>
      </c>
      <c r="E552" s="160" t="s">
        <v>742</v>
      </c>
      <c r="F552" s="94" t="s">
        <v>225</v>
      </c>
      <c r="G552" s="94" t="s">
        <v>126</v>
      </c>
      <c r="H552" s="94" t="s">
        <v>104</v>
      </c>
      <c r="I552" s="94" t="s">
        <v>193</v>
      </c>
      <c r="J552" s="94" t="s">
        <v>153</v>
      </c>
      <c r="K552" s="94" t="s">
        <v>19</v>
      </c>
      <c r="L552" s="94" t="s">
        <v>18</v>
      </c>
      <c r="M552" s="94" t="s">
        <v>71</v>
      </c>
      <c r="N552" s="94" t="s">
        <v>72</v>
      </c>
      <c r="O552" s="259" t="str">
        <f t="shared" si="22"/>
        <v>B2 AP2 (0.6 to 3 yrs) / B2 AP3 (3 to 5 yrs)</v>
      </c>
      <c r="P552" s="260"/>
      <c r="Q552" s="260" t="str">
        <f t="shared" si="26"/>
        <v>IMSBASIC/MailSetup/Configurator/MidLevel</v>
      </c>
      <c r="R552" s="261" t="str">
        <f t="shared" si="24"/>
        <v>B2 AP2 (0.6 to 3 yrs) / B2 AP3 (3 to 5 yrs)</v>
      </c>
      <c r="S552" s="260" t="str">
        <f t="shared" si="25"/>
        <v>IMS_19</v>
      </c>
      <c r="T552" s="262" t="b">
        <v>0</v>
      </c>
      <c r="U552" s="263" t="str">
        <f>+VLOOKUP($C552,[8]GRC!$B$3:$L$350,9,0)</f>
        <v>B2 AP2 (0.6 to 3 yrs)</v>
      </c>
      <c r="V552" s="263" t="str">
        <f>+VLOOKUP($C552,[8]GRC!$B$3:$L$350,10,0)</f>
        <v>B2 AP3 (3 to 5 yrs)</v>
      </c>
      <c r="W552" s="263" t="b">
        <f t="shared" si="23"/>
        <v>1</v>
      </c>
      <c r="X552" s="263" t="b">
        <f t="shared" si="23"/>
        <v>1</v>
      </c>
    </row>
    <row r="553" spans="1:24" ht="15">
      <c r="A553" s="93">
        <v>49</v>
      </c>
      <c r="B553" s="94" t="s">
        <v>398</v>
      </c>
      <c r="C553" s="295" t="s">
        <v>867</v>
      </c>
      <c r="D553" s="94" t="str">
        <f>+[7]GRC!D51</f>
        <v>IMS-Basic</v>
      </c>
      <c r="E553" s="160" t="s">
        <v>742</v>
      </c>
      <c r="F553" s="94" t="s">
        <v>225</v>
      </c>
      <c r="G553" s="94" t="s">
        <v>126</v>
      </c>
      <c r="H553" s="94" t="s">
        <v>104</v>
      </c>
      <c r="I553" s="94" t="s">
        <v>91</v>
      </c>
      <c r="J553" s="94" t="s">
        <v>145</v>
      </c>
      <c r="K553" s="94" t="s">
        <v>18</v>
      </c>
      <c r="L553" s="94" t="s">
        <v>17</v>
      </c>
      <c r="M553" s="94" t="s">
        <v>71</v>
      </c>
      <c r="N553" s="94" t="s">
        <v>72</v>
      </c>
      <c r="O553" s="259" t="str">
        <f t="shared" si="22"/>
        <v>B2 AP3 (3 to 5 yrs) / B3 PL1 (5 to 7 yrs)</v>
      </c>
      <c r="P553" s="260"/>
      <c r="Q553" s="260" t="str">
        <f t="shared" si="26"/>
        <v>IMSBASIC/MailSetup/Configurator/Senior</v>
      </c>
      <c r="R553" s="261" t="str">
        <f t="shared" si="24"/>
        <v>B2 AP3 (3 to 5 yrs) / B3 PL1 (5 to 7 yrs)</v>
      </c>
      <c r="S553" s="260" t="str">
        <f t="shared" si="25"/>
        <v>IMS_20</v>
      </c>
      <c r="T553" s="262" t="b">
        <v>0</v>
      </c>
      <c r="U553" s="263" t="str">
        <f>+VLOOKUP($C553,[8]GRC!$B$3:$L$350,9,0)</f>
        <v>B2 AP3 (3 to 5 yrs)</v>
      </c>
      <c r="V553" s="263" t="str">
        <f>+VLOOKUP($C553,[8]GRC!$B$3:$L$350,10,0)</f>
        <v>B3 PL1 (5 to 7 yrs)</v>
      </c>
      <c r="W553" s="263" t="b">
        <f t="shared" si="23"/>
        <v>1</v>
      </c>
      <c r="X553" s="263" t="b">
        <f t="shared" si="23"/>
        <v>1</v>
      </c>
    </row>
    <row r="554" spans="1:24" ht="15">
      <c r="A554" s="93">
        <v>50</v>
      </c>
      <c r="B554" s="94" t="s">
        <v>399</v>
      </c>
      <c r="C554" s="295" t="s">
        <v>868</v>
      </c>
      <c r="D554" s="94" t="str">
        <f>+[7]GRC!D52</f>
        <v>IMS</v>
      </c>
      <c r="E554" s="94" t="s">
        <v>78</v>
      </c>
      <c r="F554" s="94" t="s">
        <v>154</v>
      </c>
      <c r="G554" s="94" t="s">
        <v>209</v>
      </c>
      <c r="H554" s="94"/>
      <c r="I554" s="94" t="s">
        <v>84</v>
      </c>
      <c r="J554" s="94" t="s">
        <v>148</v>
      </c>
      <c r="K554" s="94" t="s">
        <v>14</v>
      </c>
      <c r="L554" s="94" t="s">
        <v>71</v>
      </c>
      <c r="M554" s="94" t="s">
        <v>71</v>
      </c>
      <c r="N554" s="94" t="s">
        <v>138</v>
      </c>
      <c r="O554" s="259" t="str">
        <f t="shared" si="22"/>
        <v>B4 PM1 (9 to 12 yrs) / None</v>
      </c>
      <c r="P554" s="260"/>
      <c r="Q554" s="260" t="str">
        <f t="shared" si="26"/>
        <v>IMS/Management/ProgramManagerManagement/Junior</v>
      </c>
      <c r="R554" s="261" t="str">
        <f t="shared" si="24"/>
        <v>B4 PM1 (9 to 12 yrs) / None</v>
      </c>
      <c r="S554" s="260" t="str">
        <f t="shared" si="25"/>
        <v>IMS_21</v>
      </c>
      <c r="T554" s="262" t="b">
        <v>0</v>
      </c>
      <c r="U554" s="263" t="str">
        <f>+VLOOKUP($C554,[8]GRC!$B$3:$L$350,9,0)</f>
        <v>B4 PM1 (9 to 12 yrs)</v>
      </c>
      <c r="V554" s="263" t="str">
        <f>+VLOOKUP($C554,[8]GRC!$B$3:$L$350,10,0)</f>
        <v>None</v>
      </c>
      <c r="W554" s="263" t="b">
        <f t="shared" si="23"/>
        <v>1</v>
      </c>
      <c r="X554" s="263" t="b">
        <f t="shared" si="23"/>
        <v>1</v>
      </c>
    </row>
    <row r="555" spans="1:24" ht="15">
      <c r="A555" s="93">
        <v>51</v>
      </c>
      <c r="B555" s="94" t="s">
        <v>400</v>
      </c>
      <c r="C555" s="295" t="s">
        <v>869</v>
      </c>
      <c r="D555" s="94" t="str">
        <f>+[7]GRC!D53</f>
        <v>IMS</v>
      </c>
      <c r="E555" s="94" t="s">
        <v>78</v>
      </c>
      <c r="F555" s="94" t="s">
        <v>154</v>
      </c>
      <c r="G555" s="94" t="s">
        <v>209</v>
      </c>
      <c r="H555" s="94"/>
      <c r="I555" s="94" t="s">
        <v>193</v>
      </c>
      <c r="J555" s="94" t="s">
        <v>149</v>
      </c>
      <c r="K555" s="94" t="s">
        <v>42</v>
      </c>
      <c r="L555" s="94" t="s">
        <v>41</v>
      </c>
      <c r="M555" s="94" t="s">
        <v>71</v>
      </c>
      <c r="N555" s="94" t="s">
        <v>138</v>
      </c>
      <c r="O555" s="259" t="str">
        <f t="shared" si="22"/>
        <v>B4 PM2 (10 to 14 yrs) / B4 PM3 (12 to 15 yrs)</v>
      </c>
      <c r="P555" s="260"/>
      <c r="Q555" s="260" t="str">
        <f t="shared" si="26"/>
        <v>IMS/Management/ProgramManagerManagement/MidLevel</v>
      </c>
      <c r="R555" s="261" t="str">
        <f t="shared" si="24"/>
        <v>B4 PM2 (10 to 14 yrs) / B4 PM3 (12 to 15 yrs)</v>
      </c>
      <c r="S555" s="260" t="str">
        <f t="shared" si="25"/>
        <v>IMS_22</v>
      </c>
      <c r="T555" s="262" t="b">
        <v>0</v>
      </c>
      <c r="U555" s="263" t="str">
        <f>+VLOOKUP($C555,[8]GRC!$B$3:$L$350,9,0)</f>
        <v>B4 PM2 (10 to 14 yrs)</v>
      </c>
      <c r="V555" s="263" t="str">
        <f>+VLOOKUP($C555,[8]GRC!$B$3:$L$350,10,0)</f>
        <v>B4 PM3 (12 to 15 yrs)</v>
      </c>
      <c r="W555" s="263" t="b">
        <f t="shared" si="23"/>
        <v>1</v>
      </c>
      <c r="X555" s="263" t="b">
        <f t="shared" si="23"/>
        <v>1</v>
      </c>
    </row>
    <row r="556" spans="1:24" ht="15">
      <c r="A556" s="93">
        <v>52</v>
      </c>
      <c r="B556" s="94" t="s">
        <v>401</v>
      </c>
      <c r="C556" s="295" t="s">
        <v>870</v>
      </c>
      <c r="D556" s="94" t="str">
        <f>+[7]GRC!D54</f>
        <v>IMS</v>
      </c>
      <c r="E556" s="94" t="s">
        <v>78</v>
      </c>
      <c r="F556" s="94" t="s">
        <v>154</v>
      </c>
      <c r="G556" s="94" t="s">
        <v>209</v>
      </c>
      <c r="H556" s="94"/>
      <c r="I556" s="94" t="s">
        <v>91</v>
      </c>
      <c r="J556" s="94" t="s">
        <v>139</v>
      </c>
      <c r="K556" s="94" t="s">
        <v>41</v>
      </c>
      <c r="L556" s="94" t="s">
        <v>13</v>
      </c>
      <c r="M556" s="94" t="s">
        <v>71</v>
      </c>
      <c r="N556" s="94" t="s">
        <v>138</v>
      </c>
      <c r="O556" s="259" t="str">
        <f t="shared" si="22"/>
        <v>B4 PM3 (12 to 15 yrs) / B5 (min 8 yrs)</v>
      </c>
      <c r="P556" s="260"/>
      <c r="Q556" s="260" t="str">
        <f t="shared" si="26"/>
        <v>IMS/Management/ProgramManagerManagement/Senior</v>
      </c>
      <c r="R556" s="261" t="str">
        <f t="shared" si="24"/>
        <v>B4 PM3 (12 to 15 yrs) / B5 (min 8 yrs)</v>
      </c>
      <c r="S556" s="260" t="str">
        <f t="shared" si="25"/>
        <v>IMS_23</v>
      </c>
      <c r="T556" s="262" t="b">
        <v>0</v>
      </c>
      <c r="U556" s="263" t="str">
        <f>+VLOOKUP($C556,[8]GRC!$B$3:$L$350,9,0)</f>
        <v>B4 PM3 (12 to 15 yrs)</v>
      </c>
      <c r="V556" s="263" t="str">
        <f>+VLOOKUP($C556,[8]GRC!$B$3:$L$350,10,0)</f>
        <v>B5 (min 8 yrs)</v>
      </c>
      <c r="W556" s="263" t="b">
        <f t="shared" si="23"/>
        <v>1</v>
      </c>
      <c r="X556" s="263" t="b">
        <f t="shared" si="23"/>
        <v>1</v>
      </c>
    </row>
    <row r="557" spans="1:24" ht="15">
      <c r="A557" s="93">
        <v>53</v>
      </c>
      <c r="B557" s="94" t="s">
        <v>402</v>
      </c>
      <c r="C557" s="295" t="s">
        <v>871</v>
      </c>
      <c r="D557" s="94" t="str">
        <f>+[7]GRC!D55</f>
        <v>IMS</v>
      </c>
      <c r="E557" s="94" t="s">
        <v>78</v>
      </c>
      <c r="F557" s="94" t="s">
        <v>154</v>
      </c>
      <c r="G557" s="94" t="s">
        <v>210</v>
      </c>
      <c r="H557" s="94"/>
      <c r="I557" s="94" t="s">
        <v>84</v>
      </c>
      <c r="J557" s="94" t="s">
        <v>184</v>
      </c>
      <c r="K557" s="94" t="s">
        <v>15</v>
      </c>
      <c r="L557" s="94" t="s">
        <v>14</v>
      </c>
      <c r="M557" s="94" t="s">
        <v>71</v>
      </c>
      <c r="N557" s="94" t="s">
        <v>72</v>
      </c>
      <c r="O557" s="259" t="str">
        <f t="shared" si="22"/>
        <v>B3 PL3 (7 to 10 yrs) / B4 PM1 (9 to 12 yrs)</v>
      </c>
      <c r="P557" s="260"/>
      <c r="Q557" s="260" t="str">
        <f t="shared" si="26"/>
        <v>IMS/Management/ProjectManagerManagement/Junior</v>
      </c>
      <c r="R557" s="261" t="str">
        <f t="shared" si="24"/>
        <v>B3 PL3 (7 to 10 yrs) / B4 PM1 (9 to 12 yrs)</v>
      </c>
      <c r="S557" s="260" t="str">
        <f t="shared" si="25"/>
        <v>IMS_24</v>
      </c>
      <c r="T557" s="262" t="b">
        <v>0</v>
      </c>
      <c r="U557" s="263" t="str">
        <f>+VLOOKUP($C557,[8]GRC!$B$3:$L$350,9,0)</f>
        <v>B3 PL3 (7 to 10 yrs)</v>
      </c>
      <c r="V557" s="263" t="str">
        <f>+VLOOKUP($C557,[8]GRC!$B$3:$L$350,10,0)</f>
        <v>B4 PM1 (9 to 12 yrs)</v>
      </c>
      <c r="W557" s="263" t="b">
        <f t="shared" si="23"/>
        <v>1</v>
      </c>
      <c r="X557" s="263" t="b">
        <f t="shared" si="23"/>
        <v>1</v>
      </c>
    </row>
    <row r="558" spans="1:24" ht="15">
      <c r="A558" s="93">
        <v>54</v>
      </c>
      <c r="B558" s="94" t="s">
        <v>403</v>
      </c>
      <c r="C558" s="295" t="s">
        <v>872</v>
      </c>
      <c r="D558" s="94" t="str">
        <f>+[7]GRC!D56</f>
        <v>IMS</v>
      </c>
      <c r="E558" s="94" t="s">
        <v>78</v>
      </c>
      <c r="F558" s="94" t="s">
        <v>154</v>
      </c>
      <c r="G558" s="94" t="s">
        <v>210</v>
      </c>
      <c r="H558" s="94"/>
      <c r="I558" s="94" t="s">
        <v>193</v>
      </c>
      <c r="J558" s="94" t="s">
        <v>185</v>
      </c>
      <c r="K558" s="94" t="s">
        <v>14</v>
      </c>
      <c r="L558" s="94" t="s">
        <v>42</v>
      </c>
      <c r="M558" s="94" t="s">
        <v>71</v>
      </c>
      <c r="N558" s="94" t="s">
        <v>72</v>
      </c>
      <c r="O558" s="259" t="str">
        <f t="shared" si="22"/>
        <v>B4 PM1 (9 to 12 yrs) / B4 PM2 (10 to 14 yrs)</v>
      </c>
      <c r="P558" s="260"/>
      <c r="Q558" s="260" t="str">
        <f t="shared" si="26"/>
        <v>IMS/Management/ProjectManagerManagement/MidLevel</v>
      </c>
      <c r="R558" s="261" t="str">
        <f t="shared" si="24"/>
        <v>B4 PM1 (9 to 12 yrs) / B4 PM2 (10 to 14 yrs)</v>
      </c>
      <c r="S558" s="260" t="str">
        <f t="shared" si="25"/>
        <v>IMS_25</v>
      </c>
      <c r="T558" s="262" t="b">
        <v>0</v>
      </c>
      <c r="U558" s="263" t="str">
        <f>+VLOOKUP($C558,[8]GRC!$B$3:$L$350,9,0)</f>
        <v>B4 PM1 (9 to 12 yrs)</v>
      </c>
      <c r="V558" s="263" t="str">
        <f>+VLOOKUP($C558,[8]GRC!$B$3:$L$350,10,0)</f>
        <v>B4 PM2 (10 to 14 yrs)</v>
      </c>
      <c r="W558" s="263" t="b">
        <f t="shared" si="23"/>
        <v>1</v>
      </c>
      <c r="X558" s="263" t="b">
        <f t="shared" si="23"/>
        <v>1</v>
      </c>
    </row>
    <row r="559" spans="1:24" ht="15">
      <c r="A559" s="93">
        <v>55</v>
      </c>
      <c r="B559" s="94" t="s">
        <v>404</v>
      </c>
      <c r="C559" s="295" t="s">
        <v>873</v>
      </c>
      <c r="D559" s="94" t="str">
        <f>+[7]GRC!D57</f>
        <v>IMS</v>
      </c>
      <c r="E559" s="94" t="s">
        <v>78</v>
      </c>
      <c r="F559" s="94" t="s">
        <v>154</v>
      </c>
      <c r="G559" s="94" t="s">
        <v>210</v>
      </c>
      <c r="H559" s="94"/>
      <c r="I559" s="94" t="s">
        <v>91</v>
      </c>
      <c r="J559" s="94" t="s">
        <v>149</v>
      </c>
      <c r="K559" s="94" t="s">
        <v>42</v>
      </c>
      <c r="L559" s="94" t="s">
        <v>41</v>
      </c>
      <c r="M559" s="94" t="s">
        <v>71</v>
      </c>
      <c r="N559" s="94" t="s">
        <v>72</v>
      </c>
      <c r="O559" s="259" t="str">
        <f t="shared" si="22"/>
        <v>B4 PM2 (10 to 14 yrs) / B4 PM3 (12 to 15 yrs)</v>
      </c>
      <c r="P559" s="260"/>
      <c r="Q559" s="260" t="str">
        <f t="shared" si="26"/>
        <v>IMS/Management/ProjectManagerManagement/Senior</v>
      </c>
      <c r="R559" s="261" t="str">
        <f t="shared" si="24"/>
        <v>B4 PM2 (10 to 14 yrs) / B4 PM3 (12 to 15 yrs)</v>
      </c>
      <c r="S559" s="260" t="str">
        <f t="shared" si="25"/>
        <v>IMS_26</v>
      </c>
      <c r="T559" s="262" t="b">
        <v>0</v>
      </c>
      <c r="U559" s="263" t="str">
        <f>+VLOOKUP($C559,[8]GRC!$B$3:$L$350,9,0)</f>
        <v>B4 PM2 (10 to 14 yrs)</v>
      </c>
      <c r="V559" s="263" t="str">
        <f>+VLOOKUP($C559,[8]GRC!$B$3:$L$350,10,0)</f>
        <v>B4 PM3 (12 to 15 yrs)</v>
      </c>
      <c r="W559" s="263" t="b">
        <f t="shared" si="23"/>
        <v>1</v>
      </c>
      <c r="X559" s="263" t="b">
        <f t="shared" si="23"/>
        <v>1</v>
      </c>
    </row>
    <row r="560" spans="1:24" ht="15">
      <c r="A560" s="93">
        <v>56</v>
      </c>
      <c r="B560" s="94" t="s">
        <v>405</v>
      </c>
      <c r="C560" s="295" t="s">
        <v>874</v>
      </c>
      <c r="D560" s="94" t="str">
        <f>+[7]GRC!D58</f>
        <v>IMS</v>
      </c>
      <c r="E560" s="94" t="s">
        <v>78</v>
      </c>
      <c r="F560" s="94" t="s">
        <v>155</v>
      </c>
      <c r="G560" s="94" t="s">
        <v>211</v>
      </c>
      <c r="H560" s="94" t="s">
        <v>110</v>
      </c>
      <c r="I560" s="94" t="s">
        <v>84</v>
      </c>
      <c r="J560" s="94" t="s">
        <v>153</v>
      </c>
      <c r="K560" s="94" t="s">
        <v>18</v>
      </c>
      <c r="L560" s="94" t="s">
        <v>71</v>
      </c>
      <c r="M560" s="94" t="s">
        <v>71</v>
      </c>
      <c r="N560" s="94" t="s">
        <v>138</v>
      </c>
      <c r="O560" s="259" t="str">
        <f t="shared" si="22"/>
        <v>B2 AP3 (3 to 5 yrs) / None</v>
      </c>
      <c r="P560" s="260"/>
      <c r="Q560" s="260" t="str">
        <f t="shared" si="26"/>
        <v>IMS/Middleware/AdministratorMiddleware/Junior</v>
      </c>
      <c r="R560" s="261" t="str">
        <f t="shared" si="24"/>
        <v>B2 AP3 (3 to 5 yrs) / None</v>
      </c>
      <c r="S560" s="260" t="str">
        <f t="shared" si="25"/>
        <v>IMS_27</v>
      </c>
      <c r="T560" s="262" t="b">
        <v>0</v>
      </c>
      <c r="U560" s="263" t="str">
        <f>+VLOOKUP($C560,[8]GRC!$B$3:$L$350,9,0)</f>
        <v>B2 AP3 (3 to 5 yrs)</v>
      </c>
      <c r="V560" s="263" t="str">
        <f>+VLOOKUP($C560,[8]GRC!$B$3:$L$350,10,0)</f>
        <v>None</v>
      </c>
      <c r="W560" s="263" t="b">
        <f t="shared" si="23"/>
        <v>1</v>
      </c>
      <c r="X560" s="263" t="b">
        <f t="shared" si="23"/>
        <v>1</v>
      </c>
    </row>
    <row r="561" spans="1:24" ht="15">
      <c r="A561" s="93">
        <v>57</v>
      </c>
      <c r="B561" s="94" t="s">
        <v>406</v>
      </c>
      <c r="C561" s="295" t="s">
        <v>875</v>
      </c>
      <c r="D561" s="94" t="str">
        <f>+[7]GRC!D59</f>
        <v>IMS</v>
      </c>
      <c r="E561" s="94" t="s">
        <v>78</v>
      </c>
      <c r="F561" s="94" t="s">
        <v>155</v>
      </c>
      <c r="G561" s="94" t="s">
        <v>211</v>
      </c>
      <c r="H561" s="94" t="s">
        <v>110</v>
      </c>
      <c r="I561" s="94" t="s">
        <v>193</v>
      </c>
      <c r="J561" s="94" t="s">
        <v>145</v>
      </c>
      <c r="K561" s="94" t="s">
        <v>17</v>
      </c>
      <c r="L561" s="94" t="s">
        <v>16</v>
      </c>
      <c r="M561" s="94" t="s">
        <v>71</v>
      </c>
      <c r="N561" s="94" t="s">
        <v>138</v>
      </c>
      <c r="O561" s="259" t="str">
        <f t="shared" si="22"/>
        <v>B3 PL1 (5 to 7 yrs) / B3 PL2 (6 to 8 yrs)</v>
      </c>
      <c r="P561" s="260"/>
      <c r="Q561" s="260" t="str">
        <f t="shared" si="26"/>
        <v>IMS/Middleware/AdministratorMiddleware/MidLevel</v>
      </c>
      <c r="R561" s="261" t="str">
        <f t="shared" si="24"/>
        <v>B3 PL1 (5 to 7 yrs) / B3 PL2 (6 to 8 yrs)</v>
      </c>
      <c r="S561" s="260" t="str">
        <f t="shared" si="25"/>
        <v>IMS_28</v>
      </c>
      <c r="T561" s="262" t="b">
        <v>0</v>
      </c>
      <c r="U561" s="263" t="str">
        <f>+VLOOKUP($C561,[8]GRC!$B$3:$L$350,9,0)</f>
        <v>B3 PL1 (5 to 7 yrs)</v>
      </c>
      <c r="V561" s="263" t="str">
        <f>+VLOOKUP($C561,[8]GRC!$B$3:$L$350,10,0)</f>
        <v>B3 PL2 (6 to 8 yrs)</v>
      </c>
      <c r="W561" s="263" t="b">
        <f t="shared" si="23"/>
        <v>1</v>
      </c>
      <c r="X561" s="263" t="b">
        <f t="shared" si="23"/>
        <v>1</v>
      </c>
    </row>
    <row r="562" spans="1:24" ht="15">
      <c r="A562" s="93">
        <v>58</v>
      </c>
      <c r="B562" s="94" t="s">
        <v>407</v>
      </c>
      <c r="C562" s="295" t="s">
        <v>876</v>
      </c>
      <c r="D562" s="94" t="str">
        <f>+[7]GRC!D60</f>
        <v>IMS</v>
      </c>
      <c r="E562" s="94" t="s">
        <v>78</v>
      </c>
      <c r="F562" s="94" t="s">
        <v>155</v>
      </c>
      <c r="G562" s="94" t="s">
        <v>211</v>
      </c>
      <c r="H562" s="94" t="s">
        <v>110</v>
      </c>
      <c r="I562" s="94" t="s">
        <v>91</v>
      </c>
      <c r="J562" s="94" t="s">
        <v>147</v>
      </c>
      <c r="K562" s="94" t="s">
        <v>16</v>
      </c>
      <c r="L562" s="94" t="s">
        <v>15</v>
      </c>
      <c r="M562" s="94" t="s">
        <v>71</v>
      </c>
      <c r="N562" s="94" t="s">
        <v>138</v>
      </c>
      <c r="O562" s="259" t="str">
        <f t="shared" si="22"/>
        <v>B3 PL2 (6 to 8 yrs) / B3 PL3 (7 to 10 yrs)</v>
      </c>
      <c r="P562" s="260"/>
      <c r="Q562" s="260" t="str">
        <f t="shared" si="26"/>
        <v>IMS/Middleware/AdministratorMiddleware/Senior</v>
      </c>
      <c r="R562" s="261" t="str">
        <f t="shared" si="24"/>
        <v>B3 PL2 (6 to 8 yrs) / B3 PL3 (7 to 10 yrs)</v>
      </c>
      <c r="S562" s="260" t="str">
        <f t="shared" si="25"/>
        <v>IMS_29</v>
      </c>
      <c r="T562" s="262" t="b">
        <v>0</v>
      </c>
      <c r="U562" s="263" t="str">
        <f>+VLOOKUP($C562,[8]GRC!$B$3:$L$350,9,0)</f>
        <v>B3 PL2 (6 to 8 yrs)</v>
      </c>
      <c r="V562" s="263" t="str">
        <f>+VLOOKUP($C562,[8]GRC!$B$3:$L$350,10,0)</f>
        <v>B3 PL3 (7 to 10 yrs)</v>
      </c>
      <c r="W562" s="263" t="b">
        <f t="shared" si="23"/>
        <v>1</v>
      </c>
      <c r="X562" s="263" t="b">
        <f t="shared" si="23"/>
        <v>1</v>
      </c>
    </row>
    <row r="563" spans="1:24" ht="15">
      <c r="A563" s="93">
        <v>59</v>
      </c>
      <c r="B563" s="94" t="s">
        <v>408</v>
      </c>
      <c r="C563" s="295" t="s">
        <v>877</v>
      </c>
      <c r="D563" s="94" t="str">
        <f>+[7]GRC!D61</f>
        <v>IMS</v>
      </c>
      <c r="E563" s="94" t="s">
        <v>78</v>
      </c>
      <c r="F563" s="94" t="s">
        <v>156</v>
      </c>
      <c r="G563" s="94" t="s">
        <v>212</v>
      </c>
      <c r="H563" s="94" t="s">
        <v>111</v>
      </c>
      <c r="I563" s="94" t="s">
        <v>84</v>
      </c>
      <c r="J563" s="94" t="s">
        <v>153</v>
      </c>
      <c r="K563" s="94" t="s">
        <v>18</v>
      </c>
      <c r="L563" s="94" t="s">
        <v>71</v>
      </c>
      <c r="M563" s="94" t="s">
        <v>71</v>
      </c>
      <c r="N563" s="94" t="s">
        <v>72</v>
      </c>
      <c r="O563" s="259" t="str">
        <f t="shared" si="22"/>
        <v>B2 AP3 (3 to 5 yrs) / None</v>
      </c>
      <c r="P563" s="260"/>
      <c r="Q563" s="260" t="str">
        <f t="shared" si="26"/>
        <v>IMS/Network/AdministratorNetwork/Junior</v>
      </c>
      <c r="R563" s="261" t="str">
        <f t="shared" si="24"/>
        <v>B2 AP3 (3 to 5 yrs) / None</v>
      </c>
      <c r="S563" s="260" t="str">
        <f t="shared" si="25"/>
        <v>IMS_30</v>
      </c>
      <c r="T563" s="262" t="b">
        <v>0</v>
      </c>
      <c r="U563" s="263" t="str">
        <f>+VLOOKUP($C563,[8]GRC!$B$3:$L$350,9,0)</f>
        <v>B2 AP3 (3 to 5 yrs)</v>
      </c>
      <c r="V563" s="263" t="str">
        <f>+VLOOKUP($C563,[8]GRC!$B$3:$L$350,10,0)</f>
        <v>None</v>
      </c>
      <c r="W563" s="263" t="b">
        <f t="shared" si="23"/>
        <v>1</v>
      </c>
      <c r="X563" s="263" t="b">
        <f t="shared" si="23"/>
        <v>1</v>
      </c>
    </row>
    <row r="564" spans="1:24" ht="15">
      <c r="A564" s="93">
        <v>60</v>
      </c>
      <c r="B564" s="94" t="s">
        <v>409</v>
      </c>
      <c r="C564" s="295" t="s">
        <v>878</v>
      </c>
      <c r="D564" s="94" t="str">
        <f>+[7]GRC!D62</f>
        <v>IMS</v>
      </c>
      <c r="E564" s="94" t="s">
        <v>78</v>
      </c>
      <c r="F564" s="94" t="s">
        <v>156</v>
      </c>
      <c r="G564" s="94" t="s">
        <v>212</v>
      </c>
      <c r="H564" s="94" t="s">
        <v>111</v>
      </c>
      <c r="I564" s="94" t="s">
        <v>193</v>
      </c>
      <c r="J564" s="94" t="s">
        <v>145</v>
      </c>
      <c r="K564" s="94" t="s">
        <v>17</v>
      </c>
      <c r="L564" s="94" t="s">
        <v>16</v>
      </c>
      <c r="M564" s="94" t="s">
        <v>71</v>
      </c>
      <c r="N564" s="94" t="s">
        <v>72</v>
      </c>
      <c r="O564" s="259" t="str">
        <f t="shared" si="22"/>
        <v>B3 PL1 (5 to 7 yrs) / B3 PL2 (6 to 8 yrs)</v>
      </c>
      <c r="P564" s="260"/>
      <c r="Q564" s="260" t="str">
        <f t="shared" si="26"/>
        <v>IMS/Network/AdministratorNetwork/MidLevel</v>
      </c>
      <c r="R564" s="261" t="str">
        <f t="shared" si="24"/>
        <v>B3 PL1 (5 to 7 yrs) / B3 PL2 (6 to 8 yrs)</v>
      </c>
      <c r="S564" s="260" t="str">
        <f t="shared" si="25"/>
        <v>IMS_31</v>
      </c>
      <c r="T564" s="262" t="b">
        <v>0</v>
      </c>
      <c r="U564" s="263" t="str">
        <f>+VLOOKUP($C564,[8]GRC!$B$3:$L$350,9,0)</f>
        <v>B3 PL1 (5 to 7 yrs)</v>
      </c>
      <c r="V564" s="263" t="str">
        <f>+VLOOKUP($C564,[8]GRC!$B$3:$L$350,10,0)</f>
        <v>B3 PL2 (6 to 8 yrs)</v>
      </c>
      <c r="W564" s="263" t="b">
        <f t="shared" si="23"/>
        <v>1</v>
      </c>
      <c r="X564" s="263" t="b">
        <f t="shared" si="23"/>
        <v>1</v>
      </c>
    </row>
    <row r="565" spans="1:24" ht="15">
      <c r="A565" s="93">
        <v>61</v>
      </c>
      <c r="B565" s="94" t="s">
        <v>410</v>
      </c>
      <c r="C565" s="295" t="s">
        <v>879</v>
      </c>
      <c r="D565" s="94" t="str">
        <f>+[7]GRC!D63</f>
        <v>IMS</v>
      </c>
      <c r="E565" s="94" t="s">
        <v>78</v>
      </c>
      <c r="F565" s="94" t="s">
        <v>156</v>
      </c>
      <c r="G565" s="94" t="s">
        <v>212</v>
      </c>
      <c r="H565" s="94" t="s">
        <v>111</v>
      </c>
      <c r="I565" s="94" t="s">
        <v>91</v>
      </c>
      <c r="J565" s="94" t="s">
        <v>147</v>
      </c>
      <c r="K565" s="94" t="s">
        <v>16</v>
      </c>
      <c r="L565" s="94" t="s">
        <v>15</v>
      </c>
      <c r="M565" s="94" t="s">
        <v>71</v>
      </c>
      <c r="N565" s="94" t="s">
        <v>72</v>
      </c>
      <c r="O565" s="259" t="str">
        <f t="shared" si="22"/>
        <v>B3 PL2 (6 to 8 yrs) / B3 PL3 (7 to 10 yrs)</v>
      </c>
      <c r="P565" s="260"/>
      <c r="Q565" s="260" t="str">
        <f t="shared" si="26"/>
        <v>IMS/Network/AdministratorNetwork/Senior</v>
      </c>
      <c r="R565" s="261" t="str">
        <f t="shared" si="24"/>
        <v>B3 PL2 (6 to 8 yrs) / B3 PL3 (7 to 10 yrs)</v>
      </c>
      <c r="S565" s="260" t="str">
        <f t="shared" si="25"/>
        <v>IMS_32</v>
      </c>
      <c r="T565" s="262" t="b">
        <v>0</v>
      </c>
      <c r="U565" s="263" t="str">
        <f>+VLOOKUP($C565,[8]GRC!$B$3:$L$350,9,0)</f>
        <v>B3 PL2 (6 to 8 yrs)</v>
      </c>
      <c r="V565" s="263" t="str">
        <f>+VLOOKUP($C565,[8]GRC!$B$3:$L$350,10,0)</f>
        <v>B3 PL3 (7 to 10 yrs)</v>
      </c>
      <c r="W565" s="263" t="b">
        <f t="shared" si="23"/>
        <v>1</v>
      </c>
      <c r="X565" s="263" t="b">
        <f t="shared" si="23"/>
        <v>1</v>
      </c>
    </row>
    <row r="566" spans="1:24" ht="15">
      <c r="A566" s="93">
        <v>62</v>
      </c>
      <c r="B566" s="94" t="s">
        <v>411</v>
      </c>
      <c r="C566" s="295" t="s">
        <v>880</v>
      </c>
      <c r="D566" s="94" t="str">
        <f>+[7]GRC!D64</f>
        <v>IMS-Basic</v>
      </c>
      <c r="E566" s="160" t="s">
        <v>742</v>
      </c>
      <c r="F566" s="94" t="s">
        <v>226</v>
      </c>
      <c r="G566" s="94" t="s">
        <v>342</v>
      </c>
      <c r="H566" s="94" t="s">
        <v>157</v>
      </c>
      <c r="I566" s="94" t="s">
        <v>84</v>
      </c>
      <c r="J566" s="94" t="s">
        <v>150</v>
      </c>
      <c r="K566" s="94" t="s">
        <v>20</v>
      </c>
      <c r="L566" s="94" t="s">
        <v>19</v>
      </c>
      <c r="M566" s="94" t="s">
        <v>71</v>
      </c>
      <c r="N566" s="94" t="s">
        <v>72</v>
      </c>
      <c r="O566" s="259" t="str">
        <f t="shared" si="22"/>
        <v>B2 AP1 / B2 AP2 (0.6 to 3 yrs)</v>
      </c>
      <c r="P566" s="260"/>
      <c r="Q566" s="260" t="str">
        <f t="shared" si="26"/>
        <v>IMSBASIC/NOCDesktop/DesktopEngineerNOC/Junior</v>
      </c>
      <c r="R566" s="261" t="str">
        <f t="shared" si="24"/>
        <v>B2 AP1 / B2 AP2 (0.6 to 3 yrs)</v>
      </c>
      <c r="S566" s="260" t="str">
        <f t="shared" si="25"/>
        <v>IMS_33</v>
      </c>
      <c r="T566" s="262" t="b">
        <v>0</v>
      </c>
      <c r="U566" s="263" t="str">
        <f>+VLOOKUP($C566,[8]GRC!$B$3:$L$350,9,0)</f>
        <v>B2 AP1</v>
      </c>
      <c r="V566" s="263" t="str">
        <f>+VLOOKUP($C566,[8]GRC!$B$3:$L$350,10,0)</f>
        <v>B2 AP2 (0.6 to 3 yrs)</v>
      </c>
      <c r="W566" s="263" t="b">
        <f t="shared" si="23"/>
        <v>1</v>
      </c>
      <c r="X566" s="263" t="b">
        <f t="shared" si="23"/>
        <v>1</v>
      </c>
    </row>
    <row r="567" spans="1:24" ht="15">
      <c r="A567" s="93">
        <v>63</v>
      </c>
      <c r="B567" s="94" t="s">
        <v>412</v>
      </c>
      <c r="C567" s="295" t="s">
        <v>881</v>
      </c>
      <c r="D567" s="94" t="str">
        <f>+[7]GRC!D65</f>
        <v>IMS-Basic</v>
      </c>
      <c r="E567" s="160" t="s">
        <v>742</v>
      </c>
      <c r="F567" s="94" t="s">
        <v>226</v>
      </c>
      <c r="G567" s="94" t="s">
        <v>342</v>
      </c>
      <c r="H567" s="94" t="s">
        <v>157</v>
      </c>
      <c r="I567" s="94" t="s">
        <v>193</v>
      </c>
      <c r="J567" s="94" t="s">
        <v>153</v>
      </c>
      <c r="K567" s="94" t="s">
        <v>19</v>
      </c>
      <c r="L567" s="94" t="s">
        <v>18</v>
      </c>
      <c r="M567" s="94" t="s">
        <v>71</v>
      </c>
      <c r="N567" s="94" t="s">
        <v>72</v>
      </c>
      <c r="O567" s="259" t="str">
        <f t="shared" si="22"/>
        <v>B2 AP2 (0.6 to 3 yrs) / B2 AP3 (3 to 5 yrs)</v>
      </c>
      <c r="P567" s="260"/>
      <c r="Q567" s="260" t="str">
        <f t="shared" si="26"/>
        <v>IMSBASIC/NOCDesktop/DesktopEngineerNOC/MidLevel</v>
      </c>
      <c r="R567" s="261" t="str">
        <f t="shared" si="24"/>
        <v>B2 AP2 (0.6 to 3 yrs) / B2 AP3 (3 to 5 yrs)</v>
      </c>
      <c r="S567" s="260" t="str">
        <f t="shared" si="25"/>
        <v>IMS_34</v>
      </c>
      <c r="T567" s="262" t="b">
        <v>0</v>
      </c>
      <c r="U567" s="263" t="str">
        <f>+VLOOKUP($C567,[8]GRC!$B$3:$L$350,9,0)</f>
        <v>B2 AP2 (0.6 to 3 yrs)</v>
      </c>
      <c r="V567" s="263" t="str">
        <f>+VLOOKUP($C567,[8]GRC!$B$3:$L$350,10,0)</f>
        <v>B2 AP3 (3 to 5 yrs)</v>
      </c>
      <c r="W567" s="263" t="b">
        <f t="shared" si="23"/>
        <v>1</v>
      </c>
      <c r="X567" s="263" t="b">
        <f t="shared" si="23"/>
        <v>1</v>
      </c>
    </row>
    <row r="568" spans="1:24" ht="15">
      <c r="A568" s="93">
        <v>64</v>
      </c>
      <c r="B568" s="94" t="s">
        <v>413</v>
      </c>
      <c r="C568" s="295" t="s">
        <v>882</v>
      </c>
      <c r="D568" s="94" t="str">
        <f>+[7]GRC!D66</f>
        <v>IMS-Basic</v>
      </c>
      <c r="E568" s="160" t="s">
        <v>742</v>
      </c>
      <c r="F568" s="94" t="s">
        <v>226</v>
      </c>
      <c r="G568" s="94" t="s">
        <v>342</v>
      </c>
      <c r="H568" s="94" t="s">
        <v>157</v>
      </c>
      <c r="I568" s="94" t="s">
        <v>91</v>
      </c>
      <c r="J568" s="94" t="s">
        <v>145</v>
      </c>
      <c r="K568" s="94" t="s">
        <v>18</v>
      </c>
      <c r="L568" s="94" t="s">
        <v>17</v>
      </c>
      <c r="M568" s="94" t="s">
        <v>71</v>
      </c>
      <c r="N568" s="94" t="s">
        <v>72</v>
      </c>
      <c r="O568" s="259" t="str">
        <f t="shared" si="22"/>
        <v>B2 AP3 (3 to 5 yrs) / B3 PL1 (5 to 7 yrs)</v>
      </c>
      <c r="P568" s="260"/>
      <c r="Q568" s="260" t="str">
        <f t="shared" si="26"/>
        <v>IMSBASIC/NOCDesktop/DesktopEngineerNOC/Senior</v>
      </c>
      <c r="R568" s="261" t="str">
        <f t="shared" si="24"/>
        <v>B2 AP3 (3 to 5 yrs) / B3 PL1 (5 to 7 yrs)</v>
      </c>
      <c r="S568" s="260" t="str">
        <f t="shared" si="25"/>
        <v>IMS_35</v>
      </c>
      <c r="T568" s="262" t="b">
        <v>0</v>
      </c>
      <c r="U568" s="263" t="str">
        <f>+VLOOKUP($C568,[8]GRC!$B$3:$L$350,9,0)</f>
        <v>B2 AP3 (3 to 5 yrs)</v>
      </c>
      <c r="V568" s="263" t="str">
        <f>+VLOOKUP($C568,[8]GRC!$B$3:$L$350,10,0)</f>
        <v>B3 PL1 (5 to 7 yrs)</v>
      </c>
      <c r="W568" s="263" t="b">
        <f t="shared" si="23"/>
        <v>1</v>
      </c>
      <c r="X568" s="263" t="b">
        <f t="shared" si="23"/>
        <v>1</v>
      </c>
    </row>
    <row r="569" spans="1:24" ht="15">
      <c r="A569" s="93">
        <v>65</v>
      </c>
      <c r="B569" s="94" t="s">
        <v>414</v>
      </c>
      <c r="C569" s="295" t="s">
        <v>883</v>
      </c>
      <c r="D569" s="94" t="str">
        <f>+[7]GRC!D67</f>
        <v>IMS-Basic</v>
      </c>
      <c r="E569" s="160" t="s">
        <v>742</v>
      </c>
      <c r="F569" s="94" t="s">
        <v>227</v>
      </c>
      <c r="G569" s="160" t="s">
        <v>743</v>
      </c>
      <c r="H569" s="94"/>
      <c r="I569" s="94" t="s">
        <v>84</v>
      </c>
      <c r="J569" s="94" t="s">
        <v>150</v>
      </c>
      <c r="K569" s="94" t="s">
        <v>20</v>
      </c>
      <c r="L569" s="94" t="s">
        <v>19</v>
      </c>
      <c r="M569" s="94" t="s">
        <v>71</v>
      </c>
      <c r="N569" s="94" t="s">
        <v>72</v>
      </c>
      <c r="O569" s="259" t="str">
        <f t="shared" ref="O569:O632" si="27">+K569&amp;" / " &amp;L569</f>
        <v>B2 AP1 / B2 AP2 (0.6 to 3 yrs)</v>
      </c>
      <c r="P569" s="260"/>
      <c r="Q569" s="260" t="str">
        <f t="shared" si="26"/>
        <v>IMSBASIC/OpsSupport/OpnSupportIMSBASIC/Junior</v>
      </c>
      <c r="R569" s="261" t="str">
        <f t="shared" si="24"/>
        <v>B2 AP1 / B2 AP2 (0.6 to 3 yrs)</v>
      </c>
      <c r="S569" s="260" t="str">
        <f t="shared" si="25"/>
        <v>IMS_65</v>
      </c>
      <c r="T569" s="262" t="b">
        <v>0</v>
      </c>
      <c r="U569" s="263" t="str">
        <f>+VLOOKUP($C569,[8]GRC!$B$3:$L$350,9,0)</f>
        <v>B2 AP1</v>
      </c>
      <c r="V569" s="263" t="str">
        <f>+VLOOKUP($C569,[8]GRC!$B$3:$L$350,10,0)</f>
        <v>B2 AP2 (0.6 to 3 yrs)</v>
      </c>
      <c r="W569" s="263" t="b">
        <f t="shared" ref="W569:X632" si="28">+U569=K569</f>
        <v>1</v>
      </c>
      <c r="X569" s="263" t="b">
        <f t="shared" si="28"/>
        <v>1</v>
      </c>
    </row>
    <row r="570" spans="1:24" ht="15">
      <c r="A570" s="93">
        <v>66</v>
      </c>
      <c r="B570" s="94" t="s">
        <v>415</v>
      </c>
      <c r="C570" s="295" t="s">
        <v>884</v>
      </c>
      <c r="D570" s="94" t="str">
        <f>+[7]GRC!D68</f>
        <v>IMS-Basic</v>
      </c>
      <c r="E570" s="160" t="s">
        <v>742</v>
      </c>
      <c r="F570" s="94" t="s">
        <v>227</v>
      </c>
      <c r="G570" s="160" t="s">
        <v>743</v>
      </c>
      <c r="H570" s="94"/>
      <c r="I570" s="94" t="s">
        <v>91</v>
      </c>
      <c r="J570" s="94" t="s">
        <v>153</v>
      </c>
      <c r="K570" s="94" t="s">
        <v>19</v>
      </c>
      <c r="L570" s="94" t="s">
        <v>18</v>
      </c>
      <c r="M570" s="94" t="s">
        <v>71</v>
      </c>
      <c r="N570" s="94" t="s">
        <v>72</v>
      </c>
      <c r="O570" s="259" t="str">
        <f t="shared" si="27"/>
        <v>B2 AP2 (0.6 to 3 yrs) / B2 AP3 (3 to 5 yrs)</v>
      </c>
      <c r="P570" s="260"/>
      <c r="Q570" s="260" t="str">
        <f t="shared" si="26"/>
        <v>IMSBASIC/OpsSupport/OpnSupportIMSBASIC/Senior</v>
      </c>
      <c r="R570" s="261" t="str">
        <f t="shared" ref="R570:R633" si="29">+O570</f>
        <v>B2 AP2 (0.6 to 3 yrs) / B2 AP3 (3 to 5 yrs)</v>
      </c>
      <c r="S570" s="260" t="str">
        <f t="shared" ref="S570:S633" si="30">+C570</f>
        <v>IMS_66</v>
      </c>
      <c r="T570" s="262" t="b">
        <v>0</v>
      </c>
      <c r="U570" s="263" t="str">
        <f>+VLOOKUP($C570,[8]GRC!$B$3:$L$350,9,0)</f>
        <v>B2 AP2 (0.6 to 3 yrs)</v>
      </c>
      <c r="V570" s="263" t="str">
        <f>+VLOOKUP($C570,[8]GRC!$B$3:$L$350,10,0)</f>
        <v>B2 AP3 (3 to 5 yrs)</v>
      </c>
      <c r="W570" s="263" t="b">
        <f t="shared" si="28"/>
        <v>1</v>
      </c>
      <c r="X570" s="263" t="b">
        <f t="shared" si="28"/>
        <v>1</v>
      </c>
    </row>
    <row r="571" spans="1:24" ht="15">
      <c r="A571" s="93">
        <v>67</v>
      </c>
      <c r="B571" s="94" t="s">
        <v>416</v>
      </c>
      <c r="C571" s="295" t="s">
        <v>885</v>
      </c>
      <c r="D571" s="94" t="str">
        <f>+[7]GRC!D69</f>
        <v>IMS</v>
      </c>
      <c r="E571" s="94" t="s">
        <v>78</v>
      </c>
      <c r="F571" s="94" t="s">
        <v>115</v>
      </c>
      <c r="G571" s="94" t="s">
        <v>213</v>
      </c>
      <c r="H571" s="94"/>
      <c r="I571" s="94" t="s">
        <v>84</v>
      </c>
      <c r="J571" s="94" t="s">
        <v>151</v>
      </c>
      <c r="K571" s="94" t="s">
        <v>18</v>
      </c>
      <c r="L571" s="94" t="s">
        <v>71</v>
      </c>
      <c r="M571" s="94" t="s">
        <v>71</v>
      </c>
      <c r="N571" s="94" t="s">
        <v>72</v>
      </c>
      <c r="O571" s="259" t="str">
        <f t="shared" si="27"/>
        <v>B2 AP3 (3 to 5 yrs) / None</v>
      </c>
      <c r="P571" s="260"/>
      <c r="Q571" s="260" t="str">
        <f t="shared" ref="Q571:Q634" si="31">+E571&amp;"/"&amp;F571&amp;"/"&amp;G571&amp;"/"&amp;I571</f>
        <v>IMS/Security/AdministratorSecurity/Junior</v>
      </c>
      <c r="R571" s="261" t="str">
        <f t="shared" si="29"/>
        <v>B2 AP3 (3 to 5 yrs) / None</v>
      </c>
      <c r="S571" s="260" t="str">
        <f t="shared" si="30"/>
        <v>IMS_37</v>
      </c>
      <c r="T571" s="262" t="b">
        <v>0</v>
      </c>
      <c r="U571" s="263" t="str">
        <f>+VLOOKUP($C571,[8]GRC!$B$3:$L$350,9,0)</f>
        <v>B2 AP3 (3 to 5 yrs)</v>
      </c>
      <c r="V571" s="263" t="str">
        <f>+VLOOKUP($C571,[8]GRC!$B$3:$L$350,10,0)</f>
        <v>None</v>
      </c>
      <c r="W571" s="263" t="b">
        <f t="shared" si="28"/>
        <v>1</v>
      </c>
      <c r="X571" s="263" t="b">
        <f t="shared" si="28"/>
        <v>1</v>
      </c>
    </row>
    <row r="572" spans="1:24" ht="15">
      <c r="A572" s="93">
        <v>68</v>
      </c>
      <c r="B572" s="94" t="s">
        <v>417</v>
      </c>
      <c r="C572" s="295" t="s">
        <v>886</v>
      </c>
      <c r="D572" s="94" t="str">
        <f>+[7]GRC!D70</f>
        <v>IMS</v>
      </c>
      <c r="E572" s="94" t="s">
        <v>78</v>
      </c>
      <c r="F572" s="94" t="s">
        <v>115</v>
      </c>
      <c r="G572" s="94" t="s">
        <v>213</v>
      </c>
      <c r="H572" s="94"/>
      <c r="I572" s="94" t="s">
        <v>193</v>
      </c>
      <c r="J572" s="94" t="s">
        <v>145</v>
      </c>
      <c r="K572" s="94" t="s">
        <v>17</v>
      </c>
      <c r="L572" s="94" t="s">
        <v>16</v>
      </c>
      <c r="M572" s="94" t="s">
        <v>71</v>
      </c>
      <c r="N572" s="94" t="s">
        <v>72</v>
      </c>
      <c r="O572" s="259" t="str">
        <f t="shared" si="27"/>
        <v>B3 PL1 (5 to 7 yrs) / B3 PL2 (6 to 8 yrs)</v>
      </c>
      <c r="P572" s="260"/>
      <c r="Q572" s="260" t="str">
        <f t="shared" si="31"/>
        <v>IMS/Security/AdministratorSecurity/MidLevel</v>
      </c>
      <c r="R572" s="261" t="str">
        <f t="shared" si="29"/>
        <v>B3 PL1 (5 to 7 yrs) / B3 PL2 (6 to 8 yrs)</v>
      </c>
      <c r="S572" s="260" t="str">
        <f t="shared" si="30"/>
        <v>IMS_38</v>
      </c>
      <c r="T572" s="262" t="b">
        <v>0</v>
      </c>
      <c r="U572" s="263" t="str">
        <f>+VLOOKUP($C572,[8]GRC!$B$3:$L$350,9,0)</f>
        <v>B3 PL1 (5 to 7 yrs)</v>
      </c>
      <c r="V572" s="263" t="str">
        <f>+VLOOKUP($C572,[8]GRC!$B$3:$L$350,10,0)</f>
        <v>B3 PL2 (6 to 8 yrs)</v>
      </c>
      <c r="W572" s="263" t="b">
        <f t="shared" si="28"/>
        <v>1</v>
      </c>
      <c r="X572" s="263" t="b">
        <f t="shared" si="28"/>
        <v>1</v>
      </c>
    </row>
    <row r="573" spans="1:24" ht="15">
      <c r="A573" s="93">
        <v>69</v>
      </c>
      <c r="B573" s="94" t="s">
        <v>418</v>
      </c>
      <c r="C573" s="295" t="s">
        <v>887</v>
      </c>
      <c r="D573" s="94" t="str">
        <f>+[7]GRC!D71</f>
        <v>IMS</v>
      </c>
      <c r="E573" s="94" t="s">
        <v>78</v>
      </c>
      <c r="F573" s="94" t="s">
        <v>115</v>
      </c>
      <c r="G573" s="94" t="s">
        <v>213</v>
      </c>
      <c r="H573" s="94"/>
      <c r="I573" s="94" t="s">
        <v>91</v>
      </c>
      <c r="J573" s="94" t="s">
        <v>147</v>
      </c>
      <c r="K573" s="94" t="s">
        <v>16</v>
      </c>
      <c r="L573" s="94" t="s">
        <v>15</v>
      </c>
      <c r="M573" s="94" t="s">
        <v>71</v>
      </c>
      <c r="N573" s="94" t="s">
        <v>72</v>
      </c>
      <c r="O573" s="259" t="str">
        <f t="shared" si="27"/>
        <v>B3 PL2 (6 to 8 yrs) / B3 PL3 (7 to 10 yrs)</v>
      </c>
      <c r="P573" s="260"/>
      <c r="Q573" s="260" t="str">
        <f t="shared" si="31"/>
        <v>IMS/Security/AdministratorSecurity/Senior</v>
      </c>
      <c r="R573" s="261" t="str">
        <f t="shared" si="29"/>
        <v>B3 PL2 (6 to 8 yrs) / B3 PL3 (7 to 10 yrs)</v>
      </c>
      <c r="S573" s="260" t="str">
        <f t="shared" si="30"/>
        <v>IMS_39</v>
      </c>
      <c r="T573" s="262" t="b">
        <v>0</v>
      </c>
      <c r="U573" s="263" t="str">
        <f>+VLOOKUP($C573,[8]GRC!$B$3:$L$350,9,0)</f>
        <v>B3 PL2 (6 to 8 yrs)</v>
      </c>
      <c r="V573" s="263" t="str">
        <f>+VLOOKUP($C573,[8]GRC!$B$3:$L$350,10,0)</f>
        <v>B3 PL3 (7 to 10 yrs)</v>
      </c>
      <c r="W573" s="263" t="b">
        <f t="shared" si="28"/>
        <v>1</v>
      </c>
      <c r="X573" s="263" t="b">
        <f t="shared" si="28"/>
        <v>1</v>
      </c>
    </row>
    <row r="574" spans="1:24" ht="15">
      <c r="A574" s="93">
        <v>70</v>
      </c>
      <c r="B574" s="94" t="s">
        <v>419</v>
      </c>
      <c r="C574" s="295" t="s">
        <v>888</v>
      </c>
      <c r="D574" s="94" t="str">
        <f>+[7]GRC!D72</f>
        <v>IMS</v>
      </c>
      <c r="E574" s="94" t="s">
        <v>78</v>
      </c>
      <c r="F574" s="94" t="s">
        <v>116</v>
      </c>
      <c r="G574" s="94" t="s">
        <v>214</v>
      </c>
      <c r="H574" s="94" t="s">
        <v>117</v>
      </c>
      <c r="I574" s="94" t="s">
        <v>84</v>
      </c>
      <c r="J574" s="94" t="s">
        <v>153</v>
      </c>
      <c r="K574" s="94" t="s">
        <v>18</v>
      </c>
      <c r="L574" s="94" t="s">
        <v>71</v>
      </c>
      <c r="M574" s="94" t="s">
        <v>71</v>
      </c>
      <c r="N574" s="94" t="s">
        <v>72</v>
      </c>
      <c r="O574" s="259" t="str">
        <f t="shared" si="27"/>
        <v>B2 AP3 (3 to 5 yrs) / None</v>
      </c>
      <c r="P574" s="260"/>
      <c r="Q574" s="260" t="str">
        <f t="shared" si="31"/>
        <v>IMS/Storage/AdministratorStorage/Junior</v>
      </c>
      <c r="R574" s="261" t="str">
        <f t="shared" si="29"/>
        <v>B2 AP3 (3 to 5 yrs) / None</v>
      </c>
      <c r="S574" s="260" t="str">
        <f t="shared" si="30"/>
        <v>IMS_40</v>
      </c>
      <c r="T574" s="262" t="b">
        <v>0</v>
      </c>
      <c r="U574" s="263" t="str">
        <f>+VLOOKUP($C574,[8]GRC!$B$3:$L$350,9,0)</f>
        <v>B2 AP3 (3 to 5 yrs)</v>
      </c>
      <c r="V574" s="263" t="str">
        <f>+VLOOKUP($C574,[8]GRC!$B$3:$L$350,10,0)</f>
        <v>None</v>
      </c>
      <c r="W574" s="263" t="b">
        <f t="shared" si="28"/>
        <v>1</v>
      </c>
      <c r="X574" s="263" t="b">
        <f t="shared" si="28"/>
        <v>1</v>
      </c>
    </row>
    <row r="575" spans="1:24" ht="15">
      <c r="A575" s="93">
        <v>71</v>
      </c>
      <c r="B575" s="94" t="s">
        <v>420</v>
      </c>
      <c r="C575" s="295" t="s">
        <v>889</v>
      </c>
      <c r="D575" s="94" t="str">
        <f>+[7]GRC!D73</f>
        <v>IMS</v>
      </c>
      <c r="E575" s="94" t="s">
        <v>78</v>
      </c>
      <c r="F575" s="94" t="s">
        <v>116</v>
      </c>
      <c r="G575" s="94" t="s">
        <v>214</v>
      </c>
      <c r="H575" s="94" t="s">
        <v>117</v>
      </c>
      <c r="I575" s="94" t="s">
        <v>193</v>
      </c>
      <c r="J575" s="94" t="s">
        <v>145</v>
      </c>
      <c r="K575" s="94" t="s">
        <v>17</v>
      </c>
      <c r="L575" s="94" t="s">
        <v>16</v>
      </c>
      <c r="M575" s="94" t="s">
        <v>71</v>
      </c>
      <c r="N575" s="94" t="s">
        <v>72</v>
      </c>
      <c r="O575" s="259" t="str">
        <f t="shared" si="27"/>
        <v>B3 PL1 (5 to 7 yrs) / B3 PL2 (6 to 8 yrs)</v>
      </c>
      <c r="P575" s="260"/>
      <c r="Q575" s="260" t="str">
        <f t="shared" si="31"/>
        <v>IMS/Storage/AdministratorStorage/MidLevel</v>
      </c>
      <c r="R575" s="261" t="str">
        <f t="shared" si="29"/>
        <v>B3 PL1 (5 to 7 yrs) / B3 PL2 (6 to 8 yrs)</v>
      </c>
      <c r="S575" s="260" t="str">
        <f t="shared" si="30"/>
        <v>IMS_41</v>
      </c>
      <c r="T575" s="262" t="b">
        <v>0</v>
      </c>
      <c r="U575" s="263" t="str">
        <f>+VLOOKUP($C575,[8]GRC!$B$3:$L$350,9,0)</f>
        <v>B3 PL1 (5 to 7 yrs)</v>
      </c>
      <c r="V575" s="263" t="str">
        <f>+VLOOKUP($C575,[8]GRC!$B$3:$L$350,10,0)</f>
        <v>B3 PL2 (6 to 8 yrs)</v>
      </c>
      <c r="W575" s="263" t="b">
        <f t="shared" si="28"/>
        <v>1</v>
      </c>
      <c r="X575" s="263" t="b">
        <f t="shared" si="28"/>
        <v>1</v>
      </c>
    </row>
    <row r="576" spans="1:24" ht="15">
      <c r="A576" s="93">
        <v>72</v>
      </c>
      <c r="B576" s="94" t="s">
        <v>421</v>
      </c>
      <c r="C576" s="295" t="s">
        <v>890</v>
      </c>
      <c r="D576" s="94" t="str">
        <f>+[7]GRC!D74</f>
        <v>IMS</v>
      </c>
      <c r="E576" s="94" t="s">
        <v>78</v>
      </c>
      <c r="F576" s="94" t="s">
        <v>116</v>
      </c>
      <c r="G576" s="94" t="s">
        <v>214</v>
      </c>
      <c r="H576" s="94" t="s">
        <v>117</v>
      </c>
      <c r="I576" s="94" t="s">
        <v>91</v>
      </c>
      <c r="J576" s="94" t="s">
        <v>147</v>
      </c>
      <c r="K576" s="94" t="s">
        <v>16</v>
      </c>
      <c r="L576" s="94" t="s">
        <v>15</v>
      </c>
      <c r="M576" s="94" t="s">
        <v>71</v>
      </c>
      <c r="N576" s="94" t="s">
        <v>72</v>
      </c>
      <c r="O576" s="259" t="str">
        <f t="shared" si="27"/>
        <v>B3 PL2 (6 to 8 yrs) / B3 PL3 (7 to 10 yrs)</v>
      </c>
      <c r="P576" s="260"/>
      <c r="Q576" s="260" t="str">
        <f t="shared" si="31"/>
        <v>IMS/Storage/AdministratorStorage/Senior</v>
      </c>
      <c r="R576" s="261" t="str">
        <f t="shared" si="29"/>
        <v>B3 PL2 (6 to 8 yrs) / B3 PL3 (7 to 10 yrs)</v>
      </c>
      <c r="S576" s="260" t="str">
        <f t="shared" si="30"/>
        <v>IMS_42</v>
      </c>
      <c r="T576" s="262" t="b">
        <v>0</v>
      </c>
      <c r="U576" s="263" t="str">
        <f>+VLOOKUP($C576,[8]GRC!$B$3:$L$350,9,0)</f>
        <v>B3 PL2 (6 to 8 yrs)</v>
      </c>
      <c r="V576" s="263" t="str">
        <f>+VLOOKUP($C576,[8]GRC!$B$3:$L$350,10,0)</f>
        <v>B3 PL3 (7 to 10 yrs)</v>
      </c>
      <c r="W576" s="263" t="b">
        <f t="shared" si="28"/>
        <v>1</v>
      </c>
      <c r="X576" s="263" t="b">
        <f t="shared" si="28"/>
        <v>1</v>
      </c>
    </row>
    <row r="577" spans="1:24" ht="15">
      <c r="A577" s="93">
        <v>73</v>
      </c>
      <c r="B577" s="94" t="s">
        <v>422</v>
      </c>
      <c r="C577" s="295" t="s">
        <v>891</v>
      </c>
      <c r="D577" s="94" t="str">
        <f>+[7]GRC!D75</f>
        <v>IMS</v>
      </c>
      <c r="E577" s="94" t="s">
        <v>78</v>
      </c>
      <c r="F577" s="94" t="s">
        <v>158</v>
      </c>
      <c r="G577" s="94" t="s">
        <v>215</v>
      </c>
      <c r="H577" s="94" t="s">
        <v>159</v>
      </c>
      <c r="I577" s="94" t="s">
        <v>84</v>
      </c>
      <c r="J577" s="94" t="s">
        <v>153</v>
      </c>
      <c r="K577" s="94" t="s">
        <v>18</v>
      </c>
      <c r="L577" s="94" t="s">
        <v>71</v>
      </c>
      <c r="M577" s="94" t="s">
        <v>71</v>
      </c>
      <c r="N577" s="94" t="s">
        <v>138</v>
      </c>
      <c r="O577" s="259" t="str">
        <f t="shared" si="27"/>
        <v>B2 AP3 (3 to 5 yrs) / None</v>
      </c>
      <c r="P577" s="260"/>
      <c r="Q577" s="260" t="str">
        <f t="shared" si="31"/>
        <v>IMS/Systems/AdministratorSystemsSolaris/Junior</v>
      </c>
      <c r="R577" s="261" t="str">
        <f t="shared" si="29"/>
        <v>B2 AP3 (3 to 5 yrs) / None</v>
      </c>
      <c r="S577" s="260" t="str">
        <f t="shared" si="30"/>
        <v>IMS_43</v>
      </c>
      <c r="T577" s="262" t="b">
        <v>0</v>
      </c>
      <c r="U577" s="263" t="str">
        <f>+VLOOKUP($C577,[8]GRC!$B$3:$L$350,9,0)</f>
        <v>B2 AP3 (3 to 5 yrs)</v>
      </c>
      <c r="V577" s="263" t="str">
        <f>+VLOOKUP($C577,[8]GRC!$B$3:$L$350,10,0)</f>
        <v>None</v>
      </c>
      <c r="W577" s="263" t="b">
        <f t="shared" si="28"/>
        <v>1</v>
      </c>
      <c r="X577" s="263" t="b">
        <f t="shared" si="28"/>
        <v>1</v>
      </c>
    </row>
    <row r="578" spans="1:24" ht="15">
      <c r="A578" s="93">
        <v>74</v>
      </c>
      <c r="B578" s="94" t="s">
        <v>423</v>
      </c>
      <c r="C578" s="295" t="s">
        <v>892</v>
      </c>
      <c r="D578" s="94" t="str">
        <f>+[7]GRC!D76</f>
        <v>IMS</v>
      </c>
      <c r="E578" s="94" t="s">
        <v>78</v>
      </c>
      <c r="F578" s="94" t="s">
        <v>158</v>
      </c>
      <c r="G578" s="94" t="s">
        <v>215</v>
      </c>
      <c r="H578" s="94" t="s">
        <v>159</v>
      </c>
      <c r="I578" s="94" t="s">
        <v>193</v>
      </c>
      <c r="J578" s="94" t="s">
        <v>145</v>
      </c>
      <c r="K578" s="94" t="s">
        <v>17</v>
      </c>
      <c r="L578" s="94" t="s">
        <v>16</v>
      </c>
      <c r="M578" s="94" t="s">
        <v>71</v>
      </c>
      <c r="N578" s="94" t="s">
        <v>138</v>
      </c>
      <c r="O578" s="259" t="str">
        <f t="shared" si="27"/>
        <v>B3 PL1 (5 to 7 yrs) / B3 PL2 (6 to 8 yrs)</v>
      </c>
      <c r="P578" s="260"/>
      <c r="Q578" s="260" t="str">
        <f t="shared" si="31"/>
        <v>IMS/Systems/AdministratorSystemsSolaris/MidLevel</v>
      </c>
      <c r="R578" s="261" t="str">
        <f t="shared" si="29"/>
        <v>B3 PL1 (5 to 7 yrs) / B3 PL2 (6 to 8 yrs)</v>
      </c>
      <c r="S578" s="260" t="str">
        <f t="shared" si="30"/>
        <v>IMS_44</v>
      </c>
      <c r="T578" s="262" t="b">
        <v>0</v>
      </c>
      <c r="U578" s="263" t="str">
        <f>+VLOOKUP($C578,[8]GRC!$B$3:$L$350,9,0)</f>
        <v>B3 PL1 (5 to 7 yrs)</v>
      </c>
      <c r="V578" s="263" t="str">
        <f>+VLOOKUP($C578,[8]GRC!$B$3:$L$350,10,0)</f>
        <v>B3 PL2 (6 to 8 yrs)</v>
      </c>
      <c r="W578" s="263" t="b">
        <f t="shared" si="28"/>
        <v>1</v>
      </c>
      <c r="X578" s="263" t="b">
        <f t="shared" si="28"/>
        <v>1</v>
      </c>
    </row>
    <row r="579" spans="1:24" ht="15">
      <c r="A579" s="93">
        <v>75</v>
      </c>
      <c r="B579" s="94" t="s">
        <v>424</v>
      </c>
      <c r="C579" s="295" t="s">
        <v>893</v>
      </c>
      <c r="D579" s="94" t="str">
        <f>+[7]GRC!D77</f>
        <v>IMS</v>
      </c>
      <c r="E579" s="94" t="s">
        <v>78</v>
      </c>
      <c r="F579" s="94" t="s">
        <v>158</v>
      </c>
      <c r="G579" s="94" t="s">
        <v>215</v>
      </c>
      <c r="H579" s="94" t="s">
        <v>159</v>
      </c>
      <c r="I579" s="94" t="s">
        <v>91</v>
      </c>
      <c r="J579" s="94" t="s">
        <v>147</v>
      </c>
      <c r="K579" s="94" t="s">
        <v>16</v>
      </c>
      <c r="L579" s="94" t="s">
        <v>15</v>
      </c>
      <c r="M579" s="94" t="s">
        <v>71</v>
      </c>
      <c r="N579" s="94" t="s">
        <v>138</v>
      </c>
      <c r="O579" s="259" t="str">
        <f t="shared" si="27"/>
        <v>B3 PL2 (6 to 8 yrs) / B3 PL3 (7 to 10 yrs)</v>
      </c>
      <c r="P579" s="260"/>
      <c r="Q579" s="260" t="str">
        <f t="shared" si="31"/>
        <v>IMS/Systems/AdministratorSystemsSolaris/Senior</v>
      </c>
      <c r="R579" s="261" t="str">
        <f t="shared" si="29"/>
        <v>B3 PL2 (6 to 8 yrs) / B3 PL3 (7 to 10 yrs)</v>
      </c>
      <c r="S579" s="260" t="str">
        <f t="shared" si="30"/>
        <v>IMS_45</v>
      </c>
      <c r="T579" s="262" t="b">
        <v>0</v>
      </c>
      <c r="U579" s="263" t="str">
        <f>+VLOOKUP($C579,[8]GRC!$B$3:$L$350,9,0)</f>
        <v>B3 PL2 (6 to 8 yrs)</v>
      </c>
      <c r="V579" s="263" t="str">
        <f>+VLOOKUP($C579,[8]GRC!$B$3:$L$350,10,0)</f>
        <v>B3 PL3 (7 to 10 yrs)</v>
      </c>
      <c r="W579" s="263" t="b">
        <f t="shared" si="28"/>
        <v>1</v>
      </c>
      <c r="X579" s="263" t="b">
        <f t="shared" si="28"/>
        <v>1</v>
      </c>
    </row>
    <row r="580" spans="1:24" ht="15">
      <c r="A580" s="93">
        <v>76</v>
      </c>
      <c r="B580" s="94" t="s">
        <v>425</v>
      </c>
      <c r="C580" s="295" t="s">
        <v>894</v>
      </c>
      <c r="D580" s="94" t="str">
        <f>+[7]GRC!D78</f>
        <v>IMS</v>
      </c>
      <c r="E580" s="94" t="s">
        <v>78</v>
      </c>
      <c r="F580" s="94" t="s">
        <v>158</v>
      </c>
      <c r="G580" s="94" t="s">
        <v>216</v>
      </c>
      <c r="H580" s="94" t="s">
        <v>120</v>
      </c>
      <c r="I580" s="94" t="s">
        <v>84</v>
      </c>
      <c r="J580" s="94" t="s">
        <v>153</v>
      </c>
      <c r="K580" s="94" t="s">
        <v>18</v>
      </c>
      <c r="L580" s="94" t="s">
        <v>71</v>
      </c>
      <c r="M580" s="94" t="s">
        <v>71</v>
      </c>
      <c r="N580" s="94" t="s">
        <v>138</v>
      </c>
      <c r="O580" s="259" t="str">
        <f t="shared" si="27"/>
        <v>B2 AP3 (3 to 5 yrs) / None</v>
      </c>
      <c r="P580" s="260"/>
      <c r="Q580" s="260" t="str">
        <f t="shared" si="31"/>
        <v>IMS/Systems/AdministratorSystemsVMWareSCCMCitrix/Junior</v>
      </c>
      <c r="R580" s="261" t="str">
        <f t="shared" si="29"/>
        <v>B2 AP3 (3 to 5 yrs) / None</v>
      </c>
      <c r="S580" s="260" t="str">
        <f t="shared" si="30"/>
        <v>IMS_46</v>
      </c>
      <c r="T580" s="262" t="b">
        <v>0</v>
      </c>
      <c r="U580" s="263" t="str">
        <f>+VLOOKUP($C580,[8]GRC!$B$3:$L$350,9,0)</f>
        <v>B2 AP3 (3 to 5 yrs)</v>
      </c>
      <c r="V580" s="263" t="str">
        <f>+VLOOKUP($C580,[8]GRC!$B$3:$L$350,10,0)</f>
        <v>None</v>
      </c>
      <c r="W580" s="263" t="b">
        <f t="shared" si="28"/>
        <v>1</v>
      </c>
      <c r="X580" s="263" t="b">
        <f t="shared" si="28"/>
        <v>1</v>
      </c>
    </row>
    <row r="581" spans="1:24" ht="15">
      <c r="A581" s="93">
        <v>77</v>
      </c>
      <c r="B581" s="94" t="s">
        <v>426</v>
      </c>
      <c r="C581" s="295" t="s">
        <v>895</v>
      </c>
      <c r="D581" s="94" t="str">
        <f>+[7]GRC!D79</f>
        <v>IMS</v>
      </c>
      <c r="E581" s="94" t="s">
        <v>78</v>
      </c>
      <c r="F581" s="94" t="s">
        <v>158</v>
      </c>
      <c r="G581" s="94" t="s">
        <v>216</v>
      </c>
      <c r="H581" s="94" t="s">
        <v>120</v>
      </c>
      <c r="I581" s="94" t="s">
        <v>193</v>
      </c>
      <c r="J581" s="94" t="s">
        <v>145</v>
      </c>
      <c r="K581" s="94" t="s">
        <v>17</v>
      </c>
      <c r="L581" s="94" t="s">
        <v>16</v>
      </c>
      <c r="M581" s="94" t="s">
        <v>71</v>
      </c>
      <c r="N581" s="94" t="s">
        <v>138</v>
      </c>
      <c r="O581" s="259" t="str">
        <f t="shared" si="27"/>
        <v>B3 PL1 (5 to 7 yrs) / B3 PL2 (6 to 8 yrs)</v>
      </c>
      <c r="P581" s="260"/>
      <c r="Q581" s="260" t="str">
        <f t="shared" si="31"/>
        <v>IMS/Systems/AdministratorSystemsVMWareSCCMCitrix/MidLevel</v>
      </c>
      <c r="R581" s="261" t="str">
        <f t="shared" si="29"/>
        <v>B3 PL1 (5 to 7 yrs) / B3 PL2 (6 to 8 yrs)</v>
      </c>
      <c r="S581" s="260" t="str">
        <f t="shared" si="30"/>
        <v>IMS_47</v>
      </c>
      <c r="T581" s="262" t="b">
        <v>0</v>
      </c>
      <c r="U581" s="263" t="str">
        <f>+VLOOKUP($C581,[8]GRC!$B$3:$L$350,9,0)</f>
        <v>B3 PL1 (5 to 7 yrs)</v>
      </c>
      <c r="V581" s="263" t="str">
        <f>+VLOOKUP($C581,[8]GRC!$B$3:$L$350,10,0)</f>
        <v>B3 PL2 (6 to 8 yrs)</v>
      </c>
      <c r="W581" s="263" t="b">
        <f t="shared" si="28"/>
        <v>1</v>
      </c>
      <c r="X581" s="263" t="b">
        <f t="shared" si="28"/>
        <v>1</v>
      </c>
    </row>
    <row r="582" spans="1:24" ht="15">
      <c r="A582" s="93">
        <v>78</v>
      </c>
      <c r="B582" s="94" t="s">
        <v>427</v>
      </c>
      <c r="C582" s="295" t="s">
        <v>896</v>
      </c>
      <c r="D582" s="94" t="str">
        <f>+[7]GRC!D80</f>
        <v>IMS</v>
      </c>
      <c r="E582" s="94" t="s">
        <v>78</v>
      </c>
      <c r="F582" s="94" t="s">
        <v>158</v>
      </c>
      <c r="G582" s="94" t="s">
        <v>216</v>
      </c>
      <c r="H582" s="94" t="s">
        <v>120</v>
      </c>
      <c r="I582" s="94" t="s">
        <v>91</v>
      </c>
      <c r="J582" s="94" t="s">
        <v>147</v>
      </c>
      <c r="K582" s="94" t="s">
        <v>16</v>
      </c>
      <c r="L582" s="94" t="s">
        <v>15</v>
      </c>
      <c r="M582" s="94" t="s">
        <v>71</v>
      </c>
      <c r="N582" s="94" t="s">
        <v>138</v>
      </c>
      <c r="O582" s="259" t="str">
        <f t="shared" si="27"/>
        <v>B3 PL2 (6 to 8 yrs) / B3 PL3 (7 to 10 yrs)</v>
      </c>
      <c r="P582" s="260"/>
      <c r="Q582" s="260" t="str">
        <f t="shared" si="31"/>
        <v>IMS/Systems/AdministratorSystemsVMWareSCCMCitrix/Senior</v>
      </c>
      <c r="R582" s="261" t="str">
        <f t="shared" si="29"/>
        <v>B3 PL2 (6 to 8 yrs) / B3 PL3 (7 to 10 yrs)</v>
      </c>
      <c r="S582" s="260" t="str">
        <f t="shared" si="30"/>
        <v>IMS_48</v>
      </c>
      <c r="T582" s="262" t="b">
        <v>0</v>
      </c>
      <c r="U582" s="263" t="str">
        <f>+VLOOKUP($C582,[8]GRC!$B$3:$L$350,9,0)</f>
        <v>B3 PL2 (6 to 8 yrs)</v>
      </c>
      <c r="V582" s="263" t="str">
        <f>+VLOOKUP($C582,[8]GRC!$B$3:$L$350,10,0)</f>
        <v>B3 PL3 (7 to 10 yrs)</v>
      </c>
      <c r="W582" s="263" t="b">
        <f t="shared" si="28"/>
        <v>1</v>
      </c>
      <c r="X582" s="263" t="b">
        <f t="shared" si="28"/>
        <v>1</v>
      </c>
    </row>
    <row r="583" spans="1:24" ht="15">
      <c r="A583" s="93">
        <v>79</v>
      </c>
      <c r="B583" s="94" t="s">
        <v>428</v>
      </c>
      <c r="C583" s="295" t="s">
        <v>897</v>
      </c>
      <c r="D583" s="94" t="str">
        <f>+[7]GRC!D81</f>
        <v>IMS</v>
      </c>
      <c r="E583" s="94" t="s">
        <v>78</v>
      </c>
      <c r="F583" s="94" t="s">
        <v>158</v>
      </c>
      <c r="G583" s="94" t="s">
        <v>217</v>
      </c>
      <c r="H583" s="94" t="s">
        <v>160</v>
      </c>
      <c r="I583" s="94" t="s">
        <v>84</v>
      </c>
      <c r="J583" s="94" t="s">
        <v>153</v>
      </c>
      <c r="K583" s="94" t="s">
        <v>18</v>
      </c>
      <c r="L583" s="94" t="s">
        <v>71</v>
      </c>
      <c r="M583" s="94" t="s">
        <v>71</v>
      </c>
      <c r="N583" s="94" t="s">
        <v>72</v>
      </c>
      <c r="O583" s="259" t="str">
        <f t="shared" si="27"/>
        <v>B2 AP3 (3 to 5 yrs) / None</v>
      </c>
      <c r="P583" s="260"/>
      <c r="Q583" s="260" t="str">
        <f t="shared" si="31"/>
        <v>IMS/Systems/AdministratorSystemsMSSQLOracle/Junior</v>
      </c>
      <c r="R583" s="261" t="str">
        <f t="shared" si="29"/>
        <v>B2 AP3 (3 to 5 yrs) / None</v>
      </c>
      <c r="S583" s="260" t="str">
        <f t="shared" si="30"/>
        <v>IMS_49</v>
      </c>
      <c r="T583" s="262" t="b">
        <v>0</v>
      </c>
      <c r="U583" s="263" t="str">
        <f>+VLOOKUP($C583,[8]GRC!$B$3:$L$350,9,0)</f>
        <v>B2 AP3 (3 to 5 yrs)</v>
      </c>
      <c r="V583" s="263" t="str">
        <f>+VLOOKUP($C583,[8]GRC!$B$3:$L$350,10,0)</f>
        <v>None</v>
      </c>
      <c r="W583" s="263" t="b">
        <f t="shared" si="28"/>
        <v>1</v>
      </c>
      <c r="X583" s="263" t="b">
        <f t="shared" si="28"/>
        <v>1</v>
      </c>
    </row>
    <row r="584" spans="1:24" ht="15">
      <c r="A584" s="93">
        <v>80</v>
      </c>
      <c r="B584" s="94" t="s">
        <v>429</v>
      </c>
      <c r="C584" s="295" t="s">
        <v>898</v>
      </c>
      <c r="D584" s="94" t="str">
        <f>+[7]GRC!D82</f>
        <v>IMS</v>
      </c>
      <c r="E584" s="94" t="s">
        <v>78</v>
      </c>
      <c r="F584" s="94" t="s">
        <v>158</v>
      </c>
      <c r="G584" s="94" t="s">
        <v>217</v>
      </c>
      <c r="H584" s="94" t="s">
        <v>160</v>
      </c>
      <c r="I584" s="94" t="s">
        <v>193</v>
      </c>
      <c r="J584" s="94" t="s">
        <v>145</v>
      </c>
      <c r="K584" s="94" t="s">
        <v>17</v>
      </c>
      <c r="L584" s="94" t="s">
        <v>16</v>
      </c>
      <c r="M584" s="94" t="s">
        <v>71</v>
      </c>
      <c r="N584" s="94" t="s">
        <v>72</v>
      </c>
      <c r="O584" s="259" t="str">
        <f t="shared" si="27"/>
        <v>B3 PL1 (5 to 7 yrs) / B3 PL2 (6 to 8 yrs)</v>
      </c>
      <c r="P584" s="260"/>
      <c r="Q584" s="260" t="str">
        <f t="shared" si="31"/>
        <v>IMS/Systems/AdministratorSystemsMSSQLOracle/MidLevel</v>
      </c>
      <c r="R584" s="261" t="str">
        <f t="shared" si="29"/>
        <v>B3 PL1 (5 to 7 yrs) / B3 PL2 (6 to 8 yrs)</v>
      </c>
      <c r="S584" s="260" t="str">
        <f t="shared" si="30"/>
        <v>IMS_50</v>
      </c>
      <c r="T584" s="262" t="b">
        <v>0</v>
      </c>
      <c r="U584" s="263" t="str">
        <f>+VLOOKUP($C584,[8]GRC!$B$3:$L$350,9,0)</f>
        <v>B3 PL1 (5 to 7 yrs)</v>
      </c>
      <c r="V584" s="263" t="str">
        <f>+VLOOKUP($C584,[8]GRC!$B$3:$L$350,10,0)</f>
        <v>B3 PL2 (6 to 8 yrs)</v>
      </c>
      <c r="W584" s="263" t="b">
        <f t="shared" si="28"/>
        <v>1</v>
      </c>
      <c r="X584" s="263" t="b">
        <f t="shared" si="28"/>
        <v>1</v>
      </c>
    </row>
    <row r="585" spans="1:24" ht="15">
      <c r="A585" s="93">
        <v>81</v>
      </c>
      <c r="B585" s="94" t="s">
        <v>430</v>
      </c>
      <c r="C585" s="295" t="s">
        <v>899</v>
      </c>
      <c r="D585" s="94" t="str">
        <f>+[7]GRC!D83</f>
        <v>IMS</v>
      </c>
      <c r="E585" s="94" t="s">
        <v>78</v>
      </c>
      <c r="F585" s="94" t="s">
        <v>158</v>
      </c>
      <c r="G585" s="94" t="s">
        <v>217</v>
      </c>
      <c r="H585" s="94" t="s">
        <v>160</v>
      </c>
      <c r="I585" s="94" t="s">
        <v>91</v>
      </c>
      <c r="J585" s="94" t="s">
        <v>147</v>
      </c>
      <c r="K585" s="94" t="s">
        <v>16</v>
      </c>
      <c r="L585" s="94" t="s">
        <v>15</v>
      </c>
      <c r="M585" s="94" t="s">
        <v>71</v>
      </c>
      <c r="N585" s="94" t="s">
        <v>72</v>
      </c>
      <c r="O585" s="259" t="str">
        <f t="shared" si="27"/>
        <v>B3 PL2 (6 to 8 yrs) / B3 PL3 (7 to 10 yrs)</v>
      </c>
      <c r="P585" s="260"/>
      <c r="Q585" s="260" t="str">
        <f t="shared" si="31"/>
        <v>IMS/Systems/AdministratorSystemsMSSQLOracle/Senior</v>
      </c>
      <c r="R585" s="261" t="str">
        <f t="shared" si="29"/>
        <v>B3 PL2 (6 to 8 yrs) / B3 PL3 (7 to 10 yrs)</v>
      </c>
      <c r="S585" s="260" t="str">
        <f t="shared" si="30"/>
        <v>IMS_51</v>
      </c>
      <c r="T585" s="262" t="b">
        <v>0</v>
      </c>
      <c r="U585" s="263" t="str">
        <f>+VLOOKUP($C585,[8]GRC!$B$3:$L$350,9,0)</f>
        <v>B3 PL2 (6 to 8 yrs)</v>
      </c>
      <c r="V585" s="263" t="str">
        <f>+VLOOKUP($C585,[8]GRC!$B$3:$L$350,10,0)</f>
        <v>B3 PL3 (7 to 10 yrs)</v>
      </c>
      <c r="W585" s="263" t="b">
        <f t="shared" si="28"/>
        <v>1</v>
      </c>
      <c r="X585" s="263" t="b">
        <f t="shared" si="28"/>
        <v>1</v>
      </c>
    </row>
    <row r="586" spans="1:24" ht="15">
      <c r="A586" s="93">
        <v>82</v>
      </c>
      <c r="B586" s="94" t="s">
        <v>431</v>
      </c>
      <c r="C586" s="295" t="s">
        <v>900</v>
      </c>
      <c r="D586" s="94" t="str">
        <f>+[7]GRC!D84</f>
        <v>IMS</v>
      </c>
      <c r="E586" s="94" t="s">
        <v>78</v>
      </c>
      <c r="F586" s="94" t="s">
        <v>158</v>
      </c>
      <c r="G586" s="94" t="s">
        <v>218</v>
      </c>
      <c r="H586" s="94" t="s">
        <v>161</v>
      </c>
      <c r="I586" s="94" t="s">
        <v>84</v>
      </c>
      <c r="J586" s="94" t="s">
        <v>153</v>
      </c>
      <c r="K586" s="94" t="s">
        <v>18</v>
      </c>
      <c r="L586" s="94" t="s">
        <v>71</v>
      </c>
      <c r="M586" s="94" t="s">
        <v>71</v>
      </c>
      <c r="N586" s="94" t="s">
        <v>138</v>
      </c>
      <c r="O586" s="259" t="str">
        <f t="shared" si="27"/>
        <v>B2 AP3 (3 to 5 yrs) / None</v>
      </c>
      <c r="P586" s="260"/>
      <c r="Q586" s="260" t="str">
        <f t="shared" si="31"/>
        <v>IMS/Systems/AdministratorSystemsSybase/Junior</v>
      </c>
      <c r="R586" s="261" t="str">
        <f t="shared" si="29"/>
        <v>B2 AP3 (3 to 5 yrs) / None</v>
      </c>
      <c r="S586" s="260" t="str">
        <f t="shared" si="30"/>
        <v>IMS_52</v>
      </c>
      <c r="T586" s="262" t="b">
        <v>0</v>
      </c>
      <c r="U586" s="263" t="str">
        <f>+VLOOKUP($C586,[8]GRC!$B$3:$L$350,9,0)</f>
        <v>B2 AP3 (3 to 5 yrs)</v>
      </c>
      <c r="V586" s="263" t="str">
        <f>+VLOOKUP($C586,[8]GRC!$B$3:$L$350,10,0)</f>
        <v>None</v>
      </c>
      <c r="W586" s="263" t="b">
        <f t="shared" si="28"/>
        <v>1</v>
      </c>
      <c r="X586" s="263" t="b">
        <f t="shared" si="28"/>
        <v>1</v>
      </c>
    </row>
    <row r="587" spans="1:24" ht="15">
      <c r="A587" s="93">
        <v>83</v>
      </c>
      <c r="B587" s="94" t="s">
        <v>432</v>
      </c>
      <c r="C587" s="295" t="s">
        <v>901</v>
      </c>
      <c r="D587" s="94" t="str">
        <f>+[7]GRC!D85</f>
        <v>IMS</v>
      </c>
      <c r="E587" s="94" t="s">
        <v>78</v>
      </c>
      <c r="F587" s="94" t="s">
        <v>158</v>
      </c>
      <c r="G587" s="94" t="s">
        <v>218</v>
      </c>
      <c r="H587" s="94" t="s">
        <v>161</v>
      </c>
      <c r="I587" s="94" t="s">
        <v>193</v>
      </c>
      <c r="J587" s="94" t="s">
        <v>145</v>
      </c>
      <c r="K587" s="94" t="s">
        <v>17</v>
      </c>
      <c r="L587" s="94" t="s">
        <v>16</v>
      </c>
      <c r="M587" s="94" t="s">
        <v>71</v>
      </c>
      <c r="N587" s="94" t="s">
        <v>138</v>
      </c>
      <c r="O587" s="259" t="str">
        <f t="shared" si="27"/>
        <v>B3 PL1 (5 to 7 yrs) / B3 PL2 (6 to 8 yrs)</v>
      </c>
      <c r="P587" s="260"/>
      <c r="Q587" s="260" t="str">
        <f t="shared" si="31"/>
        <v>IMS/Systems/AdministratorSystemsSybase/MidLevel</v>
      </c>
      <c r="R587" s="261" t="str">
        <f t="shared" si="29"/>
        <v>B3 PL1 (5 to 7 yrs) / B3 PL2 (6 to 8 yrs)</v>
      </c>
      <c r="S587" s="260" t="str">
        <f t="shared" si="30"/>
        <v>IMS_53</v>
      </c>
      <c r="T587" s="262" t="b">
        <v>0</v>
      </c>
      <c r="U587" s="263" t="str">
        <f>+VLOOKUP($C587,[8]GRC!$B$3:$L$350,9,0)</f>
        <v>B3 PL1 (5 to 7 yrs)</v>
      </c>
      <c r="V587" s="263" t="str">
        <f>+VLOOKUP($C587,[8]GRC!$B$3:$L$350,10,0)</f>
        <v>B3 PL2 (6 to 8 yrs)</v>
      </c>
      <c r="W587" s="263" t="b">
        <f t="shared" si="28"/>
        <v>1</v>
      </c>
      <c r="X587" s="263" t="b">
        <f t="shared" si="28"/>
        <v>1</v>
      </c>
    </row>
    <row r="588" spans="1:24" ht="15">
      <c r="A588" s="93">
        <v>84</v>
      </c>
      <c r="B588" s="94" t="s">
        <v>433</v>
      </c>
      <c r="C588" s="295" t="s">
        <v>902</v>
      </c>
      <c r="D588" s="94" t="str">
        <f>+[7]GRC!D86</f>
        <v>IMS</v>
      </c>
      <c r="E588" s="94" t="s">
        <v>78</v>
      </c>
      <c r="F588" s="94" t="s">
        <v>158</v>
      </c>
      <c r="G588" s="94" t="s">
        <v>218</v>
      </c>
      <c r="H588" s="94" t="s">
        <v>161</v>
      </c>
      <c r="I588" s="94" t="s">
        <v>91</v>
      </c>
      <c r="J588" s="94" t="s">
        <v>147</v>
      </c>
      <c r="K588" s="94" t="s">
        <v>16</v>
      </c>
      <c r="L588" s="94" t="s">
        <v>15</v>
      </c>
      <c r="M588" s="94" t="s">
        <v>71</v>
      </c>
      <c r="N588" s="94" t="s">
        <v>138</v>
      </c>
      <c r="O588" s="259" t="str">
        <f t="shared" si="27"/>
        <v>B3 PL2 (6 to 8 yrs) / B3 PL3 (7 to 10 yrs)</v>
      </c>
      <c r="P588" s="260"/>
      <c r="Q588" s="260" t="str">
        <f t="shared" si="31"/>
        <v>IMS/Systems/AdministratorSystemsSybase/Senior</v>
      </c>
      <c r="R588" s="261" t="str">
        <f t="shared" si="29"/>
        <v>B3 PL2 (6 to 8 yrs) / B3 PL3 (7 to 10 yrs)</v>
      </c>
      <c r="S588" s="260" t="str">
        <f t="shared" si="30"/>
        <v>IMS_54</v>
      </c>
      <c r="T588" s="262" t="b">
        <v>0</v>
      </c>
      <c r="U588" s="263" t="str">
        <f>+VLOOKUP($C588,[8]GRC!$B$3:$L$350,9,0)</f>
        <v>B3 PL2 (6 to 8 yrs)</v>
      </c>
      <c r="V588" s="263" t="str">
        <f>+VLOOKUP($C588,[8]GRC!$B$3:$L$350,10,0)</f>
        <v>B3 PL3 (7 to 10 yrs)</v>
      </c>
      <c r="W588" s="263" t="b">
        <f t="shared" si="28"/>
        <v>1</v>
      </c>
      <c r="X588" s="263" t="b">
        <f t="shared" si="28"/>
        <v>1</v>
      </c>
    </row>
    <row r="589" spans="1:24" ht="15">
      <c r="A589" s="93">
        <v>85</v>
      </c>
      <c r="B589" s="94" t="s">
        <v>434</v>
      </c>
      <c r="C589" s="295" t="s">
        <v>903</v>
      </c>
      <c r="D589" s="94" t="str">
        <f>+[7]GRC!D87</f>
        <v>IMS</v>
      </c>
      <c r="E589" s="94" t="s">
        <v>78</v>
      </c>
      <c r="F589" s="94" t="s">
        <v>158</v>
      </c>
      <c r="G589" s="94" t="s">
        <v>219</v>
      </c>
      <c r="H589" s="94"/>
      <c r="I589" s="94" t="s">
        <v>84</v>
      </c>
      <c r="J589" s="94" t="s">
        <v>153</v>
      </c>
      <c r="K589" s="94" t="s">
        <v>18</v>
      </c>
      <c r="L589" s="94" t="s">
        <v>71</v>
      </c>
      <c r="M589" s="94" t="s">
        <v>71</v>
      </c>
      <c r="N589" s="94" t="s">
        <v>138</v>
      </c>
      <c r="O589" s="259" t="str">
        <f t="shared" si="27"/>
        <v>B2 AP3 (3 to 5 yrs) / None</v>
      </c>
      <c r="P589" s="260"/>
      <c r="Q589" s="260" t="str">
        <f t="shared" si="31"/>
        <v>IMS/Systems/AdministratorSystems/Junior</v>
      </c>
      <c r="R589" s="261" t="str">
        <f t="shared" si="29"/>
        <v>B2 AP3 (3 to 5 yrs) / None</v>
      </c>
      <c r="S589" s="260" t="str">
        <f t="shared" si="30"/>
        <v>IMS_55</v>
      </c>
      <c r="T589" s="262" t="b">
        <v>0</v>
      </c>
      <c r="U589" s="263" t="str">
        <f>+VLOOKUP($C589,[8]GRC!$B$3:$L$350,9,0)</f>
        <v>B2 AP3 (3 to 5 yrs)</v>
      </c>
      <c r="V589" s="263" t="str">
        <f>+VLOOKUP($C589,[8]GRC!$B$3:$L$350,10,0)</f>
        <v>None</v>
      </c>
      <c r="W589" s="263" t="b">
        <f t="shared" si="28"/>
        <v>1</v>
      </c>
      <c r="X589" s="263" t="b">
        <f t="shared" si="28"/>
        <v>1</v>
      </c>
    </row>
    <row r="590" spans="1:24" ht="15">
      <c r="A590" s="93">
        <v>86</v>
      </c>
      <c r="B590" s="94" t="s">
        <v>435</v>
      </c>
      <c r="C590" s="295" t="s">
        <v>904</v>
      </c>
      <c r="D590" s="94" t="str">
        <f>+[7]GRC!D88</f>
        <v>IMS</v>
      </c>
      <c r="E590" s="94" t="s">
        <v>78</v>
      </c>
      <c r="F590" s="94" t="s">
        <v>158</v>
      </c>
      <c r="G590" s="94" t="s">
        <v>219</v>
      </c>
      <c r="H590" s="94"/>
      <c r="I590" s="94" t="s">
        <v>193</v>
      </c>
      <c r="J590" s="94" t="s">
        <v>145</v>
      </c>
      <c r="K590" s="94" t="s">
        <v>17</v>
      </c>
      <c r="L590" s="94" t="s">
        <v>16</v>
      </c>
      <c r="M590" s="94" t="s">
        <v>71</v>
      </c>
      <c r="N590" s="94" t="s">
        <v>138</v>
      </c>
      <c r="O590" s="259" t="str">
        <f t="shared" si="27"/>
        <v>B3 PL1 (5 to 7 yrs) / B3 PL2 (6 to 8 yrs)</v>
      </c>
      <c r="P590" s="260"/>
      <c r="Q590" s="260" t="str">
        <f t="shared" si="31"/>
        <v>IMS/Systems/AdministratorSystems/MidLevel</v>
      </c>
      <c r="R590" s="261" t="str">
        <f t="shared" si="29"/>
        <v>B3 PL1 (5 to 7 yrs) / B3 PL2 (6 to 8 yrs)</v>
      </c>
      <c r="S590" s="260" t="str">
        <f t="shared" si="30"/>
        <v>IMS_56</v>
      </c>
      <c r="T590" s="262" t="b">
        <v>0</v>
      </c>
      <c r="U590" s="263" t="str">
        <f>+VLOOKUP($C590,[8]GRC!$B$3:$L$350,9,0)</f>
        <v>B3 PL1 (5 to 7 yrs)</v>
      </c>
      <c r="V590" s="263" t="str">
        <f>+VLOOKUP($C590,[8]GRC!$B$3:$L$350,10,0)</f>
        <v>B3 PL2 (6 to 8 yrs)</v>
      </c>
      <c r="W590" s="263" t="b">
        <f t="shared" si="28"/>
        <v>1</v>
      </c>
      <c r="X590" s="263" t="b">
        <f t="shared" si="28"/>
        <v>1</v>
      </c>
    </row>
    <row r="591" spans="1:24" ht="15">
      <c r="A591" s="93">
        <v>87</v>
      </c>
      <c r="B591" s="94" t="s">
        <v>436</v>
      </c>
      <c r="C591" s="295" t="s">
        <v>905</v>
      </c>
      <c r="D591" s="94" t="str">
        <f>+[7]GRC!D89</f>
        <v>IMS</v>
      </c>
      <c r="E591" s="94" t="s">
        <v>78</v>
      </c>
      <c r="F591" s="94" t="s">
        <v>158</v>
      </c>
      <c r="G591" s="94" t="s">
        <v>219</v>
      </c>
      <c r="H591" s="94"/>
      <c r="I591" s="94" t="s">
        <v>91</v>
      </c>
      <c r="J591" s="94" t="s">
        <v>147</v>
      </c>
      <c r="K591" s="94" t="s">
        <v>16</v>
      </c>
      <c r="L591" s="94" t="s">
        <v>15</v>
      </c>
      <c r="M591" s="94" t="s">
        <v>71</v>
      </c>
      <c r="N591" s="94" t="s">
        <v>138</v>
      </c>
      <c r="O591" s="259" t="str">
        <f t="shared" si="27"/>
        <v>B3 PL2 (6 to 8 yrs) / B3 PL3 (7 to 10 yrs)</v>
      </c>
      <c r="P591" s="260"/>
      <c r="Q591" s="260" t="str">
        <f t="shared" si="31"/>
        <v>IMS/Systems/AdministratorSystems/Senior</v>
      </c>
      <c r="R591" s="261" t="str">
        <f t="shared" si="29"/>
        <v>B3 PL2 (6 to 8 yrs) / B3 PL3 (7 to 10 yrs)</v>
      </c>
      <c r="S591" s="260" t="str">
        <f t="shared" si="30"/>
        <v>IMS_57</v>
      </c>
      <c r="T591" s="262" t="b">
        <v>0</v>
      </c>
      <c r="U591" s="263" t="str">
        <f>+VLOOKUP($C591,[8]GRC!$B$3:$L$350,9,0)</f>
        <v>B3 PL2 (6 to 8 yrs)</v>
      </c>
      <c r="V591" s="263" t="str">
        <f>+VLOOKUP($C591,[8]GRC!$B$3:$L$350,10,0)</f>
        <v>B3 PL3 (7 to 10 yrs)</v>
      </c>
      <c r="W591" s="263" t="b">
        <f t="shared" si="28"/>
        <v>1</v>
      </c>
      <c r="X591" s="263" t="b">
        <f t="shared" si="28"/>
        <v>1</v>
      </c>
    </row>
    <row r="592" spans="1:24" ht="15">
      <c r="A592" s="93">
        <v>88</v>
      </c>
      <c r="B592" s="94" t="s">
        <v>437</v>
      </c>
      <c r="C592" s="295" t="s">
        <v>906</v>
      </c>
      <c r="D592" s="94" t="str">
        <f>+[7]GRC!D90</f>
        <v>IMS-Basic</v>
      </c>
      <c r="E592" s="160" t="s">
        <v>742</v>
      </c>
      <c r="F592" s="94" t="s">
        <v>121</v>
      </c>
      <c r="G592" s="94" t="s">
        <v>162</v>
      </c>
      <c r="H592" s="94"/>
      <c r="I592" s="94" t="s">
        <v>84</v>
      </c>
      <c r="J592" s="94" t="s">
        <v>150</v>
      </c>
      <c r="K592" s="94" t="s">
        <v>20</v>
      </c>
      <c r="L592" s="94" t="s">
        <v>19</v>
      </c>
      <c r="M592" s="94" t="s">
        <v>71</v>
      </c>
      <c r="N592" s="94" t="s">
        <v>72</v>
      </c>
      <c r="O592" s="259" t="str">
        <f t="shared" si="27"/>
        <v>B2 AP1 / B2 AP2 (0.6 to 3 yrs)</v>
      </c>
      <c r="P592" s="260"/>
      <c r="Q592" s="260" t="str">
        <f t="shared" si="31"/>
        <v>IMSBASIC/Telecom/Technician/Junior</v>
      </c>
      <c r="R592" s="261" t="str">
        <f t="shared" si="29"/>
        <v>B2 AP1 / B2 AP2 (0.6 to 3 yrs)</v>
      </c>
      <c r="S592" s="260" t="str">
        <f t="shared" si="30"/>
        <v>IMS_58</v>
      </c>
      <c r="T592" s="262" t="b">
        <v>0</v>
      </c>
      <c r="U592" s="263" t="str">
        <f>+VLOOKUP($C592,[8]GRC!$B$3:$L$350,9,0)</f>
        <v>B2 AP1</v>
      </c>
      <c r="V592" s="263" t="str">
        <f>+VLOOKUP($C592,[8]GRC!$B$3:$L$350,10,0)</f>
        <v>B2 AP2 (0.6 to 3 yrs)</v>
      </c>
      <c r="W592" s="263" t="b">
        <f t="shared" si="28"/>
        <v>1</v>
      </c>
      <c r="X592" s="263" t="b">
        <f t="shared" si="28"/>
        <v>1</v>
      </c>
    </row>
    <row r="593" spans="1:24" ht="15">
      <c r="A593" s="93">
        <v>89</v>
      </c>
      <c r="B593" s="94" t="s">
        <v>438</v>
      </c>
      <c r="C593" s="295" t="s">
        <v>907</v>
      </c>
      <c r="D593" s="94" t="str">
        <f>+[7]GRC!D91</f>
        <v>IMS-Basic</v>
      </c>
      <c r="E593" s="160" t="s">
        <v>742</v>
      </c>
      <c r="F593" s="94" t="s">
        <v>121</v>
      </c>
      <c r="G593" s="94" t="s">
        <v>162</v>
      </c>
      <c r="H593" s="94"/>
      <c r="I593" s="94" t="s">
        <v>193</v>
      </c>
      <c r="J593" s="94" t="s">
        <v>151</v>
      </c>
      <c r="K593" s="94" t="s">
        <v>19</v>
      </c>
      <c r="L593" s="94" t="s">
        <v>18</v>
      </c>
      <c r="M593" s="94" t="s">
        <v>71</v>
      </c>
      <c r="N593" s="94" t="s">
        <v>72</v>
      </c>
      <c r="O593" s="259" t="str">
        <f t="shared" si="27"/>
        <v>B2 AP2 (0.6 to 3 yrs) / B2 AP3 (3 to 5 yrs)</v>
      </c>
      <c r="P593" s="260"/>
      <c r="Q593" s="260" t="str">
        <f t="shared" si="31"/>
        <v>IMSBASIC/Telecom/Technician/MidLevel</v>
      </c>
      <c r="R593" s="261" t="str">
        <f t="shared" si="29"/>
        <v>B2 AP2 (0.6 to 3 yrs) / B2 AP3 (3 to 5 yrs)</v>
      </c>
      <c r="S593" s="260" t="str">
        <f t="shared" si="30"/>
        <v>IMS_59</v>
      </c>
      <c r="T593" s="262" t="b">
        <v>0</v>
      </c>
      <c r="U593" s="263" t="str">
        <f>+VLOOKUP($C593,[8]GRC!$B$3:$L$350,9,0)</f>
        <v>B2 AP2 (0.6 to 3 yrs)</v>
      </c>
      <c r="V593" s="263" t="str">
        <f>+VLOOKUP($C593,[8]GRC!$B$3:$L$350,10,0)</f>
        <v>B2 AP3 (3 to 5 yrs)</v>
      </c>
      <c r="W593" s="263" t="b">
        <f t="shared" si="28"/>
        <v>1</v>
      </c>
      <c r="X593" s="263" t="b">
        <f t="shared" si="28"/>
        <v>1</v>
      </c>
    </row>
    <row r="594" spans="1:24" ht="15">
      <c r="A594" s="93">
        <v>90</v>
      </c>
      <c r="B594" s="94" t="s">
        <v>439</v>
      </c>
      <c r="C594" s="295" t="s">
        <v>908</v>
      </c>
      <c r="D594" s="94" t="str">
        <f>+[7]GRC!D92</f>
        <v>IMS-Basic</v>
      </c>
      <c r="E594" s="160" t="s">
        <v>742</v>
      </c>
      <c r="F594" s="94" t="s">
        <v>121</v>
      </c>
      <c r="G594" s="94" t="s">
        <v>162</v>
      </c>
      <c r="H594" s="94"/>
      <c r="I594" s="94" t="s">
        <v>91</v>
      </c>
      <c r="J594" s="94" t="s">
        <v>145</v>
      </c>
      <c r="K594" s="94" t="s">
        <v>18</v>
      </c>
      <c r="L594" s="94" t="s">
        <v>17</v>
      </c>
      <c r="M594" s="94" t="s">
        <v>71</v>
      </c>
      <c r="N594" s="94" t="s">
        <v>72</v>
      </c>
      <c r="O594" s="259" t="str">
        <f t="shared" si="27"/>
        <v>B2 AP3 (3 to 5 yrs) / B3 PL1 (5 to 7 yrs)</v>
      </c>
      <c r="P594" s="260"/>
      <c r="Q594" s="260" t="str">
        <f t="shared" si="31"/>
        <v>IMSBASIC/Telecom/Technician/Senior</v>
      </c>
      <c r="R594" s="261" t="str">
        <f t="shared" si="29"/>
        <v>B2 AP3 (3 to 5 yrs) / B3 PL1 (5 to 7 yrs)</v>
      </c>
      <c r="S594" s="260" t="str">
        <f t="shared" si="30"/>
        <v>IMS_60</v>
      </c>
      <c r="T594" s="262" t="b">
        <v>0</v>
      </c>
      <c r="U594" s="263" t="str">
        <f>+VLOOKUP($C594,[8]GRC!$B$3:$L$350,9,0)</f>
        <v>B2 AP3 (3 to 5 yrs)</v>
      </c>
      <c r="V594" s="263" t="str">
        <f>+VLOOKUP($C594,[8]GRC!$B$3:$L$350,10,0)</f>
        <v>B3 PL1 (5 to 7 yrs)</v>
      </c>
      <c r="W594" s="263" t="b">
        <f t="shared" si="28"/>
        <v>1</v>
      </c>
      <c r="X594" s="263" t="b">
        <f t="shared" si="28"/>
        <v>1</v>
      </c>
    </row>
    <row r="595" spans="1:24" ht="15">
      <c r="A595" s="93">
        <v>91</v>
      </c>
      <c r="B595" s="94" t="s">
        <v>440</v>
      </c>
      <c r="C595" s="295" t="s">
        <v>909</v>
      </c>
      <c r="D595" s="94" t="str">
        <f>+[7]GRC!D93</f>
        <v>IMS</v>
      </c>
      <c r="E595" s="94" t="s">
        <v>78</v>
      </c>
      <c r="F595" s="94" t="s">
        <v>154</v>
      </c>
      <c r="G595" s="94" t="s">
        <v>347</v>
      </c>
      <c r="H595" s="94"/>
      <c r="I595" s="94"/>
      <c r="J595" s="94" t="s">
        <v>145</v>
      </c>
      <c r="K595" s="94" t="s">
        <v>17</v>
      </c>
      <c r="L595" s="94" t="s">
        <v>16</v>
      </c>
      <c r="M595" s="94" t="s">
        <v>71</v>
      </c>
      <c r="N595" s="94" t="s">
        <v>138</v>
      </c>
      <c r="O595" s="259" t="str">
        <f t="shared" si="27"/>
        <v>B3 PL1 (5 to 7 yrs) / B3 PL2 (6 to 8 yrs)</v>
      </c>
      <c r="P595" s="260"/>
      <c r="Q595" s="260" t="str">
        <f t="shared" si="31"/>
        <v>IMS/Management/ProgramLeadManagement/</v>
      </c>
      <c r="R595" s="261" t="str">
        <f t="shared" si="29"/>
        <v>B3 PL1 (5 to 7 yrs) / B3 PL2 (6 to 8 yrs)</v>
      </c>
      <c r="S595" s="260" t="str">
        <f t="shared" si="30"/>
        <v>IMS_61</v>
      </c>
      <c r="T595" s="262" t="b">
        <v>0</v>
      </c>
      <c r="U595" s="263" t="str">
        <f>+VLOOKUP($C595,[8]GRC!$B$3:$L$350,9,0)</f>
        <v>B3 PL1 (5 to 7 yrs)</v>
      </c>
      <c r="V595" s="263" t="str">
        <f>+VLOOKUP($C595,[8]GRC!$B$3:$L$350,10,0)</f>
        <v>B3 PL2 (6 to 8 yrs)</v>
      </c>
      <c r="W595" s="263" t="b">
        <f t="shared" si="28"/>
        <v>1</v>
      </c>
      <c r="X595" s="263" t="b">
        <f t="shared" si="28"/>
        <v>1</v>
      </c>
    </row>
    <row r="596" spans="1:24" ht="15">
      <c r="A596" s="93">
        <v>92</v>
      </c>
      <c r="B596" s="94" t="s">
        <v>441</v>
      </c>
      <c r="C596" s="295" t="s">
        <v>910</v>
      </c>
      <c r="D596" s="94" t="str">
        <f>+[7]GRC!D94</f>
        <v>IMS</v>
      </c>
      <c r="E596" s="94" t="s">
        <v>78</v>
      </c>
      <c r="F596" s="94" t="s">
        <v>206</v>
      </c>
      <c r="G596" s="94" t="s">
        <v>207</v>
      </c>
      <c r="H596" s="94"/>
      <c r="I596" s="94" t="s">
        <v>84</v>
      </c>
      <c r="J596" s="94" t="s">
        <v>170</v>
      </c>
      <c r="K596" s="94" t="s">
        <v>14</v>
      </c>
      <c r="L596" s="94" t="s">
        <v>71</v>
      </c>
      <c r="M596" s="94" t="s">
        <v>71</v>
      </c>
      <c r="N596" s="94" t="s">
        <v>72</v>
      </c>
      <c r="O596" s="259" t="str">
        <f t="shared" si="27"/>
        <v>B4 PM1 (9 to 12 yrs) / None</v>
      </c>
      <c r="P596" s="260"/>
      <c r="Q596" s="260" t="str">
        <f t="shared" si="31"/>
        <v>IMS/InfoSecurity/ConsultantInfoSec/Junior</v>
      </c>
      <c r="R596" s="261" t="str">
        <f t="shared" si="29"/>
        <v>B4 PM1 (9 to 12 yrs) / None</v>
      </c>
      <c r="S596" s="260" t="str">
        <f t="shared" si="30"/>
        <v>IMS_62</v>
      </c>
      <c r="T596" s="262" t="b">
        <v>0</v>
      </c>
      <c r="U596" s="263" t="str">
        <f>+VLOOKUP($C596,[8]GRC!$B$3:$L$350,9,0)</f>
        <v>B4 PM1 (9 to 12 yrs)</v>
      </c>
      <c r="V596" s="263" t="str">
        <f>+VLOOKUP($C596,[8]GRC!$B$3:$L$350,10,0)</f>
        <v>None</v>
      </c>
      <c r="W596" s="263" t="b">
        <f t="shared" si="28"/>
        <v>1</v>
      </c>
      <c r="X596" s="263" t="b">
        <f t="shared" si="28"/>
        <v>1</v>
      </c>
    </row>
    <row r="597" spans="1:24" ht="15">
      <c r="A597" s="93">
        <v>93</v>
      </c>
      <c r="B597" s="94" t="s">
        <v>442</v>
      </c>
      <c r="C597" s="295" t="s">
        <v>911</v>
      </c>
      <c r="D597" s="94" t="str">
        <f>+[7]GRC!D95</f>
        <v>IMS</v>
      </c>
      <c r="E597" s="94" t="s">
        <v>78</v>
      </c>
      <c r="F597" s="94" t="s">
        <v>206</v>
      </c>
      <c r="G597" s="94" t="s">
        <v>207</v>
      </c>
      <c r="H597" s="94"/>
      <c r="I597" s="94" t="s">
        <v>193</v>
      </c>
      <c r="J597" s="94" t="s">
        <v>149</v>
      </c>
      <c r="K597" s="94" t="s">
        <v>42</v>
      </c>
      <c r="L597" s="94" t="s">
        <v>41</v>
      </c>
      <c r="M597" s="94" t="s">
        <v>71</v>
      </c>
      <c r="N597" s="94" t="s">
        <v>72</v>
      </c>
      <c r="O597" s="259" t="str">
        <f t="shared" si="27"/>
        <v>B4 PM2 (10 to 14 yrs) / B4 PM3 (12 to 15 yrs)</v>
      </c>
      <c r="P597" s="260"/>
      <c r="Q597" s="260" t="str">
        <f t="shared" si="31"/>
        <v>IMS/InfoSecurity/ConsultantInfoSec/MidLevel</v>
      </c>
      <c r="R597" s="261" t="str">
        <f t="shared" si="29"/>
        <v>B4 PM2 (10 to 14 yrs) / B4 PM3 (12 to 15 yrs)</v>
      </c>
      <c r="S597" s="260" t="str">
        <f t="shared" si="30"/>
        <v>IMS_63</v>
      </c>
      <c r="T597" s="262" t="b">
        <v>0</v>
      </c>
      <c r="U597" s="263" t="str">
        <f>+VLOOKUP($C597,[8]GRC!$B$3:$L$350,9,0)</f>
        <v>B4 PM2 (10 to 14 yrs)</v>
      </c>
      <c r="V597" s="263" t="str">
        <f>+VLOOKUP($C597,[8]GRC!$B$3:$L$350,10,0)</f>
        <v>B4 PM3 (12 to 15 yrs)</v>
      </c>
      <c r="W597" s="263" t="b">
        <f t="shared" si="28"/>
        <v>1</v>
      </c>
      <c r="X597" s="263" t="b">
        <f t="shared" si="28"/>
        <v>1</v>
      </c>
    </row>
    <row r="598" spans="1:24" ht="15">
      <c r="A598" s="93">
        <v>94</v>
      </c>
      <c r="B598" s="94" t="s">
        <v>443</v>
      </c>
      <c r="C598" s="295" t="s">
        <v>912</v>
      </c>
      <c r="D598" s="94" t="str">
        <f>+[7]GRC!D96</f>
        <v>IMS</v>
      </c>
      <c r="E598" s="94" t="s">
        <v>78</v>
      </c>
      <c r="F598" s="94" t="s">
        <v>206</v>
      </c>
      <c r="G598" s="94" t="s">
        <v>207</v>
      </c>
      <c r="H598" s="94"/>
      <c r="I598" s="94" t="s">
        <v>91</v>
      </c>
      <c r="J598" s="94" t="s">
        <v>139</v>
      </c>
      <c r="K598" s="94" t="s">
        <v>41</v>
      </c>
      <c r="L598" s="94" t="s">
        <v>13</v>
      </c>
      <c r="M598" s="94" t="s">
        <v>71</v>
      </c>
      <c r="N598" s="94" t="s">
        <v>72</v>
      </c>
      <c r="O598" s="259" t="str">
        <f t="shared" si="27"/>
        <v>B4 PM3 (12 to 15 yrs) / B5 (min 8 yrs)</v>
      </c>
      <c r="P598" s="260"/>
      <c r="Q598" s="260" t="str">
        <f t="shared" si="31"/>
        <v>IMS/InfoSecurity/ConsultantInfoSec/Senior</v>
      </c>
      <c r="R598" s="261" t="str">
        <f t="shared" si="29"/>
        <v>B4 PM3 (12 to 15 yrs) / B5 (min 8 yrs)</v>
      </c>
      <c r="S598" s="260" t="str">
        <f t="shared" si="30"/>
        <v>IMS_64</v>
      </c>
      <c r="T598" s="262" t="b">
        <v>0</v>
      </c>
      <c r="U598" s="263" t="str">
        <f>+VLOOKUP($C598,[8]GRC!$B$3:$L$350,9,0)</f>
        <v>B4 PM3 (12 to 15 yrs)</v>
      </c>
      <c r="V598" s="263" t="str">
        <f>+VLOOKUP($C598,[8]GRC!$B$3:$L$350,10,0)</f>
        <v>B5 (min 8 yrs)</v>
      </c>
      <c r="W598" s="263" t="b">
        <f t="shared" si="28"/>
        <v>1</v>
      </c>
      <c r="X598" s="263" t="b">
        <f t="shared" si="28"/>
        <v>1</v>
      </c>
    </row>
    <row r="599" spans="1:24" ht="15">
      <c r="A599" s="93">
        <v>95</v>
      </c>
      <c r="B599" s="94" t="s">
        <v>444</v>
      </c>
      <c r="C599" s="295" t="s">
        <v>913</v>
      </c>
      <c r="D599" s="94" t="str">
        <f>+[7]GRC!D97</f>
        <v>IT</v>
      </c>
      <c r="E599" s="94" t="s">
        <v>97</v>
      </c>
      <c r="F599" s="94" t="s">
        <v>98</v>
      </c>
      <c r="G599" s="94" t="s">
        <v>228</v>
      </c>
      <c r="H599" s="94"/>
      <c r="I599" s="94" t="s">
        <v>84</v>
      </c>
      <c r="J599" s="94" t="s">
        <v>151</v>
      </c>
      <c r="K599" s="94" t="s">
        <v>18</v>
      </c>
      <c r="L599" s="94" t="s">
        <v>71</v>
      </c>
      <c r="M599" s="94" t="s">
        <v>71</v>
      </c>
      <c r="N599" s="94" t="s">
        <v>72</v>
      </c>
      <c r="O599" s="259" t="str">
        <f t="shared" si="27"/>
        <v>B2 AP3 (3 to 5 yrs) / None</v>
      </c>
      <c r="P599" s="260"/>
      <c r="Q599" s="260" t="str">
        <f t="shared" si="31"/>
        <v>IT/ADS/BusinessSystemsAnalyst/Junior</v>
      </c>
      <c r="R599" s="261" t="str">
        <f t="shared" si="29"/>
        <v>B2 AP3 (3 to 5 yrs) / None</v>
      </c>
      <c r="S599" s="260" t="str">
        <f t="shared" si="30"/>
        <v>IT_1</v>
      </c>
      <c r="T599" s="262" t="b">
        <v>0</v>
      </c>
      <c r="U599" s="263" t="str">
        <f>+VLOOKUP($C599,[8]GRC!$B$3:$L$350,9,0)</f>
        <v>B2 AP3 (3 to 5 yrs)</v>
      </c>
      <c r="V599" s="263" t="str">
        <f>+VLOOKUP($C599,[8]GRC!$B$3:$L$350,10,0)</f>
        <v>None</v>
      </c>
      <c r="W599" s="263" t="b">
        <f t="shared" si="28"/>
        <v>1</v>
      </c>
      <c r="X599" s="263" t="b">
        <f t="shared" si="28"/>
        <v>1</v>
      </c>
    </row>
    <row r="600" spans="1:24" ht="15">
      <c r="A600" s="93">
        <v>96</v>
      </c>
      <c r="B600" s="94" t="s">
        <v>445</v>
      </c>
      <c r="C600" s="295" t="s">
        <v>914</v>
      </c>
      <c r="D600" s="94" t="str">
        <f>+[7]GRC!D98</f>
        <v>IT</v>
      </c>
      <c r="E600" s="94" t="s">
        <v>97</v>
      </c>
      <c r="F600" s="94" t="s">
        <v>98</v>
      </c>
      <c r="G600" s="94" t="s">
        <v>228</v>
      </c>
      <c r="H600" s="94"/>
      <c r="I600" s="94" t="s">
        <v>193</v>
      </c>
      <c r="J600" s="94" t="s">
        <v>145</v>
      </c>
      <c r="K600" s="94" t="s">
        <v>17</v>
      </c>
      <c r="L600" s="94" t="s">
        <v>16</v>
      </c>
      <c r="M600" s="94" t="s">
        <v>71</v>
      </c>
      <c r="N600" s="94" t="s">
        <v>72</v>
      </c>
      <c r="O600" s="259" t="str">
        <f t="shared" si="27"/>
        <v>B3 PL1 (5 to 7 yrs) / B3 PL2 (6 to 8 yrs)</v>
      </c>
      <c r="P600" s="260"/>
      <c r="Q600" s="260" t="str">
        <f t="shared" si="31"/>
        <v>IT/ADS/BusinessSystemsAnalyst/MidLevel</v>
      </c>
      <c r="R600" s="261" t="str">
        <f t="shared" si="29"/>
        <v>B3 PL1 (5 to 7 yrs) / B3 PL2 (6 to 8 yrs)</v>
      </c>
      <c r="S600" s="260" t="str">
        <f t="shared" si="30"/>
        <v>IT_2</v>
      </c>
      <c r="T600" s="262" t="b">
        <v>0</v>
      </c>
      <c r="U600" s="263" t="str">
        <f>+VLOOKUP($C600,[8]GRC!$B$3:$L$350,9,0)</f>
        <v>B3 PL1 (5 to 7 yrs)</v>
      </c>
      <c r="V600" s="263" t="str">
        <f>+VLOOKUP($C600,[8]GRC!$B$3:$L$350,10,0)</f>
        <v>B3 PL2 (6 to 8 yrs)</v>
      </c>
      <c r="W600" s="263" t="b">
        <f t="shared" si="28"/>
        <v>1</v>
      </c>
      <c r="X600" s="263" t="b">
        <f t="shared" si="28"/>
        <v>1</v>
      </c>
    </row>
    <row r="601" spans="1:24" ht="15">
      <c r="A601" s="93">
        <v>97</v>
      </c>
      <c r="B601" s="94" t="s">
        <v>446</v>
      </c>
      <c r="C601" s="295" t="s">
        <v>915</v>
      </c>
      <c r="D601" s="94" t="str">
        <f>+[7]GRC!D99</f>
        <v>IT</v>
      </c>
      <c r="E601" s="94" t="s">
        <v>97</v>
      </c>
      <c r="F601" s="94" t="s">
        <v>98</v>
      </c>
      <c r="G601" s="94" t="s">
        <v>228</v>
      </c>
      <c r="H601" s="94"/>
      <c r="I601" s="94" t="s">
        <v>91</v>
      </c>
      <c r="J601" s="94" t="s">
        <v>147</v>
      </c>
      <c r="K601" s="94" t="s">
        <v>16</v>
      </c>
      <c r="L601" s="94" t="s">
        <v>15</v>
      </c>
      <c r="M601" s="94" t="s">
        <v>71</v>
      </c>
      <c r="N601" s="94" t="s">
        <v>72</v>
      </c>
      <c r="O601" s="259" t="str">
        <f t="shared" si="27"/>
        <v>B3 PL2 (6 to 8 yrs) / B3 PL3 (7 to 10 yrs)</v>
      </c>
      <c r="P601" s="260"/>
      <c r="Q601" s="260" t="str">
        <f t="shared" si="31"/>
        <v>IT/ADS/BusinessSystemsAnalyst/Senior</v>
      </c>
      <c r="R601" s="261" t="str">
        <f t="shared" si="29"/>
        <v>B3 PL2 (6 to 8 yrs) / B3 PL3 (7 to 10 yrs)</v>
      </c>
      <c r="S601" s="260" t="str">
        <f t="shared" si="30"/>
        <v>IT_3</v>
      </c>
      <c r="T601" s="262" t="b">
        <v>0</v>
      </c>
      <c r="U601" s="263" t="str">
        <f>+VLOOKUP($C601,[8]GRC!$B$3:$L$350,9,0)</f>
        <v>B3 PL2 (6 to 8 yrs)</v>
      </c>
      <c r="V601" s="263" t="str">
        <f>+VLOOKUP($C601,[8]GRC!$B$3:$L$350,10,0)</f>
        <v>B3 PL3 (7 to 10 yrs)</v>
      </c>
      <c r="W601" s="263" t="b">
        <f t="shared" si="28"/>
        <v>1</v>
      </c>
      <c r="X601" s="263" t="b">
        <f t="shared" si="28"/>
        <v>1</v>
      </c>
    </row>
    <row r="602" spans="1:24" ht="15">
      <c r="A602" s="93">
        <v>98</v>
      </c>
      <c r="B602" s="94" t="s">
        <v>447</v>
      </c>
      <c r="C602" s="295" t="s">
        <v>916</v>
      </c>
      <c r="D602" s="94" t="str">
        <f>+[7]GRC!D100</f>
        <v>IT</v>
      </c>
      <c r="E602" s="94" t="s">
        <v>97</v>
      </c>
      <c r="F602" s="94" t="s">
        <v>99</v>
      </c>
      <c r="G602" s="94" t="s">
        <v>229</v>
      </c>
      <c r="H602" s="94"/>
      <c r="I602" s="94" t="s">
        <v>84</v>
      </c>
      <c r="J602" s="94" t="s">
        <v>153</v>
      </c>
      <c r="K602" s="94" t="s">
        <v>18</v>
      </c>
      <c r="L602" s="94" t="s">
        <v>71</v>
      </c>
      <c r="M602" s="94" t="s">
        <v>71</v>
      </c>
      <c r="N602" s="94" t="s">
        <v>72</v>
      </c>
      <c r="O602" s="259" t="str">
        <f t="shared" si="27"/>
        <v>B2 AP3 (3 to 5 yrs) / None</v>
      </c>
      <c r="P602" s="260"/>
      <c r="Q602" s="260" t="str">
        <f t="shared" si="31"/>
        <v>IT/Domain/BusinessAnalyst/Junior</v>
      </c>
      <c r="R602" s="261" t="str">
        <f t="shared" si="29"/>
        <v>B2 AP3 (3 to 5 yrs) / None</v>
      </c>
      <c r="S602" s="260" t="str">
        <f t="shared" si="30"/>
        <v>IT_4</v>
      </c>
      <c r="T602" s="262" t="b">
        <v>0</v>
      </c>
      <c r="U602" s="263" t="str">
        <f>+VLOOKUP($C602,[8]GRC!$B$3:$L$350,9,0)</f>
        <v>B2 AP3 (3 to 5 yrs)</v>
      </c>
      <c r="V602" s="263" t="str">
        <f>+VLOOKUP($C602,[8]GRC!$B$3:$L$350,10,0)</f>
        <v>None</v>
      </c>
      <c r="W602" s="263" t="b">
        <f t="shared" si="28"/>
        <v>1</v>
      </c>
      <c r="X602" s="263" t="b">
        <f t="shared" si="28"/>
        <v>1</v>
      </c>
    </row>
    <row r="603" spans="1:24" ht="15">
      <c r="A603" s="93">
        <v>99</v>
      </c>
      <c r="B603" s="94" t="s">
        <v>448</v>
      </c>
      <c r="C603" s="295" t="s">
        <v>917</v>
      </c>
      <c r="D603" s="94" t="str">
        <f>+[7]GRC!D101</f>
        <v>IT</v>
      </c>
      <c r="E603" s="94" t="s">
        <v>97</v>
      </c>
      <c r="F603" s="94" t="s">
        <v>99</v>
      </c>
      <c r="G603" s="94" t="s">
        <v>229</v>
      </c>
      <c r="H603" s="94"/>
      <c r="I603" s="94" t="s">
        <v>193</v>
      </c>
      <c r="J603" s="94" t="s">
        <v>145</v>
      </c>
      <c r="K603" s="94" t="s">
        <v>17</v>
      </c>
      <c r="L603" s="94" t="s">
        <v>16</v>
      </c>
      <c r="M603" s="94" t="s">
        <v>71</v>
      </c>
      <c r="N603" s="94" t="s">
        <v>72</v>
      </c>
      <c r="O603" s="259" t="str">
        <f t="shared" si="27"/>
        <v>B3 PL1 (5 to 7 yrs) / B3 PL2 (6 to 8 yrs)</v>
      </c>
      <c r="P603" s="260"/>
      <c r="Q603" s="260" t="str">
        <f t="shared" si="31"/>
        <v>IT/Domain/BusinessAnalyst/MidLevel</v>
      </c>
      <c r="R603" s="261" t="str">
        <f t="shared" si="29"/>
        <v>B3 PL1 (5 to 7 yrs) / B3 PL2 (6 to 8 yrs)</v>
      </c>
      <c r="S603" s="260" t="str">
        <f t="shared" si="30"/>
        <v>IT_5</v>
      </c>
      <c r="T603" s="262" t="b">
        <v>0</v>
      </c>
      <c r="U603" s="263" t="str">
        <f>+VLOOKUP($C603,[8]GRC!$B$3:$L$350,9,0)</f>
        <v>B3 PL1 (5 to 7 yrs)</v>
      </c>
      <c r="V603" s="263" t="str">
        <f>+VLOOKUP($C603,[8]GRC!$B$3:$L$350,10,0)</f>
        <v>B3 PL2 (6 to 8 yrs)</v>
      </c>
      <c r="W603" s="263" t="b">
        <f t="shared" si="28"/>
        <v>1</v>
      </c>
      <c r="X603" s="263" t="b">
        <f t="shared" si="28"/>
        <v>1</v>
      </c>
    </row>
    <row r="604" spans="1:24" ht="15">
      <c r="A604" s="93">
        <v>100</v>
      </c>
      <c r="B604" s="94" t="s">
        <v>449</v>
      </c>
      <c r="C604" s="295" t="s">
        <v>918</v>
      </c>
      <c r="D604" s="94" t="str">
        <f>+[7]GRC!D102</f>
        <v>IT</v>
      </c>
      <c r="E604" s="94" t="s">
        <v>97</v>
      </c>
      <c r="F604" s="94" t="s">
        <v>99</v>
      </c>
      <c r="G604" s="94" t="s">
        <v>229</v>
      </c>
      <c r="H604" s="94"/>
      <c r="I604" s="94" t="s">
        <v>91</v>
      </c>
      <c r="J604" s="94" t="s">
        <v>147</v>
      </c>
      <c r="K604" s="94" t="s">
        <v>16</v>
      </c>
      <c r="L604" s="94" t="s">
        <v>15</v>
      </c>
      <c r="M604" s="94" t="s">
        <v>71</v>
      </c>
      <c r="N604" s="94" t="s">
        <v>72</v>
      </c>
      <c r="O604" s="259" t="str">
        <f t="shared" si="27"/>
        <v>B3 PL2 (6 to 8 yrs) / B3 PL3 (7 to 10 yrs)</v>
      </c>
      <c r="P604" s="260"/>
      <c r="Q604" s="260" t="str">
        <f t="shared" si="31"/>
        <v>IT/Domain/BusinessAnalyst/Senior</v>
      </c>
      <c r="R604" s="261" t="str">
        <f t="shared" si="29"/>
        <v>B3 PL2 (6 to 8 yrs) / B3 PL3 (7 to 10 yrs)</v>
      </c>
      <c r="S604" s="260" t="str">
        <f t="shared" si="30"/>
        <v>IT_6</v>
      </c>
      <c r="T604" s="262" t="b">
        <v>0</v>
      </c>
      <c r="U604" s="263" t="str">
        <f>+VLOOKUP($C604,[8]GRC!$B$3:$L$350,9,0)</f>
        <v>B3 PL2 (6 to 8 yrs)</v>
      </c>
      <c r="V604" s="263" t="str">
        <f>+VLOOKUP($C604,[8]GRC!$B$3:$L$350,10,0)</f>
        <v>B3 PL3 (7 to 10 yrs)</v>
      </c>
      <c r="W604" s="263" t="b">
        <f t="shared" si="28"/>
        <v>1</v>
      </c>
      <c r="X604" s="263" t="b">
        <f t="shared" si="28"/>
        <v>1</v>
      </c>
    </row>
    <row r="605" spans="1:24" ht="15">
      <c r="A605" s="93">
        <v>101</v>
      </c>
      <c r="B605" s="94" t="s">
        <v>450</v>
      </c>
      <c r="C605" s="295" t="s">
        <v>919</v>
      </c>
      <c r="D605" s="94" t="str">
        <f>+[7]GRC!D103</f>
        <v>IT</v>
      </c>
      <c r="E605" s="94" t="s">
        <v>97</v>
      </c>
      <c r="F605" s="94" t="s">
        <v>230</v>
      </c>
      <c r="G605" s="94" t="s">
        <v>231</v>
      </c>
      <c r="H605" s="94"/>
      <c r="I605" s="94" t="s">
        <v>84</v>
      </c>
      <c r="J605" s="94" t="s">
        <v>148</v>
      </c>
      <c r="K605" s="94" t="s">
        <v>14</v>
      </c>
      <c r="L605" s="94" t="s">
        <v>71</v>
      </c>
      <c r="M605" s="94" t="s">
        <v>71</v>
      </c>
      <c r="N605" s="94" t="s">
        <v>72</v>
      </c>
      <c r="O605" s="259" t="str">
        <f t="shared" si="27"/>
        <v>B4 PM1 (9 to 12 yrs) / None</v>
      </c>
      <c r="P605" s="260"/>
      <c r="Q605" s="260" t="str">
        <f t="shared" si="31"/>
        <v>IT/DuckCreek/ArchitectDuckCreek/Junior</v>
      </c>
      <c r="R605" s="261" t="str">
        <f t="shared" si="29"/>
        <v>B4 PM1 (9 to 12 yrs) / None</v>
      </c>
      <c r="S605" s="260" t="str">
        <f t="shared" si="30"/>
        <v>IT_70</v>
      </c>
      <c r="T605" s="262" t="b">
        <v>0</v>
      </c>
      <c r="U605" s="263" t="str">
        <f>+VLOOKUP($C605,[8]GRC!$B$3:$L$350,9,0)</f>
        <v>B4 PM1 (9 to 12 yrs)</v>
      </c>
      <c r="V605" s="263" t="str">
        <f>+VLOOKUP($C605,[8]GRC!$B$3:$L$350,10,0)</f>
        <v>None</v>
      </c>
      <c r="W605" s="263" t="b">
        <f t="shared" si="28"/>
        <v>1</v>
      </c>
      <c r="X605" s="263" t="b">
        <f t="shared" si="28"/>
        <v>1</v>
      </c>
    </row>
    <row r="606" spans="1:24" ht="15">
      <c r="A606" s="93">
        <v>102</v>
      </c>
      <c r="B606" s="94" t="s">
        <v>451</v>
      </c>
      <c r="C606" s="295" t="s">
        <v>920</v>
      </c>
      <c r="D606" s="94" t="str">
        <f>+[7]GRC!D104</f>
        <v>IT</v>
      </c>
      <c r="E606" s="94" t="s">
        <v>97</v>
      </c>
      <c r="F606" s="94" t="s">
        <v>230</v>
      </c>
      <c r="G606" s="94" t="s">
        <v>231</v>
      </c>
      <c r="H606" s="94"/>
      <c r="I606" s="94" t="s">
        <v>193</v>
      </c>
      <c r="J606" s="94" t="s">
        <v>149</v>
      </c>
      <c r="K606" s="94" t="s">
        <v>42</v>
      </c>
      <c r="L606" s="94" t="s">
        <v>41</v>
      </c>
      <c r="M606" s="94" t="s">
        <v>71</v>
      </c>
      <c r="N606" s="94" t="s">
        <v>72</v>
      </c>
      <c r="O606" s="259" t="str">
        <f t="shared" si="27"/>
        <v>B4 PM2 (10 to 14 yrs) / B4 PM3 (12 to 15 yrs)</v>
      </c>
      <c r="P606" s="260"/>
      <c r="Q606" s="260" t="str">
        <f t="shared" si="31"/>
        <v>IT/DuckCreek/ArchitectDuckCreek/MidLevel</v>
      </c>
      <c r="R606" s="261" t="str">
        <f t="shared" si="29"/>
        <v>B4 PM2 (10 to 14 yrs) / B4 PM3 (12 to 15 yrs)</v>
      </c>
      <c r="S606" s="260" t="str">
        <f t="shared" si="30"/>
        <v>IT_71</v>
      </c>
      <c r="T606" s="262" t="b">
        <v>0</v>
      </c>
      <c r="U606" s="263" t="str">
        <f>+VLOOKUP($C606,[8]GRC!$B$3:$L$350,9,0)</f>
        <v>B4 PM2 (10 to 14 yrs)</v>
      </c>
      <c r="V606" s="263" t="str">
        <f>+VLOOKUP($C606,[8]GRC!$B$3:$L$350,10,0)</f>
        <v>B4 PM3 (12 to 15 yrs)</v>
      </c>
      <c r="W606" s="263" t="b">
        <f t="shared" si="28"/>
        <v>1</v>
      </c>
      <c r="X606" s="263" t="b">
        <f t="shared" si="28"/>
        <v>1</v>
      </c>
    </row>
    <row r="607" spans="1:24" ht="15">
      <c r="A607" s="93">
        <v>103</v>
      </c>
      <c r="B607" s="94" t="s">
        <v>452</v>
      </c>
      <c r="C607" s="295" t="s">
        <v>921</v>
      </c>
      <c r="D607" s="94" t="str">
        <f>+[7]GRC!D105</f>
        <v>IT</v>
      </c>
      <c r="E607" s="94" t="s">
        <v>97</v>
      </c>
      <c r="F607" s="94" t="s">
        <v>230</v>
      </c>
      <c r="G607" s="94" t="s">
        <v>231</v>
      </c>
      <c r="H607" s="94"/>
      <c r="I607" s="94" t="s">
        <v>91</v>
      </c>
      <c r="J607" s="94" t="s">
        <v>139</v>
      </c>
      <c r="K607" s="94" t="s">
        <v>41</v>
      </c>
      <c r="L607" s="94" t="s">
        <v>13</v>
      </c>
      <c r="M607" s="94" t="s">
        <v>71</v>
      </c>
      <c r="N607" s="94" t="s">
        <v>72</v>
      </c>
      <c r="O607" s="259" t="str">
        <f t="shared" si="27"/>
        <v>B4 PM3 (12 to 15 yrs) / B5 (min 8 yrs)</v>
      </c>
      <c r="P607" s="260"/>
      <c r="Q607" s="260" t="str">
        <f t="shared" si="31"/>
        <v>IT/DuckCreek/ArchitectDuckCreek/Senior</v>
      </c>
      <c r="R607" s="261" t="str">
        <f t="shared" si="29"/>
        <v>B4 PM3 (12 to 15 yrs) / B5 (min 8 yrs)</v>
      </c>
      <c r="S607" s="260" t="str">
        <f t="shared" si="30"/>
        <v>IT_72</v>
      </c>
      <c r="T607" s="262" t="b">
        <v>0</v>
      </c>
      <c r="U607" s="263" t="str">
        <f>+VLOOKUP($C607,[8]GRC!$B$3:$L$350,9,0)</f>
        <v>B4 PM3 (12 to 15 yrs)</v>
      </c>
      <c r="V607" s="263" t="str">
        <f>+VLOOKUP($C607,[8]GRC!$B$3:$L$350,10,0)</f>
        <v>B5 (min 8 yrs)</v>
      </c>
      <c r="W607" s="263" t="b">
        <f t="shared" si="28"/>
        <v>1</v>
      </c>
      <c r="X607" s="263" t="b">
        <f t="shared" si="28"/>
        <v>1</v>
      </c>
    </row>
    <row r="608" spans="1:24" s="78" customFormat="1" ht="15">
      <c r="A608" s="95">
        <v>104</v>
      </c>
      <c r="B608" s="96" t="s">
        <v>453</v>
      </c>
      <c r="C608" s="296" t="s">
        <v>922</v>
      </c>
      <c r="D608" s="96" t="str">
        <f>+[7]GRC!D106</f>
        <v>IT</v>
      </c>
      <c r="E608" s="96" t="s">
        <v>97</v>
      </c>
      <c r="F608" s="96" t="s">
        <v>230</v>
      </c>
      <c r="G608" s="96" t="s">
        <v>126</v>
      </c>
      <c r="H608" s="96"/>
      <c r="I608" s="96" t="s">
        <v>798</v>
      </c>
      <c r="J608" s="96" t="s">
        <v>145</v>
      </c>
      <c r="K608" s="96" t="s">
        <v>17</v>
      </c>
      <c r="L608" s="96" t="s">
        <v>16</v>
      </c>
      <c r="M608" s="96" t="s">
        <v>71</v>
      </c>
      <c r="N608" s="96" t="s">
        <v>72</v>
      </c>
      <c r="O608" s="264" t="str">
        <f t="shared" si="27"/>
        <v>B3 PL1 (5 to 7 yrs) / B3 PL2 (6 to 8 yrs)</v>
      </c>
      <c r="P608" s="265"/>
      <c r="Q608" s="265" t="str">
        <f t="shared" si="31"/>
        <v>IT/DuckCreek/Configurator/*</v>
      </c>
      <c r="R608" s="266" t="str">
        <f t="shared" si="29"/>
        <v>B3 PL1 (5 to 7 yrs) / B3 PL2 (6 to 8 yrs)</v>
      </c>
      <c r="S608" s="265" t="str">
        <f t="shared" si="30"/>
        <v>IT_8</v>
      </c>
      <c r="T608" s="267" t="b">
        <v>0</v>
      </c>
      <c r="U608" s="268" t="str">
        <f>+VLOOKUP($C608,[8]GRC!$B$3:$L$350,9,0)</f>
        <v>B3 PL1 (5 to 7 yrs)</v>
      </c>
      <c r="V608" s="268" t="str">
        <f>+VLOOKUP($C608,[8]GRC!$B$3:$L$350,10,0)</f>
        <v>B3 PL2 (6 to 8 yrs)</v>
      </c>
      <c r="W608" s="268" t="b">
        <f t="shared" si="28"/>
        <v>1</v>
      </c>
      <c r="X608" s="268" t="b">
        <f t="shared" si="28"/>
        <v>1</v>
      </c>
    </row>
    <row r="609" spans="1:24" s="78" customFormat="1" ht="15">
      <c r="A609" s="95">
        <v>105</v>
      </c>
      <c r="B609" s="96" t="s">
        <v>454</v>
      </c>
      <c r="C609" s="296" t="s">
        <v>923</v>
      </c>
      <c r="D609" s="96" t="str">
        <f>+[7]GRC!D107</f>
        <v>IT</v>
      </c>
      <c r="E609" s="96" t="s">
        <v>97</v>
      </c>
      <c r="F609" s="96" t="s">
        <v>230</v>
      </c>
      <c r="G609" s="96" t="s">
        <v>330</v>
      </c>
      <c r="H609" s="96"/>
      <c r="I609" s="96" t="s">
        <v>798</v>
      </c>
      <c r="J609" s="96" t="s">
        <v>145</v>
      </c>
      <c r="K609" s="96" t="s">
        <v>17</v>
      </c>
      <c r="L609" s="96" t="s">
        <v>16</v>
      </c>
      <c r="M609" s="96" t="s">
        <v>71</v>
      </c>
      <c r="N609" s="96" t="s">
        <v>72</v>
      </c>
      <c r="O609" s="264" t="str">
        <f t="shared" si="27"/>
        <v>B3 PL1 (5 to 7 yrs) / B3 PL2 (6 to 8 yrs)</v>
      </c>
      <c r="P609" s="265"/>
      <c r="Q609" s="265" t="str">
        <f t="shared" si="31"/>
        <v>IT/DuckCreek/DCNETIntegrator/*</v>
      </c>
      <c r="R609" s="266" t="str">
        <f t="shared" si="29"/>
        <v>B3 PL1 (5 to 7 yrs) / B3 PL2 (6 to 8 yrs)</v>
      </c>
      <c r="S609" s="265" t="str">
        <f t="shared" si="30"/>
        <v>IT_9</v>
      </c>
      <c r="T609" s="267" t="b">
        <v>0</v>
      </c>
      <c r="U609" s="268" t="str">
        <f>+VLOOKUP($C609,[8]GRC!$B$3:$L$350,9,0)</f>
        <v>B3 PL1 (5 to 7 yrs)</v>
      </c>
      <c r="V609" s="268" t="str">
        <f>+VLOOKUP($C609,[8]GRC!$B$3:$L$350,10,0)</f>
        <v>B3 PL2 (6 to 8 yrs)</v>
      </c>
      <c r="W609" s="268" t="b">
        <f t="shared" si="28"/>
        <v>1</v>
      </c>
      <c r="X609" s="268" t="b">
        <f t="shared" si="28"/>
        <v>1</v>
      </c>
    </row>
    <row r="610" spans="1:24" ht="15">
      <c r="A610" s="93">
        <v>106</v>
      </c>
      <c r="B610" s="94" t="s">
        <v>455</v>
      </c>
      <c r="C610" s="295" t="s">
        <v>924</v>
      </c>
      <c r="D610" s="94" t="str">
        <f>+[7]GRC!D108</f>
        <v>IT</v>
      </c>
      <c r="E610" s="94" t="s">
        <v>97</v>
      </c>
      <c r="F610" s="94" t="s">
        <v>230</v>
      </c>
      <c r="G610" s="94" t="s">
        <v>232</v>
      </c>
      <c r="H610" s="94"/>
      <c r="I610" s="94" t="s">
        <v>84</v>
      </c>
      <c r="J610" s="94" t="s">
        <v>184</v>
      </c>
      <c r="K610" s="94" t="s">
        <v>15</v>
      </c>
      <c r="L610" s="94" t="s">
        <v>14</v>
      </c>
      <c r="M610" s="94" t="s">
        <v>71</v>
      </c>
      <c r="N610" s="94" t="s">
        <v>72</v>
      </c>
      <c r="O610" s="259" t="str">
        <f t="shared" si="27"/>
        <v>B3 PL3 (7 to 10 yrs) / B4 PM1 (9 to 12 yrs)</v>
      </c>
      <c r="P610" s="260"/>
      <c r="Q610" s="260" t="str">
        <f t="shared" si="31"/>
        <v>IT/DuckCreek/ProjectManagerDuckCreek/Junior</v>
      </c>
      <c r="R610" s="261" t="str">
        <f t="shared" si="29"/>
        <v>B3 PL3 (7 to 10 yrs) / B4 PM1 (9 to 12 yrs)</v>
      </c>
      <c r="S610" s="260" t="str">
        <f t="shared" si="30"/>
        <v>IT_73</v>
      </c>
      <c r="T610" s="262" t="b">
        <v>0</v>
      </c>
      <c r="U610" s="263" t="str">
        <f>+VLOOKUP($C610,[8]GRC!$B$3:$L$350,9,0)</f>
        <v>B3 PL3 (7 to 10 yrs)</v>
      </c>
      <c r="V610" s="263" t="str">
        <f>+VLOOKUP($C610,[8]GRC!$B$3:$L$350,10,0)</f>
        <v>B4 PM1 (9 to 12 yrs)</v>
      </c>
      <c r="W610" s="263" t="b">
        <f t="shared" si="28"/>
        <v>1</v>
      </c>
      <c r="X610" s="263" t="b">
        <f t="shared" si="28"/>
        <v>1</v>
      </c>
    </row>
    <row r="611" spans="1:24" ht="15">
      <c r="A611" s="93">
        <v>107</v>
      </c>
      <c r="B611" s="94" t="s">
        <v>456</v>
      </c>
      <c r="C611" s="295" t="s">
        <v>925</v>
      </c>
      <c r="D611" s="94" t="str">
        <f>+[7]GRC!D109</f>
        <v>IT</v>
      </c>
      <c r="E611" s="94" t="s">
        <v>97</v>
      </c>
      <c r="F611" s="94" t="s">
        <v>230</v>
      </c>
      <c r="G611" s="94" t="s">
        <v>232</v>
      </c>
      <c r="H611" s="94"/>
      <c r="I611" s="94" t="s">
        <v>193</v>
      </c>
      <c r="J611" s="94" t="s">
        <v>185</v>
      </c>
      <c r="K611" s="94" t="s">
        <v>14</v>
      </c>
      <c r="L611" s="94" t="s">
        <v>42</v>
      </c>
      <c r="M611" s="94" t="s">
        <v>71</v>
      </c>
      <c r="N611" s="94" t="s">
        <v>72</v>
      </c>
      <c r="O611" s="259" t="str">
        <f t="shared" si="27"/>
        <v>B4 PM1 (9 to 12 yrs) / B4 PM2 (10 to 14 yrs)</v>
      </c>
      <c r="P611" s="260"/>
      <c r="Q611" s="260" t="str">
        <f t="shared" si="31"/>
        <v>IT/DuckCreek/ProjectManagerDuckCreek/MidLevel</v>
      </c>
      <c r="R611" s="261" t="str">
        <f t="shared" si="29"/>
        <v>B4 PM1 (9 to 12 yrs) / B4 PM2 (10 to 14 yrs)</v>
      </c>
      <c r="S611" s="260" t="str">
        <f t="shared" si="30"/>
        <v>IT_74</v>
      </c>
      <c r="T611" s="262" t="b">
        <v>0</v>
      </c>
      <c r="U611" s="263" t="str">
        <f>+VLOOKUP($C611,[8]GRC!$B$3:$L$350,9,0)</f>
        <v>B4 PM1 (9 to 12 yrs)</v>
      </c>
      <c r="V611" s="263" t="str">
        <f>+VLOOKUP($C611,[8]GRC!$B$3:$L$350,10,0)</f>
        <v>B4 PM2 (10 to 14 yrs)</v>
      </c>
      <c r="W611" s="263" t="b">
        <f t="shared" si="28"/>
        <v>1</v>
      </c>
      <c r="X611" s="263" t="b">
        <f t="shared" si="28"/>
        <v>1</v>
      </c>
    </row>
    <row r="612" spans="1:24" ht="15">
      <c r="A612" s="93">
        <v>108</v>
      </c>
      <c r="B612" s="94" t="s">
        <v>457</v>
      </c>
      <c r="C612" s="295" t="s">
        <v>926</v>
      </c>
      <c r="D612" s="94" t="str">
        <f>+[7]GRC!D110</f>
        <v>IT</v>
      </c>
      <c r="E612" s="94" t="s">
        <v>97</v>
      </c>
      <c r="F612" s="94" t="s">
        <v>230</v>
      </c>
      <c r="G612" s="94" t="s">
        <v>232</v>
      </c>
      <c r="H612" s="94"/>
      <c r="I612" s="94" t="s">
        <v>91</v>
      </c>
      <c r="J612" s="94" t="s">
        <v>149</v>
      </c>
      <c r="K612" s="94" t="s">
        <v>42</v>
      </c>
      <c r="L612" s="94" t="s">
        <v>41</v>
      </c>
      <c r="M612" s="94" t="s">
        <v>71</v>
      </c>
      <c r="N612" s="94" t="s">
        <v>72</v>
      </c>
      <c r="O612" s="259" t="str">
        <f t="shared" si="27"/>
        <v>B4 PM2 (10 to 14 yrs) / B4 PM3 (12 to 15 yrs)</v>
      </c>
      <c r="P612" s="260"/>
      <c r="Q612" s="260" t="str">
        <f t="shared" si="31"/>
        <v>IT/DuckCreek/ProjectManagerDuckCreek/Senior</v>
      </c>
      <c r="R612" s="261" t="str">
        <f t="shared" si="29"/>
        <v>B4 PM2 (10 to 14 yrs) / B4 PM3 (12 to 15 yrs)</v>
      </c>
      <c r="S612" s="260" t="str">
        <f t="shared" si="30"/>
        <v>IT_75</v>
      </c>
      <c r="T612" s="262" t="b">
        <v>0</v>
      </c>
      <c r="U612" s="263" t="str">
        <f>+VLOOKUP($C612,[8]GRC!$B$3:$L$350,9,0)</f>
        <v>B4 PM2 (10 to 14 yrs)</v>
      </c>
      <c r="V612" s="263" t="str">
        <f>+VLOOKUP($C612,[8]GRC!$B$3:$L$350,10,0)</f>
        <v>B4 PM3 (12 to 15 yrs)</v>
      </c>
      <c r="W612" s="263" t="b">
        <f t="shared" si="28"/>
        <v>1</v>
      </c>
      <c r="X612" s="263" t="b">
        <f t="shared" si="28"/>
        <v>1</v>
      </c>
    </row>
    <row r="613" spans="1:24" ht="15">
      <c r="A613" s="93">
        <v>109</v>
      </c>
      <c r="B613" s="94" t="s">
        <v>458</v>
      </c>
      <c r="C613" s="295" t="s">
        <v>927</v>
      </c>
      <c r="D613" s="94" t="str">
        <f>+[7]GRC!D111</f>
        <v>IT</v>
      </c>
      <c r="E613" s="94" t="s">
        <v>97</v>
      </c>
      <c r="F613" s="94" t="s">
        <v>72</v>
      </c>
      <c r="G613" s="94" t="s">
        <v>319</v>
      </c>
      <c r="H613" s="94"/>
      <c r="I613" s="94"/>
      <c r="J613" s="94" t="s">
        <v>150</v>
      </c>
      <c r="K613" s="94" t="s">
        <v>20</v>
      </c>
      <c r="L613" s="94" t="s">
        <v>19</v>
      </c>
      <c r="M613" s="94" t="s">
        <v>71</v>
      </c>
      <c r="N613" s="94" t="s">
        <v>72</v>
      </c>
      <c r="O613" s="259" t="str">
        <f t="shared" si="27"/>
        <v>B2 AP1 / B2 AP2 (0.6 to 3 yrs)</v>
      </c>
      <c r="P613" s="260"/>
      <c r="Q613" s="260" t="str">
        <f t="shared" si="31"/>
        <v>IT/Generic/ContentEntryAnalyst/</v>
      </c>
      <c r="R613" s="261" t="str">
        <f t="shared" si="29"/>
        <v>B2 AP1 / B2 AP2 (0.6 to 3 yrs)</v>
      </c>
      <c r="S613" s="260" t="str">
        <f t="shared" si="30"/>
        <v>IT_11</v>
      </c>
      <c r="T613" s="262" t="b">
        <v>0</v>
      </c>
      <c r="U613" s="263" t="str">
        <f>+VLOOKUP($C613,[8]GRC!$B$3:$L$350,9,0)</f>
        <v>B2 AP1</v>
      </c>
      <c r="V613" s="263" t="str">
        <f>+VLOOKUP($C613,[8]GRC!$B$3:$L$350,10,0)</f>
        <v>B2 AP2 (0.6 to 3 yrs)</v>
      </c>
      <c r="W613" s="263" t="b">
        <f t="shared" si="28"/>
        <v>1</v>
      </c>
      <c r="X613" s="263" t="b">
        <f t="shared" si="28"/>
        <v>1</v>
      </c>
    </row>
    <row r="614" spans="1:24" s="78" customFormat="1" ht="15">
      <c r="A614" s="95">
        <v>110</v>
      </c>
      <c r="B614" s="96" t="s">
        <v>459</v>
      </c>
      <c r="C614" s="296" t="s">
        <v>928</v>
      </c>
      <c r="D614" s="96" t="str">
        <f>+[7]GRC!D112</f>
        <v>IMS</v>
      </c>
      <c r="E614" s="96" t="s">
        <v>78</v>
      </c>
      <c r="F614" s="96" t="s">
        <v>749</v>
      </c>
      <c r="G614" s="96" t="s">
        <v>750</v>
      </c>
      <c r="H614" s="96"/>
      <c r="I614" s="96" t="s">
        <v>84</v>
      </c>
      <c r="J614" s="96" t="s">
        <v>151</v>
      </c>
      <c r="K614" s="96" t="s">
        <v>18</v>
      </c>
      <c r="L614" s="96" t="s">
        <v>71</v>
      </c>
      <c r="M614" s="96" t="s">
        <v>71</v>
      </c>
      <c r="N614" s="96" t="s">
        <v>72</v>
      </c>
      <c r="O614" s="264" t="str">
        <f t="shared" si="27"/>
        <v>B2 AP3 (3 to 5 yrs) / None</v>
      </c>
      <c r="P614" s="265"/>
      <c r="Q614" s="265" t="str">
        <f t="shared" si="31"/>
        <v>IMS/IMSGeneric/DatabaseAdministratorIMSGeneric/Junior</v>
      </c>
      <c r="R614" s="266" t="str">
        <f t="shared" si="29"/>
        <v>B2 AP3 (3 to 5 yrs) / None</v>
      </c>
      <c r="S614" s="265" t="str">
        <f t="shared" si="30"/>
        <v>IMS_67</v>
      </c>
      <c r="T614" s="267" t="b">
        <v>0</v>
      </c>
      <c r="U614" s="268" t="e">
        <f>+VLOOKUP($C614,[8]GRC!$B$3:$L$350,9,0)</f>
        <v>#N/A</v>
      </c>
      <c r="V614" s="268" t="e">
        <f>+VLOOKUP($C614,[8]GRC!$B$3:$L$350,10,0)</f>
        <v>#N/A</v>
      </c>
      <c r="W614" s="268" t="e">
        <f t="shared" si="28"/>
        <v>#N/A</v>
      </c>
      <c r="X614" s="268" t="e">
        <f t="shared" si="28"/>
        <v>#N/A</v>
      </c>
    </row>
    <row r="615" spans="1:24" s="78" customFormat="1" ht="15">
      <c r="A615" s="95">
        <v>111</v>
      </c>
      <c r="B615" s="96" t="s">
        <v>460</v>
      </c>
      <c r="C615" s="296" t="s">
        <v>929</v>
      </c>
      <c r="D615" s="96" t="str">
        <f>+[7]GRC!D113</f>
        <v>IMS</v>
      </c>
      <c r="E615" s="96" t="s">
        <v>78</v>
      </c>
      <c r="F615" s="96" t="s">
        <v>749</v>
      </c>
      <c r="G615" s="96" t="s">
        <v>750</v>
      </c>
      <c r="H615" s="96"/>
      <c r="I615" s="96" t="s">
        <v>193</v>
      </c>
      <c r="J615" s="96" t="s">
        <v>145</v>
      </c>
      <c r="K615" s="96" t="s">
        <v>17</v>
      </c>
      <c r="L615" s="96" t="s">
        <v>16</v>
      </c>
      <c r="M615" s="96" t="s">
        <v>71</v>
      </c>
      <c r="N615" s="96" t="s">
        <v>72</v>
      </c>
      <c r="O615" s="264" t="str">
        <f t="shared" si="27"/>
        <v>B3 PL1 (5 to 7 yrs) / B3 PL2 (6 to 8 yrs)</v>
      </c>
      <c r="P615" s="265"/>
      <c r="Q615" s="265" t="str">
        <f t="shared" si="31"/>
        <v>IMS/IMSGeneric/DatabaseAdministratorIMSGeneric/MidLevel</v>
      </c>
      <c r="R615" s="266" t="str">
        <f t="shared" si="29"/>
        <v>B3 PL1 (5 to 7 yrs) / B3 PL2 (6 to 8 yrs)</v>
      </c>
      <c r="S615" s="265" t="str">
        <f t="shared" si="30"/>
        <v>IMS_68</v>
      </c>
      <c r="T615" s="267" t="b">
        <v>0</v>
      </c>
      <c r="U615" s="268" t="e">
        <f>+VLOOKUP($C615,[8]GRC!$B$3:$L$350,9,0)</f>
        <v>#N/A</v>
      </c>
      <c r="V615" s="268" t="e">
        <f>+VLOOKUP($C615,[8]GRC!$B$3:$L$350,10,0)</f>
        <v>#N/A</v>
      </c>
      <c r="W615" s="268" t="e">
        <f t="shared" si="28"/>
        <v>#N/A</v>
      </c>
      <c r="X615" s="268" t="e">
        <f t="shared" si="28"/>
        <v>#N/A</v>
      </c>
    </row>
    <row r="616" spans="1:24" s="78" customFormat="1" ht="15">
      <c r="A616" s="95">
        <v>112</v>
      </c>
      <c r="B616" s="96" t="s">
        <v>461</v>
      </c>
      <c r="C616" s="296" t="s">
        <v>930</v>
      </c>
      <c r="D616" s="96" t="str">
        <f>+[7]GRC!D114</f>
        <v>IMS</v>
      </c>
      <c r="E616" s="96" t="s">
        <v>78</v>
      </c>
      <c r="F616" s="96" t="s">
        <v>749</v>
      </c>
      <c r="G616" s="96" t="s">
        <v>750</v>
      </c>
      <c r="H616" s="96"/>
      <c r="I616" s="96" t="s">
        <v>91</v>
      </c>
      <c r="J616" s="96" t="s">
        <v>147</v>
      </c>
      <c r="K616" s="96" t="s">
        <v>16</v>
      </c>
      <c r="L616" s="96" t="s">
        <v>15</v>
      </c>
      <c r="M616" s="96" t="s">
        <v>71</v>
      </c>
      <c r="N616" s="96" t="s">
        <v>72</v>
      </c>
      <c r="O616" s="264" t="str">
        <f t="shared" si="27"/>
        <v>B3 PL2 (6 to 8 yrs) / B3 PL3 (7 to 10 yrs)</v>
      </c>
      <c r="P616" s="265"/>
      <c r="Q616" s="265" t="str">
        <f t="shared" si="31"/>
        <v>IMS/IMSGeneric/DatabaseAdministratorIMSGeneric/Senior</v>
      </c>
      <c r="R616" s="266" t="str">
        <f t="shared" si="29"/>
        <v>B3 PL2 (6 to 8 yrs) / B3 PL3 (7 to 10 yrs)</v>
      </c>
      <c r="S616" s="265" t="str">
        <f t="shared" si="30"/>
        <v>IMS_69</v>
      </c>
      <c r="T616" s="267" t="b">
        <v>0</v>
      </c>
      <c r="U616" s="268" t="e">
        <f>+VLOOKUP($C616,[8]GRC!$B$3:$L$350,9,0)</f>
        <v>#N/A</v>
      </c>
      <c r="V616" s="268" t="e">
        <f>+VLOOKUP($C616,[8]GRC!$B$3:$L$350,10,0)</f>
        <v>#N/A</v>
      </c>
      <c r="W616" s="268" t="e">
        <f t="shared" si="28"/>
        <v>#N/A</v>
      </c>
      <c r="X616" s="268" t="e">
        <f t="shared" si="28"/>
        <v>#N/A</v>
      </c>
    </row>
    <row r="617" spans="1:24" ht="15">
      <c r="A617" s="93">
        <v>113</v>
      </c>
      <c r="B617" s="94" t="s">
        <v>462</v>
      </c>
      <c r="C617" s="295" t="s">
        <v>931</v>
      </c>
      <c r="D617" s="94" t="str">
        <f>+[7]GRC!D115</f>
        <v>IT</v>
      </c>
      <c r="E617" s="94" t="s">
        <v>97</v>
      </c>
      <c r="F617" s="94" t="s">
        <v>334</v>
      </c>
      <c r="G617" s="94" t="s">
        <v>233</v>
      </c>
      <c r="H617" s="94"/>
      <c r="I617" s="94" t="s">
        <v>84</v>
      </c>
      <c r="J617" s="94" t="s">
        <v>150</v>
      </c>
      <c r="K617" s="94" t="s">
        <v>20</v>
      </c>
      <c r="L617" s="94" t="s">
        <v>19</v>
      </c>
      <c r="M617" s="94" t="s">
        <v>71</v>
      </c>
      <c r="N617" s="94" t="s">
        <v>138</v>
      </c>
      <c r="O617" s="259" t="str">
        <f t="shared" si="27"/>
        <v>B2 AP1 / B2 AP2 (0.6 to 3 yrs)</v>
      </c>
      <c r="P617" s="260"/>
      <c r="Q617" s="260" t="str">
        <f t="shared" si="31"/>
        <v>IT/GoldenSource/DeveloperGoldenSource/Junior</v>
      </c>
      <c r="R617" s="261" t="str">
        <f t="shared" si="29"/>
        <v>B2 AP1 / B2 AP2 (0.6 to 3 yrs)</v>
      </c>
      <c r="S617" s="260" t="str">
        <f t="shared" si="30"/>
        <v>IT_61</v>
      </c>
      <c r="T617" s="262" t="b">
        <v>0</v>
      </c>
      <c r="U617" s="263" t="str">
        <f>+VLOOKUP($C617,[8]GRC!$B$3:$L$350,9,0)</f>
        <v>B2 AP1</v>
      </c>
      <c r="V617" s="263" t="str">
        <f>+VLOOKUP($C617,[8]GRC!$B$3:$L$350,10,0)</f>
        <v>B2 AP2 (0.6 to 3 yrs)</v>
      </c>
      <c r="W617" s="263" t="b">
        <f t="shared" si="28"/>
        <v>1</v>
      </c>
      <c r="X617" s="263" t="b">
        <f t="shared" si="28"/>
        <v>1</v>
      </c>
    </row>
    <row r="618" spans="1:24" ht="15">
      <c r="A618" s="93">
        <v>114</v>
      </c>
      <c r="B618" s="94" t="s">
        <v>463</v>
      </c>
      <c r="C618" s="295" t="s">
        <v>932</v>
      </c>
      <c r="D618" s="94" t="str">
        <f>+[7]GRC!D116</f>
        <v>IT</v>
      </c>
      <c r="E618" s="94" t="s">
        <v>97</v>
      </c>
      <c r="F618" s="94" t="s">
        <v>334</v>
      </c>
      <c r="G618" s="94" t="s">
        <v>233</v>
      </c>
      <c r="H618" s="94"/>
      <c r="I618" s="94" t="s">
        <v>193</v>
      </c>
      <c r="J618" s="94" t="s">
        <v>151</v>
      </c>
      <c r="K618" s="94" t="s">
        <v>19</v>
      </c>
      <c r="L618" s="94" t="s">
        <v>18</v>
      </c>
      <c r="M618" s="94" t="s">
        <v>71</v>
      </c>
      <c r="N618" s="94" t="s">
        <v>138</v>
      </c>
      <c r="O618" s="259" t="str">
        <f t="shared" si="27"/>
        <v>B2 AP2 (0.6 to 3 yrs) / B2 AP3 (3 to 5 yrs)</v>
      </c>
      <c r="P618" s="260"/>
      <c r="Q618" s="260" t="str">
        <f t="shared" si="31"/>
        <v>IT/GoldenSource/DeveloperGoldenSource/MidLevel</v>
      </c>
      <c r="R618" s="261" t="str">
        <f t="shared" si="29"/>
        <v>B2 AP2 (0.6 to 3 yrs) / B2 AP3 (3 to 5 yrs)</v>
      </c>
      <c r="S618" s="260" t="str">
        <f t="shared" si="30"/>
        <v>IT_62</v>
      </c>
      <c r="T618" s="262" t="b">
        <v>0</v>
      </c>
      <c r="U618" s="263" t="str">
        <f>+VLOOKUP($C618,[8]GRC!$B$3:$L$350,9,0)</f>
        <v>B2 AP2 (0.6 to 3 yrs)</v>
      </c>
      <c r="V618" s="263" t="str">
        <f>+VLOOKUP($C618,[8]GRC!$B$3:$L$350,10,0)</f>
        <v>B2 AP3 (3 to 5 yrs)</v>
      </c>
      <c r="W618" s="263" t="b">
        <f t="shared" si="28"/>
        <v>1</v>
      </c>
      <c r="X618" s="263" t="b">
        <f t="shared" si="28"/>
        <v>1</v>
      </c>
    </row>
    <row r="619" spans="1:24" ht="15">
      <c r="A619" s="93">
        <v>115</v>
      </c>
      <c r="B619" s="94" t="s">
        <v>464</v>
      </c>
      <c r="C619" s="295" t="s">
        <v>933</v>
      </c>
      <c r="D619" s="94" t="str">
        <f>+[7]GRC!D117</f>
        <v>IT</v>
      </c>
      <c r="E619" s="94" t="s">
        <v>97</v>
      </c>
      <c r="F619" s="94" t="s">
        <v>334</v>
      </c>
      <c r="G619" s="94" t="s">
        <v>233</v>
      </c>
      <c r="H619" s="94"/>
      <c r="I619" s="94" t="s">
        <v>91</v>
      </c>
      <c r="J619" s="94" t="s">
        <v>145</v>
      </c>
      <c r="K619" s="94" t="s">
        <v>18</v>
      </c>
      <c r="L619" s="94" t="s">
        <v>17</v>
      </c>
      <c r="M619" s="94" t="s">
        <v>71</v>
      </c>
      <c r="N619" s="94" t="s">
        <v>138</v>
      </c>
      <c r="O619" s="259" t="str">
        <f t="shared" si="27"/>
        <v>B2 AP3 (3 to 5 yrs) / B3 PL1 (5 to 7 yrs)</v>
      </c>
      <c r="P619" s="260"/>
      <c r="Q619" s="260" t="str">
        <f t="shared" si="31"/>
        <v>IT/GoldenSource/DeveloperGoldenSource/Senior</v>
      </c>
      <c r="R619" s="261" t="str">
        <f t="shared" si="29"/>
        <v>B2 AP3 (3 to 5 yrs) / B3 PL1 (5 to 7 yrs)</v>
      </c>
      <c r="S619" s="260" t="str">
        <f t="shared" si="30"/>
        <v>IT_63</v>
      </c>
      <c r="T619" s="262" t="b">
        <v>0</v>
      </c>
      <c r="U619" s="263" t="str">
        <f>+VLOOKUP($C619,[8]GRC!$B$3:$L$350,9,0)</f>
        <v>B2 AP3 (3 to 5 yrs)</v>
      </c>
      <c r="V619" s="263" t="str">
        <f>+VLOOKUP($C619,[8]GRC!$B$3:$L$350,10,0)</f>
        <v>B3 PL1 (5 to 7 yrs)</v>
      </c>
      <c r="W619" s="263" t="b">
        <f t="shared" si="28"/>
        <v>1</v>
      </c>
      <c r="X619" s="263" t="b">
        <f t="shared" si="28"/>
        <v>1</v>
      </c>
    </row>
    <row r="620" spans="1:24" s="78" customFormat="1" ht="15">
      <c r="A620" s="95">
        <v>116</v>
      </c>
      <c r="B620" s="96" t="s">
        <v>465</v>
      </c>
      <c r="C620" s="296" t="s">
        <v>934</v>
      </c>
      <c r="D620" s="96" t="str">
        <f>+[7]GRC!D118</f>
        <v>SOG</v>
      </c>
      <c r="E620" s="96" t="s">
        <v>30</v>
      </c>
      <c r="F620" s="96" t="s">
        <v>163</v>
      </c>
      <c r="G620" s="96" t="s">
        <v>320</v>
      </c>
      <c r="H620" s="96"/>
      <c r="I620" s="96"/>
      <c r="J620" s="96" t="s">
        <v>150</v>
      </c>
      <c r="K620" s="96" t="s">
        <v>20</v>
      </c>
      <c r="L620" s="96" t="s">
        <v>19</v>
      </c>
      <c r="M620" s="96" t="s">
        <v>71</v>
      </c>
      <c r="N620" s="96" t="s">
        <v>72</v>
      </c>
      <c r="O620" s="264" t="str">
        <f t="shared" si="27"/>
        <v>B2 AP1 / B2 AP2 (0.6 to 3 yrs)</v>
      </c>
      <c r="P620" s="265"/>
      <c r="Q620" s="265" t="str">
        <f t="shared" si="31"/>
        <v>SOG/Intergration/IntegrationEngineer/</v>
      </c>
      <c r="R620" s="266" t="str">
        <f t="shared" si="29"/>
        <v>B2 AP1 / B2 AP2 (0.6 to 3 yrs)</v>
      </c>
      <c r="S620" s="265" t="str">
        <f t="shared" si="30"/>
        <v>SOG_153</v>
      </c>
      <c r="T620" s="267" t="b">
        <v>0</v>
      </c>
      <c r="U620" s="268" t="e">
        <f>+VLOOKUP($C620,[8]GRC!$B$3:$L$350,9,0)</f>
        <v>#N/A</v>
      </c>
      <c r="V620" s="268" t="e">
        <f>+VLOOKUP($C620,[8]GRC!$B$3:$L$350,10,0)</f>
        <v>#N/A</v>
      </c>
      <c r="W620" s="268" t="e">
        <f t="shared" si="28"/>
        <v>#N/A</v>
      </c>
      <c r="X620" s="268" t="e">
        <f t="shared" si="28"/>
        <v>#N/A</v>
      </c>
    </row>
    <row r="621" spans="1:24" s="78" customFormat="1" ht="15">
      <c r="A621" s="95">
        <v>117</v>
      </c>
      <c r="B621" s="96" t="s">
        <v>466</v>
      </c>
      <c r="C621" s="296" t="s">
        <v>935</v>
      </c>
      <c r="D621" s="96" t="str">
        <f>+[7]GRC!D119</f>
        <v>SOG</v>
      </c>
      <c r="E621" s="96" t="s">
        <v>30</v>
      </c>
      <c r="F621" s="96" t="s">
        <v>163</v>
      </c>
      <c r="G621" s="96" t="s">
        <v>326</v>
      </c>
      <c r="H621" s="96"/>
      <c r="I621" s="96"/>
      <c r="J621" s="96" t="s">
        <v>150</v>
      </c>
      <c r="K621" s="96" t="s">
        <v>20</v>
      </c>
      <c r="L621" s="96" t="s">
        <v>19</v>
      </c>
      <c r="M621" s="96" t="s">
        <v>71</v>
      </c>
      <c r="N621" s="96" t="s">
        <v>72</v>
      </c>
      <c r="O621" s="264" t="str">
        <f t="shared" si="27"/>
        <v>B2 AP1 / B2 AP2 (0.6 to 3 yrs)</v>
      </c>
      <c r="P621" s="265"/>
      <c r="Q621" s="265" t="str">
        <f t="shared" si="31"/>
        <v>SOG/Intergration/IntegrationSpecialist/</v>
      </c>
      <c r="R621" s="266" t="str">
        <f t="shared" si="29"/>
        <v>B2 AP1 / B2 AP2 (0.6 to 3 yrs)</v>
      </c>
      <c r="S621" s="265" t="str">
        <f t="shared" si="30"/>
        <v>SOG_154</v>
      </c>
      <c r="T621" s="267" t="b">
        <v>0</v>
      </c>
      <c r="U621" s="268" t="e">
        <f>+VLOOKUP($C621,[8]GRC!$B$3:$L$350,9,0)</f>
        <v>#N/A</v>
      </c>
      <c r="V621" s="268" t="e">
        <f>+VLOOKUP($C621,[8]GRC!$B$3:$L$350,10,0)</f>
        <v>#N/A</v>
      </c>
      <c r="W621" s="268" t="e">
        <f t="shared" si="28"/>
        <v>#N/A</v>
      </c>
      <c r="X621" s="268" t="e">
        <f t="shared" si="28"/>
        <v>#N/A</v>
      </c>
    </row>
    <row r="622" spans="1:24" s="78" customFormat="1" ht="15">
      <c r="A622" s="95">
        <v>118</v>
      </c>
      <c r="B622" s="96" t="s">
        <v>467</v>
      </c>
      <c r="C622" s="296" t="s">
        <v>936</v>
      </c>
      <c r="D622" s="96" t="str">
        <f>+[7]GRC!D120</f>
        <v>SOG</v>
      </c>
      <c r="E622" s="96" t="s">
        <v>30</v>
      </c>
      <c r="F622" s="96" t="s">
        <v>163</v>
      </c>
      <c r="G622" s="96" t="s">
        <v>331</v>
      </c>
      <c r="H622" s="96"/>
      <c r="I622" s="96"/>
      <c r="J622" s="96" t="s">
        <v>145</v>
      </c>
      <c r="K622" s="96" t="s">
        <v>18</v>
      </c>
      <c r="L622" s="96" t="s">
        <v>17</v>
      </c>
      <c r="M622" s="96" t="s">
        <v>71</v>
      </c>
      <c r="N622" s="96" t="s">
        <v>72</v>
      </c>
      <c r="O622" s="264" t="str">
        <f t="shared" si="27"/>
        <v>B2 AP3 (3 to 5 yrs) / B3 PL1 (5 to 7 yrs)</v>
      </c>
      <c r="P622" s="265"/>
      <c r="Q622" s="265" t="str">
        <f t="shared" si="31"/>
        <v>SOG/Intergration/InterfaceDesigner  /</v>
      </c>
      <c r="R622" s="266" t="str">
        <f t="shared" si="29"/>
        <v>B2 AP3 (3 to 5 yrs) / B3 PL1 (5 to 7 yrs)</v>
      </c>
      <c r="S622" s="265" t="str">
        <f t="shared" si="30"/>
        <v>SOG_155</v>
      </c>
      <c r="T622" s="267" t="b">
        <v>0</v>
      </c>
      <c r="U622" s="268" t="e">
        <f>+VLOOKUP($C622,[8]GRC!$B$3:$L$350,9,0)</f>
        <v>#N/A</v>
      </c>
      <c r="V622" s="268" t="e">
        <f>+VLOOKUP($C622,[8]GRC!$B$3:$L$350,10,0)</f>
        <v>#N/A</v>
      </c>
      <c r="W622" s="268" t="e">
        <f t="shared" si="28"/>
        <v>#N/A</v>
      </c>
      <c r="X622" s="268" t="e">
        <f t="shared" si="28"/>
        <v>#N/A</v>
      </c>
    </row>
    <row r="623" spans="1:24" ht="15">
      <c r="A623" s="93">
        <v>119</v>
      </c>
      <c r="B623" s="94" t="s">
        <v>468</v>
      </c>
      <c r="C623" s="295" t="s">
        <v>937</v>
      </c>
      <c r="D623" s="94" t="str">
        <f>+[7]GRC!D121</f>
        <v>IT</v>
      </c>
      <c r="E623" s="94" t="s">
        <v>97</v>
      </c>
      <c r="F623" s="94" t="s">
        <v>123</v>
      </c>
      <c r="G623" s="94" t="s">
        <v>343</v>
      </c>
      <c r="H623" s="94"/>
      <c r="I623" s="94" t="s">
        <v>84</v>
      </c>
      <c r="J623" s="94" t="s">
        <v>170</v>
      </c>
      <c r="K623" s="94" t="s">
        <v>14</v>
      </c>
      <c r="L623" s="94" t="s">
        <v>71</v>
      </c>
      <c r="M623" s="94" t="s">
        <v>71</v>
      </c>
      <c r="N623" s="94" t="s">
        <v>72</v>
      </c>
      <c r="O623" s="259" t="str">
        <f t="shared" si="27"/>
        <v>B4 PM1 (9 to 12 yrs) / None</v>
      </c>
      <c r="P623" s="260"/>
      <c r="Q623" s="260" t="str">
        <f t="shared" si="31"/>
        <v>IT/ITIL/ConsultantITIL/Junior</v>
      </c>
      <c r="R623" s="261" t="str">
        <f t="shared" si="29"/>
        <v>B4 PM1 (9 to 12 yrs) / None</v>
      </c>
      <c r="S623" s="260" t="str">
        <f t="shared" si="30"/>
        <v>IT_19</v>
      </c>
      <c r="T623" s="262" t="b">
        <v>0</v>
      </c>
      <c r="U623" s="263" t="str">
        <f>+VLOOKUP($C623,[8]GRC!$B$3:$L$350,9,0)</f>
        <v>B4 PM1 (9 to 12 yrs)</v>
      </c>
      <c r="V623" s="263" t="str">
        <f>+VLOOKUP($C623,[8]GRC!$B$3:$L$350,10,0)</f>
        <v>None</v>
      </c>
      <c r="W623" s="263" t="b">
        <f t="shared" si="28"/>
        <v>1</v>
      </c>
      <c r="X623" s="263" t="b">
        <f t="shared" si="28"/>
        <v>1</v>
      </c>
    </row>
    <row r="624" spans="1:24" ht="15">
      <c r="A624" s="93">
        <v>120</v>
      </c>
      <c r="B624" s="94" t="s">
        <v>469</v>
      </c>
      <c r="C624" s="295" t="s">
        <v>938</v>
      </c>
      <c r="D624" s="94" t="str">
        <f>+[7]GRC!D122</f>
        <v>IT</v>
      </c>
      <c r="E624" s="94" t="s">
        <v>97</v>
      </c>
      <c r="F624" s="94" t="s">
        <v>123</v>
      </c>
      <c r="G624" s="94" t="s">
        <v>343</v>
      </c>
      <c r="H624" s="94"/>
      <c r="I624" s="94" t="s">
        <v>193</v>
      </c>
      <c r="J624" s="94" t="s">
        <v>149</v>
      </c>
      <c r="K624" s="94" t="s">
        <v>42</v>
      </c>
      <c r="L624" s="94" t="s">
        <v>41</v>
      </c>
      <c r="M624" s="94" t="s">
        <v>71</v>
      </c>
      <c r="N624" s="94" t="s">
        <v>72</v>
      </c>
      <c r="O624" s="259" t="str">
        <f t="shared" si="27"/>
        <v>B4 PM2 (10 to 14 yrs) / B4 PM3 (12 to 15 yrs)</v>
      </c>
      <c r="P624" s="260"/>
      <c r="Q624" s="260" t="str">
        <f t="shared" si="31"/>
        <v>IT/ITIL/ConsultantITIL/MidLevel</v>
      </c>
      <c r="R624" s="261" t="str">
        <f t="shared" si="29"/>
        <v>B4 PM2 (10 to 14 yrs) / B4 PM3 (12 to 15 yrs)</v>
      </c>
      <c r="S624" s="260" t="str">
        <f t="shared" si="30"/>
        <v>IT_20</v>
      </c>
      <c r="T624" s="262" t="b">
        <v>0</v>
      </c>
      <c r="U624" s="263" t="str">
        <f>+VLOOKUP($C624,[8]GRC!$B$3:$L$350,9,0)</f>
        <v>B4 PM2 (10 to 14 yrs)</v>
      </c>
      <c r="V624" s="263" t="str">
        <f>+VLOOKUP($C624,[8]GRC!$B$3:$L$350,10,0)</f>
        <v>B4 PM3 (12 to 15 yrs)</v>
      </c>
      <c r="W624" s="263" t="b">
        <f t="shared" si="28"/>
        <v>1</v>
      </c>
      <c r="X624" s="263" t="b">
        <f t="shared" si="28"/>
        <v>1</v>
      </c>
    </row>
    <row r="625" spans="1:24" ht="15">
      <c r="A625" s="93">
        <v>121</v>
      </c>
      <c r="B625" s="94" t="s">
        <v>470</v>
      </c>
      <c r="C625" s="295" t="s">
        <v>939</v>
      </c>
      <c r="D625" s="94" t="str">
        <f>+[7]GRC!D123</f>
        <v>IT</v>
      </c>
      <c r="E625" s="94" t="s">
        <v>97</v>
      </c>
      <c r="F625" s="94" t="s">
        <v>123</v>
      </c>
      <c r="G625" s="94" t="s">
        <v>343</v>
      </c>
      <c r="H625" s="94"/>
      <c r="I625" s="94" t="s">
        <v>91</v>
      </c>
      <c r="J625" s="94" t="s">
        <v>139</v>
      </c>
      <c r="K625" s="94" t="s">
        <v>41</v>
      </c>
      <c r="L625" s="94" t="s">
        <v>13</v>
      </c>
      <c r="M625" s="94" t="s">
        <v>71</v>
      </c>
      <c r="N625" s="94" t="s">
        <v>72</v>
      </c>
      <c r="O625" s="259" t="str">
        <f t="shared" si="27"/>
        <v>B4 PM3 (12 to 15 yrs) / B5 (min 8 yrs)</v>
      </c>
      <c r="P625" s="260"/>
      <c r="Q625" s="260" t="str">
        <f t="shared" si="31"/>
        <v>IT/ITIL/ConsultantITIL/Senior</v>
      </c>
      <c r="R625" s="261" t="str">
        <f t="shared" si="29"/>
        <v>B4 PM3 (12 to 15 yrs) / B5 (min 8 yrs)</v>
      </c>
      <c r="S625" s="260" t="str">
        <f t="shared" si="30"/>
        <v>IT_21</v>
      </c>
      <c r="T625" s="262" t="b">
        <v>0</v>
      </c>
      <c r="U625" s="263" t="str">
        <f>+VLOOKUP($C625,[8]GRC!$B$3:$L$350,9,0)</f>
        <v>B4 PM3 (12 to 15 yrs)</v>
      </c>
      <c r="V625" s="263" t="str">
        <f>+VLOOKUP($C625,[8]GRC!$B$3:$L$350,10,0)</f>
        <v>B5 (min 8 yrs)</v>
      </c>
      <c r="W625" s="263" t="b">
        <f t="shared" si="28"/>
        <v>1</v>
      </c>
      <c r="X625" s="263" t="b">
        <f t="shared" si="28"/>
        <v>1</v>
      </c>
    </row>
    <row r="626" spans="1:24" ht="15">
      <c r="A626" s="93">
        <v>122</v>
      </c>
      <c r="B626" s="94" t="s">
        <v>471</v>
      </c>
      <c r="C626" s="295" t="s">
        <v>940</v>
      </c>
      <c r="D626" s="94" t="str">
        <f>+[7]GRC!D124</f>
        <v>IT</v>
      </c>
      <c r="E626" s="94" t="s">
        <v>97</v>
      </c>
      <c r="F626" s="94" t="s">
        <v>234</v>
      </c>
      <c r="G626" s="94" t="s">
        <v>235</v>
      </c>
      <c r="H626" s="94" t="s">
        <v>164</v>
      </c>
      <c r="I626" s="94" t="s">
        <v>84</v>
      </c>
      <c r="J626" s="94" t="s">
        <v>148</v>
      </c>
      <c r="K626" s="94" t="s">
        <v>14</v>
      </c>
      <c r="L626" s="94" t="s">
        <v>71</v>
      </c>
      <c r="M626" s="94" t="s">
        <v>71</v>
      </c>
      <c r="N626" s="94" t="s">
        <v>72</v>
      </c>
      <c r="O626" s="259" t="str">
        <f t="shared" si="27"/>
        <v>B4 PM1 (9 to 12 yrs) / None</v>
      </c>
      <c r="P626" s="260"/>
      <c r="Q626" s="260" t="str">
        <f t="shared" si="31"/>
        <v>IT/JavaNet/ArchitectJavaNet/Junior</v>
      </c>
      <c r="R626" s="261" t="str">
        <f t="shared" si="29"/>
        <v>B4 PM1 (9 to 12 yrs) / None</v>
      </c>
      <c r="S626" s="260" t="str">
        <f t="shared" si="30"/>
        <v>IT_76</v>
      </c>
      <c r="T626" s="262" t="b">
        <v>0</v>
      </c>
      <c r="U626" s="263" t="str">
        <f>+VLOOKUP($C626,[8]GRC!$B$3:$L$350,9,0)</f>
        <v>B4 PM1 (9 to 12 yrs)</v>
      </c>
      <c r="V626" s="263" t="str">
        <f>+VLOOKUP($C626,[8]GRC!$B$3:$L$350,10,0)</f>
        <v>None</v>
      </c>
      <c r="W626" s="263" t="b">
        <f t="shared" si="28"/>
        <v>1</v>
      </c>
      <c r="X626" s="263" t="b">
        <f t="shared" si="28"/>
        <v>1</v>
      </c>
    </row>
    <row r="627" spans="1:24" ht="15">
      <c r="A627" s="93">
        <v>123</v>
      </c>
      <c r="B627" s="94" t="s">
        <v>472</v>
      </c>
      <c r="C627" s="295" t="s">
        <v>941</v>
      </c>
      <c r="D627" s="94" t="str">
        <f>+[7]GRC!D125</f>
        <v>IT</v>
      </c>
      <c r="E627" s="94" t="s">
        <v>97</v>
      </c>
      <c r="F627" s="94" t="s">
        <v>234</v>
      </c>
      <c r="G627" s="94" t="s">
        <v>235</v>
      </c>
      <c r="H627" s="94" t="s">
        <v>164</v>
      </c>
      <c r="I627" s="94" t="s">
        <v>193</v>
      </c>
      <c r="J627" s="94" t="s">
        <v>186</v>
      </c>
      <c r="K627" s="94" t="s">
        <v>42</v>
      </c>
      <c r="L627" s="94" t="s">
        <v>41</v>
      </c>
      <c r="M627" s="94" t="s">
        <v>71</v>
      </c>
      <c r="N627" s="94" t="s">
        <v>72</v>
      </c>
      <c r="O627" s="259" t="str">
        <f t="shared" si="27"/>
        <v>B4 PM2 (10 to 14 yrs) / B4 PM3 (12 to 15 yrs)</v>
      </c>
      <c r="P627" s="260"/>
      <c r="Q627" s="260" t="str">
        <f t="shared" si="31"/>
        <v>IT/JavaNet/ArchitectJavaNet/MidLevel</v>
      </c>
      <c r="R627" s="261" t="str">
        <f t="shared" si="29"/>
        <v>B4 PM2 (10 to 14 yrs) / B4 PM3 (12 to 15 yrs)</v>
      </c>
      <c r="S627" s="260" t="str">
        <f t="shared" si="30"/>
        <v>IT_77</v>
      </c>
      <c r="T627" s="262" t="b">
        <v>0</v>
      </c>
      <c r="U627" s="263" t="str">
        <f>+VLOOKUP($C627,[8]GRC!$B$3:$L$350,9,0)</f>
        <v>B4 PM2 (10 to 14 yrs)</v>
      </c>
      <c r="V627" s="263" t="str">
        <f>+VLOOKUP($C627,[8]GRC!$B$3:$L$350,10,0)</f>
        <v>B4 PM3 (12 to 15 yrs)</v>
      </c>
      <c r="W627" s="263" t="b">
        <f t="shared" si="28"/>
        <v>1</v>
      </c>
      <c r="X627" s="263" t="b">
        <f t="shared" si="28"/>
        <v>1</v>
      </c>
    </row>
    <row r="628" spans="1:24" ht="15">
      <c r="A628" s="93">
        <v>124</v>
      </c>
      <c r="B628" s="94" t="s">
        <v>473</v>
      </c>
      <c r="C628" s="295" t="s">
        <v>942</v>
      </c>
      <c r="D628" s="94" t="str">
        <f>+[7]GRC!D126</f>
        <v>IT</v>
      </c>
      <c r="E628" s="94" t="s">
        <v>97</v>
      </c>
      <c r="F628" s="94" t="s">
        <v>234</v>
      </c>
      <c r="G628" s="94" t="s">
        <v>235</v>
      </c>
      <c r="H628" s="94" t="s">
        <v>164</v>
      </c>
      <c r="I628" s="94" t="s">
        <v>91</v>
      </c>
      <c r="J628" s="94" t="s">
        <v>139</v>
      </c>
      <c r="K628" s="94" t="s">
        <v>41</v>
      </c>
      <c r="L628" s="94" t="s">
        <v>13</v>
      </c>
      <c r="M628" s="94" t="s">
        <v>71</v>
      </c>
      <c r="N628" s="94" t="s">
        <v>72</v>
      </c>
      <c r="O628" s="259" t="str">
        <f t="shared" si="27"/>
        <v>B4 PM3 (12 to 15 yrs) / B5 (min 8 yrs)</v>
      </c>
      <c r="P628" s="260"/>
      <c r="Q628" s="260" t="str">
        <f t="shared" si="31"/>
        <v>IT/JavaNet/ArchitectJavaNet/Senior</v>
      </c>
      <c r="R628" s="261" t="str">
        <f t="shared" si="29"/>
        <v>B4 PM3 (12 to 15 yrs) / B5 (min 8 yrs)</v>
      </c>
      <c r="S628" s="260" t="str">
        <f t="shared" si="30"/>
        <v>IT_78</v>
      </c>
      <c r="T628" s="262" t="b">
        <v>0</v>
      </c>
      <c r="U628" s="263" t="str">
        <f>+VLOOKUP($C628,[8]GRC!$B$3:$L$350,9,0)</f>
        <v>B4 PM3 (12 to 15 yrs)</v>
      </c>
      <c r="V628" s="263" t="str">
        <f>+VLOOKUP($C628,[8]GRC!$B$3:$L$350,10,0)</f>
        <v>B5 (min 8 yrs)</v>
      </c>
      <c r="W628" s="263" t="b">
        <f t="shared" si="28"/>
        <v>1</v>
      </c>
      <c r="X628" s="263" t="b">
        <f t="shared" si="28"/>
        <v>1</v>
      </c>
    </row>
    <row r="629" spans="1:24" ht="15">
      <c r="A629" s="93">
        <v>125</v>
      </c>
      <c r="B629" s="94" t="s">
        <v>474</v>
      </c>
      <c r="C629" s="295" t="s">
        <v>943</v>
      </c>
      <c r="D629" s="94" t="str">
        <f>+[7]GRC!D127</f>
        <v>IT</v>
      </c>
      <c r="E629" s="94" t="s">
        <v>97</v>
      </c>
      <c r="F629" s="94" t="s">
        <v>247</v>
      </c>
      <c r="G629" s="94" t="s">
        <v>237</v>
      </c>
      <c r="H629" s="94"/>
      <c r="I629" s="94" t="s">
        <v>84</v>
      </c>
      <c r="J629" s="94" t="s">
        <v>150</v>
      </c>
      <c r="K629" s="94" t="s">
        <v>20</v>
      </c>
      <c r="L629" s="94" t="s">
        <v>19</v>
      </c>
      <c r="M629" s="94" t="s">
        <v>71</v>
      </c>
      <c r="N629" s="94" t="s">
        <v>72</v>
      </c>
      <c r="O629" s="259" t="str">
        <f t="shared" si="27"/>
        <v>B2 AP1 / B2 AP2 (0.6 to 3 yrs)</v>
      </c>
      <c r="P629" s="260"/>
      <c r="Q629" s="260" t="str">
        <f t="shared" si="31"/>
        <v>IT/JavaNetColdFusionIT/DeveloperJavaNetColdFusion/Junior</v>
      </c>
      <c r="R629" s="261" t="str">
        <f t="shared" si="29"/>
        <v>B2 AP1 / B2 AP2 (0.6 to 3 yrs)</v>
      </c>
      <c r="S629" s="260" t="str">
        <f t="shared" si="30"/>
        <v>IT_23</v>
      </c>
      <c r="T629" s="262" t="b">
        <v>0</v>
      </c>
      <c r="U629" s="263" t="str">
        <f>+VLOOKUP($C629,[8]GRC!$B$3:$L$350,9,0)</f>
        <v>B2 AP1</v>
      </c>
      <c r="V629" s="263" t="str">
        <f>+VLOOKUP($C629,[8]GRC!$B$3:$L$350,10,0)</f>
        <v>B2 AP2 (0.6 to 3 yrs)</v>
      </c>
      <c r="W629" s="263" t="b">
        <f t="shared" si="28"/>
        <v>1</v>
      </c>
      <c r="X629" s="263" t="b">
        <f t="shared" si="28"/>
        <v>1</v>
      </c>
    </row>
    <row r="630" spans="1:24" ht="15">
      <c r="A630" s="93">
        <v>126</v>
      </c>
      <c r="B630" s="94" t="s">
        <v>475</v>
      </c>
      <c r="C630" s="295" t="s">
        <v>944</v>
      </c>
      <c r="D630" s="94" t="str">
        <f>+[7]GRC!D128</f>
        <v>IT</v>
      </c>
      <c r="E630" s="94" t="s">
        <v>97</v>
      </c>
      <c r="F630" s="94" t="s">
        <v>247</v>
      </c>
      <c r="G630" s="94" t="s">
        <v>237</v>
      </c>
      <c r="H630" s="94"/>
      <c r="I630" s="94" t="s">
        <v>193</v>
      </c>
      <c r="J630" s="94" t="s">
        <v>151</v>
      </c>
      <c r="K630" s="94" t="s">
        <v>19</v>
      </c>
      <c r="L630" s="94" t="s">
        <v>18</v>
      </c>
      <c r="M630" s="94" t="s">
        <v>71</v>
      </c>
      <c r="N630" s="94" t="s">
        <v>72</v>
      </c>
      <c r="O630" s="259" t="str">
        <f t="shared" si="27"/>
        <v>B2 AP2 (0.6 to 3 yrs) / B2 AP3 (3 to 5 yrs)</v>
      </c>
      <c r="P630" s="260"/>
      <c r="Q630" s="260" t="str">
        <f t="shared" si="31"/>
        <v>IT/JavaNetColdFusionIT/DeveloperJavaNetColdFusion/MidLevel</v>
      </c>
      <c r="R630" s="261" t="str">
        <f t="shared" si="29"/>
        <v>B2 AP2 (0.6 to 3 yrs) / B2 AP3 (3 to 5 yrs)</v>
      </c>
      <c r="S630" s="260" t="str">
        <f t="shared" si="30"/>
        <v>IT_24</v>
      </c>
      <c r="T630" s="262" t="b">
        <v>0</v>
      </c>
      <c r="U630" s="263" t="str">
        <f>+VLOOKUP($C630,[8]GRC!$B$3:$L$350,9,0)</f>
        <v>B2 AP2 (0.6 to 3 yrs)</v>
      </c>
      <c r="V630" s="263" t="str">
        <f>+VLOOKUP($C630,[8]GRC!$B$3:$L$350,10,0)</f>
        <v>B2 AP3 (3 to 5 yrs)</v>
      </c>
      <c r="W630" s="263" t="b">
        <f t="shared" si="28"/>
        <v>1</v>
      </c>
      <c r="X630" s="263" t="b">
        <f t="shared" si="28"/>
        <v>1</v>
      </c>
    </row>
    <row r="631" spans="1:24" ht="15">
      <c r="A631" s="93">
        <v>127</v>
      </c>
      <c r="B631" s="94" t="s">
        <v>476</v>
      </c>
      <c r="C631" s="295" t="s">
        <v>945</v>
      </c>
      <c r="D631" s="94" t="str">
        <f>+[7]GRC!D129</f>
        <v>IT</v>
      </c>
      <c r="E631" s="94" t="s">
        <v>97</v>
      </c>
      <c r="F631" s="94" t="s">
        <v>247</v>
      </c>
      <c r="G631" s="94" t="s">
        <v>237</v>
      </c>
      <c r="H631" s="94"/>
      <c r="I631" s="94" t="s">
        <v>91</v>
      </c>
      <c r="J631" s="94" t="s">
        <v>145</v>
      </c>
      <c r="K631" s="94" t="s">
        <v>18</v>
      </c>
      <c r="L631" s="94" t="s">
        <v>17</v>
      </c>
      <c r="M631" s="94" t="s">
        <v>71</v>
      </c>
      <c r="N631" s="94" t="s">
        <v>72</v>
      </c>
      <c r="O631" s="259" t="str">
        <f t="shared" si="27"/>
        <v>B2 AP3 (3 to 5 yrs) / B3 PL1 (5 to 7 yrs)</v>
      </c>
      <c r="P631" s="260"/>
      <c r="Q631" s="260" t="str">
        <f t="shared" si="31"/>
        <v>IT/JavaNetColdFusionIT/DeveloperJavaNetColdFusion/Senior</v>
      </c>
      <c r="R631" s="261" t="str">
        <f t="shared" si="29"/>
        <v>B2 AP3 (3 to 5 yrs) / B3 PL1 (5 to 7 yrs)</v>
      </c>
      <c r="S631" s="260" t="str">
        <f t="shared" si="30"/>
        <v>IT_25</v>
      </c>
      <c r="T631" s="262" t="b">
        <v>0</v>
      </c>
      <c r="U631" s="263" t="str">
        <f>+VLOOKUP($C631,[8]GRC!$B$3:$L$350,9,0)</f>
        <v>B2 AP3 (3 to 5 yrs)</v>
      </c>
      <c r="V631" s="263" t="str">
        <f>+VLOOKUP($C631,[8]GRC!$B$3:$L$350,10,0)</f>
        <v>B3 PL1 (5 to 7 yrs)</v>
      </c>
      <c r="W631" s="263" t="b">
        <f t="shared" si="28"/>
        <v>1</v>
      </c>
      <c r="X631" s="263" t="b">
        <f t="shared" si="28"/>
        <v>1</v>
      </c>
    </row>
    <row r="632" spans="1:24" ht="15">
      <c r="A632" s="93">
        <v>128</v>
      </c>
      <c r="B632" s="94" t="s">
        <v>477</v>
      </c>
      <c r="C632" s="295" t="s">
        <v>946</v>
      </c>
      <c r="D632" s="94" t="str">
        <f>+[7]GRC!D130</f>
        <v>IT</v>
      </c>
      <c r="E632" s="94" t="s">
        <v>97</v>
      </c>
      <c r="F632" s="94" t="s">
        <v>336</v>
      </c>
      <c r="G632" s="94" t="s">
        <v>238</v>
      </c>
      <c r="H632" s="94"/>
      <c r="I632" s="94" t="s">
        <v>84</v>
      </c>
      <c r="J632" s="94" t="s">
        <v>150</v>
      </c>
      <c r="K632" s="94" t="s">
        <v>20</v>
      </c>
      <c r="L632" s="94" t="s">
        <v>19</v>
      </c>
      <c r="M632" s="94" t="s">
        <v>71</v>
      </c>
      <c r="N632" s="94" t="s">
        <v>138</v>
      </c>
      <c r="O632" s="259" t="str">
        <f t="shared" si="27"/>
        <v>B2 AP1 / B2 AP2 (0.6 to 3 yrs)</v>
      </c>
      <c r="P632" s="260"/>
      <c r="Q632" s="260" t="str">
        <f t="shared" si="31"/>
        <v>IT/LotusNotes/DeveloperLotusNotes/Junior</v>
      </c>
      <c r="R632" s="261" t="str">
        <f t="shared" si="29"/>
        <v>B2 AP1 / B2 AP2 (0.6 to 3 yrs)</v>
      </c>
      <c r="S632" s="260" t="str">
        <f t="shared" si="30"/>
        <v>IT_26</v>
      </c>
      <c r="T632" s="262" t="b">
        <v>0</v>
      </c>
      <c r="U632" s="263" t="str">
        <f>+VLOOKUP($C632,[8]GRC!$B$3:$L$350,9,0)</f>
        <v>B2 AP1</v>
      </c>
      <c r="V632" s="263" t="str">
        <f>+VLOOKUP($C632,[8]GRC!$B$3:$L$350,10,0)</f>
        <v>B2 AP2 (0.6 to 3 yrs)</v>
      </c>
      <c r="W632" s="263" t="b">
        <f t="shared" si="28"/>
        <v>1</v>
      </c>
      <c r="X632" s="263" t="b">
        <f t="shared" si="28"/>
        <v>1</v>
      </c>
    </row>
    <row r="633" spans="1:24" ht="15">
      <c r="A633" s="93">
        <v>129</v>
      </c>
      <c r="B633" s="94" t="s">
        <v>478</v>
      </c>
      <c r="C633" s="295" t="s">
        <v>947</v>
      </c>
      <c r="D633" s="94" t="str">
        <f>+[7]GRC!D131</f>
        <v>IT</v>
      </c>
      <c r="E633" s="94" t="s">
        <v>97</v>
      </c>
      <c r="F633" s="94" t="s">
        <v>336</v>
      </c>
      <c r="G633" s="94" t="s">
        <v>238</v>
      </c>
      <c r="H633" s="94"/>
      <c r="I633" s="94" t="s">
        <v>193</v>
      </c>
      <c r="J633" s="94" t="s">
        <v>151</v>
      </c>
      <c r="K633" s="94" t="s">
        <v>19</v>
      </c>
      <c r="L633" s="94" t="s">
        <v>18</v>
      </c>
      <c r="M633" s="94" t="s">
        <v>71</v>
      </c>
      <c r="N633" s="94" t="s">
        <v>138</v>
      </c>
      <c r="O633" s="259" t="str">
        <f t="shared" ref="O633:O696" si="32">+K633&amp;" / " &amp;L633</f>
        <v>B2 AP2 (0.6 to 3 yrs) / B2 AP3 (3 to 5 yrs)</v>
      </c>
      <c r="P633" s="260"/>
      <c r="Q633" s="260" t="str">
        <f t="shared" si="31"/>
        <v>IT/LotusNotes/DeveloperLotusNotes/MidLevel</v>
      </c>
      <c r="R633" s="261" t="str">
        <f t="shared" si="29"/>
        <v>B2 AP2 (0.6 to 3 yrs) / B2 AP3 (3 to 5 yrs)</v>
      </c>
      <c r="S633" s="260" t="str">
        <f t="shared" si="30"/>
        <v>IT_27</v>
      </c>
      <c r="T633" s="262" t="b">
        <v>0</v>
      </c>
      <c r="U633" s="263" t="str">
        <f>+VLOOKUP($C633,[8]GRC!$B$3:$L$350,9,0)</f>
        <v>B2 AP2 (0.6 to 3 yrs)</v>
      </c>
      <c r="V633" s="263" t="str">
        <f>+VLOOKUP($C633,[8]GRC!$B$3:$L$350,10,0)</f>
        <v>B2 AP3 (3 to 5 yrs)</v>
      </c>
      <c r="W633" s="263" t="b">
        <f t="shared" ref="W633:X696" si="33">+U633=K633</f>
        <v>1</v>
      </c>
      <c r="X633" s="263" t="b">
        <f t="shared" si="33"/>
        <v>1</v>
      </c>
    </row>
    <row r="634" spans="1:24" ht="15">
      <c r="A634" s="93">
        <v>130</v>
      </c>
      <c r="B634" s="94" t="s">
        <v>479</v>
      </c>
      <c r="C634" s="295" t="s">
        <v>948</v>
      </c>
      <c r="D634" s="94" t="str">
        <f>+[7]GRC!D132</f>
        <v>IT</v>
      </c>
      <c r="E634" s="94" t="s">
        <v>97</v>
      </c>
      <c r="F634" s="94" t="s">
        <v>336</v>
      </c>
      <c r="G634" s="94" t="s">
        <v>238</v>
      </c>
      <c r="H634" s="94"/>
      <c r="I634" s="94" t="s">
        <v>91</v>
      </c>
      <c r="J634" s="94" t="s">
        <v>145</v>
      </c>
      <c r="K634" s="94" t="s">
        <v>18</v>
      </c>
      <c r="L634" s="94" t="s">
        <v>17</v>
      </c>
      <c r="M634" s="94" t="s">
        <v>71</v>
      </c>
      <c r="N634" s="94" t="s">
        <v>138</v>
      </c>
      <c r="O634" s="259" t="str">
        <f t="shared" si="32"/>
        <v>B2 AP3 (3 to 5 yrs) / B3 PL1 (5 to 7 yrs)</v>
      </c>
      <c r="P634" s="260"/>
      <c r="Q634" s="260" t="str">
        <f t="shared" si="31"/>
        <v>IT/LotusNotes/DeveloperLotusNotes/Senior</v>
      </c>
      <c r="R634" s="261" t="str">
        <f t="shared" ref="R634:R697" si="34">+O634</f>
        <v>B2 AP3 (3 to 5 yrs) / B3 PL1 (5 to 7 yrs)</v>
      </c>
      <c r="S634" s="260" t="str">
        <f t="shared" ref="S634:S697" si="35">+C634</f>
        <v>IT_28</v>
      </c>
      <c r="T634" s="262" t="b">
        <v>0</v>
      </c>
      <c r="U634" s="263" t="str">
        <f>+VLOOKUP($C634,[8]GRC!$B$3:$L$350,9,0)</f>
        <v>B2 AP3 (3 to 5 yrs)</v>
      </c>
      <c r="V634" s="263" t="str">
        <f>+VLOOKUP($C634,[8]GRC!$B$3:$L$350,10,0)</f>
        <v>B3 PL1 (5 to 7 yrs)</v>
      </c>
      <c r="W634" s="263" t="b">
        <f t="shared" si="33"/>
        <v>1</v>
      </c>
      <c r="X634" s="263" t="b">
        <f t="shared" si="33"/>
        <v>1</v>
      </c>
    </row>
    <row r="635" spans="1:24" ht="15">
      <c r="A635" s="93">
        <v>131</v>
      </c>
      <c r="B635" s="94" t="s">
        <v>480</v>
      </c>
      <c r="C635" s="295" t="s">
        <v>949</v>
      </c>
      <c r="D635" s="94" t="str">
        <f>+[7]GRC!D133</f>
        <v>IT</v>
      </c>
      <c r="E635" s="94" t="s">
        <v>97</v>
      </c>
      <c r="F635" s="94" t="s">
        <v>109</v>
      </c>
      <c r="G635" s="94" t="s">
        <v>239</v>
      </c>
      <c r="H635" s="94" t="s">
        <v>165</v>
      </c>
      <c r="I635" s="94" t="s">
        <v>84</v>
      </c>
      <c r="J635" s="94" t="s">
        <v>150</v>
      </c>
      <c r="K635" s="94" t="s">
        <v>20</v>
      </c>
      <c r="L635" s="94" t="s">
        <v>19</v>
      </c>
      <c r="M635" s="94" t="s">
        <v>71</v>
      </c>
      <c r="N635" s="94" t="s">
        <v>72</v>
      </c>
      <c r="O635" s="259" t="str">
        <f t="shared" si="32"/>
        <v>B2 AP1 / B2 AP2 (0.6 to 3 yrs)</v>
      </c>
      <c r="P635" s="260"/>
      <c r="Q635" s="260" t="str">
        <f t="shared" ref="Q635:Q698" si="36">+E635&amp;"/"&amp;F635&amp;"/"&amp;G635&amp;"/"&amp;I635</f>
        <v>IT/Mainframe/DeveloperMainframe/Junior</v>
      </c>
      <c r="R635" s="261" t="str">
        <f t="shared" si="34"/>
        <v>B2 AP1 / B2 AP2 (0.6 to 3 yrs)</v>
      </c>
      <c r="S635" s="260" t="str">
        <f t="shared" si="35"/>
        <v>IT_29</v>
      </c>
      <c r="T635" s="262" t="b">
        <v>0</v>
      </c>
      <c r="U635" s="263" t="str">
        <f>+VLOOKUP($C635,[8]GRC!$B$3:$L$350,9,0)</f>
        <v>B2 AP1</v>
      </c>
      <c r="V635" s="263" t="str">
        <f>+VLOOKUP($C635,[8]GRC!$B$3:$L$350,10,0)</f>
        <v>B2 AP2 (0.6 to 3 yrs)</v>
      </c>
      <c r="W635" s="263" t="b">
        <f t="shared" si="33"/>
        <v>1</v>
      </c>
      <c r="X635" s="263" t="b">
        <f t="shared" si="33"/>
        <v>1</v>
      </c>
    </row>
    <row r="636" spans="1:24" ht="15">
      <c r="A636" s="93">
        <v>132</v>
      </c>
      <c r="B636" s="94" t="s">
        <v>481</v>
      </c>
      <c r="C636" s="295" t="s">
        <v>950</v>
      </c>
      <c r="D636" s="94" t="str">
        <f>+[7]GRC!D134</f>
        <v>IT</v>
      </c>
      <c r="E636" s="94" t="s">
        <v>97</v>
      </c>
      <c r="F636" s="94" t="s">
        <v>109</v>
      </c>
      <c r="G636" s="94" t="s">
        <v>239</v>
      </c>
      <c r="H636" s="94" t="s">
        <v>165</v>
      </c>
      <c r="I636" s="94" t="s">
        <v>193</v>
      </c>
      <c r="J636" s="94" t="s">
        <v>151</v>
      </c>
      <c r="K636" s="94" t="s">
        <v>19</v>
      </c>
      <c r="L636" s="94" t="s">
        <v>18</v>
      </c>
      <c r="M636" s="94" t="s">
        <v>71</v>
      </c>
      <c r="N636" s="94" t="s">
        <v>72</v>
      </c>
      <c r="O636" s="259" t="str">
        <f t="shared" si="32"/>
        <v>B2 AP2 (0.6 to 3 yrs) / B2 AP3 (3 to 5 yrs)</v>
      </c>
      <c r="P636" s="260"/>
      <c r="Q636" s="260" t="str">
        <f t="shared" si="36"/>
        <v>IT/Mainframe/DeveloperMainframe/MidLevel</v>
      </c>
      <c r="R636" s="261" t="str">
        <f t="shared" si="34"/>
        <v>B2 AP2 (0.6 to 3 yrs) / B2 AP3 (3 to 5 yrs)</v>
      </c>
      <c r="S636" s="260" t="str">
        <f t="shared" si="35"/>
        <v>IT_30</v>
      </c>
      <c r="T636" s="262" t="b">
        <v>0</v>
      </c>
      <c r="U636" s="263" t="str">
        <f>+VLOOKUP($C636,[8]GRC!$B$3:$L$350,9,0)</f>
        <v>B2 AP2 (0.6 to 3 yrs)</v>
      </c>
      <c r="V636" s="263" t="str">
        <f>+VLOOKUP($C636,[8]GRC!$B$3:$L$350,10,0)</f>
        <v>B2 AP3 (3 to 5 yrs)</v>
      </c>
      <c r="W636" s="263" t="b">
        <f t="shared" si="33"/>
        <v>1</v>
      </c>
      <c r="X636" s="263" t="b">
        <f t="shared" si="33"/>
        <v>1</v>
      </c>
    </row>
    <row r="637" spans="1:24" ht="15">
      <c r="A637" s="93">
        <v>133</v>
      </c>
      <c r="B637" s="94" t="s">
        <v>482</v>
      </c>
      <c r="C637" s="295" t="s">
        <v>951</v>
      </c>
      <c r="D637" s="94" t="str">
        <f>+[7]GRC!D135</f>
        <v>IT</v>
      </c>
      <c r="E637" s="94" t="s">
        <v>97</v>
      </c>
      <c r="F637" s="94" t="s">
        <v>109</v>
      </c>
      <c r="G637" s="94" t="s">
        <v>239</v>
      </c>
      <c r="H637" s="94" t="s">
        <v>165</v>
      </c>
      <c r="I637" s="94" t="s">
        <v>91</v>
      </c>
      <c r="J637" s="94" t="s">
        <v>145</v>
      </c>
      <c r="K637" s="94" t="s">
        <v>18</v>
      </c>
      <c r="L637" s="94" t="s">
        <v>17</v>
      </c>
      <c r="M637" s="94" t="s">
        <v>71</v>
      </c>
      <c r="N637" s="94" t="s">
        <v>72</v>
      </c>
      <c r="O637" s="259" t="str">
        <f t="shared" si="32"/>
        <v>B2 AP3 (3 to 5 yrs) / B3 PL1 (5 to 7 yrs)</v>
      </c>
      <c r="P637" s="260"/>
      <c r="Q637" s="260" t="str">
        <f t="shared" si="36"/>
        <v>IT/Mainframe/DeveloperMainframe/Senior</v>
      </c>
      <c r="R637" s="261" t="str">
        <f t="shared" si="34"/>
        <v>B2 AP3 (3 to 5 yrs) / B3 PL1 (5 to 7 yrs)</v>
      </c>
      <c r="S637" s="260" t="str">
        <f t="shared" si="35"/>
        <v>IT_31</v>
      </c>
      <c r="T637" s="262" t="b">
        <v>0</v>
      </c>
      <c r="U637" s="263" t="str">
        <f>+VLOOKUP($C637,[8]GRC!$B$3:$L$350,9,0)</f>
        <v>B2 AP3 (3 to 5 yrs)</v>
      </c>
      <c r="V637" s="263" t="str">
        <f>+VLOOKUP($C637,[8]GRC!$B$3:$L$350,10,0)</f>
        <v>B3 PL1 (5 to 7 yrs)</v>
      </c>
      <c r="W637" s="263" t="b">
        <f t="shared" si="33"/>
        <v>1</v>
      </c>
      <c r="X637" s="263" t="b">
        <f t="shared" si="33"/>
        <v>1</v>
      </c>
    </row>
    <row r="638" spans="1:24" ht="15">
      <c r="A638" s="93">
        <v>134</v>
      </c>
      <c r="B638" s="94" t="s">
        <v>483</v>
      </c>
      <c r="C638" s="295" t="s">
        <v>952</v>
      </c>
      <c r="D638" s="94" t="str">
        <f>+[7]GRC!D136</f>
        <v>IT</v>
      </c>
      <c r="E638" s="94" t="s">
        <v>97</v>
      </c>
      <c r="F638" s="94" t="s">
        <v>240</v>
      </c>
      <c r="G638" s="94" t="s">
        <v>321</v>
      </c>
      <c r="H638" s="94"/>
      <c r="I638" s="94"/>
      <c r="J638" s="94" t="s">
        <v>166</v>
      </c>
      <c r="K638" s="94" t="s">
        <v>13</v>
      </c>
      <c r="L638" s="94" t="s">
        <v>71</v>
      </c>
      <c r="M638" s="94" t="s">
        <v>71</v>
      </c>
      <c r="N638" s="94" t="s">
        <v>72</v>
      </c>
      <c r="O638" s="259" t="str">
        <f t="shared" si="32"/>
        <v>B5 (min 8 yrs) / None</v>
      </c>
      <c r="P638" s="260"/>
      <c r="Q638" s="260" t="str">
        <f t="shared" si="36"/>
        <v>IT/ManagementIT/EngagementManagerAccount ManagerProject DirectorProgramController /</v>
      </c>
      <c r="R638" s="261" t="str">
        <f t="shared" si="34"/>
        <v>B5 (min 8 yrs) / None</v>
      </c>
      <c r="S638" s="260" t="str">
        <f t="shared" si="35"/>
        <v>IT_32</v>
      </c>
      <c r="T638" s="262" t="b">
        <v>0</v>
      </c>
      <c r="U638" s="263" t="str">
        <f>+VLOOKUP($C638,[8]GRC!$B$3:$L$350,9,0)</f>
        <v>B5 (min 8 yrs)</v>
      </c>
      <c r="V638" s="263" t="str">
        <f>+VLOOKUP($C638,[8]GRC!$B$3:$L$350,10,0)</f>
        <v>None</v>
      </c>
      <c r="W638" s="263" t="b">
        <f t="shared" si="33"/>
        <v>1</v>
      </c>
      <c r="X638" s="263" t="b">
        <f t="shared" si="33"/>
        <v>1</v>
      </c>
    </row>
    <row r="639" spans="1:24" ht="15">
      <c r="A639" s="93">
        <v>135</v>
      </c>
      <c r="B639" s="94" t="s">
        <v>484</v>
      </c>
      <c r="C639" s="295" t="s">
        <v>953</v>
      </c>
      <c r="D639" s="94" t="str">
        <f>+[7]GRC!D137</f>
        <v>IT</v>
      </c>
      <c r="E639" s="94" t="s">
        <v>97</v>
      </c>
      <c r="F639" s="94" t="s">
        <v>240</v>
      </c>
      <c r="G639" s="94" t="s">
        <v>241</v>
      </c>
      <c r="H639" s="94"/>
      <c r="I639" s="94" t="s">
        <v>84</v>
      </c>
      <c r="J639" s="94" t="s">
        <v>184</v>
      </c>
      <c r="K639" s="94" t="s">
        <v>15</v>
      </c>
      <c r="L639" s="94" t="s">
        <v>14</v>
      </c>
      <c r="M639" s="94" t="s">
        <v>71</v>
      </c>
      <c r="N639" s="94" t="s">
        <v>72</v>
      </c>
      <c r="O639" s="259" t="str">
        <f t="shared" si="32"/>
        <v>B3 PL3 (7 to 10 yrs) / B4 PM1 (9 to 12 yrs)</v>
      </c>
      <c r="P639" s="260"/>
      <c r="Q639" s="260" t="str">
        <f t="shared" si="36"/>
        <v>IT/ManagementIT/ProjectManagerIT/Junior</v>
      </c>
      <c r="R639" s="261" t="str">
        <f t="shared" si="34"/>
        <v>B3 PL3 (7 to 10 yrs) / B4 PM1 (9 to 12 yrs)</v>
      </c>
      <c r="S639" s="260" t="str">
        <f t="shared" si="35"/>
        <v>IT_33</v>
      </c>
      <c r="T639" s="262" t="b">
        <v>0</v>
      </c>
      <c r="U639" s="263" t="str">
        <f>+VLOOKUP($C639,[8]GRC!$B$3:$L$350,9,0)</f>
        <v>B3 PL3 (7 to 10 yrs)</v>
      </c>
      <c r="V639" s="263" t="str">
        <f>+VLOOKUP($C639,[8]GRC!$B$3:$L$350,10,0)</f>
        <v>B4 PM1 (9 to 12 yrs)</v>
      </c>
      <c r="W639" s="263" t="b">
        <f t="shared" si="33"/>
        <v>1</v>
      </c>
      <c r="X639" s="263" t="b">
        <f t="shared" si="33"/>
        <v>1</v>
      </c>
    </row>
    <row r="640" spans="1:24" ht="15">
      <c r="A640" s="93">
        <v>136</v>
      </c>
      <c r="B640" s="94" t="s">
        <v>485</v>
      </c>
      <c r="C640" s="295" t="s">
        <v>954</v>
      </c>
      <c r="D640" s="94" t="str">
        <f>+[7]GRC!D138</f>
        <v>IT</v>
      </c>
      <c r="E640" s="94" t="s">
        <v>97</v>
      </c>
      <c r="F640" s="94" t="s">
        <v>240</v>
      </c>
      <c r="G640" s="94" t="s">
        <v>241</v>
      </c>
      <c r="H640" s="94"/>
      <c r="I640" s="94" t="s">
        <v>193</v>
      </c>
      <c r="J640" s="94" t="s">
        <v>185</v>
      </c>
      <c r="K640" s="94" t="s">
        <v>14</v>
      </c>
      <c r="L640" s="94" t="s">
        <v>42</v>
      </c>
      <c r="M640" s="94" t="s">
        <v>71</v>
      </c>
      <c r="N640" s="94" t="s">
        <v>72</v>
      </c>
      <c r="O640" s="259" t="str">
        <f t="shared" si="32"/>
        <v>B4 PM1 (9 to 12 yrs) / B4 PM2 (10 to 14 yrs)</v>
      </c>
      <c r="P640" s="260"/>
      <c r="Q640" s="260" t="str">
        <f t="shared" si="36"/>
        <v>IT/ManagementIT/ProjectManagerIT/MidLevel</v>
      </c>
      <c r="R640" s="261" t="str">
        <f t="shared" si="34"/>
        <v>B4 PM1 (9 to 12 yrs) / B4 PM2 (10 to 14 yrs)</v>
      </c>
      <c r="S640" s="260" t="str">
        <f t="shared" si="35"/>
        <v>IT_34</v>
      </c>
      <c r="T640" s="262" t="b">
        <v>0</v>
      </c>
      <c r="U640" s="263" t="str">
        <f>+VLOOKUP($C640,[8]GRC!$B$3:$L$350,9,0)</f>
        <v>B4 PM1 (9 to 12 yrs)</v>
      </c>
      <c r="V640" s="263" t="str">
        <f>+VLOOKUP($C640,[8]GRC!$B$3:$L$350,10,0)</f>
        <v>B4 PM2 (10 to 14 yrs)</v>
      </c>
      <c r="W640" s="263" t="b">
        <f t="shared" si="33"/>
        <v>1</v>
      </c>
      <c r="X640" s="263" t="b">
        <f t="shared" si="33"/>
        <v>1</v>
      </c>
    </row>
    <row r="641" spans="1:24" ht="15">
      <c r="A641" s="93">
        <v>137</v>
      </c>
      <c r="B641" s="94" t="s">
        <v>486</v>
      </c>
      <c r="C641" s="295" t="s">
        <v>955</v>
      </c>
      <c r="D641" s="94" t="str">
        <f>+[7]GRC!D139</f>
        <v>IT</v>
      </c>
      <c r="E641" s="94" t="s">
        <v>97</v>
      </c>
      <c r="F641" s="94" t="s">
        <v>240</v>
      </c>
      <c r="G641" s="94" t="s">
        <v>241</v>
      </c>
      <c r="H641" s="94"/>
      <c r="I641" s="94" t="s">
        <v>91</v>
      </c>
      <c r="J641" s="94" t="s">
        <v>149</v>
      </c>
      <c r="K641" s="94" t="s">
        <v>42</v>
      </c>
      <c r="L641" s="94" t="s">
        <v>41</v>
      </c>
      <c r="M641" s="94" t="s">
        <v>71</v>
      </c>
      <c r="N641" s="94" t="s">
        <v>72</v>
      </c>
      <c r="O641" s="259" t="str">
        <f t="shared" si="32"/>
        <v>B4 PM2 (10 to 14 yrs) / B4 PM3 (12 to 15 yrs)</v>
      </c>
      <c r="P641" s="260"/>
      <c r="Q641" s="260" t="str">
        <f t="shared" si="36"/>
        <v>IT/ManagementIT/ProjectManagerIT/Senior</v>
      </c>
      <c r="R641" s="261" t="str">
        <f t="shared" si="34"/>
        <v>B4 PM2 (10 to 14 yrs) / B4 PM3 (12 to 15 yrs)</v>
      </c>
      <c r="S641" s="260" t="str">
        <f t="shared" si="35"/>
        <v>IT_35</v>
      </c>
      <c r="T641" s="262" t="b">
        <v>0</v>
      </c>
      <c r="U641" s="263" t="str">
        <f>+VLOOKUP($C641,[8]GRC!$B$3:$L$350,9,0)</f>
        <v>B4 PM2 (10 to 14 yrs)</v>
      </c>
      <c r="V641" s="263" t="str">
        <f>+VLOOKUP($C641,[8]GRC!$B$3:$L$350,10,0)</f>
        <v>B4 PM3 (12 to 15 yrs)</v>
      </c>
      <c r="W641" s="263" t="b">
        <f t="shared" si="33"/>
        <v>1</v>
      </c>
      <c r="X641" s="263" t="b">
        <f t="shared" si="33"/>
        <v>1</v>
      </c>
    </row>
    <row r="642" spans="1:24" ht="15">
      <c r="A642" s="93">
        <v>138</v>
      </c>
      <c r="B642" s="94" t="s">
        <v>487</v>
      </c>
      <c r="C642" s="295" t="s">
        <v>956</v>
      </c>
      <c r="D642" s="94" t="str">
        <f>+[7]GRC!D140</f>
        <v>IT</v>
      </c>
      <c r="E642" s="94" t="s">
        <v>97</v>
      </c>
      <c r="F642" s="94" t="s">
        <v>167</v>
      </c>
      <c r="G642" s="94" t="s">
        <v>322</v>
      </c>
      <c r="H642" s="94"/>
      <c r="I642" s="94"/>
      <c r="J642" s="94" t="s">
        <v>152</v>
      </c>
      <c r="K642" s="94" t="s">
        <v>19</v>
      </c>
      <c r="L642" s="94" t="s">
        <v>18</v>
      </c>
      <c r="M642" s="94" t="s">
        <v>71</v>
      </c>
      <c r="N642" s="94" t="s">
        <v>72</v>
      </c>
      <c r="O642" s="259" t="str">
        <f t="shared" si="32"/>
        <v>B2 AP2 (0.6 to 3 yrs) / B2 AP3 (3 to 5 yrs)</v>
      </c>
      <c r="P642" s="260"/>
      <c r="Q642" s="260" t="str">
        <f t="shared" si="36"/>
        <v>IT/Operation/OperationsAnalyst/</v>
      </c>
      <c r="R642" s="261" t="str">
        <f t="shared" si="34"/>
        <v>B2 AP2 (0.6 to 3 yrs) / B2 AP3 (3 to 5 yrs)</v>
      </c>
      <c r="S642" s="260" t="str">
        <f t="shared" si="35"/>
        <v>IT_36</v>
      </c>
      <c r="T642" s="262" t="b">
        <v>0</v>
      </c>
      <c r="U642" s="263" t="str">
        <f>+VLOOKUP($C642,[8]GRC!$B$3:$L$350,9,0)</f>
        <v>B2 AP2 (0.6 to 3 yrs)</v>
      </c>
      <c r="V642" s="263" t="str">
        <f>+VLOOKUP($C642,[8]GRC!$B$3:$L$350,10,0)</f>
        <v>B2 AP3 (3 to 5 yrs)</v>
      </c>
      <c r="W642" s="263" t="b">
        <f t="shared" si="33"/>
        <v>1</v>
      </c>
      <c r="X642" s="263" t="b">
        <f t="shared" si="33"/>
        <v>1</v>
      </c>
    </row>
    <row r="643" spans="1:24" ht="15">
      <c r="A643" s="93">
        <v>139</v>
      </c>
      <c r="B643" s="94" t="s">
        <v>488</v>
      </c>
      <c r="C643" s="295" t="s">
        <v>957</v>
      </c>
      <c r="D643" s="94" t="str">
        <f>+[7]GRC!D141</f>
        <v>IT</v>
      </c>
      <c r="E643" s="94" t="s">
        <v>97</v>
      </c>
      <c r="F643" s="94" t="s">
        <v>167</v>
      </c>
      <c r="G643" s="94" t="s">
        <v>327</v>
      </c>
      <c r="H643" s="94"/>
      <c r="I643" s="94"/>
      <c r="J643" s="94" t="s">
        <v>145</v>
      </c>
      <c r="K643" s="94" t="s">
        <v>17</v>
      </c>
      <c r="L643" s="94" t="s">
        <v>16</v>
      </c>
      <c r="M643" s="94" t="s">
        <v>71</v>
      </c>
      <c r="N643" s="94" t="s">
        <v>72</v>
      </c>
      <c r="O643" s="259" t="str">
        <f t="shared" si="32"/>
        <v>B3 PL1 (5 to 7 yrs) / B3 PL2 (6 to 8 yrs)</v>
      </c>
      <c r="P643" s="260"/>
      <c r="Q643" s="260" t="str">
        <f t="shared" si="36"/>
        <v>IT/Operation/ProcessLeader/</v>
      </c>
      <c r="R643" s="261" t="str">
        <f t="shared" si="34"/>
        <v>B3 PL1 (5 to 7 yrs) / B3 PL2 (6 to 8 yrs)</v>
      </c>
      <c r="S643" s="260" t="str">
        <f t="shared" si="35"/>
        <v>IT_37</v>
      </c>
      <c r="T643" s="262" t="b">
        <v>0</v>
      </c>
      <c r="U643" s="263" t="str">
        <f>+VLOOKUP($C643,[8]GRC!$B$3:$L$350,9,0)</f>
        <v>B3 PL1 (5 to 7 yrs)</v>
      </c>
      <c r="V643" s="263" t="str">
        <f>+VLOOKUP($C643,[8]GRC!$B$3:$L$350,10,0)</f>
        <v>B3 PL2 (6 to 8 yrs)</v>
      </c>
      <c r="W643" s="263" t="b">
        <f t="shared" si="33"/>
        <v>1</v>
      </c>
      <c r="X643" s="263" t="b">
        <f t="shared" si="33"/>
        <v>1</v>
      </c>
    </row>
    <row r="644" spans="1:24" ht="15">
      <c r="A644" s="93">
        <v>140</v>
      </c>
      <c r="B644" s="94" t="s">
        <v>489</v>
      </c>
      <c r="C644" s="295" t="s">
        <v>958</v>
      </c>
      <c r="D644" s="94" t="str">
        <f>+[7]GRC!D142</f>
        <v>IT</v>
      </c>
      <c r="E644" s="94" t="s">
        <v>97</v>
      </c>
      <c r="F644" s="94" t="s">
        <v>25</v>
      </c>
      <c r="G644" s="94" t="s">
        <v>323</v>
      </c>
      <c r="H644" s="94"/>
      <c r="I644" s="94"/>
      <c r="J644" s="94" t="s">
        <v>152</v>
      </c>
      <c r="K644" s="94" t="s">
        <v>19</v>
      </c>
      <c r="L644" s="94" t="s">
        <v>18</v>
      </c>
      <c r="M644" s="94" t="s">
        <v>71</v>
      </c>
      <c r="N644" s="94" t="s">
        <v>72</v>
      </c>
      <c r="O644" s="259" t="str">
        <f t="shared" si="32"/>
        <v>B2 AP2 (0.6 to 3 yrs) / B2 AP3 (3 to 5 yrs)</v>
      </c>
      <c r="P644" s="260"/>
      <c r="Q644" s="260" t="str">
        <f t="shared" si="36"/>
        <v>IT/Others/GraphicsDesigner/</v>
      </c>
      <c r="R644" s="261" t="str">
        <f t="shared" si="34"/>
        <v>B2 AP2 (0.6 to 3 yrs) / B2 AP3 (3 to 5 yrs)</v>
      </c>
      <c r="S644" s="260" t="str">
        <f t="shared" si="35"/>
        <v>IT_38</v>
      </c>
      <c r="T644" s="262" t="b">
        <v>0</v>
      </c>
      <c r="U644" s="263" t="str">
        <f>+VLOOKUP($C644,[8]GRC!$B$3:$L$350,9,0)</f>
        <v>B2 AP2 (0.6 to 3 yrs)</v>
      </c>
      <c r="V644" s="263" t="str">
        <f>+VLOOKUP($C644,[8]GRC!$B$3:$L$350,10,0)</f>
        <v>B2 AP3 (3 to 5 yrs)</v>
      </c>
      <c r="W644" s="263" t="b">
        <f t="shared" si="33"/>
        <v>1</v>
      </c>
      <c r="X644" s="263" t="b">
        <f t="shared" si="33"/>
        <v>1</v>
      </c>
    </row>
    <row r="645" spans="1:24" ht="15">
      <c r="A645" s="93">
        <v>141</v>
      </c>
      <c r="B645" s="94" t="s">
        <v>490</v>
      </c>
      <c r="C645" s="295" t="s">
        <v>959</v>
      </c>
      <c r="D645" s="94" t="str">
        <f>+[7]GRC!D143</f>
        <v>IT</v>
      </c>
      <c r="E645" s="94" t="s">
        <v>97</v>
      </c>
      <c r="F645" s="94" t="s">
        <v>25</v>
      </c>
      <c r="G645" s="94" t="s">
        <v>242</v>
      </c>
      <c r="H645" s="94"/>
      <c r="I645" s="94" t="s">
        <v>84</v>
      </c>
      <c r="J645" s="94" t="s">
        <v>150</v>
      </c>
      <c r="K645" s="94" t="s">
        <v>20</v>
      </c>
      <c r="L645" s="94" t="s">
        <v>19</v>
      </c>
      <c r="M645" s="94" t="s">
        <v>71</v>
      </c>
      <c r="N645" s="94" t="s">
        <v>72</v>
      </c>
      <c r="O645" s="259" t="str">
        <f t="shared" si="32"/>
        <v>B2 AP1 / B2 AP2 (0.6 to 3 yrs)</v>
      </c>
      <c r="P645" s="260"/>
      <c r="Q645" s="260" t="str">
        <f t="shared" si="36"/>
        <v>IT/Others/TechnicalWriter/Junior</v>
      </c>
      <c r="R645" s="261" t="str">
        <f t="shared" si="34"/>
        <v>B2 AP1 / B2 AP2 (0.6 to 3 yrs)</v>
      </c>
      <c r="S645" s="260" t="str">
        <f t="shared" si="35"/>
        <v>IT_39</v>
      </c>
      <c r="T645" s="262" t="b">
        <v>0</v>
      </c>
      <c r="U645" s="263" t="str">
        <f>+VLOOKUP($C645,[8]GRC!$B$3:$L$350,9,0)</f>
        <v>B2 AP1</v>
      </c>
      <c r="V645" s="263" t="str">
        <f>+VLOOKUP($C645,[8]GRC!$B$3:$L$350,10,0)</f>
        <v>B2 AP2 (0.6 to 3 yrs)</v>
      </c>
      <c r="W645" s="263" t="b">
        <f t="shared" si="33"/>
        <v>1</v>
      </c>
      <c r="X645" s="263" t="b">
        <f t="shared" si="33"/>
        <v>1</v>
      </c>
    </row>
    <row r="646" spans="1:24" ht="15">
      <c r="A646" s="93">
        <v>142</v>
      </c>
      <c r="B646" s="94" t="s">
        <v>491</v>
      </c>
      <c r="C646" s="295" t="s">
        <v>960</v>
      </c>
      <c r="D646" s="94" t="str">
        <f>+[7]GRC!D144</f>
        <v>IT</v>
      </c>
      <c r="E646" s="94" t="s">
        <v>97</v>
      </c>
      <c r="F646" s="94" t="s">
        <v>25</v>
      </c>
      <c r="G646" s="94" t="s">
        <v>242</v>
      </c>
      <c r="H646" s="94"/>
      <c r="I646" s="94" t="s">
        <v>193</v>
      </c>
      <c r="J646" s="94" t="s">
        <v>151</v>
      </c>
      <c r="K646" s="94" t="s">
        <v>19</v>
      </c>
      <c r="L646" s="94" t="s">
        <v>18</v>
      </c>
      <c r="M646" s="94" t="s">
        <v>71</v>
      </c>
      <c r="N646" s="94" t="s">
        <v>72</v>
      </c>
      <c r="O646" s="259" t="str">
        <f t="shared" si="32"/>
        <v>B2 AP2 (0.6 to 3 yrs) / B2 AP3 (3 to 5 yrs)</v>
      </c>
      <c r="P646" s="260"/>
      <c r="Q646" s="260" t="str">
        <f t="shared" si="36"/>
        <v>IT/Others/TechnicalWriter/MidLevel</v>
      </c>
      <c r="R646" s="261" t="str">
        <f t="shared" si="34"/>
        <v>B2 AP2 (0.6 to 3 yrs) / B2 AP3 (3 to 5 yrs)</v>
      </c>
      <c r="S646" s="260" t="str">
        <f t="shared" si="35"/>
        <v>IT_40</v>
      </c>
      <c r="T646" s="262" t="b">
        <v>0</v>
      </c>
      <c r="U646" s="263" t="str">
        <f>+VLOOKUP($C646,[8]GRC!$B$3:$L$350,9,0)</f>
        <v>B2 AP2 (0.6 to 3 yrs)</v>
      </c>
      <c r="V646" s="263" t="str">
        <f>+VLOOKUP($C646,[8]GRC!$B$3:$L$350,10,0)</f>
        <v>B2 AP3 (3 to 5 yrs)</v>
      </c>
      <c r="W646" s="263" t="b">
        <f t="shared" si="33"/>
        <v>1</v>
      </c>
      <c r="X646" s="263" t="b">
        <f t="shared" si="33"/>
        <v>1</v>
      </c>
    </row>
    <row r="647" spans="1:24" ht="15">
      <c r="A647" s="93">
        <v>143</v>
      </c>
      <c r="B647" s="94" t="s">
        <v>492</v>
      </c>
      <c r="C647" s="295" t="s">
        <v>961</v>
      </c>
      <c r="D647" s="94" t="str">
        <f>+[7]GRC!D145</f>
        <v>IT</v>
      </c>
      <c r="E647" s="94" t="s">
        <v>97</v>
      </c>
      <c r="F647" s="94" t="s">
        <v>25</v>
      </c>
      <c r="G647" s="94" t="s">
        <v>242</v>
      </c>
      <c r="H647" s="94"/>
      <c r="I647" s="94" t="s">
        <v>91</v>
      </c>
      <c r="J647" s="94" t="s">
        <v>145</v>
      </c>
      <c r="K647" s="94" t="s">
        <v>18</v>
      </c>
      <c r="L647" s="94" t="s">
        <v>17</v>
      </c>
      <c r="M647" s="94" t="s">
        <v>71</v>
      </c>
      <c r="N647" s="94" t="s">
        <v>72</v>
      </c>
      <c r="O647" s="259" t="str">
        <f t="shared" si="32"/>
        <v>B2 AP3 (3 to 5 yrs) / B3 PL1 (5 to 7 yrs)</v>
      </c>
      <c r="P647" s="260"/>
      <c r="Q647" s="260" t="str">
        <f t="shared" si="36"/>
        <v>IT/Others/TechnicalWriter/Senior</v>
      </c>
      <c r="R647" s="261" t="str">
        <f t="shared" si="34"/>
        <v>B2 AP3 (3 to 5 yrs) / B3 PL1 (5 to 7 yrs)</v>
      </c>
      <c r="S647" s="260" t="str">
        <f t="shared" si="35"/>
        <v>IT_41</v>
      </c>
      <c r="T647" s="262" t="b">
        <v>0</v>
      </c>
      <c r="U647" s="263" t="str">
        <f>+VLOOKUP($C647,[8]GRC!$B$3:$L$350,9,0)</f>
        <v>B2 AP3 (3 to 5 yrs)</v>
      </c>
      <c r="V647" s="263" t="str">
        <f>+VLOOKUP($C647,[8]GRC!$B$3:$L$350,10,0)</f>
        <v>B3 PL1 (5 to 7 yrs)</v>
      </c>
      <c r="W647" s="263" t="b">
        <f t="shared" si="33"/>
        <v>1</v>
      </c>
      <c r="X647" s="263" t="b">
        <f t="shared" si="33"/>
        <v>1</v>
      </c>
    </row>
    <row r="648" spans="1:24" ht="15">
      <c r="A648" s="93">
        <v>144</v>
      </c>
      <c r="B648" s="94" t="s">
        <v>493</v>
      </c>
      <c r="C648" s="295" t="s">
        <v>962</v>
      </c>
      <c r="D648" s="94" t="str">
        <f>+[7]GRC!D146</f>
        <v>IT</v>
      </c>
      <c r="E648" s="94" t="s">
        <v>97</v>
      </c>
      <c r="F648" s="94" t="s">
        <v>25</v>
      </c>
      <c r="G648" s="94" t="s">
        <v>332</v>
      </c>
      <c r="H648" s="94"/>
      <c r="I648" s="94"/>
      <c r="J648" s="94" t="s">
        <v>150</v>
      </c>
      <c r="K648" s="94" t="s">
        <v>20</v>
      </c>
      <c r="L648" s="94" t="s">
        <v>19</v>
      </c>
      <c r="M648" s="94" t="s">
        <v>71</v>
      </c>
      <c r="N648" s="94" t="s">
        <v>72</v>
      </c>
      <c r="O648" s="259" t="str">
        <f t="shared" si="32"/>
        <v>B2 AP1 / B2 AP2 (0.6 to 3 yrs)</v>
      </c>
      <c r="P648" s="260"/>
      <c r="Q648" s="260" t="str">
        <f t="shared" si="36"/>
        <v>IT/Others/TemplateDeveloper/</v>
      </c>
      <c r="R648" s="261" t="str">
        <f t="shared" si="34"/>
        <v>B2 AP1 / B2 AP2 (0.6 to 3 yrs)</v>
      </c>
      <c r="S648" s="260" t="str">
        <f t="shared" si="35"/>
        <v>IT_42</v>
      </c>
      <c r="T648" s="262" t="b">
        <v>0</v>
      </c>
      <c r="U648" s="263" t="str">
        <f>+VLOOKUP($C648,[8]GRC!$B$3:$L$350,9,0)</f>
        <v>B2 AP1</v>
      </c>
      <c r="V648" s="263" t="str">
        <f>+VLOOKUP($C648,[8]GRC!$B$3:$L$350,10,0)</f>
        <v>B2 AP2 (0.6 to 3 yrs)</v>
      </c>
      <c r="W648" s="263" t="b">
        <f t="shared" si="33"/>
        <v>1</v>
      </c>
      <c r="X648" s="263" t="b">
        <f t="shared" si="33"/>
        <v>1</v>
      </c>
    </row>
    <row r="649" spans="1:24" ht="15">
      <c r="A649" s="93">
        <v>145</v>
      </c>
      <c r="B649" s="94" t="s">
        <v>494</v>
      </c>
      <c r="C649" s="295" t="s">
        <v>963</v>
      </c>
      <c r="D649" s="94" t="str">
        <f>+[7]GRC!D147</f>
        <v>IT</v>
      </c>
      <c r="E649" s="94" t="s">
        <v>97</v>
      </c>
      <c r="F649" s="94" t="s">
        <v>130</v>
      </c>
      <c r="G649" s="94" t="s">
        <v>243</v>
      </c>
      <c r="H649" s="94"/>
      <c r="I649" s="94" t="s">
        <v>84</v>
      </c>
      <c r="J649" s="94" t="s">
        <v>150</v>
      </c>
      <c r="K649" s="94" t="s">
        <v>20</v>
      </c>
      <c r="L649" s="94" t="s">
        <v>19</v>
      </c>
      <c r="M649" s="94" t="s">
        <v>71</v>
      </c>
      <c r="N649" s="94" t="s">
        <v>72</v>
      </c>
      <c r="O649" s="259" t="str">
        <f t="shared" si="32"/>
        <v>B2 AP1 / B2 AP2 (0.6 to 3 yrs)</v>
      </c>
      <c r="P649" s="260"/>
      <c r="Q649" s="260" t="str">
        <f t="shared" si="36"/>
        <v>IT/TumbleWeed/DeveloperTumbleWeed/Junior</v>
      </c>
      <c r="R649" s="261" t="str">
        <f t="shared" si="34"/>
        <v>B2 AP1 / B2 AP2 (0.6 to 3 yrs)</v>
      </c>
      <c r="S649" s="260" t="str">
        <f t="shared" si="35"/>
        <v>IT_43</v>
      </c>
      <c r="T649" s="262" t="b">
        <v>0</v>
      </c>
      <c r="U649" s="263" t="str">
        <f>+VLOOKUP($C649,[8]GRC!$B$3:$L$350,9,0)</f>
        <v>B2 AP1</v>
      </c>
      <c r="V649" s="263" t="str">
        <f>+VLOOKUP($C649,[8]GRC!$B$3:$L$350,10,0)</f>
        <v>B2 AP2 (0.6 to 3 yrs)</v>
      </c>
      <c r="W649" s="263" t="b">
        <f t="shared" si="33"/>
        <v>1</v>
      </c>
      <c r="X649" s="263" t="b">
        <f t="shared" si="33"/>
        <v>1</v>
      </c>
    </row>
    <row r="650" spans="1:24" ht="15">
      <c r="A650" s="93">
        <v>146</v>
      </c>
      <c r="B650" s="94" t="s">
        <v>495</v>
      </c>
      <c r="C650" s="295" t="s">
        <v>964</v>
      </c>
      <c r="D650" s="94" t="str">
        <f>+[7]GRC!D148</f>
        <v>IT</v>
      </c>
      <c r="E650" s="94" t="s">
        <v>97</v>
      </c>
      <c r="F650" s="94" t="s">
        <v>130</v>
      </c>
      <c r="G650" s="94" t="s">
        <v>243</v>
      </c>
      <c r="H650" s="94"/>
      <c r="I650" s="94" t="s">
        <v>193</v>
      </c>
      <c r="J650" s="94" t="s">
        <v>151</v>
      </c>
      <c r="K650" s="94" t="s">
        <v>19</v>
      </c>
      <c r="L650" s="94" t="s">
        <v>18</v>
      </c>
      <c r="M650" s="94" t="s">
        <v>71</v>
      </c>
      <c r="N650" s="94" t="s">
        <v>72</v>
      </c>
      <c r="O650" s="259" t="str">
        <f t="shared" si="32"/>
        <v>B2 AP2 (0.6 to 3 yrs) / B2 AP3 (3 to 5 yrs)</v>
      </c>
      <c r="P650" s="260"/>
      <c r="Q650" s="260" t="str">
        <f t="shared" si="36"/>
        <v>IT/TumbleWeed/DeveloperTumbleWeed/MidLevel</v>
      </c>
      <c r="R650" s="261" t="str">
        <f t="shared" si="34"/>
        <v>B2 AP2 (0.6 to 3 yrs) / B2 AP3 (3 to 5 yrs)</v>
      </c>
      <c r="S650" s="260" t="str">
        <f t="shared" si="35"/>
        <v>IT_44</v>
      </c>
      <c r="T650" s="262" t="b">
        <v>0</v>
      </c>
      <c r="U650" s="263" t="str">
        <f>+VLOOKUP($C650,[8]GRC!$B$3:$L$350,9,0)</f>
        <v>B2 AP2 (0.6 to 3 yrs)</v>
      </c>
      <c r="V650" s="263" t="str">
        <f>+VLOOKUP($C650,[8]GRC!$B$3:$L$350,10,0)</f>
        <v>B2 AP3 (3 to 5 yrs)</v>
      </c>
      <c r="W650" s="263" t="b">
        <f t="shared" si="33"/>
        <v>1</v>
      </c>
      <c r="X650" s="263" t="b">
        <f t="shared" si="33"/>
        <v>1</v>
      </c>
    </row>
    <row r="651" spans="1:24" ht="15">
      <c r="A651" s="93">
        <v>147</v>
      </c>
      <c r="B651" s="94" t="s">
        <v>496</v>
      </c>
      <c r="C651" s="295" t="s">
        <v>965</v>
      </c>
      <c r="D651" s="94" t="str">
        <f>+[7]GRC!D149</f>
        <v>IT</v>
      </c>
      <c r="E651" s="94" t="s">
        <v>97</v>
      </c>
      <c r="F651" s="94" t="s">
        <v>130</v>
      </c>
      <c r="G651" s="94" t="s">
        <v>243</v>
      </c>
      <c r="H651" s="94"/>
      <c r="I651" s="94" t="s">
        <v>91</v>
      </c>
      <c r="J651" s="94" t="s">
        <v>145</v>
      </c>
      <c r="K651" s="94" t="s">
        <v>18</v>
      </c>
      <c r="L651" s="94" t="s">
        <v>17</v>
      </c>
      <c r="M651" s="94" t="s">
        <v>71</v>
      </c>
      <c r="N651" s="94" t="s">
        <v>72</v>
      </c>
      <c r="O651" s="259" t="str">
        <f t="shared" si="32"/>
        <v>B2 AP3 (3 to 5 yrs) / B3 PL1 (5 to 7 yrs)</v>
      </c>
      <c r="P651" s="260"/>
      <c r="Q651" s="260" t="str">
        <f t="shared" si="36"/>
        <v>IT/TumbleWeed/DeveloperTumbleWeed/Senior</v>
      </c>
      <c r="R651" s="261" t="str">
        <f t="shared" si="34"/>
        <v>B2 AP3 (3 to 5 yrs) / B3 PL1 (5 to 7 yrs)</v>
      </c>
      <c r="S651" s="260" t="str">
        <f t="shared" si="35"/>
        <v>IT_45</v>
      </c>
      <c r="T651" s="262" t="b">
        <v>0</v>
      </c>
      <c r="U651" s="263" t="str">
        <f>+VLOOKUP($C651,[8]GRC!$B$3:$L$350,9,0)</f>
        <v>B2 AP3 (3 to 5 yrs)</v>
      </c>
      <c r="V651" s="263" t="str">
        <f>+VLOOKUP($C651,[8]GRC!$B$3:$L$350,10,0)</f>
        <v>B3 PL1 (5 to 7 yrs)</v>
      </c>
      <c r="W651" s="263" t="b">
        <f t="shared" si="33"/>
        <v>1</v>
      </c>
      <c r="X651" s="263" t="b">
        <f t="shared" si="33"/>
        <v>1</v>
      </c>
    </row>
    <row r="652" spans="1:24" ht="15">
      <c r="A652" s="93">
        <v>148</v>
      </c>
      <c r="B652" s="94" t="s">
        <v>497</v>
      </c>
      <c r="C652" s="295" t="s">
        <v>966</v>
      </c>
      <c r="D652" s="94" t="str">
        <f>+[7]GRC!D150</f>
        <v>IT</v>
      </c>
      <c r="E652" s="94" t="s">
        <v>97</v>
      </c>
      <c r="F652" s="94" t="s">
        <v>122</v>
      </c>
      <c r="G652" s="94" t="s">
        <v>244</v>
      </c>
      <c r="H652" s="94"/>
      <c r="I652" s="94" t="s">
        <v>84</v>
      </c>
      <c r="J652" s="94" t="s">
        <v>150</v>
      </c>
      <c r="K652" s="94" t="s">
        <v>20</v>
      </c>
      <c r="L652" s="94" t="s">
        <v>19</v>
      </c>
      <c r="M652" s="94" t="s">
        <v>71</v>
      </c>
      <c r="N652" s="94" t="s">
        <v>72</v>
      </c>
      <c r="O652" s="259" t="str">
        <f t="shared" si="32"/>
        <v>B2 AP1 / B2 AP2 (0.6 to 3 yrs)</v>
      </c>
      <c r="P652" s="260"/>
      <c r="Q652" s="260" t="str">
        <f t="shared" si="36"/>
        <v>IT/Vermillion/DeveloperVermillion/Junior</v>
      </c>
      <c r="R652" s="261" t="str">
        <f t="shared" si="34"/>
        <v>B2 AP1 / B2 AP2 (0.6 to 3 yrs)</v>
      </c>
      <c r="S652" s="260" t="str">
        <f t="shared" si="35"/>
        <v>IT_46</v>
      </c>
      <c r="T652" s="262" t="b">
        <v>0</v>
      </c>
      <c r="U652" s="263" t="str">
        <f>+VLOOKUP($C652,[8]GRC!$B$3:$L$350,9,0)</f>
        <v>B2 AP1</v>
      </c>
      <c r="V652" s="263" t="str">
        <f>+VLOOKUP($C652,[8]GRC!$B$3:$L$350,10,0)</f>
        <v>B2 AP2 (0.6 to 3 yrs)</v>
      </c>
      <c r="W652" s="263" t="b">
        <f t="shared" si="33"/>
        <v>1</v>
      </c>
      <c r="X652" s="263" t="b">
        <f t="shared" si="33"/>
        <v>1</v>
      </c>
    </row>
    <row r="653" spans="1:24" ht="15">
      <c r="A653" s="93">
        <v>149</v>
      </c>
      <c r="B653" s="94" t="s">
        <v>498</v>
      </c>
      <c r="C653" s="295" t="s">
        <v>967</v>
      </c>
      <c r="D653" s="94" t="str">
        <f>+[7]GRC!D151</f>
        <v>IT</v>
      </c>
      <c r="E653" s="94" t="s">
        <v>97</v>
      </c>
      <c r="F653" s="94" t="s">
        <v>122</v>
      </c>
      <c r="G653" s="94" t="s">
        <v>244</v>
      </c>
      <c r="H653" s="94"/>
      <c r="I653" s="94" t="s">
        <v>193</v>
      </c>
      <c r="J653" s="94" t="s">
        <v>151</v>
      </c>
      <c r="K653" s="94" t="s">
        <v>19</v>
      </c>
      <c r="L653" s="94" t="s">
        <v>18</v>
      </c>
      <c r="M653" s="94" t="s">
        <v>71</v>
      </c>
      <c r="N653" s="94" t="s">
        <v>72</v>
      </c>
      <c r="O653" s="259" t="str">
        <f t="shared" si="32"/>
        <v>B2 AP2 (0.6 to 3 yrs) / B2 AP3 (3 to 5 yrs)</v>
      </c>
      <c r="P653" s="260"/>
      <c r="Q653" s="260" t="str">
        <f t="shared" si="36"/>
        <v>IT/Vermillion/DeveloperVermillion/MidLevel</v>
      </c>
      <c r="R653" s="261" t="str">
        <f t="shared" si="34"/>
        <v>B2 AP2 (0.6 to 3 yrs) / B2 AP3 (3 to 5 yrs)</v>
      </c>
      <c r="S653" s="260" t="str">
        <f t="shared" si="35"/>
        <v>IT_47</v>
      </c>
      <c r="T653" s="262" t="b">
        <v>0</v>
      </c>
      <c r="U653" s="263" t="str">
        <f>+VLOOKUP($C653,[8]GRC!$B$3:$L$350,9,0)</f>
        <v>B2 AP2 (0.6 to 3 yrs)</v>
      </c>
      <c r="V653" s="263" t="str">
        <f>+VLOOKUP($C653,[8]GRC!$B$3:$L$350,10,0)</f>
        <v>B2 AP3 (3 to 5 yrs)</v>
      </c>
      <c r="W653" s="263" t="b">
        <f t="shared" si="33"/>
        <v>1</v>
      </c>
      <c r="X653" s="263" t="b">
        <f t="shared" si="33"/>
        <v>1</v>
      </c>
    </row>
    <row r="654" spans="1:24" ht="15">
      <c r="A654" s="93">
        <v>150</v>
      </c>
      <c r="B654" s="94" t="s">
        <v>499</v>
      </c>
      <c r="C654" s="295" t="s">
        <v>968</v>
      </c>
      <c r="D654" s="94" t="str">
        <f>+[7]GRC!D152</f>
        <v>IT</v>
      </c>
      <c r="E654" s="94" t="s">
        <v>97</v>
      </c>
      <c r="F654" s="94" t="s">
        <v>122</v>
      </c>
      <c r="G654" s="94" t="s">
        <v>244</v>
      </c>
      <c r="H654" s="94"/>
      <c r="I654" s="94" t="s">
        <v>91</v>
      </c>
      <c r="J654" s="94" t="s">
        <v>145</v>
      </c>
      <c r="K654" s="94" t="s">
        <v>18</v>
      </c>
      <c r="L654" s="94" t="s">
        <v>17</v>
      </c>
      <c r="M654" s="94" t="s">
        <v>71</v>
      </c>
      <c r="N654" s="94" t="s">
        <v>72</v>
      </c>
      <c r="O654" s="259" t="str">
        <f t="shared" si="32"/>
        <v>B2 AP3 (3 to 5 yrs) / B3 PL1 (5 to 7 yrs)</v>
      </c>
      <c r="P654" s="260"/>
      <c r="Q654" s="260" t="str">
        <f t="shared" si="36"/>
        <v>IT/Vermillion/DeveloperVermillion/Senior</v>
      </c>
      <c r="R654" s="261" t="str">
        <f t="shared" si="34"/>
        <v>B2 AP3 (3 to 5 yrs) / B3 PL1 (5 to 7 yrs)</v>
      </c>
      <c r="S654" s="260" t="str">
        <f t="shared" si="35"/>
        <v>IT_48</v>
      </c>
      <c r="T654" s="262" t="b">
        <v>0</v>
      </c>
      <c r="U654" s="263" t="str">
        <f>+VLOOKUP($C654,[8]GRC!$B$3:$L$350,9,0)</f>
        <v>B2 AP3 (3 to 5 yrs)</v>
      </c>
      <c r="V654" s="263" t="str">
        <f>+VLOOKUP($C654,[8]GRC!$B$3:$L$350,10,0)</f>
        <v>B3 PL1 (5 to 7 yrs)</v>
      </c>
      <c r="W654" s="263" t="b">
        <f t="shared" si="33"/>
        <v>1</v>
      </c>
      <c r="X654" s="263" t="b">
        <f t="shared" si="33"/>
        <v>1</v>
      </c>
    </row>
    <row r="655" spans="1:24" ht="15">
      <c r="A655" s="93">
        <v>151</v>
      </c>
      <c r="B655" s="94" t="s">
        <v>500</v>
      </c>
      <c r="C655" s="295" t="s">
        <v>969</v>
      </c>
      <c r="D655" s="94" t="str">
        <f>+[7]GRC!D153</f>
        <v>IT</v>
      </c>
      <c r="E655" s="94" t="s">
        <v>97</v>
      </c>
      <c r="F655" s="94" t="s">
        <v>168</v>
      </c>
      <c r="G655" s="94" t="s">
        <v>245</v>
      </c>
      <c r="H655" s="94"/>
      <c r="I655" s="94" t="s">
        <v>84</v>
      </c>
      <c r="J655" s="94" t="s">
        <v>150</v>
      </c>
      <c r="K655" s="94" t="s">
        <v>20</v>
      </c>
      <c r="L655" s="94" t="s">
        <v>19</v>
      </c>
      <c r="M655" s="94" t="s">
        <v>71</v>
      </c>
      <c r="N655" s="94" t="s">
        <v>138</v>
      </c>
      <c r="O655" s="259" t="str">
        <f t="shared" si="32"/>
        <v>B2 AP1 / B2 AP2 (0.6 to 3 yrs)</v>
      </c>
      <c r="P655" s="260"/>
      <c r="Q655" s="260" t="str">
        <f t="shared" si="36"/>
        <v>IT/Amdocs/DeveloperAmdocs/Junior</v>
      </c>
      <c r="R655" s="261" t="str">
        <f t="shared" si="34"/>
        <v>B2 AP1 / B2 AP2 (0.6 to 3 yrs)</v>
      </c>
      <c r="S655" s="260" t="str">
        <f t="shared" si="35"/>
        <v>IT_49</v>
      </c>
      <c r="T655" s="262" t="b">
        <v>0</v>
      </c>
      <c r="U655" s="263" t="str">
        <f>+VLOOKUP($C655,[8]GRC!$B$3:$L$350,9,0)</f>
        <v>B2 AP1</v>
      </c>
      <c r="V655" s="263" t="str">
        <f>+VLOOKUP($C655,[8]GRC!$B$3:$L$350,10,0)</f>
        <v>B2 AP2 (0.6 to 3 yrs)</v>
      </c>
      <c r="W655" s="263" t="b">
        <f t="shared" si="33"/>
        <v>1</v>
      </c>
      <c r="X655" s="263" t="b">
        <f t="shared" si="33"/>
        <v>1</v>
      </c>
    </row>
    <row r="656" spans="1:24" ht="15">
      <c r="A656" s="93">
        <v>152</v>
      </c>
      <c r="B656" s="94" t="s">
        <v>501</v>
      </c>
      <c r="C656" s="295" t="s">
        <v>970</v>
      </c>
      <c r="D656" s="94" t="str">
        <f>+[7]GRC!D154</f>
        <v>IT</v>
      </c>
      <c r="E656" s="94" t="s">
        <v>97</v>
      </c>
      <c r="F656" s="94" t="s">
        <v>168</v>
      </c>
      <c r="G656" s="94" t="s">
        <v>245</v>
      </c>
      <c r="H656" s="94"/>
      <c r="I656" s="94" t="s">
        <v>193</v>
      </c>
      <c r="J656" s="94" t="s">
        <v>151</v>
      </c>
      <c r="K656" s="94" t="s">
        <v>19</v>
      </c>
      <c r="L656" s="94" t="s">
        <v>18</v>
      </c>
      <c r="M656" s="94" t="s">
        <v>71</v>
      </c>
      <c r="N656" s="94" t="s">
        <v>138</v>
      </c>
      <c r="O656" s="259" t="str">
        <f t="shared" si="32"/>
        <v>B2 AP2 (0.6 to 3 yrs) / B2 AP3 (3 to 5 yrs)</v>
      </c>
      <c r="P656" s="260"/>
      <c r="Q656" s="260" t="str">
        <f t="shared" si="36"/>
        <v>IT/Amdocs/DeveloperAmdocs/MidLevel</v>
      </c>
      <c r="R656" s="261" t="str">
        <f t="shared" si="34"/>
        <v>B2 AP2 (0.6 to 3 yrs) / B2 AP3 (3 to 5 yrs)</v>
      </c>
      <c r="S656" s="260" t="str">
        <f t="shared" si="35"/>
        <v>IT_50</v>
      </c>
      <c r="T656" s="262" t="b">
        <v>0</v>
      </c>
      <c r="U656" s="263" t="str">
        <f>+VLOOKUP($C656,[8]GRC!$B$3:$L$350,9,0)</f>
        <v>B2 AP2 (0.6 to 3 yrs)</v>
      </c>
      <c r="V656" s="263" t="str">
        <f>+VLOOKUP($C656,[8]GRC!$B$3:$L$350,10,0)</f>
        <v>B2 AP3 (3 to 5 yrs)</v>
      </c>
      <c r="W656" s="263" t="b">
        <f t="shared" si="33"/>
        <v>1</v>
      </c>
      <c r="X656" s="263" t="b">
        <f t="shared" si="33"/>
        <v>1</v>
      </c>
    </row>
    <row r="657" spans="1:24" ht="15">
      <c r="A657" s="93">
        <v>153</v>
      </c>
      <c r="B657" s="94" t="s">
        <v>502</v>
      </c>
      <c r="C657" s="295" t="s">
        <v>971</v>
      </c>
      <c r="D657" s="94" t="str">
        <f>+[7]GRC!D155</f>
        <v>IT</v>
      </c>
      <c r="E657" s="94" t="s">
        <v>97</v>
      </c>
      <c r="F657" s="94" t="s">
        <v>168</v>
      </c>
      <c r="G657" s="94" t="s">
        <v>245</v>
      </c>
      <c r="H657" s="94"/>
      <c r="I657" s="94" t="s">
        <v>91</v>
      </c>
      <c r="J657" s="94" t="s">
        <v>145</v>
      </c>
      <c r="K657" s="94" t="s">
        <v>18</v>
      </c>
      <c r="L657" s="94" t="s">
        <v>17</v>
      </c>
      <c r="M657" s="94" t="s">
        <v>71</v>
      </c>
      <c r="N657" s="94" t="s">
        <v>138</v>
      </c>
      <c r="O657" s="259" t="str">
        <f t="shared" si="32"/>
        <v>B2 AP3 (3 to 5 yrs) / B3 PL1 (5 to 7 yrs)</v>
      </c>
      <c r="P657" s="260"/>
      <c r="Q657" s="260" t="str">
        <f t="shared" si="36"/>
        <v>IT/Amdocs/DeveloperAmdocs/Senior</v>
      </c>
      <c r="R657" s="261" t="str">
        <f t="shared" si="34"/>
        <v>B2 AP3 (3 to 5 yrs) / B3 PL1 (5 to 7 yrs)</v>
      </c>
      <c r="S657" s="260" t="str">
        <f t="shared" si="35"/>
        <v>IT_51</v>
      </c>
      <c r="T657" s="262" t="b">
        <v>0</v>
      </c>
      <c r="U657" s="263" t="str">
        <f>+VLOOKUP($C657,[8]GRC!$B$3:$L$350,9,0)</f>
        <v>B2 AP3 (3 to 5 yrs)</v>
      </c>
      <c r="V657" s="263" t="str">
        <f>+VLOOKUP($C657,[8]GRC!$B$3:$L$350,10,0)</f>
        <v>B3 PL1 (5 to 7 yrs)</v>
      </c>
      <c r="W657" s="263" t="b">
        <f t="shared" si="33"/>
        <v>1</v>
      </c>
      <c r="X657" s="263" t="b">
        <f t="shared" si="33"/>
        <v>1</v>
      </c>
    </row>
    <row r="658" spans="1:24" ht="15">
      <c r="A658" s="93">
        <v>154</v>
      </c>
      <c r="B658" s="94" t="s">
        <v>503</v>
      </c>
      <c r="C658" s="295" t="s">
        <v>972</v>
      </c>
      <c r="D658" s="94" t="str">
        <f>+[7]GRC!D156</f>
        <v>IT</v>
      </c>
      <c r="E658" s="94" t="s">
        <v>97</v>
      </c>
      <c r="F658" s="94" t="s">
        <v>168</v>
      </c>
      <c r="G658" s="94" t="s">
        <v>246</v>
      </c>
      <c r="H658" s="94"/>
      <c r="I658" s="94" t="s">
        <v>84</v>
      </c>
      <c r="J658" s="94" t="s">
        <v>184</v>
      </c>
      <c r="K658" s="94" t="s">
        <v>15</v>
      </c>
      <c r="L658" s="94" t="s">
        <v>14</v>
      </c>
      <c r="M658" s="94" t="s">
        <v>71</v>
      </c>
      <c r="N658" s="94" t="s">
        <v>138</v>
      </c>
      <c r="O658" s="259" t="str">
        <f t="shared" si="32"/>
        <v>B3 PL3 (7 to 10 yrs) / B4 PM1 (9 to 12 yrs)</v>
      </c>
      <c r="P658" s="260"/>
      <c r="Q658" s="260" t="str">
        <f t="shared" si="36"/>
        <v>IT/Amdocs/ProjectManagerAmdocs/Junior</v>
      </c>
      <c r="R658" s="261" t="str">
        <f t="shared" si="34"/>
        <v>B3 PL3 (7 to 10 yrs) / B4 PM1 (9 to 12 yrs)</v>
      </c>
      <c r="S658" s="260" t="str">
        <f t="shared" si="35"/>
        <v>IT_79</v>
      </c>
      <c r="T658" s="262" t="b">
        <v>0</v>
      </c>
      <c r="U658" s="263" t="str">
        <f>+VLOOKUP($C658,[8]GRC!$B$3:$L$350,9,0)</f>
        <v>B3 PL3 (7 to 10 yrs)</v>
      </c>
      <c r="V658" s="263" t="str">
        <f>+VLOOKUP($C658,[8]GRC!$B$3:$L$350,10,0)</f>
        <v>B4 PM1 (9 to 12 yrs)</v>
      </c>
      <c r="W658" s="263" t="b">
        <f t="shared" si="33"/>
        <v>1</v>
      </c>
      <c r="X658" s="263" t="b">
        <f t="shared" si="33"/>
        <v>1</v>
      </c>
    </row>
    <row r="659" spans="1:24" ht="15">
      <c r="A659" s="93">
        <v>155</v>
      </c>
      <c r="B659" s="94" t="s">
        <v>504</v>
      </c>
      <c r="C659" s="295" t="s">
        <v>973</v>
      </c>
      <c r="D659" s="94" t="str">
        <f>+[7]GRC!D157</f>
        <v>IT</v>
      </c>
      <c r="E659" s="94" t="s">
        <v>97</v>
      </c>
      <c r="F659" s="94" t="s">
        <v>168</v>
      </c>
      <c r="G659" s="94" t="s">
        <v>246</v>
      </c>
      <c r="H659" s="94"/>
      <c r="I659" s="94" t="s">
        <v>193</v>
      </c>
      <c r="J659" s="94" t="s">
        <v>185</v>
      </c>
      <c r="K659" s="94" t="s">
        <v>14</v>
      </c>
      <c r="L659" s="94" t="s">
        <v>42</v>
      </c>
      <c r="M659" s="94" t="s">
        <v>71</v>
      </c>
      <c r="N659" s="94" t="s">
        <v>138</v>
      </c>
      <c r="O659" s="259" t="str">
        <f t="shared" si="32"/>
        <v>B4 PM1 (9 to 12 yrs) / B4 PM2 (10 to 14 yrs)</v>
      </c>
      <c r="P659" s="260"/>
      <c r="Q659" s="260" t="str">
        <f t="shared" si="36"/>
        <v>IT/Amdocs/ProjectManagerAmdocs/MidLevel</v>
      </c>
      <c r="R659" s="261" t="str">
        <f t="shared" si="34"/>
        <v>B4 PM1 (9 to 12 yrs) / B4 PM2 (10 to 14 yrs)</v>
      </c>
      <c r="S659" s="260" t="str">
        <f t="shared" si="35"/>
        <v>IT_80</v>
      </c>
      <c r="T659" s="262" t="b">
        <v>0</v>
      </c>
      <c r="U659" s="263" t="str">
        <f>+VLOOKUP($C659,[8]GRC!$B$3:$L$350,9,0)</f>
        <v>B4 PM1 (9 to 12 yrs)</v>
      </c>
      <c r="V659" s="263" t="str">
        <f>+VLOOKUP($C659,[8]GRC!$B$3:$L$350,10,0)</f>
        <v>B4 PM2 (10 to 14 yrs)</v>
      </c>
      <c r="W659" s="263" t="b">
        <f t="shared" si="33"/>
        <v>1</v>
      </c>
      <c r="X659" s="263" t="b">
        <f t="shared" si="33"/>
        <v>1</v>
      </c>
    </row>
    <row r="660" spans="1:24" ht="15">
      <c r="A660" s="93">
        <v>156</v>
      </c>
      <c r="B660" s="94" t="s">
        <v>505</v>
      </c>
      <c r="C660" s="295" t="s">
        <v>974</v>
      </c>
      <c r="D660" s="94" t="str">
        <f>+[7]GRC!D158</f>
        <v>IT</v>
      </c>
      <c r="E660" s="94" t="s">
        <v>97</v>
      </c>
      <c r="F660" s="94" t="s">
        <v>168</v>
      </c>
      <c r="G660" s="94" t="s">
        <v>246</v>
      </c>
      <c r="H660" s="94"/>
      <c r="I660" s="94" t="s">
        <v>91</v>
      </c>
      <c r="J660" s="94" t="s">
        <v>149</v>
      </c>
      <c r="K660" s="94" t="s">
        <v>42</v>
      </c>
      <c r="L660" s="94" t="s">
        <v>41</v>
      </c>
      <c r="M660" s="94" t="s">
        <v>71</v>
      </c>
      <c r="N660" s="94" t="s">
        <v>138</v>
      </c>
      <c r="O660" s="259" t="str">
        <f t="shared" si="32"/>
        <v>B4 PM2 (10 to 14 yrs) / B4 PM3 (12 to 15 yrs)</v>
      </c>
      <c r="P660" s="260"/>
      <c r="Q660" s="260" t="str">
        <f t="shared" si="36"/>
        <v>IT/Amdocs/ProjectManagerAmdocs/Senior</v>
      </c>
      <c r="R660" s="261" t="str">
        <f t="shared" si="34"/>
        <v>B4 PM2 (10 to 14 yrs) / B4 PM3 (12 to 15 yrs)</v>
      </c>
      <c r="S660" s="260" t="str">
        <f t="shared" si="35"/>
        <v>IT_81</v>
      </c>
      <c r="T660" s="262" t="b">
        <v>0</v>
      </c>
      <c r="U660" s="263" t="str">
        <f>+VLOOKUP($C660,[8]GRC!$B$3:$L$350,9,0)</f>
        <v>B4 PM2 (10 to 14 yrs)</v>
      </c>
      <c r="V660" s="263" t="str">
        <f>+VLOOKUP($C660,[8]GRC!$B$3:$L$350,10,0)</f>
        <v>B4 PM3 (12 to 15 yrs)</v>
      </c>
      <c r="W660" s="263" t="b">
        <f t="shared" si="33"/>
        <v>1</v>
      </c>
      <c r="X660" s="263" t="b">
        <f t="shared" si="33"/>
        <v>1</v>
      </c>
    </row>
    <row r="661" spans="1:24" ht="15">
      <c r="A661" s="93">
        <v>157</v>
      </c>
      <c r="B661" s="94" t="s">
        <v>506</v>
      </c>
      <c r="C661" s="295" t="s">
        <v>975</v>
      </c>
      <c r="D661" s="94" t="str">
        <f>+[7]GRC!D159</f>
        <v>IT</v>
      </c>
      <c r="E661" s="94" t="s">
        <v>97</v>
      </c>
      <c r="F661" s="94" t="s">
        <v>247</v>
      </c>
      <c r="G661" s="94" t="s">
        <v>248</v>
      </c>
      <c r="H661" s="94"/>
      <c r="I661" s="94" t="s">
        <v>84</v>
      </c>
      <c r="J661" s="94" t="s">
        <v>145</v>
      </c>
      <c r="K661" s="94" t="s">
        <v>17</v>
      </c>
      <c r="L661" s="94" t="s">
        <v>16</v>
      </c>
      <c r="M661" s="94" t="s">
        <v>71</v>
      </c>
      <c r="N661" s="94" t="s">
        <v>72</v>
      </c>
      <c r="O661" s="259" t="str">
        <f t="shared" si="32"/>
        <v>B3 PL1 (5 to 7 yrs) / B3 PL2 (6 to 8 yrs)</v>
      </c>
      <c r="P661" s="260"/>
      <c r="Q661" s="260" t="str">
        <f t="shared" si="36"/>
        <v>IT/JavaNetColdFusionIT/TechnicalLeadJavaNetColdFusion/Junior</v>
      </c>
      <c r="R661" s="261" t="str">
        <f t="shared" si="34"/>
        <v>B3 PL1 (5 to 7 yrs) / B3 PL2 (6 to 8 yrs)</v>
      </c>
      <c r="S661" s="260" t="str">
        <f t="shared" si="35"/>
        <v>IT_82</v>
      </c>
      <c r="T661" s="262" t="b">
        <v>0</v>
      </c>
      <c r="U661" s="263" t="str">
        <f>+VLOOKUP($C661,[8]GRC!$B$3:$L$350,9,0)</f>
        <v>B3 PL1 (5 to 7 yrs)</v>
      </c>
      <c r="V661" s="263" t="str">
        <f>+VLOOKUP($C661,[8]GRC!$B$3:$L$350,10,0)</f>
        <v>B3 PL2 (6 to 8 yrs)</v>
      </c>
      <c r="W661" s="263" t="b">
        <f t="shared" si="33"/>
        <v>1</v>
      </c>
      <c r="X661" s="263" t="b">
        <f t="shared" si="33"/>
        <v>1</v>
      </c>
    </row>
    <row r="662" spans="1:24" ht="15">
      <c r="A662" s="95">
        <v>158</v>
      </c>
      <c r="B662" s="96" t="s">
        <v>507</v>
      </c>
      <c r="C662" s="295" t="s">
        <v>976</v>
      </c>
      <c r="D662" s="94" t="str">
        <f>+[7]GRC!D160</f>
        <v>IT</v>
      </c>
      <c r="E662" s="94" t="s">
        <v>97</v>
      </c>
      <c r="F662" s="94" t="s">
        <v>247</v>
      </c>
      <c r="G662" s="94" t="s">
        <v>248</v>
      </c>
      <c r="H662" s="94"/>
      <c r="I662" s="94" t="s">
        <v>91</v>
      </c>
      <c r="J662" s="94" t="s">
        <v>147</v>
      </c>
      <c r="K662" s="94" t="s">
        <v>15</v>
      </c>
      <c r="L662" s="94" t="s">
        <v>71</v>
      </c>
      <c r="M662" s="94" t="s">
        <v>71</v>
      </c>
      <c r="N662" s="94" t="s">
        <v>72</v>
      </c>
      <c r="O662" s="259" t="str">
        <f t="shared" si="32"/>
        <v>B3 PL3 (7 to 10 yrs) / None</v>
      </c>
      <c r="P662" s="260"/>
      <c r="Q662" s="260" t="str">
        <f t="shared" si="36"/>
        <v>IT/JavaNetColdFusionIT/TechnicalLeadJavaNetColdFusion/Senior</v>
      </c>
      <c r="R662" s="261" t="str">
        <f t="shared" si="34"/>
        <v>B3 PL3 (7 to 10 yrs) / None</v>
      </c>
      <c r="S662" s="260" t="str">
        <f t="shared" si="35"/>
        <v>IT_83</v>
      </c>
      <c r="T662" s="262" t="b">
        <v>0</v>
      </c>
      <c r="U662" s="263" t="str">
        <f>+VLOOKUP($C662,[8]GRC!$B$3:$L$350,9,0)</f>
        <v>B3 PL3 (7 to 10 yrs)</v>
      </c>
      <c r="V662" s="263" t="str">
        <f>+VLOOKUP($C662,[8]GRC!$B$3:$L$350,10,0)</f>
        <v>None</v>
      </c>
      <c r="W662" s="263" t="b">
        <f t="shared" si="33"/>
        <v>1</v>
      </c>
      <c r="X662" s="263" t="b">
        <f t="shared" si="33"/>
        <v>1</v>
      </c>
    </row>
    <row r="663" spans="1:24" ht="15">
      <c r="A663" s="93">
        <v>159</v>
      </c>
      <c r="B663" s="94" t="s">
        <v>508</v>
      </c>
      <c r="C663" s="295" t="s">
        <v>977</v>
      </c>
      <c r="D663" s="94" t="str">
        <f>+[7]GRC!D161</f>
        <v>IT</v>
      </c>
      <c r="E663" s="94" t="s">
        <v>97</v>
      </c>
      <c r="F663" s="94" t="s">
        <v>127</v>
      </c>
      <c r="G663" s="94" t="s">
        <v>249</v>
      </c>
      <c r="H663" s="94"/>
      <c r="I663" s="94" t="s">
        <v>84</v>
      </c>
      <c r="J663" s="94" t="s">
        <v>150</v>
      </c>
      <c r="K663" s="94" t="s">
        <v>20</v>
      </c>
      <c r="L663" s="94" t="s">
        <v>19</v>
      </c>
      <c r="M663" s="94" t="s">
        <v>71</v>
      </c>
      <c r="N663" s="94" t="s">
        <v>138</v>
      </c>
      <c r="O663" s="259" t="str">
        <f t="shared" si="32"/>
        <v>B2 AP1 / B2 AP2 (0.6 to 3 yrs)</v>
      </c>
      <c r="P663" s="260"/>
      <c r="Q663" s="260" t="str">
        <f t="shared" si="36"/>
        <v>IT/Remedy/DeveloperRemedy/Junior</v>
      </c>
      <c r="R663" s="261" t="str">
        <f t="shared" si="34"/>
        <v>B2 AP1 / B2 AP2 (0.6 to 3 yrs)</v>
      </c>
      <c r="S663" s="260" t="str">
        <f t="shared" si="35"/>
        <v>IT_54</v>
      </c>
      <c r="T663" s="262" t="b">
        <v>0</v>
      </c>
      <c r="U663" s="263" t="str">
        <f>+VLOOKUP($C663,[8]GRC!$B$3:$L$350,9,0)</f>
        <v>B2 AP1</v>
      </c>
      <c r="V663" s="263" t="str">
        <f>+VLOOKUP($C663,[8]GRC!$B$3:$L$350,10,0)</f>
        <v>B2 AP2 (0.6 to 3 yrs)</v>
      </c>
      <c r="W663" s="263" t="b">
        <f t="shared" si="33"/>
        <v>1</v>
      </c>
      <c r="X663" s="263" t="b">
        <f t="shared" si="33"/>
        <v>1</v>
      </c>
    </row>
    <row r="664" spans="1:24" ht="15">
      <c r="A664" s="93">
        <v>160</v>
      </c>
      <c r="B664" s="94" t="s">
        <v>509</v>
      </c>
      <c r="C664" s="295" t="s">
        <v>978</v>
      </c>
      <c r="D664" s="94" t="str">
        <f>+[7]GRC!D162</f>
        <v>IT</v>
      </c>
      <c r="E664" s="94" t="s">
        <v>97</v>
      </c>
      <c r="F664" s="94" t="s">
        <v>127</v>
      </c>
      <c r="G664" s="94" t="s">
        <v>249</v>
      </c>
      <c r="H664" s="94"/>
      <c r="I664" s="94" t="s">
        <v>193</v>
      </c>
      <c r="J664" s="94" t="s">
        <v>151</v>
      </c>
      <c r="K664" s="94" t="s">
        <v>19</v>
      </c>
      <c r="L664" s="94" t="s">
        <v>18</v>
      </c>
      <c r="M664" s="94" t="s">
        <v>71</v>
      </c>
      <c r="N664" s="94" t="s">
        <v>138</v>
      </c>
      <c r="O664" s="259" t="str">
        <f t="shared" si="32"/>
        <v>B2 AP2 (0.6 to 3 yrs) / B2 AP3 (3 to 5 yrs)</v>
      </c>
      <c r="P664" s="260"/>
      <c r="Q664" s="260" t="str">
        <f t="shared" si="36"/>
        <v>IT/Remedy/DeveloperRemedy/MidLevel</v>
      </c>
      <c r="R664" s="261" t="str">
        <f t="shared" si="34"/>
        <v>B2 AP2 (0.6 to 3 yrs) / B2 AP3 (3 to 5 yrs)</v>
      </c>
      <c r="S664" s="260" t="str">
        <f t="shared" si="35"/>
        <v>IT_55</v>
      </c>
      <c r="T664" s="262" t="b">
        <v>0</v>
      </c>
      <c r="U664" s="263" t="str">
        <f>+VLOOKUP($C664,[8]GRC!$B$3:$L$350,9,0)</f>
        <v>B2 AP2 (0.6 to 3 yrs)</v>
      </c>
      <c r="V664" s="263" t="str">
        <f>+VLOOKUP($C664,[8]GRC!$B$3:$L$350,10,0)</f>
        <v>B2 AP3 (3 to 5 yrs)</v>
      </c>
      <c r="W664" s="263" t="b">
        <f t="shared" si="33"/>
        <v>1</v>
      </c>
      <c r="X664" s="263" t="b">
        <f t="shared" si="33"/>
        <v>1</v>
      </c>
    </row>
    <row r="665" spans="1:24" ht="15">
      <c r="A665" s="93">
        <v>161</v>
      </c>
      <c r="B665" s="94" t="s">
        <v>510</v>
      </c>
      <c r="C665" s="295" t="s">
        <v>979</v>
      </c>
      <c r="D665" s="94" t="str">
        <f>+[7]GRC!D163</f>
        <v>IT</v>
      </c>
      <c r="E665" s="94" t="s">
        <v>97</v>
      </c>
      <c r="F665" s="94" t="s">
        <v>127</v>
      </c>
      <c r="G665" s="94" t="s">
        <v>249</v>
      </c>
      <c r="H665" s="94"/>
      <c r="I665" s="94" t="s">
        <v>91</v>
      </c>
      <c r="J665" s="94" t="s">
        <v>145</v>
      </c>
      <c r="K665" s="94" t="s">
        <v>18</v>
      </c>
      <c r="L665" s="94" t="s">
        <v>17</v>
      </c>
      <c r="M665" s="94" t="s">
        <v>71</v>
      </c>
      <c r="N665" s="94" t="s">
        <v>138</v>
      </c>
      <c r="O665" s="259" t="str">
        <f t="shared" si="32"/>
        <v>B2 AP3 (3 to 5 yrs) / B3 PL1 (5 to 7 yrs)</v>
      </c>
      <c r="P665" s="260"/>
      <c r="Q665" s="260" t="str">
        <f t="shared" si="36"/>
        <v>IT/Remedy/DeveloperRemedy/Senior</v>
      </c>
      <c r="R665" s="261" t="str">
        <f t="shared" si="34"/>
        <v>B2 AP3 (3 to 5 yrs) / B3 PL1 (5 to 7 yrs)</v>
      </c>
      <c r="S665" s="260" t="str">
        <f t="shared" si="35"/>
        <v>IT_56</v>
      </c>
      <c r="T665" s="262" t="b">
        <v>0</v>
      </c>
      <c r="U665" s="263" t="str">
        <f>+VLOOKUP($C665,[8]GRC!$B$3:$L$350,9,0)</f>
        <v>B2 AP3 (3 to 5 yrs)</v>
      </c>
      <c r="V665" s="263" t="str">
        <f>+VLOOKUP($C665,[8]GRC!$B$3:$L$350,10,0)</f>
        <v>B3 PL1 (5 to 7 yrs)</v>
      </c>
      <c r="W665" s="263" t="b">
        <f t="shared" si="33"/>
        <v>1</v>
      </c>
      <c r="X665" s="263" t="b">
        <f t="shared" si="33"/>
        <v>1</v>
      </c>
    </row>
    <row r="666" spans="1:24" ht="15">
      <c r="A666" s="93">
        <v>162</v>
      </c>
      <c r="B666" s="94" t="s">
        <v>511</v>
      </c>
      <c r="C666" s="295" t="s">
        <v>980</v>
      </c>
      <c r="D666" s="94" t="str">
        <f>+[7]GRC!D164</f>
        <v>IT</v>
      </c>
      <c r="E666" s="94" t="s">
        <v>97</v>
      </c>
      <c r="F666" s="94" t="s">
        <v>169</v>
      </c>
      <c r="G666" s="94" t="s">
        <v>250</v>
      </c>
      <c r="H666" s="94"/>
      <c r="I666" s="94" t="s">
        <v>84</v>
      </c>
      <c r="J666" s="94" t="s">
        <v>150</v>
      </c>
      <c r="K666" s="94" t="s">
        <v>20</v>
      </c>
      <c r="L666" s="94" t="s">
        <v>19</v>
      </c>
      <c r="M666" s="94" t="s">
        <v>71</v>
      </c>
      <c r="N666" s="94" t="s">
        <v>72</v>
      </c>
      <c r="O666" s="259" t="str">
        <f t="shared" si="32"/>
        <v>B2 AP1 / B2 AP2 (0.6 to 3 yrs)</v>
      </c>
      <c r="P666" s="260"/>
      <c r="Q666" s="260" t="str">
        <f t="shared" si="36"/>
        <v>IT/SQL/DeveloperSQL/Junior</v>
      </c>
      <c r="R666" s="261" t="str">
        <f t="shared" si="34"/>
        <v>B2 AP1 / B2 AP2 (0.6 to 3 yrs)</v>
      </c>
      <c r="S666" s="260" t="str">
        <f t="shared" si="35"/>
        <v>IT_64</v>
      </c>
      <c r="T666" s="262" t="b">
        <v>0</v>
      </c>
      <c r="U666" s="263" t="str">
        <f>+VLOOKUP($C666,[8]GRC!$B$3:$L$350,9,0)</f>
        <v>B2 AP1</v>
      </c>
      <c r="V666" s="263" t="str">
        <f>+VLOOKUP($C666,[8]GRC!$B$3:$L$350,10,0)</f>
        <v>B2 AP2 (0.6 to 3 yrs)</v>
      </c>
      <c r="W666" s="263" t="b">
        <f t="shared" si="33"/>
        <v>1</v>
      </c>
      <c r="X666" s="263" t="b">
        <f t="shared" si="33"/>
        <v>1</v>
      </c>
    </row>
    <row r="667" spans="1:24" ht="15">
      <c r="A667" s="93">
        <v>163</v>
      </c>
      <c r="B667" s="94" t="s">
        <v>512</v>
      </c>
      <c r="C667" s="295" t="s">
        <v>981</v>
      </c>
      <c r="D667" s="94" t="str">
        <f>+[7]GRC!D165</f>
        <v>IT</v>
      </c>
      <c r="E667" s="94" t="s">
        <v>97</v>
      </c>
      <c r="F667" s="94" t="s">
        <v>169</v>
      </c>
      <c r="G667" s="94" t="s">
        <v>250</v>
      </c>
      <c r="H667" s="94"/>
      <c r="I667" s="94" t="s">
        <v>193</v>
      </c>
      <c r="J667" s="94" t="s">
        <v>151</v>
      </c>
      <c r="K667" s="94" t="s">
        <v>19</v>
      </c>
      <c r="L667" s="94" t="s">
        <v>18</v>
      </c>
      <c r="M667" s="94" t="s">
        <v>71</v>
      </c>
      <c r="N667" s="94" t="s">
        <v>72</v>
      </c>
      <c r="O667" s="259" t="str">
        <f t="shared" si="32"/>
        <v>B2 AP2 (0.6 to 3 yrs) / B2 AP3 (3 to 5 yrs)</v>
      </c>
      <c r="P667" s="260"/>
      <c r="Q667" s="260" t="str">
        <f t="shared" si="36"/>
        <v>IT/SQL/DeveloperSQL/MidLevel</v>
      </c>
      <c r="R667" s="261" t="str">
        <f t="shared" si="34"/>
        <v>B2 AP2 (0.6 to 3 yrs) / B2 AP3 (3 to 5 yrs)</v>
      </c>
      <c r="S667" s="260" t="str">
        <f t="shared" si="35"/>
        <v>IT_65</v>
      </c>
      <c r="T667" s="262" t="b">
        <v>0</v>
      </c>
      <c r="U667" s="263" t="str">
        <f>+VLOOKUP($C667,[8]GRC!$B$3:$L$350,9,0)</f>
        <v>B2 AP2 (0.6 to 3 yrs)</v>
      </c>
      <c r="V667" s="263" t="str">
        <f>+VLOOKUP($C667,[8]GRC!$B$3:$L$350,10,0)</f>
        <v>B2 AP3 (3 to 5 yrs)</v>
      </c>
      <c r="W667" s="263" t="b">
        <f t="shared" si="33"/>
        <v>1</v>
      </c>
      <c r="X667" s="263" t="b">
        <f t="shared" si="33"/>
        <v>1</v>
      </c>
    </row>
    <row r="668" spans="1:24" ht="15">
      <c r="A668" s="93">
        <v>164</v>
      </c>
      <c r="B668" s="94" t="s">
        <v>513</v>
      </c>
      <c r="C668" s="295" t="s">
        <v>982</v>
      </c>
      <c r="D668" s="94" t="str">
        <f>+[7]GRC!D166</f>
        <v>IT</v>
      </c>
      <c r="E668" s="94" t="s">
        <v>97</v>
      </c>
      <c r="F668" s="94" t="s">
        <v>169</v>
      </c>
      <c r="G668" s="94" t="s">
        <v>250</v>
      </c>
      <c r="H668" s="94"/>
      <c r="I668" s="94" t="s">
        <v>91</v>
      </c>
      <c r="J668" s="94" t="s">
        <v>145</v>
      </c>
      <c r="K668" s="94" t="s">
        <v>18</v>
      </c>
      <c r="L668" s="94" t="s">
        <v>17</v>
      </c>
      <c r="M668" s="94" t="s">
        <v>71</v>
      </c>
      <c r="N668" s="94" t="s">
        <v>72</v>
      </c>
      <c r="O668" s="259" t="str">
        <f t="shared" si="32"/>
        <v>B2 AP3 (3 to 5 yrs) / B3 PL1 (5 to 7 yrs)</v>
      </c>
      <c r="P668" s="260"/>
      <c r="Q668" s="260" t="str">
        <f t="shared" si="36"/>
        <v>IT/SQL/DeveloperSQL/Senior</v>
      </c>
      <c r="R668" s="261" t="str">
        <f t="shared" si="34"/>
        <v>B2 AP3 (3 to 5 yrs) / B3 PL1 (5 to 7 yrs)</v>
      </c>
      <c r="S668" s="260" t="str">
        <f t="shared" si="35"/>
        <v>IT_66</v>
      </c>
      <c r="T668" s="262" t="b">
        <v>0</v>
      </c>
      <c r="U668" s="263" t="str">
        <f>+VLOOKUP($C668,[8]GRC!$B$3:$L$350,9,0)</f>
        <v>B2 AP3 (3 to 5 yrs)</v>
      </c>
      <c r="V668" s="263" t="str">
        <f>+VLOOKUP($C668,[8]GRC!$B$3:$L$350,10,0)</f>
        <v>B3 PL1 (5 to 7 yrs)</v>
      </c>
      <c r="W668" s="263" t="b">
        <f t="shared" si="33"/>
        <v>1</v>
      </c>
      <c r="X668" s="263" t="b">
        <f t="shared" si="33"/>
        <v>1</v>
      </c>
    </row>
    <row r="669" spans="1:24" ht="15">
      <c r="A669" s="93">
        <v>165</v>
      </c>
      <c r="B669" s="94" t="s">
        <v>514</v>
      </c>
      <c r="C669" s="295" t="s">
        <v>983</v>
      </c>
      <c r="D669" s="94" t="str">
        <f>+[7]GRC!D167</f>
        <v>IT</v>
      </c>
      <c r="E669" s="94" t="s">
        <v>97</v>
      </c>
      <c r="F669" s="94" t="s">
        <v>251</v>
      </c>
      <c r="G669" s="94" t="s">
        <v>252</v>
      </c>
      <c r="H669" s="94"/>
      <c r="I669" s="94" t="s">
        <v>84</v>
      </c>
      <c r="J669" s="94" t="s">
        <v>150</v>
      </c>
      <c r="K669" s="94" t="s">
        <v>20</v>
      </c>
      <c r="L669" s="94" t="s">
        <v>19</v>
      </c>
      <c r="M669" s="94" t="s">
        <v>71</v>
      </c>
      <c r="N669" s="94" t="s">
        <v>138</v>
      </c>
      <c r="O669" s="259" t="str">
        <f t="shared" si="32"/>
        <v>B2 AP1 / B2 AP2 (0.6 to 3 yrs)</v>
      </c>
      <c r="P669" s="260"/>
      <c r="Q669" s="260" t="str">
        <f t="shared" si="36"/>
        <v>IT/LatentZero/DeveloperLatentZero/Junior</v>
      </c>
      <c r="R669" s="261" t="str">
        <f t="shared" si="34"/>
        <v>B2 AP1 / B2 AP2 (0.6 to 3 yrs)</v>
      </c>
      <c r="S669" s="260" t="str">
        <f t="shared" si="35"/>
        <v>IT_67</v>
      </c>
      <c r="T669" s="262" t="b">
        <v>0</v>
      </c>
      <c r="U669" s="263" t="str">
        <f>+VLOOKUP($C669,[8]GRC!$B$3:$L$350,9,0)</f>
        <v>B2 AP1</v>
      </c>
      <c r="V669" s="263" t="str">
        <f>+VLOOKUP($C669,[8]GRC!$B$3:$L$350,10,0)</f>
        <v>B2 AP2 (0.6 to 3 yrs)</v>
      </c>
      <c r="W669" s="263" t="b">
        <f t="shared" si="33"/>
        <v>1</v>
      </c>
      <c r="X669" s="263" t="b">
        <f t="shared" si="33"/>
        <v>1</v>
      </c>
    </row>
    <row r="670" spans="1:24" ht="15">
      <c r="A670" s="93">
        <v>166</v>
      </c>
      <c r="B670" s="94" t="s">
        <v>515</v>
      </c>
      <c r="C670" s="295" t="s">
        <v>984</v>
      </c>
      <c r="D670" s="94" t="str">
        <f>+[7]GRC!D168</f>
        <v>IT</v>
      </c>
      <c r="E670" s="94" t="s">
        <v>97</v>
      </c>
      <c r="F670" s="94" t="s">
        <v>251</v>
      </c>
      <c r="G670" s="94" t="s">
        <v>252</v>
      </c>
      <c r="H670" s="94"/>
      <c r="I670" s="94" t="s">
        <v>193</v>
      </c>
      <c r="J670" s="94" t="s">
        <v>151</v>
      </c>
      <c r="K670" s="94" t="s">
        <v>19</v>
      </c>
      <c r="L670" s="94" t="s">
        <v>18</v>
      </c>
      <c r="M670" s="94" t="s">
        <v>71</v>
      </c>
      <c r="N670" s="94" t="s">
        <v>138</v>
      </c>
      <c r="O670" s="259" t="str">
        <f t="shared" si="32"/>
        <v>B2 AP2 (0.6 to 3 yrs) / B2 AP3 (3 to 5 yrs)</v>
      </c>
      <c r="P670" s="260"/>
      <c r="Q670" s="260" t="str">
        <f t="shared" si="36"/>
        <v>IT/LatentZero/DeveloperLatentZero/MidLevel</v>
      </c>
      <c r="R670" s="261" t="str">
        <f t="shared" si="34"/>
        <v>B2 AP2 (0.6 to 3 yrs) / B2 AP3 (3 to 5 yrs)</v>
      </c>
      <c r="S670" s="260" t="str">
        <f t="shared" si="35"/>
        <v>IT_68</v>
      </c>
      <c r="T670" s="262" t="b">
        <v>0</v>
      </c>
      <c r="U670" s="263" t="str">
        <f>+VLOOKUP($C670,[8]GRC!$B$3:$L$350,9,0)</f>
        <v>B2 AP2 (0.6 to 3 yrs)</v>
      </c>
      <c r="V670" s="263" t="str">
        <f>+VLOOKUP($C670,[8]GRC!$B$3:$L$350,10,0)</f>
        <v>B2 AP3 (3 to 5 yrs)</v>
      </c>
      <c r="W670" s="263" t="b">
        <f t="shared" si="33"/>
        <v>1</v>
      </c>
      <c r="X670" s="263" t="b">
        <f t="shared" si="33"/>
        <v>1</v>
      </c>
    </row>
    <row r="671" spans="1:24" ht="15">
      <c r="A671" s="93">
        <v>167</v>
      </c>
      <c r="B671" s="94" t="s">
        <v>516</v>
      </c>
      <c r="C671" s="295" t="s">
        <v>985</v>
      </c>
      <c r="D671" s="94" t="str">
        <f>+[7]GRC!D169</f>
        <v>IT</v>
      </c>
      <c r="E671" s="94" t="s">
        <v>97</v>
      </c>
      <c r="F671" s="94" t="s">
        <v>251</v>
      </c>
      <c r="G671" s="94" t="s">
        <v>252</v>
      </c>
      <c r="H671" s="94"/>
      <c r="I671" s="94" t="s">
        <v>91</v>
      </c>
      <c r="J671" s="94" t="s">
        <v>145</v>
      </c>
      <c r="K671" s="94" t="s">
        <v>18</v>
      </c>
      <c r="L671" s="94" t="s">
        <v>17</v>
      </c>
      <c r="M671" s="94" t="s">
        <v>71</v>
      </c>
      <c r="N671" s="94" t="s">
        <v>138</v>
      </c>
      <c r="O671" s="259" t="str">
        <f t="shared" si="32"/>
        <v>B2 AP3 (3 to 5 yrs) / B3 PL1 (5 to 7 yrs)</v>
      </c>
      <c r="P671" s="260"/>
      <c r="Q671" s="260" t="str">
        <f t="shared" si="36"/>
        <v>IT/LatentZero/DeveloperLatentZero/Senior</v>
      </c>
      <c r="R671" s="261" t="str">
        <f t="shared" si="34"/>
        <v>B2 AP3 (3 to 5 yrs) / B3 PL1 (5 to 7 yrs)</v>
      </c>
      <c r="S671" s="260" t="str">
        <f t="shared" si="35"/>
        <v>IT_69</v>
      </c>
      <c r="T671" s="262" t="b">
        <v>0</v>
      </c>
      <c r="U671" s="263" t="str">
        <f>+VLOOKUP($C671,[8]GRC!$B$3:$L$350,9,0)</f>
        <v>B2 AP3 (3 to 5 yrs)</v>
      </c>
      <c r="V671" s="263" t="str">
        <f>+VLOOKUP($C671,[8]GRC!$B$3:$L$350,10,0)</f>
        <v>B3 PL1 (5 to 7 yrs)</v>
      </c>
      <c r="W671" s="263" t="b">
        <f t="shared" si="33"/>
        <v>1</v>
      </c>
      <c r="X671" s="263" t="b">
        <f t="shared" si="33"/>
        <v>1</v>
      </c>
    </row>
    <row r="672" spans="1:24" ht="15">
      <c r="A672" s="93">
        <v>168</v>
      </c>
      <c r="B672" s="94" t="s">
        <v>517</v>
      </c>
      <c r="C672" s="295" t="s">
        <v>986</v>
      </c>
      <c r="D672" s="94" t="str">
        <f>+[7]GRC!D170</f>
        <v>IT</v>
      </c>
      <c r="E672" s="94" t="s">
        <v>97</v>
      </c>
      <c r="F672" s="94" t="s">
        <v>253</v>
      </c>
      <c r="G672" s="94" t="s">
        <v>254</v>
      </c>
      <c r="H672" s="94"/>
      <c r="I672" s="94" t="s">
        <v>84</v>
      </c>
      <c r="J672" s="94" t="s">
        <v>148</v>
      </c>
      <c r="K672" s="94" t="s">
        <v>14</v>
      </c>
      <c r="L672" s="94" t="s">
        <v>71</v>
      </c>
      <c r="M672" s="94" t="s">
        <v>71</v>
      </c>
      <c r="N672" s="94" t="s">
        <v>72</v>
      </c>
      <c r="O672" s="259" t="str">
        <f t="shared" si="32"/>
        <v>B4 PM1 (9 to 12 yrs) / None</v>
      </c>
      <c r="P672" s="260"/>
      <c r="Q672" s="260" t="str">
        <f t="shared" si="36"/>
        <v>IT/DomainIT/ConsultantDomain/Junior</v>
      </c>
      <c r="R672" s="261" t="str">
        <f t="shared" si="34"/>
        <v>B4 PM1 (9 to 12 yrs) / None</v>
      </c>
      <c r="S672" s="260" t="str">
        <f t="shared" si="35"/>
        <v>IT_59</v>
      </c>
      <c r="T672" s="262" t="b">
        <v>0</v>
      </c>
      <c r="U672" s="263" t="str">
        <f>+VLOOKUP($C672,[8]GRC!$B$3:$L$350,9,0)</f>
        <v>B4 PM1 (9 to 12 yrs)</v>
      </c>
      <c r="V672" s="263" t="str">
        <f>+VLOOKUP($C672,[8]GRC!$B$3:$L$350,10,0)</f>
        <v>None</v>
      </c>
      <c r="W672" s="263" t="b">
        <f t="shared" si="33"/>
        <v>1</v>
      </c>
      <c r="X672" s="263" t="b">
        <f t="shared" si="33"/>
        <v>1</v>
      </c>
    </row>
    <row r="673" spans="1:24" ht="15">
      <c r="A673" s="93">
        <v>169</v>
      </c>
      <c r="B673" s="94" t="s">
        <v>518</v>
      </c>
      <c r="C673" s="295" t="s">
        <v>987</v>
      </c>
      <c r="D673" s="94" t="str">
        <f>+[7]GRC!D171</f>
        <v>IT</v>
      </c>
      <c r="E673" s="94" t="s">
        <v>97</v>
      </c>
      <c r="F673" s="94" t="s">
        <v>253</v>
      </c>
      <c r="G673" s="94" t="s">
        <v>254</v>
      </c>
      <c r="H673" s="94"/>
      <c r="I673" s="94" t="s">
        <v>193</v>
      </c>
      <c r="J673" s="94" t="s">
        <v>149</v>
      </c>
      <c r="K673" s="94" t="s">
        <v>42</v>
      </c>
      <c r="L673" s="94" t="s">
        <v>41</v>
      </c>
      <c r="M673" s="94" t="s">
        <v>71</v>
      </c>
      <c r="N673" s="94" t="s">
        <v>72</v>
      </c>
      <c r="O673" s="259" t="str">
        <f t="shared" si="32"/>
        <v>B4 PM2 (10 to 14 yrs) / B4 PM3 (12 to 15 yrs)</v>
      </c>
      <c r="P673" s="260"/>
      <c r="Q673" s="260" t="str">
        <f t="shared" si="36"/>
        <v>IT/DomainIT/ConsultantDomain/MidLevel</v>
      </c>
      <c r="R673" s="261" t="str">
        <f t="shared" si="34"/>
        <v>B4 PM2 (10 to 14 yrs) / B4 PM3 (12 to 15 yrs)</v>
      </c>
      <c r="S673" s="260" t="str">
        <f t="shared" si="35"/>
        <v>IT_84</v>
      </c>
      <c r="T673" s="262" t="b">
        <v>0</v>
      </c>
      <c r="U673" s="263" t="str">
        <f>+VLOOKUP($C673,[8]GRC!$B$3:$L$350,9,0)</f>
        <v>B4 PM2 (10 to 14 yrs)</v>
      </c>
      <c r="V673" s="263" t="str">
        <f>+VLOOKUP($C673,[8]GRC!$B$3:$L$350,10,0)</f>
        <v>B4 PM3 (12 to 15 yrs)</v>
      </c>
      <c r="W673" s="263" t="b">
        <f t="shared" si="33"/>
        <v>1</v>
      </c>
      <c r="X673" s="263" t="b">
        <f t="shared" si="33"/>
        <v>1</v>
      </c>
    </row>
    <row r="674" spans="1:24" ht="15">
      <c r="A674" s="93">
        <v>170</v>
      </c>
      <c r="B674" s="94" t="s">
        <v>519</v>
      </c>
      <c r="C674" s="295" t="s">
        <v>988</v>
      </c>
      <c r="D674" s="94" t="str">
        <f>+[7]GRC!D172</f>
        <v>IT</v>
      </c>
      <c r="E674" s="94" t="s">
        <v>97</v>
      </c>
      <c r="F674" s="94" t="s">
        <v>253</v>
      </c>
      <c r="G674" s="94" t="s">
        <v>254</v>
      </c>
      <c r="H674" s="94"/>
      <c r="I674" s="94" t="s">
        <v>91</v>
      </c>
      <c r="J674" s="94" t="s">
        <v>139</v>
      </c>
      <c r="K674" s="94" t="s">
        <v>41</v>
      </c>
      <c r="L674" s="94" t="s">
        <v>13</v>
      </c>
      <c r="M674" s="94" t="s">
        <v>71</v>
      </c>
      <c r="N674" s="94" t="s">
        <v>72</v>
      </c>
      <c r="O674" s="259" t="str">
        <f t="shared" si="32"/>
        <v>B4 PM3 (12 to 15 yrs) / B5 (min 8 yrs)</v>
      </c>
      <c r="P674" s="260"/>
      <c r="Q674" s="260" t="str">
        <f t="shared" si="36"/>
        <v>IT/DomainIT/ConsultantDomain/Senior</v>
      </c>
      <c r="R674" s="261" t="str">
        <f t="shared" si="34"/>
        <v>B4 PM3 (12 to 15 yrs) / B5 (min 8 yrs)</v>
      </c>
      <c r="S674" s="260" t="str">
        <f t="shared" si="35"/>
        <v>IT_60</v>
      </c>
      <c r="T674" s="262" t="b">
        <v>0</v>
      </c>
      <c r="U674" s="263" t="str">
        <f>+VLOOKUP($C674,[8]GRC!$B$3:$L$350,9,0)</f>
        <v>B4 PM3 (12 to 15 yrs)</v>
      </c>
      <c r="V674" s="263" t="str">
        <f>+VLOOKUP($C674,[8]GRC!$B$3:$L$350,10,0)</f>
        <v>B5 (min 8 yrs)</v>
      </c>
      <c r="W674" s="263" t="b">
        <f t="shared" si="33"/>
        <v>1</v>
      </c>
      <c r="X674" s="263" t="b">
        <f t="shared" si="33"/>
        <v>1</v>
      </c>
    </row>
    <row r="675" spans="1:24" ht="15">
      <c r="A675" s="93">
        <v>171</v>
      </c>
      <c r="B675" s="94" t="s">
        <v>520</v>
      </c>
      <c r="C675" s="295" t="s">
        <v>989</v>
      </c>
      <c r="D675" s="94" t="str">
        <f>+[7]GRC!D173</f>
        <v>SAP</v>
      </c>
      <c r="E675" s="160" t="s">
        <v>30</v>
      </c>
      <c r="F675" s="160" t="s">
        <v>744</v>
      </c>
      <c r="G675" s="94" t="s">
        <v>258</v>
      </c>
      <c r="H675" s="94"/>
      <c r="I675" s="94" t="s">
        <v>84</v>
      </c>
      <c r="J675" s="94" t="s">
        <v>150</v>
      </c>
      <c r="K675" s="94" t="s">
        <v>20</v>
      </c>
      <c r="L675" s="94" t="s">
        <v>19</v>
      </c>
      <c r="M675" s="94" t="s">
        <v>71</v>
      </c>
      <c r="N675" s="94" t="s">
        <v>138</v>
      </c>
      <c r="O675" s="259" t="str">
        <f t="shared" si="32"/>
        <v>B2 AP1 / B2 AP2 (0.6 to 3 yrs)</v>
      </c>
      <c r="P675" s="260"/>
      <c r="Q675" s="260" t="str">
        <f t="shared" si="36"/>
        <v>SOG/SAPABAP/TechnicalABAP/Junior</v>
      </c>
      <c r="R675" s="261" t="str">
        <f t="shared" si="34"/>
        <v>B2 AP1 / B2 AP2 (0.6 to 3 yrs)</v>
      </c>
      <c r="S675" s="260" t="str">
        <f t="shared" si="35"/>
        <v>SAP_1</v>
      </c>
      <c r="T675" s="262" t="b">
        <v>0</v>
      </c>
      <c r="U675" s="263" t="str">
        <f>+VLOOKUP($C675,[8]GRC!$B$3:$L$350,9,0)</f>
        <v>B2 AP1</v>
      </c>
      <c r="V675" s="263" t="str">
        <f>+VLOOKUP($C675,[8]GRC!$B$3:$L$350,10,0)</f>
        <v>B2 AP2 (0.6 to 3 yrs)</v>
      </c>
      <c r="W675" s="263" t="b">
        <f t="shared" si="33"/>
        <v>1</v>
      </c>
      <c r="X675" s="263" t="b">
        <f t="shared" si="33"/>
        <v>1</v>
      </c>
    </row>
    <row r="676" spans="1:24" ht="15">
      <c r="A676" s="93">
        <v>172</v>
      </c>
      <c r="B676" s="94" t="s">
        <v>521</v>
      </c>
      <c r="C676" s="295" t="s">
        <v>990</v>
      </c>
      <c r="D676" s="94" t="str">
        <f>+[7]GRC!D174</f>
        <v>SAP</v>
      </c>
      <c r="E676" s="160" t="s">
        <v>30</v>
      </c>
      <c r="F676" s="160" t="s">
        <v>744</v>
      </c>
      <c r="G676" s="94" t="s">
        <v>258</v>
      </c>
      <c r="H676" s="94"/>
      <c r="I676" s="94" t="s">
        <v>193</v>
      </c>
      <c r="J676" s="94" t="s">
        <v>151</v>
      </c>
      <c r="K676" s="94" t="s">
        <v>19</v>
      </c>
      <c r="L676" s="94" t="s">
        <v>18</v>
      </c>
      <c r="M676" s="94" t="s">
        <v>71</v>
      </c>
      <c r="N676" s="94" t="s">
        <v>138</v>
      </c>
      <c r="O676" s="259" t="str">
        <f t="shared" si="32"/>
        <v>B2 AP2 (0.6 to 3 yrs) / B2 AP3 (3 to 5 yrs)</v>
      </c>
      <c r="P676" s="260"/>
      <c r="Q676" s="260" t="str">
        <f t="shared" si="36"/>
        <v>SOG/SAPABAP/TechnicalABAP/MidLevel</v>
      </c>
      <c r="R676" s="261" t="str">
        <f t="shared" si="34"/>
        <v>B2 AP2 (0.6 to 3 yrs) / B2 AP3 (3 to 5 yrs)</v>
      </c>
      <c r="S676" s="260" t="str">
        <f t="shared" si="35"/>
        <v>SAP_2</v>
      </c>
      <c r="T676" s="262" t="b">
        <v>0</v>
      </c>
      <c r="U676" s="263" t="str">
        <f>+VLOOKUP($C676,[8]GRC!$B$3:$L$350,9,0)</f>
        <v>B2 AP2 (0.6 to 3 yrs)</v>
      </c>
      <c r="V676" s="263" t="str">
        <f>+VLOOKUP($C676,[8]GRC!$B$3:$L$350,10,0)</f>
        <v>B2 AP3 (3 to 5 yrs)</v>
      </c>
      <c r="W676" s="263" t="b">
        <f t="shared" si="33"/>
        <v>1</v>
      </c>
      <c r="X676" s="263" t="b">
        <f t="shared" si="33"/>
        <v>1</v>
      </c>
    </row>
    <row r="677" spans="1:24" ht="15">
      <c r="A677" s="93">
        <v>173</v>
      </c>
      <c r="B677" s="94" t="s">
        <v>522</v>
      </c>
      <c r="C677" s="295" t="s">
        <v>991</v>
      </c>
      <c r="D677" s="94" t="str">
        <f>+[7]GRC!D175</f>
        <v>SAP</v>
      </c>
      <c r="E677" s="160" t="s">
        <v>30</v>
      </c>
      <c r="F677" s="160" t="s">
        <v>744</v>
      </c>
      <c r="G677" s="94" t="s">
        <v>258</v>
      </c>
      <c r="H677" s="94"/>
      <c r="I677" s="94" t="s">
        <v>91</v>
      </c>
      <c r="J677" s="94" t="s">
        <v>145</v>
      </c>
      <c r="K677" s="94" t="s">
        <v>18</v>
      </c>
      <c r="L677" s="94" t="s">
        <v>17</v>
      </c>
      <c r="M677" s="94" t="s">
        <v>71</v>
      </c>
      <c r="N677" s="94" t="s">
        <v>138</v>
      </c>
      <c r="O677" s="259" t="str">
        <f t="shared" si="32"/>
        <v>B2 AP3 (3 to 5 yrs) / B3 PL1 (5 to 7 yrs)</v>
      </c>
      <c r="P677" s="260"/>
      <c r="Q677" s="260" t="str">
        <f t="shared" si="36"/>
        <v>SOG/SAPABAP/TechnicalABAP/Senior</v>
      </c>
      <c r="R677" s="261" t="str">
        <f t="shared" si="34"/>
        <v>B2 AP3 (3 to 5 yrs) / B3 PL1 (5 to 7 yrs)</v>
      </c>
      <c r="S677" s="260" t="str">
        <f t="shared" si="35"/>
        <v>SAP_3</v>
      </c>
      <c r="T677" s="262" t="b">
        <v>0</v>
      </c>
      <c r="U677" s="263" t="str">
        <f>+VLOOKUP($C677,[8]GRC!$B$3:$L$350,9,0)</f>
        <v>B2 AP3 (3 to 5 yrs)</v>
      </c>
      <c r="V677" s="263" t="str">
        <f>+VLOOKUP($C677,[8]GRC!$B$3:$L$350,10,0)</f>
        <v>B3 PL1 (5 to 7 yrs)</v>
      </c>
      <c r="W677" s="263" t="b">
        <f t="shared" si="33"/>
        <v>1</v>
      </c>
      <c r="X677" s="263" t="b">
        <f t="shared" si="33"/>
        <v>1</v>
      </c>
    </row>
    <row r="678" spans="1:24" ht="15">
      <c r="A678" s="93">
        <v>174</v>
      </c>
      <c r="B678" s="94" t="s">
        <v>523</v>
      </c>
      <c r="C678" s="295" t="s">
        <v>992</v>
      </c>
      <c r="D678" s="94" t="str">
        <f>+[7]GRC!D176</f>
        <v>SAP</v>
      </c>
      <c r="E678" s="160" t="s">
        <v>30</v>
      </c>
      <c r="F678" s="160" t="s">
        <v>745</v>
      </c>
      <c r="G678" s="94" t="s">
        <v>259</v>
      </c>
      <c r="H678" s="94"/>
      <c r="I678" s="94" t="s">
        <v>84</v>
      </c>
      <c r="J678" s="94" t="s">
        <v>150</v>
      </c>
      <c r="K678" s="94" t="s">
        <v>20</v>
      </c>
      <c r="L678" s="94" t="s">
        <v>19</v>
      </c>
      <c r="M678" s="94" t="s">
        <v>71</v>
      </c>
      <c r="N678" s="94" t="s">
        <v>138</v>
      </c>
      <c r="O678" s="259" t="str">
        <f t="shared" si="32"/>
        <v>B2 AP1 / B2 AP2 (0.6 to 3 yrs)</v>
      </c>
      <c r="P678" s="260"/>
      <c r="Q678" s="260" t="str">
        <f t="shared" si="36"/>
        <v>SOG/SAPBasis/TechnicalBasis/Junior</v>
      </c>
      <c r="R678" s="261" t="str">
        <f t="shared" si="34"/>
        <v>B2 AP1 / B2 AP2 (0.6 to 3 yrs)</v>
      </c>
      <c r="S678" s="260" t="str">
        <f t="shared" si="35"/>
        <v>SAP_4</v>
      </c>
      <c r="T678" s="262" t="b">
        <v>0</v>
      </c>
      <c r="U678" s="263" t="str">
        <f>+VLOOKUP($C678,[8]GRC!$B$3:$L$350,9,0)</f>
        <v>B2 AP1</v>
      </c>
      <c r="V678" s="263" t="str">
        <f>+VLOOKUP($C678,[8]GRC!$B$3:$L$350,10,0)</f>
        <v>B2 AP2 (0.6 to 3 yrs)</v>
      </c>
      <c r="W678" s="263" t="b">
        <f t="shared" si="33"/>
        <v>1</v>
      </c>
      <c r="X678" s="263" t="b">
        <f t="shared" si="33"/>
        <v>1</v>
      </c>
    </row>
    <row r="679" spans="1:24" ht="15">
      <c r="A679" s="93">
        <v>175</v>
      </c>
      <c r="B679" s="94" t="s">
        <v>524</v>
      </c>
      <c r="C679" s="295" t="s">
        <v>993</v>
      </c>
      <c r="D679" s="94" t="str">
        <f>+[7]GRC!D177</f>
        <v>SAP</v>
      </c>
      <c r="E679" s="160" t="s">
        <v>30</v>
      </c>
      <c r="F679" s="160" t="s">
        <v>745</v>
      </c>
      <c r="G679" s="94" t="s">
        <v>259</v>
      </c>
      <c r="H679" s="94"/>
      <c r="I679" s="94" t="s">
        <v>193</v>
      </c>
      <c r="J679" s="94" t="s">
        <v>151</v>
      </c>
      <c r="K679" s="94" t="s">
        <v>19</v>
      </c>
      <c r="L679" s="94" t="s">
        <v>18</v>
      </c>
      <c r="M679" s="94" t="s">
        <v>71</v>
      </c>
      <c r="N679" s="94" t="s">
        <v>138</v>
      </c>
      <c r="O679" s="259" t="str">
        <f t="shared" si="32"/>
        <v>B2 AP2 (0.6 to 3 yrs) / B2 AP3 (3 to 5 yrs)</v>
      </c>
      <c r="P679" s="260"/>
      <c r="Q679" s="260" t="str">
        <f t="shared" si="36"/>
        <v>SOG/SAPBasis/TechnicalBasis/MidLevel</v>
      </c>
      <c r="R679" s="261" t="str">
        <f t="shared" si="34"/>
        <v>B2 AP2 (0.6 to 3 yrs) / B2 AP3 (3 to 5 yrs)</v>
      </c>
      <c r="S679" s="260" t="str">
        <f t="shared" si="35"/>
        <v>SAP_5</v>
      </c>
      <c r="T679" s="262" t="b">
        <v>0</v>
      </c>
      <c r="U679" s="263" t="str">
        <f>+VLOOKUP($C679,[8]GRC!$B$3:$L$350,9,0)</f>
        <v>B2 AP2 (0.6 to 3 yrs)</v>
      </c>
      <c r="V679" s="263" t="str">
        <f>+VLOOKUP($C679,[8]GRC!$B$3:$L$350,10,0)</f>
        <v>B2 AP3 (3 to 5 yrs)</v>
      </c>
      <c r="W679" s="263" t="b">
        <f t="shared" si="33"/>
        <v>1</v>
      </c>
      <c r="X679" s="263" t="b">
        <f t="shared" si="33"/>
        <v>1</v>
      </c>
    </row>
    <row r="680" spans="1:24" ht="15">
      <c r="A680" s="93">
        <v>176</v>
      </c>
      <c r="B680" s="94" t="s">
        <v>525</v>
      </c>
      <c r="C680" s="295" t="s">
        <v>994</v>
      </c>
      <c r="D680" s="94" t="str">
        <f>+[7]GRC!D178</f>
        <v>SAP</v>
      </c>
      <c r="E680" s="160" t="s">
        <v>30</v>
      </c>
      <c r="F680" s="160" t="s">
        <v>745</v>
      </c>
      <c r="G680" s="94" t="s">
        <v>259</v>
      </c>
      <c r="H680" s="94"/>
      <c r="I680" s="94" t="s">
        <v>91</v>
      </c>
      <c r="J680" s="94" t="s">
        <v>145</v>
      </c>
      <c r="K680" s="94" t="s">
        <v>18</v>
      </c>
      <c r="L680" s="94" t="s">
        <v>17</v>
      </c>
      <c r="M680" s="94" t="s">
        <v>71</v>
      </c>
      <c r="N680" s="94" t="s">
        <v>138</v>
      </c>
      <c r="O680" s="259" t="str">
        <f t="shared" si="32"/>
        <v>B2 AP3 (3 to 5 yrs) / B3 PL1 (5 to 7 yrs)</v>
      </c>
      <c r="P680" s="260"/>
      <c r="Q680" s="260" t="str">
        <f t="shared" si="36"/>
        <v>SOG/SAPBasis/TechnicalBasis/Senior</v>
      </c>
      <c r="R680" s="261" t="str">
        <f t="shared" si="34"/>
        <v>B2 AP3 (3 to 5 yrs) / B3 PL1 (5 to 7 yrs)</v>
      </c>
      <c r="S680" s="260" t="str">
        <f t="shared" si="35"/>
        <v>SAP_6</v>
      </c>
      <c r="T680" s="262" t="b">
        <v>0</v>
      </c>
      <c r="U680" s="263" t="str">
        <f>+VLOOKUP($C680,[8]GRC!$B$3:$L$350,9,0)</f>
        <v>B2 AP3 (3 to 5 yrs)</v>
      </c>
      <c r="V680" s="263" t="str">
        <f>+VLOOKUP($C680,[8]GRC!$B$3:$L$350,10,0)</f>
        <v>B3 PL1 (5 to 7 yrs)</v>
      </c>
      <c r="W680" s="263" t="b">
        <f t="shared" si="33"/>
        <v>1</v>
      </c>
      <c r="X680" s="263" t="b">
        <f t="shared" si="33"/>
        <v>1</v>
      </c>
    </row>
    <row r="681" spans="1:24" ht="15">
      <c r="A681" s="93">
        <v>177</v>
      </c>
      <c r="B681" s="94" t="s">
        <v>526</v>
      </c>
      <c r="C681" s="295" t="s">
        <v>995</v>
      </c>
      <c r="D681" s="94" t="str">
        <f>+[7]GRC!D179</f>
        <v>SAP</v>
      </c>
      <c r="E681" s="160" t="s">
        <v>30</v>
      </c>
      <c r="F681" s="160" t="s">
        <v>746</v>
      </c>
      <c r="G681" s="94" t="s">
        <v>260</v>
      </c>
      <c r="H681" s="94"/>
      <c r="I681" s="94" t="s">
        <v>84</v>
      </c>
      <c r="J681" s="94" t="s">
        <v>151</v>
      </c>
      <c r="K681" s="94" t="s">
        <v>18</v>
      </c>
      <c r="L681" s="94" t="s">
        <v>71</v>
      </c>
      <c r="M681" s="94" t="s">
        <v>71</v>
      </c>
      <c r="N681" s="94" t="s">
        <v>138</v>
      </c>
      <c r="O681" s="259" t="str">
        <f t="shared" si="32"/>
        <v>B2 AP3 (3 to 5 yrs) / None</v>
      </c>
      <c r="P681" s="260"/>
      <c r="Q681" s="260" t="str">
        <f t="shared" si="36"/>
        <v>SOG/SAPDomain/FunctionalDomain/Junior</v>
      </c>
      <c r="R681" s="261" t="str">
        <f t="shared" si="34"/>
        <v>B2 AP3 (3 to 5 yrs) / None</v>
      </c>
      <c r="S681" s="260" t="str">
        <f t="shared" si="35"/>
        <v>SAP_7</v>
      </c>
      <c r="T681" s="262" t="b">
        <v>0</v>
      </c>
      <c r="U681" s="263" t="str">
        <f>+VLOOKUP($C681,[8]GRC!$B$3:$L$350,9,0)</f>
        <v>B2 AP3 (3 to 5 yrs)</v>
      </c>
      <c r="V681" s="263" t="str">
        <f>+VLOOKUP($C681,[8]GRC!$B$3:$L$350,10,0)</f>
        <v>None</v>
      </c>
      <c r="W681" s="263" t="b">
        <f t="shared" si="33"/>
        <v>1</v>
      </c>
      <c r="X681" s="263" t="b">
        <f t="shared" si="33"/>
        <v>1</v>
      </c>
    </row>
    <row r="682" spans="1:24" ht="15">
      <c r="A682" s="93">
        <v>178</v>
      </c>
      <c r="B682" s="94" t="s">
        <v>527</v>
      </c>
      <c r="C682" s="295" t="s">
        <v>996</v>
      </c>
      <c r="D682" s="94" t="str">
        <f>+[7]GRC!D180</f>
        <v>SAP</v>
      </c>
      <c r="E682" s="160" t="s">
        <v>30</v>
      </c>
      <c r="F682" s="160" t="s">
        <v>746</v>
      </c>
      <c r="G682" s="94" t="s">
        <v>260</v>
      </c>
      <c r="H682" s="94"/>
      <c r="I682" s="94" t="s">
        <v>193</v>
      </c>
      <c r="J682" s="94" t="s">
        <v>145</v>
      </c>
      <c r="K682" s="94" t="s">
        <v>17</v>
      </c>
      <c r="L682" s="94" t="s">
        <v>16</v>
      </c>
      <c r="M682" s="94" t="s">
        <v>71</v>
      </c>
      <c r="N682" s="94" t="s">
        <v>138</v>
      </c>
      <c r="O682" s="259" t="str">
        <f t="shared" si="32"/>
        <v>B3 PL1 (5 to 7 yrs) / B3 PL2 (6 to 8 yrs)</v>
      </c>
      <c r="P682" s="260"/>
      <c r="Q682" s="260" t="str">
        <f t="shared" si="36"/>
        <v>SOG/SAPDomain/FunctionalDomain/MidLevel</v>
      </c>
      <c r="R682" s="261" t="str">
        <f t="shared" si="34"/>
        <v>B3 PL1 (5 to 7 yrs) / B3 PL2 (6 to 8 yrs)</v>
      </c>
      <c r="S682" s="260" t="str">
        <f t="shared" si="35"/>
        <v>SAP_8</v>
      </c>
      <c r="T682" s="262" t="b">
        <v>0</v>
      </c>
      <c r="U682" s="263" t="str">
        <f>+VLOOKUP($C682,[8]GRC!$B$3:$L$350,9,0)</f>
        <v>B3 PL1 (5 to 7 yrs)</v>
      </c>
      <c r="V682" s="263" t="str">
        <f>+VLOOKUP($C682,[8]GRC!$B$3:$L$350,10,0)</f>
        <v>B3 PL2 (6 to 8 yrs)</v>
      </c>
      <c r="W682" s="263" t="b">
        <f t="shared" si="33"/>
        <v>1</v>
      </c>
      <c r="X682" s="263" t="b">
        <f t="shared" si="33"/>
        <v>1</v>
      </c>
    </row>
    <row r="683" spans="1:24" ht="15">
      <c r="A683" s="93">
        <v>179</v>
      </c>
      <c r="B683" s="94" t="s">
        <v>528</v>
      </c>
      <c r="C683" s="295" t="s">
        <v>997</v>
      </c>
      <c r="D683" s="94" t="str">
        <f>+[7]GRC!D181</f>
        <v>SAP</v>
      </c>
      <c r="E683" s="160" t="s">
        <v>30</v>
      </c>
      <c r="F683" s="160" t="s">
        <v>746</v>
      </c>
      <c r="G683" s="94" t="s">
        <v>260</v>
      </c>
      <c r="H683" s="94"/>
      <c r="I683" s="94" t="s">
        <v>91</v>
      </c>
      <c r="J683" s="94" t="s">
        <v>147</v>
      </c>
      <c r="K683" s="94" t="s">
        <v>16</v>
      </c>
      <c r="L683" s="94" t="s">
        <v>15</v>
      </c>
      <c r="M683" s="94" t="s">
        <v>71</v>
      </c>
      <c r="N683" s="94" t="s">
        <v>138</v>
      </c>
      <c r="O683" s="259" t="str">
        <f t="shared" si="32"/>
        <v>B3 PL2 (6 to 8 yrs) / B3 PL3 (7 to 10 yrs)</v>
      </c>
      <c r="P683" s="260"/>
      <c r="Q683" s="260" t="str">
        <f t="shared" si="36"/>
        <v>SOG/SAPDomain/FunctionalDomain/Senior</v>
      </c>
      <c r="R683" s="261" t="str">
        <f t="shared" si="34"/>
        <v>B3 PL2 (6 to 8 yrs) / B3 PL3 (7 to 10 yrs)</v>
      </c>
      <c r="S683" s="260" t="str">
        <f t="shared" si="35"/>
        <v>SAP_9</v>
      </c>
      <c r="T683" s="262" t="b">
        <v>0</v>
      </c>
      <c r="U683" s="263" t="str">
        <f>+VLOOKUP($C683,[8]GRC!$B$3:$L$350,9,0)</f>
        <v>B3 PL2 (6 to 8 yrs)</v>
      </c>
      <c r="V683" s="263" t="str">
        <f>+VLOOKUP($C683,[8]GRC!$B$3:$L$350,10,0)</f>
        <v>B3 PL3 (7 to 10 yrs)</v>
      </c>
      <c r="W683" s="263" t="b">
        <f t="shared" si="33"/>
        <v>1</v>
      </c>
      <c r="X683" s="263" t="b">
        <f t="shared" si="33"/>
        <v>1</v>
      </c>
    </row>
    <row r="684" spans="1:24" ht="15">
      <c r="A684" s="93">
        <v>180</v>
      </c>
      <c r="B684" s="94" t="s">
        <v>529</v>
      </c>
      <c r="C684" s="295" t="s">
        <v>998</v>
      </c>
      <c r="D684" s="94" t="str">
        <f>+[7]GRC!D182</f>
        <v>SAP</v>
      </c>
      <c r="E684" s="160" t="s">
        <v>30</v>
      </c>
      <c r="F684" s="160" t="s">
        <v>747</v>
      </c>
      <c r="G684" s="94" t="s">
        <v>748</v>
      </c>
      <c r="H684" s="94"/>
      <c r="I684" s="94" t="s">
        <v>84</v>
      </c>
      <c r="J684" s="94" t="s">
        <v>184</v>
      </c>
      <c r="K684" s="94" t="s">
        <v>15</v>
      </c>
      <c r="L684" s="94" t="s">
        <v>14</v>
      </c>
      <c r="M684" s="94" t="s">
        <v>71</v>
      </c>
      <c r="N684" s="94" t="s">
        <v>138</v>
      </c>
      <c r="O684" s="259" t="str">
        <f t="shared" si="32"/>
        <v>B3 PL3 (7 to 10 yrs) / B4 PM1 (9 to 12 yrs)</v>
      </c>
      <c r="P684" s="260"/>
      <c r="Q684" s="260" t="str">
        <f t="shared" si="36"/>
        <v>SOG/SAPManagement/ProjectManagerSAPManagement/Junior</v>
      </c>
      <c r="R684" s="261" t="str">
        <f t="shared" si="34"/>
        <v>B3 PL3 (7 to 10 yrs) / B4 PM1 (9 to 12 yrs)</v>
      </c>
      <c r="S684" s="260" t="str">
        <f t="shared" si="35"/>
        <v>SAP_10</v>
      </c>
      <c r="T684" s="262" t="b">
        <v>0</v>
      </c>
      <c r="U684" s="263" t="str">
        <f>+VLOOKUP($C684,[8]GRC!$B$3:$L$350,9,0)</f>
        <v>B3 PL3 (7 to 10 yrs)</v>
      </c>
      <c r="V684" s="263" t="str">
        <f>+VLOOKUP($C684,[8]GRC!$B$3:$L$350,10,0)</f>
        <v>B4 PM1 (9 to 12 yrs)</v>
      </c>
      <c r="W684" s="263" t="b">
        <f t="shared" si="33"/>
        <v>1</v>
      </c>
      <c r="X684" s="263" t="b">
        <f t="shared" si="33"/>
        <v>1</v>
      </c>
    </row>
    <row r="685" spans="1:24" ht="15">
      <c r="A685" s="93">
        <v>181</v>
      </c>
      <c r="B685" s="94" t="s">
        <v>530</v>
      </c>
      <c r="C685" s="295" t="s">
        <v>999</v>
      </c>
      <c r="D685" s="94" t="str">
        <f>+[7]GRC!D183</f>
        <v>SAP</v>
      </c>
      <c r="E685" s="160" t="s">
        <v>30</v>
      </c>
      <c r="F685" s="160" t="s">
        <v>747</v>
      </c>
      <c r="G685" s="94" t="s">
        <v>748</v>
      </c>
      <c r="H685" s="94"/>
      <c r="I685" s="94" t="s">
        <v>193</v>
      </c>
      <c r="J685" s="94" t="s">
        <v>185</v>
      </c>
      <c r="K685" s="94" t="s">
        <v>14</v>
      </c>
      <c r="L685" s="94" t="s">
        <v>42</v>
      </c>
      <c r="M685" s="94" t="s">
        <v>71</v>
      </c>
      <c r="N685" s="94" t="s">
        <v>138</v>
      </c>
      <c r="O685" s="259" t="str">
        <f t="shared" si="32"/>
        <v>B4 PM1 (9 to 12 yrs) / B4 PM2 (10 to 14 yrs)</v>
      </c>
      <c r="P685" s="260"/>
      <c r="Q685" s="260" t="str">
        <f t="shared" si="36"/>
        <v>SOG/SAPManagement/ProjectManagerSAPManagement/MidLevel</v>
      </c>
      <c r="R685" s="261" t="str">
        <f t="shared" si="34"/>
        <v>B4 PM1 (9 to 12 yrs) / B4 PM2 (10 to 14 yrs)</v>
      </c>
      <c r="S685" s="260" t="str">
        <f t="shared" si="35"/>
        <v>SAP_11</v>
      </c>
      <c r="T685" s="262" t="b">
        <v>0</v>
      </c>
      <c r="U685" s="263" t="str">
        <f>+VLOOKUP($C685,[8]GRC!$B$3:$L$350,9,0)</f>
        <v>B4 PM1 (9 to 12 yrs)</v>
      </c>
      <c r="V685" s="263" t="str">
        <f>+VLOOKUP($C685,[8]GRC!$B$3:$L$350,10,0)</f>
        <v>B4 PM2 (10 to 14 yrs)</v>
      </c>
      <c r="W685" s="263" t="b">
        <f t="shared" si="33"/>
        <v>1</v>
      </c>
      <c r="X685" s="263" t="b">
        <f t="shared" si="33"/>
        <v>1</v>
      </c>
    </row>
    <row r="686" spans="1:24" ht="15">
      <c r="A686" s="93">
        <v>182</v>
      </c>
      <c r="B686" s="94" t="s">
        <v>531</v>
      </c>
      <c r="C686" s="295" t="s">
        <v>1000</v>
      </c>
      <c r="D686" s="94" t="str">
        <f>+[7]GRC!D184</f>
        <v>SAP</v>
      </c>
      <c r="E686" s="160" t="s">
        <v>30</v>
      </c>
      <c r="F686" s="160" t="s">
        <v>747</v>
      </c>
      <c r="G686" s="94" t="s">
        <v>748</v>
      </c>
      <c r="H686" s="94"/>
      <c r="I686" s="94" t="s">
        <v>91</v>
      </c>
      <c r="J686" s="94" t="s">
        <v>149</v>
      </c>
      <c r="K686" s="94" t="s">
        <v>42</v>
      </c>
      <c r="L686" s="94" t="s">
        <v>41</v>
      </c>
      <c r="M686" s="94" t="s">
        <v>71</v>
      </c>
      <c r="N686" s="94" t="s">
        <v>138</v>
      </c>
      <c r="O686" s="259" t="str">
        <f t="shared" si="32"/>
        <v>B4 PM2 (10 to 14 yrs) / B4 PM3 (12 to 15 yrs)</v>
      </c>
      <c r="P686" s="260"/>
      <c r="Q686" s="260" t="str">
        <f t="shared" si="36"/>
        <v>SOG/SAPManagement/ProjectManagerSAPManagement/Senior</v>
      </c>
      <c r="R686" s="261" t="str">
        <f t="shared" si="34"/>
        <v>B4 PM2 (10 to 14 yrs) / B4 PM3 (12 to 15 yrs)</v>
      </c>
      <c r="S686" s="260" t="str">
        <f t="shared" si="35"/>
        <v>SAP_12</v>
      </c>
      <c r="T686" s="262" t="b">
        <v>0</v>
      </c>
      <c r="U686" s="263" t="str">
        <f>+VLOOKUP($C686,[8]GRC!$B$3:$L$350,9,0)</f>
        <v>B4 PM2 (10 to 14 yrs)</v>
      </c>
      <c r="V686" s="263" t="str">
        <f>+VLOOKUP($C686,[8]GRC!$B$3:$L$350,10,0)</f>
        <v>B4 PM3 (12 to 15 yrs)</v>
      </c>
      <c r="W686" s="263" t="b">
        <f t="shared" si="33"/>
        <v>1</v>
      </c>
      <c r="X686" s="263" t="b">
        <f t="shared" si="33"/>
        <v>1</v>
      </c>
    </row>
    <row r="687" spans="1:24" ht="15">
      <c r="A687" s="93">
        <v>183</v>
      </c>
      <c r="B687" s="94" t="s">
        <v>532</v>
      </c>
      <c r="C687" s="295" t="s">
        <v>1001</v>
      </c>
      <c r="D687" s="94" t="str">
        <f>+[7]GRC!D185</f>
        <v>SOG</v>
      </c>
      <c r="E687" s="94" t="s">
        <v>30</v>
      </c>
      <c r="F687" s="94" t="s">
        <v>85</v>
      </c>
      <c r="G687" s="94" t="s">
        <v>345</v>
      </c>
      <c r="H687" s="94" t="s">
        <v>533</v>
      </c>
      <c r="I687" s="94"/>
      <c r="J687" s="94" t="s">
        <v>186</v>
      </c>
      <c r="K687" s="94" t="s">
        <v>42</v>
      </c>
      <c r="L687" s="94" t="s">
        <v>41</v>
      </c>
      <c r="M687" s="94" t="s">
        <v>71</v>
      </c>
      <c r="N687" s="94" t="s">
        <v>138</v>
      </c>
      <c r="O687" s="259" t="str">
        <f t="shared" si="32"/>
        <v>B4 PM2 (10 to 14 yrs) / B4 PM3 (12 to 15 yrs)</v>
      </c>
      <c r="P687" s="260"/>
      <c r="Q687" s="265" t="str">
        <f t="shared" si="36"/>
        <v>SOG/ASG/ApplicationArchitect/</v>
      </c>
      <c r="R687" s="261" t="str">
        <f t="shared" si="34"/>
        <v>B4 PM2 (10 to 14 yrs) / B4 PM3 (12 to 15 yrs)</v>
      </c>
      <c r="S687" s="260" t="str">
        <f t="shared" si="35"/>
        <v>SOG_1</v>
      </c>
      <c r="T687" s="262" t="b">
        <v>0</v>
      </c>
      <c r="U687" s="263" t="str">
        <f>+VLOOKUP($C687,[8]GRC!$B$3:$L$350,9,0)</f>
        <v>B4 PM2 (10 to 14 yrs)</v>
      </c>
      <c r="V687" s="263" t="str">
        <f>+VLOOKUP($C687,[8]GRC!$B$3:$L$350,10,0)</f>
        <v>B4 PM3 (12 to 15 yrs)</v>
      </c>
      <c r="W687" s="263" t="b">
        <f t="shared" si="33"/>
        <v>1</v>
      </c>
      <c r="X687" s="263" t="b">
        <f t="shared" si="33"/>
        <v>1</v>
      </c>
    </row>
    <row r="688" spans="1:24" ht="15">
      <c r="A688" s="93">
        <v>184</v>
      </c>
      <c r="B688" s="94" t="s">
        <v>534</v>
      </c>
      <c r="C688" s="295" t="s">
        <v>1002</v>
      </c>
      <c r="D688" s="94" t="str">
        <f>+[7]GRC!D186</f>
        <v>SOG</v>
      </c>
      <c r="E688" s="94" t="s">
        <v>30</v>
      </c>
      <c r="F688" s="94" t="s">
        <v>85</v>
      </c>
      <c r="G688" s="94" t="s">
        <v>346</v>
      </c>
      <c r="H688" s="94" t="s">
        <v>535</v>
      </c>
      <c r="I688" s="94"/>
      <c r="J688" s="94" t="s">
        <v>139</v>
      </c>
      <c r="K688" s="94" t="s">
        <v>41</v>
      </c>
      <c r="L688" s="94" t="s">
        <v>13</v>
      </c>
      <c r="M688" s="94" t="s">
        <v>71</v>
      </c>
      <c r="N688" s="94" t="s">
        <v>138</v>
      </c>
      <c r="O688" s="259" t="str">
        <f t="shared" si="32"/>
        <v>B4 PM3 (12 to 15 yrs) / B5 (min 8 yrs)</v>
      </c>
      <c r="P688" s="260"/>
      <c r="Q688" s="265" t="str">
        <f t="shared" si="36"/>
        <v>SOG/ASG/SolutionArchitect/</v>
      </c>
      <c r="R688" s="261" t="str">
        <f t="shared" si="34"/>
        <v>B4 PM3 (12 to 15 yrs) / B5 (min 8 yrs)</v>
      </c>
      <c r="S688" s="260" t="str">
        <f t="shared" si="35"/>
        <v>SOG_2</v>
      </c>
      <c r="T688" s="262" t="b">
        <v>0</v>
      </c>
      <c r="U688" s="263" t="str">
        <f>+VLOOKUP($C688,[8]GRC!$B$3:$L$350,9,0)</f>
        <v>B4 PM3 (12 to 15 yrs)</v>
      </c>
      <c r="V688" s="263" t="str">
        <f>+VLOOKUP($C688,[8]GRC!$B$3:$L$350,10,0)</f>
        <v>B5 (min 8 yrs)</v>
      </c>
      <c r="W688" s="263" t="b">
        <f t="shared" si="33"/>
        <v>1</v>
      </c>
      <c r="X688" s="263" t="b">
        <f t="shared" si="33"/>
        <v>1</v>
      </c>
    </row>
    <row r="689" spans="1:24" ht="15">
      <c r="A689" s="93">
        <v>185</v>
      </c>
      <c r="B689" s="94" t="s">
        <v>536</v>
      </c>
      <c r="C689" s="295" t="s">
        <v>1003</v>
      </c>
      <c r="D689" s="94" t="str">
        <f>+[7]GRC!D187</f>
        <v>SOG</v>
      </c>
      <c r="E689" s="94" t="s">
        <v>30</v>
      </c>
      <c r="F689" s="94" t="s">
        <v>85</v>
      </c>
      <c r="G689" s="94" t="s">
        <v>348</v>
      </c>
      <c r="H689" s="94" t="s">
        <v>537</v>
      </c>
      <c r="I689" s="94"/>
      <c r="J689" s="94" t="s">
        <v>139</v>
      </c>
      <c r="K689" s="94" t="s">
        <v>13</v>
      </c>
      <c r="L689" s="94" t="s">
        <v>71</v>
      </c>
      <c r="M689" s="94" t="s">
        <v>71</v>
      </c>
      <c r="N689" s="94" t="s">
        <v>138</v>
      </c>
      <c r="O689" s="259" t="str">
        <f t="shared" si="32"/>
        <v>B5 (min 8 yrs) / None</v>
      </c>
      <c r="P689" s="260"/>
      <c r="Q689" s="260" t="str">
        <f t="shared" si="36"/>
        <v>SOG/ASG/EnterpriseArchitect/</v>
      </c>
      <c r="R689" s="261" t="str">
        <f t="shared" si="34"/>
        <v>B5 (min 8 yrs) / None</v>
      </c>
      <c r="S689" s="260" t="str">
        <f t="shared" si="35"/>
        <v>SOG_3</v>
      </c>
      <c r="T689" s="262" t="b">
        <v>0</v>
      </c>
      <c r="U689" s="263" t="str">
        <f>+VLOOKUP($C689,[8]GRC!$B$3:$L$350,9,0)</f>
        <v>B5 (min 8 yrs)</v>
      </c>
      <c r="V689" s="263" t="str">
        <f>+VLOOKUP($C689,[8]GRC!$B$3:$L$350,10,0)</f>
        <v>None</v>
      </c>
      <c r="W689" s="263" t="b">
        <f t="shared" si="33"/>
        <v>1</v>
      </c>
      <c r="X689" s="263" t="b">
        <f t="shared" si="33"/>
        <v>1</v>
      </c>
    </row>
    <row r="690" spans="1:24" ht="15">
      <c r="A690" s="93">
        <v>186</v>
      </c>
      <c r="B690" s="94" t="s">
        <v>538</v>
      </c>
      <c r="C690" s="295" t="s">
        <v>1004</v>
      </c>
      <c r="D690" s="94" t="str">
        <f>+[7]GRC!D188</f>
        <v>SOG</v>
      </c>
      <c r="E690" s="94" t="s">
        <v>30</v>
      </c>
      <c r="F690" s="94" t="s">
        <v>93</v>
      </c>
      <c r="G690" s="94" t="s">
        <v>262</v>
      </c>
      <c r="H690" s="94"/>
      <c r="I690" s="94" t="s">
        <v>84</v>
      </c>
      <c r="J690" s="94" t="s">
        <v>153</v>
      </c>
      <c r="K690" s="94" t="s">
        <v>18</v>
      </c>
      <c r="L690" s="94" t="s">
        <v>71</v>
      </c>
      <c r="M690" s="94" t="s">
        <v>71</v>
      </c>
      <c r="N690" s="94" t="s">
        <v>138</v>
      </c>
      <c r="O690" s="259" t="str">
        <f t="shared" si="32"/>
        <v>B2 AP3 (3 to 5 yrs) / None</v>
      </c>
      <c r="P690" s="260"/>
      <c r="Q690" s="260" t="str">
        <f t="shared" si="36"/>
        <v>SOG/BIDW/AdministratorBIDW/Junior</v>
      </c>
      <c r="R690" s="261" t="str">
        <f t="shared" si="34"/>
        <v>B2 AP3 (3 to 5 yrs) / None</v>
      </c>
      <c r="S690" s="260" t="str">
        <f t="shared" si="35"/>
        <v>SOG_129</v>
      </c>
      <c r="T690" s="262" t="b">
        <v>0</v>
      </c>
      <c r="U690" s="263" t="str">
        <f>+VLOOKUP($C690,[8]GRC!$B$3:$L$350,9,0)</f>
        <v>B2 AP3 (3 to 5 yrs)</v>
      </c>
      <c r="V690" s="263" t="str">
        <f>+VLOOKUP($C690,[8]GRC!$B$3:$L$350,10,0)</f>
        <v>None</v>
      </c>
      <c r="W690" s="263" t="b">
        <f t="shared" si="33"/>
        <v>1</v>
      </c>
      <c r="X690" s="263" t="b">
        <f t="shared" si="33"/>
        <v>1</v>
      </c>
    </row>
    <row r="691" spans="1:24" ht="15">
      <c r="A691" s="93">
        <v>187</v>
      </c>
      <c r="B691" s="94" t="s">
        <v>539</v>
      </c>
      <c r="C691" s="295" t="s">
        <v>1005</v>
      </c>
      <c r="D691" s="94" t="str">
        <f>+[7]GRC!D189</f>
        <v>SOG</v>
      </c>
      <c r="E691" s="94" t="s">
        <v>30</v>
      </c>
      <c r="F691" s="94" t="s">
        <v>93</v>
      </c>
      <c r="G691" s="94" t="s">
        <v>262</v>
      </c>
      <c r="H691" s="94"/>
      <c r="I691" s="94" t="s">
        <v>193</v>
      </c>
      <c r="J691" s="94" t="s">
        <v>145</v>
      </c>
      <c r="K691" s="94" t="s">
        <v>17</v>
      </c>
      <c r="L691" s="94" t="s">
        <v>16</v>
      </c>
      <c r="M691" s="94" t="s">
        <v>71</v>
      </c>
      <c r="N691" s="94" t="s">
        <v>138</v>
      </c>
      <c r="O691" s="259" t="str">
        <f t="shared" si="32"/>
        <v>B3 PL1 (5 to 7 yrs) / B3 PL2 (6 to 8 yrs)</v>
      </c>
      <c r="P691" s="260"/>
      <c r="Q691" s="260" t="str">
        <f t="shared" si="36"/>
        <v>SOG/BIDW/AdministratorBIDW/MidLevel</v>
      </c>
      <c r="R691" s="261" t="str">
        <f t="shared" si="34"/>
        <v>B3 PL1 (5 to 7 yrs) / B3 PL2 (6 to 8 yrs)</v>
      </c>
      <c r="S691" s="260" t="str">
        <f t="shared" si="35"/>
        <v>SOG_130</v>
      </c>
      <c r="T691" s="262" t="b">
        <v>0</v>
      </c>
      <c r="U691" s="263" t="str">
        <f>+VLOOKUP($C691,[8]GRC!$B$3:$L$350,9,0)</f>
        <v>B3 PL1 (5 to 7 yrs)</v>
      </c>
      <c r="V691" s="263" t="str">
        <f>+VLOOKUP($C691,[8]GRC!$B$3:$L$350,10,0)</f>
        <v>B3 PL2 (6 to 8 yrs)</v>
      </c>
      <c r="W691" s="263" t="b">
        <f t="shared" si="33"/>
        <v>1</v>
      </c>
      <c r="X691" s="263" t="b">
        <f t="shared" si="33"/>
        <v>1</v>
      </c>
    </row>
    <row r="692" spans="1:24" ht="15">
      <c r="A692" s="93">
        <v>188</v>
      </c>
      <c r="B692" s="94" t="s">
        <v>540</v>
      </c>
      <c r="C692" s="295" t="s">
        <v>1006</v>
      </c>
      <c r="D692" s="94" t="str">
        <f>+[7]GRC!D190</f>
        <v>SOG</v>
      </c>
      <c r="E692" s="94" t="s">
        <v>30</v>
      </c>
      <c r="F692" s="94" t="s">
        <v>93</v>
      </c>
      <c r="G692" s="94" t="s">
        <v>262</v>
      </c>
      <c r="H692" s="94"/>
      <c r="I692" s="94" t="s">
        <v>91</v>
      </c>
      <c r="J692" s="94" t="s">
        <v>147</v>
      </c>
      <c r="K692" s="94" t="s">
        <v>16</v>
      </c>
      <c r="L692" s="94" t="s">
        <v>15</v>
      </c>
      <c r="M692" s="94" t="s">
        <v>71</v>
      </c>
      <c r="N692" s="94" t="s">
        <v>138</v>
      </c>
      <c r="O692" s="259" t="str">
        <f t="shared" si="32"/>
        <v>B3 PL2 (6 to 8 yrs) / B3 PL3 (7 to 10 yrs)</v>
      </c>
      <c r="P692" s="260"/>
      <c r="Q692" s="260" t="str">
        <f t="shared" si="36"/>
        <v>SOG/BIDW/AdministratorBIDW/Senior</v>
      </c>
      <c r="R692" s="261" t="str">
        <f t="shared" si="34"/>
        <v>B3 PL2 (6 to 8 yrs) / B3 PL3 (7 to 10 yrs)</v>
      </c>
      <c r="S692" s="260" t="str">
        <f t="shared" si="35"/>
        <v>SOG_131</v>
      </c>
      <c r="T692" s="262" t="b">
        <v>0</v>
      </c>
      <c r="U692" s="263" t="str">
        <f>+VLOOKUP($C692,[8]GRC!$B$3:$L$350,9,0)</f>
        <v>B3 PL2 (6 to 8 yrs)</v>
      </c>
      <c r="V692" s="263" t="str">
        <f>+VLOOKUP($C692,[8]GRC!$B$3:$L$350,10,0)</f>
        <v>B3 PL3 (7 to 10 yrs)</v>
      </c>
      <c r="W692" s="263" t="b">
        <f t="shared" si="33"/>
        <v>1</v>
      </c>
      <c r="X692" s="263" t="b">
        <f t="shared" si="33"/>
        <v>1</v>
      </c>
    </row>
    <row r="693" spans="1:24" ht="15">
      <c r="A693" s="93">
        <v>189</v>
      </c>
      <c r="B693" s="94" t="s">
        <v>541</v>
      </c>
      <c r="C693" s="295" t="s">
        <v>1007</v>
      </c>
      <c r="D693" s="94" t="str">
        <f>+[7]GRC!D191</f>
        <v>SOG</v>
      </c>
      <c r="E693" s="94" t="s">
        <v>30</v>
      </c>
      <c r="F693" s="94" t="s">
        <v>93</v>
      </c>
      <c r="G693" s="94" t="s">
        <v>263</v>
      </c>
      <c r="H693" s="94"/>
      <c r="I693" s="94" t="s">
        <v>84</v>
      </c>
      <c r="J693" s="94" t="s">
        <v>148</v>
      </c>
      <c r="K693" s="94" t="s">
        <v>14</v>
      </c>
      <c r="L693" s="94" t="s">
        <v>71</v>
      </c>
      <c r="M693" s="94" t="s">
        <v>71</v>
      </c>
      <c r="N693" s="94" t="s">
        <v>138</v>
      </c>
      <c r="O693" s="259" t="str">
        <f t="shared" si="32"/>
        <v>B4 PM1 (9 to 12 yrs) / None</v>
      </c>
      <c r="P693" s="260"/>
      <c r="Q693" s="260" t="str">
        <f t="shared" si="36"/>
        <v>SOG/BIDW/ArchitectBIDW/Junior</v>
      </c>
      <c r="R693" s="261" t="str">
        <f t="shared" si="34"/>
        <v>B4 PM1 (9 to 12 yrs) / None</v>
      </c>
      <c r="S693" s="260" t="str">
        <f t="shared" si="35"/>
        <v>SOG_5</v>
      </c>
      <c r="T693" s="262" t="b">
        <v>0</v>
      </c>
      <c r="U693" s="263" t="str">
        <f>+VLOOKUP($C693,[8]GRC!$B$3:$L$350,9,0)</f>
        <v>B4 PM1 (9 to 12 yrs)</v>
      </c>
      <c r="V693" s="263" t="str">
        <f>+VLOOKUP($C693,[8]GRC!$B$3:$L$350,10,0)</f>
        <v>None</v>
      </c>
      <c r="W693" s="263" t="b">
        <f t="shared" si="33"/>
        <v>1</v>
      </c>
      <c r="X693" s="263" t="b">
        <f t="shared" si="33"/>
        <v>1</v>
      </c>
    </row>
    <row r="694" spans="1:24" ht="15">
      <c r="A694" s="93">
        <v>190</v>
      </c>
      <c r="B694" s="94" t="s">
        <v>542</v>
      </c>
      <c r="C694" s="295" t="s">
        <v>1008</v>
      </c>
      <c r="D694" s="94" t="str">
        <f>+[7]GRC!D192</f>
        <v>SOG</v>
      </c>
      <c r="E694" s="94" t="s">
        <v>30</v>
      </c>
      <c r="F694" s="94" t="s">
        <v>93</v>
      </c>
      <c r="G694" s="94" t="s">
        <v>263</v>
      </c>
      <c r="H694" s="94"/>
      <c r="I694" s="94" t="s">
        <v>193</v>
      </c>
      <c r="J694" s="94" t="s">
        <v>186</v>
      </c>
      <c r="K694" s="94" t="s">
        <v>42</v>
      </c>
      <c r="L694" s="94" t="s">
        <v>41</v>
      </c>
      <c r="M694" s="94" t="s">
        <v>71</v>
      </c>
      <c r="N694" s="94" t="s">
        <v>138</v>
      </c>
      <c r="O694" s="259" t="str">
        <f t="shared" si="32"/>
        <v>B4 PM2 (10 to 14 yrs) / B4 PM3 (12 to 15 yrs)</v>
      </c>
      <c r="P694" s="260"/>
      <c r="Q694" s="260" t="str">
        <f t="shared" si="36"/>
        <v>SOG/BIDW/ArchitectBIDW/MidLevel</v>
      </c>
      <c r="R694" s="261" t="str">
        <f t="shared" si="34"/>
        <v>B4 PM2 (10 to 14 yrs) / B4 PM3 (12 to 15 yrs)</v>
      </c>
      <c r="S694" s="260" t="str">
        <f t="shared" si="35"/>
        <v>SOG_6</v>
      </c>
      <c r="T694" s="262" t="b">
        <v>0</v>
      </c>
      <c r="U694" s="263" t="str">
        <f>+VLOOKUP($C694,[8]GRC!$B$3:$L$350,9,0)</f>
        <v>B4 PM2 (10 to 14 yrs)</v>
      </c>
      <c r="V694" s="263" t="str">
        <f>+VLOOKUP($C694,[8]GRC!$B$3:$L$350,10,0)</f>
        <v>B4 PM3 (12 to 15 yrs)</v>
      </c>
      <c r="W694" s="263" t="b">
        <f t="shared" si="33"/>
        <v>1</v>
      </c>
      <c r="X694" s="263" t="b">
        <f t="shared" si="33"/>
        <v>1</v>
      </c>
    </row>
    <row r="695" spans="1:24" ht="15">
      <c r="A695" s="93">
        <v>191</v>
      </c>
      <c r="B695" s="94" t="s">
        <v>543</v>
      </c>
      <c r="C695" s="295" t="s">
        <v>1009</v>
      </c>
      <c r="D695" s="94" t="str">
        <f>+[7]GRC!D193</f>
        <v>SOG</v>
      </c>
      <c r="E695" s="94" t="s">
        <v>30</v>
      </c>
      <c r="F695" s="94" t="s">
        <v>93</v>
      </c>
      <c r="G695" s="94" t="s">
        <v>263</v>
      </c>
      <c r="H695" s="94"/>
      <c r="I695" s="94" t="s">
        <v>91</v>
      </c>
      <c r="J695" s="94" t="s">
        <v>139</v>
      </c>
      <c r="K695" s="94" t="s">
        <v>41</v>
      </c>
      <c r="L695" s="94" t="s">
        <v>13</v>
      </c>
      <c r="M695" s="94" t="s">
        <v>71</v>
      </c>
      <c r="N695" s="94" t="s">
        <v>138</v>
      </c>
      <c r="O695" s="259" t="str">
        <f t="shared" si="32"/>
        <v>B4 PM3 (12 to 15 yrs) / B5 (min 8 yrs)</v>
      </c>
      <c r="P695" s="260"/>
      <c r="Q695" s="260" t="str">
        <f t="shared" si="36"/>
        <v>SOG/BIDW/ArchitectBIDW/Senior</v>
      </c>
      <c r="R695" s="261" t="str">
        <f t="shared" si="34"/>
        <v>B4 PM3 (12 to 15 yrs) / B5 (min 8 yrs)</v>
      </c>
      <c r="S695" s="260" t="str">
        <f t="shared" si="35"/>
        <v>SOG_7</v>
      </c>
      <c r="T695" s="262" t="b">
        <v>0</v>
      </c>
      <c r="U695" s="263" t="str">
        <f>+VLOOKUP($C695,[8]GRC!$B$3:$L$350,9,0)</f>
        <v>B4 PM3 (12 to 15 yrs)</v>
      </c>
      <c r="V695" s="263" t="str">
        <f>+VLOOKUP($C695,[8]GRC!$B$3:$L$350,10,0)</f>
        <v>B5 (min 8 yrs)</v>
      </c>
      <c r="W695" s="263" t="b">
        <f t="shared" si="33"/>
        <v>1</v>
      </c>
      <c r="X695" s="263" t="b">
        <f t="shared" si="33"/>
        <v>1</v>
      </c>
    </row>
    <row r="696" spans="1:24" ht="15">
      <c r="A696" s="93">
        <v>192</v>
      </c>
      <c r="B696" s="94" t="s">
        <v>544</v>
      </c>
      <c r="C696" s="295" t="s">
        <v>1010</v>
      </c>
      <c r="D696" s="94" t="str">
        <f>+[7]GRC!D194</f>
        <v>SOG</v>
      </c>
      <c r="E696" s="94" t="s">
        <v>30</v>
      </c>
      <c r="F696" s="94" t="s">
        <v>93</v>
      </c>
      <c r="G696" s="94" t="s">
        <v>333</v>
      </c>
      <c r="H696" s="94"/>
      <c r="I696" s="94"/>
      <c r="J696" s="94" t="s">
        <v>151</v>
      </c>
      <c r="K696" s="94" t="s">
        <v>17</v>
      </c>
      <c r="L696" s="94" t="s">
        <v>16</v>
      </c>
      <c r="M696" s="94" t="s">
        <v>71</v>
      </c>
      <c r="N696" s="94" t="s">
        <v>138</v>
      </c>
      <c r="O696" s="259" t="str">
        <f t="shared" si="32"/>
        <v>B3 PL1 (5 to 7 yrs) / B3 PL2 (6 to 8 yrs)</v>
      </c>
      <c r="P696" s="260"/>
      <c r="Q696" s="260" t="str">
        <f t="shared" si="36"/>
        <v>SOG/BIDW/DataModelerBIDW/</v>
      </c>
      <c r="R696" s="261" t="str">
        <f t="shared" si="34"/>
        <v>B3 PL1 (5 to 7 yrs) / B3 PL2 (6 to 8 yrs)</v>
      </c>
      <c r="S696" s="260" t="str">
        <f t="shared" si="35"/>
        <v>SOG_8</v>
      </c>
      <c r="T696" s="262" t="b">
        <v>0</v>
      </c>
      <c r="U696" s="263" t="str">
        <f>+VLOOKUP($C696,[8]GRC!$B$3:$L$350,9,0)</f>
        <v>B3 PL1 (5 to 7 yrs)</v>
      </c>
      <c r="V696" s="263" t="str">
        <f>+VLOOKUP($C696,[8]GRC!$B$3:$L$350,10,0)</f>
        <v>B3 PL2 (6 to 8 yrs)</v>
      </c>
      <c r="W696" s="263" t="b">
        <f t="shared" si="33"/>
        <v>1</v>
      </c>
      <c r="X696" s="263" t="b">
        <f t="shared" si="33"/>
        <v>1</v>
      </c>
    </row>
    <row r="697" spans="1:24" ht="15">
      <c r="A697" s="93">
        <v>193</v>
      </c>
      <c r="B697" s="94" t="s">
        <v>545</v>
      </c>
      <c r="C697" s="295" t="s">
        <v>1011</v>
      </c>
      <c r="D697" s="94" t="str">
        <f>+[7]GRC!D195</f>
        <v>SOG</v>
      </c>
      <c r="E697" s="94" t="s">
        <v>30</v>
      </c>
      <c r="F697" s="94" t="s">
        <v>93</v>
      </c>
      <c r="G697" s="94" t="s">
        <v>264</v>
      </c>
      <c r="H697" s="94" t="s">
        <v>108</v>
      </c>
      <c r="I697" s="94" t="s">
        <v>84</v>
      </c>
      <c r="J697" s="94" t="s">
        <v>150</v>
      </c>
      <c r="K697" s="94" t="s">
        <v>20</v>
      </c>
      <c r="L697" s="94" t="s">
        <v>19</v>
      </c>
      <c r="M697" s="94" t="s">
        <v>71</v>
      </c>
      <c r="N697" s="94" t="s">
        <v>138</v>
      </c>
      <c r="O697" s="259" t="str">
        <f t="shared" ref="O697:O760" si="37">+K697&amp;" / " &amp;L697</f>
        <v>B2 AP1 / B2 AP2 (0.6 to 3 yrs)</v>
      </c>
      <c r="P697" s="260"/>
      <c r="Q697" s="260" t="str">
        <f t="shared" si="36"/>
        <v>SOG/BIDW/DeveloperBIDWCognos/Junior</v>
      </c>
      <c r="R697" s="261" t="str">
        <f t="shared" si="34"/>
        <v>B2 AP1 / B2 AP2 (0.6 to 3 yrs)</v>
      </c>
      <c r="S697" s="260" t="str">
        <f t="shared" si="35"/>
        <v>SOG_10</v>
      </c>
      <c r="T697" s="262" t="b">
        <v>0</v>
      </c>
      <c r="U697" s="263" t="str">
        <f>+VLOOKUP($C697,[8]GRC!$B$3:$L$350,9,0)</f>
        <v>B2 AP1</v>
      </c>
      <c r="V697" s="263" t="str">
        <f>+VLOOKUP($C697,[8]GRC!$B$3:$L$350,10,0)</f>
        <v>B2 AP2 (0.6 to 3 yrs)</v>
      </c>
      <c r="W697" s="263" t="b">
        <f t="shared" ref="W697:X759" si="38">+U697=K697</f>
        <v>1</v>
      </c>
      <c r="X697" s="263" t="b">
        <f t="shared" si="38"/>
        <v>1</v>
      </c>
    </row>
    <row r="698" spans="1:24" ht="15">
      <c r="A698" s="93">
        <v>194</v>
      </c>
      <c r="B698" s="94" t="s">
        <v>546</v>
      </c>
      <c r="C698" s="295" t="s">
        <v>1012</v>
      </c>
      <c r="D698" s="94" t="str">
        <f>+[7]GRC!D196</f>
        <v>SOG</v>
      </c>
      <c r="E698" s="94" t="s">
        <v>30</v>
      </c>
      <c r="F698" s="94" t="s">
        <v>93</v>
      </c>
      <c r="G698" s="94" t="s">
        <v>264</v>
      </c>
      <c r="H698" s="94" t="s">
        <v>108</v>
      </c>
      <c r="I698" s="94" t="s">
        <v>193</v>
      </c>
      <c r="J698" s="94" t="s">
        <v>153</v>
      </c>
      <c r="K698" s="94" t="s">
        <v>19</v>
      </c>
      <c r="L698" s="94" t="s">
        <v>18</v>
      </c>
      <c r="M698" s="94" t="s">
        <v>71</v>
      </c>
      <c r="N698" s="94" t="s">
        <v>138</v>
      </c>
      <c r="O698" s="259" t="str">
        <f t="shared" si="37"/>
        <v>B2 AP2 (0.6 to 3 yrs) / B2 AP3 (3 to 5 yrs)</v>
      </c>
      <c r="P698" s="260"/>
      <c r="Q698" s="260" t="str">
        <f t="shared" si="36"/>
        <v>SOG/BIDW/DeveloperBIDWCognos/MidLevel</v>
      </c>
      <c r="R698" s="261" t="str">
        <f t="shared" ref="R698:R761" si="39">+O698</f>
        <v>B2 AP2 (0.6 to 3 yrs) / B2 AP3 (3 to 5 yrs)</v>
      </c>
      <c r="S698" s="260" t="str">
        <f t="shared" ref="S698:S761" si="40">+C698</f>
        <v>SOG_11</v>
      </c>
      <c r="T698" s="262" t="b">
        <v>0</v>
      </c>
      <c r="U698" s="263" t="str">
        <f>+VLOOKUP($C698,[8]GRC!$B$3:$L$350,9,0)</f>
        <v>B2 AP2 (0.6 to 3 yrs)</v>
      </c>
      <c r="V698" s="263" t="str">
        <f>+VLOOKUP($C698,[8]GRC!$B$3:$L$350,10,0)</f>
        <v>B2 AP3 (3 to 5 yrs)</v>
      </c>
      <c r="W698" s="263" t="b">
        <f t="shared" si="38"/>
        <v>1</v>
      </c>
      <c r="X698" s="263" t="b">
        <f t="shared" si="38"/>
        <v>1</v>
      </c>
    </row>
    <row r="699" spans="1:24" ht="15">
      <c r="A699" s="93">
        <v>195</v>
      </c>
      <c r="B699" s="94" t="s">
        <v>547</v>
      </c>
      <c r="C699" s="295" t="s">
        <v>1013</v>
      </c>
      <c r="D699" s="94" t="str">
        <f>+[7]GRC!D197</f>
        <v>SOG</v>
      </c>
      <c r="E699" s="94" t="s">
        <v>30</v>
      </c>
      <c r="F699" s="94" t="s">
        <v>93</v>
      </c>
      <c r="G699" s="94" t="s">
        <v>264</v>
      </c>
      <c r="H699" s="94" t="s">
        <v>108</v>
      </c>
      <c r="I699" s="94" t="s">
        <v>91</v>
      </c>
      <c r="J699" s="94" t="s">
        <v>145</v>
      </c>
      <c r="K699" s="94" t="s">
        <v>18</v>
      </c>
      <c r="L699" s="94" t="s">
        <v>17</v>
      </c>
      <c r="M699" s="94" t="s">
        <v>71</v>
      </c>
      <c r="N699" s="94" t="s">
        <v>138</v>
      </c>
      <c r="O699" s="259" t="str">
        <f t="shared" si="37"/>
        <v>B2 AP3 (3 to 5 yrs) / B3 PL1 (5 to 7 yrs)</v>
      </c>
      <c r="P699" s="260"/>
      <c r="Q699" s="260" t="str">
        <f t="shared" ref="Q699:Q762" si="41">+E699&amp;"/"&amp;F699&amp;"/"&amp;G699&amp;"/"&amp;I699</f>
        <v>SOG/BIDW/DeveloperBIDWCognos/Senior</v>
      </c>
      <c r="R699" s="261" t="str">
        <f t="shared" si="39"/>
        <v>B2 AP3 (3 to 5 yrs) / B3 PL1 (5 to 7 yrs)</v>
      </c>
      <c r="S699" s="260" t="str">
        <f t="shared" si="40"/>
        <v>SOG_12</v>
      </c>
      <c r="T699" s="262" t="b">
        <v>0</v>
      </c>
      <c r="U699" s="263" t="str">
        <f>+VLOOKUP($C699,[8]GRC!$B$3:$L$350,9,0)</f>
        <v>B2 AP3 (3 to 5 yrs)</v>
      </c>
      <c r="V699" s="263" t="str">
        <f>+VLOOKUP($C699,[8]GRC!$B$3:$L$350,10,0)</f>
        <v>B3 PL1 (5 to 7 yrs)</v>
      </c>
      <c r="W699" s="263" t="b">
        <f t="shared" si="38"/>
        <v>1</v>
      </c>
      <c r="X699" s="263" t="b">
        <f t="shared" si="38"/>
        <v>1</v>
      </c>
    </row>
    <row r="700" spans="1:24" ht="15">
      <c r="A700" s="93">
        <v>196</v>
      </c>
      <c r="B700" s="94" t="s">
        <v>548</v>
      </c>
      <c r="C700" s="295" t="s">
        <v>1014</v>
      </c>
      <c r="D700" s="94" t="str">
        <f>+[7]GRC!D198</f>
        <v>SOG</v>
      </c>
      <c r="E700" s="94" t="s">
        <v>30</v>
      </c>
      <c r="F700" s="94" t="s">
        <v>93</v>
      </c>
      <c r="G700" s="94" t="s">
        <v>265</v>
      </c>
      <c r="H700" s="94"/>
      <c r="I700" s="94" t="s">
        <v>84</v>
      </c>
      <c r="J700" s="94" t="s">
        <v>150</v>
      </c>
      <c r="K700" s="94" t="s">
        <v>20</v>
      </c>
      <c r="L700" s="94" t="s">
        <v>19</v>
      </c>
      <c r="M700" s="94" t="s">
        <v>71</v>
      </c>
      <c r="N700" s="94" t="s">
        <v>138</v>
      </c>
      <c r="O700" s="259" t="str">
        <f t="shared" si="37"/>
        <v>B2 AP1 / B2 AP2 (0.6 to 3 yrs)</v>
      </c>
      <c r="P700" s="260"/>
      <c r="Q700" s="260" t="str">
        <f t="shared" si="41"/>
        <v>SOG/BIDW/DeveloperBIDW/Junior</v>
      </c>
      <c r="R700" s="261" t="str">
        <f t="shared" si="39"/>
        <v>B2 AP1 / B2 AP2 (0.6 to 3 yrs)</v>
      </c>
      <c r="S700" s="260" t="str">
        <f t="shared" si="40"/>
        <v>SOG_13</v>
      </c>
      <c r="T700" s="262" t="b">
        <v>0</v>
      </c>
      <c r="U700" s="263" t="str">
        <f>+VLOOKUP($C700,[8]GRC!$B$3:$L$350,9,0)</f>
        <v>B2 AP1</v>
      </c>
      <c r="V700" s="263" t="str">
        <f>+VLOOKUP($C700,[8]GRC!$B$3:$L$350,10,0)</f>
        <v>B2 AP2 (0.6 to 3 yrs)</v>
      </c>
      <c r="W700" s="263" t="b">
        <f t="shared" si="38"/>
        <v>1</v>
      </c>
      <c r="X700" s="263" t="b">
        <f t="shared" si="38"/>
        <v>1</v>
      </c>
    </row>
    <row r="701" spans="1:24" ht="15">
      <c r="A701" s="93">
        <v>197</v>
      </c>
      <c r="B701" s="94" t="s">
        <v>549</v>
      </c>
      <c r="C701" s="295" t="s">
        <v>1015</v>
      </c>
      <c r="D701" s="94" t="str">
        <f>+[7]GRC!D199</f>
        <v>SOG</v>
      </c>
      <c r="E701" s="94" t="s">
        <v>30</v>
      </c>
      <c r="F701" s="94" t="s">
        <v>93</v>
      </c>
      <c r="G701" s="94" t="s">
        <v>265</v>
      </c>
      <c r="H701" s="94"/>
      <c r="I701" s="94" t="s">
        <v>193</v>
      </c>
      <c r="J701" s="94" t="s">
        <v>151</v>
      </c>
      <c r="K701" s="94" t="s">
        <v>19</v>
      </c>
      <c r="L701" s="94" t="s">
        <v>18</v>
      </c>
      <c r="M701" s="94" t="s">
        <v>71</v>
      </c>
      <c r="N701" s="94" t="s">
        <v>138</v>
      </c>
      <c r="O701" s="259" t="str">
        <f t="shared" si="37"/>
        <v>B2 AP2 (0.6 to 3 yrs) / B2 AP3 (3 to 5 yrs)</v>
      </c>
      <c r="P701" s="260"/>
      <c r="Q701" s="260" t="str">
        <f t="shared" si="41"/>
        <v>SOG/BIDW/DeveloperBIDW/MidLevel</v>
      </c>
      <c r="R701" s="261" t="str">
        <f t="shared" si="39"/>
        <v>B2 AP2 (0.6 to 3 yrs) / B2 AP3 (3 to 5 yrs)</v>
      </c>
      <c r="S701" s="260" t="str">
        <f t="shared" si="40"/>
        <v>SOG_14</v>
      </c>
      <c r="T701" s="262" t="b">
        <v>0</v>
      </c>
      <c r="U701" s="263" t="str">
        <f>+VLOOKUP($C701,[8]GRC!$B$3:$L$350,9,0)</f>
        <v>B2 AP2 (0.6 to 3 yrs)</v>
      </c>
      <c r="V701" s="263" t="str">
        <f>+VLOOKUP($C701,[8]GRC!$B$3:$L$350,10,0)</f>
        <v>B2 AP3 (3 to 5 yrs)</v>
      </c>
      <c r="W701" s="263" t="b">
        <f t="shared" si="38"/>
        <v>1</v>
      </c>
      <c r="X701" s="263" t="b">
        <f t="shared" si="38"/>
        <v>1</v>
      </c>
    </row>
    <row r="702" spans="1:24" ht="15">
      <c r="A702" s="95">
        <v>198</v>
      </c>
      <c r="B702" s="96" t="s">
        <v>550</v>
      </c>
      <c r="C702" s="295" t="s">
        <v>1016</v>
      </c>
      <c r="D702" s="94" t="str">
        <f>+[7]GRC!D200</f>
        <v>SOG</v>
      </c>
      <c r="E702" s="94" t="s">
        <v>30</v>
      </c>
      <c r="F702" s="94" t="s">
        <v>93</v>
      </c>
      <c r="G702" s="94" t="s">
        <v>265</v>
      </c>
      <c r="H702" s="94"/>
      <c r="I702" s="94" t="s">
        <v>91</v>
      </c>
      <c r="J702" s="94" t="s">
        <v>145</v>
      </c>
      <c r="K702" s="94" t="s">
        <v>18</v>
      </c>
      <c r="L702" s="94" t="s">
        <v>17</v>
      </c>
      <c r="M702" s="94" t="s">
        <v>71</v>
      </c>
      <c r="N702" s="94" t="s">
        <v>138</v>
      </c>
      <c r="O702" s="259" t="str">
        <f t="shared" si="37"/>
        <v>B2 AP3 (3 to 5 yrs) / B3 PL1 (5 to 7 yrs)</v>
      </c>
      <c r="P702" s="260"/>
      <c r="Q702" s="260" t="str">
        <f t="shared" si="41"/>
        <v>SOG/BIDW/DeveloperBIDW/Senior</v>
      </c>
      <c r="R702" s="261" t="str">
        <f t="shared" si="39"/>
        <v>B2 AP3 (3 to 5 yrs) / B3 PL1 (5 to 7 yrs)</v>
      </c>
      <c r="S702" s="260" t="str">
        <f t="shared" si="40"/>
        <v>SOG_15</v>
      </c>
      <c r="T702" s="262" t="b">
        <v>0</v>
      </c>
      <c r="U702" s="263" t="str">
        <f>+VLOOKUP($C702,[8]GRC!$B$3:$L$350,9,0)</f>
        <v>B2 AP3 (3 to 5 yrs)</v>
      </c>
      <c r="V702" s="263" t="str">
        <f>+VLOOKUP($C702,[8]GRC!$B$3:$L$350,10,0)</f>
        <v>B3 PL1 (5 to 7 yrs)</v>
      </c>
      <c r="W702" s="263" t="b">
        <f t="shared" si="38"/>
        <v>1</v>
      </c>
      <c r="X702" s="263" t="b">
        <f t="shared" si="38"/>
        <v>1</v>
      </c>
    </row>
    <row r="703" spans="1:24" ht="15">
      <c r="A703" s="93">
        <v>199</v>
      </c>
      <c r="B703" s="94" t="s">
        <v>551</v>
      </c>
      <c r="C703" s="295" t="s">
        <v>1017</v>
      </c>
      <c r="D703" s="94" t="str">
        <f>+[7]GRC!D201</f>
        <v>SOG</v>
      </c>
      <c r="E703" s="94" t="s">
        <v>30</v>
      </c>
      <c r="F703" s="94" t="s">
        <v>93</v>
      </c>
      <c r="G703" s="94" t="s">
        <v>266</v>
      </c>
      <c r="H703" s="94" t="s">
        <v>171</v>
      </c>
      <c r="I703" s="94" t="s">
        <v>84</v>
      </c>
      <c r="J703" s="94" t="s">
        <v>150</v>
      </c>
      <c r="K703" s="94" t="s">
        <v>20</v>
      </c>
      <c r="L703" s="94" t="s">
        <v>19</v>
      </c>
      <c r="M703" s="94" t="s">
        <v>71</v>
      </c>
      <c r="N703" s="94" t="s">
        <v>138</v>
      </c>
      <c r="O703" s="259" t="str">
        <f t="shared" si="37"/>
        <v>B2 AP1 / B2 AP2 (0.6 to 3 yrs)</v>
      </c>
      <c r="P703" s="260"/>
      <c r="Q703" s="260" t="str">
        <f t="shared" si="41"/>
        <v>SOG/BIDW/DeveloperBIDWETL/Junior</v>
      </c>
      <c r="R703" s="261" t="str">
        <f t="shared" si="39"/>
        <v>B2 AP1 / B2 AP2 (0.6 to 3 yrs)</v>
      </c>
      <c r="S703" s="260" t="str">
        <f t="shared" si="40"/>
        <v>SOG_16</v>
      </c>
      <c r="T703" s="262" t="b">
        <v>0</v>
      </c>
      <c r="U703" s="263" t="str">
        <f>+VLOOKUP($C703,[8]GRC!$B$3:$L$350,9,0)</f>
        <v>B2 AP1</v>
      </c>
      <c r="V703" s="263" t="str">
        <f>+VLOOKUP($C703,[8]GRC!$B$3:$L$350,10,0)</f>
        <v>B2 AP2 (0.6 to 3 yrs)</v>
      </c>
      <c r="W703" s="263" t="b">
        <f t="shared" si="38"/>
        <v>1</v>
      </c>
      <c r="X703" s="263" t="b">
        <f t="shared" si="38"/>
        <v>1</v>
      </c>
    </row>
    <row r="704" spans="1:24" ht="15">
      <c r="A704" s="93">
        <v>200</v>
      </c>
      <c r="B704" s="94" t="s">
        <v>552</v>
      </c>
      <c r="C704" s="295" t="s">
        <v>1018</v>
      </c>
      <c r="D704" s="94" t="str">
        <f>+[7]GRC!D202</f>
        <v>SOG</v>
      </c>
      <c r="E704" s="94" t="s">
        <v>30</v>
      </c>
      <c r="F704" s="94" t="s">
        <v>93</v>
      </c>
      <c r="G704" s="94" t="s">
        <v>266</v>
      </c>
      <c r="H704" s="94" t="s">
        <v>171</v>
      </c>
      <c r="I704" s="94" t="s">
        <v>193</v>
      </c>
      <c r="J704" s="94" t="s">
        <v>153</v>
      </c>
      <c r="K704" s="94" t="s">
        <v>19</v>
      </c>
      <c r="L704" s="94" t="s">
        <v>18</v>
      </c>
      <c r="M704" s="94" t="s">
        <v>71</v>
      </c>
      <c r="N704" s="94" t="s">
        <v>138</v>
      </c>
      <c r="O704" s="259" t="str">
        <f t="shared" si="37"/>
        <v>B2 AP2 (0.6 to 3 yrs) / B2 AP3 (3 to 5 yrs)</v>
      </c>
      <c r="P704" s="260"/>
      <c r="Q704" s="260" t="str">
        <f t="shared" si="41"/>
        <v>SOG/BIDW/DeveloperBIDWETL/MidLevel</v>
      </c>
      <c r="R704" s="261" t="str">
        <f t="shared" si="39"/>
        <v>B2 AP2 (0.6 to 3 yrs) / B2 AP3 (3 to 5 yrs)</v>
      </c>
      <c r="S704" s="260" t="str">
        <f t="shared" si="40"/>
        <v>SOG_17</v>
      </c>
      <c r="T704" s="262" t="b">
        <v>0</v>
      </c>
      <c r="U704" s="263" t="str">
        <f>+VLOOKUP($C704,[8]GRC!$B$3:$L$350,9,0)</f>
        <v>B2 AP2 (0.6 to 3 yrs)</v>
      </c>
      <c r="V704" s="263" t="str">
        <f>+VLOOKUP($C704,[8]GRC!$B$3:$L$350,10,0)</f>
        <v>B2 AP3 (3 to 5 yrs)</v>
      </c>
      <c r="W704" s="263" t="b">
        <f t="shared" si="38"/>
        <v>1</v>
      </c>
      <c r="X704" s="263" t="b">
        <f t="shared" si="38"/>
        <v>1</v>
      </c>
    </row>
    <row r="705" spans="1:24" ht="15">
      <c r="A705" s="95">
        <v>201</v>
      </c>
      <c r="B705" s="96" t="s">
        <v>553</v>
      </c>
      <c r="C705" s="295" t="s">
        <v>1019</v>
      </c>
      <c r="D705" s="94" t="str">
        <f>+[7]GRC!D203</f>
        <v>SOG</v>
      </c>
      <c r="E705" s="94" t="s">
        <v>30</v>
      </c>
      <c r="F705" s="94" t="s">
        <v>93</v>
      </c>
      <c r="G705" s="94" t="s">
        <v>266</v>
      </c>
      <c r="H705" s="94" t="s">
        <v>171</v>
      </c>
      <c r="I705" s="94" t="s">
        <v>91</v>
      </c>
      <c r="J705" s="94" t="s">
        <v>145</v>
      </c>
      <c r="K705" s="94" t="s">
        <v>18</v>
      </c>
      <c r="L705" s="94" t="s">
        <v>17</v>
      </c>
      <c r="M705" s="94" t="s">
        <v>71</v>
      </c>
      <c r="N705" s="94" t="s">
        <v>138</v>
      </c>
      <c r="O705" s="259" t="str">
        <f t="shared" si="37"/>
        <v>B2 AP3 (3 to 5 yrs) / B3 PL1 (5 to 7 yrs)</v>
      </c>
      <c r="P705" s="260"/>
      <c r="Q705" s="260" t="str">
        <f t="shared" si="41"/>
        <v>SOG/BIDW/DeveloperBIDWETL/Senior</v>
      </c>
      <c r="R705" s="261" t="str">
        <f t="shared" si="39"/>
        <v>B2 AP3 (3 to 5 yrs) / B3 PL1 (5 to 7 yrs)</v>
      </c>
      <c r="S705" s="260" t="str">
        <f t="shared" si="40"/>
        <v>SOG_18</v>
      </c>
      <c r="T705" s="262" t="b">
        <v>0</v>
      </c>
      <c r="U705" s="263" t="str">
        <f>+VLOOKUP($C705,[8]GRC!$B$3:$L$350,9,0)</f>
        <v>B2 AP3 (3 to 5 yrs)</v>
      </c>
      <c r="V705" s="263" t="str">
        <f>+VLOOKUP($C705,[8]GRC!$B$3:$L$350,10,0)</f>
        <v>B3 PL1 (5 to 7 yrs)</v>
      </c>
      <c r="W705" s="263" t="b">
        <f t="shared" si="38"/>
        <v>1</v>
      </c>
      <c r="X705" s="263" t="b">
        <f t="shared" si="38"/>
        <v>1</v>
      </c>
    </row>
    <row r="706" spans="1:24" ht="15">
      <c r="A706" s="93">
        <v>202</v>
      </c>
      <c r="B706" s="94" t="s">
        <v>554</v>
      </c>
      <c r="C706" s="295" t="s">
        <v>1020</v>
      </c>
      <c r="D706" s="94" t="str">
        <f>+[7]GRC!D204</f>
        <v>SOG</v>
      </c>
      <c r="E706" s="94" t="s">
        <v>30</v>
      </c>
      <c r="F706" s="94" t="s">
        <v>93</v>
      </c>
      <c r="G706" s="94" t="s">
        <v>267</v>
      </c>
      <c r="H706" s="94" t="s">
        <v>112</v>
      </c>
      <c r="I706" s="94" t="s">
        <v>84</v>
      </c>
      <c r="J706" s="94" t="s">
        <v>150</v>
      </c>
      <c r="K706" s="94" t="s">
        <v>20</v>
      </c>
      <c r="L706" s="94" t="s">
        <v>19</v>
      </c>
      <c r="M706" s="94" t="s">
        <v>71</v>
      </c>
      <c r="N706" s="94" t="s">
        <v>138</v>
      </c>
      <c r="O706" s="259" t="str">
        <f t="shared" si="37"/>
        <v>B2 AP1 / B2 AP2 (0.6 to 3 yrs)</v>
      </c>
      <c r="P706" s="260"/>
      <c r="Q706" s="260" t="str">
        <f t="shared" si="41"/>
        <v>SOG/BIDW/DeveloperBIDWInformatica/Junior</v>
      </c>
      <c r="R706" s="261" t="str">
        <f t="shared" si="39"/>
        <v>B2 AP1 / B2 AP2 (0.6 to 3 yrs)</v>
      </c>
      <c r="S706" s="260" t="str">
        <f t="shared" si="40"/>
        <v>SOG_19</v>
      </c>
      <c r="T706" s="262" t="b">
        <v>0</v>
      </c>
      <c r="U706" s="263" t="str">
        <f>+VLOOKUP($C706,[8]GRC!$B$3:$L$350,9,0)</f>
        <v>B2 AP1</v>
      </c>
      <c r="V706" s="263" t="str">
        <f>+VLOOKUP($C706,[8]GRC!$B$3:$L$350,10,0)</f>
        <v>B2 AP2 (0.6 to 3 yrs)</v>
      </c>
      <c r="W706" s="263" t="b">
        <f t="shared" si="38"/>
        <v>1</v>
      </c>
      <c r="X706" s="263" t="b">
        <f t="shared" si="38"/>
        <v>1</v>
      </c>
    </row>
    <row r="707" spans="1:24" ht="15">
      <c r="A707" s="93">
        <v>203</v>
      </c>
      <c r="B707" s="94" t="s">
        <v>555</v>
      </c>
      <c r="C707" s="295" t="s">
        <v>1021</v>
      </c>
      <c r="D707" s="94" t="str">
        <f>+[7]GRC!D205</f>
        <v>SOG</v>
      </c>
      <c r="E707" s="94" t="s">
        <v>30</v>
      </c>
      <c r="F707" s="94" t="s">
        <v>93</v>
      </c>
      <c r="G707" s="94" t="s">
        <v>267</v>
      </c>
      <c r="H707" s="94" t="s">
        <v>112</v>
      </c>
      <c r="I707" s="94" t="s">
        <v>193</v>
      </c>
      <c r="J707" s="94" t="s">
        <v>153</v>
      </c>
      <c r="K707" s="94" t="s">
        <v>19</v>
      </c>
      <c r="L707" s="94" t="s">
        <v>18</v>
      </c>
      <c r="M707" s="94" t="s">
        <v>71</v>
      </c>
      <c r="N707" s="94" t="s">
        <v>138</v>
      </c>
      <c r="O707" s="259" t="str">
        <f t="shared" si="37"/>
        <v>B2 AP2 (0.6 to 3 yrs) / B2 AP3 (3 to 5 yrs)</v>
      </c>
      <c r="P707" s="260"/>
      <c r="Q707" s="260" t="str">
        <f t="shared" si="41"/>
        <v>SOG/BIDW/DeveloperBIDWInformatica/MidLevel</v>
      </c>
      <c r="R707" s="261" t="str">
        <f t="shared" si="39"/>
        <v>B2 AP2 (0.6 to 3 yrs) / B2 AP3 (3 to 5 yrs)</v>
      </c>
      <c r="S707" s="260" t="str">
        <f t="shared" si="40"/>
        <v>SOG_20</v>
      </c>
      <c r="T707" s="262" t="b">
        <v>0</v>
      </c>
      <c r="U707" s="263" t="str">
        <f>+VLOOKUP($C707,[8]GRC!$B$3:$L$350,9,0)</f>
        <v>B2 AP2 (0.6 to 3 yrs)</v>
      </c>
      <c r="V707" s="263" t="str">
        <f>+VLOOKUP($C707,[8]GRC!$B$3:$L$350,10,0)</f>
        <v>B2 AP3 (3 to 5 yrs)</v>
      </c>
      <c r="W707" s="263" t="b">
        <f t="shared" si="38"/>
        <v>1</v>
      </c>
      <c r="X707" s="263" t="b">
        <f t="shared" si="38"/>
        <v>1</v>
      </c>
    </row>
    <row r="708" spans="1:24" ht="15">
      <c r="A708" s="93">
        <v>204</v>
      </c>
      <c r="B708" s="94" t="s">
        <v>556</v>
      </c>
      <c r="C708" s="295" t="s">
        <v>1022</v>
      </c>
      <c r="D708" s="94" t="str">
        <f>+[7]GRC!D206</f>
        <v>SOG</v>
      </c>
      <c r="E708" s="94" t="s">
        <v>30</v>
      </c>
      <c r="F708" s="94" t="s">
        <v>93</v>
      </c>
      <c r="G708" s="94" t="s">
        <v>267</v>
      </c>
      <c r="H708" s="94" t="s">
        <v>112</v>
      </c>
      <c r="I708" s="94" t="s">
        <v>91</v>
      </c>
      <c r="J708" s="94" t="s">
        <v>145</v>
      </c>
      <c r="K708" s="94" t="s">
        <v>18</v>
      </c>
      <c r="L708" s="94" t="s">
        <v>17</v>
      </c>
      <c r="M708" s="94" t="s">
        <v>71</v>
      </c>
      <c r="N708" s="94" t="s">
        <v>138</v>
      </c>
      <c r="O708" s="259" t="str">
        <f t="shared" si="37"/>
        <v>B2 AP3 (3 to 5 yrs) / B3 PL1 (5 to 7 yrs)</v>
      </c>
      <c r="P708" s="260"/>
      <c r="Q708" s="260" t="str">
        <f t="shared" si="41"/>
        <v>SOG/BIDW/DeveloperBIDWInformatica/Senior</v>
      </c>
      <c r="R708" s="261" t="str">
        <f t="shared" si="39"/>
        <v>B2 AP3 (3 to 5 yrs) / B3 PL1 (5 to 7 yrs)</v>
      </c>
      <c r="S708" s="260" t="str">
        <f t="shared" si="40"/>
        <v>SOG_21</v>
      </c>
      <c r="T708" s="262" t="b">
        <v>0</v>
      </c>
      <c r="U708" s="263" t="str">
        <f>+VLOOKUP($C708,[8]GRC!$B$3:$L$350,9,0)</f>
        <v>B2 AP3 (3 to 5 yrs)</v>
      </c>
      <c r="V708" s="263" t="str">
        <f>+VLOOKUP($C708,[8]GRC!$B$3:$L$350,10,0)</f>
        <v>B3 PL1 (5 to 7 yrs)</v>
      </c>
      <c r="W708" s="263" t="b">
        <f t="shared" si="38"/>
        <v>1</v>
      </c>
      <c r="X708" s="263" t="b">
        <f t="shared" si="38"/>
        <v>1</v>
      </c>
    </row>
    <row r="709" spans="1:24" ht="15">
      <c r="A709" s="93">
        <v>205</v>
      </c>
      <c r="B709" s="94" t="s">
        <v>557</v>
      </c>
      <c r="C709" s="295" t="s">
        <v>1023</v>
      </c>
      <c r="D709" s="94" t="str">
        <f>+[7]GRC!D207</f>
        <v>SOG</v>
      </c>
      <c r="E709" s="94" t="s">
        <v>30</v>
      </c>
      <c r="F709" s="94" t="s">
        <v>93</v>
      </c>
      <c r="G709" s="94" t="s">
        <v>268</v>
      </c>
      <c r="H709" s="94" t="s">
        <v>172</v>
      </c>
      <c r="I709" s="94" t="s">
        <v>84</v>
      </c>
      <c r="J709" s="94" t="s">
        <v>150</v>
      </c>
      <c r="K709" s="94" t="s">
        <v>20</v>
      </c>
      <c r="L709" s="94" t="s">
        <v>19</v>
      </c>
      <c r="M709" s="94" t="s">
        <v>71</v>
      </c>
      <c r="N709" s="94" t="s">
        <v>138</v>
      </c>
      <c r="O709" s="259" t="str">
        <f t="shared" si="37"/>
        <v>B2 AP1 / B2 AP2 (0.6 to 3 yrs)</v>
      </c>
      <c r="P709" s="260"/>
      <c r="Q709" s="260" t="str">
        <f t="shared" si="41"/>
        <v>SOG/BIDW/DeveloperBIDWReporting/Junior</v>
      </c>
      <c r="R709" s="261" t="str">
        <f t="shared" si="39"/>
        <v>B2 AP1 / B2 AP2 (0.6 to 3 yrs)</v>
      </c>
      <c r="S709" s="260" t="str">
        <f t="shared" si="40"/>
        <v>SOG_23</v>
      </c>
      <c r="T709" s="262" t="b">
        <v>0</v>
      </c>
      <c r="U709" s="263" t="str">
        <f>+VLOOKUP($C709,[8]GRC!$B$3:$L$350,9,0)</f>
        <v>B2 AP1</v>
      </c>
      <c r="V709" s="263" t="str">
        <f>+VLOOKUP($C709,[8]GRC!$B$3:$L$350,10,0)</f>
        <v>B2 AP2 (0.6 to 3 yrs)</v>
      </c>
      <c r="W709" s="263" t="b">
        <f t="shared" si="38"/>
        <v>1</v>
      </c>
      <c r="X709" s="263" t="b">
        <f t="shared" si="38"/>
        <v>1</v>
      </c>
    </row>
    <row r="710" spans="1:24" ht="15">
      <c r="A710" s="93">
        <v>206</v>
      </c>
      <c r="B710" s="94" t="s">
        <v>558</v>
      </c>
      <c r="C710" s="295" t="s">
        <v>1024</v>
      </c>
      <c r="D710" s="94" t="str">
        <f>+[7]GRC!D208</f>
        <v>SOG</v>
      </c>
      <c r="E710" s="94" t="s">
        <v>30</v>
      </c>
      <c r="F710" s="94" t="s">
        <v>93</v>
      </c>
      <c r="G710" s="94" t="s">
        <v>268</v>
      </c>
      <c r="H710" s="94" t="s">
        <v>172</v>
      </c>
      <c r="I710" s="94" t="s">
        <v>193</v>
      </c>
      <c r="J710" s="94" t="s">
        <v>153</v>
      </c>
      <c r="K710" s="94" t="s">
        <v>19</v>
      </c>
      <c r="L710" s="94" t="s">
        <v>18</v>
      </c>
      <c r="M710" s="94" t="s">
        <v>71</v>
      </c>
      <c r="N710" s="94" t="s">
        <v>138</v>
      </c>
      <c r="O710" s="259" t="str">
        <f t="shared" si="37"/>
        <v>B2 AP2 (0.6 to 3 yrs) / B2 AP3 (3 to 5 yrs)</v>
      </c>
      <c r="P710" s="260"/>
      <c r="Q710" s="260" t="str">
        <f t="shared" si="41"/>
        <v>SOG/BIDW/DeveloperBIDWReporting/MidLevel</v>
      </c>
      <c r="R710" s="261" t="str">
        <f t="shared" si="39"/>
        <v>B2 AP2 (0.6 to 3 yrs) / B2 AP3 (3 to 5 yrs)</v>
      </c>
      <c r="S710" s="260" t="str">
        <f t="shared" si="40"/>
        <v>SOG_122</v>
      </c>
      <c r="T710" s="262" t="b">
        <v>0</v>
      </c>
      <c r="U710" s="263" t="str">
        <f>+VLOOKUP($C710,[8]GRC!$B$3:$L$350,9,0)</f>
        <v>B2 AP2 (0.6 to 3 yrs)</v>
      </c>
      <c r="V710" s="263" t="str">
        <f>+VLOOKUP($C710,[8]GRC!$B$3:$L$350,10,0)</f>
        <v>B2 AP3 (3 to 5 yrs)</v>
      </c>
      <c r="W710" s="263" t="b">
        <f t="shared" si="38"/>
        <v>1</v>
      </c>
      <c r="X710" s="263" t="b">
        <f t="shared" si="38"/>
        <v>1</v>
      </c>
    </row>
    <row r="711" spans="1:24" ht="15">
      <c r="A711" s="93">
        <v>207</v>
      </c>
      <c r="B711" s="94" t="s">
        <v>559</v>
      </c>
      <c r="C711" s="295" t="s">
        <v>1025</v>
      </c>
      <c r="D711" s="94" t="str">
        <f>+[7]GRC!D209</f>
        <v>SOG</v>
      </c>
      <c r="E711" s="94" t="s">
        <v>30</v>
      </c>
      <c r="F711" s="94" t="s">
        <v>93</v>
      </c>
      <c r="G711" s="94" t="s">
        <v>268</v>
      </c>
      <c r="H711" s="94" t="s">
        <v>172</v>
      </c>
      <c r="I711" s="94" t="s">
        <v>91</v>
      </c>
      <c r="J711" s="94" t="s">
        <v>145</v>
      </c>
      <c r="K711" s="94" t="s">
        <v>18</v>
      </c>
      <c r="L711" s="94" t="s">
        <v>17</v>
      </c>
      <c r="M711" s="94" t="s">
        <v>71</v>
      </c>
      <c r="N711" s="94" t="s">
        <v>138</v>
      </c>
      <c r="O711" s="259" t="str">
        <f t="shared" si="37"/>
        <v>B2 AP3 (3 to 5 yrs) / B3 PL1 (5 to 7 yrs)</v>
      </c>
      <c r="P711" s="260"/>
      <c r="Q711" s="260" t="str">
        <f t="shared" si="41"/>
        <v>SOG/BIDW/DeveloperBIDWReporting/Senior</v>
      </c>
      <c r="R711" s="261" t="str">
        <f t="shared" si="39"/>
        <v>B2 AP3 (3 to 5 yrs) / B3 PL1 (5 to 7 yrs)</v>
      </c>
      <c r="S711" s="260" t="str">
        <f t="shared" si="40"/>
        <v>SOG_24</v>
      </c>
      <c r="T711" s="262" t="b">
        <v>0</v>
      </c>
      <c r="U711" s="263" t="str">
        <f>+VLOOKUP($C711,[8]GRC!$B$3:$L$350,9,0)</f>
        <v>B2 AP3 (3 to 5 yrs)</v>
      </c>
      <c r="V711" s="263" t="str">
        <f>+VLOOKUP($C711,[8]GRC!$B$3:$L$350,10,0)</f>
        <v>B3 PL1 (5 to 7 yrs)</v>
      </c>
      <c r="W711" s="263" t="b">
        <f t="shared" si="38"/>
        <v>1</v>
      </c>
      <c r="X711" s="263" t="b">
        <f t="shared" si="38"/>
        <v>1</v>
      </c>
    </row>
    <row r="712" spans="1:24" ht="15">
      <c r="A712" s="93">
        <v>208</v>
      </c>
      <c r="B712" s="94" t="s">
        <v>560</v>
      </c>
      <c r="C712" s="295" t="s">
        <v>1026</v>
      </c>
      <c r="D712" s="94" t="str">
        <f>+[7]GRC!D210</f>
        <v>SOG</v>
      </c>
      <c r="E712" s="94" t="s">
        <v>30</v>
      </c>
      <c r="F712" s="94" t="s">
        <v>93</v>
      </c>
      <c r="G712" s="94" t="s">
        <v>269</v>
      </c>
      <c r="H712" s="94"/>
      <c r="I712" s="94" t="s">
        <v>84</v>
      </c>
      <c r="J712" s="94" t="s">
        <v>184</v>
      </c>
      <c r="K712" s="94" t="s">
        <v>15</v>
      </c>
      <c r="L712" s="94" t="s">
        <v>14</v>
      </c>
      <c r="M712" s="94" t="s">
        <v>71</v>
      </c>
      <c r="N712" s="94" t="s">
        <v>138</v>
      </c>
      <c r="O712" s="259" t="str">
        <f t="shared" si="37"/>
        <v>B3 PL3 (7 to 10 yrs) / B4 PM1 (9 to 12 yrs)</v>
      </c>
      <c r="P712" s="260"/>
      <c r="Q712" s="260" t="str">
        <f t="shared" si="41"/>
        <v>SOG/BIDW/ProjectManagerBIDW/Junior</v>
      </c>
      <c r="R712" s="261" t="str">
        <f t="shared" si="39"/>
        <v>B3 PL3 (7 to 10 yrs) / B4 PM1 (9 to 12 yrs)</v>
      </c>
      <c r="S712" s="260" t="str">
        <f t="shared" si="40"/>
        <v>SOG_25</v>
      </c>
      <c r="T712" s="262" t="b">
        <v>0</v>
      </c>
      <c r="U712" s="263" t="str">
        <f>+VLOOKUP($C712,[8]GRC!$B$3:$L$350,9,0)</f>
        <v>B3 PL3 (7 to 10 yrs)</v>
      </c>
      <c r="V712" s="263" t="str">
        <f>+VLOOKUP($C712,[8]GRC!$B$3:$L$350,10,0)</f>
        <v>B4 PM1 (9 to 12 yrs)</v>
      </c>
      <c r="W712" s="263" t="b">
        <f t="shared" si="38"/>
        <v>1</v>
      </c>
      <c r="X712" s="263" t="b">
        <f t="shared" si="38"/>
        <v>1</v>
      </c>
    </row>
    <row r="713" spans="1:24" ht="15">
      <c r="A713" s="93">
        <v>209</v>
      </c>
      <c r="B713" s="94" t="s">
        <v>561</v>
      </c>
      <c r="C713" s="295" t="s">
        <v>1027</v>
      </c>
      <c r="D713" s="94" t="str">
        <f>+[7]GRC!D211</f>
        <v>SOG</v>
      </c>
      <c r="E713" s="94" t="s">
        <v>30</v>
      </c>
      <c r="F713" s="94" t="s">
        <v>93</v>
      </c>
      <c r="G713" s="94" t="s">
        <v>269</v>
      </c>
      <c r="H713" s="94"/>
      <c r="I713" s="94" t="s">
        <v>193</v>
      </c>
      <c r="J713" s="94" t="s">
        <v>185</v>
      </c>
      <c r="K713" s="94" t="s">
        <v>14</v>
      </c>
      <c r="L713" s="94" t="s">
        <v>42</v>
      </c>
      <c r="M713" s="94" t="s">
        <v>71</v>
      </c>
      <c r="N713" s="94" t="s">
        <v>138</v>
      </c>
      <c r="O713" s="259" t="str">
        <f t="shared" si="37"/>
        <v>B4 PM1 (9 to 12 yrs) / B4 PM2 (10 to 14 yrs)</v>
      </c>
      <c r="P713" s="260"/>
      <c r="Q713" s="260" t="str">
        <f t="shared" si="41"/>
        <v>SOG/BIDW/ProjectManagerBIDW/MidLevel</v>
      </c>
      <c r="R713" s="261" t="str">
        <f t="shared" si="39"/>
        <v>B4 PM1 (9 to 12 yrs) / B4 PM2 (10 to 14 yrs)</v>
      </c>
      <c r="S713" s="260" t="str">
        <f t="shared" si="40"/>
        <v>SOG_26</v>
      </c>
      <c r="T713" s="262" t="b">
        <v>0</v>
      </c>
      <c r="U713" s="263" t="str">
        <f>+VLOOKUP($C713,[8]GRC!$B$3:$L$350,9,0)</f>
        <v>B4 PM1 (9 to 12 yrs)</v>
      </c>
      <c r="V713" s="263" t="str">
        <f>+VLOOKUP($C713,[8]GRC!$B$3:$L$350,10,0)</f>
        <v>B4 PM2 (10 to 14 yrs)</v>
      </c>
      <c r="W713" s="263" t="b">
        <f t="shared" si="38"/>
        <v>1</v>
      </c>
      <c r="X713" s="263" t="b">
        <f t="shared" si="38"/>
        <v>1</v>
      </c>
    </row>
    <row r="714" spans="1:24" ht="15">
      <c r="A714" s="93">
        <v>210</v>
      </c>
      <c r="B714" s="94" t="s">
        <v>562</v>
      </c>
      <c r="C714" s="295" t="s">
        <v>1028</v>
      </c>
      <c r="D714" s="94" t="str">
        <f>+[7]GRC!D212</f>
        <v>SOG</v>
      </c>
      <c r="E714" s="94" t="s">
        <v>30</v>
      </c>
      <c r="F714" s="94" t="s">
        <v>93</v>
      </c>
      <c r="G714" s="94" t="s">
        <v>269</v>
      </c>
      <c r="H714" s="94"/>
      <c r="I714" s="94" t="s">
        <v>91</v>
      </c>
      <c r="J714" s="94" t="s">
        <v>149</v>
      </c>
      <c r="K714" s="94" t="s">
        <v>42</v>
      </c>
      <c r="L714" s="94" t="s">
        <v>41</v>
      </c>
      <c r="M714" s="94" t="s">
        <v>71</v>
      </c>
      <c r="N714" s="94" t="s">
        <v>138</v>
      </c>
      <c r="O714" s="259" t="str">
        <f t="shared" si="37"/>
        <v>B4 PM2 (10 to 14 yrs) / B4 PM3 (12 to 15 yrs)</v>
      </c>
      <c r="P714" s="260"/>
      <c r="Q714" s="260" t="str">
        <f t="shared" si="41"/>
        <v>SOG/BIDW/ProjectManagerBIDW/Senior</v>
      </c>
      <c r="R714" s="261" t="str">
        <f t="shared" si="39"/>
        <v>B4 PM2 (10 to 14 yrs) / B4 PM3 (12 to 15 yrs)</v>
      </c>
      <c r="S714" s="260" t="str">
        <f t="shared" si="40"/>
        <v>SOG_27</v>
      </c>
      <c r="T714" s="262" t="b">
        <v>0</v>
      </c>
      <c r="U714" s="263" t="str">
        <f>+VLOOKUP($C714,[8]GRC!$B$3:$L$350,9,0)</f>
        <v>B4 PM2 (10 to 14 yrs)</v>
      </c>
      <c r="V714" s="263" t="str">
        <f>+VLOOKUP($C714,[8]GRC!$B$3:$L$350,10,0)</f>
        <v>B4 PM3 (12 to 15 yrs)</v>
      </c>
      <c r="W714" s="263" t="b">
        <f t="shared" si="38"/>
        <v>1</v>
      </c>
      <c r="X714" s="263" t="b">
        <f t="shared" si="38"/>
        <v>1</v>
      </c>
    </row>
    <row r="715" spans="1:24" ht="15">
      <c r="A715" s="93">
        <v>211</v>
      </c>
      <c r="B715" s="94" t="s">
        <v>563</v>
      </c>
      <c r="C715" s="295" t="s">
        <v>1029</v>
      </c>
      <c r="D715" s="94" t="str">
        <f>+[7]GRC!D213</f>
        <v>SOG</v>
      </c>
      <c r="E715" s="94" t="s">
        <v>30</v>
      </c>
      <c r="F715" s="94" t="s">
        <v>93</v>
      </c>
      <c r="G715" s="94" t="s">
        <v>270</v>
      </c>
      <c r="H715" s="94" t="s">
        <v>173</v>
      </c>
      <c r="I715" s="94" t="s">
        <v>84</v>
      </c>
      <c r="J715" s="94" t="s">
        <v>145</v>
      </c>
      <c r="K715" s="94" t="s">
        <v>17</v>
      </c>
      <c r="L715" s="94" t="s">
        <v>16</v>
      </c>
      <c r="M715" s="94" t="s">
        <v>71</v>
      </c>
      <c r="N715" s="94" t="s">
        <v>138</v>
      </c>
      <c r="O715" s="259" t="str">
        <f t="shared" si="37"/>
        <v>B3 PL1 (5 to 7 yrs) / B3 PL2 (6 to 8 yrs)</v>
      </c>
      <c r="P715" s="260"/>
      <c r="Q715" s="260" t="str">
        <f t="shared" si="41"/>
        <v>SOG/BIDW/TechnicalLeadAbinitioInformaticaDatastage /Junior</v>
      </c>
      <c r="R715" s="261" t="str">
        <f t="shared" si="39"/>
        <v>B3 PL1 (5 to 7 yrs) / B3 PL2 (6 to 8 yrs)</v>
      </c>
      <c r="S715" s="260" t="str">
        <f t="shared" si="40"/>
        <v>SOG_28</v>
      </c>
      <c r="T715" s="262" t="b">
        <v>0</v>
      </c>
      <c r="U715" s="263" t="str">
        <f>+VLOOKUP($C715,[8]GRC!$B$3:$L$350,9,0)</f>
        <v>B3 PL1 (5 to 7 yrs)</v>
      </c>
      <c r="V715" s="263" t="str">
        <f>+VLOOKUP($C715,[8]GRC!$B$3:$L$350,10,0)</f>
        <v>B3 PL2 (6 to 8 yrs)</v>
      </c>
      <c r="W715" s="263" t="b">
        <f t="shared" si="38"/>
        <v>1</v>
      </c>
      <c r="X715" s="263" t="b">
        <f t="shared" si="38"/>
        <v>1</v>
      </c>
    </row>
    <row r="716" spans="1:24" ht="15">
      <c r="A716" s="93">
        <v>212</v>
      </c>
      <c r="B716" s="94" t="s">
        <v>564</v>
      </c>
      <c r="C716" s="295" t="s">
        <v>1030</v>
      </c>
      <c r="D716" s="94" t="str">
        <f>+[7]GRC!D214</f>
        <v>SOG</v>
      </c>
      <c r="E716" s="94" t="s">
        <v>30</v>
      </c>
      <c r="F716" s="94" t="s">
        <v>93</v>
      </c>
      <c r="G716" s="94" t="s">
        <v>270</v>
      </c>
      <c r="H716" s="94" t="s">
        <v>173</v>
      </c>
      <c r="I716" s="94" t="s">
        <v>91</v>
      </c>
      <c r="J716" s="94" t="s">
        <v>147</v>
      </c>
      <c r="K716" s="94" t="s">
        <v>15</v>
      </c>
      <c r="L716" s="94" t="s">
        <v>71</v>
      </c>
      <c r="M716" s="94" t="s">
        <v>71</v>
      </c>
      <c r="N716" s="94" t="s">
        <v>138</v>
      </c>
      <c r="O716" s="259" t="str">
        <f t="shared" si="37"/>
        <v>B3 PL3 (7 to 10 yrs) / None</v>
      </c>
      <c r="P716" s="260"/>
      <c r="Q716" s="260" t="str">
        <f t="shared" si="41"/>
        <v>SOG/BIDW/TechnicalLeadAbinitioInformaticaDatastage /Senior</v>
      </c>
      <c r="R716" s="261" t="str">
        <f t="shared" si="39"/>
        <v>B3 PL3 (7 to 10 yrs) / None</v>
      </c>
      <c r="S716" s="260" t="str">
        <f t="shared" si="40"/>
        <v>SOG_30</v>
      </c>
      <c r="T716" s="262" t="b">
        <v>0</v>
      </c>
      <c r="U716" s="263" t="str">
        <f>+VLOOKUP($C716,[8]GRC!$B$3:$L$350,9,0)</f>
        <v>B3 PL3 (7 to 10 yrs)</v>
      </c>
      <c r="V716" s="263" t="str">
        <f>+VLOOKUP($C716,[8]GRC!$B$3:$L$350,10,0)</f>
        <v>None</v>
      </c>
      <c r="W716" s="263" t="b">
        <f t="shared" si="38"/>
        <v>1</v>
      </c>
      <c r="X716" s="263" t="b">
        <f t="shared" si="38"/>
        <v>1</v>
      </c>
    </row>
    <row r="717" spans="1:24" ht="15">
      <c r="A717" s="93">
        <v>213</v>
      </c>
      <c r="B717" s="94" t="s">
        <v>565</v>
      </c>
      <c r="C717" s="295" t="s">
        <v>1031</v>
      </c>
      <c r="D717" s="94" t="str">
        <f>+[7]GRC!D215</f>
        <v>SOG</v>
      </c>
      <c r="E717" s="94" t="s">
        <v>30</v>
      </c>
      <c r="F717" s="94" t="s">
        <v>93</v>
      </c>
      <c r="G717" s="94" t="s">
        <v>271</v>
      </c>
      <c r="H717" s="94" t="s">
        <v>96</v>
      </c>
      <c r="I717" s="94" t="s">
        <v>84</v>
      </c>
      <c r="J717" s="94" t="s">
        <v>145</v>
      </c>
      <c r="K717" s="94" t="s">
        <v>17</v>
      </c>
      <c r="L717" s="94" t="s">
        <v>16</v>
      </c>
      <c r="M717" s="94" t="s">
        <v>71</v>
      </c>
      <c r="N717" s="94" t="s">
        <v>138</v>
      </c>
      <c r="O717" s="259" t="str">
        <f t="shared" si="37"/>
        <v>B3 PL1 (5 to 7 yrs) / B3 PL2 (6 to 8 yrs)</v>
      </c>
      <c r="P717" s="260"/>
      <c r="Q717" s="260" t="str">
        <f t="shared" si="41"/>
        <v>SOG/BIDW/TechnicalLeadActuateCrystal/Junior</v>
      </c>
      <c r="R717" s="261" t="str">
        <f t="shared" si="39"/>
        <v>B3 PL1 (5 to 7 yrs) / B3 PL2 (6 to 8 yrs)</v>
      </c>
      <c r="S717" s="260" t="str">
        <f t="shared" si="40"/>
        <v>SOG_34</v>
      </c>
      <c r="T717" s="262" t="b">
        <v>0</v>
      </c>
      <c r="U717" s="263" t="str">
        <f>+VLOOKUP($C717,[8]GRC!$B$3:$L$350,9,0)</f>
        <v>B3 PL1 (5 to 7 yrs)</v>
      </c>
      <c r="V717" s="263" t="str">
        <f>+VLOOKUP($C717,[8]GRC!$B$3:$L$350,10,0)</f>
        <v>B3 PL2 (6 to 8 yrs)</v>
      </c>
      <c r="W717" s="263" t="b">
        <f t="shared" si="38"/>
        <v>1</v>
      </c>
      <c r="X717" s="263" t="b">
        <f t="shared" si="38"/>
        <v>1</v>
      </c>
    </row>
    <row r="718" spans="1:24" ht="15">
      <c r="A718" s="93">
        <v>214</v>
      </c>
      <c r="B718" s="94" t="s">
        <v>566</v>
      </c>
      <c r="C718" s="295" t="s">
        <v>1032</v>
      </c>
      <c r="D718" s="94" t="str">
        <f>+[7]GRC!D216</f>
        <v>SOG</v>
      </c>
      <c r="E718" s="94" t="s">
        <v>30</v>
      </c>
      <c r="F718" s="94" t="s">
        <v>93</v>
      </c>
      <c r="G718" s="94" t="s">
        <v>271</v>
      </c>
      <c r="H718" s="94" t="s">
        <v>96</v>
      </c>
      <c r="I718" s="94" t="s">
        <v>91</v>
      </c>
      <c r="J718" s="94" t="s">
        <v>147</v>
      </c>
      <c r="K718" s="94" t="s">
        <v>15</v>
      </c>
      <c r="L718" s="94" t="s">
        <v>71</v>
      </c>
      <c r="M718" s="94" t="s">
        <v>71</v>
      </c>
      <c r="N718" s="94" t="s">
        <v>138</v>
      </c>
      <c r="O718" s="259" t="str">
        <f t="shared" si="37"/>
        <v>B3 PL3 (7 to 10 yrs) / None</v>
      </c>
      <c r="P718" s="260"/>
      <c r="Q718" s="260" t="str">
        <f t="shared" si="41"/>
        <v>SOG/BIDW/TechnicalLeadActuateCrystal/Senior</v>
      </c>
      <c r="R718" s="261" t="str">
        <f t="shared" si="39"/>
        <v>B3 PL3 (7 to 10 yrs) / None</v>
      </c>
      <c r="S718" s="260" t="str">
        <f t="shared" si="40"/>
        <v>SOG_36</v>
      </c>
      <c r="T718" s="262" t="b">
        <v>0</v>
      </c>
      <c r="U718" s="263" t="str">
        <f>+VLOOKUP($C718,[8]GRC!$B$3:$L$350,9,0)</f>
        <v>B3 PL3 (7 to 10 yrs)</v>
      </c>
      <c r="V718" s="263" t="str">
        <f>+VLOOKUP($C718,[8]GRC!$B$3:$L$350,10,0)</f>
        <v>None</v>
      </c>
      <c r="W718" s="263" t="b">
        <f t="shared" si="38"/>
        <v>1</v>
      </c>
      <c r="X718" s="263" t="b">
        <f t="shared" si="38"/>
        <v>1</v>
      </c>
    </row>
    <row r="719" spans="1:24" ht="15">
      <c r="A719" s="93">
        <v>215</v>
      </c>
      <c r="B719" s="94" t="s">
        <v>567</v>
      </c>
      <c r="C719" s="295" t="s">
        <v>1033</v>
      </c>
      <c r="D719" s="94" t="str">
        <f>+[7]GRC!D217</f>
        <v>SOG</v>
      </c>
      <c r="E719" s="94" t="s">
        <v>30</v>
      </c>
      <c r="F719" s="94" t="s">
        <v>93</v>
      </c>
      <c r="G719" s="94" t="s">
        <v>272</v>
      </c>
      <c r="H719" s="94" t="s">
        <v>174</v>
      </c>
      <c r="I719" s="94" t="s">
        <v>84</v>
      </c>
      <c r="J719" s="94" t="s">
        <v>145</v>
      </c>
      <c r="K719" s="94" t="s">
        <v>17</v>
      </c>
      <c r="L719" s="94" t="s">
        <v>16</v>
      </c>
      <c r="M719" s="94" t="s">
        <v>71</v>
      </c>
      <c r="N719" s="94" t="s">
        <v>138</v>
      </c>
      <c r="O719" s="259" t="str">
        <f t="shared" si="37"/>
        <v>B3 PL1 (5 to 7 yrs) / B3 PL2 (6 to 8 yrs)</v>
      </c>
      <c r="P719" s="260"/>
      <c r="Q719" s="260" t="str">
        <f t="shared" si="41"/>
        <v>SOG/BIDW/TechnicalLeadMicrostrategyAbinitioTeradata/Junior</v>
      </c>
      <c r="R719" s="261" t="str">
        <f t="shared" si="39"/>
        <v>B3 PL1 (5 to 7 yrs) / B3 PL2 (6 to 8 yrs)</v>
      </c>
      <c r="S719" s="260" t="str">
        <f t="shared" si="40"/>
        <v>SOG_134</v>
      </c>
      <c r="T719" s="262" t="b">
        <v>0</v>
      </c>
      <c r="U719" s="263" t="str">
        <f>+VLOOKUP($C719,[8]GRC!$B$3:$L$350,9,0)</f>
        <v>B3 PL1 (5 to 7 yrs)</v>
      </c>
      <c r="V719" s="263" t="str">
        <f>+VLOOKUP($C719,[8]GRC!$B$3:$L$350,10,0)</f>
        <v>B3 PL2 (6 to 8 yrs)</v>
      </c>
      <c r="W719" s="263" t="b">
        <f t="shared" si="38"/>
        <v>1</v>
      </c>
      <c r="X719" s="263" t="b">
        <f t="shared" si="38"/>
        <v>1</v>
      </c>
    </row>
    <row r="720" spans="1:24" ht="15">
      <c r="A720" s="93">
        <v>216</v>
      </c>
      <c r="B720" s="94" t="s">
        <v>568</v>
      </c>
      <c r="C720" s="295" t="s">
        <v>1034</v>
      </c>
      <c r="D720" s="94" t="str">
        <f>+[7]GRC!D218</f>
        <v>SOG</v>
      </c>
      <c r="E720" s="94" t="s">
        <v>30</v>
      </c>
      <c r="F720" s="94" t="s">
        <v>93</v>
      </c>
      <c r="G720" s="94" t="s">
        <v>272</v>
      </c>
      <c r="H720" s="94" t="s">
        <v>174</v>
      </c>
      <c r="I720" s="94" t="s">
        <v>91</v>
      </c>
      <c r="J720" s="94" t="s">
        <v>147</v>
      </c>
      <c r="K720" s="94" t="s">
        <v>15</v>
      </c>
      <c r="L720" s="94" t="s">
        <v>71</v>
      </c>
      <c r="M720" s="94" t="s">
        <v>71</v>
      </c>
      <c r="N720" s="94" t="s">
        <v>138</v>
      </c>
      <c r="O720" s="259" t="str">
        <f t="shared" si="37"/>
        <v>B3 PL3 (7 to 10 yrs) / None</v>
      </c>
      <c r="P720" s="260"/>
      <c r="Q720" s="260" t="str">
        <f t="shared" si="41"/>
        <v>SOG/BIDW/TechnicalLeadMicrostrategyAbinitioTeradata/Senior</v>
      </c>
      <c r="R720" s="261" t="str">
        <f t="shared" si="39"/>
        <v>B3 PL3 (7 to 10 yrs) / None</v>
      </c>
      <c r="S720" s="260" t="str">
        <f t="shared" si="40"/>
        <v>SOG_135</v>
      </c>
      <c r="T720" s="262" t="b">
        <v>0</v>
      </c>
      <c r="U720" s="263" t="str">
        <f>+VLOOKUP($C720,[8]GRC!$B$3:$L$350,9,0)</f>
        <v>B3 PL3 (7 to 10 yrs)</v>
      </c>
      <c r="V720" s="263" t="str">
        <f>+VLOOKUP($C720,[8]GRC!$B$3:$L$350,10,0)</f>
        <v>None</v>
      </c>
      <c r="W720" s="263" t="b">
        <f t="shared" si="38"/>
        <v>1</v>
      </c>
      <c r="X720" s="263" t="b">
        <f t="shared" si="38"/>
        <v>1</v>
      </c>
    </row>
    <row r="721" spans="1:24" ht="15">
      <c r="A721" s="93">
        <v>217</v>
      </c>
      <c r="B721" s="94" t="s">
        <v>569</v>
      </c>
      <c r="C721" s="295" t="s">
        <v>1035</v>
      </c>
      <c r="D721" s="94" t="str">
        <f>+[7]GRC!D219</f>
        <v>SOG</v>
      </c>
      <c r="E721" s="94" t="s">
        <v>30</v>
      </c>
      <c r="F721" s="94" t="s">
        <v>93</v>
      </c>
      <c r="G721" s="94" t="s">
        <v>273</v>
      </c>
      <c r="H721" s="94" t="s">
        <v>175</v>
      </c>
      <c r="I721" s="94" t="s">
        <v>84</v>
      </c>
      <c r="J721" s="94" t="s">
        <v>145</v>
      </c>
      <c r="K721" s="94" t="s">
        <v>17</v>
      </c>
      <c r="L721" s="94" t="s">
        <v>16</v>
      </c>
      <c r="M721" s="94" t="s">
        <v>71</v>
      </c>
      <c r="N721" s="94" t="s">
        <v>138</v>
      </c>
      <c r="O721" s="259" t="str">
        <f t="shared" si="37"/>
        <v>B3 PL1 (5 to 7 yrs) / B3 PL2 (6 to 8 yrs)</v>
      </c>
      <c r="P721" s="260"/>
      <c r="Q721" s="260" t="str">
        <f t="shared" si="41"/>
        <v>SOG/BIDW/TechnicalLeadCognosBO/Junior</v>
      </c>
      <c r="R721" s="261" t="str">
        <f t="shared" si="39"/>
        <v>B3 PL1 (5 to 7 yrs) / B3 PL2 (6 to 8 yrs)</v>
      </c>
      <c r="S721" s="260" t="str">
        <f t="shared" si="40"/>
        <v>SOG_38</v>
      </c>
      <c r="T721" s="262" t="b">
        <v>0</v>
      </c>
      <c r="U721" s="263" t="str">
        <f>+VLOOKUP($C721,[8]GRC!$B$3:$L$350,9,0)</f>
        <v>B3 PL1 (5 to 7 yrs)</v>
      </c>
      <c r="V721" s="263" t="str">
        <f>+VLOOKUP($C721,[8]GRC!$B$3:$L$350,10,0)</f>
        <v>B3 PL2 (6 to 8 yrs)</v>
      </c>
      <c r="W721" s="263" t="b">
        <f t="shared" si="38"/>
        <v>1</v>
      </c>
      <c r="X721" s="263" t="b">
        <f t="shared" si="38"/>
        <v>1</v>
      </c>
    </row>
    <row r="722" spans="1:24" ht="15">
      <c r="A722" s="93">
        <v>218</v>
      </c>
      <c r="B722" s="94" t="s">
        <v>570</v>
      </c>
      <c r="C722" s="295" t="s">
        <v>1036</v>
      </c>
      <c r="D722" s="94" t="str">
        <f>+[7]GRC!D220</f>
        <v>SOG</v>
      </c>
      <c r="E722" s="94" t="s">
        <v>30</v>
      </c>
      <c r="F722" s="94" t="s">
        <v>93</v>
      </c>
      <c r="G722" s="94" t="s">
        <v>273</v>
      </c>
      <c r="H722" s="94" t="s">
        <v>175</v>
      </c>
      <c r="I722" s="94" t="s">
        <v>91</v>
      </c>
      <c r="J722" s="94" t="s">
        <v>147</v>
      </c>
      <c r="K722" s="94" t="s">
        <v>15</v>
      </c>
      <c r="L722" s="94" t="s">
        <v>71</v>
      </c>
      <c r="M722" s="94" t="s">
        <v>71</v>
      </c>
      <c r="N722" s="94" t="s">
        <v>138</v>
      </c>
      <c r="O722" s="259" t="str">
        <f t="shared" si="37"/>
        <v>B3 PL3 (7 to 10 yrs) / None</v>
      </c>
      <c r="P722" s="260"/>
      <c r="Q722" s="260" t="str">
        <f t="shared" si="41"/>
        <v>SOG/BIDW/TechnicalLeadCognosBO/Senior</v>
      </c>
      <c r="R722" s="261" t="str">
        <f t="shared" si="39"/>
        <v>B3 PL3 (7 to 10 yrs) / None</v>
      </c>
      <c r="S722" s="260" t="str">
        <f t="shared" si="40"/>
        <v>SOG_40</v>
      </c>
      <c r="T722" s="262" t="b">
        <v>0</v>
      </c>
      <c r="U722" s="263" t="str">
        <f>+VLOOKUP($C722,[8]GRC!$B$3:$L$350,9,0)</f>
        <v>B3 PL3 (7 to 10 yrs)</v>
      </c>
      <c r="V722" s="263" t="str">
        <f>+VLOOKUP($C722,[8]GRC!$B$3:$L$350,10,0)</f>
        <v>None</v>
      </c>
      <c r="W722" s="263" t="b">
        <f t="shared" si="38"/>
        <v>1</v>
      </c>
      <c r="X722" s="263" t="b">
        <f t="shared" si="38"/>
        <v>1</v>
      </c>
    </row>
    <row r="723" spans="1:24" ht="15">
      <c r="A723" s="93">
        <v>219</v>
      </c>
      <c r="B723" s="94" t="s">
        <v>571</v>
      </c>
      <c r="C723" s="295" t="s">
        <v>1037</v>
      </c>
      <c r="D723" s="94" t="str">
        <f>+[7]GRC!D221</f>
        <v>SOG</v>
      </c>
      <c r="E723" s="94" t="s">
        <v>30</v>
      </c>
      <c r="F723" s="94" t="s">
        <v>93</v>
      </c>
      <c r="G723" s="94" t="s">
        <v>274</v>
      </c>
      <c r="H723" s="94" t="s">
        <v>172</v>
      </c>
      <c r="I723" s="94" t="s">
        <v>84</v>
      </c>
      <c r="J723" s="94" t="s">
        <v>145</v>
      </c>
      <c r="K723" s="94" t="s">
        <v>17</v>
      </c>
      <c r="L723" s="94" t="s">
        <v>16</v>
      </c>
      <c r="M723" s="94" t="s">
        <v>71</v>
      </c>
      <c r="N723" s="94" t="s">
        <v>138</v>
      </c>
      <c r="O723" s="259" t="str">
        <f t="shared" si="37"/>
        <v>B3 PL1 (5 to 7 yrs) / B3 PL2 (6 to 8 yrs)</v>
      </c>
      <c r="P723" s="260"/>
      <c r="Q723" s="260" t="str">
        <f t="shared" si="41"/>
        <v>SOG/BIDW/TechnicalLeadReporting/Junior</v>
      </c>
      <c r="R723" s="261" t="str">
        <f t="shared" si="39"/>
        <v>B3 PL1 (5 to 7 yrs) / B3 PL2 (6 to 8 yrs)</v>
      </c>
      <c r="S723" s="260" t="str">
        <f t="shared" si="40"/>
        <v>SOG_136</v>
      </c>
      <c r="T723" s="262" t="b">
        <v>0</v>
      </c>
      <c r="U723" s="263" t="str">
        <f>+VLOOKUP($C723,[8]GRC!$B$3:$L$350,9,0)</f>
        <v>B3 PL1 (5 to 7 yrs)</v>
      </c>
      <c r="V723" s="263" t="str">
        <f>+VLOOKUP($C723,[8]GRC!$B$3:$L$350,10,0)</f>
        <v>B3 PL2 (6 to 8 yrs)</v>
      </c>
      <c r="W723" s="263" t="b">
        <f t="shared" si="38"/>
        <v>1</v>
      </c>
      <c r="X723" s="263" t="b">
        <f t="shared" si="38"/>
        <v>1</v>
      </c>
    </row>
    <row r="724" spans="1:24" ht="15">
      <c r="A724" s="93">
        <v>220</v>
      </c>
      <c r="B724" s="94" t="s">
        <v>572</v>
      </c>
      <c r="C724" s="295" t="s">
        <v>1038</v>
      </c>
      <c r="D724" s="94" t="str">
        <f>+[7]GRC!D222</f>
        <v>SOG</v>
      </c>
      <c r="E724" s="94" t="s">
        <v>30</v>
      </c>
      <c r="F724" s="94" t="s">
        <v>93</v>
      </c>
      <c r="G724" s="94" t="s">
        <v>274</v>
      </c>
      <c r="H724" s="94" t="s">
        <v>172</v>
      </c>
      <c r="I724" s="94" t="s">
        <v>91</v>
      </c>
      <c r="J724" s="94" t="s">
        <v>147</v>
      </c>
      <c r="K724" s="94" t="s">
        <v>15</v>
      </c>
      <c r="L724" s="94" t="s">
        <v>71</v>
      </c>
      <c r="M724" s="94" t="s">
        <v>71</v>
      </c>
      <c r="N724" s="94" t="s">
        <v>138</v>
      </c>
      <c r="O724" s="259" t="str">
        <f t="shared" si="37"/>
        <v>B3 PL3 (7 to 10 yrs) / None</v>
      </c>
      <c r="P724" s="260"/>
      <c r="Q724" s="260" t="str">
        <f t="shared" si="41"/>
        <v>SOG/BIDW/TechnicalLeadReporting/Senior</v>
      </c>
      <c r="R724" s="261" t="str">
        <f t="shared" si="39"/>
        <v>B3 PL3 (7 to 10 yrs) / None</v>
      </c>
      <c r="S724" s="260" t="str">
        <f t="shared" si="40"/>
        <v>SOG_137</v>
      </c>
      <c r="T724" s="262" t="b">
        <v>0</v>
      </c>
      <c r="U724" s="263" t="str">
        <f>+VLOOKUP($C724,[8]GRC!$B$3:$L$350,9,0)</f>
        <v>B3 PL3 (7 to 10 yrs)</v>
      </c>
      <c r="V724" s="263" t="str">
        <f>+VLOOKUP($C724,[8]GRC!$B$3:$L$350,10,0)</f>
        <v>None</v>
      </c>
      <c r="W724" s="263" t="b">
        <f t="shared" si="38"/>
        <v>1</v>
      </c>
      <c r="X724" s="263" t="b">
        <f t="shared" si="38"/>
        <v>1</v>
      </c>
    </row>
    <row r="725" spans="1:24" ht="15">
      <c r="A725" s="93">
        <v>221</v>
      </c>
      <c r="B725" s="94" t="s">
        <v>573</v>
      </c>
      <c r="C725" s="295" t="s">
        <v>1039</v>
      </c>
      <c r="D725" s="94" t="str">
        <f>+[7]GRC!D223</f>
        <v>SOG</v>
      </c>
      <c r="E725" s="94" t="s">
        <v>30</v>
      </c>
      <c r="F725" s="94" t="s">
        <v>93</v>
      </c>
      <c r="G725" s="94" t="s">
        <v>275</v>
      </c>
      <c r="H725" s="94"/>
      <c r="I725" s="94" t="s">
        <v>84</v>
      </c>
      <c r="J725" s="94" t="s">
        <v>150</v>
      </c>
      <c r="K725" s="94" t="s">
        <v>20</v>
      </c>
      <c r="L725" s="94" t="s">
        <v>19</v>
      </c>
      <c r="M725" s="94" t="s">
        <v>71</v>
      </c>
      <c r="N725" s="94" t="s">
        <v>138</v>
      </c>
      <c r="O725" s="259" t="str">
        <f t="shared" si="37"/>
        <v>B2 AP1 / B2 AP2 (0.6 to 3 yrs)</v>
      </c>
      <c r="P725" s="260"/>
      <c r="Q725" s="260" t="str">
        <f t="shared" si="41"/>
        <v>SOG/BIDW/TesterBIDW/Junior</v>
      </c>
      <c r="R725" s="261" t="str">
        <f t="shared" si="39"/>
        <v>B2 AP1 / B2 AP2 (0.6 to 3 yrs)</v>
      </c>
      <c r="S725" s="260" t="str">
        <f t="shared" si="40"/>
        <v>SOG_42</v>
      </c>
      <c r="T725" s="262" t="b">
        <v>0</v>
      </c>
      <c r="U725" s="263" t="str">
        <f>+VLOOKUP($C725,[8]GRC!$B$3:$L$350,9,0)</f>
        <v>B2 AP1</v>
      </c>
      <c r="V725" s="263" t="str">
        <f>+VLOOKUP($C725,[8]GRC!$B$3:$L$350,10,0)</f>
        <v>B2 AP2 (0.6 to 3 yrs)</v>
      </c>
      <c r="W725" s="263" t="b">
        <f t="shared" si="38"/>
        <v>1</v>
      </c>
      <c r="X725" s="263" t="b">
        <f t="shared" si="38"/>
        <v>1</v>
      </c>
    </row>
    <row r="726" spans="1:24" ht="15">
      <c r="A726" s="93">
        <v>222</v>
      </c>
      <c r="B726" s="94" t="s">
        <v>574</v>
      </c>
      <c r="C726" s="295" t="s">
        <v>1040</v>
      </c>
      <c r="D726" s="94" t="str">
        <f>+[7]GRC!D224</f>
        <v>SOG</v>
      </c>
      <c r="E726" s="94" t="s">
        <v>30</v>
      </c>
      <c r="F726" s="94" t="s">
        <v>93</v>
      </c>
      <c r="G726" s="94" t="s">
        <v>275</v>
      </c>
      <c r="H726" s="94"/>
      <c r="I726" s="94" t="s">
        <v>91</v>
      </c>
      <c r="J726" s="94" t="s">
        <v>151</v>
      </c>
      <c r="K726" s="94" t="s">
        <v>19</v>
      </c>
      <c r="L726" s="94" t="s">
        <v>18</v>
      </c>
      <c r="M726" s="94" t="s">
        <v>71</v>
      </c>
      <c r="N726" s="94" t="s">
        <v>138</v>
      </c>
      <c r="O726" s="259" t="str">
        <f t="shared" si="37"/>
        <v>B2 AP2 (0.6 to 3 yrs) / B2 AP3 (3 to 5 yrs)</v>
      </c>
      <c r="P726" s="260"/>
      <c r="Q726" s="260" t="str">
        <f t="shared" si="41"/>
        <v>SOG/BIDW/TesterBIDW/Senior</v>
      </c>
      <c r="R726" s="261" t="str">
        <f t="shared" si="39"/>
        <v>B2 AP2 (0.6 to 3 yrs) / B2 AP3 (3 to 5 yrs)</v>
      </c>
      <c r="S726" s="260" t="str">
        <f t="shared" si="40"/>
        <v>SOG_44</v>
      </c>
      <c r="T726" s="262" t="b">
        <v>0</v>
      </c>
      <c r="U726" s="263" t="str">
        <f>+VLOOKUP($C726,[8]GRC!$B$3:$L$350,9,0)</f>
        <v>B2 AP2 (0.6 to 3 yrs)</v>
      </c>
      <c r="V726" s="263" t="str">
        <f>+VLOOKUP($C726,[8]GRC!$B$3:$L$350,10,0)</f>
        <v>B2 AP3 (3 to 5 yrs)</v>
      </c>
      <c r="W726" s="263" t="b">
        <f t="shared" si="38"/>
        <v>1</v>
      </c>
      <c r="X726" s="263" t="b">
        <f t="shared" si="38"/>
        <v>1</v>
      </c>
    </row>
    <row r="727" spans="1:24" ht="15">
      <c r="A727" s="93">
        <v>223</v>
      </c>
      <c r="B727" s="94" t="s">
        <v>575</v>
      </c>
      <c r="C727" s="295" t="s">
        <v>1041</v>
      </c>
      <c r="D727" s="94" t="str">
        <f>+[7]GRC!D225</f>
        <v>SOG</v>
      </c>
      <c r="E727" s="94" t="s">
        <v>30</v>
      </c>
      <c r="F727" s="94" t="s">
        <v>118</v>
      </c>
      <c r="G727" s="94" t="s">
        <v>276</v>
      </c>
      <c r="H727" s="94" t="s">
        <v>176</v>
      </c>
      <c r="I727" s="94" t="s">
        <v>84</v>
      </c>
      <c r="J727" s="94" t="s">
        <v>153</v>
      </c>
      <c r="K727" s="94" t="s">
        <v>18</v>
      </c>
      <c r="L727" s="94" t="s">
        <v>71</v>
      </c>
      <c r="M727" s="94" t="s">
        <v>71</v>
      </c>
      <c r="N727" s="94" t="s">
        <v>138</v>
      </c>
      <c r="O727" s="259" t="str">
        <f t="shared" si="37"/>
        <v>B2 AP3 (3 to 5 yrs) / None</v>
      </c>
      <c r="P727" s="260"/>
      <c r="Q727" s="260" t="str">
        <f t="shared" si="41"/>
        <v>SOG/EAI/AnalystBusinessRules/Junior</v>
      </c>
      <c r="R727" s="261" t="str">
        <f t="shared" si="39"/>
        <v>B2 AP3 (3 to 5 yrs) / None</v>
      </c>
      <c r="S727" s="260" t="str">
        <f t="shared" si="40"/>
        <v>SOG_126</v>
      </c>
      <c r="T727" s="262" t="b">
        <v>0</v>
      </c>
      <c r="U727" s="263" t="str">
        <f>+VLOOKUP($C727,[8]GRC!$B$3:$L$350,9,0)</f>
        <v>B2 AP3 (3 to 5 yrs)</v>
      </c>
      <c r="V727" s="263" t="str">
        <f>+VLOOKUP($C727,[8]GRC!$B$3:$L$350,10,0)</f>
        <v>None</v>
      </c>
      <c r="W727" s="263" t="b">
        <f t="shared" si="38"/>
        <v>1</v>
      </c>
      <c r="X727" s="263" t="b">
        <f t="shared" si="38"/>
        <v>1</v>
      </c>
    </row>
    <row r="728" spans="1:24" ht="15">
      <c r="A728" s="93">
        <v>224</v>
      </c>
      <c r="B728" s="94" t="s">
        <v>576</v>
      </c>
      <c r="C728" s="295" t="s">
        <v>1042</v>
      </c>
      <c r="D728" s="94" t="str">
        <f>+[7]GRC!D226</f>
        <v>SOG</v>
      </c>
      <c r="E728" s="94" t="s">
        <v>30</v>
      </c>
      <c r="F728" s="94" t="s">
        <v>118</v>
      </c>
      <c r="G728" s="94" t="s">
        <v>276</v>
      </c>
      <c r="H728" s="94" t="s">
        <v>176</v>
      </c>
      <c r="I728" s="94" t="s">
        <v>193</v>
      </c>
      <c r="J728" s="94" t="s">
        <v>145</v>
      </c>
      <c r="K728" s="94" t="s">
        <v>17</v>
      </c>
      <c r="L728" s="94" t="s">
        <v>16</v>
      </c>
      <c r="M728" s="94" t="s">
        <v>71</v>
      </c>
      <c r="N728" s="94" t="s">
        <v>138</v>
      </c>
      <c r="O728" s="259" t="str">
        <f t="shared" si="37"/>
        <v>B3 PL1 (5 to 7 yrs) / B3 PL2 (6 to 8 yrs)</v>
      </c>
      <c r="P728" s="260"/>
      <c r="Q728" s="260" t="str">
        <f t="shared" si="41"/>
        <v>SOG/EAI/AnalystBusinessRules/MidLevel</v>
      </c>
      <c r="R728" s="261" t="str">
        <f t="shared" si="39"/>
        <v>B3 PL1 (5 to 7 yrs) / B3 PL2 (6 to 8 yrs)</v>
      </c>
      <c r="S728" s="260" t="str">
        <f t="shared" si="40"/>
        <v>SOG_127</v>
      </c>
      <c r="T728" s="262" t="b">
        <v>0</v>
      </c>
      <c r="U728" s="263" t="str">
        <f>+VLOOKUP($C728,[8]GRC!$B$3:$L$350,9,0)</f>
        <v>B3 PL1 (5 to 7 yrs)</v>
      </c>
      <c r="V728" s="263" t="str">
        <f>+VLOOKUP($C728,[8]GRC!$B$3:$L$350,10,0)</f>
        <v>B3 PL2 (6 to 8 yrs)</v>
      </c>
      <c r="W728" s="263" t="b">
        <f t="shared" si="38"/>
        <v>1</v>
      </c>
      <c r="X728" s="263" t="b">
        <f t="shared" si="38"/>
        <v>1</v>
      </c>
    </row>
    <row r="729" spans="1:24" ht="15">
      <c r="A729" s="93">
        <v>225</v>
      </c>
      <c r="B729" s="94" t="s">
        <v>577</v>
      </c>
      <c r="C729" s="295" t="s">
        <v>1043</v>
      </c>
      <c r="D729" s="94" t="str">
        <f>+[7]GRC!D227</f>
        <v>SOG</v>
      </c>
      <c r="E729" s="94" t="s">
        <v>30</v>
      </c>
      <c r="F729" s="94" t="s">
        <v>118</v>
      </c>
      <c r="G729" s="94" t="s">
        <v>276</v>
      </c>
      <c r="H729" s="94" t="s">
        <v>176</v>
      </c>
      <c r="I729" s="94" t="s">
        <v>91</v>
      </c>
      <c r="J729" s="94" t="s">
        <v>147</v>
      </c>
      <c r="K729" s="94" t="s">
        <v>16</v>
      </c>
      <c r="L729" s="94" t="s">
        <v>15</v>
      </c>
      <c r="M729" s="94" t="s">
        <v>71</v>
      </c>
      <c r="N729" s="94" t="s">
        <v>138</v>
      </c>
      <c r="O729" s="259" t="str">
        <f t="shared" si="37"/>
        <v>B3 PL2 (6 to 8 yrs) / B3 PL3 (7 to 10 yrs)</v>
      </c>
      <c r="P729" s="260"/>
      <c r="Q729" s="260" t="str">
        <f t="shared" si="41"/>
        <v>SOG/EAI/AnalystBusinessRules/Senior</v>
      </c>
      <c r="R729" s="261" t="str">
        <f t="shared" si="39"/>
        <v>B3 PL2 (6 to 8 yrs) / B3 PL3 (7 to 10 yrs)</v>
      </c>
      <c r="S729" s="260" t="str">
        <f t="shared" si="40"/>
        <v>SOG_128</v>
      </c>
      <c r="T729" s="262" t="b">
        <v>0</v>
      </c>
      <c r="U729" s="263" t="str">
        <f>+VLOOKUP($C729,[8]GRC!$B$3:$L$350,9,0)</f>
        <v>B3 PL2 (6 to 8 yrs)</v>
      </c>
      <c r="V729" s="263" t="str">
        <f>+VLOOKUP($C729,[8]GRC!$B$3:$L$350,10,0)</f>
        <v>B3 PL3 (7 to 10 yrs)</v>
      </c>
      <c r="W729" s="263" t="b">
        <f t="shared" si="38"/>
        <v>1</v>
      </c>
      <c r="X729" s="263" t="b">
        <f t="shared" si="38"/>
        <v>1</v>
      </c>
    </row>
    <row r="730" spans="1:24" ht="15">
      <c r="A730" s="93">
        <v>226</v>
      </c>
      <c r="B730" s="94" t="s">
        <v>578</v>
      </c>
      <c r="C730" s="295" t="s">
        <v>1044</v>
      </c>
      <c r="D730" s="94" t="str">
        <f>+[7]GRC!D228</f>
        <v>SOG</v>
      </c>
      <c r="E730" s="94" t="s">
        <v>30</v>
      </c>
      <c r="F730" s="94" t="s">
        <v>118</v>
      </c>
      <c r="G730" s="94" t="s">
        <v>277</v>
      </c>
      <c r="H730" s="94" t="s">
        <v>177</v>
      </c>
      <c r="I730" s="94" t="s">
        <v>84</v>
      </c>
      <c r="J730" s="94" t="s">
        <v>148</v>
      </c>
      <c r="K730" s="94" t="s">
        <v>14</v>
      </c>
      <c r="L730" s="94" t="s">
        <v>71</v>
      </c>
      <c r="M730" s="94" t="s">
        <v>71</v>
      </c>
      <c r="N730" s="94" t="s">
        <v>138</v>
      </c>
      <c r="O730" s="259" t="str">
        <f t="shared" si="37"/>
        <v>B4 PM1 (9 to 12 yrs) / None</v>
      </c>
      <c r="P730" s="260"/>
      <c r="Q730" s="260" t="str">
        <f t="shared" si="41"/>
        <v>SOG/EAI/ArchitectTIBCO/Junior</v>
      </c>
      <c r="R730" s="261" t="str">
        <f t="shared" si="39"/>
        <v>B4 PM1 (9 to 12 yrs) / None</v>
      </c>
      <c r="S730" s="260" t="str">
        <f t="shared" si="40"/>
        <v>SOG_145</v>
      </c>
      <c r="T730" s="262" t="b">
        <v>0</v>
      </c>
      <c r="U730" s="263" t="str">
        <f>+VLOOKUP($C730,[8]GRC!$B$3:$L$350,9,0)</f>
        <v>B4 PM1 (9 to 12 yrs)</v>
      </c>
      <c r="V730" s="263" t="str">
        <f>+VLOOKUP($C730,[8]GRC!$B$3:$L$350,10,0)</f>
        <v>None</v>
      </c>
      <c r="W730" s="263" t="b">
        <f t="shared" si="38"/>
        <v>1</v>
      </c>
      <c r="X730" s="263" t="b">
        <f t="shared" si="38"/>
        <v>1</v>
      </c>
    </row>
    <row r="731" spans="1:24" ht="15">
      <c r="A731" s="93">
        <v>227</v>
      </c>
      <c r="B731" s="94" t="s">
        <v>579</v>
      </c>
      <c r="C731" s="295" t="s">
        <v>1045</v>
      </c>
      <c r="D731" s="94" t="str">
        <f>+[7]GRC!D229</f>
        <v>SOG</v>
      </c>
      <c r="E731" s="94" t="s">
        <v>30</v>
      </c>
      <c r="F731" s="94" t="s">
        <v>118</v>
      </c>
      <c r="G731" s="94" t="s">
        <v>277</v>
      </c>
      <c r="H731" s="94" t="s">
        <v>177</v>
      </c>
      <c r="I731" s="94" t="s">
        <v>193</v>
      </c>
      <c r="J731" s="94" t="s">
        <v>186</v>
      </c>
      <c r="K731" s="94" t="s">
        <v>42</v>
      </c>
      <c r="L731" s="94" t="s">
        <v>41</v>
      </c>
      <c r="M731" s="94" t="s">
        <v>71</v>
      </c>
      <c r="N731" s="94" t="s">
        <v>138</v>
      </c>
      <c r="O731" s="259" t="str">
        <f t="shared" si="37"/>
        <v>B4 PM2 (10 to 14 yrs) / B4 PM3 (12 to 15 yrs)</v>
      </c>
      <c r="P731" s="260"/>
      <c r="Q731" s="260" t="str">
        <f t="shared" si="41"/>
        <v>SOG/EAI/ArchitectTIBCO/MidLevel</v>
      </c>
      <c r="R731" s="261" t="str">
        <f t="shared" si="39"/>
        <v>B4 PM2 (10 to 14 yrs) / B4 PM3 (12 to 15 yrs)</v>
      </c>
      <c r="S731" s="260" t="str">
        <f t="shared" si="40"/>
        <v>SOG_146</v>
      </c>
      <c r="T731" s="262" t="b">
        <v>0</v>
      </c>
      <c r="U731" s="263" t="str">
        <f>+VLOOKUP($C731,[8]GRC!$B$3:$L$350,9,0)</f>
        <v>B4 PM2 (10 to 14 yrs)</v>
      </c>
      <c r="V731" s="263" t="str">
        <f>+VLOOKUP($C731,[8]GRC!$B$3:$L$350,10,0)</f>
        <v>B4 PM3 (12 to 15 yrs)</v>
      </c>
      <c r="W731" s="263" t="b">
        <f t="shared" si="38"/>
        <v>1</v>
      </c>
      <c r="X731" s="263" t="b">
        <f t="shared" si="38"/>
        <v>1</v>
      </c>
    </row>
    <row r="732" spans="1:24" ht="15">
      <c r="A732" s="93">
        <v>228</v>
      </c>
      <c r="B732" s="94" t="s">
        <v>580</v>
      </c>
      <c r="C732" s="295" t="s">
        <v>1046</v>
      </c>
      <c r="D732" s="94" t="str">
        <f>+[7]GRC!D230</f>
        <v>SOG</v>
      </c>
      <c r="E732" s="94" t="s">
        <v>30</v>
      </c>
      <c r="F732" s="94" t="s">
        <v>118</v>
      </c>
      <c r="G732" s="94" t="s">
        <v>277</v>
      </c>
      <c r="H732" s="94" t="s">
        <v>177</v>
      </c>
      <c r="I732" s="94" t="s">
        <v>91</v>
      </c>
      <c r="J732" s="94" t="s">
        <v>139</v>
      </c>
      <c r="K732" s="94" t="s">
        <v>41</v>
      </c>
      <c r="L732" s="94" t="s">
        <v>13</v>
      </c>
      <c r="M732" s="94" t="s">
        <v>71</v>
      </c>
      <c r="N732" s="94" t="s">
        <v>138</v>
      </c>
      <c r="O732" s="259" t="str">
        <f t="shared" si="37"/>
        <v>B4 PM3 (12 to 15 yrs) / B5 (min 8 yrs)</v>
      </c>
      <c r="P732" s="260"/>
      <c r="Q732" s="260" t="str">
        <f t="shared" si="41"/>
        <v>SOG/EAI/ArchitectTIBCO/Senior</v>
      </c>
      <c r="R732" s="261" t="str">
        <f t="shared" si="39"/>
        <v>B4 PM3 (12 to 15 yrs) / B5 (min 8 yrs)</v>
      </c>
      <c r="S732" s="260" t="str">
        <f t="shared" si="40"/>
        <v>SOG_147</v>
      </c>
      <c r="T732" s="262" t="b">
        <v>0</v>
      </c>
      <c r="U732" s="263" t="e">
        <f>+VLOOKUP($C732,[8]GRC!$B$3:$L$350,9,0)</f>
        <v>#N/A</v>
      </c>
      <c r="V732" s="263" t="e">
        <f>+VLOOKUP($C732,[8]GRC!$B$3:$L$350,10,0)</f>
        <v>#N/A</v>
      </c>
      <c r="W732" s="263" t="e">
        <f t="shared" si="38"/>
        <v>#N/A</v>
      </c>
      <c r="X732" s="263" t="e">
        <f t="shared" si="38"/>
        <v>#N/A</v>
      </c>
    </row>
    <row r="733" spans="1:24" ht="15">
      <c r="A733" s="93">
        <v>229</v>
      </c>
      <c r="B733" s="94" t="s">
        <v>581</v>
      </c>
      <c r="C733" s="295" t="s">
        <v>1047</v>
      </c>
      <c r="D733" s="94" t="str">
        <f>+[7]GRC!D231</f>
        <v>SOG</v>
      </c>
      <c r="E733" s="94" t="s">
        <v>30</v>
      </c>
      <c r="F733" s="94" t="s">
        <v>118</v>
      </c>
      <c r="G733" s="94" t="s">
        <v>278</v>
      </c>
      <c r="H733" s="94"/>
      <c r="I733" s="94" t="s">
        <v>84</v>
      </c>
      <c r="J733" s="94" t="s">
        <v>148</v>
      </c>
      <c r="K733" s="94" t="s">
        <v>14</v>
      </c>
      <c r="L733" s="94" t="s">
        <v>71</v>
      </c>
      <c r="M733" s="94" t="s">
        <v>71</v>
      </c>
      <c r="N733" s="94" t="s">
        <v>138</v>
      </c>
      <c r="O733" s="259" t="str">
        <f t="shared" si="37"/>
        <v>B4 PM1 (9 to 12 yrs) / None</v>
      </c>
      <c r="P733" s="260"/>
      <c r="Q733" s="260" t="str">
        <f t="shared" si="41"/>
        <v>SOG/EAI/ArchitectEAI/Junior</v>
      </c>
      <c r="R733" s="261" t="str">
        <f t="shared" si="39"/>
        <v>B4 PM1 (9 to 12 yrs) / None</v>
      </c>
      <c r="S733" s="260" t="str">
        <f t="shared" si="40"/>
        <v>SOG_47</v>
      </c>
      <c r="T733" s="262" t="b">
        <v>0</v>
      </c>
      <c r="U733" s="263" t="str">
        <f>+VLOOKUP($C733,[8]GRC!$B$3:$L$350,9,0)</f>
        <v>B4 PM1 (9 to 12 yrs)</v>
      </c>
      <c r="V733" s="263" t="str">
        <f>+VLOOKUP($C733,[8]GRC!$B$3:$L$350,10,0)</f>
        <v>None</v>
      </c>
      <c r="W733" s="263" t="b">
        <f t="shared" si="38"/>
        <v>1</v>
      </c>
      <c r="X733" s="263" t="b">
        <f t="shared" si="38"/>
        <v>1</v>
      </c>
    </row>
    <row r="734" spans="1:24" ht="15">
      <c r="A734" s="93">
        <v>230</v>
      </c>
      <c r="B734" s="94" t="s">
        <v>582</v>
      </c>
      <c r="C734" s="295" t="s">
        <v>1048</v>
      </c>
      <c r="D734" s="94" t="str">
        <f>+[7]GRC!D232</f>
        <v>SOG</v>
      </c>
      <c r="E734" s="94" t="s">
        <v>30</v>
      </c>
      <c r="F734" s="94" t="s">
        <v>118</v>
      </c>
      <c r="G734" s="94" t="s">
        <v>278</v>
      </c>
      <c r="H734" s="94"/>
      <c r="I734" s="94" t="s">
        <v>193</v>
      </c>
      <c r="J734" s="94" t="s">
        <v>186</v>
      </c>
      <c r="K734" s="94" t="s">
        <v>42</v>
      </c>
      <c r="L734" s="94" t="s">
        <v>41</v>
      </c>
      <c r="M734" s="94" t="s">
        <v>71</v>
      </c>
      <c r="N734" s="94" t="s">
        <v>138</v>
      </c>
      <c r="O734" s="259" t="str">
        <f t="shared" si="37"/>
        <v>B4 PM2 (10 to 14 yrs) / B4 PM3 (12 to 15 yrs)</v>
      </c>
      <c r="P734" s="260"/>
      <c r="Q734" s="260" t="str">
        <f t="shared" si="41"/>
        <v>SOG/EAI/ArchitectEAI/MidLevel</v>
      </c>
      <c r="R734" s="261" t="str">
        <f t="shared" si="39"/>
        <v>B4 PM2 (10 to 14 yrs) / B4 PM3 (12 to 15 yrs)</v>
      </c>
      <c r="S734" s="260" t="str">
        <f t="shared" si="40"/>
        <v>SOG_138</v>
      </c>
      <c r="T734" s="262" t="b">
        <v>0</v>
      </c>
      <c r="U734" s="263" t="str">
        <f>+VLOOKUP($C734,[8]GRC!$B$3:$L$350,9,0)</f>
        <v>B4 PM2 (10 to 14 yrs)</v>
      </c>
      <c r="V734" s="263" t="str">
        <f>+VLOOKUP($C734,[8]GRC!$B$3:$L$350,10,0)</f>
        <v>B4 PM3 (12 to 15 yrs)</v>
      </c>
      <c r="W734" s="263" t="b">
        <f t="shared" si="38"/>
        <v>1</v>
      </c>
      <c r="X734" s="263" t="b">
        <f t="shared" si="38"/>
        <v>1</v>
      </c>
    </row>
    <row r="735" spans="1:24" ht="15">
      <c r="A735" s="93">
        <v>231</v>
      </c>
      <c r="B735" s="94" t="s">
        <v>583</v>
      </c>
      <c r="C735" s="295" t="s">
        <v>1049</v>
      </c>
      <c r="D735" s="94" t="str">
        <f>+[7]GRC!D233</f>
        <v>SOG</v>
      </c>
      <c r="E735" s="94" t="s">
        <v>30</v>
      </c>
      <c r="F735" s="94" t="s">
        <v>118</v>
      </c>
      <c r="G735" s="94" t="s">
        <v>278</v>
      </c>
      <c r="H735" s="94"/>
      <c r="I735" s="94" t="s">
        <v>91</v>
      </c>
      <c r="J735" s="94" t="s">
        <v>139</v>
      </c>
      <c r="K735" s="94" t="s">
        <v>41</v>
      </c>
      <c r="L735" s="94" t="s">
        <v>13</v>
      </c>
      <c r="M735" s="94" t="s">
        <v>71</v>
      </c>
      <c r="N735" s="94" t="s">
        <v>138</v>
      </c>
      <c r="O735" s="259" t="str">
        <f t="shared" si="37"/>
        <v>B4 PM3 (12 to 15 yrs) / B5 (min 8 yrs)</v>
      </c>
      <c r="P735" s="260"/>
      <c r="Q735" s="260" t="str">
        <f t="shared" si="41"/>
        <v>SOG/EAI/ArchitectEAI/Senior</v>
      </c>
      <c r="R735" s="261" t="str">
        <f t="shared" si="39"/>
        <v>B4 PM3 (12 to 15 yrs) / B5 (min 8 yrs)</v>
      </c>
      <c r="S735" s="260" t="str">
        <f t="shared" si="40"/>
        <v>SOG_48</v>
      </c>
      <c r="T735" s="262" t="b">
        <v>0</v>
      </c>
      <c r="U735" s="263" t="str">
        <f>+VLOOKUP($C735,[8]GRC!$B$3:$L$350,9,0)</f>
        <v>B4 PM3 (12 to 15 yrs)</v>
      </c>
      <c r="V735" s="263" t="str">
        <f>+VLOOKUP($C735,[8]GRC!$B$3:$L$350,10,0)</f>
        <v>B5 (min 8 yrs)</v>
      </c>
      <c r="W735" s="263" t="b">
        <f t="shared" si="38"/>
        <v>1</v>
      </c>
      <c r="X735" s="263" t="b">
        <f t="shared" si="38"/>
        <v>1</v>
      </c>
    </row>
    <row r="736" spans="1:24" ht="15">
      <c r="A736" s="93">
        <v>232</v>
      </c>
      <c r="B736" s="94" t="s">
        <v>584</v>
      </c>
      <c r="C736" s="295" t="s">
        <v>1050</v>
      </c>
      <c r="D736" s="94" t="str">
        <f>+[7]GRC!D234</f>
        <v>SOG</v>
      </c>
      <c r="E736" s="94" t="s">
        <v>30</v>
      </c>
      <c r="F736" s="94" t="s">
        <v>118</v>
      </c>
      <c r="G736" s="94" t="s">
        <v>279</v>
      </c>
      <c r="H736" s="94" t="s">
        <v>176</v>
      </c>
      <c r="I736" s="94" t="s">
        <v>84</v>
      </c>
      <c r="J736" s="94" t="s">
        <v>148</v>
      </c>
      <c r="K736" s="94" t="s">
        <v>14</v>
      </c>
      <c r="L736" s="94" t="s">
        <v>71</v>
      </c>
      <c r="M736" s="94" t="s">
        <v>71</v>
      </c>
      <c r="N736" s="94" t="s">
        <v>138</v>
      </c>
      <c r="O736" s="259" t="str">
        <f t="shared" si="37"/>
        <v>B4 PM1 (9 to 12 yrs) / None</v>
      </c>
      <c r="P736" s="260"/>
      <c r="Q736" s="260" t="str">
        <f t="shared" si="41"/>
        <v>SOG/EAI/ArchitectBusinessRules/Junior</v>
      </c>
      <c r="R736" s="261" t="str">
        <f t="shared" si="39"/>
        <v>B4 PM1 (9 to 12 yrs) / None</v>
      </c>
      <c r="S736" s="260" t="str">
        <f t="shared" si="40"/>
        <v>SOG_148</v>
      </c>
      <c r="T736" s="262" t="b">
        <v>0</v>
      </c>
      <c r="U736" s="263" t="str">
        <f>+VLOOKUP($C736,[8]GRC!$B$3:$L$350,9,0)</f>
        <v>B4 PM1 (9 to 12 yrs)</v>
      </c>
      <c r="V736" s="263" t="str">
        <f>+VLOOKUP($C736,[8]GRC!$B$3:$L$350,10,0)</f>
        <v>None</v>
      </c>
      <c r="W736" s="263" t="b">
        <f t="shared" si="38"/>
        <v>1</v>
      </c>
      <c r="X736" s="263" t="b">
        <f t="shared" si="38"/>
        <v>1</v>
      </c>
    </row>
    <row r="737" spans="1:24" ht="15">
      <c r="A737" s="93">
        <v>233</v>
      </c>
      <c r="B737" s="94" t="s">
        <v>585</v>
      </c>
      <c r="C737" s="295" t="s">
        <v>1051</v>
      </c>
      <c r="D737" s="94" t="str">
        <f>+[7]GRC!D235</f>
        <v>SOG</v>
      </c>
      <c r="E737" s="94" t="s">
        <v>30</v>
      </c>
      <c r="F737" s="94" t="s">
        <v>118</v>
      </c>
      <c r="G737" s="94" t="s">
        <v>279</v>
      </c>
      <c r="H737" s="94" t="s">
        <v>176</v>
      </c>
      <c r="I737" s="94" t="s">
        <v>193</v>
      </c>
      <c r="J737" s="94" t="s">
        <v>186</v>
      </c>
      <c r="K737" s="94" t="s">
        <v>42</v>
      </c>
      <c r="L737" s="94" t="s">
        <v>41</v>
      </c>
      <c r="M737" s="94" t="s">
        <v>71</v>
      </c>
      <c r="N737" s="94" t="s">
        <v>138</v>
      </c>
      <c r="O737" s="259" t="str">
        <f t="shared" si="37"/>
        <v>B4 PM2 (10 to 14 yrs) / B4 PM3 (12 to 15 yrs)</v>
      </c>
      <c r="P737" s="260"/>
      <c r="Q737" s="260" t="str">
        <f t="shared" si="41"/>
        <v>SOG/EAI/ArchitectBusinessRules/MidLevel</v>
      </c>
      <c r="R737" s="261" t="str">
        <f t="shared" si="39"/>
        <v>B4 PM2 (10 to 14 yrs) / B4 PM3 (12 to 15 yrs)</v>
      </c>
      <c r="S737" s="260" t="str">
        <f t="shared" si="40"/>
        <v>SOG_149</v>
      </c>
      <c r="T737" s="262" t="b">
        <v>0</v>
      </c>
      <c r="U737" s="263" t="str">
        <f>+VLOOKUP($C737,[8]GRC!$B$3:$L$350,9,0)</f>
        <v>B4 PM2 (10 to 14 yrs)</v>
      </c>
      <c r="V737" s="263" t="str">
        <f>+VLOOKUP($C737,[8]GRC!$B$3:$L$350,10,0)</f>
        <v>B4 PM3 (12 to 15 yrs)</v>
      </c>
      <c r="W737" s="263" t="b">
        <f t="shared" si="38"/>
        <v>1</v>
      </c>
      <c r="X737" s="263" t="b">
        <f t="shared" si="38"/>
        <v>1</v>
      </c>
    </row>
    <row r="738" spans="1:24" ht="15">
      <c r="A738" s="93">
        <v>234</v>
      </c>
      <c r="B738" s="94" t="s">
        <v>586</v>
      </c>
      <c r="C738" s="295" t="s">
        <v>1052</v>
      </c>
      <c r="D738" s="94" t="str">
        <f>+[7]GRC!D236</f>
        <v>SOG</v>
      </c>
      <c r="E738" s="94" t="s">
        <v>30</v>
      </c>
      <c r="F738" s="94" t="s">
        <v>118</v>
      </c>
      <c r="G738" s="94" t="s">
        <v>279</v>
      </c>
      <c r="H738" s="94" t="s">
        <v>176</v>
      </c>
      <c r="I738" s="94" t="s">
        <v>91</v>
      </c>
      <c r="J738" s="94" t="s">
        <v>139</v>
      </c>
      <c r="K738" s="94" t="s">
        <v>41</v>
      </c>
      <c r="L738" s="94" t="s">
        <v>13</v>
      </c>
      <c r="M738" s="94" t="s">
        <v>71</v>
      </c>
      <c r="N738" s="94" t="s">
        <v>138</v>
      </c>
      <c r="O738" s="259" t="str">
        <f t="shared" si="37"/>
        <v>B4 PM3 (12 to 15 yrs) / B5 (min 8 yrs)</v>
      </c>
      <c r="P738" s="260"/>
      <c r="Q738" s="260" t="str">
        <f t="shared" si="41"/>
        <v>SOG/EAI/ArchitectBusinessRules/Senior</v>
      </c>
      <c r="R738" s="261" t="str">
        <f t="shared" si="39"/>
        <v>B4 PM3 (12 to 15 yrs) / B5 (min 8 yrs)</v>
      </c>
      <c r="S738" s="260" t="str">
        <f t="shared" si="40"/>
        <v>SOG_150</v>
      </c>
      <c r="T738" s="262" t="b">
        <v>0</v>
      </c>
      <c r="U738" s="263" t="str">
        <f>+VLOOKUP($C738,[8]GRC!$B$3:$L$350,9,0)</f>
        <v>B4 PM3 (12 to 15 yrs)</v>
      </c>
      <c r="V738" s="263" t="str">
        <f>+VLOOKUP($C738,[8]GRC!$B$3:$L$350,10,0)</f>
        <v>B5 (min 8 yrs)</v>
      </c>
      <c r="W738" s="263" t="b">
        <f t="shared" si="38"/>
        <v>1</v>
      </c>
      <c r="X738" s="263" t="b">
        <f t="shared" si="38"/>
        <v>1</v>
      </c>
    </row>
    <row r="739" spans="1:24" ht="15">
      <c r="A739" s="93">
        <v>235</v>
      </c>
      <c r="B739" s="94" t="s">
        <v>587</v>
      </c>
      <c r="C739" s="295" t="s">
        <v>1053</v>
      </c>
      <c r="D739" s="94" t="str">
        <f>+[7]GRC!D237</f>
        <v>SOG</v>
      </c>
      <c r="E739" s="94" t="s">
        <v>30</v>
      </c>
      <c r="F739" s="94" t="s">
        <v>118</v>
      </c>
      <c r="G739" s="94" t="s">
        <v>280</v>
      </c>
      <c r="H739" s="94" t="s">
        <v>178</v>
      </c>
      <c r="I739" s="94" t="s">
        <v>84</v>
      </c>
      <c r="J739" s="94" t="s">
        <v>148</v>
      </c>
      <c r="K739" s="94" t="s">
        <v>14</v>
      </c>
      <c r="L739" s="94" t="s">
        <v>71</v>
      </c>
      <c r="M739" s="94" t="s">
        <v>71</v>
      </c>
      <c r="N739" s="94" t="s">
        <v>138</v>
      </c>
      <c r="O739" s="259" t="str">
        <f t="shared" si="37"/>
        <v>B4 PM1 (9 to 12 yrs) / None</v>
      </c>
      <c r="P739" s="260"/>
      <c r="Q739" s="260" t="str">
        <f t="shared" si="41"/>
        <v>SOG/EAI/ArchitectProcess/Junior</v>
      </c>
      <c r="R739" s="261" t="str">
        <f t="shared" si="39"/>
        <v>B4 PM1 (9 to 12 yrs) / None</v>
      </c>
      <c r="S739" s="260" t="str">
        <f t="shared" si="40"/>
        <v>SOG_142</v>
      </c>
      <c r="T739" s="262" t="b">
        <v>0</v>
      </c>
      <c r="U739" s="263" t="str">
        <f>+VLOOKUP($C739,[8]GRC!$B$3:$L$350,9,0)</f>
        <v>B4 PM1 (9 to 12 yrs)</v>
      </c>
      <c r="V739" s="263" t="str">
        <f>+VLOOKUP($C739,[8]GRC!$B$3:$L$350,10,0)</f>
        <v>None</v>
      </c>
      <c r="W739" s="263" t="b">
        <f t="shared" si="38"/>
        <v>1</v>
      </c>
      <c r="X739" s="263" t="b">
        <f t="shared" si="38"/>
        <v>1</v>
      </c>
    </row>
    <row r="740" spans="1:24" ht="15">
      <c r="A740" s="93">
        <v>236</v>
      </c>
      <c r="B740" s="94" t="s">
        <v>588</v>
      </c>
      <c r="C740" s="295" t="s">
        <v>1054</v>
      </c>
      <c r="D740" s="94" t="str">
        <f>+[7]GRC!D238</f>
        <v>SOG</v>
      </c>
      <c r="E740" s="94" t="s">
        <v>30</v>
      </c>
      <c r="F740" s="94" t="s">
        <v>118</v>
      </c>
      <c r="G740" s="94" t="s">
        <v>280</v>
      </c>
      <c r="H740" s="94" t="s">
        <v>178</v>
      </c>
      <c r="I740" s="94" t="s">
        <v>193</v>
      </c>
      <c r="J740" s="94" t="s">
        <v>186</v>
      </c>
      <c r="K740" s="94" t="s">
        <v>42</v>
      </c>
      <c r="L740" s="94" t="s">
        <v>41</v>
      </c>
      <c r="M740" s="94" t="s">
        <v>71</v>
      </c>
      <c r="N740" s="94" t="s">
        <v>138</v>
      </c>
      <c r="O740" s="259" t="str">
        <f t="shared" si="37"/>
        <v>B4 PM2 (10 to 14 yrs) / B4 PM3 (12 to 15 yrs)</v>
      </c>
      <c r="P740" s="260"/>
      <c r="Q740" s="260" t="str">
        <f t="shared" si="41"/>
        <v>SOG/EAI/ArchitectProcess/MidLevel</v>
      </c>
      <c r="R740" s="261" t="str">
        <f t="shared" si="39"/>
        <v>B4 PM2 (10 to 14 yrs) / B4 PM3 (12 to 15 yrs)</v>
      </c>
      <c r="S740" s="260" t="str">
        <f t="shared" si="40"/>
        <v>SOG_143</v>
      </c>
      <c r="T740" s="262" t="b">
        <v>0</v>
      </c>
      <c r="U740" s="263" t="str">
        <f>+VLOOKUP($C740,[8]GRC!$B$3:$L$350,9,0)</f>
        <v>B4 PM2 (10 to 14 yrs)</v>
      </c>
      <c r="V740" s="263" t="str">
        <f>+VLOOKUP($C740,[8]GRC!$B$3:$L$350,10,0)</f>
        <v>B4 PM3 (12 to 15 yrs)</v>
      </c>
      <c r="W740" s="263" t="b">
        <f t="shared" si="38"/>
        <v>1</v>
      </c>
      <c r="X740" s="263" t="b">
        <f t="shared" si="38"/>
        <v>1</v>
      </c>
    </row>
    <row r="741" spans="1:24" ht="15">
      <c r="A741" s="93">
        <v>237</v>
      </c>
      <c r="B741" s="94" t="s">
        <v>589</v>
      </c>
      <c r="C741" s="295" t="s">
        <v>1055</v>
      </c>
      <c r="D741" s="94" t="str">
        <f>+[7]GRC!D239</f>
        <v>SOG</v>
      </c>
      <c r="E741" s="94" t="s">
        <v>30</v>
      </c>
      <c r="F741" s="94" t="s">
        <v>118</v>
      </c>
      <c r="G741" s="94" t="s">
        <v>280</v>
      </c>
      <c r="H741" s="94" t="s">
        <v>178</v>
      </c>
      <c r="I741" s="94" t="s">
        <v>91</v>
      </c>
      <c r="J741" s="94" t="s">
        <v>139</v>
      </c>
      <c r="K741" s="94" t="s">
        <v>41</v>
      </c>
      <c r="L741" s="94" t="s">
        <v>13</v>
      </c>
      <c r="M741" s="94" t="s">
        <v>71</v>
      </c>
      <c r="N741" s="94" t="s">
        <v>138</v>
      </c>
      <c r="O741" s="259" t="str">
        <f t="shared" si="37"/>
        <v>B4 PM3 (12 to 15 yrs) / B5 (min 8 yrs)</v>
      </c>
      <c r="P741" s="260"/>
      <c r="Q741" s="260" t="str">
        <f t="shared" si="41"/>
        <v>SOG/EAI/ArchitectProcess/Senior</v>
      </c>
      <c r="R741" s="261" t="str">
        <f t="shared" si="39"/>
        <v>B4 PM3 (12 to 15 yrs) / B5 (min 8 yrs)</v>
      </c>
      <c r="S741" s="260" t="str">
        <f t="shared" si="40"/>
        <v>SOG_144</v>
      </c>
      <c r="T741" s="262" t="b">
        <v>0</v>
      </c>
      <c r="U741" s="263" t="str">
        <f>+VLOOKUP($C741,[8]GRC!$B$3:$L$350,9,0)</f>
        <v>B4 PM3 (12 to 15 yrs)</v>
      </c>
      <c r="V741" s="263" t="str">
        <f>+VLOOKUP($C741,[8]GRC!$B$3:$L$350,10,0)</f>
        <v>B5 (min 8 yrs)</v>
      </c>
      <c r="W741" s="263" t="b">
        <f t="shared" si="38"/>
        <v>1</v>
      </c>
      <c r="X741" s="263" t="b">
        <f t="shared" si="38"/>
        <v>1</v>
      </c>
    </row>
    <row r="742" spans="1:24" ht="15">
      <c r="A742" s="93">
        <v>238</v>
      </c>
      <c r="B742" s="94" t="s">
        <v>590</v>
      </c>
      <c r="C742" s="295" t="s">
        <v>1056</v>
      </c>
      <c r="D742" s="94" t="str">
        <f>+[7]GRC!D240</f>
        <v>SOG</v>
      </c>
      <c r="E742" s="94" t="s">
        <v>30</v>
      </c>
      <c r="F742" s="94" t="s">
        <v>118</v>
      </c>
      <c r="G742" s="94" t="s">
        <v>281</v>
      </c>
      <c r="H742" s="94" t="s">
        <v>179</v>
      </c>
      <c r="I742" s="94" t="s">
        <v>84</v>
      </c>
      <c r="J742" s="94" t="s">
        <v>151</v>
      </c>
      <c r="K742" s="94" t="s">
        <v>18</v>
      </c>
      <c r="L742" s="94" t="s">
        <v>71</v>
      </c>
      <c r="M742" s="94" t="s">
        <v>71</v>
      </c>
      <c r="N742" s="94" t="s">
        <v>138</v>
      </c>
      <c r="O742" s="259" t="str">
        <f t="shared" si="37"/>
        <v>B2 AP3 (3 to 5 yrs) / None</v>
      </c>
      <c r="P742" s="260"/>
      <c r="Q742" s="260" t="str">
        <f t="shared" si="41"/>
        <v>SOG/EAI/ConfiguratorMercatorMQ/Junior</v>
      </c>
      <c r="R742" s="261" t="str">
        <f t="shared" si="39"/>
        <v>B2 AP3 (3 to 5 yrs) / None</v>
      </c>
      <c r="S742" s="260" t="str">
        <f t="shared" si="40"/>
        <v>SOG_132</v>
      </c>
      <c r="T742" s="262" t="b">
        <v>0</v>
      </c>
      <c r="U742" s="263" t="str">
        <f>+VLOOKUP($C742,[8]GRC!$B$3:$L$350,9,0)</f>
        <v>B2 AP3 (3 to 5 yrs)</v>
      </c>
      <c r="V742" s="263" t="str">
        <f>+VLOOKUP($C742,[8]GRC!$B$3:$L$350,10,0)</f>
        <v>None</v>
      </c>
      <c r="W742" s="263" t="b">
        <f t="shared" si="38"/>
        <v>1</v>
      </c>
      <c r="X742" s="263" t="b">
        <f t="shared" si="38"/>
        <v>1</v>
      </c>
    </row>
    <row r="743" spans="1:24" ht="15">
      <c r="A743" s="93">
        <v>239</v>
      </c>
      <c r="B743" s="94" t="s">
        <v>591</v>
      </c>
      <c r="C743" s="295" t="s">
        <v>1057</v>
      </c>
      <c r="D743" s="94" t="str">
        <f>+[7]GRC!D241</f>
        <v>SOG</v>
      </c>
      <c r="E743" s="94" t="s">
        <v>30</v>
      </c>
      <c r="F743" s="94" t="s">
        <v>118</v>
      </c>
      <c r="G743" s="94" t="s">
        <v>281</v>
      </c>
      <c r="H743" s="94" t="s">
        <v>179</v>
      </c>
      <c r="I743" s="94" t="s">
        <v>193</v>
      </c>
      <c r="J743" s="94" t="s">
        <v>145</v>
      </c>
      <c r="K743" s="94" t="s">
        <v>17</v>
      </c>
      <c r="L743" s="94" t="s">
        <v>16</v>
      </c>
      <c r="M743" s="94" t="s">
        <v>71</v>
      </c>
      <c r="N743" s="94" t="s">
        <v>138</v>
      </c>
      <c r="O743" s="259" t="str">
        <f t="shared" si="37"/>
        <v>B3 PL1 (5 to 7 yrs) / B3 PL2 (6 to 8 yrs)</v>
      </c>
      <c r="P743" s="260"/>
      <c r="Q743" s="260" t="str">
        <f t="shared" si="41"/>
        <v>SOG/EAI/ConfiguratorMercatorMQ/MidLevel</v>
      </c>
      <c r="R743" s="261" t="str">
        <f t="shared" si="39"/>
        <v>B3 PL1 (5 to 7 yrs) / B3 PL2 (6 to 8 yrs)</v>
      </c>
      <c r="S743" s="260" t="str">
        <f t="shared" si="40"/>
        <v>SOG_52</v>
      </c>
      <c r="T743" s="262" t="b">
        <v>0</v>
      </c>
      <c r="U743" s="263" t="str">
        <f>+VLOOKUP($C743,[8]GRC!$B$3:$L$350,9,0)</f>
        <v>B3 PL1 (5 to 7 yrs)</v>
      </c>
      <c r="V743" s="263" t="str">
        <f>+VLOOKUP($C743,[8]GRC!$B$3:$L$350,10,0)</f>
        <v>B3 PL2 (6 to 8 yrs)</v>
      </c>
      <c r="W743" s="263" t="b">
        <f t="shared" si="38"/>
        <v>1</v>
      </c>
      <c r="X743" s="263" t="b">
        <f t="shared" si="38"/>
        <v>1</v>
      </c>
    </row>
    <row r="744" spans="1:24" ht="15">
      <c r="A744" s="93">
        <v>240</v>
      </c>
      <c r="B744" s="94" t="s">
        <v>592</v>
      </c>
      <c r="C744" s="295" t="s">
        <v>1058</v>
      </c>
      <c r="D744" s="94" t="str">
        <f>+[7]GRC!D242</f>
        <v>SOG</v>
      </c>
      <c r="E744" s="94" t="s">
        <v>30</v>
      </c>
      <c r="F744" s="94" t="s">
        <v>118</v>
      </c>
      <c r="G744" s="94" t="s">
        <v>281</v>
      </c>
      <c r="H744" s="94" t="s">
        <v>179</v>
      </c>
      <c r="I744" s="94" t="s">
        <v>91</v>
      </c>
      <c r="J744" s="94" t="s">
        <v>147</v>
      </c>
      <c r="K744" s="94" t="s">
        <v>16</v>
      </c>
      <c r="L744" s="94" t="s">
        <v>15</v>
      </c>
      <c r="M744" s="94" t="s">
        <v>71</v>
      </c>
      <c r="N744" s="94" t="s">
        <v>138</v>
      </c>
      <c r="O744" s="259" t="str">
        <f t="shared" si="37"/>
        <v>B3 PL2 (6 to 8 yrs) / B3 PL3 (7 to 10 yrs)</v>
      </c>
      <c r="P744" s="260"/>
      <c r="Q744" s="260" t="str">
        <f t="shared" si="41"/>
        <v>SOG/EAI/ConfiguratorMercatorMQ/Senior</v>
      </c>
      <c r="R744" s="261" t="str">
        <f t="shared" si="39"/>
        <v>B3 PL2 (6 to 8 yrs) / B3 PL3 (7 to 10 yrs)</v>
      </c>
      <c r="S744" s="260" t="str">
        <f t="shared" si="40"/>
        <v>SOG_53</v>
      </c>
      <c r="T744" s="262" t="b">
        <v>0</v>
      </c>
      <c r="U744" s="263" t="str">
        <f>+VLOOKUP($C744,[8]GRC!$B$3:$L$350,9,0)</f>
        <v>B3 PL2 (6 to 8 yrs)</v>
      </c>
      <c r="V744" s="263" t="str">
        <f>+VLOOKUP($C744,[8]GRC!$B$3:$L$350,10,0)</f>
        <v>B3 PL3 (7 to 10 yrs)</v>
      </c>
      <c r="W744" s="263" t="b">
        <f t="shared" si="38"/>
        <v>1</v>
      </c>
      <c r="X744" s="263" t="b">
        <f t="shared" si="38"/>
        <v>1</v>
      </c>
    </row>
    <row r="745" spans="1:24" ht="15">
      <c r="A745" s="93">
        <v>241</v>
      </c>
      <c r="B745" s="94" t="s">
        <v>593</v>
      </c>
      <c r="C745" s="295" t="s">
        <v>1059</v>
      </c>
      <c r="D745" s="94" t="str">
        <f>+[7]GRC!D243</f>
        <v>SOG</v>
      </c>
      <c r="E745" s="94" t="s">
        <v>30</v>
      </c>
      <c r="F745" s="94" t="s">
        <v>118</v>
      </c>
      <c r="G745" s="94" t="s">
        <v>282</v>
      </c>
      <c r="H745" s="94" t="s">
        <v>177</v>
      </c>
      <c r="I745" s="94" t="s">
        <v>84</v>
      </c>
      <c r="J745" s="94" t="s">
        <v>148</v>
      </c>
      <c r="K745" s="94" t="s">
        <v>14</v>
      </c>
      <c r="L745" s="94" t="s">
        <v>71</v>
      </c>
      <c r="M745" s="94" t="s">
        <v>71</v>
      </c>
      <c r="N745" s="94" t="s">
        <v>138</v>
      </c>
      <c r="O745" s="259" t="str">
        <f t="shared" si="37"/>
        <v>B4 PM1 (9 to 12 yrs) / None</v>
      </c>
      <c r="P745" s="260"/>
      <c r="Q745" s="260" t="str">
        <f t="shared" si="41"/>
        <v>SOG/EAI/ConsultantTIBCO/Junior</v>
      </c>
      <c r="R745" s="261" t="str">
        <f t="shared" si="39"/>
        <v>B4 PM1 (9 to 12 yrs) / None</v>
      </c>
      <c r="S745" s="260" t="str">
        <f t="shared" si="40"/>
        <v>SOG_139</v>
      </c>
      <c r="T745" s="262" t="b">
        <v>0</v>
      </c>
      <c r="U745" s="263" t="str">
        <f>+VLOOKUP($C745,[8]GRC!$B$3:$L$350,9,0)</f>
        <v>B4 PM1 (9 to 12 yrs)</v>
      </c>
      <c r="V745" s="263" t="str">
        <f>+VLOOKUP($C745,[8]GRC!$B$3:$L$350,10,0)</f>
        <v>None</v>
      </c>
      <c r="W745" s="263" t="b">
        <f t="shared" si="38"/>
        <v>1</v>
      </c>
      <c r="X745" s="263" t="b">
        <f t="shared" si="38"/>
        <v>1</v>
      </c>
    </row>
    <row r="746" spans="1:24" ht="15">
      <c r="A746" s="93">
        <v>242</v>
      </c>
      <c r="B746" s="94" t="s">
        <v>594</v>
      </c>
      <c r="C746" s="295" t="s">
        <v>1060</v>
      </c>
      <c r="D746" s="94" t="str">
        <f>+[7]GRC!D244</f>
        <v>SOG</v>
      </c>
      <c r="E746" s="94" t="s">
        <v>30</v>
      </c>
      <c r="F746" s="94" t="s">
        <v>118</v>
      </c>
      <c r="G746" s="94" t="s">
        <v>282</v>
      </c>
      <c r="H746" s="94" t="s">
        <v>177</v>
      </c>
      <c r="I746" s="94" t="s">
        <v>193</v>
      </c>
      <c r="J746" s="94" t="s">
        <v>186</v>
      </c>
      <c r="K746" s="94" t="s">
        <v>42</v>
      </c>
      <c r="L746" s="94" t="s">
        <v>41</v>
      </c>
      <c r="M746" s="94" t="s">
        <v>71</v>
      </c>
      <c r="N746" s="94" t="s">
        <v>138</v>
      </c>
      <c r="O746" s="259" t="str">
        <f t="shared" si="37"/>
        <v>B4 PM2 (10 to 14 yrs) / B4 PM3 (12 to 15 yrs)</v>
      </c>
      <c r="P746" s="260"/>
      <c r="Q746" s="260" t="str">
        <f t="shared" si="41"/>
        <v>SOG/EAI/ConsultantTIBCO/MidLevel</v>
      </c>
      <c r="R746" s="261" t="str">
        <f t="shared" si="39"/>
        <v>B4 PM2 (10 to 14 yrs) / B4 PM3 (12 to 15 yrs)</v>
      </c>
      <c r="S746" s="260" t="str">
        <f t="shared" si="40"/>
        <v>SOG_140</v>
      </c>
      <c r="T746" s="262" t="b">
        <v>0</v>
      </c>
      <c r="U746" s="263" t="str">
        <f>+VLOOKUP($C746,[8]GRC!$B$3:$L$350,9,0)</f>
        <v>B4 PM2 (10 to 14 yrs)</v>
      </c>
      <c r="V746" s="263" t="str">
        <f>+VLOOKUP($C746,[8]GRC!$B$3:$L$350,10,0)</f>
        <v>B4 PM3 (12 to 15 yrs)</v>
      </c>
      <c r="W746" s="263" t="b">
        <f t="shared" si="38"/>
        <v>1</v>
      </c>
      <c r="X746" s="263" t="b">
        <f t="shared" si="38"/>
        <v>1</v>
      </c>
    </row>
    <row r="747" spans="1:24" ht="15">
      <c r="A747" s="93">
        <v>243</v>
      </c>
      <c r="B747" s="94" t="s">
        <v>595</v>
      </c>
      <c r="C747" s="295" t="s">
        <v>1061</v>
      </c>
      <c r="D747" s="94" t="str">
        <f>+[7]GRC!D245</f>
        <v>SOG</v>
      </c>
      <c r="E747" s="94" t="s">
        <v>30</v>
      </c>
      <c r="F747" s="94" t="s">
        <v>118</v>
      </c>
      <c r="G747" s="94" t="s">
        <v>282</v>
      </c>
      <c r="H747" s="94" t="s">
        <v>177</v>
      </c>
      <c r="I747" s="94" t="s">
        <v>91</v>
      </c>
      <c r="J747" s="94" t="s">
        <v>139</v>
      </c>
      <c r="K747" s="94" t="s">
        <v>41</v>
      </c>
      <c r="L747" s="94" t="s">
        <v>13</v>
      </c>
      <c r="M747" s="94" t="s">
        <v>71</v>
      </c>
      <c r="N747" s="94" t="s">
        <v>138</v>
      </c>
      <c r="O747" s="259" t="str">
        <f t="shared" si="37"/>
        <v>B4 PM3 (12 to 15 yrs) / B5 (min 8 yrs)</v>
      </c>
      <c r="P747" s="260"/>
      <c r="Q747" s="260" t="str">
        <f t="shared" si="41"/>
        <v>SOG/EAI/ConsultantTIBCO/Senior</v>
      </c>
      <c r="R747" s="261" t="str">
        <f t="shared" si="39"/>
        <v>B4 PM3 (12 to 15 yrs) / B5 (min 8 yrs)</v>
      </c>
      <c r="S747" s="260" t="str">
        <f t="shared" si="40"/>
        <v>SOG_141</v>
      </c>
      <c r="T747" s="262" t="b">
        <v>0</v>
      </c>
      <c r="U747" s="263" t="str">
        <f>+VLOOKUP($C747,[8]GRC!$B$3:$L$350,9,0)</f>
        <v>B4 PM3 (12 to 15 yrs)</v>
      </c>
      <c r="V747" s="263" t="str">
        <f>+VLOOKUP($C747,[8]GRC!$B$3:$L$350,10,0)</f>
        <v>B5 (min 8 yrs)</v>
      </c>
      <c r="W747" s="263" t="b">
        <f t="shared" si="38"/>
        <v>1</v>
      </c>
      <c r="X747" s="263" t="b">
        <f t="shared" si="38"/>
        <v>1</v>
      </c>
    </row>
    <row r="748" spans="1:24" ht="15">
      <c r="A748" s="93">
        <v>244</v>
      </c>
      <c r="B748" s="94" t="s">
        <v>596</v>
      </c>
      <c r="C748" s="295" t="s">
        <v>1062</v>
      </c>
      <c r="D748" s="94" t="str">
        <f>+[7]GRC!D246</f>
        <v>SOG</v>
      </c>
      <c r="E748" s="94" t="s">
        <v>30</v>
      </c>
      <c r="F748" s="94" t="s">
        <v>118</v>
      </c>
      <c r="G748" s="94" t="s">
        <v>335</v>
      </c>
      <c r="H748" s="94" t="s">
        <v>119</v>
      </c>
      <c r="I748" s="94"/>
      <c r="J748" s="94" t="s">
        <v>166</v>
      </c>
      <c r="K748" s="94" t="s">
        <v>13</v>
      </c>
      <c r="L748" s="94" t="s">
        <v>71</v>
      </c>
      <c r="M748" s="94" t="s">
        <v>71</v>
      </c>
      <c r="N748" s="94" t="s">
        <v>138</v>
      </c>
      <c r="O748" s="259" t="str">
        <f t="shared" si="37"/>
        <v>B5 (min 8 yrs) / None</v>
      </c>
      <c r="P748" s="260"/>
      <c r="Q748" s="260" t="str">
        <f t="shared" si="41"/>
        <v>SOG/EAI/DeliveryManagerEIS/</v>
      </c>
      <c r="R748" s="261" t="str">
        <f t="shared" si="39"/>
        <v>B5 (min 8 yrs) / None</v>
      </c>
      <c r="S748" s="260" t="str">
        <f t="shared" si="40"/>
        <v>SOG_55</v>
      </c>
      <c r="T748" s="262" t="e">
        <v>#REF!</v>
      </c>
      <c r="U748" s="263" t="str">
        <f>+VLOOKUP($C748,[8]GRC!$B$3:$L$350,9,0)</f>
        <v>B5 (min 8 yrs)</v>
      </c>
      <c r="V748" s="263" t="str">
        <f>+VLOOKUP($C748,[8]GRC!$B$3:$L$350,10,0)</f>
        <v>None</v>
      </c>
      <c r="W748" s="263" t="b">
        <f t="shared" si="38"/>
        <v>1</v>
      </c>
      <c r="X748" s="263" t="b">
        <f t="shared" si="38"/>
        <v>1</v>
      </c>
    </row>
    <row r="749" spans="1:24" ht="15">
      <c r="A749" s="93">
        <v>245</v>
      </c>
      <c r="B749" s="94" t="s">
        <v>597</v>
      </c>
      <c r="C749" s="295" t="s">
        <v>1063</v>
      </c>
      <c r="D749" s="94" t="str">
        <f>+[7]GRC!D247</f>
        <v>SOG</v>
      </c>
      <c r="E749" s="94" t="s">
        <v>30</v>
      </c>
      <c r="F749" s="94" t="s">
        <v>118</v>
      </c>
      <c r="G749" s="94" t="s">
        <v>284</v>
      </c>
      <c r="H749" s="94" t="s">
        <v>187</v>
      </c>
      <c r="I749" s="94" t="s">
        <v>84</v>
      </c>
      <c r="J749" s="94" t="s">
        <v>150</v>
      </c>
      <c r="K749" s="94" t="s">
        <v>20</v>
      </c>
      <c r="L749" s="94" t="s">
        <v>19</v>
      </c>
      <c r="M749" s="94" t="s">
        <v>71</v>
      </c>
      <c r="N749" s="94" t="s">
        <v>138</v>
      </c>
      <c r="O749" s="259" t="str">
        <f t="shared" si="37"/>
        <v>B2 AP1 / B2 AP2 (0.6 to 3 yrs)</v>
      </c>
      <c r="P749" s="260"/>
      <c r="Q749" s="260" t="str">
        <f t="shared" si="41"/>
        <v>SOG/EAI/DeveloperIBMWebSphereProcessServer /Junior</v>
      </c>
      <c r="R749" s="261" t="str">
        <f t="shared" si="39"/>
        <v>B2 AP1 / B2 AP2 (0.6 to 3 yrs)</v>
      </c>
      <c r="S749" s="260" t="str">
        <f t="shared" si="40"/>
        <v>SOG_57</v>
      </c>
      <c r="T749" s="262" t="b">
        <v>0</v>
      </c>
      <c r="U749" s="263" t="str">
        <f>+VLOOKUP($C749,[8]GRC!$B$3:$L$350,9,0)</f>
        <v>B2 AP1</v>
      </c>
      <c r="V749" s="263" t="str">
        <f>+VLOOKUP($C749,[8]GRC!$B$3:$L$350,10,0)</f>
        <v>B2 AP2 (0.6 to 3 yrs)</v>
      </c>
      <c r="W749" s="263" t="b">
        <f t="shared" si="38"/>
        <v>1</v>
      </c>
      <c r="X749" s="263" t="b">
        <f t="shared" si="38"/>
        <v>1</v>
      </c>
    </row>
    <row r="750" spans="1:24" ht="15">
      <c r="A750" s="93">
        <v>246</v>
      </c>
      <c r="B750" s="94" t="s">
        <v>598</v>
      </c>
      <c r="C750" s="295" t="s">
        <v>1064</v>
      </c>
      <c r="D750" s="94" t="str">
        <f>+[7]GRC!D248</f>
        <v>SOG</v>
      </c>
      <c r="E750" s="94" t="s">
        <v>30</v>
      </c>
      <c r="F750" s="94" t="s">
        <v>118</v>
      </c>
      <c r="G750" s="94" t="s">
        <v>284</v>
      </c>
      <c r="H750" s="94" t="s">
        <v>187</v>
      </c>
      <c r="I750" s="94" t="s">
        <v>193</v>
      </c>
      <c r="J750" s="94" t="s">
        <v>151</v>
      </c>
      <c r="K750" s="94" t="s">
        <v>19</v>
      </c>
      <c r="L750" s="94" t="s">
        <v>18</v>
      </c>
      <c r="M750" s="94" t="s">
        <v>71</v>
      </c>
      <c r="N750" s="94" t="s">
        <v>138</v>
      </c>
      <c r="O750" s="259" t="str">
        <f t="shared" si="37"/>
        <v>B2 AP2 (0.6 to 3 yrs) / B2 AP3 (3 to 5 yrs)</v>
      </c>
      <c r="P750" s="260"/>
      <c r="Q750" s="260" t="str">
        <f t="shared" si="41"/>
        <v>SOG/EAI/DeveloperIBMWebSphereProcessServer /MidLevel</v>
      </c>
      <c r="R750" s="261" t="str">
        <f t="shared" si="39"/>
        <v>B2 AP2 (0.6 to 3 yrs) / B2 AP3 (3 to 5 yrs)</v>
      </c>
      <c r="S750" s="260" t="str">
        <f t="shared" si="40"/>
        <v>SOG_123</v>
      </c>
      <c r="T750" s="262" t="b">
        <v>0</v>
      </c>
      <c r="U750" s="263" t="str">
        <f>+VLOOKUP($C750,[8]GRC!$B$3:$L$350,9,0)</f>
        <v>B2 AP2 (0.6 to 3 yrs)</v>
      </c>
      <c r="V750" s="263" t="str">
        <f>+VLOOKUP($C750,[8]GRC!$B$3:$L$350,10,0)</f>
        <v>B2 AP3 (3 to 5 yrs)</v>
      </c>
      <c r="W750" s="263" t="b">
        <f t="shared" si="38"/>
        <v>1</v>
      </c>
      <c r="X750" s="263" t="b">
        <f t="shared" si="38"/>
        <v>1</v>
      </c>
    </row>
    <row r="751" spans="1:24" ht="15">
      <c r="A751" s="93">
        <v>247</v>
      </c>
      <c r="B751" s="94" t="s">
        <v>599</v>
      </c>
      <c r="C751" s="295" t="s">
        <v>1065</v>
      </c>
      <c r="D751" s="94" t="str">
        <f>+[7]GRC!D249</f>
        <v>SOG</v>
      </c>
      <c r="E751" s="94" t="s">
        <v>30</v>
      </c>
      <c r="F751" s="94" t="s">
        <v>118</v>
      </c>
      <c r="G751" s="94" t="s">
        <v>284</v>
      </c>
      <c r="H751" s="94" t="s">
        <v>187</v>
      </c>
      <c r="I751" s="94" t="s">
        <v>91</v>
      </c>
      <c r="J751" s="94" t="s">
        <v>145</v>
      </c>
      <c r="K751" s="94" t="s">
        <v>18</v>
      </c>
      <c r="L751" s="94" t="s">
        <v>17</v>
      </c>
      <c r="M751" s="94" t="s">
        <v>71</v>
      </c>
      <c r="N751" s="94" t="s">
        <v>138</v>
      </c>
      <c r="O751" s="259" t="str">
        <f t="shared" si="37"/>
        <v>B2 AP3 (3 to 5 yrs) / B3 PL1 (5 to 7 yrs)</v>
      </c>
      <c r="P751" s="260"/>
      <c r="Q751" s="260" t="str">
        <f t="shared" si="41"/>
        <v>SOG/EAI/DeveloperIBMWebSphereProcessServer /Senior</v>
      </c>
      <c r="R751" s="261" t="str">
        <f t="shared" si="39"/>
        <v>B2 AP3 (3 to 5 yrs) / B3 PL1 (5 to 7 yrs)</v>
      </c>
      <c r="S751" s="260" t="str">
        <f t="shared" si="40"/>
        <v>SOG_58</v>
      </c>
      <c r="T751" s="262" t="b">
        <v>0</v>
      </c>
      <c r="U751" s="263" t="str">
        <f>+VLOOKUP($C751,[8]GRC!$B$3:$L$350,9,0)</f>
        <v>B2 AP3 (3 to 5 yrs)</v>
      </c>
      <c r="V751" s="263" t="str">
        <f>+VLOOKUP($C751,[8]GRC!$B$3:$L$350,10,0)</f>
        <v>B3 PL1 (5 to 7 yrs)</v>
      </c>
      <c r="W751" s="263" t="b">
        <f t="shared" si="38"/>
        <v>1</v>
      </c>
      <c r="X751" s="263" t="b">
        <f t="shared" si="38"/>
        <v>1</v>
      </c>
    </row>
    <row r="752" spans="1:24" ht="15">
      <c r="A752" s="93">
        <v>248</v>
      </c>
      <c r="B752" s="94" t="s">
        <v>600</v>
      </c>
      <c r="C752" s="295" t="s">
        <v>1066</v>
      </c>
      <c r="D752" s="94" t="str">
        <f>+[7]GRC!D250</f>
        <v>SOG</v>
      </c>
      <c r="E752" s="94" t="s">
        <v>30</v>
      </c>
      <c r="F752" s="94" t="s">
        <v>118</v>
      </c>
      <c r="G752" s="94" t="s">
        <v>285</v>
      </c>
      <c r="H752" s="94" t="s">
        <v>188</v>
      </c>
      <c r="I752" s="94" t="s">
        <v>84</v>
      </c>
      <c r="J752" s="94" t="s">
        <v>150</v>
      </c>
      <c r="K752" s="94" t="s">
        <v>20</v>
      </c>
      <c r="L752" s="94" t="s">
        <v>19</v>
      </c>
      <c r="M752" s="94" t="s">
        <v>71</v>
      </c>
      <c r="N752" s="94" t="s">
        <v>138</v>
      </c>
      <c r="O752" s="259" t="str">
        <f t="shared" si="37"/>
        <v>B2 AP1 / B2 AP2 (0.6 to 3 yrs)</v>
      </c>
      <c r="P752" s="260"/>
      <c r="Q752" s="260" t="str">
        <f t="shared" si="41"/>
        <v>SOG/EAI/DeveloperIBMWebSphereMessageBroker /Junior</v>
      </c>
      <c r="R752" s="261" t="str">
        <f t="shared" si="39"/>
        <v>B2 AP1 / B2 AP2 (0.6 to 3 yrs)</v>
      </c>
      <c r="S752" s="260" t="str">
        <f t="shared" si="40"/>
        <v>SOG_59</v>
      </c>
      <c r="T752" s="262" t="b">
        <v>0</v>
      </c>
      <c r="U752" s="263" t="str">
        <f>+VLOOKUP($C752,[8]GRC!$B$3:$L$350,9,0)</f>
        <v>B2 AP1</v>
      </c>
      <c r="V752" s="263" t="str">
        <f>+VLOOKUP($C752,[8]GRC!$B$3:$L$350,10,0)</f>
        <v>B2 AP2 (0.6 to 3 yrs)</v>
      </c>
      <c r="W752" s="263" t="b">
        <f t="shared" si="38"/>
        <v>1</v>
      </c>
      <c r="X752" s="263" t="b">
        <f t="shared" si="38"/>
        <v>1</v>
      </c>
    </row>
    <row r="753" spans="1:24" ht="15">
      <c r="A753" s="93">
        <v>249</v>
      </c>
      <c r="B753" s="94" t="s">
        <v>601</v>
      </c>
      <c r="C753" s="295" t="s">
        <v>1067</v>
      </c>
      <c r="D753" s="94" t="str">
        <f>+[7]GRC!D251</f>
        <v>SOG</v>
      </c>
      <c r="E753" s="94" t="s">
        <v>30</v>
      </c>
      <c r="F753" s="94" t="s">
        <v>118</v>
      </c>
      <c r="G753" s="94" t="s">
        <v>285</v>
      </c>
      <c r="H753" s="94" t="s">
        <v>188</v>
      </c>
      <c r="I753" s="94" t="s">
        <v>193</v>
      </c>
      <c r="J753" s="94" t="s">
        <v>151</v>
      </c>
      <c r="K753" s="94" t="s">
        <v>19</v>
      </c>
      <c r="L753" s="94" t="s">
        <v>18</v>
      </c>
      <c r="M753" s="94" t="s">
        <v>71</v>
      </c>
      <c r="N753" s="94" t="s">
        <v>138</v>
      </c>
      <c r="O753" s="259" t="str">
        <f t="shared" si="37"/>
        <v>B2 AP2 (0.6 to 3 yrs) / B2 AP3 (3 to 5 yrs)</v>
      </c>
      <c r="P753" s="260"/>
      <c r="Q753" s="260" t="str">
        <f t="shared" si="41"/>
        <v>SOG/EAI/DeveloperIBMWebSphereMessageBroker /MidLevel</v>
      </c>
      <c r="R753" s="261" t="str">
        <f t="shared" si="39"/>
        <v>B2 AP2 (0.6 to 3 yrs) / B2 AP3 (3 to 5 yrs)</v>
      </c>
      <c r="S753" s="260" t="str">
        <f t="shared" si="40"/>
        <v>SOG_124</v>
      </c>
      <c r="T753" s="262" t="b">
        <v>0</v>
      </c>
      <c r="U753" s="263" t="str">
        <f>+VLOOKUP($C753,[8]GRC!$B$3:$L$350,9,0)</f>
        <v>B2 AP2 (0.6 to 3 yrs)</v>
      </c>
      <c r="V753" s="263" t="str">
        <f>+VLOOKUP($C753,[8]GRC!$B$3:$L$350,10,0)</f>
        <v>B2 AP3 (3 to 5 yrs)</v>
      </c>
      <c r="W753" s="263" t="b">
        <f t="shared" si="38"/>
        <v>1</v>
      </c>
      <c r="X753" s="263" t="b">
        <f t="shared" si="38"/>
        <v>1</v>
      </c>
    </row>
    <row r="754" spans="1:24" ht="15">
      <c r="A754" s="93">
        <v>250</v>
      </c>
      <c r="B754" s="94" t="s">
        <v>602</v>
      </c>
      <c r="C754" s="295" t="s">
        <v>1068</v>
      </c>
      <c r="D754" s="94" t="str">
        <f>+[7]GRC!D252</f>
        <v>SOG</v>
      </c>
      <c r="E754" s="94" t="s">
        <v>30</v>
      </c>
      <c r="F754" s="94" t="s">
        <v>118</v>
      </c>
      <c r="G754" s="94" t="s">
        <v>285</v>
      </c>
      <c r="H754" s="94" t="s">
        <v>188</v>
      </c>
      <c r="I754" s="94" t="s">
        <v>91</v>
      </c>
      <c r="J754" s="94" t="s">
        <v>145</v>
      </c>
      <c r="K754" s="94" t="s">
        <v>18</v>
      </c>
      <c r="L754" s="94" t="s">
        <v>17</v>
      </c>
      <c r="M754" s="94" t="s">
        <v>71</v>
      </c>
      <c r="N754" s="94" t="s">
        <v>138</v>
      </c>
      <c r="O754" s="259" t="str">
        <f t="shared" si="37"/>
        <v>B2 AP3 (3 to 5 yrs) / B3 PL1 (5 to 7 yrs)</v>
      </c>
      <c r="P754" s="260"/>
      <c r="Q754" s="260" t="str">
        <f t="shared" si="41"/>
        <v>SOG/EAI/DeveloperIBMWebSphereMessageBroker /Senior</v>
      </c>
      <c r="R754" s="261" t="str">
        <f t="shared" si="39"/>
        <v>B2 AP3 (3 to 5 yrs) / B3 PL1 (5 to 7 yrs)</v>
      </c>
      <c r="S754" s="260" t="str">
        <f t="shared" si="40"/>
        <v>SOG_60</v>
      </c>
      <c r="T754" s="262" t="b">
        <v>0</v>
      </c>
      <c r="U754" s="263" t="str">
        <f>+VLOOKUP($C754,[8]GRC!$B$3:$L$350,9,0)</f>
        <v>B2 AP3 (3 to 5 yrs)</v>
      </c>
      <c r="V754" s="263" t="str">
        <f>+VLOOKUP($C754,[8]GRC!$B$3:$L$350,10,0)</f>
        <v>B3 PL1 (5 to 7 yrs)</v>
      </c>
      <c r="W754" s="263" t="b">
        <f t="shared" si="38"/>
        <v>1</v>
      </c>
      <c r="X754" s="263" t="b">
        <f t="shared" si="38"/>
        <v>1</v>
      </c>
    </row>
    <row r="755" spans="1:24" ht="15">
      <c r="A755" s="93">
        <v>251</v>
      </c>
      <c r="B755" s="94" t="s">
        <v>603</v>
      </c>
      <c r="C755" s="295" t="s">
        <v>1069</v>
      </c>
      <c r="D755" s="94" t="str">
        <f>+[7]GRC!D253</f>
        <v>SOG</v>
      </c>
      <c r="E755" s="94" t="s">
        <v>30</v>
      </c>
      <c r="F755" s="94" t="s">
        <v>118</v>
      </c>
      <c r="G755" s="94" t="s">
        <v>286</v>
      </c>
      <c r="H755" s="94" t="s">
        <v>189</v>
      </c>
      <c r="I755" s="94" t="s">
        <v>84</v>
      </c>
      <c r="J755" s="94" t="s">
        <v>150</v>
      </c>
      <c r="K755" s="94" t="s">
        <v>20</v>
      </c>
      <c r="L755" s="94" t="s">
        <v>19</v>
      </c>
      <c r="M755" s="94" t="s">
        <v>71</v>
      </c>
      <c r="N755" s="94" t="s">
        <v>138</v>
      </c>
      <c r="O755" s="259" t="str">
        <f t="shared" si="37"/>
        <v>B2 AP1 / B2 AP2 (0.6 to 3 yrs)</v>
      </c>
      <c r="P755" s="260"/>
      <c r="Q755" s="260" t="str">
        <f t="shared" si="41"/>
        <v>SOG/EAI/DeveloperTibco/Junior</v>
      </c>
      <c r="R755" s="261" t="str">
        <f t="shared" si="39"/>
        <v>B2 AP1 / B2 AP2 (0.6 to 3 yrs)</v>
      </c>
      <c r="S755" s="260" t="str">
        <f t="shared" si="40"/>
        <v>SOG_61</v>
      </c>
      <c r="T755" s="262" t="b">
        <v>0</v>
      </c>
      <c r="U755" s="263" t="str">
        <f>+VLOOKUP($C755,[8]GRC!$B$3:$L$350,9,0)</f>
        <v>B2 AP1</v>
      </c>
      <c r="V755" s="263" t="str">
        <f>+VLOOKUP($C755,[8]GRC!$B$3:$L$350,10,0)</f>
        <v>B2 AP2 (0.6 to 3 yrs)</v>
      </c>
      <c r="W755" s="263" t="b">
        <f t="shared" si="38"/>
        <v>1</v>
      </c>
      <c r="X755" s="263" t="b">
        <f t="shared" si="38"/>
        <v>1</v>
      </c>
    </row>
    <row r="756" spans="1:24" ht="15">
      <c r="A756" s="93">
        <v>252</v>
      </c>
      <c r="B756" s="94" t="s">
        <v>604</v>
      </c>
      <c r="C756" s="295" t="s">
        <v>1070</v>
      </c>
      <c r="D756" s="94" t="str">
        <f>+[7]GRC!D254</f>
        <v>SOG</v>
      </c>
      <c r="E756" s="94" t="s">
        <v>30</v>
      </c>
      <c r="F756" s="94" t="s">
        <v>118</v>
      </c>
      <c r="G756" s="94" t="s">
        <v>286</v>
      </c>
      <c r="H756" s="94" t="s">
        <v>189</v>
      </c>
      <c r="I756" s="94" t="s">
        <v>193</v>
      </c>
      <c r="J756" s="94" t="s">
        <v>151</v>
      </c>
      <c r="K756" s="94" t="s">
        <v>19</v>
      </c>
      <c r="L756" s="94" t="s">
        <v>18</v>
      </c>
      <c r="M756" s="94" t="s">
        <v>71</v>
      </c>
      <c r="N756" s="94" t="s">
        <v>138</v>
      </c>
      <c r="O756" s="259" t="str">
        <f t="shared" si="37"/>
        <v>B2 AP2 (0.6 to 3 yrs) / B2 AP3 (3 to 5 yrs)</v>
      </c>
      <c r="P756" s="260"/>
      <c r="Q756" s="260" t="str">
        <f t="shared" si="41"/>
        <v>SOG/EAI/DeveloperTibco/MidLevel</v>
      </c>
      <c r="R756" s="261" t="str">
        <f t="shared" si="39"/>
        <v>B2 AP2 (0.6 to 3 yrs) / B2 AP3 (3 to 5 yrs)</v>
      </c>
      <c r="S756" s="260" t="str">
        <f t="shared" si="40"/>
        <v>SOG_62</v>
      </c>
      <c r="T756" s="262" t="b">
        <v>0</v>
      </c>
      <c r="U756" s="263" t="str">
        <f>+VLOOKUP($C756,[8]GRC!$B$3:$L$350,9,0)</f>
        <v>B2 AP2 (0.6 to 3 yrs)</v>
      </c>
      <c r="V756" s="263" t="str">
        <f>+VLOOKUP($C756,[8]GRC!$B$3:$L$350,10,0)</f>
        <v>B2 AP3 (3 to 5 yrs)</v>
      </c>
      <c r="W756" s="263" t="b">
        <f t="shared" si="38"/>
        <v>1</v>
      </c>
      <c r="X756" s="263" t="b">
        <f t="shared" si="38"/>
        <v>1</v>
      </c>
    </row>
    <row r="757" spans="1:24" ht="15">
      <c r="A757" s="93">
        <v>253</v>
      </c>
      <c r="B757" s="94" t="s">
        <v>605</v>
      </c>
      <c r="C757" s="295" t="s">
        <v>1071</v>
      </c>
      <c r="D757" s="94" t="str">
        <f>+[7]GRC!D255</f>
        <v>SOG</v>
      </c>
      <c r="E757" s="94" t="s">
        <v>30</v>
      </c>
      <c r="F757" s="94" t="s">
        <v>118</v>
      </c>
      <c r="G757" s="94" t="s">
        <v>286</v>
      </c>
      <c r="H757" s="94" t="s">
        <v>189</v>
      </c>
      <c r="I757" s="94" t="s">
        <v>91</v>
      </c>
      <c r="J757" s="94" t="s">
        <v>145</v>
      </c>
      <c r="K757" s="94" t="s">
        <v>18</v>
      </c>
      <c r="L757" s="94" t="s">
        <v>17</v>
      </c>
      <c r="M757" s="94" t="s">
        <v>71</v>
      </c>
      <c r="N757" s="94" t="s">
        <v>138</v>
      </c>
      <c r="O757" s="259" t="str">
        <f t="shared" si="37"/>
        <v>B2 AP3 (3 to 5 yrs) / B3 PL1 (5 to 7 yrs)</v>
      </c>
      <c r="P757" s="260"/>
      <c r="Q757" s="260" t="str">
        <f t="shared" si="41"/>
        <v>SOG/EAI/DeveloperTibco/Senior</v>
      </c>
      <c r="R757" s="261" t="str">
        <f t="shared" si="39"/>
        <v>B2 AP3 (3 to 5 yrs) / B3 PL1 (5 to 7 yrs)</v>
      </c>
      <c r="S757" s="260" t="str">
        <f t="shared" si="40"/>
        <v>SOG_63</v>
      </c>
      <c r="T757" s="262" t="b">
        <v>0</v>
      </c>
      <c r="U757" s="263" t="str">
        <f>+VLOOKUP($C757,[8]GRC!$B$3:$L$350,9,0)</f>
        <v>B2 AP3 (3 to 5 yrs)</v>
      </c>
      <c r="V757" s="263" t="str">
        <f>+VLOOKUP($C757,[8]GRC!$B$3:$L$350,10,0)</f>
        <v>B3 PL1 (5 to 7 yrs)</v>
      </c>
      <c r="W757" s="263" t="b">
        <f t="shared" si="38"/>
        <v>1</v>
      </c>
      <c r="X757" s="263" t="b">
        <f t="shared" si="38"/>
        <v>1</v>
      </c>
    </row>
    <row r="758" spans="1:24" ht="15">
      <c r="A758" s="93">
        <v>254</v>
      </c>
      <c r="B758" s="94" t="s">
        <v>606</v>
      </c>
      <c r="C758" s="295" t="s">
        <v>1072</v>
      </c>
      <c r="D758" s="94" t="str">
        <f>+[7]GRC!D256</f>
        <v>SOG</v>
      </c>
      <c r="E758" s="94" t="s">
        <v>30</v>
      </c>
      <c r="F758" s="94" t="s">
        <v>118</v>
      </c>
      <c r="G758" s="94" t="s">
        <v>287</v>
      </c>
      <c r="H758" s="94" t="s">
        <v>180</v>
      </c>
      <c r="I758" s="94" t="s">
        <v>84</v>
      </c>
      <c r="J758" s="94" t="s">
        <v>150</v>
      </c>
      <c r="K758" s="94" t="s">
        <v>20</v>
      </c>
      <c r="L758" s="94" t="s">
        <v>19</v>
      </c>
      <c r="M758" s="94" t="s">
        <v>71</v>
      </c>
      <c r="N758" s="94" t="s">
        <v>138</v>
      </c>
      <c r="O758" s="259" t="str">
        <f t="shared" si="37"/>
        <v>B2 AP1 / B2 AP2 (0.6 to 3 yrs)</v>
      </c>
      <c r="P758" s="260"/>
      <c r="Q758" s="260" t="str">
        <f t="shared" si="41"/>
        <v>SOG/EAI/DeveloperWebApplicationIntegrationMiddlewareInfrastructure /Junior</v>
      </c>
      <c r="R758" s="261" t="str">
        <f t="shared" si="39"/>
        <v>B2 AP1 / B2 AP2 (0.6 to 3 yrs)</v>
      </c>
      <c r="S758" s="260" t="str">
        <f t="shared" si="40"/>
        <v>SOG_64</v>
      </c>
      <c r="T758" s="262" t="b">
        <v>0</v>
      </c>
      <c r="U758" s="263" t="str">
        <f>+VLOOKUP($C758,[8]GRC!$B$3:$L$350,9,0)</f>
        <v>B2 AP1</v>
      </c>
      <c r="V758" s="263" t="str">
        <f>+VLOOKUP($C758,[8]GRC!$B$3:$L$350,10,0)</f>
        <v>B2 AP2 (0.6 to 3 yrs)</v>
      </c>
      <c r="W758" s="263" t="b">
        <f t="shared" si="38"/>
        <v>1</v>
      </c>
      <c r="X758" s="263" t="b">
        <f t="shared" si="38"/>
        <v>1</v>
      </c>
    </row>
    <row r="759" spans="1:24" ht="15">
      <c r="A759" s="93">
        <v>255</v>
      </c>
      <c r="B759" s="94" t="s">
        <v>607</v>
      </c>
      <c r="C759" s="295" t="s">
        <v>1073</v>
      </c>
      <c r="D759" s="94" t="str">
        <f>+[7]GRC!D257</f>
        <v>SOG</v>
      </c>
      <c r="E759" s="94" t="s">
        <v>30</v>
      </c>
      <c r="F759" s="94" t="s">
        <v>118</v>
      </c>
      <c r="G759" s="94" t="s">
        <v>287</v>
      </c>
      <c r="H759" s="94" t="s">
        <v>180</v>
      </c>
      <c r="I759" s="94" t="s">
        <v>193</v>
      </c>
      <c r="J759" s="94" t="s">
        <v>151</v>
      </c>
      <c r="K759" s="94" t="s">
        <v>19</v>
      </c>
      <c r="L759" s="94" t="s">
        <v>18</v>
      </c>
      <c r="M759" s="94" t="s">
        <v>71</v>
      </c>
      <c r="N759" s="94" t="s">
        <v>138</v>
      </c>
      <c r="O759" s="259" t="str">
        <f t="shared" si="37"/>
        <v>B2 AP2 (0.6 to 3 yrs) / B2 AP3 (3 to 5 yrs)</v>
      </c>
      <c r="P759" s="260"/>
      <c r="Q759" s="260" t="str">
        <f t="shared" si="41"/>
        <v>SOG/EAI/DeveloperWebApplicationIntegrationMiddlewareInfrastructure /MidLevel</v>
      </c>
      <c r="R759" s="261" t="str">
        <f t="shared" si="39"/>
        <v>B2 AP2 (0.6 to 3 yrs) / B2 AP3 (3 to 5 yrs)</v>
      </c>
      <c r="S759" s="260" t="str">
        <f t="shared" si="40"/>
        <v>SOG_65</v>
      </c>
      <c r="T759" s="262" t="b">
        <v>0</v>
      </c>
      <c r="U759" s="263" t="str">
        <f>+VLOOKUP($C759,[8]GRC!$B$3:$L$350,9,0)</f>
        <v>B2 AP2 (0.6 to 3 yrs)</v>
      </c>
      <c r="V759" s="263" t="str">
        <f>+VLOOKUP($C759,[8]GRC!$B$3:$L$350,10,0)</f>
        <v>B2 AP3 (3 to 5 yrs)</v>
      </c>
      <c r="W759" s="263" t="b">
        <f t="shared" si="38"/>
        <v>1</v>
      </c>
      <c r="X759" s="263" t="b">
        <f t="shared" si="38"/>
        <v>1</v>
      </c>
    </row>
    <row r="760" spans="1:24" ht="15">
      <c r="A760" s="93">
        <v>256</v>
      </c>
      <c r="B760" s="94" t="s">
        <v>608</v>
      </c>
      <c r="C760" s="295" t="s">
        <v>1074</v>
      </c>
      <c r="D760" s="94" t="str">
        <f>+[7]GRC!D258</f>
        <v>SOG</v>
      </c>
      <c r="E760" s="94" t="s">
        <v>30</v>
      </c>
      <c r="F760" s="94" t="s">
        <v>118</v>
      </c>
      <c r="G760" s="94" t="s">
        <v>287</v>
      </c>
      <c r="H760" s="94" t="s">
        <v>180</v>
      </c>
      <c r="I760" s="94" t="s">
        <v>91</v>
      </c>
      <c r="J760" s="94" t="s">
        <v>145</v>
      </c>
      <c r="K760" s="94" t="s">
        <v>18</v>
      </c>
      <c r="L760" s="94" t="s">
        <v>17</v>
      </c>
      <c r="M760" s="94" t="s">
        <v>71</v>
      </c>
      <c r="N760" s="94" t="s">
        <v>138</v>
      </c>
      <c r="O760" s="259" t="str">
        <f t="shared" si="37"/>
        <v>B2 AP3 (3 to 5 yrs) / B3 PL1 (5 to 7 yrs)</v>
      </c>
      <c r="P760" s="260"/>
      <c r="Q760" s="260" t="str">
        <f t="shared" si="41"/>
        <v>SOG/EAI/DeveloperWebApplicationIntegrationMiddlewareInfrastructure /Senior</v>
      </c>
      <c r="R760" s="261" t="str">
        <f t="shared" si="39"/>
        <v>B2 AP3 (3 to 5 yrs) / B3 PL1 (5 to 7 yrs)</v>
      </c>
      <c r="S760" s="260" t="str">
        <f t="shared" si="40"/>
        <v>SOG_66</v>
      </c>
      <c r="T760" s="262" t="b">
        <v>0</v>
      </c>
      <c r="U760" s="263" t="str">
        <f>+VLOOKUP($C760,[8]GRC!$B$3:$L$350,9,0)</f>
        <v>B2 AP3 (3 to 5 yrs)</v>
      </c>
      <c r="V760" s="263" t="str">
        <f>+VLOOKUP($C760,[8]GRC!$B$3:$L$350,10,0)</f>
        <v>B3 PL1 (5 to 7 yrs)</v>
      </c>
      <c r="W760" s="263" t="b">
        <f t="shared" ref="W760:X823" si="42">+U760=K760</f>
        <v>1</v>
      </c>
      <c r="X760" s="263" t="b">
        <f t="shared" si="42"/>
        <v>1</v>
      </c>
    </row>
    <row r="761" spans="1:24" ht="15">
      <c r="A761" s="93">
        <v>257</v>
      </c>
      <c r="B761" s="94" t="s">
        <v>609</v>
      </c>
      <c r="C761" s="295" t="s">
        <v>1075</v>
      </c>
      <c r="D761" s="94" t="str">
        <f>+[7]GRC!D259</f>
        <v>SOG</v>
      </c>
      <c r="E761" s="94" t="s">
        <v>30</v>
      </c>
      <c r="F761" s="94" t="s">
        <v>118</v>
      </c>
      <c r="G761" s="94" t="s">
        <v>288</v>
      </c>
      <c r="H761" s="94" t="s">
        <v>124</v>
      </c>
      <c r="I761" s="94" t="s">
        <v>84</v>
      </c>
      <c r="J761" s="94" t="s">
        <v>150</v>
      </c>
      <c r="K761" s="94" t="s">
        <v>20</v>
      </c>
      <c r="L761" s="94" t="s">
        <v>19</v>
      </c>
      <c r="M761" s="94" t="s">
        <v>71</v>
      </c>
      <c r="N761" s="94" t="s">
        <v>138</v>
      </c>
      <c r="O761" s="259" t="str">
        <f t="shared" ref="O761:O824" si="43">+K761&amp;" / " &amp;L761</f>
        <v>B2 AP1 / B2 AP2 (0.6 to 3 yrs)</v>
      </c>
      <c r="P761" s="260"/>
      <c r="Q761" s="260" t="str">
        <f t="shared" si="41"/>
        <v>SOG/EAI/DeveloperWebMethods/Junior</v>
      </c>
      <c r="R761" s="261" t="str">
        <f t="shared" si="39"/>
        <v>B2 AP1 / B2 AP2 (0.6 to 3 yrs)</v>
      </c>
      <c r="S761" s="260" t="str">
        <f t="shared" si="40"/>
        <v>SOG_67</v>
      </c>
      <c r="T761" s="262" t="b">
        <v>0</v>
      </c>
      <c r="U761" s="263" t="str">
        <f>+VLOOKUP($C761,[8]GRC!$B$3:$L$350,9,0)</f>
        <v>B2 AP1</v>
      </c>
      <c r="V761" s="263" t="str">
        <f>+VLOOKUP($C761,[8]GRC!$B$3:$L$350,10,0)</f>
        <v>B2 AP2 (0.6 to 3 yrs)</v>
      </c>
      <c r="W761" s="263" t="b">
        <f t="shared" si="42"/>
        <v>1</v>
      </c>
      <c r="X761" s="263" t="b">
        <f t="shared" si="42"/>
        <v>1</v>
      </c>
    </row>
    <row r="762" spans="1:24" ht="15">
      <c r="A762" s="93">
        <v>258</v>
      </c>
      <c r="B762" s="94" t="s">
        <v>610</v>
      </c>
      <c r="C762" s="295" t="s">
        <v>1076</v>
      </c>
      <c r="D762" s="94" t="str">
        <f>+[7]GRC!D260</f>
        <v>SOG</v>
      </c>
      <c r="E762" s="94" t="s">
        <v>30</v>
      </c>
      <c r="F762" s="94" t="s">
        <v>118</v>
      </c>
      <c r="G762" s="94" t="s">
        <v>288</v>
      </c>
      <c r="H762" s="94" t="s">
        <v>124</v>
      </c>
      <c r="I762" s="94" t="s">
        <v>193</v>
      </c>
      <c r="J762" s="94" t="s">
        <v>151</v>
      </c>
      <c r="K762" s="94" t="s">
        <v>19</v>
      </c>
      <c r="L762" s="94" t="s">
        <v>18</v>
      </c>
      <c r="M762" s="94" t="s">
        <v>71</v>
      </c>
      <c r="N762" s="94" t="s">
        <v>138</v>
      </c>
      <c r="O762" s="259" t="str">
        <f t="shared" si="43"/>
        <v>B2 AP2 (0.6 to 3 yrs) / B2 AP3 (3 to 5 yrs)</v>
      </c>
      <c r="P762" s="260"/>
      <c r="Q762" s="260" t="str">
        <f t="shared" si="41"/>
        <v>SOG/EAI/DeveloperWebMethods/MidLevel</v>
      </c>
      <c r="R762" s="261" t="str">
        <f t="shared" ref="R762:R825" si="44">+O762</f>
        <v>B2 AP2 (0.6 to 3 yrs) / B2 AP3 (3 to 5 yrs)</v>
      </c>
      <c r="S762" s="260" t="str">
        <f t="shared" ref="S762:S825" si="45">+C762</f>
        <v>SOG_68</v>
      </c>
      <c r="T762" s="262" t="b">
        <v>0</v>
      </c>
      <c r="U762" s="263" t="str">
        <f>+VLOOKUP($C762,[8]GRC!$B$3:$L$350,9,0)</f>
        <v>B2 AP2 (0.6 to 3 yrs)</v>
      </c>
      <c r="V762" s="263" t="str">
        <f>+VLOOKUP($C762,[8]GRC!$B$3:$L$350,10,0)</f>
        <v>B2 AP3 (3 to 5 yrs)</v>
      </c>
      <c r="W762" s="263" t="b">
        <f t="shared" si="42"/>
        <v>1</v>
      </c>
      <c r="X762" s="263" t="b">
        <f t="shared" si="42"/>
        <v>1</v>
      </c>
    </row>
    <row r="763" spans="1:24" ht="15">
      <c r="A763" s="93">
        <v>259</v>
      </c>
      <c r="B763" s="94" t="s">
        <v>611</v>
      </c>
      <c r="C763" s="295" t="s">
        <v>1077</v>
      </c>
      <c r="D763" s="94" t="str">
        <f>+[7]GRC!D261</f>
        <v>SOG</v>
      </c>
      <c r="E763" s="94" t="s">
        <v>30</v>
      </c>
      <c r="F763" s="94" t="s">
        <v>118</v>
      </c>
      <c r="G763" s="94" t="s">
        <v>288</v>
      </c>
      <c r="H763" s="94" t="s">
        <v>124</v>
      </c>
      <c r="I763" s="94" t="s">
        <v>91</v>
      </c>
      <c r="J763" s="94" t="s">
        <v>145</v>
      </c>
      <c r="K763" s="94" t="s">
        <v>18</v>
      </c>
      <c r="L763" s="94" t="s">
        <v>17</v>
      </c>
      <c r="M763" s="94" t="s">
        <v>71</v>
      </c>
      <c r="N763" s="94" t="s">
        <v>138</v>
      </c>
      <c r="O763" s="259" t="str">
        <f t="shared" si="43"/>
        <v>B2 AP3 (3 to 5 yrs) / B3 PL1 (5 to 7 yrs)</v>
      </c>
      <c r="P763" s="260"/>
      <c r="Q763" s="260" t="str">
        <f t="shared" ref="Q763:Q826" si="46">+E763&amp;"/"&amp;F763&amp;"/"&amp;G763&amp;"/"&amp;I763</f>
        <v>SOG/EAI/DeveloperWebMethods/Senior</v>
      </c>
      <c r="R763" s="261" t="str">
        <f t="shared" si="44"/>
        <v>B2 AP3 (3 to 5 yrs) / B3 PL1 (5 to 7 yrs)</v>
      </c>
      <c r="S763" s="260" t="str">
        <f t="shared" si="45"/>
        <v>SOG_69</v>
      </c>
      <c r="T763" s="262" t="b">
        <v>0</v>
      </c>
      <c r="U763" s="263" t="str">
        <f>+VLOOKUP($C763,[8]GRC!$B$3:$L$350,9,0)</f>
        <v>B2 AP3 (3 to 5 yrs)</v>
      </c>
      <c r="V763" s="263" t="str">
        <f>+VLOOKUP($C763,[8]GRC!$B$3:$L$350,10,0)</f>
        <v>B3 PL1 (5 to 7 yrs)</v>
      </c>
      <c r="W763" s="263" t="b">
        <f t="shared" si="42"/>
        <v>1</v>
      </c>
      <c r="X763" s="263" t="b">
        <f t="shared" si="42"/>
        <v>1</v>
      </c>
    </row>
    <row r="764" spans="1:24" ht="15">
      <c r="A764" s="93">
        <v>260</v>
      </c>
      <c r="B764" s="94" t="s">
        <v>612</v>
      </c>
      <c r="C764" s="295" t="s">
        <v>1078</v>
      </c>
      <c r="D764" s="94" t="str">
        <f>+[7]GRC!D262</f>
        <v>SOG</v>
      </c>
      <c r="E764" s="94" t="s">
        <v>30</v>
      </c>
      <c r="F764" s="94" t="s">
        <v>118</v>
      </c>
      <c r="G764" s="94" t="s">
        <v>289</v>
      </c>
      <c r="H764" s="94" t="s">
        <v>176</v>
      </c>
      <c r="I764" s="94" t="s">
        <v>84</v>
      </c>
      <c r="J764" s="94" t="s">
        <v>150</v>
      </c>
      <c r="K764" s="94" t="s">
        <v>20</v>
      </c>
      <c r="L764" s="94" t="s">
        <v>19</v>
      </c>
      <c r="M764" s="94" t="s">
        <v>71</v>
      </c>
      <c r="N764" s="94" t="s">
        <v>138</v>
      </c>
      <c r="O764" s="259" t="str">
        <f t="shared" si="43"/>
        <v>B2 AP1 / B2 AP2 (0.6 to 3 yrs)</v>
      </c>
      <c r="P764" s="260"/>
      <c r="Q764" s="260" t="str">
        <f t="shared" si="46"/>
        <v>SOG/EAI/DeveloperBusinessRules/Junior</v>
      </c>
      <c r="R764" s="261" t="str">
        <f t="shared" si="44"/>
        <v>B2 AP1 / B2 AP2 (0.6 to 3 yrs)</v>
      </c>
      <c r="S764" s="260" t="str">
        <f t="shared" si="45"/>
        <v>SOG_72</v>
      </c>
      <c r="T764" s="262" t="b">
        <v>0</v>
      </c>
      <c r="U764" s="263" t="str">
        <f>+VLOOKUP($C764,[8]GRC!$B$3:$L$350,9,0)</f>
        <v>B2 AP1</v>
      </c>
      <c r="V764" s="263" t="str">
        <f>+VLOOKUP($C764,[8]GRC!$B$3:$L$350,10,0)</f>
        <v>B2 AP2 (0.6 to 3 yrs)</v>
      </c>
      <c r="W764" s="263" t="b">
        <f t="shared" si="42"/>
        <v>1</v>
      </c>
      <c r="X764" s="263" t="b">
        <f t="shared" si="42"/>
        <v>1</v>
      </c>
    </row>
    <row r="765" spans="1:24" ht="15">
      <c r="A765" s="93">
        <v>261</v>
      </c>
      <c r="B765" s="94" t="s">
        <v>613</v>
      </c>
      <c r="C765" s="295" t="s">
        <v>1079</v>
      </c>
      <c r="D765" s="94" t="str">
        <f>+[7]GRC!D263</f>
        <v>SOG</v>
      </c>
      <c r="E765" s="94" t="s">
        <v>30</v>
      </c>
      <c r="F765" s="94" t="s">
        <v>118</v>
      </c>
      <c r="G765" s="94" t="s">
        <v>289</v>
      </c>
      <c r="H765" s="94" t="s">
        <v>176</v>
      </c>
      <c r="I765" s="94" t="s">
        <v>193</v>
      </c>
      <c r="J765" s="94" t="s">
        <v>151</v>
      </c>
      <c r="K765" s="94" t="s">
        <v>19</v>
      </c>
      <c r="L765" s="94" t="s">
        <v>18</v>
      </c>
      <c r="M765" s="94" t="s">
        <v>71</v>
      </c>
      <c r="N765" s="94" t="s">
        <v>138</v>
      </c>
      <c r="O765" s="259" t="str">
        <f t="shared" si="43"/>
        <v>B2 AP2 (0.6 to 3 yrs) / B2 AP3 (3 to 5 yrs)</v>
      </c>
      <c r="P765" s="260"/>
      <c r="Q765" s="260" t="str">
        <f t="shared" si="46"/>
        <v>SOG/EAI/DeveloperBusinessRules/MidLevel</v>
      </c>
      <c r="R765" s="261" t="str">
        <f t="shared" si="44"/>
        <v>B2 AP2 (0.6 to 3 yrs) / B2 AP3 (3 to 5 yrs)</v>
      </c>
      <c r="S765" s="260" t="str">
        <f t="shared" si="45"/>
        <v>SOG_125</v>
      </c>
      <c r="T765" s="262" t="b">
        <v>0</v>
      </c>
      <c r="U765" s="263" t="str">
        <f>+VLOOKUP($C765,[8]GRC!$B$3:$L$350,9,0)</f>
        <v>B2 AP2 (0.6 to 3 yrs)</v>
      </c>
      <c r="V765" s="263" t="str">
        <f>+VLOOKUP($C765,[8]GRC!$B$3:$L$350,10,0)</f>
        <v>B2 AP3 (3 to 5 yrs)</v>
      </c>
      <c r="W765" s="263" t="b">
        <f t="shared" si="42"/>
        <v>1</v>
      </c>
      <c r="X765" s="263" t="b">
        <f t="shared" si="42"/>
        <v>1</v>
      </c>
    </row>
    <row r="766" spans="1:24" ht="15">
      <c r="A766" s="93">
        <v>262</v>
      </c>
      <c r="B766" s="94" t="s">
        <v>614</v>
      </c>
      <c r="C766" s="295" t="s">
        <v>1080</v>
      </c>
      <c r="D766" s="94" t="str">
        <f>+[7]GRC!D264</f>
        <v>SOG</v>
      </c>
      <c r="E766" s="94" t="s">
        <v>30</v>
      </c>
      <c r="F766" s="94" t="s">
        <v>118</v>
      </c>
      <c r="G766" s="94" t="s">
        <v>289</v>
      </c>
      <c r="H766" s="94" t="s">
        <v>176</v>
      </c>
      <c r="I766" s="94" t="s">
        <v>91</v>
      </c>
      <c r="J766" s="94" t="s">
        <v>145</v>
      </c>
      <c r="K766" s="94" t="s">
        <v>18</v>
      </c>
      <c r="L766" s="94" t="s">
        <v>17</v>
      </c>
      <c r="M766" s="94" t="s">
        <v>71</v>
      </c>
      <c r="N766" s="94" t="s">
        <v>138</v>
      </c>
      <c r="O766" s="259" t="str">
        <f t="shared" si="43"/>
        <v>B2 AP3 (3 to 5 yrs) / B3 PL1 (5 to 7 yrs)</v>
      </c>
      <c r="P766" s="260"/>
      <c r="Q766" s="260" t="str">
        <f t="shared" si="46"/>
        <v>SOG/EAI/DeveloperBusinessRules/Senior</v>
      </c>
      <c r="R766" s="261" t="str">
        <f t="shared" si="44"/>
        <v>B2 AP3 (3 to 5 yrs) / B3 PL1 (5 to 7 yrs)</v>
      </c>
      <c r="S766" s="260" t="str">
        <f t="shared" si="45"/>
        <v>SOG_73</v>
      </c>
      <c r="T766" s="262" t="b">
        <v>0</v>
      </c>
      <c r="U766" s="263" t="str">
        <f>+VLOOKUP($C766,[8]GRC!$B$3:$L$350,9,0)</f>
        <v>B2 AP3 (3 to 5 yrs)</v>
      </c>
      <c r="V766" s="263" t="str">
        <f>+VLOOKUP($C766,[8]GRC!$B$3:$L$350,10,0)</f>
        <v>B3 PL1 (5 to 7 yrs)</v>
      </c>
      <c r="W766" s="263" t="b">
        <f t="shared" si="42"/>
        <v>1</v>
      </c>
      <c r="X766" s="263" t="b">
        <f t="shared" si="42"/>
        <v>1</v>
      </c>
    </row>
    <row r="767" spans="1:24" ht="15">
      <c r="A767" s="93">
        <v>263</v>
      </c>
      <c r="B767" s="94" t="s">
        <v>615</v>
      </c>
      <c r="C767" s="295" t="s">
        <v>1081</v>
      </c>
      <c r="D767" s="94" t="str">
        <f>+[7]GRC!D265</f>
        <v>SOG</v>
      </c>
      <c r="E767" s="94" t="s">
        <v>30</v>
      </c>
      <c r="F767" s="94" t="s">
        <v>118</v>
      </c>
      <c r="G767" s="94" t="s">
        <v>337</v>
      </c>
      <c r="H767" s="94" t="s">
        <v>176</v>
      </c>
      <c r="I767" s="94"/>
      <c r="J767" s="94" t="s">
        <v>148</v>
      </c>
      <c r="K767" s="94" t="s">
        <v>16</v>
      </c>
      <c r="L767" s="94" t="s">
        <v>15</v>
      </c>
      <c r="M767" s="94" t="s">
        <v>71</v>
      </c>
      <c r="N767" s="94" t="s">
        <v>138</v>
      </c>
      <c r="O767" s="259" t="str">
        <f t="shared" si="43"/>
        <v>B3 PL2 (6 to 8 yrs) / B3 PL3 (7 to 10 yrs)</v>
      </c>
      <c r="P767" s="260"/>
      <c r="Q767" s="260" t="str">
        <f t="shared" si="46"/>
        <v>SOG/EAI/ModelerBusinessRules/</v>
      </c>
      <c r="R767" s="261" t="str">
        <f t="shared" si="44"/>
        <v>B3 PL2 (6 to 8 yrs) / B3 PL3 (7 to 10 yrs)</v>
      </c>
      <c r="S767" s="260" t="str">
        <f t="shared" si="45"/>
        <v>SOG_74</v>
      </c>
      <c r="T767" s="262" t="b">
        <v>0</v>
      </c>
      <c r="U767" s="263" t="str">
        <f>+VLOOKUP($C767,[8]GRC!$B$3:$L$350,9,0)</f>
        <v>B3 PL2 (6 to 8 yrs)</v>
      </c>
      <c r="V767" s="263" t="str">
        <f>+VLOOKUP($C767,[8]GRC!$B$3:$L$350,10,0)</f>
        <v>B3 PL3 (7 to 10 yrs)</v>
      </c>
      <c r="W767" s="263" t="b">
        <f t="shared" si="42"/>
        <v>1</v>
      </c>
      <c r="X767" s="263" t="b">
        <f t="shared" si="42"/>
        <v>1</v>
      </c>
    </row>
    <row r="768" spans="1:24" ht="15">
      <c r="A768" s="93">
        <v>264</v>
      </c>
      <c r="B768" s="94" t="s">
        <v>616</v>
      </c>
      <c r="C768" s="295" t="s">
        <v>1082</v>
      </c>
      <c r="D768" s="94" t="str">
        <f>+[7]GRC!D266</f>
        <v>SOG</v>
      </c>
      <c r="E768" s="94" t="s">
        <v>30</v>
      </c>
      <c r="F768" s="94" t="s">
        <v>118</v>
      </c>
      <c r="G768" s="94" t="s">
        <v>338</v>
      </c>
      <c r="H768" s="94"/>
      <c r="I768" s="94"/>
      <c r="J768" s="94" t="s">
        <v>147</v>
      </c>
      <c r="K768" s="94" t="s">
        <v>16</v>
      </c>
      <c r="L768" s="94" t="s">
        <v>15</v>
      </c>
      <c r="M768" s="94" t="s">
        <v>71</v>
      </c>
      <c r="N768" s="94" t="s">
        <v>138</v>
      </c>
      <c r="O768" s="259" t="str">
        <f t="shared" si="43"/>
        <v>B3 PL2 (6 to 8 yrs) / B3 PL3 (7 to 10 yrs)</v>
      </c>
      <c r="P768" s="260"/>
      <c r="Q768" s="260" t="str">
        <f t="shared" si="46"/>
        <v>SOG/EAI/ProcessLeadModeler/</v>
      </c>
      <c r="R768" s="261" t="str">
        <f t="shared" si="44"/>
        <v>B3 PL2 (6 to 8 yrs) / B3 PL3 (7 to 10 yrs)</v>
      </c>
      <c r="S768" s="260" t="str">
        <f t="shared" si="45"/>
        <v>SOG_75</v>
      </c>
      <c r="T768" s="262" t="b">
        <v>0</v>
      </c>
      <c r="U768" s="263" t="str">
        <f>+VLOOKUP($C768,[8]GRC!$B$3:$L$350,9,0)</f>
        <v>B3 PL2 (6 to 8 yrs)</v>
      </c>
      <c r="V768" s="263" t="str">
        <f>+VLOOKUP($C768,[8]GRC!$B$3:$L$350,10,0)</f>
        <v>B3 PL3 (7 to 10 yrs)</v>
      </c>
      <c r="W768" s="263" t="b">
        <f t="shared" si="42"/>
        <v>1</v>
      </c>
      <c r="X768" s="263" t="b">
        <f t="shared" si="42"/>
        <v>1</v>
      </c>
    </row>
    <row r="769" spans="1:24" ht="15">
      <c r="A769" s="93">
        <v>265</v>
      </c>
      <c r="B769" s="94" t="s">
        <v>617</v>
      </c>
      <c r="C769" s="295" t="s">
        <v>1083</v>
      </c>
      <c r="D769" s="94" t="str">
        <f>+[7]GRC!D267</f>
        <v>SOG</v>
      </c>
      <c r="E769" s="94" t="s">
        <v>30</v>
      </c>
      <c r="F769" s="94" t="s">
        <v>118</v>
      </c>
      <c r="G769" s="94" t="s">
        <v>339</v>
      </c>
      <c r="H769" s="94" t="s">
        <v>119</v>
      </c>
      <c r="I769" s="94"/>
      <c r="J769" s="94" t="s">
        <v>166</v>
      </c>
      <c r="K769" s="94" t="s">
        <v>13</v>
      </c>
      <c r="L769" s="94" t="s">
        <v>71</v>
      </c>
      <c r="M769" s="94" t="s">
        <v>71</v>
      </c>
      <c r="N769" s="94" t="s">
        <v>138</v>
      </c>
      <c r="O769" s="259" t="str">
        <f t="shared" si="43"/>
        <v>B5 (min 8 yrs) / None</v>
      </c>
      <c r="P769" s="260"/>
      <c r="Q769" s="260" t="str">
        <f t="shared" si="46"/>
        <v>SOG/EAI/ProgramManagerEIS/</v>
      </c>
      <c r="R769" s="261" t="str">
        <f t="shared" si="44"/>
        <v>B5 (min 8 yrs) / None</v>
      </c>
      <c r="S769" s="260" t="str">
        <f t="shared" si="45"/>
        <v>SOG_76</v>
      </c>
      <c r="T769" s="262" t="b">
        <v>0</v>
      </c>
      <c r="U769" s="263" t="str">
        <f>+VLOOKUP($C769,[8]GRC!$B$3:$L$350,9,0)</f>
        <v>B5 (min 8 yrs)</v>
      </c>
      <c r="V769" s="263" t="str">
        <f>+VLOOKUP($C769,[8]GRC!$B$3:$L$350,10,0)</f>
        <v>None</v>
      </c>
      <c r="W769" s="263" t="b">
        <f t="shared" si="42"/>
        <v>1</v>
      </c>
      <c r="X769" s="263" t="b">
        <f t="shared" si="42"/>
        <v>1</v>
      </c>
    </row>
    <row r="770" spans="1:24" ht="15">
      <c r="A770" s="93">
        <v>266</v>
      </c>
      <c r="B770" s="94" t="s">
        <v>618</v>
      </c>
      <c r="C770" s="295" t="s">
        <v>1084</v>
      </c>
      <c r="D770" s="94" t="str">
        <f>+[7]GRC!D268</f>
        <v>SOG</v>
      </c>
      <c r="E770" s="94" t="s">
        <v>30</v>
      </c>
      <c r="F770" s="94" t="s">
        <v>118</v>
      </c>
      <c r="G770" s="94" t="s">
        <v>290</v>
      </c>
      <c r="H770" s="94"/>
      <c r="I770" s="94" t="s">
        <v>84</v>
      </c>
      <c r="J770" s="94" t="s">
        <v>184</v>
      </c>
      <c r="K770" s="94" t="s">
        <v>15</v>
      </c>
      <c r="L770" s="94" t="s">
        <v>14</v>
      </c>
      <c r="M770" s="94" t="s">
        <v>71</v>
      </c>
      <c r="N770" s="94" t="s">
        <v>138</v>
      </c>
      <c r="O770" s="259" t="str">
        <f t="shared" si="43"/>
        <v>B3 PL3 (7 to 10 yrs) / B4 PM1 (9 to 12 yrs)</v>
      </c>
      <c r="P770" s="260"/>
      <c r="Q770" s="260" t="str">
        <f t="shared" si="46"/>
        <v>SOG/EAI/ProjectManagerEAI/Junior</v>
      </c>
      <c r="R770" s="261" t="str">
        <f t="shared" si="44"/>
        <v>B3 PL3 (7 to 10 yrs) / B4 PM1 (9 to 12 yrs)</v>
      </c>
      <c r="S770" s="260" t="str">
        <f t="shared" si="45"/>
        <v>SOG_77</v>
      </c>
      <c r="T770" s="262" t="b">
        <v>0</v>
      </c>
      <c r="U770" s="263" t="str">
        <f>+VLOOKUP($C770,[8]GRC!$B$3:$L$350,9,0)</f>
        <v>B3 PL3 (7 to 10 yrs)</v>
      </c>
      <c r="V770" s="263" t="str">
        <f>+VLOOKUP($C770,[8]GRC!$B$3:$L$350,10,0)</f>
        <v>B4 PM1 (9 to 12 yrs)</v>
      </c>
      <c r="W770" s="263" t="b">
        <f t="shared" si="42"/>
        <v>1</v>
      </c>
      <c r="X770" s="263" t="b">
        <f t="shared" si="42"/>
        <v>1</v>
      </c>
    </row>
    <row r="771" spans="1:24" ht="15">
      <c r="A771" s="93">
        <v>267</v>
      </c>
      <c r="B771" s="94" t="s">
        <v>619</v>
      </c>
      <c r="C771" s="295" t="s">
        <v>1085</v>
      </c>
      <c r="D771" s="94" t="str">
        <f>+[7]GRC!D269</f>
        <v>SOG</v>
      </c>
      <c r="E771" s="94" t="s">
        <v>30</v>
      </c>
      <c r="F771" s="94" t="s">
        <v>118</v>
      </c>
      <c r="G771" s="94" t="s">
        <v>290</v>
      </c>
      <c r="H771" s="94"/>
      <c r="I771" s="94" t="s">
        <v>193</v>
      </c>
      <c r="J771" s="94" t="s">
        <v>185</v>
      </c>
      <c r="K771" s="94" t="s">
        <v>14</v>
      </c>
      <c r="L771" s="94" t="s">
        <v>42</v>
      </c>
      <c r="M771" s="94" t="s">
        <v>71</v>
      </c>
      <c r="N771" s="94" t="s">
        <v>138</v>
      </c>
      <c r="O771" s="259" t="str">
        <f t="shared" si="43"/>
        <v>B4 PM1 (9 to 12 yrs) / B4 PM2 (10 to 14 yrs)</v>
      </c>
      <c r="P771" s="260"/>
      <c r="Q771" s="260" t="str">
        <f t="shared" si="46"/>
        <v>SOG/EAI/ProjectManagerEAI/MidLevel</v>
      </c>
      <c r="R771" s="261" t="str">
        <f t="shared" si="44"/>
        <v>B4 PM1 (9 to 12 yrs) / B4 PM2 (10 to 14 yrs)</v>
      </c>
      <c r="S771" s="260" t="str">
        <f t="shared" si="45"/>
        <v>SOG_78</v>
      </c>
      <c r="T771" s="262" t="b">
        <v>0</v>
      </c>
      <c r="U771" s="263" t="str">
        <f>+VLOOKUP($C771,[8]GRC!$B$3:$L$350,9,0)</f>
        <v>B4 PM1 (9 to 12 yrs)</v>
      </c>
      <c r="V771" s="263" t="str">
        <f>+VLOOKUP($C771,[8]GRC!$B$3:$L$350,10,0)</f>
        <v>B4 PM2 (10 to 14 yrs)</v>
      </c>
      <c r="W771" s="263" t="b">
        <f t="shared" si="42"/>
        <v>1</v>
      </c>
      <c r="X771" s="263" t="b">
        <f t="shared" si="42"/>
        <v>1</v>
      </c>
    </row>
    <row r="772" spans="1:24" ht="15">
      <c r="A772" s="93">
        <v>268</v>
      </c>
      <c r="B772" s="94" t="s">
        <v>620</v>
      </c>
      <c r="C772" s="295" t="s">
        <v>1086</v>
      </c>
      <c r="D772" s="94" t="str">
        <f>+[7]GRC!D270</f>
        <v>SOG</v>
      </c>
      <c r="E772" s="94" t="s">
        <v>30</v>
      </c>
      <c r="F772" s="94" t="s">
        <v>118</v>
      </c>
      <c r="G772" s="94" t="s">
        <v>290</v>
      </c>
      <c r="H772" s="94"/>
      <c r="I772" s="94" t="s">
        <v>91</v>
      </c>
      <c r="J772" s="94" t="s">
        <v>149</v>
      </c>
      <c r="K772" s="94" t="s">
        <v>42</v>
      </c>
      <c r="L772" s="94" t="s">
        <v>41</v>
      </c>
      <c r="M772" s="94" t="s">
        <v>71</v>
      </c>
      <c r="N772" s="94" t="s">
        <v>138</v>
      </c>
      <c r="O772" s="259" t="str">
        <f t="shared" si="43"/>
        <v>B4 PM2 (10 to 14 yrs) / B4 PM3 (12 to 15 yrs)</v>
      </c>
      <c r="P772" s="260"/>
      <c r="Q772" s="260" t="str">
        <f t="shared" si="46"/>
        <v>SOG/EAI/ProjectManagerEAI/Senior</v>
      </c>
      <c r="R772" s="261" t="str">
        <f t="shared" si="44"/>
        <v>B4 PM2 (10 to 14 yrs) / B4 PM3 (12 to 15 yrs)</v>
      </c>
      <c r="S772" s="260" t="str">
        <f t="shared" si="45"/>
        <v>SOG_79</v>
      </c>
      <c r="T772" s="262" t="b">
        <v>0</v>
      </c>
      <c r="U772" s="263" t="str">
        <f>+VLOOKUP($C772,[8]GRC!$B$3:$L$350,9,0)</f>
        <v>B4 PM2 (10 to 14 yrs)</v>
      </c>
      <c r="V772" s="263" t="str">
        <f>+VLOOKUP($C772,[8]GRC!$B$3:$L$350,10,0)</f>
        <v>B4 PM3 (12 to 15 yrs)</v>
      </c>
      <c r="W772" s="263" t="b">
        <f t="shared" si="42"/>
        <v>1</v>
      </c>
      <c r="X772" s="263" t="b">
        <f t="shared" si="42"/>
        <v>1</v>
      </c>
    </row>
    <row r="773" spans="1:24" ht="15">
      <c r="A773" s="93">
        <v>269</v>
      </c>
      <c r="B773" s="94" t="s">
        <v>621</v>
      </c>
      <c r="C773" s="295" t="s">
        <v>1087</v>
      </c>
      <c r="D773" s="94" t="str">
        <f>+[7]GRC!D271</f>
        <v>SOG</v>
      </c>
      <c r="E773" s="94" t="s">
        <v>30</v>
      </c>
      <c r="F773" s="94" t="s">
        <v>118</v>
      </c>
      <c r="G773" s="94" t="s">
        <v>291</v>
      </c>
      <c r="H773" s="94"/>
      <c r="I773" s="94" t="s">
        <v>84</v>
      </c>
      <c r="J773" s="94" t="s">
        <v>145</v>
      </c>
      <c r="K773" s="94" t="s">
        <v>17</v>
      </c>
      <c r="L773" s="94" t="s">
        <v>16</v>
      </c>
      <c r="M773" s="94" t="s">
        <v>71</v>
      </c>
      <c r="N773" s="94" t="s">
        <v>138</v>
      </c>
      <c r="O773" s="259" t="str">
        <f t="shared" si="43"/>
        <v>B3 PL1 (5 to 7 yrs) / B3 PL2 (6 to 8 yrs)</v>
      </c>
      <c r="P773" s="260"/>
      <c r="Q773" s="260" t="str">
        <f t="shared" si="46"/>
        <v>SOG/EAI/TechnicalLeadEAI/Junior</v>
      </c>
      <c r="R773" s="261" t="str">
        <f t="shared" si="44"/>
        <v>B3 PL1 (5 to 7 yrs) / B3 PL2 (6 to 8 yrs)</v>
      </c>
      <c r="S773" s="260" t="str">
        <f t="shared" si="45"/>
        <v>SOG_151</v>
      </c>
      <c r="T773" s="262" t="b">
        <v>0</v>
      </c>
      <c r="U773" s="263" t="str">
        <f>+VLOOKUP($C773,[8]GRC!$B$3:$L$350,9,0)</f>
        <v>B3 PL1 (5 to 7 yrs)</v>
      </c>
      <c r="V773" s="263" t="str">
        <f>+VLOOKUP($C773,[8]GRC!$B$3:$L$350,10,0)</f>
        <v>B3 PL2 (6 to 8 yrs)</v>
      </c>
      <c r="W773" s="263" t="b">
        <f t="shared" si="42"/>
        <v>1</v>
      </c>
      <c r="X773" s="263" t="b">
        <f t="shared" si="42"/>
        <v>1</v>
      </c>
    </row>
    <row r="774" spans="1:24" ht="15">
      <c r="A774" s="93">
        <v>270</v>
      </c>
      <c r="B774" s="94" t="s">
        <v>622</v>
      </c>
      <c r="C774" s="295" t="s">
        <v>1088</v>
      </c>
      <c r="D774" s="94" t="str">
        <f>+[7]GRC!D272</f>
        <v>SOG</v>
      </c>
      <c r="E774" s="94" t="s">
        <v>30</v>
      </c>
      <c r="F774" s="94" t="s">
        <v>118</v>
      </c>
      <c r="G774" s="94" t="s">
        <v>291</v>
      </c>
      <c r="H774" s="94"/>
      <c r="I774" s="94" t="s">
        <v>91</v>
      </c>
      <c r="J774" s="94" t="s">
        <v>147</v>
      </c>
      <c r="K774" s="94" t="s">
        <v>15</v>
      </c>
      <c r="L774" s="94" t="s">
        <v>71</v>
      </c>
      <c r="M774" s="94" t="s">
        <v>71</v>
      </c>
      <c r="N774" s="94" t="s">
        <v>138</v>
      </c>
      <c r="O774" s="259" t="str">
        <f t="shared" si="43"/>
        <v>B3 PL3 (7 to 10 yrs) / None</v>
      </c>
      <c r="P774" s="260"/>
      <c r="Q774" s="260" t="str">
        <f t="shared" si="46"/>
        <v>SOG/EAI/TechnicalLeadEAI/Senior</v>
      </c>
      <c r="R774" s="261" t="str">
        <f t="shared" si="44"/>
        <v>B3 PL3 (7 to 10 yrs) / None</v>
      </c>
      <c r="S774" s="260" t="str">
        <f t="shared" si="45"/>
        <v>SOG_152</v>
      </c>
      <c r="T774" s="262" t="b">
        <v>0</v>
      </c>
      <c r="U774" s="263" t="str">
        <f>+VLOOKUP($C774,[8]GRC!$B$3:$L$350,9,0)</f>
        <v>B3 PL3 (7 to 10 yrs)</v>
      </c>
      <c r="V774" s="263" t="str">
        <f>+VLOOKUP($C774,[8]GRC!$B$3:$L$350,10,0)</f>
        <v>None</v>
      </c>
      <c r="W774" s="263" t="b">
        <f t="shared" si="42"/>
        <v>1</v>
      </c>
      <c r="X774" s="263" t="b">
        <f t="shared" si="42"/>
        <v>1</v>
      </c>
    </row>
    <row r="775" spans="1:24" ht="15">
      <c r="A775" s="93">
        <v>271</v>
      </c>
      <c r="B775" s="94" t="s">
        <v>623</v>
      </c>
      <c r="C775" s="295" t="s">
        <v>1089</v>
      </c>
      <c r="D775" s="94" t="str">
        <f>+[7]GRC!D273</f>
        <v>SOG</v>
      </c>
      <c r="E775" s="94" t="s">
        <v>30</v>
      </c>
      <c r="F775" s="94" t="s">
        <v>128</v>
      </c>
      <c r="G775" s="94" t="s">
        <v>349</v>
      </c>
      <c r="H775" s="94"/>
      <c r="I775" s="94" t="s">
        <v>84</v>
      </c>
      <c r="J775" s="94" t="s">
        <v>150</v>
      </c>
      <c r="K775" s="94" t="s">
        <v>20</v>
      </c>
      <c r="L775" s="94" t="s">
        <v>19</v>
      </c>
      <c r="M775" s="94" t="s">
        <v>71</v>
      </c>
      <c r="N775" s="94" t="s">
        <v>138</v>
      </c>
      <c r="O775" s="259" t="str">
        <f t="shared" si="43"/>
        <v>B2 AP1 / B2 AP2 (0.6 to 3 yrs)</v>
      </c>
      <c r="P775" s="260"/>
      <c r="Q775" s="260" t="str">
        <f t="shared" si="46"/>
        <v>SOG/EDI/DeveloperEDI/Junior</v>
      </c>
      <c r="R775" s="261" t="str">
        <f t="shared" si="44"/>
        <v>B2 AP1 / B2 AP2 (0.6 to 3 yrs)</v>
      </c>
      <c r="S775" s="260" t="str">
        <f t="shared" si="45"/>
        <v>SOG_82</v>
      </c>
      <c r="T775" s="262" t="b">
        <v>0</v>
      </c>
      <c r="U775" s="263" t="str">
        <f>+VLOOKUP($C775,[8]GRC!$B$3:$L$350,9,0)</f>
        <v>B2 AP1</v>
      </c>
      <c r="V775" s="263" t="str">
        <f>+VLOOKUP($C775,[8]GRC!$B$3:$L$350,10,0)</f>
        <v>B2 AP2 (0.6 to 3 yrs)</v>
      </c>
      <c r="W775" s="263" t="b">
        <f t="shared" si="42"/>
        <v>1</v>
      </c>
      <c r="X775" s="263" t="b">
        <f t="shared" si="42"/>
        <v>1</v>
      </c>
    </row>
    <row r="776" spans="1:24" ht="15">
      <c r="A776" s="93">
        <v>272</v>
      </c>
      <c r="B776" s="94" t="s">
        <v>624</v>
      </c>
      <c r="C776" s="295" t="s">
        <v>1090</v>
      </c>
      <c r="D776" s="94" t="str">
        <f>+[7]GRC!D274</f>
        <v>SOG</v>
      </c>
      <c r="E776" s="94" t="s">
        <v>30</v>
      </c>
      <c r="F776" s="94" t="s">
        <v>128</v>
      </c>
      <c r="G776" s="94" t="s">
        <v>349</v>
      </c>
      <c r="H776" s="94"/>
      <c r="I776" s="94" t="s">
        <v>193</v>
      </c>
      <c r="J776" s="94" t="s">
        <v>151</v>
      </c>
      <c r="K776" s="94" t="s">
        <v>19</v>
      </c>
      <c r="L776" s="94" t="s">
        <v>18</v>
      </c>
      <c r="M776" s="94" t="s">
        <v>71</v>
      </c>
      <c r="N776" s="94" t="s">
        <v>138</v>
      </c>
      <c r="O776" s="259" t="str">
        <f t="shared" si="43"/>
        <v>B2 AP2 (0.6 to 3 yrs) / B2 AP3 (3 to 5 yrs)</v>
      </c>
      <c r="P776" s="260"/>
      <c r="Q776" s="260" t="str">
        <f t="shared" si="46"/>
        <v>SOG/EDI/DeveloperEDI/MidLevel</v>
      </c>
      <c r="R776" s="261" t="str">
        <f t="shared" si="44"/>
        <v>B2 AP2 (0.6 to 3 yrs) / B2 AP3 (3 to 5 yrs)</v>
      </c>
      <c r="S776" s="260" t="str">
        <f t="shared" si="45"/>
        <v>SOG_83</v>
      </c>
      <c r="T776" s="262" t="b">
        <v>0</v>
      </c>
      <c r="U776" s="263" t="str">
        <f>+VLOOKUP($C776,[8]GRC!$B$3:$L$350,9,0)</f>
        <v>B2 AP2 (0.6 to 3 yrs)</v>
      </c>
      <c r="V776" s="263" t="str">
        <f>+VLOOKUP($C776,[8]GRC!$B$3:$L$350,10,0)</f>
        <v>B2 AP3 (3 to 5 yrs)</v>
      </c>
      <c r="W776" s="263" t="b">
        <f t="shared" si="42"/>
        <v>1</v>
      </c>
      <c r="X776" s="263" t="b">
        <f t="shared" si="42"/>
        <v>1</v>
      </c>
    </row>
    <row r="777" spans="1:24" ht="15">
      <c r="A777" s="93">
        <v>273</v>
      </c>
      <c r="B777" s="94" t="s">
        <v>625</v>
      </c>
      <c r="C777" s="295" t="s">
        <v>1091</v>
      </c>
      <c r="D777" s="94" t="str">
        <f>+[7]GRC!D275</f>
        <v>SOG</v>
      </c>
      <c r="E777" s="94" t="s">
        <v>30</v>
      </c>
      <c r="F777" s="94" t="s">
        <v>128</v>
      </c>
      <c r="G777" s="94" t="s">
        <v>349</v>
      </c>
      <c r="H777" s="94"/>
      <c r="I777" s="94" t="s">
        <v>91</v>
      </c>
      <c r="J777" s="94" t="s">
        <v>145</v>
      </c>
      <c r="K777" s="94" t="s">
        <v>18</v>
      </c>
      <c r="L777" s="94" t="s">
        <v>17</v>
      </c>
      <c r="M777" s="94" t="s">
        <v>71</v>
      </c>
      <c r="N777" s="94" t="s">
        <v>138</v>
      </c>
      <c r="O777" s="259" t="str">
        <f t="shared" si="43"/>
        <v>B2 AP3 (3 to 5 yrs) / B3 PL1 (5 to 7 yrs)</v>
      </c>
      <c r="P777" s="260"/>
      <c r="Q777" s="260" t="str">
        <f t="shared" si="46"/>
        <v>SOG/EDI/DeveloperEDI/Senior</v>
      </c>
      <c r="R777" s="261" t="str">
        <f t="shared" si="44"/>
        <v>B2 AP3 (3 to 5 yrs) / B3 PL1 (5 to 7 yrs)</v>
      </c>
      <c r="S777" s="260" t="str">
        <f t="shared" si="45"/>
        <v>SOG_84</v>
      </c>
      <c r="T777" s="262" t="b">
        <v>0</v>
      </c>
      <c r="U777" s="263" t="str">
        <f>+VLOOKUP($C777,[8]GRC!$B$3:$L$350,9,0)</f>
        <v>B2 AP3 (3 to 5 yrs)</v>
      </c>
      <c r="V777" s="263" t="str">
        <f>+VLOOKUP($C777,[8]GRC!$B$3:$L$350,10,0)</f>
        <v>B3 PL1 (5 to 7 yrs)</v>
      </c>
      <c r="W777" s="263" t="b">
        <f t="shared" si="42"/>
        <v>1</v>
      </c>
      <c r="X777" s="263" t="b">
        <f t="shared" si="42"/>
        <v>1</v>
      </c>
    </row>
    <row r="778" spans="1:24" ht="15">
      <c r="A778" s="93">
        <v>274</v>
      </c>
      <c r="B778" s="94" t="s">
        <v>626</v>
      </c>
      <c r="C778" s="295" t="s">
        <v>1092</v>
      </c>
      <c r="D778" s="94" t="str">
        <f>+[7]GRC!D276</f>
        <v>SOG</v>
      </c>
      <c r="E778" s="94" t="s">
        <v>30</v>
      </c>
      <c r="F778" s="94" t="s">
        <v>129</v>
      </c>
      <c r="G778" s="94" t="s">
        <v>292</v>
      </c>
      <c r="H778" s="94" t="s">
        <v>181</v>
      </c>
      <c r="I778" s="94" t="s">
        <v>84</v>
      </c>
      <c r="J778" s="94" t="s">
        <v>151</v>
      </c>
      <c r="K778" s="94" t="s">
        <v>18</v>
      </c>
      <c r="L778" s="94" t="s">
        <v>71</v>
      </c>
      <c r="M778" s="94" t="s">
        <v>71</v>
      </c>
      <c r="N778" s="94" t="s">
        <v>138</v>
      </c>
      <c r="O778" s="259" t="str">
        <f t="shared" si="43"/>
        <v>B2 AP3 (3 to 5 yrs) / None</v>
      </c>
      <c r="P778" s="260"/>
      <c r="Q778" s="260" t="str">
        <f t="shared" si="46"/>
        <v>SOG/Oracle/DatabaseAdministratorOracle/Junior</v>
      </c>
      <c r="R778" s="261" t="str">
        <f t="shared" si="44"/>
        <v>B2 AP3 (3 to 5 yrs) / None</v>
      </c>
      <c r="S778" s="260" t="str">
        <f t="shared" si="45"/>
        <v>SOG_85</v>
      </c>
      <c r="T778" s="262" t="b">
        <v>0</v>
      </c>
      <c r="U778" s="263" t="str">
        <f>+VLOOKUP($C778,[8]GRC!$B$3:$L$350,9,0)</f>
        <v>B2 AP3 (3 to 5 yrs)</v>
      </c>
      <c r="V778" s="263" t="str">
        <f>+VLOOKUP($C778,[8]GRC!$B$3:$L$350,10,0)</f>
        <v>None</v>
      </c>
      <c r="W778" s="263" t="b">
        <f t="shared" si="42"/>
        <v>1</v>
      </c>
      <c r="X778" s="263" t="b">
        <f t="shared" si="42"/>
        <v>1</v>
      </c>
    </row>
    <row r="779" spans="1:24" ht="15">
      <c r="A779" s="93">
        <v>275</v>
      </c>
      <c r="B779" s="94" t="s">
        <v>627</v>
      </c>
      <c r="C779" s="295" t="s">
        <v>1093</v>
      </c>
      <c r="D779" s="94" t="str">
        <f>+[7]GRC!D277</f>
        <v>SOG</v>
      </c>
      <c r="E779" s="94" t="s">
        <v>30</v>
      </c>
      <c r="F779" s="94" t="s">
        <v>129</v>
      </c>
      <c r="G779" s="94" t="s">
        <v>292</v>
      </c>
      <c r="H779" s="94" t="s">
        <v>181</v>
      </c>
      <c r="I779" s="94" t="s">
        <v>193</v>
      </c>
      <c r="J779" s="94" t="s">
        <v>145</v>
      </c>
      <c r="K779" s="94" t="s">
        <v>17</v>
      </c>
      <c r="L779" s="94" t="s">
        <v>16</v>
      </c>
      <c r="M779" s="94" t="s">
        <v>71</v>
      </c>
      <c r="N779" s="94" t="s">
        <v>138</v>
      </c>
      <c r="O779" s="259" t="str">
        <f t="shared" si="43"/>
        <v>B3 PL1 (5 to 7 yrs) / B3 PL2 (6 to 8 yrs)</v>
      </c>
      <c r="P779" s="260"/>
      <c r="Q779" s="260" t="str">
        <f t="shared" si="46"/>
        <v>SOG/Oracle/DatabaseAdministratorOracle/MidLevel</v>
      </c>
      <c r="R779" s="261" t="str">
        <f t="shared" si="44"/>
        <v>B3 PL1 (5 to 7 yrs) / B3 PL2 (6 to 8 yrs)</v>
      </c>
      <c r="S779" s="260" t="str">
        <f t="shared" si="45"/>
        <v>SOG_86</v>
      </c>
      <c r="T779" s="262" t="b">
        <v>0</v>
      </c>
      <c r="U779" s="263" t="str">
        <f>+VLOOKUP($C779,[8]GRC!$B$3:$L$350,9,0)</f>
        <v>B3 PL1 (5 to 7 yrs)</v>
      </c>
      <c r="V779" s="263" t="str">
        <f>+VLOOKUP($C779,[8]GRC!$B$3:$L$350,10,0)</f>
        <v>B3 PL2 (6 to 8 yrs)</v>
      </c>
      <c r="W779" s="263" t="b">
        <f t="shared" si="42"/>
        <v>1</v>
      </c>
      <c r="X779" s="263" t="b">
        <f t="shared" si="42"/>
        <v>1</v>
      </c>
    </row>
    <row r="780" spans="1:24" ht="15">
      <c r="A780" s="93">
        <v>276</v>
      </c>
      <c r="B780" s="94" t="s">
        <v>628</v>
      </c>
      <c r="C780" s="295" t="s">
        <v>1094</v>
      </c>
      <c r="D780" s="94" t="str">
        <f>+[7]GRC!D278</f>
        <v>SOG</v>
      </c>
      <c r="E780" s="94" t="s">
        <v>30</v>
      </c>
      <c r="F780" s="94" t="s">
        <v>129</v>
      </c>
      <c r="G780" s="94" t="s">
        <v>292</v>
      </c>
      <c r="H780" s="94" t="s">
        <v>181</v>
      </c>
      <c r="I780" s="94" t="s">
        <v>91</v>
      </c>
      <c r="J780" s="94" t="s">
        <v>147</v>
      </c>
      <c r="K780" s="94" t="s">
        <v>16</v>
      </c>
      <c r="L780" s="94" t="s">
        <v>15</v>
      </c>
      <c r="M780" s="94" t="s">
        <v>71</v>
      </c>
      <c r="N780" s="94" t="s">
        <v>138</v>
      </c>
      <c r="O780" s="259" t="str">
        <f t="shared" si="43"/>
        <v>B3 PL2 (6 to 8 yrs) / B3 PL3 (7 to 10 yrs)</v>
      </c>
      <c r="P780" s="260"/>
      <c r="Q780" s="260" t="str">
        <f t="shared" si="46"/>
        <v>SOG/Oracle/DatabaseAdministratorOracle/Senior</v>
      </c>
      <c r="R780" s="261" t="str">
        <f t="shared" si="44"/>
        <v>B3 PL2 (6 to 8 yrs) / B3 PL3 (7 to 10 yrs)</v>
      </c>
      <c r="S780" s="260" t="str">
        <f t="shared" si="45"/>
        <v>SOG_87</v>
      </c>
      <c r="T780" s="262" t="b">
        <v>0</v>
      </c>
      <c r="U780" s="263" t="str">
        <f>+VLOOKUP($C780,[8]GRC!$B$3:$L$350,9,0)</f>
        <v>B3 PL2 (6 to 8 yrs)</v>
      </c>
      <c r="V780" s="263" t="str">
        <f>+VLOOKUP($C780,[8]GRC!$B$3:$L$350,10,0)</f>
        <v>B3 PL3 (7 to 10 yrs)</v>
      </c>
      <c r="W780" s="263" t="b">
        <f t="shared" si="42"/>
        <v>1</v>
      </c>
      <c r="X780" s="263" t="b">
        <f t="shared" si="42"/>
        <v>1</v>
      </c>
    </row>
    <row r="781" spans="1:24" ht="15">
      <c r="A781" s="93">
        <v>277</v>
      </c>
      <c r="B781" s="94" t="s">
        <v>629</v>
      </c>
      <c r="C781" s="295" t="s">
        <v>1095</v>
      </c>
      <c r="D781" s="94" t="str">
        <f>+[7]GRC!D279</f>
        <v>SOG</v>
      </c>
      <c r="E781" s="94" t="s">
        <v>30</v>
      </c>
      <c r="F781" s="94" t="s">
        <v>129</v>
      </c>
      <c r="G781" s="94" t="s">
        <v>293</v>
      </c>
      <c r="H781" s="94" t="s">
        <v>181</v>
      </c>
      <c r="I781" s="94" t="s">
        <v>84</v>
      </c>
      <c r="J781" s="94" t="s">
        <v>150</v>
      </c>
      <c r="K781" s="94" t="s">
        <v>20</v>
      </c>
      <c r="L781" s="94" t="s">
        <v>19</v>
      </c>
      <c r="M781" s="94" t="s">
        <v>71</v>
      </c>
      <c r="N781" s="94" t="s">
        <v>138</v>
      </c>
      <c r="O781" s="259" t="str">
        <f t="shared" si="43"/>
        <v>B2 AP1 / B2 AP2 (0.6 to 3 yrs)</v>
      </c>
      <c r="P781" s="260"/>
      <c r="Q781" s="260" t="str">
        <f t="shared" si="46"/>
        <v>SOG/Oracle/DeveloperOracle/Junior</v>
      </c>
      <c r="R781" s="261" t="str">
        <f t="shared" si="44"/>
        <v>B2 AP1 / B2 AP2 (0.6 to 3 yrs)</v>
      </c>
      <c r="S781" s="260" t="str">
        <f t="shared" si="45"/>
        <v>SOG_89</v>
      </c>
      <c r="T781" s="262" t="b">
        <v>0</v>
      </c>
      <c r="U781" s="263" t="str">
        <f>+VLOOKUP($C781,[8]GRC!$B$3:$L$350,9,0)</f>
        <v>B2 AP1</v>
      </c>
      <c r="V781" s="263" t="str">
        <f>+VLOOKUP($C781,[8]GRC!$B$3:$L$350,10,0)</f>
        <v>B2 AP2 (0.6 to 3 yrs)</v>
      </c>
      <c r="W781" s="263" t="b">
        <f t="shared" si="42"/>
        <v>1</v>
      </c>
      <c r="X781" s="263" t="b">
        <f t="shared" si="42"/>
        <v>1</v>
      </c>
    </row>
    <row r="782" spans="1:24" ht="15">
      <c r="A782" s="93">
        <v>278</v>
      </c>
      <c r="B782" s="94" t="s">
        <v>630</v>
      </c>
      <c r="C782" s="295" t="s">
        <v>1096</v>
      </c>
      <c r="D782" s="94" t="str">
        <f>+[7]GRC!D280</f>
        <v>SOG</v>
      </c>
      <c r="E782" s="94" t="s">
        <v>30</v>
      </c>
      <c r="F782" s="94" t="s">
        <v>129</v>
      </c>
      <c r="G782" s="94" t="s">
        <v>293</v>
      </c>
      <c r="H782" s="94" t="s">
        <v>181</v>
      </c>
      <c r="I782" s="94" t="s">
        <v>193</v>
      </c>
      <c r="J782" s="94" t="s">
        <v>151</v>
      </c>
      <c r="K782" s="94" t="s">
        <v>19</v>
      </c>
      <c r="L782" s="94" t="s">
        <v>18</v>
      </c>
      <c r="M782" s="94" t="s">
        <v>71</v>
      </c>
      <c r="N782" s="94" t="s">
        <v>138</v>
      </c>
      <c r="O782" s="259" t="str">
        <f t="shared" si="43"/>
        <v>B2 AP2 (0.6 to 3 yrs) / B2 AP3 (3 to 5 yrs)</v>
      </c>
      <c r="P782" s="260"/>
      <c r="Q782" s="260" t="str">
        <f t="shared" si="46"/>
        <v>SOG/Oracle/DeveloperOracle/MidLevel</v>
      </c>
      <c r="R782" s="261" t="str">
        <f t="shared" si="44"/>
        <v>B2 AP2 (0.6 to 3 yrs) / B2 AP3 (3 to 5 yrs)</v>
      </c>
      <c r="S782" s="260" t="str">
        <f t="shared" si="45"/>
        <v>SOG_90</v>
      </c>
      <c r="T782" s="262" t="b">
        <v>0</v>
      </c>
      <c r="U782" s="263" t="str">
        <f>+VLOOKUP($C782,[8]GRC!$B$3:$L$350,9,0)</f>
        <v>B2 AP2 (0.6 to 3 yrs)</v>
      </c>
      <c r="V782" s="263" t="str">
        <f>+VLOOKUP($C782,[8]GRC!$B$3:$L$350,10,0)</f>
        <v>B2 AP3 (3 to 5 yrs)</v>
      </c>
      <c r="W782" s="263" t="b">
        <f t="shared" si="42"/>
        <v>1</v>
      </c>
      <c r="X782" s="263" t="b">
        <f t="shared" si="42"/>
        <v>1</v>
      </c>
    </row>
    <row r="783" spans="1:24" ht="15">
      <c r="A783" s="93">
        <v>279</v>
      </c>
      <c r="B783" s="94" t="s">
        <v>631</v>
      </c>
      <c r="C783" s="295" t="s">
        <v>1097</v>
      </c>
      <c r="D783" s="94" t="str">
        <f>+[7]GRC!D281</f>
        <v>SOG</v>
      </c>
      <c r="E783" s="94" t="s">
        <v>30</v>
      </c>
      <c r="F783" s="94" t="s">
        <v>129</v>
      </c>
      <c r="G783" s="94" t="s">
        <v>293</v>
      </c>
      <c r="H783" s="94" t="s">
        <v>181</v>
      </c>
      <c r="I783" s="94" t="s">
        <v>91</v>
      </c>
      <c r="J783" s="94" t="s">
        <v>145</v>
      </c>
      <c r="K783" s="94" t="s">
        <v>18</v>
      </c>
      <c r="L783" s="94" t="s">
        <v>17</v>
      </c>
      <c r="M783" s="94" t="s">
        <v>71</v>
      </c>
      <c r="N783" s="94" t="s">
        <v>138</v>
      </c>
      <c r="O783" s="259" t="str">
        <f t="shared" si="43"/>
        <v>B2 AP3 (3 to 5 yrs) / B3 PL1 (5 to 7 yrs)</v>
      </c>
      <c r="P783" s="260"/>
      <c r="Q783" s="260" t="str">
        <f t="shared" si="46"/>
        <v>SOG/Oracle/DeveloperOracle/Senior</v>
      </c>
      <c r="R783" s="261" t="str">
        <f t="shared" si="44"/>
        <v>B2 AP3 (3 to 5 yrs) / B3 PL1 (5 to 7 yrs)</v>
      </c>
      <c r="S783" s="260" t="str">
        <f t="shared" si="45"/>
        <v>SOG_91</v>
      </c>
      <c r="T783" s="262" t="b">
        <v>0</v>
      </c>
      <c r="U783" s="263" t="str">
        <f>+VLOOKUP($C783,[8]GRC!$B$3:$L$350,9,0)</f>
        <v>B2 AP3 (3 to 5 yrs)</v>
      </c>
      <c r="V783" s="263" t="str">
        <f>+VLOOKUP($C783,[8]GRC!$B$3:$L$350,10,0)</f>
        <v>B3 PL1 (5 to 7 yrs)</v>
      </c>
      <c r="W783" s="263" t="b">
        <f t="shared" si="42"/>
        <v>1</v>
      </c>
      <c r="X783" s="263" t="b">
        <f t="shared" si="42"/>
        <v>1</v>
      </c>
    </row>
    <row r="784" spans="1:24" ht="15">
      <c r="A784" s="93">
        <v>280</v>
      </c>
      <c r="B784" s="94" t="s">
        <v>632</v>
      </c>
      <c r="C784" s="295" t="s">
        <v>1098</v>
      </c>
      <c r="D784" s="94" t="str">
        <f>+[7]GRC!D282</f>
        <v>SOG</v>
      </c>
      <c r="E784" s="94" t="s">
        <v>30</v>
      </c>
      <c r="F784" s="94" t="s">
        <v>129</v>
      </c>
      <c r="G784" s="94" t="s">
        <v>294</v>
      </c>
      <c r="H784" s="94" t="s">
        <v>181</v>
      </c>
      <c r="I784" s="94" t="s">
        <v>84</v>
      </c>
      <c r="J784" s="94" t="s">
        <v>151</v>
      </c>
      <c r="K784" s="94" t="s">
        <v>18</v>
      </c>
      <c r="L784" s="94" t="s">
        <v>71</v>
      </c>
      <c r="M784" s="94" t="s">
        <v>71</v>
      </c>
      <c r="N784" s="94" t="s">
        <v>138</v>
      </c>
      <c r="O784" s="259" t="str">
        <f t="shared" si="43"/>
        <v>B2 AP3 (3 to 5 yrs) / None</v>
      </c>
      <c r="P784" s="260"/>
      <c r="Q784" s="260" t="str">
        <f t="shared" si="46"/>
        <v>SOG/Oracle/FunctionalOracle/Junior</v>
      </c>
      <c r="R784" s="261" t="str">
        <f t="shared" si="44"/>
        <v>B2 AP3 (3 to 5 yrs) / None</v>
      </c>
      <c r="S784" s="260" t="str">
        <f t="shared" si="45"/>
        <v>SOG_93</v>
      </c>
      <c r="T784" s="262" t="b">
        <v>0</v>
      </c>
      <c r="U784" s="263" t="str">
        <f>+VLOOKUP($C784,[8]GRC!$B$3:$L$350,9,0)</f>
        <v>B2 AP3 (3 to 5 yrs)</v>
      </c>
      <c r="V784" s="263" t="str">
        <f>+VLOOKUP($C784,[8]GRC!$B$3:$L$350,10,0)</f>
        <v>None</v>
      </c>
      <c r="W784" s="263" t="b">
        <f t="shared" si="42"/>
        <v>1</v>
      </c>
      <c r="X784" s="263" t="b">
        <f t="shared" si="42"/>
        <v>1</v>
      </c>
    </row>
    <row r="785" spans="1:24" ht="15">
      <c r="A785" s="93">
        <v>281</v>
      </c>
      <c r="B785" s="94" t="s">
        <v>633</v>
      </c>
      <c r="C785" s="295" t="s">
        <v>1099</v>
      </c>
      <c r="D785" s="94" t="str">
        <f>+[7]GRC!D283</f>
        <v>SOG</v>
      </c>
      <c r="E785" s="94" t="s">
        <v>30</v>
      </c>
      <c r="F785" s="94" t="s">
        <v>129</v>
      </c>
      <c r="G785" s="94" t="s">
        <v>294</v>
      </c>
      <c r="H785" s="94" t="s">
        <v>181</v>
      </c>
      <c r="I785" s="94" t="s">
        <v>193</v>
      </c>
      <c r="J785" s="94" t="s">
        <v>145</v>
      </c>
      <c r="K785" s="94" t="s">
        <v>17</v>
      </c>
      <c r="L785" s="94" t="s">
        <v>16</v>
      </c>
      <c r="M785" s="94" t="s">
        <v>71</v>
      </c>
      <c r="N785" s="94" t="s">
        <v>138</v>
      </c>
      <c r="O785" s="259" t="str">
        <f t="shared" si="43"/>
        <v>B3 PL1 (5 to 7 yrs) / B3 PL2 (6 to 8 yrs)</v>
      </c>
      <c r="P785" s="260"/>
      <c r="Q785" s="260" t="str">
        <f t="shared" si="46"/>
        <v>SOG/Oracle/FunctionalOracle/MidLevel</v>
      </c>
      <c r="R785" s="261" t="str">
        <f t="shared" si="44"/>
        <v>B3 PL1 (5 to 7 yrs) / B3 PL2 (6 to 8 yrs)</v>
      </c>
      <c r="S785" s="260" t="str">
        <f t="shared" si="45"/>
        <v>SOG_94</v>
      </c>
      <c r="T785" s="262" t="b">
        <v>0</v>
      </c>
      <c r="U785" s="263" t="str">
        <f>+VLOOKUP($C785,[8]GRC!$B$3:$L$350,9,0)</f>
        <v>B3 PL1 (5 to 7 yrs)</v>
      </c>
      <c r="V785" s="263" t="str">
        <f>+VLOOKUP($C785,[8]GRC!$B$3:$L$350,10,0)</f>
        <v>B3 PL2 (6 to 8 yrs)</v>
      </c>
      <c r="W785" s="263" t="b">
        <f t="shared" si="42"/>
        <v>1</v>
      </c>
      <c r="X785" s="263" t="b">
        <f t="shared" si="42"/>
        <v>1</v>
      </c>
    </row>
    <row r="786" spans="1:24" ht="15">
      <c r="A786" s="93">
        <v>282</v>
      </c>
      <c r="B786" s="94" t="s">
        <v>634</v>
      </c>
      <c r="C786" s="295" t="s">
        <v>1100</v>
      </c>
      <c r="D786" s="94" t="str">
        <f>+[7]GRC!D284</f>
        <v>SOG</v>
      </c>
      <c r="E786" s="94" t="s">
        <v>30</v>
      </c>
      <c r="F786" s="94" t="s">
        <v>129</v>
      </c>
      <c r="G786" s="94" t="s">
        <v>294</v>
      </c>
      <c r="H786" s="94" t="s">
        <v>181</v>
      </c>
      <c r="I786" s="94" t="s">
        <v>91</v>
      </c>
      <c r="J786" s="94" t="s">
        <v>147</v>
      </c>
      <c r="K786" s="94" t="s">
        <v>16</v>
      </c>
      <c r="L786" s="94" t="s">
        <v>15</v>
      </c>
      <c r="M786" s="94" t="s">
        <v>71</v>
      </c>
      <c r="N786" s="94" t="s">
        <v>138</v>
      </c>
      <c r="O786" s="259" t="str">
        <f t="shared" si="43"/>
        <v>B3 PL2 (6 to 8 yrs) / B3 PL3 (7 to 10 yrs)</v>
      </c>
      <c r="P786" s="260"/>
      <c r="Q786" s="260" t="str">
        <f t="shared" si="46"/>
        <v>SOG/Oracle/FunctionalOracle/Senior</v>
      </c>
      <c r="R786" s="261" t="str">
        <f t="shared" si="44"/>
        <v>B3 PL2 (6 to 8 yrs) / B3 PL3 (7 to 10 yrs)</v>
      </c>
      <c r="S786" s="260" t="str">
        <f t="shared" si="45"/>
        <v>SOG_95</v>
      </c>
      <c r="T786" s="262" t="b">
        <v>0</v>
      </c>
      <c r="U786" s="263" t="str">
        <f>+VLOOKUP($C786,[8]GRC!$B$3:$L$350,9,0)</f>
        <v>B3 PL2 (6 to 8 yrs)</v>
      </c>
      <c r="V786" s="263" t="str">
        <f>+VLOOKUP($C786,[8]GRC!$B$3:$L$350,10,0)</f>
        <v>B3 PL3 (7 to 10 yrs)</v>
      </c>
      <c r="W786" s="263" t="b">
        <f t="shared" si="42"/>
        <v>1</v>
      </c>
      <c r="X786" s="263" t="b">
        <f t="shared" si="42"/>
        <v>1</v>
      </c>
    </row>
    <row r="787" spans="1:24" ht="15">
      <c r="A787" s="93">
        <v>283</v>
      </c>
      <c r="B787" s="94" t="s">
        <v>635</v>
      </c>
      <c r="C787" s="295" t="s">
        <v>1101</v>
      </c>
      <c r="D787" s="94" t="str">
        <f>+[7]GRC!D285</f>
        <v>SOG</v>
      </c>
      <c r="E787" s="94" t="s">
        <v>30</v>
      </c>
      <c r="F787" s="94" t="s">
        <v>129</v>
      </c>
      <c r="G787" s="94" t="s">
        <v>295</v>
      </c>
      <c r="H787" s="94" t="s">
        <v>181</v>
      </c>
      <c r="I787" s="94" t="s">
        <v>84</v>
      </c>
      <c r="J787" s="94" t="s">
        <v>184</v>
      </c>
      <c r="K787" s="94" t="s">
        <v>15</v>
      </c>
      <c r="L787" s="94" t="s">
        <v>14</v>
      </c>
      <c r="M787" s="94" t="s">
        <v>71</v>
      </c>
      <c r="N787" s="94" t="s">
        <v>138</v>
      </c>
      <c r="O787" s="259" t="str">
        <f t="shared" si="43"/>
        <v>B3 PL3 (7 to 10 yrs) / B4 PM1 (9 to 12 yrs)</v>
      </c>
      <c r="P787" s="260"/>
      <c r="Q787" s="260" t="str">
        <f t="shared" si="46"/>
        <v>SOG/Oracle/ProjectManagerOracle/Junior</v>
      </c>
      <c r="R787" s="261" t="str">
        <f t="shared" si="44"/>
        <v>B3 PL3 (7 to 10 yrs) / B4 PM1 (9 to 12 yrs)</v>
      </c>
      <c r="S787" s="260" t="str">
        <f t="shared" si="45"/>
        <v>SOG_96</v>
      </c>
      <c r="T787" s="262" t="b">
        <v>0</v>
      </c>
      <c r="U787" s="263" t="str">
        <f>+VLOOKUP($C787,[8]GRC!$B$3:$L$350,9,0)</f>
        <v>B3 PL3 (7 to 10 yrs)</v>
      </c>
      <c r="V787" s="263" t="str">
        <f>+VLOOKUP($C787,[8]GRC!$B$3:$L$350,10,0)</f>
        <v>B4 PM1 (9 to 12 yrs)</v>
      </c>
      <c r="W787" s="263" t="b">
        <f t="shared" si="42"/>
        <v>1</v>
      </c>
      <c r="X787" s="263" t="b">
        <f t="shared" si="42"/>
        <v>1</v>
      </c>
    </row>
    <row r="788" spans="1:24" ht="15">
      <c r="A788" s="93">
        <v>284</v>
      </c>
      <c r="B788" s="94" t="s">
        <v>636</v>
      </c>
      <c r="C788" s="295" t="s">
        <v>1102</v>
      </c>
      <c r="D788" s="94" t="str">
        <f>+[7]GRC!D286</f>
        <v>SOG</v>
      </c>
      <c r="E788" s="94" t="s">
        <v>30</v>
      </c>
      <c r="F788" s="94" t="s">
        <v>129</v>
      </c>
      <c r="G788" s="94" t="s">
        <v>295</v>
      </c>
      <c r="H788" s="94" t="s">
        <v>181</v>
      </c>
      <c r="I788" s="94" t="s">
        <v>193</v>
      </c>
      <c r="J788" s="94" t="s">
        <v>185</v>
      </c>
      <c r="K788" s="94" t="s">
        <v>14</v>
      </c>
      <c r="L788" s="94" t="s">
        <v>42</v>
      </c>
      <c r="M788" s="94" t="s">
        <v>71</v>
      </c>
      <c r="N788" s="94" t="s">
        <v>138</v>
      </c>
      <c r="O788" s="259" t="str">
        <f t="shared" si="43"/>
        <v>B4 PM1 (9 to 12 yrs) / B4 PM2 (10 to 14 yrs)</v>
      </c>
      <c r="P788" s="260"/>
      <c r="Q788" s="260" t="str">
        <f t="shared" si="46"/>
        <v>SOG/Oracle/ProjectManagerOracle/MidLevel</v>
      </c>
      <c r="R788" s="261" t="str">
        <f t="shared" si="44"/>
        <v>B4 PM1 (9 to 12 yrs) / B4 PM2 (10 to 14 yrs)</v>
      </c>
      <c r="S788" s="260" t="str">
        <f t="shared" si="45"/>
        <v>SOG_97</v>
      </c>
      <c r="T788" s="262" t="b">
        <v>0</v>
      </c>
      <c r="U788" s="263" t="str">
        <f>+VLOOKUP($C788,[8]GRC!$B$3:$L$350,9,0)</f>
        <v>B4 PM1 (9 to 12 yrs)</v>
      </c>
      <c r="V788" s="263" t="str">
        <f>+VLOOKUP($C788,[8]GRC!$B$3:$L$350,10,0)</f>
        <v>B4 PM2 (10 to 14 yrs)</v>
      </c>
      <c r="W788" s="263" t="b">
        <f t="shared" si="42"/>
        <v>1</v>
      </c>
      <c r="X788" s="263" t="b">
        <f t="shared" si="42"/>
        <v>1</v>
      </c>
    </row>
    <row r="789" spans="1:24" ht="15">
      <c r="A789" s="93">
        <v>285</v>
      </c>
      <c r="B789" s="94" t="s">
        <v>637</v>
      </c>
      <c r="C789" s="295" t="s">
        <v>1103</v>
      </c>
      <c r="D789" s="94" t="str">
        <f>+[7]GRC!D287</f>
        <v>SOG</v>
      </c>
      <c r="E789" s="94" t="s">
        <v>30</v>
      </c>
      <c r="F789" s="94" t="s">
        <v>129</v>
      </c>
      <c r="G789" s="94" t="s">
        <v>295</v>
      </c>
      <c r="H789" s="94" t="s">
        <v>181</v>
      </c>
      <c r="I789" s="94" t="s">
        <v>91</v>
      </c>
      <c r="J789" s="94" t="s">
        <v>149</v>
      </c>
      <c r="K789" s="94" t="s">
        <v>42</v>
      </c>
      <c r="L789" s="94" t="s">
        <v>41</v>
      </c>
      <c r="M789" s="94" t="s">
        <v>71</v>
      </c>
      <c r="N789" s="94" t="s">
        <v>138</v>
      </c>
      <c r="O789" s="259" t="str">
        <f t="shared" si="43"/>
        <v>B4 PM2 (10 to 14 yrs) / B4 PM3 (12 to 15 yrs)</v>
      </c>
      <c r="P789" s="260"/>
      <c r="Q789" s="260" t="str">
        <f t="shared" si="46"/>
        <v>SOG/Oracle/ProjectManagerOracle/Senior</v>
      </c>
      <c r="R789" s="261" t="str">
        <f t="shared" si="44"/>
        <v>B4 PM2 (10 to 14 yrs) / B4 PM3 (12 to 15 yrs)</v>
      </c>
      <c r="S789" s="260" t="str">
        <f t="shared" si="45"/>
        <v>SOG_98</v>
      </c>
      <c r="T789" s="262" t="b">
        <v>0</v>
      </c>
      <c r="U789" s="263" t="str">
        <f>+VLOOKUP($C789,[8]GRC!$B$3:$L$350,9,0)</f>
        <v>B4 PM2 (10 to 14 yrs)</v>
      </c>
      <c r="V789" s="263" t="str">
        <f>+VLOOKUP($C789,[8]GRC!$B$3:$L$350,10,0)</f>
        <v>B4 PM3 (12 to 15 yrs)</v>
      </c>
      <c r="W789" s="263" t="b">
        <f t="shared" si="42"/>
        <v>1</v>
      </c>
      <c r="X789" s="263" t="b">
        <f t="shared" si="42"/>
        <v>1</v>
      </c>
    </row>
    <row r="790" spans="1:24" ht="15">
      <c r="A790" s="93">
        <v>286</v>
      </c>
      <c r="B790" s="94" t="s">
        <v>638</v>
      </c>
      <c r="C790" s="295" t="s">
        <v>1104</v>
      </c>
      <c r="D790" s="94" t="str">
        <f>+[7]GRC!D288</f>
        <v>SOG</v>
      </c>
      <c r="E790" s="94" t="s">
        <v>30</v>
      </c>
      <c r="F790" s="94" t="s">
        <v>129</v>
      </c>
      <c r="G790" s="94" t="s">
        <v>296</v>
      </c>
      <c r="H790" s="94" t="s">
        <v>181</v>
      </c>
      <c r="I790" s="94" t="s">
        <v>84</v>
      </c>
      <c r="J790" s="94" t="s">
        <v>151</v>
      </c>
      <c r="K790" s="94" t="s">
        <v>18</v>
      </c>
      <c r="L790" s="94" t="s">
        <v>71</v>
      </c>
      <c r="M790" s="94" t="s">
        <v>71</v>
      </c>
      <c r="N790" s="94" t="s">
        <v>138</v>
      </c>
      <c r="O790" s="259" t="str">
        <f t="shared" si="43"/>
        <v>B2 AP3 (3 to 5 yrs) / None</v>
      </c>
      <c r="P790" s="260"/>
      <c r="Q790" s="260" t="str">
        <f t="shared" si="46"/>
        <v>SOG/Oracle/TechnicalOracle/Junior</v>
      </c>
      <c r="R790" s="261" t="str">
        <f t="shared" si="44"/>
        <v>B2 AP3 (3 to 5 yrs) / None</v>
      </c>
      <c r="S790" s="260" t="str">
        <f t="shared" si="45"/>
        <v>SOG_99</v>
      </c>
      <c r="T790" s="262" t="b">
        <v>0</v>
      </c>
      <c r="U790" s="263" t="str">
        <f>+VLOOKUP($C790,[8]GRC!$B$3:$L$350,9,0)</f>
        <v>B2 AP3 (3 to 5 yrs)</v>
      </c>
      <c r="V790" s="263" t="str">
        <f>+VLOOKUP($C790,[8]GRC!$B$3:$L$350,10,0)</f>
        <v>None</v>
      </c>
      <c r="W790" s="263" t="b">
        <f t="shared" si="42"/>
        <v>1</v>
      </c>
      <c r="X790" s="263" t="b">
        <f t="shared" si="42"/>
        <v>1</v>
      </c>
    </row>
    <row r="791" spans="1:24" ht="15">
      <c r="A791" s="93">
        <v>287</v>
      </c>
      <c r="B791" s="94" t="s">
        <v>639</v>
      </c>
      <c r="C791" s="295" t="s">
        <v>1105</v>
      </c>
      <c r="D791" s="94" t="str">
        <f>+[7]GRC!D289</f>
        <v>SOG</v>
      </c>
      <c r="E791" s="94" t="s">
        <v>30</v>
      </c>
      <c r="F791" s="94" t="s">
        <v>129</v>
      </c>
      <c r="G791" s="94" t="s">
        <v>296</v>
      </c>
      <c r="H791" s="94" t="s">
        <v>181</v>
      </c>
      <c r="I791" s="94" t="s">
        <v>193</v>
      </c>
      <c r="J791" s="94" t="s">
        <v>145</v>
      </c>
      <c r="K791" s="94" t="s">
        <v>17</v>
      </c>
      <c r="L791" s="94" t="s">
        <v>71</v>
      </c>
      <c r="M791" s="94" t="s">
        <v>71</v>
      </c>
      <c r="N791" s="94" t="s">
        <v>138</v>
      </c>
      <c r="O791" s="259" t="str">
        <f t="shared" si="43"/>
        <v>B3 PL1 (5 to 7 yrs) / None</v>
      </c>
      <c r="P791" s="260"/>
      <c r="Q791" s="260" t="str">
        <f t="shared" si="46"/>
        <v>SOG/Oracle/TechnicalOracle/MidLevel</v>
      </c>
      <c r="R791" s="261" t="str">
        <f t="shared" si="44"/>
        <v>B3 PL1 (5 to 7 yrs) / None</v>
      </c>
      <c r="S791" s="260" t="str">
        <f t="shared" si="45"/>
        <v>SOG_100</v>
      </c>
      <c r="T791" s="262" t="b">
        <v>0</v>
      </c>
      <c r="U791" s="263" t="str">
        <f>+VLOOKUP($C791,[8]GRC!$B$3:$L$350,9,0)</f>
        <v>B3 PL1 (5 to 7 yrs)</v>
      </c>
      <c r="V791" s="263" t="str">
        <f>+VLOOKUP($C791,[8]GRC!$B$3:$L$350,10,0)</f>
        <v>None</v>
      </c>
      <c r="W791" s="263" t="b">
        <f t="shared" si="42"/>
        <v>1</v>
      </c>
      <c r="X791" s="263" t="b">
        <f t="shared" si="42"/>
        <v>1</v>
      </c>
    </row>
    <row r="792" spans="1:24" ht="15">
      <c r="A792" s="93">
        <v>288</v>
      </c>
      <c r="B792" s="94" t="s">
        <v>640</v>
      </c>
      <c r="C792" s="295" t="s">
        <v>1106</v>
      </c>
      <c r="D792" s="94" t="str">
        <f>+[7]GRC!D290</f>
        <v>SOG</v>
      </c>
      <c r="E792" s="94" t="s">
        <v>30</v>
      </c>
      <c r="F792" s="94" t="s">
        <v>129</v>
      </c>
      <c r="G792" s="94" t="s">
        <v>296</v>
      </c>
      <c r="H792" s="94" t="s">
        <v>181</v>
      </c>
      <c r="I792" s="94" t="s">
        <v>91</v>
      </c>
      <c r="J792" s="94" t="s">
        <v>147</v>
      </c>
      <c r="K792" s="94" t="s">
        <v>16</v>
      </c>
      <c r="L792" s="94" t="s">
        <v>71</v>
      </c>
      <c r="M792" s="94" t="s">
        <v>71</v>
      </c>
      <c r="N792" s="94" t="s">
        <v>138</v>
      </c>
      <c r="O792" s="259" t="str">
        <f t="shared" si="43"/>
        <v>B3 PL2 (6 to 8 yrs) / None</v>
      </c>
      <c r="P792" s="260"/>
      <c r="Q792" s="260" t="str">
        <f t="shared" si="46"/>
        <v>SOG/Oracle/TechnicalOracle/Senior</v>
      </c>
      <c r="R792" s="261" t="str">
        <f t="shared" si="44"/>
        <v>B3 PL2 (6 to 8 yrs) / None</v>
      </c>
      <c r="S792" s="260" t="str">
        <f t="shared" si="45"/>
        <v>SOG_101</v>
      </c>
      <c r="T792" s="262" t="b">
        <v>0</v>
      </c>
      <c r="U792" s="263" t="str">
        <f>+VLOOKUP($C792,[8]GRC!$B$3:$L$350,9,0)</f>
        <v>B3 PL2 (6 to 8 yrs)</v>
      </c>
      <c r="V792" s="263" t="str">
        <f>+VLOOKUP($C792,[8]GRC!$B$3:$L$350,10,0)</f>
        <v>None</v>
      </c>
      <c r="W792" s="263" t="b">
        <f t="shared" si="42"/>
        <v>1</v>
      </c>
      <c r="X792" s="263" t="b">
        <f t="shared" si="42"/>
        <v>1</v>
      </c>
    </row>
    <row r="793" spans="1:24" ht="15">
      <c r="A793" s="93">
        <v>289</v>
      </c>
      <c r="B793" s="94" t="s">
        <v>641</v>
      </c>
      <c r="C793" s="295" t="s">
        <v>1107</v>
      </c>
      <c r="D793" s="94" t="str">
        <f>+[7]GRC!D291</f>
        <v>SOG</v>
      </c>
      <c r="E793" s="94" t="s">
        <v>30</v>
      </c>
      <c r="F793" s="94" t="s">
        <v>131</v>
      </c>
      <c r="G793" s="94" t="s">
        <v>642</v>
      </c>
      <c r="H793" s="94"/>
      <c r="I793" s="94" t="s">
        <v>84</v>
      </c>
      <c r="J793" s="94" t="s">
        <v>151</v>
      </c>
      <c r="K793" s="94" t="s">
        <v>18</v>
      </c>
      <c r="L793" s="94" t="s">
        <v>71</v>
      </c>
      <c r="M793" s="94" t="s">
        <v>71</v>
      </c>
      <c r="N793" s="94" t="s">
        <v>138</v>
      </c>
      <c r="O793" s="259" t="str">
        <f t="shared" si="43"/>
        <v>B2 AP3 (3 to 5 yrs) / None</v>
      </c>
      <c r="P793" s="260"/>
      <c r="Q793" s="260" t="str">
        <f t="shared" si="46"/>
        <v>SOG/Peoplesoft/DatabaseAdministratorPeoplesoft/Junior</v>
      </c>
      <c r="R793" s="261" t="str">
        <f t="shared" si="44"/>
        <v>B2 AP3 (3 to 5 yrs) / None</v>
      </c>
      <c r="S793" s="260" t="str">
        <f t="shared" si="45"/>
        <v>SOG_102</v>
      </c>
      <c r="T793" s="262" t="b">
        <v>0</v>
      </c>
      <c r="U793" s="263" t="str">
        <f>+VLOOKUP($C793,[8]GRC!$B$3:$L$350,9,0)</f>
        <v>B2 AP3 (3 to 5 yrs)</v>
      </c>
      <c r="V793" s="263" t="str">
        <f>+VLOOKUP($C793,[8]GRC!$B$3:$L$350,10,0)</f>
        <v>None</v>
      </c>
      <c r="W793" s="263" t="b">
        <f t="shared" si="42"/>
        <v>1</v>
      </c>
      <c r="X793" s="263" t="b">
        <f t="shared" si="42"/>
        <v>1</v>
      </c>
    </row>
    <row r="794" spans="1:24" ht="15">
      <c r="A794" s="93">
        <v>290</v>
      </c>
      <c r="B794" s="94" t="s">
        <v>643</v>
      </c>
      <c r="C794" s="295" t="s">
        <v>1108</v>
      </c>
      <c r="D794" s="94" t="str">
        <f>+[7]GRC!D292</f>
        <v>SOG</v>
      </c>
      <c r="E794" s="94" t="s">
        <v>30</v>
      </c>
      <c r="F794" s="94" t="s">
        <v>131</v>
      </c>
      <c r="G794" s="94" t="s">
        <v>642</v>
      </c>
      <c r="H794" s="94"/>
      <c r="I794" s="94" t="s">
        <v>193</v>
      </c>
      <c r="J794" s="94" t="s">
        <v>145</v>
      </c>
      <c r="K794" s="94" t="s">
        <v>17</v>
      </c>
      <c r="L794" s="94" t="s">
        <v>16</v>
      </c>
      <c r="M794" s="94" t="s">
        <v>71</v>
      </c>
      <c r="N794" s="94" t="s">
        <v>138</v>
      </c>
      <c r="O794" s="259" t="str">
        <f t="shared" si="43"/>
        <v>B3 PL1 (5 to 7 yrs) / B3 PL2 (6 to 8 yrs)</v>
      </c>
      <c r="P794" s="260"/>
      <c r="Q794" s="260" t="str">
        <f t="shared" si="46"/>
        <v>SOG/Peoplesoft/DatabaseAdministratorPeoplesoft/MidLevel</v>
      </c>
      <c r="R794" s="261" t="str">
        <f t="shared" si="44"/>
        <v>B3 PL1 (5 to 7 yrs) / B3 PL2 (6 to 8 yrs)</v>
      </c>
      <c r="S794" s="260" t="str">
        <f t="shared" si="45"/>
        <v>SOG_103</v>
      </c>
      <c r="T794" s="262" t="b">
        <v>0</v>
      </c>
      <c r="U794" s="263" t="str">
        <f>+VLOOKUP($C794,[8]GRC!$B$3:$L$350,9,0)</f>
        <v>B3 PL1 (5 to 7 yrs)</v>
      </c>
      <c r="V794" s="263" t="str">
        <f>+VLOOKUP($C794,[8]GRC!$B$3:$L$350,10,0)</f>
        <v>B3 PL2 (6 to 8 yrs)</v>
      </c>
      <c r="W794" s="263" t="b">
        <f t="shared" si="42"/>
        <v>1</v>
      </c>
      <c r="X794" s="263" t="b">
        <f t="shared" si="42"/>
        <v>1</v>
      </c>
    </row>
    <row r="795" spans="1:24" ht="15">
      <c r="A795" s="93">
        <v>291</v>
      </c>
      <c r="B795" s="94" t="s">
        <v>644</v>
      </c>
      <c r="C795" s="295" t="s">
        <v>1109</v>
      </c>
      <c r="D795" s="94" t="str">
        <f>+[7]GRC!D293</f>
        <v>SOG</v>
      </c>
      <c r="E795" s="94" t="s">
        <v>30</v>
      </c>
      <c r="F795" s="94" t="s">
        <v>131</v>
      </c>
      <c r="G795" s="94" t="s">
        <v>642</v>
      </c>
      <c r="H795" s="94"/>
      <c r="I795" s="94" t="s">
        <v>91</v>
      </c>
      <c r="J795" s="94" t="s">
        <v>147</v>
      </c>
      <c r="K795" s="94" t="s">
        <v>16</v>
      </c>
      <c r="L795" s="94" t="s">
        <v>15</v>
      </c>
      <c r="M795" s="94" t="s">
        <v>71</v>
      </c>
      <c r="N795" s="94" t="s">
        <v>138</v>
      </c>
      <c r="O795" s="259" t="str">
        <f t="shared" si="43"/>
        <v>B3 PL2 (6 to 8 yrs) / B3 PL3 (7 to 10 yrs)</v>
      </c>
      <c r="P795" s="260"/>
      <c r="Q795" s="260" t="str">
        <f t="shared" si="46"/>
        <v>SOG/Peoplesoft/DatabaseAdministratorPeoplesoft/Senior</v>
      </c>
      <c r="R795" s="261" t="str">
        <f t="shared" si="44"/>
        <v>B3 PL2 (6 to 8 yrs) / B3 PL3 (7 to 10 yrs)</v>
      </c>
      <c r="S795" s="260" t="str">
        <f t="shared" si="45"/>
        <v>SOG_104</v>
      </c>
      <c r="T795" s="262" t="b">
        <v>0</v>
      </c>
      <c r="U795" s="263" t="str">
        <f>+VLOOKUP($C795,[8]GRC!$B$3:$L$350,9,0)</f>
        <v>B3 PL2 (6 to 8 yrs)</v>
      </c>
      <c r="V795" s="263" t="str">
        <f>+VLOOKUP($C795,[8]GRC!$B$3:$L$350,10,0)</f>
        <v>B3 PL3 (7 to 10 yrs)</v>
      </c>
      <c r="W795" s="263" t="b">
        <f t="shared" si="42"/>
        <v>1</v>
      </c>
      <c r="X795" s="263" t="b">
        <f t="shared" si="42"/>
        <v>1</v>
      </c>
    </row>
    <row r="796" spans="1:24" ht="15">
      <c r="A796" s="93">
        <v>292</v>
      </c>
      <c r="B796" s="94" t="s">
        <v>645</v>
      </c>
      <c r="C796" s="295" t="s">
        <v>1110</v>
      </c>
      <c r="D796" s="94" t="str">
        <f>+[7]GRC!D294</f>
        <v>SOG</v>
      </c>
      <c r="E796" s="94" t="s">
        <v>30</v>
      </c>
      <c r="F796" s="94" t="s">
        <v>131</v>
      </c>
      <c r="G796" s="94" t="s">
        <v>297</v>
      </c>
      <c r="H796" s="94"/>
      <c r="I796" s="94" t="s">
        <v>84</v>
      </c>
      <c r="J796" s="94" t="s">
        <v>151</v>
      </c>
      <c r="K796" s="94" t="s">
        <v>18</v>
      </c>
      <c r="L796" s="94" t="s">
        <v>71</v>
      </c>
      <c r="M796" s="94" t="s">
        <v>71</v>
      </c>
      <c r="N796" s="94" t="s">
        <v>138</v>
      </c>
      <c r="O796" s="259" t="str">
        <f t="shared" si="43"/>
        <v>B2 AP3 (3 to 5 yrs) / None</v>
      </c>
      <c r="P796" s="260"/>
      <c r="Q796" s="260" t="str">
        <f t="shared" si="46"/>
        <v>SOG/Peoplesoft/FunctionalPeoplesoft/Junior</v>
      </c>
      <c r="R796" s="261" t="str">
        <f t="shared" si="44"/>
        <v>B2 AP3 (3 to 5 yrs) / None</v>
      </c>
      <c r="S796" s="260" t="str">
        <f t="shared" si="45"/>
        <v>SOG_105</v>
      </c>
      <c r="T796" s="262" t="b">
        <v>0</v>
      </c>
      <c r="U796" s="263" t="str">
        <f>+VLOOKUP($C796,[8]GRC!$B$3:$L$350,9,0)</f>
        <v>B2 AP3 (3 to 5 yrs)</v>
      </c>
      <c r="V796" s="263" t="str">
        <f>+VLOOKUP($C796,[8]GRC!$B$3:$L$350,10,0)</f>
        <v>None</v>
      </c>
      <c r="W796" s="263" t="b">
        <f t="shared" si="42"/>
        <v>1</v>
      </c>
      <c r="X796" s="263" t="b">
        <f t="shared" si="42"/>
        <v>1</v>
      </c>
    </row>
    <row r="797" spans="1:24" ht="15">
      <c r="A797" s="93">
        <v>293</v>
      </c>
      <c r="B797" s="94" t="s">
        <v>646</v>
      </c>
      <c r="C797" s="295" t="s">
        <v>1111</v>
      </c>
      <c r="D797" s="94" t="str">
        <f>+[7]GRC!D295</f>
        <v>SOG</v>
      </c>
      <c r="E797" s="94" t="s">
        <v>30</v>
      </c>
      <c r="F797" s="94" t="s">
        <v>131</v>
      </c>
      <c r="G797" s="94" t="s">
        <v>297</v>
      </c>
      <c r="H797" s="94"/>
      <c r="I797" s="94" t="s">
        <v>193</v>
      </c>
      <c r="J797" s="94" t="s">
        <v>145</v>
      </c>
      <c r="K797" s="94" t="s">
        <v>17</v>
      </c>
      <c r="L797" s="94" t="s">
        <v>16</v>
      </c>
      <c r="M797" s="94" t="s">
        <v>71</v>
      </c>
      <c r="N797" s="94" t="s">
        <v>138</v>
      </c>
      <c r="O797" s="259" t="str">
        <f t="shared" si="43"/>
        <v>B3 PL1 (5 to 7 yrs) / B3 PL2 (6 to 8 yrs)</v>
      </c>
      <c r="P797" s="260"/>
      <c r="Q797" s="260" t="str">
        <f t="shared" si="46"/>
        <v>SOG/Peoplesoft/FunctionalPeoplesoft/MidLevel</v>
      </c>
      <c r="R797" s="261" t="str">
        <f t="shared" si="44"/>
        <v>B3 PL1 (5 to 7 yrs) / B3 PL2 (6 to 8 yrs)</v>
      </c>
      <c r="S797" s="260" t="str">
        <f t="shared" si="45"/>
        <v>SOG_106</v>
      </c>
      <c r="T797" s="262" t="b">
        <v>0</v>
      </c>
      <c r="U797" s="263" t="str">
        <f>+VLOOKUP($C797,[8]GRC!$B$3:$L$350,9,0)</f>
        <v>B3 PL1 (5 to 7 yrs)</v>
      </c>
      <c r="V797" s="263" t="str">
        <f>+VLOOKUP($C797,[8]GRC!$B$3:$L$350,10,0)</f>
        <v>B3 PL2 (6 to 8 yrs)</v>
      </c>
      <c r="W797" s="263" t="b">
        <f t="shared" si="42"/>
        <v>1</v>
      </c>
      <c r="X797" s="263" t="b">
        <f t="shared" si="42"/>
        <v>1</v>
      </c>
    </row>
    <row r="798" spans="1:24" ht="15">
      <c r="A798" s="93">
        <v>294</v>
      </c>
      <c r="B798" s="94" t="s">
        <v>647</v>
      </c>
      <c r="C798" s="295" t="s">
        <v>1112</v>
      </c>
      <c r="D798" s="94" t="str">
        <f>+[7]GRC!D296</f>
        <v>SOG</v>
      </c>
      <c r="E798" s="94" t="s">
        <v>30</v>
      </c>
      <c r="F798" s="94" t="s">
        <v>131</v>
      </c>
      <c r="G798" s="94" t="s">
        <v>297</v>
      </c>
      <c r="H798" s="94"/>
      <c r="I798" s="94" t="s">
        <v>91</v>
      </c>
      <c r="J798" s="94" t="s">
        <v>147</v>
      </c>
      <c r="K798" s="94" t="s">
        <v>16</v>
      </c>
      <c r="L798" s="94" t="s">
        <v>15</v>
      </c>
      <c r="M798" s="94" t="s">
        <v>71</v>
      </c>
      <c r="N798" s="94" t="s">
        <v>138</v>
      </c>
      <c r="O798" s="259" t="str">
        <f t="shared" si="43"/>
        <v>B3 PL2 (6 to 8 yrs) / B3 PL3 (7 to 10 yrs)</v>
      </c>
      <c r="P798" s="260"/>
      <c r="Q798" s="260" t="str">
        <f t="shared" si="46"/>
        <v>SOG/Peoplesoft/FunctionalPeoplesoft/Senior</v>
      </c>
      <c r="R798" s="261" t="str">
        <f t="shared" si="44"/>
        <v>B3 PL2 (6 to 8 yrs) / B3 PL3 (7 to 10 yrs)</v>
      </c>
      <c r="S798" s="260" t="str">
        <f t="shared" si="45"/>
        <v>SOG_107</v>
      </c>
      <c r="T798" s="262" t="b">
        <v>0</v>
      </c>
      <c r="U798" s="263" t="str">
        <f>+VLOOKUP($C798,[8]GRC!$B$3:$L$350,9,0)</f>
        <v>B3 PL2 (6 to 8 yrs)</v>
      </c>
      <c r="V798" s="263" t="str">
        <f>+VLOOKUP($C798,[8]GRC!$B$3:$L$350,10,0)</f>
        <v>B3 PL3 (7 to 10 yrs)</v>
      </c>
      <c r="W798" s="263" t="b">
        <f t="shared" si="42"/>
        <v>1</v>
      </c>
      <c r="X798" s="263" t="b">
        <f t="shared" si="42"/>
        <v>1</v>
      </c>
    </row>
    <row r="799" spans="1:24" ht="15">
      <c r="A799" s="93">
        <v>295</v>
      </c>
      <c r="B799" s="94" t="s">
        <v>648</v>
      </c>
      <c r="C799" s="295" t="s">
        <v>1113</v>
      </c>
      <c r="D799" s="94" t="str">
        <f>+[7]GRC!D297</f>
        <v>SOG</v>
      </c>
      <c r="E799" s="94" t="s">
        <v>30</v>
      </c>
      <c r="F799" s="94" t="s">
        <v>131</v>
      </c>
      <c r="G799" s="94" t="s">
        <v>298</v>
      </c>
      <c r="H799" s="94"/>
      <c r="I799" s="94" t="s">
        <v>84</v>
      </c>
      <c r="J799" s="94" t="s">
        <v>184</v>
      </c>
      <c r="K799" s="94" t="s">
        <v>15</v>
      </c>
      <c r="L799" s="94" t="s">
        <v>14</v>
      </c>
      <c r="M799" s="94" t="s">
        <v>71</v>
      </c>
      <c r="N799" s="94" t="s">
        <v>138</v>
      </c>
      <c r="O799" s="259" t="str">
        <f t="shared" si="43"/>
        <v>B3 PL3 (7 to 10 yrs) / B4 PM1 (9 to 12 yrs)</v>
      </c>
      <c r="P799" s="260"/>
      <c r="Q799" s="260" t="str">
        <f t="shared" si="46"/>
        <v>SOG/Peoplesoft/ProjectManagerPeoplesoft/Junior</v>
      </c>
      <c r="R799" s="261" t="str">
        <f t="shared" si="44"/>
        <v>B3 PL3 (7 to 10 yrs) / B4 PM1 (9 to 12 yrs)</v>
      </c>
      <c r="S799" s="260" t="str">
        <f t="shared" si="45"/>
        <v>SOG_108</v>
      </c>
      <c r="T799" s="262" t="b">
        <v>0</v>
      </c>
      <c r="U799" s="263" t="str">
        <f>+VLOOKUP($C799,[8]GRC!$B$3:$L$350,9,0)</f>
        <v>B3 PL3 (7 to 10 yrs)</v>
      </c>
      <c r="V799" s="263" t="str">
        <f>+VLOOKUP($C799,[8]GRC!$B$3:$L$350,10,0)</f>
        <v>B4 PM1 (9 to 12 yrs)</v>
      </c>
      <c r="W799" s="263" t="b">
        <f t="shared" si="42"/>
        <v>1</v>
      </c>
      <c r="X799" s="263" t="b">
        <f t="shared" si="42"/>
        <v>1</v>
      </c>
    </row>
    <row r="800" spans="1:24" ht="15">
      <c r="A800" s="93">
        <v>296</v>
      </c>
      <c r="B800" s="94" t="s">
        <v>649</v>
      </c>
      <c r="C800" s="295" t="s">
        <v>1114</v>
      </c>
      <c r="D800" s="94" t="str">
        <f>+[7]GRC!D298</f>
        <v>SOG</v>
      </c>
      <c r="E800" s="94" t="s">
        <v>30</v>
      </c>
      <c r="F800" s="94" t="s">
        <v>131</v>
      </c>
      <c r="G800" s="94" t="s">
        <v>298</v>
      </c>
      <c r="H800" s="94"/>
      <c r="I800" s="94" t="s">
        <v>193</v>
      </c>
      <c r="J800" s="94" t="s">
        <v>185</v>
      </c>
      <c r="K800" s="94" t="s">
        <v>14</v>
      </c>
      <c r="L800" s="94" t="s">
        <v>42</v>
      </c>
      <c r="M800" s="94" t="s">
        <v>71</v>
      </c>
      <c r="N800" s="94" t="s">
        <v>138</v>
      </c>
      <c r="O800" s="259" t="str">
        <f t="shared" si="43"/>
        <v>B4 PM1 (9 to 12 yrs) / B4 PM2 (10 to 14 yrs)</v>
      </c>
      <c r="P800" s="260"/>
      <c r="Q800" s="260" t="str">
        <f t="shared" si="46"/>
        <v>SOG/Peoplesoft/ProjectManagerPeoplesoft/MidLevel</v>
      </c>
      <c r="R800" s="261" t="str">
        <f t="shared" si="44"/>
        <v>B4 PM1 (9 to 12 yrs) / B4 PM2 (10 to 14 yrs)</v>
      </c>
      <c r="S800" s="260" t="str">
        <f t="shared" si="45"/>
        <v>SOG_109</v>
      </c>
      <c r="T800" s="262" t="b">
        <v>0</v>
      </c>
      <c r="U800" s="263" t="str">
        <f>+VLOOKUP($C800,[8]GRC!$B$3:$L$350,9,0)</f>
        <v>B4 PM1 (9 to 12 yrs)</v>
      </c>
      <c r="V800" s="263" t="str">
        <f>+VLOOKUP($C800,[8]GRC!$B$3:$L$350,10,0)</f>
        <v>B4 PM2 (10 to 14 yrs)</v>
      </c>
      <c r="W800" s="263" t="b">
        <f t="shared" si="42"/>
        <v>1</v>
      </c>
      <c r="X800" s="263" t="b">
        <f t="shared" si="42"/>
        <v>1</v>
      </c>
    </row>
    <row r="801" spans="1:24" ht="15">
      <c r="A801" s="93">
        <v>297</v>
      </c>
      <c r="B801" s="94" t="s">
        <v>650</v>
      </c>
      <c r="C801" s="295" t="s">
        <v>1115</v>
      </c>
      <c r="D801" s="94" t="str">
        <f>+[7]GRC!D299</f>
        <v>SOG</v>
      </c>
      <c r="E801" s="94" t="s">
        <v>30</v>
      </c>
      <c r="F801" s="94" t="s">
        <v>131</v>
      </c>
      <c r="G801" s="94" t="s">
        <v>298</v>
      </c>
      <c r="H801" s="94"/>
      <c r="I801" s="94" t="s">
        <v>91</v>
      </c>
      <c r="J801" s="94" t="s">
        <v>149</v>
      </c>
      <c r="K801" s="94" t="s">
        <v>42</v>
      </c>
      <c r="L801" s="94" t="s">
        <v>41</v>
      </c>
      <c r="M801" s="94" t="s">
        <v>71</v>
      </c>
      <c r="N801" s="94" t="s">
        <v>138</v>
      </c>
      <c r="O801" s="259" t="str">
        <f t="shared" si="43"/>
        <v>B4 PM2 (10 to 14 yrs) / B4 PM3 (12 to 15 yrs)</v>
      </c>
      <c r="P801" s="260"/>
      <c r="Q801" s="260" t="str">
        <f t="shared" si="46"/>
        <v>SOG/Peoplesoft/ProjectManagerPeoplesoft/Senior</v>
      </c>
      <c r="R801" s="261" t="str">
        <f t="shared" si="44"/>
        <v>B4 PM2 (10 to 14 yrs) / B4 PM3 (12 to 15 yrs)</v>
      </c>
      <c r="S801" s="260" t="str">
        <f t="shared" si="45"/>
        <v>SOG_110</v>
      </c>
      <c r="T801" s="262" t="b">
        <v>0</v>
      </c>
      <c r="U801" s="263" t="str">
        <f>+VLOOKUP($C801,[8]GRC!$B$3:$L$350,9,0)</f>
        <v>B4 PM2 (10 to 14 yrs)</v>
      </c>
      <c r="V801" s="263" t="str">
        <f>+VLOOKUP($C801,[8]GRC!$B$3:$L$350,10,0)</f>
        <v>B4 PM3 (12 to 15 yrs)</v>
      </c>
      <c r="W801" s="263" t="b">
        <f t="shared" si="42"/>
        <v>1</v>
      </c>
      <c r="X801" s="263" t="b">
        <f t="shared" si="42"/>
        <v>1</v>
      </c>
    </row>
    <row r="802" spans="1:24" ht="15">
      <c r="A802" s="93">
        <v>298</v>
      </c>
      <c r="B802" s="94" t="s">
        <v>651</v>
      </c>
      <c r="C802" s="295" t="s">
        <v>1116</v>
      </c>
      <c r="D802" s="94" t="str">
        <f>+[7]GRC!D300</f>
        <v>SOG</v>
      </c>
      <c r="E802" s="94" t="s">
        <v>30</v>
      </c>
      <c r="F802" s="94" t="s">
        <v>131</v>
      </c>
      <c r="G802" s="94" t="s">
        <v>299</v>
      </c>
      <c r="H802" s="94"/>
      <c r="I802" s="94" t="s">
        <v>84</v>
      </c>
      <c r="J802" s="94" t="s">
        <v>151</v>
      </c>
      <c r="K802" s="94" t="s">
        <v>18</v>
      </c>
      <c r="L802" s="94" t="s">
        <v>71</v>
      </c>
      <c r="M802" s="94" t="s">
        <v>71</v>
      </c>
      <c r="N802" s="94" t="s">
        <v>138</v>
      </c>
      <c r="O802" s="259" t="str">
        <f t="shared" si="43"/>
        <v>B2 AP3 (3 to 5 yrs) / None</v>
      </c>
      <c r="P802" s="260"/>
      <c r="Q802" s="260" t="str">
        <f t="shared" si="46"/>
        <v>SOG/Peoplesoft/TechnicalPeoplesoft/Junior</v>
      </c>
      <c r="R802" s="261" t="str">
        <f t="shared" si="44"/>
        <v>B2 AP3 (3 to 5 yrs) / None</v>
      </c>
      <c r="S802" s="260" t="str">
        <f t="shared" si="45"/>
        <v>SOG_111</v>
      </c>
      <c r="T802" s="262" t="b">
        <v>0</v>
      </c>
      <c r="U802" s="263" t="str">
        <f>+VLOOKUP($C802,[8]GRC!$B$3:$L$350,9,0)</f>
        <v>B2 AP3 (3 to 5 yrs)</v>
      </c>
      <c r="V802" s="263" t="str">
        <f>+VLOOKUP($C802,[8]GRC!$B$3:$L$350,10,0)</f>
        <v>None</v>
      </c>
      <c r="W802" s="263" t="b">
        <f t="shared" si="42"/>
        <v>1</v>
      </c>
      <c r="X802" s="263" t="b">
        <f t="shared" si="42"/>
        <v>1</v>
      </c>
    </row>
    <row r="803" spans="1:24" ht="15">
      <c r="A803" s="93">
        <v>299</v>
      </c>
      <c r="B803" s="94" t="s">
        <v>652</v>
      </c>
      <c r="C803" s="295" t="s">
        <v>1117</v>
      </c>
      <c r="D803" s="94" t="str">
        <f>+[7]GRC!D301</f>
        <v>SOG</v>
      </c>
      <c r="E803" s="94" t="s">
        <v>30</v>
      </c>
      <c r="F803" s="94" t="s">
        <v>131</v>
      </c>
      <c r="G803" s="94" t="s">
        <v>299</v>
      </c>
      <c r="H803" s="94"/>
      <c r="I803" s="94" t="s">
        <v>193</v>
      </c>
      <c r="J803" s="94" t="s">
        <v>145</v>
      </c>
      <c r="K803" s="94" t="s">
        <v>17</v>
      </c>
      <c r="L803" s="94" t="s">
        <v>71</v>
      </c>
      <c r="M803" s="94" t="s">
        <v>71</v>
      </c>
      <c r="N803" s="94" t="s">
        <v>138</v>
      </c>
      <c r="O803" s="259" t="str">
        <f t="shared" si="43"/>
        <v>B3 PL1 (5 to 7 yrs) / None</v>
      </c>
      <c r="P803" s="260"/>
      <c r="Q803" s="260" t="str">
        <f t="shared" si="46"/>
        <v>SOG/Peoplesoft/TechnicalPeoplesoft/MidLevel</v>
      </c>
      <c r="R803" s="261" t="str">
        <f t="shared" si="44"/>
        <v>B3 PL1 (5 to 7 yrs) / None</v>
      </c>
      <c r="S803" s="260" t="str">
        <f t="shared" si="45"/>
        <v>SOG_112</v>
      </c>
      <c r="T803" s="262" t="b">
        <v>0</v>
      </c>
      <c r="U803" s="263" t="str">
        <f>+VLOOKUP($C803,[8]GRC!$B$3:$L$350,9,0)</f>
        <v>B3 PL1 (5 to 7 yrs)</v>
      </c>
      <c r="V803" s="263" t="str">
        <f>+VLOOKUP($C803,[8]GRC!$B$3:$L$350,10,0)</f>
        <v>None</v>
      </c>
      <c r="W803" s="263" t="b">
        <f t="shared" si="42"/>
        <v>1</v>
      </c>
      <c r="X803" s="263" t="b">
        <f t="shared" si="42"/>
        <v>1</v>
      </c>
    </row>
    <row r="804" spans="1:24" ht="15">
      <c r="A804" s="93">
        <v>300</v>
      </c>
      <c r="B804" s="94" t="s">
        <v>653</v>
      </c>
      <c r="C804" s="295" t="s">
        <v>1118</v>
      </c>
      <c r="D804" s="94" t="str">
        <f>+[7]GRC!D302</f>
        <v>SOG</v>
      </c>
      <c r="E804" s="94" t="s">
        <v>30</v>
      </c>
      <c r="F804" s="94" t="s">
        <v>131</v>
      </c>
      <c r="G804" s="94" t="s">
        <v>299</v>
      </c>
      <c r="H804" s="94"/>
      <c r="I804" s="94" t="s">
        <v>91</v>
      </c>
      <c r="J804" s="94" t="s">
        <v>147</v>
      </c>
      <c r="K804" s="94" t="s">
        <v>16</v>
      </c>
      <c r="L804" s="94" t="s">
        <v>71</v>
      </c>
      <c r="M804" s="94" t="s">
        <v>71</v>
      </c>
      <c r="N804" s="94" t="s">
        <v>138</v>
      </c>
      <c r="O804" s="259" t="str">
        <f t="shared" si="43"/>
        <v>B3 PL2 (6 to 8 yrs) / None</v>
      </c>
      <c r="P804" s="260"/>
      <c r="Q804" s="260" t="str">
        <f t="shared" si="46"/>
        <v>SOG/Peoplesoft/TechnicalPeoplesoft/Senior</v>
      </c>
      <c r="R804" s="261" t="str">
        <f t="shared" si="44"/>
        <v>B3 PL2 (6 to 8 yrs) / None</v>
      </c>
      <c r="S804" s="260" t="str">
        <f t="shared" si="45"/>
        <v>SOG_113</v>
      </c>
      <c r="T804" s="262" t="b">
        <v>0</v>
      </c>
      <c r="U804" s="263" t="str">
        <f>+VLOOKUP($C804,[8]GRC!$B$3:$L$350,9,0)</f>
        <v>B3 PL2 (6 to 8 yrs)</v>
      </c>
      <c r="V804" s="263" t="str">
        <f>+VLOOKUP($C804,[8]GRC!$B$3:$L$350,10,0)</f>
        <v>None</v>
      </c>
      <c r="W804" s="263" t="b">
        <f t="shared" si="42"/>
        <v>1</v>
      </c>
      <c r="X804" s="263" t="b">
        <f t="shared" si="42"/>
        <v>1</v>
      </c>
    </row>
    <row r="805" spans="1:24" ht="15">
      <c r="A805" s="93">
        <v>301</v>
      </c>
      <c r="B805" s="94" t="s">
        <v>654</v>
      </c>
      <c r="C805" s="295" t="s">
        <v>1119</v>
      </c>
      <c r="D805" s="94" t="str">
        <f>+[7]GRC!D303</f>
        <v>SOG</v>
      </c>
      <c r="E805" s="94" t="s">
        <v>30</v>
      </c>
      <c r="F805" s="94" t="s">
        <v>131</v>
      </c>
      <c r="G805" s="94" t="s">
        <v>300</v>
      </c>
      <c r="H805" s="94"/>
      <c r="I805" s="94" t="s">
        <v>84</v>
      </c>
      <c r="J805" s="94" t="s">
        <v>170</v>
      </c>
      <c r="K805" s="94" t="s">
        <v>14</v>
      </c>
      <c r="L805" s="94" t="s">
        <v>71</v>
      </c>
      <c r="M805" s="94" t="s">
        <v>71</v>
      </c>
      <c r="N805" s="94" t="s">
        <v>138</v>
      </c>
      <c r="O805" s="259" t="str">
        <f t="shared" si="43"/>
        <v>B4 PM1 (9 to 12 yrs) / None</v>
      </c>
      <c r="P805" s="260"/>
      <c r="Q805" s="260" t="str">
        <f t="shared" si="46"/>
        <v>SOG/Peoplesoft/ConsultantPeoplesoft/Junior</v>
      </c>
      <c r="R805" s="261" t="str">
        <f t="shared" si="44"/>
        <v>B4 PM1 (9 to 12 yrs) / None</v>
      </c>
      <c r="S805" s="260" t="str">
        <f t="shared" si="45"/>
        <v>SOG_114</v>
      </c>
      <c r="T805" s="262" t="b">
        <v>0</v>
      </c>
      <c r="U805" s="263" t="str">
        <f>+VLOOKUP($C805,[8]GRC!$B$3:$L$350,9,0)</f>
        <v>B4 PM1 (9 to 12 yrs)</v>
      </c>
      <c r="V805" s="263" t="str">
        <f>+VLOOKUP($C805,[8]GRC!$B$3:$L$350,10,0)</f>
        <v>None</v>
      </c>
      <c r="W805" s="263" t="b">
        <f t="shared" si="42"/>
        <v>1</v>
      </c>
      <c r="X805" s="263" t="b">
        <f t="shared" si="42"/>
        <v>1</v>
      </c>
    </row>
    <row r="806" spans="1:24" ht="15">
      <c r="A806" s="93">
        <v>302</v>
      </c>
      <c r="B806" s="94" t="s">
        <v>655</v>
      </c>
      <c r="C806" s="295" t="s">
        <v>1120</v>
      </c>
      <c r="D806" s="94" t="str">
        <f>+[7]GRC!D304</f>
        <v>SOG</v>
      </c>
      <c r="E806" s="94" t="s">
        <v>30</v>
      </c>
      <c r="F806" s="94" t="s">
        <v>131</v>
      </c>
      <c r="G806" s="94" t="s">
        <v>300</v>
      </c>
      <c r="H806" s="94"/>
      <c r="I806" s="94" t="s">
        <v>193</v>
      </c>
      <c r="J806" s="94" t="s">
        <v>149</v>
      </c>
      <c r="K806" s="94" t="s">
        <v>42</v>
      </c>
      <c r="L806" s="94" t="s">
        <v>41</v>
      </c>
      <c r="M806" s="94" t="s">
        <v>71</v>
      </c>
      <c r="N806" s="94" t="s">
        <v>138</v>
      </c>
      <c r="O806" s="259" t="str">
        <f t="shared" si="43"/>
        <v>B4 PM2 (10 to 14 yrs) / B4 PM3 (12 to 15 yrs)</v>
      </c>
      <c r="P806" s="260"/>
      <c r="Q806" s="260" t="str">
        <f t="shared" si="46"/>
        <v>SOG/Peoplesoft/ConsultantPeoplesoft/MidLevel</v>
      </c>
      <c r="R806" s="261" t="str">
        <f t="shared" si="44"/>
        <v>B4 PM2 (10 to 14 yrs) / B4 PM3 (12 to 15 yrs)</v>
      </c>
      <c r="S806" s="260" t="str">
        <f t="shared" si="45"/>
        <v>SOG_133</v>
      </c>
      <c r="T806" s="262" t="b">
        <v>0</v>
      </c>
      <c r="U806" s="263" t="str">
        <f>+VLOOKUP($C806,[8]GRC!$B$3:$L$350,9,0)</f>
        <v>B4 PM2 (10 to 14 yrs)</v>
      </c>
      <c r="V806" s="263" t="str">
        <f>+VLOOKUP($C806,[8]GRC!$B$3:$L$350,10,0)</f>
        <v>B4 PM3 (12 to 15 yrs)</v>
      </c>
      <c r="W806" s="263" t="b">
        <f t="shared" si="42"/>
        <v>1</v>
      </c>
      <c r="X806" s="263" t="b">
        <f t="shared" si="42"/>
        <v>1</v>
      </c>
    </row>
    <row r="807" spans="1:24" ht="15">
      <c r="A807" s="93">
        <v>303</v>
      </c>
      <c r="B807" s="94" t="s">
        <v>656</v>
      </c>
      <c r="C807" s="295" t="s">
        <v>1121</v>
      </c>
      <c r="D807" s="94" t="str">
        <f>+[7]GRC!D305</f>
        <v>SOG</v>
      </c>
      <c r="E807" s="94" t="s">
        <v>30</v>
      </c>
      <c r="F807" s="94" t="s">
        <v>131</v>
      </c>
      <c r="G807" s="94" t="s">
        <v>300</v>
      </c>
      <c r="H807" s="94"/>
      <c r="I807" s="94" t="s">
        <v>91</v>
      </c>
      <c r="J807" s="94" t="s">
        <v>139</v>
      </c>
      <c r="K807" s="94" t="s">
        <v>41</v>
      </c>
      <c r="L807" s="94" t="s">
        <v>13</v>
      </c>
      <c r="M807" s="94" t="s">
        <v>71</v>
      </c>
      <c r="N807" s="94" t="s">
        <v>138</v>
      </c>
      <c r="O807" s="259" t="str">
        <f t="shared" si="43"/>
        <v>B4 PM3 (12 to 15 yrs) / B5 (min 8 yrs)</v>
      </c>
      <c r="P807" s="260"/>
      <c r="Q807" s="260" t="str">
        <f t="shared" si="46"/>
        <v>SOG/Peoplesoft/ConsultantPeoplesoft/Senior</v>
      </c>
      <c r="R807" s="261" t="str">
        <f t="shared" si="44"/>
        <v>B4 PM3 (12 to 15 yrs) / B5 (min 8 yrs)</v>
      </c>
      <c r="S807" s="260" t="str">
        <f t="shared" si="45"/>
        <v>SOG_115</v>
      </c>
      <c r="T807" s="262" t="b">
        <v>0</v>
      </c>
      <c r="U807" s="263" t="str">
        <f>+VLOOKUP($C807,[8]GRC!$B$3:$L$350,9,0)</f>
        <v>B4 PM3 (12 to 15 yrs)</v>
      </c>
      <c r="V807" s="263" t="str">
        <f>+VLOOKUP($C807,[8]GRC!$B$3:$L$350,10,0)</f>
        <v>B5 (min 8 yrs)</v>
      </c>
      <c r="W807" s="263" t="b">
        <f t="shared" si="42"/>
        <v>1</v>
      </c>
      <c r="X807" s="263" t="b">
        <f t="shared" si="42"/>
        <v>1</v>
      </c>
    </row>
    <row r="808" spans="1:24" ht="15">
      <c r="A808" s="93">
        <v>304</v>
      </c>
      <c r="B808" s="94" t="s">
        <v>657</v>
      </c>
      <c r="C808" s="295" t="s">
        <v>1122</v>
      </c>
      <c r="D808" s="94" t="str">
        <f>+[7]GRC!D306</f>
        <v>SOG</v>
      </c>
      <c r="E808" s="94" t="s">
        <v>30</v>
      </c>
      <c r="F808" s="96" t="s">
        <v>344</v>
      </c>
      <c r="G808" s="94" t="s">
        <v>324</v>
      </c>
      <c r="H808" s="94" t="s">
        <v>132</v>
      </c>
      <c r="I808" s="94"/>
      <c r="J808" s="94" t="s">
        <v>170</v>
      </c>
      <c r="K808" s="94" t="s">
        <v>17</v>
      </c>
      <c r="L808" s="94" t="s">
        <v>16</v>
      </c>
      <c r="M808" s="94" t="s">
        <v>71</v>
      </c>
      <c r="N808" s="94" t="s">
        <v>138</v>
      </c>
      <c r="O808" s="259" t="str">
        <f t="shared" si="43"/>
        <v>B3 PL1 (5 to 7 yrs) / B3 PL2 (6 to 8 yrs)</v>
      </c>
      <c r="P808" s="260"/>
      <c r="Q808" s="260" t="str">
        <f t="shared" si="46"/>
        <v>SOG/SOGTWO/ConsultantUsabilitySpecialist/</v>
      </c>
      <c r="R808" s="261" t="str">
        <f t="shared" si="44"/>
        <v>B3 PL1 (5 to 7 yrs) / B3 PL2 (6 to 8 yrs)</v>
      </c>
      <c r="S808" s="260" t="str">
        <f t="shared" si="45"/>
        <v>SOG_116</v>
      </c>
      <c r="T808" s="262" t="b">
        <v>0</v>
      </c>
      <c r="U808" s="263" t="str">
        <f>+VLOOKUP($C808,[8]GRC!$B$3:$L$350,9,0)</f>
        <v>B3 PL1 (5 to 7 yrs)</v>
      </c>
      <c r="V808" s="263" t="str">
        <f>+VLOOKUP($C808,[8]GRC!$B$3:$L$350,10,0)</f>
        <v>B3 PL2 (6 to 8 yrs)</v>
      </c>
      <c r="W808" s="263" t="b">
        <f t="shared" si="42"/>
        <v>1</v>
      </c>
      <c r="X808" s="263" t="b">
        <f t="shared" si="42"/>
        <v>1</v>
      </c>
    </row>
    <row r="809" spans="1:24" ht="15">
      <c r="A809" s="93">
        <v>305</v>
      </c>
      <c r="B809" s="94" t="s">
        <v>658</v>
      </c>
      <c r="C809" s="295" t="s">
        <v>1123</v>
      </c>
      <c r="D809" s="94" t="str">
        <f>+[7]GRC!D307</f>
        <v>SOG</v>
      </c>
      <c r="E809" s="94" t="s">
        <v>30</v>
      </c>
      <c r="F809" s="96" t="s">
        <v>344</v>
      </c>
      <c r="G809" s="94" t="s">
        <v>328</v>
      </c>
      <c r="H809" s="94"/>
      <c r="I809" s="94"/>
      <c r="J809" s="94" t="s">
        <v>147</v>
      </c>
      <c r="K809" s="94" t="s">
        <v>15</v>
      </c>
      <c r="L809" s="94" t="s">
        <v>71</v>
      </c>
      <c r="M809" s="94" t="s">
        <v>71</v>
      </c>
      <c r="N809" s="94" t="s">
        <v>138</v>
      </c>
      <c r="O809" s="259" t="str">
        <f t="shared" si="43"/>
        <v>B3 PL3 (7 to 10 yrs) / None</v>
      </c>
      <c r="P809" s="260"/>
      <c r="Q809" s="260" t="str">
        <f t="shared" si="46"/>
        <v>SOG/SOGTWO/DataAdministratorProcess AnalystSOG/</v>
      </c>
      <c r="R809" s="261" t="str">
        <f t="shared" si="44"/>
        <v>B3 PL3 (7 to 10 yrs) / None</v>
      </c>
      <c r="S809" s="260" t="str">
        <f t="shared" si="45"/>
        <v>SOG_117</v>
      </c>
      <c r="T809" s="262" t="b">
        <v>0</v>
      </c>
      <c r="U809" s="263" t="str">
        <f>+VLOOKUP($C809,[8]GRC!$B$3:$L$350,9,0)</f>
        <v>B3 PL3 (7 to 10 yrs)</v>
      </c>
      <c r="V809" s="263" t="str">
        <f>+VLOOKUP($C809,[8]GRC!$B$3:$L$350,10,0)</f>
        <v>None</v>
      </c>
      <c r="W809" s="263" t="b">
        <f t="shared" si="42"/>
        <v>1</v>
      </c>
      <c r="X809" s="263" t="b">
        <f t="shared" si="42"/>
        <v>1</v>
      </c>
    </row>
    <row r="810" spans="1:24" s="78" customFormat="1" ht="15">
      <c r="A810" s="95">
        <v>306</v>
      </c>
      <c r="B810" s="96" t="s">
        <v>659</v>
      </c>
      <c r="C810" s="296" t="s">
        <v>1124</v>
      </c>
      <c r="D810" s="96" t="str">
        <f>+[7]GRC!D308</f>
        <v>IT</v>
      </c>
      <c r="E810" s="96" t="s">
        <v>97</v>
      </c>
      <c r="F810" s="96" t="s">
        <v>133</v>
      </c>
      <c r="G810" s="96" t="s">
        <v>301</v>
      </c>
      <c r="H810" s="96" t="s">
        <v>133</v>
      </c>
      <c r="I810" s="96" t="s">
        <v>84</v>
      </c>
      <c r="J810" s="96" t="s">
        <v>150</v>
      </c>
      <c r="K810" s="96" t="s">
        <v>20</v>
      </c>
      <c r="L810" s="96" t="s">
        <v>19</v>
      </c>
      <c r="M810" s="96" t="s">
        <v>71</v>
      </c>
      <c r="N810" s="96" t="s">
        <v>138</v>
      </c>
      <c r="O810" s="264" t="str">
        <f t="shared" si="43"/>
        <v>B2 AP1 / B2 AP2 (0.6 to 3 yrs)</v>
      </c>
      <c r="P810" s="265"/>
      <c r="Q810" s="265" t="str">
        <f t="shared" si="46"/>
        <v>IT/Varicent/DeveloperVaricent/Junior</v>
      </c>
      <c r="R810" s="266" t="str">
        <f t="shared" si="44"/>
        <v>B2 AP1 / B2 AP2 (0.6 to 3 yrs)</v>
      </c>
      <c r="S810" s="260" t="str">
        <f t="shared" si="45"/>
        <v>IT_85</v>
      </c>
      <c r="T810" s="267" t="b">
        <v>0</v>
      </c>
      <c r="U810" s="268" t="e">
        <f>+VLOOKUP($C810,[8]GRC!$B$3:$L$350,9,0)</f>
        <v>#N/A</v>
      </c>
      <c r="V810" s="268" t="e">
        <f>+VLOOKUP($C810,[8]GRC!$B$3:$L$350,10,0)</f>
        <v>#N/A</v>
      </c>
      <c r="W810" s="268" t="e">
        <f t="shared" si="42"/>
        <v>#N/A</v>
      </c>
      <c r="X810" s="268" t="e">
        <f t="shared" si="42"/>
        <v>#N/A</v>
      </c>
    </row>
    <row r="811" spans="1:24" s="78" customFormat="1" ht="15">
      <c r="A811" s="95">
        <v>307</v>
      </c>
      <c r="B811" s="96" t="s">
        <v>660</v>
      </c>
      <c r="C811" s="296" t="s">
        <v>1125</v>
      </c>
      <c r="D811" s="96" t="str">
        <f>+[7]GRC!D309</f>
        <v>IT</v>
      </c>
      <c r="E811" s="96" t="s">
        <v>97</v>
      </c>
      <c r="F811" s="96" t="s">
        <v>133</v>
      </c>
      <c r="G811" s="96" t="s">
        <v>301</v>
      </c>
      <c r="H811" s="96" t="s">
        <v>133</v>
      </c>
      <c r="I811" s="96" t="s">
        <v>193</v>
      </c>
      <c r="J811" s="96" t="s">
        <v>151</v>
      </c>
      <c r="K811" s="96" t="s">
        <v>19</v>
      </c>
      <c r="L811" s="96" t="s">
        <v>18</v>
      </c>
      <c r="M811" s="96" t="s">
        <v>71</v>
      </c>
      <c r="N811" s="96" t="s">
        <v>138</v>
      </c>
      <c r="O811" s="264" t="str">
        <f t="shared" si="43"/>
        <v>B2 AP2 (0.6 to 3 yrs) / B2 AP3 (3 to 5 yrs)</v>
      </c>
      <c r="P811" s="265"/>
      <c r="Q811" s="265" t="str">
        <f t="shared" si="46"/>
        <v>IT/Varicent/DeveloperVaricent/MidLevel</v>
      </c>
      <c r="R811" s="266" t="str">
        <f t="shared" si="44"/>
        <v>B2 AP2 (0.6 to 3 yrs) / B2 AP3 (3 to 5 yrs)</v>
      </c>
      <c r="S811" s="260" t="str">
        <f t="shared" si="45"/>
        <v>IT_86</v>
      </c>
      <c r="T811" s="267" t="b">
        <v>0</v>
      </c>
      <c r="U811" s="268" t="e">
        <f>+VLOOKUP($C811,[8]GRC!$B$3:$L$350,9,0)</f>
        <v>#N/A</v>
      </c>
      <c r="V811" s="268" t="e">
        <f>+VLOOKUP($C811,[8]GRC!$B$3:$L$350,10,0)</f>
        <v>#N/A</v>
      </c>
      <c r="W811" s="268" t="e">
        <f t="shared" si="42"/>
        <v>#N/A</v>
      </c>
      <c r="X811" s="268" t="e">
        <f t="shared" si="42"/>
        <v>#N/A</v>
      </c>
    </row>
    <row r="812" spans="1:24" s="78" customFormat="1" ht="15">
      <c r="A812" s="95">
        <v>308</v>
      </c>
      <c r="B812" s="96" t="s">
        <v>661</v>
      </c>
      <c r="C812" s="296" t="s">
        <v>1126</v>
      </c>
      <c r="D812" s="96" t="str">
        <f>+[7]GRC!D310</f>
        <v>IT</v>
      </c>
      <c r="E812" s="96" t="s">
        <v>97</v>
      </c>
      <c r="F812" s="96" t="s">
        <v>133</v>
      </c>
      <c r="G812" s="96" t="s">
        <v>301</v>
      </c>
      <c r="H812" s="96" t="s">
        <v>133</v>
      </c>
      <c r="I812" s="96" t="s">
        <v>91</v>
      </c>
      <c r="J812" s="96" t="s">
        <v>145</v>
      </c>
      <c r="K812" s="96" t="s">
        <v>18</v>
      </c>
      <c r="L812" s="96" t="s">
        <v>17</v>
      </c>
      <c r="M812" s="96" t="s">
        <v>71</v>
      </c>
      <c r="N812" s="96" t="s">
        <v>138</v>
      </c>
      <c r="O812" s="264" t="str">
        <f t="shared" si="43"/>
        <v>B2 AP3 (3 to 5 yrs) / B3 PL1 (5 to 7 yrs)</v>
      </c>
      <c r="P812" s="265"/>
      <c r="Q812" s="265" t="str">
        <f t="shared" si="46"/>
        <v>IT/Varicent/DeveloperVaricent/Senior</v>
      </c>
      <c r="R812" s="266" t="str">
        <f t="shared" si="44"/>
        <v>B2 AP3 (3 to 5 yrs) / B3 PL1 (5 to 7 yrs)</v>
      </c>
      <c r="S812" s="260" t="str">
        <f t="shared" si="45"/>
        <v>IT_87</v>
      </c>
      <c r="T812" s="267" t="b">
        <v>0</v>
      </c>
      <c r="U812" s="268" t="e">
        <f>+VLOOKUP($C812,[8]GRC!$B$3:$L$350,9,0)</f>
        <v>#N/A</v>
      </c>
      <c r="V812" s="268" t="e">
        <f>+VLOOKUP($C812,[8]GRC!$B$3:$L$350,10,0)</f>
        <v>#N/A</v>
      </c>
      <c r="W812" s="268" t="e">
        <f t="shared" si="42"/>
        <v>#N/A</v>
      </c>
      <c r="X812" s="268" t="e">
        <f t="shared" si="42"/>
        <v>#N/A</v>
      </c>
    </row>
    <row r="813" spans="1:24" ht="15">
      <c r="A813" s="93">
        <v>309</v>
      </c>
      <c r="B813" s="94" t="s">
        <v>662</v>
      </c>
      <c r="C813" s="295" t="s">
        <v>1127</v>
      </c>
      <c r="D813" s="94" t="str">
        <f>+[7]GRC!D311</f>
        <v>Testing</v>
      </c>
      <c r="E813" s="94" t="s">
        <v>80</v>
      </c>
      <c r="F813" s="94" t="s">
        <v>89</v>
      </c>
      <c r="G813" s="94" t="s">
        <v>306</v>
      </c>
      <c r="H813" s="94" t="s">
        <v>90</v>
      </c>
      <c r="I813" s="94" t="s">
        <v>84</v>
      </c>
      <c r="J813" s="94" t="s">
        <v>150</v>
      </c>
      <c r="K813" s="94" t="s">
        <v>20</v>
      </c>
      <c r="L813" s="94" t="s">
        <v>19</v>
      </c>
      <c r="M813" s="94" t="s">
        <v>71</v>
      </c>
      <c r="N813" s="94" t="s">
        <v>138</v>
      </c>
      <c r="O813" s="259" t="str">
        <f t="shared" si="43"/>
        <v>B2 AP1 / B2 AP2 (0.6 to 3 yrs)</v>
      </c>
      <c r="P813" s="260"/>
      <c r="Q813" s="260" t="str">
        <f t="shared" si="46"/>
        <v>Testing/Automation/AutomationTester/Junior</v>
      </c>
      <c r="R813" s="261" t="str">
        <f t="shared" si="44"/>
        <v>B2 AP1 / B2 AP2 (0.6 to 3 yrs)</v>
      </c>
      <c r="S813" s="260" t="str">
        <f t="shared" si="45"/>
        <v>Testing_1</v>
      </c>
      <c r="T813" s="262" t="b">
        <v>0</v>
      </c>
      <c r="U813" s="263" t="str">
        <f>+VLOOKUP($C813,[8]GRC!$B$3:$L$350,9,0)</f>
        <v>B2 AP1</v>
      </c>
      <c r="V813" s="263" t="str">
        <f>+VLOOKUP($C813,[8]GRC!$B$3:$L$350,10,0)</f>
        <v>B2 AP2 (0.6 to 3 yrs)</v>
      </c>
      <c r="W813" s="263" t="b">
        <f t="shared" si="42"/>
        <v>1</v>
      </c>
      <c r="X813" s="263" t="b">
        <f t="shared" si="42"/>
        <v>1</v>
      </c>
    </row>
    <row r="814" spans="1:24" ht="15">
      <c r="A814" s="93">
        <v>310</v>
      </c>
      <c r="B814" s="94" t="s">
        <v>663</v>
      </c>
      <c r="C814" s="295" t="s">
        <v>1128</v>
      </c>
      <c r="D814" s="94" t="str">
        <f>+[7]GRC!D312</f>
        <v>Testing</v>
      </c>
      <c r="E814" s="94" t="s">
        <v>80</v>
      </c>
      <c r="F814" s="94" t="s">
        <v>89</v>
      </c>
      <c r="G814" s="94" t="s">
        <v>306</v>
      </c>
      <c r="H814" s="94" t="s">
        <v>90</v>
      </c>
      <c r="I814" s="159" t="s">
        <v>193</v>
      </c>
      <c r="J814" s="94" t="s">
        <v>151</v>
      </c>
      <c r="K814" s="94" t="s">
        <v>19</v>
      </c>
      <c r="L814" s="94" t="s">
        <v>18</v>
      </c>
      <c r="M814" s="94" t="s">
        <v>71</v>
      </c>
      <c r="N814" s="94" t="s">
        <v>138</v>
      </c>
      <c r="O814" s="259" t="str">
        <f t="shared" si="43"/>
        <v>B2 AP2 (0.6 to 3 yrs) / B2 AP3 (3 to 5 yrs)</v>
      </c>
      <c r="P814" s="260"/>
      <c r="Q814" s="265" t="str">
        <f t="shared" si="46"/>
        <v>Testing/Automation/AutomationTester/MidLevel</v>
      </c>
      <c r="R814" s="261" t="str">
        <f t="shared" si="44"/>
        <v>B2 AP2 (0.6 to 3 yrs) / B2 AP3 (3 to 5 yrs)</v>
      </c>
      <c r="S814" s="260" t="str">
        <f t="shared" si="45"/>
        <v>Testing_2</v>
      </c>
      <c r="T814" s="262" t="b">
        <v>0</v>
      </c>
      <c r="U814" s="263" t="str">
        <f>+VLOOKUP($C814,[8]GRC!$B$3:$L$350,9,0)</f>
        <v>B2 AP2 (0.6 to 3 yrs)</v>
      </c>
      <c r="V814" s="263" t="str">
        <f>+VLOOKUP($C814,[8]GRC!$B$3:$L$350,10,0)</f>
        <v>B2 AP3 (3 to 5 yrs)</v>
      </c>
      <c r="W814" s="263" t="b">
        <f t="shared" si="42"/>
        <v>1</v>
      </c>
      <c r="X814" s="263" t="b">
        <f t="shared" si="42"/>
        <v>1</v>
      </c>
    </row>
    <row r="815" spans="1:24" ht="15">
      <c r="A815" s="93">
        <v>311</v>
      </c>
      <c r="B815" s="94" t="s">
        <v>664</v>
      </c>
      <c r="C815" s="295" t="s">
        <v>1129</v>
      </c>
      <c r="D815" s="94" t="str">
        <f>+[7]GRC!D313</f>
        <v>Testing</v>
      </c>
      <c r="E815" s="94" t="s">
        <v>80</v>
      </c>
      <c r="F815" s="94" t="s">
        <v>89</v>
      </c>
      <c r="G815" s="94" t="s">
        <v>307</v>
      </c>
      <c r="H815" s="94" t="s">
        <v>90</v>
      </c>
      <c r="I815" s="94" t="s">
        <v>84</v>
      </c>
      <c r="J815" s="94" t="s">
        <v>145</v>
      </c>
      <c r="K815" s="94" t="s">
        <v>17</v>
      </c>
      <c r="L815" s="94" t="s">
        <v>16</v>
      </c>
      <c r="M815" s="94" t="s">
        <v>71</v>
      </c>
      <c r="N815" s="94" t="s">
        <v>138</v>
      </c>
      <c r="O815" s="259" t="str">
        <f t="shared" si="43"/>
        <v>B3 PL1 (5 to 7 yrs) / B3 PL2 (6 to 8 yrs)</v>
      </c>
      <c r="P815" s="260"/>
      <c r="Q815" s="260" t="str">
        <f t="shared" si="46"/>
        <v>Testing/Automation/AutomationTestLead/Junior</v>
      </c>
      <c r="R815" s="261" t="str">
        <f t="shared" si="44"/>
        <v>B3 PL1 (5 to 7 yrs) / B3 PL2 (6 to 8 yrs)</v>
      </c>
      <c r="S815" s="260" t="str">
        <f t="shared" si="45"/>
        <v>Testing_3</v>
      </c>
      <c r="T815" s="262" t="b">
        <v>0</v>
      </c>
      <c r="U815" s="263" t="str">
        <f>+VLOOKUP($C815,[8]GRC!$B$3:$L$350,9,0)</f>
        <v>B3 PL1 (5 to 7 yrs)</v>
      </c>
      <c r="V815" s="263" t="str">
        <f>+VLOOKUP($C815,[8]GRC!$B$3:$L$350,10,0)</f>
        <v>B3 PL2 (6 to 8 yrs)</v>
      </c>
      <c r="W815" s="263" t="b">
        <f t="shared" si="42"/>
        <v>1</v>
      </c>
      <c r="X815" s="263" t="b">
        <f t="shared" si="42"/>
        <v>1</v>
      </c>
    </row>
    <row r="816" spans="1:24" ht="15">
      <c r="A816" s="93">
        <v>312</v>
      </c>
      <c r="B816" s="94" t="s">
        <v>665</v>
      </c>
      <c r="C816" s="295" t="s">
        <v>1130</v>
      </c>
      <c r="D816" s="94" t="str">
        <f>+[7]GRC!D314</f>
        <v>Testing</v>
      </c>
      <c r="E816" s="94" t="s">
        <v>80</v>
      </c>
      <c r="F816" s="94" t="s">
        <v>89</v>
      </c>
      <c r="G816" s="94" t="s">
        <v>307</v>
      </c>
      <c r="H816" s="94" t="s">
        <v>90</v>
      </c>
      <c r="I816" s="94" t="s">
        <v>91</v>
      </c>
      <c r="J816" s="94" t="s">
        <v>147</v>
      </c>
      <c r="K816" s="94" t="s">
        <v>16</v>
      </c>
      <c r="L816" s="94" t="s">
        <v>15</v>
      </c>
      <c r="M816" s="94" t="s">
        <v>71</v>
      </c>
      <c r="N816" s="94" t="s">
        <v>138</v>
      </c>
      <c r="O816" s="259" t="str">
        <f t="shared" si="43"/>
        <v>B3 PL2 (6 to 8 yrs) / B3 PL3 (7 to 10 yrs)</v>
      </c>
      <c r="P816" s="260"/>
      <c r="Q816" s="260" t="str">
        <f t="shared" si="46"/>
        <v>Testing/Automation/AutomationTestLead/Senior</v>
      </c>
      <c r="R816" s="261" t="str">
        <f t="shared" si="44"/>
        <v>B3 PL2 (6 to 8 yrs) / B3 PL3 (7 to 10 yrs)</v>
      </c>
      <c r="S816" s="260" t="str">
        <f t="shared" si="45"/>
        <v>Testing_4</v>
      </c>
      <c r="T816" s="262" t="b">
        <v>0</v>
      </c>
      <c r="U816" s="263" t="str">
        <f>+VLOOKUP($C816,[8]GRC!$B$3:$L$350,9,0)</f>
        <v>B3 PL2 (6 to 8 yrs)</v>
      </c>
      <c r="V816" s="263" t="str">
        <f>+VLOOKUP($C816,[8]GRC!$B$3:$L$350,10,0)</f>
        <v>B3 PL3 (7 to 10 yrs)</v>
      </c>
      <c r="W816" s="263" t="b">
        <f t="shared" si="42"/>
        <v>1</v>
      </c>
      <c r="X816" s="263" t="b">
        <f t="shared" si="42"/>
        <v>1</v>
      </c>
    </row>
    <row r="817" spans="1:24" ht="15">
      <c r="A817" s="93">
        <v>313</v>
      </c>
      <c r="B817" s="94" t="s">
        <v>666</v>
      </c>
      <c r="C817" s="295" t="s">
        <v>1131</v>
      </c>
      <c r="D817" s="94" t="str">
        <f>+[7]GRC!D315</f>
        <v>Testing</v>
      </c>
      <c r="E817" s="94" t="s">
        <v>80</v>
      </c>
      <c r="F817" s="94" t="s">
        <v>89</v>
      </c>
      <c r="G817" s="94" t="s">
        <v>308</v>
      </c>
      <c r="H817" s="94" t="s">
        <v>90</v>
      </c>
      <c r="I817" s="94" t="s">
        <v>84</v>
      </c>
      <c r="J817" s="94" t="s">
        <v>184</v>
      </c>
      <c r="K817" s="94" t="s">
        <v>15</v>
      </c>
      <c r="L817" s="94" t="s">
        <v>14</v>
      </c>
      <c r="M817" s="94" t="s">
        <v>71</v>
      </c>
      <c r="N817" s="94" t="s">
        <v>138</v>
      </c>
      <c r="O817" s="259" t="str">
        <f t="shared" si="43"/>
        <v>B3 PL3 (7 to 10 yrs) / B4 PM1 (9 to 12 yrs)</v>
      </c>
      <c r="P817" s="260"/>
      <c r="Q817" s="260" t="str">
        <f t="shared" si="46"/>
        <v>Testing/Automation/AutomationTestManager/Junior</v>
      </c>
      <c r="R817" s="261" t="str">
        <f t="shared" si="44"/>
        <v>B3 PL3 (7 to 10 yrs) / B4 PM1 (9 to 12 yrs)</v>
      </c>
      <c r="S817" s="260" t="str">
        <f t="shared" si="45"/>
        <v>Testing_5</v>
      </c>
      <c r="T817" s="262" t="b">
        <v>0</v>
      </c>
      <c r="U817" s="263" t="str">
        <f>+VLOOKUP($C817,[8]GRC!$B$3:$L$350,9,0)</f>
        <v>B3 PL3 (7 to 10 yrs)</v>
      </c>
      <c r="V817" s="263" t="str">
        <f>+VLOOKUP($C817,[8]GRC!$B$3:$L$350,10,0)</f>
        <v>B4 PM1 (9 to 12 yrs)</v>
      </c>
      <c r="W817" s="263" t="b">
        <f t="shared" si="42"/>
        <v>1</v>
      </c>
      <c r="X817" s="263" t="b">
        <f t="shared" si="42"/>
        <v>1</v>
      </c>
    </row>
    <row r="818" spans="1:24" ht="15">
      <c r="A818" s="93">
        <v>314</v>
      </c>
      <c r="B818" s="94" t="s">
        <v>667</v>
      </c>
      <c r="C818" s="295" t="s">
        <v>1132</v>
      </c>
      <c r="D818" s="94" t="str">
        <f>+[7]GRC!D316</f>
        <v>Testing</v>
      </c>
      <c r="E818" s="94" t="s">
        <v>80</v>
      </c>
      <c r="F818" s="94" t="s">
        <v>89</v>
      </c>
      <c r="G818" s="94" t="s">
        <v>308</v>
      </c>
      <c r="H818" s="94" t="s">
        <v>90</v>
      </c>
      <c r="I818" s="94" t="s">
        <v>193</v>
      </c>
      <c r="J818" s="94" t="s">
        <v>185</v>
      </c>
      <c r="K818" s="94" t="s">
        <v>14</v>
      </c>
      <c r="L818" s="94" t="s">
        <v>42</v>
      </c>
      <c r="M818" s="94" t="s">
        <v>71</v>
      </c>
      <c r="N818" s="94" t="s">
        <v>138</v>
      </c>
      <c r="O818" s="259" t="str">
        <f t="shared" si="43"/>
        <v>B4 PM1 (9 to 12 yrs) / B4 PM2 (10 to 14 yrs)</v>
      </c>
      <c r="P818" s="260"/>
      <c r="Q818" s="260" t="str">
        <f t="shared" si="46"/>
        <v>Testing/Automation/AutomationTestManager/MidLevel</v>
      </c>
      <c r="R818" s="261" t="str">
        <f t="shared" si="44"/>
        <v>B4 PM1 (9 to 12 yrs) / B4 PM2 (10 to 14 yrs)</v>
      </c>
      <c r="S818" s="260" t="str">
        <f t="shared" si="45"/>
        <v>Testing_6</v>
      </c>
      <c r="T818" s="262" t="b">
        <v>0</v>
      </c>
      <c r="U818" s="263" t="str">
        <f>+VLOOKUP($C818,[8]GRC!$B$3:$L$350,9,0)</f>
        <v>B4 PM1 (9 to 12 yrs)</v>
      </c>
      <c r="V818" s="263" t="str">
        <f>+VLOOKUP($C818,[8]GRC!$B$3:$L$350,10,0)</f>
        <v>B4 PM2 (10 to 14 yrs)</v>
      </c>
      <c r="W818" s="263" t="b">
        <f t="shared" si="42"/>
        <v>1</v>
      </c>
      <c r="X818" s="263" t="b">
        <f t="shared" si="42"/>
        <v>1</v>
      </c>
    </row>
    <row r="819" spans="1:24" ht="15">
      <c r="A819" s="93">
        <v>315</v>
      </c>
      <c r="B819" s="94" t="s">
        <v>668</v>
      </c>
      <c r="C819" s="295" t="s">
        <v>1133</v>
      </c>
      <c r="D819" s="94" t="str">
        <f>+[7]GRC!D317</f>
        <v>Testing</v>
      </c>
      <c r="E819" s="94" t="s">
        <v>80</v>
      </c>
      <c r="F819" s="94" t="s">
        <v>89</v>
      </c>
      <c r="G819" s="94" t="s">
        <v>308</v>
      </c>
      <c r="H819" s="94" t="s">
        <v>90</v>
      </c>
      <c r="I819" s="94" t="s">
        <v>91</v>
      </c>
      <c r="J819" s="94" t="s">
        <v>149</v>
      </c>
      <c r="K819" s="94" t="s">
        <v>42</v>
      </c>
      <c r="L819" s="94" t="s">
        <v>41</v>
      </c>
      <c r="M819" s="94" t="s">
        <v>71</v>
      </c>
      <c r="N819" s="94" t="s">
        <v>138</v>
      </c>
      <c r="O819" s="259" t="str">
        <f t="shared" si="43"/>
        <v>B4 PM2 (10 to 14 yrs) / B4 PM3 (12 to 15 yrs)</v>
      </c>
      <c r="P819" s="260"/>
      <c r="Q819" s="260" t="str">
        <f t="shared" si="46"/>
        <v>Testing/Automation/AutomationTestManager/Senior</v>
      </c>
      <c r="R819" s="261" t="str">
        <f t="shared" si="44"/>
        <v>B4 PM2 (10 to 14 yrs) / B4 PM3 (12 to 15 yrs)</v>
      </c>
      <c r="S819" s="260" t="str">
        <f t="shared" si="45"/>
        <v>Testing_7</v>
      </c>
      <c r="T819" s="262" t="b">
        <v>0</v>
      </c>
      <c r="U819" s="263" t="str">
        <f>+VLOOKUP($C819,[8]GRC!$B$3:$L$350,9,0)</f>
        <v>B4 PM2 (10 to 14 yrs)</v>
      </c>
      <c r="V819" s="263" t="str">
        <f>+VLOOKUP($C819,[8]GRC!$B$3:$L$350,10,0)</f>
        <v>B4 PM3 (12 to 15 yrs)</v>
      </c>
      <c r="W819" s="263" t="b">
        <f t="shared" si="42"/>
        <v>1</v>
      </c>
      <c r="X819" s="263" t="b">
        <f t="shared" si="42"/>
        <v>1</v>
      </c>
    </row>
    <row r="820" spans="1:24" ht="15">
      <c r="A820" s="93">
        <v>316</v>
      </c>
      <c r="B820" s="94" t="s">
        <v>669</v>
      </c>
      <c r="C820" s="295" t="s">
        <v>1134</v>
      </c>
      <c r="D820" s="94" t="str">
        <f>+[7]GRC!D318</f>
        <v>Testing</v>
      </c>
      <c r="E820" s="94" t="s">
        <v>80</v>
      </c>
      <c r="F820" s="94" t="s">
        <v>302</v>
      </c>
      <c r="G820" s="94" t="s">
        <v>309</v>
      </c>
      <c r="H820" s="94" t="s">
        <v>100</v>
      </c>
      <c r="I820" s="94" t="s">
        <v>84</v>
      </c>
      <c r="J820" s="94" t="s">
        <v>145</v>
      </c>
      <c r="K820" s="94" t="s">
        <v>17</v>
      </c>
      <c r="L820" s="94" t="s">
        <v>16</v>
      </c>
      <c r="M820" s="94" t="s">
        <v>71</v>
      </c>
      <c r="N820" s="94" t="s">
        <v>138</v>
      </c>
      <c r="O820" s="259" t="str">
        <f t="shared" si="43"/>
        <v>B3 PL1 (5 to 7 yrs) / B3 PL2 (6 to 8 yrs)</v>
      </c>
      <c r="P820" s="260"/>
      <c r="Q820" s="260" t="str">
        <f t="shared" si="46"/>
        <v>Testing/DomainTesting/DomainTestBusinessAnalyst/Junior</v>
      </c>
      <c r="R820" s="261" t="str">
        <f t="shared" si="44"/>
        <v>B3 PL1 (5 to 7 yrs) / B3 PL2 (6 to 8 yrs)</v>
      </c>
      <c r="S820" s="260" t="str">
        <f t="shared" si="45"/>
        <v>Testing_13</v>
      </c>
      <c r="T820" s="262" t="b">
        <v>0</v>
      </c>
      <c r="U820" s="263" t="str">
        <f>+VLOOKUP($C820,[8]GRC!$B$3:$L$350,9,0)</f>
        <v>B3 PL1 (5 to 7 yrs)</v>
      </c>
      <c r="V820" s="263" t="str">
        <f>+VLOOKUP($C820,[8]GRC!$B$3:$L$350,10,0)</f>
        <v>B3 PL2 (6 to 8 yrs)</v>
      </c>
      <c r="W820" s="263" t="b">
        <f t="shared" si="42"/>
        <v>1</v>
      </c>
      <c r="X820" s="263" t="b">
        <f t="shared" si="42"/>
        <v>1</v>
      </c>
    </row>
    <row r="821" spans="1:24" ht="15">
      <c r="A821" s="93">
        <v>317</v>
      </c>
      <c r="B821" s="94" t="s">
        <v>670</v>
      </c>
      <c r="C821" s="295" t="s">
        <v>1135</v>
      </c>
      <c r="D821" s="94" t="str">
        <f>+[7]GRC!D319</f>
        <v>Testing</v>
      </c>
      <c r="E821" s="94" t="s">
        <v>80</v>
      </c>
      <c r="F821" s="94" t="s">
        <v>302</v>
      </c>
      <c r="G821" s="94" t="s">
        <v>309</v>
      </c>
      <c r="H821" s="94" t="s">
        <v>100</v>
      </c>
      <c r="I821" s="94" t="s">
        <v>91</v>
      </c>
      <c r="J821" s="94" t="s">
        <v>147</v>
      </c>
      <c r="K821" s="94" t="s">
        <v>16</v>
      </c>
      <c r="L821" s="94" t="s">
        <v>15</v>
      </c>
      <c r="M821" s="94" t="s">
        <v>71</v>
      </c>
      <c r="N821" s="94" t="s">
        <v>138</v>
      </c>
      <c r="O821" s="259" t="str">
        <f t="shared" si="43"/>
        <v>B3 PL2 (6 to 8 yrs) / B3 PL3 (7 to 10 yrs)</v>
      </c>
      <c r="P821" s="260"/>
      <c r="Q821" s="260" t="str">
        <f t="shared" si="46"/>
        <v>Testing/DomainTesting/DomainTestBusinessAnalyst/Senior</v>
      </c>
      <c r="R821" s="261" t="str">
        <f t="shared" si="44"/>
        <v>B3 PL2 (6 to 8 yrs) / B3 PL3 (7 to 10 yrs)</v>
      </c>
      <c r="S821" s="260" t="str">
        <f t="shared" si="45"/>
        <v>Testing_15</v>
      </c>
      <c r="T821" s="262" t="b">
        <v>0</v>
      </c>
      <c r="U821" s="263" t="str">
        <f>+VLOOKUP($C821,[8]GRC!$B$3:$L$350,9,0)</f>
        <v>B3 PL2 (6 to 8 yrs)</v>
      </c>
      <c r="V821" s="263" t="str">
        <f>+VLOOKUP($C821,[8]GRC!$B$3:$L$350,10,0)</f>
        <v>B3 PL3 (7 to 10 yrs)</v>
      </c>
      <c r="W821" s="263" t="b">
        <f t="shared" si="42"/>
        <v>1</v>
      </c>
      <c r="X821" s="263" t="b">
        <f t="shared" si="42"/>
        <v>1</v>
      </c>
    </row>
    <row r="822" spans="1:24" ht="15">
      <c r="A822" s="93">
        <v>318</v>
      </c>
      <c r="B822" s="94" t="s">
        <v>671</v>
      </c>
      <c r="C822" s="295" t="s">
        <v>1136</v>
      </c>
      <c r="D822" s="94" t="str">
        <f>+[7]GRC!D320</f>
        <v>Testing</v>
      </c>
      <c r="E822" s="94" t="s">
        <v>80</v>
      </c>
      <c r="F822" s="94" t="s">
        <v>303</v>
      </c>
      <c r="G822" s="94" t="s">
        <v>310</v>
      </c>
      <c r="H822" s="94" t="s">
        <v>103</v>
      </c>
      <c r="I822" s="94" t="s">
        <v>84</v>
      </c>
      <c r="J822" s="94" t="s">
        <v>150</v>
      </c>
      <c r="K822" s="94" t="s">
        <v>20</v>
      </c>
      <c r="L822" s="94" t="s">
        <v>19</v>
      </c>
      <c r="M822" s="94" t="s">
        <v>71</v>
      </c>
      <c r="N822" s="94" t="s">
        <v>72</v>
      </c>
      <c r="O822" s="259" t="str">
        <f t="shared" si="43"/>
        <v>B2 AP1 / B2 AP2 (0.6 to 3 yrs)</v>
      </c>
      <c r="P822" s="260"/>
      <c r="Q822" s="260" t="str">
        <f t="shared" si="46"/>
        <v>Testing/ManualTesting/ManualTestingTester/Junior</v>
      </c>
      <c r="R822" s="261" t="str">
        <f t="shared" si="44"/>
        <v>B2 AP1 / B2 AP2 (0.6 to 3 yrs)</v>
      </c>
      <c r="S822" s="260" t="str">
        <f t="shared" si="45"/>
        <v>Testing_17</v>
      </c>
      <c r="T822" s="262" t="b">
        <v>0</v>
      </c>
      <c r="U822" s="263" t="str">
        <f>+VLOOKUP($C822,[8]GRC!$B$3:$L$350,9,0)</f>
        <v>B2 AP1</v>
      </c>
      <c r="V822" s="263" t="str">
        <f>+VLOOKUP($C822,[8]GRC!$B$3:$L$350,10,0)</f>
        <v>B2 AP2 (0.6 to 3 yrs)</v>
      </c>
      <c r="W822" s="263" t="b">
        <f t="shared" si="42"/>
        <v>1</v>
      </c>
      <c r="X822" s="263" t="b">
        <f t="shared" si="42"/>
        <v>1</v>
      </c>
    </row>
    <row r="823" spans="1:24" ht="15">
      <c r="A823" s="93">
        <v>319</v>
      </c>
      <c r="B823" s="94" t="s">
        <v>672</v>
      </c>
      <c r="C823" s="295" t="s">
        <v>1137</v>
      </c>
      <c r="D823" s="94" t="str">
        <f>+[7]GRC!D321</f>
        <v>Testing</v>
      </c>
      <c r="E823" s="94" t="s">
        <v>80</v>
      </c>
      <c r="F823" s="94" t="s">
        <v>303</v>
      </c>
      <c r="G823" s="94" t="s">
        <v>310</v>
      </c>
      <c r="H823" s="94" t="s">
        <v>103</v>
      </c>
      <c r="I823" s="159" t="s">
        <v>193</v>
      </c>
      <c r="J823" s="94" t="s">
        <v>151</v>
      </c>
      <c r="K823" s="94" t="s">
        <v>19</v>
      </c>
      <c r="L823" s="94" t="s">
        <v>18</v>
      </c>
      <c r="M823" s="94" t="s">
        <v>71</v>
      </c>
      <c r="N823" s="94" t="s">
        <v>72</v>
      </c>
      <c r="O823" s="259" t="str">
        <f t="shared" si="43"/>
        <v>B2 AP2 (0.6 to 3 yrs) / B2 AP3 (3 to 5 yrs)</v>
      </c>
      <c r="P823" s="260"/>
      <c r="Q823" s="265" t="str">
        <f t="shared" si="46"/>
        <v>Testing/ManualTesting/ManualTestingTester/MidLevel</v>
      </c>
      <c r="R823" s="261" t="str">
        <f t="shared" si="44"/>
        <v>B2 AP2 (0.6 to 3 yrs) / B2 AP3 (3 to 5 yrs)</v>
      </c>
      <c r="S823" s="260" t="str">
        <f t="shared" si="45"/>
        <v>Testing_18</v>
      </c>
      <c r="T823" s="262" t="b">
        <v>0</v>
      </c>
      <c r="U823" s="263" t="str">
        <f>+VLOOKUP($C823,[8]GRC!$B$3:$L$350,9,0)</f>
        <v>B2 AP2 (0.6 to 3 yrs)</v>
      </c>
      <c r="V823" s="263" t="str">
        <f>+VLOOKUP($C823,[8]GRC!$B$3:$L$350,10,0)</f>
        <v>B2 AP3 (3 to 5 yrs)</v>
      </c>
      <c r="W823" s="263" t="b">
        <f t="shared" si="42"/>
        <v>1</v>
      </c>
      <c r="X823" s="263" t="b">
        <f t="shared" si="42"/>
        <v>1</v>
      </c>
    </row>
    <row r="824" spans="1:24" ht="15">
      <c r="A824" s="93">
        <v>320</v>
      </c>
      <c r="B824" s="94" t="s">
        <v>673</v>
      </c>
      <c r="C824" s="295" t="s">
        <v>1138</v>
      </c>
      <c r="D824" s="94" t="str">
        <f>+[7]GRC!D322</f>
        <v>Testing</v>
      </c>
      <c r="E824" s="94" t="s">
        <v>80</v>
      </c>
      <c r="F824" s="94" t="s">
        <v>303</v>
      </c>
      <c r="G824" s="94" t="s">
        <v>311</v>
      </c>
      <c r="H824" s="94" t="s">
        <v>103</v>
      </c>
      <c r="I824" s="94" t="s">
        <v>84</v>
      </c>
      <c r="J824" s="94" t="s">
        <v>145</v>
      </c>
      <c r="K824" s="94" t="s">
        <v>17</v>
      </c>
      <c r="L824" s="94" t="s">
        <v>16</v>
      </c>
      <c r="M824" s="94" t="s">
        <v>71</v>
      </c>
      <c r="N824" s="94" t="s">
        <v>72</v>
      </c>
      <c r="O824" s="259" t="str">
        <f t="shared" si="43"/>
        <v>B3 PL1 (5 to 7 yrs) / B3 PL2 (6 to 8 yrs)</v>
      </c>
      <c r="P824" s="260"/>
      <c r="Q824" s="260" t="str">
        <f t="shared" si="46"/>
        <v>Testing/ManualTesting/ManualTestingTestLead/Junior</v>
      </c>
      <c r="R824" s="261" t="str">
        <f t="shared" si="44"/>
        <v>B3 PL1 (5 to 7 yrs) / B3 PL2 (6 to 8 yrs)</v>
      </c>
      <c r="S824" s="260" t="str">
        <f t="shared" si="45"/>
        <v>Testing_19</v>
      </c>
      <c r="T824" s="262" t="b">
        <v>0</v>
      </c>
      <c r="U824" s="263" t="str">
        <f>+VLOOKUP($C824,[8]GRC!$B$3:$L$350,9,0)</f>
        <v>B3 PL1 (5 to 7 yrs)</v>
      </c>
      <c r="V824" s="263" t="str">
        <f>+VLOOKUP($C824,[8]GRC!$B$3:$L$350,10,0)</f>
        <v>B3 PL2 (6 to 8 yrs)</v>
      </c>
      <c r="W824" s="263" t="b">
        <f t="shared" ref="W824:X851" si="47">+U824=K824</f>
        <v>1</v>
      </c>
      <c r="X824" s="263" t="b">
        <f t="shared" si="47"/>
        <v>1</v>
      </c>
    </row>
    <row r="825" spans="1:24" ht="15">
      <c r="A825" s="93">
        <v>321</v>
      </c>
      <c r="B825" s="94" t="s">
        <v>674</v>
      </c>
      <c r="C825" s="295" t="s">
        <v>1139</v>
      </c>
      <c r="D825" s="94" t="str">
        <f>+[7]GRC!D323</f>
        <v>Testing</v>
      </c>
      <c r="E825" s="94" t="s">
        <v>80</v>
      </c>
      <c r="F825" s="94" t="s">
        <v>303</v>
      </c>
      <c r="G825" s="94" t="s">
        <v>311</v>
      </c>
      <c r="H825" s="94" t="s">
        <v>103</v>
      </c>
      <c r="I825" s="94" t="s">
        <v>91</v>
      </c>
      <c r="J825" s="94" t="s">
        <v>147</v>
      </c>
      <c r="K825" s="94" t="s">
        <v>16</v>
      </c>
      <c r="L825" s="94" t="s">
        <v>15</v>
      </c>
      <c r="M825" s="94" t="s">
        <v>71</v>
      </c>
      <c r="N825" s="94" t="s">
        <v>72</v>
      </c>
      <c r="O825" s="259" t="str">
        <f t="shared" ref="O825:O883" si="48">+K825&amp;" / " &amp;L825</f>
        <v>B3 PL2 (6 to 8 yrs) / B3 PL3 (7 to 10 yrs)</v>
      </c>
      <c r="P825" s="260"/>
      <c r="Q825" s="260" t="str">
        <f t="shared" si="46"/>
        <v>Testing/ManualTesting/ManualTestingTestLead/Senior</v>
      </c>
      <c r="R825" s="261" t="str">
        <f t="shared" si="44"/>
        <v>B3 PL2 (6 to 8 yrs) / B3 PL3 (7 to 10 yrs)</v>
      </c>
      <c r="S825" s="260" t="str">
        <f t="shared" si="45"/>
        <v>Testing_20</v>
      </c>
      <c r="T825" s="262" t="b">
        <v>0</v>
      </c>
      <c r="U825" s="263" t="str">
        <f>+VLOOKUP($C825,[8]GRC!$B$3:$L$350,9,0)</f>
        <v>B3 PL2 (6 to 8 yrs)</v>
      </c>
      <c r="V825" s="263" t="str">
        <f>+VLOOKUP($C825,[8]GRC!$B$3:$L$350,10,0)</f>
        <v>B3 PL3 (7 to 10 yrs)</v>
      </c>
      <c r="W825" s="263" t="b">
        <f t="shared" si="47"/>
        <v>1</v>
      </c>
      <c r="X825" s="263" t="b">
        <f t="shared" si="47"/>
        <v>1</v>
      </c>
    </row>
    <row r="826" spans="1:24" ht="15">
      <c r="A826" s="93">
        <v>322</v>
      </c>
      <c r="B826" s="94" t="s">
        <v>675</v>
      </c>
      <c r="C826" s="295" t="s">
        <v>1140</v>
      </c>
      <c r="D826" s="94" t="str">
        <f>+[7]GRC!D324</f>
        <v>Testing</v>
      </c>
      <c r="E826" s="94" t="s">
        <v>80</v>
      </c>
      <c r="F826" s="94" t="s">
        <v>303</v>
      </c>
      <c r="G826" s="94" t="s">
        <v>312</v>
      </c>
      <c r="H826" s="94" t="s">
        <v>103</v>
      </c>
      <c r="I826" s="94" t="s">
        <v>84</v>
      </c>
      <c r="J826" s="94" t="s">
        <v>184</v>
      </c>
      <c r="K826" s="94" t="s">
        <v>15</v>
      </c>
      <c r="L826" s="94" t="s">
        <v>14</v>
      </c>
      <c r="M826" s="94" t="s">
        <v>71</v>
      </c>
      <c r="N826" s="94" t="s">
        <v>72</v>
      </c>
      <c r="O826" s="259" t="str">
        <f t="shared" si="48"/>
        <v>B3 PL3 (7 to 10 yrs) / B4 PM1 (9 to 12 yrs)</v>
      </c>
      <c r="P826" s="260"/>
      <c r="Q826" s="260" t="str">
        <f t="shared" si="46"/>
        <v>Testing/ManualTesting/ManualTestingTestManager/Junior</v>
      </c>
      <c r="R826" s="261" t="str">
        <f t="shared" ref="R826:R889" si="49">+O826</f>
        <v>B3 PL3 (7 to 10 yrs) / B4 PM1 (9 to 12 yrs)</v>
      </c>
      <c r="S826" s="260" t="str">
        <f t="shared" ref="S826:S889" si="50">+C826</f>
        <v>Testing_21</v>
      </c>
      <c r="T826" s="262" t="b">
        <v>0</v>
      </c>
      <c r="U826" s="263" t="str">
        <f>+VLOOKUP($C826,[8]GRC!$B$3:$L$350,9,0)</f>
        <v>B3 PL3 (7 to 10 yrs)</v>
      </c>
      <c r="V826" s="263" t="str">
        <f>+VLOOKUP($C826,[8]GRC!$B$3:$L$350,10,0)</f>
        <v>B4 PM1 (9 to 12 yrs)</v>
      </c>
      <c r="W826" s="263" t="b">
        <f t="shared" si="47"/>
        <v>1</v>
      </c>
      <c r="X826" s="263" t="b">
        <f t="shared" si="47"/>
        <v>1</v>
      </c>
    </row>
    <row r="827" spans="1:24" ht="15">
      <c r="A827" s="93">
        <v>323</v>
      </c>
      <c r="B827" s="94" t="s">
        <v>676</v>
      </c>
      <c r="C827" s="295" t="s">
        <v>1141</v>
      </c>
      <c r="D827" s="94" t="str">
        <f>+[7]GRC!D325</f>
        <v>Testing</v>
      </c>
      <c r="E827" s="94" t="s">
        <v>80</v>
      </c>
      <c r="F827" s="94" t="s">
        <v>303</v>
      </c>
      <c r="G827" s="94" t="s">
        <v>312</v>
      </c>
      <c r="H827" s="94" t="s">
        <v>103</v>
      </c>
      <c r="I827" s="94" t="s">
        <v>193</v>
      </c>
      <c r="J827" s="94" t="s">
        <v>185</v>
      </c>
      <c r="K827" s="94" t="s">
        <v>14</v>
      </c>
      <c r="L827" s="94" t="s">
        <v>42</v>
      </c>
      <c r="M827" s="94" t="s">
        <v>71</v>
      </c>
      <c r="N827" s="94" t="s">
        <v>72</v>
      </c>
      <c r="O827" s="259" t="str">
        <f t="shared" si="48"/>
        <v>B4 PM1 (9 to 12 yrs) / B4 PM2 (10 to 14 yrs)</v>
      </c>
      <c r="P827" s="260"/>
      <c r="Q827" s="260" t="str">
        <f t="shared" ref="Q827:Q890" si="51">+E827&amp;"/"&amp;F827&amp;"/"&amp;G827&amp;"/"&amp;I827</f>
        <v>Testing/ManualTesting/ManualTestingTestManager/MidLevel</v>
      </c>
      <c r="R827" s="261" t="str">
        <f t="shared" si="49"/>
        <v>B4 PM1 (9 to 12 yrs) / B4 PM2 (10 to 14 yrs)</v>
      </c>
      <c r="S827" s="260" t="str">
        <f t="shared" si="50"/>
        <v>Testing_22</v>
      </c>
      <c r="T827" s="262" t="b">
        <v>0</v>
      </c>
      <c r="U827" s="263" t="str">
        <f>+VLOOKUP($C827,[8]GRC!$B$3:$L$350,9,0)</f>
        <v>B4 PM1 (9 to 12 yrs)</v>
      </c>
      <c r="V827" s="263" t="str">
        <f>+VLOOKUP($C827,[8]GRC!$B$3:$L$350,10,0)</f>
        <v>B4 PM2 (10 to 14 yrs)</v>
      </c>
      <c r="W827" s="263" t="b">
        <f t="shared" si="47"/>
        <v>1</v>
      </c>
      <c r="X827" s="263" t="b">
        <f t="shared" si="47"/>
        <v>1</v>
      </c>
    </row>
    <row r="828" spans="1:24" ht="15">
      <c r="A828" s="93">
        <v>324</v>
      </c>
      <c r="B828" s="94" t="s">
        <v>677</v>
      </c>
      <c r="C828" s="295" t="s">
        <v>1142</v>
      </c>
      <c r="D828" s="94" t="str">
        <f>+[7]GRC!D326</f>
        <v>Testing</v>
      </c>
      <c r="E828" s="94" t="s">
        <v>80</v>
      </c>
      <c r="F828" s="94" t="s">
        <v>303</v>
      </c>
      <c r="G828" s="94" t="s">
        <v>312</v>
      </c>
      <c r="H828" s="94" t="s">
        <v>103</v>
      </c>
      <c r="I828" s="94" t="s">
        <v>91</v>
      </c>
      <c r="J828" s="94" t="s">
        <v>149</v>
      </c>
      <c r="K828" s="94" t="s">
        <v>42</v>
      </c>
      <c r="L828" s="94" t="s">
        <v>41</v>
      </c>
      <c r="M828" s="94" t="s">
        <v>71</v>
      </c>
      <c r="N828" s="94" t="s">
        <v>72</v>
      </c>
      <c r="O828" s="259" t="str">
        <f t="shared" si="48"/>
        <v>B4 PM2 (10 to 14 yrs) / B4 PM3 (12 to 15 yrs)</v>
      </c>
      <c r="P828" s="260"/>
      <c r="Q828" s="260" t="str">
        <f t="shared" si="51"/>
        <v>Testing/ManualTesting/ManualTestingTestManager/Senior</v>
      </c>
      <c r="R828" s="261" t="str">
        <f t="shared" si="49"/>
        <v>B4 PM2 (10 to 14 yrs) / B4 PM3 (12 to 15 yrs)</v>
      </c>
      <c r="S828" s="260" t="str">
        <f t="shared" si="50"/>
        <v>Testing_23</v>
      </c>
      <c r="T828" s="262" t="b">
        <v>0</v>
      </c>
      <c r="U828" s="263" t="str">
        <f>+VLOOKUP($C828,[8]GRC!$B$3:$L$350,9,0)</f>
        <v>B4 PM2 (10 to 14 yrs)</v>
      </c>
      <c r="V828" s="263" t="str">
        <f>+VLOOKUP($C828,[8]GRC!$B$3:$L$350,10,0)</f>
        <v>B4 PM3 (12 to 15 yrs)</v>
      </c>
      <c r="W828" s="263" t="b">
        <f t="shared" si="47"/>
        <v>1</v>
      </c>
      <c r="X828" s="263" t="b">
        <f t="shared" si="47"/>
        <v>1</v>
      </c>
    </row>
    <row r="829" spans="1:24" ht="15">
      <c r="A829" s="93">
        <v>325</v>
      </c>
      <c r="B829" s="94" t="s">
        <v>678</v>
      </c>
      <c r="C829" s="295" t="s">
        <v>1143</v>
      </c>
      <c r="D829" s="94" t="str">
        <f>+[7]GRC!D327</f>
        <v>Testing</v>
      </c>
      <c r="E829" s="94" t="s">
        <v>80</v>
      </c>
      <c r="F829" s="94" t="s">
        <v>105</v>
      </c>
      <c r="G829" s="94" t="s">
        <v>313</v>
      </c>
      <c r="H829" s="94" t="s">
        <v>106</v>
      </c>
      <c r="I829" s="94" t="s">
        <v>84</v>
      </c>
      <c r="J829" s="94" t="s">
        <v>150</v>
      </c>
      <c r="K829" s="94" t="s">
        <v>20</v>
      </c>
      <c r="L829" s="94" t="s">
        <v>19</v>
      </c>
      <c r="M829" s="94" t="s">
        <v>71</v>
      </c>
      <c r="N829" s="94" t="s">
        <v>138</v>
      </c>
      <c r="O829" s="259" t="str">
        <f t="shared" si="48"/>
        <v>B2 AP1 / B2 AP2 (0.6 to 3 yrs)</v>
      </c>
      <c r="P829" s="260"/>
      <c r="Q829" s="260" t="str">
        <f t="shared" si="51"/>
        <v>Testing/Performance/PerformanceTester/Junior</v>
      </c>
      <c r="R829" s="261" t="str">
        <f t="shared" si="49"/>
        <v>B2 AP1 / B2 AP2 (0.6 to 3 yrs)</v>
      </c>
      <c r="S829" s="260" t="str">
        <f t="shared" si="50"/>
        <v>Testing_24</v>
      </c>
      <c r="T829" s="262" t="b">
        <v>0</v>
      </c>
      <c r="U829" s="263" t="str">
        <f>+VLOOKUP($C829,[8]GRC!$B$3:$L$350,9,0)</f>
        <v>B2 AP1</v>
      </c>
      <c r="V829" s="263" t="str">
        <f>+VLOOKUP($C829,[8]GRC!$B$3:$L$350,10,0)</f>
        <v>B2 AP2 (0.6 to 3 yrs)</v>
      </c>
      <c r="W829" s="263" t="b">
        <f t="shared" si="47"/>
        <v>1</v>
      </c>
      <c r="X829" s="263" t="b">
        <f t="shared" si="47"/>
        <v>1</v>
      </c>
    </row>
    <row r="830" spans="1:24" ht="15">
      <c r="A830" s="93">
        <v>326</v>
      </c>
      <c r="B830" s="94" t="s">
        <v>679</v>
      </c>
      <c r="C830" s="295" t="s">
        <v>1144</v>
      </c>
      <c r="D830" s="94" t="str">
        <f>+[7]GRC!D328</f>
        <v>Testing</v>
      </c>
      <c r="E830" s="94" t="s">
        <v>80</v>
      </c>
      <c r="F830" s="94" t="s">
        <v>105</v>
      </c>
      <c r="G830" s="94" t="s">
        <v>313</v>
      </c>
      <c r="H830" s="94" t="s">
        <v>106</v>
      </c>
      <c r="I830" s="159" t="s">
        <v>193</v>
      </c>
      <c r="J830" s="94" t="s">
        <v>151</v>
      </c>
      <c r="K830" s="94" t="s">
        <v>19</v>
      </c>
      <c r="L830" s="94" t="s">
        <v>18</v>
      </c>
      <c r="M830" s="94" t="s">
        <v>71</v>
      </c>
      <c r="N830" s="94" t="s">
        <v>138</v>
      </c>
      <c r="O830" s="259" t="str">
        <f t="shared" si="48"/>
        <v>B2 AP2 (0.6 to 3 yrs) / B2 AP3 (3 to 5 yrs)</v>
      </c>
      <c r="P830" s="260"/>
      <c r="Q830" s="265" t="str">
        <f t="shared" si="51"/>
        <v>Testing/Performance/PerformanceTester/MidLevel</v>
      </c>
      <c r="R830" s="261" t="str">
        <f t="shared" si="49"/>
        <v>B2 AP2 (0.6 to 3 yrs) / B2 AP3 (3 to 5 yrs)</v>
      </c>
      <c r="S830" s="260" t="str">
        <f t="shared" si="50"/>
        <v>Testing_25</v>
      </c>
      <c r="T830" s="262" t="b">
        <v>0</v>
      </c>
      <c r="U830" s="263" t="str">
        <f>+VLOOKUP($C830,[8]GRC!$B$3:$L$350,9,0)</f>
        <v>B2 AP2 (0.6 to 3 yrs)</v>
      </c>
      <c r="V830" s="263" t="str">
        <f>+VLOOKUP($C830,[8]GRC!$B$3:$L$350,10,0)</f>
        <v>B2 AP3 (3 to 5 yrs)</v>
      </c>
      <c r="W830" s="263" t="b">
        <f t="shared" si="47"/>
        <v>1</v>
      </c>
      <c r="X830" s="263" t="b">
        <f t="shared" si="47"/>
        <v>1</v>
      </c>
    </row>
    <row r="831" spans="1:24" ht="15">
      <c r="A831" s="93">
        <v>327</v>
      </c>
      <c r="B831" s="94" t="s">
        <v>680</v>
      </c>
      <c r="C831" s="295" t="s">
        <v>1145</v>
      </c>
      <c r="D831" s="94" t="str">
        <f>+[7]GRC!D329</f>
        <v>Testing</v>
      </c>
      <c r="E831" s="94" t="s">
        <v>80</v>
      </c>
      <c r="F831" s="94" t="s">
        <v>105</v>
      </c>
      <c r="G831" s="94" t="s">
        <v>314</v>
      </c>
      <c r="H831" s="94" t="s">
        <v>106</v>
      </c>
      <c r="I831" s="94" t="s">
        <v>84</v>
      </c>
      <c r="J831" s="94" t="s">
        <v>145</v>
      </c>
      <c r="K831" s="94" t="s">
        <v>17</v>
      </c>
      <c r="L831" s="94" t="s">
        <v>16</v>
      </c>
      <c r="M831" s="94" t="s">
        <v>71</v>
      </c>
      <c r="N831" s="94" t="s">
        <v>138</v>
      </c>
      <c r="O831" s="259" t="str">
        <f t="shared" si="48"/>
        <v>B3 PL1 (5 to 7 yrs) / B3 PL2 (6 to 8 yrs)</v>
      </c>
      <c r="P831" s="260"/>
      <c r="Q831" s="260" t="str">
        <f t="shared" si="51"/>
        <v>Testing/Performance/PerformanceTestLead/Junior</v>
      </c>
      <c r="R831" s="261" t="str">
        <f t="shared" si="49"/>
        <v>B3 PL1 (5 to 7 yrs) / B3 PL2 (6 to 8 yrs)</v>
      </c>
      <c r="S831" s="260" t="str">
        <f t="shared" si="50"/>
        <v>Testing_26</v>
      </c>
      <c r="T831" s="262" t="b">
        <v>0</v>
      </c>
      <c r="U831" s="263" t="str">
        <f>+VLOOKUP($C831,[8]GRC!$B$3:$L$350,9,0)</f>
        <v>B3 PL1 (5 to 7 yrs)</v>
      </c>
      <c r="V831" s="263" t="str">
        <f>+VLOOKUP($C831,[8]GRC!$B$3:$L$350,10,0)</f>
        <v>B3 PL2 (6 to 8 yrs)</v>
      </c>
      <c r="W831" s="263" t="b">
        <f t="shared" si="47"/>
        <v>1</v>
      </c>
      <c r="X831" s="263" t="b">
        <f t="shared" si="47"/>
        <v>1</v>
      </c>
    </row>
    <row r="832" spans="1:24" ht="15">
      <c r="A832" s="93">
        <v>328</v>
      </c>
      <c r="B832" s="94" t="s">
        <v>681</v>
      </c>
      <c r="C832" s="295" t="s">
        <v>1146</v>
      </c>
      <c r="D832" s="94" t="str">
        <f>+[7]GRC!D330</f>
        <v>Testing</v>
      </c>
      <c r="E832" s="94" t="s">
        <v>80</v>
      </c>
      <c r="F832" s="94" t="s">
        <v>105</v>
      </c>
      <c r="G832" s="94" t="s">
        <v>314</v>
      </c>
      <c r="H832" s="94" t="s">
        <v>106</v>
      </c>
      <c r="I832" s="94" t="s">
        <v>91</v>
      </c>
      <c r="J832" s="94" t="s">
        <v>147</v>
      </c>
      <c r="K832" s="94" t="s">
        <v>16</v>
      </c>
      <c r="L832" s="94" t="s">
        <v>15</v>
      </c>
      <c r="M832" s="94" t="s">
        <v>71</v>
      </c>
      <c r="N832" s="94" t="s">
        <v>138</v>
      </c>
      <c r="O832" s="259" t="str">
        <f t="shared" si="48"/>
        <v>B3 PL2 (6 to 8 yrs) / B3 PL3 (7 to 10 yrs)</v>
      </c>
      <c r="P832" s="260"/>
      <c r="Q832" s="260" t="str">
        <f t="shared" si="51"/>
        <v>Testing/Performance/PerformanceTestLead/Senior</v>
      </c>
      <c r="R832" s="261" t="str">
        <f t="shared" si="49"/>
        <v>B3 PL2 (6 to 8 yrs) / B3 PL3 (7 to 10 yrs)</v>
      </c>
      <c r="S832" s="260" t="str">
        <f t="shared" si="50"/>
        <v>Testing_27</v>
      </c>
      <c r="T832" s="262" t="b">
        <v>0</v>
      </c>
      <c r="U832" s="263" t="str">
        <f>+VLOOKUP($C832,[8]GRC!$B$3:$L$350,9,0)</f>
        <v>B3 PL2 (6 to 8 yrs)</v>
      </c>
      <c r="V832" s="263" t="str">
        <f>+VLOOKUP($C832,[8]GRC!$B$3:$L$350,10,0)</f>
        <v>B3 PL3 (7 to 10 yrs)</v>
      </c>
      <c r="W832" s="263" t="b">
        <f t="shared" si="47"/>
        <v>1</v>
      </c>
      <c r="X832" s="263" t="b">
        <f t="shared" si="47"/>
        <v>1</v>
      </c>
    </row>
    <row r="833" spans="1:24" ht="15">
      <c r="A833" s="93">
        <v>329</v>
      </c>
      <c r="B833" s="94" t="s">
        <v>682</v>
      </c>
      <c r="C833" s="295" t="s">
        <v>1147</v>
      </c>
      <c r="D833" s="94" t="str">
        <f>+[7]GRC!D331</f>
        <v>Testing</v>
      </c>
      <c r="E833" s="94" t="s">
        <v>80</v>
      </c>
      <c r="F833" s="94" t="s">
        <v>105</v>
      </c>
      <c r="G833" s="94" t="s">
        <v>315</v>
      </c>
      <c r="H833" s="94" t="s">
        <v>106</v>
      </c>
      <c r="I833" s="94" t="s">
        <v>84</v>
      </c>
      <c r="J833" s="94" t="s">
        <v>184</v>
      </c>
      <c r="K833" s="94" t="s">
        <v>15</v>
      </c>
      <c r="L833" s="94" t="s">
        <v>14</v>
      </c>
      <c r="M833" s="94" t="s">
        <v>71</v>
      </c>
      <c r="N833" s="94" t="s">
        <v>138</v>
      </c>
      <c r="O833" s="259" t="str">
        <f t="shared" si="48"/>
        <v>B3 PL3 (7 to 10 yrs) / B4 PM1 (9 to 12 yrs)</v>
      </c>
      <c r="P833" s="260"/>
      <c r="Q833" s="260" t="str">
        <f t="shared" si="51"/>
        <v>Testing/Performance/PerformanceTestManager/Junior</v>
      </c>
      <c r="R833" s="261" t="str">
        <f t="shared" si="49"/>
        <v>B3 PL3 (7 to 10 yrs) / B4 PM1 (9 to 12 yrs)</v>
      </c>
      <c r="S833" s="260" t="str">
        <f t="shared" si="50"/>
        <v>Testing_28</v>
      </c>
      <c r="T833" s="262" t="b">
        <v>0</v>
      </c>
      <c r="U833" s="263" t="str">
        <f>+VLOOKUP($C833,[8]GRC!$B$3:$L$350,9,0)</f>
        <v>B3 PL3 (7 to 10 yrs)</v>
      </c>
      <c r="V833" s="263" t="str">
        <f>+VLOOKUP($C833,[8]GRC!$B$3:$L$350,10,0)</f>
        <v>B4 PM1 (9 to 12 yrs)</v>
      </c>
      <c r="W833" s="263" t="b">
        <f t="shared" si="47"/>
        <v>1</v>
      </c>
      <c r="X833" s="263" t="b">
        <f t="shared" si="47"/>
        <v>1</v>
      </c>
    </row>
    <row r="834" spans="1:24" ht="15">
      <c r="A834" s="93">
        <v>330</v>
      </c>
      <c r="B834" s="94" t="s">
        <v>683</v>
      </c>
      <c r="C834" s="295" t="s">
        <v>1148</v>
      </c>
      <c r="D834" s="94" t="str">
        <f>+[7]GRC!D332</f>
        <v>Testing</v>
      </c>
      <c r="E834" s="94" t="s">
        <v>80</v>
      </c>
      <c r="F834" s="94" t="s">
        <v>105</v>
      </c>
      <c r="G834" s="94" t="s">
        <v>315</v>
      </c>
      <c r="H834" s="94" t="s">
        <v>106</v>
      </c>
      <c r="I834" s="94" t="s">
        <v>193</v>
      </c>
      <c r="J834" s="94" t="s">
        <v>185</v>
      </c>
      <c r="K834" s="94" t="s">
        <v>14</v>
      </c>
      <c r="L834" s="94" t="s">
        <v>42</v>
      </c>
      <c r="M834" s="94" t="s">
        <v>71</v>
      </c>
      <c r="N834" s="94" t="s">
        <v>138</v>
      </c>
      <c r="O834" s="259" t="str">
        <f t="shared" si="48"/>
        <v>B4 PM1 (9 to 12 yrs) / B4 PM2 (10 to 14 yrs)</v>
      </c>
      <c r="P834" s="260"/>
      <c r="Q834" s="260" t="str">
        <f t="shared" si="51"/>
        <v>Testing/Performance/PerformanceTestManager/MidLevel</v>
      </c>
      <c r="R834" s="261" t="str">
        <f t="shared" si="49"/>
        <v>B4 PM1 (9 to 12 yrs) / B4 PM2 (10 to 14 yrs)</v>
      </c>
      <c r="S834" s="260" t="str">
        <f t="shared" si="50"/>
        <v>Testing_29</v>
      </c>
      <c r="T834" s="262" t="b">
        <v>0</v>
      </c>
      <c r="U834" s="263" t="str">
        <f>+VLOOKUP($C834,[8]GRC!$B$3:$L$350,9,0)</f>
        <v>B4 PM1 (9 to 12 yrs)</v>
      </c>
      <c r="V834" s="263" t="str">
        <f>+VLOOKUP($C834,[8]GRC!$B$3:$L$350,10,0)</f>
        <v>B4 PM2 (10 to 14 yrs)</v>
      </c>
      <c r="W834" s="263" t="b">
        <f t="shared" si="47"/>
        <v>1</v>
      </c>
      <c r="X834" s="263" t="b">
        <f t="shared" si="47"/>
        <v>1</v>
      </c>
    </row>
    <row r="835" spans="1:24" ht="15">
      <c r="A835" s="93">
        <v>331</v>
      </c>
      <c r="B835" s="94" t="s">
        <v>684</v>
      </c>
      <c r="C835" s="295" t="s">
        <v>1149</v>
      </c>
      <c r="D835" s="94" t="str">
        <f>+[7]GRC!D333</f>
        <v>Testing</v>
      </c>
      <c r="E835" s="94" t="s">
        <v>80</v>
      </c>
      <c r="F835" s="94" t="s">
        <v>105</v>
      </c>
      <c r="G835" s="94" t="s">
        <v>315</v>
      </c>
      <c r="H835" s="94" t="s">
        <v>106</v>
      </c>
      <c r="I835" s="94" t="s">
        <v>91</v>
      </c>
      <c r="J835" s="94" t="s">
        <v>149</v>
      </c>
      <c r="K835" s="94" t="s">
        <v>42</v>
      </c>
      <c r="L835" s="94" t="s">
        <v>41</v>
      </c>
      <c r="M835" s="94" t="s">
        <v>71</v>
      </c>
      <c r="N835" s="94" t="s">
        <v>138</v>
      </c>
      <c r="O835" s="259" t="str">
        <f t="shared" si="48"/>
        <v>B4 PM2 (10 to 14 yrs) / B4 PM3 (12 to 15 yrs)</v>
      </c>
      <c r="P835" s="260"/>
      <c r="Q835" s="260" t="str">
        <f t="shared" si="51"/>
        <v>Testing/Performance/PerformanceTestManager/Senior</v>
      </c>
      <c r="R835" s="261" t="str">
        <f t="shared" si="49"/>
        <v>B4 PM2 (10 to 14 yrs) / B4 PM3 (12 to 15 yrs)</v>
      </c>
      <c r="S835" s="260" t="str">
        <f t="shared" si="50"/>
        <v>Testing_30</v>
      </c>
      <c r="T835" s="262" t="b">
        <v>0</v>
      </c>
      <c r="U835" s="263" t="str">
        <f>+VLOOKUP($C835,[8]GRC!$B$3:$L$350,9,0)</f>
        <v>B4 PM2 (10 to 14 yrs)</v>
      </c>
      <c r="V835" s="263" t="str">
        <f>+VLOOKUP($C835,[8]GRC!$B$3:$L$350,10,0)</f>
        <v>B4 PM3 (12 to 15 yrs)</v>
      </c>
      <c r="W835" s="263" t="b">
        <f t="shared" si="47"/>
        <v>1</v>
      </c>
      <c r="X835" s="263" t="b">
        <f t="shared" si="47"/>
        <v>1</v>
      </c>
    </row>
    <row r="836" spans="1:24" ht="15">
      <c r="A836" s="93">
        <v>332</v>
      </c>
      <c r="B836" s="94" t="s">
        <v>685</v>
      </c>
      <c r="C836" s="295" t="s">
        <v>1150</v>
      </c>
      <c r="D836" s="94" t="str">
        <f>+[7]GRC!D334</f>
        <v>Testing</v>
      </c>
      <c r="E836" s="94" t="s">
        <v>80</v>
      </c>
      <c r="F836" s="94" t="s">
        <v>305</v>
      </c>
      <c r="G836" s="94" t="s">
        <v>316</v>
      </c>
      <c r="H836" s="94" t="s">
        <v>182</v>
      </c>
      <c r="I836" s="94" t="s">
        <v>84</v>
      </c>
      <c r="J836" s="94" t="s">
        <v>150</v>
      </c>
      <c r="K836" s="94" t="s">
        <v>20</v>
      </c>
      <c r="L836" s="94" t="s">
        <v>19</v>
      </c>
      <c r="M836" s="94" t="s">
        <v>71</v>
      </c>
      <c r="N836" s="94" t="s">
        <v>138</v>
      </c>
      <c r="O836" s="259" t="str">
        <f t="shared" si="48"/>
        <v>B2 AP1 / B2 AP2 (0.6 to 3 yrs)</v>
      </c>
      <c r="P836" s="260"/>
      <c r="Q836" s="260" t="str">
        <f t="shared" si="51"/>
        <v>Testing/ProductBased/ProductBasedTester/Junior</v>
      </c>
      <c r="R836" s="261" t="str">
        <f t="shared" si="49"/>
        <v>B2 AP1 / B2 AP2 (0.6 to 3 yrs)</v>
      </c>
      <c r="S836" s="260" t="str">
        <f t="shared" si="50"/>
        <v>Testing_43</v>
      </c>
      <c r="T836" s="262" t="b">
        <v>0</v>
      </c>
      <c r="U836" s="263" t="str">
        <f>+VLOOKUP($C836,[8]GRC!$B$3:$L$350,9,0)</f>
        <v>B2 AP1</v>
      </c>
      <c r="V836" s="263" t="str">
        <f>+VLOOKUP($C836,[8]GRC!$B$3:$L$350,10,0)</f>
        <v>B2 AP2 (0.6 to 3 yrs)</v>
      </c>
      <c r="W836" s="263" t="b">
        <f t="shared" si="47"/>
        <v>1</v>
      </c>
      <c r="X836" s="263" t="b">
        <f t="shared" si="47"/>
        <v>1</v>
      </c>
    </row>
    <row r="837" spans="1:24" ht="15">
      <c r="A837" s="93">
        <v>333</v>
      </c>
      <c r="B837" s="94" t="s">
        <v>686</v>
      </c>
      <c r="C837" s="295" t="s">
        <v>1151</v>
      </c>
      <c r="D837" s="94" t="str">
        <f>+[7]GRC!D335</f>
        <v>Testing</v>
      </c>
      <c r="E837" s="94" t="s">
        <v>80</v>
      </c>
      <c r="F837" s="94" t="s">
        <v>305</v>
      </c>
      <c r="G837" s="94" t="s">
        <v>316</v>
      </c>
      <c r="H837" s="94" t="s">
        <v>182</v>
      </c>
      <c r="I837" s="94" t="s">
        <v>91</v>
      </c>
      <c r="J837" s="94" t="s">
        <v>151</v>
      </c>
      <c r="K837" s="94" t="s">
        <v>19</v>
      </c>
      <c r="L837" s="94" t="s">
        <v>18</v>
      </c>
      <c r="M837" s="94" t="s">
        <v>71</v>
      </c>
      <c r="N837" s="94" t="s">
        <v>138</v>
      </c>
      <c r="O837" s="259" t="str">
        <f t="shared" si="48"/>
        <v>B2 AP2 (0.6 to 3 yrs) / B2 AP3 (3 to 5 yrs)</v>
      </c>
      <c r="P837" s="260"/>
      <c r="Q837" s="260" t="str">
        <f t="shared" si="51"/>
        <v>Testing/ProductBased/ProductBasedTester/Senior</v>
      </c>
      <c r="R837" s="261" t="str">
        <f t="shared" si="49"/>
        <v>B2 AP2 (0.6 to 3 yrs) / B2 AP3 (3 to 5 yrs)</v>
      </c>
      <c r="S837" s="260" t="str">
        <f t="shared" si="50"/>
        <v>Testing_36</v>
      </c>
      <c r="T837" s="262" t="b">
        <v>0</v>
      </c>
      <c r="U837" s="263" t="str">
        <f>+VLOOKUP($C837,[8]GRC!$B$3:$L$350,9,0)</f>
        <v>B2 AP2 (0.6 to 3 yrs)</v>
      </c>
      <c r="V837" s="263" t="str">
        <f>+VLOOKUP($C837,[8]GRC!$B$3:$L$350,10,0)</f>
        <v>B2 AP3 (3 to 5 yrs)</v>
      </c>
      <c r="W837" s="263" t="b">
        <f t="shared" si="47"/>
        <v>1</v>
      </c>
      <c r="X837" s="263" t="b">
        <f t="shared" si="47"/>
        <v>1</v>
      </c>
    </row>
    <row r="838" spans="1:24" ht="15">
      <c r="A838" s="93">
        <v>334</v>
      </c>
      <c r="B838" s="94" t="s">
        <v>687</v>
      </c>
      <c r="C838" s="295" t="s">
        <v>1152</v>
      </c>
      <c r="D838" s="94" t="str">
        <f>+[7]GRC!D336</f>
        <v>Testing</v>
      </c>
      <c r="E838" s="94" t="s">
        <v>80</v>
      </c>
      <c r="F838" s="94" t="s">
        <v>305</v>
      </c>
      <c r="G838" s="94" t="s">
        <v>317</v>
      </c>
      <c r="H838" s="94" t="s">
        <v>182</v>
      </c>
      <c r="I838" s="94" t="s">
        <v>84</v>
      </c>
      <c r="J838" s="94" t="s">
        <v>145</v>
      </c>
      <c r="K838" s="94" t="s">
        <v>17</v>
      </c>
      <c r="L838" s="94" t="s">
        <v>16</v>
      </c>
      <c r="M838" s="94" t="s">
        <v>71</v>
      </c>
      <c r="N838" s="94" t="s">
        <v>138</v>
      </c>
      <c r="O838" s="259" t="str">
        <f t="shared" si="48"/>
        <v>B3 PL1 (5 to 7 yrs) / B3 PL2 (6 to 8 yrs)</v>
      </c>
      <c r="P838" s="260"/>
      <c r="Q838" s="260" t="str">
        <f t="shared" si="51"/>
        <v>Testing/ProductBased/ProductBasedTestLead/Junior</v>
      </c>
      <c r="R838" s="261" t="str">
        <f t="shared" si="49"/>
        <v>B3 PL1 (5 to 7 yrs) / B3 PL2 (6 to 8 yrs)</v>
      </c>
      <c r="S838" s="260" t="str">
        <f t="shared" si="50"/>
        <v>Testing_37</v>
      </c>
      <c r="T838" s="262" t="b">
        <v>0</v>
      </c>
      <c r="U838" s="263" t="str">
        <f>+VLOOKUP($C838,[8]GRC!$B$3:$L$350,9,0)</f>
        <v>B3 PL1 (5 to 7 yrs)</v>
      </c>
      <c r="V838" s="263" t="str">
        <f>+VLOOKUP($C838,[8]GRC!$B$3:$L$350,10,0)</f>
        <v>B3 PL2 (6 to 8 yrs)</v>
      </c>
      <c r="W838" s="263" t="b">
        <f t="shared" si="47"/>
        <v>1</v>
      </c>
      <c r="X838" s="263" t="b">
        <f t="shared" si="47"/>
        <v>1</v>
      </c>
    </row>
    <row r="839" spans="1:24" ht="15">
      <c r="A839" s="93">
        <v>335</v>
      </c>
      <c r="B839" s="94" t="s">
        <v>688</v>
      </c>
      <c r="C839" s="295" t="s">
        <v>1153</v>
      </c>
      <c r="D839" s="94" t="str">
        <f>+[7]GRC!D337</f>
        <v>Testing</v>
      </c>
      <c r="E839" s="94" t="s">
        <v>80</v>
      </c>
      <c r="F839" s="94" t="s">
        <v>305</v>
      </c>
      <c r="G839" s="94" t="s">
        <v>317</v>
      </c>
      <c r="H839" s="94" t="s">
        <v>182</v>
      </c>
      <c r="I839" s="94" t="s">
        <v>91</v>
      </c>
      <c r="J839" s="94" t="s">
        <v>147</v>
      </c>
      <c r="K839" s="94" t="s">
        <v>16</v>
      </c>
      <c r="L839" s="94" t="s">
        <v>15</v>
      </c>
      <c r="M839" s="94" t="s">
        <v>71</v>
      </c>
      <c r="N839" s="94" t="s">
        <v>138</v>
      </c>
      <c r="O839" s="259" t="str">
        <f t="shared" si="48"/>
        <v>B3 PL2 (6 to 8 yrs) / B3 PL3 (7 to 10 yrs)</v>
      </c>
      <c r="P839" s="260"/>
      <c r="Q839" s="260" t="str">
        <f t="shared" si="51"/>
        <v>Testing/ProductBased/ProductBasedTestLead/Senior</v>
      </c>
      <c r="R839" s="261" t="str">
        <f t="shared" si="49"/>
        <v>B3 PL2 (6 to 8 yrs) / B3 PL3 (7 to 10 yrs)</v>
      </c>
      <c r="S839" s="260" t="str">
        <f t="shared" si="50"/>
        <v>Testing_38</v>
      </c>
      <c r="T839" s="262" t="b">
        <v>0</v>
      </c>
      <c r="U839" s="263" t="str">
        <f>+VLOOKUP($C839,[8]GRC!$B$3:$L$350,9,0)</f>
        <v>B3 PL2 (6 to 8 yrs)</v>
      </c>
      <c r="V839" s="263" t="str">
        <f>+VLOOKUP($C839,[8]GRC!$B$3:$L$350,10,0)</f>
        <v>B3 PL3 (7 to 10 yrs)</v>
      </c>
      <c r="W839" s="263" t="b">
        <f t="shared" si="47"/>
        <v>1</v>
      </c>
      <c r="X839" s="263" t="b">
        <f t="shared" si="47"/>
        <v>1</v>
      </c>
    </row>
    <row r="840" spans="1:24" ht="15">
      <c r="A840" s="93">
        <v>336</v>
      </c>
      <c r="B840" s="94" t="s">
        <v>689</v>
      </c>
      <c r="C840" s="295" t="s">
        <v>1154</v>
      </c>
      <c r="D840" s="94" t="str">
        <f>+[7]GRC!D338</f>
        <v>Testing</v>
      </c>
      <c r="E840" s="94" t="s">
        <v>80</v>
      </c>
      <c r="F840" s="94" t="s">
        <v>305</v>
      </c>
      <c r="G840" s="94" t="s">
        <v>318</v>
      </c>
      <c r="H840" s="94" t="s">
        <v>182</v>
      </c>
      <c r="I840" s="94" t="s">
        <v>84</v>
      </c>
      <c r="J840" s="94" t="s">
        <v>184</v>
      </c>
      <c r="K840" s="94" t="s">
        <v>15</v>
      </c>
      <c r="L840" s="94" t="s">
        <v>14</v>
      </c>
      <c r="M840" s="94" t="s">
        <v>71</v>
      </c>
      <c r="N840" s="94" t="s">
        <v>138</v>
      </c>
      <c r="O840" s="259" t="str">
        <f t="shared" si="48"/>
        <v>B3 PL3 (7 to 10 yrs) / B4 PM1 (9 to 12 yrs)</v>
      </c>
      <c r="P840" s="260"/>
      <c r="Q840" s="260" t="str">
        <f t="shared" si="51"/>
        <v>Testing/ProductBased/ProductBasedTestManager/Junior</v>
      </c>
      <c r="R840" s="261" t="str">
        <f t="shared" si="49"/>
        <v>B3 PL3 (7 to 10 yrs) / B4 PM1 (9 to 12 yrs)</v>
      </c>
      <c r="S840" s="260" t="str">
        <f t="shared" si="50"/>
        <v>Testing_39</v>
      </c>
      <c r="T840" s="262" t="b">
        <v>0</v>
      </c>
      <c r="U840" s="263" t="str">
        <f>+VLOOKUP($C840,[8]GRC!$B$3:$L$350,9,0)</f>
        <v>B3 PL3 (7 to 10 yrs)</v>
      </c>
      <c r="V840" s="263" t="str">
        <f>+VLOOKUP($C840,[8]GRC!$B$3:$L$350,10,0)</f>
        <v>B4 PM1 (9 to 12 yrs)</v>
      </c>
      <c r="W840" s="263" t="b">
        <f t="shared" si="47"/>
        <v>1</v>
      </c>
      <c r="X840" s="263" t="b">
        <f t="shared" si="47"/>
        <v>1</v>
      </c>
    </row>
    <row r="841" spans="1:24" ht="15">
      <c r="A841" s="93">
        <v>337</v>
      </c>
      <c r="B841" s="94" t="s">
        <v>690</v>
      </c>
      <c r="C841" s="295" t="s">
        <v>1155</v>
      </c>
      <c r="D841" s="94" t="str">
        <f>+[7]GRC!D339</f>
        <v>Testing</v>
      </c>
      <c r="E841" s="94" t="s">
        <v>80</v>
      </c>
      <c r="F841" s="94" t="s">
        <v>305</v>
      </c>
      <c r="G841" s="94" t="s">
        <v>318</v>
      </c>
      <c r="H841" s="94" t="s">
        <v>182</v>
      </c>
      <c r="I841" s="94" t="s">
        <v>193</v>
      </c>
      <c r="J841" s="94" t="s">
        <v>185</v>
      </c>
      <c r="K841" s="94" t="s">
        <v>14</v>
      </c>
      <c r="L841" s="94" t="s">
        <v>42</v>
      </c>
      <c r="M841" s="94" t="s">
        <v>71</v>
      </c>
      <c r="N841" s="94" t="s">
        <v>138</v>
      </c>
      <c r="O841" s="259" t="str">
        <f t="shared" si="48"/>
        <v>B4 PM1 (9 to 12 yrs) / B4 PM2 (10 to 14 yrs)</v>
      </c>
      <c r="P841" s="260"/>
      <c r="Q841" s="260" t="str">
        <f t="shared" si="51"/>
        <v>Testing/ProductBased/ProductBasedTestManager/MidLevel</v>
      </c>
      <c r="R841" s="261" t="str">
        <f t="shared" si="49"/>
        <v>B4 PM1 (9 to 12 yrs) / B4 PM2 (10 to 14 yrs)</v>
      </c>
      <c r="S841" s="260" t="str">
        <f t="shared" si="50"/>
        <v>Testing_44</v>
      </c>
      <c r="T841" s="262" t="b">
        <v>0</v>
      </c>
      <c r="U841" s="263" t="str">
        <f>+VLOOKUP($C841,[8]GRC!$B$3:$L$350,9,0)</f>
        <v>B4 PM1 (9 to 12 yrs)</v>
      </c>
      <c r="V841" s="263" t="str">
        <f>+VLOOKUP($C841,[8]GRC!$B$3:$L$350,10,0)</f>
        <v>B4 PM2 (10 to 14 yrs)</v>
      </c>
      <c r="W841" s="263" t="b">
        <f t="shared" si="47"/>
        <v>1</v>
      </c>
      <c r="X841" s="263" t="b">
        <f t="shared" si="47"/>
        <v>1</v>
      </c>
    </row>
    <row r="842" spans="1:24" ht="15">
      <c r="A842" s="93">
        <v>338</v>
      </c>
      <c r="B842" s="94" t="s">
        <v>691</v>
      </c>
      <c r="C842" s="295" t="s">
        <v>1156</v>
      </c>
      <c r="D842" s="94" t="str">
        <f>+[7]GRC!D340</f>
        <v>Testing</v>
      </c>
      <c r="E842" s="94" t="s">
        <v>80</v>
      </c>
      <c r="F842" s="94" t="s">
        <v>305</v>
      </c>
      <c r="G842" s="94" t="s">
        <v>318</v>
      </c>
      <c r="H842" s="94" t="s">
        <v>182</v>
      </c>
      <c r="I842" s="94" t="s">
        <v>91</v>
      </c>
      <c r="J842" s="94" t="s">
        <v>149</v>
      </c>
      <c r="K842" s="94" t="s">
        <v>42</v>
      </c>
      <c r="L842" s="94" t="s">
        <v>41</v>
      </c>
      <c r="M842" s="94" t="s">
        <v>71</v>
      </c>
      <c r="N842" s="94" t="s">
        <v>138</v>
      </c>
      <c r="O842" s="259" t="str">
        <f t="shared" si="48"/>
        <v>B4 PM2 (10 to 14 yrs) / B4 PM3 (12 to 15 yrs)</v>
      </c>
      <c r="P842" s="260"/>
      <c r="Q842" s="260" t="str">
        <f t="shared" si="51"/>
        <v>Testing/ProductBased/ProductBasedTestManager/Senior</v>
      </c>
      <c r="R842" s="261" t="str">
        <f t="shared" si="49"/>
        <v>B4 PM2 (10 to 14 yrs) / B4 PM3 (12 to 15 yrs)</v>
      </c>
      <c r="S842" s="260" t="str">
        <f t="shared" si="50"/>
        <v>Testing_40</v>
      </c>
      <c r="T842" s="262" t="b">
        <v>0</v>
      </c>
      <c r="U842" s="263" t="str">
        <f>+VLOOKUP($C842,[8]GRC!$B$3:$L$350,9,0)</f>
        <v>B4 PM2 (10 to 14 yrs)</v>
      </c>
      <c r="V842" s="263" t="str">
        <f>+VLOOKUP($C842,[8]GRC!$B$3:$L$350,10,0)</f>
        <v>B4 PM3 (12 to 15 yrs)</v>
      </c>
      <c r="W842" s="263" t="b">
        <f t="shared" si="47"/>
        <v>1</v>
      </c>
      <c r="X842" s="263" t="b">
        <f t="shared" si="47"/>
        <v>1</v>
      </c>
    </row>
    <row r="843" spans="1:24" ht="15">
      <c r="A843" s="93">
        <v>339</v>
      </c>
      <c r="B843" s="94" t="s">
        <v>692</v>
      </c>
      <c r="C843" s="295" t="s">
        <v>1157</v>
      </c>
      <c r="D843" s="94" t="str">
        <f>+[7]GRC!D341</f>
        <v>Testing</v>
      </c>
      <c r="E843" s="94" t="s">
        <v>80</v>
      </c>
      <c r="F843" s="96" t="s">
        <v>304</v>
      </c>
      <c r="G843" s="94" t="s">
        <v>325</v>
      </c>
      <c r="H843" s="94" t="s">
        <v>113</v>
      </c>
      <c r="I843" s="94"/>
      <c r="J843" s="94" t="s">
        <v>139</v>
      </c>
      <c r="K843" s="94" t="s">
        <v>13</v>
      </c>
      <c r="L843" s="94" t="s">
        <v>71</v>
      </c>
      <c r="M843" s="94" t="s">
        <v>71</v>
      </c>
      <c r="N843" s="94" t="s">
        <v>138</v>
      </c>
      <c r="O843" s="259" t="str">
        <f t="shared" si="48"/>
        <v>B5 (min 8 yrs) / None</v>
      </c>
      <c r="P843" s="260"/>
      <c r="Q843" s="260" t="str">
        <f t="shared" si="51"/>
        <v>Testing/TestingTwo/TestingTestDirector/</v>
      </c>
      <c r="R843" s="261" t="str">
        <f t="shared" si="49"/>
        <v>B5 (min 8 yrs) / None</v>
      </c>
      <c r="S843" s="260" t="str">
        <f t="shared" si="50"/>
        <v>Testing_41</v>
      </c>
      <c r="T843" s="262" t="b">
        <v>0</v>
      </c>
      <c r="U843" s="263" t="str">
        <f>+VLOOKUP($C843,[8]GRC!$B$3:$L$350,9,0)</f>
        <v>B5 (min 8 yrs)</v>
      </c>
      <c r="V843" s="263" t="str">
        <f>+VLOOKUP($C843,[8]GRC!$B$3:$L$350,10,0)</f>
        <v>None</v>
      </c>
      <c r="W843" s="263" t="b">
        <f t="shared" si="47"/>
        <v>1</v>
      </c>
      <c r="X843" s="263" t="b">
        <f t="shared" si="47"/>
        <v>1</v>
      </c>
    </row>
    <row r="844" spans="1:24" ht="15">
      <c r="A844" s="93">
        <v>340</v>
      </c>
      <c r="B844" s="94" t="s">
        <v>693</v>
      </c>
      <c r="C844" s="295" t="s">
        <v>1158</v>
      </c>
      <c r="D844" s="94" t="str">
        <f>+[7]GRC!D342</f>
        <v>Testing</v>
      </c>
      <c r="E844" s="94" t="s">
        <v>80</v>
      </c>
      <c r="F844" s="96" t="s">
        <v>304</v>
      </c>
      <c r="G844" s="94" t="s">
        <v>329</v>
      </c>
      <c r="H844" s="94" t="s">
        <v>114</v>
      </c>
      <c r="I844" s="94"/>
      <c r="J844" s="94" t="s">
        <v>139</v>
      </c>
      <c r="K844" s="94" t="s">
        <v>41</v>
      </c>
      <c r="L844" s="94" t="s">
        <v>13</v>
      </c>
      <c r="M844" s="94" t="s">
        <v>71</v>
      </c>
      <c r="N844" s="94" t="s">
        <v>138</v>
      </c>
      <c r="O844" s="259" t="str">
        <f t="shared" si="48"/>
        <v>B4 PM3 (12 to 15 yrs) / B5 (min 8 yrs)</v>
      </c>
      <c r="P844" s="260"/>
      <c r="Q844" s="260" t="str">
        <f t="shared" si="51"/>
        <v>Testing/TestingTwo/TestingTestProcessConsultant/</v>
      </c>
      <c r="R844" s="261" t="str">
        <f t="shared" si="49"/>
        <v>B4 PM3 (12 to 15 yrs) / B5 (min 8 yrs)</v>
      </c>
      <c r="S844" s="260" t="str">
        <f t="shared" si="50"/>
        <v>Testing_42</v>
      </c>
      <c r="T844" s="262" t="b">
        <v>0</v>
      </c>
      <c r="U844" s="263" t="str">
        <f>+VLOOKUP($C844,[8]GRC!$B$3:$L$350,9,0)</f>
        <v>B4 PM3 (12 to 15 yrs)</v>
      </c>
      <c r="V844" s="263" t="str">
        <f>+VLOOKUP($C844,[8]GRC!$B$3:$L$350,10,0)</f>
        <v>B5 (min 8 yrs)</v>
      </c>
      <c r="W844" s="263" t="b">
        <f t="shared" si="47"/>
        <v>1</v>
      </c>
      <c r="X844" s="263" t="b">
        <f t="shared" si="47"/>
        <v>1</v>
      </c>
    </row>
    <row r="845" spans="1:24" ht="15">
      <c r="A845" s="93">
        <v>341</v>
      </c>
      <c r="B845" s="94" t="s">
        <v>694</v>
      </c>
      <c r="C845" s="295" t="s">
        <v>1159</v>
      </c>
      <c r="D845" s="94" t="str">
        <f>+[7]GRC!D343</f>
        <v>Mobility</v>
      </c>
      <c r="E845" s="94" t="s">
        <v>183</v>
      </c>
      <c r="F845" s="94" t="s">
        <v>191</v>
      </c>
      <c r="G845" s="94" t="s">
        <v>255</v>
      </c>
      <c r="H845" s="94"/>
      <c r="I845" s="94" t="s">
        <v>84</v>
      </c>
      <c r="J845" s="94" t="s">
        <v>148</v>
      </c>
      <c r="K845" s="94" t="s">
        <v>14</v>
      </c>
      <c r="L845" s="94" t="s">
        <v>71</v>
      </c>
      <c r="M845" s="94" t="s">
        <v>71</v>
      </c>
      <c r="N845" s="94" t="s">
        <v>138</v>
      </c>
      <c r="O845" s="259" t="str">
        <f t="shared" si="48"/>
        <v>B4 PM1 (9 to 12 yrs) / None</v>
      </c>
      <c r="P845" s="260"/>
      <c r="Q845" s="260" t="str">
        <f t="shared" si="51"/>
        <v>Mobility/MobilityE/ArchitectMobility/Junior</v>
      </c>
      <c r="R845" s="261" t="str">
        <f t="shared" si="49"/>
        <v>B4 PM1 (9 to 12 yrs) / None</v>
      </c>
      <c r="S845" s="260" t="str">
        <f t="shared" si="50"/>
        <v>Mobility_9</v>
      </c>
      <c r="T845" s="262" t="b">
        <v>0</v>
      </c>
      <c r="U845" s="263" t="str">
        <f>+VLOOKUP($C845,[8]GRC!$B$3:$L$350,9,0)</f>
        <v>B4 PM1 (9 to 12 yrs)</v>
      </c>
      <c r="V845" s="263" t="str">
        <f>+VLOOKUP($C845,[8]GRC!$B$3:$L$350,10,0)</f>
        <v>None</v>
      </c>
      <c r="W845" s="263" t="b">
        <f t="shared" si="47"/>
        <v>1</v>
      </c>
      <c r="X845" s="263" t="b">
        <f t="shared" si="47"/>
        <v>1</v>
      </c>
    </row>
    <row r="846" spans="1:24" ht="15">
      <c r="A846" s="93">
        <v>342</v>
      </c>
      <c r="B846" s="94" t="s">
        <v>695</v>
      </c>
      <c r="C846" s="295" t="s">
        <v>1160</v>
      </c>
      <c r="D846" s="94" t="str">
        <f>+[7]GRC!D344</f>
        <v>Mobility</v>
      </c>
      <c r="E846" s="94" t="s">
        <v>183</v>
      </c>
      <c r="F846" s="94" t="s">
        <v>191</v>
      </c>
      <c r="G846" s="94" t="s">
        <v>255</v>
      </c>
      <c r="H846" s="94"/>
      <c r="I846" s="94" t="s">
        <v>193</v>
      </c>
      <c r="J846" s="94" t="s">
        <v>186</v>
      </c>
      <c r="K846" s="94" t="s">
        <v>42</v>
      </c>
      <c r="L846" s="94" t="s">
        <v>41</v>
      </c>
      <c r="M846" s="94" t="s">
        <v>71</v>
      </c>
      <c r="N846" s="94" t="s">
        <v>138</v>
      </c>
      <c r="O846" s="259" t="str">
        <f t="shared" si="48"/>
        <v>B4 PM2 (10 to 14 yrs) / B4 PM3 (12 to 15 yrs)</v>
      </c>
      <c r="P846" s="260"/>
      <c r="Q846" s="260" t="str">
        <f t="shared" si="51"/>
        <v>Mobility/MobilityE/ArchitectMobility/MidLevel</v>
      </c>
      <c r="R846" s="261" t="str">
        <f t="shared" si="49"/>
        <v>B4 PM2 (10 to 14 yrs) / B4 PM3 (12 to 15 yrs)</v>
      </c>
      <c r="S846" s="260" t="str">
        <f t="shared" si="50"/>
        <v>Mobility_10</v>
      </c>
      <c r="T846" s="262" t="b">
        <v>0</v>
      </c>
      <c r="U846" s="263" t="str">
        <f>+VLOOKUP($C846,[8]GRC!$B$3:$L$350,9,0)</f>
        <v>B4 PM2 (10 to 14 yrs)</v>
      </c>
      <c r="V846" s="263" t="str">
        <f>+VLOOKUP($C846,[8]GRC!$B$3:$L$350,10,0)</f>
        <v>B4 PM3 (12 to 15 yrs)</v>
      </c>
      <c r="W846" s="263" t="b">
        <f t="shared" si="47"/>
        <v>1</v>
      </c>
      <c r="X846" s="263" t="b">
        <f t="shared" si="47"/>
        <v>1</v>
      </c>
    </row>
    <row r="847" spans="1:24" ht="15">
      <c r="A847" s="93">
        <v>343</v>
      </c>
      <c r="B847" s="94" t="s">
        <v>696</v>
      </c>
      <c r="C847" s="295" t="s">
        <v>1161</v>
      </c>
      <c r="D847" s="94" t="str">
        <f>+[7]GRC!D345</f>
        <v>Mobility</v>
      </c>
      <c r="E847" s="94" t="s">
        <v>183</v>
      </c>
      <c r="F847" s="94" t="s">
        <v>191</v>
      </c>
      <c r="G847" s="94" t="s">
        <v>255</v>
      </c>
      <c r="H847" s="94"/>
      <c r="I847" s="94" t="s">
        <v>91</v>
      </c>
      <c r="J847" s="94" t="s">
        <v>139</v>
      </c>
      <c r="K847" s="94" t="s">
        <v>41</v>
      </c>
      <c r="L847" s="94" t="s">
        <v>13</v>
      </c>
      <c r="M847" s="94" t="s">
        <v>71</v>
      </c>
      <c r="N847" s="94" t="s">
        <v>138</v>
      </c>
      <c r="O847" s="259" t="str">
        <f t="shared" si="48"/>
        <v>B4 PM3 (12 to 15 yrs) / B5 (min 8 yrs)</v>
      </c>
      <c r="P847" s="260"/>
      <c r="Q847" s="260" t="str">
        <f t="shared" si="51"/>
        <v>Mobility/MobilityE/ArchitectMobility/Senior</v>
      </c>
      <c r="R847" s="261" t="str">
        <f t="shared" si="49"/>
        <v>B4 PM3 (12 to 15 yrs) / B5 (min 8 yrs)</v>
      </c>
      <c r="S847" s="260" t="str">
        <f t="shared" si="50"/>
        <v>Mobility_11</v>
      </c>
      <c r="T847" s="262" t="b">
        <v>0</v>
      </c>
      <c r="U847" s="263" t="str">
        <f>+VLOOKUP($C847,[8]GRC!$B$3:$L$350,9,0)</f>
        <v>B4 PM3 (12 to 15 yrs)</v>
      </c>
      <c r="V847" s="263" t="str">
        <f>+VLOOKUP($C847,[8]GRC!$B$3:$L$350,10,0)</f>
        <v>B5 (min 8 yrs)</v>
      </c>
      <c r="W847" s="263" t="b">
        <f t="shared" si="47"/>
        <v>1</v>
      </c>
      <c r="X847" s="263" t="b">
        <f t="shared" si="47"/>
        <v>1</v>
      </c>
    </row>
    <row r="848" spans="1:24" ht="15">
      <c r="A848" s="93">
        <v>344</v>
      </c>
      <c r="B848" s="94" t="s">
        <v>697</v>
      </c>
      <c r="C848" s="295" t="s">
        <v>1162</v>
      </c>
      <c r="D848" s="94" t="str">
        <f>+[7]GRC!D346</f>
        <v>Mobility</v>
      </c>
      <c r="E848" s="94" t="s">
        <v>183</v>
      </c>
      <c r="F848" s="94" t="s">
        <v>191</v>
      </c>
      <c r="G848" s="94" t="s">
        <v>256</v>
      </c>
      <c r="H848" s="94"/>
      <c r="I848" s="94" t="s">
        <v>84</v>
      </c>
      <c r="J848" s="94" t="s">
        <v>150</v>
      </c>
      <c r="K848" s="94" t="s">
        <v>20</v>
      </c>
      <c r="L848" s="94" t="s">
        <v>19</v>
      </c>
      <c r="M848" s="94" t="s">
        <v>71</v>
      </c>
      <c r="N848" s="94" t="s">
        <v>138</v>
      </c>
      <c r="O848" s="259" t="str">
        <f t="shared" si="48"/>
        <v>B2 AP1 / B2 AP2 (0.6 to 3 yrs)</v>
      </c>
      <c r="P848" s="260"/>
      <c r="Q848" s="260" t="str">
        <f t="shared" si="51"/>
        <v>Mobility/MobilityE/DeveloperMobility/Junior</v>
      </c>
      <c r="R848" s="261" t="str">
        <f t="shared" si="49"/>
        <v>B2 AP1 / B2 AP2 (0.6 to 3 yrs)</v>
      </c>
      <c r="S848" s="260" t="str">
        <f t="shared" si="50"/>
        <v>Mobility_4</v>
      </c>
      <c r="T848" s="262" t="b">
        <v>0</v>
      </c>
      <c r="U848" s="263" t="str">
        <f>+VLOOKUP($C848,[8]GRC!$B$3:$L$350,9,0)</f>
        <v>B2 AP1</v>
      </c>
      <c r="V848" s="263" t="str">
        <f>+VLOOKUP($C848,[8]GRC!$B$3:$L$350,10,0)</f>
        <v>B2 AP2 (0.6 to 3 yrs)</v>
      </c>
      <c r="W848" s="263" t="b">
        <f t="shared" si="47"/>
        <v>1</v>
      </c>
      <c r="X848" s="263" t="b">
        <f t="shared" si="47"/>
        <v>1</v>
      </c>
    </row>
    <row r="849" spans="1:24" ht="15">
      <c r="A849" s="93">
        <v>345</v>
      </c>
      <c r="B849" s="94" t="s">
        <v>698</v>
      </c>
      <c r="C849" s="295" t="s">
        <v>1163</v>
      </c>
      <c r="D849" s="94" t="str">
        <f>+[7]GRC!D347</f>
        <v>Mobility</v>
      </c>
      <c r="E849" s="94" t="s">
        <v>183</v>
      </c>
      <c r="F849" s="94" t="s">
        <v>191</v>
      </c>
      <c r="G849" s="94" t="s">
        <v>256</v>
      </c>
      <c r="H849" s="94"/>
      <c r="I849" s="94" t="s">
        <v>193</v>
      </c>
      <c r="J849" s="94" t="s">
        <v>151</v>
      </c>
      <c r="K849" s="94" t="s">
        <v>19</v>
      </c>
      <c r="L849" s="94" t="s">
        <v>18</v>
      </c>
      <c r="M849" s="94" t="s">
        <v>71</v>
      </c>
      <c r="N849" s="94" t="s">
        <v>138</v>
      </c>
      <c r="O849" s="259" t="str">
        <f t="shared" si="48"/>
        <v>B2 AP2 (0.6 to 3 yrs) / B2 AP3 (3 to 5 yrs)</v>
      </c>
      <c r="P849" s="260"/>
      <c r="Q849" s="260" t="str">
        <f t="shared" si="51"/>
        <v>Mobility/MobilityE/DeveloperMobility/MidLevel</v>
      </c>
      <c r="R849" s="261" t="str">
        <f t="shared" si="49"/>
        <v>B2 AP2 (0.6 to 3 yrs) / B2 AP3 (3 to 5 yrs)</v>
      </c>
      <c r="S849" s="260" t="str">
        <f t="shared" si="50"/>
        <v>Mobility_5</v>
      </c>
      <c r="T849" s="262" t="b">
        <v>0</v>
      </c>
      <c r="U849" s="263" t="str">
        <f>+VLOOKUP($C849,[8]GRC!$B$3:$L$350,9,0)</f>
        <v>B2 AP2 (0.6 to 3 yrs)</v>
      </c>
      <c r="V849" s="263" t="str">
        <f>+VLOOKUP($C849,[8]GRC!$B$3:$L$350,10,0)</f>
        <v>B2 AP3 (3 to 5 yrs)</v>
      </c>
      <c r="W849" s="263" t="b">
        <f t="shared" si="47"/>
        <v>1</v>
      </c>
      <c r="X849" s="263" t="b">
        <f t="shared" si="47"/>
        <v>1</v>
      </c>
    </row>
    <row r="850" spans="1:24" ht="15">
      <c r="A850" s="93">
        <v>346</v>
      </c>
      <c r="B850" s="94" t="s">
        <v>699</v>
      </c>
      <c r="C850" s="295" t="s">
        <v>1164</v>
      </c>
      <c r="D850" s="94" t="str">
        <f>+[7]GRC!D348</f>
        <v>Mobility</v>
      </c>
      <c r="E850" s="94" t="s">
        <v>183</v>
      </c>
      <c r="F850" s="94" t="s">
        <v>191</v>
      </c>
      <c r="G850" s="94" t="s">
        <v>256</v>
      </c>
      <c r="H850" s="94"/>
      <c r="I850" s="94" t="s">
        <v>91</v>
      </c>
      <c r="J850" s="94" t="s">
        <v>145</v>
      </c>
      <c r="K850" s="94" t="s">
        <v>18</v>
      </c>
      <c r="L850" s="94" t="s">
        <v>17</v>
      </c>
      <c r="M850" s="94" t="s">
        <v>71</v>
      </c>
      <c r="N850" s="94" t="s">
        <v>138</v>
      </c>
      <c r="O850" s="259" t="str">
        <f t="shared" si="48"/>
        <v>B2 AP3 (3 to 5 yrs) / B3 PL1 (5 to 7 yrs)</v>
      </c>
      <c r="P850" s="260"/>
      <c r="Q850" s="260" t="str">
        <f t="shared" si="51"/>
        <v>Mobility/MobilityE/DeveloperMobility/Senior</v>
      </c>
      <c r="R850" s="261" t="str">
        <f t="shared" si="49"/>
        <v>B2 AP3 (3 to 5 yrs) / B3 PL1 (5 to 7 yrs)</v>
      </c>
      <c r="S850" s="260" t="str">
        <f t="shared" si="50"/>
        <v>Mobility_6</v>
      </c>
      <c r="T850" s="262" t="b">
        <v>0</v>
      </c>
      <c r="U850" s="263" t="str">
        <f>+VLOOKUP($C850,[8]GRC!$B$3:$L$350,9,0)</f>
        <v>B2 AP3 (3 to 5 yrs)</v>
      </c>
      <c r="V850" s="263" t="str">
        <f>+VLOOKUP($C850,[8]GRC!$B$3:$L$350,10,0)</f>
        <v>B3 PL1 (5 to 7 yrs)</v>
      </c>
      <c r="W850" s="263" t="b">
        <f t="shared" si="47"/>
        <v>1</v>
      </c>
      <c r="X850" s="263" t="b">
        <f t="shared" si="47"/>
        <v>1</v>
      </c>
    </row>
    <row r="851" spans="1:24" ht="15">
      <c r="A851" s="93">
        <v>347</v>
      </c>
      <c r="B851" s="94" t="s">
        <v>700</v>
      </c>
      <c r="C851" s="295" t="s">
        <v>1165</v>
      </c>
      <c r="D851" s="94" t="str">
        <f>+[7]GRC!D349</f>
        <v>Mobility</v>
      </c>
      <c r="E851" s="94" t="s">
        <v>183</v>
      </c>
      <c r="F851" s="94" t="s">
        <v>191</v>
      </c>
      <c r="G851" s="94" t="s">
        <v>257</v>
      </c>
      <c r="H851" s="94"/>
      <c r="I851" s="94" t="s">
        <v>84</v>
      </c>
      <c r="J851" s="94" t="s">
        <v>145</v>
      </c>
      <c r="K851" s="94" t="s">
        <v>17</v>
      </c>
      <c r="L851" s="94" t="s">
        <v>16</v>
      </c>
      <c r="M851" s="94" t="s">
        <v>71</v>
      </c>
      <c r="N851" s="94" t="s">
        <v>138</v>
      </c>
      <c r="O851" s="259" t="str">
        <f t="shared" si="48"/>
        <v>B3 PL1 (5 to 7 yrs) / B3 PL2 (6 to 8 yrs)</v>
      </c>
      <c r="P851" s="260"/>
      <c r="Q851" s="260" t="str">
        <f t="shared" si="51"/>
        <v>Mobility/MobilityE/TechnicalLeadMobility/Junior</v>
      </c>
      <c r="R851" s="261" t="str">
        <f t="shared" si="49"/>
        <v>B3 PL1 (5 to 7 yrs) / B3 PL2 (6 to 8 yrs)</v>
      </c>
      <c r="S851" s="260" t="str">
        <f t="shared" si="50"/>
        <v>Mobility_7</v>
      </c>
      <c r="T851" s="262" t="b">
        <v>0</v>
      </c>
      <c r="U851" s="263" t="str">
        <f>+VLOOKUP($C851,[8]GRC!$B$3:$L$350,9,0)</f>
        <v>B3 PL1 (5 to 7 yrs)</v>
      </c>
      <c r="V851" s="263" t="str">
        <f>+VLOOKUP($C851,[8]GRC!$B$3:$L$350,10,0)</f>
        <v>B3 PL2 (6 to 8 yrs)</v>
      </c>
      <c r="W851" s="263" t="b">
        <f t="shared" si="47"/>
        <v>1</v>
      </c>
      <c r="X851" s="263" t="b">
        <f t="shared" si="47"/>
        <v>1</v>
      </c>
    </row>
    <row r="852" spans="1:24" ht="15">
      <c r="A852" s="93">
        <v>348</v>
      </c>
      <c r="B852" s="94" t="s">
        <v>701</v>
      </c>
      <c r="C852" s="295" t="s">
        <v>1166</v>
      </c>
      <c r="D852" s="94" t="str">
        <f>+[7]GRC!D350</f>
        <v>Mobility</v>
      </c>
      <c r="E852" s="94" t="s">
        <v>183</v>
      </c>
      <c r="F852" s="94" t="s">
        <v>191</v>
      </c>
      <c r="G852" s="94" t="s">
        <v>257</v>
      </c>
      <c r="H852" s="94"/>
      <c r="I852" s="94" t="s">
        <v>91</v>
      </c>
      <c r="J852" s="94" t="s">
        <v>147</v>
      </c>
      <c r="K852" s="94" t="s">
        <v>15</v>
      </c>
      <c r="L852" s="94" t="s">
        <v>71</v>
      </c>
      <c r="M852" s="94" t="s">
        <v>71</v>
      </c>
      <c r="N852" s="94" t="s">
        <v>138</v>
      </c>
      <c r="O852" s="259" t="str">
        <f t="shared" si="48"/>
        <v>B3 PL3 (7 to 10 yrs) / None</v>
      </c>
      <c r="P852" s="260"/>
      <c r="Q852" s="260" t="str">
        <f t="shared" si="51"/>
        <v>Mobility/MobilityE/TechnicalLeadMobility/Senior</v>
      </c>
      <c r="R852" s="261" t="str">
        <f t="shared" si="49"/>
        <v>B3 PL3 (7 to 10 yrs) / None</v>
      </c>
      <c r="S852" s="260" t="str">
        <f t="shared" si="50"/>
        <v>Mobility_8</v>
      </c>
      <c r="T852" s="262" t="b">
        <v>0</v>
      </c>
      <c r="U852" s="263" t="str">
        <f>+VLOOKUP($C852,[8]GRC!$B$3:$L$350,9,0)</f>
        <v>B3 PL3 (7 to 10 yrs)</v>
      </c>
      <c r="V852" s="263" t="str">
        <f>+VLOOKUP($C852,[8]GRC!$B$3:$L$350,10,0)</f>
        <v>None</v>
      </c>
      <c r="W852" s="263" t="b">
        <f>+U852=K852</f>
        <v>1</v>
      </c>
      <c r="X852" s="263" t="b">
        <f>+V852=L852</f>
        <v>1</v>
      </c>
    </row>
    <row r="853" spans="1:24" ht="15">
      <c r="A853" s="93">
        <f>+A852+1</f>
        <v>349</v>
      </c>
      <c r="B853" s="94" t="str">
        <f>+C853&amp;"-"&amp;D853&amp;"/"&amp;E853&amp;"/"&amp;F853&amp;"/"&amp;G853&amp;"/"&amp;H853&amp;"/"&amp;I853</f>
        <v>Testing_45-Testing/Testing/Automation/AutomationTester/Functional Automation Testing Tools/Senior</v>
      </c>
      <c r="C853" s="295" t="s">
        <v>1167</v>
      </c>
      <c r="D853" s="94" t="str">
        <f>+[7]GRC!D351</f>
        <v>Testing</v>
      </c>
      <c r="E853" s="162" t="s">
        <v>80</v>
      </c>
      <c r="F853" s="162" t="s">
        <v>89</v>
      </c>
      <c r="G853" s="162" t="s">
        <v>306</v>
      </c>
      <c r="H853" s="94" t="s">
        <v>90</v>
      </c>
      <c r="I853" s="96" t="s">
        <v>91</v>
      </c>
      <c r="J853" s="94" t="s">
        <v>722</v>
      </c>
      <c r="K853" s="94" t="s">
        <v>18</v>
      </c>
      <c r="L853" s="94" t="s">
        <v>17</v>
      </c>
      <c r="M853" s="94" t="s">
        <v>71</v>
      </c>
      <c r="N853" s="94" t="s">
        <v>138</v>
      </c>
      <c r="O853" s="259" t="str">
        <f t="shared" si="48"/>
        <v>B2 AP3 (3 to 5 yrs) / B3 PL1 (5 to 7 yrs)</v>
      </c>
      <c r="P853" s="260"/>
      <c r="Q853" s="260" t="str">
        <f t="shared" si="51"/>
        <v>Testing/Automation/AutomationTester/Senior</v>
      </c>
      <c r="R853" s="261" t="str">
        <f t="shared" si="49"/>
        <v>B2 AP3 (3 to 5 yrs) / B3 PL1 (5 to 7 yrs)</v>
      </c>
      <c r="S853" s="260" t="str">
        <f t="shared" si="50"/>
        <v>Testing_45</v>
      </c>
      <c r="T853" s="269"/>
    </row>
    <row r="854" spans="1:24" ht="15">
      <c r="A854" s="93">
        <f t="shared" ref="A854:A917" si="52">+A853+1</f>
        <v>350</v>
      </c>
      <c r="B854" s="94" t="str">
        <f t="shared" ref="B854:B917" si="53">+C854&amp;"-"&amp;D854&amp;"/"&amp;E854&amp;"/"&amp;F854&amp;"/"&amp;G854&amp;"/"&amp;H854&amp;"/"&amp;I854</f>
        <v>Testing_46-Testing/Testing/ManualTesting/ManualTestingTester/Manual Testing/Senior</v>
      </c>
      <c r="C854" s="295" t="s">
        <v>1168</v>
      </c>
      <c r="D854" s="94" t="str">
        <f>+[7]GRC!D352</f>
        <v>Testing</v>
      </c>
      <c r="E854" s="162" t="s">
        <v>80</v>
      </c>
      <c r="F854" s="162" t="s">
        <v>303</v>
      </c>
      <c r="G854" s="162" t="s">
        <v>310</v>
      </c>
      <c r="H854" s="94" t="s">
        <v>103</v>
      </c>
      <c r="I854" s="96" t="s">
        <v>91</v>
      </c>
      <c r="J854" s="94" t="s">
        <v>722</v>
      </c>
      <c r="K854" s="94" t="s">
        <v>18</v>
      </c>
      <c r="L854" s="94" t="s">
        <v>17</v>
      </c>
      <c r="M854" s="94" t="s">
        <v>71</v>
      </c>
      <c r="N854" s="94" t="s">
        <v>72</v>
      </c>
      <c r="O854" s="259" t="str">
        <f t="shared" si="48"/>
        <v>B2 AP3 (3 to 5 yrs) / B3 PL1 (5 to 7 yrs)</v>
      </c>
      <c r="P854" s="260"/>
      <c r="Q854" s="260" t="str">
        <f t="shared" si="51"/>
        <v>Testing/ManualTesting/ManualTestingTester/Senior</v>
      </c>
      <c r="R854" s="261" t="str">
        <f t="shared" si="49"/>
        <v>B2 AP3 (3 to 5 yrs) / B3 PL1 (5 to 7 yrs)</v>
      </c>
      <c r="S854" s="260" t="str">
        <f t="shared" si="50"/>
        <v>Testing_46</v>
      </c>
      <c r="T854" s="269"/>
    </row>
    <row r="855" spans="1:24" ht="15">
      <c r="A855" s="93">
        <f t="shared" si="52"/>
        <v>351</v>
      </c>
      <c r="B855" s="94" t="str">
        <f t="shared" si="53"/>
        <v>Testing_47-Testing/Testing/Performance/PerformanceTester/Non-Functional Performace Testing Tools/Senior</v>
      </c>
      <c r="C855" s="295" t="s">
        <v>1169</v>
      </c>
      <c r="D855" s="94" t="str">
        <f>+[7]GRC!D353</f>
        <v>Testing</v>
      </c>
      <c r="E855" s="162" t="s">
        <v>80</v>
      </c>
      <c r="F855" s="162" t="s">
        <v>105</v>
      </c>
      <c r="G855" s="162" t="s">
        <v>313</v>
      </c>
      <c r="H855" s="94" t="s">
        <v>106</v>
      </c>
      <c r="I855" s="96" t="s">
        <v>91</v>
      </c>
      <c r="J855" s="94" t="s">
        <v>722</v>
      </c>
      <c r="K855" s="94" t="s">
        <v>18</v>
      </c>
      <c r="L855" s="94" t="s">
        <v>17</v>
      </c>
      <c r="M855" s="94" t="s">
        <v>71</v>
      </c>
      <c r="N855" s="94" t="s">
        <v>138</v>
      </c>
      <c r="O855" s="259" t="str">
        <f t="shared" si="48"/>
        <v>B2 AP3 (3 to 5 yrs) / B3 PL1 (5 to 7 yrs)</v>
      </c>
      <c r="P855" s="260"/>
      <c r="Q855" s="260" t="str">
        <f t="shared" si="51"/>
        <v>Testing/Performance/PerformanceTester/Senior</v>
      </c>
      <c r="R855" s="261" t="str">
        <f t="shared" si="49"/>
        <v>B2 AP3 (3 to 5 yrs) / B3 PL1 (5 to 7 yrs)</v>
      </c>
      <c r="S855" s="260" t="str">
        <f t="shared" si="50"/>
        <v>Testing_47</v>
      </c>
      <c r="T855" s="269"/>
    </row>
    <row r="856" spans="1:24" ht="15">
      <c r="A856" s="93">
        <f t="shared" si="52"/>
        <v>352</v>
      </c>
      <c r="B856" s="94" t="str">
        <f t="shared" si="53"/>
        <v>PLM_1-PLMEnggServices-PLM/PLMEnggServices/PLM/PLMDeveloper//Junior</v>
      </c>
      <c r="C856" s="295" t="s">
        <v>1170</v>
      </c>
      <c r="D856" s="94" t="str">
        <f>+[7]GRC!D354</f>
        <v>PLMEnggServices-PLM</v>
      </c>
      <c r="E856" s="160" t="s">
        <v>741</v>
      </c>
      <c r="F856" s="161" t="s">
        <v>708</v>
      </c>
      <c r="G856" s="94" t="s">
        <v>709</v>
      </c>
      <c r="H856" s="94"/>
      <c r="I856" s="94" t="s">
        <v>84</v>
      </c>
      <c r="J856" s="94" t="s">
        <v>150</v>
      </c>
      <c r="K856" s="94" t="s">
        <v>20</v>
      </c>
      <c r="L856" s="94" t="s">
        <v>19</v>
      </c>
      <c r="M856" s="94" t="s">
        <v>71</v>
      </c>
      <c r="N856" s="94" t="s">
        <v>138</v>
      </c>
      <c r="O856" s="259" t="str">
        <f t="shared" si="48"/>
        <v>B2 AP1 / B2 AP2 (0.6 to 3 yrs)</v>
      </c>
      <c r="P856" s="260"/>
      <c r="Q856" s="260" t="str">
        <f t="shared" si="51"/>
        <v>PLMEnggServices/PLM/PLMDeveloper/Junior</v>
      </c>
      <c r="R856" s="261" t="str">
        <f t="shared" si="49"/>
        <v>B2 AP1 / B2 AP2 (0.6 to 3 yrs)</v>
      </c>
      <c r="S856" s="260" t="str">
        <f t="shared" si="50"/>
        <v>PLM_1</v>
      </c>
      <c r="T856" s="269"/>
    </row>
    <row r="857" spans="1:24" ht="15">
      <c r="A857" s="93">
        <f t="shared" si="52"/>
        <v>353</v>
      </c>
      <c r="B857" s="94" t="str">
        <f t="shared" si="53"/>
        <v>PLM_2-PLMEnggServices-PLM/PLMEnggServices/PLM/PLMDeveloper//MidLevel</v>
      </c>
      <c r="C857" s="295" t="s">
        <v>1171</v>
      </c>
      <c r="D857" s="94" t="str">
        <f>+[7]GRC!D355</f>
        <v>PLMEnggServices-PLM</v>
      </c>
      <c r="E857" s="160" t="s">
        <v>741</v>
      </c>
      <c r="F857" s="161" t="s">
        <v>708</v>
      </c>
      <c r="G857" s="94" t="s">
        <v>709</v>
      </c>
      <c r="H857" s="94"/>
      <c r="I857" s="94" t="s">
        <v>193</v>
      </c>
      <c r="J857" s="94" t="s">
        <v>151</v>
      </c>
      <c r="K857" s="94" t="s">
        <v>19</v>
      </c>
      <c r="L857" s="94" t="s">
        <v>18</v>
      </c>
      <c r="M857" s="94" t="s">
        <v>71</v>
      </c>
      <c r="N857" s="94" t="s">
        <v>138</v>
      </c>
      <c r="O857" s="259" t="str">
        <f t="shared" si="48"/>
        <v>B2 AP2 (0.6 to 3 yrs) / B2 AP3 (3 to 5 yrs)</v>
      </c>
      <c r="P857" s="260"/>
      <c r="Q857" s="260" t="str">
        <f t="shared" si="51"/>
        <v>PLMEnggServices/PLM/PLMDeveloper/MidLevel</v>
      </c>
      <c r="R857" s="261" t="str">
        <f t="shared" si="49"/>
        <v>B2 AP2 (0.6 to 3 yrs) / B2 AP3 (3 to 5 yrs)</v>
      </c>
      <c r="S857" s="260" t="str">
        <f t="shared" si="50"/>
        <v>PLM_2</v>
      </c>
      <c r="T857" s="269"/>
    </row>
    <row r="858" spans="1:24" ht="15">
      <c r="A858" s="93">
        <f t="shared" si="52"/>
        <v>354</v>
      </c>
      <c r="B858" s="94" t="str">
        <f t="shared" si="53"/>
        <v>PLM_3-PLMEnggServices-PLM/PLMEnggServices/PLM/PLMDeveloper//Senior</v>
      </c>
      <c r="C858" s="295" t="s">
        <v>1172</v>
      </c>
      <c r="D858" s="94" t="str">
        <f>+[7]GRC!D356</f>
        <v>PLMEnggServices-PLM</v>
      </c>
      <c r="E858" s="160" t="s">
        <v>741</v>
      </c>
      <c r="F858" s="161" t="s">
        <v>708</v>
      </c>
      <c r="G858" s="94" t="s">
        <v>709</v>
      </c>
      <c r="H858" s="94"/>
      <c r="I858" s="94" t="s">
        <v>91</v>
      </c>
      <c r="J858" s="94" t="s">
        <v>145</v>
      </c>
      <c r="K858" s="94" t="s">
        <v>18</v>
      </c>
      <c r="L858" s="94" t="s">
        <v>17</v>
      </c>
      <c r="M858" s="94" t="s">
        <v>71</v>
      </c>
      <c r="N858" s="94" t="s">
        <v>138</v>
      </c>
      <c r="O858" s="259" t="str">
        <f t="shared" si="48"/>
        <v>B2 AP3 (3 to 5 yrs) / B3 PL1 (5 to 7 yrs)</v>
      </c>
      <c r="P858" s="260"/>
      <c r="Q858" s="260" t="str">
        <f t="shared" si="51"/>
        <v>PLMEnggServices/PLM/PLMDeveloper/Senior</v>
      </c>
      <c r="R858" s="261" t="str">
        <f t="shared" si="49"/>
        <v>B2 AP3 (3 to 5 yrs) / B3 PL1 (5 to 7 yrs)</v>
      </c>
      <c r="S858" s="260" t="str">
        <f t="shared" si="50"/>
        <v>PLM_3</v>
      </c>
      <c r="T858" s="269"/>
    </row>
    <row r="859" spans="1:24" ht="15">
      <c r="A859" s="93">
        <f t="shared" si="52"/>
        <v>355</v>
      </c>
      <c r="B859" s="94" t="str">
        <f t="shared" si="53"/>
        <v>PLM_4-PLMEnggServices-PLM/PLMEnggServices/PLM/PLMTechnicalLead//Junior</v>
      </c>
      <c r="C859" s="295" t="s">
        <v>1173</v>
      </c>
      <c r="D859" s="94" t="str">
        <f>+[7]GRC!D357</f>
        <v>PLMEnggServices-PLM</v>
      </c>
      <c r="E859" s="160" t="s">
        <v>741</v>
      </c>
      <c r="F859" s="161" t="s">
        <v>708</v>
      </c>
      <c r="G859" s="94" t="s">
        <v>714</v>
      </c>
      <c r="H859" s="94"/>
      <c r="I859" s="94" t="s">
        <v>84</v>
      </c>
      <c r="J859" s="94" t="s">
        <v>723</v>
      </c>
      <c r="K859" s="94" t="s">
        <v>17</v>
      </c>
      <c r="L859" s="94" t="s">
        <v>16</v>
      </c>
      <c r="M859" s="94" t="s">
        <v>71</v>
      </c>
      <c r="N859" s="94" t="s">
        <v>72</v>
      </c>
      <c r="O859" s="259" t="str">
        <f t="shared" si="48"/>
        <v>B3 PL1 (5 to 7 yrs) / B3 PL2 (6 to 8 yrs)</v>
      </c>
      <c r="P859" s="260"/>
      <c r="Q859" s="260" t="str">
        <f t="shared" si="51"/>
        <v>PLMEnggServices/PLM/PLMTechnicalLead/Junior</v>
      </c>
      <c r="R859" s="261" t="str">
        <f t="shared" si="49"/>
        <v>B3 PL1 (5 to 7 yrs) / B3 PL2 (6 to 8 yrs)</v>
      </c>
      <c r="S859" s="260" t="str">
        <f t="shared" si="50"/>
        <v>PLM_4</v>
      </c>
      <c r="T859" s="269"/>
    </row>
    <row r="860" spans="1:24" ht="15">
      <c r="A860" s="93">
        <f t="shared" si="52"/>
        <v>356</v>
      </c>
      <c r="B860" s="94" t="str">
        <f t="shared" si="53"/>
        <v>PLM_5-PLMEnggServices-PLM/PLMEnggServices/PLM/PLMTechnicalLead//Senior</v>
      </c>
      <c r="C860" s="295" t="s">
        <v>1174</v>
      </c>
      <c r="D860" s="94" t="str">
        <f>+[7]GRC!D358</f>
        <v>PLMEnggServices-PLM</v>
      </c>
      <c r="E860" s="160" t="s">
        <v>741</v>
      </c>
      <c r="F860" s="161" t="s">
        <v>708</v>
      </c>
      <c r="G860" s="94" t="s">
        <v>714</v>
      </c>
      <c r="H860" s="94"/>
      <c r="I860" s="94" t="s">
        <v>91</v>
      </c>
      <c r="J860" s="94" t="s">
        <v>724</v>
      </c>
      <c r="K860" s="94" t="s">
        <v>15</v>
      </c>
      <c r="L860" s="94" t="s">
        <v>71</v>
      </c>
      <c r="M860" s="94" t="s">
        <v>71</v>
      </c>
      <c r="N860" s="94" t="s">
        <v>72</v>
      </c>
      <c r="O860" s="259" t="str">
        <f t="shared" si="48"/>
        <v>B3 PL3 (7 to 10 yrs) / None</v>
      </c>
      <c r="P860" s="260"/>
      <c r="Q860" s="260" t="str">
        <f t="shared" si="51"/>
        <v>PLMEnggServices/PLM/PLMTechnicalLead/Senior</v>
      </c>
      <c r="R860" s="261" t="str">
        <f t="shared" si="49"/>
        <v>B3 PL3 (7 to 10 yrs) / None</v>
      </c>
      <c r="S860" s="260" t="str">
        <f t="shared" si="50"/>
        <v>PLM_5</v>
      </c>
      <c r="T860" s="269"/>
    </row>
    <row r="861" spans="1:24" ht="15">
      <c r="A861" s="93">
        <f t="shared" si="52"/>
        <v>357</v>
      </c>
      <c r="B861" s="94" t="str">
        <f t="shared" si="53"/>
        <v>PLM_6-PLMEnggServices-PLM/PLMEnggServices/PLM/PLMAdministrator//Junior</v>
      </c>
      <c r="C861" s="295" t="s">
        <v>1175</v>
      </c>
      <c r="D861" s="94" t="str">
        <f>+[7]GRC!D359</f>
        <v>PLMEnggServices-PLM</v>
      </c>
      <c r="E861" s="160" t="s">
        <v>741</v>
      </c>
      <c r="F861" s="161" t="s">
        <v>708</v>
      </c>
      <c r="G861" s="94" t="s">
        <v>715</v>
      </c>
      <c r="H861" s="94"/>
      <c r="I861" s="94" t="s">
        <v>84</v>
      </c>
      <c r="J861" s="94" t="s">
        <v>153</v>
      </c>
      <c r="K861" s="94" t="s">
        <v>18</v>
      </c>
      <c r="L861" s="94" t="s">
        <v>71</v>
      </c>
      <c r="M861" s="94" t="s">
        <v>71</v>
      </c>
      <c r="N861" s="94" t="s">
        <v>138</v>
      </c>
      <c r="O861" s="259" t="str">
        <f t="shared" si="48"/>
        <v>B2 AP3 (3 to 5 yrs) / None</v>
      </c>
      <c r="P861" s="260"/>
      <c r="Q861" s="260" t="str">
        <f t="shared" si="51"/>
        <v>PLMEnggServices/PLM/PLMAdministrator/Junior</v>
      </c>
      <c r="R861" s="261" t="str">
        <f t="shared" si="49"/>
        <v>B2 AP3 (3 to 5 yrs) / None</v>
      </c>
      <c r="S861" s="260" t="str">
        <f t="shared" si="50"/>
        <v>PLM_6</v>
      </c>
      <c r="T861" s="269"/>
    </row>
    <row r="862" spans="1:24" ht="15">
      <c r="A862" s="93">
        <f t="shared" si="52"/>
        <v>358</v>
      </c>
      <c r="B862" s="94" t="str">
        <f t="shared" si="53"/>
        <v>PLM_7-PLMEnggServices-PLM/PLMEnggServices/PLM/PLMAdministrator//MidLevel</v>
      </c>
      <c r="C862" s="295" t="s">
        <v>1176</v>
      </c>
      <c r="D862" s="94" t="str">
        <f>+[7]GRC!D360</f>
        <v>PLMEnggServices-PLM</v>
      </c>
      <c r="E862" s="160" t="s">
        <v>741</v>
      </c>
      <c r="F862" s="161" t="s">
        <v>708</v>
      </c>
      <c r="G862" s="94" t="s">
        <v>715</v>
      </c>
      <c r="H862" s="94"/>
      <c r="I862" s="94" t="s">
        <v>193</v>
      </c>
      <c r="J862" s="94" t="s">
        <v>145</v>
      </c>
      <c r="K862" s="94" t="s">
        <v>17</v>
      </c>
      <c r="L862" s="94" t="s">
        <v>16</v>
      </c>
      <c r="M862" s="94" t="s">
        <v>71</v>
      </c>
      <c r="N862" s="94" t="s">
        <v>138</v>
      </c>
      <c r="O862" s="259" t="str">
        <f t="shared" si="48"/>
        <v>B3 PL1 (5 to 7 yrs) / B3 PL2 (6 to 8 yrs)</v>
      </c>
      <c r="P862" s="260"/>
      <c r="Q862" s="260" t="str">
        <f t="shared" si="51"/>
        <v>PLMEnggServices/PLM/PLMAdministrator/MidLevel</v>
      </c>
      <c r="R862" s="261" t="str">
        <f t="shared" si="49"/>
        <v>B3 PL1 (5 to 7 yrs) / B3 PL2 (6 to 8 yrs)</v>
      </c>
      <c r="S862" s="260" t="str">
        <f t="shared" si="50"/>
        <v>PLM_7</v>
      </c>
      <c r="T862" s="269"/>
    </row>
    <row r="863" spans="1:24" ht="15">
      <c r="A863" s="93">
        <f t="shared" si="52"/>
        <v>359</v>
      </c>
      <c r="B863" s="94" t="str">
        <f t="shared" si="53"/>
        <v>PLM_8-PLMEnggServices-PLM/PLMEnggServices/PLM/PLMAdministrator//Senior</v>
      </c>
      <c r="C863" s="295" t="s">
        <v>1177</v>
      </c>
      <c r="D863" s="94" t="str">
        <f>+[7]GRC!D361</f>
        <v>PLMEnggServices-PLM</v>
      </c>
      <c r="E863" s="160" t="s">
        <v>741</v>
      </c>
      <c r="F863" s="161" t="s">
        <v>708</v>
      </c>
      <c r="G863" s="94" t="s">
        <v>715</v>
      </c>
      <c r="H863" s="94"/>
      <c r="I863" s="94" t="s">
        <v>91</v>
      </c>
      <c r="J863" s="94" t="s">
        <v>147</v>
      </c>
      <c r="K863" s="94" t="s">
        <v>16</v>
      </c>
      <c r="L863" s="94" t="s">
        <v>15</v>
      </c>
      <c r="M863" s="94" t="s">
        <v>71</v>
      </c>
      <c r="N863" s="94" t="s">
        <v>138</v>
      </c>
      <c r="O863" s="259" t="str">
        <f t="shared" si="48"/>
        <v>B3 PL2 (6 to 8 yrs) / B3 PL3 (7 to 10 yrs)</v>
      </c>
      <c r="P863" s="260"/>
      <c r="Q863" s="260" t="str">
        <f t="shared" si="51"/>
        <v>PLMEnggServices/PLM/PLMAdministrator/Senior</v>
      </c>
      <c r="R863" s="261" t="str">
        <f t="shared" si="49"/>
        <v>B3 PL2 (6 to 8 yrs) / B3 PL3 (7 to 10 yrs)</v>
      </c>
      <c r="S863" s="260" t="str">
        <f t="shared" si="50"/>
        <v>PLM_8</v>
      </c>
      <c r="T863" s="269"/>
    </row>
    <row r="864" spans="1:24" ht="15">
      <c r="A864" s="93">
        <f t="shared" si="52"/>
        <v>360</v>
      </c>
      <c r="B864" s="94" t="str">
        <f t="shared" si="53"/>
        <v>PLM_9-PLMEnggServices-PLM/PLMEnggServices/PLM/PLMDesigner//Junior</v>
      </c>
      <c r="C864" s="295" t="s">
        <v>1178</v>
      </c>
      <c r="D864" s="94" t="str">
        <f>+[7]GRC!D362</f>
        <v>PLMEnggServices-PLM</v>
      </c>
      <c r="E864" s="160" t="s">
        <v>741</v>
      </c>
      <c r="F864" s="161" t="s">
        <v>708</v>
      </c>
      <c r="G864" s="94" t="s">
        <v>716</v>
      </c>
      <c r="H864" s="94"/>
      <c r="I864" s="94" t="s">
        <v>84</v>
      </c>
      <c r="J864" s="94" t="s">
        <v>723</v>
      </c>
      <c r="K864" s="94" t="s">
        <v>17</v>
      </c>
      <c r="L864" s="94" t="s">
        <v>16</v>
      </c>
      <c r="M864" s="94" t="s">
        <v>71</v>
      </c>
      <c r="N864" s="94" t="s">
        <v>72</v>
      </c>
      <c r="O864" s="259" t="str">
        <f t="shared" si="48"/>
        <v>B3 PL1 (5 to 7 yrs) / B3 PL2 (6 to 8 yrs)</v>
      </c>
      <c r="P864" s="260"/>
      <c r="Q864" s="260" t="str">
        <f t="shared" si="51"/>
        <v>PLMEnggServices/PLM/PLMDesigner/Junior</v>
      </c>
      <c r="R864" s="261" t="str">
        <f t="shared" si="49"/>
        <v>B3 PL1 (5 to 7 yrs) / B3 PL2 (6 to 8 yrs)</v>
      </c>
      <c r="S864" s="260" t="str">
        <f t="shared" si="50"/>
        <v>PLM_9</v>
      </c>
      <c r="T864" s="269"/>
    </row>
    <row r="865" spans="1:20" ht="15">
      <c r="A865" s="93">
        <f t="shared" si="52"/>
        <v>361</v>
      </c>
      <c r="B865" s="94" t="str">
        <f t="shared" si="53"/>
        <v>PLM_10-PLMEnggServices-PLM/PLMEnggServices/PLM/PLMDesigner//Senior</v>
      </c>
      <c r="C865" s="295" t="s">
        <v>1179</v>
      </c>
      <c r="D865" s="94" t="str">
        <f>+[7]GRC!D363</f>
        <v>PLMEnggServices-PLM</v>
      </c>
      <c r="E865" s="160" t="s">
        <v>741</v>
      </c>
      <c r="F865" s="161" t="s">
        <v>708</v>
      </c>
      <c r="G865" s="94" t="s">
        <v>716</v>
      </c>
      <c r="H865" s="94"/>
      <c r="I865" s="94" t="s">
        <v>91</v>
      </c>
      <c r="J865" s="94" t="s">
        <v>724</v>
      </c>
      <c r="K865" s="94" t="s">
        <v>15</v>
      </c>
      <c r="L865" s="94" t="s">
        <v>71</v>
      </c>
      <c r="M865" s="94" t="s">
        <v>71</v>
      </c>
      <c r="N865" s="94" t="s">
        <v>72</v>
      </c>
      <c r="O865" s="259" t="str">
        <f t="shared" si="48"/>
        <v>B3 PL3 (7 to 10 yrs) / None</v>
      </c>
      <c r="P865" s="260"/>
      <c r="Q865" s="260" t="str">
        <f t="shared" si="51"/>
        <v>PLMEnggServices/PLM/PLMDesigner/Senior</v>
      </c>
      <c r="R865" s="261" t="str">
        <f t="shared" si="49"/>
        <v>B3 PL3 (7 to 10 yrs) / None</v>
      </c>
      <c r="S865" s="260" t="str">
        <f t="shared" si="50"/>
        <v>PLM_10</v>
      </c>
      <c r="T865" s="269"/>
    </row>
    <row r="866" spans="1:20" ht="15">
      <c r="A866" s="93">
        <f t="shared" si="52"/>
        <v>362</v>
      </c>
      <c r="B866" s="94" t="str">
        <f t="shared" si="53"/>
        <v>PLM_11-PLMEnggServices-PLM/PLMEnggServices/PLM/PLMProjectManager//Junior</v>
      </c>
      <c r="C866" s="295" t="s">
        <v>1180</v>
      </c>
      <c r="D866" s="94" t="str">
        <f>+[7]GRC!D364</f>
        <v>PLMEnggServices-PLM</v>
      </c>
      <c r="E866" s="160" t="s">
        <v>741</v>
      </c>
      <c r="F866" s="161" t="s">
        <v>708</v>
      </c>
      <c r="G866" s="94" t="s">
        <v>717</v>
      </c>
      <c r="H866" s="94"/>
      <c r="I866" s="94" t="s">
        <v>84</v>
      </c>
      <c r="J866" s="94" t="s">
        <v>184</v>
      </c>
      <c r="K866" s="94" t="s">
        <v>15</v>
      </c>
      <c r="L866" s="94" t="s">
        <v>14</v>
      </c>
      <c r="M866" s="94" t="s">
        <v>71</v>
      </c>
      <c r="N866" s="94" t="s">
        <v>138</v>
      </c>
      <c r="O866" s="259" t="str">
        <f t="shared" si="48"/>
        <v>B3 PL3 (7 to 10 yrs) / B4 PM1 (9 to 12 yrs)</v>
      </c>
      <c r="P866" s="260"/>
      <c r="Q866" s="260" t="str">
        <f t="shared" si="51"/>
        <v>PLMEnggServices/PLM/PLMProjectManager/Junior</v>
      </c>
      <c r="R866" s="261" t="str">
        <f t="shared" si="49"/>
        <v>B3 PL3 (7 to 10 yrs) / B4 PM1 (9 to 12 yrs)</v>
      </c>
      <c r="S866" s="260" t="str">
        <f t="shared" si="50"/>
        <v>PLM_11</v>
      </c>
      <c r="T866" s="269"/>
    </row>
    <row r="867" spans="1:20" ht="15">
      <c r="A867" s="93">
        <f t="shared" si="52"/>
        <v>363</v>
      </c>
      <c r="B867" s="94" t="str">
        <f t="shared" si="53"/>
        <v>PLM_12-PLMEnggServices-PLM/PLMEnggServices/PLM/PLMProjectManager//MidLevel</v>
      </c>
      <c r="C867" s="295" t="s">
        <v>1181</v>
      </c>
      <c r="D867" s="94" t="str">
        <f>+[7]GRC!D365</f>
        <v>PLMEnggServices-PLM</v>
      </c>
      <c r="E867" s="160" t="s">
        <v>741</v>
      </c>
      <c r="F867" s="161" t="s">
        <v>708</v>
      </c>
      <c r="G867" s="94" t="s">
        <v>717</v>
      </c>
      <c r="H867" s="94"/>
      <c r="I867" s="94" t="s">
        <v>193</v>
      </c>
      <c r="J867" s="94" t="s">
        <v>185</v>
      </c>
      <c r="K867" s="94" t="s">
        <v>14</v>
      </c>
      <c r="L867" s="94" t="s">
        <v>42</v>
      </c>
      <c r="M867" s="94" t="s">
        <v>71</v>
      </c>
      <c r="N867" s="94" t="s">
        <v>138</v>
      </c>
      <c r="O867" s="259" t="str">
        <f t="shared" si="48"/>
        <v>B4 PM1 (9 to 12 yrs) / B4 PM2 (10 to 14 yrs)</v>
      </c>
      <c r="P867" s="260"/>
      <c r="Q867" s="260" t="str">
        <f t="shared" si="51"/>
        <v>PLMEnggServices/PLM/PLMProjectManager/MidLevel</v>
      </c>
      <c r="R867" s="261" t="str">
        <f t="shared" si="49"/>
        <v>B4 PM1 (9 to 12 yrs) / B4 PM2 (10 to 14 yrs)</v>
      </c>
      <c r="S867" s="260" t="str">
        <f t="shared" si="50"/>
        <v>PLM_12</v>
      </c>
      <c r="T867" s="269"/>
    </row>
    <row r="868" spans="1:20" ht="15">
      <c r="A868" s="93">
        <f t="shared" si="52"/>
        <v>364</v>
      </c>
      <c r="B868" s="94" t="str">
        <f t="shared" si="53"/>
        <v>PLM_13-PLMEnggServices-PLM/PLMEnggServices/PLM/PLMProjectManager//Senior</v>
      </c>
      <c r="C868" s="295" t="s">
        <v>1182</v>
      </c>
      <c r="D868" s="94" t="str">
        <f>+[7]GRC!D366</f>
        <v>PLMEnggServices-PLM</v>
      </c>
      <c r="E868" s="160" t="s">
        <v>741</v>
      </c>
      <c r="F868" s="161" t="s">
        <v>708</v>
      </c>
      <c r="G868" s="94" t="s">
        <v>717</v>
      </c>
      <c r="H868" s="94"/>
      <c r="I868" s="94" t="s">
        <v>91</v>
      </c>
      <c r="J868" s="94" t="s">
        <v>149</v>
      </c>
      <c r="K868" s="94" t="s">
        <v>42</v>
      </c>
      <c r="L868" s="94" t="s">
        <v>41</v>
      </c>
      <c r="M868" s="94" t="s">
        <v>71</v>
      </c>
      <c r="N868" s="94" t="s">
        <v>138</v>
      </c>
      <c r="O868" s="259" t="str">
        <f t="shared" si="48"/>
        <v>B4 PM2 (10 to 14 yrs) / B4 PM3 (12 to 15 yrs)</v>
      </c>
      <c r="P868" s="260"/>
      <c r="Q868" s="260" t="str">
        <f t="shared" si="51"/>
        <v>PLMEnggServices/PLM/PLMProjectManager/Senior</v>
      </c>
      <c r="R868" s="261" t="str">
        <f t="shared" si="49"/>
        <v>B4 PM2 (10 to 14 yrs) / B4 PM3 (12 to 15 yrs)</v>
      </c>
      <c r="S868" s="260" t="str">
        <f t="shared" si="50"/>
        <v>PLM_13</v>
      </c>
      <c r="T868" s="269"/>
    </row>
    <row r="869" spans="1:20" ht="15">
      <c r="A869" s="93">
        <f t="shared" si="52"/>
        <v>365</v>
      </c>
      <c r="B869" s="94" t="str">
        <f t="shared" si="53"/>
        <v>ES_1-PLMEnggServices-Engg Services/PLMEnggServices/EnggServices/EnggServicesAnalyst//Junior</v>
      </c>
      <c r="C869" s="295" t="s">
        <v>1183</v>
      </c>
      <c r="D869" s="94" t="str">
        <f>+[7]GRC!D367</f>
        <v>PLMEnggServices-Engg Services</v>
      </c>
      <c r="E869" s="160" t="s">
        <v>741</v>
      </c>
      <c r="F869" s="161" t="s">
        <v>710</v>
      </c>
      <c r="G869" s="94" t="s">
        <v>711</v>
      </c>
      <c r="H869" s="94"/>
      <c r="I869" s="94" t="s">
        <v>84</v>
      </c>
      <c r="J869" s="94" t="s">
        <v>150</v>
      </c>
      <c r="K869" s="94" t="s">
        <v>20</v>
      </c>
      <c r="L869" s="94" t="s">
        <v>19</v>
      </c>
      <c r="M869" s="94" t="s">
        <v>71</v>
      </c>
      <c r="N869" s="94" t="s">
        <v>138</v>
      </c>
      <c r="O869" s="259" t="str">
        <f t="shared" si="48"/>
        <v>B2 AP1 / B2 AP2 (0.6 to 3 yrs)</v>
      </c>
      <c r="P869" s="260"/>
      <c r="Q869" s="260" t="str">
        <f t="shared" si="51"/>
        <v>PLMEnggServices/EnggServices/EnggServicesAnalyst/Junior</v>
      </c>
      <c r="R869" s="261" t="str">
        <f t="shared" si="49"/>
        <v>B2 AP1 / B2 AP2 (0.6 to 3 yrs)</v>
      </c>
      <c r="S869" s="260" t="str">
        <f t="shared" si="50"/>
        <v>ES_1</v>
      </c>
      <c r="T869" s="269"/>
    </row>
    <row r="870" spans="1:20" ht="15">
      <c r="A870" s="93">
        <f t="shared" si="52"/>
        <v>366</v>
      </c>
      <c r="B870" s="94" t="str">
        <f t="shared" si="53"/>
        <v>ES_2-PLMEnggServices-Engg Services/PLMEnggServices/EnggServices/EnggServicesAnalyst//MidLevel</v>
      </c>
      <c r="C870" s="295" t="s">
        <v>1184</v>
      </c>
      <c r="D870" s="94" t="str">
        <f>+[7]GRC!D368</f>
        <v>PLMEnggServices-Engg Services</v>
      </c>
      <c r="E870" s="160" t="s">
        <v>741</v>
      </c>
      <c r="F870" s="161" t="s">
        <v>710</v>
      </c>
      <c r="G870" s="94" t="s">
        <v>711</v>
      </c>
      <c r="H870" s="94"/>
      <c r="I870" s="94" t="s">
        <v>193</v>
      </c>
      <c r="J870" s="94" t="s">
        <v>151</v>
      </c>
      <c r="K870" s="94" t="s">
        <v>19</v>
      </c>
      <c r="L870" s="94" t="s">
        <v>18</v>
      </c>
      <c r="M870" s="94" t="s">
        <v>71</v>
      </c>
      <c r="N870" s="94" t="s">
        <v>138</v>
      </c>
      <c r="O870" s="259" t="str">
        <f t="shared" si="48"/>
        <v>B2 AP2 (0.6 to 3 yrs) / B2 AP3 (3 to 5 yrs)</v>
      </c>
      <c r="P870" s="260"/>
      <c r="Q870" s="260" t="str">
        <f t="shared" si="51"/>
        <v>PLMEnggServices/EnggServices/EnggServicesAnalyst/MidLevel</v>
      </c>
      <c r="R870" s="261" t="str">
        <f t="shared" si="49"/>
        <v>B2 AP2 (0.6 to 3 yrs) / B2 AP3 (3 to 5 yrs)</v>
      </c>
      <c r="S870" s="260" t="str">
        <f t="shared" si="50"/>
        <v>ES_2</v>
      </c>
      <c r="T870" s="269"/>
    </row>
    <row r="871" spans="1:20" ht="15">
      <c r="A871" s="93">
        <f t="shared" si="52"/>
        <v>367</v>
      </c>
      <c r="B871" s="94" t="str">
        <f t="shared" si="53"/>
        <v>ES_3-PLMEnggServices-Engg Services/PLMEnggServices/EnggServices/EnggServicesAnalyst//Senior</v>
      </c>
      <c r="C871" s="295" t="s">
        <v>1185</v>
      </c>
      <c r="D871" s="94" t="str">
        <f>+[7]GRC!D369</f>
        <v>PLMEnggServices-Engg Services</v>
      </c>
      <c r="E871" s="160" t="s">
        <v>741</v>
      </c>
      <c r="F871" s="161" t="s">
        <v>710</v>
      </c>
      <c r="G871" s="94" t="s">
        <v>711</v>
      </c>
      <c r="H871" s="94"/>
      <c r="I871" s="94" t="s">
        <v>91</v>
      </c>
      <c r="J871" s="94" t="s">
        <v>145</v>
      </c>
      <c r="K871" s="94" t="s">
        <v>18</v>
      </c>
      <c r="L871" s="94" t="s">
        <v>17</v>
      </c>
      <c r="M871" s="94" t="s">
        <v>71</v>
      </c>
      <c r="N871" s="94" t="s">
        <v>138</v>
      </c>
      <c r="O871" s="259" t="str">
        <f t="shared" si="48"/>
        <v>B2 AP3 (3 to 5 yrs) / B3 PL1 (5 to 7 yrs)</v>
      </c>
      <c r="P871" s="260"/>
      <c r="Q871" s="260" t="str">
        <f t="shared" si="51"/>
        <v>PLMEnggServices/EnggServices/EnggServicesAnalyst/Senior</v>
      </c>
      <c r="R871" s="261" t="str">
        <f t="shared" si="49"/>
        <v>B2 AP3 (3 to 5 yrs) / B3 PL1 (5 to 7 yrs)</v>
      </c>
      <c r="S871" s="260" t="str">
        <f t="shared" si="50"/>
        <v>ES_3</v>
      </c>
      <c r="T871" s="269"/>
    </row>
    <row r="872" spans="1:20" ht="15">
      <c r="A872" s="93">
        <f t="shared" si="52"/>
        <v>368</v>
      </c>
      <c r="B872" s="94" t="str">
        <f t="shared" si="53"/>
        <v>ES_4-PLMEnggServices-Engg Services/PLMEnggServices/EnggServices/EnggServicesProjectLead//Junior</v>
      </c>
      <c r="C872" s="295" t="s">
        <v>1186</v>
      </c>
      <c r="D872" s="94" t="str">
        <f>+[7]GRC!D370</f>
        <v>PLMEnggServices-Engg Services</v>
      </c>
      <c r="E872" s="160" t="s">
        <v>741</v>
      </c>
      <c r="F872" s="161" t="s">
        <v>710</v>
      </c>
      <c r="G872" s="94" t="s">
        <v>740</v>
      </c>
      <c r="H872" s="94"/>
      <c r="I872" s="94" t="s">
        <v>84</v>
      </c>
      <c r="J872" s="94" t="s">
        <v>723</v>
      </c>
      <c r="K872" s="94" t="s">
        <v>17</v>
      </c>
      <c r="L872" s="94" t="s">
        <v>16</v>
      </c>
      <c r="M872" s="94" t="s">
        <v>71</v>
      </c>
      <c r="N872" s="94" t="s">
        <v>72</v>
      </c>
      <c r="O872" s="259" t="str">
        <f t="shared" si="48"/>
        <v>B3 PL1 (5 to 7 yrs) / B3 PL2 (6 to 8 yrs)</v>
      </c>
      <c r="P872" s="260"/>
      <c r="Q872" s="260" t="str">
        <f t="shared" si="51"/>
        <v>PLMEnggServices/EnggServices/EnggServicesProjectLead/Junior</v>
      </c>
      <c r="R872" s="261" t="str">
        <f t="shared" si="49"/>
        <v>B3 PL1 (5 to 7 yrs) / B3 PL2 (6 to 8 yrs)</v>
      </c>
      <c r="S872" s="260" t="str">
        <f t="shared" si="50"/>
        <v>ES_4</v>
      </c>
      <c r="T872" s="269"/>
    </row>
    <row r="873" spans="1:20" ht="15">
      <c r="A873" s="93">
        <f t="shared" si="52"/>
        <v>369</v>
      </c>
      <c r="B873" s="94" t="str">
        <f t="shared" si="53"/>
        <v>ES_5-PLMEnggServices-Engg Services/PLMEnggServices/EnggServices/EnggServicesProjectLead//Senior</v>
      </c>
      <c r="C873" s="295" t="s">
        <v>1187</v>
      </c>
      <c r="D873" s="94" t="str">
        <f>+[7]GRC!D371</f>
        <v>PLMEnggServices-Engg Services</v>
      </c>
      <c r="E873" s="160" t="s">
        <v>741</v>
      </c>
      <c r="F873" s="161" t="s">
        <v>710</v>
      </c>
      <c r="G873" s="94" t="s">
        <v>740</v>
      </c>
      <c r="H873" s="94"/>
      <c r="I873" s="94" t="s">
        <v>91</v>
      </c>
      <c r="J873" s="94" t="s">
        <v>724</v>
      </c>
      <c r="K873" s="94" t="s">
        <v>15</v>
      </c>
      <c r="L873" s="94" t="s">
        <v>71</v>
      </c>
      <c r="M873" s="94" t="s">
        <v>71</v>
      </c>
      <c r="N873" s="94" t="s">
        <v>72</v>
      </c>
      <c r="O873" s="259" t="str">
        <f t="shared" si="48"/>
        <v>B3 PL3 (7 to 10 yrs) / None</v>
      </c>
      <c r="P873" s="260"/>
      <c r="Q873" s="260" t="str">
        <f t="shared" si="51"/>
        <v>PLMEnggServices/EnggServices/EnggServicesProjectLead/Senior</v>
      </c>
      <c r="R873" s="261" t="str">
        <f t="shared" si="49"/>
        <v>B3 PL3 (7 to 10 yrs) / None</v>
      </c>
      <c r="S873" s="260" t="str">
        <f t="shared" si="50"/>
        <v>ES_5</v>
      </c>
      <c r="T873" s="269"/>
    </row>
    <row r="874" spans="1:20" ht="15">
      <c r="A874" s="93">
        <f t="shared" si="52"/>
        <v>370</v>
      </c>
      <c r="B874" s="94" t="str">
        <f t="shared" si="53"/>
        <v>ES_6-PLMEnggServices-Engg Services/PLMEnggServices/EnggServices/EnggServicesDeveloper//Junior</v>
      </c>
      <c r="C874" s="295" t="s">
        <v>1188</v>
      </c>
      <c r="D874" s="94" t="str">
        <f>+[7]GRC!D372</f>
        <v>PLMEnggServices-Engg Services</v>
      </c>
      <c r="E874" s="160" t="s">
        <v>741</v>
      </c>
      <c r="F874" s="161" t="s">
        <v>710</v>
      </c>
      <c r="G874" s="94" t="s">
        <v>719</v>
      </c>
      <c r="H874" s="94"/>
      <c r="I874" s="94" t="s">
        <v>84</v>
      </c>
      <c r="J874" s="94" t="s">
        <v>153</v>
      </c>
      <c r="K874" s="94" t="s">
        <v>18</v>
      </c>
      <c r="L874" s="94" t="s">
        <v>71</v>
      </c>
      <c r="M874" s="94" t="s">
        <v>71</v>
      </c>
      <c r="N874" s="94" t="s">
        <v>138</v>
      </c>
      <c r="O874" s="259" t="str">
        <f t="shared" si="48"/>
        <v>B2 AP3 (3 to 5 yrs) / None</v>
      </c>
      <c r="P874" s="260"/>
      <c r="Q874" s="260" t="str">
        <f t="shared" si="51"/>
        <v>PLMEnggServices/EnggServices/EnggServicesDeveloper/Junior</v>
      </c>
      <c r="R874" s="261" t="str">
        <f t="shared" si="49"/>
        <v>B2 AP3 (3 to 5 yrs) / None</v>
      </c>
      <c r="S874" s="260" t="str">
        <f t="shared" si="50"/>
        <v>ES_6</v>
      </c>
      <c r="T874" s="269"/>
    </row>
    <row r="875" spans="1:20" ht="15">
      <c r="A875" s="93">
        <f t="shared" si="52"/>
        <v>371</v>
      </c>
      <c r="B875" s="94" t="str">
        <f t="shared" si="53"/>
        <v>ES_7-PLMEnggServices-Engg Services/PLMEnggServices/EnggServices/EnggServicesDeveloper//MidLevel</v>
      </c>
      <c r="C875" s="295" t="s">
        <v>1189</v>
      </c>
      <c r="D875" s="94" t="str">
        <f>+[7]GRC!D373</f>
        <v>PLMEnggServices-Engg Services</v>
      </c>
      <c r="E875" s="160" t="s">
        <v>741</v>
      </c>
      <c r="F875" s="161" t="s">
        <v>710</v>
      </c>
      <c r="G875" s="94" t="s">
        <v>719</v>
      </c>
      <c r="H875" s="94"/>
      <c r="I875" s="94" t="s">
        <v>193</v>
      </c>
      <c r="J875" s="94" t="s">
        <v>145</v>
      </c>
      <c r="K875" s="94" t="s">
        <v>17</v>
      </c>
      <c r="L875" s="94" t="s">
        <v>16</v>
      </c>
      <c r="M875" s="94" t="s">
        <v>71</v>
      </c>
      <c r="N875" s="94" t="s">
        <v>138</v>
      </c>
      <c r="O875" s="259" t="str">
        <f t="shared" si="48"/>
        <v>B3 PL1 (5 to 7 yrs) / B3 PL2 (6 to 8 yrs)</v>
      </c>
      <c r="P875" s="260"/>
      <c r="Q875" s="260" t="str">
        <f t="shared" si="51"/>
        <v>PLMEnggServices/EnggServices/EnggServicesDeveloper/MidLevel</v>
      </c>
      <c r="R875" s="261" t="str">
        <f t="shared" si="49"/>
        <v>B3 PL1 (5 to 7 yrs) / B3 PL2 (6 to 8 yrs)</v>
      </c>
      <c r="S875" s="260" t="str">
        <f t="shared" si="50"/>
        <v>ES_7</v>
      </c>
      <c r="T875" s="269"/>
    </row>
    <row r="876" spans="1:20" ht="15">
      <c r="A876" s="93">
        <f t="shared" si="52"/>
        <v>372</v>
      </c>
      <c r="B876" s="94" t="str">
        <f t="shared" si="53"/>
        <v>ES_8-PLMEnggServices-Engg Services/PLMEnggServices/EnggServices/EnggServicesDeveloper//Senior</v>
      </c>
      <c r="C876" s="295" t="s">
        <v>1190</v>
      </c>
      <c r="D876" s="94" t="str">
        <f>+[7]GRC!D374</f>
        <v>PLMEnggServices-Engg Services</v>
      </c>
      <c r="E876" s="160" t="s">
        <v>741</v>
      </c>
      <c r="F876" s="161" t="s">
        <v>710</v>
      </c>
      <c r="G876" s="94" t="s">
        <v>719</v>
      </c>
      <c r="H876" s="94"/>
      <c r="I876" s="94" t="s">
        <v>91</v>
      </c>
      <c r="J876" s="94" t="s">
        <v>147</v>
      </c>
      <c r="K876" s="94" t="s">
        <v>16</v>
      </c>
      <c r="L876" s="94" t="s">
        <v>15</v>
      </c>
      <c r="M876" s="94" t="s">
        <v>71</v>
      </c>
      <c r="N876" s="94" t="s">
        <v>138</v>
      </c>
      <c r="O876" s="259" t="str">
        <f t="shared" si="48"/>
        <v>B3 PL2 (6 to 8 yrs) / B3 PL3 (7 to 10 yrs)</v>
      </c>
      <c r="P876" s="260"/>
      <c r="Q876" s="260" t="str">
        <f t="shared" si="51"/>
        <v>PLMEnggServices/EnggServices/EnggServicesDeveloper/Senior</v>
      </c>
      <c r="R876" s="261" t="str">
        <f t="shared" si="49"/>
        <v>B3 PL2 (6 to 8 yrs) / B3 PL3 (7 to 10 yrs)</v>
      </c>
      <c r="S876" s="260" t="str">
        <f t="shared" si="50"/>
        <v>ES_8</v>
      </c>
      <c r="T876" s="269"/>
    </row>
    <row r="877" spans="1:20" ht="15">
      <c r="A877" s="93">
        <f t="shared" si="52"/>
        <v>373</v>
      </c>
      <c r="B877" s="94" t="str">
        <f t="shared" si="53"/>
        <v>ES_9-PLMEnggServices-Engg Services/PLMEnggServices/EnggServices/EnggServicesDesigner//Junior</v>
      </c>
      <c r="C877" s="295" t="s">
        <v>1191</v>
      </c>
      <c r="D877" s="94" t="str">
        <f>+[7]GRC!D375</f>
        <v>PLMEnggServices-Engg Services</v>
      </c>
      <c r="E877" s="160" t="s">
        <v>741</v>
      </c>
      <c r="F877" s="161" t="s">
        <v>710</v>
      </c>
      <c r="G877" s="94" t="s">
        <v>720</v>
      </c>
      <c r="H877" s="94"/>
      <c r="I877" s="94" t="s">
        <v>84</v>
      </c>
      <c r="J877" s="94" t="s">
        <v>723</v>
      </c>
      <c r="K877" s="94" t="s">
        <v>17</v>
      </c>
      <c r="L877" s="94" t="s">
        <v>16</v>
      </c>
      <c r="M877" s="94" t="s">
        <v>71</v>
      </c>
      <c r="N877" s="94" t="s">
        <v>72</v>
      </c>
      <c r="O877" s="259" t="str">
        <f t="shared" si="48"/>
        <v>B3 PL1 (5 to 7 yrs) / B3 PL2 (6 to 8 yrs)</v>
      </c>
      <c r="P877" s="260"/>
      <c r="Q877" s="260" t="str">
        <f t="shared" si="51"/>
        <v>PLMEnggServices/EnggServices/EnggServicesDesigner/Junior</v>
      </c>
      <c r="R877" s="261" t="str">
        <f t="shared" si="49"/>
        <v>B3 PL1 (5 to 7 yrs) / B3 PL2 (6 to 8 yrs)</v>
      </c>
      <c r="S877" s="260" t="str">
        <f t="shared" si="50"/>
        <v>ES_9</v>
      </c>
      <c r="T877" s="269"/>
    </row>
    <row r="878" spans="1:20" ht="15">
      <c r="A878" s="93">
        <f t="shared" si="52"/>
        <v>374</v>
      </c>
      <c r="B878" s="94" t="str">
        <f t="shared" si="53"/>
        <v>ES_10-PLMEnggServices-Engg Services/PLMEnggServices/EnggServices/EnggServicesDesigner//Senior</v>
      </c>
      <c r="C878" s="295" t="s">
        <v>1192</v>
      </c>
      <c r="D878" s="94" t="str">
        <f>+[7]GRC!D376</f>
        <v>PLMEnggServices-Engg Services</v>
      </c>
      <c r="E878" s="160" t="s">
        <v>741</v>
      </c>
      <c r="F878" s="161" t="s">
        <v>710</v>
      </c>
      <c r="G878" s="94" t="s">
        <v>720</v>
      </c>
      <c r="H878" s="94"/>
      <c r="I878" s="94" t="s">
        <v>91</v>
      </c>
      <c r="J878" s="94" t="s">
        <v>724</v>
      </c>
      <c r="K878" s="94" t="s">
        <v>15</v>
      </c>
      <c r="L878" s="94" t="s">
        <v>71</v>
      </c>
      <c r="M878" s="94" t="s">
        <v>71</v>
      </c>
      <c r="N878" s="94" t="s">
        <v>72</v>
      </c>
      <c r="O878" s="259" t="str">
        <f t="shared" si="48"/>
        <v>B3 PL3 (7 to 10 yrs) / None</v>
      </c>
      <c r="P878" s="260"/>
      <c r="Q878" s="260" t="str">
        <f t="shared" si="51"/>
        <v>PLMEnggServices/EnggServices/EnggServicesDesigner/Senior</v>
      </c>
      <c r="R878" s="261" t="str">
        <f t="shared" si="49"/>
        <v>B3 PL3 (7 to 10 yrs) / None</v>
      </c>
      <c r="S878" s="260" t="str">
        <f t="shared" si="50"/>
        <v>ES_10</v>
      </c>
      <c r="T878" s="269"/>
    </row>
    <row r="879" spans="1:20" ht="15">
      <c r="A879" s="93">
        <f t="shared" si="52"/>
        <v>375</v>
      </c>
      <c r="B879" s="94" t="str">
        <f t="shared" si="53"/>
        <v>ES_11-PLMEnggServices-Engg Services/PLMEnggServices/EnggServices/EnggServicesProjectManager//Junior</v>
      </c>
      <c r="C879" s="295" t="s">
        <v>1193</v>
      </c>
      <c r="D879" s="94" t="str">
        <f>+[7]GRC!D377</f>
        <v>PLMEnggServices-Engg Services</v>
      </c>
      <c r="E879" s="160" t="s">
        <v>741</v>
      </c>
      <c r="F879" s="161" t="s">
        <v>710</v>
      </c>
      <c r="G879" s="94" t="s">
        <v>721</v>
      </c>
      <c r="H879" s="94"/>
      <c r="I879" s="94" t="s">
        <v>84</v>
      </c>
      <c r="J879" s="94" t="s">
        <v>184</v>
      </c>
      <c r="K879" s="94" t="s">
        <v>15</v>
      </c>
      <c r="L879" s="94" t="s">
        <v>14</v>
      </c>
      <c r="M879" s="94" t="s">
        <v>71</v>
      </c>
      <c r="N879" s="94" t="s">
        <v>138</v>
      </c>
      <c r="O879" s="259" t="str">
        <f t="shared" si="48"/>
        <v>B3 PL3 (7 to 10 yrs) / B4 PM1 (9 to 12 yrs)</v>
      </c>
      <c r="P879" s="260"/>
      <c r="Q879" s="260" t="str">
        <f t="shared" si="51"/>
        <v>PLMEnggServices/EnggServices/EnggServicesProjectManager/Junior</v>
      </c>
      <c r="R879" s="261" t="str">
        <f t="shared" si="49"/>
        <v>B3 PL3 (7 to 10 yrs) / B4 PM1 (9 to 12 yrs)</v>
      </c>
      <c r="S879" s="260" t="str">
        <f t="shared" si="50"/>
        <v>ES_11</v>
      </c>
      <c r="T879" s="269"/>
    </row>
    <row r="880" spans="1:20" ht="15">
      <c r="A880" s="93">
        <f t="shared" si="52"/>
        <v>376</v>
      </c>
      <c r="B880" s="94" t="str">
        <f t="shared" si="53"/>
        <v>ES_12-PLMEnggServices-Engg Services/PLMEnggServices/EnggServices/EnggServicesProjectManager//MidLevel</v>
      </c>
      <c r="C880" s="295" t="s">
        <v>1194</v>
      </c>
      <c r="D880" s="94" t="str">
        <f>+[7]GRC!D378</f>
        <v>PLMEnggServices-Engg Services</v>
      </c>
      <c r="E880" s="160" t="s">
        <v>741</v>
      </c>
      <c r="F880" s="161" t="s">
        <v>710</v>
      </c>
      <c r="G880" s="94" t="s">
        <v>721</v>
      </c>
      <c r="H880" s="94"/>
      <c r="I880" s="94" t="s">
        <v>193</v>
      </c>
      <c r="J880" s="94" t="s">
        <v>185</v>
      </c>
      <c r="K880" s="94" t="s">
        <v>14</v>
      </c>
      <c r="L880" s="94" t="s">
        <v>42</v>
      </c>
      <c r="M880" s="94" t="s">
        <v>71</v>
      </c>
      <c r="N880" s="94" t="s">
        <v>138</v>
      </c>
      <c r="O880" s="259" t="str">
        <f t="shared" si="48"/>
        <v>B4 PM1 (9 to 12 yrs) / B4 PM2 (10 to 14 yrs)</v>
      </c>
      <c r="P880" s="260"/>
      <c r="Q880" s="260" t="str">
        <f t="shared" si="51"/>
        <v>PLMEnggServices/EnggServices/EnggServicesProjectManager/MidLevel</v>
      </c>
      <c r="R880" s="261" t="str">
        <f t="shared" si="49"/>
        <v>B4 PM1 (9 to 12 yrs) / B4 PM2 (10 to 14 yrs)</v>
      </c>
      <c r="S880" s="260" t="str">
        <f t="shared" si="50"/>
        <v>ES_12</v>
      </c>
      <c r="T880" s="269"/>
    </row>
    <row r="881" spans="1:20" ht="15">
      <c r="A881" s="93">
        <f t="shared" si="52"/>
        <v>377</v>
      </c>
      <c r="B881" s="94" t="str">
        <f t="shared" si="53"/>
        <v>ES_13-PLMEnggServices-Engg Services/PLMEnggServices/EnggServices/EnggServicesProjectManager//Senior</v>
      </c>
      <c r="C881" s="295" t="s">
        <v>1195</v>
      </c>
      <c r="D881" s="94" t="str">
        <f>+[7]GRC!D379</f>
        <v>PLMEnggServices-Engg Services</v>
      </c>
      <c r="E881" s="160" t="s">
        <v>741</v>
      </c>
      <c r="F881" s="161" t="s">
        <v>710</v>
      </c>
      <c r="G881" s="94" t="s">
        <v>721</v>
      </c>
      <c r="H881" s="94"/>
      <c r="I881" s="94" t="s">
        <v>91</v>
      </c>
      <c r="J881" s="94" t="s">
        <v>149</v>
      </c>
      <c r="K881" s="94" t="s">
        <v>42</v>
      </c>
      <c r="L881" s="94" t="s">
        <v>41</v>
      </c>
      <c r="M881" s="94" t="s">
        <v>71</v>
      </c>
      <c r="N881" s="94" t="s">
        <v>138</v>
      </c>
      <c r="O881" s="259" t="str">
        <f t="shared" si="48"/>
        <v>B4 PM2 (10 to 14 yrs) / B4 PM3 (12 to 15 yrs)</v>
      </c>
      <c r="P881" s="260"/>
      <c r="Q881" s="260" t="str">
        <f t="shared" si="51"/>
        <v>PLMEnggServices/EnggServices/EnggServicesProjectManager/Senior</v>
      </c>
      <c r="R881" s="261" t="str">
        <f t="shared" si="49"/>
        <v>B4 PM2 (10 to 14 yrs) / B4 PM3 (12 to 15 yrs)</v>
      </c>
      <c r="S881" s="260" t="str">
        <f t="shared" si="50"/>
        <v>ES_13</v>
      </c>
      <c r="T881" s="269"/>
    </row>
    <row r="882" spans="1:20" ht="12.75" customHeight="1">
      <c r="A882" s="93">
        <f t="shared" si="52"/>
        <v>378</v>
      </c>
      <c r="B882" s="94" t="str">
        <f t="shared" si="53"/>
        <v>SAP_13-SAP/SOG/SAPOne/SAPArchitect//Junior</v>
      </c>
      <c r="C882" s="295" t="s">
        <v>1196</v>
      </c>
      <c r="D882" s="94" t="str">
        <f>+[7]GRC!D380</f>
        <v>SAP</v>
      </c>
      <c r="E882" s="160" t="s">
        <v>30</v>
      </c>
      <c r="F882" s="160" t="s">
        <v>725</v>
      </c>
      <c r="G882" s="94" t="s">
        <v>713</v>
      </c>
      <c r="H882" s="94"/>
      <c r="I882" s="94" t="s">
        <v>84</v>
      </c>
      <c r="J882" s="94" t="s">
        <v>148</v>
      </c>
      <c r="K882" s="94" t="s">
        <v>14</v>
      </c>
      <c r="L882" s="94" t="s">
        <v>71</v>
      </c>
      <c r="M882" s="94" t="s">
        <v>71</v>
      </c>
      <c r="N882" s="94" t="s">
        <v>138</v>
      </c>
      <c r="O882" s="260" t="str">
        <f t="shared" si="48"/>
        <v>B4 PM1 (9 to 12 yrs) / None</v>
      </c>
      <c r="P882" s="260"/>
      <c r="Q882" s="260" t="str">
        <f t="shared" si="51"/>
        <v>SOG/SAPOne/SAPArchitect/Junior</v>
      </c>
      <c r="R882" s="261" t="str">
        <f t="shared" si="49"/>
        <v>B4 PM1 (9 to 12 yrs) / None</v>
      </c>
      <c r="S882" s="260" t="str">
        <f t="shared" si="50"/>
        <v>SAP_13</v>
      </c>
      <c r="T882" s="269"/>
    </row>
    <row r="883" spans="1:20" ht="12.75" customHeight="1">
      <c r="A883" s="93">
        <f t="shared" si="52"/>
        <v>379</v>
      </c>
      <c r="B883" s="94" t="str">
        <f t="shared" si="53"/>
        <v>SAP_14-SAP/SOG/SAPOne/SAPArchitect//MidLevel</v>
      </c>
      <c r="C883" s="295" t="s">
        <v>1197</v>
      </c>
      <c r="D883" s="94" t="str">
        <f>+[7]GRC!D381</f>
        <v>SAP</v>
      </c>
      <c r="E883" s="160" t="s">
        <v>30</v>
      </c>
      <c r="F883" s="160" t="s">
        <v>725</v>
      </c>
      <c r="G883" s="94" t="s">
        <v>713</v>
      </c>
      <c r="H883" s="94"/>
      <c r="I883" s="94" t="s">
        <v>193</v>
      </c>
      <c r="J883" s="94" t="s">
        <v>186</v>
      </c>
      <c r="K883" s="94" t="s">
        <v>42</v>
      </c>
      <c r="L883" s="94" t="s">
        <v>41</v>
      </c>
      <c r="M883" s="94" t="s">
        <v>71</v>
      </c>
      <c r="N883" s="94" t="s">
        <v>138</v>
      </c>
      <c r="O883" s="260" t="str">
        <f t="shared" si="48"/>
        <v>B4 PM2 (10 to 14 yrs) / B4 PM3 (12 to 15 yrs)</v>
      </c>
      <c r="P883" s="260"/>
      <c r="Q883" s="260" t="str">
        <f t="shared" si="51"/>
        <v>SOG/SAPOne/SAPArchitect/MidLevel</v>
      </c>
      <c r="R883" s="261" t="str">
        <f t="shared" si="49"/>
        <v>B4 PM2 (10 to 14 yrs) / B4 PM3 (12 to 15 yrs)</v>
      </c>
      <c r="S883" s="260" t="str">
        <f t="shared" si="50"/>
        <v>SAP_14</v>
      </c>
      <c r="T883" s="269"/>
    </row>
    <row r="884" spans="1:20" ht="12.75" customHeight="1">
      <c r="A884" s="93">
        <f t="shared" si="52"/>
        <v>380</v>
      </c>
      <c r="B884" s="94" t="str">
        <f t="shared" si="53"/>
        <v>SAP_15-SAP/SOG/SAPOne/SAPArchitect//Senior</v>
      </c>
      <c r="C884" s="295" t="s">
        <v>1198</v>
      </c>
      <c r="D884" s="94" t="str">
        <f>+[7]GRC!D382</f>
        <v>SAP</v>
      </c>
      <c r="E884" s="160" t="s">
        <v>30</v>
      </c>
      <c r="F884" s="160" t="s">
        <v>725</v>
      </c>
      <c r="G884" s="94" t="s">
        <v>713</v>
      </c>
      <c r="H884" s="94"/>
      <c r="I884" s="94" t="s">
        <v>91</v>
      </c>
      <c r="J884" s="94" t="s">
        <v>139</v>
      </c>
      <c r="K884" s="94" t="s">
        <v>41</v>
      </c>
      <c r="L884" s="94" t="s">
        <v>13</v>
      </c>
      <c r="M884" s="94" t="s">
        <v>71</v>
      </c>
      <c r="N884" s="94" t="s">
        <v>138</v>
      </c>
      <c r="O884" s="259" t="str">
        <f>+K884&amp;" / " &amp;L884</f>
        <v>B4 PM3 (12 to 15 yrs) / B5 (min 8 yrs)</v>
      </c>
      <c r="P884" s="260"/>
      <c r="Q884" s="260" t="str">
        <f t="shared" si="51"/>
        <v>SOG/SAPOne/SAPArchitect/Senior</v>
      </c>
      <c r="R884" s="261" t="str">
        <f t="shared" si="49"/>
        <v>B4 PM3 (12 to 15 yrs) / B5 (min 8 yrs)</v>
      </c>
      <c r="S884" s="260" t="str">
        <f t="shared" si="50"/>
        <v>SAP_15</v>
      </c>
      <c r="T884" s="269"/>
    </row>
    <row r="885" spans="1:20" ht="12.75" customHeight="1">
      <c r="A885" s="94">
        <f t="shared" si="52"/>
        <v>381</v>
      </c>
      <c r="B885" s="260" t="str">
        <f t="shared" si="53"/>
        <v>IT_88-IT/IT/DuckCreek/Configurator//Junior</v>
      </c>
      <c r="C885" s="260" t="s">
        <v>1199</v>
      </c>
      <c r="D885" s="260" t="str">
        <f>+[7]GRC!D383</f>
        <v>IT</v>
      </c>
      <c r="E885" s="94" t="s">
        <v>97</v>
      </c>
      <c r="F885" s="260" t="s">
        <v>230</v>
      </c>
      <c r="G885" s="260" t="s">
        <v>126</v>
      </c>
      <c r="H885" s="260"/>
      <c r="I885" s="260" t="s">
        <v>84</v>
      </c>
      <c r="J885" s="260" t="s">
        <v>153</v>
      </c>
      <c r="K885" s="260" t="s">
        <v>19</v>
      </c>
      <c r="L885" s="260" t="s">
        <v>71</v>
      </c>
      <c r="M885" s="260" t="s">
        <v>71</v>
      </c>
      <c r="N885" s="260" t="s">
        <v>138</v>
      </c>
      <c r="O885" s="260" t="str">
        <f t="shared" ref="O885:O944" si="54">+K885&amp;" / " &amp;L885</f>
        <v>B2 AP2 (0.6 to 3 yrs) / None</v>
      </c>
      <c r="P885" s="260"/>
      <c r="Q885" s="260" t="str">
        <f t="shared" si="51"/>
        <v>IT/DuckCreek/Configurator/Junior</v>
      </c>
      <c r="R885" s="260" t="str">
        <f t="shared" si="49"/>
        <v>B2 AP2 (0.6 to 3 yrs) / None</v>
      </c>
      <c r="S885" s="260" t="str">
        <f t="shared" si="50"/>
        <v>IT_88</v>
      </c>
      <c r="T885" s="269"/>
    </row>
    <row r="886" spans="1:20" ht="12.75" customHeight="1">
      <c r="A886" s="94">
        <f t="shared" si="52"/>
        <v>382</v>
      </c>
      <c r="B886" s="260" t="str">
        <f t="shared" si="53"/>
        <v>IT_89-IT/IT/DuckCreek/Configurator//MidLevel</v>
      </c>
      <c r="C886" s="260" t="s">
        <v>1200</v>
      </c>
      <c r="D886" s="260" t="str">
        <f>+[7]GRC!D384</f>
        <v>IT</v>
      </c>
      <c r="E886" s="94" t="s">
        <v>97</v>
      </c>
      <c r="F886" s="260" t="s">
        <v>230</v>
      </c>
      <c r="G886" s="260" t="s">
        <v>126</v>
      </c>
      <c r="H886" s="260"/>
      <c r="I886" s="260" t="s">
        <v>193</v>
      </c>
      <c r="J886" s="260" t="s">
        <v>145</v>
      </c>
      <c r="K886" s="260" t="s">
        <v>18</v>
      </c>
      <c r="L886" s="260" t="s">
        <v>17</v>
      </c>
      <c r="M886" s="260" t="s">
        <v>71</v>
      </c>
      <c r="N886" s="260" t="s">
        <v>138</v>
      </c>
      <c r="O886" s="260" t="str">
        <f t="shared" si="54"/>
        <v>B2 AP3 (3 to 5 yrs) / B3 PL1 (5 to 7 yrs)</v>
      </c>
      <c r="P886" s="260"/>
      <c r="Q886" s="260" t="str">
        <f t="shared" si="51"/>
        <v>IT/DuckCreek/Configurator/MidLevel</v>
      </c>
      <c r="R886" s="260" t="str">
        <f t="shared" si="49"/>
        <v>B2 AP3 (3 to 5 yrs) / B3 PL1 (5 to 7 yrs)</v>
      </c>
      <c r="S886" s="260" t="str">
        <f t="shared" si="50"/>
        <v>IT_89</v>
      </c>
      <c r="T886" s="269"/>
    </row>
    <row r="887" spans="1:20" ht="12.75" customHeight="1">
      <c r="A887" s="94">
        <f t="shared" si="52"/>
        <v>383</v>
      </c>
      <c r="B887" s="260" t="str">
        <f t="shared" si="53"/>
        <v>IT_90-IT/IT/DuckCreek/Configurator//Senior</v>
      </c>
      <c r="C887" s="260" t="s">
        <v>1201</v>
      </c>
      <c r="D887" s="260" t="str">
        <f>+[7]GRC!D385</f>
        <v>IT</v>
      </c>
      <c r="E887" s="94" t="s">
        <v>97</v>
      </c>
      <c r="F887" s="260" t="s">
        <v>230</v>
      </c>
      <c r="G887" s="260" t="s">
        <v>126</v>
      </c>
      <c r="H887" s="260"/>
      <c r="I887" s="260" t="s">
        <v>91</v>
      </c>
      <c r="J887" s="260" t="s">
        <v>147</v>
      </c>
      <c r="K887" s="260" t="s">
        <v>16</v>
      </c>
      <c r="L887" s="260" t="s">
        <v>15</v>
      </c>
      <c r="M887" s="260" t="s">
        <v>71</v>
      </c>
      <c r="N887" s="260" t="s">
        <v>138</v>
      </c>
      <c r="O887" s="260" t="str">
        <f t="shared" si="54"/>
        <v>B3 PL2 (6 to 8 yrs) / B3 PL3 (7 to 10 yrs)</v>
      </c>
      <c r="P887" s="260"/>
      <c r="Q887" s="260" t="str">
        <f t="shared" si="51"/>
        <v>IT/DuckCreek/Configurator/Senior</v>
      </c>
      <c r="R887" s="260" t="str">
        <f t="shared" si="49"/>
        <v>B3 PL2 (6 to 8 yrs) / B3 PL3 (7 to 10 yrs)</v>
      </c>
      <c r="S887" s="260" t="str">
        <f t="shared" si="50"/>
        <v>IT_90</v>
      </c>
      <c r="T887" s="269"/>
    </row>
    <row r="888" spans="1:20" ht="12.75" customHeight="1">
      <c r="A888" s="94">
        <f t="shared" si="52"/>
        <v>384</v>
      </c>
      <c r="B888" s="260" t="str">
        <f t="shared" si="53"/>
        <v>IT_91-IT/IT/DuckCreek/Integrator//Junior</v>
      </c>
      <c r="C888" s="260" t="s">
        <v>1202</v>
      </c>
      <c r="D888" s="260" t="str">
        <f>+[7]GRC!D386</f>
        <v>IT</v>
      </c>
      <c r="E888" s="94" t="s">
        <v>97</v>
      </c>
      <c r="F888" s="260" t="s">
        <v>230</v>
      </c>
      <c r="G888" s="260" t="s">
        <v>754</v>
      </c>
      <c r="H888" s="260"/>
      <c r="I888" s="260" t="s">
        <v>84</v>
      </c>
      <c r="J888" s="260" t="s">
        <v>153</v>
      </c>
      <c r="K888" s="260" t="s">
        <v>19</v>
      </c>
      <c r="L888" s="260" t="s">
        <v>71</v>
      </c>
      <c r="M888" s="260" t="s">
        <v>71</v>
      </c>
      <c r="N888" s="260" t="s">
        <v>138</v>
      </c>
      <c r="O888" s="260" t="str">
        <f t="shared" si="54"/>
        <v>B2 AP2 (0.6 to 3 yrs) / None</v>
      </c>
      <c r="P888" s="260"/>
      <c r="Q888" s="260" t="str">
        <f t="shared" si="51"/>
        <v>IT/DuckCreek/Integrator/Junior</v>
      </c>
      <c r="R888" s="260" t="str">
        <f t="shared" si="49"/>
        <v>B2 AP2 (0.6 to 3 yrs) / None</v>
      </c>
      <c r="S888" s="260" t="str">
        <f t="shared" si="50"/>
        <v>IT_91</v>
      </c>
      <c r="T888" s="269"/>
    </row>
    <row r="889" spans="1:20" ht="12.75" customHeight="1">
      <c r="A889" s="94">
        <f t="shared" si="52"/>
        <v>385</v>
      </c>
      <c r="B889" s="260" t="str">
        <f t="shared" si="53"/>
        <v>IT_92-IT/IT/DuckCreek/Integrator//MidLevel</v>
      </c>
      <c r="C889" s="260" t="s">
        <v>1203</v>
      </c>
      <c r="D889" s="260" t="str">
        <f>+[7]GRC!D387</f>
        <v>IT</v>
      </c>
      <c r="E889" s="94" t="s">
        <v>97</v>
      </c>
      <c r="F889" s="260" t="s">
        <v>230</v>
      </c>
      <c r="G889" s="260" t="s">
        <v>754</v>
      </c>
      <c r="H889" s="260"/>
      <c r="I889" s="260" t="s">
        <v>193</v>
      </c>
      <c r="J889" s="260" t="s">
        <v>145</v>
      </c>
      <c r="K889" s="260" t="s">
        <v>18</v>
      </c>
      <c r="L889" s="260" t="s">
        <v>17</v>
      </c>
      <c r="M889" s="260" t="s">
        <v>71</v>
      </c>
      <c r="N889" s="260" t="s">
        <v>138</v>
      </c>
      <c r="O889" s="260" t="str">
        <f t="shared" si="54"/>
        <v>B2 AP3 (3 to 5 yrs) / B3 PL1 (5 to 7 yrs)</v>
      </c>
      <c r="P889" s="260"/>
      <c r="Q889" s="260" t="str">
        <f t="shared" si="51"/>
        <v>IT/DuckCreek/Integrator/MidLevel</v>
      </c>
      <c r="R889" s="260" t="str">
        <f t="shared" si="49"/>
        <v>B2 AP3 (3 to 5 yrs) / B3 PL1 (5 to 7 yrs)</v>
      </c>
      <c r="S889" s="260" t="str">
        <f t="shared" si="50"/>
        <v>IT_92</v>
      </c>
      <c r="T889" s="269"/>
    </row>
    <row r="890" spans="1:20" s="78" customFormat="1" ht="12.75" customHeight="1">
      <c r="A890" s="96">
        <f t="shared" si="52"/>
        <v>386</v>
      </c>
      <c r="B890" s="265" t="str">
        <f t="shared" si="53"/>
        <v>IT_93-IT/IT/DuckCreek/Integrator//Senior</v>
      </c>
      <c r="C890" s="265" t="s">
        <v>1204</v>
      </c>
      <c r="D890" s="265" t="str">
        <f>+[7]GRC!D388</f>
        <v>IT</v>
      </c>
      <c r="E890" s="96" t="s">
        <v>97</v>
      </c>
      <c r="F890" s="265" t="s">
        <v>230</v>
      </c>
      <c r="G890" s="265" t="s">
        <v>754</v>
      </c>
      <c r="H890" s="265"/>
      <c r="I890" s="265" t="s">
        <v>91</v>
      </c>
      <c r="J890" s="265" t="s">
        <v>147</v>
      </c>
      <c r="K890" s="265" t="s">
        <v>16</v>
      </c>
      <c r="L890" s="265" t="s">
        <v>15</v>
      </c>
      <c r="M890" s="265" t="s">
        <v>71</v>
      </c>
      <c r="N890" s="265" t="s">
        <v>138</v>
      </c>
      <c r="O890" s="265" t="str">
        <f t="shared" si="54"/>
        <v>B3 PL2 (6 to 8 yrs) / B3 PL3 (7 to 10 yrs)</v>
      </c>
      <c r="P890" s="265"/>
      <c r="Q890" s="265" t="str">
        <f t="shared" si="51"/>
        <v>IT/DuckCreek/Integrator/Senior</v>
      </c>
      <c r="R890" s="265" t="str">
        <f t="shared" ref="R890:R944" si="55">+O890</f>
        <v>B3 PL2 (6 to 8 yrs) / B3 PL3 (7 to 10 yrs)</v>
      </c>
      <c r="S890" s="265" t="str">
        <f t="shared" ref="S890:S944" si="56">+C890</f>
        <v>IT_93</v>
      </c>
      <c r="T890" s="270"/>
    </row>
    <row r="891" spans="1:20" ht="12.75" customHeight="1">
      <c r="A891" s="94">
        <f t="shared" si="52"/>
        <v>387</v>
      </c>
      <c r="B891" s="260" t="str">
        <f t="shared" si="53"/>
        <v>ECM_21-ECM/ECM/Web_Content_Management/Web_Content_Management_TechnicalArchitect//Senior</v>
      </c>
      <c r="C891" s="260" t="s">
        <v>1205</v>
      </c>
      <c r="D891" s="260" t="s">
        <v>87</v>
      </c>
      <c r="E891" s="260" t="s">
        <v>87</v>
      </c>
      <c r="F891" s="260" t="s">
        <v>787</v>
      </c>
      <c r="G891" s="260" t="s">
        <v>788</v>
      </c>
      <c r="H891" s="260"/>
      <c r="I891" s="260" t="s">
        <v>91</v>
      </c>
      <c r="J891" s="260" t="s">
        <v>71</v>
      </c>
      <c r="K891" s="260" t="s">
        <v>41</v>
      </c>
      <c r="L891" s="260" t="s">
        <v>71</v>
      </c>
      <c r="M891" s="260" t="s">
        <v>71</v>
      </c>
      <c r="N891" s="260" t="s">
        <v>138</v>
      </c>
      <c r="O891" s="260" t="str">
        <f t="shared" si="54"/>
        <v>B4 PM3 (12 to 15 yrs) / None</v>
      </c>
      <c r="P891" s="260"/>
      <c r="Q891" s="260" t="str">
        <f t="shared" ref="Q891:Q944" si="57">+E891&amp;"/"&amp;F891&amp;"/"&amp;G891&amp;"/"&amp;I891</f>
        <v>ECM/Web_Content_Management/Web_Content_Management_TechnicalArchitect/Senior</v>
      </c>
      <c r="R891" s="260" t="str">
        <f t="shared" si="55"/>
        <v>B4 PM3 (12 to 15 yrs) / None</v>
      </c>
      <c r="S891" s="260" t="str">
        <f t="shared" si="56"/>
        <v>ECM_21</v>
      </c>
      <c r="T891" s="269"/>
    </row>
    <row r="892" spans="1:20" ht="12.75" customHeight="1">
      <c r="A892" s="94">
        <f t="shared" si="52"/>
        <v>388</v>
      </c>
      <c r="B892" s="260" t="str">
        <f t="shared" si="53"/>
        <v>ECM_22-ECM/ECM/Web_Content_Management/Web_Content_Management_TechnicalArchitect//MidLevel</v>
      </c>
      <c r="C892" s="260" t="s">
        <v>1206</v>
      </c>
      <c r="D892" s="260" t="s">
        <v>87</v>
      </c>
      <c r="E892" s="260" t="s">
        <v>87</v>
      </c>
      <c r="F892" s="260" t="s">
        <v>787</v>
      </c>
      <c r="G892" s="260" t="s">
        <v>788</v>
      </c>
      <c r="H892" s="260"/>
      <c r="I892" s="260" t="s">
        <v>193</v>
      </c>
      <c r="J892" s="260" t="s">
        <v>71</v>
      </c>
      <c r="K892" s="260" t="s">
        <v>42</v>
      </c>
      <c r="L892" s="260" t="s">
        <v>71</v>
      </c>
      <c r="M892" s="260" t="s">
        <v>71</v>
      </c>
      <c r="N892" s="260" t="s">
        <v>138</v>
      </c>
      <c r="O892" s="260" t="str">
        <f t="shared" si="54"/>
        <v>B4 PM2 (10 to 14 yrs) / None</v>
      </c>
      <c r="P892" s="260"/>
      <c r="Q892" s="260" t="str">
        <f t="shared" si="57"/>
        <v>ECM/Web_Content_Management/Web_Content_Management_TechnicalArchitect/MidLevel</v>
      </c>
      <c r="R892" s="260" t="str">
        <f t="shared" si="55"/>
        <v>B4 PM2 (10 to 14 yrs) / None</v>
      </c>
      <c r="S892" s="260" t="str">
        <f t="shared" si="56"/>
        <v>ECM_22</v>
      </c>
      <c r="T892" s="269"/>
    </row>
    <row r="893" spans="1:20" ht="12.75" customHeight="1">
      <c r="A893" s="94">
        <f t="shared" si="52"/>
        <v>389</v>
      </c>
      <c r="B893" s="260" t="str">
        <f t="shared" si="53"/>
        <v>ECM_23-ECM/ECM/Web_Content_Management/Web_Content_Management_TechnicalArchitect//Junior</v>
      </c>
      <c r="C893" s="260" t="s">
        <v>1207</v>
      </c>
      <c r="D893" s="260" t="s">
        <v>87</v>
      </c>
      <c r="E893" s="260" t="s">
        <v>87</v>
      </c>
      <c r="F893" s="260" t="s">
        <v>787</v>
      </c>
      <c r="G893" s="260" t="s">
        <v>788</v>
      </c>
      <c r="H893" s="260"/>
      <c r="I893" s="260" t="s">
        <v>84</v>
      </c>
      <c r="J893" s="260" t="s">
        <v>71</v>
      </c>
      <c r="K893" s="260" t="s">
        <v>14</v>
      </c>
      <c r="L893" s="260" t="s">
        <v>71</v>
      </c>
      <c r="M893" s="260" t="s">
        <v>71</v>
      </c>
      <c r="N893" s="260" t="s">
        <v>138</v>
      </c>
      <c r="O893" s="260" t="str">
        <f t="shared" si="54"/>
        <v>B4 PM1 (9 to 12 yrs) / None</v>
      </c>
      <c r="P893" s="260"/>
      <c r="Q893" s="260" t="str">
        <f t="shared" si="57"/>
        <v>ECM/Web_Content_Management/Web_Content_Management_TechnicalArchitect/Junior</v>
      </c>
      <c r="R893" s="260" t="str">
        <f t="shared" si="55"/>
        <v>B4 PM1 (9 to 12 yrs) / None</v>
      </c>
      <c r="S893" s="260" t="str">
        <f t="shared" si="56"/>
        <v>ECM_23</v>
      </c>
      <c r="T893" s="269"/>
    </row>
    <row r="894" spans="1:20" ht="12.75" customHeight="1">
      <c r="A894" s="94">
        <f t="shared" si="52"/>
        <v>390</v>
      </c>
      <c r="B894" s="260" t="str">
        <f t="shared" si="53"/>
        <v>ECM_24-ECM/ECM/Web_Content_Management/Web_Content_Management_TechnicalLead//Senior</v>
      </c>
      <c r="C894" s="260" t="s">
        <v>1208</v>
      </c>
      <c r="D894" s="260" t="s">
        <v>87</v>
      </c>
      <c r="E894" s="260" t="s">
        <v>87</v>
      </c>
      <c r="F894" s="260" t="s">
        <v>787</v>
      </c>
      <c r="G894" s="260" t="s">
        <v>789</v>
      </c>
      <c r="H894" s="260"/>
      <c r="I894" s="260" t="s">
        <v>91</v>
      </c>
      <c r="J894" s="260" t="s">
        <v>71</v>
      </c>
      <c r="K894" s="260" t="s">
        <v>15</v>
      </c>
      <c r="L894" s="260" t="s">
        <v>71</v>
      </c>
      <c r="M894" s="260" t="s">
        <v>71</v>
      </c>
      <c r="N894" s="260" t="s">
        <v>138</v>
      </c>
      <c r="O894" s="260" t="str">
        <f t="shared" si="54"/>
        <v>B3 PL3 (7 to 10 yrs) / None</v>
      </c>
      <c r="P894" s="260"/>
      <c r="Q894" s="260" t="str">
        <f t="shared" si="57"/>
        <v>ECM/Web_Content_Management/Web_Content_Management_TechnicalLead/Senior</v>
      </c>
      <c r="R894" s="260" t="str">
        <f t="shared" si="55"/>
        <v>B3 PL3 (7 to 10 yrs) / None</v>
      </c>
      <c r="S894" s="260" t="str">
        <f t="shared" si="56"/>
        <v>ECM_24</v>
      </c>
      <c r="T894" s="269"/>
    </row>
    <row r="895" spans="1:20" ht="12.75" customHeight="1">
      <c r="A895" s="94">
        <f t="shared" si="52"/>
        <v>391</v>
      </c>
      <c r="B895" s="260" t="str">
        <f t="shared" si="53"/>
        <v>ECM_25-ECM/ECM/Web_Content_Management/Web_Content_Management_TechnicalLead//MidLevel</v>
      </c>
      <c r="C895" s="260" t="s">
        <v>1209</v>
      </c>
      <c r="D895" s="260" t="s">
        <v>87</v>
      </c>
      <c r="E895" s="260" t="s">
        <v>87</v>
      </c>
      <c r="F895" s="260" t="s">
        <v>787</v>
      </c>
      <c r="G895" s="260" t="s">
        <v>789</v>
      </c>
      <c r="H895" s="260"/>
      <c r="I895" s="260" t="s">
        <v>193</v>
      </c>
      <c r="J895" s="260" t="s">
        <v>71</v>
      </c>
      <c r="K895" s="260" t="s">
        <v>16</v>
      </c>
      <c r="L895" s="260" t="s">
        <v>71</v>
      </c>
      <c r="M895" s="260" t="s">
        <v>71</v>
      </c>
      <c r="N895" s="260" t="s">
        <v>138</v>
      </c>
      <c r="O895" s="260" t="str">
        <f t="shared" si="54"/>
        <v>B3 PL2 (6 to 8 yrs) / None</v>
      </c>
      <c r="P895" s="260"/>
      <c r="Q895" s="260" t="str">
        <f t="shared" si="57"/>
        <v>ECM/Web_Content_Management/Web_Content_Management_TechnicalLead/MidLevel</v>
      </c>
      <c r="R895" s="260" t="str">
        <f t="shared" si="55"/>
        <v>B3 PL2 (6 to 8 yrs) / None</v>
      </c>
      <c r="S895" s="260" t="str">
        <f t="shared" si="56"/>
        <v>ECM_25</v>
      </c>
      <c r="T895" s="269"/>
    </row>
    <row r="896" spans="1:20" ht="12.75" customHeight="1">
      <c r="A896" s="94">
        <f t="shared" si="52"/>
        <v>392</v>
      </c>
      <c r="B896" s="260" t="str">
        <f t="shared" si="53"/>
        <v>ECM_26-ECM/ECM/Web_Content_Management/Web_Content_Management_TechnicalLead//Junior</v>
      </c>
      <c r="C896" s="260" t="s">
        <v>1210</v>
      </c>
      <c r="D896" s="260" t="s">
        <v>87</v>
      </c>
      <c r="E896" s="260" t="s">
        <v>87</v>
      </c>
      <c r="F896" s="260" t="s">
        <v>787</v>
      </c>
      <c r="G896" s="260" t="s">
        <v>789</v>
      </c>
      <c r="H896" s="260"/>
      <c r="I896" s="260" t="s">
        <v>84</v>
      </c>
      <c r="J896" s="260" t="s">
        <v>71</v>
      </c>
      <c r="K896" s="260" t="s">
        <v>17</v>
      </c>
      <c r="L896" s="260" t="s">
        <v>71</v>
      </c>
      <c r="M896" s="260" t="s">
        <v>71</v>
      </c>
      <c r="N896" s="260" t="s">
        <v>138</v>
      </c>
      <c r="O896" s="260" t="str">
        <f t="shared" si="54"/>
        <v>B3 PL1 (5 to 7 yrs) / None</v>
      </c>
      <c r="P896" s="260"/>
      <c r="Q896" s="260" t="str">
        <f t="shared" si="57"/>
        <v>ECM/Web_Content_Management/Web_Content_Management_TechnicalLead/Junior</v>
      </c>
      <c r="R896" s="260" t="str">
        <f t="shared" si="55"/>
        <v>B3 PL1 (5 to 7 yrs) / None</v>
      </c>
      <c r="S896" s="260" t="str">
        <f t="shared" si="56"/>
        <v>ECM_26</v>
      </c>
      <c r="T896" s="269"/>
    </row>
    <row r="897" spans="1:20" ht="12.75" customHeight="1">
      <c r="A897" s="94">
        <f t="shared" si="52"/>
        <v>393</v>
      </c>
      <c r="B897" s="260" t="str">
        <f t="shared" si="53"/>
        <v>ECM_27-ECM/ECM/Web_Content_Management/Web_Content_Management_Developer//Senior</v>
      </c>
      <c r="C897" s="260" t="s">
        <v>1211</v>
      </c>
      <c r="D897" s="260" t="s">
        <v>87</v>
      </c>
      <c r="E897" s="260" t="s">
        <v>87</v>
      </c>
      <c r="F897" s="260" t="s">
        <v>787</v>
      </c>
      <c r="G897" s="260" t="s">
        <v>790</v>
      </c>
      <c r="H897" s="260"/>
      <c r="I897" s="260" t="s">
        <v>91</v>
      </c>
      <c r="J897" s="260" t="s">
        <v>71</v>
      </c>
      <c r="K897" s="260" t="s">
        <v>18</v>
      </c>
      <c r="L897" s="260" t="s">
        <v>71</v>
      </c>
      <c r="M897" s="260" t="s">
        <v>71</v>
      </c>
      <c r="N897" s="260" t="s">
        <v>138</v>
      </c>
      <c r="O897" s="260" t="str">
        <f t="shared" si="54"/>
        <v>B2 AP3 (3 to 5 yrs) / None</v>
      </c>
      <c r="P897" s="260"/>
      <c r="Q897" s="260" t="str">
        <f t="shared" si="57"/>
        <v>ECM/Web_Content_Management/Web_Content_Management_Developer/Senior</v>
      </c>
      <c r="R897" s="260" t="str">
        <f t="shared" si="55"/>
        <v>B2 AP3 (3 to 5 yrs) / None</v>
      </c>
      <c r="S897" s="260" t="str">
        <f t="shared" si="56"/>
        <v>ECM_27</v>
      </c>
      <c r="T897" s="269"/>
    </row>
    <row r="898" spans="1:20" ht="12.75" customHeight="1">
      <c r="A898" s="94">
        <f t="shared" si="52"/>
        <v>394</v>
      </c>
      <c r="B898" s="260" t="str">
        <f t="shared" si="53"/>
        <v>ECM_28-ECM/ECM/Web_Content_Management/Web_Content_Management_Developer//MidLevel</v>
      </c>
      <c r="C898" s="260" t="s">
        <v>1212</v>
      </c>
      <c r="D898" s="260" t="s">
        <v>87</v>
      </c>
      <c r="E898" s="260" t="s">
        <v>87</v>
      </c>
      <c r="F898" s="260" t="s">
        <v>787</v>
      </c>
      <c r="G898" s="260" t="s">
        <v>790</v>
      </c>
      <c r="H898" s="260"/>
      <c r="I898" s="260" t="s">
        <v>193</v>
      </c>
      <c r="J898" s="260" t="s">
        <v>71</v>
      </c>
      <c r="K898" s="260" t="s">
        <v>19</v>
      </c>
      <c r="L898" s="260" t="s">
        <v>71</v>
      </c>
      <c r="M898" s="260" t="s">
        <v>71</v>
      </c>
      <c r="N898" s="260" t="s">
        <v>138</v>
      </c>
      <c r="O898" s="260" t="str">
        <f t="shared" si="54"/>
        <v>B2 AP2 (0.6 to 3 yrs) / None</v>
      </c>
      <c r="P898" s="260"/>
      <c r="Q898" s="260" t="str">
        <f t="shared" si="57"/>
        <v>ECM/Web_Content_Management/Web_Content_Management_Developer/MidLevel</v>
      </c>
      <c r="R898" s="260" t="str">
        <f t="shared" si="55"/>
        <v>B2 AP2 (0.6 to 3 yrs) / None</v>
      </c>
      <c r="S898" s="260" t="str">
        <f t="shared" si="56"/>
        <v>ECM_28</v>
      </c>
      <c r="T898" s="269"/>
    </row>
    <row r="899" spans="1:20" ht="12.75" customHeight="1">
      <c r="A899" s="94">
        <f t="shared" si="52"/>
        <v>395</v>
      </c>
      <c r="B899" s="260" t="str">
        <f t="shared" si="53"/>
        <v>ECM_29-ECM/ECM/Document_Management/Document_Management_TechnicalArchitect//Senior</v>
      </c>
      <c r="C899" s="260" t="s">
        <v>1213</v>
      </c>
      <c r="D899" s="260" t="s">
        <v>87</v>
      </c>
      <c r="E899" s="260" t="s">
        <v>87</v>
      </c>
      <c r="F899" s="260" t="s">
        <v>782</v>
      </c>
      <c r="G899" s="260" t="s">
        <v>791</v>
      </c>
      <c r="H899" s="260"/>
      <c r="I899" s="260" t="s">
        <v>91</v>
      </c>
      <c r="J899" s="260" t="s">
        <v>71</v>
      </c>
      <c r="K899" s="260" t="s">
        <v>41</v>
      </c>
      <c r="L899" s="260" t="s">
        <v>71</v>
      </c>
      <c r="M899" s="260" t="s">
        <v>71</v>
      </c>
      <c r="N899" s="260" t="s">
        <v>138</v>
      </c>
      <c r="O899" s="260" t="str">
        <f t="shared" si="54"/>
        <v>B4 PM3 (12 to 15 yrs) / None</v>
      </c>
      <c r="P899" s="260"/>
      <c r="Q899" s="260" t="str">
        <f t="shared" si="57"/>
        <v>ECM/Document_Management/Document_Management_TechnicalArchitect/Senior</v>
      </c>
      <c r="R899" s="260" t="str">
        <f t="shared" si="55"/>
        <v>B4 PM3 (12 to 15 yrs) / None</v>
      </c>
      <c r="S899" s="260" t="str">
        <f t="shared" si="56"/>
        <v>ECM_29</v>
      </c>
      <c r="T899" s="269"/>
    </row>
    <row r="900" spans="1:20" ht="12.75" customHeight="1">
      <c r="A900" s="94">
        <f t="shared" si="52"/>
        <v>396</v>
      </c>
      <c r="B900" s="260" t="str">
        <f t="shared" si="53"/>
        <v>ECM_30-ECM/ECM/Document_Management/Document_Management_TechnicalArchitect//MidLevel</v>
      </c>
      <c r="C900" s="260" t="s">
        <v>1214</v>
      </c>
      <c r="D900" s="260" t="s">
        <v>87</v>
      </c>
      <c r="E900" s="260" t="s">
        <v>87</v>
      </c>
      <c r="F900" s="260" t="s">
        <v>782</v>
      </c>
      <c r="G900" s="260" t="s">
        <v>791</v>
      </c>
      <c r="H900" s="260"/>
      <c r="I900" s="260" t="s">
        <v>193</v>
      </c>
      <c r="J900" s="260" t="s">
        <v>71</v>
      </c>
      <c r="K900" s="260" t="s">
        <v>42</v>
      </c>
      <c r="L900" s="260" t="s">
        <v>71</v>
      </c>
      <c r="M900" s="260" t="s">
        <v>71</v>
      </c>
      <c r="N900" s="260" t="s">
        <v>138</v>
      </c>
      <c r="O900" s="260" t="str">
        <f t="shared" si="54"/>
        <v>B4 PM2 (10 to 14 yrs) / None</v>
      </c>
      <c r="P900" s="260"/>
      <c r="Q900" s="260" t="str">
        <f t="shared" si="57"/>
        <v>ECM/Document_Management/Document_Management_TechnicalArchitect/MidLevel</v>
      </c>
      <c r="R900" s="260" t="str">
        <f t="shared" si="55"/>
        <v>B4 PM2 (10 to 14 yrs) / None</v>
      </c>
      <c r="S900" s="260" t="str">
        <f t="shared" si="56"/>
        <v>ECM_30</v>
      </c>
      <c r="T900" s="269"/>
    </row>
    <row r="901" spans="1:20" ht="12.75" customHeight="1">
      <c r="A901" s="94">
        <f t="shared" si="52"/>
        <v>397</v>
      </c>
      <c r="B901" s="260" t="str">
        <f t="shared" si="53"/>
        <v>ECM_31-ECM/ECM/Document_Management/Document_Management_TechnicalArchitect//Junior</v>
      </c>
      <c r="C901" s="260" t="s">
        <v>1215</v>
      </c>
      <c r="D901" s="260" t="s">
        <v>87</v>
      </c>
      <c r="E901" s="260" t="s">
        <v>87</v>
      </c>
      <c r="F901" s="260" t="s">
        <v>782</v>
      </c>
      <c r="G901" s="260" t="s">
        <v>791</v>
      </c>
      <c r="H901" s="260"/>
      <c r="I901" s="260" t="s">
        <v>84</v>
      </c>
      <c r="J901" s="260" t="s">
        <v>71</v>
      </c>
      <c r="K901" s="260" t="s">
        <v>14</v>
      </c>
      <c r="L901" s="260" t="s">
        <v>71</v>
      </c>
      <c r="M901" s="260" t="s">
        <v>71</v>
      </c>
      <c r="N901" s="260" t="s">
        <v>138</v>
      </c>
      <c r="O901" s="260" t="str">
        <f t="shared" si="54"/>
        <v>B4 PM1 (9 to 12 yrs) / None</v>
      </c>
      <c r="P901" s="260"/>
      <c r="Q901" s="260" t="str">
        <f t="shared" si="57"/>
        <v>ECM/Document_Management/Document_Management_TechnicalArchitect/Junior</v>
      </c>
      <c r="R901" s="260" t="str">
        <f t="shared" si="55"/>
        <v>B4 PM1 (9 to 12 yrs) / None</v>
      </c>
      <c r="S901" s="260" t="str">
        <f t="shared" si="56"/>
        <v>ECM_31</v>
      </c>
      <c r="T901" s="269"/>
    </row>
    <row r="902" spans="1:20" ht="12.75" customHeight="1">
      <c r="A902" s="94">
        <f t="shared" si="52"/>
        <v>398</v>
      </c>
      <c r="B902" s="260" t="str">
        <f t="shared" si="53"/>
        <v>ECM_32-ECM/ECM/Document_Management/Document_Management_TechnicalLead//Senior</v>
      </c>
      <c r="C902" s="260" t="s">
        <v>1216</v>
      </c>
      <c r="D902" s="260" t="s">
        <v>87</v>
      </c>
      <c r="E902" s="260" t="s">
        <v>87</v>
      </c>
      <c r="F902" s="260" t="s">
        <v>782</v>
      </c>
      <c r="G902" s="260" t="s">
        <v>792</v>
      </c>
      <c r="H902" s="260"/>
      <c r="I902" s="260" t="s">
        <v>91</v>
      </c>
      <c r="J902" s="260" t="s">
        <v>71</v>
      </c>
      <c r="K902" s="260" t="s">
        <v>15</v>
      </c>
      <c r="L902" s="260" t="s">
        <v>71</v>
      </c>
      <c r="M902" s="260" t="s">
        <v>71</v>
      </c>
      <c r="N902" s="260" t="s">
        <v>138</v>
      </c>
      <c r="O902" s="260" t="str">
        <f t="shared" si="54"/>
        <v>B3 PL3 (7 to 10 yrs) / None</v>
      </c>
      <c r="P902" s="260"/>
      <c r="Q902" s="260" t="str">
        <f t="shared" si="57"/>
        <v>ECM/Document_Management/Document_Management_TechnicalLead/Senior</v>
      </c>
      <c r="R902" s="260" t="str">
        <f t="shared" si="55"/>
        <v>B3 PL3 (7 to 10 yrs) / None</v>
      </c>
      <c r="S902" s="260" t="str">
        <f t="shared" si="56"/>
        <v>ECM_32</v>
      </c>
      <c r="T902" s="269"/>
    </row>
    <row r="903" spans="1:20" ht="12.75" customHeight="1">
      <c r="A903" s="94">
        <f t="shared" si="52"/>
        <v>399</v>
      </c>
      <c r="B903" s="260" t="str">
        <f t="shared" si="53"/>
        <v>ECM_33-ECM/ECM/Document_Management/Document_Management_TechnicalLead//MidLevel</v>
      </c>
      <c r="C903" s="260" t="s">
        <v>1217</v>
      </c>
      <c r="D903" s="260" t="s">
        <v>87</v>
      </c>
      <c r="E903" s="260" t="s">
        <v>87</v>
      </c>
      <c r="F903" s="260" t="s">
        <v>782</v>
      </c>
      <c r="G903" s="260" t="s">
        <v>792</v>
      </c>
      <c r="H903" s="260"/>
      <c r="I903" s="260" t="s">
        <v>193</v>
      </c>
      <c r="J903" s="260" t="s">
        <v>71</v>
      </c>
      <c r="K903" s="260" t="s">
        <v>16</v>
      </c>
      <c r="L903" s="260" t="s">
        <v>71</v>
      </c>
      <c r="M903" s="260" t="s">
        <v>71</v>
      </c>
      <c r="N903" s="260" t="s">
        <v>138</v>
      </c>
      <c r="O903" s="260" t="str">
        <f t="shared" si="54"/>
        <v>B3 PL2 (6 to 8 yrs) / None</v>
      </c>
      <c r="P903" s="260"/>
      <c r="Q903" s="260" t="str">
        <f t="shared" si="57"/>
        <v>ECM/Document_Management/Document_Management_TechnicalLead/MidLevel</v>
      </c>
      <c r="R903" s="260" t="str">
        <f t="shared" si="55"/>
        <v>B3 PL2 (6 to 8 yrs) / None</v>
      </c>
      <c r="S903" s="260" t="str">
        <f t="shared" si="56"/>
        <v>ECM_33</v>
      </c>
      <c r="T903" s="269"/>
    </row>
    <row r="904" spans="1:20" ht="12.75" customHeight="1">
      <c r="A904" s="94">
        <f t="shared" si="52"/>
        <v>400</v>
      </c>
      <c r="B904" s="260" t="str">
        <f t="shared" si="53"/>
        <v>ECM_34-ECM/ECM/Document_Management/Document_Management_TechnicalLead//Junior</v>
      </c>
      <c r="C904" s="260" t="s">
        <v>1218</v>
      </c>
      <c r="D904" s="260" t="s">
        <v>87</v>
      </c>
      <c r="E904" s="260" t="s">
        <v>87</v>
      </c>
      <c r="F904" s="260" t="s">
        <v>782</v>
      </c>
      <c r="G904" s="260" t="s">
        <v>792</v>
      </c>
      <c r="H904" s="260"/>
      <c r="I904" s="260" t="s">
        <v>84</v>
      </c>
      <c r="J904" s="260" t="s">
        <v>71</v>
      </c>
      <c r="K904" s="260" t="s">
        <v>17</v>
      </c>
      <c r="L904" s="260" t="s">
        <v>71</v>
      </c>
      <c r="M904" s="260" t="s">
        <v>71</v>
      </c>
      <c r="N904" s="260" t="s">
        <v>138</v>
      </c>
      <c r="O904" s="260" t="str">
        <f t="shared" si="54"/>
        <v>B3 PL1 (5 to 7 yrs) / None</v>
      </c>
      <c r="P904" s="260"/>
      <c r="Q904" s="260" t="str">
        <f t="shared" si="57"/>
        <v>ECM/Document_Management/Document_Management_TechnicalLead/Junior</v>
      </c>
      <c r="R904" s="260" t="str">
        <f t="shared" si="55"/>
        <v>B3 PL1 (5 to 7 yrs) / None</v>
      </c>
      <c r="S904" s="260" t="str">
        <f t="shared" si="56"/>
        <v>ECM_34</v>
      </c>
      <c r="T904" s="269"/>
    </row>
    <row r="905" spans="1:20" ht="12.75" customHeight="1">
      <c r="A905" s="94">
        <f t="shared" si="52"/>
        <v>401</v>
      </c>
      <c r="B905" s="260" t="str">
        <f t="shared" si="53"/>
        <v>ECM_35-ECM/ECM/Document_Management/Document_Management_Developer//Senior</v>
      </c>
      <c r="C905" s="260" t="s">
        <v>1219</v>
      </c>
      <c r="D905" s="260" t="s">
        <v>87</v>
      </c>
      <c r="E905" s="260" t="s">
        <v>87</v>
      </c>
      <c r="F905" s="260" t="s">
        <v>782</v>
      </c>
      <c r="G905" s="260" t="s">
        <v>783</v>
      </c>
      <c r="H905" s="260"/>
      <c r="I905" s="260" t="s">
        <v>91</v>
      </c>
      <c r="J905" s="260" t="s">
        <v>71</v>
      </c>
      <c r="K905" s="260" t="s">
        <v>18</v>
      </c>
      <c r="L905" s="260" t="s">
        <v>71</v>
      </c>
      <c r="M905" s="260" t="s">
        <v>71</v>
      </c>
      <c r="N905" s="260" t="s">
        <v>138</v>
      </c>
      <c r="O905" s="260" t="str">
        <f t="shared" si="54"/>
        <v>B2 AP3 (3 to 5 yrs) / None</v>
      </c>
      <c r="P905" s="260"/>
      <c r="Q905" s="260" t="str">
        <f t="shared" si="57"/>
        <v>ECM/Document_Management/Document_Management_Developer/Senior</v>
      </c>
      <c r="R905" s="260" t="str">
        <f t="shared" si="55"/>
        <v>B2 AP3 (3 to 5 yrs) / None</v>
      </c>
      <c r="S905" s="260" t="str">
        <f t="shared" si="56"/>
        <v>ECM_35</v>
      </c>
      <c r="T905" s="269"/>
    </row>
    <row r="906" spans="1:20" ht="12.75" customHeight="1">
      <c r="A906" s="94">
        <f t="shared" si="52"/>
        <v>402</v>
      </c>
      <c r="B906" s="260" t="str">
        <f t="shared" si="53"/>
        <v>ECM_36-ECM/ECM/Document_Management/Document_Management_Developer//MidLevel</v>
      </c>
      <c r="C906" s="260" t="s">
        <v>1220</v>
      </c>
      <c r="D906" s="260" t="s">
        <v>87</v>
      </c>
      <c r="E906" s="260" t="s">
        <v>87</v>
      </c>
      <c r="F906" s="260" t="s">
        <v>782</v>
      </c>
      <c r="G906" s="260" t="s">
        <v>783</v>
      </c>
      <c r="H906" s="260"/>
      <c r="I906" s="260" t="s">
        <v>193</v>
      </c>
      <c r="J906" s="260" t="s">
        <v>71</v>
      </c>
      <c r="K906" s="260" t="s">
        <v>19</v>
      </c>
      <c r="L906" s="260" t="s">
        <v>71</v>
      </c>
      <c r="M906" s="260" t="s">
        <v>71</v>
      </c>
      <c r="N906" s="260" t="s">
        <v>138</v>
      </c>
      <c r="O906" s="260" t="str">
        <f t="shared" si="54"/>
        <v>B2 AP2 (0.6 to 3 yrs) / None</v>
      </c>
      <c r="P906" s="260"/>
      <c r="Q906" s="260" t="str">
        <f t="shared" si="57"/>
        <v>ECM/Document_Management/Document_Management_Developer/MidLevel</v>
      </c>
      <c r="R906" s="260" t="str">
        <f t="shared" si="55"/>
        <v>B2 AP2 (0.6 to 3 yrs) / None</v>
      </c>
      <c r="S906" s="260" t="str">
        <f t="shared" si="56"/>
        <v>ECM_36</v>
      </c>
      <c r="T906" s="269"/>
    </row>
    <row r="907" spans="1:20" ht="12.75" customHeight="1">
      <c r="A907" s="94">
        <f t="shared" si="52"/>
        <v>403</v>
      </c>
      <c r="B907" s="260" t="str">
        <f t="shared" si="53"/>
        <v>ECM_37-ECM/ECM/Customer_Communication_Management/Customer_Communication_Management_TechnicalArchitect//Senior</v>
      </c>
      <c r="C907" s="260" t="s">
        <v>1221</v>
      </c>
      <c r="D907" s="260" t="s">
        <v>87</v>
      </c>
      <c r="E907" s="260" t="s">
        <v>87</v>
      </c>
      <c r="F907" s="260" t="s">
        <v>780</v>
      </c>
      <c r="G907" s="260" t="s">
        <v>781</v>
      </c>
      <c r="H907" s="260"/>
      <c r="I907" s="260" t="s">
        <v>91</v>
      </c>
      <c r="J907" s="260" t="s">
        <v>71</v>
      </c>
      <c r="K907" s="260" t="s">
        <v>41</v>
      </c>
      <c r="L907" s="260" t="s">
        <v>71</v>
      </c>
      <c r="M907" s="260" t="s">
        <v>71</v>
      </c>
      <c r="N907" s="260" t="s">
        <v>138</v>
      </c>
      <c r="O907" s="260" t="str">
        <f t="shared" si="54"/>
        <v>B4 PM3 (12 to 15 yrs) / None</v>
      </c>
      <c r="P907" s="260"/>
      <c r="Q907" s="260" t="str">
        <f t="shared" si="57"/>
        <v>ECM/Customer_Communication_Management/Customer_Communication_Management_TechnicalArchitect/Senior</v>
      </c>
      <c r="R907" s="260" t="str">
        <f t="shared" si="55"/>
        <v>B4 PM3 (12 to 15 yrs) / None</v>
      </c>
      <c r="S907" s="260" t="str">
        <f t="shared" si="56"/>
        <v>ECM_37</v>
      </c>
      <c r="T907" s="269"/>
    </row>
    <row r="908" spans="1:20" ht="12.75" customHeight="1">
      <c r="A908" s="94">
        <f t="shared" si="52"/>
        <v>404</v>
      </c>
      <c r="B908" s="260" t="str">
        <f t="shared" si="53"/>
        <v>ECM_38-ECM/ECM/Customer_Communication_Management/Customer_Communication_Management_TechnicalArchitect//MidLevel</v>
      </c>
      <c r="C908" s="260" t="s">
        <v>1222</v>
      </c>
      <c r="D908" s="260" t="s">
        <v>87</v>
      </c>
      <c r="E908" s="260" t="s">
        <v>87</v>
      </c>
      <c r="F908" s="260" t="s">
        <v>780</v>
      </c>
      <c r="G908" s="260" t="s">
        <v>781</v>
      </c>
      <c r="H908" s="260"/>
      <c r="I908" s="260" t="s">
        <v>193</v>
      </c>
      <c r="J908" s="260" t="s">
        <v>71</v>
      </c>
      <c r="K908" s="260" t="s">
        <v>42</v>
      </c>
      <c r="L908" s="260" t="s">
        <v>71</v>
      </c>
      <c r="M908" s="260" t="s">
        <v>71</v>
      </c>
      <c r="N908" s="260" t="s">
        <v>138</v>
      </c>
      <c r="O908" s="260" t="str">
        <f t="shared" si="54"/>
        <v>B4 PM2 (10 to 14 yrs) / None</v>
      </c>
      <c r="P908" s="260"/>
      <c r="Q908" s="260" t="str">
        <f t="shared" si="57"/>
        <v>ECM/Customer_Communication_Management/Customer_Communication_Management_TechnicalArchitect/MidLevel</v>
      </c>
      <c r="R908" s="260" t="str">
        <f t="shared" si="55"/>
        <v>B4 PM2 (10 to 14 yrs) / None</v>
      </c>
      <c r="S908" s="260" t="str">
        <f t="shared" si="56"/>
        <v>ECM_38</v>
      </c>
      <c r="T908" s="269"/>
    </row>
    <row r="909" spans="1:20" ht="12.75" customHeight="1">
      <c r="A909" s="94">
        <f t="shared" si="52"/>
        <v>405</v>
      </c>
      <c r="B909" s="260" t="str">
        <f t="shared" si="53"/>
        <v>ECM_39-ECM/ECM/Customer_Communication_Management/Customer_Communication_Management_TechnicalArchitect//Junior</v>
      </c>
      <c r="C909" s="260" t="s">
        <v>1223</v>
      </c>
      <c r="D909" s="260" t="s">
        <v>87</v>
      </c>
      <c r="E909" s="260" t="s">
        <v>87</v>
      </c>
      <c r="F909" s="260" t="s">
        <v>780</v>
      </c>
      <c r="G909" s="260" t="s">
        <v>781</v>
      </c>
      <c r="H909" s="260"/>
      <c r="I909" s="260" t="s">
        <v>84</v>
      </c>
      <c r="J909" s="260" t="s">
        <v>71</v>
      </c>
      <c r="K909" s="260" t="s">
        <v>14</v>
      </c>
      <c r="L909" s="260" t="s">
        <v>71</v>
      </c>
      <c r="M909" s="260" t="s">
        <v>71</v>
      </c>
      <c r="N909" s="260" t="s">
        <v>138</v>
      </c>
      <c r="O909" s="260" t="str">
        <f t="shared" si="54"/>
        <v>B4 PM1 (9 to 12 yrs) / None</v>
      </c>
      <c r="P909" s="260"/>
      <c r="Q909" s="260" t="str">
        <f t="shared" si="57"/>
        <v>ECM/Customer_Communication_Management/Customer_Communication_Management_TechnicalArchitect/Junior</v>
      </c>
      <c r="R909" s="260" t="str">
        <f t="shared" si="55"/>
        <v>B4 PM1 (9 to 12 yrs) / None</v>
      </c>
      <c r="S909" s="260" t="str">
        <f t="shared" si="56"/>
        <v>ECM_39</v>
      </c>
      <c r="T909" s="269"/>
    </row>
    <row r="910" spans="1:20" ht="12.75" customHeight="1">
      <c r="A910" s="94">
        <f t="shared" si="52"/>
        <v>406</v>
      </c>
      <c r="B910" s="260" t="str">
        <f t="shared" si="53"/>
        <v>ECM_40-ECM/ECM/Customer_Communication_Management/Customer_Communication_Management_TechnicalLead//Senior</v>
      </c>
      <c r="C910" s="260" t="s">
        <v>1224</v>
      </c>
      <c r="D910" s="260" t="s">
        <v>87</v>
      </c>
      <c r="E910" s="260" t="s">
        <v>87</v>
      </c>
      <c r="F910" s="260" t="s">
        <v>780</v>
      </c>
      <c r="G910" s="260" t="s">
        <v>784</v>
      </c>
      <c r="H910" s="260"/>
      <c r="I910" s="260" t="s">
        <v>91</v>
      </c>
      <c r="J910" s="260" t="s">
        <v>71</v>
      </c>
      <c r="K910" s="260" t="s">
        <v>15</v>
      </c>
      <c r="L910" s="260" t="s">
        <v>71</v>
      </c>
      <c r="M910" s="260" t="s">
        <v>71</v>
      </c>
      <c r="N910" s="260" t="s">
        <v>138</v>
      </c>
      <c r="O910" s="260" t="str">
        <f t="shared" si="54"/>
        <v>B3 PL3 (7 to 10 yrs) / None</v>
      </c>
      <c r="P910" s="260"/>
      <c r="Q910" s="260" t="str">
        <f t="shared" si="57"/>
        <v>ECM/Customer_Communication_Management/Customer_Communication_Management_TechnicalLead/Senior</v>
      </c>
      <c r="R910" s="260" t="str">
        <f t="shared" si="55"/>
        <v>B3 PL3 (7 to 10 yrs) / None</v>
      </c>
      <c r="S910" s="260" t="str">
        <f t="shared" si="56"/>
        <v>ECM_40</v>
      </c>
      <c r="T910" s="269"/>
    </row>
    <row r="911" spans="1:20" ht="12.75" customHeight="1">
      <c r="A911" s="94">
        <f t="shared" si="52"/>
        <v>407</v>
      </c>
      <c r="B911" s="260" t="str">
        <f t="shared" si="53"/>
        <v>ECM_41-ECM/ECM/Customer_Communication_Management/Customer_Communication_Management_TechnicalLead//MidLevel</v>
      </c>
      <c r="C911" s="260" t="s">
        <v>1225</v>
      </c>
      <c r="D911" s="260" t="s">
        <v>87</v>
      </c>
      <c r="E911" s="260" t="s">
        <v>87</v>
      </c>
      <c r="F911" s="260" t="s">
        <v>780</v>
      </c>
      <c r="G911" s="260" t="s">
        <v>784</v>
      </c>
      <c r="H911" s="260"/>
      <c r="I911" s="260" t="s">
        <v>193</v>
      </c>
      <c r="J911" s="260" t="s">
        <v>71</v>
      </c>
      <c r="K911" s="260" t="s">
        <v>16</v>
      </c>
      <c r="L911" s="260" t="s">
        <v>71</v>
      </c>
      <c r="M911" s="260" t="s">
        <v>71</v>
      </c>
      <c r="N911" s="260" t="s">
        <v>138</v>
      </c>
      <c r="O911" s="260" t="str">
        <f t="shared" si="54"/>
        <v>B3 PL2 (6 to 8 yrs) / None</v>
      </c>
      <c r="P911" s="260"/>
      <c r="Q911" s="260" t="str">
        <f t="shared" si="57"/>
        <v>ECM/Customer_Communication_Management/Customer_Communication_Management_TechnicalLead/MidLevel</v>
      </c>
      <c r="R911" s="260" t="str">
        <f t="shared" si="55"/>
        <v>B3 PL2 (6 to 8 yrs) / None</v>
      </c>
      <c r="S911" s="260" t="str">
        <f t="shared" si="56"/>
        <v>ECM_41</v>
      </c>
      <c r="T911" s="269"/>
    </row>
    <row r="912" spans="1:20" ht="12.75" customHeight="1">
      <c r="A912" s="94">
        <f t="shared" si="52"/>
        <v>408</v>
      </c>
      <c r="B912" s="260" t="str">
        <f t="shared" si="53"/>
        <v>ECM_42-ECM/ECM/Customer_Communication_Management/Customer_Communication_Management_TechnicalLead//Junior</v>
      </c>
      <c r="C912" s="260" t="s">
        <v>1226</v>
      </c>
      <c r="D912" s="260" t="s">
        <v>87</v>
      </c>
      <c r="E912" s="260" t="s">
        <v>87</v>
      </c>
      <c r="F912" s="260" t="s">
        <v>780</v>
      </c>
      <c r="G912" s="260" t="s">
        <v>784</v>
      </c>
      <c r="H912" s="260"/>
      <c r="I912" s="260" t="s">
        <v>84</v>
      </c>
      <c r="J912" s="260" t="s">
        <v>71</v>
      </c>
      <c r="K912" s="260" t="s">
        <v>17</v>
      </c>
      <c r="L912" s="260" t="s">
        <v>71</v>
      </c>
      <c r="M912" s="260" t="s">
        <v>71</v>
      </c>
      <c r="N912" s="260" t="s">
        <v>138</v>
      </c>
      <c r="O912" s="260" t="str">
        <f t="shared" si="54"/>
        <v>B3 PL1 (5 to 7 yrs) / None</v>
      </c>
      <c r="P912" s="260"/>
      <c r="Q912" s="260" t="str">
        <f t="shared" si="57"/>
        <v>ECM/Customer_Communication_Management/Customer_Communication_Management_TechnicalLead/Junior</v>
      </c>
      <c r="R912" s="260" t="str">
        <f t="shared" si="55"/>
        <v>B3 PL1 (5 to 7 yrs) / None</v>
      </c>
      <c r="S912" s="260" t="str">
        <f t="shared" si="56"/>
        <v>ECM_42</v>
      </c>
      <c r="T912" s="269"/>
    </row>
    <row r="913" spans="1:20" ht="12.75" customHeight="1">
      <c r="A913" s="94">
        <f t="shared" si="52"/>
        <v>409</v>
      </c>
      <c r="B913" s="260" t="str">
        <f t="shared" si="53"/>
        <v>ECM_43-ECM/ECM/Customer_Communication_Management/Customer_Communication_Management_Developer//Senior</v>
      </c>
      <c r="C913" s="260" t="s">
        <v>1227</v>
      </c>
      <c r="D913" s="260" t="s">
        <v>87</v>
      </c>
      <c r="E913" s="260" t="s">
        <v>87</v>
      </c>
      <c r="F913" s="260" t="s">
        <v>780</v>
      </c>
      <c r="G913" s="260" t="s">
        <v>785</v>
      </c>
      <c r="H913" s="260"/>
      <c r="I913" s="260" t="s">
        <v>91</v>
      </c>
      <c r="J913" s="260" t="s">
        <v>71</v>
      </c>
      <c r="K913" s="260" t="s">
        <v>18</v>
      </c>
      <c r="L913" s="260" t="s">
        <v>71</v>
      </c>
      <c r="M913" s="260" t="s">
        <v>71</v>
      </c>
      <c r="N913" s="260" t="s">
        <v>138</v>
      </c>
      <c r="O913" s="260" t="str">
        <f t="shared" si="54"/>
        <v>B2 AP3 (3 to 5 yrs) / None</v>
      </c>
      <c r="P913" s="260"/>
      <c r="Q913" s="260" t="str">
        <f t="shared" si="57"/>
        <v>ECM/Customer_Communication_Management/Customer_Communication_Management_Developer/Senior</v>
      </c>
      <c r="R913" s="260" t="str">
        <f t="shared" si="55"/>
        <v>B2 AP3 (3 to 5 yrs) / None</v>
      </c>
      <c r="S913" s="260" t="str">
        <f t="shared" si="56"/>
        <v>ECM_43</v>
      </c>
      <c r="T913" s="269"/>
    </row>
    <row r="914" spans="1:20" ht="12.75" customHeight="1">
      <c r="A914" s="94">
        <f t="shared" si="52"/>
        <v>410</v>
      </c>
      <c r="B914" s="260" t="str">
        <f t="shared" si="53"/>
        <v>ECM_44-ECM/ECM/Customer_Communication_Management/Customer_Communication_Management_Developer//MidLevel</v>
      </c>
      <c r="C914" s="260" t="s">
        <v>1228</v>
      </c>
      <c r="D914" s="260" t="s">
        <v>87</v>
      </c>
      <c r="E914" s="260" t="s">
        <v>87</v>
      </c>
      <c r="F914" s="260" t="s">
        <v>780</v>
      </c>
      <c r="G914" s="260" t="s">
        <v>785</v>
      </c>
      <c r="H914" s="260"/>
      <c r="I914" s="260" t="s">
        <v>193</v>
      </c>
      <c r="J914" s="260" t="s">
        <v>71</v>
      </c>
      <c r="K914" s="260" t="s">
        <v>19</v>
      </c>
      <c r="L914" s="260" t="s">
        <v>71</v>
      </c>
      <c r="M914" s="260" t="s">
        <v>71</v>
      </c>
      <c r="N914" s="260" t="s">
        <v>138</v>
      </c>
      <c r="O914" s="260" t="str">
        <f t="shared" si="54"/>
        <v>B2 AP2 (0.6 to 3 yrs) / None</v>
      </c>
      <c r="P914" s="260"/>
      <c r="Q914" s="260" t="str">
        <f t="shared" si="57"/>
        <v>ECM/Customer_Communication_Management/Customer_Communication_Management_Developer/MidLevel</v>
      </c>
      <c r="R914" s="260" t="str">
        <f t="shared" si="55"/>
        <v>B2 AP2 (0.6 to 3 yrs) / None</v>
      </c>
      <c r="S914" s="260" t="str">
        <f t="shared" si="56"/>
        <v>ECM_44</v>
      </c>
      <c r="T914" s="269"/>
    </row>
    <row r="915" spans="1:20" ht="12.75" customHeight="1">
      <c r="A915" s="94">
        <f t="shared" si="52"/>
        <v>411</v>
      </c>
      <c r="B915" s="260" t="str">
        <f t="shared" si="53"/>
        <v>ECM_45-ECM/ECM/Imaging_and_Scanning/Imaging_and_Scanning_TechnicalArchitect//Senior</v>
      </c>
      <c r="C915" s="260" t="s">
        <v>1229</v>
      </c>
      <c r="D915" s="260" t="s">
        <v>87</v>
      </c>
      <c r="E915" s="260" t="s">
        <v>87</v>
      </c>
      <c r="F915" s="260" t="s">
        <v>786</v>
      </c>
      <c r="G915" s="260" t="s">
        <v>793</v>
      </c>
      <c r="H915" s="260"/>
      <c r="I915" s="260" t="s">
        <v>91</v>
      </c>
      <c r="J915" s="260" t="s">
        <v>71</v>
      </c>
      <c r="K915" s="260" t="s">
        <v>41</v>
      </c>
      <c r="L915" s="260" t="s">
        <v>71</v>
      </c>
      <c r="M915" s="260" t="s">
        <v>71</v>
      </c>
      <c r="N915" s="260" t="s">
        <v>138</v>
      </c>
      <c r="O915" s="260" t="str">
        <f t="shared" si="54"/>
        <v>B4 PM3 (12 to 15 yrs) / None</v>
      </c>
      <c r="P915" s="260"/>
      <c r="Q915" s="260" t="str">
        <f t="shared" si="57"/>
        <v>ECM/Imaging_and_Scanning/Imaging_and_Scanning_TechnicalArchitect/Senior</v>
      </c>
      <c r="R915" s="260" t="str">
        <f t="shared" si="55"/>
        <v>B4 PM3 (12 to 15 yrs) / None</v>
      </c>
      <c r="S915" s="260" t="str">
        <f t="shared" si="56"/>
        <v>ECM_45</v>
      </c>
      <c r="T915" s="269"/>
    </row>
    <row r="916" spans="1:20" ht="12.75" customHeight="1">
      <c r="A916" s="94">
        <f t="shared" si="52"/>
        <v>412</v>
      </c>
      <c r="B916" s="260" t="str">
        <f t="shared" si="53"/>
        <v>ECM_46-ECM/ECM/Imaging_and_Scanning/Imaging_and_Scanning_TechnicalArchitect//MidLevel</v>
      </c>
      <c r="C916" s="260" t="s">
        <v>1230</v>
      </c>
      <c r="D916" s="260" t="s">
        <v>87</v>
      </c>
      <c r="E916" s="260" t="s">
        <v>87</v>
      </c>
      <c r="F916" s="260" t="s">
        <v>786</v>
      </c>
      <c r="G916" s="260" t="s">
        <v>793</v>
      </c>
      <c r="H916" s="260"/>
      <c r="I916" s="260" t="s">
        <v>193</v>
      </c>
      <c r="J916" s="260" t="s">
        <v>71</v>
      </c>
      <c r="K916" s="260" t="s">
        <v>42</v>
      </c>
      <c r="L916" s="260" t="s">
        <v>71</v>
      </c>
      <c r="M916" s="260" t="s">
        <v>71</v>
      </c>
      <c r="N916" s="260" t="s">
        <v>138</v>
      </c>
      <c r="O916" s="260" t="str">
        <f t="shared" si="54"/>
        <v>B4 PM2 (10 to 14 yrs) / None</v>
      </c>
      <c r="P916" s="260"/>
      <c r="Q916" s="260" t="str">
        <f t="shared" si="57"/>
        <v>ECM/Imaging_and_Scanning/Imaging_and_Scanning_TechnicalArchitect/MidLevel</v>
      </c>
      <c r="R916" s="260" t="str">
        <f t="shared" si="55"/>
        <v>B4 PM2 (10 to 14 yrs) / None</v>
      </c>
      <c r="S916" s="260" t="str">
        <f t="shared" si="56"/>
        <v>ECM_46</v>
      </c>
      <c r="T916" s="269"/>
    </row>
    <row r="917" spans="1:20" ht="12.75" customHeight="1">
      <c r="A917" s="94">
        <f t="shared" si="52"/>
        <v>413</v>
      </c>
      <c r="B917" s="260" t="str">
        <f t="shared" si="53"/>
        <v>ECM_47-ECM/ECM/Imaging_and_Scanning/Imaging_and_Scanning_TechnicalArchitect//Junior</v>
      </c>
      <c r="C917" s="260" t="s">
        <v>1231</v>
      </c>
      <c r="D917" s="260" t="s">
        <v>87</v>
      </c>
      <c r="E917" s="260" t="s">
        <v>87</v>
      </c>
      <c r="F917" s="260" t="s">
        <v>786</v>
      </c>
      <c r="G917" s="260" t="s">
        <v>793</v>
      </c>
      <c r="H917" s="260"/>
      <c r="I917" s="260" t="s">
        <v>84</v>
      </c>
      <c r="J917" s="260" t="s">
        <v>71</v>
      </c>
      <c r="K917" s="260" t="s">
        <v>14</v>
      </c>
      <c r="L917" s="260" t="s">
        <v>71</v>
      </c>
      <c r="M917" s="260" t="s">
        <v>71</v>
      </c>
      <c r="N917" s="260" t="s">
        <v>138</v>
      </c>
      <c r="O917" s="260" t="str">
        <f t="shared" si="54"/>
        <v>B4 PM1 (9 to 12 yrs) / None</v>
      </c>
      <c r="P917" s="260"/>
      <c r="Q917" s="260" t="str">
        <f t="shared" si="57"/>
        <v>ECM/Imaging_and_Scanning/Imaging_and_Scanning_TechnicalArchitect/Junior</v>
      </c>
      <c r="R917" s="260" t="str">
        <f t="shared" si="55"/>
        <v>B4 PM1 (9 to 12 yrs) / None</v>
      </c>
      <c r="S917" s="260" t="str">
        <f t="shared" si="56"/>
        <v>ECM_47</v>
      </c>
      <c r="T917" s="269"/>
    </row>
    <row r="918" spans="1:20" ht="12.75" customHeight="1">
      <c r="A918" s="94">
        <f t="shared" ref="A918:A942" si="58">+A917+1</f>
        <v>414</v>
      </c>
      <c r="B918" s="260" t="str">
        <f t="shared" ref="B918:B942" si="59">+C918&amp;"-"&amp;D918&amp;"/"&amp;E918&amp;"/"&amp;F918&amp;"/"&amp;G918&amp;"/"&amp;H918&amp;"/"&amp;I918</f>
        <v>ECM_48-ECM/ECM/Imaging_and_Scanning/Imaging_and_Scanning_TechnicalLead//Senior</v>
      </c>
      <c r="C918" s="260" t="s">
        <v>1232</v>
      </c>
      <c r="D918" s="260" t="s">
        <v>87</v>
      </c>
      <c r="E918" s="260" t="s">
        <v>87</v>
      </c>
      <c r="F918" s="260" t="s">
        <v>786</v>
      </c>
      <c r="G918" s="260" t="s">
        <v>794</v>
      </c>
      <c r="H918" s="260"/>
      <c r="I918" s="260" t="s">
        <v>91</v>
      </c>
      <c r="J918" s="260" t="s">
        <v>71</v>
      </c>
      <c r="K918" s="260" t="s">
        <v>15</v>
      </c>
      <c r="L918" s="260" t="s">
        <v>71</v>
      </c>
      <c r="M918" s="260" t="s">
        <v>71</v>
      </c>
      <c r="N918" s="260" t="s">
        <v>138</v>
      </c>
      <c r="O918" s="260" t="str">
        <f t="shared" si="54"/>
        <v>B3 PL3 (7 to 10 yrs) / None</v>
      </c>
      <c r="P918" s="260"/>
      <c r="Q918" s="260" t="str">
        <f t="shared" si="57"/>
        <v>ECM/Imaging_and_Scanning/Imaging_and_Scanning_TechnicalLead/Senior</v>
      </c>
      <c r="R918" s="260" t="str">
        <f t="shared" si="55"/>
        <v>B3 PL3 (7 to 10 yrs) / None</v>
      </c>
      <c r="S918" s="260" t="str">
        <f t="shared" si="56"/>
        <v>ECM_48</v>
      </c>
      <c r="T918" s="269"/>
    </row>
    <row r="919" spans="1:20" ht="12.75" customHeight="1">
      <c r="A919" s="94">
        <f t="shared" si="58"/>
        <v>415</v>
      </c>
      <c r="B919" s="260" t="str">
        <f t="shared" si="59"/>
        <v>ECM_49-ECM/ECM/Imaging_and_Scanning/Imaging_and_Scanning_TechnicalLead//MidLevel</v>
      </c>
      <c r="C919" s="260" t="s">
        <v>1233</v>
      </c>
      <c r="D919" s="260" t="s">
        <v>87</v>
      </c>
      <c r="E919" s="260" t="s">
        <v>87</v>
      </c>
      <c r="F919" s="260" t="s">
        <v>786</v>
      </c>
      <c r="G919" s="260" t="s">
        <v>794</v>
      </c>
      <c r="H919" s="260"/>
      <c r="I919" s="260" t="s">
        <v>193</v>
      </c>
      <c r="J919" s="260" t="s">
        <v>71</v>
      </c>
      <c r="K919" s="260" t="s">
        <v>16</v>
      </c>
      <c r="L919" s="260" t="s">
        <v>71</v>
      </c>
      <c r="M919" s="260" t="s">
        <v>71</v>
      </c>
      <c r="N919" s="260" t="s">
        <v>138</v>
      </c>
      <c r="O919" s="260" t="str">
        <f t="shared" si="54"/>
        <v>B3 PL2 (6 to 8 yrs) / None</v>
      </c>
      <c r="P919" s="260"/>
      <c r="Q919" s="260" t="str">
        <f t="shared" si="57"/>
        <v>ECM/Imaging_and_Scanning/Imaging_and_Scanning_TechnicalLead/MidLevel</v>
      </c>
      <c r="R919" s="260" t="str">
        <f t="shared" si="55"/>
        <v>B3 PL2 (6 to 8 yrs) / None</v>
      </c>
      <c r="S919" s="260" t="str">
        <f t="shared" si="56"/>
        <v>ECM_49</v>
      </c>
      <c r="T919" s="269"/>
    </row>
    <row r="920" spans="1:20" ht="12.75" customHeight="1">
      <c r="A920" s="94">
        <f t="shared" si="58"/>
        <v>416</v>
      </c>
      <c r="B920" s="260" t="str">
        <f t="shared" si="59"/>
        <v>ECM_50-ECM/ECM/Imaging_and_Scanning/Imaging_and_Scanning_TechnicalLead//Junior</v>
      </c>
      <c r="C920" s="260" t="s">
        <v>1234</v>
      </c>
      <c r="D920" s="260" t="s">
        <v>87</v>
      </c>
      <c r="E920" s="260" t="s">
        <v>87</v>
      </c>
      <c r="F920" s="260" t="s">
        <v>786</v>
      </c>
      <c r="G920" s="260" t="s">
        <v>794</v>
      </c>
      <c r="H920" s="260"/>
      <c r="I920" s="260" t="s">
        <v>84</v>
      </c>
      <c r="J920" s="260" t="s">
        <v>71</v>
      </c>
      <c r="K920" s="260" t="s">
        <v>17</v>
      </c>
      <c r="L920" s="260" t="s">
        <v>71</v>
      </c>
      <c r="M920" s="260" t="s">
        <v>71</v>
      </c>
      <c r="N920" s="260" t="s">
        <v>138</v>
      </c>
      <c r="O920" s="260" t="str">
        <f t="shared" si="54"/>
        <v>B3 PL1 (5 to 7 yrs) / None</v>
      </c>
      <c r="P920" s="260"/>
      <c r="Q920" s="260" t="str">
        <f t="shared" si="57"/>
        <v>ECM/Imaging_and_Scanning/Imaging_and_Scanning_TechnicalLead/Junior</v>
      </c>
      <c r="R920" s="260" t="str">
        <f t="shared" si="55"/>
        <v>B3 PL1 (5 to 7 yrs) / None</v>
      </c>
      <c r="S920" s="260" t="str">
        <f t="shared" si="56"/>
        <v>ECM_50</v>
      </c>
      <c r="T920" s="269"/>
    </row>
    <row r="921" spans="1:20" ht="12.75" customHeight="1">
      <c r="A921" s="94">
        <f t="shared" si="58"/>
        <v>417</v>
      </c>
      <c r="B921" s="260" t="str">
        <f t="shared" si="59"/>
        <v>ECM_51-ECM/ECM/Imaging_and_Scanning/Imaging_and_Scanning_Developer//Senior</v>
      </c>
      <c r="C921" s="260" t="s">
        <v>1235</v>
      </c>
      <c r="D921" s="260" t="s">
        <v>87</v>
      </c>
      <c r="E921" s="260" t="s">
        <v>87</v>
      </c>
      <c r="F921" s="260" t="s">
        <v>786</v>
      </c>
      <c r="G921" s="260" t="s">
        <v>795</v>
      </c>
      <c r="H921" s="260"/>
      <c r="I921" s="260" t="s">
        <v>91</v>
      </c>
      <c r="J921" s="260" t="s">
        <v>71</v>
      </c>
      <c r="K921" s="260" t="s">
        <v>18</v>
      </c>
      <c r="L921" s="260" t="s">
        <v>71</v>
      </c>
      <c r="M921" s="260" t="s">
        <v>71</v>
      </c>
      <c r="N921" s="260" t="s">
        <v>138</v>
      </c>
      <c r="O921" s="260" t="str">
        <f t="shared" si="54"/>
        <v>B2 AP3 (3 to 5 yrs) / None</v>
      </c>
      <c r="P921" s="260"/>
      <c r="Q921" s="260" t="str">
        <f t="shared" si="57"/>
        <v>ECM/Imaging_and_Scanning/Imaging_and_Scanning_Developer/Senior</v>
      </c>
      <c r="R921" s="260" t="str">
        <f t="shared" si="55"/>
        <v>B2 AP3 (3 to 5 yrs) / None</v>
      </c>
      <c r="S921" s="260" t="str">
        <f t="shared" si="56"/>
        <v>ECM_51</v>
      </c>
      <c r="T921" s="269"/>
    </row>
    <row r="922" spans="1:20" ht="12.75" customHeight="1">
      <c r="A922" s="94">
        <f t="shared" si="58"/>
        <v>418</v>
      </c>
      <c r="B922" s="260" t="str">
        <f t="shared" si="59"/>
        <v>ECM_52-ECM/ECM/Imaging_and_Scanning/Imaging_and_Scanning_Developer//MidLevel</v>
      </c>
      <c r="C922" s="260" t="s">
        <v>1236</v>
      </c>
      <c r="D922" s="260" t="s">
        <v>87</v>
      </c>
      <c r="E922" s="260" t="s">
        <v>87</v>
      </c>
      <c r="F922" s="260" t="s">
        <v>786</v>
      </c>
      <c r="G922" s="260" t="s">
        <v>795</v>
      </c>
      <c r="H922" s="260"/>
      <c r="I922" s="260" t="s">
        <v>193</v>
      </c>
      <c r="J922" s="260" t="s">
        <v>71</v>
      </c>
      <c r="K922" s="260" t="s">
        <v>19</v>
      </c>
      <c r="L922" s="260" t="s">
        <v>71</v>
      </c>
      <c r="M922" s="260" t="s">
        <v>71</v>
      </c>
      <c r="N922" s="260" t="s">
        <v>138</v>
      </c>
      <c r="O922" s="260" t="str">
        <f t="shared" si="54"/>
        <v>B2 AP2 (0.6 to 3 yrs) / None</v>
      </c>
      <c r="P922" s="260"/>
      <c r="Q922" s="260" t="str">
        <f t="shared" si="57"/>
        <v>ECM/Imaging_and_Scanning/Imaging_and_Scanning_Developer/MidLevel</v>
      </c>
      <c r="R922" s="260" t="str">
        <f t="shared" si="55"/>
        <v>B2 AP2 (0.6 to 3 yrs) / None</v>
      </c>
      <c r="S922" s="260" t="str">
        <f t="shared" si="56"/>
        <v>ECM_52</v>
      </c>
      <c r="T922" s="269"/>
    </row>
    <row r="923" spans="1:20" ht="12.75" customHeight="1">
      <c r="A923" s="94">
        <f t="shared" si="58"/>
        <v>419</v>
      </c>
      <c r="B923" s="260" t="str">
        <f t="shared" si="59"/>
        <v>ECM_53-ECM/ECM/Collaboration/Collaboration_TechnicalArchitect//Senior</v>
      </c>
      <c r="C923" s="260" t="s">
        <v>1237</v>
      </c>
      <c r="D923" s="260" t="s">
        <v>87</v>
      </c>
      <c r="E923" s="260" t="s">
        <v>87</v>
      </c>
      <c r="F923" s="260" t="s">
        <v>778</v>
      </c>
      <c r="G923" s="260" t="s">
        <v>779</v>
      </c>
      <c r="H923" s="260"/>
      <c r="I923" s="260" t="s">
        <v>91</v>
      </c>
      <c r="J923" s="260" t="s">
        <v>71</v>
      </c>
      <c r="K923" s="260" t="s">
        <v>41</v>
      </c>
      <c r="L923" s="260" t="s">
        <v>71</v>
      </c>
      <c r="M923" s="260" t="s">
        <v>71</v>
      </c>
      <c r="N923" s="260" t="s">
        <v>138</v>
      </c>
      <c r="O923" s="260" t="str">
        <f t="shared" si="54"/>
        <v>B4 PM3 (12 to 15 yrs) / None</v>
      </c>
      <c r="P923" s="260"/>
      <c r="Q923" s="260" t="str">
        <f t="shared" si="57"/>
        <v>ECM/Collaboration/Collaboration_TechnicalArchitect/Senior</v>
      </c>
      <c r="R923" s="260" t="str">
        <f t="shared" si="55"/>
        <v>B4 PM3 (12 to 15 yrs) / None</v>
      </c>
      <c r="S923" s="260" t="str">
        <f t="shared" si="56"/>
        <v>ECM_53</v>
      </c>
      <c r="T923" s="269"/>
    </row>
    <row r="924" spans="1:20" ht="12.75" customHeight="1">
      <c r="A924" s="94">
        <f t="shared" si="58"/>
        <v>420</v>
      </c>
      <c r="B924" s="260" t="str">
        <f t="shared" si="59"/>
        <v>ECM_54-ECM/ECM/Collaboration/Collaboration_TechnicalArchitect//MidLevel</v>
      </c>
      <c r="C924" s="260" t="s">
        <v>1238</v>
      </c>
      <c r="D924" s="260" t="s">
        <v>87</v>
      </c>
      <c r="E924" s="260" t="s">
        <v>87</v>
      </c>
      <c r="F924" s="260" t="s">
        <v>778</v>
      </c>
      <c r="G924" s="260" t="s">
        <v>779</v>
      </c>
      <c r="H924" s="260"/>
      <c r="I924" s="260" t="s">
        <v>193</v>
      </c>
      <c r="J924" s="260" t="s">
        <v>71</v>
      </c>
      <c r="K924" s="260" t="s">
        <v>42</v>
      </c>
      <c r="L924" s="260" t="s">
        <v>71</v>
      </c>
      <c r="M924" s="260" t="s">
        <v>71</v>
      </c>
      <c r="N924" s="260" t="s">
        <v>138</v>
      </c>
      <c r="O924" s="260" t="str">
        <f t="shared" si="54"/>
        <v>B4 PM2 (10 to 14 yrs) / None</v>
      </c>
      <c r="P924" s="260"/>
      <c r="Q924" s="260" t="str">
        <f t="shared" si="57"/>
        <v>ECM/Collaboration/Collaboration_TechnicalArchitect/MidLevel</v>
      </c>
      <c r="R924" s="260" t="str">
        <f t="shared" si="55"/>
        <v>B4 PM2 (10 to 14 yrs) / None</v>
      </c>
      <c r="S924" s="260" t="str">
        <f t="shared" si="56"/>
        <v>ECM_54</v>
      </c>
      <c r="T924" s="269"/>
    </row>
    <row r="925" spans="1:20" ht="12.75" customHeight="1">
      <c r="A925" s="94">
        <f t="shared" si="58"/>
        <v>421</v>
      </c>
      <c r="B925" s="260" t="str">
        <f t="shared" si="59"/>
        <v>ECM_55-ECM/ECM/Collaboration/Collaboration_TechnicalArchitect//Junior</v>
      </c>
      <c r="C925" s="260" t="s">
        <v>1239</v>
      </c>
      <c r="D925" s="260" t="s">
        <v>87</v>
      </c>
      <c r="E925" s="260" t="s">
        <v>87</v>
      </c>
      <c r="F925" s="260" t="s">
        <v>778</v>
      </c>
      <c r="G925" s="260" t="s">
        <v>779</v>
      </c>
      <c r="H925" s="260"/>
      <c r="I925" s="260" t="s">
        <v>84</v>
      </c>
      <c r="J925" s="260" t="s">
        <v>71</v>
      </c>
      <c r="K925" s="260" t="s">
        <v>14</v>
      </c>
      <c r="L925" s="260" t="s">
        <v>71</v>
      </c>
      <c r="M925" s="260" t="s">
        <v>71</v>
      </c>
      <c r="N925" s="260" t="s">
        <v>138</v>
      </c>
      <c r="O925" s="260" t="str">
        <f t="shared" si="54"/>
        <v>B4 PM1 (9 to 12 yrs) / None</v>
      </c>
      <c r="P925" s="260"/>
      <c r="Q925" s="260" t="str">
        <f t="shared" si="57"/>
        <v>ECM/Collaboration/Collaboration_TechnicalArchitect/Junior</v>
      </c>
      <c r="R925" s="260" t="str">
        <f t="shared" si="55"/>
        <v>B4 PM1 (9 to 12 yrs) / None</v>
      </c>
      <c r="S925" s="260" t="str">
        <f t="shared" si="56"/>
        <v>ECM_55</v>
      </c>
      <c r="T925" s="269"/>
    </row>
    <row r="926" spans="1:20" ht="12.75" customHeight="1">
      <c r="A926" s="94">
        <f t="shared" si="58"/>
        <v>422</v>
      </c>
      <c r="B926" s="260" t="str">
        <f t="shared" si="59"/>
        <v>ECM_56-ECM/ECM/Collaboration/Collaboration_TechnicalLead//Senior</v>
      </c>
      <c r="C926" s="260" t="s">
        <v>1240</v>
      </c>
      <c r="D926" s="260" t="s">
        <v>87</v>
      </c>
      <c r="E926" s="260" t="s">
        <v>87</v>
      </c>
      <c r="F926" s="260" t="s">
        <v>778</v>
      </c>
      <c r="G926" s="260" t="s">
        <v>796</v>
      </c>
      <c r="H926" s="260"/>
      <c r="I926" s="260" t="s">
        <v>91</v>
      </c>
      <c r="J926" s="260" t="s">
        <v>71</v>
      </c>
      <c r="K926" s="260" t="s">
        <v>15</v>
      </c>
      <c r="L926" s="260" t="s">
        <v>71</v>
      </c>
      <c r="M926" s="260" t="s">
        <v>71</v>
      </c>
      <c r="N926" s="260" t="s">
        <v>138</v>
      </c>
      <c r="O926" s="260" t="str">
        <f t="shared" si="54"/>
        <v>B3 PL3 (7 to 10 yrs) / None</v>
      </c>
      <c r="P926" s="260"/>
      <c r="Q926" s="260" t="str">
        <f t="shared" si="57"/>
        <v>ECM/Collaboration/Collaboration_TechnicalLead/Senior</v>
      </c>
      <c r="R926" s="260" t="str">
        <f t="shared" si="55"/>
        <v>B3 PL3 (7 to 10 yrs) / None</v>
      </c>
      <c r="S926" s="260" t="str">
        <f t="shared" si="56"/>
        <v>ECM_56</v>
      </c>
      <c r="T926" s="269"/>
    </row>
    <row r="927" spans="1:20" ht="12.75" customHeight="1">
      <c r="A927" s="94">
        <f t="shared" si="58"/>
        <v>423</v>
      </c>
      <c r="B927" s="260" t="str">
        <f t="shared" si="59"/>
        <v>ECM_57-ECM/ECM/Collaboration/Collaboration_TechnicalLead//MidLevel</v>
      </c>
      <c r="C927" s="260" t="s">
        <v>1241</v>
      </c>
      <c r="D927" s="260" t="s">
        <v>87</v>
      </c>
      <c r="E927" s="260" t="s">
        <v>87</v>
      </c>
      <c r="F927" s="260" t="s">
        <v>778</v>
      </c>
      <c r="G927" s="260" t="s">
        <v>796</v>
      </c>
      <c r="H927" s="260"/>
      <c r="I927" s="260" t="s">
        <v>193</v>
      </c>
      <c r="J927" s="260" t="s">
        <v>71</v>
      </c>
      <c r="K927" s="260" t="s">
        <v>16</v>
      </c>
      <c r="L927" s="260" t="s">
        <v>71</v>
      </c>
      <c r="M927" s="260" t="s">
        <v>71</v>
      </c>
      <c r="N927" s="260" t="s">
        <v>138</v>
      </c>
      <c r="O927" s="260" t="str">
        <f t="shared" si="54"/>
        <v>B3 PL2 (6 to 8 yrs) / None</v>
      </c>
      <c r="P927" s="260"/>
      <c r="Q927" s="260" t="str">
        <f t="shared" si="57"/>
        <v>ECM/Collaboration/Collaboration_TechnicalLead/MidLevel</v>
      </c>
      <c r="R927" s="260" t="str">
        <f t="shared" si="55"/>
        <v>B3 PL2 (6 to 8 yrs) / None</v>
      </c>
      <c r="S927" s="260" t="str">
        <f t="shared" si="56"/>
        <v>ECM_57</v>
      </c>
      <c r="T927" s="269"/>
    </row>
    <row r="928" spans="1:20" ht="12.75" customHeight="1">
      <c r="A928" s="94">
        <f t="shared" si="58"/>
        <v>424</v>
      </c>
      <c r="B928" s="260" t="str">
        <f t="shared" si="59"/>
        <v>ECM_58-ECM/ECM/Collaboration/Collaboration_TechnicalLead//Junior</v>
      </c>
      <c r="C928" s="260" t="s">
        <v>1242</v>
      </c>
      <c r="D928" s="260" t="s">
        <v>87</v>
      </c>
      <c r="E928" s="260" t="s">
        <v>87</v>
      </c>
      <c r="F928" s="260" t="s">
        <v>778</v>
      </c>
      <c r="G928" s="260" t="s">
        <v>796</v>
      </c>
      <c r="H928" s="260"/>
      <c r="I928" s="260" t="s">
        <v>84</v>
      </c>
      <c r="J928" s="260" t="s">
        <v>71</v>
      </c>
      <c r="K928" s="260" t="s">
        <v>17</v>
      </c>
      <c r="L928" s="260" t="s">
        <v>71</v>
      </c>
      <c r="M928" s="260" t="s">
        <v>71</v>
      </c>
      <c r="N928" s="260" t="s">
        <v>138</v>
      </c>
      <c r="O928" s="260" t="str">
        <f t="shared" si="54"/>
        <v>B3 PL1 (5 to 7 yrs) / None</v>
      </c>
      <c r="P928" s="260"/>
      <c r="Q928" s="260" t="str">
        <f t="shared" si="57"/>
        <v>ECM/Collaboration/Collaboration_TechnicalLead/Junior</v>
      </c>
      <c r="R928" s="260" t="str">
        <f t="shared" si="55"/>
        <v>B3 PL1 (5 to 7 yrs) / None</v>
      </c>
      <c r="S928" s="260" t="str">
        <f t="shared" si="56"/>
        <v>ECM_58</v>
      </c>
      <c r="T928" s="269"/>
    </row>
    <row r="929" spans="1:20" ht="12.75" customHeight="1">
      <c r="A929" s="94">
        <f t="shared" si="58"/>
        <v>425</v>
      </c>
      <c r="B929" s="260" t="str">
        <f t="shared" si="59"/>
        <v>ECM_59-ECM/ECM/Collaboration/Collaboration_Developer//Senior</v>
      </c>
      <c r="C929" s="260" t="s">
        <v>1243</v>
      </c>
      <c r="D929" s="260" t="s">
        <v>87</v>
      </c>
      <c r="E929" s="260" t="s">
        <v>87</v>
      </c>
      <c r="F929" s="260" t="s">
        <v>778</v>
      </c>
      <c r="G929" s="260" t="s">
        <v>797</v>
      </c>
      <c r="H929" s="260"/>
      <c r="I929" s="260" t="s">
        <v>91</v>
      </c>
      <c r="J929" s="260" t="s">
        <v>71</v>
      </c>
      <c r="K929" s="260" t="s">
        <v>18</v>
      </c>
      <c r="L929" s="260" t="s">
        <v>71</v>
      </c>
      <c r="M929" s="260" t="s">
        <v>71</v>
      </c>
      <c r="N929" s="260" t="s">
        <v>138</v>
      </c>
      <c r="O929" s="260" t="str">
        <f t="shared" si="54"/>
        <v>B2 AP3 (3 to 5 yrs) / None</v>
      </c>
      <c r="P929" s="260"/>
      <c r="Q929" s="260" t="str">
        <f t="shared" si="57"/>
        <v>ECM/Collaboration/Collaboration_Developer/Senior</v>
      </c>
      <c r="R929" s="260" t="str">
        <f t="shared" si="55"/>
        <v>B2 AP3 (3 to 5 yrs) / None</v>
      </c>
      <c r="S929" s="260" t="str">
        <f t="shared" si="56"/>
        <v>ECM_59</v>
      </c>
      <c r="T929" s="269"/>
    </row>
    <row r="930" spans="1:20" ht="12.75" customHeight="1">
      <c r="A930" s="94">
        <f t="shared" si="58"/>
        <v>426</v>
      </c>
      <c r="B930" s="260" t="str">
        <f t="shared" si="59"/>
        <v>ECM_60-ECM/ECM/Collaboration/Collaboration_Developer//MidLevel</v>
      </c>
      <c r="C930" s="260" t="s">
        <v>1244</v>
      </c>
      <c r="D930" s="260" t="s">
        <v>87</v>
      </c>
      <c r="E930" s="260" t="s">
        <v>87</v>
      </c>
      <c r="F930" s="260" t="s">
        <v>778</v>
      </c>
      <c r="G930" s="260" t="s">
        <v>797</v>
      </c>
      <c r="H930" s="260"/>
      <c r="I930" s="260" t="s">
        <v>193</v>
      </c>
      <c r="J930" s="260" t="s">
        <v>71</v>
      </c>
      <c r="K930" s="260" t="s">
        <v>19</v>
      </c>
      <c r="L930" s="260" t="s">
        <v>71</v>
      </c>
      <c r="M930" s="260" t="s">
        <v>71</v>
      </c>
      <c r="N930" s="260" t="s">
        <v>138</v>
      </c>
      <c r="O930" s="260" t="str">
        <f t="shared" si="54"/>
        <v>B2 AP2 (0.6 to 3 yrs) / None</v>
      </c>
      <c r="P930" s="260"/>
      <c r="Q930" s="260" t="str">
        <f t="shared" si="57"/>
        <v>ECM/Collaboration/Collaboration_Developer/MidLevel</v>
      </c>
      <c r="R930" s="260" t="str">
        <f t="shared" si="55"/>
        <v>B2 AP2 (0.6 to 3 yrs) / None</v>
      </c>
      <c r="S930" s="260" t="str">
        <f t="shared" si="56"/>
        <v>ECM_60</v>
      </c>
      <c r="T930" s="269"/>
    </row>
    <row r="931" spans="1:20" ht="12.75" customHeight="1">
      <c r="A931" s="94">
        <f t="shared" si="58"/>
        <v>427</v>
      </c>
      <c r="B931" s="260" t="str">
        <f t="shared" si="59"/>
        <v>PEGA_1-PEGA/PEGA/PEGAEAI/PEGALeadSystemArchitect/PEGA/Senior</v>
      </c>
      <c r="C931" s="260" t="s">
        <v>1245</v>
      </c>
      <c r="D931" s="260" t="s">
        <v>812</v>
      </c>
      <c r="E931" s="260" t="s">
        <v>812</v>
      </c>
      <c r="F931" s="260" t="s">
        <v>813</v>
      </c>
      <c r="G931" s="260" t="s">
        <v>815</v>
      </c>
      <c r="H931" s="260" t="s">
        <v>812</v>
      </c>
      <c r="I931" s="260" t="s">
        <v>91</v>
      </c>
      <c r="J931" s="260" t="s">
        <v>1246</v>
      </c>
      <c r="K931" s="260" t="s">
        <v>41</v>
      </c>
      <c r="L931" s="260" t="s">
        <v>13</v>
      </c>
      <c r="M931" s="260" t="s">
        <v>71</v>
      </c>
      <c r="N931" s="260" t="s">
        <v>138</v>
      </c>
      <c r="O931" s="260" t="str">
        <f t="shared" si="54"/>
        <v>B4 PM3 (12 to 15 yrs) / B5 (min 8 yrs)</v>
      </c>
      <c r="P931" s="260"/>
      <c r="Q931" s="260" t="str">
        <f t="shared" si="57"/>
        <v>PEGA/PEGAEAI/PEGALeadSystemArchitect/Senior</v>
      </c>
      <c r="R931" s="260" t="str">
        <f t="shared" si="55"/>
        <v>B4 PM3 (12 to 15 yrs) / B5 (min 8 yrs)</v>
      </c>
      <c r="S931" s="260" t="str">
        <f t="shared" si="56"/>
        <v>PEGA_1</v>
      </c>
      <c r="T931" s="269"/>
    </row>
    <row r="932" spans="1:20" ht="12.75" customHeight="1">
      <c r="A932" s="94">
        <f t="shared" si="58"/>
        <v>428</v>
      </c>
      <c r="B932" s="260" t="str">
        <f t="shared" si="59"/>
        <v>PEGA_2-PEGA/PEGA/PEGAEAI/PEGAProjectManager/PEGA/Senior</v>
      </c>
      <c r="C932" s="260" t="s">
        <v>1247</v>
      </c>
      <c r="D932" s="260" t="s">
        <v>812</v>
      </c>
      <c r="E932" s="260" t="s">
        <v>812</v>
      </c>
      <c r="F932" s="260" t="s">
        <v>813</v>
      </c>
      <c r="G932" s="260" t="s">
        <v>816</v>
      </c>
      <c r="H932" s="260" t="s">
        <v>812</v>
      </c>
      <c r="I932" s="260" t="s">
        <v>91</v>
      </c>
      <c r="J932" s="260" t="s">
        <v>149</v>
      </c>
      <c r="K932" s="260" t="s">
        <v>41</v>
      </c>
      <c r="L932" s="260" t="s">
        <v>71</v>
      </c>
      <c r="M932" s="260" t="s">
        <v>71</v>
      </c>
      <c r="N932" s="260" t="s">
        <v>138</v>
      </c>
      <c r="O932" s="260" t="str">
        <f t="shared" si="54"/>
        <v>B4 PM3 (12 to 15 yrs) / None</v>
      </c>
      <c r="P932" s="260"/>
      <c r="Q932" s="260" t="str">
        <f t="shared" si="57"/>
        <v>PEGA/PEGAEAI/PEGAProjectManager/Senior</v>
      </c>
      <c r="R932" s="260" t="str">
        <f t="shared" si="55"/>
        <v>B4 PM3 (12 to 15 yrs) / None</v>
      </c>
      <c r="S932" s="260" t="str">
        <f t="shared" si="56"/>
        <v>PEGA_2</v>
      </c>
      <c r="T932" s="269"/>
    </row>
    <row r="933" spans="1:20" ht="12.75" customHeight="1">
      <c r="A933" s="94">
        <f t="shared" si="58"/>
        <v>429</v>
      </c>
      <c r="B933" s="260" t="str">
        <f t="shared" si="59"/>
        <v>PEGA_3-PEGA/PEGA/PEGAEAI/PEGAProjectManager/PEGA/MidLevel</v>
      </c>
      <c r="C933" s="260" t="s">
        <v>1248</v>
      </c>
      <c r="D933" s="260" t="s">
        <v>812</v>
      </c>
      <c r="E933" s="260" t="s">
        <v>812</v>
      </c>
      <c r="F933" s="260" t="s">
        <v>813</v>
      </c>
      <c r="G933" s="260" t="s">
        <v>816</v>
      </c>
      <c r="H933" s="260" t="s">
        <v>812</v>
      </c>
      <c r="I933" s="260" t="s">
        <v>193</v>
      </c>
      <c r="J933" s="260" t="s">
        <v>1249</v>
      </c>
      <c r="K933" s="260" t="s">
        <v>42</v>
      </c>
      <c r="L933" s="260" t="s">
        <v>71</v>
      </c>
      <c r="M933" s="260" t="s">
        <v>71</v>
      </c>
      <c r="N933" s="260" t="s">
        <v>138</v>
      </c>
      <c r="O933" s="260" t="str">
        <f t="shared" si="54"/>
        <v>B4 PM2 (10 to 14 yrs) / None</v>
      </c>
      <c r="P933" s="260"/>
      <c r="Q933" s="260" t="str">
        <f t="shared" si="57"/>
        <v>PEGA/PEGAEAI/PEGAProjectManager/MidLevel</v>
      </c>
      <c r="R933" s="260" t="str">
        <f t="shared" si="55"/>
        <v>B4 PM2 (10 to 14 yrs) / None</v>
      </c>
      <c r="S933" s="260" t="str">
        <f t="shared" si="56"/>
        <v>PEGA_3</v>
      </c>
      <c r="T933" s="269"/>
    </row>
    <row r="934" spans="1:20" ht="12.75" customHeight="1">
      <c r="A934" s="94">
        <f t="shared" si="58"/>
        <v>430</v>
      </c>
      <c r="B934" s="260" t="str">
        <f t="shared" si="59"/>
        <v>PEGA_4-PEGA/PEGA/PEGAEAI/PEGAProjectManager/PEGA/Junior</v>
      </c>
      <c r="C934" s="260" t="s">
        <v>1250</v>
      </c>
      <c r="D934" s="260" t="s">
        <v>812</v>
      </c>
      <c r="E934" s="260" t="s">
        <v>812</v>
      </c>
      <c r="F934" s="260" t="s">
        <v>813</v>
      </c>
      <c r="G934" s="260" t="s">
        <v>816</v>
      </c>
      <c r="H934" s="260" t="s">
        <v>812</v>
      </c>
      <c r="I934" s="260" t="s">
        <v>84</v>
      </c>
      <c r="J934" s="260" t="s">
        <v>148</v>
      </c>
      <c r="K934" s="260" t="s">
        <v>14</v>
      </c>
      <c r="L934" s="260" t="s">
        <v>71</v>
      </c>
      <c r="M934" s="260" t="s">
        <v>71</v>
      </c>
      <c r="N934" s="260" t="s">
        <v>138</v>
      </c>
      <c r="O934" s="260" t="str">
        <f t="shared" si="54"/>
        <v>B4 PM1 (9 to 12 yrs) / None</v>
      </c>
      <c r="P934" s="260"/>
      <c r="Q934" s="260" t="str">
        <f t="shared" si="57"/>
        <v>PEGA/PEGAEAI/PEGAProjectManager/Junior</v>
      </c>
      <c r="R934" s="260" t="str">
        <f t="shared" si="55"/>
        <v>B4 PM1 (9 to 12 yrs) / None</v>
      </c>
      <c r="S934" s="260" t="str">
        <f t="shared" si="56"/>
        <v>PEGA_4</v>
      </c>
      <c r="T934" s="269"/>
    </row>
    <row r="935" spans="1:20" ht="12.75" customHeight="1">
      <c r="A935" s="94">
        <f t="shared" si="58"/>
        <v>431</v>
      </c>
      <c r="B935" s="260" t="str">
        <f t="shared" si="59"/>
        <v>PEGA_5-PEGA/PEGA/PEGAEAI/PEGASeniorArchitect/PEGA/Senior</v>
      </c>
      <c r="C935" s="260" t="s">
        <v>1251</v>
      </c>
      <c r="D935" s="260" t="s">
        <v>812</v>
      </c>
      <c r="E935" s="260" t="s">
        <v>812</v>
      </c>
      <c r="F935" s="260" t="s">
        <v>813</v>
      </c>
      <c r="G935" s="260" t="s">
        <v>817</v>
      </c>
      <c r="H935" s="260" t="s">
        <v>812</v>
      </c>
      <c r="I935" s="260" t="s">
        <v>91</v>
      </c>
      <c r="J935" s="260" t="s">
        <v>724</v>
      </c>
      <c r="K935" s="260" t="s">
        <v>15</v>
      </c>
      <c r="L935" s="260" t="s">
        <v>71</v>
      </c>
      <c r="M935" s="260" t="s">
        <v>71</v>
      </c>
      <c r="N935" s="260" t="s">
        <v>138</v>
      </c>
      <c r="O935" s="260" t="str">
        <f t="shared" si="54"/>
        <v>B3 PL3 (7 to 10 yrs) / None</v>
      </c>
      <c r="P935" s="260"/>
      <c r="Q935" s="260" t="str">
        <f t="shared" si="57"/>
        <v>PEGA/PEGAEAI/PEGASeniorArchitect/Senior</v>
      </c>
      <c r="R935" s="260" t="str">
        <f t="shared" si="55"/>
        <v>B3 PL3 (7 to 10 yrs) / None</v>
      </c>
      <c r="S935" s="260" t="str">
        <f t="shared" si="56"/>
        <v>PEGA_5</v>
      </c>
      <c r="T935" s="269"/>
    </row>
    <row r="936" spans="1:20" ht="12.75" customHeight="1">
      <c r="A936" s="94">
        <f t="shared" si="58"/>
        <v>432</v>
      </c>
      <c r="B936" s="260" t="str">
        <f t="shared" si="59"/>
        <v>PEGA_6-PEGA/PEGA/PEGAEAI/PEGASeniorArchitect/PEGA/MidLevel</v>
      </c>
      <c r="C936" s="260" t="s">
        <v>1252</v>
      </c>
      <c r="D936" s="260" t="s">
        <v>812</v>
      </c>
      <c r="E936" s="260" t="s">
        <v>812</v>
      </c>
      <c r="F936" s="260" t="s">
        <v>813</v>
      </c>
      <c r="G936" s="260" t="s">
        <v>817</v>
      </c>
      <c r="H936" s="260" t="s">
        <v>812</v>
      </c>
      <c r="I936" s="260" t="s">
        <v>193</v>
      </c>
      <c r="J936" s="260" t="s">
        <v>1253</v>
      </c>
      <c r="K936" s="260" t="s">
        <v>16</v>
      </c>
      <c r="L936" s="260" t="s">
        <v>71</v>
      </c>
      <c r="M936" s="260" t="s">
        <v>71</v>
      </c>
      <c r="N936" s="260" t="s">
        <v>138</v>
      </c>
      <c r="O936" s="260" t="str">
        <f t="shared" si="54"/>
        <v>B3 PL2 (6 to 8 yrs) / None</v>
      </c>
      <c r="P936" s="260"/>
      <c r="Q936" s="260" t="str">
        <f t="shared" si="57"/>
        <v>PEGA/PEGAEAI/PEGASeniorArchitect/MidLevel</v>
      </c>
      <c r="R936" s="260" t="str">
        <f t="shared" si="55"/>
        <v>B3 PL2 (6 to 8 yrs) / None</v>
      </c>
      <c r="S936" s="260" t="str">
        <f t="shared" si="56"/>
        <v>PEGA_6</v>
      </c>
      <c r="T936" s="269"/>
    </row>
    <row r="937" spans="1:20" ht="12.75" customHeight="1">
      <c r="A937" s="94">
        <f t="shared" si="58"/>
        <v>433</v>
      </c>
      <c r="B937" s="260" t="str">
        <f t="shared" si="59"/>
        <v>PEGA_7-PEGA/PEGA/PEGAEAI/PEGASeniorArchitect/PEGA/Junior</v>
      </c>
      <c r="C937" s="260" t="s">
        <v>1254</v>
      </c>
      <c r="D937" s="260" t="s">
        <v>812</v>
      </c>
      <c r="E937" s="260" t="s">
        <v>812</v>
      </c>
      <c r="F937" s="260" t="s">
        <v>813</v>
      </c>
      <c r="G937" s="260" t="s">
        <v>817</v>
      </c>
      <c r="H937" s="260" t="s">
        <v>812</v>
      </c>
      <c r="I937" s="260" t="s">
        <v>84</v>
      </c>
      <c r="J937" s="260" t="s">
        <v>1255</v>
      </c>
      <c r="K937" s="260" t="s">
        <v>17</v>
      </c>
      <c r="L937" s="260" t="s">
        <v>71</v>
      </c>
      <c r="M937" s="260" t="s">
        <v>71</v>
      </c>
      <c r="N937" s="260" t="s">
        <v>138</v>
      </c>
      <c r="O937" s="260" t="str">
        <f t="shared" si="54"/>
        <v>B3 PL1 (5 to 7 yrs) / None</v>
      </c>
      <c r="P937" s="260"/>
      <c r="Q937" s="260" t="str">
        <f t="shared" si="57"/>
        <v>PEGA/PEGAEAI/PEGASeniorArchitect/Junior</v>
      </c>
      <c r="R937" s="260" t="str">
        <f t="shared" si="55"/>
        <v>B3 PL1 (5 to 7 yrs) / None</v>
      </c>
      <c r="S937" s="260" t="str">
        <f t="shared" si="56"/>
        <v>PEGA_7</v>
      </c>
      <c r="T937" s="269"/>
    </row>
    <row r="938" spans="1:20" ht="12.75" customHeight="1">
      <c r="A938" s="94">
        <f t="shared" si="58"/>
        <v>434</v>
      </c>
      <c r="B938" s="260" t="str">
        <f t="shared" si="59"/>
        <v>PEGA_8-PEGA/PEGA/PEGAEAI/PEGAArchitect/PEGA/Senior</v>
      </c>
      <c r="C938" s="260" t="s">
        <v>1256</v>
      </c>
      <c r="D938" s="260" t="s">
        <v>812</v>
      </c>
      <c r="E938" s="260" t="s">
        <v>812</v>
      </c>
      <c r="F938" s="260" t="s">
        <v>813</v>
      </c>
      <c r="G938" s="260" t="s">
        <v>818</v>
      </c>
      <c r="H938" s="260" t="s">
        <v>812</v>
      </c>
      <c r="I938" s="260" t="s">
        <v>91</v>
      </c>
      <c r="J938" s="260" t="s">
        <v>153</v>
      </c>
      <c r="K938" s="260" t="s">
        <v>18</v>
      </c>
      <c r="L938" s="260" t="s">
        <v>71</v>
      </c>
      <c r="M938" s="260" t="s">
        <v>71</v>
      </c>
      <c r="N938" s="260" t="s">
        <v>138</v>
      </c>
      <c r="O938" s="260" t="str">
        <f t="shared" si="54"/>
        <v>B2 AP3 (3 to 5 yrs) / None</v>
      </c>
      <c r="P938" s="260"/>
      <c r="Q938" s="260" t="str">
        <f t="shared" si="57"/>
        <v>PEGA/PEGAEAI/PEGAArchitect/Senior</v>
      </c>
      <c r="R938" s="260" t="str">
        <f t="shared" si="55"/>
        <v>B2 AP3 (3 to 5 yrs) / None</v>
      </c>
      <c r="S938" s="260" t="str">
        <f t="shared" si="56"/>
        <v>PEGA_8</v>
      </c>
      <c r="T938" s="269"/>
    </row>
    <row r="939" spans="1:20" ht="12.75" customHeight="1">
      <c r="A939" s="94">
        <f t="shared" si="58"/>
        <v>435</v>
      </c>
      <c r="B939" s="260" t="str">
        <f t="shared" si="59"/>
        <v>PEGA_9-PEGA/PEGA/PEGAEAI/PEGAArchitect/PEGA/Junior</v>
      </c>
      <c r="C939" s="260" t="s">
        <v>1257</v>
      </c>
      <c r="D939" s="260" t="s">
        <v>812</v>
      </c>
      <c r="E939" s="260" t="s">
        <v>812</v>
      </c>
      <c r="F939" s="260" t="s">
        <v>813</v>
      </c>
      <c r="G939" s="260" t="s">
        <v>818</v>
      </c>
      <c r="H939" s="260" t="s">
        <v>812</v>
      </c>
      <c r="I939" s="260" t="s">
        <v>84</v>
      </c>
      <c r="J939" s="260" t="s">
        <v>1258</v>
      </c>
      <c r="K939" s="260" t="s">
        <v>19</v>
      </c>
      <c r="L939" s="260" t="s">
        <v>18</v>
      </c>
      <c r="M939" s="260" t="s">
        <v>71</v>
      </c>
      <c r="N939" s="260" t="s">
        <v>138</v>
      </c>
      <c r="O939" s="260" t="str">
        <f t="shared" si="54"/>
        <v>B2 AP2 (0.6 to 3 yrs) / B2 AP3 (3 to 5 yrs)</v>
      </c>
      <c r="P939" s="260"/>
      <c r="Q939" s="260" t="str">
        <f t="shared" si="57"/>
        <v>PEGA/PEGAEAI/PEGAArchitect/Junior</v>
      </c>
      <c r="R939" s="260" t="str">
        <f t="shared" si="55"/>
        <v>B2 AP2 (0.6 to 3 yrs) / B2 AP3 (3 to 5 yrs)</v>
      </c>
      <c r="S939" s="260" t="str">
        <f t="shared" si="56"/>
        <v>PEGA_9</v>
      </c>
      <c r="T939" s="269"/>
    </row>
    <row r="940" spans="1:20" ht="12.75" customHeight="1">
      <c r="A940" s="94">
        <f t="shared" si="58"/>
        <v>436</v>
      </c>
      <c r="B940" s="260" t="str">
        <f t="shared" si="59"/>
        <v>PEGA_10-PEGA/PEGA/PEGAEAI/PEGADeveloper/PEGA/Junior</v>
      </c>
      <c r="C940" s="260" t="s">
        <v>1259</v>
      </c>
      <c r="D940" s="260" t="s">
        <v>812</v>
      </c>
      <c r="E940" s="260" t="s">
        <v>812</v>
      </c>
      <c r="F940" s="260" t="s">
        <v>813</v>
      </c>
      <c r="G940" s="260" t="s">
        <v>814</v>
      </c>
      <c r="H940" s="260" t="s">
        <v>812</v>
      </c>
      <c r="I940" s="260" t="s">
        <v>84</v>
      </c>
      <c r="J940" s="260" t="s">
        <v>1260</v>
      </c>
      <c r="K940" s="260" t="s">
        <v>20</v>
      </c>
      <c r="L940" s="260" t="s">
        <v>19</v>
      </c>
      <c r="M940" s="260" t="s">
        <v>71</v>
      </c>
      <c r="N940" s="260" t="s">
        <v>138</v>
      </c>
      <c r="O940" s="260" t="str">
        <f t="shared" si="54"/>
        <v>B2 AP1 / B2 AP2 (0.6 to 3 yrs)</v>
      </c>
      <c r="P940" s="260"/>
      <c r="Q940" s="260" t="str">
        <f t="shared" si="57"/>
        <v>PEGA/PEGAEAI/PEGADeveloper/Junior</v>
      </c>
      <c r="R940" s="260" t="str">
        <f t="shared" si="55"/>
        <v>B2 AP1 / B2 AP2 (0.6 to 3 yrs)</v>
      </c>
      <c r="S940" s="260" t="str">
        <f t="shared" si="56"/>
        <v>PEGA_10</v>
      </c>
      <c r="T940" s="269"/>
    </row>
    <row r="941" spans="1:20" ht="12.75" customHeight="1">
      <c r="A941" s="94">
        <f t="shared" si="58"/>
        <v>437</v>
      </c>
      <c r="B941" s="260" t="str">
        <f t="shared" si="59"/>
        <v>-/////</v>
      </c>
      <c r="O941" s="260" t="str">
        <f t="shared" si="54"/>
        <v xml:space="preserve"> / </v>
      </c>
      <c r="P941" s="260"/>
      <c r="Q941" s="260" t="str">
        <f t="shared" si="57"/>
        <v>///</v>
      </c>
      <c r="R941" s="260" t="str">
        <f t="shared" si="55"/>
        <v xml:space="preserve"> / </v>
      </c>
      <c r="S941" s="260">
        <f t="shared" si="56"/>
        <v>0</v>
      </c>
      <c r="T941" s="269"/>
    </row>
    <row r="942" spans="1:20" ht="12.75" customHeight="1">
      <c r="A942" s="94">
        <f t="shared" si="58"/>
        <v>438</v>
      </c>
      <c r="B942" s="260" t="str">
        <f t="shared" si="59"/>
        <v>-/////</v>
      </c>
      <c r="O942" s="260" t="str">
        <f t="shared" si="54"/>
        <v xml:space="preserve"> / </v>
      </c>
      <c r="P942" s="260"/>
      <c r="Q942" s="260" t="str">
        <f t="shared" si="57"/>
        <v>///</v>
      </c>
      <c r="R942" s="260" t="str">
        <f t="shared" si="55"/>
        <v xml:space="preserve"> / </v>
      </c>
      <c r="S942" s="260">
        <f t="shared" si="56"/>
        <v>0</v>
      </c>
      <c r="T942" s="269"/>
    </row>
    <row r="943" spans="1:20" ht="12.75" customHeight="1">
      <c r="O943" s="260" t="str">
        <f t="shared" si="54"/>
        <v xml:space="preserve"> / </v>
      </c>
      <c r="P943" s="260"/>
      <c r="Q943" s="260" t="str">
        <f t="shared" si="57"/>
        <v>///</v>
      </c>
      <c r="R943" s="260" t="str">
        <f t="shared" si="55"/>
        <v xml:space="preserve"> / </v>
      </c>
      <c r="S943" s="260">
        <f t="shared" si="56"/>
        <v>0</v>
      </c>
      <c r="T943" s="269"/>
    </row>
    <row r="944" spans="1:20" ht="12.75" customHeight="1">
      <c r="O944" s="260" t="str">
        <f t="shared" si="54"/>
        <v xml:space="preserve"> / </v>
      </c>
      <c r="P944" s="260"/>
      <c r="Q944" s="260" t="str">
        <f t="shared" si="57"/>
        <v>///</v>
      </c>
      <c r="R944" s="260" t="str">
        <f t="shared" si="55"/>
        <v xml:space="preserve"> / </v>
      </c>
      <c r="S944" s="260">
        <f t="shared" si="56"/>
        <v>0</v>
      </c>
      <c r="T944" s="269"/>
    </row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</sheetData>
  <sheetProtection algorithmName="SHA-512" hashValue="w0mcYKT1V0SkKe5OVIN61FlUguwRRlIvKzy2dANyUu89k/C1TBb2IVer33M5btsJFeuDrsNGYQu2YyLTtt0DBA==" saltValue="q8cZmTNj8gcouIqiWK5yUw==" spinCount="100000" sheet="1" objects="1" scenarios="1"/>
  <protectedRanges>
    <protectedRange sqref="I6:J180" name="Range3"/>
    <protectedRange sqref="HO6:HO180" name="Range2"/>
    <protectedRange sqref="B6:E180" name="Range1"/>
  </protectedRanges>
  <autoFilter ref="A504:T884"/>
  <mergeCells count="6">
    <mergeCell ref="HX4:HY4"/>
    <mergeCell ref="A2:I2"/>
    <mergeCell ref="A3:I3"/>
    <mergeCell ref="HP4:HQ4"/>
    <mergeCell ref="HR4:HS4"/>
    <mergeCell ref="HT4:HU4"/>
  </mergeCells>
  <dataValidations count="4">
    <dataValidation type="list" allowBlank="1" showInputMessage="1" showErrorMessage="1" sqref="E856:E881">
      <formula1>INDIRECT(E849)</formula1>
    </dataValidation>
    <dataValidation type="list" allowBlank="1" showInputMessage="1" showErrorMessage="1" sqref="C6:E180">
      <formula1>INDIRECT(B6)</formula1>
    </dataValidation>
    <dataValidation type="list" allowBlank="1" showInputMessage="1" showErrorMessage="1" sqref="B6:B180">
      <formula1>INDIRECT($B$5)</formula1>
    </dataValidation>
    <dataValidation type="list" allowBlank="1" showInputMessage="1" showErrorMessage="1" sqref="B4">
      <formula1>"Practice"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L252"/>
  <sheetViews>
    <sheetView showZeros="0" tabSelected="1" zoomScale="80" zoomScaleNormal="70" workbookViewId="0">
      <pane xSplit="5" ySplit="5" topLeftCell="DC161" activePane="bottomRight" state="frozen"/>
      <selection activeCell="E141" sqref="E141"/>
      <selection pane="topRight" activeCell="E141" sqref="E141"/>
      <selection pane="bottomLeft" activeCell="E141" sqref="E141"/>
      <selection pane="bottomRight" activeCell="DQ192" sqref="DQ192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34" style="1" customWidth="1"/>
    <col min="4" max="4" width="18.140625" style="1" customWidth="1"/>
    <col min="5" max="5" width="35.140625" style="1" customWidth="1"/>
    <col min="6" max="122" width="7.7109375" style="1" customWidth="1"/>
    <col min="123" max="123" width="10.7109375" style="1" customWidth="1"/>
    <col min="124" max="124" width="10.7109375" style="1" hidden="1" customWidth="1"/>
    <col min="125" max="125" width="10.7109375" style="1" customWidth="1"/>
    <col min="126" max="126" width="11.7109375" style="1" customWidth="1"/>
    <col min="127" max="127" width="11.7109375" style="3" customWidth="1"/>
    <col min="128" max="133" width="10.7109375" style="3" customWidth="1"/>
    <col min="134" max="16384" width="8.85546875" style="1"/>
  </cols>
  <sheetData>
    <row r="1" spans="1:133">
      <c r="A1" s="1" t="s">
        <v>32</v>
      </c>
      <c r="C1" s="20" t="s">
        <v>140</v>
      </c>
      <c r="D1" s="21"/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3"/>
      <c r="DT1" s="2"/>
      <c r="DU1" s="2"/>
    </row>
    <row r="2" spans="1:133" ht="15.75" thickBot="1">
      <c r="A2" s="1" t="s">
        <v>33</v>
      </c>
      <c r="C2" s="25" t="s">
        <v>34</v>
      </c>
      <c r="D2" s="26"/>
      <c r="E2" s="26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7"/>
      <c r="DT2" s="2"/>
      <c r="DU2" s="2"/>
    </row>
    <row r="3" spans="1:133">
      <c r="C3" s="53" t="s">
        <v>22</v>
      </c>
      <c r="D3" s="53"/>
      <c r="E3" s="60" t="str">
        <f>IF(CheckList!P18=46,DS32,"")</f>
        <v/>
      </c>
      <c r="F3" s="50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8"/>
      <c r="DT3" s="164"/>
    </row>
    <row r="4" spans="1:133">
      <c r="C4" s="54" t="s">
        <v>23</v>
      </c>
      <c r="D4" s="54"/>
      <c r="E4" s="61" t="str">
        <f>IF(CheckList!P18=46,(DS58+DS84+DS110),"")</f>
        <v/>
      </c>
      <c r="F4" s="69" t="s">
        <v>1</v>
      </c>
      <c r="G4" s="70" t="s">
        <v>2</v>
      </c>
      <c r="H4" s="70" t="s">
        <v>3</v>
      </c>
      <c r="I4" s="70" t="s">
        <v>4</v>
      </c>
      <c r="J4" s="70" t="s">
        <v>5</v>
      </c>
      <c r="K4" s="70" t="s">
        <v>6</v>
      </c>
      <c r="L4" s="70" t="s">
        <v>7</v>
      </c>
      <c r="M4" s="70" t="s">
        <v>8</v>
      </c>
      <c r="N4" s="70" t="s">
        <v>9</v>
      </c>
      <c r="O4" s="70" t="s">
        <v>10</v>
      </c>
      <c r="P4" s="70" t="s">
        <v>11</v>
      </c>
      <c r="Q4" s="70" t="s">
        <v>12</v>
      </c>
      <c r="R4" s="49"/>
      <c r="S4" s="70" t="s">
        <v>1</v>
      </c>
      <c r="T4" s="70" t="s">
        <v>2</v>
      </c>
      <c r="U4" s="70" t="s">
        <v>3</v>
      </c>
      <c r="V4" s="70" t="s">
        <v>4</v>
      </c>
      <c r="W4" s="70" t="s">
        <v>5</v>
      </c>
      <c r="X4" s="70" t="s">
        <v>6</v>
      </c>
      <c r="Y4" s="70" t="s">
        <v>7</v>
      </c>
      <c r="Z4" s="70" t="s">
        <v>8</v>
      </c>
      <c r="AA4" s="70" t="s">
        <v>9</v>
      </c>
      <c r="AB4" s="70" t="s">
        <v>10</v>
      </c>
      <c r="AC4" s="70" t="s">
        <v>11</v>
      </c>
      <c r="AD4" s="70" t="s">
        <v>12</v>
      </c>
      <c r="AE4" s="49"/>
      <c r="AF4" s="70" t="s">
        <v>1</v>
      </c>
      <c r="AG4" s="70" t="s">
        <v>2</v>
      </c>
      <c r="AH4" s="70" t="s">
        <v>3</v>
      </c>
      <c r="AI4" s="70" t="s">
        <v>4</v>
      </c>
      <c r="AJ4" s="70" t="s">
        <v>5</v>
      </c>
      <c r="AK4" s="70" t="s">
        <v>6</v>
      </c>
      <c r="AL4" s="70" t="s">
        <v>7</v>
      </c>
      <c r="AM4" s="70" t="s">
        <v>8</v>
      </c>
      <c r="AN4" s="70" t="s">
        <v>9</v>
      </c>
      <c r="AO4" s="70" t="s">
        <v>10</v>
      </c>
      <c r="AP4" s="70" t="s">
        <v>11</v>
      </c>
      <c r="AQ4" s="70" t="s">
        <v>12</v>
      </c>
      <c r="AR4" s="71"/>
      <c r="AS4" s="70" t="s">
        <v>1</v>
      </c>
      <c r="AT4" s="70" t="s">
        <v>2</v>
      </c>
      <c r="AU4" s="70" t="s">
        <v>3</v>
      </c>
      <c r="AV4" s="70" t="s">
        <v>4</v>
      </c>
      <c r="AW4" s="70" t="s">
        <v>5</v>
      </c>
      <c r="AX4" s="70" t="s">
        <v>6</v>
      </c>
      <c r="AY4" s="70" t="s">
        <v>7</v>
      </c>
      <c r="AZ4" s="70" t="s">
        <v>8</v>
      </c>
      <c r="BA4" s="70" t="s">
        <v>9</v>
      </c>
      <c r="BB4" s="70" t="s">
        <v>10</v>
      </c>
      <c r="BC4" s="70" t="s">
        <v>11</v>
      </c>
      <c r="BD4" s="70" t="s">
        <v>12</v>
      </c>
      <c r="BE4" s="71"/>
      <c r="BF4" s="70" t="s">
        <v>1</v>
      </c>
      <c r="BG4" s="70" t="s">
        <v>2</v>
      </c>
      <c r="BH4" s="70" t="s">
        <v>3</v>
      </c>
      <c r="BI4" s="70" t="s">
        <v>4</v>
      </c>
      <c r="BJ4" s="70" t="s">
        <v>5</v>
      </c>
      <c r="BK4" s="70" t="s">
        <v>6</v>
      </c>
      <c r="BL4" s="70" t="s">
        <v>7</v>
      </c>
      <c r="BM4" s="70" t="s">
        <v>8</v>
      </c>
      <c r="BN4" s="70" t="s">
        <v>9</v>
      </c>
      <c r="BO4" s="70" t="s">
        <v>10</v>
      </c>
      <c r="BP4" s="70" t="s">
        <v>11</v>
      </c>
      <c r="BQ4" s="70" t="s">
        <v>12</v>
      </c>
      <c r="BR4" s="71"/>
      <c r="BS4" s="70" t="s">
        <v>1</v>
      </c>
      <c r="BT4" s="70" t="s">
        <v>2</v>
      </c>
      <c r="BU4" s="70" t="s">
        <v>3</v>
      </c>
      <c r="BV4" s="70" t="s">
        <v>4</v>
      </c>
      <c r="BW4" s="70" t="s">
        <v>5</v>
      </c>
      <c r="BX4" s="70" t="s">
        <v>6</v>
      </c>
      <c r="BY4" s="70" t="s">
        <v>7</v>
      </c>
      <c r="BZ4" s="70" t="s">
        <v>8</v>
      </c>
      <c r="CA4" s="70" t="s">
        <v>9</v>
      </c>
      <c r="CB4" s="70" t="s">
        <v>10</v>
      </c>
      <c r="CC4" s="70" t="s">
        <v>11</v>
      </c>
      <c r="CD4" s="70" t="s">
        <v>12</v>
      </c>
      <c r="CE4" s="71"/>
      <c r="CF4" s="70" t="s">
        <v>1</v>
      </c>
      <c r="CG4" s="70" t="s">
        <v>2</v>
      </c>
      <c r="CH4" s="70" t="s">
        <v>3</v>
      </c>
      <c r="CI4" s="70" t="s">
        <v>4</v>
      </c>
      <c r="CJ4" s="70" t="s">
        <v>5</v>
      </c>
      <c r="CK4" s="70" t="s">
        <v>6</v>
      </c>
      <c r="CL4" s="70" t="s">
        <v>7</v>
      </c>
      <c r="CM4" s="70" t="s">
        <v>8</v>
      </c>
      <c r="CN4" s="70" t="s">
        <v>9</v>
      </c>
      <c r="CO4" s="70" t="s">
        <v>10</v>
      </c>
      <c r="CP4" s="70" t="s">
        <v>11</v>
      </c>
      <c r="CQ4" s="70" t="s">
        <v>12</v>
      </c>
      <c r="CR4" s="71"/>
      <c r="CS4" s="70" t="s">
        <v>1</v>
      </c>
      <c r="CT4" s="70" t="s">
        <v>2</v>
      </c>
      <c r="CU4" s="70" t="s">
        <v>3</v>
      </c>
      <c r="CV4" s="70" t="s">
        <v>4</v>
      </c>
      <c r="CW4" s="70" t="s">
        <v>5</v>
      </c>
      <c r="CX4" s="70" t="s">
        <v>6</v>
      </c>
      <c r="CY4" s="70" t="s">
        <v>7</v>
      </c>
      <c r="CZ4" s="70" t="s">
        <v>8</v>
      </c>
      <c r="DA4" s="70" t="s">
        <v>9</v>
      </c>
      <c r="DB4" s="70" t="s">
        <v>10</v>
      </c>
      <c r="DC4" s="70" t="s">
        <v>11</v>
      </c>
      <c r="DD4" s="70" t="s">
        <v>12</v>
      </c>
      <c r="DE4" s="71"/>
      <c r="DF4" s="70" t="s">
        <v>1</v>
      </c>
      <c r="DG4" s="70" t="s">
        <v>2</v>
      </c>
      <c r="DH4" s="70" t="s">
        <v>3</v>
      </c>
      <c r="DI4" s="70" t="s">
        <v>4</v>
      </c>
      <c r="DJ4" s="70" t="s">
        <v>5</v>
      </c>
      <c r="DK4" s="70" t="s">
        <v>6</v>
      </c>
      <c r="DL4" s="70" t="s">
        <v>7</v>
      </c>
      <c r="DM4" s="70" t="s">
        <v>8</v>
      </c>
      <c r="DN4" s="70" t="s">
        <v>9</v>
      </c>
      <c r="DO4" s="70" t="s">
        <v>10</v>
      </c>
      <c r="DP4" s="70" t="s">
        <v>11</v>
      </c>
      <c r="DQ4" s="70" t="s">
        <v>12</v>
      </c>
      <c r="DR4" s="71"/>
      <c r="DS4" s="72"/>
      <c r="DT4" s="165"/>
    </row>
    <row r="5" spans="1:133" ht="15.75" thickBot="1">
      <c r="C5" s="55" t="s">
        <v>0</v>
      </c>
      <c r="D5" s="55"/>
      <c r="E5" s="66" t="str">
        <f>IF(CheckList!P18=46,DS164,"")</f>
        <v/>
      </c>
      <c r="F5" s="73">
        <v>2019</v>
      </c>
      <c r="G5" s="74">
        <f t="shared" ref="G5:R5" si="0">F5</f>
        <v>2019</v>
      </c>
      <c r="H5" s="74">
        <f t="shared" si="0"/>
        <v>2019</v>
      </c>
      <c r="I5" s="74">
        <f t="shared" si="0"/>
        <v>2019</v>
      </c>
      <c r="J5" s="74">
        <f t="shared" si="0"/>
        <v>2019</v>
      </c>
      <c r="K5" s="74">
        <f t="shared" si="0"/>
        <v>2019</v>
      </c>
      <c r="L5" s="74">
        <f t="shared" si="0"/>
        <v>2019</v>
      </c>
      <c r="M5" s="74">
        <f t="shared" si="0"/>
        <v>2019</v>
      </c>
      <c r="N5" s="74">
        <f t="shared" si="0"/>
        <v>2019</v>
      </c>
      <c r="O5" s="74">
        <f t="shared" si="0"/>
        <v>2019</v>
      </c>
      <c r="P5" s="74">
        <f t="shared" si="0"/>
        <v>2019</v>
      </c>
      <c r="Q5" s="74">
        <f t="shared" si="0"/>
        <v>2019</v>
      </c>
      <c r="R5" s="74">
        <f t="shared" si="0"/>
        <v>2019</v>
      </c>
      <c r="S5" s="74">
        <f>R5+1</f>
        <v>2020</v>
      </c>
      <c r="T5" s="74">
        <f t="shared" ref="T5:AE5" si="1">S5</f>
        <v>2020</v>
      </c>
      <c r="U5" s="74">
        <f t="shared" si="1"/>
        <v>2020</v>
      </c>
      <c r="V5" s="74">
        <f t="shared" si="1"/>
        <v>2020</v>
      </c>
      <c r="W5" s="74">
        <f t="shared" si="1"/>
        <v>2020</v>
      </c>
      <c r="X5" s="74">
        <f t="shared" si="1"/>
        <v>2020</v>
      </c>
      <c r="Y5" s="74">
        <f t="shared" si="1"/>
        <v>2020</v>
      </c>
      <c r="Z5" s="74">
        <f t="shared" si="1"/>
        <v>2020</v>
      </c>
      <c r="AA5" s="74">
        <f t="shared" si="1"/>
        <v>2020</v>
      </c>
      <c r="AB5" s="74">
        <f t="shared" si="1"/>
        <v>2020</v>
      </c>
      <c r="AC5" s="74">
        <f t="shared" si="1"/>
        <v>2020</v>
      </c>
      <c r="AD5" s="74">
        <f t="shared" si="1"/>
        <v>2020</v>
      </c>
      <c r="AE5" s="74">
        <f t="shared" si="1"/>
        <v>2020</v>
      </c>
      <c r="AF5" s="74">
        <f>AE5+1</f>
        <v>2021</v>
      </c>
      <c r="AG5" s="74">
        <f t="shared" ref="AG5:AR5" si="2">AF5</f>
        <v>2021</v>
      </c>
      <c r="AH5" s="74">
        <f t="shared" si="2"/>
        <v>2021</v>
      </c>
      <c r="AI5" s="74">
        <f t="shared" si="2"/>
        <v>2021</v>
      </c>
      <c r="AJ5" s="74">
        <f t="shared" si="2"/>
        <v>2021</v>
      </c>
      <c r="AK5" s="74">
        <f t="shared" si="2"/>
        <v>2021</v>
      </c>
      <c r="AL5" s="74">
        <f t="shared" si="2"/>
        <v>2021</v>
      </c>
      <c r="AM5" s="74">
        <f t="shared" si="2"/>
        <v>2021</v>
      </c>
      <c r="AN5" s="74">
        <f t="shared" si="2"/>
        <v>2021</v>
      </c>
      <c r="AO5" s="74">
        <f t="shared" si="2"/>
        <v>2021</v>
      </c>
      <c r="AP5" s="74">
        <f t="shared" si="2"/>
        <v>2021</v>
      </c>
      <c r="AQ5" s="74">
        <f t="shared" si="2"/>
        <v>2021</v>
      </c>
      <c r="AR5" s="74">
        <f t="shared" si="2"/>
        <v>2021</v>
      </c>
      <c r="AS5" s="74">
        <f>AR5+1</f>
        <v>2022</v>
      </c>
      <c r="AT5" s="74">
        <f t="shared" ref="AT5:BE5" si="3">AS5</f>
        <v>2022</v>
      </c>
      <c r="AU5" s="74">
        <f t="shared" si="3"/>
        <v>2022</v>
      </c>
      <c r="AV5" s="74">
        <f t="shared" si="3"/>
        <v>2022</v>
      </c>
      <c r="AW5" s="74">
        <f t="shared" si="3"/>
        <v>2022</v>
      </c>
      <c r="AX5" s="74">
        <f t="shared" si="3"/>
        <v>2022</v>
      </c>
      <c r="AY5" s="74">
        <f t="shared" si="3"/>
        <v>2022</v>
      </c>
      <c r="AZ5" s="74">
        <f t="shared" si="3"/>
        <v>2022</v>
      </c>
      <c r="BA5" s="74">
        <f t="shared" si="3"/>
        <v>2022</v>
      </c>
      <c r="BB5" s="74">
        <f t="shared" si="3"/>
        <v>2022</v>
      </c>
      <c r="BC5" s="74">
        <f t="shared" si="3"/>
        <v>2022</v>
      </c>
      <c r="BD5" s="74">
        <f t="shared" si="3"/>
        <v>2022</v>
      </c>
      <c r="BE5" s="74">
        <f t="shared" si="3"/>
        <v>2022</v>
      </c>
      <c r="BF5" s="74">
        <f>BE5+1</f>
        <v>2023</v>
      </c>
      <c r="BG5" s="74">
        <f t="shared" ref="BG5:BR5" si="4">BF5</f>
        <v>2023</v>
      </c>
      <c r="BH5" s="74">
        <f t="shared" si="4"/>
        <v>2023</v>
      </c>
      <c r="BI5" s="74">
        <f t="shared" si="4"/>
        <v>2023</v>
      </c>
      <c r="BJ5" s="74">
        <f t="shared" si="4"/>
        <v>2023</v>
      </c>
      <c r="BK5" s="74">
        <f t="shared" si="4"/>
        <v>2023</v>
      </c>
      <c r="BL5" s="74">
        <f t="shared" si="4"/>
        <v>2023</v>
      </c>
      <c r="BM5" s="74">
        <f t="shared" si="4"/>
        <v>2023</v>
      </c>
      <c r="BN5" s="74">
        <f t="shared" si="4"/>
        <v>2023</v>
      </c>
      <c r="BO5" s="74">
        <f t="shared" si="4"/>
        <v>2023</v>
      </c>
      <c r="BP5" s="74">
        <f t="shared" si="4"/>
        <v>2023</v>
      </c>
      <c r="BQ5" s="74">
        <f t="shared" si="4"/>
        <v>2023</v>
      </c>
      <c r="BR5" s="74">
        <f t="shared" si="4"/>
        <v>2023</v>
      </c>
      <c r="BS5" s="74">
        <f>BR5+1</f>
        <v>2024</v>
      </c>
      <c r="BT5" s="74">
        <f t="shared" ref="BT5:CE5" si="5">BS5</f>
        <v>2024</v>
      </c>
      <c r="BU5" s="74">
        <f t="shared" si="5"/>
        <v>2024</v>
      </c>
      <c r="BV5" s="74">
        <f t="shared" si="5"/>
        <v>2024</v>
      </c>
      <c r="BW5" s="74">
        <f t="shared" si="5"/>
        <v>2024</v>
      </c>
      <c r="BX5" s="74">
        <f t="shared" si="5"/>
        <v>2024</v>
      </c>
      <c r="BY5" s="74">
        <f t="shared" si="5"/>
        <v>2024</v>
      </c>
      <c r="BZ5" s="74">
        <f t="shared" si="5"/>
        <v>2024</v>
      </c>
      <c r="CA5" s="74">
        <f t="shared" si="5"/>
        <v>2024</v>
      </c>
      <c r="CB5" s="74">
        <f t="shared" si="5"/>
        <v>2024</v>
      </c>
      <c r="CC5" s="74">
        <f t="shared" si="5"/>
        <v>2024</v>
      </c>
      <c r="CD5" s="74">
        <f t="shared" si="5"/>
        <v>2024</v>
      </c>
      <c r="CE5" s="74">
        <f t="shared" si="5"/>
        <v>2024</v>
      </c>
      <c r="CF5" s="74">
        <f>CE5+1</f>
        <v>2025</v>
      </c>
      <c r="CG5" s="74">
        <f t="shared" ref="CG5" si="6">CF5</f>
        <v>2025</v>
      </c>
      <c r="CH5" s="74">
        <f t="shared" ref="CH5" si="7">CG5</f>
        <v>2025</v>
      </c>
      <c r="CI5" s="74">
        <f t="shared" ref="CI5" si="8">CH5</f>
        <v>2025</v>
      </c>
      <c r="CJ5" s="74">
        <f t="shared" ref="CJ5" si="9">CI5</f>
        <v>2025</v>
      </c>
      <c r="CK5" s="74">
        <f t="shared" ref="CK5" si="10">CJ5</f>
        <v>2025</v>
      </c>
      <c r="CL5" s="74">
        <f t="shared" ref="CL5" si="11">CK5</f>
        <v>2025</v>
      </c>
      <c r="CM5" s="74">
        <f t="shared" ref="CM5" si="12">CL5</f>
        <v>2025</v>
      </c>
      <c r="CN5" s="74">
        <f t="shared" ref="CN5" si="13">CM5</f>
        <v>2025</v>
      </c>
      <c r="CO5" s="74">
        <f t="shared" ref="CO5" si="14">CN5</f>
        <v>2025</v>
      </c>
      <c r="CP5" s="74">
        <f t="shared" ref="CP5" si="15">CO5</f>
        <v>2025</v>
      </c>
      <c r="CQ5" s="74">
        <f t="shared" ref="CQ5" si="16">CP5</f>
        <v>2025</v>
      </c>
      <c r="CR5" s="74">
        <f t="shared" ref="CR5" si="17">CQ5</f>
        <v>2025</v>
      </c>
      <c r="CS5" s="74">
        <f>CR5+1</f>
        <v>2026</v>
      </c>
      <c r="CT5" s="74">
        <f t="shared" ref="CT5" si="18">CS5</f>
        <v>2026</v>
      </c>
      <c r="CU5" s="74">
        <f t="shared" ref="CU5" si="19">CT5</f>
        <v>2026</v>
      </c>
      <c r="CV5" s="74">
        <f t="shared" ref="CV5" si="20">CU5</f>
        <v>2026</v>
      </c>
      <c r="CW5" s="74">
        <f t="shared" ref="CW5" si="21">CV5</f>
        <v>2026</v>
      </c>
      <c r="CX5" s="74">
        <f t="shared" ref="CX5" si="22">CW5</f>
        <v>2026</v>
      </c>
      <c r="CY5" s="74">
        <f t="shared" ref="CY5" si="23">CX5</f>
        <v>2026</v>
      </c>
      <c r="CZ5" s="74">
        <f t="shared" ref="CZ5" si="24">CY5</f>
        <v>2026</v>
      </c>
      <c r="DA5" s="74">
        <f t="shared" ref="DA5" si="25">CZ5</f>
        <v>2026</v>
      </c>
      <c r="DB5" s="74">
        <f t="shared" ref="DB5" si="26">DA5</f>
        <v>2026</v>
      </c>
      <c r="DC5" s="74">
        <f t="shared" ref="DC5" si="27">DB5</f>
        <v>2026</v>
      </c>
      <c r="DD5" s="74">
        <f t="shared" ref="DD5" si="28">DC5</f>
        <v>2026</v>
      </c>
      <c r="DE5" s="74">
        <f t="shared" ref="DE5" si="29">DD5</f>
        <v>2026</v>
      </c>
      <c r="DF5" s="74">
        <f>DE5+1</f>
        <v>2027</v>
      </c>
      <c r="DG5" s="74">
        <f t="shared" ref="DG5" si="30">DF5</f>
        <v>2027</v>
      </c>
      <c r="DH5" s="74">
        <f t="shared" ref="DH5" si="31">DG5</f>
        <v>2027</v>
      </c>
      <c r="DI5" s="74">
        <f t="shared" ref="DI5" si="32">DH5</f>
        <v>2027</v>
      </c>
      <c r="DJ5" s="74">
        <f t="shared" ref="DJ5" si="33">DI5</f>
        <v>2027</v>
      </c>
      <c r="DK5" s="74">
        <f t="shared" ref="DK5" si="34">DJ5</f>
        <v>2027</v>
      </c>
      <c r="DL5" s="74">
        <f t="shared" ref="DL5" si="35">DK5</f>
        <v>2027</v>
      </c>
      <c r="DM5" s="74">
        <f t="shared" ref="DM5" si="36">DL5</f>
        <v>2027</v>
      </c>
      <c r="DN5" s="74">
        <f t="shared" ref="DN5" si="37">DM5</f>
        <v>2027</v>
      </c>
      <c r="DO5" s="74">
        <f t="shared" ref="DO5" si="38">DN5</f>
        <v>2027</v>
      </c>
      <c r="DP5" s="74">
        <f t="shared" ref="DP5" si="39">DO5</f>
        <v>2027</v>
      </c>
      <c r="DQ5" s="74">
        <f t="shared" ref="DQ5" si="40">DP5</f>
        <v>2027</v>
      </c>
      <c r="DR5" s="74">
        <f t="shared" ref="DR5" si="41">DQ5</f>
        <v>2027</v>
      </c>
      <c r="DS5" s="75" t="s">
        <v>24</v>
      </c>
      <c r="DT5" s="166" t="s">
        <v>35</v>
      </c>
      <c r="DU5" s="3"/>
    </row>
    <row r="6" spans="1:133">
      <c r="C6" s="56" t="s">
        <v>39</v>
      </c>
      <c r="D6" s="206"/>
      <c r="E6" s="65"/>
      <c r="F6" s="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28"/>
      <c r="DT6" s="28"/>
      <c r="DU6" s="3"/>
      <c r="DW6" s="7"/>
      <c r="DX6" s="7"/>
      <c r="DY6" s="7"/>
      <c r="DZ6" s="7"/>
      <c r="EA6" s="7"/>
      <c r="EB6" s="7"/>
      <c r="EC6" s="7"/>
    </row>
    <row r="7" spans="1:133">
      <c r="C7" s="57" t="s">
        <v>739</v>
      </c>
      <c r="D7" s="57"/>
      <c r="E7" s="62"/>
      <c r="F7" s="223"/>
      <c r="G7" s="223">
        <f t="shared" ref="G7:Q7" si="42">F7</f>
        <v>0</v>
      </c>
      <c r="H7" s="223">
        <f t="shared" si="42"/>
        <v>0</v>
      </c>
      <c r="I7" s="223">
        <f t="shared" si="42"/>
        <v>0</v>
      </c>
      <c r="J7" s="223">
        <f t="shared" si="42"/>
        <v>0</v>
      </c>
      <c r="K7" s="223">
        <f t="shared" si="42"/>
        <v>0</v>
      </c>
      <c r="L7" s="223">
        <f t="shared" si="42"/>
        <v>0</v>
      </c>
      <c r="M7" s="223">
        <f t="shared" si="42"/>
        <v>0</v>
      </c>
      <c r="N7" s="223">
        <f t="shared" si="42"/>
        <v>0</v>
      </c>
      <c r="O7" s="223">
        <f t="shared" si="42"/>
        <v>0</v>
      </c>
      <c r="P7" s="223">
        <f t="shared" si="42"/>
        <v>0</v>
      </c>
      <c r="Q7" s="223">
        <f t="shared" si="42"/>
        <v>0</v>
      </c>
      <c r="R7" s="223"/>
      <c r="S7" s="223">
        <f>Q7</f>
        <v>0</v>
      </c>
      <c r="T7" s="223">
        <f t="shared" ref="T7:AD7" si="43">S7</f>
        <v>0</v>
      </c>
      <c r="U7" s="223">
        <f t="shared" si="43"/>
        <v>0</v>
      </c>
      <c r="V7" s="223">
        <f t="shared" si="43"/>
        <v>0</v>
      </c>
      <c r="W7" s="223">
        <f t="shared" si="43"/>
        <v>0</v>
      </c>
      <c r="X7" s="223">
        <f t="shared" si="43"/>
        <v>0</v>
      </c>
      <c r="Y7" s="223">
        <f t="shared" si="43"/>
        <v>0</v>
      </c>
      <c r="Z7" s="223">
        <f t="shared" si="43"/>
        <v>0</v>
      </c>
      <c r="AA7" s="223">
        <f t="shared" si="43"/>
        <v>0</v>
      </c>
      <c r="AB7" s="223">
        <f t="shared" si="43"/>
        <v>0</v>
      </c>
      <c r="AC7" s="223">
        <f t="shared" si="43"/>
        <v>0</v>
      </c>
      <c r="AD7" s="223">
        <f t="shared" si="43"/>
        <v>0</v>
      </c>
      <c r="AE7" s="223"/>
      <c r="AF7" s="223">
        <f>AD7</f>
        <v>0</v>
      </c>
      <c r="AG7" s="223">
        <f t="shared" ref="AG7:AQ7" si="44">AF7</f>
        <v>0</v>
      </c>
      <c r="AH7" s="223">
        <f t="shared" si="44"/>
        <v>0</v>
      </c>
      <c r="AI7" s="223">
        <f t="shared" si="44"/>
        <v>0</v>
      </c>
      <c r="AJ7" s="223">
        <f t="shared" si="44"/>
        <v>0</v>
      </c>
      <c r="AK7" s="223">
        <f t="shared" si="44"/>
        <v>0</v>
      </c>
      <c r="AL7" s="223">
        <f t="shared" si="44"/>
        <v>0</v>
      </c>
      <c r="AM7" s="223">
        <f t="shared" si="44"/>
        <v>0</v>
      </c>
      <c r="AN7" s="223">
        <f t="shared" si="44"/>
        <v>0</v>
      </c>
      <c r="AO7" s="223">
        <f t="shared" si="44"/>
        <v>0</v>
      </c>
      <c r="AP7" s="223">
        <f t="shared" si="44"/>
        <v>0</v>
      </c>
      <c r="AQ7" s="223">
        <f t="shared" si="44"/>
        <v>0</v>
      </c>
      <c r="AR7" s="223"/>
      <c r="AS7" s="223">
        <f>AQ7</f>
        <v>0</v>
      </c>
      <c r="AT7" s="223">
        <f t="shared" ref="AT7:BD7" si="45">AS7</f>
        <v>0</v>
      </c>
      <c r="AU7" s="223">
        <f t="shared" si="45"/>
        <v>0</v>
      </c>
      <c r="AV7" s="223">
        <f t="shared" si="45"/>
        <v>0</v>
      </c>
      <c r="AW7" s="223">
        <f t="shared" si="45"/>
        <v>0</v>
      </c>
      <c r="AX7" s="223">
        <f t="shared" si="45"/>
        <v>0</v>
      </c>
      <c r="AY7" s="223">
        <f t="shared" si="45"/>
        <v>0</v>
      </c>
      <c r="AZ7" s="223">
        <f t="shared" si="45"/>
        <v>0</v>
      </c>
      <c r="BA7" s="223">
        <f t="shared" si="45"/>
        <v>0</v>
      </c>
      <c r="BB7" s="223">
        <f t="shared" si="45"/>
        <v>0</v>
      </c>
      <c r="BC7" s="223">
        <f t="shared" si="45"/>
        <v>0</v>
      </c>
      <c r="BD7" s="223">
        <f t="shared" si="45"/>
        <v>0</v>
      </c>
      <c r="BE7" s="223"/>
      <c r="BF7" s="223">
        <f>BD7</f>
        <v>0</v>
      </c>
      <c r="BG7" s="223">
        <f t="shared" ref="BG7:BQ7" si="46">BF7</f>
        <v>0</v>
      </c>
      <c r="BH7" s="223">
        <f t="shared" si="46"/>
        <v>0</v>
      </c>
      <c r="BI7" s="223">
        <f t="shared" si="46"/>
        <v>0</v>
      </c>
      <c r="BJ7" s="223">
        <f t="shared" si="46"/>
        <v>0</v>
      </c>
      <c r="BK7" s="223">
        <f t="shared" si="46"/>
        <v>0</v>
      </c>
      <c r="BL7" s="223">
        <f t="shared" si="46"/>
        <v>0</v>
      </c>
      <c r="BM7" s="223">
        <f t="shared" si="46"/>
        <v>0</v>
      </c>
      <c r="BN7" s="223">
        <f t="shared" si="46"/>
        <v>0</v>
      </c>
      <c r="BO7" s="223">
        <f t="shared" si="46"/>
        <v>0</v>
      </c>
      <c r="BP7" s="223">
        <f t="shared" si="46"/>
        <v>0</v>
      </c>
      <c r="BQ7" s="223">
        <f t="shared" si="46"/>
        <v>0</v>
      </c>
      <c r="BR7" s="223"/>
      <c r="BS7" s="223">
        <f>BQ7</f>
        <v>0</v>
      </c>
      <c r="BT7" s="223">
        <f t="shared" ref="BT7:CD7" si="47">BS7</f>
        <v>0</v>
      </c>
      <c r="BU7" s="223">
        <f t="shared" si="47"/>
        <v>0</v>
      </c>
      <c r="BV7" s="223">
        <f t="shared" si="47"/>
        <v>0</v>
      </c>
      <c r="BW7" s="223">
        <f t="shared" si="47"/>
        <v>0</v>
      </c>
      <c r="BX7" s="223">
        <f t="shared" si="47"/>
        <v>0</v>
      </c>
      <c r="BY7" s="223">
        <f t="shared" si="47"/>
        <v>0</v>
      </c>
      <c r="BZ7" s="223">
        <f t="shared" si="47"/>
        <v>0</v>
      </c>
      <c r="CA7" s="223">
        <f t="shared" si="47"/>
        <v>0</v>
      </c>
      <c r="CB7" s="223">
        <f t="shared" si="47"/>
        <v>0</v>
      </c>
      <c r="CC7" s="223">
        <f t="shared" si="47"/>
        <v>0</v>
      </c>
      <c r="CD7" s="223">
        <f t="shared" si="47"/>
        <v>0</v>
      </c>
      <c r="CE7" s="389"/>
      <c r="CF7" s="223">
        <f>CD7</f>
        <v>0</v>
      </c>
      <c r="CG7" s="223">
        <f t="shared" ref="CG7" si="48">CF7</f>
        <v>0</v>
      </c>
      <c r="CH7" s="223">
        <f t="shared" ref="CH7" si="49">CG7</f>
        <v>0</v>
      </c>
      <c r="CI7" s="223">
        <f t="shared" ref="CI7" si="50">CH7</f>
        <v>0</v>
      </c>
      <c r="CJ7" s="223">
        <f t="shared" ref="CJ7" si="51">CI7</f>
        <v>0</v>
      </c>
      <c r="CK7" s="223">
        <f t="shared" ref="CK7" si="52">CJ7</f>
        <v>0</v>
      </c>
      <c r="CL7" s="223">
        <f t="shared" ref="CL7" si="53">CK7</f>
        <v>0</v>
      </c>
      <c r="CM7" s="223">
        <f t="shared" ref="CM7" si="54">CL7</f>
        <v>0</v>
      </c>
      <c r="CN7" s="223">
        <f t="shared" ref="CN7" si="55">CM7</f>
        <v>0</v>
      </c>
      <c r="CO7" s="223">
        <f t="shared" ref="CO7" si="56">CN7</f>
        <v>0</v>
      </c>
      <c r="CP7" s="223">
        <f t="shared" ref="CP7" si="57">CO7</f>
        <v>0</v>
      </c>
      <c r="CQ7" s="223">
        <f t="shared" ref="CQ7" si="58">CP7</f>
        <v>0</v>
      </c>
      <c r="CR7" s="389"/>
      <c r="CS7" s="223">
        <f>CQ7</f>
        <v>0</v>
      </c>
      <c r="CT7" s="223">
        <f t="shared" ref="CT7" si="59">CS7</f>
        <v>0</v>
      </c>
      <c r="CU7" s="223">
        <f t="shared" ref="CU7" si="60">CT7</f>
        <v>0</v>
      </c>
      <c r="CV7" s="223">
        <f t="shared" ref="CV7" si="61">CU7</f>
        <v>0</v>
      </c>
      <c r="CW7" s="223">
        <f t="shared" ref="CW7" si="62">CV7</f>
        <v>0</v>
      </c>
      <c r="CX7" s="223">
        <f t="shared" ref="CX7" si="63">CW7</f>
        <v>0</v>
      </c>
      <c r="CY7" s="223">
        <f t="shared" ref="CY7" si="64">CX7</f>
        <v>0</v>
      </c>
      <c r="CZ7" s="223">
        <f t="shared" ref="CZ7" si="65">CY7</f>
        <v>0</v>
      </c>
      <c r="DA7" s="223">
        <f t="shared" ref="DA7" si="66">CZ7</f>
        <v>0</v>
      </c>
      <c r="DB7" s="223">
        <f t="shared" ref="DB7" si="67">DA7</f>
        <v>0</v>
      </c>
      <c r="DC7" s="223">
        <f t="shared" ref="DC7" si="68">DB7</f>
        <v>0</v>
      </c>
      <c r="DD7" s="223">
        <f t="shared" ref="DD7" si="69">DC7</f>
        <v>0</v>
      </c>
      <c r="DE7" s="389"/>
      <c r="DF7" s="223">
        <f>DD7</f>
        <v>0</v>
      </c>
      <c r="DG7" s="223">
        <f t="shared" ref="DG7" si="70">DF7</f>
        <v>0</v>
      </c>
      <c r="DH7" s="223">
        <f t="shared" ref="DH7" si="71">DG7</f>
        <v>0</v>
      </c>
      <c r="DI7" s="223">
        <f t="shared" ref="DI7" si="72">DH7</f>
        <v>0</v>
      </c>
      <c r="DJ7" s="223">
        <f t="shared" ref="DJ7" si="73">DI7</f>
        <v>0</v>
      </c>
      <c r="DK7" s="223">
        <f t="shared" ref="DK7" si="74">DJ7</f>
        <v>0</v>
      </c>
      <c r="DL7" s="223">
        <f t="shared" ref="DL7" si="75">DK7</f>
        <v>0</v>
      </c>
      <c r="DM7" s="223">
        <f t="shared" ref="DM7" si="76">DL7</f>
        <v>0</v>
      </c>
      <c r="DN7" s="223">
        <f t="shared" ref="DN7" si="77">DM7</f>
        <v>0</v>
      </c>
      <c r="DO7" s="223">
        <f t="shared" ref="DO7" si="78">DN7</f>
        <v>0</v>
      </c>
      <c r="DP7" s="223">
        <f t="shared" ref="DP7" si="79">DO7</f>
        <v>0</v>
      </c>
      <c r="DQ7" s="223">
        <f t="shared" ref="DQ7" si="80">DP7</f>
        <v>0</v>
      </c>
      <c r="DR7" s="389"/>
      <c r="DS7" s="31">
        <f>SUM(F7:Q7)+SUM(S7:AD7)+SUM(AF7:AQ7)+SUM(AS7:BD7)+SUM(BF7:BQ7)+SUM(BS7:CD7)+SUM(CF7:CQ7)+SUM(CS7:DD7)+SUM(DF7:DQ7)</f>
        <v>0</v>
      </c>
      <c r="DT7" s="390"/>
      <c r="DU7" s="9"/>
      <c r="DV7" s="8"/>
      <c r="DW7" s="7"/>
      <c r="DX7" s="7"/>
      <c r="DY7" s="7"/>
      <c r="DZ7" s="7"/>
      <c r="EA7" s="7"/>
      <c r="EB7" s="7"/>
      <c r="EC7" s="7"/>
    </row>
    <row r="8" spans="1:133">
      <c r="C8" s="58" t="s">
        <v>1409</v>
      </c>
      <c r="D8" s="58"/>
      <c r="E8" s="62"/>
      <c r="F8" s="224"/>
      <c r="G8" s="224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19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19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  <c r="BC8" s="224"/>
      <c r="BD8" s="224"/>
      <c r="BE8" s="224"/>
      <c r="BF8" s="224"/>
      <c r="BG8" s="224"/>
      <c r="BH8" s="224"/>
      <c r="BI8" s="224"/>
      <c r="BJ8" s="224"/>
      <c r="BK8" s="224"/>
      <c r="BL8" s="224"/>
      <c r="BM8" s="224"/>
      <c r="BN8" s="224"/>
      <c r="BO8" s="224"/>
      <c r="BP8" s="224"/>
      <c r="BQ8" s="224"/>
      <c r="BR8" s="224"/>
      <c r="BS8" s="224"/>
      <c r="BT8" s="224"/>
      <c r="BU8" s="224"/>
      <c r="BV8" s="224"/>
      <c r="BW8" s="224"/>
      <c r="BX8" s="224"/>
      <c r="BY8" s="224"/>
      <c r="BZ8" s="224"/>
      <c r="CA8" s="224"/>
      <c r="CB8" s="224"/>
      <c r="CC8" s="224"/>
      <c r="CD8" s="224"/>
      <c r="CE8" s="389"/>
      <c r="CF8" s="224"/>
      <c r="CG8" s="224"/>
      <c r="CH8" s="224"/>
      <c r="CI8" s="224"/>
      <c r="CJ8" s="224"/>
      <c r="CK8" s="224"/>
      <c r="CL8" s="224"/>
      <c r="CM8" s="224"/>
      <c r="CN8" s="224"/>
      <c r="CO8" s="224"/>
      <c r="CP8" s="224"/>
      <c r="CQ8" s="224"/>
      <c r="CR8" s="389"/>
      <c r="CS8" s="224"/>
      <c r="CT8" s="224"/>
      <c r="CU8" s="224"/>
      <c r="CV8" s="224"/>
      <c r="CW8" s="224"/>
      <c r="CX8" s="224"/>
      <c r="CY8" s="224"/>
      <c r="CZ8" s="224"/>
      <c r="DA8" s="224"/>
      <c r="DB8" s="224"/>
      <c r="DC8" s="224"/>
      <c r="DD8" s="224"/>
      <c r="DE8" s="389"/>
      <c r="DF8" s="224"/>
      <c r="DG8" s="224"/>
      <c r="DH8" s="224"/>
      <c r="DI8" s="224"/>
      <c r="DJ8" s="224"/>
      <c r="DK8" s="224"/>
      <c r="DL8" s="224"/>
      <c r="DM8" s="224"/>
      <c r="DN8" s="224"/>
      <c r="DO8" s="224"/>
      <c r="DP8" s="224"/>
      <c r="DQ8" s="224"/>
      <c r="DR8" s="389"/>
      <c r="DS8" s="31"/>
      <c r="DT8" s="390"/>
      <c r="DU8" s="9"/>
      <c r="DV8" s="8"/>
      <c r="DW8" s="7"/>
      <c r="DX8" s="7"/>
      <c r="DY8" s="7"/>
      <c r="DZ8" s="7"/>
      <c r="EA8" s="7"/>
      <c r="EB8" s="7"/>
      <c r="EC8" s="7"/>
    </row>
    <row r="9" spans="1:133">
      <c r="A9" s="1">
        <v>1</v>
      </c>
      <c r="B9" s="1">
        <v>1</v>
      </c>
      <c r="C9" s="57" t="str">
        <f>'Role Selection'!F6</f>
        <v>IT/JavaNetColdFusionIT/DeveloperJavaNetColdFusion/Junior</v>
      </c>
      <c r="D9" s="57">
        <f>'Role Selection'!HO6</f>
        <v>0</v>
      </c>
      <c r="E9" s="62" t="str">
        <f>'Role Selection'!H6</f>
        <v>B2 AP1 / B2 AP2 (0.6 to 3 yrs)</v>
      </c>
      <c r="F9" s="223"/>
      <c r="G9" s="223">
        <f t="shared" ref="G9:Q24" si="81">F9</f>
        <v>0</v>
      </c>
      <c r="H9" s="223">
        <f t="shared" si="81"/>
        <v>0</v>
      </c>
      <c r="I9" s="223">
        <f t="shared" si="81"/>
        <v>0</v>
      </c>
      <c r="J9" s="223">
        <f t="shared" si="81"/>
        <v>0</v>
      </c>
      <c r="K9" s="223">
        <f t="shared" si="81"/>
        <v>0</v>
      </c>
      <c r="L9" s="223">
        <f t="shared" si="81"/>
        <v>0</v>
      </c>
      <c r="M9" s="223">
        <f t="shared" si="81"/>
        <v>0</v>
      </c>
      <c r="N9" s="223">
        <f t="shared" si="81"/>
        <v>0</v>
      </c>
      <c r="O9" s="223">
        <f t="shared" si="81"/>
        <v>0</v>
      </c>
      <c r="P9" s="223">
        <f t="shared" si="81"/>
        <v>0</v>
      </c>
      <c r="Q9" s="223">
        <f t="shared" si="81"/>
        <v>0</v>
      </c>
      <c r="R9" s="223"/>
      <c r="S9" s="223">
        <f>+Q9</f>
        <v>0</v>
      </c>
      <c r="T9" s="223">
        <f t="shared" ref="T9:AD24" si="82">S9</f>
        <v>0</v>
      </c>
      <c r="U9" s="223">
        <f t="shared" si="82"/>
        <v>0</v>
      </c>
      <c r="V9" s="223">
        <f t="shared" si="82"/>
        <v>0</v>
      </c>
      <c r="W9" s="223">
        <f t="shared" si="82"/>
        <v>0</v>
      </c>
      <c r="X9" s="223">
        <f t="shared" si="82"/>
        <v>0</v>
      </c>
      <c r="Y9" s="223">
        <f t="shared" si="82"/>
        <v>0</v>
      </c>
      <c r="Z9" s="223">
        <f t="shared" si="82"/>
        <v>0</v>
      </c>
      <c r="AA9" s="223">
        <f t="shared" si="82"/>
        <v>0</v>
      </c>
      <c r="AB9" s="223">
        <f t="shared" si="82"/>
        <v>0</v>
      </c>
      <c r="AC9" s="223">
        <f t="shared" si="82"/>
        <v>0</v>
      </c>
      <c r="AD9" s="223">
        <f t="shared" si="82"/>
        <v>0</v>
      </c>
      <c r="AE9" s="223"/>
      <c r="AF9" s="223">
        <f>+AD9</f>
        <v>0</v>
      </c>
      <c r="AG9" s="223">
        <f t="shared" ref="AG9:AQ24" si="83">AF9</f>
        <v>0</v>
      </c>
      <c r="AH9" s="223">
        <f t="shared" si="83"/>
        <v>0</v>
      </c>
      <c r="AI9" s="223">
        <f t="shared" si="83"/>
        <v>0</v>
      </c>
      <c r="AJ9" s="223">
        <f t="shared" si="83"/>
        <v>0</v>
      </c>
      <c r="AK9" s="223">
        <f t="shared" si="83"/>
        <v>0</v>
      </c>
      <c r="AL9" s="223">
        <f t="shared" si="83"/>
        <v>0</v>
      </c>
      <c r="AM9" s="223">
        <f t="shared" si="83"/>
        <v>0</v>
      </c>
      <c r="AN9" s="223">
        <f t="shared" si="83"/>
        <v>0</v>
      </c>
      <c r="AO9" s="223">
        <f t="shared" si="83"/>
        <v>0</v>
      </c>
      <c r="AP9" s="223">
        <f t="shared" si="83"/>
        <v>0</v>
      </c>
      <c r="AQ9" s="223">
        <f t="shared" si="83"/>
        <v>0</v>
      </c>
      <c r="AR9" s="223"/>
      <c r="AS9" s="223">
        <f t="shared" ref="AS9:AS29" si="84">AQ9</f>
        <v>0</v>
      </c>
      <c r="AT9" s="223">
        <f t="shared" ref="AT9:BD24" si="85">AS9</f>
        <v>0</v>
      </c>
      <c r="AU9" s="223">
        <f t="shared" si="85"/>
        <v>0</v>
      </c>
      <c r="AV9" s="223">
        <f t="shared" si="85"/>
        <v>0</v>
      </c>
      <c r="AW9" s="223">
        <f t="shared" si="85"/>
        <v>0</v>
      </c>
      <c r="AX9" s="223">
        <f t="shared" si="85"/>
        <v>0</v>
      </c>
      <c r="AY9" s="223">
        <f t="shared" si="85"/>
        <v>0</v>
      </c>
      <c r="AZ9" s="223">
        <f t="shared" si="85"/>
        <v>0</v>
      </c>
      <c r="BA9" s="223">
        <f t="shared" si="85"/>
        <v>0</v>
      </c>
      <c r="BB9" s="223">
        <f t="shared" si="85"/>
        <v>0</v>
      </c>
      <c r="BC9" s="223">
        <f t="shared" si="85"/>
        <v>0</v>
      </c>
      <c r="BD9" s="223">
        <f t="shared" si="85"/>
        <v>0</v>
      </c>
      <c r="BE9" s="223"/>
      <c r="BF9" s="223">
        <f t="shared" ref="BF9:BF29" si="86">BD9</f>
        <v>0</v>
      </c>
      <c r="BG9" s="223">
        <f t="shared" ref="BG9:BQ24" si="87">BF9</f>
        <v>0</v>
      </c>
      <c r="BH9" s="223">
        <f t="shared" si="87"/>
        <v>0</v>
      </c>
      <c r="BI9" s="223">
        <f t="shared" si="87"/>
        <v>0</v>
      </c>
      <c r="BJ9" s="223">
        <f t="shared" si="87"/>
        <v>0</v>
      </c>
      <c r="BK9" s="223">
        <f t="shared" si="87"/>
        <v>0</v>
      </c>
      <c r="BL9" s="223">
        <f t="shared" si="87"/>
        <v>0</v>
      </c>
      <c r="BM9" s="223">
        <f t="shared" si="87"/>
        <v>0</v>
      </c>
      <c r="BN9" s="223">
        <f t="shared" si="87"/>
        <v>0</v>
      </c>
      <c r="BO9" s="223">
        <f t="shared" si="87"/>
        <v>0</v>
      </c>
      <c r="BP9" s="223">
        <f t="shared" si="87"/>
        <v>0</v>
      </c>
      <c r="BQ9" s="223">
        <f t="shared" si="87"/>
        <v>0</v>
      </c>
      <c r="BR9" s="223"/>
      <c r="BS9" s="223">
        <f t="shared" ref="BS9:BS29" si="88">BQ9</f>
        <v>0</v>
      </c>
      <c r="BT9" s="223">
        <f t="shared" ref="BT9:CD24" si="89">BS9</f>
        <v>0</v>
      </c>
      <c r="BU9" s="223">
        <f t="shared" si="89"/>
        <v>0</v>
      </c>
      <c r="BV9" s="223">
        <f t="shared" si="89"/>
        <v>0</v>
      </c>
      <c r="BW9" s="223">
        <f t="shared" si="89"/>
        <v>0</v>
      </c>
      <c r="BX9" s="223">
        <f t="shared" si="89"/>
        <v>0</v>
      </c>
      <c r="BY9" s="223">
        <f t="shared" si="89"/>
        <v>0</v>
      </c>
      <c r="BZ9" s="223">
        <f t="shared" si="89"/>
        <v>0</v>
      </c>
      <c r="CA9" s="223">
        <f t="shared" si="89"/>
        <v>0</v>
      </c>
      <c r="CB9" s="223">
        <f t="shared" si="89"/>
        <v>0</v>
      </c>
      <c r="CC9" s="223">
        <f t="shared" si="89"/>
        <v>0</v>
      </c>
      <c r="CD9" s="223">
        <f t="shared" si="89"/>
        <v>0</v>
      </c>
      <c r="CE9" s="389"/>
      <c r="CF9" s="223">
        <f t="shared" ref="CF9:CF29" si="90">CD9</f>
        <v>0</v>
      </c>
      <c r="CG9" s="223">
        <f t="shared" ref="CG9:CG29" si="91">CF9</f>
        <v>0</v>
      </c>
      <c r="CH9" s="223">
        <f t="shared" ref="CH9:CH29" si="92">CG9</f>
        <v>0</v>
      </c>
      <c r="CI9" s="223">
        <f t="shared" ref="CI9:CI29" si="93">CH9</f>
        <v>0</v>
      </c>
      <c r="CJ9" s="223">
        <f t="shared" ref="CJ9:CJ29" si="94">CI9</f>
        <v>0</v>
      </c>
      <c r="CK9" s="223">
        <f t="shared" ref="CK9:CK29" si="95">CJ9</f>
        <v>0</v>
      </c>
      <c r="CL9" s="223">
        <f t="shared" ref="CL9:CL29" si="96">CK9</f>
        <v>0</v>
      </c>
      <c r="CM9" s="223">
        <f t="shared" ref="CM9:CM29" si="97">CL9</f>
        <v>0</v>
      </c>
      <c r="CN9" s="223">
        <f t="shared" ref="CN9:CN29" si="98">CM9</f>
        <v>0</v>
      </c>
      <c r="CO9" s="223">
        <f t="shared" ref="CO9:CO29" si="99">CN9</f>
        <v>0</v>
      </c>
      <c r="CP9" s="223">
        <f t="shared" ref="CP9:CP29" si="100">CO9</f>
        <v>0</v>
      </c>
      <c r="CQ9" s="223">
        <f t="shared" ref="CQ9:CQ29" si="101">CP9</f>
        <v>0</v>
      </c>
      <c r="CR9" s="389"/>
      <c r="CS9" s="223">
        <f t="shared" ref="CS9:CS29" si="102">CQ9</f>
        <v>0</v>
      </c>
      <c r="CT9" s="223">
        <f t="shared" ref="CT9:CT29" si="103">CS9</f>
        <v>0</v>
      </c>
      <c r="CU9" s="223">
        <f t="shared" ref="CU9:CU29" si="104">CT9</f>
        <v>0</v>
      </c>
      <c r="CV9" s="223">
        <f t="shared" ref="CV9:CV29" si="105">CU9</f>
        <v>0</v>
      </c>
      <c r="CW9" s="223">
        <f t="shared" ref="CW9:CW29" si="106">CV9</f>
        <v>0</v>
      </c>
      <c r="CX9" s="223">
        <f t="shared" ref="CX9:CX29" si="107">CW9</f>
        <v>0</v>
      </c>
      <c r="CY9" s="223">
        <f t="shared" ref="CY9:CY29" si="108">CX9</f>
        <v>0</v>
      </c>
      <c r="CZ9" s="223">
        <f t="shared" ref="CZ9:CZ29" si="109">CY9</f>
        <v>0</v>
      </c>
      <c r="DA9" s="223">
        <f t="shared" ref="DA9:DA29" si="110">CZ9</f>
        <v>0</v>
      </c>
      <c r="DB9" s="223">
        <f t="shared" ref="DB9:DB29" si="111">DA9</f>
        <v>0</v>
      </c>
      <c r="DC9" s="223">
        <f t="shared" ref="DC9:DC29" si="112">DB9</f>
        <v>0</v>
      </c>
      <c r="DD9" s="223">
        <f t="shared" ref="DD9:DD29" si="113">DC9</f>
        <v>0</v>
      </c>
      <c r="DE9" s="389"/>
      <c r="DF9" s="223">
        <f t="shared" ref="DF9:DF29" si="114">DD9</f>
        <v>0</v>
      </c>
      <c r="DG9" s="223">
        <f t="shared" ref="DG9:DG29" si="115">DF9</f>
        <v>0</v>
      </c>
      <c r="DH9" s="223">
        <f t="shared" ref="DH9:DH29" si="116">DG9</f>
        <v>0</v>
      </c>
      <c r="DI9" s="223">
        <f t="shared" ref="DI9:DI29" si="117">DH9</f>
        <v>0</v>
      </c>
      <c r="DJ9" s="223">
        <f t="shared" ref="DJ9:DJ29" si="118">DI9</f>
        <v>0</v>
      </c>
      <c r="DK9" s="223">
        <f t="shared" ref="DK9:DK29" si="119">DJ9</f>
        <v>0</v>
      </c>
      <c r="DL9" s="223">
        <f t="shared" ref="DL9:DL29" si="120">DK9</f>
        <v>0</v>
      </c>
      <c r="DM9" s="223">
        <f t="shared" ref="DM9:DM29" si="121">DL9</f>
        <v>0</v>
      </c>
      <c r="DN9" s="223">
        <f t="shared" ref="DN9:DN29" si="122">DM9</f>
        <v>0</v>
      </c>
      <c r="DO9" s="223">
        <f t="shared" ref="DO9:DO29" si="123">DN9</f>
        <v>0</v>
      </c>
      <c r="DP9" s="223">
        <f t="shared" ref="DP9:DP29" si="124">DO9</f>
        <v>0</v>
      </c>
      <c r="DQ9" s="223">
        <f t="shared" ref="DQ9:DQ29" si="125">DP9</f>
        <v>0</v>
      </c>
      <c r="DR9" s="389"/>
      <c r="DS9" s="31">
        <f t="shared" ref="DS9:DS29" si="126">SUM(F9:Q9)+SUM(S9:AD9)+SUM(AF9:AQ9)+SUM(AS9:BD9)+SUM(BF9:BQ9)+SUM(BS9:CD9)+SUM(CF9:CQ9)+SUM(CS9:DD9)+SUM(DF9:DQ9)</f>
        <v>0</v>
      </c>
      <c r="DT9" s="390"/>
      <c r="DU9" s="9"/>
      <c r="DV9" s="8"/>
      <c r="DW9" s="7"/>
      <c r="DX9" s="7"/>
      <c r="DY9" s="7"/>
      <c r="DZ9" s="7"/>
      <c r="EA9" s="7"/>
      <c r="EB9" s="7"/>
      <c r="EC9" s="7"/>
    </row>
    <row r="10" spans="1:133">
      <c r="C10" s="57" t="str">
        <f>'Role Selection'!F7</f>
        <v>///</v>
      </c>
      <c r="D10" s="57">
        <f>'Role Selection'!HO7</f>
        <v>0</v>
      </c>
      <c r="E10" s="62">
        <f>'Role Selection'!H7</f>
        <v>0</v>
      </c>
      <c r="F10" s="223"/>
      <c r="G10" s="223">
        <f t="shared" si="81"/>
        <v>0</v>
      </c>
      <c r="H10" s="223">
        <f t="shared" si="81"/>
        <v>0</v>
      </c>
      <c r="I10" s="223">
        <f t="shared" si="81"/>
        <v>0</v>
      </c>
      <c r="J10" s="223">
        <f t="shared" si="81"/>
        <v>0</v>
      </c>
      <c r="K10" s="223">
        <f t="shared" si="81"/>
        <v>0</v>
      </c>
      <c r="L10" s="223">
        <f t="shared" si="81"/>
        <v>0</v>
      </c>
      <c r="M10" s="223">
        <f t="shared" si="81"/>
        <v>0</v>
      </c>
      <c r="N10" s="223">
        <f t="shared" si="81"/>
        <v>0</v>
      </c>
      <c r="O10" s="223">
        <f t="shared" si="81"/>
        <v>0</v>
      </c>
      <c r="P10" s="223">
        <f t="shared" si="81"/>
        <v>0</v>
      </c>
      <c r="Q10" s="223">
        <f t="shared" si="81"/>
        <v>0</v>
      </c>
      <c r="R10" s="223"/>
      <c r="S10" s="223">
        <f t="shared" ref="S10:S29" si="127">+Q10</f>
        <v>0</v>
      </c>
      <c r="T10" s="223">
        <f t="shared" si="82"/>
        <v>0</v>
      </c>
      <c r="U10" s="223">
        <f t="shared" si="82"/>
        <v>0</v>
      </c>
      <c r="V10" s="223">
        <f t="shared" si="82"/>
        <v>0</v>
      </c>
      <c r="W10" s="223">
        <f t="shared" si="82"/>
        <v>0</v>
      </c>
      <c r="X10" s="223">
        <f t="shared" si="82"/>
        <v>0</v>
      </c>
      <c r="Y10" s="223">
        <f t="shared" si="82"/>
        <v>0</v>
      </c>
      <c r="Z10" s="223">
        <f t="shared" si="82"/>
        <v>0</v>
      </c>
      <c r="AA10" s="223">
        <f t="shared" si="82"/>
        <v>0</v>
      </c>
      <c r="AB10" s="223">
        <f t="shared" si="82"/>
        <v>0</v>
      </c>
      <c r="AC10" s="223">
        <f t="shared" si="82"/>
        <v>0</v>
      </c>
      <c r="AD10" s="223">
        <f t="shared" si="82"/>
        <v>0</v>
      </c>
      <c r="AE10" s="223"/>
      <c r="AF10" s="223">
        <f t="shared" ref="AF10:AF29" si="128">AD10</f>
        <v>0</v>
      </c>
      <c r="AG10" s="223">
        <f t="shared" si="83"/>
        <v>0</v>
      </c>
      <c r="AH10" s="223">
        <f t="shared" si="83"/>
        <v>0</v>
      </c>
      <c r="AI10" s="223">
        <f t="shared" si="83"/>
        <v>0</v>
      </c>
      <c r="AJ10" s="223">
        <f t="shared" si="83"/>
        <v>0</v>
      </c>
      <c r="AK10" s="223">
        <f t="shared" si="83"/>
        <v>0</v>
      </c>
      <c r="AL10" s="223">
        <f t="shared" si="83"/>
        <v>0</v>
      </c>
      <c r="AM10" s="223">
        <f t="shared" si="83"/>
        <v>0</v>
      </c>
      <c r="AN10" s="223">
        <f t="shared" si="83"/>
        <v>0</v>
      </c>
      <c r="AO10" s="223">
        <f t="shared" si="83"/>
        <v>0</v>
      </c>
      <c r="AP10" s="223">
        <f t="shared" si="83"/>
        <v>0</v>
      </c>
      <c r="AQ10" s="223">
        <f t="shared" si="83"/>
        <v>0</v>
      </c>
      <c r="AR10" s="223"/>
      <c r="AS10" s="223">
        <f t="shared" si="84"/>
        <v>0</v>
      </c>
      <c r="AT10" s="223">
        <f t="shared" si="85"/>
        <v>0</v>
      </c>
      <c r="AU10" s="223">
        <f t="shared" si="85"/>
        <v>0</v>
      </c>
      <c r="AV10" s="223">
        <f t="shared" si="85"/>
        <v>0</v>
      </c>
      <c r="AW10" s="223">
        <f t="shared" si="85"/>
        <v>0</v>
      </c>
      <c r="AX10" s="223">
        <f t="shared" si="85"/>
        <v>0</v>
      </c>
      <c r="AY10" s="223">
        <f t="shared" si="85"/>
        <v>0</v>
      </c>
      <c r="AZ10" s="223">
        <f t="shared" si="85"/>
        <v>0</v>
      </c>
      <c r="BA10" s="223">
        <f t="shared" si="85"/>
        <v>0</v>
      </c>
      <c r="BB10" s="223">
        <f t="shared" si="85"/>
        <v>0</v>
      </c>
      <c r="BC10" s="223">
        <f t="shared" si="85"/>
        <v>0</v>
      </c>
      <c r="BD10" s="223">
        <f t="shared" si="85"/>
        <v>0</v>
      </c>
      <c r="BE10" s="223"/>
      <c r="BF10" s="223">
        <f t="shared" si="86"/>
        <v>0</v>
      </c>
      <c r="BG10" s="223">
        <f t="shared" si="87"/>
        <v>0</v>
      </c>
      <c r="BH10" s="223">
        <f t="shared" si="87"/>
        <v>0</v>
      </c>
      <c r="BI10" s="223">
        <f t="shared" si="87"/>
        <v>0</v>
      </c>
      <c r="BJ10" s="223">
        <f t="shared" si="87"/>
        <v>0</v>
      </c>
      <c r="BK10" s="223">
        <f t="shared" si="87"/>
        <v>0</v>
      </c>
      <c r="BL10" s="223">
        <f t="shared" si="87"/>
        <v>0</v>
      </c>
      <c r="BM10" s="223">
        <f t="shared" si="87"/>
        <v>0</v>
      </c>
      <c r="BN10" s="223">
        <f t="shared" si="87"/>
        <v>0</v>
      </c>
      <c r="BO10" s="223">
        <f t="shared" si="87"/>
        <v>0</v>
      </c>
      <c r="BP10" s="223">
        <f t="shared" si="87"/>
        <v>0</v>
      </c>
      <c r="BQ10" s="223">
        <f t="shared" si="87"/>
        <v>0</v>
      </c>
      <c r="BR10" s="223"/>
      <c r="BS10" s="223">
        <f t="shared" si="88"/>
        <v>0</v>
      </c>
      <c r="BT10" s="223">
        <f t="shared" si="89"/>
        <v>0</v>
      </c>
      <c r="BU10" s="223">
        <f t="shared" si="89"/>
        <v>0</v>
      </c>
      <c r="BV10" s="223">
        <f t="shared" si="89"/>
        <v>0</v>
      </c>
      <c r="BW10" s="223">
        <f t="shared" si="89"/>
        <v>0</v>
      </c>
      <c r="BX10" s="223">
        <f t="shared" si="89"/>
        <v>0</v>
      </c>
      <c r="BY10" s="223">
        <f t="shared" si="89"/>
        <v>0</v>
      </c>
      <c r="BZ10" s="223">
        <f t="shared" si="89"/>
        <v>0</v>
      </c>
      <c r="CA10" s="223">
        <f t="shared" si="89"/>
        <v>0</v>
      </c>
      <c r="CB10" s="223">
        <f t="shared" si="89"/>
        <v>0</v>
      </c>
      <c r="CC10" s="223">
        <f t="shared" si="89"/>
        <v>0</v>
      </c>
      <c r="CD10" s="223">
        <f t="shared" si="89"/>
        <v>0</v>
      </c>
      <c r="CE10" s="389"/>
      <c r="CF10" s="223">
        <f t="shared" si="90"/>
        <v>0</v>
      </c>
      <c r="CG10" s="223">
        <f t="shared" si="91"/>
        <v>0</v>
      </c>
      <c r="CH10" s="223">
        <f t="shared" si="92"/>
        <v>0</v>
      </c>
      <c r="CI10" s="223">
        <f t="shared" si="93"/>
        <v>0</v>
      </c>
      <c r="CJ10" s="223">
        <f t="shared" si="94"/>
        <v>0</v>
      </c>
      <c r="CK10" s="223">
        <f t="shared" si="95"/>
        <v>0</v>
      </c>
      <c r="CL10" s="223">
        <f t="shared" si="96"/>
        <v>0</v>
      </c>
      <c r="CM10" s="223">
        <f t="shared" si="97"/>
        <v>0</v>
      </c>
      <c r="CN10" s="223">
        <f t="shared" si="98"/>
        <v>0</v>
      </c>
      <c r="CO10" s="223">
        <f t="shared" si="99"/>
        <v>0</v>
      </c>
      <c r="CP10" s="223">
        <f t="shared" si="100"/>
        <v>0</v>
      </c>
      <c r="CQ10" s="223">
        <f t="shared" si="101"/>
        <v>0</v>
      </c>
      <c r="CR10" s="389"/>
      <c r="CS10" s="223">
        <f t="shared" si="102"/>
        <v>0</v>
      </c>
      <c r="CT10" s="223">
        <f t="shared" si="103"/>
        <v>0</v>
      </c>
      <c r="CU10" s="223">
        <f t="shared" si="104"/>
        <v>0</v>
      </c>
      <c r="CV10" s="223">
        <f t="shared" si="105"/>
        <v>0</v>
      </c>
      <c r="CW10" s="223">
        <f t="shared" si="106"/>
        <v>0</v>
      </c>
      <c r="CX10" s="223">
        <f t="shared" si="107"/>
        <v>0</v>
      </c>
      <c r="CY10" s="223">
        <f t="shared" si="108"/>
        <v>0</v>
      </c>
      <c r="CZ10" s="223">
        <f t="shared" si="109"/>
        <v>0</v>
      </c>
      <c r="DA10" s="223">
        <f t="shared" si="110"/>
        <v>0</v>
      </c>
      <c r="DB10" s="223">
        <f t="shared" si="111"/>
        <v>0</v>
      </c>
      <c r="DC10" s="223">
        <f t="shared" si="112"/>
        <v>0</v>
      </c>
      <c r="DD10" s="223">
        <f t="shared" si="113"/>
        <v>0</v>
      </c>
      <c r="DE10" s="389"/>
      <c r="DF10" s="223">
        <f t="shared" si="114"/>
        <v>0</v>
      </c>
      <c r="DG10" s="223">
        <f t="shared" si="115"/>
        <v>0</v>
      </c>
      <c r="DH10" s="223">
        <f t="shared" si="116"/>
        <v>0</v>
      </c>
      <c r="DI10" s="223">
        <f t="shared" si="117"/>
        <v>0</v>
      </c>
      <c r="DJ10" s="223">
        <f t="shared" si="118"/>
        <v>0</v>
      </c>
      <c r="DK10" s="223">
        <f t="shared" si="119"/>
        <v>0</v>
      </c>
      <c r="DL10" s="223">
        <f t="shared" si="120"/>
        <v>0</v>
      </c>
      <c r="DM10" s="223">
        <f t="shared" si="121"/>
        <v>0</v>
      </c>
      <c r="DN10" s="223">
        <f t="shared" si="122"/>
        <v>0</v>
      </c>
      <c r="DO10" s="223">
        <f t="shared" si="123"/>
        <v>0</v>
      </c>
      <c r="DP10" s="223">
        <f t="shared" si="124"/>
        <v>0</v>
      </c>
      <c r="DQ10" s="223">
        <f t="shared" si="125"/>
        <v>0</v>
      </c>
      <c r="DR10" s="389"/>
      <c r="DS10" s="31">
        <f t="shared" si="126"/>
        <v>0</v>
      </c>
      <c r="DT10" s="390"/>
      <c r="DU10" s="9"/>
      <c r="DV10" s="8"/>
      <c r="DW10" s="7"/>
      <c r="DX10" s="7"/>
      <c r="DY10" s="7"/>
      <c r="DZ10" s="7"/>
      <c r="EA10" s="7"/>
      <c r="EB10" s="7"/>
      <c r="EC10" s="7"/>
    </row>
    <row r="11" spans="1:133">
      <c r="A11" s="1">
        <v>1</v>
      </c>
      <c r="B11" s="1">
        <v>2</v>
      </c>
      <c r="C11" s="57" t="str">
        <f>'Role Selection'!F8</f>
        <v>///</v>
      </c>
      <c r="D11" s="57">
        <f>'Role Selection'!HO8</f>
        <v>0</v>
      </c>
      <c r="E11" s="62">
        <f>'Role Selection'!H8</f>
        <v>0</v>
      </c>
      <c r="F11" s="223"/>
      <c r="G11" s="223">
        <f t="shared" si="81"/>
        <v>0</v>
      </c>
      <c r="H11" s="223">
        <f t="shared" si="81"/>
        <v>0</v>
      </c>
      <c r="I11" s="223">
        <f t="shared" si="81"/>
        <v>0</v>
      </c>
      <c r="J11" s="223">
        <f t="shared" si="81"/>
        <v>0</v>
      </c>
      <c r="K11" s="223">
        <f t="shared" si="81"/>
        <v>0</v>
      </c>
      <c r="L11" s="223">
        <f t="shared" si="81"/>
        <v>0</v>
      </c>
      <c r="M11" s="223">
        <f t="shared" si="81"/>
        <v>0</v>
      </c>
      <c r="N11" s="223">
        <f t="shared" si="81"/>
        <v>0</v>
      </c>
      <c r="O11" s="223">
        <f t="shared" si="81"/>
        <v>0</v>
      </c>
      <c r="P11" s="223">
        <f t="shared" si="81"/>
        <v>0</v>
      </c>
      <c r="Q11" s="223">
        <f t="shared" si="81"/>
        <v>0</v>
      </c>
      <c r="R11" s="223"/>
      <c r="S11" s="223">
        <f t="shared" si="127"/>
        <v>0</v>
      </c>
      <c r="T11" s="223">
        <f t="shared" si="82"/>
        <v>0</v>
      </c>
      <c r="U11" s="223">
        <f t="shared" si="82"/>
        <v>0</v>
      </c>
      <c r="V11" s="223">
        <f t="shared" si="82"/>
        <v>0</v>
      </c>
      <c r="W11" s="223">
        <f t="shared" si="82"/>
        <v>0</v>
      </c>
      <c r="X11" s="223">
        <f t="shared" si="82"/>
        <v>0</v>
      </c>
      <c r="Y11" s="223">
        <f t="shared" si="82"/>
        <v>0</v>
      </c>
      <c r="Z11" s="223">
        <f t="shared" si="82"/>
        <v>0</v>
      </c>
      <c r="AA11" s="223">
        <f t="shared" si="82"/>
        <v>0</v>
      </c>
      <c r="AB11" s="223">
        <f t="shared" si="82"/>
        <v>0</v>
      </c>
      <c r="AC11" s="223">
        <f t="shared" si="82"/>
        <v>0</v>
      </c>
      <c r="AD11" s="223">
        <f t="shared" si="82"/>
        <v>0</v>
      </c>
      <c r="AE11" s="223"/>
      <c r="AF11" s="223">
        <f t="shared" si="128"/>
        <v>0</v>
      </c>
      <c r="AG11" s="223">
        <f t="shared" si="83"/>
        <v>0</v>
      </c>
      <c r="AH11" s="223">
        <f t="shared" si="83"/>
        <v>0</v>
      </c>
      <c r="AI11" s="223">
        <f t="shared" si="83"/>
        <v>0</v>
      </c>
      <c r="AJ11" s="223">
        <f t="shared" si="83"/>
        <v>0</v>
      </c>
      <c r="AK11" s="223">
        <f t="shared" si="83"/>
        <v>0</v>
      </c>
      <c r="AL11" s="223">
        <f t="shared" si="83"/>
        <v>0</v>
      </c>
      <c r="AM11" s="223">
        <f t="shared" si="83"/>
        <v>0</v>
      </c>
      <c r="AN11" s="223">
        <f t="shared" si="83"/>
        <v>0</v>
      </c>
      <c r="AO11" s="223">
        <f t="shared" si="83"/>
        <v>0</v>
      </c>
      <c r="AP11" s="223">
        <f t="shared" si="83"/>
        <v>0</v>
      </c>
      <c r="AQ11" s="223">
        <f t="shared" si="83"/>
        <v>0</v>
      </c>
      <c r="AR11" s="223"/>
      <c r="AS11" s="223">
        <f t="shared" si="84"/>
        <v>0</v>
      </c>
      <c r="AT11" s="223">
        <f t="shared" si="85"/>
        <v>0</v>
      </c>
      <c r="AU11" s="223">
        <f t="shared" si="85"/>
        <v>0</v>
      </c>
      <c r="AV11" s="223">
        <f t="shared" si="85"/>
        <v>0</v>
      </c>
      <c r="AW11" s="223">
        <f t="shared" si="85"/>
        <v>0</v>
      </c>
      <c r="AX11" s="223">
        <f t="shared" si="85"/>
        <v>0</v>
      </c>
      <c r="AY11" s="223">
        <f t="shared" si="85"/>
        <v>0</v>
      </c>
      <c r="AZ11" s="223">
        <f t="shared" si="85"/>
        <v>0</v>
      </c>
      <c r="BA11" s="223">
        <f t="shared" si="85"/>
        <v>0</v>
      </c>
      <c r="BB11" s="223">
        <f t="shared" si="85"/>
        <v>0</v>
      </c>
      <c r="BC11" s="223">
        <f t="shared" si="85"/>
        <v>0</v>
      </c>
      <c r="BD11" s="223">
        <f t="shared" si="85"/>
        <v>0</v>
      </c>
      <c r="BE11" s="223"/>
      <c r="BF11" s="223">
        <f t="shared" si="86"/>
        <v>0</v>
      </c>
      <c r="BG11" s="223">
        <f t="shared" si="87"/>
        <v>0</v>
      </c>
      <c r="BH11" s="223">
        <f t="shared" si="87"/>
        <v>0</v>
      </c>
      <c r="BI11" s="223">
        <f t="shared" si="87"/>
        <v>0</v>
      </c>
      <c r="BJ11" s="223">
        <f t="shared" si="87"/>
        <v>0</v>
      </c>
      <c r="BK11" s="223">
        <f t="shared" si="87"/>
        <v>0</v>
      </c>
      <c r="BL11" s="223">
        <f t="shared" si="87"/>
        <v>0</v>
      </c>
      <c r="BM11" s="223">
        <f t="shared" si="87"/>
        <v>0</v>
      </c>
      <c r="BN11" s="223">
        <f t="shared" si="87"/>
        <v>0</v>
      </c>
      <c r="BO11" s="223">
        <f t="shared" si="87"/>
        <v>0</v>
      </c>
      <c r="BP11" s="223">
        <f t="shared" si="87"/>
        <v>0</v>
      </c>
      <c r="BQ11" s="223">
        <f t="shared" si="87"/>
        <v>0</v>
      </c>
      <c r="BR11" s="223"/>
      <c r="BS11" s="223">
        <f t="shared" si="88"/>
        <v>0</v>
      </c>
      <c r="BT11" s="223">
        <f t="shared" si="89"/>
        <v>0</v>
      </c>
      <c r="BU11" s="223">
        <f t="shared" si="89"/>
        <v>0</v>
      </c>
      <c r="BV11" s="223">
        <f t="shared" si="89"/>
        <v>0</v>
      </c>
      <c r="BW11" s="223">
        <f t="shared" si="89"/>
        <v>0</v>
      </c>
      <c r="BX11" s="223">
        <f t="shared" si="89"/>
        <v>0</v>
      </c>
      <c r="BY11" s="223">
        <f t="shared" si="89"/>
        <v>0</v>
      </c>
      <c r="BZ11" s="223">
        <f t="shared" si="89"/>
        <v>0</v>
      </c>
      <c r="CA11" s="223">
        <f t="shared" si="89"/>
        <v>0</v>
      </c>
      <c r="CB11" s="223">
        <f t="shared" si="89"/>
        <v>0</v>
      </c>
      <c r="CC11" s="223">
        <f t="shared" si="89"/>
        <v>0</v>
      </c>
      <c r="CD11" s="223">
        <f t="shared" si="89"/>
        <v>0</v>
      </c>
      <c r="CE11" s="389"/>
      <c r="CF11" s="223">
        <f t="shared" si="90"/>
        <v>0</v>
      </c>
      <c r="CG11" s="223">
        <f t="shared" si="91"/>
        <v>0</v>
      </c>
      <c r="CH11" s="223">
        <f t="shared" si="92"/>
        <v>0</v>
      </c>
      <c r="CI11" s="223">
        <f t="shared" si="93"/>
        <v>0</v>
      </c>
      <c r="CJ11" s="223">
        <f t="shared" si="94"/>
        <v>0</v>
      </c>
      <c r="CK11" s="223">
        <f t="shared" si="95"/>
        <v>0</v>
      </c>
      <c r="CL11" s="223">
        <f t="shared" si="96"/>
        <v>0</v>
      </c>
      <c r="CM11" s="223">
        <f t="shared" si="97"/>
        <v>0</v>
      </c>
      <c r="CN11" s="223">
        <f t="shared" si="98"/>
        <v>0</v>
      </c>
      <c r="CO11" s="223">
        <f t="shared" si="99"/>
        <v>0</v>
      </c>
      <c r="CP11" s="223">
        <f t="shared" si="100"/>
        <v>0</v>
      </c>
      <c r="CQ11" s="223">
        <f t="shared" si="101"/>
        <v>0</v>
      </c>
      <c r="CR11" s="389"/>
      <c r="CS11" s="223">
        <f t="shared" si="102"/>
        <v>0</v>
      </c>
      <c r="CT11" s="223">
        <f t="shared" si="103"/>
        <v>0</v>
      </c>
      <c r="CU11" s="223">
        <f t="shared" si="104"/>
        <v>0</v>
      </c>
      <c r="CV11" s="223">
        <f t="shared" si="105"/>
        <v>0</v>
      </c>
      <c r="CW11" s="223">
        <f t="shared" si="106"/>
        <v>0</v>
      </c>
      <c r="CX11" s="223">
        <f t="shared" si="107"/>
        <v>0</v>
      </c>
      <c r="CY11" s="223">
        <f t="shared" si="108"/>
        <v>0</v>
      </c>
      <c r="CZ11" s="223">
        <f t="shared" si="109"/>
        <v>0</v>
      </c>
      <c r="DA11" s="223">
        <f t="shared" si="110"/>
        <v>0</v>
      </c>
      <c r="DB11" s="223">
        <f t="shared" si="111"/>
        <v>0</v>
      </c>
      <c r="DC11" s="223">
        <f t="shared" si="112"/>
        <v>0</v>
      </c>
      <c r="DD11" s="223">
        <f t="shared" si="113"/>
        <v>0</v>
      </c>
      <c r="DE11" s="389"/>
      <c r="DF11" s="223">
        <f t="shared" si="114"/>
        <v>0</v>
      </c>
      <c r="DG11" s="223">
        <f t="shared" si="115"/>
        <v>0</v>
      </c>
      <c r="DH11" s="223">
        <f t="shared" si="116"/>
        <v>0</v>
      </c>
      <c r="DI11" s="223">
        <f t="shared" si="117"/>
        <v>0</v>
      </c>
      <c r="DJ11" s="223">
        <f t="shared" si="118"/>
        <v>0</v>
      </c>
      <c r="DK11" s="223">
        <f t="shared" si="119"/>
        <v>0</v>
      </c>
      <c r="DL11" s="223">
        <f t="shared" si="120"/>
        <v>0</v>
      </c>
      <c r="DM11" s="223">
        <f t="shared" si="121"/>
        <v>0</v>
      </c>
      <c r="DN11" s="223">
        <f t="shared" si="122"/>
        <v>0</v>
      </c>
      <c r="DO11" s="223">
        <f t="shared" si="123"/>
        <v>0</v>
      </c>
      <c r="DP11" s="223">
        <f t="shared" si="124"/>
        <v>0</v>
      </c>
      <c r="DQ11" s="223">
        <f t="shared" si="125"/>
        <v>0</v>
      </c>
      <c r="DR11" s="389"/>
      <c r="DS11" s="31">
        <f t="shared" si="126"/>
        <v>0</v>
      </c>
      <c r="DT11" s="390"/>
      <c r="DU11" s="9"/>
      <c r="DV11" s="8"/>
      <c r="DW11" s="7"/>
      <c r="DX11" s="7"/>
      <c r="DY11" s="7"/>
      <c r="DZ11" s="7"/>
      <c r="EA11" s="7"/>
      <c r="EB11" s="7"/>
      <c r="EC11" s="7"/>
    </row>
    <row r="12" spans="1:133">
      <c r="C12" s="57" t="str">
        <f>'Role Selection'!F9</f>
        <v>///</v>
      </c>
      <c r="D12" s="57">
        <f>'Role Selection'!HO9</f>
        <v>0</v>
      </c>
      <c r="E12" s="62">
        <f>'Role Selection'!H9</f>
        <v>0</v>
      </c>
      <c r="F12" s="223"/>
      <c r="G12" s="223">
        <f t="shared" si="81"/>
        <v>0</v>
      </c>
      <c r="H12" s="223">
        <f t="shared" si="81"/>
        <v>0</v>
      </c>
      <c r="I12" s="223">
        <f t="shared" si="81"/>
        <v>0</v>
      </c>
      <c r="J12" s="223">
        <f t="shared" si="81"/>
        <v>0</v>
      </c>
      <c r="K12" s="223">
        <f t="shared" si="81"/>
        <v>0</v>
      </c>
      <c r="L12" s="223">
        <f t="shared" si="81"/>
        <v>0</v>
      </c>
      <c r="M12" s="223">
        <f t="shared" si="81"/>
        <v>0</v>
      </c>
      <c r="N12" s="223">
        <f t="shared" si="81"/>
        <v>0</v>
      </c>
      <c r="O12" s="223">
        <f t="shared" si="81"/>
        <v>0</v>
      </c>
      <c r="P12" s="223">
        <f t="shared" si="81"/>
        <v>0</v>
      </c>
      <c r="Q12" s="223">
        <f t="shared" si="81"/>
        <v>0</v>
      </c>
      <c r="R12" s="223"/>
      <c r="S12" s="223">
        <f t="shared" si="127"/>
        <v>0</v>
      </c>
      <c r="T12" s="223">
        <f t="shared" si="82"/>
        <v>0</v>
      </c>
      <c r="U12" s="223">
        <f t="shared" si="82"/>
        <v>0</v>
      </c>
      <c r="V12" s="223">
        <f t="shared" si="82"/>
        <v>0</v>
      </c>
      <c r="W12" s="223">
        <f t="shared" si="82"/>
        <v>0</v>
      </c>
      <c r="X12" s="223">
        <f t="shared" si="82"/>
        <v>0</v>
      </c>
      <c r="Y12" s="223">
        <f t="shared" si="82"/>
        <v>0</v>
      </c>
      <c r="Z12" s="223">
        <f t="shared" si="82"/>
        <v>0</v>
      </c>
      <c r="AA12" s="223">
        <f t="shared" si="82"/>
        <v>0</v>
      </c>
      <c r="AB12" s="223">
        <f t="shared" si="82"/>
        <v>0</v>
      </c>
      <c r="AC12" s="223">
        <f t="shared" si="82"/>
        <v>0</v>
      </c>
      <c r="AD12" s="223">
        <f t="shared" si="82"/>
        <v>0</v>
      </c>
      <c r="AE12" s="223"/>
      <c r="AF12" s="223">
        <f t="shared" si="128"/>
        <v>0</v>
      </c>
      <c r="AG12" s="223">
        <f t="shared" si="83"/>
        <v>0</v>
      </c>
      <c r="AH12" s="223">
        <f t="shared" si="83"/>
        <v>0</v>
      </c>
      <c r="AI12" s="223">
        <f t="shared" si="83"/>
        <v>0</v>
      </c>
      <c r="AJ12" s="223">
        <f t="shared" si="83"/>
        <v>0</v>
      </c>
      <c r="AK12" s="223">
        <f t="shared" si="83"/>
        <v>0</v>
      </c>
      <c r="AL12" s="223">
        <f t="shared" si="83"/>
        <v>0</v>
      </c>
      <c r="AM12" s="223">
        <f t="shared" si="83"/>
        <v>0</v>
      </c>
      <c r="AN12" s="223">
        <f t="shared" si="83"/>
        <v>0</v>
      </c>
      <c r="AO12" s="223">
        <f t="shared" si="83"/>
        <v>0</v>
      </c>
      <c r="AP12" s="223">
        <f t="shared" si="83"/>
        <v>0</v>
      </c>
      <c r="AQ12" s="223">
        <f t="shared" si="83"/>
        <v>0</v>
      </c>
      <c r="AR12" s="223"/>
      <c r="AS12" s="223">
        <f t="shared" si="84"/>
        <v>0</v>
      </c>
      <c r="AT12" s="223">
        <f t="shared" si="85"/>
        <v>0</v>
      </c>
      <c r="AU12" s="223">
        <f t="shared" si="85"/>
        <v>0</v>
      </c>
      <c r="AV12" s="223">
        <f t="shared" si="85"/>
        <v>0</v>
      </c>
      <c r="AW12" s="223">
        <f t="shared" si="85"/>
        <v>0</v>
      </c>
      <c r="AX12" s="223">
        <f t="shared" si="85"/>
        <v>0</v>
      </c>
      <c r="AY12" s="223">
        <f t="shared" si="85"/>
        <v>0</v>
      </c>
      <c r="AZ12" s="223">
        <f t="shared" si="85"/>
        <v>0</v>
      </c>
      <c r="BA12" s="223">
        <f t="shared" si="85"/>
        <v>0</v>
      </c>
      <c r="BB12" s="223">
        <f t="shared" si="85"/>
        <v>0</v>
      </c>
      <c r="BC12" s="223">
        <f t="shared" si="85"/>
        <v>0</v>
      </c>
      <c r="BD12" s="223">
        <f t="shared" si="85"/>
        <v>0</v>
      </c>
      <c r="BE12" s="223"/>
      <c r="BF12" s="223">
        <f t="shared" si="86"/>
        <v>0</v>
      </c>
      <c r="BG12" s="223">
        <f t="shared" si="87"/>
        <v>0</v>
      </c>
      <c r="BH12" s="223">
        <f t="shared" si="87"/>
        <v>0</v>
      </c>
      <c r="BI12" s="223">
        <f t="shared" si="87"/>
        <v>0</v>
      </c>
      <c r="BJ12" s="223">
        <f t="shared" si="87"/>
        <v>0</v>
      </c>
      <c r="BK12" s="223">
        <f t="shared" si="87"/>
        <v>0</v>
      </c>
      <c r="BL12" s="223">
        <f t="shared" si="87"/>
        <v>0</v>
      </c>
      <c r="BM12" s="223">
        <f t="shared" si="87"/>
        <v>0</v>
      </c>
      <c r="BN12" s="223">
        <f t="shared" si="87"/>
        <v>0</v>
      </c>
      <c r="BO12" s="223">
        <f t="shared" si="87"/>
        <v>0</v>
      </c>
      <c r="BP12" s="223">
        <f t="shared" si="87"/>
        <v>0</v>
      </c>
      <c r="BQ12" s="223">
        <f t="shared" si="87"/>
        <v>0</v>
      </c>
      <c r="BR12" s="223"/>
      <c r="BS12" s="223">
        <f t="shared" si="88"/>
        <v>0</v>
      </c>
      <c r="BT12" s="223">
        <f t="shared" si="89"/>
        <v>0</v>
      </c>
      <c r="BU12" s="223">
        <f t="shared" si="89"/>
        <v>0</v>
      </c>
      <c r="BV12" s="223">
        <f t="shared" si="89"/>
        <v>0</v>
      </c>
      <c r="BW12" s="223">
        <f t="shared" si="89"/>
        <v>0</v>
      </c>
      <c r="BX12" s="223">
        <f t="shared" si="89"/>
        <v>0</v>
      </c>
      <c r="BY12" s="223">
        <f t="shared" si="89"/>
        <v>0</v>
      </c>
      <c r="BZ12" s="223">
        <f t="shared" si="89"/>
        <v>0</v>
      </c>
      <c r="CA12" s="223">
        <f t="shared" si="89"/>
        <v>0</v>
      </c>
      <c r="CB12" s="223">
        <f t="shared" si="89"/>
        <v>0</v>
      </c>
      <c r="CC12" s="223">
        <f t="shared" si="89"/>
        <v>0</v>
      </c>
      <c r="CD12" s="223">
        <f t="shared" si="89"/>
        <v>0</v>
      </c>
      <c r="CE12" s="389"/>
      <c r="CF12" s="223">
        <f t="shared" si="90"/>
        <v>0</v>
      </c>
      <c r="CG12" s="223">
        <f t="shared" si="91"/>
        <v>0</v>
      </c>
      <c r="CH12" s="223">
        <f t="shared" si="92"/>
        <v>0</v>
      </c>
      <c r="CI12" s="223">
        <f t="shared" si="93"/>
        <v>0</v>
      </c>
      <c r="CJ12" s="223">
        <f t="shared" si="94"/>
        <v>0</v>
      </c>
      <c r="CK12" s="223">
        <f t="shared" si="95"/>
        <v>0</v>
      </c>
      <c r="CL12" s="223">
        <f t="shared" si="96"/>
        <v>0</v>
      </c>
      <c r="CM12" s="223">
        <f t="shared" si="97"/>
        <v>0</v>
      </c>
      <c r="CN12" s="223">
        <f t="shared" si="98"/>
        <v>0</v>
      </c>
      <c r="CO12" s="223">
        <f t="shared" si="99"/>
        <v>0</v>
      </c>
      <c r="CP12" s="223">
        <f t="shared" si="100"/>
        <v>0</v>
      </c>
      <c r="CQ12" s="223">
        <f t="shared" si="101"/>
        <v>0</v>
      </c>
      <c r="CR12" s="389"/>
      <c r="CS12" s="223">
        <f t="shared" si="102"/>
        <v>0</v>
      </c>
      <c r="CT12" s="223">
        <f t="shared" si="103"/>
        <v>0</v>
      </c>
      <c r="CU12" s="223">
        <f t="shared" si="104"/>
        <v>0</v>
      </c>
      <c r="CV12" s="223">
        <f t="shared" si="105"/>
        <v>0</v>
      </c>
      <c r="CW12" s="223">
        <f t="shared" si="106"/>
        <v>0</v>
      </c>
      <c r="CX12" s="223">
        <f t="shared" si="107"/>
        <v>0</v>
      </c>
      <c r="CY12" s="223">
        <f t="shared" si="108"/>
        <v>0</v>
      </c>
      <c r="CZ12" s="223">
        <f t="shared" si="109"/>
        <v>0</v>
      </c>
      <c r="DA12" s="223">
        <f t="shared" si="110"/>
        <v>0</v>
      </c>
      <c r="DB12" s="223">
        <f t="shared" si="111"/>
        <v>0</v>
      </c>
      <c r="DC12" s="223">
        <f t="shared" si="112"/>
        <v>0</v>
      </c>
      <c r="DD12" s="223">
        <f t="shared" si="113"/>
        <v>0</v>
      </c>
      <c r="DE12" s="389"/>
      <c r="DF12" s="223">
        <f t="shared" si="114"/>
        <v>0</v>
      </c>
      <c r="DG12" s="223">
        <f t="shared" si="115"/>
        <v>0</v>
      </c>
      <c r="DH12" s="223">
        <f t="shared" si="116"/>
        <v>0</v>
      </c>
      <c r="DI12" s="223">
        <f t="shared" si="117"/>
        <v>0</v>
      </c>
      <c r="DJ12" s="223">
        <f t="shared" si="118"/>
        <v>0</v>
      </c>
      <c r="DK12" s="223">
        <f t="shared" si="119"/>
        <v>0</v>
      </c>
      <c r="DL12" s="223">
        <f t="shared" si="120"/>
        <v>0</v>
      </c>
      <c r="DM12" s="223">
        <f t="shared" si="121"/>
        <v>0</v>
      </c>
      <c r="DN12" s="223">
        <f t="shared" si="122"/>
        <v>0</v>
      </c>
      <c r="DO12" s="223">
        <f t="shared" si="123"/>
        <v>0</v>
      </c>
      <c r="DP12" s="223">
        <f t="shared" si="124"/>
        <v>0</v>
      </c>
      <c r="DQ12" s="223">
        <f t="shared" si="125"/>
        <v>0</v>
      </c>
      <c r="DR12" s="389"/>
      <c r="DS12" s="31">
        <f t="shared" si="126"/>
        <v>0</v>
      </c>
      <c r="DT12" s="390"/>
      <c r="DU12" s="9"/>
      <c r="DV12" s="8"/>
      <c r="DW12" s="7"/>
      <c r="DX12" s="7"/>
      <c r="DY12" s="7"/>
      <c r="DZ12" s="7"/>
      <c r="EA12" s="7"/>
      <c r="EB12" s="7"/>
      <c r="EC12" s="7"/>
    </row>
    <row r="13" spans="1:133">
      <c r="A13" s="1">
        <v>1</v>
      </c>
      <c r="B13" s="1">
        <v>3</v>
      </c>
      <c r="C13" s="57" t="str">
        <f>'Role Selection'!F10</f>
        <v>///</v>
      </c>
      <c r="D13" s="57">
        <f>'Role Selection'!HO10</f>
        <v>0</v>
      </c>
      <c r="E13" s="62">
        <f>'Role Selection'!H10</f>
        <v>0</v>
      </c>
      <c r="F13" s="223"/>
      <c r="G13" s="223">
        <f t="shared" si="81"/>
        <v>0</v>
      </c>
      <c r="H13" s="223">
        <f t="shared" si="81"/>
        <v>0</v>
      </c>
      <c r="I13" s="223">
        <f t="shared" si="81"/>
        <v>0</v>
      </c>
      <c r="J13" s="223">
        <f t="shared" si="81"/>
        <v>0</v>
      </c>
      <c r="K13" s="223">
        <f t="shared" si="81"/>
        <v>0</v>
      </c>
      <c r="L13" s="223">
        <f t="shared" si="81"/>
        <v>0</v>
      </c>
      <c r="M13" s="223">
        <f t="shared" si="81"/>
        <v>0</v>
      </c>
      <c r="N13" s="223">
        <f t="shared" si="81"/>
        <v>0</v>
      </c>
      <c r="O13" s="223">
        <f t="shared" si="81"/>
        <v>0</v>
      </c>
      <c r="P13" s="223">
        <f t="shared" si="81"/>
        <v>0</v>
      </c>
      <c r="Q13" s="223">
        <f t="shared" si="81"/>
        <v>0</v>
      </c>
      <c r="R13" s="223"/>
      <c r="S13" s="223">
        <f t="shared" si="127"/>
        <v>0</v>
      </c>
      <c r="T13" s="223">
        <f t="shared" si="82"/>
        <v>0</v>
      </c>
      <c r="U13" s="223">
        <f t="shared" si="82"/>
        <v>0</v>
      </c>
      <c r="V13" s="223">
        <f t="shared" si="82"/>
        <v>0</v>
      </c>
      <c r="W13" s="223">
        <f t="shared" si="82"/>
        <v>0</v>
      </c>
      <c r="X13" s="223">
        <f t="shared" si="82"/>
        <v>0</v>
      </c>
      <c r="Y13" s="223">
        <f t="shared" si="82"/>
        <v>0</v>
      </c>
      <c r="Z13" s="223">
        <f t="shared" si="82"/>
        <v>0</v>
      </c>
      <c r="AA13" s="223">
        <f t="shared" si="82"/>
        <v>0</v>
      </c>
      <c r="AB13" s="223">
        <f t="shared" si="82"/>
        <v>0</v>
      </c>
      <c r="AC13" s="223">
        <f t="shared" si="82"/>
        <v>0</v>
      </c>
      <c r="AD13" s="223">
        <f t="shared" si="82"/>
        <v>0</v>
      </c>
      <c r="AE13" s="223"/>
      <c r="AF13" s="223">
        <f t="shared" si="128"/>
        <v>0</v>
      </c>
      <c r="AG13" s="223">
        <f t="shared" si="83"/>
        <v>0</v>
      </c>
      <c r="AH13" s="223">
        <f t="shared" si="83"/>
        <v>0</v>
      </c>
      <c r="AI13" s="223">
        <f t="shared" si="83"/>
        <v>0</v>
      </c>
      <c r="AJ13" s="223">
        <f t="shared" si="83"/>
        <v>0</v>
      </c>
      <c r="AK13" s="223">
        <f t="shared" si="83"/>
        <v>0</v>
      </c>
      <c r="AL13" s="223">
        <f t="shared" si="83"/>
        <v>0</v>
      </c>
      <c r="AM13" s="223">
        <f t="shared" si="83"/>
        <v>0</v>
      </c>
      <c r="AN13" s="223">
        <f t="shared" si="83"/>
        <v>0</v>
      </c>
      <c r="AO13" s="223">
        <f t="shared" si="83"/>
        <v>0</v>
      </c>
      <c r="AP13" s="223">
        <f t="shared" si="83"/>
        <v>0</v>
      </c>
      <c r="AQ13" s="223">
        <f t="shared" si="83"/>
        <v>0</v>
      </c>
      <c r="AR13" s="223"/>
      <c r="AS13" s="223">
        <f t="shared" si="84"/>
        <v>0</v>
      </c>
      <c r="AT13" s="223">
        <f t="shared" si="85"/>
        <v>0</v>
      </c>
      <c r="AU13" s="223">
        <f t="shared" si="85"/>
        <v>0</v>
      </c>
      <c r="AV13" s="223">
        <f t="shared" si="85"/>
        <v>0</v>
      </c>
      <c r="AW13" s="223">
        <f t="shared" si="85"/>
        <v>0</v>
      </c>
      <c r="AX13" s="223">
        <f t="shared" si="85"/>
        <v>0</v>
      </c>
      <c r="AY13" s="223">
        <f t="shared" si="85"/>
        <v>0</v>
      </c>
      <c r="AZ13" s="223">
        <f t="shared" si="85"/>
        <v>0</v>
      </c>
      <c r="BA13" s="223">
        <f t="shared" si="85"/>
        <v>0</v>
      </c>
      <c r="BB13" s="223">
        <f t="shared" si="85"/>
        <v>0</v>
      </c>
      <c r="BC13" s="223">
        <f t="shared" si="85"/>
        <v>0</v>
      </c>
      <c r="BD13" s="223">
        <f t="shared" si="85"/>
        <v>0</v>
      </c>
      <c r="BE13" s="223"/>
      <c r="BF13" s="223">
        <f t="shared" si="86"/>
        <v>0</v>
      </c>
      <c r="BG13" s="223">
        <f t="shared" si="87"/>
        <v>0</v>
      </c>
      <c r="BH13" s="223">
        <f t="shared" si="87"/>
        <v>0</v>
      </c>
      <c r="BI13" s="223">
        <f t="shared" si="87"/>
        <v>0</v>
      </c>
      <c r="BJ13" s="223">
        <f t="shared" si="87"/>
        <v>0</v>
      </c>
      <c r="BK13" s="223">
        <f t="shared" si="87"/>
        <v>0</v>
      </c>
      <c r="BL13" s="223">
        <f t="shared" si="87"/>
        <v>0</v>
      </c>
      <c r="BM13" s="223">
        <f t="shared" si="87"/>
        <v>0</v>
      </c>
      <c r="BN13" s="223">
        <f t="shared" si="87"/>
        <v>0</v>
      </c>
      <c r="BO13" s="223">
        <f t="shared" si="87"/>
        <v>0</v>
      </c>
      <c r="BP13" s="223">
        <f t="shared" si="87"/>
        <v>0</v>
      </c>
      <c r="BQ13" s="223">
        <f t="shared" si="87"/>
        <v>0</v>
      </c>
      <c r="BR13" s="223"/>
      <c r="BS13" s="223">
        <f t="shared" si="88"/>
        <v>0</v>
      </c>
      <c r="BT13" s="223">
        <f t="shared" si="89"/>
        <v>0</v>
      </c>
      <c r="BU13" s="223">
        <f t="shared" si="89"/>
        <v>0</v>
      </c>
      <c r="BV13" s="223">
        <f t="shared" si="89"/>
        <v>0</v>
      </c>
      <c r="BW13" s="223">
        <f t="shared" si="89"/>
        <v>0</v>
      </c>
      <c r="BX13" s="223">
        <f t="shared" si="89"/>
        <v>0</v>
      </c>
      <c r="BY13" s="223">
        <f t="shared" si="89"/>
        <v>0</v>
      </c>
      <c r="BZ13" s="223">
        <f t="shared" si="89"/>
        <v>0</v>
      </c>
      <c r="CA13" s="223">
        <f t="shared" si="89"/>
        <v>0</v>
      </c>
      <c r="CB13" s="223">
        <f t="shared" si="89"/>
        <v>0</v>
      </c>
      <c r="CC13" s="223">
        <f t="shared" si="89"/>
        <v>0</v>
      </c>
      <c r="CD13" s="223">
        <f t="shared" si="89"/>
        <v>0</v>
      </c>
      <c r="CE13" s="389"/>
      <c r="CF13" s="223">
        <f t="shared" si="90"/>
        <v>0</v>
      </c>
      <c r="CG13" s="223">
        <f t="shared" si="91"/>
        <v>0</v>
      </c>
      <c r="CH13" s="223">
        <f t="shared" si="92"/>
        <v>0</v>
      </c>
      <c r="CI13" s="223">
        <f t="shared" si="93"/>
        <v>0</v>
      </c>
      <c r="CJ13" s="223">
        <f t="shared" si="94"/>
        <v>0</v>
      </c>
      <c r="CK13" s="223">
        <f t="shared" si="95"/>
        <v>0</v>
      </c>
      <c r="CL13" s="223">
        <f t="shared" si="96"/>
        <v>0</v>
      </c>
      <c r="CM13" s="223">
        <f t="shared" si="97"/>
        <v>0</v>
      </c>
      <c r="CN13" s="223">
        <f t="shared" si="98"/>
        <v>0</v>
      </c>
      <c r="CO13" s="223">
        <f t="shared" si="99"/>
        <v>0</v>
      </c>
      <c r="CP13" s="223">
        <f t="shared" si="100"/>
        <v>0</v>
      </c>
      <c r="CQ13" s="223">
        <f t="shared" si="101"/>
        <v>0</v>
      </c>
      <c r="CR13" s="389"/>
      <c r="CS13" s="223">
        <f t="shared" si="102"/>
        <v>0</v>
      </c>
      <c r="CT13" s="223">
        <f t="shared" si="103"/>
        <v>0</v>
      </c>
      <c r="CU13" s="223">
        <f t="shared" si="104"/>
        <v>0</v>
      </c>
      <c r="CV13" s="223">
        <f t="shared" si="105"/>
        <v>0</v>
      </c>
      <c r="CW13" s="223">
        <f t="shared" si="106"/>
        <v>0</v>
      </c>
      <c r="CX13" s="223">
        <f t="shared" si="107"/>
        <v>0</v>
      </c>
      <c r="CY13" s="223">
        <f t="shared" si="108"/>
        <v>0</v>
      </c>
      <c r="CZ13" s="223">
        <f t="shared" si="109"/>
        <v>0</v>
      </c>
      <c r="DA13" s="223">
        <f t="shared" si="110"/>
        <v>0</v>
      </c>
      <c r="DB13" s="223">
        <f t="shared" si="111"/>
        <v>0</v>
      </c>
      <c r="DC13" s="223">
        <f t="shared" si="112"/>
        <v>0</v>
      </c>
      <c r="DD13" s="223">
        <f t="shared" si="113"/>
        <v>0</v>
      </c>
      <c r="DE13" s="389"/>
      <c r="DF13" s="223">
        <f t="shared" si="114"/>
        <v>0</v>
      </c>
      <c r="DG13" s="223">
        <f t="shared" si="115"/>
        <v>0</v>
      </c>
      <c r="DH13" s="223">
        <f t="shared" si="116"/>
        <v>0</v>
      </c>
      <c r="DI13" s="223">
        <f t="shared" si="117"/>
        <v>0</v>
      </c>
      <c r="DJ13" s="223">
        <f t="shared" si="118"/>
        <v>0</v>
      </c>
      <c r="DK13" s="223">
        <f t="shared" si="119"/>
        <v>0</v>
      </c>
      <c r="DL13" s="223">
        <f t="shared" si="120"/>
        <v>0</v>
      </c>
      <c r="DM13" s="223">
        <f t="shared" si="121"/>
        <v>0</v>
      </c>
      <c r="DN13" s="223">
        <f t="shared" si="122"/>
        <v>0</v>
      </c>
      <c r="DO13" s="223">
        <f t="shared" si="123"/>
        <v>0</v>
      </c>
      <c r="DP13" s="223">
        <f t="shared" si="124"/>
        <v>0</v>
      </c>
      <c r="DQ13" s="223">
        <f t="shared" si="125"/>
        <v>0</v>
      </c>
      <c r="DR13" s="389"/>
      <c r="DS13" s="31">
        <f t="shared" si="126"/>
        <v>0</v>
      </c>
      <c r="DT13" s="390"/>
      <c r="DU13" s="9"/>
      <c r="DV13" s="8"/>
      <c r="DW13" s="7"/>
      <c r="DX13" s="7"/>
      <c r="DY13" s="7"/>
      <c r="DZ13" s="7"/>
      <c r="EA13" s="7"/>
      <c r="EB13" s="7"/>
      <c r="EC13" s="7"/>
    </row>
    <row r="14" spans="1:133">
      <c r="C14" s="57" t="str">
        <f>'Role Selection'!F11</f>
        <v>///</v>
      </c>
      <c r="D14" s="57">
        <f>'Role Selection'!HO11</f>
        <v>0</v>
      </c>
      <c r="E14" s="62">
        <f>'Role Selection'!H11</f>
        <v>0</v>
      </c>
      <c r="F14" s="223"/>
      <c r="G14" s="223">
        <f t="shared" si="81"/>
        <v>0</v>
      </c>
      <c r="H14" s="223">
        <f t="shared" si="81"/>
        <v>0</v>
      </c>
      <c r="I14" s="223">
        <f t="shared" si="81"/>
        <v>0</v>
      </c>
      <c r="J14" s="223">
        <f t="shared" si="81"/>
        <v>0</v>
      </c>
      <c r="K14" s="223">
        <f t="shared" si="81"/>
        <v>0</v>
      </c>
      <c r="L14" s="223">
        <f t="shared" si="81"/>
        <v>0</v>
      </c>
      <c r="M14" s="223">
        <f t="shared" si="81"/>
        <v>0</v>
      </c>
      <c r="N14" s="223">
        <f t="shared" si="81"/>
        <v>0</v>
      </c>
      <c r="O14" s="223">
        <f t="shared" si="81"/>
        <v>0</v>
      </c>
      <c r="P14" s="223">
        <f t="shared" si="81"/>
        <v>0</v>
      </c>
      <c r="Q14" s="223">
        <f t="shared" si="81"/>
        <v>0</v>
      </c>
      <c r="R14" s="223"/>
      <c r="S14" s="223">
        <f t="shared" si="127"/>
        <v>0</v>
      </c>
      <c r="T14" s="223">
        <f t="shared" si="82"/>
        <v>0</v>
      </c>
      <c r="U14" s="223">
        <f t="shared" si="82"/>
        <v>0</v>
      </c>
      <c r="V14" s="223">
        <f t="shared" si="82"/>
        <v>0</v>
      </c>
      <c r="W14" s="223">
        <f t="shared" si="82"/>
        <v>0</v>
      </c>
      <c r="X14" s="223">
        <f t="shared" si="82"/>
        <v>0</v>
      </c>
      <c r="Y14" s="223">
        <f t="shared" si="82"/>
        <v>0</v>
      </c>
      <c r="Z14" s="223">
        <f t="shared" si="82"/>
        <v>0</v>
      </c>
      <c r="AA14" s="223">
        <f t="shared" si="82"/>
        <v>0</v>
      </c>
      <c r="AB14" s="223">
        <f t="shared" si="82"/>
        <v>0</v>
      </c>
      <c r="AC14" s="223">
        <f t="shared" si="82"/>
        <v>0</v>
      </c>
      <c r="AD14" s="223">
        <f t="shared" si="82"/>
        <v>0</v>
      </c>
      <c r="AE14" s="223"/>
      <c r="AF14" s="223">
        <f t="shared" si="128"/>
        <v>0</v>
      </c>
      <c r="AG14" s="223">
        <f t="shared" si="83"/>
        <v>0</v>
      </c>
      <c r="AH14" s="223">
        <f t="shared" si="83"/>
        <v>0</v>
      </c>
      <c r="AI14" s="223">
        <f t="shared" si="83"/>
        <v>0</v>
      </c>
      <c r="AJ14" s="223">
        <f t="shared" si="83"/>
        <v>0</v>
      </c>
      <c r="AK14" s="223">
        <f t="shared" si="83"/>
        <v>0</v>
      </c>
      <c r="AL14" s="223">
        <f t="shared" si="83"/>
        <v>0</v>
      </c>
      <c r="AM14" s="223">
        <f t="shared" si="83"/>
        <v>0</v>
      </c>
      <c r="AN14" s="223">
        <f t="shared" si="83"/>
        <v>0</v>
      </c>
      <c r="AO14" s="223">
        <f t="shared" si="83"/>
        <v>0</v>
      </c>
      <c r="AP14" s="223">
        <f t="shared" si="83"/>
        <v>0</v>
      </c>
      <c r="AQ14" s="223">
        <f t="shared" si="83"/>
        <v>0</v>
      </c>
      <c r="AR14" s="223"/>
      <c r="AS14" s="223">
        <f t="shared" si="84"/>
        <v>0</v>
      </c>
      <c r="AT14" s="223">
        <f t="shared" si="85"/>
        <v>0</v>
      </c>
      <c r="AU14" s="223">
        <f t="shared" si="85"/>
        <v>0</v>
      </c>
      <c r="AV14" s="223">
        <f t="shared" si="85"/>
        <v>0</v>
      </c>
      <c r="AW14" s="223">
        <f t="shared" si="85"/>
        <v>0</v>
      </c>
      <c r="AX14" s="223">
        <f t="shared" si="85"/>
        <v>0</v>
      </c>
      <c r="AY14" s="223">
        <f t="shared" si="85"/>
        <v>0</v>
      </c>
      <c r="AZ14" s="223">
        <f t="shared" si="85"/>
        <v>0</v>
      </c>
      <c r="BA14" s="223">
        <f t="shared" si="85"/>
        <v>0</v>
      </c>
      <c r="BB14" s="223">
        <f t="shared" si="85"/>
        <v>0</v>
      </c>
      <c r="BC14" s="223">
        <f t="shared" si="85"/>
        <v>0</v>
      </c>
      <c r="BD14" s="223">
        <f t="shared" si="85"/>
        <v>0</v>
      </c>
      <c r="BE14" s="223"/>
      <c r="BF14" s="223">
        <f t="shared" si="86"/>
        <v>0</v>
      </c>
      <c r="BG14" s="223">
        <f t="shared" si="87"/>
        <v>0</v>
      </c>
      <c r="BH14" s="223">
        <f t="shared" si="87"/>
        <v>0</v>
      </c>
      <c r="BI14" s="223">
        <f t="shared" si="87"/>
        <v>0</v>
      </c>
      <c r="BJ14" s="223">
        <f t="shared" si="87"/>
        <v>0</v>
      </c>
      <c r="BK14" s="223">
        <f t="shared" si="87"/>
        <v>0</v>
      </c>
      <c r="BL14" s="223">
        <f t="shared" si="87"/>
        <v>0</v>
      </c>
      <c r="BM14" s="223">
        <f t="shared" si="87"/>
        <v>0</v>
      </c>
      <c r="BN14" s="223">
        <f t="shared" si="87"/>
        <v>0</v>
      </c>
      <c r="BO14" s="223">
        <f t="shared" si="87"/>
        <v>0</v>
      </c>
      <c r="BP14" s="223">
        <f t="shared" si="87"/>
        <v>0</v>
      </c>
      <c r="BQ14" s="223">
        <f t="shared" si="87"/>
        <v>0</v>
      </c>
      <c r="BR14" s="223"/>
      <c r="BS14" s="223">
        <f t="shared" si="88"/>
        <v>0</v>
      </c>
      <c r="BT14" s="223">
        <f t="shared" si="89"/>
        <v>0</v>
      </c>
      <c r="BU14" s="223">
        <f t="shared" si="89"/>
        <v>0</v>
      </c>
      <c r="BV14" s="223">
        <f t="shared" si="89"/>
        <v>0</v>
      </c>
      <c r="BW14" s="223">
        <f t="shared" si="89"/>
        <v>0</v>
      </c>
      <c r="BX14" s="223">
        <f t="shared" si="89"/>
        <v>0</v>
      </c>
      <c r="BY14" s="223">
        <f t="shared" si="89"/>
        <v>0</v>
      </c>
      <c r="BZ14" s="223">
        <f t="shared" si="89"/>
        <v>0</v>
      </c>
      <c r="CA14" s="223">
        <f t="shared" si="89"/>
        <v>0</v>
      </c>
      <c r="CB14" s="223">
        <f t="shared" si="89"/>
        <v>0</v>
      </c>
      <c r="CC14" s="223">
        <f t="shared" si="89"/>
        <v>0</v>
      </c>
      <c r="CD14" s="223">
        <f t="shared" si="89"/>
        <v>0</v>
      </c>
      <c r="CE14" s="389"/>
      <c r="CF14" s="223">
        <f t="shared" si="90"/>
        <v>0</v>
      </c>
      <c r="CG14" s="223">
        <f t="shared" si="91"/>
        <v>0</v>
      </c>
      <c r="CH14" s="223">
        <f t="shared" si="92"/>
        <v>0</v>
      </c>
      <c r="CI14" s="223">
        <f t="shared" si="93"/>
        <v>0</v>
      </c>
      <c r="CJ14" s="223">
        <f t="shared" si="94"/>
        <v>0</v>
      </c>
      <c r="CK14" s="223">
        <f t="shared" si="95"/>
        <v>0</v>
      </c>
      <c r="CL14" s="223">
        <f t="shared" si="96"/>
        <v>0</v>
      </c>
      <c r="CM14" s="223">
        <f t="shared" si="97"/>
        <v>0</v>
      </c>
      <c r="CN14" s="223">
        <f t="shared" si="98"/>
        <v>0</v>
      </c>
      <c r="CO14" s="223">
        <f t="shared" si="99"/>
        <v>0</v>
      </c>
      <c r="CP14" s="223">
        <f t="shared" si="100"/>
        <v>0</v>
      </c>
      <c r="CQ14" s="223">
        <f t="shared" si="101"/>
        <v>0</v>
      </c>
      <c r="CR14" s="389"/>
      <c r="CS14" s="223">
        <f t="shared" si="102"/>
        <v>0</v>
      </c>
      <c r="CT14" s="223">
        <f t="shared" si="103"/>
        <v>0</v>
      </c>
      <c r="CU14" s="223">
        <f t="shared" si="104"/>
        <v>0</v>
      </c>
      <c r="CV14" s="223">
        <f t="shared" si="105"/>
        <v>0</v>
      </c>
      <c r="CW14" s="223">
        <f t="shared" si="106"/>
        <v>0</v>
      </c>
      <c r="CX14" s="223">
        <f t="shared" si="107"/>
        <v>0</v>
      </c>
      <c r="CY14" s="223">
        <f t="shared" si="108"/>
        <v>0</v>
      </c>
      <c r="CZ14" s="223">
        <f t="shared" si="109"/>
        <v>0</v>
      </c>
      <c r="DA14" s="223">
        <f t="shared" si="110"/>
        <v>0</v>
      </c>
      <c r="DB14" s="223">
        <f t="shared" si="111"/>
        <v>0</v>
      </c>
      <c r="DC14" s="223">
        <f t="shared" si="112"/>
        <v>0</v>
      </c>
      <c r="DD14" s="223">
        <f t="shared" si="113"/>
        <v>0</v>
      </c>
      <c r="DE14" s="389"/>
      <c r="DF14" s="223">
        <f t="shared" si="114"/>
        <v>0</v>
      </c>
      <c r="DG14" s="223">
        <f t="shared" si="115"/>
        <v>0</v>
      </c>
      <c r="DH14" s="223">
        <f t="shared" si="116"/>
        <v>0</v>
      </c>
      <c r="DI14" s="223">
        <f t="shared" si="117"/>
        <v>0</v>
      </c>
      <c r="DJ14" s="223">
        <f t="shared" si="118"/>
        <v>0</v>
      </c>
      <c r="DK14" s="223">
        <f t="shared" si="119"/>
        <v>0</v>
      </c>
      <c r="DL14" s="223">
        <f t="shared" si="120"/>
        <v>0</v>
      </c>
      <c r="DM14" s="223">
        <f t="shared" si="121"/>
        <v>0</v>
      </c>
      <c r="DN14" s="223">
        <f t="shared" si="122"/>
        <v>0</v>
      </c>
      <c r="DO14" s="223">
        <f t="shared" si="123"/>
        <v>0</v>
      </c>
      <c r="DP14" s="223">
        <f t="shared" si="124"/>
        <v>0</v>
      </c>
      <c r="DQ14" s="223">
        <f t="shared" si="125"/>
        <v>0</v>
      </c>
      <c r="DR14" s="389"/>
      <c r="DS14" s="31">
        <f t="shared" si="126"/>
        <v>0</v>
      </c>
      <c r="DT14" s="390"/>
      <c r="DU14" s="9"/>
      <c r="DV14" s="8"/>
      <c r="DW14" s="7"/>
      <c r="DX14" s="7"/>
      <c r="DY14" s="7"/>
      <c r="DZ14" s="7"/>
      <c r="EA14" s="7"/>
      <c r="EB14" s="7"/>
      <c r="EC14" s="7"/>
    </row>
    <row r="15" spans="1:133">
      <c r="A15" s="1">
        <v>1</v>
      </c>
      <c r="B15" s="1">
        <v>4</v>
      </c>
      <c r="C15" s="57" t="str">
        <f>'Role Selection'!F12</f>
        <v>///</v>
      </c>
      <c r="D15" s="57">
        <f>'Role Selection'!HO12</f>
        <v>0</v>
      </c>
      <c r="E15" s="62">
        <f>'Role Selection'!H12</f>
        <v>0</v>
      </c>
      <c r="F15" s="223"/>
      <c r="G15" s="223">
        <f t="shared" si="81"/>
        <v>0</v>
      </c>
      <c r="H15" s="223">
        <f t="shared" si="81"/>
        <v>0</v>
      </c>
      <c r="I15" s="223">
        <f t="shared" si="81"/>
        <v>0</v>
      </c>
      <c r="J15" s="223">
        <f t="shared" si="81"/>
        <v>0</v>
      </c>
      <c r="K15" s="223">
        <f t="shared" si="81"/>
        <v>0</v>
      </c>
      <c r="L15" s="223">
        <f t="shared" si="81"/>
        <v>0</v>
      </c>
      <c r="M15" s="223">
        <f t="shared" si="81"/>
        <v>0</v>
      </c>
      <c r="N15" s="223">
        <f t="shared" si="81"/>
        <v>0</v>
      </c>
      <c r="O15" s="223">
        <f t="shared" si="81"/>
        <v>0</v>
      </c>
      <c r="P15" s="223">
        <f t="shared" si="81"/>
        <v>0</v>
      </c>
      <c r="Q15" s="223">
        <f t="shared" si="81"/>
        <v>0</v>
      </c>
      <c r="R15" s="223"/>
      <c r="S15" s="223">
        <f t="shared" si="127"/>
        <v>0</v>
      </c>
      <c r="T15" s="223">
        <f t="shared" si="82"/>
        <v>0</v>
      </c>
      <c r="U15" s="223">
        <f t="shared" si="82"/>
        <v>0</v>
      </c>
      <c r="V15" s="223">
        <f t="shared" si="82"/>
        <v>0</v>
      </c>
      <c r="W15" s="223">
        <f t="shared" si="82"/>
        <v>0</v>
      </c>
      <c r="X15" s="223">
        <f t="shared" si="82"/>
        <v>0</v>
      </c>
      <c r="Y15" s="223">
        <f t="shared" si="82"/>
        <v>0</v>
      </c>
      <c r="Z15" s="223">
        <f t="shared" si="82"/>
        <v>0</v>
      </c>
      <c r="AA15" s="223">
        <f t="shared" si="82"/>
        <v>0</v>
      </c>
      <c r="AB15" s="223">
        <f t="shared" si="82"/>
        <v>0</v>
      </c>
      <c r="AC15" s="223">
        <f t="shared" si="82"/>
        <v>0</v>
      </c>
      <c r="AD15" s="223">
        <f t="shared" si="82"/>
        <v>0</v>
      </c>
      <c r="AE15" s="223"/>
      <c r="AF15" s="223">
        <f t="shared" si="128"/>
        <v>0</v>
      </c>
      <c r="AG15" s="223">
        <f t="shared" si="83"/>
        <v>0</v>
      </c>
      <c r="AH15" s="223">
        <f t="shared" si="83"/>
        <v>0</v>
      </c>
      <c r="AI15" s="223">
        <f t="shared" si="83"/>
        <v>0</v>
      </c>
      <c r="AJ15" s="223">
        <f t="shared" si="83"/>
        <v>0</v>
      </c>
      <c r="AK15" s="223">
        <f t="shared" si="83"/>
        <v>0</v>
      </c>
      <c r="AL15" s="223">
        <f t="shared" si="83"/>
        <v>0</v>
      </c>
      <c r="AM15" s="223">
        <f t="shared" si="83"/>
        <v>0</v>
      </c>
      <c r="AN15" s="223">
        <f t="shared" si="83"/>
        <v>0</v>
      </c>
      <c r="AO15" s="223">
        <f t="shared" si="83"/>
        <v>0</v>
      </c>
      <c r="AP15" s="223">
        <f t="shared" si="83"/>
        <v>0</v>
      </c>
      <c r="AQ15" s="223">
        <f t="shared" si="83"/>
        <v>0</v>
      </c>
      <c r="AR15" s="223"/>
      <c r="AS15" s="223">
        <f t="shared" si="84"/>
        <v>0</v>
      </c>
      <c r="AT15" s="223">
        <f t="shared" si="85"/>
        <v>0</v>
      </c>
      <c r="AU15" s="223">
        <f t="shared" si="85"/>
        <v>0</v>
      </c>
      <c r="AV15" s="223">
        <f t="shared" si="85"/>
        <v>0</v>
      </c>
      <c r="AW15" s="223">
        <f t="shared" si="85"/>
        <v>0</v>
      </c>
      <c r="AX15" s="223">
        <f t="shared" si="85"/>
        <v>0</v>
      </c>
      <c r="AY15" s="223">
        <f t="shared" si="85"/>
        <v>0</v>
      </c>
      <c r="AZ15" s="223">
        <f t="shared" si="85"/>
        <v>0</v>
      </c>
      <c r="BA15" s="223">
        <f t="shared" si="85"/>
        <v>0</v>
      </c>
      <c r="BB15" s="223">
        <f t="shared" si="85"/>
        <v>0</v>
      </c>
      <c r="BC15" s="223">
        <f t="shared" si="85"/>
        <v>0</v>
      </c>
      <c r="BD15" s="223">
        <f t="shared" si="85"/>
        <v>0</v>
      </c>
      <c r="BE15" s="223"/>
      <c r="BF15" s="223">
        <f t="shared" si="86"/>
        <v>0</v>
      </c>
      <c r="BG15" s="223">
        <f t="shared" si="87"/>
        <v>0</v>
      </c>
      <c r="BH15" s="223">
        <f t="shared" si="87"/>
        <v>0</v>
      </c>
      <c r="BI15" s="223">
        <f t="shared" si="87"/>
        <v>0</v>
      </c>
      <c r="BJ15" s="223">
        <f t="shared" si="87"/>
        <v>0</v>
      </c>
      <c r="BK15" s="223">
        <f t="shared" si="87"/>
        <v>0</v>
      </c>
      <c r="BL15" s="223">
        <f t="shared" si="87"/>
        <v>0</v>
      </c>
      <c r="BM15" s="223">
        <f t="shared" si="87"/>
        <v>0</v>
      </c>
      <c r="BN15" s="223">
        <f t="shared" si="87"/>
        <v>0</v>
      </c>
      <c r="BO15" s="223">
        <f t="shared" si="87"/>
        <v>0</v>
      </c>
      <c r="BP15" s="223">
        <f t="shared" si="87"/>
        <v>0</v>
      </c>
      <c r="BQ15" s="223">
        <f t="shared" si="87"/>
        <v>0</v>
      </c>
      <c r="BR15" s="223"/>
      <c r="BS15" s="223">
        <f t="shared" si="88"/>
        <v>0</v>
      </c>
      <c r="BT15" s="223">
        <f t="shared" si="89"/>
        <v>0</v>
      </c>
      <c r="BU15" s="223">
        <f t="shared" si="89"/>
        <v>0</v>
      </c>
      <c r="BV15" s="223">
        <f t="shared" si="89"/>
        <v>0</v>
      </c>
      <c r="BW15" s="223">
        <f t="shared" si="89"/>
        <v>0</v>
      </c>
      <c r="BX15" s="223">
        <f t="shared" si="89"/>
        <v>0</v>
      </c>
      <c r="BY15" s="223">
        <f t="shared" si="89"/>
        <v>0</v>
      </c>
      <c r="BZ15" s="223">
        <f t="shared" si="89"/>
        <v>0</v>
      </c>
      <c r="CA15" s="223">
        <f t="shared" si="89"/>
        <v>0</v>
      </c>
      <c r="CB15" s="223">
        <f t="shared" si="89"/>
        <v>0</v>
      </c>
      <c r="CC15" s="223">
        <f t="shared" si="89"/>
        <v>0</v>
      </c>
      <c r="CD15" s="223">
        <f t="shared" si="89"/>
        <v>0</v>
      </c>
      <c r="CE15" s="389"/>
      <c r="CF15" s="223">
        <f t="shared" si="90"/>
        <v>0</v>
      </c>
      <c r="CG15" s="223">
        <f t="shared" si="91"/>
        <v>0</v>
      </c>
      <c r="CH15" s="223">
        <f t="shared" si="92"/>
        <v>0</v>
      </c>
      <c r="CI15" s="223">
        <f t="shared" si="93"/>
        <v>0</v>
      </c>
      <c r="CJ15" s="223">
        <f t="shared" si="94"/>
        <v>0</v>
      </c>
      <c r="CK15" s="223">
        <f t="shared" si="95"/>
        <v>0</v>
      </c>
      <c r="CL15" s="223">
        <f t="shared" si="96"/>
        <v>0</v>
      </c>
      <c r="CM15" s="223">
        <f t="shared" si="97"/>
        <v>0</v>
      </c>
      <c r="CN15" s="223">
        <f t="shared" si="98"/>
        <v>0</v>
      </c>
      <c r="CO15" s="223">
        <f t="shared" si="99"/>
        <v>0</v>
      </c>
      <c r="CP15" s="223">
        <f t="shared" si="100"/>
        <v>0</v>
      </c>
      <c r="CQ15" s="223">
        <f t="shared" si="101"/>
        <v>0</v>
      </c>
      <c r="CR15" s="389"/>
      <c r="CS15" s="223">
        <f t="shared" si="102"/>
        <v>0</v>
      </c>
      <c r="CT15" s="223">
        <f t="shared" si="103"/>
        <v>0</v>
      </c>
      <c r="CU15" s="223">
        <f t="shared" si="104"/>
        <v>0</v>
      </c>
      <c r="CV15" s="223">
        <f t="shared" si="105"/>
        <v>0</v>
      </c>
      <c r="CW15" s="223">
        <f t="shared" si="106"/>
        <v>0</v>
      </c>
      <c r="CX15" s="223">
        <f t="shared" si="107"/>
        <v>0</v>
      </c>
      <c r="CY15" s="223">
        <f t="shared" si="108"/>
        <v>0</v>
      </c>
      <c r="CZ15" s="223">
        <f t="shared" si="109"/>
        <v>0</v>
      </c>
      <c r="DA15" s="223">
        <f t="shared" si="110"/>
        <v>0</v>
      </c>
      <c r="DB15" s="223">
        <f t="shared" si="111"/>
        <v>0</v>
      </c>
      <c r="DC15" s="223">
        <f t="shared" si="112"/>
        <v>0</v>
      </c>
      <c r="DD15" s="223">
        <f t="shared" si="113"/>
        <v>0</v>
      </c>
      <c r="DE15" s="389"/>
      <c r="DF15" s="223">
        <f t="shared" si="114"/>
        <v>0</v>
      </c>
      <c r="DG15" s="223">
        <f t="shared" si="115"/>
        <v>0</v>
      </c>
      <c r="DH15" s="223">
        <f t="shared" si="116"/>
        <v>0</v>
      </c>
      <c r="DI15" s="223">
        <f t="shared" si="117"/>
        <v>0</v>
      </c>
      <c r="DJ15" s="223">
        <f t="shared" si="118"/>
        <v>0</v>
      </c>
      <c r="DK15" s="223">
        <f t="shared" si="119"/>
        <v>0</v>
      </c>
      <c r="DL15" s="223">
        <f t="shared" si="120"/>
        <v>0</v>
      </c>
      <c r="DM15" s="223">
        <f t="shared" si="121"/>
        <v>0</v>
      </c>
      <c r="DN15" s="223">
        <f t="shared" si="122"/>
        <v>0</v>
      </c>
      <c r="DO15" s="223">
        <f t="shared" si="123"/>
        <v>0</v>
      </c>
      <c r="DP15" s="223">
        <f t="shared" si="124"/>
        <v>0</v>
      </c>
      <c r="DQ15" s="223">
        <f t="shared" si="125"/>
        <v>0</v>
      </c>
      <c r="DR15" s="389"/>
      <c r="DS15" s="31">
        <f t="shared" si="126"/>
        <v>0</v>
      </c>
      <c r="DT15" s="390"/>
      <c r="DU15" s="9"/>
      <c r="DV15" s="8"/>
      <c r="DW15" s="7"/>
      <c r="DX15" s="7"/>
      <c r="DY15" s="7"/>
      <c r="DZ15" s="7"/>
      <c r="EA15" s="7"/>
      <c r="EB15" s="7"/>
      <c r="EC15" s="7"/>
    </row>
    <row r="16" spans="1:133">
      <c r="C16" s="57" t="str">
        <f>'Role Selection'!F13</f>
        <v>///</v>
      </c>
      <c r="D16" s="57">
        <f>'Role Selection'!HO13</f>
        <v>0</v>
      </c>
      <c r="E16" s="62">
        <f>'Role Selection'!H13</f>
        <v>0</v>
      </c>
      <c r="F16" s="223"/>
      <c r="G16" s="223">
        <f t="shared" si="81"/>
        <v>0</v>
      </c>
      <c r="H16" s="223">
        <f t="shared" si="81"/>
        <v>0</v>
      </c>
      <c r="I16" s="223">
        <f t="shared" si="81"/>
        <v>0</v>
      </c>
      <c r="J16" s="223">
        <f t="shared" si="81"/>
        <v>0</v>
      </c>
      <c r="K16" s="223">
        <f t="shared" si="81"/>
        <v>0</v>
      </c>
      <c r="L16" s="223">
        <f t="shared" si="81"/>
        <v>0</v>
      </c>
      <c r="M16" s="223">
        <f t="shared" si="81"/>
        <v>0</v>
      </c>
      <c r="N16" s="223">
        <f t="shared" si="81"/>
        <v>0</v>
      </c>
      <c r="O16" s="223">
        <f t="shared" si="81"/>
        <v>0</v>
      </c>
      <c r="P16" s="223">
        <f t="shared" si="81"/>
        <v>0</v>
      </c>
      <c r="Q16" s="223">
        <f t="shared" si="81"/>
        <v>0</v>
      </c>
      <c r="R16" s="223"/>
      <c r="S16" s="223">
        <f t="shared" si="127"/>
        <v>0</v>
      </c>
      <c r="T16" s="223">
        <f t="shared" si="82"/>
        <v>0</v>
      </c>
      <c r="U16" s="223">
        <f t="shared" si="82"/>
        <v>0</v>
      </c>
      <c r="V16" s="223">
        <f t="shared" si="82"/>
        <v>0</v>
      </c>
      <c r="W16" s="223">
        <f t="shared" si="82"/>
        <v>0</v>
      </c>
      <c r="X16" s="223">
        <f t="shared" si="82"/>
        <v>0</v>
      </c>
      <c r="Y16" s="223">
        <f t="shared" si="82"/>
        <v>0</v>
      </c>
      <c r="Z16" s="223">
        <f t="shared" si="82"/>
        <v>0</v>
      </c>
      <c r="AA16" s="223">
        <f t="shared" si="82"/>
        <v>0</v>
      </c>
      <c r="AB16" s="223">
        <f t="shared" si="82"/>
        <v>0</v>
      </c>
      <c r="AC16" s="223">
        <f t="shared" si="82"/>
        <v>0</v>
      </c>
      <c r="AD16" s="223">
        <f t="shared" si="82"/>
        <v>0</v>
      </c>
      <c r="AE16" s="223"/>
      <c r="AF16" s="223">
        <f t="shared" si="128"/>
        <v>0</v>
      </c>
      <c r="AG16" s="223">
        <f t="shared" si="83"/>
        <v>0</v>
      </c>
      <c r="AH16" s="223">
        <f t="shared" si="83"/>
        <v>0</v>
      </c>
      <c r="AI16" s="223">
        <f t="shared" si="83"/>
        <v>0</v>
      </c>
      <c r="AJ16" s="223">
        <f t="shared" si="83"/>
        <v>0</v>
      </c>
      <c r="AK16" s="223">
        <f t="shared" si="83"/>
        <v>0</v>
      </c>
      <c r="AL16" s="223">
        <f t="shared" si="83"/>
        <v>0</v>
      </c>
      <c r="AM16" s="223">
        <f t="shared" si="83"/>
        <v>0</v>
      </c>
      <c r="AN16" s="223">
        <f t="shared" si="83"/>
        <v>0</v>
      </c>
      <c r="AO16" s="223">
        <f t="shared" si="83"/>
        <v>0</v>
      </c>
      <c r="AP16" s="223">
        <f t="shared" si="83"/>
        <v>0</v>
      </c>
      <c r="AQ16" s="223">
        <f t="shared" si="83"/>
        <v>0</v>
      </c>
      <c r="AR16" s="223"/>
      <c r="AS16" s="223">
        <f t="shared" si="84"/>
        <v>0</v>
      </c>
      <c r="AT16" s="223">
        <f t="shared" si="85"/>
        <v>0</v>
      </c>
      <c r="AU16" s="223">
        <f t="shared" si="85"/>
        <v>0</v>
      </c>
      <c r="AV16" s="223">
        <f t="shared" si="85"/>
        <v>0</v>
      </c>
      <c r="AW16" s="223">
        <f t="shared" si="85"/>
        <v>0</v>
      </c>
      <c r="AX16" s="223">
        <f t="shared" si="85"/>
        <v>0</v>
      </c>
      <c r="AY16" s="223">
        <f t="shared" si="85"/>
        <v>0</v>
      </c>
      <c r="AZ16" s="223">
        <f t="shared" si="85"/>
        <v>0</v>
      </c>
      <c r="BA16" s="223">
        <f t="shared" si="85"/>
        <v>0</v>
      </c>
      <c r="BB16" s="223">
        <f t="shared" si="85"/>
        <v>0</v>
      </c>
      <c r="BC16" s="223">
        <f t="shared" si="85"/>
        <v>0</v>
      </c>
      <c r="BD16" s="223">
        <f t="shared" si="85"/>
        <v>0</v>
      </c>
      <c r="BE16" s="223"/>
      <c r="BF16" s="223">
        <f t="shared" si="86"/>
        <v>0</v>
      </c>
      <c r="BG16" s="223">
        <f t="shared" si="87"/>
        <v>0</v>
      </c>
      <c r="BH16" s="223">
        <f t="shared" si="87"/>
        <v>0</v>
      </c>
      <c r="BI16" s="223">
        <f t="shared" si="87"/>
        <v>0</v>
      </c>
      <c r="BJ16" s="223">
        <f t="shared" si="87"/>
        <v>0</v>
      </c>
      <c r="BK16" s="223">
        <f t="shared" si="87"/>
        <v>0</v>
      </c>
      <c r="BL16" s="223">
        <f t="shared" si="87"/>
        <v>0</v>
      </c>
      <c r="BM16" s="223">
        <f t="shared" si="87"/>
        <v>0</v>
      </c>
      <c r="BN16" s="223">
        <f t="shared" si="87"/>
        <v>0</v>
      </c>
      <c r="BO16" s="223">
        <f t="shared" si="87"/>
        <v>0</v>
      </c>
      <c r="BP16" s="223">
        <f t="shared" si="87"/>
        <v>0</v>
      </c>
      <c r="BQ16" s="223">
        <f t="shared" si="87"/>
        <v>0</v>
      </c>
      <c r="BR16" s="223"/>
      <c r="BS16" s="223">
        <f t="shared" si="88"/>
        <v>0</v>
      </c>
      <c r="BT16" s="223">
        <f t="shared" si="89"/>
        <v>0</v>
      </c>
      <c r="BU16" s="223">
        <f t="shared" si="89"/>
        <v>0</v>
      </c>
      <c r="BV16" s="223">
        <f t="shared" si="89"/>
        <v>0</v>
      </c>
      <c r="BW16" s="223">
        <f t="shared" si="89"/>
        <v>0</v>
      </c>
      <c r="BX16" s="223">
        <f t="shared" si="89"/>
        <v>0</v>
      </c>
      <c r="BY16" s="223">
        <f t="shared" si="89"/>
        <v>0</v>
      </c>
      <c r="BZ16" s="223">
        <f t="shared" si="89"/>
        <v>0</v>
      </c>
      <c r="CA16" s="223">
        <f t="shared" si="89"/>
        <v>0</v>
      </c>
      <c r="CB16" s="223">
        <f t="shared" si="89"/>
        <v>0</v>
      </c>
      <c r="CC16" s="223">
        <f t="shared" si="89"/>
        <v>0</v>
      </c>
      <c r="CD16" s="223">
        <f t="shared" si="89"/>
        <v>0</v>
      </c>
      <c r="CE16" s="389"/>
      <c r="CF16" s="223">
        <f t="shared" si="90"/>
        <v>0</v>
      </c>
      <c r="CG16" s="223">
        <f t="shared" si="91"/>
        <v>0</v>
      </c>
      <c r="CH16" s="223">
        <f t="shared" si="92"/>
        <v>0</v>
      </c>
      <c r="CI16" s="223">
        <f t="shared" si="93"/>
        <v>0</v>
      </c>
      <c r="CJ16" s="223">
        <f t="shared" si="94"/>
        <v>0</v>
      </c>
      <c r="CK16" s="223">
        <f t="shared" si="95"/>
        <v>0</v>
      </c>
      <c r="CL16" s="223">
        <f t="shared" si="96"/>
        <v>0</v>
      </c>
      <c r="CM16" s="223">
        <f t="shared" si="97"/>
        <v>0</v>
      </c>
      <c r="CN16" s="223">
        <f t="shared" si="98"/>
        <v>0</v>
      </c>
      <c r="CO16" s="223">
        <f t="shared" si="99"/>
        <v>0</v>
      </c>
      <c r="CP16" s="223">
        <f t="shared" si="100"/>
        <v>0</v>
      </c>
      <c r="CQ16" s="223">
        <f t="shared" si="101"/>
        <v>0</v>
      </c>
      <c r="CR16" s="389"/>
      <c r="CS16" s="223">
        <f t="shared" si="102"/>
        <v>0</v>
      </c>
      <c r="CT16" s="223">
        <f t="shared" si="103"/>
        <v>0</v>
      </c>
      <c r="CU16" s="223">
        <f t="shared" si="104"/>
        <v>0</v>
      </c>
      <c r="CV16" s="223">
        <f t="shared" si="105"/>
        <v>0</v>
      </c>
      <c r="CW16" s="223">
        <f t="shared" si="106"/>
        <v>0</v>
      </c>
      <c r="CX16" s="223">
        <f t="shared" si="107"/>
        <v>0</v>
      </c>
      <c r="CY16" s="223">
        <f t="shared" si="108"/>
        <v>0</v>
      </c>
      <c r="CZ16" s="223">
        <f t="shared" si="109"/>
        <v>0</v>
      </c>
      <c r="DA16" s="223">
        <f t="shared" si="110"/>
        <v>0</v>
      </c>
      <c r="DB16" s="223">
        <f t="shared" si="111"/>
        <v>0</v>
      </c>
      <c r="DC16" s="223">
        <f t="shared" si="112"/>
        <v>0</v>
      </c>
      <c r="DD16" s="223">
        <f t="shared" si="113"/>
        <v>0</v>
      </c>
      <c r="DE16" s="389"/>
      <c r="DF16" s="223">
        <f t="shared" si="114"/>
        <v>0</v>
      </c>
      <c r="DG16" s="223">
        <f t="shared" si="115"/>
        <v>0</v>
      </c>
      <c r="DH16" s="223">
        <f t="shared" si="116"/>
        <v>0</v>
      </c>
      <c r="DI16" s="223">
        <f t="shared" si="117"/>
        <v>0</v>
      </c>
      <c r="DJ16" s="223">
        <f t="shared" si="118"/>
        <v>0</v>
      </c>
      <c r="DK16" s="223">
        <f t="shared" si="119"/>
        <v>0</v>
      </c>
      <c r="DL16" s="223">
        <f t="shared" si="120"/>
        <v>0</v>
      </c>
      <c r="DM16" s="223">
        <f t="shared" si="121"/>
        <v>0</v>
      </c>
      <c r="DN16" s="223">
        <f t="shared" si="122"/>
        <v>0</v>
      </c>
      <c r="DO16" s="223">
        <f t="shared" si="123"/>
        <v>0</v>
      </c>
      <c r="DP16" s="223">
        <f t="shared" si="124"/>
        <v>0</v>
      </c>
      <c r="DQ16" s="223">
        <f t="shared" si="125"/>
        <v>0</v>
      </c>
      <c r="DR16" s="389"/>
      <c r="DS16" s="31">
        <f t="shared" si="126"/>
        <v>0</v>
      </c>
      <c r="DT16" s="390"/>
      <c r="DU16" s="9"/>
      <c r="DV16" s="8"/>
      <c r="DW16" s="7"/>
      <c r="DX16" s="7"/>
      <c r="DY16" s="7"/>
      <c r="DZ16" s="7"/>
      <c r="EA16" s="7"/>
      <c r="EB16" s="7"/>
      <c r="EC16" s="7"/>
    </row>
    <row r="17" spans="1:133">
      <c r="C17" s="57" t="str">
        <f>'Role Selection'!F14</f>
        <v>///</v>
      </c>
      <c r="D17" s="57">
        <f>'Role Selection'!HO14</f>
        <v>0</v>
      </c>
      <c r="E17" s="62">
        <f>'Role Selection'!H14</f>
        <v>0</v>
      </c>
      <c r="F17" s="223"/>
      <c r="G17" s="223">
        <f t="shared" si="81"/>
        <v>0</v>
      </c>
      <c r="H17" s="223">
        <f t="shared" si="81"/>
        <v>0</v>
      </c>
      <c r="I17" s="223">
        <f t="shared" si="81"/>
        <v>0</v>
      </c>
      <c r="J17" s="223">
        <f t="shared" si="81"/>
        <v>0</v>
      </c>
      <c r="K17" s="223">
        <f t="shared" si="81"/>
        <v>0</v>
      </c>
      <c r="L17" s="223">
        <f t="shared" si="81"/>
        <v>0</v>
      </c>
      <c r="M17" s="223">
        <f t="shared" si="81"/>
        <v>0</v>
      </c>
      <c r="N17" s="223">
        <f t="shared" si="81"/>
        <v>0</v>
      </c>
      <c r="O17" s="223">
        <f t="shared" si="81"/>
        <v>0</v>
      </c>
      <c r="P17" s="223">
        <f t="shared" si="81"/>
        <v>0</v>
      </c>
      <c r="Q17" s="223">
        <f t="shared" si="81"/>
        <v>0</v>
      </c>
      <c r="R17" s="223"/>
      <c r="S17" s="223">
        <f t="shared" si="127"/>
        <v>0</v>
      </c>
      <c r="T17" s="223">
        <f t="shared" si="82"/>
        <v>0</v>
      </c>
      <c r="U17" s="223">
        <f t="shared" si="82"/>
        <v>0</v>
      </c>
      <c r="V17" s="223">
        <f t="shared" si="82"/>
        <v>0</v>
      </c>
      <c r="W17" s="223">
        <f t="shared" si="82"/>
        <v>0</v>
      </c>
      <c r="X17" s="223">
        <f t="shared" si="82"/>
        <v>0</v>
      </c>
      <c r="Y17" s="223">
        <f t="shared" si="82"/>
        <v>0</v>
      </c>
      <c r="Z17" s="223">
        <f t="shared" si="82"/>
        <v>0</v>
      </c>
      <c r="AA17" s="223">
        <f t="shared" si="82"/>
        <v>0</v>
      </c>
      <c r="AB17" s="223">
        <f t="shared" si="82"/>
        <v>0</v>
      </c>
      <c r="AC17" s="223">
        <f t="shared" si="82"/>
        <v>0</v>
      </c>
      <c r="AD17" s="223">
        <f t="shared" si="82"/>
        <v>0</v>
      </c>
      <c r="AE17" s="223"/>
      <c r="AF17" s="223">
        <f t="shared" si="128"/>
        <v>0</v>
      </c>
      <c r="AG17" s="223">
        <f t="shared" si="83"/>
        <v>0</v>
      </c>
      <c r="AH17" s="223">
        <f t="shared" si="83"/>
        <v>0</v>
      </c>
      <c r="AI17" s="223">
        <f t="shared" si="83"/>
        <v>0</v>
      </c>
      <c r="AJ17" s="223">
        <f t="shared" si="83"/>
        <v>0</v>
      </c>
      <c r="AK17" s="223">
        <f t="shared" si="83"/>
        <v>0</v>
      </c>
      <c r="AL17" s="223">
        <f t="shared" si="83"/>
        <v>0</v>
      </c>
      <c r="AM17" s="223">
        <f t="shared" si="83"/>
        <v>0</v>
      </c>
      <c r="AN17" s="223">
        <f t="shared" si="83"/>
        <v>0</v>
      </c>
      <c r="AO17" s="223">
        <f t="shared" si="83"/>
        <v>0</v>
      </c>
      <c r="AP17" s="223">
        <f t="shared" si="83"/>
        <v>0</v>
      </c>
      <c r="AQ17" s="223">
        <f t="shared" si="83"/>
        <v>0</v>
      </c>
      <c r="AR17" s="223"/>
      <c r="AS17" s="223">
        <f t="shared" si="84"/>
        <v>0</v>
      </c>
      <c r="AT17" s="223">
        <f t="shared" si="85"/>
        <v>0</v>
      </c>
      <c r="AU17" s="223">
        <f t="shared" si="85"/>
        <v>0</v>
      </c>
      <c r="AV17" s="223">
        <f t="shared" si="85"/>
        <v>0</v>
      </c>
      <c r="AW17" s="223">
        <f t="shared" si="85"/>
        <v>0</v>
      </c>
      <c r="AX17" s="223">
        <f t="shared" si="85"/>
        <v>0</v>
      </c>
      <c r="AY17" s="223">
        <f t="shared" si="85"/>
        <v>0</v>
      </c>
      <c r="AZ17" s="223">
        <f t="shared" si="85"/>
        <v>0</v>
      </c>
      <c r="BA17" s="223">
        <f t="shared" si="85"/>
        <v>0</v>
      </c>
      <c r="BB17" s="223">
        <f t="shared" si="85"/>
        <v>0</v>
      </c>
      <c r="BC17" s="223">
        <f t="shared" si="85"/>
        <v>0</v>
      </c>
      <c r="BD17" s="223">
        <f t="shared" si="85"/>
        <v>0</v>
      </c>
      <c r="BE17" s="223"/>
      <c r="BF17" s="223">
        <f t="shared" si="86"/>
        <v>0</v>
      </c>
      <c r="BG17" s="223">
        <f t="shared" si="87"/>
        <v>0</v>
      </c>
      <c r="BH17" s="223">
        <f t="shared" si="87"/>
        <v>0</v>
      </c>
      <c r="BI17" s="223">
        <f t="shared" si="87"/>
        <v>0</v>
      </c>
      <c r="BJ17" s="223">
        <f t="shared" si="87"/>
        <v>0</v>
      </c>
      <c r="BK17" s="223">
        <f t="shared" si="87"/>
        <v>0</v>
      </c>
      <c r="BL17" s="223">
        <f t="shared" si="87"/>
        <v>0</v>
      </c>
      <c r="BM17" s="223">
        <f t="shared" si="87"/>
        <v>0</v>
      </c>
      <c r="BN17" s="223">
        <f t="shared" si="87"/>
        <v>0</v>
      </c>
      <c r="BO17" s="223">
        <f t="shared" si="87"/>
        <v>0</v>
      </c>
      <c r="BP17" s="223">
        <f t="shared" si="87"/>
        <v>0</v>
      </c>
      <c r="BQ17" s="223">
        <f t="shared" si="87"/>
        <v>0</v>
      </c>
      <c r="BR17" s="223"/>
      <c r="BS17" s="223">
        <f t="shared" si="88"/>
        <v>0</v>
      </c>
      <c r="BT17" s="223">
        <f t="shared" si="89"/>
        <v>0</v>
      </c>
      <c r="BU17" s="223">
        <f t="shared" si="89"/>
        <v>0</v>
      </c>
      <c r="BV17" s="223">
        <f t="shared" si="89"/>
        <v>0</v>
      </c>
      <c r="BW17" s="223">
        <f t="shared" si="89"/>
        <v>0</v>
      </c>
      <c r="BX17" s="223">
        <f t="shared" si="89"/>
        <v>0</v>
      </c>
      <c r="BY17" s="223">
        <f t="shared" si="89"/>
        <v>0</v>
      </c>
      <c r="BZ17" s="223">
        <f t="shared" si="89"/>
        <v>0</v>
      </c>
      <c r="CA17" s="223">
        <f t="shared" si="89"/>
        <v>0</v>
      </c>
      <c r="CB17" s="223">
        <f t="shared" si="89"/>
        <v>0</v>
      </c>
      <c r="CC17" s="223">
        <f t="shared" si="89"/>
        <v>0</v>
      </c>
      <c r="CD17" s="223">
        <f t="shared" si="89"/>
        <v>0</v>
      </c>
      <c r="CE17" s="389"/>
      <c r="CF17" s="223">
        <f t="shared" si="90"/>
        <v>0</v>
      </c>
      <c r="CG17" s="223">
        <f t="shared" si="91"/>
        <v>0</v>
      </c>
      <c r="CH17" s="223">
        <f t="shared" si="92"/>
        <v>0</v>
      </c>
      <c r="CI17" s="223">
        <f t="shared" si="93"/>
        <v>0</v>
      </c>
      <c r="CJ17" s="223">
        <f t="shared" si="94"/>
        <v>0</v>
      </c>
      <c r="CK17" s="223">
        <f t="shared" si="95"/>
        <v>0</v>
      </c>
      <c r="CL17" s="223">
        <f t="shared" si="96"/>
        <v>0</v>
      </c>
      <c r="CM17" s="223">
        <f t="shared" si="97"/>
        <v>0</v>
      </c>
      <c r="CN17" s="223">
        <f t="shared" si="98"/>
        <v>0</v>
      </c>
      <c r="CO17" s="223">
        <f t="shared" si="99"/>
        <v>0</v>
      </c>
      <c r="CP17" s="223">
        <f t="shared" si="100"/>
        <v>0</v>
      </c>
      <c r="CQ17" s="223">
        <f t="shared" si="101"/>
        <v>0</v>
      </c>
      <c r="CR17" s="389"/>
      <c r="CS17" s="223">
        <f t="shared" si="102"/>
        <v>0</v>
      </c>
      <c r="CT17" s="223">
        <f t="shared" si="103"/>
        <v>0</v>
      </c>
      <c r="CU17" s="223">
        <f t="shared" si="104"/>
        <v>0</v>
      </c>
      <c r="CV17" s="223">
        <f t="shared" si="105"/>
        <v>0</v>
      </c>
      <c r="CW17" s="223">
        <f t="shared" si="106"/>
        <v>0</v>
      </c>
      <c r="CX17" s="223">
        <f t="shared" si="107"/>
        <v>0</v>
      </c>
      <c r="CY17" s="223">
        <f t="shared" si="108"/>
        <v>0</v>
      </c>
      <c r="CZ17" s="223">
        <f t="shared" si="109"/>
        <v>0</v>
      </c>
      <c r="DA17" s="223">
        <f t="shared" si="110"/>
        <v>0</v>
      </c>
      <c r="DB17" s="223">
        <f t="shared" si="111"/>
        <v>0</v>
      </c>
      <c r="DC17" s="223">
        <f t="shared" si="112"/>
        <v>0</v>
      </c>
      <c r="DD17" s="223">
        <f t="shared" si="113"/>
        <v>0</v>
      </c>
      <c r="DE17" s="389"/>
      <c r="DF17" s="223">
        <f t="shared" si="114"/>
        <v>0</v>
      </c>
      <c r="DG17" s="223">
        <f t="shared" si="115"/>
        <v>0</v>
      </c>
      <c r="DH17" s="223">
        <f t="shared" si="116"/>
        <v>0</v>
      </c>
      <c r="DI17" s="223">
        <f t="shared" si="117"/>
        <v>0</v>
      </c>
      <c r="DJ17" s="223">
        <f t="shared" si="118"/>
        <v>0</v>
      </c>
      <c r="DK17" s="223">
        <f t="shared" si="119"/>
        <v>0</v>
      </c>
      <c r="DL17" s="223">
        <f t="shared" si="120"/>
        <v>0</v>
      </c>
      <c r="DM17" s="223">
        <f t="shared" si="121"/>
        <v>0</v>
      </c>
      <c r="DN17" s="223">
        <f t="shared" si="122"/>
        <v>0</v>
      </c>
      <c r="DO17" s="223">
        <f t="shared" si="123"/>
        <v>0</v>
      </c>
      <c r="DP17" s="223">
        <f t="shared" si="124"/>
        <v>0</v>
      </c>
      <c r="DQ17" s="223">
        <f t="shared" si="125"/>
        <v>0</v>
      </c>
      <c r="DR17" s="389"/>
      <c r="DS17" s="31">
        <f t="shared" si="126"/>
        <v>0</v>
      </c>
      <c r="DT17" s="390"/>
      <c r="DU17" s="9"/>
      <c r="DV17" s="8"/>
      <c r="DW17" s="7"/>
      <c r="DX17" s="7"/>
      <c r="DY17" s="7"/>
      <c r="DZ17" s="7"/>
      <c r="EA17" s="7"/>
      <c r="EB17" s="7"/>
      <c r="EC17" s="7"/>
    </row>
    <row r="18" spans="1:133">
      <c r="A18" s="1">
        <v>1</v>
      </c>
      <c r="B18" s="1">
        <v>5</v>
      </c>
      <c r="C18" s="57" t="str">
        <f>'Role Selection'!F15</f>
        <v>///</v>
      </c>
      <c r="D18" s="57">
        <f>'Role Selection'!HO15</f>
        <v>0</v>
      </c>
      <c r="E18" s="62">
        <f>'Role Selection'!H15</f>
        <v>0</v>
      </c>
      <c r="F18" s="223"/>
      <c r="G18" s="223">
        <f t="shared" si="81"/>
        <v>0</v>
      </c>
      <c r="H18" s="223">
        <f t="shared" si="81"/>
        <v>0</v>
      </c>
      <c r="I18" s="223">
        <f t="shared" si="81"/>
        <v>0</v>
      </c>
      <c r="J18" s="223">
        <f t="shared" si="81"/>
        <v>0</v>
      </c>
      <c r="K18" s="223">
        <f t="shared" si="81"/>
        <v>0</v>
      </c>
      <c r="L18" s="223">
        <f t="shared" si="81"/>
        <v>0</v>
      </c>
      <c r="M18" s="223">
        <f t="shared" si="81"/>
        <v>0</v>
      </c>
      <c r="N18" s="223">
        <f t="shared" si="81"/>
        <v>0</v>
      </c>
      <c r="O18" s="223">
        <f t="shared" si="81"/>
        <v>0</v>
      </c>
      <c r="P18" s="223">
        <f t="shared" si="81"/>
        <v>0</v>
      </c>
      <c r="Q18" s="223">
        <f t="shared" si="81"/>
        <v>0</v>
      </c>
      <c r="R18" s="223"/>
      <c r="S18" s="223">
        <f t="shared" si="127"/>
        <v>0</v>
      </c>
      <c r="T18" s="223">
        <f t="shared" si="82"/>
        <v>0</v>
      </c>
      <c r="U18" s="223">
        <f t="shared" si="82"/>
        <v>0</v>
      </c>
      <c r="V18" s="223">
        <f t="shared" si="82"/>
        <v>0</v>
      </c>
      <c r="W18" s="223">
        <f t="shared" si="82"/>
        <v>0</v>
      </c>
      <c r="X18" s="223">
        <f t="shared" si="82"/>
        <v>0</v>
      </c>
      <c r="Y18" s="223">
        <f t="shared" si="82"/>
        <v>0</v>
      </c>
      <c r="Z18" s="223">
        <f t="shared" si="82"/>
        <v>0</v>
      </c>
      <c r="AA18" s="223">
        <f t="shared" si="82"/>
        <v>0</v>
      </c>
      <c r="AB18" s="223">
        <f t="shared" si="82"/>
        <v>0</v>
      </c>
      <c r="AC18" s="223">
        <f t="shared" si="82"/>
        <v>0</v>
      </c>
      <c r="AD18" s="223">
        <f t="shared" si="82"/>
        <v>0</v>
      </c>
      <c r="AE18" s="223"/>
      <c r="AF18" s="223">
        <f t="shared" si="128"/>
        <v>0</v>
      </c>
      <c r="AG18" s="223">
        <f t="shared" si="83"/>
        <v>0</v>
      </c>
      <c r="AH18" s="223">
        <f t="shared" si="83"/>
        <v>0</v>
      </c>
      <c r="AI18" s="223">
        <f t="shared" si="83"/>
        <v>0</v>
      </c>
      <c r="AJ18" s="223">
        <f t="shared" si="83"/>
        <v>0</v>
      </c>
      <c r="AK18" s="223">
        <f t="shared" si="83"/>
        <v>0</v>
      </c>
      <c r="AL18" s="223">
        <f t="shared" si="83"/>
        <v>0</v>
      </c>
      <c r="AM18" s="223">
        <f t="shared" si="83"/>
        <v>0</v>
      </c>
      <c r="AN18" s="223">
        <f t="shared" si="83"/>
        <v>0</v>
      </c>
      <c r="AO18" s="223">
        <f t="shared" si="83"/>
        <v>0</v>
      </c>
      <c r="AP18" s="223">
        <f t="shared" si="83"/>
        <v>0</v>
      </c>
      <c r="AQ18" s="223">
        <f t="shared" si="83"/>
        <v>0</v>
      </c>
      <c r="AR18" s="223"/>
      <c r="AS18" s="223">
        <f t="shared" si="84"/>
        <v>0</v>
      </c>
      <c r="AT18" s="223">
        <f t="shared" si="85"/>
        <v>0</v>
      </c>
      <c r="AU18" s="223">
        <f t="shared" si="85"/>
        <v>0</v>
      </c>
      <c r="AV18" s="223">
        <f t="shared" si="85"/>
        <v>0</v>
      </c>
      <c r="AW18" s="223">
        <f t="shared" si="85"/>
        <v>0</v>
      </c>
      <c r="AX18" s="223">
        <f t="shared" si="85"/>
        <v>0</v>
      </c>
      <c r="AY18" s="223">
        <f t="shared" si="85"/>
        <v>0</v>
      </c>
      <c r="AZ18" s="223">
        <f t="shared" si="85"/>
        <v>0</v>
      </c>
      <c r="BA18" s="223">
        <f t="shared" si="85"/>
        <v>0</v>
      </c>
      <c r="BB18" s="223">
        <f t="shared" si="85"/>
        <v>0</v>
      </c>
      <c r="BC18" s="223">
        <f t="shared" si="85"/>
        <v>0</v>
      </c>
      <c r="BD18" s="223">
        <f t="shared" si="85"/>
        <v>0</v>
      </c>
      <c r="BE18" s="223"/>
      <c r="BF18" s="223">
        <f t="shared" si="86"/>
        <v>0</v>
      </c>
      <c r="BG18" s="223">
        <f t="shared" si="87"/>
        <v>0</v>
      </c>
      <c r="BH18" s="223">
        <f t="shared" si="87"/>
        <v>0</v>
      </c>
      <c r="BI18" s="223">
        <f t="shared" si="87"/>
        <v>0</v>
      </c>
      <c r="BJ18" s="223">
        <f t="shared" si="87"/>
        <v>0</v>
      </c>
      <c r="BK18" s="223">
        <f t="shared" si="87"/>
        <v>0</v>
      </c>
      <c r="BL18" s="223">
        <f t="shared" si="87"/>
        <v>0</v>
      </c>
      <c r="BM18" s="223">
        <f t="shared" si="87"/>
        <v>0</v>
      </c>
      <c r="BN18" s="223">
        <f t="shared" si="87"/>
        <v>0</v>
      </c>
      <c r="BO18" s="223">
        <f t="shared" si="87"/>
        <v>0</v>
      </c>
      <c r="BP18" s="223">
        <f t="shared" si="87"/>
        <v>0</v>
      </c>
      <c r="BQ18" s="223">
        <f t="shared" si="87"/>
        <v>0</v>
      </c>
      <c r="BR18" s="223"/>
      <c r="BS18" s="223">
        <f t="shared" si="88"/>
        <v>0</v>
      </c>
      <c r="BT18" s="223">
        <f t="shared" si="89"/>
        <v>0</v>
      </c>
      <c r="BU18" s="223">
        <f t="shared" si="89"/>
        <v>0</v>
      </c>
      <c r="BV18" s="223">
        <f t="shared" si="89"/>
        <v>0</v>
      </c>
      <c r="BW18" s="223">
        <f t="shared" si="89"/>
        <v>0</v>
      </c>
      <c r="BX18" s="223">
        <f t="shared" si="89"/>
        <v>0</v>
      </c>
      <c r="BY18" s="223">
        <f t="shared" si="89"/>
        <v>0</v>
      </c>
      <c r="BZ18" s="223">
        <f t="shared" si="89"/>
        <v>0</v>
      </c>
      <c r="CA18" s="223">
        <f t="shared" si="89"/>
        <v>0</v>
      </c>
      <c r="CB18" s="223">
        <f t="shared" si="89"/>
        <v>0</v>
      </c>
      <c r="CC18" s="223">
        <f t="shared" si="89"/>
        <v>0</v>
      </c>
      <c r="CD18" s="223">
        <f t="shared" si="89"/>
        <v>0</v>
      </c>
      <c r="CE18" s="389"/>
      <c r="CF18" s="223">
        <f t="shared" si="90"/>
        <v>0</v>
      </c>
      <c r="CG18" s="223">
        <f t="shared" si="91"/>
        <v>0</v>
      </c>
      <c r="CH18" s="223">
        <f t="shared" si="92"/>
        <v>0</v>
      </c>
      <c r="CI18" s="223">
        <f t="shared" si="93"/>
        <v>0</v>
      </c>
      <c r="CJ18" s="223">
        <f t="shared" si="94"/>
        <v>0</v>
      </c>
      <c r="CK18" s="223">
        <f t="shared" si="95"/>
        <v>0</v>
      </c>
      <c r="CL18" s="223">
        <f t="shared" si="96"/>
        <v>0</v>
      </c>
      <c r="CM18" s="223">
        <f t="shared" si="97"/>
        <v>0</v>
      </c>
      <c r="CN18" s="223">
        <f t="shared" si="98"/>
        <v>0</v>
      </c>
      <c r="CO18" s="223">
        <f t="shared" si="99"/>
        <v>0</v>
      </c>
      <c r="CP18" s="223">
        <f t="shared" si="100"/>
        <v>0</v>
      </c>
      <c r="CQ18" s="223">
        <f t="shared" si="101"/>
        <v>0</v>
      </c>
      <c r="CR18" s="389"/>
      <c r="CS18" s="223">
        <f t="shared" si="102"/>
        <v>0</v>
      </c>
      <c r="CT18" s="223">
        <f t="shared" si="103"/>
        <v>0</v>
      </c>
      <c r="CU18" s="223">
        <f t="shared" si="104"/>
        <v>0</v>
      </c>
      <c r="CV18" s="223">
        <f t="shared" si="105"/>
        <v>0</v>
      </c>
      <c r="CW18" s="223">
        <f t="shared" si="106"/>
        <v>0</v>
      </c>
      <c r="CX18" s="223">
        <f t="shared" si="107"/>
        <v>0</v>
      </c>
      <c r="CY18" s="223">
        <f t="shared" si="108"/>
        <v>0</v>
      </c>
      <c r="CZ18" s="223">
        <f t="shared" si="109"/>
        <v>0</v>
      </c>
      <c r="DA18" s="223">
        <f t="shared" si="110"/>
        <v>0</v>
      </c>
      <c r="DB18" s="223">
        <f t="shared" si="111"/>
        <v>0</v>
      </c>
      <c r="DC18" s="223">
        <f t="shared" si="112"/>
        <v>0</v>
      </c>
      <c r="DD18" s="223">
        <f t="shared" si="113"/>
        <v>0</v>
      </c>
      <c r="DE18" s="389"/>
      <c r="DF18" s="223">
        <f t="shared" si="114"/>
        <v>0</v>
      </c>
      <c r="DG18" s="223">
        <f t="shared" si="115"/>
        <v>0</v>
      </c>
      <c r="DH18" s="223">
        <f t="shared" si="116"/>
        <v>0</v>
      </c>
      <c r="DI18" s="223">
        <f t="shared" si="117"/>
        <v>0</v>
      </c>
      <c r="DJ18" s="223">
        <f t="shared" si="118"/>
        <v>0</v>
      </c>
      <c r="DK18" s="223">
        <f t="shared" si="119"/>
        <v>0</v>
      </c>
      <c r="DL18" s="223">
        <f t="shared" si="120"/>
        <v>0</v>
      </c>
      <c r="DM18" s="223">
        <f t="shared" si="121"/>
        <v>0</v>
      </c>
      <c r="DN18" s="223">
        <f t="shared" si="122"/>
        <v>0</v>
      </c>
      <c r="DO18" s="223">
        <f t="shared" si="123"/>
        <v>0</v>
      </c>
      <c r="DP18" s="223">
        <f t="shared" si="124"/>
        <v>0</v>
      </c>
      <c r="DQ18" s="223">
        <f t="shared" si="125"/>
        <v>0</v>
      </c>
      <c r="DR18" s="389"/>
      <c r="DS18" s="31">
        <f t="shared" si="126"/>
        <v>0</v>
      </c>
      <c r="DT18" s="390"/>
      <c r="DU18" s="9"/>
      <c r="DV18" s="8"/>
      <c r="DW18" s="7"/>
      <c r="DX18" s="7"/>
      <c r="DY18" s="7"/>
      <c r="DZ18" s="7"/>
      <c r="EA18" s="7"/>
      <c r="EB18" s="7"/>
      <c r="EC18" s="7"/>
    </row>
    <row r="19" spans="1:133">
      <c r="C19" s="57" t="str">
        <f>'Role Selection'!F16</f>
        <v>///</v>
      </c>
      <c r="D19" s="57">
        <f>'Role Selection'!HO16</f>
        <v>0</v>
      </c>
      <c r="E19" s="62">
        <f>'Role Selection'!H16</f>
        <v>0</v>
      </c>
      <c r="F19" s="223"/>
      <c r="G19" s="223">
        <f t="shared" si="81"/>
        <v>0</v>
      </c>
      <c r="H19" s="223">
        <f t="shared" si="81"/>
        <v>0</v>
      </c>
      <c r="I19" s="223">
        <f t="shared" si="81"/>
        <v>0</v>
      </c>
      <c r="J19" s="223">
        <f t="shared" si="81"/>
        <v>0</v>
      </c>
      <c r="K19" s="223">
        <f t="shared" si="81"/>
        <v>0</v>
      </c>
      <c r="L19" s="223">
        <f t="shared" si="81"/>
        <v>0</v>
      </c>
      <c r="M19" s="223">
        <f t="shared" si="81"/>
        <v>0</v>
      </c>
      <c r="N19" s="223">
        <f t="shared" si="81"/>
        <v>0</v>
      </c>
      <c r="O19" s="223">
        <f t="shared" si="81"/>
        <v>0</v>
      </c>
      <c r="P19" s="223">
        <f t="shared" si="81"/>
        <v>0</v>
      </c>
      <c r="Q19" s="223">
        <f t="shared" si="81"/>
        <v>0</v>
      </c>
      <c r="R19" s="223"/>
      <c r="S19" s="223">
        <f t="shared" si="127"/>
        <v>0</v>
      </c>
      <c r="T19" s="223">
        <f t="shared" si="82"/>
        <v>0</v>
      </c>
      <c r="U19" s="223">
        <f t="shared" si="82"/>
        <v>0</v>
      </c>
      <c r="V19" s="223">
        <f t="shared" si="82"/>
        <v>0</v>
      </c>
      <c r="W19" s="223">
        <f t="shared" si="82"/>
        <v>0</v>
      </c>
      <c r="X19" s="223">
        <f t="shared" si="82"/>
        <v>0</v>
      </c>
      <c r="Y19" s="223">
        <f t="shared" si="82"/>
        <v>0</v>
      </c>
      <c r="Z19" s="223">
        <f t="shared" si="82"/>
        <v>0</v>
      </c>
      <c r="AA19" s="223">
        <f t="shared" si="82"/>
        <v>0</v>
      </c>
      <c r="AB19" s="223">
        <f t="shared" si="82"/>
        <v>0</v>
      </c>
      <c r="AC19" s="223">
        <f t="shared" si="82"/>
        <v>0</v>
      </c>
      <c r="AD19" s="223">
        <f t="shared" si="82"/>
        <v>0</v>
      </c>
      <c r="AE19" s="223"/>
      <c r="AF19" s="223">
        <f t="shared" si="128"/>
        <v>0</v>
      </c>
      <c r="AG19" s="223">
        <f t="shared" si="83"/>
        <v>0</v>
      </c>
      <c r="AH19" s="223">
        <f t="shared" si="83"/>
        <v>0</v>
      </c>
      <c r="AI19" s="223">
        <f t="shared" si="83"/>
        <v>0</v>
      </c>
      <c r="AJ19" s="223">
        <f t="shared" si="83"/>
        <v>0</v>
      </c>
      <c r="AK19" s="223">
        <f t="shared" si="83"/>
        <v>0</v>
      </c>
      <c r="AL19" s="223">
        <f t="shared" si="83"/>
        <v>0</v>
      </c>
      <c r="AM19" s="223">
        <f t="shared" si="83"/>
        <v>0</v>
      </c>
      <c r="AN19" s="223">
        <f t="shared" si="83"/>
        <v>0</v>
      </c>
      <c r="AO19" s="223">
        <f t="shared" si="83"/>
        <v>0</v>
      </c>
      <c r="AP19" s="223">
        <f t="shared" si="83"/>
        <v>0</v>
      </c>
      <c r="AQ19" s="223">
        <f t="shared" si="83"/>
        <v>0</v>
      </c>
      <c r="AR19" s="223"/>
      <c r="AS19" s="223">
        <f t="shared" si="84"/>
        <v>0</v>
      </c>
      <c r="AT19" s="223">
        <f t="shared" si="85"/>
        <v>0</v>
      </c>
      <c r="AU19" s="223">
        <f t="shared" si="85"/>
        <v>0</v>
      </c>
      <c r="AV19" s="223">
        <f t="shared" si="85"/>
        <v>0</v>
      </c>
      <c r="AW19" s="223">
        <f t="shared" si="85"/>
        <v>0</v>
      </c>
      <c r="AX19" s="223">
        <f t="shared" si="85"/>
        <v>0</v>
      </c>
      <c r="AY19" s="223">
        <f t="shared" si="85"/>
        <v>0</v>
      </c>
      <c r="AZ19" s="223">
        <f t="shared" si="85"/>
        <v>0</v>
      </c>
      <c r="BA19" s="223">
        <f t="shared" si="85"/>
        <v>0</v>
      </c>
      <c r="BB19" s="223">
        <f t="shared" si="85"/>
        <v>0</v>
      </c>
      <c r="BC19" s="223">
        <f t="shared" si="85"/>
        <v>0</v>
      </c>
      <c r="BD19" s="223">
        <f t="shared" si="85"/>
        <v>0</v>
      </c>
      <c r="BE19" s="223"/>
      <c r="BF19" s="223">
        <f t="shared" si="86"/>
        <v>0</v>
      </c>
      <c r="BG19" s="223">
        <f t="shared" si="87"/>
        <v>0</v>
      </c>
      <c r="BH19" s="223">
        <f t="shared" si="87"/>
        <v>0</v>
      </c>
      <c r="BI19" s="223">
        <f t="shared" si="87"/>
        <v>0</v>
      </c>
      <c r="BJ19" s="223">
        <f t="shared" si="87"/>
        <v>0</v>
      </c>
      <c r="BK19" s="223">
        <f t="shared" si="87"/>
        <v>0</v>
      </c>
      <c r="BL19" s="223">
        <f t="shared" si="87"/>
        <v>0</v>
      </c>
      <c r="BM19" s="223">
        <f t="shared" si="87"/>
        <v>0</v>
      </c>
      <c r="BN19" s="223">
        <f t="shared" si="87"/>
        <v>0</v>
      </c>
      <c r="BO19" s="223">
        <f t="shared" si="87"/>
        <v>0</v>
      </c>
      <c r="BP19" s="223">
        <f t="shared" si="87"/>
        <v>0</v>
      </c>
      <c r="BQ19" s="223">
        <f t="shared" si="87"/>
        <v>0</v>
      </c>
      <c r="BR19" s="223"/>
      <c r="BS19" s="223">
        <f t="shared" si="88"/>
        <v>0</v>
      </c>
      <c r="BT19" s="223">
        <f t="shared" si="89"/>
        <v>0</v>
      </c>
      <c r="BU19" s="223">
        <f t="shared" si="89"/>
        <v>0</v>
      </c>
      <c r="BV19" s="223">
        <f t="shared" si="89"/>
        <v>0</v>
      </c>
      <c r="BW19" s="223">
        <f t="shared" si="89"/>
        <v>0</v>
      </c>
      <c r="BX19" s="223">
        <f t="shared" si="89"/>
        <v>0</v>
      </c>
      <c r="BY19" s="223">
        <f t="shared" si="89"/>
        <v>0</v>
      </c>
      <c r="BZ19" s="223">
        <f t="shared" si="89"/>
        <v>0</v>
      </c>
      <c r="CA19" s="223">
        <f t="shared" si="89"/>
        <v>0</v>
      </c>
      <c r="CB19" s="223">
        <f t="shared" si="89"/>
        <v>0</v>
      </c>
      <c r="CC19" s="223">
        <f t="shared" si="89"/>
        <v>0</v>
      </c>
      <c r="CD19" s="223">
        <f t="shared" si="89"/>
        <v>0</v>
      </c>
      <c r="CE19" s="389"/>
      <c r="CF19" s="223">
        <f t="shared" si="90"/>
        <v>0</v>
      </c>
      <c r="CG19" s="223">
        <f t="shared" si="91"/>
        <v>0</v>
      </c>
      <c r="CH19" s="223">
        <f t="shared" si="92"/>
        <v>0</v>
      </c>
      <c r="CI19" s="223">
        <f t="shared" si="93"/>
        <v>0</v>
      </c>
      <c r="CJ19" s="223">
        <f t="shared" si="94"/>
        <v>0</v>
      </c>
      <c r="CK19" s="223">
        <f t="shared" si="95"/>
        <v>0</v>
      </c>
      <c r="CL19" s="223">
        <f t="shared" si="96"/>
        <v>0</v>
      </c>
      <c r="CM19" s="223">
        <f t="shared" si="97"/>
        <v>0</v>
      </c>
      <c r="CN19" s="223">
        <f t="shared" si="98"/>
        <v>0</v>
      </c>
      <c r="CO19" s="223">
        <f t="shared" si="99"/>
        <v>0</v>
      </c>
      <c r="CP19" s="223">
        <f t="shared" si="100"/>
        <v>0</v>
      </c>
      <c r="CQ19" s="223">
        <f t="shared" si="101"/>
        <v>0</v>
      </c>
      <c r="CR19" s="389"/>
      <c r="CS19" s="223">
        <f t="shared" si="102"/>
        <v>0</v>
      </c>
      <c r="CT19" s="223">
        <f t="shared" si="103"/>
        <v>0</v>
      </c>
      <c r="CU19" s="223">
        <f t="shared" si="104"/>
        <v>0</v>
      </c>
      <c r="CV19" s="223">
        <f t="shared" si="105"/>
        <v>0</v>
      </c>
      <c r="CW19" s="223">
        <f t="shared" si="106"/>
        <v>0</v>
      </c>
      <c r="CX19" s="223">
        <f t="shared" si="107"/>
        <v>0</v>
      </c>
      <c r="CY19" s="223">
        <f t="shared" si="108"/>
        <v>0</v>
      </c>
      <c r="CZ19" s="223">
        <f t="shared" si="109"/>
        <v>0</v>
      </c>
      <c r="DA19" s="223">
        <f t="shared" si="110"/>
        <v>0</v>
      </c>
      <c r="DB19" s="223">
        <f t="shared" si="111"/>
        <v>0</v>
      </c>
      <c r="DC19" s="223">
        <f t="shared" si="112"/>
        <v>0</v>
      </c>
      <c r="DD19" s="223">
        <f t="shared" si="113"/>
        <v>0</v>
      </c>
      <c r="DE19" s="389"/>
      <c r="DF19" s="223">
        <f t="shared" si="114"/>
        <v>0</v>
      </c>
      <c r="DG19" s="223">
        <f t="shared" si="115"/>
        <v>0</v>
      </c>
      <c r="DH19" s="223">
        <f t="shared" si="116"/>
        <v>0</v>
      </c>
      <c r="DI19" s="223">
        <f t="shared" si="117"/>
        <v>0</v>
      </c>
      <c r="DJ19" s="223">
        <f t="shared" si="118"/>
        <v>0</v>
      </c>
      <c r="DK19" s="223">
        <f t="shared" si="119"/>
        <v>0</v>
      </c>
      <c r="DL19" s="223">
        <f t="shared" si="120"/>
        <v>0</v>
      </c>
      <c r="DM19" s="223">
        <f t="shared" si="121"/>
        <v>0</v>
      </c>
      <c r="DN19" s="223">
        <f t="shared" si="122"/>
        <v>0</v>
      </c>
      <c r="DO19" s="223">
        <f t="shared" si="123"/>
        <v>0</v>
      </c>
      <c r="DP19" s="223">
        <f t="shared" si="124"/>
        <v>0</v>
      </c>
      <c r="DQ19" s="223">
        <f t="shared" si="125"/>
        <v>0</v>
      </c>
      <c r="DR19" s="389"/>
      <c r="DS19" s="31">
        <f t="shared" si="126"/>
        <v>0</v>
      </c>
      <c r="DT19" s="390"/>
      <c r="DU19" s="9"/>
      <c r="DV19" s="8"/>
      <c r="DW19" s="7"/>
      <c r="DX19" s="7"/>
      <c r="DY19" s="7"/>
      <c r="DZ19" s="7"/>
      <c r="EA19" s="7"/>
      <c r="EB19" s="7"/>
      <c r="EC19" s="7"/>
    </row>
    <row r="20" spans="1:133">
      <c r="A20" s="1">
        <v>1</v>
      </c>
      <c r="B20" s="1">
        <v>6</v>
      </c>
      <c r="C20" s="57" t="str">
        <f>'Role Selection'!F17</f>
        <v>///</v>
      </c>
      <c r="D20" s="57">
        <f>'Role Selection'!HO17</f>
        <v>0</v>
      </c>
      <c r="E20" s="62">
        <f>'Role Selection'!H17</f>
        <v>0</v>
      </c>
      <c r="F20" s="223"/>
      <c r="G20" s="223">
        <f t="shared" si="81"/>
        <v>0</v>
      </c>
      <c r="H20" s="223">
        <f t="shared" si="81"/>
        <v>0</v>
      </c>
      <c r="I20" s="223">
        <f t="shared" si="81"/>
        <v>0</v>
      </c>
      <c r="J20" s="223">
        <f t="shared" si="81"/>
        <v>0</v>
      </c>
      <c r="K20" s="223">
        <f t="shared" si="81"/>
        <v>0</v>
      </c>
      <c r="L20" s="223">
        <f t="shared" si="81"/>
        <v>0</v>
      </c>
      <c r="M20" s="223">
        <f t="shared" si="81"/>
        <v>0</v>
      </c>
      <c r="N20" s="223">
        <f t="shared" si="81"/>
        <v>0</v>
      </c>
      <c r="O20" s="223">
        <f t="shared" si="81"/>
        <v>0</v>
      </c>
      <c r="P20" s="223">
        <f t="shared" si="81"/>
        <v>0</v>
      </c>
      <c r="Q20" s="223">
        <f t="shared" si="81"/>
        <v>0</v>
      </c>
      <c r="R20" s="223"/>
      <c r="S20" s="223">
        <f t="shared" si="127"/>
        <v>0</v>
      </c>
      <c r="T20" s="223">
        <f t="shared" si="82"/>
        <v>0</v>
      </c>
      <c r="U20" s="223">
        <f t="shared" si="82"/>
        <v>0</v>
      </c>
      <c r="V20" s="223">
        <f t="shared" si="82"/>
        <v>0</v>
      </c>
      <c r="W20" s="223">
        <f t="shared" si="82"/>
        <v>0</v>
      </c>
      <c r="X20" s="223">
        <f t="shared" si="82"/>
        <v>0</v>
      </c>
      <c r="Y20" s="223">
        <f t="shared" si="82"/>
        <v>0</v>
      </c>
      <c r="Z20" s="223">
        <f t="shared" si="82"/>
        <v>0</v>
      </c>
      <c r="AA20" s="223">
        <f t="shared" si="82"/>
        <v>0</v>
      </c>
      <c r="AB20" s="223">
        <f t="shared" si="82"/>
        <v>0</v>
      </c>
      <c r="AC20" s="223">
        <f t="shared" si="82"/>
        <v>0</v>
      </c>
      <c r="AD20" s="223">
        <f t="shared" si="82"/>
        <v>0</v>
      </c>
      <c r="AE20" s="223"/>
      <c r="AF20" s="223">
        <f t="shared" si="128"/>
        <v>0</v>
      </c>
      <c r="AG20" s="223">
        <f t="shared" si="83"/>
        <v>0</v>
      </c>
      <c r="AH20" s="223">
        <f t="shared" si="83"/>
        <v>0</v>
      </c>
      <c r="AI20" s="223">
        <f t="shared" si="83"/>
        <v>0</v>
      </c>
      <c r="AJ20" s="223">
        <f t="shared" si="83"/>
        <v>0</v>
      </c>
      <c r="AK20" s="223">
        <f t="shared" si="83"/>
        <v>0</v>
      </c>
      <c r="AL20" s="223">
        <f t="shared" si="83"/>
        <v>0</v>
      </c>
      <c r="AM20" s="223">
        <f t="shared" si="83"/>
        <v>0</v>
      </c>
      <c r="AN20" s="223">
        <f t="shared" si="83"/>
        <v>0</v>
      </c>
      <c r="AO20" s="223">
        <f t="shared" si="83"/>
        <v>0</v>
      </c>
      <c r="AP20" s="223">
        <f t="shared" si="83"/>
        <v>0</v>
      </c>
      <c r="AQ20" s="223">
        <f t="shared" si="83"/>
        <v>0</v>
      </c>
      <c r="AR20" s="223"/>
      <c r="AS20" s="223">
        <f t="shared" si="84"/>
        <v>0</v>
      </c>
      <c r="AT20" s="223">
        <f t="shared" si="85"/>
        <v>0</v>
      </c>
      <c r="AU20" s="223">
        <f t="shared" si="85"/>
        <v>0</v>
      </c>
      <c r="AV20" s="223">
        <f t="shared" si="85"/>
        <v>0</v>
      </c>
      <c r="AW20" s="223">
        <f t="shared" si="85"/>
        <v>0</v>
      </c>
      <c r="AX20" s="223">
        <f t="shared" si="85"/>
        <v>0</v>
      </c>
      <c r="AY20" s="223">
        <f t="shared" si="85"/>
        <v>0</v>
      </c>
      <c r="AZ20" s="223">
        <f t="shared" si="85"/>
        <v>0</v>
      </c>
      <c r="BA20" s="223">
        <f t="shared" si="85"/>
        <v>0</v>
      </c>
      <c r="BB20" s="223">
        <f t="shared" si="85"/>
        <v>0</v>
      </c>
      <c r="BC20" s="223">
        <f t="shared" si="85"/>
        <v>0</v>
      </c>
      <c r="BD20" s="223">
        <f t="shared" si="85"/>
        <v>0</v>
      </c>
      <c r="BE20" s="223"/>
      <c r="BF20" s="223">
        <f t="shared" si="86"/>
        <v>0</v>
      </c>
      <c r="BG20" s="223">
        <f t="shared" si="87"/>
        <v>0</v>
      </c>
      <c r="BH20" s="223">
        <f t="shared" si="87"/>
        <v>0</v>
      </c>
      <c r="BI20" s="223">
        <f t="shared" si="87"/>
        <v>0</v>
      </c>
      <c r="BJ20" s="223">
        <f t="shared" si="87"/>
        <v>0</v>
      </c>
      <c r="BK20" s="223">
        <f t="shared" si="87"/>
        <v>0</v>
      </c>
      <c r="BL20" s="223">
        <f t="shared" si="87"/>
        <v>0</v>
      </c>
      <c r="BM20" s="223">
        <f t="shared" si="87"/>
        <v>0</v>
      </c>
      <c r="BN20" s="223">
        <f t="shared" si="87"/>
        <v>0</v>
      </c>
      <c r="BO20" s="223">
        <f t="shared" si="87"/>
        <v>0</v>
      </c>
      <c r="BP20" s="223">
        <f t="shared" si="87"/>
        <v>0</v>
      </c>
      <c r="BQ20" s="223">
        <f t="shared" si="87"/>
        <v>0</v>
      </c>
      <c r="BR20" s="223"/>
      <c r="BS20" s="223">
        <f t="shared" si="88"/>
        <v>0</v>
      </c>
      <c r="BT20" s="223">
        <f t="shared" si="89"/>
        <v>0</v>
      </c>
      <c r="BU20" s="223">
        <f t="shared" si="89"/>
        <v>0</v>
      </c>
      <c r="BV20" s="223">
        <f t="shared" si="89"/>
        <v>0</v>
      </c>
      <c r="BW20" s="223">
        <f t="shared" si="89"/>
        <v>0</v>
      </c>
      <c r="BX20" s="223">
        <f t="shared" si="89"/>
        <v>0</v>
      </c>
      <c r="BY20" s="223">
        <f t="shared" si="89"/>
        <v>0</v>
      </c>
      <c r="BZ20" s="223">
        <f t="shared" si="89"/>
        <v>0</v>
      </c>
      <c r="CA20" s="223">
        <f t="shared" si="89"/>
        <v>0</v>
      </c>
      <c r="CB20" s="223">
        <f t="shared" si="89"/>
        <v>0</v>
      </c>
      <c r="CC20" s="223">
        <f t="shared" si="89"/>
        <v>0</v>
      </c>
      <c r="CD20" s="223">
        <f t="shared" si="89"/>
        <v>0</v>
      </c>
      <c r="CE20" s="389"/>
      <c r="CF20" s="223">
        <f t="shared" si="90"/>
        <v>0</v>
      </c>
      <c r="CG20" s="223">
        <f t="shared" si="91"/>
        <v>0</v>
      </c>
      <c r="CH20" s="223">
        <f t="shared" si="92"/>
        <v>0</v>
      </c>
      <c r="CI20" s="223">
        <f t="shared" si="93"/>
        <v>0</v>
      </c>
      <c r="CJ20" s="223">
        <f t="shared" si="94"/>
        <v>0</v>
      </c>
      <c r="CK20" s="223">
        <f t="shared" si="95"/>
        <v>0</v>
      </c>
      <c r="CL20" s="223">
        <f t="shared" si="96"/>
        <v>0</v>
      </c>
      <c r="CM20" s="223">
        <f t="shared" si="97"/>
        <v>0</v>
      </c>
      <c r="CN20" s="223">
        <f t="shared" si="98"/>
        <v>0</v>
      </c>
      <c r="CO20" s="223">
        <f t="shared" si="99"/>
        <v>0</v>
      </c>
      <c r="CP20" s="223">
        <f t="shared" si="100"/>
        <v>0</v>
      </c>
      <c r="CQ20" s="223">
        <f t="shared" si="101"/>
        <v>0</v>
      </c>
      <c r="CR20" s="389"/>
      <c r="CS20" s="223">
        <f t="shared" si="102"/>
        <v>0</v>
      </c>
      <c r="CT20" s="223">
        <f t="shared" si="103"/>
        <v>0</v>
      </c>
      <c r="CU20" s="223">
        <f t="shared" si="104"/>
        <v>0</v>
      </c>
      <c r="CV20" s="223">
        <f t="shared" si="105"/>
        <v>0</v>
      </c>
      <c r="CW20" s="223">
        <f t="shared" si="106"/>
        <v>0</v>
      </c>
      <c r="CX20" s="223">
        <f t="shared" si="107"/>
        <v>0</v>
      </c>
      <c r="CY20" s="223">
        <f t="shared" si="108"/>
        <v>0</v>
      </c>
      <c r="CZ20" s="223">
        <f t="shared" si="109"/>
        <v>0</v>
      </c>
      <c r="DA20" s="223">
        <f t="shared" si="110"/>
        <v>0</v>
      </c>
      <c r="DB20" s="223">
        <f t="shared" si="111"/>
        <v>0</v>
      </c>
      <c r="DC20" s="223">
        <f t="shared" si="112"/>
        <v>0</v>
      </c>
      <c r="DD20" s="223">
        <f t="shared" si="113"/>
        <v>0</v>
      </c>
      <c r="DE20" s="389"/>
      <c r="DF20" s="223">
        <f t="shared" si="114"/>
        <v>0</v>
      </c>
      <c r="DG20" s="223">
        <f t="shared" si="115"/>
        <v>0</v>
      </c>
      <c r="DH20" s="223">
        <f t="shared" si="116"/>
        <v>0</v>
      </c>
      <c r="DI20" s="223">
        <f t="shared" si="117"/>
        <v>0</v>
      </c>
      <c r="DJ20" s="223">
        <f t="shared" si="118"/>
        <v>0</v>
      </c>
      <c r="DK20" s="223">
        <f t="shared" si="119"/>
        <v>0</v>
      </c>
      <c r="DL20" s="223">
        <f t="shared" si="120"/>
        <v>0</v>
      </c>
      <c r="DM20" s="223">
        <f t="shared" si="121"/>
        <v>0</v>
      </c>
      <c r="DN20" s="223">
        <f t="shared" si="122"/>
        <v>0</v>
      </c>
      <c r="DO20" s="223">
        <f t="shared" si="123"/>
        <v>0</v>
      </c>
      <c r="DP20" s="223">
        <f t="shared" si="124"/>
        <v>0</v>
      </c>
      <c r="DQ20" s="223">
        <f t="shared" si="125"/>
        <v>0</v>
      </c>
      <c r="DR20" s="389"/>
      <c r="DS20" s="31">
        <f t="shared" si="126"/>
        <v>0</v>
      </c>
      <c r="DT20" s="390"/>
      <c r="DU20" s="9"/>
      <c r="DV20" s="8"/>
      <c r="DW20" s="7"/>
      <c r="DX20" s="7"/>
      <c r="DY20" s="7"/>
      <c r="DZ20" s="7"/>
      <c r="EA20" s="7"/>
      <c r="EB20" s="7"/>
      <c r="EC20" s="7"/>
    </row>
    <row r="21" spans="1:133">
      <c r="C21" s="57" t="str">
        <f>'Role Selection'!F18</f>
        <v>///</v>
      </c>
      <c r="D21" s="57">
        <f>'Role Selection'!HO18</f>
        <v>0</v>
      </c>
      <c r="E21" s="62">
        <f>'Role Selection'!H18</f>
        <v>0</v>
      </c>
      <c r="F21" s="223"/>
      <c r="G21" s="223">
        <f t="shared" si="81"/>
        <v>0</v>
      </c>
      <c r="H21" s="223">
        <f t="shared" si="81"/>
        <v>0</v>
      </c>
      <c r="I21" s="223">
        <f t="shared" si="81"/>
        <v>0</v>
      </c>
      <c r="J21" s="223">
        <f t="shared" si="81"/>
        <v>0</v>
      </c>
      <c r="K21" s="223">
        <f t="shared" si="81"/>
        <v>0</v>
      </c>
      <c r="L21" s="223">
        <f t="shared" si="81"/>
        <v>0</v>
      </c>
      <c r="M21" s="223">
        <f t="shared" si="81"/>
        <v>0</v>
      </c>
      <c r="N21" s="223">
        <f t="shared" si="81"/>
        <v>0</v>
      </c>
      <c r="O21" s="223">
        <f t="shared" si="81"/>
        <v>0</v>
      </c>
      <c r="P21" s="223">
        <f t="shared" si="81"/>
        <v>0</v>
      </c>
      <c r="Q21" s="223">
        <f t="shared" si="81"/>
        <v>0</v>
      </c>
      <c r="R21" s="223"/>
      <c r="S21" s="223">
        <f t="shared" si="127"/>
        <v>0</v>
      </c>
      <c r="T21" s="223">
        <f t="shared" si="82"/>
        <v>0</v>
      </c>
      <c r="U21" s="223">
        <f t="shared" si="82"/>
        <v>0</v>
      </c>
      <c r="V21" s="223">
        <f t="shared" si="82"/>
        <v>0</v>
      </c>
      <c r="W21" s="223">
        <f t="shared" si="82"/>
        <v>0</v>
      </c>
      <c r="X21" s="223">
        <f t="shared" si="82"/>
        <v>0</v>
      </c>
      <c r="Y21" s="223">
        <f t="shared" si="82"/>
        <v>0</v>
      </c>
      <c r="Z21" s="223">
        <f t="shared" si="82"/>
        <v>0</v>
      </c>
      <c r="AA21" s="223">
        <f t="shared" si="82"/>
        <v>0</v>
      </c>
      <c r="AB21" s="223">
        <f t="shared" si="82"/>
        <v>0</v>
      </c>
      <c r="AC21" s="223">
        <f t="shared" si="82"/>
        <v>0</v>
      </c>
      <c r="AD21" s="223">
        <f t="shared" si="82"/>
        <v>0</v>
      </c>
      <c r="AE21" s="223"/>
      <c r="AF21" s="223">
        <f t="shared" si="128"/>
        <v>0</v>
      </c>
      <c r="AG21" s="223">
        <f t="shared" si="83"/>
        <v>0</v>
      </c>
      <c r="AH21" s="223">
        <f t="shared" si="83"/>
        <v>0</v>
      </c>
      <c r="AI21" s="223">
        <f t="shared" si="83"/>
        <v>0</v>
      </c>
      <c r="AJ21" s="223">
        <f t="shared" si="83"/>
        <v>0</v>
      </c>
      <c r="AK21" s="223">
        <f t="shared" si="83"/>
        <v>0</v>
      </c>
      <c r="AL21" s="223">
        <f t="shared" si="83"/>
        <v>0</v>
      </c>
      <c r="AM21" s="223">
        <f t="shared" si="83"/>
        <v>0</v>
      </c>
      <c r="AN21" s="223">
        <f t="shared" si="83"/>
        <v>0</v>
      </c>
      <c r="AO21" s="223">
        <f t="shared" si="83"/>
        <v>0</v>
      </c>
      <c r="AP21" s="223">
        <f t="shared" si="83"/>
        <v>0</v>
      </c>
      <c r="AQ21" s="223">
        <f t="shared" si="83"/>
        <v>0</v>
      </c>
      <c r="AR21" s="223"/>
      <c r="AS21" s="223">
        <f t="shared" si="84"/>
        <v>0</v>
      </c>
      <c r="AT21" s="223">
        <f t="shared" si="85"/>
        <v>0</v>
      </c>
      <c r="AU21" s="223">
        <f t="shared" si="85"/>
        <v>0</v>
      </c>
      <c r="AV21" s="223">
        <f t="shared" si="85"/>
        <v>0</v>
      </c>
      <c r="AW21" s="223">
        <f t="shared" si="85"/>
        <v>0</v>
      </c>
      <c r="AX21" s="223">
        <f t="shared" si="85"/>
        <v>0</v>
      </c>
      <c r="AY21" s="223">
        <f t="shared" si="85"/>
        <v>0</v>
      </c>
      <c r="AZ21" s="223">
        <f t="shared" si="85"/>
        <v>0</v>
      </c>
      <c r="BA21" s="223">
        <f t="shared" si="85"/>
        <v>0</v>
      </c>
      <c r="BB21" s="223">
        <f t="shared" si="85"/>
        <v>0</v>
      </c>
      <c r="BC21" s="223">
        <f t="shared" si="85"/>
        <v>0</v>
      </c>
      <c r="BD21" s="223">
        <f t="shared" si="85"/>
        <v>0</v>
      </c>
      <c r="BE21" s="223"/>
      <c r="BF21" s="223">
        <f t="shared" si="86"/>
        <v>0</v>
      </c>
      <c r="BG21" s="223">
        <f t="shared" si="87"/>
        <v>0</v>
      </c>
      <c r="BH21" s="223">
        <f t="shared" si="87"/>
        <v>0</v>
      </c>
      <c r="BI21" s="223">
        <f t="shared" si="87"/>
        <v>0</v>
      </c>
      <c r="BJ21" s="223">
        <f t="shared" si="87"/>
        <v>0</v>
      </c>
      <c r="BK21" s="223">
        <f t="shared" si="87"/>
        <v>0</v>
      </c>
      <c r="BL21" s="223">
        <f t="shared" si="87"/>
        <v>0</v>
      </c>
      <c r="BM21" s="223">
        <f t="shared" si="87"/>
        <v>0</v>
      </c>
      <c r="BN21" s="223">
        <f t="shared" si="87"/>
        <v>0</v>
      </c>
      <c r="BO21" s="223">
        <f t="shared" si="87"/>
        <v>0</v>
      </c>
      <c r="BP21" s="223">
        <f t="shared" si="87"/>
        <v>0</v>
      </c>
      <c r="BQ21" s="223">
        <f t="shared" si="87"/>
        <v>0</v>
      </c>
      <c r="BR21" s="223"/>
      <c r="BS21" s="223">
        <f t="shared" si="88"/>
        <v>0</v>
      </c>
      <c r="BT21" s="223">
        <f t="shared" si="89"/>
        <v>0</v>
      </c>
      <c r="BU21" s="223">
        <f t="shared" si="89"/>
        <v>0</v>
      </c>
      <c r="BV21" s="223">
        <f t="shared" si="89"/>
        <v>0</v>
      </c>
      <c r="BW21" s="223">
        <f t="shared" si="89"/>
        <v>0</v>
      </c>
      <c r="BX21" s="223">
        <f t="shared" si="89"/>
        <v>0</v>
      </c>
      <c r="BY21" s="223">
        <f t="shared" si="89"/>
        <v>0</v>
      </c>
      <c r="BZ21" s="223">
        <f t="shared" si="89"/>
        <v>0</v>
      </c>
      <c r="CA21" s="223">
        <f t="shared" si="89"/>
        <v>0</v>
      </c>
      <c r="CB21" s="223">
        <f t="shared" si="89"/>
        <v>0</v>
      </c>
      <c r="CC21" s="223">
        <f t="shared" si="89"/>
        <v>0</v>
      </c>
      <c r="CD21" s="223">
        <f t="shared" si="89"/>
        <v>0</v>
      </c>
      <c r="CE21" s="389"/>
      <c r="CF21" s="223">
        <f t="shared" si="90"/>
        <v>0</v>
      </c>
      <c r="CG21" s="223">
        <f t="shared" si="91"/>
        <v>0</v>
      </c>
      <c r="CH21" s="223">
        <f t="shared" si="92"/>
        <v>0</v>
      </c>
      <c r="CI21" s="223">
        <f t="shared" si="93"/>
        <v>0</v>
      </c>
      <c r="CJ21" s="223">
        <f t="shared" si="94"/>
        <v>0</v>
      </c>
      <c r="CK21" s="223">
        <f t="shared" si="95"/>
        <v>0</v>
      </c>
      <c r="CL21" s="223">
        <f t="shared" si="96"/>
        <v>0</v>
      </c>
      <c r="CM21" s="223">
        <f t="shared" si="97"/>
        <v>0</v>
      </c>
      <c r="CN21" s="223">
        <f t="shared" si="98"/>
        <v>0</v>
      </c>
      <c r="CO21" s="223">
        <f t="shared" si="99"/>
        <v>0</v>
      </c>
      <c r="CP21" s="223">
        <f t="shared" si="100"/>
        <v>0</v>
      </c>
      <c r="CQ21" s="223">
        <f t="shared" si="101"/>
        <v>0</v>
      </c>
      <c r="CR21" s="389"/>
      <c r="CS21" s="223">
        <f t="shared" si="102"/>
        <v>0</v>
      </c>
      <c r="CT21" s="223">
        <f t="shared" si="103"/>
        <v>0</v>
      </c>
      <c r="CU21" s="223">
        <f t="shared" si="104"/>
        <v>0</v>
      </c>
      <c r="CV21" s="223">
        <f t="shared" si="105"/>
        <v>0</v>
      </c>
      <c r="CW21" s="223">
        <f t="shared" si="106"/>
        <v>0</v>
      </c>
      <c r="CX21" s="223">
        <f t="shared" si="107"/>
        <v>0</v>
      </c>
      <c r="CY21" s="223">
        <f t="shared" si="108"/>
        <v>0</v>
      </c>
      <c r="CZ21" s="223">
        <f t="shared" si="109"/>
        <v>0</v>
      </c>
      <c r="DA21" s="223">
        <f t="shared" si="110"/>
        <v>0</v>
      </c>
      <c r="DB21" s="223">
        <f t="shared" si="111"/>
        <v>0</v>
      </c>
      <c r="DC21" s="223">
        <f t="shared" si="112"/>
        <v>0</v>
      </c>
      <c r="DD21" s="223">
        <f t="shared" si="113"/>
        <v>0</v>
      </c>
      <c r="DE21" s="389"/>
      <c r="DF21" s="223">
        <f t="shared" si="114"/>
        <v>0</v>
      </c>
      <c r="DG21" s="223">
        <f t="shared" si="115"/>
        <v>0</v>
      </c>
      <c r="DH21" s="223">
        <f t="shared" si="116"/>
        <v>0</v>
      </c>
      <c r="DI21" s="223">
        <f t="shared" si="117"/>
        <v>0</v>
      </c>
      <c r="DJ21" s="223">
        <f t="shared" si="118"/>
        <v>0</v>
      </c>
      <c r="DK21" s="223">
        <f t="shared" si="119"/>
        <v>0</v>
      </c>
      <c r="DL21" s="223">
        <f t="shared" si="120"/>
        <v>0</v>
      </c>
      <c r="DM21" s="223">
        <f t="shared" si="121"/>
        <v>0</v>
      </c>
      <c r="DN21" s="223">
        <f t="shared" si="122"/>
        <v>0</v>
      </c>
      <c r="DO21" s="223">
        <f t="shared" si="123"/>
        <v>0</v>
      </c>
      <c r="DP21" s="223">
        <f t="shared" si="124"/>
        <v>0</v>
      </c>
      <c r="DQ21" s="223">
        <f t="shared" si="125"/>
        <v>0</v>
      </c>
      <c r="DR21" s="389"/>
      <c r="DS21" s="31">
        <f t="shared" si="126"/>
        <v>0</v>
      </c>
      <c r="DT21" s="390"/>
      <c r="DU21" s="9"/>
      <c r="DV21" s="8"/>
      <c r="DW21" s="7"/>
      <c r="DX21" s="7"/>
      <c r="DY21" s="7"/>
      <c r="DZ21" s="7"/>
      <c r="EA21" s="7"/>
      <c r="EB21" s="7"/>
      <c r="EC21" s="7"/>
    </row>
    <row r="22" spans="1:133">
      <c r="A22" s="1">
        <v>1</v>
      </c>
      <c r="B22" s="1">
        <v>7</v>
      </c>
      <c r="C22" s="57" t="str">
        <f>'Role Selection'!F19</f>
        <v>///</v>
      </c>
      <c r="D22" s="57">
        <f>'Role Selection'!HO19</f>
        <v>0</v>
      </c>
      <c r="E22" s="62">
        <f>'Role Selection'!H19</f>
        <v>0</v>
      </c>
      <c r="F22" s="223"/>
      <c r="G22" s="223">
        <f t="shared" si="81"/>
        <v>0</v>
      </c>
      <c r="H22" s="223">
        <f t="shared" si="81"/>
        <v>0</v>
      </c>
      <c r="I22" s="223">
        <f t="shared" si="81"/>
        <v>0</v>
      </c>
      <c r="J22" s="223">
        <f t="shared" si="81"/>
        <v>0</v>
      </c>
      <c r="K22" s="223">
        <f t="shared" si="81"/>
        <v>0</v>
      </c>
      <c r="L22" s="223">
        <f t="shared" si="81"/>
        <v>0</v>
      </c>
      <c r="M22" s="223">
        <f t="shared" si="81"/>
        <v>0</v>
      </c>
      <c r="N22" s="223">
        <f t="shared" si="81"/>
        <v>0</v>
      </c>
      <c r="O22" s="223">
        <f t="shared" si="81"/>
        <v>0</v>
      </c>
      <c r="P22" s="223">
        <f t="shared" si="81"/>
        <v>0</v>
      </c>
      <c r="Q22" s="223">
        <f t="shared" si="81"/>
        <v>0</v>
      </c>
      <c r="R22" s="223"/>
      <c r="S22" s="223">
        <f t="shared" si="127"/>
        <v>0</v>
      </c>
      <c r="T22" s="223">
        <f t="shared" si="82"/>
        <v>0</v>
      </c>
      <c r="U22" s="223">
        <f t="shared" si="82"/>
        <v>0</v>
      </c>
      <c r="V22" s="223">
        <f t="shared" si="82"/>
        <v>0</v>
      </c>
      <c r="W22" s="223">
        <f t="shared" si="82"/>
        <v>0</v>
      </c>
      <c r="X22" s="223">
        <f t="shared" si="82"/>
        <v>0</v>
      </c>
      <c r="Y22" s="223">
        <f t="shared" si="82"/>
        <v>0</v>
      </c>
      <c r="Z22" s="223">
        <f t="shared" si="82"/>
        <v>0</v>
      </c>
      <c r="AA22" s="223">
        <f t="shared" si="82"/>
        <v>0</v>
      </c>
      <c r="AB22" s="223">
        <f t="shared" si="82"/>
        <v>0</v>
      </c>
      <c r="AC22" s="223">
        <f t="shared" si="82"/>
        <v>0</v>
      </c>
      <c r="AD22" s="223">
        <f t="shared" si="82"/>
        <v>0</v>
      </c>
      <c r="AE22" s="223"/>
      <c r="AF22" s="223">
        <f t="shared" si="128"/>
        <v>0</v>
      </c>
      <c r="AG22" s="223">
        <f t="shared" si="83"/>
        <v>0</v>
      </c>
      <c r="AH22" s="223">
        <f t="shared" si="83"/>
        <v>0</v>
      </c>
      <c r="AI22" s="223">
        <f t="shared" si="83"/>
        <v>0</v>
      </c>
      <c r="AJ22" s="223">
        <f t="shared" si="83"/>
        <v>0</v>
      </c>
      <c r="AK22" s="223">
        <f t="shared" si="83"/>
        <v>0</v>
      </c>
      <c r="AL22" s="223">
        <f t="shared" si="83"/>
        <v>0</v>
      </c>
      <c r="AM22" s="223">
        <f t="shared" si="83"/>
        <v>0</v>
      </c>
      <c r="AN22" s="223">
        <f t="shared" si="83"/>
        <v>0</v>
      </c>
      <c r="AO22" s="223">
        <f t="shared" si="83"/>
        <v>0</v>
      </c>
      <c r="AP22" s="223">
        <f t="shared" si="83"/>
        <v>0</v>
      </c>
      <c r="AQ22" s="223">
        <f t="shared" si="83"/>
        <v>0</v>
      </c>
      <c r="AR22" s="223"/>
      <c r="AS22" s="223">
        <f t="shared" si="84"/>
        <v>0</v>
      </c>
      <c r="AT22" s="223">
        <f t="shared" si="85"/>
        <v>0</v>
      </c>
      <c r="AU22" s="223">
        <f t="shared" si="85"/>
        <v>0</v>
      </c>
      <c r="AV22" s="223">
        <f t="shared" si="85"/>
        <v>0</v>
      </c>
      <c r="AW22" s="223">
        <f t="shared" si="85"/>
        <v>0</v>
      </c>
      <c r="AX22" s="223">
        <f t="shared" si="85"/>
        <v>0</v>
      </c>
      <c r="AY22" s="223">
        <f t="shared" si="85"/>
        <v>0</v>
      </c>
      <c r="AZ22" s="223">
        <f t="shared" si="85"/>
        <v>0</v>
      </c>
      <c r="BA22" s="223">
        <f t="shared" si="85"/>
        <v>0</v>
      </c>
      <c r="BB22" s="223">
        <f t="shared" si="85"/>
        <v>0</v>
      </c>
      <c r="BC22" s="223">
        <f t="shared" si="85"/>
        <v>0</v>
      </c>
      <c r="BD22" s="223">
        <f t="shared" si="85"/>
        <v>0</v>
      </c>
      <c r="BE22" s="223"/>
      <c r="BF22" s="223">
        <f t="shared" si="86"/>
        <v>0</v>
      </c>
      <c r="BG22" s="223">
        <f t="shared" si="87"/>
        <v>0</v>
      </c>
      <c r="BH22" s="223">
        <f t="shared" si="87"/>
        <v>0</v>
      </c>
      <c r="BI22" s="223">
        <f t="shared" si="87"/>
        <v>0</v>
      </c>
      <c r="BJ22" s="223">
        <f t="shared" si="87"/>
        <v>0</v>
      </c>
      <c r="BK22" s="223">
        <f t="shared" si="87"/>
        <v>0</v>
      </c>
      <c r="BL22" s="223">
        <f t="shared" si="87"/>
        <v>0</v>
      </c>
      <c r="BM22" s="223">
        <f t="shared" si="87"/>
        <v>0</v>
      </c>
      <c r="BN22" s="223">
        <f t="shared" si="87"/>
        <v>0</v>
      </c>
      <c r="BO22" s="223">
        <f t="shared" si="87"/>
        <v>0</v>
      </c>
      <c r="BP22" s="223">
        <f t="shared" si="87"/>
        <v>0</v>
      </c>
      <c r="BQ22" s="223">
        <f t="shared" si="87"/>
        <v>0</v>
      </c>
      <c r="BR22" s="223"/>
      <c r="BS22" s="223">
        <f t="shared" si="88"/>
        <v>0</v>
      </c>
      <c r="BT22" s="223">
        <f t="shared" si="89"/>
        <v>0</v>
      </c>
      <c r="BU22" s="223">
        <f t="shared" si="89"/>
        <v>0</v>
      </c>
      <c r="BV22" s="223">
        <f t="shared" si="89"/>
        <v>0</v>
      </c>
      <c r="BW22" s="223">
        <f t="shared" si="89"/>
        <v>0</v>
      </c>
      <c r="BX22" s="223">
        <f t="shared" si="89"/>
        <v>0</v>
      </c>
      <c r="BY22" s="223">
        <f t="shared" si="89"/>
        <v>0</v>
      </c>
      <c r="BZ22" s="223">
        <f t="shared" si="89"/>
        <v>0</v>
      </c>
      <c r="CA22" s="223">
        <f t="shared" si="89"/>
        <v>0</v>
      </c>
      <c r="CB22" s="223">
        <f t="shared" si="89"/>
        <v>0</v>
      </c>
      <c r="CC22" s="223">
        <f t="shared" si="89"/>
        <v>0</v>
      </c>
      <c r="CD22" s="223">
        <f t="shared" si="89"/>
        <v>0</v>
      </c>
      <c r="CE22" s="389"/>
      <c r="CF22" s="223">
        <f t="shared" si="90"/>
        <v>0</v>
      </c>
      <c r="CG22" s="223">
        <f t="shared" si="91"/>
        <v>0</v>
      </c>
      <c r="CH22" s="223">
        <f t="shared" si="92"/>
        <v>0</v>
      </c>
      <c r="CI22" s="223">
        <f t="shared" si="93"/>
        <v>0</v>
      </c>
      <c r="CJ22" s="223">
        <f t="shared" si="94"/>
        <v>0</v>
      </c>
      <c r="CK22" s="223">
        <f t="shared" si="95"/>
        <v>0</v>
      </c>
      <c r="CL22" s="223">
        <f t="shared" si="96"/>
        <v>0</v>
      </c>
      <c r="CM22" s="223">
        <f t="shared" si="97"/>
        <v>0</v>
      </c>
      <c r="CN22" s="223">
        <f t="shared" si="98"/>
        <v>0</v>
      </c>
      <c r="CO22" s="223">
        <f t="shared" si="99"/>
        <v>0</v>
      </c>
      <c r="CP22" s="223">
        <f t="shared" si="100"/>
        <v>0</v>
      </c>
      <c r="CQ22" s="223">
        <f t="shared" si="101"/>
        <v>0</v>
      </c>
      <c r="CR22" s="389"/>
      <c r="CS22" s="223">
        <f t="shared" si="102"/>
        <v>0</v>
      </c>
      <c r="CT22" s="223">
        <f t="shared" si="103"/>
        <v>0</v>
      </c>
      <c r="CU22" s="223">
        <f t="shared" si="104"/>
        <v>0</v>
      </c>
      <c r="CV22" s="223">
        <f t="shared" si="105"/>
        <v>0</v>
      </c>
      <c r="CW22" s="223">
        <f t="shared" si="106"/>
        <v>0</v>
      </c>
      <c r="CX22" s="223">
        <f t="shared" si="107"/>
        <v>0</v>
      </c>
      <c r="CY22" s="223">
        <f t="shared" si="108"/>
        <v>0</v>
      </c>
      <c r="CZ22" s="223">
        <f t="shared" si="109"/>
        <v>0</v>
      </c>
      <c r="DA22" s="223">
        <f t="shared" si="110"/>
        <v>0</v>
      </c>
      <c r="DB22" s="223">
        <f t="shared" si="111"/>
        <v>0</v>
      </c>
      <c r="DC22" s="223">
        <f t="shared" si="112"/>
        <v>0</v>
      </c>
      <c r="DD22" s="223">
        <f t="shared" si="113"/>
        <v>0</v>
      </c>
      <c r="DE22" s="389"/>
      <c r="DF22" s="223">
        <f t="shared" si="114"/>
        <v>0</v>
      </c>
      <c r="DG22" s="223">
        <f t="shared" si="115"/>
        <v>0</v>
      </c>
      <c r="DH22" s="223">
        <f t="shared" si="116"/>
        <v>0</v>
      </c>
      <c r="DI22" s="223">
        <f t="shared" si="117"/>
        <v>0</v>
      </c>
      <c r="DJ22" s="223">
        <f t="shared" si="118"/>
        <v>0</v>
      </c>
      <c r="DK22" s="223">
        <f t="shared" si="119"/>
        <v>0</v>
      </c>
      <c r="DL22" s="223">
        <f t="shared" si="120"/>
        <v>0</v>
      </c>
      <c r="DM22" s="223">
        <f t="shared" si="121"/>
        <v>0</v>
      </c>
      <c r="DN22" s="223">
        <f t="shared" si="122"/>
        <v>0</v>
      </c>
      <c r="DO22" s="223">
        <f t="shared" si="123"/>
        <v>0</v>
      </c>
      <c r="DP22" s="223">
        <f t="shared" si="124"/>
        <v>0</v>
      </c>
      <c r="DQ22" s="223">
        <f t="shared" si="125"/>
        <v>0</v>
      </c>
      <c r="DR22" s="389"/>
      <c r="DS22" s="31">
        <f t="shared" si="126"/>
        <v>0</v>
      </c>
      <c r="DT22" s="390"/>
      <c r="DU22" s="9"/>
      <c r="DV22" s="8"/>
      <c r="DW22" s="7"/>
      <c r="DX22" s="7"/>
      <c r="DY22" s="7"/>
      <c r="DZ22" s="7"/>
      <c r="EA22" s="7"/>
      <c r="EB22" s="7"/>
      <c r="EC22" s="7"/>
    </row>
    <row r="23" spans="1:133">
      <c r="C23" s="57" t="str">
        <f>'Role Selection'!F20</f>
        <v>///</v>
      </c>
      <c r="D23" s="57">
        <f>'Role Selection'!HO20</f>
        <v>0</v>
      </c>
      <c r="E23" s="62">
        <f>'Role Selection'!H20</f>
        <v>0</v>
      </c>
      <c r="F23" s="223"/>
      <c r="G23" s="223">
        <f t="shared" si="81"/>
        <v>0</v>
      </c>
      <c r="H23" s="223">
        <f t="shared" si="81"/>
        <v>0</v>
      </c>
      <c r="I23" s="223">
        <f t="shared" si="81"/>
        <v>0</v>
      </c>
      <c r="J23" s="223">
        <f t="shared" si="81"/>
        <v>0</v>
      </c>
      <c r="K23" s="223">
        <f t="shared" si="81"/>
        <v>0</v>
      </c>
      <c r="L23" s="223">
        <f t="shared" si="81"/>
        <v>0</v>
      </c>
      <c r="M23" s="223">
        <f t="shared" si="81"/>
        <v>0</v>
      </c>
      <c r="N23" s="223">
        <f t="shared" si="81"/>
        <v>0</v>
      </c>
      <c r="O23" s="223">
        <f t="shared" si="81"/>
        <v>0</v>
      </c>
      <c r="P23" s="223">
        <f t="shared" si="81"/>
        <v>0</v>
      </c>
      <c r="Q23" s="223">
        <f t="shared" si="81"/>
        <v>0</v>
      </c>
      <c r="R23" s="223"/>
      <c r="S23" s="223">
        <f t="shared" si="127"/>
        <v>0</v>
      </c>
      <c r="T23" s="223">
        <f t="shared" si="82"/>
        <v>0</v>
      </c>
      <c r="U23" s="223">
        <f t="shared" si="82"/>
        <v>0</v>
      </c>
      <c r="V23" s="223">
        <f t="shared" si="82"/>
        <v>0</v>
      </c>
      <c r="W23" s="223">
        <f t="shared" si="82"/>
        <v>0</v>
      </c>
      <c r="X23" s="223">
        <f t="shared" si="82"/>
        <v>0</v>
      </c>
      <c r="Y23" s="223">
        <f t="shared" si="82"/>
        <v>0</v>
      </c>
      <c r="Z23" s="223">
        <f t="shared" si="82"/>
        <v>0</v>
      </c>
      <c r="AA23" s="223">
        <f t="shared" si="82"/>
        <v>0</v>
      </c>
      <c r="AB23" s="223">
        <f t="shared" si="82"/>
        <v>0</v>
      </c>
      <c r="AC23" s="223">
        <f t="shared" si="82"/>
        <v>0</v>
      </c>
      <c r="AD23" s="223">
        <f t="shared" si="82"/>
        <v>0</v>
      </c>
      <c r="AE23" s="223"/>
      <c r="AF23" s="223">
        <f t="shared" si="128"/>
        <v>0</v>
      </c>
      <c r="AG23" s="223">
        <f t="shared" si="83"/>
        <v>0</v>
      </c>
      <c r="AH23" s="223">
        <f t="shared" si="83"/>
        <v>0</v>
      </c>
      <c r="AI23" s="223">
        <f t="shared" si="83"/>
        <v>0</v>
      </c>
      <c r="AJ23" s="223">
        <f t="shared" si="83"/>
        <v>0</v>
      </c>
      <c r="AK23" s="223">
        <f t="shared" si="83"/>
        <v>0</v>
      </c>
      <c r="AL23" s="223">
        <f t="shared" si="83"/>
        <v>0</v>
      </c>
      <c r="AM23" s="223">
        <f t="shared" si="83"/>
        <v>0</v>
      </c>
      <c r="AN23" s="223">
        <f t="shared" si="83"/>
        <v>0</v>
      </c>
      <c r="AO23" s="223">
        <f t="shared" si="83"/>
        <v>0</v>
      </c>
      <c r="AP23" s="223">
        <f t="shared" si="83"/>
        <v>0</v>
      </c>
      <c r="AQ23" s="223">
        <f t="shared" si="83"/>
        <v>0</v>
      </c>
      <c r="AR23" s="223"/>
      <c r="AS23" s="223">
        <f t="shared" si="84"/>
        <v>0</v>
      </c>
      <c r="AT23" s="223">
        <f t="shared" si="85"/>
        <v>0</v>
      </c>
      <c r="AU23" s="223">
        <f t="shared" si="85"/>
        <v>0</v>
      </c>
      <c r="AV23" s="223">
        <f t="shared" si="85"/>
        <v>0</v>
      </c>
      <c r="AW23" s="223">
        <f t="shared" si="85"/>
        <v>0</v>
      </c>
      <c r="AX23" s="223">
        <f t="shared" si="85"/>
        <v>0</v>
      </c>
      <c r="AY23" s="223">
        <f t="shared" si="85"/>
        <v>0</v>
      </c>
      <c r="AZ23" s="223">
        <f t="shared" si="85"/>
        <v>0</v>
      </c>
      <c r="BA23" s="223">
        <f t="shared" si="85"/>
        <v>0</v>
      </c>
      <c r="BB23" s="223">
        <f t="shared" si="85"/>
        <v>0</v>
      </c>
      <c r="BC23" s="223">
        <f t="shared" si="85"/>
        <v>0</v>
      </c>
      <c r="BD23" s="223">
        <f t="shared" si="85"/>
        <v>0</v>
      </c>
      <c r="BE23" s="223"/>
      <c r="BF23" s="223">
        <f t="shared" si="86"/>
        <v>0</v>
      </c>
      <c r="BG23" s="223">
        <f t="shared" si="87"/>
        <v>0</v>
      </c>
      <c r="BH23" s="223">
        <f t="shared" si="87"/>
        <v>0</v>
      </c>
      <c r="BI23" s="223">
        <f t="shared" si="87"/>
        <v>0</v>
      </c>
      <c r="BJ23" s="223">
        <f t="shared" si="87"/>
        <v>0</v>
      </c>
      <c r="BK23" s="223">
        <f t="shared" si="87"/>
        <v>0</v>
      </c>
      <c r="BL23" s="223">
        <f t="shared" si="87"/>
        <v>0</v>
      </c>
      <c r="BM23" s="223">
        <f t="shared" si="87"/>
        <v>0</v>
      </c>
      <c r="BN23" s="223">
        <f t="shared" si="87"/>
        <v>0</v>
      </c>
      <c r="BO23" s="223">
        <f t="shared" si="87"/>
        <v>0</v>
      </c>
      <c r="BP23" s="223">
        <f t="shared" si="87"/>
        <v>0</v>
      </c>
      <c r="BQ23" s="223">
        <f t="shared" si="87"/>
        <v>0</v>
      </c>
      <c r="BR23" s="223"/>
      <c r="BS23" s="223">
        <f t="shared" si="88"/>
        <v>0</v>
      </c>
      <c r="BT23" s="223">
        <f t="shared" si="89"/>
        <v>0</v>
      </c>
      <c r="BU23" s="223">
        <f t="shared" si="89"/>
        <v>0</v>
      </c>
      <c r="BV23" s="223">
        <f t="shared" si="89"/>
        <v>0</v>
      </c>
      <c r="BW23" s="223">
        <f t="shared" si="89"/>
        <v>0</v>
      </c>
      <c r="BX23" s="223">
        <f t="shared" si="89"/>
        <v>0</v>
      </c>
      <c r="BY23" s="223">
        <f t="shared" si="89"/>
        <v>0</v>
      </c>
      <c r="BZ23" s="223">
        <f t="shared" si="89"/>
        <v>0</v>
      </c>
      <c r="CA23" s="223">
        <f t="shared" si="89"/>
        <v>0</v>
      </c>
      <c r="CB23" s="223">
        <f t="shared" si="89"/>
        <v>0</v>
      </c>
      <c r="CC23" s="223">
        <f t="shared" si="89"/>
        <v>0</v>
      </c>
      <c r="CD23" s="223">
        <f t="shared" si="89"/>
        <v>0</v>
      </c>
      <c r="CE23" s="389"/>
      <c r="CF23" s="223">
        <f t="shared" si="90"/>
        <v>0</v>
      </c>
      <c r="CG23" s="223">
        <f t="shared" si="91"/>
        <v>0</v>
      </c>
      <c r="CH23" s="223">
        <f t="shared" si="92"/>
        <v>0</v>
      </c>
      <c r="CI23" s="223">
        <f t="shared" si="93"/>
        <v>0</v>
      </c>
      <c r="CJ23" s="223">
        <f t="shared" si="94"/>
        <v>0</v>
      </c>
      <c r="CK23" s="223">
        <f t="shared" si="95"/>
        <v>0</v>
      </c>
      <c r="CL23" s="223">
        <f t="shared" si="96"/>
        <v>0</v>
      </c>
      <c r="CM23" s="223">
        <f t="shared" si="97"/>
        <v>0</v>
      </c>
      <c r="CN23" s="223">
        <f t="shared" si="98"/>
        <v>0</v>
      </c>
      <c r="CO23" s="223">
        <f t="shared" si="99"/>
        <v>0</v>
      </c>
      <c r="CP23" s="223">
        <f t="shared" si="100"/>
        <v>0</v>
      </c>
      <c r="CQ23" s="223">
        <f t="shared" si="101"/>
        <v>0</v>
      </c>
      <c r="CR23" s="389"/>
      <c r="CS23" s="223">
        <f t="shared" si="102"/>
        <v>0</v>
      </c>
      <c r="CT23" s="223">
        <f t="shared" si="103"/>
        <v>0</v>
      </c>
      <c r="CU23" s="223">
        <f t="shared" si="104"/>
        <v>0</v>
      </c>
      <c r="CV23" s="223">
        <f t="shared" si="105"/>
        <v>0</v>
      </c>
      <c r="CW23" s="223">
        <f t="shared" si="106"/>
        <v>0</v>
      </c>
      <c r="CX23" s="223">
        <f t="shared" si="107"/>
        <v>0</v>
      </c>
      <c r="CY23" s="223">
        <f t="shared" si="108"/>
        <v>0</v>
      </c>
      <c r="CZ23" s="223">
        <f t="shared" si="109"/>
        <v>0</v>
      </c>
      <c r="DA23" s="223">
        <f t="shared" si="110"/>
        <v>0</v>
      </c>
      <c r="DB23" s="223">
        <f t="shared" si="111"/>
        <v>0</v>
      </c>
      <c r="DC23" s="223">
        <f t="shared" si="112"/>
        <v>0</v>
      </c>
      <c r="DD23" s="223">
        <f t="shared" si="113"/>
        <v>0</v>
      </c>
      <c r="DE23" s="389"/>
      <c r="DF23" s="223">
        <f t="shared" si="114"/>
        <v>0</v>
      </c>
      <c r="DG23" s="223">
        <f t="shared" si="115"/>
        <v>0</v>
      </c>
      <c r="DH23" s="223">
        <f t="shared" si="116"/>
        <v>0</v>
      </c>
      <c r="DI23" s="223">
        <f t="shared" si="117"/>
        <v>0</v>
      </c>
      <c r="DJ23" s="223">
        <f t="shared" si="118"/>
        <v>0</v>
      </c>
      <c r="DK23" s="223">
        <f t="shared" si="119"/>
        <v>0</v>
      </c>
      <c r="DL23" s="223">
        <f t="shared" si="120"/>
        <v>0</v>
      </c>
      <c r="DM23" s="223">
        <f t="shared" si="121"/>
        <v>0</v>
      </c>
      <c r="DN23" s="223">
        <f t="shared" si="122"/>
        <v>0</v>
      </c>
      <c r="DO23" s="223">
        <f t="shared" si="123"/>
        <v>0</v>
      </c>
      <c r="DP23" s="223">
        <f t="shared" si="124"/>
        <v>0</v>
      </c>
      <c r="DQ23" s="223">
        <f t="shared" si="125"/>
        <v>0</v>
      </c>
      <c r="DR23" s="389"/>
      <c r="DS23" s="31">
        <f t="shared" si="126"/>
        <v>0</v>
      </c>
      <c r="DT23" s="390"/>
      <c r="DU23" s="9"/>
      <c r="DV23" s="8"/>
      <c r="DW23" s="7"/>
      <c r="DX23" s="7"/>
      <c r="DY23" s="7"/>
      <c r="DZ23" s="7"/>
      <c r="EA23" s="7"/>
      <c r="EB23" s="7"/>
      <c r="EC23" s="7"/>
    </row>
    <row r="24" spans="1:133">
      <c r="C24" s="57" t="str">
        <f>'Role Selection'!F21</f>
        <v>///</v>
      </c>
      <c r="D24" s="57">
        <f>'Role Selection'!HO21</f>
        <v>0</v>
      </c>
      <c r="E24" s="62">
        <f>'Role Selection'!H21</f>
        <v>0</v>
      </c>
      <c r="F24" s="223"/>
      <c r="G24" s="223">
        <f t="shared" si="81"/>
        <v>0</v>
      </c>
      <c r="H24" s="223">
        <f t="shared" si="81"/>
        <v>0</v>
      </c>
      <c r="I24" s="223">
        <f t="shared" si="81"/>
        <v>0</v>
      </c>
      <c r="J24" s="223">
        <f t="shared" si="81"/>
        <v>0</v>
      </c>
      <c r="K24" s="223">
        <f t="shared" si="81"/>
        <v>0</v>
      </c>
      <c r="L24" s="223">
        <f t="shared" si="81"/>
        <v>0</v>
      </c>
      <c r="M24" s="223">
        <f t="shared" si="81"/>
        <v>0</v>
      </c>
      <c r="N24" s="223">
        <f t="shared" si="81"/>
        <v>0</v>
      </c>
      <c r="O24" s="223">
        <f t="shared" si="81"/>
        <v>0</v>
      </c>
      <c r="P24" s="223">
        <f t="shared" si="81"/>
        <v>0</v>
      </c>
      <c r="Q24" s="223">
        <f t="shared" si="81"/>
        <v>0</v>
      </c>
      <c r="R24" s="223"/>
      <c r="S24" s="223">
        <f t="shared" si="127"/>
        <v>0</v>
      </c>
      <c r="T24" s="223">
        <f t="shared" si="82"/>
        <v>0</v>
      </c>
      <c r="U24" s="223">
        <f t="shared" si="82"/>
        <v>0</v>
      </c>
      <c r="V24" s="223">
        <f t="shared" si="82"/>
        <v>0</v>
      </c>
      <c r="W24" s="223">
        <f t="shared" si="82"/>
        <v>0</v>
      </c>
      <c r="X24" s="223">
        <f t="shared" si="82"/>
        <v>0</v>
      </c>
      <c r="Y24" s="223">
        <f t="shared" si="82"/>
        <v>0</v>
      </c>
      <c r="Z24" s="223">
        <f t="shared" si="82"/>
        <v>0</v>
      </c>
      <c r="AA24" s="223">
        <f t="shared" si="82"/>
        <v>0</v>
      </c>
      <c r="AB24" s="223">
        <f t="shared" si="82"/>
        <v>0</v>
      </c>
      <c r="AC24" s="223">
        <f t="shared" si="82"/>
        <v>0</v>
      </c>
      <c r="AD24" s="223">
        <f t="shared" si="82"/>
        <v>0</v>
      </c>
      <c r="AE24" s="223"/>
      <c r="AF24" s="223">
        <f t="shared" si="128"/>
        <v>0</v>
      </c>
      <c r="AG24" s="223">
        <f t="shared" si="83"/>
        <v>0</v>
      </c>
      <c r="AH24" s="223">
        <f t="shared" si="83"/>
        <v>0</v>
      </c>
      <c r="AI24" s="223">
        <f t="shared" si="83"/>
        <v>0</v>
      </c>
      <c r="AJ24" s="223">
        <f t="shared" si="83"/>
        <v>0</v>
      </c>
      <c r="AK24" s="223">
        <f t="shared" si="83"/>
        <v>0</v>
      </c>
      <c r="AL24" s="223">
        <f t="shared" si="83"/>
        <v>0</v>
      </c>
      <c r="AM24" s="223">
        <f t="shared" si="83"/>
        <v>0</v>
      </c>
      <c r="AN24" s="223">
        <f t="shared" si="83"/>
        <v>0</v>
      </c>
      <c r="AO24" s="223">
        <f t="shared" si="83"/>
        <v>0</v>
      </c>
      <c r="AP24" s="223">
        <f t="shared" si="83"/>
        <v>0</v>
      </c>
      <c r="AQ24" s="223">
        <f t="shared" si="83"/>
        <v>0</v>
      </c>
      <c r="AR24" s="223"/>
      <c r="AS24" s="223">
        <f t="shared" si="84"/>
        <v>0</v>
      </c>
      <c r="AT24" s="223">
        <f t="shared" si="85"/>
        <v>0</v>
      </c>
      <c r="AU24" s="223">
        <f t="shared" si="85"/>
        <v>0</v>
      </c>
      <c r="AV24" s="223">
        <f t="shared" si="85"/>
        <v>0</v>
      </c>
      <c r="AW24" s="223">
        <f t="shared" si="85"/>
        <v>0</v>
      </c>
      <c r="AX24" s="223">
        <f t="shared" si="85"/>
        <v>0</v>
      </c>
      <c r="AY24" s="223">
        <f t="shared" si="85"/>
        <v>0</v>
      </c>
      <c r="AZ24" s="223">
        <f t="shared" si="85"/>
        <v>0</v>
      </c>
      <c r="BA24" s="223">
        <f t="shared" si="85"/>
        <v>0</v>
      </c>
      <c r="BB24" s="223">
        <f t="shared" si="85"/>
        <v>0</v>
      </c>
      <c r="BC24" s="223">
        <f t="shared" si="85"/>
        <v>0</v>
      </c>
      <c r="BD24" s="223">
        <f t="shared" si="85"/>
        <v>0</v>
      </c>
      <c r="BE24" s="223"/>
      <c r="BF24" s="223">
        <f t="shared" si="86"/>
        <v>0</v>
      </c>
      <c r="BG24" s="223">
        <f t="shared" si="87"/>
        <v>0</v>
      </c>
      <c r="BH24" s="223">
        <f t="shared" si="87"/>
        <v>0</v>
      </c>
      <c r="BI24" s="223">
        <f t="shared" si="87"/>
        <v>0</v>
      </c>
      <c r="BJ24" s="223">
        <f t="shared" si="87"/>
        <v>0</v>
      </c>
      <c r="BK24" s="223">
        <f t="shared" si="87"/>
        <v>0</v>
      </c>
      <c r="BL24" s="223">
        <f t="shared" si="87"/>
        <v>0</v>
      </c>
      <c r="BM24" s="223">
        <f t="shared" si="87"/>
        <v>0</v>
      </c>
      <c r="BN24" s="223">
        <f t="shared" si="87"/>
        <v>0</v>
      </c>
      <c r="BO24" s="223">
        <f t="shared" si="87"/>
        <v>0</v>
      </c>
      <c r="BP24" s="223">
        <f t="shared" si="87"/>
        <v>0</v>
      </c>
      <c r="BQ24" s="223">
        <f t="shared" si="87"/>
        <v>0</v>
      </c>
      <c r="BR24" s="223"/>
      <c r="BS24" s="223">
        <f t="shared" si="88"/>
        <v>0</v>
      </c>
      <c r="BT24" s="223">
        <f t="shared" si="89"/>
        <v>0</v>
      </c>
      <c r="BU24" s="223">
        <f t="shared" si="89"/>
        <v>0</v>
      </c>
      <c r="BV24" s="223">
        <f t="shared" si="89"/>
        <v>0</v>
      </c>
      <c r="BW24" s="223">
        <f t="shared" si="89"/>
        <v>0</v>
      </c>
      <c r="BX24" s="223">
        <f t="shared" si="89"/>
        <v>0</v>
      </c>
      <c r="BY24" s="223">
        <f t="shared" si="89"/>
        <v>0</v>
      </c>
      <c r="BZ24" s="223">
        <f t="shared" si="89"/>
        <v>0</v>
      </c>
      <c r="CA24" s="223">
        <f t="shared" si="89"/>
        <v>0</v>
      </c>
      <c r="CB24" s="223">
        <f t="shared" si="89"/>
        <v>0</v>
      </c>
      <c r="CC24" s="223">
        <f t="shared" si="89"/>
        <v>0</v>
      </c>
      <c r="CD24" s="223">
        <f t="shared" si="89"/>
        <v>0</v>
      </c>
      <c r="CE24" s="389"/>
      <c r="CF24" s="223">
        <f t="shared" si="90"/>
        <v>0</v>
      </c>
      <c r="CG24" s="223">
        <f t="shared" si="91"/>
        <v>0</v>
      </c>
      <c r="CH24" s="223">
        <f t="shared" si="92"/>
        <v>0</v>
      </c>
      <c r="CI24" s="223">
        <f t="shared" si="93"/>
        <v>0</v>
      </c>
      <c r="CJ24" s="223">
        <f t="shared" si="94"/>
        <v>0</v>
      </c>
      <c r="CK24" s="223">
        <f t="shared" si="95"/>
        <v>0</v>
      </c>
      <c r="CL24" s="223">
        <f t="shared" si="96"/>
        <v>0</v>
      </c>
      <c r="CM24" s="223">
        <f t="shared" si="97"/>
        <v>0</v>
      </c>
      <c r="CN24" s="223">
        <f t="shared" si="98"/>
        <v>0</v>
      </c>
      <c r="CO24" s="223">
        <f t="shared" si="99"/>
        <v>0</v>
      </c>
      <c r="CP24" s="223">
        <f t="shared" si="100"/>
        <v>0</v>
      </c>
      <c r="CQ24" s="223">
        <f t="shared" si="101"/>
        <v>0</v>
      </c>
      <c r="CR24" s="389"/>
      <c r="CS24" s="223">
        <f t="shared" si="102"/>
        <v>0</v>
      </c>
      <c r="CT24" s="223">
        <f t="shared" si="103"/>
        <v>0</v>
      </c>
      <c r="CU24" s="223">
        <f t="shared" si="104"/>
        <v>0</v>
      </c>
      <c r="CV24" s="223">
        <f t="shared" si="105"/>
        <v>0</v>
      </c>
      <c r="CW24" s="223">
        <f t="shared" si="106"/>
        <v>0</v>
      </c>
      <c r="CX24" s="223">
        <f t="shared" si="107"/>
        <v>0</v>
      </c>
      <c r="CY24" s="223">
        <f t="shared" si="108"/>
        <v>0</v>
      </c>
      <c r="CZ24" s="223">
        <f t="shared" si="109"/>
        <v>0</v>
      </c>
      <c r="DA24" s="223">
        <f t="shared" si="110"/>
        <v>0</v>
      </c>
      <c r="DB24" s="223">
        <f t="shared" si="111"/>
        <v>0</v>
      </c>
      <c r="DC24" s="223">
        <f t="shared" si="112"/>
        <v>0</v>
      </c>
      <c r="DD24" s="223">
        <f t="shared" si="113"/>
        <v>0</v>
      </c>
      <c r="DE24" s="389"/>
      <c r="DF24" s="223">
        <f t="shared" si="114"/>
        <v>0</v>
      </c>
      <c r="DG24" s="223">
        <f t="shared" si="115"/>
        <v>0</v>
      </c>
      <c r="DH24" s="223">
        <f t="shared" si="116"/>
        <v>0</v>
      </c>
      <c r="DI24" s="223">
        <f t="shared" si="117"/>
        <v>0</v>
      </c>
      <c r="DJ24" s="223">
        <f t="shared" si="118"/>
        <v>0</v>
      </c>
      <c r="DK24" s="223">
        <f t="shared" si="119"/>
        <v>0</v>
      </c>
      <c r="DL24" s="223">
        <f t="shared" si="120"/>
        <v>0</v>
      </c>
      <c r="DM24" s="223">
        <f t="shared" si="121"/>
        <v>0</v>
      </c>
      <c r="DN24" s="223">
        <f t="shared" si="122"/>
        <v>0</v>
      </c>
      <c r="DO24" s="223">
        <f t="shared" si="123"/>
        <v>0</v>
      </c>
      <c r="DP24" s="223">
        <f t="shared" si="124"/>
        <v>0</v>
      </c>
      <c r="DQ24" s="223">
        <f t="shared" si="125"/>
        <v>0</v>
      </c>
      <c r="DR24" s="389"/>
      <c r="DS24" s="31">
        <f t="shared" si="126"/>
        <v>0</v>
      </c>
      <c r="DT24" s="390"/>
      <c r="DU24" s="9"/>
      <c r="DV24" s="8"/>
      <c r="DW24" s="7"/>
      <c r="DX24" s="7"/>
      <c r="DY24" s="7"/>
      <c r="DZ24" s="7"/>
      <c r="EA24" s="7"/>
      <c r="EB24" s="7"/>
      <c r="EC24" s="7"/>
    </row>
    <row r="25" spans="1:133">
      <c r="A25" s="1">
        <v>1</v>
      </c>
      <c r="B25" s="1">
        <v>8</v>
      </c>
      <c r="C25" s="57" t="str">
        <f>'Role Selection'!F22</f>
        <v>///</v>
      </c>
      <c r="D25" s="57">
        <f>'Role Selection'!HO22</f>
        <v>0</v>
      </c>
      <c r="E25" s="62">
        <f>'Role Selection'!H22</f>
        <v>0</v>
      </c>
      <c r="F25" s="223"/>
      <c r="G25" s="223">
        <f t="shared" ref="G25:Q31" si="129">F25</f>
        <v>0</v>
      </c>
      <c r="H25" s="223">
        <f t="shared" si="129"/>
        <v>0</v>
      </c>
      <c r="I25" s="223">
        <f t="shared" si="129"/>
        <v>0</v>
      </c>
      <c r="J25" s="223">
        <f t="shared" si="129"/>
        <v>0</v>
      </c>
      <c r="K25" s="223">
        <f t="shared" si="129"/>
        <v>0</v>
      </c>
      <c r="L25" s="223">
        <f t="shared" si="129"/>
        <v>0</v>
      </c>
      <c r="M25" s="223">
        <f t="shared" si="129"/>
        <v>0</v>
      </c>
      <c r="N25" s="223">
        <f t="shared" si="129"/>
        <v>0</v>
      </c>
      <c r="O25" s="223">
        <f t="shared" si="129"/>
        <v>0</v>
      </c>
      <c r="P25" s="223">
        <f t="shared" si="129"/>
        <v>0</v>
      </c>
      <c r="Q25" s="223">
        <f t="shared" si="129"/>
        <v>0</v>
      </c>
      <c r="R25" s="223"/>
      <c r="S25" s="223">
        <f t="shared" si="127"/>
        <v>0</v>
      </c>
      <c r="T25" s="223">
        <f t="shared" ref="T25:AD31" si="130">S25</f>
        <v>0</v>
      </c>
      <c r="U25" s="223">
        <f t="shared" si="130"/>
        <v>0</v>
      </c>
      <c r="V25" s="223">
        <f t="shared" si="130"/>
        <v>0</v>
      </c>
      <c r="W25" s="223">
        <f t="shared" si="130"/>
        <v>0</v>
      </c>
      <c r="X25" s="223">
        <f t="shared" si="130"/>
        <v>0</v>
      </c>
      <c r="Y25" s="223">
        <f t="shared" si="130"/>
        <v>0</v>
      </c>
      <c r="Z25" s="223">
        <f t="shared" si="130"/>
        <v>0</v>
      </c>
      <c r="AA25" s="223">
        <f t="shared" si="130"/>
        <v>0</v>
      </c>
      <c r="AB25" s="223">
        <f t="shared" si="130"/>
        <v>0</v>
      </c>
      <c r="AC25" s="223">
        <f t="shared" si="130"/>
        <v>0</v>
      </c>
      <c r="AD25" s="223">
        <f t="shared" si="130"/>
        <v>0</v>
      </c>
      <c r="AE25" s="223"/>
      <c r="AF25" s="223">
        <f t="shared" si="128"/>
        <v>0</v>
      </c>
      <c r="AG25" s="223">
        <f t="shared" ref="AG25:AQ29" si="131">AF25</f>
        <v>0</v>
      </c>
      <c r="AH25" s="223">
        <f t="shared" si="131"/>
        <v>0</v>
      </c>
      <c r="AI25" s="223">
        <f t="shared" si="131"/>
        <v>0</v>
      </c>
      <c r="AJ25" s="223">
        <f t="shared" si="131"/>
        <v>0</v>
      </c>
      <c r="AK25" s="223">
        <f t="shared" si="131"/>
        <v>0</v>
      </c>
      <c r="AL25" s="223">
        <f t="shared" si="131"/>
        <v>0</v>
      </c>
      <c r="AM25" s="223">
        <f t="shared" si="131"/>
        <v>0</v>
      </c>
      <c r="AN25" s="223">
        <f t="shared" si="131"/>
        <v>0</v>
      </c>
      <c r="AO25" s="223">
        <f t="shared" si="131"/>
        <v>0</v>
      </c>
      <c r="AP25" s="223">
        <f t="shared" si="131"/>
        <v>0</v>
      </c>
      <c r="AQ25" s="223">
        <f t="shared" si="131"/>
        <v>0</v>
      </c>
      <c r="AR25" s="223"/>
      <c r="AS25" s="223">
        <f t="shared" si="84"/>
        <v>0</v>
      </c>
      <c r="AT25" s="223">
        <f t="shared" ref="AT25:BD29" si="132">AS25</f>
        <v>0</v>
      </c>
      <c r="AU25" s="223">
        <f t="shared" si="132"/>
        <v>0</v>
      </c>
      <c r="AV25" s="223">
        <f t="shared" si="132"/>
        <v>0</v>
      </c>
      <c r="AW25" s="223">
        <f t="shared" si="132"/>
        <v>0</v>
      </c>
      <c r="AX25" s="223">
        <f t="shared" si="132"/>
        <v>0</v>
      </c>
      <c r="AY25" s="223">
        <f t="shared" si="132"/>
        <v>0</v>
      </c>
      <c r="AZ25" s="223">
        <f t="shared" si="132"/>
        <v>0</v>
      </c>
      <c r="BA25" s="223">
        <f t="shared" si="132"/>
        <v>0</v>
      </c>
      <c r="BB25" s="223">
        <f t="shared" si="132"/>
        <v>0</v>
      </c>
      <c r="BC25" s="223">
        <f t="shared" si="132"/>
        <v>0</v>
      </c>
      <c r="BD25" s="223">
        <f t="shared" si="132"/>
        <v>0</v>
      </c>
      <c r="BE25" s="223"/>
      <c r="BF25" s="223">
        <f t="shared" si="86"/>
        <v>0</v>
      </c>
      <c r="BG25" s="223">
        <f t="shared" ref="BG25:BQ29" si="133">BF25</f>
        <v>0</v>
      </c>
      <c r="BH25" s="223">
        <f t="shared" si="133"/>
        <v>0</v>
      </c>
      <c r="BI25" s="223">
        <f t="shared" si="133"/>
        <v>0</v>
      </c>
      <c r="BJ25" s="223">
        <f t="shared" si="133"/>
        <v>0</v>
      </c>
      <c r="BK25" s="223">
        <f t="shared" si="133"/>
        <v>0</v>
      </c>
      <c r="BL25" s="223">
        <f t="shared" si="133"/>
        <v>0</v>
      </c>
      <c r="BM25" s="223">
        <f t="shared" si="133"/>
        <v>0</v>
      </c>
      <c r="BN25" s="223">
        <f t="shared" si="133"/>
        <v>0</v>
      </c>
      <c r="BO25" s="223">
        <f t="shared" si="133"/>
        <v>0</v>
      </c>
      <c r="BP25" s="223">
        <f t="shared" si="133"/>
        <v>0</v>
      </c>
      <c r="BQ25" s="223">
        <f t="shared" si="133"/>
        <v>0</v>
      </c>
      <c r="BR25" s="223"/>
      <c r="BS25" s="223">
        <f t="shared" si="88"/>
        <v>0</v>
      </c>
      <c r="BT25" s="223">
        <f t="shared" ref="BT25:CD29" si="134">BS25</f>
        <v>0</v>
      </c>
      <c r="BU25" s="223">
        <f t="shared" si="134"/>
        <v>0</v>
      </c>
      <c r="BV25" s="223">
        <f t="shared" si="134"/>
        <v>0</v>
      </c>
      <c r="BW25" s="223">
        <f t="shared" si="134"/>
        <v>0</v>
      </c>
      <c r="BX25" s="223">
        <f t="shared" si="134"/>
        <v>0</v>
      </c>
      <c r="BY25" s="223">
        <f t="shared" si="134"/>
        <v>0</v>
      </c>
      <c r="BZ25" s="223">
        <f t="shared" si="134"/>
        <v>0</v>
      </c>
      <c r="CA25" s="223">
        <f t="shared" si="134"/>
        <v>0</v>
      </c>
      <c r="CB25" s="223">
        <f t="shared" si="134"/>
        <v>0</v>
      </c>
      <c r="CC25" s="223">
        <f t="shared" si="134"/>
        <v>0</v>
      </c>
      <c r="CD25" s="223">
        <f t="shared" si="134"/>
        <v>0</v>
      </c>
      <c r="CE25" s="389"/>
      <c r="CF25" s="223">
        <f t="shared" si="90"/>
        <v>0</v>
      </c>
      <c r="CG25" s="223">
        <f t="shared" si="91"/>
        <v>0</v>
      </c>
      <c r="CH25" s="223">
        <f t="shared" si="92"/>
        <v>0</v>
      </c>
      <c r="CI25" s="223">
        <f t="shared" si="93"/>
        <v>0</v>
      </c>
      <c r="CJ25" s="223">
        <f t="shared" si="94"/>
        <v>0</v>
      </c>
      <c r="CK25" s="223">
        <f t="shared" si="95"/>
        <v>0</v>
      </c>
      <c r="CL25" s="223">
        <f t="shared" si="96"/>
        <v>0</v>
      </c>
      <c r="CM25" s="223">
        <f t="shared" si="97"/>
        <v>0</v>
      </c>
      <c r="CN25" s="223">
        <f t="shared" si="98"/>
        <v>0</v>
      </c>
      <c r="CO25" s="223">
        <f t="shared" si="99"/>
        <v>0</v>
      </c>
      <c r="CP25" s="223">
        <f t="shared" si="100"/>
        <v>0</v>
      </c>
      <c r="CQ25" s="223">
        <f t="shared" si="101"/>
        <v>0</v>
      </c>
      <c r="CR25" s="389"/>
      <c r="CS25" s="223">
        <f t="shared" si="102"/>
        <v>0</v>
      </c>
      <c r="CT25" s="223">
        <f t="shared" si="103"/>
        <v>0</v>
      </c>
      <c r="CU25" s="223">
        <f t="shared" si="104"/>
        <v>0</v>
      </c>
      <c r="CV25" s="223">
        <f t="shared" si="105"/>
        <v>0</v>
      </c>
      <c r="CW25" s="223">
        <f t="shared" si="106"/>
        <v>0</v>
      </c>
      <c r="CX25" s="223">
        <f t="shared" si="107"/>
        <v>0</v>
      </c>
      <c r="CY25" s="223">
        <f t="shared" si="108"/>
        <v>0</v>
      </c>
      <c r="CZ25" s="223">
        <f t="shared" si="109"/>
        <v>0</v>
      </c>
      <c r="DA25" s="223">
        <f t="shared" si="110"/>
        <v>0</v>
      </c>
      <c r="DB25" s="223">
        <f t="shared" si="111"/>
        <v>0</v>
      </c>
      <c r="DC25" s="223">
        <f t="shared" si="112"/>
        <v>0</v>
      </c>
      <c r="DD25" s="223">
        <f t="shared" si="113"/>
        <v>0</v>
      </c>
      <c r="DE25" s="389"/>
      <c r="DF25" s="223">
        <f t="shared" si="114"/>
        <v>0</v>
      </c>
      <c r="DG25" s="223">
        <f t="shared" si="115"/>
        <v>0</v>
      </c>
      <c r="DH25" s="223">
        <f t="shared" si="116"/>
        <v>0</v>
      </c>
      <c r="DI25" s="223">
        <f t="shared" si="117"/>
        <v>0</v>
      </c>
      <c r="DJ25" s="223">
        <f t="shared" si="118"/>
        <v>0</v>
      </c>
      <c r="DK25" s="223">
        <f t="shared" si="119"/>
        <v>0</v>
      </c>
      <c r="DL25" s="223">
        <f t="shared" si="120"/>
        <v>0</v>
      </c>
      <c r="DM25" s="223">
        <f t="shared" si="121"/>
        <v>0</v>
      </c>
      <c r="DN25" s="223">
        <f t="shared" si="122"/>
        <v>0</v>
      </c>
      <c r="DO25" s="223">
        <f t="shared" si="123"/>
        <v>0</v>
      </c>
      <c r="DP25" s="223">
        <f t="shared" si="124"/>
        <v>0</v>
      </c>
      <c r="DQ25" s="223">
        <f t="shared" si="125"/>
        <v>0</v>
      </c>
      <c r="DR25" s="389"/>
      <c r="DS25" s="31">
        <f t="shared" si="126"/>
        <v>0</v>
      </c>
      <c r="DT25" s="390"/>
      <c r="DU25" s="9"/>
      <c r="DV25" s="8"/>
      <c r="DW25" s="7"/>
      <c r="DX25" s="7"/>
      <c r="DY25" s="7"/>
      <c r="DZ25" s="7"/>
      <c r="EA25" s="7"/>
      <c r="EB25" s="7"/>
      <c r="EC25" s="7"/>
    </row>
    <row r="26" spans="1:133">
      <c r="C26" s="57" t="str">
        <f>'Role Selection'!F23</f>
        <v>///</v>
      </c>
      <c r="D26" s="57">
        <f>'Role Selection'!HO23</f>
        <v>0</v>
      </c>
      <c r="E26" s="62">
        <f>'Role Selection'!H23</f>
        <v>0</v>
      </c>
      <c r="F26" s="223"/>
      <c r="G26" s="223">
        <f t="shared" si="129"/>
        <v>0</v>
      </c>
      <c r="H26" s="223">
        <f t="shared" si="129"/>
        <v>0</v>
      </c>
      <c r="I26" s="223">
        <f t="shared" si="129"/>
        <v>0</v>
      </c>
      <c r="J26" s="223">
        <f t="shared" si="129"/>
        <v>0</v>
      </c>
      <c r="K26" s="223">
        <f t="shared" si="129"/>
        <v>0</v>
      </c>
      <c r="L26" s="223">
        <f t="shared" si="129"/>
        <v>0</v>
      </c>
      <c r="M26" s="223">
        <f t="shared" si="129"/>
        <v>0</v>
      </c>
      <c r="N26" s="223">
        <f t="shared" si="129"/>
        <v>0</v>
      </c>
      <c r="O26" s="223">
        <f t="shared" si="129"/>
        <v>0</v>
      </c>
      <c r="P26" s="223">
        <f t="shared" si="129"/>
        <v>0</v>
      </c>
      <c r="Q26" s="223">
        <f t="shared" si="129"/>
        <v>0</v>
      </c>
      <c r="R26" s="223"/>
      <c r="S26" s="223">
        <f t="shared" si="127"/>
        <v>0</v>
      </c>
      <c r="T26" s="223">
        <f t="shared" si="130"/>
        <v>0</v>
      </c>
      <c r="U26" s="223">
        <f t="shared" si="130"/>
        <v>0</v>
      </c>
      <c r="V26" s="223">
        <f t="shared" si="130"/>
        <v>0</v>
      </c>
      <c r="W26" s="223">
        <f t="shared" si="130"/>
        <v>0</v>
      </c>
      <c r="X26" s="223">
        <f t="shared" si="130"/>
        <v>0</v>
      </c>
      <c r="Y26" s="223">
        <f t="shared" si="130"/>
        <v>0</v>
      </c>
      <c r="Z26" s="223">
        <f t="shared" si="130"/>
        <v>0</v>
      </c>
      <c r="AA26" s="223">
        <f t="shared" si="130"/>
        <v>0</v>
      </c>
      <c r="AB26" s="223">
        <f t="shared" si="130"/>
        <v>0</v>
      </c>
      <c r="AC26" s="223">
        <f t="shared" si="130"/>
        <v>0</v>
      </c>
      <c r="AD26" s="223">
        <f t="shared" si="130"/>
        <v>0</v>
      </c>
      <c r="AE26" s="223"/>
      <c r="AF26" s="223">
        <f t="shared" si="128"/>
        <v>0</v>
      </c>
      <c r="AG26" s="223">
        <f t="shared" si="131"/>
        <v>0</v>
      </c>
      <c r="AH26" s="223">
        <f t="shared" si="131"/>
        <v>0</v>
      </c>
      <c r="AI26" s="223">
        <f t="shared" si="131"/>
        <v>0</v>
      </c>
      <c r="AJ26" s="223">
        <f t="shared" si="131"/>
        <v>0</v>
      </c>
      <c r="AK26" s="223">
        <f t="shared" si="131"/>
        <v>0</v>
      </c>
      <c r="AL26" s="223">
        <f t="shared" si="131"/>
        <v>0</v>
      </c>
      <c r="AM26" s="223">
        <f t="shared" si="131"/>
        <v>0</v>
      </c>
      <c r="AN26" s="223">
        <f t="shared" si="131"/>
        <v>0</v>
      </c>
      <c r="AO26" s="223">
        <f t="shared" si="131"/>
        <v>0</v>
      </c>
      <c r="AP26" s="223">
        <f t="shared" si="131"/>
        <v>0</v>
      </c>
      <c r="AQ26" s="223">
        <f t="shared" si="131"/>
        <v>0</v>
      </c>
      <c r="AR26" s="223"/>
      <c r="AS26" s="223">
        <f t="shared" si="84"/>
        <v>0</v>
      </c>
      <c r="AT26" s="223">
        <f t="shared" si="132"/>
        <v>0</v>
      </c>
      <c r="AU26" s="223">
        <f t="shared" si="132"/>
        <v>0</v>
      </c>
      <c r="AV26" s="223">
        <f t="shared" si="132"/>
        <v>0</v>
      </c>
      <c r="AW26" s="223">
        <f t="shared" si="132"/>
        <v>0</v>
      </c>
      <c r="AX26" s="223">
        <f t="shared" si="132"/>
        <v>0</v>
      </c>
      <c r="AY26" s="223">
        <f t="shared" si="132"/>
        <v>0</v>
      </c>
      <c r="AZ26" s="223">
        <f t="shared" si="132"/>
        <v>0</v>
      </c>
      <c r="BA26" s="223">
        <f t="shared" si="132"/>
        <v>0</v>
      </c>
      <c r="BB26" s="223">
        <f t="shared" si="132"/>
        <v>0</v>
      </c>
      <c r="BC26" s="223">
        <f t="shared" si="132"/>
        <v>0</v>
      </c>
      <c r="BD26" s="223">
        <f t="shared" si="132"/>
        <v>0</v>
      </c>
      <c r="BE26" s="223"/>
      <c r="BF26" s="223">
        <f t="shared" si="86"/>
        <v>0</v>
      </c>
      <c r="BG26" s="223">
        <f t="shared" si="133"/>
        <v>0</v>
      </c>
      <c r="BH26" s="223">
        <f t="shared" si="133"/>
        <v>0</v>
      </c>
      <c r="BI26" s="223">
        <f t="shared" si="133"/>
        <v>0</v>
      </c>
      <c r="BJ26" s="223">
        <f t="shared" si="133"/>
        <v>0</v>
      </c>
      <c r="BK26" s="223">
        <f t="shared" si="133"/>
        <v>0</v>
      </c>
      <c r="BL26" s="223">
        <f t="shared" si="133"/>
        <v>0</v>
      </c>
      <c r="BM26" s="223">
        <f t="shared" si="133"/>
        <v>0</v>
      </c>
      <c r="BN26" s="223">
        <f t="shared" si="133"/>
        <v>0</v>
      </c>
      <c r="BO26" s="223">
        <f t="shared" si="133"/>
        <v>0</v>
      </c>
      <c r="BP26" s="223">
        <f t="shared" si="133"/>
        <v>0</v>
      </c>
      <c r="BQ26" s="223">
        <f t="shared" si="133"/>
        <v>0</v>
      </c>
      <c r="BR26" s="223"/>
      <c r="BS26" s="223">
        <f t="shared" si="88"/>
        <v>0</v>
      </c>
      <c r="BT26" s="223">
        <f t="shared" si="134"/>
        <v>0</v>
      </c>
      <c r="BU26" s="223">
        <f t="shared" si="134"/>
        <v>0</v>
      </c>
      <c r="BV26" s="223">
        <f t="shared" si="134"/>
        <v>0</v>
      </c>
      <c r="BW26" s="223">
        <f t="shared" si="134"/>
        <v>0</v>
      </c>
      <c r="BX26" s="223">
        <f t="shared" si="134"/>
        <v>0</v>
      </c>
      <c r="BY26" s="223">
        <f t="shared" si="134"/>
        <v>0</v>
      </c>
      <c r="BZ26" s="223">
        <f t="shared" si="134"/>
        <v>0</v>
      </c>
      <c r="CA26" s="223">
        <f t="shared" si="134"/>
        <v>0</v>
      </c>
      <c r="CB26" s="223">
        <f t="shared" si="134"/>
        <v>0</v>
      </c>
      <c r="CC26" s="223">
        <f t="shared" si="134"/>
        <v>0</v>
      </c>
      <c r="CD26" s="223">
        <f t="shared" si="134"/>
        <v>0</v>
      </c>
      <c r="CE26" s="389"/>
      <c r="CF26" s="223">
        <f t="shared" si="90"/>
        <v>0</v>
      </c>
      <c r="CG26" s="223">
        <f t="shared" si="91"/>
        <v>0</v>
      </c>
      <c r="CH26" s="223">
        <f t="shared" si="92"/>
        <v>0</v>
      </c>
      <c r="CI26" s="223">
        <f t="shared" si="93"/>
        <v>0</v>
      </c>
      <c r="CJ26" s="223">
        <f t="shared" si="94"/>
        <v>0</v>
      </c>
      <c r="CK26" s="223">
        <f t="shared" si="95"/>
        <v>0</v>
      </c>
      <c r="CL26" s="223">
        <f t="shared" si="96"/>
        <v>0</v>
      </c>
      <c r="CM26" s="223">
        <f t="shared" si="97"/>
        <v>0</v>
      </c>
      <c r="CN26" s="223">
        <f t="shared" si="98"/>
        <v>0</v>
      </c>
      <c r="CO26" s="223">
        <f t="shared" si="99"/>
        <v>0</v>
      </c>
      <c r="CP26" s="223">
        <f t="shared" si="100"/>
        <v>0</v>
      </c>
      <c r="CQ26" s="223">
        <f t="shared" si="101"/>
        <v>0</v>
      </c>
      <c r="CR26" s="389"/>
      <c r="CS26" s="223">
        <f t="shared" si="102"/>
        <v>0</v>
      </c>
      <c r="CT26" s="223">
        <f t="shared" si="103"/>
        <v>0</v>
      </c>
      <c r="CU26" s="223">
        <f t="shared" si="104"/>
        <v>0</v>
      </c>
      <c r="CV26" s="223">
        <f t="shared" si="105"/>
        <v>0</v>
      </c>
      <c r="CW26" s="223">
        <f t="shared" si="106"/>
        <v>0</v>
      </c>
      <c r="CX26" s="223">
        <f t="shared" si="107"/>
        <v>0</v>
      </c>
      <c r="CY26" s="223">
        <f t="shared" si="108"/>
        <v>0</v>
      </c>
      <c r="CZ26" s="223">
        <f t="shared" si="109"/>
        <v>0</v>
      </c>
      <c r="DA26" s="223">
        <f t="shared" si="110"/>
        <v>0</v>
      </c>
      <c r="DB26" s="223">
        <f t="shared" si="111"/>
        <v>0</v>
      </c>
      <c r="DC26" s="223">
        <f t="shared" si="112"/>
        <v>0</v>
      </c>
      <c r="DD26" s="223">
        <f t="shared" si="113"/>
        <v>0</v>
      </c>
      <c r="DE26" s="389"/>
      <c r="DF26" s="223">
        <f t="shared" si="114"/>
        <v>0</v>
      </c>
      <c r="DG26" s="223">
        <f t="shared" si="115"/>
        <v>0</v>
      </c>
      <c r="DH26" s="223">
        <f t="shared" si="116"/>
        <v>0</v>
      </c>
      <c r="DI26" s="223">
        <f t="shared" si="117"/>
        <v>0</v>
      </c>
      <c r="DJ26" s="223">
        <f t="shared" si="118"/>
        <v>0</v>
      </c>
      <c r="DK26" s="223">
        <f t="shared" si="119"/>
        <v>0</v>
      </c>
      <c r="DL26" s="223">
        <f t="shared" si="120"/>
        <v>0</v>
      </c>
      <c r="DM26" s="223">
        <f t="shared" si="121"/>
        <v>0</v>
      </c>
      <c r="DN26" s="223">
        <f t="shared" si="122"/>
        <v>0</v>
      </c>
      <c r="DO26" s="223">
        <f t="shared" si="123"/>
        <v>0</v>
      </c>
      <c r="DP26" s="223">
        <f t="shared" si="124"/>
        <v>0</v>
      </c>
      <c r="DQ26" s="223">
        <f t="shared" si="125"/>
        <v>0</v>
      </c>
      <c r="DR26" s="389"/>
      <c r="DS26" s="31">
        <f t="shared" si="126"/>
        <v>0</v>
      </c>
      <c r="DT26" s="390"/>
      <c r="DU26" s="9"/>
      <c r="DV26" s="8"/>
      <c r="DW26" s="7"/>
      <c r="DX26" s="7"/>
      <c r="DY26" s="7"/>
      <c r="DZ26" s="7"/>
      <c r="EA26" s="7"/>
      <c r="EB26" s="7"/>
      <c r="EC26" s="7"/>
    </row>
    <row r="27" spans="1:133">
      <c r="A27" s="1">
        <v>1</v>
      </c>
      <c r="B27" s="1">
        <v>9</v>
      </c>
      <c r="C27" s="57" t="str">
        <f>'Role Selection'!F24</f>
        <v>///</v>
      </c>
      <c r="D27" s="57">
        <f>'Role Selection'!HO24</f>
        <v>0</v>
      </c>
      <c r="E27" s="62">
        <f>'Role Selection'!H24</f>
        <v>0</v>
      </c>
      <c r="F27" s="223"/>
      <c r="G27" s="223">
        <f t="shared" si="129"/>
        <v>0</v>
      </c>
      <c r="H27" s="223">
        <f t="shared" si="129"/>
        <v>0</v>
      </c>
      <c r="I27" s="223">
        <f t="shared" si="129"/>
        <v>0</v>
      </c>
      <c r="J27" s="223">
        <f t="shared" si="129"/>
        <v>0</v>
      </c>
      <c r="K27" s="223">
        <f t="shared" si="129"/>
        <v>0</v>
      </c>
      <c r="L27" s="223">
        <f t="shared" si="129"/>
        <v>0</v>
      </c>
      <c r="M27" s="223">
        <f t="shared" si="129"/>
        <v>0</v>
      </c>
      <c r="N27" s="223">
        <f t="shared" si="129"/>
        <v>0</v>
      </c>
      <c r="O27" s="223">
        <f t="shared" si="129"/>
        <v>0</v>
      </c>
      <c r="P27" s="223">
        <f t="shared" si="129"/>
        <v>0</v>
      </c>
      <c r="Q27" s="223">
        <f t="shared" si="129"/>
        <v>0</v>
      </c>
      <c r="R27" s="223"/>
      <c r="S27" s="223">
        <f t="shared" si="127"/>
        <v>0</v>
      </c>
      <c r="T27" s="223">
        <f t="shared" si="130"/>
        <v>0</v>
      </c>
      <c r="U27" s="223">
        <f t="shared" si="130"/>
        <v>0</v>
      </c>
      <c r="V27" s="223">
        <f t="shared" si="130"/>
        <v>0</v>
      </c>
      <c r="W27" s="223">
        <f t="shared" si="130"/>
        <v>0</v>
      </c>
      <c r="X27" s="223">
        <f t="shared" si="130"/>
        <v>0</v>
      </c>
      <c r="Y27" s="223">
        <f t="shared" si="130"/>
        <v>0</v>
      </c>
      <c r="Z27" s="223">
        <f t="shared" si="130"/>
        <v>0</v>
      </c>
      <c r="AA27" s="223">
        <f t="shared" si="130"/>
        <v>0</v>
      </c>
      <c r="AB27" s="223">
        <f t="shared" si="130"/>
        <v>0</v>
      </c>
      <c r="AC27" s="223">
        <f t="shared" si="130"/>
        <v>0</v>
      </c>
      <c r="AD27" s="223">
        <f t="shared" si="130"/>
        <v>0</v>
      </c>
      <c r="AE27" s="223"/>
      <c r="AF27" s="223">
        <f t="shared" si="128"/>
        <v>0</v>
      </c>
      <c r="AG27" s="223">
        <f t="shared" si="131"/>
        <v>0</v>
      </c>
      <c r="AH27" s="223">
        <f t="shared" si="131"/>
        <v>0</v>
      </c>
      <c r="AI27" s="223">
        <f t="shared" si="131"/>
        <v>0</v>
      </c>
      <c r="AJ27" s="223">
        <f t="shared" si="131"/>
        <v>0</v>
      </c>
      <c r="AK27" s="223">
        <f t="shared" si="131"/>
        <v>0</v>
      </c>
      <c r="AL27" s="223">
        <f t="shared" si="131"/>
        <v>0</v>
      </c>
      <c r="AM27" s="223">
        <f t="shared" si="131"/>
        <v>0</v>
      </c>
      <c r="AN27" s="223">
        <f t="shared" si="131"/>
        <v>0</v>
      </c>
      <c r="AO27" s="223">
        <f t="shared" si="131"/>
        <v>0</v>
      </c>
      <c r="AP27" s="223">
        <f t="shared" si="131"/>
        <v>0</v>
      </c>
      <c r="AQ27" s="223">
        <f t="shared" si="131"/>
        <v>0</v>
      </c>
      <c r="AR27" s="223"/>
      <c r="AS27" s="223">
        <f t="shared" si="84"/>
        <v>0</v>
      </c>
      <c r="AT27" s="223">
        <f t="shared" si="132"/>
        <v>0</v>
      </c>
      <c r="AU27" s="223">
        <f t="shared" si="132"/>
        <v>0</v>
      </c>
      <c r="AV27" s="223">
        <f t="shared" si="132"/>
        <v>0</v>
      </c>
      <c r="AW27" s="223">
        <f t="shared" si="132"/>
        <v>0</v>
      </c>
      <c r="AX27" s="223">
        <f t="shared" si="132"/>
        <v>0</v>
      </c>
      <c r="AY27" s="223">
        <f t="shared" si="132"/>
        <v>0</v>
      </c>
      <c r="AZ27" s="223">
        <f t="shared" si="132"/>
        <v>0</v>
      </c>
      <c r="BA27" s="223">
        <f t="shared" si="132"/>
        <v>0</v>
      </c>
      <c r="BB27" s="223">
        <f t="shared" si="132"/>
        <v>0</v>
      </c>
      <c r="BC27" s="223">
        <f t="shared" si="132"/>
        <v>0</v>
      </c>
      <c r="BD27" s="223">
        <f t="shared" si="132"/>
        <v>0</v>
      </c>
      <c r="BE27" s="223"/>
      <c r="BF27" s="223">
        <f t="shared" si="86"/>
        <v>0</v>
      </c>
      <c r="BG27" s="223">
        <f t="shared" si="133"/>
        <v>0</v>
      </c>
      <c r="BH27" s="223">
        <f t="shared" si="133"/>
        <v>0</v>
      </c>
      <c r="BI27" s="223">
        <f t="shared" si="133"/>
        <v>0</v>
      </c>
      <c r="BJ27" s="223">
        <f t="shared" si="133"/>
        <v>0</v>
      </c>
      <c r="BK27" s="223">
        <f t="shared" si="133"/>
        <v>0</v>
      </c>
      <c r="BL27" s="223">
        <f t="shared" si="133"/>
        <v>0</v>
      </c>
      <c r="BM27" s="223">
        <f t="shared" si="133"/>
        <v>0</v>
      </c>
      <c r="BN27" s="223">
        <f t="shared" si="133"/>
        <v>0</v>
      </c>
      <c r="BO27" s="223">
        <f t="shared" si="133"/>
        <v>0</v>
      </c>
      <c r="BP27" s="223">
        <f t="shared" si="133"/>
        <v>0</v>
      </c>
      <c r="BQ27" s="223">
        <f t="shared" si="133"/>
        <v>0</v>
      </c>
      <c r="BR27" s="223"/>
      <c r="BS27" s="223">
        <f t="shared" si="88"/>
        <v>0</v>
      </c>
      <c r="BT27" s="223">
        <f t="shared" si="134"/>
        <v>0</v>
      </c>
      <c r="BU27" s="223">
        <f t="shared" si="134"/>
        <v>0</v>
      </c>
      <c r="BV27" s="223">
        <f t="shared" si="134"/>
        <v>0</v>
      </c>
      <c r="BW27" s="223">
        <f t="shared" si="134"/>
        <v>0</v>
      </c>
      <c r="BX27" s="223">
        <f t="shared" si="134"/>
        <v>0</v>
      </c>
      <c r="BY27" s="223">
        <f t="shared" si="134"/>
        <v>0</v>
      </c>
      <c r="BZ27" s="223">
        <f t="shared" si="134"/>
        <v>0</v>
      </c>
      <c r="CA27" s="223">
        <f t="shared" si="134"/>
        <v>0</v>
      </c>
      <c r="CB27" s="223">
        <f t="shared" si="134"/>
        <v>0</v>
      </c>
      <c r="CC27" s="223">
        <f t="shared" si="134"/>
        <v>0</v>
      </c>
      <c r="CD27" s="223">
        <f t="shared" si="134"/>
        <v>0</v>
      </c>
      <c r="CE27" s="389"/>
      <c r="CF27" s="223">
        <f t="shared" si="90"/>
        <v>0</v>
      </c>
      <c r="CG27" s="223">
        <f t="shared" si="91"/>
        <v>0</v>
      </c>
      <c r="CH27" s="223">
        <f t="shared" si="92"/>
        <v>0</v>
      </c>
      <c r="CI27" s="223">
        <f t="shared" si="93"/>
        <v>0</v>
      </c>
      <c r="CJ27" s="223">
        <f t="shared" si="94"/>
        <v>0</v>
      </c>
      <c r="CK27" s="223">
        <f t="shared" si="95"/>
        <v>0</v>
      </c>
      <c r="CL27" s="223">
        <f t="shared" si="96"/>
        <v>0</v>
      </c>
      <c r="CM27" s="223">
        <f t="shared" si="97"/>
        <v>0</v>
      </c>
      <c r="CN27" s="223">
        <f t="shared" si="98"/>
        <v>0</v>
      </c>
      <c r="CO27" s="223">
        <f t="shared" si="99"/>
        <v>0</v>
      </c>
      <c r="CP27" s="223">
        <f t="shared" si="100"/>
        <v>0</v>
      </c>
      <c r="CQ27" s="223">
        <f t="shared" si="101"/>
        <v>0</v>
      </c>
      <c r="CR27" s="389"/>
      <c r="CS27" s="223">
        <f t="shared" si="102"/>
        <v>0</v>
      </c>
      <c r="CT27" s="223">
        <f t="shared" si="103"/>
        <v>0</v>
      </c>
      <c r="CU27" s="223">
        <f t="shared" si="104"/>
        <v>0</v>
      </c>
      <c r="CV27" s="223">
        <f t="shared" si="105"/>
        <v>0</v>
      </c>
      <c r="CW27" s="223">
        <f t="shared" si="106"/>
        <v>0</v>
      </c>
      <c r="CX27" s="223">
        <f t="shared" si="107"/>
        <v>0</v>
      </c>
      <c r="CY27" s="223">
        <f t="shared" si="108"/>
        <v>0</v>
      </c>
      <c r="CZ27" s="223">
        <f t="shared" si="109"/>
        <v>0</v>
      </c>
      <c r="DA27" s="223">
        <f t="shared" si="110"/>
        <v>0</v>
      </c>
      <c r="DB27" s="223">
        <f t="shared" si="111"/>
        <v>0</v>
      </c>
      <c r="DC27" s="223">
        <f t="shared" si="112"/>
        <v>0</v>
      </c>
      <c r="DD27" s="223">
        <f t="shared" si="113"/>
        <v>0</v>
      </c>
      <c r="DE27" s="389"/>
      <c r="DF27" s="223">
        <f t="shared" si="114"/>
        <v>0</v>
      </c>
      <c r="DG27" s="223">
        <f t="shared" si="115"/>
        <v>0</v>
      </c>
      <c r="DH27" s="223">
        <f t="shared" si="116"/>
        <v>0</v>
      </c>
      <c r="DI27" s="223">
        <f t="shared" si="117"/>
        <v>0</v>
      </c>
      <c r="DJ27" s="223">
        <f t="shared" si="118"/>
        <v>0</v>
      </c>
      <c r="DK27" s="223">
        <f t="shared" si="119"/>
        <v>0</v>
      </c>
      <c r="DL27" s="223">
        <f t="shared" si="120"/>
        <v>0</v>
      </c>
      <c r="DM27" s="223">
        <f t="shared" si="121"/>
        <v>0</v>
      </c>
      <c r="DN27" s="223">
        <f t="shared" si="122"/>
        <v>0</v>
      </c>
      <c r="DO27" s="223">
        <f t="shared" si="123"/>
        <v>0</v>
      </c>
      <c r="DP27" s="223">
        <f t="shared" si="124"/>
        <v>0</v>
      </c>
      <c r="DQ27" s="223">
        <f t="shared" si="125"/>
        <v>0</v>
      </c>
      <c r="DR27" s="389"/>
      <c r="DS27" s="31">
        <f t="shared" si="126"/>
        <v>0</v>
      </c>
      <c r="DT27" s="390"/>
      <c r="DU27" s="9"/>
      <c r="DV27" s="8"/>
      <c r="DW27" s="7"/>
      <c r="DX27" s="7"/>
      <c r="DY27" s="7"/>
      <c r="DZ27" s="7"/>
      <c r="EA27" s="7"/>
      <c r="EB27" s="7"/>
      <c r="EC27" s="7"/>
    </row>
    <row r="28" spans="1:133">
      <c r="C28" s="57" t="str">
        <f>'Role Selection'!F25</f>
        <v>///</v>
      </c>
      <c r="D28" s="57">
        <f>'Role Selection'!HO25</f>
        <v>0</v>
      </c>
      <c r="E28" s="62">
        <f>'Role Selection'!H25</f>
        <v>0</v>
      </c>
      <c r="F28" s="223"/>
      <c r="G28" s="223">
        <f t="shared" si="129"/>
        <v>0</v>
      </c>
      <c r="H28" s="223">
        <f t="shared" si="129"/>
        <v>0</v>
      </c>
      <c r="I28" s="223">
        <f t="shared" si="129"/>
        <v>0</v>
      </c>
      <c r="J28" s="223">
        <f t="shared" si="129"/>
        <v>0</v>
      </c>
      <c r="K28" s="223">
        <f t="shared" si="129"/>
        <v>0</v>
      </c>
      <c r="L28" s="223">
        <f t="shared" si="129"/>
        <v>0</v>
      </c>
      <c r="M28" s="223">
        <f t="shared" si="129"/>
        <v>0</v>
      </c>
      <c r="N28" s="223">
        <f t="shared" si="129"/>
        <v>0</v>
      </c>
      <c r="O28" s="223">
        <f t="shared" si="129"/>
        <v>0</v>
      </c>
      <c r="P28" s="223">
        <f t="shared" si="129"/>
        <v>0</v>
      </c>
      <c r="Q28" s="223">
        <f t="shared" si="129"/>
        <v>0</v>
      </c>
      <c r="R28" s="223"/>
      <c r="S28" s="223">
        <f t="shared" si="127"/>
        <v>0</v>
      </c>
      <c r="T28" s="223">
        <f t="shared" si="130"/>
        <v>0</v>
      </c>
      <c r="U28" s="223">
        <f t="shared" si="130"/>
        <v>0</v>
      </c>
      <c r="V28" s="223">
        <f t="shared" si="130"/>
        <v>0</v>
      </c>
      <c r="W28" s="223">
        <f t="shared" si="130"/>
        <v>0</v>
      </c>
      <c r="X28" s="223">
        <f t="shared" si="130"/>
        <v>0</v>
      </c>
      <c r="Y28" s="223">
        <f t="shared" si="130"/>
        <v>0</v>
      </c>
      <c r="Z28" s="223">
        <f t="shared" si="130"/>
        <v>0</v>
      </c>
      <c r="AA28" s="223">
        <f t="shared" si="130"/>
        <v>0</v>
      </c>
      <c r="AB28" s="223">
        <f t="shared" si="130"/>
        <v>0</v>
      </c>
      <c r="AC28" s="223">
        <f t="shared" si="130"/>
        <v>0</v>
      </c>
      <c r="AD28" s="223">
        <f t="shared" si="130"/>
        <v>0</v>
      </c>
      <c r="AE28" s="223"/>
      <c r="AF28" s="223">
        <f t="shared" si="128"/>
        <v>0</v>
      </c>
      <c r="AG28" s="223">
        <f t="shared" si="131"/>
        <v>0</v>
      </c>
      <c r="AH28" s="223">
        <f t="shared" si="131"/>
        <v>0</v>
      </c>
      <c r="AI28" s="223">
        <f t="shared" si="131"/>
        <v>0</v>
      </c>
      <c r="AJ28" s="223">
        <f t="shared" si="131"/>
        <v>0</v>
      </c>
      <c r="AK28" s="223">
        <f t="shared" si="131"/>
        <v>0</v>
      </c>
      <c r="AL28" s="223">
        <f t="shared" si="131"/>
        <v>0</v>
      </c>
      <c r="AM28" s="223">
        <f t="shared" si="131"/>
        <v>0</v>
      </c>
      <c r="AN28" s="223">
        <f t="shared" si="131"/>
        <v>0</v>
      </c>
      <c r="AO28" s="223">
        <f t="shared" si="131"/>
        <v>0</v>
      </c>
      <c r="AP28" s="223">
        <f t="shared" si="131"/>
        <v>0</v>
      </c>
      <c r="AQ28" s="223">
        <f t="shared" si="131"/>
        <v>0</v>
      </c>
      <c r="AR28" s="223"/>
      <c r="AS28" s="223">
        <f t="shared" si="84"/>
        <v>0</v>
      </c>
      <c r="AT28" s="223">
        <f t="shared" si="132"/>
        <v>0</v>
      </c>
      <c r="AU28" s="223">
        <f t="shared" si="132"/>
        <v>0</v>
      </c>
      <c r="AV28" s="223">
        <f t="shared" si="132"/>
        <v>0</v>
      </c>
      <c r="AW28" s="223">
        <f t="shared" si="132"/>
        <v>0</v>
      </c>
      <c r="AX28" s="223">
        <f t="shared" si="132"/>
        <v>0</v>
      </c>
      <c r="AY28" s="223">
        <f t="shared" si="132"/>
        <v>0</v>
      </c>
      <c r="AZ28" s="223">
        <f t="shared" si="132"/>
        <v>0</v>
      </c>
      <c r="BA28" s="223">
        <f t="shared" si="132"/>
        <v>0</v>
      </c>
      <c r="BB28" s="223">
        <f t="shared" si="132"/>
        <v>0</v>
      </c>
      <c r="BC28" s="223">
        <f t="shared" si="132"/>
        <v>0</v>
      </c>
      <c r="BD28" s="223">
        <f t="shared" si="132"/>
        <v>0</v>
      </c>
      <c r="BE28" s="223"/>
      <c r="BF28" s="223">
        <f t="shared" si="86"/>
        <v>0</v>
      </c>
      <c r="BG28" s="223">
        <f t="shared" si="133"/>
        <v>0</v>
      </c>
      <c r="BH28" s="223">
        <f t="shared" si="133"/>
        <v>0</v>
      </c>
      <c r="BI28" s="223">
        <f t="shared" si="133"/>
        <v>0</v>
      </c>
      <c r="BJ28" s="223">
        <f t="shared" si="133"/>
        <v>0</v>
      </c>
      <c r="BK28" s="223">
        <f t="shared" si="133"/>
        <v>0</v>
      </c>
      <c r="BL28" s="223">
        <f t="shared" si="133"/>
        <v>0</v>
      </c>
      <c r="BM28" s="223">
        <f t="shared" si="133"/>
        <v>0</v>
      </c>
      <c r="BN28" s="223">
        <f t="shared" si="133"/>
        <v>0</v>
      </c>
      <c r="BO28" s="223">
        <f t="shared" si="133"/>
        <v>0</v>
      </c>
      <c r="BP28" s="223">
        <f t="shared" si="133"/>
        <v>0</v>
      </c>
      <c r="BQ28" s="223">
        <f t="shared" si="133"/>
        <v>0</v>
      </c>
      <c r="BR28" s="223"/>
      <c r="BS28" s="223">
        <f t="shared" si="88"/>
        <v>0</v>
      </c>
      <c r="BT28" s="223">
        <f t="shared" si="134"/>
        <v>0</v>
      </c>
      <c r="BU28" s="223">
        <f t="shared" si="134"/>
        <v>0</v>
      </c>
      <c r="BV28" s="223">
        <f t="shared" si="134"/>
        <v>0</v>
      </c>
      <c r="BW28" s="223">
        <f t="shared" si="134"/>
        <v>0</v>
      </c>
      <c r="BX28" s="223">
        <f t="shared" si="134"/>
        <v>0</v>
      </c>
      <c r="BY28" s="223">
        <f t="shared" si="134"/>
        <v>0</v>
      </c>
      <c r="BZ28" s="223">
        <f t="shared" si="134"/>
        <v>0</v>
      </c>
      <c r="CA28" s="223">
        <f t="shared" si="134"/>
        <v>0</v>
      </c>
      <c r="CB28" s="223">
        <f t="shared" si="134"/>
        <v>0</v>
      </c>
      <c r="CC28" s="223">
        <f t="shared" si="134"/>
        <v>0</v>
      </c>
      <c r="CD28" s="223">
        <f t="shared" si="134"/>
        <v>0</v>
      </c>
      <c r="CE28" s="389"/>
      <c r="CF28" s="223">
        <f t="shared" si="90"/>
        <v>0</v>
      </c>
      <c r="CG28" s="223">
        <f t="shared" si="91"/>
        <v>0</v>
      </c>
      <c r="CH28" s="223">
        <f t="shared" si="92"/>
        <v>0</v>
      </c>
      <c r="CI28" s="223">
        <f t="shared" si="93"/>
        <v>0</v>
      </c>
      <c r="CJ28" s="223">
        <f t="shared" si="94"/>
        <v>0</v>
      </c>
      <c r="CK28" s="223">
        <f t="shared" si="95"/>
        <v>0</v>
      </c>
      <c r="CL28" s="223">
        <f t="shared" si="96"/>
        <v>0</v>
      </c>
      <c r="CM28" s="223">
        <f t="shared" si="97"/>
        <v>0</v>
      </c>
      <c r="CN28" s="223">
        <f t="shared" si="98"/>
        <v>0</v>
      </c>
      <c r="CO28" s="223">
        <f t="shared" si="99"/>
        <v>0</v>
      </c>
      <c r="CP28" s="223">
        <f t="shared" si="100"/>
        <v>0</v>
      </c>
      <c r="CQ28" s="223">
        <f t="shared" si="101"/>
        <v>0</v>
      </c>
      <c r="CR28" s="389"/>
      <c r="CS28" s="223">
        <f t="shared" si="102"/>
        <v>0</v>
      </c>
      <c r="CT28" s="223">
        <f t="shared" si="103"/>
        <v>0</v>
      </c>
      <c r="CU28" s="223">
        <f t="shared" si="104"/>
        <v>0</v>
      </c>
      <c r="CV28" s="223">
        <f t="shared" si="105"/>
        <v>0</v>
      </c>
      <c r="CW28" s="223">
        <f t="shared" si="106"/>
        <v>0</v>
      </c>
      <c r="CX28" s="223">
        <f t="shared" si="107"/>
        <v>0</v>
      </c>
      <c r="CY28" s="223">
        <f t="shared" si="108"/>
        <v>0</v>
      </c>
      <c r="CZ28" s="223">
        <f t="shared" si="109"/>
        <v>0</v>
      </c>
      <c r="DA28" s="223">
        <f t="shared" si="110"/>
        <v>0</v>
      </c>
      <c r="DB28" s="223">
        <f t="shared" si="111"/>
        <v>0</v>
      </c>
      <c r="DC28" s="223">
        <f t="shared" si="112"/>
        <v>0</v>
      </c>
      <c r="DD28" s="223">
        <f t="shared" si="113"/>
        <v>0</v>
      </c>
      <c r="DE28" s="389"/>
      <c r="DF28" s="223">
        <f t="shared" si="114"/>
        <v>0</v>
      </c>
      <c r="DG28" s="223">
        <f t="shared" si="115"/>
        <v>0</v>
      </c>
      <c r="DH28" s="223">
        <f t="shared" si="116"/>
        <v>0</v>
      </c>
      <c r="DI28" s="223">
        <f t="shared" si="117"/>
        <v>0</v>
      </c>
      <c r="DJ28" s="223">
        <f t="shared" si="118"/>
        <v>0</v>
      </c>
      <c r="DK28" s="223">
        <f t="shared" si="119"/>
        <v>0</v>
      </c>
      <c r="DL28" s="223">
        <f t="shared" si="120"/>
        <v>0</v>
      </c>
      <c r="DM28" s="223">
        <f t="shared" si="121"/>
        <v>0</v>
      </c>
      <c r="DN28" s="223">
        <f t="shared" si="122"/>
        <v>0</v>
      </c>
      <c r="DO28" s="223">
        <f t="shared" si="123"/>
        <v>0</v>
      </c>
      <c r="DP28" s="223">
        <f t="shared" si="124"/>
        <v>0</v>
      </c>
      <c r="DQ28" s="223">
        <f t="shared" si="125"/>
        <v>0</v>
      </c>
      <c r="DR28" s="389"/>
      <c r="DS28" s="31">
        <f t="shared" si="126"/>
        <v>0</v>
      </c>
      <c r="DT28" s="390"/>
      <c r="DU28" s="9"/>
      <c r="DV28" s="8"/>
      <c r="DW28" s="7"/>
      <c r="DX28" s="7"/>
      <c r="DY28" s="7"/>
      <c r="DZ28" s="7"/>
      <c r="EA28" s="7"/>
      <c r="EB28" s="7"/>
      <c r="EC28" s="7"/>
    </row>
    <row r="29" spans="1:133">
      <c r="C29" s="57" t="str">
        <f>'Role Selection'!F26</f>
        <v>///</v>
      </c>
      <c r="D29" s="57">
        <f>'Role Selection'!HO26</f>
        <v>0</v>
      </c>
      <c r="E29" s="62">
        <f>'Role Selection'!H26</f>
        <v>0</v>
      </c>
      <c r="F29" s="223"/>
      <c r="G29" s="223">
        <f t="shared" si="129"/>
        <v>0</v>
      </c>
      <c r="H29" s="223">
        <f t="shared" si="129"/>
        <v>0</v>
      </c>
      <c r="I29" s="223">
        <f t="shared" si="129"/>
        <v>0</v>
      </c>
      <c r="J29" s="223">
        <f t="shared" si="129"/>
        <v>0</v>
      </c>
      <c r="K29" s="223">
        <f t="shared" si="129"/>
        <v>0</v>
      </c>
      <c r="L29" s="223">
        <f t="shared" si="129"/>
        <v>0</v>
      </c>
      <c r="M29" s="223">
        <f t="shared" si="129"/>
        <v>0</v>
      </c>
      <c r="N29" s="223">
        <f t="shared" si="129"/>
        <v>0</v>
      </c>
      <c r="O29" s="223">
        <f t="shared" si="129"/>
        <v>0</v>
      </c>
      <c r="P29" s="223">
        <f t="shared" si="129"/>
        <v>0</v>
      </c>
      <c r="Q29" s="223">
        <f t="shared" si="129"/>
        <v>0</v>
      </c>
      <c r="R29" s="223"/>
      <c r="S29" s="223">
        <f t="shared" si="127"/>
        <v>0</v>
      </c>
      <c r="T29" s="223">
        <f t="shared" si="130"/>
        <v>0</v>
      </c>
      <c r="U29" s="223">
        <f t="shared" si="130"/>
        <v>0</v>
      </c>
      <c r="V29" s="223">
        <f t="shared" si="130"/>
        <v>0</v>
      </c>
      <c r="W29" s="223">
        <f t="shared" si="130"/>
        <v>0</v>
      </c>
      <c r="X29" s="223">
        <f t="shared" si="130"/>
        <v>0</v>
      </c>
      <c r="Y29" s="223">
        <f t="shared" si="130"/>
        <v>0</v>
      </c>
      <c r="Z29" s="223">
        <f t="shared" si="130"/>
        <v>0</v>
      </c>
      <c r="AA29" s="223">
        <f t="shared" si="130"/>
        <v>0</v>
      </c>
      <c r="AB29" s="223">
        <f t="shared" si="130"/>
        <v>0</v>
      </c>
      <c r="AC29" s="223">
        <f t="shared" si="130"/>
        <v>0</v>
      </c>
      <c r="AD29" s="223">
        <f t="shared" si="130"/>
        <v>0</v>
      </c>
      <c r="AE29" s="223"/>
      <c r="AF29" s="223">
        <f t="shared" si="128"/>
        <v>0</v>
      </c>
      <c r="AG29" s="223">
        <f t="shared" si="131"/>
        <v>0</v>
      </c>
      <c r="AH29" s="223">
        <f t="shared" si="131"/>
        <v>0</v>
      </c>
      <c r="AI29" s="223">
        <f t="shared" si="131"/>
        <v>0</v>
      </c>
      <c r="AJ29" s="223">
        <f t="shared" si="131"/>
        <v>0</v>
      </c>
      <c r="AK29" s="223">
        <f t="shared" si="131"/>
        <v>0</v>
      </c>
      <c r="AL29" s="223">
        <f t="shared" si="131"/>
        <v>0</v>
      </c>
      <c r="AM29" s="223">
        <f t="shared" si="131"/>
        <v>0</v>
      </c>
      <c r="AN29" s="223">
        <f t="shared" si="131"/>
        <v>0</v>
      </c>
      <c r="AO29" s="223">
        <f t="shared" si="131"/>
        <v>0</v>
      </c>
      <c r="AP29" s="223">
        <f t="shared" si="131"/>
        <v>0</v>
      </c>
      <c r="AQ29" s="223">
        <f t="shared" si="131"/>
        <v>0</v>
      </c>
      <c r="AR29" s="223"/>
      <c r="AS29" s="223">
        <f t="shared" si="84"/>
        <v>0</v>
      </c>
      <c r="AT29" s="223">
        <f t="shared" si="132"/>
        <v>0</v>
      </c>
      <c r="AU29" s="223">
        <f t="shared" si="132"/>
        <v>0</v>
      </c>
      <c r="AV29" s="223">
        <f t="shared" si="132"/>
        <v>0</v>
      </c>
      <c r="AW29" s="223">
        <f t="shared" si="132"/>
        <v>0</v>
      </c>
      <c r="AX29" s="223">
        <f t="shared" si="132"/>
        <v>0</v>
      </c>
      <c r="AY29" s="223">
        <f t="shared" si="132"/>
        <v>0</v>
      </c>
      <c r="AZ29" s="223">
        <f t="shared" si="132"/>
        <v>0</v>
      </c>
      <c r="BA29" s="223">
        <f t="shared" si="132"/>
        <v>0</v>
      </c>
      <c r="BB29" s="223">
        <f t="shared" si="132"/>
        <v>0</v>
      </c>
      <c r="BC29" s="223">
        <f t="shared" si="132"/>
        <v>0</v>
      </c>
      <c r="BD29" s="223">
        <f t="shared" si="132"/>
        <v>0</v>
      </c>
      <c r="BE29" s="223"/>
      <c r="BF29" s="223">
        <f t="shared" si="86"/>
        <v>0</v>
      </c>
      <c r="BG29" s="223">
        <f t="shared" si="133"/>
        <v>0</v>
      </c>
      <c r="BH29" s="223">
        <f t="shared" si="133"/>
        <v>0</v>
      </c>
      <c r="BI29" s="223">
        <f t="shared" si="133"/>
        <v>0</v>
      </c>
      <c r="BJ29" s="223">
        <f t="shared" si="133"/>
        <v>0</v>
      </c>
      <c r="BK29" s="223">
        <f t="shared" si="133"/>
        <v>0</v>
      </c>
      <c r="BL29" s="223">
        <f t="shared" si="133"/>
        <v>0</v>
      </c>
      <c r="BM29" s="223">
        <f t="shared" si="133"/>
        <v>0</v>
      </c>
      <c r="BN29" s="223">
        <f t="shared" si="133"/>
        <v>0</v>
      </c>
      <c r="BO29" s="223">
        <f t="shared" si="133"/>
        <v>0</v>
      </c>
      <c r="BP29" s="223">
        <f t="shared" si="133"/>
        <v>0</v>
      </c>
      <c r="BQ29" s="223">
        <f t="shared" si="133"/>
        <v>0</v>
      </c>
      <c r="BR29" s="223"/>
      <c r="BS29" s="223">
        <f t="shared" si="88"/>
        <v>0</v>
      </c>
      <c r="BT29" s="223">
        <f t="shared" si="134"/>
        <v>0</v>
      </c>
      <c r="BU29" s="223">
        <f t="shared" si="134"/>
        <v>0</v>
      </c>
      <c r="BV29" s="223">
        <f t="shared" si="134"/>
        <v>0</v>
      </c>
      <c r="BW29" s="223">
        <f t="shared" si="134"/>
        <v>0</v>
      </c>
      <c r="BX29" s="223">
        <f t="shared" si="134"/>
        <v>0</v>
      </c>
      <c r="BY29" s="223">
        <f t="shared" si="134"/>
        <v>0</v>
      </c>
      <c r="BZ29" s="223">
        <f t="shared" si="134"/>
        <v>0</v>
      </c>
      <c r="CA29" s="223">
        <f t="shared" si="134"/>
        <v>0</v>
      </c>
      <c r="CB29" s="223">
        <f t="shared" si="134"/>
        <v>0</v>
      </c>
      <c r="CC29" s="223">
        <f t="shared" si="134"/>
        <v>0</v>
      </c>
      <c r="CD29" s="223">
        <f t="shared" si="134"/>
        <v>0</v>
      </c>
      <c r="CE29" s="389"/>
      <c r="CF29" s="223">
        <f t="shared" si="90"/>
        <v>0</v>
      </c>
      <c r="CG29" s="223">
        <f t="shared" si="91"/>
        <v>0</v>
      </c>
      <c r="CH29" s="223">
        <f t="shared" si="92"/>
        <v>0</v>
      </c>
      <c r="CI29" s="223">
        <f t="shared" si="93"/>
        <v>0</v>
      </c>
      <c r="CJ29" s="223">
        <f t="shared" si="94"/>
        <v>0</v>
      </c>
      <c r="CK29" s="223">
        <f t="shared" si="95"/>
        <v>0</v>
      </c>
      <c r="CL29" s="223">
        <f t="shared" si="96"/>
        <v>0</v>
      </c>
      <c r="CM29" s="223">
        <f t="shared" si="97"/>
        <v>0</v>
      </c>
      <c r="CN29" s="223">
        <f t="shared" si="98"/>
        <v>0</v>
      </c>
      <c r="CO29" s="223">
        <f t="shared" si="99"/>
        <v>0</v>
      </c>
      <c r="CP29" s="223">
        <f t="shared" si="100"/>
        <v>0</v>
      </c>
      <c r="CQ29" s="223">
        <f t="shared" si="101"/>
        <v>0</v>
      </c>
      <c r="CR29" s="389"/>
      <c r="CS29" s="223">
        <f t="shared" si="102"/>
        <v>0</v>
      </c>
      <c r="CT29" s="223">
        <f t="shared" si="103"/>
        <v>0</v>
      </c>
      <c r="CU29" s="223">
        <f t="shared" si="104"/>
        <v>0</v>
      </c>
      <c r="CV29" s="223">
        <f t="shared" si="105"/>
        <v>0</v>
      </c>
      <c r="CW29" s="223">
        <f t="shared" si="106"/>
        <v>0</v>
      </c>
      <c r="CX29" s="223">
        <f t="shared" si="107"/>
        <v>0</v>
      </c>
      <c r="CY29" s="223">
        <f t="shared" si="108"/>
        <v>0</v>
      </c>
      <c r="CZ29" s="223">
        <f t="shared" si="109"/>
        <v>0</v>
      </c>
      <c r="DA29" s="223">
        <f t="shared" si="110"/>
        <v>0</v>
      </c>
      <c r="DB29" s="223">
        <f t="shared" si="111"/>
        <v>0</v>
      </c>
      <c r="DC29" s="223">
        <f t="shared" si="112"/>
        <v>0</v>
      </c>
      <c r="DD29" s="223">
        <f t="shared" si="113"/>
        <v>0</v>
      </c>
      <c r="DE29" s="389"/>
      <c r="DF29" s="223">
        <f t="shared" si="114"/>
        <v>0</v>
      </c>
      <c r="DG29" s="223">
        <f t="shared" si="115"/>
        <v>0</v>
      </c>
      <c r="DH29" s="223">
        <f t="shared" si="116"/>
        <v>0</v>
      </c>
      <c r="DI29" s="223">
        <f t="shared" si="117"/>
        <v>0</v>
      </c>
      <c r="DJ29" s="223">
        <f t="shared" si="118"/>
        <v>0</v>
      </c>
      <c r="DK29" s="223">
        <f t="shared" si="119"/>
        <v>0</v>
      </c>
      <c r="DL29" s="223">
        <f t="shared" si="120"/>
        <v>0</v>
      </c>
      <c r="DM29" s="223">
        <f t="shared" si="121"/>
        <v>0</v>
      </c>
      <c r="DN29" s="223">
        <f t="shared" si="122"/>
        <v>0</v>
      </c>
      <c r="DO29" s="223">
        <f t="shared" si="123"/>
        <v>0</v>
      </c>
      <c r="DP29" s="223">
        <f t="shared" si="124"/>
        <v>0</v>
      </c>
      <c r="DQ29" s="223">
        <f t="shared" si="125"/>
        <v>0</v>
      </c>
      <c r="DR29" s="389"/>
      <c r="DS29" s="31">
        <f t="shared" si="126"/>
        <v>0</v>
      </c>
      <c r="DT29" s="390"/>
      <c r="DU29" s="9"/>
      <c r="DV29" s="8"/>
      <c r="DW29" s="7"/>
      <c r="DX29" s="7"/>
      <c r="DY29" s="7"/>
      <c r="DZ29" s="7"/>
      <c r="EA29" s="7"/>
      <c r="EB29" s="7"/>
      <c r="EC29" s="7"/>
    </row>
    <row r="30" spans="1:133" hidden="1">
      <c r="C30" s="57" t="s">
        <v>26</v>
      </c>
      <c r="D30" s="57"/>
      <c r="E30" s="62"/>
      <c r="F30" s="389">
        <v>0</v>
      </c>
      <c r="G30" s="389">
        <f t="shared" si="129"/>
        <v>0</v>
      </c>
      <c r="H30" s="389">
        <f t="shared" si="129"/>
        <v>0</v>
      </c>
      <c r="I30" s="389">
        <f t="shared" si="129"/>
        <v>0</v>
      </c>
      <c r="J30" s="389">
        <f t="shared" si="129"/>
        <v>0</v>
      </c>
      <c r="K30" s="389">
        <f t="shared" si="129"/>
        <v>0</v>
      </c>
      <c r="L30" s="389">
        <f t="shared" si="129"/>
        <v>0</v>
      </c>
      <c r="M30" s="389">
        <f t="shared" si="129"/>
        <v>0</v>
      </c>
      <c r="N30" s="389">
        <f t="shared" si="129"/>
        <v>0</v>
      </c>
      <c r="O30" s="389">
        <f t="shared" si="129"/>
        <v>0</v>
      </c>
      <c r="P30" s="389">
        <f t="shared" si="129"/>
        <v>0</v>
      </c>
      <c r="Q30" s="389">
        <f t="shared" si="129"/>
        <v>0</v>
      </c>
      <c r="R30" s="10"/>
      <c r="S30" s="389">
        <f t="shared" ref="S30:S31" si="135">Q30</f>
        <v>0</v>
      </c>
      <c r="T30" s="389">
        <f t="shared" si="130"/>
        <v>0</v>
      </c>
      <c r="U30" s="389">
        <f t="shared" si="130"/>
        <v>0</v>
      </c>
      <c r="V30" s="389">
        <f t="shared" si="130"/>
        <v>0</v>
      </c>
      <c r="W30" s="389">
        <f t="shared" si="130"/>
        <v>0</v>
      </c>
      <c r="X30" s="389">
        <f t="shared" si="130"/>
        <v>0</v>
      </c>
      <c r="Y30" s="389">
        <f t="shared" si="130"/>
        <v>0</v>
      </c>
      <c r="Z30" s="389">
        <f t="shared" si="130"/>
        <v>0</v>
      </c>
      <c r="AA30" s="389">
        <f t="shared" si="130"/>
        <v>0</v>
      </c>
      <c r="AB30" s="389">
        <f t="shared" si="130"/>
        <v>0</v>
      </c>
      <c r="AC30" s="389">
        <f t="shared" si="130"/>
        <v>0</v>
      </c>
      <c r="AD30" s="389">
        <f t="shared" si="130"/>
        <v>0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389">
        <f>AD30*AR$4/12</f>
        <v>0</v>
      </c>
      <c r="AS30" s="389"/>
      <c r="AT30" s="389"/>
      <c r="AU30" s="389"/>
      <c r="AV30" s="389"/>
      <c r="AW30" s="389"/>
      <c r="AX30" s="389"/>
      <c r="AY30" s="389"/>
      <c r="AZ30" s="389"/>
      <c r="BA30" s="389"/>
      <c r="BB30" s="389"/>
      <c r="BC30" s="389"/>
      <c r="BD30" s="389"/>
      <c r="BE30" s="389">
        <f>AR30*BE$4/12</f>
        <v>0</v>
      </c>
      <c r="BF30" s="389"/>
      <c r="BG30" s="389"/>
      <c r="BH30" s="389"/>
      <c r="BI30" s="389"/>
      <c r="BJ30" s="389"/>
      <c r="BK30" s="389"/>
      <c r="BL30" s="389"/>
      <c r="BM30" s="389"/>
      <c r="BN30" s="389"/>
      <c r="BO30" s="389"/>
      <c r="BP30" s="389"/>
      <c r="BQ30" s="389"/>
      <c r="BR30" s="389">
        <f>BE30*BR$4/12</f>
        <v>0</v>
      </c>
      <c r="BS30" s="389"/>
      <c r="BT30" s="389"/>
      <c r="BU30" s="389"/>
      <c r="BV30" s="389"/>
      <c r="BW30" s="389"/>
      <c r="BX30" s="389"/>
      <c r="BY30" s="389"/>
      <c r="BZ30" s="389"/>
      <c r="CA30" s="389"/>
      <c r="CB30" s="389"/>
      <c r="CC30" s="389"/>
      <c r="CD30" s="389"/>
      <c r="CE30" s="389">
        <f>BR30*CE$4/12</f>
        <v>0</v>
      </c>
      <c r="CF30" s="389"/>
      <c r="CG30" s="389"/>
      <c r="CH30" s="389"/>
      <c r="CI30" s="389"/>
      <c r="CJ30" s="389"/>
      <c r="CK30" s="389"/>
      <c r="CL30" s="389"/>
      <c r="CM30" s="389"/>
      <c r="CN30" s="389"/>
      <c r="CO30" s="389"/>
      <c r="CP30" s="389"/>
      <c r="CQ30" s="389"/>
      <c r="CR30" s="389">
        <f>CE30*CR$4/12</f>
        <v>0</v>
      </c>
      <c r="CS30" s="389"/>
      <c r="CT30" s="389"/>
      <c r="CU30" s="389"/>
      <c r="CV30" s="389"/>
      <c r="CW30" s="389"/>
      <c r="CX30" s="389"/>
      <c r="CY30" s="389"/>
      <c r="CZ30" s="389"/>
      <c r="DA30" s="389"/>
      <c r="DB30" s="389"/>
      <c r="DC30" s="389"/>
      <c r="DD30" s="389"/>
      <c r="DE30" s="389">
        <f>CR30*DE$4/12</f>
        <v>0</v>
      </c>
      <c r="DF30" s="389"/>
      <c r="DG30" s="389"/>
      <c r="DH30" s="389"/>
      <c r="DI30" s="389"/>
      <c r="DJ30" s="389"/>
      <c r="DK30" s="389"/>
      <c r="DL30" s="389"/>
      <c r="DM30" s="389"/>
      <c r="DN30" s="389"/>
      <c r="DO30" s="389"/>
      <c r="DP30" s="389"/>
      <c r="DQ30" s="389"/>
      <c r="DR30" s="389">
        <f>DE30*DR$4/12</f>
        <v>0</v>
      </c>
      <c r="DS30" s="31"/>
      <c r="DT30" s="391"/>
      <c r="DU30" s="10"/>
      <c r="DV30" s="8"/>
      <c r="DW30" s="7"/>
      <c r="DX30" s="7"/>
      <c r="DY30" s="7"/>
      <c r="DZ30" s="7"/>
      <c r="EA30" s="7"/>
      <c r="EB30" s="7"/>
      <c r="EC30" s="7"/>
    </row>
    <row r="31" spans="1:133" hidden="1">
      <c r="C31" s="57" t="s">
        <v>26</v>
      </c>
      <c r="D31" s="57"/>
      <c r="E31" s="62"/>
      <c r="F31" s="389">
        <v>0</v>
      </c>
      <c r="G31" s="389">
        <f t="shared" si="129"/>
        <v>0</v>
      </c>
      <c r="H31" s="389">
        <f t="shared" si="129"/>
        <v>0</v>
      </c>
      <c r="I31" s="389">
        <f t="shared" si="129"/>
        <v>0</v>
      </c>
      <c r="J31" s="389">
        <f t="shared" si="129"/>
        <v>0</v>
      </c>
      <c r="K31" s="389">
        <f t="shared" si="129"/>
        <v>0</v>
      </c>
      <c r="L31" s="389">
        <f t="shared" si="129"/>
        <v>0</v>
      </c>
      <c r="M31" s="389">
        <f t="shared" si="129"/>
        <v>0</v>
      </c>
      <c r="N31" s="389">
        <f t="shared" si="129"/>
        <v>0</v>
      </c>
      <c r="O31" s="389">
        <f t="shared" si="129"/>
        <v>0</v>
      </c>
      <c r="P31" s="389">
        <f t="shared" si="129"/>
        <v>0</v>
      </c>
      <c r="Q31" s="389">
        <f t="shared" si="129"/>
        <v>0</v>
      </c>
      <c r="R31" s="10"/>
      <c r="S31" s="389">
        <f t="shared" si="135"/>
        <v>0</v>
      </c>
      <c r="T31" s="389">
        <f t="shared" si="130"/>
        <v>0</v>
      </c>
      <c r="U31" s="389">
        <f t="shared" si="130"/>
        <v>0</v>
      </c>
      <c r="V31" s="389">
        <f t="shared" si="130"/>
        <v>0</v>
      </c>
      <c r="W31" s="389">
        <f t="shared" si="130"/>
        <v>0</v>
      </c>
      <c r="X31" s="389">
        <f t="shared" si="130"/>
        <v>0</v>
      </c>
      <c r="Y31" s="389">
        <f t="shared" si="130"/>
        <v>0</v>
      </c>
      <c r="Z31" s="389">
        <f t="shared" si="130"/>
        <v>0</v>
      </c>
      <c r="AA31" s="389">
        <f t="shared" si="130"/>
        <v>0</v>
      </c>
      <c r="AB31" s="389">
        <f t="shared" si="130"/>
        <v>0</v>
      </c>
      <c r="AC31" s="389">
        <f t="shared" si="130"/>
        <v>0</v>
      </c>
      <c r="AD31" s="389">
        <f t="shared" si="130"/>
        <v>0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389">
        <f>AD31*AR$4/12</f>
        <v>0</v>
      </c>
      <c r="AS31" s="389"/>
      <c r="AT31" s="389"/>
      <c r="AU31" s="389"/>
      <c r="AV31" s="389"/>
      <c r="AW31" s="389"/>
      <c r="AX31" s="389"/>
      <c r="AY31" s="389"/>
      <c r="AZ31" s="389"/>
      <c r="BA31" s="389"/>
      <c r="BB31" s="389"/>
      <c r="BC31" s="389"/>
      <c r="BD31" s="389"/>
      <c r="BE31" s="389">
        <f>AR31*BE$4/12</f>
        <v>0</v>
      </c>
      <c r="BF31" s="389"/>
      <c r="BG31" s="389"/>
      <c r="BH31" s="389"/>
      <c r="BI31" s="389"/>
      <c r="BJ31" s="389"/>
      <c r="BK31" s="389"/>
      <c r="BL31" s="389"/>
      <c r="BM31" s="389"/>
      <c r="BN31" s="389"/>
      <c r="BO31" s="389"/>
      <c r="BP31" s="389"/>
      <c r="BQ31" s="389"/>
      <c r="BR31" s="389">
        <f>BE31*BR$4/12</f>
        <v>0</v>
      </c>
      <c r="BS31" s="389"/>
      <c r="BT31" s="389"/>
      <c r="BU31" s="389"/>
      <c r="BV31" s="389"/>
      <c r="BW31" s="389"/>
      <c r="BX31" s="389"/>
      <c r="BY31" s="389"/>
      <c r="BZ31" s="389"/>
      <c r="CA31" s="389"/>
      <c r="CB31" s="389"/>
      <c r="CC31" s="389"/>
      <c r="CD31" s="389"/>
      <c r="CE31" s="389">
        <f>BR31*CE$4/12</f>
        <v>0</v>
      </c>
      <c r="CF31" s="389"/>
      <c r="CG31" s="389"/>
      <c r="CH31" s="389"/>
      <c r="CI31" s="389"/>
      <c r="CJ31" s="389"/>
      <c r="CK31" s="389"/>
      <c r="CL31" s="389"/>
      <c r="CM31" s="389"/>
      <c r="CN31" s="389"/>
      <c r="CO31" s="389"/>
      <c r="CP31" s="389"/>
      <c r="CQ31" s="389"/>
      <c r="CR31" s="389">
        <f>CE31*CR$4/12</f>
        <v>0</v>
      </c>
      <c r="CS31" s="389"/>
      <c r="CT31" s="389"/>
      <c r="CU31" s="389"/>
      <c r="CV31" s="389"/>
      <c r="CW31" s="389"/>
      <c r="CX31" s="389"/>
      <c r="CY31" s="389"/>
      <c r="CZ31" s="389"/>
      <c r="DA31" s="389"/>
      <c r="DB31" s="389"/>
      <c r="DC31" s="389"/>
      <c r="DD31" s="389"/>
      <c r="DE31" s="389">
        <f>CR31*DE$4/12</f>
        <v>0</v>
      </c>
      <c r="DF31" s="389"/>
      <c r="DG31" s="389"/>
      <c r="DH31" s="389"/>
      <c r="DI31" s="389"/>
      <c r="DJ31" s="389"/>
      <c r="DK31" s="389"/>
      <c r="DL31" s="389"/>
      <c r="DM31" s="389"/>
      <c r="DN31" s="389"/>
      <c r="DO31" s="389"/>
      <c r="DP31" s="389"/>
      <c r="DQ31" s="389"/>
      <c r="DR31" s="389">
        <f>DE31*DR$4/12</f>
        <v>0</v>
      </c>
      <c r="DS31" s="31"/>
      <c r="DT31" s="391"/>
      <c r="DU31" s="10"/>
      <c r="DV31" s="8"/>
      <c r="DW31" s="11"/>
      <c r="DX31" s="11"/>
      <c r="DY31" s="11"/>
      <c r="DZ31" s="11"/>
      <c r="EA31" s="11"/>
      <c r="EB31" s="11"/>
      <c r="EC31" s="7"/>
    </row>
    <row r="32" spans="1:133">
      <c r="C32" s="396" t="s">
        <v>27</v>
      </c>
      <c r="D32" s="57"/>
      <c r="E32" s="62"/>
      <c r="F32" s="12">
        <f t="shared" ref="F32:AK32" si="136">SUM(F7:F31)</f>
        <v>0</v>
      </c>
      <c r="G32" s="12">
        <f t="shared" si="136"/>
        <v>0</v>
      </c>
      <c r="H32" s="12">
        <f t="shared" si="136"/>
        <v>0</v>
      </c>
      <c r="I32" s="12">
        <f t="shared" si="136"/>
        <v>0</v>
      </c>
      <c r="J32" s="12">
        <f t="shared" si="136"/>
        <v>0</v>
      </c>
      <c r="K32" s="12">
        <f t="shared" si="136"/>
        <v>0</v>
      </c>
      <c r="L32" s="12">
        <f t="shared" si="136"/>
        <v>0</v>
      </c>
      <c r="M32" s="12">
        <f t="shared" si="136"/>
        <v>0</v>
      </c>
      <c r="N32" s="12">
        <f t="shared" si="136"/>
        <v>0</v>
      </c>
      <c r="O32" s="12">
        <f t="shared" si="136"/>
        <v>0</v>
      </c>
      <c r="P32" s="12">
        <f t="shared" si="136"/>
        <v>0</v>
      </c>
      <c r="Q32" s="12">
        <f t="shared" si="136"/>
        <v>0</v>
      </c>
      <c r="R32" s="12">
        <f t="shared" si="136"/>
        <v>0</v>
      </c>
      <c r="S32" s="12">
        <f t="shared" si="136"/>
        <v>0</v>
      </c>
      <c r="T32" s="12">
        <f t="shared" si="136"/>
        <v>0</v>
      </c>
      <c r="U32" s="12">
        <f t="shared" si="136"/>
        <v>0</v>
      </c>
      <c r="V32" s="12">
        <f t="shared" si="136"/>
        <v>0</v>
      </c>
      <c r="W32" s="12">
        <f t="shared" si="136"/>
        <v>0</v>
      </c>
      <c r="X32" s="12">
        <f t="shared" si="136"/>
        <v>0</v>
      </c>
      <c r="Y32" s="12">
        <f t="shared" si="136"/>
        <v>0</v>
      </c>
      <c r="Z32" s="12">
        <f t="shared" si="136"/>
        <v>0</v>
      </c>
      <c r="AA32" s="12">
        <f t="shared" si="136"/>
        <v>0</v>
      </c>
      <c r="AB32" s="12">
        <f t="shared" si="136"/>
        <v>0</v>
      </c>
      <c r="AC32" s="12">
        <f t="shared" si="136"/>
        <v>0</v>
      </c>
      <c r="AD32" s="12">
        <f t="shared" si="136"/>
        <v>0</v>
      </c>
      <c r="AE32" s="12">
        <f t="shared" si="136"/>
        <v>0</v>
      </c>
      <c r="AF32" s="12">
        <f t="shared" si="136"/>
        <v>0</v>
      </c>
      <c r="AG32" s="12">
        <f t="shared" si="136"/>
        <v>0</v>
      </c>
      <c r="AH32" s="12">
        <f t="shared" si="136"/>
        <v>0</v>
      </c>
      <c r="AI32" s="12">
        <f t="shared" si="136"/>
        <v>0</v>
      </c>
      <c r="AJ32" s="12">
        <f t="shared" si="136"/>
        <v>0</v>
      </c>
      <c r="AK32" s="12">
        <f t="shared" si="136"/>
        <v>0</v>
      </c>
      <c r="AL32" s="12">
        <f t="shared" ref="AL32:DT32" si="137">SUM(AL7:AL31)</f>
        <v>0</v>
      </c>
      <c r="AM32" s="12">
        <f t="shared" si="137"/>
        <v>0</v>
      </c>
      <c r="AN32" s="12">
        <f t="shared" si="137"/>
        <v>0</v>
      </c>
      <c r="AO32" s="12">
        <f t="shared" si="137"/>
        <v>0</v>
      </c>
      <c r="AP32" s="12">
        <f t="shared" si="137"/>
        <v>0</v>
      </c>
      <c r="AQ32" s="12">
        <f t="shared" si="137"/>
        <v>0</v>
      </c>
      <c r="AR32" s="12">
        <f t="shared" si="137"/>
        <v>0</v>
      </c>
      <c r="AS32" s="12">
        <f t="shared" si="137"/>
        <v>0</v>
      </c>
      <c r="AT32" s="12">
        <f t="shared" si="137"/>
        <v>0</v>
      </c>
      <c r="AU32" s="12">
        <f t="shared" si="137"/>
        <v>0</v>
      </c>
      <c r="AV32" s="12">
        <f t="shared" si="137"/>
        <v>0</v>
      </c>
      <c r="AW32" s="12">
        <f t="shared" si="137"/>
        <v>0</v>
      </c>
      <c r="AX32" s="12">
        <f t="shared" si="137"/>
        <v>0</v>
      </c>
      <c r="AY32" s="12">
        <f t="shared" si="137"/>
        <v>0</v>
      </c>
      <c r="AZ32" s="12">
        <f t="shared" si="137"/>
        <v>0</v>
      </c>
      <c r="BA32" s="12">
        <f t="shared" si="137"/>
        <v>0</v>
      </c>
      <c r="BB32" s="12">
        <f t="shared" si="137"/>
        <v>0</v>
      </c>
      <c r="BC32" s="12">
        <f t="shared" si="137"/>
        <v>0</v>
      </c>
      <c r="BD32" s="12">
        <f t="shared" si="137"/>
        <v>0</v>
      </c>
      <c r="BE32" s="12">
        <f t="shared" si="137"/>
        <v>0</v>
      </c>
      <c r="BF32" s="12">
        <f t="shared" si="137"/>
        <v>0</v>
      </c>
      <c r="BG32" s="12">
        <f t="shared" si="137"/>
        <v>0</v>
      </c>
      <c r="BH32" s="12">
        <f t="shared" si="137"/>
        <v>0</v>
      </c>
      <c r="BI32" s="12">
        <f t="shared" si="137"/>
        <v>0</v>
      </c>
      <c r="BJ32" s="12">
        <f t="shared" si="137"/>
        <v>0</v>
      </c>
      <c r="BK32" s="12">
        <f t="shared" si="137"/>
        <v>0</v>
      </c>
      <c r="BL32" s="12">
        <f t="shared" si="137"/>
        <v>0</v>
      </c>
      <c r="BM32" s="12">
        <f t="shared" si="137"/>
        <v>0</v>
      </c>
      <c r="BN32" s="12">
        <f t="shared" si="137"/>
        <v>0</v>
      </c>
      <c r="BO32" s="12">
        <f t="shared" si="137"/>
        <v>0</v>
      </c>
      <c r="BP32" s="12">
        <f t="shared" si="137"/>
        <v>0</v>
      </c>
      <c r="BQ32" s="12">
        <f t="shared" si="137"/>
        <v>0</v>
      </c>
      <c r="BR32" s="12">
        <f t="shared" si="137"/>
        <v>0</v>
      </c>
      <c r="BS32" s="12">
        <f t="shared" si="137"/>
        <v>0</v>
      </c>
      <c r="BT32" s="12">
        <f t="shared" si="137"/>
        <v>0</v>
      </c>
      <c r="BU32" s="12">
        <f t="shared" si="137"/>
        <v>0</v>
      </c>
      <c r="BV32" s="12">
        <f t="shared" si="137"/>
        <v>0</v>
      </c>
      <c r="BW32" s="12">
        <f t="shared" si="137"/>
        <v>0</v>
      </c>
      <c r="BX32" s="12">
        <f t="shared" si="137"/>
        <v>0</v>
      </c>
      <c r="BY32" s="12">
        <f t="shared" si="137"/>
        <v>0</v>
      </c>
      <c r="BZ32" s="12">
        <f t="shared" si="137"/>
        <v>0</v>
      </c>
      <c r="CA32" s="12">
        <f t="shared" si="137"/>
        <v>0</v>
      </c>
      <c r="CB32" s="12">
        <f t="shared" si="137"/>
        <v>0</v>
      </c>
      <c r="CC32" s="12">
        <f t="shared" si="137"/>
        <v>0</v>
      </c>
      <c r="CD32" s="12">
        <f t="shared" si="137"/>
        <v>0</v>
      </c>
      <c r="CE32" s="12">
        <f t="shared" si="137"/>
        <v>0</v>
      </c>
      <c r="CF32" s="12">
        <f t="shared" ref="CF32:DR32" si="138">SUM(CF7:CF31)</f>
        <v>0</v>
      </c>
      <c r="CG32" s="12">
        <f t="shared" si="138"/>
        <v>0</v>
      </c>
      <c r="CH32" s="12">
        <f t="shared" si="138"/>
        <v>0</v>
      </c>
      <c r="CI32" s="12">
        <f t="shared" si="138"/>
        <v>0</v>
      </c>
      <c r="CJ32" s="12">
        <f t="shared" si="138"/>
        <v>0</v>
      </c>
      <c r="CK32" s="12">
        <f t="shared" si="138"/>
        <v>0</v>
      </c>
      <c r="CL32" s="12">
        <f t="shared" si="138"/>
        <v>0</v>
      </c>
      <c r="CM32" s="12">
        <f t="shared" si="138"/>
        <v>0</v>
      </c>
      <c r="CN32" s="12">
        <f t="shared" si="138"/>
        <v>0</v>
      </c>
      <c r="CO32" s="12">
        <f t="shared" si="138"/>
        <v>0</v>
      </c>
      <c r="CP32" s="12">
        <f t="shared" si="138"/>
        <v>0</v>
      </c>
      <c r="CQ32" s="12">
        <f t="shared" si="138"/>
        <v>0</v>
      </c>
      <c r="CR32" s="12">
        <f t="shared" si="138"/>
        <v>0</v>
      </c>
      <c r="CS32" s="12">
        <f t="shared" si="138"/>
        <v>0</v>
      </c>
      <c r="CT32" s="12">
        <f t="shared" si="138"/>
        <v>0</v>
      </c>
      <c r="CU32" s="12">
        <f t="shared" si="138"/>
        <v>0</v>
      </c>
      <c r="CV32" s="12">
        <f t="shared" si="138"/>
        <v>0</v>
      </c>
      <c r="CW32" s="12">
        <f t="shared" si="138"/>
        <v>0</v>
      </c>
      <c r="CX32" s="12">
        <f t="shared" si="138"/>
        <v>0</v>
      </c>
      <c r="CY32" s="12">
        <f t="shared" si="138"/>
        <v>0</v>
      </c>
      <c r="CZ32" s="12">
        <f t="shared" si="138"/>
        <v>0</v>
      </c>
      <c r="DA32" s="12">
        <f t="shared" si="138"/>
        <v>0</v>
      </c>
      <c r="DB32" s="12">
        <f t="shared" si="138"/>
        <v>0</v>
      </c>
      <c r="DC32" s="12">
        <f t="shared" si="138"/>
        <v>0</v>
      </c>
      <c r="DD32" s="12">
        <f t="shared" si="138"/>
        <v>0</v>
      </c>
      <c r="DE32" s="12">
        <f t="shared" si="138"/>
        <v>0</v>
      </c>
      <c r="DF32" s="12">
        <f t="shared" si="138"/>
        <v>0</v>
      </c>
      <c r="DG32" s="12">
        <f t="shared" si="138"/>
        <v>0</v>
      </c>
      <c r="DH32" s="12">
        <f t="shared" si="138"/>
        <v>0</v>
      </c>
      <c r="DI32" s="12">
        <f t="shared" si="138"/>
        <v>0</v>
      </c>
      <c r="DJ32" s="12">
        <f t="shared" si="138"/>
        <v>0</v>
      </c>
      <c r="DK32" s="12">
        <f t="shared" si="138"/>
        <v>0</v>
      </c>
      <c r="DL32" s="12">
        <f t="shared" si="138"/>
        <v>0</v>
      </c>
      <c r="DM32" s="12">
        <f t="shared" si="138"/>
        <v>0</v>
      </c>
      <c r="DN32" s="12">
        <f t="shared" si="138"/>
        <v>0</v>
      </c>
      <c r="DO32" s="12">
        <f t="shared" si="138"/>
        <v>0</v>
      </c>
      <c r="DP32" s="12">
        <f t="shared" si="138"/>
        <v>0</v>
      </c>
      <c r="DQ32" s="12">
        <f t="shared" si="138"/>
        <v>0</v>
      </c>
      <c r="DR32" s="12">
        <f t="shared" si="138"/>
        <v>0</v>
      </c>
      <c r="DS32" s="30">
        <f t="shared" si="137"/>
        <v>0</v>
      </c>
      <c r="DT32" s="30">
        <f t="shared" si="137"/>
        <v>0</v>
      </c>
      <c r="DU32" s="13"/>
      <c r="DV32" s="8"/>
      <c r="DW32" s="7"/>
      <c r="DX32" s="7"/>
      <c r="DY32" s="7"/>
      <c r="DZ32" s="7"/>
      <c r="EA32" s="7"/>
      <c r="EB32" s="7"/>
      <c r="EC32" s="7"/>
    </row>
    <row r="33" spans="1:133">
      <c r="C33" s="57"/>
      <c r="D33" s="57"/>
      <c r="E33" s="6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31"/>
      <c r="DT33" s="31"/>
      <c r="DU33" s="9"/>
      <c r="DV33" s="8"/>
      <c r="DW33" s="7"/>
      <c r="DX33" s="7"/>
      <c r="DY33" s="7"/>
      <c r="DZ33" s="7"/>
      <c r="EA33" s="7"/>
      <c r="EB33" s="7"/>
      <c r="EC33" s="7"/>
    </row>
    <row r="34" spans="1:133">
      <c r="C34" s="59" t="s">
        <v>1410</v>
      </c>
      <c r="D34" s="59"/>
      <c r="E34" s="6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31"/>
      <c r="DT34" s="31"/>
      <c r="DU34" s="9"/>
      <c r="DV34" s="8"/>
      <c r="DW34" s="7"/>
      <c r="DX34" s="7"/>
      <c r="DY34" s="7"/>
      <c r="DZ34" s="7"/>
      <c r="EA34" s="7"/>
      <c r="EB34" s="7"/>
      <c r="EC34" s="7"/>
    </row>
    <row r="35" spans="1:133">
      <c r="C35" s="57" t="str">
        <f>C9</f>
        <v>IT/JavaNetColdFusionIT/DeveloperJavaNetColdFusion/Junior</v>
      </c>
      <c r="D35" s="57">
        <f>+D9</f>
        <v>0</v>
      </c>
      <c r="E35" s="62" t="str">
        <f>E9</f>
        <v>B2 AP1 / B2 AP2 (0.6 to 3 yrs)</v>
      </c>
      <c r="F35" s="223"/>
      <c r="G35" s="223">
        <f t="shared" ref="G35:Q50" si="139">F35</f>
        <v>0</v>
      </c>
      <c r="H35" s="223">
        <f t="shared" si="139"/>
        <v>0</v>
      </c>
      <c r="I35" s="223">
        <f t="shared" si="139"/>
        <v>0</v>
      </c>
      <c r="J35" s="223">
        <f t="shared" si="139"/>
        <v>0</v>
      </c>
      <c r="K35" s="223">
        <f t="shared" si="139"/>
        <v>0</v>
      </c>
      <c r="L35" s="223">
        <f t="shared" si="139"/>
        <v>0</v>
      </c>
      <c r="M35" s="223">
        <f t="shared" si="139"/>
        <v>0</v>
      </c>
      <c r="N35" s="223">
        <f t="shared" si="139"/>
        <v>0</v>
      </c>
      <c r="O35" s="223">
        <f t="shared" si="139"/>
        <v>0</v>
      </c>
      <c r="P35" s="223">
        <f t="shared" si="139"/>
        <v>0</v>
      </c>
      <c r="Q35" s="223">
        <f t="shared" si="139"/>
        <v>0</v>
      </c>
      <c r="R35" s="223"/>
      <c r="S35" s="223">
        <f>+Q35</f>
        <v>0</v>
      </c>
      <c r="T35" s="223">
        <f t="shared" ref="T35:AD50" si="140">S35</f>
        <v>0</v>
      </c>
      <c r="U35" s="223">
        <f t="shared" si="140"/>
        <v>0</v>
      </c>
      <c r="V35" s="223">
        <f t="shared" si="140"/>
        <v>0</v>
      </c>
      <c r="W35" s="223">
        <f t="shared" si="140"/>
        <v>0</v>
      </c>
      <c r="X35" s="223">
        <f t="shared" si="140"/>
        <v>0</v>
      </c>
      <c r="Y35" s="223">
        <f t="shared" si="140"/>
        <v>0</v>
      </c>
      <c r="Z35" s="223">
        <f t="shared" si="140"/>
        <v>0</v>
      </c>
      <c r="AA35" s="223">
        <f t="shared" si="140"/>
        <v>0</v>
      </c>
      <c r="AB35" s="223">
        <f t="shared" si="140"/>
        <v>0</v>
      </c>
      <c r="AC35" s="223">
        <f t="shared" si="140"/>
        <v>0</v>
      </c>
      <c r="AD35" s="223">
        <f t="shared" si="140"/>
        <v>0</v>
      </c>
      <c r="AE35" s="223"/>
      <c r="AF35" s="223">
        <f t="shared" ref="AF35:AF56" si="141">AD35</f>
        <v>0</v>
      </c>
      <c r="AG35" s="223">
        <f t="shared" ref="AG35:AQ50" si="142">AF35</f>
        <v>0</v>
      </c>
      <c r="AH35" s="223">
        <f t="shared" si="142"/>
        <v>0</v>
      </c>
      <c r="AI35" s="223">
        <f t="shared" si="142"/>
        <v>0</v>
      </c>
      <c r="AJ35" s="223">
        <f t="shared" si="142"/>
        <v>0</v>
      </c>
      <c r="AK35" s="223">
        <f t="shared" si="142"/>
        <v>0</v>
      </c>
      <c r="AL35" s="223">
        <f t="shared" si="142"/>
        <v>0</v>
      </c>
      <c r="AM35" s="223">
        <f t="shared" si="142"/>
        <v>0</v>
      </c>
      <c r="AN35" s="223">
        <f t="shared" si="142"/>
        <v>0</v>
      </c>
      <c r="AO35" s="223">
        <f t="shared" si="142"/>
        <v>0</v>
      </c>
      <c r="AP35" s="223">
        <f t="shared" si="142"/>
        <v>0</v>
      </c>
      <c r="AQ35" s="223">
        <f t="shared" si="142"/>
        <v>0</v>
      </c>
      <c r="AR35" s="223"/>
      <c r="AS35" s="223">
        <f t="shared" ref="AS35:AS56" si="143">AQ35</f>
        <v>0</v>
      </c>
      <c r="AT35" s="223">
        <f t="shared" ref="AT35:BD50" si="144">AS35</f>
        <v>0</v>
      </c>
      <c r="AU35" s="223">
        <f t="shared" si="144"/>
        <v>0</v>
      </c>
      <c r="AV35" s="223">
        <f t="shared" si="144"/>
        <v>0</v>
      </c>
      <c r="AW35" s="223">
        <f t="shared" si="144"/>
        <v>0</v>
      </c>
      <c r="AX35" s="223">
        <f t="shared" si="144"/>
        <v>0</v>
      </c>
      <c r="AY35" s="223">
        <f t="shared" si="144"/>
        <v>0</v>
      </c>
      <c r="AZ35" s="223">
        <f t="shared" si="144"/>
        <v>0</v>
      </c>
      <c r="BA35" s="223">
        <f t="shared" si="144"/>
        <v>0</v>
      </c>
      <c r="BB35" s="223">
        <f t="shared" si="144"/>
        <v>0</v>
      </c>
      <c r="BC35" s="223">
        <f t="shared" si="144"/>
        <v>0</v>
      </c>
      <c r="BD35" s="223">
        <f t="shared" si="144"/>
        <v>0</v>
      </c>
      <c r="BE35" s="223"/>
      <c r="BF35" s="223">
        <f t="shared" ref="BF35:BF56" si="145">BD35</f>
        <v>0</v>
      </c>
      <c r="BG35" s="223">
        <f t="shared" ref="BG35:BQ50" si="146">BF35</f>
        <v>0</v>
      </c>
      <c r="BH35" s="223">
        <f t="shared" si="146"/>
        <v>0</v>
      </c>
      <c r="BI35" s="223">
        <f t="shared" si="146"/>
        <v>0</v>
      </c>
      <c r="BJ35" s="223">
        <f t="shared" si="146"/>
        <v>0</v>
      </c>
      <c r="BK35" s="223">
        <f t="shared" si="146"/>
        <v>0</v>
      </c>
      <c r="BL35" s="223">
        <f t="shared" si="146"/>
        <v>0</v>
      </c>
      <c r="BM35" s="223">
        <f t="shared" si="146"/>
        <v>0</v>
      </c>
      <c r="BN35" s="223">
        <f t="shared" si="146"/>
        <v>0</v>
      </c>
      <c r="BO35" s="223">
        <f t="shared" si="146"/>
        <v>0</v>
      </c>
      <c r="BP35" s="223">
        <f t="shared" si="146"/>
        <v>0</v>
      </c>
      <c r="BQ35" s="223">
        <f t="shared" si="146"/>
        <v>0</v>
      </c>
      <c r="BR35" s="223"/>
      <c r="BS35" s="223">
        <f t="shared" ref="BS35:BS56" si="147">BQ35</f>
        <v>0</v>
      </c>
      <c r="BT35" s="223">
        <f t="shared" ref="BT35:CD50" si="148">BS35</f>
        <v>0</v>
      </c>
      <c r="BU35" s="223">
        <f t="shared" si="148"/>
        <v>0</v>
      </c>
      <c r="BV35" s="223">
        <f t="shared" si="148"/>
        <v>0</v>
      </c>
      <c r="BW35" s="223">
        <f t="shared" si="148"/>
        <v>0</v>
      </c>
      <c r="BX35" s="223">
        <f t="shared" si="148"/>
        <v>0</v>
      </c>
      <c r="BY35" s="223">
        <f t="shared" si="148"/>
        <v>0</v>
      </c>
      <c r="BZ35" s="223">
        <f t="shared" si="148"/>
        <v>0</v>
      </c>
      <c r="CA35" s="223">
        <f t="shared" si="148"/>
        <v>0</v>
      </c>
      <c r="CB35" s="223">
        <f t="shared" si="148"/>
        <v>0</v>
      </c>
      <c r="CC35" s="223">
        <f t="shared" si="148"/>
        <v>0</v>
      </c>
      <c r="CD35" s="223">
        <f t="shared" si="148"/>
        <v>0</v>
      </c>
      <c r="CE35" s="389"/>
      <c r="CF35" s="223">
        <f t="shared" ref="CF35:CF56" si="149">CD35</f>
        <v>0</v>
      </c>
      <c r="CG35" s="223">
        <f t="shared" ref="CG35:CG56" si="150">CF35</f>
        <v>0</v>
      </c>
      <c r="CH35" s="223">
        <f t="shared" ref="CH35:CH56" si="151">CG35</f>
        <v>0</v>
      </c>
      <c r="CI35" s="223">
        <f t="shared" ref="CI35:CI56" si="152">CH35</f>
        <v>0</v>
      </c>
      <c r="CJ35" s="223">
        <f t="shared" ref="CJ35:CJ56" si="153">CI35</f>
        <v>0</v>
      </c>
      <c r="CK35" s="223">
        <f t="shared" ref="CK35:CK56" si="154">CJ35</f>
        <v>0</v>
      </c>
      <c r="CL35" s="223">
        <f t="shared" ref="CL35:CL56" si="155">CK35</f>
        <v>0</v>
      </c>
      <c r="CM35" s="223">
        <f t="shared" ref="CM35:CM56" si="156">CL35</f>
        <v>0</v>
      </c>
      <c r="CN35" s="223">
        <f t="shared" ref="CN35:CN56" si="157">CM35</f>
        <v>0</v>
      </c>
      <c r="CO35" s="223">
        <f t="shared" ref="CO35:CO56" si="158">CN35</f>
        <v>0</v>
      </c>
      <c r="CP35" s="223">
        <f t="shared" ref="CP35:CP56" si="159">CO35</f>
        <v>0</v>
      </c>
      <c r="CQ35" s="223">
        <f t="shared" ref="CQ35:CQ56" si="160">CP35</f>
        <v>0</v>
      </c>
      <c r="CR35" s="389"/>
      <c r="CS35" s="223">
        <f t="shared" ref="CS35:CS56" si="161">CQ35</f>
        <v>0</v>
      </c>
      <c r="CT35" s="223">
        <f t="shared" ref="CT35:CT56" si="162">CS35</f>
        <v>0</v>
      </c>
      <c r="CU35" s="223">
        <f t="shared" ref="CU35:CU56" si="163">CT35</f>
        <v>0</v>
      </c>
      <c r="CV35" s="223">
        <f t="shared" ref="CV35:CV56" si="164">CU35</f>
        <v>0</v>
      </c>
      <c r="CW35" s="223">
        <f t="shared" ref="CW35:CW56" si="165">CV35</f>
        <v>0</v>
      </c>
      <c r="CX35" s="223">
        <f t="shared" ref="CX35:CX56" si="166">CW35</f>
        <v>0</v>
      </c>
      <c r="CY35" s="223">
        <f t="shared" ref="CY35:CY56" si="167">CX35</f>
        <v>0</v>
      </c>
      <c r="CZ35" s="223">
        <f t="shared" ref="CZ35:CZ56" si="168">CY35</f>
        <v>0</v>
      </c>
      <c r="DA35" s="223">
        <f t="shared" ref="DA35:DA56" si="169">CZ35</f>
        <v>0</v>
      </c>
      <c r="DB35" s="223">
        <f t="shared" ref="DB35:DB56" si="170">DA35</f>
        <v>0</v>
      </c>
      <c r="DC35" s="223">
        <f t="shared" ref="DC35:DC56" si="171">DB35</f>
        <v>0</v>
      </c>
      <c r="DD35" s="223">
        <f t="shared" ref="DD35:DD56" si="172">DC35</f>
        <v>0</v>
      </c>
      <c r="DE35" s="389"/>
      <c r="DF35" s="223">
        <f t="shared" ref="DF35:DF56" si="173">DD35</f>
        <v>0</v>
      </c>
      <c r="DG35" s="223">
        <f t="shared" ref="DG35:DG56" si="174">DF35</f>
        <v>0</v>
      </c>
      <c r="DH35" s="223">
        <f t="shared" ref="DH35:DH56" si="175">DG35</f>
        <v>0</v>
      </c>
      <c r="DI35" s="223">
        <f t="shared" ref="DI35:DI56" si="176">DH35</f>
        <v>0</v>
      </c>
      <c r="DJ35" s="223">
        <f t="shared" ref="DJ35:DJ56" si="177">DI35</f>
        <v>0</v>
      </c>
      <c r="DK35" s="223">
        <f t="shared" ref="DK35:DK56" si="178">DJ35</f>
        <v>0</v>
      </c>
      <c r="DL35" s="223">
        <f t="shared" ref="DL35:DL56" si="179">DK35</f>
        <v>0</v>
      </c>
      <c r="DM35" s="223">
        <f t="shared" ref="DM35:DM56" si="180">DL35</f>
        <v>0</v>
      </c>
      <c r="DN35" s="223">
        <f t="shared" ref="DN35:DN56" si="181">DM35</f>
        <v>0</v>
      </c>
      <c r="DO35" s="223">
        <f t="shared" ref="DO35:DO56" si="182">DN35</f>
        <v>0</v>
      </c>
      <c r="DP35" s="223">
        <f t="shared" ref="DP35:DP56" si="183">DO35</f>
        <v>0</v>
      </c>
      <c r="DQ35" s="223">
        <f t="shared" ref="DQ35:DQ56" si="184">DP35</f>
        <v>0</v>
      </c>
      <c r="DR35" s="389"/>
      <c r="DS35" s="31">
        <f t="shared" ref="DS35:DS55" si="185">SUM(F35:Q35)+SUM(S35:AD35)+SUM(AF35:AQ35)+SUM(AS35:BD35)+SUM(BF35:BQ35)+SUM(BS35:CD35)+SUM(CF35:CQ35)+SUM(CS35:DD35)+SUM(DF35:DQ35)</f>
        <v>0</v>
      </c>
      <c r="DT35" s="390"/>
      <c r="DU35" s="9"/>
      <c r="DV35" s="8"/>
      <c r="DW35" s="7"/>
      <c r="DX35" s="7"/>
      <c r="DY35" s="7"/>
      <c r="DZ35" s="7"/>
      <c r="EA35" s="7"/>
      <c r="EB35" s="7"/>
      <c r="EC35" s="7"/>
    </row>
    <row r="36" spans="1:133">
      <c r="C36" s="57" t="str">
        <f t="shared" ref="C36:E51" si="186">C10</f>
        <v>///</v>
      </c>
      <c r="D36" s="57">
        <f t="shared" ref="D36:D55" si="187">+D10</f>
        <v>0</v>
      </c>
      <c r="E36" s="62">
        <f t="shared" si="186"/>
        <v>0</v>
      </c>
      <c r="F36" s="223"/>
      <c r="G36" s="223">
        <f t="shared" si="139"/>
        <v>0</v>
      </c>
      <c r="H36" s="223">
        <f t="shared" si="139"/>
        <v>0</v>
      </c>
      <c r="I36" s="223">
        <f t="shared" si="139"/>
        <v>0</v>
      </c>
      <c r="J36" s="223">
        <f t="shared" si="139"/>
        <v>0</v>
      </c>
      <c r="K36" s="223">
        <f t="shared" si="139"/>
        <v>0</v>
      </c>
      <c r="L36" s="223">
        <f t="shared" si="139"/>
        <v>0</v>
      </c>
      <c r="M36" s="223">
        <f t="shared" si="139"/>
        <v>0</v>
      </c>
      <c r="N36" s="223">
        <f t="shared" si="139"/>
        <v>0</v>
      </c>
      <c r="O36" s="223">
        <f t="shared" si="139"/>
        <v>0</v>
      </c>
      <c r="P36" s="223">
        <f t="shared" si="139"/>
        <v>0</v>
      </c>
      <c r="Q36" s="223">
        <f t="shared" si="139"/>
        <v>0</v>
      </c>
      <c r="R36" s="223"/>
      <c r="S36" s="223"/>
      <c r="T36" s="223">
        <f t="shared" si="140"/>
        <v>0</v>
      </c>
      <c r="U36" s="223">
        <f t="shared" si="140"/>
        <v>0</v>
      </c>
      <c r="V36" s="223">
        <f t="shared" si="140"/>
        <v>0</v>
      </c>
      <c r="W36" s="223">
        <f t="shared" si="140"/>
        <v>0</v>
      </c>
      <c r="X36" s="223">
        <f t="shared" si="140"/>
        <v>0</v>
      </c>
      <c r="Y36" s="223">
        <f t="shared" si="140"/>
        <v>0</v>
      </c>
      <c r="Z36" s="223">
        <f t="shared" si="140"/>
        <v>0</v>
      </c>
      <c r="AA36" s="223">
        <f t="shared" si="140"/>
        <v>0</v>
      </c>
      <c r="AB36" s="223">
        <f t="shared" si="140"/>
        <v>0</v>
      </c>
      <c r="AC36" s="223">
        <f t="shared" si="140"/>
        <v>0</v>
      </c>
      <c r="AD36" s="223">
        <f t="shared" si="140"/>
        <v>0</v>
      </c>
      <c r="AE36" s="223"/>
      <c r="AF36" s="223">
        <f t="shared" si="141"/>
        <v>0</v>
      </c>
      <c r="AG36" s="223">
        <f t="shared" si="142"/>
        <v>0</v>
      </c>
      <c r="AH36" s="223">
        <f t="shared" si="142"/>
        <v>0</v>
      </c>
      <c r="AI36" s="223">
        <f t="shared" si="142"/>
        <v>0</v>
      </c>
      <c r="AJ36" s="223">
        <f t="shared" si="142"/>
        <v>0</v>
      </c>
      <c r="AK36" s="223">
        <f t="shared" si="142"/>
        <v>0</v>
      </c>
      <c r="AL36" s="223">
        <f t="shared" si="142"/>
        <v>0</v>
      </c>
      <c r="AM36" s="223">
        <f t="shared" si="142"/>
        <v>0</v>
      </c>
      <c r="AN36" s="223">
        <f t="shared" si="142"/>
        <v>0</v>
      </c>
      <c r="AO36" s="223">
        <f t="shared" si="142"/>
        <v>0</v>
      </c>
      <c r="AP36" s="223">
        <f t="shared" si="142"/>
        <v>0</v>
      </c>
      <c r="AQ36" s="223">
        <f t="shared" si="142"/>
        <v>0</v>
      </c>
      <c r="AR36" s="223"/>
      <c r="AS36" s="223">
        <f t="shared" si="143"/>
        <v>0</v>
      </c>
      <c r="AT36" s="223">
        <f t="shared" si="144"/>
        <v>0</v>
      </c>
      <c r="AU36" s="223">
        <f t="shared" si="144"/>
        <v>0</v>
      </c>
      <c r="AV36" s="223">
        <f t="shared" si="144"/>
        <v>0</v>
      </c>
      <c r="AW36" s="223">
        <f t="shared" si="144"/>
        <v>0</v>
      </c>
      <c r="AX36" s="223">
        <f t="shared" si="144"/>
        <v>0</v>
      </c>
      <c r="AY36" s="223">
        <f t="shared" si="144"/>
        <v>0</v>
      </c>
      <c r="AZ36" s="223">
        <f t="shared" si="144"/>
        <v>0</v>
      </c>
      <c r="BA36" s="223">
        <f t="shared" si="144"/>
        <v>0</v>
      </c>
      <c r="BB36" s="223">
        <f t="shared" si="144"/>
        <v>0</v>
      </c>
      <c r="BC36" s="223">
        <f t="shared" si="144"/>
        <v>0</v>
      </c>
      <c r="BD36" s="223">
        <f t="shared" si="144"/>
        <v>0</v>
      </c>
      <c r="BE36" s="223"/>
      <c r="BF36" s="223">
        <f t="shared" si="145"/>
        <v>0</v>
      </c>
      <c r="BG36" s="223">
        <f t="shared" si="146"/>
        <v>0</v>
      </c>
      <c r="BH36" s="223">
        <f t="shared" si="146"/>
        <v>0</v>
      </c>
      <c r="BI36" s="223">
        <f t="shared" si="146"/>
        <v>0</v>
      </c>
      <c r="BJ36" s="223">
        <f t="shared" si="146"/>
        <v>0</v>
      </c>
      <c r="BK36" s="223">
        <f t="shared" si="146"/>
        <v>0</v>
      </c>
      <c r="BL36" s="223">
        <f t="shared" si="146"/>
        <v>0</v>
      </c>
      <c r="BM36" s="223">
        <f t="shared" si="146"/>
        <v>0</v>
      </c>
      <c r="BN36" s="223">
        <f t="shared" si="146"/>
        <v>0</v>
      </c>
      <c r="BO36" s="223">
        <f t="shared" si="146"/>
        <v>0</v>
      </c>
      <c r="BP36" s="223">
        <f t="shared" si="146"/>
        <v>0</v>
      </c>
      <c r="BQ36" s="223">
        <f t="shared" si="146"/>
        <v>0</v>
      </c>
      <c r="BR36" s="223"/>
      <c r="BS36" s="223">
        <f t="shared" si="147"/>
        <v>0</v>
      </c>
      <c r="BT36" s="223">
        <f t="shared" si="148"/>
        <v>0</v>
      </c>
      <c r="BU36" s="223">
        <f t="shared" si="148"/>
        <v>0</v>
      </c>
      <c r="BV36" s="223">
        <f t="shared" si="148"/>
        <v>0</v>
      </c>
      <c r="BW36" s="223">
        <f t="shared" si="148"/>
        <v>0</v>
      </c>
      <c r="BX36" s="223">
        <f t="shared" si="148"/>
        <v>0</v>
      </c>
      <c r="BY36" s="223">
        <f t="shared" si="148"/>
        <v>0</v>
      </c>
      <c r="BZ36" s="223">
        <f t="shared" si="148"/>
        <v>0</v>
      </c>
      <c r="CA36" s="223">
        <f t="shared" si="148"/>
        <v>0</v>
      </c>
      <c r="CB36" s="223">
        <f t="shared" si="148"/>
        <v>0</v>
      </c>
      <c r="CC36" s="223">
        <f t="shared" si="148"/>
        <v>0</v>
      </c>
      <c r="CD36" s="223">
        <f t="shared" si="148"/>
        <v>0</v>
      </c>
      <c r="CE36" s="389"/>
      <c r="CF36" s="223">
        <f t="shared" si="149"/>
        <v>0</v>
      </c>
      <c r="CG36" s="223">
        <f t="shared" si="150"/>
        <v>0</v>
      </c>
      <c r="CH36" s="223">
        <f t="shared" si="151"/>
        <v>0</v>
      </c>
      <c r="CI36" s="223">
        <f t="shared" si="152"/>
        <v>0</v>
      </c>
      <c r="CJ36" s="223">
        <f t="shared" si="153"/>
        <v>0</v>
      </c>
      <c r="CK36" s="223">
        <f t="shared" si="154"/>
        <v>0</v>
      </c>
      <c r="CL36" s="223">
        <f t="shared" si="155"/>
        <v>0</v>
      </c>
      <c r="CM36" s="223">
        <f t="shared" si="156"/>
        <v>0</v>
      </c>
      <c r="CN36" s="223">
        <f t="shared" si="157"/>
        <v>0</v>
      </c>
      <c r="CO36" s="223">
        <f t="shared" si="158"/>
        <v>0</v>
      </c>
      <c r="CP36" s="223">
        <f t="shared" si="159"/>
        <v>0</v>
      </c>
      <c r="CQ36" s="223">
        <f t="shared" si="160"/>
        <v>0</v>
      </c>
      <c r="CR36" s="389"/>
      <c r="CS36" s="223">
        <f t="shared" si="161"/>
        <v>0</v>
      </c>
      <c r="CT36" s="223">
        <f t="shared" si="162"/>
        <v>0</v>
      </c>
      <c r="CU36" s="223">
        <f t="shared" si="163"/>
        <v>0</v>
      </c>
      <c r="CV36" s="223">
        <f t="shared" si="164"/>
        <v>0</v>
      </c>
      <c r="CW36" s="223">
        <f t="shared" si="165"/>
        <v>0</v>
      </c>
      <c r="CX36" s="223">
        <f t="shared" si="166"/>
        <v>0</v>
      </c>
      <c r="CY36" s="223">
        <f t="shared" si="167"/>
        <v>0</v>
      </c>
      <c r="CZ36" s="223">
        <f t="shared" si="168"/>
        <v>0</v>
      </c>
      <c r="DA36" s="223">
        <f t="shared" si="169"/>
        <v>0</v>
      </c>
      <c r="DB36" s="223">
        <f t="shared" si="170"/>
        <v>0</v>
      </c>
      <c r="DC36" s="223">
        <f t="shared" si="171"/>
        <v>0</v>
      </c>
      <c r="DD36" s="223">
        <f t="shared" si="172"/>
        <v>0</v>
      </c>
      <c r="DE36" s="389"/>
      <c r="DF36" s="223">
        <f t="shared" si="173"/>
        <v>0</v>
      </c>
      <c r="DG36" s="223">
        <f t="shared" si="174"/>
        <v>0</v>
      </c>
      <c r="DH36" s="223">
        <f t="shared" si="175"/>
        <v>0</v>
      </c>
      <c r="DI36" s="223">
        <f t="shared" si="176"/>
        <v>0</v>
      </c>
      <c r="DJ36" s="223">
        <f t="shared" si="177"/>
        <v>0</v>
      </c>
      <c r="DK36" s="223">
        <f t="shared" si="178"/>
        <v>0</v>
      </c>
      <c r="DL36" s="223">
        <f t="shared" si="179"/>
        <v>0</v>
      </c>
      <c r="DM36" s="223">
        <f t="shared" si="180"/>
        <v>0</v>
      </c>
      <c r="DN36" s="223">
        <f t="shared" si="181"/>
        <v>0</v>
      </c>
      <c r="DO36" s="223">
        <f t="shared" si="182"/>
        <v>0</v>
      </c>
      <c r="DP36" s="223">
        <f t="shared" si="183"/>
        <v>0</v>
      </c>
      <c r="DQ36" s="223">
        <f t="shared" si="184"/>
        <v>0</v>
      </c>
      <c r="DR36" s="389"/>
      <c r="DS36" s="31">
        <f t="shared" si="185"/>
        <v>0</v>
      </c>
      <c r="DT36" s="390"/>
      <c r="DU36" s="9"/>
      <c r="DV36" s="8"/>
      <c r="DW36" s="7"/>
      <c r="DX36" s="7"/>
      <c r="DY36" s="7"/>
      <c r="DZ36" s="7"/>
      <c r="EA36" s="7"/>
      <c r="EB36" s="7"/>
      <c r="EC36" s="7"/>
    </row>
    <row r="37" spans="1:133">
      <c r="C37" s="57" t="str">
        <f t="shared" si="186"/>
        <v>///</v>
      </c>
      <c r="D37" s="57">
        <f t="shared" si="187"/>
        <v>0</v>
      </c>
      <c r="E37" s="62">
        <f t="shared" si="186"/>
        <v>0</v>
      </c>
      <c r="F37" s="223"/>
      <c r="G37" s="223">
        <f t="shared" si="139"/>
        <v>0</v>
      </c>
      <c r="H37" s="223">
        <f t="shared" si="139"/>
        <v>0</v>
      </c>
      <c r="I37" s="223">
        <f t="shared" si="139"/>
        <v>0</v>
      </c>
      <c r="J37" s="223">
        <f t="shared" si="139"/>
        <v>0</v>
      </c>
      <c r="K37" s="223">
        <f t="shared" si="139"/>
        <v>0</v>
      </c>
      <c r="L37" s="223">
        <f t="shared" si="139"/>
        <v>0</v>
      </c>
      <c r="M37" s="223">
        <f t="shared" si="139"/>
        <v>0</v>
      </c>
      <c r="N37" s="223">
        <f t="shared" si="139"/>
        <v>0</v>
      </c>
      <c r="O37" s="223">
        <f t="shared" si="139"/>
        <v>0</v>
      </c>
      <c r="P37" s="223">
        <f t="shared" si="139"/>
        <v>0</v>
      </c>
      <c r="Q37" s="223">
        <f t="shared" si="139"/>
        <v>0</v>
      </c>
      <c r="R37" s="223"/>
      <c r="S37" s="223"/>
      <c r="T37" s="223">
        <f t="shared" si="140"/>
        <v>0</v>
      </c>
      <c r="U37" s="223">
        <f t="shared" si="140"/>
        <v>0</v>
      </c>
      <c r="V37" s="223">
        <f t="shared" si="140"/>
        <v>0</v>
      </c>
      <c r="W37" s="223">
        <f t="shared" si="140"/>
        <v>0</v>
      </c>
      <c r="X37" s="223">
        <f t="shared" si="140"/>
        <v>0</v>
      </c>
      <c r="Y37" s="223">
        <f t="shared" si="140"/>
        <v>0</v>
      </c>
      <c r="Z37" s="223">
        <f t="shared" si="140"/>
        <v>0</v>
      </c>
      <c r="AA37" s="223">
        <f t="shared" si="140"/>
        <v>0</v>
      </c>
      <c r="AB37" s="223">
        <f t="shared" si="140"/>
        <v>0</v>
      </c>
      <c r="AC37" s="223">
        <f t="shared" si="140"/>
        <v>0</v>
      </c>
      <c r="AD37" s="223">
        <f t="shared" si="140"/>
        <v>0</v>
      </c>
      <c r="AE37" s="223"/>
      <c r="AF37" s="223">
        <f t="shared" si="141"/>
        <v>0</v>
      </c>
      <c r="AG37" s="223">
        <f t="shared" si="142"/>
        <v>0</v>
      </c>
      <c r="AH37" s="223">
        <f t="shared" si="142"/>
        <v>0</v>
      </c>
      <c r="AI37" s="223">
        <f t="shared" si="142"/>
        <v>0</v>
      </c>
      <c r="AJ37" s="223">
        <f t="shared" si="142"/>
        <v>0</v>
      </c>
      <c r="AK37" s="223">
        <f t="shared" si="142"/>
        <v>0</v>
      </c>
      <c r="AL37" s="223">
        <f t="shared" si="142"/>
        <v>0</v>
      </c>
      <c r="AM37" s="223">
        <f t="shared" si="142"/>
        <v>0</v>
      </c>
      <c r="AN37" s="223">
        <f t="shared" si="142"/>
        <v>0</v>
      </c>
      <c r="AO37" s="223">
        <f t="shared" si="142"/>
        <v>0</v>
      </c>
      <c r="AP37" s="223">
        <f t="shared" si="142"/>
        <v>0</v>
      </c>
      <c r="AQ37" s="223">
        <f t="shared" si="142"/>
        <v>0</v>
      </c>
      <c r="AR37" s="223"/>
      <c r="AS37" s="223">
        <f t="shared" si="143"/>
        <v>0</v>
      </c>
      <c r="AT37" s="223">
        <f t="shared" si="144"/>
        <v>0</v>
      </c>
      <c r="AU37" s="223">
        <f t="shared" si="144"/>
        <v>0</v>
      </c>
      <c r="AV37" s="223">
        <f t="shared" si="144"/>
        <v>0</v>
      </c>
      <c r="AW37" s="223">
        <f t="shared" si="144"/>
        <v>0</v>
      </c>
      <c r="AX37" s="223">
        <f t="shared" si="144"/>
        <v>0</v>
      </c>
      <c r="AY37" s="223">
        <f t="shared" si="144"/>
        <v>0</v>
      </c>
      <c r="AZ37" s="223">
        <f t="shared" si="144"/>
        <v>0</v>
      </c>
      <c r="BA37" s="223">
        <f t="shared" si="144"/>
        <v>0</v>
      </c>
      <c r="BB37" s="223">
        <f t="shared" si="144"/>
        <v>0</v>
      </c>
      <c r="BC37" s="223">
        <f t="shared" si="144"/>
        <v>0</v>
      </c>
      <c r="BD37" s="223">
        <f t="shared" si="144"/>
        <v>0</v>
      </c>
      <c r="BE37" s="223"/>
      <c r="BF37" s="223">
        <f t="shared" si="145"/>
        <v>0</v>
      </c>
      <c r="BG37" s="223">
        <f t="shared" si="146"/>
        <v>0</v>
      </c>
      <c r="BH37" s="223">
        <f t="shared" si="146"/>
        <v>0</v>
      </c>
      <c r="BI37" s="223">
        <f t="shared" si="146"/>
        <v>0</v>
      </c>
      <c r="BJ37" s="223">
        <f t="shared" si="146"/>
        <v>0</v>
      </c>
      <c r="BK37" s="223">
        <f t="shared" si="146"/>
        <v>0</v>
      </c>
      <c r="BL37" s="223">
        <f t="shared" si="146"/>
        <v>0</v>
      </c>
      <c r="BM37" s="223">
        <f t="shared" si="146"/>
        <v>0</v>
      </c>
      <c r="BN37" s="223">
        <f t="shared" si="146"/>
        <v>0</v>
      </c>
      <c r="BO37" s="223">
        <f t="shared" si="146"/>
        <v>0</v>
      </c>
      <c r="BP37" s="223">
        <f t="shared" si="146"/>
        <v>0</v>
      </c>
      <c r="BQ37" s="223">
        <f t="shared" si="146"/>
        <v>0</v>
      </c>
      <c r="BR37" s="223"/>
      <c r="BS37" s="223">
        <f t="shared" si="147"/>
        <v>0</v>
      </c>
      <c r="BT37" s="223">
        <f t="shared" si="148"/>
        <v>0</v>
      </c>
      <c r="BU37" s="223">
        <f t="shared" si="148"/>
        <v>0</v>
      </c>
      <c r="BV37" s="223">
        <f t="shared" si="148"/>
        <v>0</v>
      </c>
      <c r="BW37" s="223">
        <f t="shared" si="148"/>
        <v>0</v>
      </c>
      <c r="BX37" s="223">
        <f t="shared" si="148"/>
        <v>0</v>
      </c>
      <c r="BY37" s="223">
        <f t="shared" si="148"/>
        <v>0</v>
      </c>
      <c r="BZ37" s="223">
        <f t="shared" si="148"/>
        <v>0</v>
      </c>
      <c r="CA37" s="223">
        <f t="shared" si="148"/>
        <v>0</v>
      </c>
      <c r="CB37" s="223">
        <f t="shared" si="148"/>
        <v>0</v>
      </c>
      <c r="CC37" s="223">
        <f t="shared" si="148"/>
        <v>0</v>
      </c>
      <c r="CD37" s="223">
        <f t="shared" si="148"/>
        <v>0</v>
      </c>
      <c r="CE37" s="389"/>
      <c r="CF37" s="223">
        <f t="shared" si="149"/>
        <v>0</v>
      </c>
      <c r="CG37" s="223">
        <f t="shared" si="150"/>
        <v>0</v>
      </c>
      <c r="CH37" s="223">
        <f t="shared" si="151"/>
        <v>0</v>
      </c>
      <c r="CI37" s="223">
        <f t="shared" si="152"/>
        <v>0</v>
      </c>
      <c r="CJ37" s="223">
        <f t="shared" si="153"/>
        <v>0</v>
      </c>
      <c r="CK37" s="223">
        <f t="shared" si="154"/>
        <v>0</v>
      </c>
      <c r="CL37" s="223">
        <f t="shared" si="155"/>
        <v>0</v>
      </c>
      <c r="CM37" s="223">
        <f t="shared" si="156"/>
        <v>0</v>
      </c>
      <c r="CN37" s="223">
        <f t="shared" si="157"/>
        <v>0</v>
      </c>
      <c r="CO37" s="223">
        <f t="shared" si="158"/>
        <v>0</v>
      </c>
      <c r="CP37" s="223">
        <f t="shared" si="159"/>
        <v>0</v>
      </c>
      <c r="CQ37" s="223">
        <f t="shared" si="160"/>
        <v>0</v>
      </c>
      <c r="CR37" s="389"/>
      <c r="CS37" s="223">
        <f t="shared" si="161"/>
        <v>0</v>
      </c>
      <c r="CT37" s="223">
        <f t="shared" si="162"/>
        <v>0</v>
      </c>
      <c r="CU37" s="223">
        <f t="shared" si="163"/>
        <v>0</v>
      </c>
      <c r="CV37" s="223">
        <f t="shared" si="164"/>
        <v>0</v>
      </c>
      <c r="CW37" s="223">
        <f t="shared" si="165"/>
        <v>0</v>
      </c>
      <c r="CX37" s="223">
        <f t="shared" si="166"/>
        <v>0</v>
      </c>
      <c r="CY37" s="223">
        <f t="shared" si="167"/>
        <v>0</v>
      </c>
      <c r="CZ37" s="223">
        <f t="shared" si="168"/>
        <v>0</v>
      </c>
      <c r="DA37" s="223">
        <f t="shared" si="169"/>
        <v>0</v>
      </c>
      <c r="DB37" s="223">
        <f t="shared" si="170"/>
        <v>0</v>
      </c>
      <c r="DC37" s="223">
        <f t="shared" si="171"/>
        <v>0</v>
      </c>
      <c r="DD37" s="223">
        <f t="shared" si="172"/>
        <v>0</v>
      </c>
      <c r="DE37" s="389"/>
      <c r="DF37" s="223">
        <f t="shared" si="173"/>
        <v>0</v>
      </c>
      <c r="DG37" s="223">
        <f t="shared" si="174"/>
        <v>0</v>
      </c>
      <c r="DH37" s="223">
        <f t="shared" si="175"/>
        <v>0</v>
      </c>
      <c r="DI37" s="223">
        <f t="shared" si="176"/>
        <v>0</v>
      </c>
      <c r="DJ37" s="223">
        <f t="shared" si="177"/>
        <v>0</v>
      </c>
      <c r="DK37" s="223">
        <f t="shared" si="178"/>
        <v>0</v>
      </c>
      <c r="DL37" s="223">
        <f t="shared" si="179"/>
        <v>0</v>
      </c>
      <c r="DM37" s="223">
        <f t="shared" si="180"/>
        <v>0</v>
      </c>
      <c r="DN37" s="223">
        <f t="shared" si="181"/>
        <v>0</v>
      </c>
      <c r="DO37" s="223">
        <f t="shared" si="182"/>
        <v>0</v>
      </c>
      <c r="DP37" s="223">
        <f t="shared" si="183"/>
        <v>0</v>
      </c>
      <c r="DQ37" s="223">
        <f t="shared" si="184"/>
        <v>0</v>
      </c>
      <c r="DR37" s="389"/>
      <c r="DS37" s="31">
        <f t="shared" si="185"/>
        <v>0</v>
      </c>
      <c r="DT37" s="390"/>
      <c r="DU37" s="9"/>
      <c r="DV37" s="8"/>
      <c r="DW37" s="7"/>
      <c r="DX37" s="7"/>
      <c r="DY37" s="7"/>
      <c r="DZ37" s="7"/>
      <c r="EA37" s="7"/>
      <c r="EB37" s="7"/>
      <c r="EC37" s="7"/>
    </row>
    <row r="38" spans="1:133">
      <c r="C38" s="57" t="str">
        <f t="shared" si="186"/>
        <v>///</v>
      </c>
      <c r="D38" s="57">
        <f t="shared" si="187"/>
        <v>0</v>
      </c>
      <c r="E38" s="62">
        <f t="shared" si="186"/>
        <v>0</v>
      </c>
      <c r="F38" s="223"/>
      <c r="G38" s="223">
        <f t="shared" si="139"/>
        <v>0</v>
      </c>
      <c r="H38" s="223">
        <f t="shared" si="139"/>
        <v>0</v>
      </c>
      <c r="I38" s="223">
        <f t="shared" si="139"/>
        <v>0</v>
      </c>
      <c r="J38" s="223">
        <f t="shared" si="139"/>
        <v>0</v>
      </c>
      <c r="K38" s="223">
        <f t="shared" si="139"/>
        <v>0</v>
      </c>
      <c r="L38" s="223">
        <f t="shared" si="139"/>
        <v>0</v>
      </c>
      <c r="M38" s="223">
        <f t="shared" si="139"/>
        <v>0</v>
      </c>
      <c r="N38" s="223">
        <f t="shared" si="139"/>
        <v>0</v>
      </c>
      <c r="O38" s="223">
        <f t="shared" si="139"/>
        <v>0</v>
      </c>
      <c r="P38" s="223">
        <f t="shared" si="139"/>
        <v>0</v>
      </c>
      <c r="Q38" s="223">
        <f t="shared" si="139"/>
        <v>0</v>
      </c>
      <c r="R38" s="223"/>
      <c r="S38" s="223"/>
      <c r="T38" s="223">
        <f t="shared" si="140"/>
        <v>0</v>
      </c>
      <c r="U38" s="223">
        <f t="shared" si="140"/>
        <v>0</v>
      </c>
      <c r="V38" s="223">
        <f t="shared" si="140"/>
        <v>0</v>
      </c>
      <c r="W38" s="223">
        <f t="shared" si="140"/>
        <v>0</v>
      </c>
      <c r="X38" s="223">
        <f t="shared" si="140"/>
        <v>0</v>
      </c>
      <c r="Y38" s="223">
        <f t="shared" si="140"/>
        <v>0</v>
      </c>
      <c r="Z38" s="223">
        <f t="shared" si="140"/>
        <v>0</v>
      </c>
      <c r="AA38" s="223">
        <f t="shared" si="140"/>
        <v>0</v>
      </c>
      <c r="AB38" s="223">
        <f t="shared" si="140"/>
        <v>0</v>
      </c>
      <c r="AC38" s="223">
        <f t="shared" si="140"/>
        <v>0</v>
      </c>
      <c r="AD38" s="223">
        <f t="shared" si="140"/>
        <v>0</v>
      </c>
      <c r="AE38" s="223"/>
      <c r="AF38" s="223">
        <f t="shared" si="141"/>
        <v>0</v>
      </c>
      <c r="AG38" s="223">
        <f t="shared" si="142"/>
        <v>0</v>
      </c>
      <c r="AH38" s="223">
        <f t="shared" si="142"/>
        <v>0</v>
      </c>
      <c r="AI38" s="223">
        <f t="shared" si="142"/>
        <v>0</v>
      </c>
      <c r="AJ38" s="223">
        <f t="shared" si="142"/>
        <v>0</v>
      </c>
      <c r="AK38" s="223">
        <f t="shared" si="142"/>
        <v>0</v>
      </c>
      <c r="AL38" s="223">
        <f t="shared" si="142"/>
        <v>0</v>
      </c>
      <c r="AM38" s="223">
        <f t="shared" si="142"/>
        <v>0</v>
      </c>
      <c r="AN38" s="223">
        <f t="shared" si="142"/>
        <v>0</v>
      </c>
      <c r="AO38" s="223">
        <f t="shared" si="142"/>
        <v>0</v>
      </c>
      <c r="AP38" s="223">
        <f t="shared" si="142"/>
        <v>0</v>
      </c>
      <c r="AQ38" s="223">
        <f t="shared" si="142"/>
        <v>0</v>
      </c>
      <c r="AR38" s="223"/>
      <c r="AS38" s="223">
        <f t="shared" si="143"/>
        <v>0</v>
      </c>
      <c r="AT38" s="223">
        <f t="shared" si="144"/>
        <v>0</v>
      </c>
      <c r="AU38" s="223">
        <f t="shared" si="144"/>
        <v>0</v>
      </c>
      <c r="AV38" s="223">
        <f t="shared" si="144"/>
        <v>0</v>
      </c>
      <c r="AW38" s="223">
        <f t="shared" si="144"/>
        <v>0</v>
      </c>
      <c r="AX38" s="223">
        <f t="shared" si="144"/>
        <v>0</v>
      </c>
      <c r="AY38" s="223">
        <f t="shared" si="144"/>
        <v>0</v>
      </c>
      <c r="AZ38" s="223">
        <f t="shared" si="144"/>
        <v>0</v>
      </c>
      <c r="BA38" s="223">
        <f t="shared" si="144"/>
        <v>0</v>
      </c>
      <c r="BB38" s="223">
        <f t="shared" si="144"/>
        <v>0</v>
      </c>
      <c r="BC38" s="223">
        <f t="shared" si="144"/>
        <v>0</v>
      </c>
      <c r="BD38" s="223">
        <f t="shared" si="144"/>
        <v>0</v>
      </c>
      <c r="BE38" s="223"/>
      <c r="BF38" s="223">
        <f t="shared" si="145"/>
        <v>0</v>
      </c>
      <c r="BG38" s="223">
        <f t="shared" si="146"/>
        <v>0</v>
      </c>
      <c r="BH38" s="223">
        <f t="shared" si="146"/>
        <v>0</v>
      </c>
      <c r="BI38" s="223">
        <f t="shared" si="146"/>
        <v>0</v>
      </c>
      <c r="BJ38" s="223">
        <f t="shared" si="146"/>
        <v>0</v>
      </c>
      <c r="BK38" s="223">
        <f t="shared" si="146"/>
        <v>0</v>
      </c>
      <c r="BL38" s="223">
        <f t="shared" si="146"/>
        <v>0</v>
      </c>
      <c r="BM38" s="223">
        <f t="shared" si="146"/>
        <v>0</v>
      </c>
      <c r="BN38" s="223">
        <f t="shared" si="146"/>
        <v>0</v>
      </c>
      <c r="BO38" s="223">
        <f t="shared" si="146"/>
        <v>0</v>
      </c>
      <c r="BP38" s="223">
        <f t="shared" si="146"/>
        <v>0</v>
      </c>
      <c r="BQ38" s="223">
        <f t="shared" si="146"/>
        <v>0</v>
      </c>
      <c r="BR38" s="223"/>
      <c r="BS38" s="223">
        <f t="shared" si="147"/>
        <v>0</v>
      </c>
      <c r="BT38" s="223">
        <f t="shared" si="148"/>
        <v>0</v>
      </c>
      <c r="BU38" s="223">
        <f t="shared" si="148"/>
        <v>0</v>
      </c>
      <c r="BV38" s="223">
        <f t="shared" si="148"/>
        <v>0</v>
      </c>
      <c r="BW38" s="223">
        <f t="shared" si="148"/>
        <v>0</v>
      </c>
      <c r="BX38" s="223">
        <f t="shared" si="148"/>
        <v>0</v>
      </c>
      <c r="BY38" s="223">
        <f t="shared" si="148"/>
        <v>0</v>
      </c>
      <c r="BZ38" s="223">
        <f t="shared" si="148"/>
        <v>0</v>
      </c>
      <c r="CA38" s="223">
        <f t="shared" si="148"/>
        <v>0</v>
      </c>
      <c r="CB38" s="223">
        <f t="shared" si="148"/>
        <v>0</v>
      </c>
      <c r="CC38" s="223">
        <f t="shared" si="148"/>
        <v>0</v>
      </c>
      <c r="CD38" s="223">
        <f t="shared" si="148"/>
        <v>0</v>
      </c>
      <c r="CE38" s="389"/>
      <c r="CF38" s="223">
        <f t="shared" si="149"/>
        <v>0</v>
      </c>
      <c r="CG38" s="223">
        <f t="shared" si="150"/>
        <v>0</v>
      </c>
      <c r="CH38" s="223">
        <f t="shared" si="151"/>
        <v>0</v>
      </c>
      <c r="CI38" s="223">
        <f t="shared" si="152"/>
        <v>0</v>
      </c>
      <c r="CJ38" s="223">
        <f t="shared" si="153"/>
        <v>0</v>
      </c>
      <c r="CK38" s="223">
        <f t="shared" si="154"/>
        <v>0</v>
      </c>
      <c r="CL38" s="223">
        <f t="shared" si="155"/>
        <v>0</v>
      </c>
      <c r="CM38" s="223">
        <f t="shared" si="156"/>
        <v>0</v>
      </c>
      <c r="CN38" s="223">
        <f t="shared" si="157"/>
        <v>0</v>
      </c>
      <c r="CO38" s="223">
        <f t="shared" si="158"/>
        <v>0</v>
      </c>
      <c r="CP38" s="223">
        <f t="shared" si="159"/>
        <v>0</v>
      </c>
      <c r="CQ38" s="223">
        <f t="shared" si="160"/>
        <v>0</v>
      </c>
      <c r="CR38" s="389"/>
      <c r="CS38" s="223">
        <f t="shared" si="161"/>
        <v>0</v>
      </c>
      <c r="CT38" s="223">
        <f t="shared" si="162"/>
        <v>0</v>
      </c>
      <c r="CU38" s="223">
        <f t="shared" si="163"/>
        <v>0</v>
      </c>
      <c r="CV38" s="223">
        <f t="shared" si="164"/>
        <v>0</v>
      </c>
      <c r="CW38" s="223">
        <f t="shared" si="165"/>
        <v>0</v>
      </c>
      <c r="CX38" s="223">
        <f t="shared" si="166"/>
        <v>0</v>
      </c>
      <c r="CY38" s="223">
        <f t="shared" si="167"/>
        <v>0</v>
      </c>
      <c r="CZ38" s="223">
        <f t="shared" si="168"/>
        <v>0</v>
      </c>
      <c r="DA38" s="223">
        <f t="shared" si="169"/>
        <v>0</v>
      </c>
      <c r="DB38" s="223">
        <f t="shared" si="170"/>
        <v>0</v>
      </c>
      <c r="DC38" s="223">
        <f t="shared" si="171"/>
        <v>0</v>
      </c>
      <c r="DD38" s="223">
        <f t="shared" si="172"/>
        <v>0</v>
      </c>
      <c r="DE38" s="389"/>
      <c r="DF38" s="223">
        <f t="shared" si="173"/>
        <v>0</v>
      </c>
      <c r="DG38" s="223">
        <f t="shared" si="174"/>
        <v>0</v>
      </c>
      <c r="DH38" s="223">
        <f t="shared" si="175"/>
        <v>0</v>
      </c>
      <c r="DI38" s="223">
        <f t="shared" si="176"/>
        <v>0</v>
      </c>
      <c r="DJ38" s="223">
        <f t="shared" si="177"/>
        <v>0</v>
      </c>
      <c r="DK38" s="223">
        <f t="shared" si="178"/>
        <v>0</v>
      </c>
      <c r="DL38" s="223">
        <f t="shared" si="179"/>
        <v>0</v>
      </c>
      <c r="DM38" s="223">
        <f t="shared" si="180"/>
        <v>0</v>
      </c>
      <c r="DN38" s="223">
        <f t="shared" si="181"/>
        <v>0</v>
      </c>
      <c r="DO38" s="223">
        <f t="shared" si="182"/>
        <v>0</v>
      </c>
      <c r="DP38" s="223">
        <f t="shared" si="183"/>
        <v>0</v>
      </c>
      <c r="DQ38" s="223">
        <f t="shared" si="184"/>
        <v>0</v>
      </c>
      <c r="DR38" s="389"/>
      <c r="DS38" s="31">
        <f t="shared" si="185"/>
        <v>0</v>
      </c>
      <c r="DT38" s="390"/>
      <c r="DU38" s="9"/>
      <c r="DV38" s="8"/>
      <c r="DW38" s="7"/>
      <c r="DX38" s="7"/>
      <c r="DY38" s="7"/>
      <c r="DZ38" s="7"/>
      <c r="EA38" s="7"/>
      <c r="EB38" s="7"/>
      <c r="EC38" s="7"/>
    </row>
    <row r="39" spans="1:133">
      <c r="A39" s="1">
        <v>2</v>
      </c>
      <c r="B39" s="1">
        <v>1</v>
      </c>
      <c r="C39" s="57" t="str">
        <f t="shared" si="186"/>
        <v>///</v>
      </c>
      <c r="D39" s="57">
        <f t="shared" si="187"/>
        <v>0</v>
      </c>
      <c r="E39" s="62">
        <f t="shared" si="186"/>
        <v>0</v>
      </c>
      <c r="F39" s="223"/>
      <c r="G39" s="223">
        <f t="shared" si="139"/>
        <v>0</v>
      </c>
      <c r="H39" s="223">
        <f t="shared" si="139"/>
        <v>0</v>
      </c>
      <c r="I39" s="223">
        <f t="shared" si="139"/>
        <v>0</v>
      </c>
      <c r="J39" s="223">
        <f t="shared" si="139"/>
        <v>0</v>
      </c>
      <c r="K39" s="223">
        <f t="shared" si="139"/>
        <v>0</v>
      </c>
      <c r="L39" s="223">
        <f t="shared" si="139"/>
        <v>0</v>
      </c>
      <c r="M39" s="223">
        <f t="shared" si="139"/>
        <v>0</v>
      </c>
      <c r="N39" s="223">
        <f t="shared" si="139"/>
        <v>0</v>
      </c>
      <c r="O39" s="223">
        <f t="shared" si="139"/>
        <v>0</v>
      </c>
      <c r="P39" s="223">
        <f t="shared" si="139"/>
        <v>0</v>
      </c>
      <c r="Q39" s="223">
        <f t="shared" si="139"/>
        <v>0</v>
      </c>
      <c r="R39" s="223"/>
      <c r="S39" s="223"/>
      <c r="T39" s="223">
        <f t="shared" si="140"/>
        <v>0</v>
      </c>
      <c r="U39" s="223">
        <f t="shared" si="140"/>
        <v>0</v>
      </c>
      <c r="V39" s="223">
        <f t="shared" si="140"/>
        <v>0</v>
      </c>
      <c r="W39" s="223">
        <f t="shared" si="140"/>
        <v>0</v>
      </c>
      <c r="X39" s="223">
        <f t="shared" si="140"/>
        <v>0</v>
      </c>
      <c r="Y39" s="223">
        <f t="shared" si="140"/>
        <v>0</v>
      </c>
      <c r="Z39" s="223">
        <f t="shared" si="140"/>
        <v>0</v>
      </c>
      <c r="AA39" s="223">
        <f t="shared" si="140"/>
        <v>0</v>
      </c>
      <c r="AB39" s="223">
        <f t="shared" si="140"/>
        <v>0</v>
      </c>
      <c r="AC39" s="223">
        <f t="shared" si="140"/>
        <v>0</v>
      </c>
      <c r="AD39" s="223">
        <f t="shared" si="140"/>
        <v>0</v>
      </c>
      <c r="AE39" s="223"/>
      <c r="AF39" s="223">
        <f t="shared" si="141"/>
        <v>0</v>
      </c>
      <c r="AG39" s="223">
        <f t="shared" si="142"/>
        <v>0</v>
      </c>
      <c r="AH39" s="223">
        <f t="shared" si="142"/>
        <v>0</v>
      </c>
      <c r="AI39" s="223">
        <f t="shared" si="142"/>
        <v>0</v>
      </c>
      <c r="AJ39" s="223">
        <f t="shared" si="142"/>
        <v>0</v>
      </c>
      <c r="AK39" s="223">
        <f t="shared" si="142"/>
        <v>0</v>
      </c>
      <c r="AL39" s="223">
        <f t="shared" si="142"/>
        <v>0</v>
      </c>
      <c r="AM39" s="223">
        <f t="shared" si="142"/>
        <v>0</v>
      </c>
      <c r="AN39" s="223">
        <f t="shared" si="142"/>
        <v>0</v>
      </c>
      <c r="AO39" s="223">
        <f t="shared" si="142"/>
        <v>0</v>
      </c>
      <c r="AP39" s="223">
        <f t="shared" si="142"/>
        <v>0</v>
      </c>
      <c r="AQ39" s="223">
        <f t="shared" si="142"/>
        <v>0</v>
      </c>
      <c r="AR39" s="223"/>
      <c r="AS39" s="223">
        <f t="shared" si="143"/>
        <v>0</v>
      </c>
      <c r="AT39" s="223">
        <f t="shared" si="144"/>
        <v>0</v>
      </c>
      <c r="AU39" s="223">
        <f t="shared" si="144"/>
        <v>0</v>
      </c>
      <c r="AV39" s="223">
        <f t="shared" si="144"/>
        <v>0</v>
      </c>
      <c r="AW39" s="223">
        <f t="shared" si="144"/>
        <v>0</v>
      </c>
      <c r="AX39" s="223">
        <f t="shared" si="144"/>
        <v>0</v>
      </c>
      <c r="AY39" s="223">
        <f t="shared" si="144"/>
        <v>0</v>
      </c>
      <c r="AZ39" s="223">
        <f t="shared" si="144"/>
        <v>0</v>
      </c>
      <c r="BA39" s="223">
        <f t="shared" si="144"/>
        <v>0</v>
      </c>
      <c r="BB39" s="223">
        <f t="shared" si="144"/>
        <v>0</v>
      </c>
      <c r="BC39" s="223">
        <f t="shared" si="144"/>
        <v>0</v>
      </c>
      <c r="BD39" s="223">
        <f t="shared" si="144"/>
        <v>0</v>
      </c>
      <c r="BE39" s="223"/>
      <c r="BF39" s="223">
        <f t="shared" si="145"/>
        <v>0</v>
      </c>
      <c r="BG39" s="223">
        <f t="shared" si="146"/>
        <v>0</v>
      </c>
      <c r="BH39" s="223">
        <f t="shared" si="146"/>
        <v>0</v>
      </c>
      <c r="BI39" s="223">
        <f t="shared" si="146"/>
        <v>0</v>
      </c>
      <c r="BJ39" s="223">
        <f t="shared" si="146"/>
        <v>0</v>
      </c>
      <c r="BK39" s="223">
        <f t="shared" si="146"/>
        <v>0</v>
      </c>
      <c r="BL39" s="223">
        <f t="shared" si="146"/>
        <v>0</v>
      </c>
      <c r="BM39" s="223">
        <f t="shared" si="146"/>
        <v>0</v>
      </c>
      <c r="BN39" s="223">
        <f t="shared" si="146"/>
        <v>0</v>
      </c>
      <c r="BO39" s="223">
        <f t="shared" si="146"/>
        <v>0</v>
      </c>
      <c r="BP39" s="223">
        <f t="shared" si="146"/>
        <v>0</v>
      </c>
      <c r="BQ39" s="223">
        <f t="shared" si="146"/>
        <v>0</v>
      </c>
      <c r="BR39" s="223"/>
      <c r="BS39" s="223">
        <f t="shared" si="147"/>
        <v>0</v>
      </c>
      <c r="BT39" s="223">
        <f t="shared" si="148"/>
        <v>0</v>
      </c>
      <c r="BU39" s="223">
        <f t="shared" si="148"/>
        <v>0</v>
      </c>
      <c r="BV39" s="223">
        <f t="shared" si="148"/>
        <v>0</v>
      </c>
      <c r="BW39" s="223">
        <f t="shared" si="148"/>
        <v>0</v>
      </c>
      <c r="BX39" s="223">
        <f t="shared" si="148"/>
        <v>0</v>
      </c>
      <c r="BY39" s="223">
        <f t="shared" si="148"/>
        <v>0</v>
      </c>
      <c r="BZ39" s="223">
        <f t="shared" si="148"/>
        <v>0</v>
      </c>
      <c r="CA39" s="223">
        <f t="shared" si="148"/>
        <v>0</v>
      </c>
      <c r="CB39" s="223">
        <f t="shared" si="148"/>
        <v>0</v>
      </c>
      <c r="CC39" s="223">
        <f t="shared" si="148"/>
        <v>0</v>
      </c>
      <c r="CD39" s="223">
        <f t="shared" si="148"/>
        <v>0</v>
      </c>
      <c r="CE39" s="389"/>
      <c r="CF39" s="223">
        <f t="shared" si="149"/>
        <v>0</v>
      </c>
      <c r="CG39" s="223">
        <f t="shared" si="150"/>
        <v>0</v>
      </c>
      <c r="CH39" s="223">
        <f t="shared" si="151"/>
        <v>0</v>
      </c>
      <c r="CI39" s="223">
        <f t="shared" si="152"/>
        <v>0</v>
      </c>
      <c r="CJ39" s="223">
        <f t="shared" si="153"/>
        <v>0</v>
      </c>
      <c r="CK39" s="223">
        <f t="shared" si="154"/>
        <v>0</v>
      </c>
      <c r="CL39" s="223">
        <f t="shared" si="155"/>
        <v>0</v>
      </c>
      <c r="CM39" s="223">
        <f t="shared" si="156"/>
        <v>0</v>
      </c>
      <c r="CN39" s="223">
        <f t="shared" si="157"/>
        <v>0</v>
      </c>
      <c r="CO39" s="223">
        <f t="shared" si="158"/>
        <v>0</v>
      </c>
      <c r="CP39" s="223">
        <f t="shared" si="159"/>
        <v>0</v>
      </c>
      <c r="CQ39" s="223">
        <f t="shared" si="160"/>
        <v>0</v>
      </c>
      <c r="CR39" s="389"/>
      <c r="CS39" s="223">
        <f t="shared" si="161"/>
        <v>0</v>
      </c>
      <c r="CT39" s="223">
        <f t="shared" si="162"/>
        <v>0</v>
      </c>
      <c r="CU39" s="223">
        <f t="shared" si="163"/>
        <v>0</v>
      </c>
      <c r="CV39" s="223">
        <f t="shared" si="164"/>
        <v>0</v>
      </c>
      <c r="CW39" s="223">
        <f t="shared" si="165"/>
        <v>0</v>
      </c>
      <c r="CX39" s="223">
        <f t="shared" si="166"/>
        <v>0</v>
      </c>
      <c r="CY39" s="223">
        <f t="shared" si="167"/>
        <v>0</v>
      </c>
      <c r="CZ39" s="223">
        <f t="shared" si="168"/>
        <v>0</v>
      </c>
      <c r="DA39" s="223">
        <f t="shared" si="169"/>
        <v>0</v>
      </c>
      <c r="DB39" s="223">
        <f t="shared" si="170"/>
        <v>0</v>
      </c>
      <c r="DC39" s="223">
        <f t="shared" si="171"/>
        <v>0</v>
      </c>
      <c r="DD39" s="223">
        <f t="shared" si="172"/>
        <v>0</v>
      </c>
      <c r="DE39" s="389"/>
      <c r="DF39" s="223">
        <f t="shared" si="173"/>
        <v>0</v>
      </c>
      <c r="DG39" s="223">
        <f t="shared" si="174"/>
        <v>0</v>
      </c>
      <c r="DH39" s="223">
        <f t="shared" si="175"/>
        <v>0</v>
      </c>
      <c r="DI39" s="223">
        <f t="shared" si="176"/>
        <v>0</v>
      </c>
      <c r="DJ39" s="223">
        <f t="shared" si="177"/>
        <v>0</v>
      </c>
      <c r="DK39" s="223">
        <f t="shared" si="178"/>
        <v>0</v>
      </c>
      <c r="DL39" s="223">
        <f t="shared" si="179"/>
        <v>0</v>
      </c>
      <c r="DM39" s="223">
        <f t="shared" si="180"/>
        <v>0</v>
      </c>
      <c r="DN39" s="223">
        <f t="shared" si="181"/>
        <v>0</v>
      </c>
      <c r="DO39" s="223">
        <f t="shared" si="182"/>
        <v>0</v>
      </c>
      <c r="DP39" s="223">
        <f t="shared" si="183"/>
        <v>0</v>
      </c>
      <c r="DQ39" s="223">
        <f t="shared" si="184"/>
        <v>0</v>
      </c>
      <c r="DR39" s="389"/>
      <c r="DS39" s="31">
        <f t="shared" si="185"/>
        <v>0</v>
      </c>
      <c r="DT39" s="390"/>
      <c r="DU39" s="9"/>
      <c r="DV39" s="8"/>
      <c r="DW39" s="7"/>
      <c r="DX39" s="7"/>
      <c r="DY39" s="7"/>
      <c r="DZ39" s="7"/>
      <c r="EA39" s="7"/>
      <c r="EB39" s="7"/>
      <c r="EC39" s="7"/>
    </row>
    <row r="40" spans="1:133">
      <c r="C40" s="57" t="str">
        <f t="shared" si="186"/>
        <v>///</v>
      </c>
      <c r="D40" s="57">
        <f t="shared" si="187"/>
        <v>0</v>
      </c>
      <c r="E40" s="62">
        <f t="shared" si="186"/>
        <v>0</v>
      </c>
      <c r="F40" s="223"/>
      <c r="G40" s="223">
        <f t="shared" si="139"/>
        <v>0</v>
      </c>
      <c r="H40" s="223">
        <f t="shared" si="139"/>
        <v>0</v>
      </c>
      <c r="I40" s="223">
        <f t="shared" si="139"/>
        <v>0</v>
      </c>
      <c r="J40" s="223">
        <f t="shared" si="139"/>
        <v>0</v>
      </c>
      <c r="K40" s="223">
        <f t="shared" si="139"/>
        <v>0</v>
      </c>
      <c r="L40" s="223">
        <f t="shared" si="139"/>
        <v>0</v>
      </c>
      <c r="M40" s="223">
        <f t="shared" si="139"/>
        <v>0</v>
      </c>
      <c r="N40" s="223">
        <f t="shared" si="139"/>
        <v>0</v>
      </c>
      <c r="O40" s="223">
        <f t="shared" si="139"/>
        <v>0</v>
      </c>
      <c r="P40" s="223">
        <f t="shared" si="139"/>
        <v>0</v>
      </c>
      <c r="Q40" s="223">
        <f t="shared" si="139"/>
        <v>0</v>
      </c>
      <c r="R40" s="223"/>
      <c r="S40" s="223">
        <f t="shared" ref="S40:S57" si="188">Q40</f>
        <v>0</v>
      </c>
      <c r="T40" s="223">
        <f t="shared" si="140"/>
        <v>0</v>
      </c>
      <c r="U40" s="223">
        <f t="shared" si="140"/>
        <v>0</v>
      </c>
      <c r="V40" s="223">
        <f t="shared" si="140"/>
        <v>0</v>
      </c>
      <c r="W40" s="223">
        <f t="shared" si="140"/>
        <v>0</v>
      </c>
      <c r="X40" s="223">
        <f t="shared" si="140"/>
        <v>0</v>
      </c>
      <c r="Y40" s="223">
        <f t="shared" si="140"/>
        <v>0</v>
      </c>
      <c r="Z40" s="223">
        <f t="shared" si="140"/>
        <v>0</v>
      </c>
      <c r="AA40" s="223">
        <f t="shared" si="140"/>
        <v>0</v>
      </c>
      <c r="AB40" s="223">
        <f t="shared" si="140"/>
        <v>0</v>
      </c>
      <c r="AC40" s="223">
        <f t="shared" si="140"/>
        <v>0</v>
      </c>
      <c r="AD40" s="223">
        <f t="shared" si="140"/>
        <v>0</v>
      </c>
      <c r="AE40" s="223"/>
      <c r="AF40" s="223">
        <f t="shared" si="141"/>
        <v>0</v>
      </c>
      <c r="AG40" s="223">
        <f t="shared" si="142"/>
        <v>0</v>
      </c>
      <c r="AH40" s="223">
        <f t="shared" si="142"/>
        <v>0</v>
      </c>
      <c r="AI40" s="223">
        <f t="shared" si="142"/>
        <v>0</v>
      </c>
      <c r="AJ40" s="223">
        <f t="shared" si="142"/>
        <v>0</v>
      </c>
      <c r="AK40" s="223">
        <f t="shared" si="142"/>
        <v>0</v>
      </c>
      <c r="AL40" s="223">
        <f t="shared" si="142"/>
        <v>0</v>
      </c>
      <c r="AM40" s="223">
        <f t="shared" si="142"/>
        <v>0</v>
      </c>
      <c r="AN40" s="223">
        <f t="shared" si="142"/>
        <v>0</v>
      </c>
      <c r="AO40" s="223">
        <f t="shared" si="142"/>
        <v>0</v>
      </c>
      <c r="AP40" s="223">
        <f t="shared" si="142"/>
        <v>0</v>
      </c>
      <c r="AQ40" s="223">
        <f t="shared" si="142"/>
        <v>0</v>
      </c>
      <c r="AR40" s="223"/>
      <c r="AS40" s="223">
        <f t="shared" si="143"/>
        <v>0</v>
      </c>
      <c r="AT40" s="223">
        <f t="shared" si="144"/>
        <v>0</v>
      </c>
      <c r="AU40" s="223">
        <f t="shared" si="144"/>
        <v>0</v>
      </c>
      <c r="AV40" s="223">
        <f t="shared" si="144"/>
        <v>0</v>
      </c>
      <c r="AW40" s="223">
        <f t="shared" si="144"/>
        <v>0</v>
      </c>
      <c r="AX40" s="223">
        <f t="shared" si="144"/>
        <v>0</v>
      </c>
      <c r="AY40" s="223">
        <f t="shared" si="144"/>
        <v>0</v>
      </c>
      <c r="AZ40" s="223">
        <f t="shared" si="144"/>
        <v>0</v>
      </c>
      <c r="BA40" s="223">
        <f t="shared" si="144"/>
        <v>0</v>
      </c>
      <c r="BB40" s="223">
        <f t="shared" si="144"/>
        <v>0</v>
      </c>
      <c r="BC40" s="223">
        <f t="shared" si="144"/>
        <v>0</v>
      </c>
      <c r="BD40" s="223">
        <f t="shared" si="144"/>
        <v>0</v>
      </c>
      <c r="BE40" s="223"/>
      <c r="BF40" s="223">
        <f t="shared" si="145"/>
        <v>0</v>
      </c>
      <c r="BG40" s="223">
        <f t="shared" si="146"/>
        <v>0</v>
      </c>
      <c r="BH40" s="223">
        <f t="shared" si="146"/>
        <v>0</v>
      </c>
      <c r="BI40" s="223">
        <f t="shared" si="146"/>
        <v>0</v>
      </c>
      <c r="BJ40" s="223">
        <f t="shared" si="146"/>
        <v>0</v>
      </c>
      <c r="BK40" s="223">
        <f t="shared" si="146"/>
        <v>0</v>
      </c>
      <c r="BL40" s="223">
        <f t="shared" si="146"/>
        <v>0</v>
      </c>
      <c r="BM40" s="223">
        <f t="shared" si="146"/>
        <v>0</v>
      </c>
      <c r="BN40" s="223">
        <f t="shared" si="146"/>
        <v>0</v>
      </c>
      <c r="BO40" s="223">
        <f t="shared" si="146"/>
        <v>0</v>
      </c>
      <c r="BP40" s="223">
        <f t="shared" si="146"/>
        <v>0</v>
      </c>
      <c r="BQ40" s="223">
        <f t="shared" si="146"/>
        <v>0</v>
      </c>
      <c r="BR40" s="223"/>
      <c r="BS40" s="223">
        <f t="shared" si="147"/>
        <v>0</v>
      </c>
      <c r="BT40" s="223">
        <f t="shared" si="148"/>
        <v>0</v>
      </c>
      <c r="BU40" s="223">
        <f t="shared" si="148"/>
        <v>0</v>
      </c>
      <c r="BV40" s="223">
        <f t="shared" si="148"/>
        <v>0</v>
      </c>
      <c r="BW40" s="223">
        <f t="shared" si="148"/>
        <v>0</v>
      </c>
      <c r="BX40" s="223">
        <f t="shared" si="148"/>
        <v>0</v>
      </c>
      <c r="BY40" s="223">
        <f t="shared" si="148"/>
        <v>0</v>
      </c>
      <c r="BZ40" s="223">
        <f t="shared" si="148"/>
        <v>0</v>
      </c>
      <c r="CA40" s="223">
        <f t="shared" si="148"/>
        <v>0</v>
      </c>
      <c r="CB40" s="223">
        <f t="shared" si="148"/>
        <v>0</v>
      </c>
      <c r="CC40" s="223">
        <f t="shared" si="148"/>
        <v>0</v>
      </c>
      <c r="CD40" s="223">
        <f t="shared" si="148"/>
        <v>0</v>
      </c>
      <c r="CE40" s="389"/>
      <c r="CF40" s="223">
        <f t="shared" si="149"/>
        <v>0</v>
      </c>
      <c r="CG40" s="223">
        <f t="shared" si="150"/>
        <v>0</v>
      </c>
      <c r="CH40" s="223">
        <f t="shared" si="151"/>
        <v>0</v>
      </c>
      <c r="CI40" s="223">
        <f t="shared" si="152"/>
        <v>0</v>
      </c>
      <c r="CJ40" s="223">
        <f t="shared" si="153"/>
        <v>0</v>
      </c>
      <c r="CK40" s="223">
        <f t="shared" si="154"/>
        <v>0</v>
      </c>
      <c r="CL40" s="223">
        <f t="shared" si="155"/>
        <v>0</v>
      </c>
      <c r="CM40" s="223">
        <f t="shared" si="156"/>
        <v>0</v>
      </c>
      <c r="CN40" s="223">
        <f t="shared" si="157"/>
        <v>0</v>
      </c>
      <c r="CO40" s="223">
        <f t="shared" si="158"/>
        <v>0</v>
      </c>
      <c r="CP40" s="223">
        <f t="shared" si="159"/>
        <v>0</v>
      </c>
      <c r="CQ40" s="223">
        <f t="shared" si="160"/>
        <v>0</v>
      </c>
      <c r="CR40" s="389"/>
      <c r="CS40" s="223">
        <f t="shared" si="161"/>
        <v>0</v>
      </c>
      <c r="CT40" s="223">
        <f t="shared" si="162"/>
        <v>0</v>
      </c>
      <c r="CU40" s="223">
        <f t="shared" si="163"/>
        <v>0</v>
      </c>
      <c r="CV40" s="223">
        <f t="shared" si="164"/>
        <v>0</v>
      </c>
      <c r="CW40" s="223">
        <f t="shared" si="165"/>
        <v>0</v>
      </c>
      <c r="CX40" s="223">
        <f t="shared" si="166"/>
        <v>0</v>
      </c>
      <c r="CY40" s="223">
        <f t="shared" si="167"/>
        <v>0</v>
      </c>
      <c r="CZ40" s="223">
        <f t="shared" si="168"/>
        <v>0</v>
      </c>
      <c r="DA40" s="223">
        <f t="shared" si="169"/>
        <v>0</v>
      </c>
      <c r="DB40" s="223">
        <f t="shared" si="170"/>
        <v>0</v>
      </c>
      <c r="DC40" s="223">
        <f t="shared" si="171"/>
        <v>0</v>
      </c>
      <c r="DD40" s="223">
        <f t="shared" si="172"/>
        <v>0</v>
      </c>
      <c r="DE40" s="389"/>
      <c r="DF40" s="223">
        <f t="shared" si="173"/>
        <v>0</v>
      </c>
      <c r="DG40" s="223">
        <f t="shared" si="174"/>
        <v>0</v>
      </c>
      <c r="DH40" s="223">
        <f t="shared" si="175"/>
        <v>0</v>
      </c>
      <c r="DI40" s="223">
        <f t="shared" si="176"/>
        <v>0</v>
      </c>
      <c r="DJ40" s="223">
        <f t="shared" si="177"/>
        <v>0</v>
      </c>
      <c r="DK40" s="223">
        <f t="shared" si="178"/>
        <v>0</v>
      </c>
      <c r="DL40" s="223">
        <f t="shared" si="179"/>
        <v>0</v>
      </c>
      <c r="DM40" s="223">
        <f t="shared" si="180"/>
        <v>0</v>
      </c>
      <c r="DN40" s="223">
        <f t="shared" si="181"/>
        <v>0</v>
      </c>
      <c r="DO40" s="223">
        <f t="shared" si="182"/>
        <v>0</v>
      </c>
      <c r="DP40" s="223">
        <f t="shared" si="183"/>
        <v>0</v>
      </c>
      <c r="DQ40" s="223">
        <f t="shared" si="184"/>
        <v>0</v>
      </c>
      <c r="DR40" s="389"/>
      <c r="DS40" s="31">
        <f t="shared" si="185"/>
        <v>0</v>
      </c>
      <c r="DT40" s="390"/>
      <c r="DU40" s="9"/>
      <c r="DV40" s="8"/>
      <c r="DW40" s="7"/>
      <c r="DX40" s="7"/>
      <c r="DY40" s="7"/>
      <c r="DZ40" s="7"/>
      <c r="EA40" s="7"/>
      <c r="EB40" s="7"/>
      <c r="EC40" s="7"/>
    </row>
    <row r="41" spans="1:133">
      <c r="A41" s="1">
        <v>2</v>
      </c>
      <c r="B41" s="1">
        <v>2</v>
      </c>
      <c r="C41" s="57" t="str">
        <f t="shared" si="186"/>
        <v>///</v>
      </c>
      <c r="D41" s="57">
        <f t="shared" si="187"/>
        <v>0</v>
      </c>
      <c r="E41" s="62">
        <f t="shared" si="186"/>
        <v>0</v>
      </c>
      <c r="F41" s="223"/>
      <c r="G41" s="223">
        <f t="shared" si="139"/>
        <v>0</v>
      </c>
      <c r="H41" s="223">
        <f t="shared" si="139"/>
        <v>0</v>
      </c>
      <c r="I41" s="223">
        <f t="shared" si="139"/>
        <v>0</v>
      </c>
      <c r="J41" s="223">
        <f t="shared" si="139"/>
        <v>0</v>
      </c>
      <c r="K41" s="223">
        <f t="shared" si="139"/>
        <v>0</v>
      </c>
      <c r="L41" s="223">
        <f t="shared" si="139"/>
        <v>0</v>
      </c>
      <c r="M41" s="223">
        <f t="shared" si="139"/>
        <v>0</v>
      </c>
      <c r="N41" s="223">
        <f t="shared" si="139"/>
        <v>0</v>
      </c>
      <c r="O41" s="223">
        <f t="shared" si="139"/>
        <v>0</v>
      </c>
      <c r="P41" s="223">
        <f t="shared" si="139"/>
        <v>0</v>
      </c>
      <c r="Q41" s="223">
        <f t="shared" si="139"/>
        <v>0</v>
      </c>
      <c r="R41" s="223"/>
      <c r="S41" s="223">
        <f t="shared" si="188"/>
        <v>0</v>
      </c>
      <c r="T41" s="223">
        <f t="shared" si="140"/>
        <v>0</v>
      </c>
      <c r="U41" s="223">
        <f t="shared" si="140"/>
        <v>0</v>
      </c>
      <c r="V41" s="223">
        <f t="shared" si="140"/>
        <v>0</v>
      </c>
      <c r="W41" s="223">
        <f t="shared" si="140"/>
        <v>0</v>
      </c>
      <c r="X41" s="223">
        <f t="shared" si="140"/>
        <v>0</v>
      </c>
      <c r="Y41" s="223">
        <f t="shared" si="140"/>
        <v>0</v>
      </c>
      <c r="Z41" s="223">
        <f t="shared" si="140"/>
        <v>0</v>
      </c>
      <c r="AA41" s="223">
        <f t="shared" si="140"/>
        <v>0</v>
      </c>
      <c r="AB41" s="223">
        <f t="shared" si="140"/>
        <v>0</v>
      </c>
      <c r="AC41" s="223">
        <f t="shared" si="140"/>
        <v>0</v>
      </c>
      <c r="AD41" s="223">
        <f t="shared" si="140"/>
        <v>0</v>
      </c>
      <c r="AE41" s="223"/>
      <c r="AF41" s="223">
        <f t="shared" si="141"/>
        <v>0</v>
      </c>
      <c r="AG41" s="223">
        <f t="shared" si="142"/>
        <v>0</v>
      </c>
      <c r="AH41" s="223">
        <f t="shared" si="142"/>
        <v>0</v>
      </c>
      <c r="AI41" s="223">
        <f t="shared" si="142"/>
        <v>0</v>
      </c>
      <c r="AJ41" s="223">
        <f t="shared" si="142"/>
        <v>0</v>
      </c>
      <c r="AK41" s="223">
        <f t="shared" si="142"/>
        <v>0</v>
      </c>
      <c r="AL41" s="223">
        <f t="shared" si="142"/>
        <v>0</v>
      </c>
      <c r="AM41" s="223">
        <f t="shared" si="142"/>
        <v>0</v>
      </c>
      <c r="AN41" s="223">
        <f t="shared" si="142"/>
        <v>0</v>
      </c>
      <c r="AO41" s="223">
        <f t="shared" si="142"/>
        <v>0</v>
      </c>
      <c r="AP41" s="223">
        <f t="shared" si="142"/>
        <v>0</v>
      </c>
      <c r="AQ41" s="223">
        <f t="shared" si="142"/>
        <v>0</v>
      </c>
      <c r="AR41" s="223"/>
      <c r="AS41" s="223">
        <f t="shared" si="143"/>
        <v>0</v>
      </c>
      <c r="AT41" s="223">
        <f t="shared" si="144"/>
        <v>0</v>
      </c>
      <c r="AU41" s="223">
        <f t="shared" si="144"/>
        <v>0</v>
      </c>
      <c r="AV41" s="223">
        <f t="shared" si="144"/>
        <v>0</v>
      </c>
      <c r="AW41" s="223">
        <f t="shared" si="144"/>
        <v>0</v>
      </c>
      <c r="AX41" s="223">
        <f t="shared" si="144"/>
        <v>0</v>
      </c>
      <c r="AY41" s="223">
        <f t="shared" si="144"/>
        <v>0</v>
      </c>
      <c r="AZ41" s="223">
        <f t="shared" si="144"/>
        <v>0</v>
      </c>
      <c r="BA41" s="223">
        <f t="shared" si="144"/>
        <v>0</v>
      </c>
      <c r="BB41" s="223">
        <f t="shared" si="144"/>
        <v>0</v>
      </c>
      <c r="BC41" s="223">
        <f t="shared" si="144"/>
        <v>0</v>
      </c>
      <c r="BD41" s="223">
        <f t="shared" si="144"/>
        <v>0</v>
      </c>
      <c r="BE41" s="223"/>
      <c r="BF41" s="223">
        <f t="shared" si="145"/>
        <v>0</v>
      </c>
      <c r="BG41" s="223">
        <f t="shared" si="146"/>
        <v>0</v>
      </c>
      <c r="BH41" s="223">
        <f t="shared" si="146"/>
        <v>0</v>
      </c>
      <c r="BI41" s="223">
        <f t="shared" si="146"/>
        <v>0</v>
      </c>
      <c r="BJ41" s="223">
        <f t="shared" si="146"/>
        <v>0</v>
      </c>
      <c r="BK41" s="223">
        <f t="shared" si="146"/>
        <v>0</v>
      </c>
      <c r="BL41" s="223">
        <f t="shared" si="146"/>
        <v>0</v>
      </c>
      <c r="BM41" s="223">
        <f t="shared" si="146"/>
        <v>0</v>
      </c>
      <c r="BN41" s="223">
        <f t="shared" si="146"/>
        <v>0</v>
      </c>
      <c r="BO41" s="223">
        <f t="shared" si="146"/>
        <v>0</v>
      </c>
      <c r="BP41" s="223">
        <f t="shared" si="146"/>
        <v>0</v>
      </c>
      <c r="BQ41" s="223">
        <f t="shared" si="146"/>
        <v>0</v>
      </c>
      <c r="BR41" s="223"/>
      <c r="BS41" s="223">
        <f t="shared" si="147"/>
        <v>0</v>
      </c>
      <c r="BT41" s="223">
        <f t="shared" si="148"/>
        <v>0</v>
      </c>
      <c r="BU41" s="223">
        <f t="shared" si="148"/>
        <v>0</v>
      </c>
      <c r="BV41" s="223">
        <f t="shared" si="148"/>
        <v>0</v>
      </c>
      <c r="BW41" s="223">
        <f t="shared" si="148"/>
        <v>0</v>
      </c>
      <c r="BX41" s="223">
        <f t="shared" si="148"/>
        <v>0</v>
      </c>
      <c r="BY41" s="223">
        <f t="shared" si="148"/>
        <v>0</v>
      </c>
      <c r="BZ41" s="223">
        <f t="shared" si="148"/>
        <v>0</v>
      </c>
      <c r="CA41" s="223">
        <f t="shared" si="148"/>
        <v>0</v>
      </c>
      <c r="CB41" s="223">
        <f t="shared" si="148"/>
        <v>0</v>
      </c>
      <c r="CC41" s="223">
        <f t="shared" si="148"/>
        <v>0</v>
      </c>
      <c r="CD41" s="223">
        <f t="shared" si="148"/>
        <v>0</v>
      </c>
      <c r="CE41" s="389"/>
      <c r="CF41" s="223">
        <f t="shared" si="149"/>
        <v>0</v>
      </c>
      <c r="CG41" s="223">
        <f t="shared" si="150"/>
        <v>0</v>
      </c>
      <c r="CH41" s="223">
        <f t="shared" si="151"/>
        <v>0</v>
      </c>
      <c r="CI41" s="223">
        <f t="shared" si="152"/>
        <v>0</v>
      </c>
      <c r="CJ41" s="223">
        <f t="shared" si="153"/>
        <v>0</v>
      </c>
      <c r="CK41" s="223">
        <f t="shared" si="154"/>
        <v>0</v>
      </c>
      <c r="CL41" s="223">
        <f t="shared" si="155"/>
        <v>0</v>
      </c>
      <c r="CM41" s="223">
        <f t="shared" si="156"/>
        <v>0</v>
      </c>
      <c r="CN41" s="223">
        <f t="shared" si="157"/>
        <v>0</v>
      </c>
      <c r="CO41" s="223">
        <f t="shared" si="158"/>
        <v>0</v>
      </c>
      <c r="CP41" s="223">
        <f t="shared" si="159"/>
        <v>0</v>
      </c>
      <c r="CQ41" s="223">
        <f t="shared" si="160"/>
        <v>0</v>
      </c>
      <c r="CR41" s="389"/>
      <c r="CS41" s="223">
        <f t="shared" si="161"/>
        <v>0</v>
      </c>
      <c r="CT41" s="223">
        <f t="shared" si="162"/>
        <v>0</v>
      </c>
      <c r="CU41" s="223">
        <f t="shared" si="163"/>
        <v>0</v>
      </c>
      <c r="CV41" s="223">
        <f t="shared" si="164"/>
        <v>0</v>
      </c>
      <c r="CW41" s="223">
        <f t="shared" si="165"/>
        <v>0</v>
      </c>
      <c r="CX41" s="223">
        <f t="shared" si="166"/>
        <v>0</v>
      </c>
      <c r="CY41" s="223">
        <f t="shared" si="167"/>
        <v>0</v>
      </c>
      <c r="CZ41" s="223">
        <f t="shared" si="168"/>
        <v>0</v>
      </c>
      <c r="DA41" s="223">
        <f t="shared" si="169"/>
        <v>0</v>
      </c>
      <c r="DB41" s="223">
        <f t="shared" si="170"/>
        <v>0</v>
      </c>
      <c r="DC41" s="223">
        <f t="shared" si="171"/>
        <v>0</v>
      </c>
      <c r="DD41" s="223">
        <f t="shared" si="172"/>
        <v>0</v>
      </c>
      <c r="DE41" s="389"/>
      <c r="DF41" s="223">
        <f t="shared" si="173"/>
        <v>0</v>
      </c>
      <c r="DG41" s="223">
        <f t="shared" si="174"/>
        <v>0</v>
      </c>
      <c r="DH41" s="223">
        <f t="shared" si="175"/>
        <v>0</v>
      </c>
      <c r="DI41" s="223">
        <f t="shared" si="176"/>
        <v>0</v>
      </c>
      <c r="DJ41" s="223">
        <f t="shared" si="177"/>
        <v>0</v>
      </c>
      <c r="DK41" s="223">
        <f t="shared" si="178"/>
        <v>0</v>
      </c>
      <c r="DL41" s="223">
        <f t="shared" si="179"/>
        <v>0</v>
      </c>
      <c r="DM41" s="223">
        <f t="shared" si="180"/>
        <v>0</v>
      </c>
      <c r="DN41" s="223">
        <f t="shared" si="181"/>
        <v>0</v>
      </c>
      <c r="DO41" s="223">
        <f t="shared" si="182"/>
        <v>0</v>
      </c>
      <c r="DP41" s="223">
        <f t="shared" si="183"/>
        <v>0</v>
      </c>
      <c r="DQ41" s="223">
        <f t="shared" si="184"/>
        <v>0</v>
      </c>
      <c r="DR41" s="389"/>
      <c r="DS41" s="31">
        <f t="shared" si="185"/>
        <v>0</v>
      </c>
      <c r="DT41" s="390"/>
      <c r="DU41" s="9"/>
      <c r="DV41" s="8"/>
      <c r="DW41" s="7"/>
      <c r="DX41" s="7"/>
      <c r="DY41" s="7"/>
      <c r="DZ41" s="7"/>
      <c r="EA41" s="7"/>
      <c r="EB41" s="7"/>
      <c r="EC41" s="7"/>
    </row>
    <row r="42" spans="1:133">
      <c r="C42" s="57" t="str">
        <f t="shared" si="186"/>
        <v>///</v>
      </c>
      <c r="D42" s="57">
        <f t="shared" si="187"/>
        <v>0</v>
      </c>
      <c r="E42" s="62">
        <f t="shared" si="186"/>
        <v>0</v>
      </c>
      <c r="F42" s="223"/>
      <c r="G42" s="223">
        <f t="shared" si="139"/>
        <v>0</v>
      </c>
      <c r="H42" s="223">
        <f t="shared" si="139"/>
        <v>0</v>
      </c>
      <c r="I42" s="223">
        <f t="shared" si="139"/>
        <v>0</v>
      </c>
      <c r="J42" s="223">
        <f t="shared" si="139"/>
        <v>0</v>
      </c>
      <c r="K42" s="223">
        <f t="shared" si="139"/>
        <v>0</v>
      </c>
      <c r="L42" s="223">
        <f t="shared" si="139"/>
        <v>0</v>
      </c>
      <c r="M42" s="223">
        <f t="shared" si="139"/>
        <v>0</v>
      </c>
      <c r="N42" s="223">
        <f t="shared" si="139"/>
        <v>0</v>
      </c>
      <c r="O42" s="223">
        <f t="shared" si="139"/>
        <v>0</v>
      </c>
      <c r="P42" s="223">
        <f t="shared" si="139"/>
        <v>0</v>
      </c>
      <c r="Q42" s="223">
        <f t="shared" si="139"/>
        <v>0</v>
      </c>
      <c r="R42" s="223"/>
      <c r="S42" s="223">
        <f t="shared" si="188"/>
        <v>0</v>
      </c>
      <c r="T42" s="223">
        <f t="shared" si="140"/>
        <v>0</v>
      </c>
      <c r="U42" s="223">
        <f t="shared" si="140"/>
        <v>0</v>
      </c>
      <c r="V42" s="223">
        <f t="shared" si="140"/>
        <v>0</v>
      </c>
      <c r="W42" s="223">
        <f t="shared" si="140"/>
        <v>0</v>
      </c>
      <c r="X42" s="223">
        <f t="shared" si="140"/>
        <v>0</v>
      </c>
      <c r="Y42" s="223">
        <f t="shared" si="140"/>
        <v>0</v>
      </c>
      <c r="Z42" s="223">
        <f t="shared" si="140"/>
        <v>0</v>
      </c>
      <c r="AA42" s="223">
        <f t="shared" si="140"/>
        <v>0</v>
      </c>
      <c r="AB42" s="223">
        <f t="shared" si="140"/>
        <v>0</v>
      </c>
      <c r="AC42" s="223">
        <f t="shared" si="140"/>
        <v>0</v>
      </c>
      <c r="AD42" s="223">
        <f t="shared" si="140"/>
        <v>0</v>
      </c>
      <c r="AE42" s="223"/>
      <c r="AF42" s="223">
        <f t="shared" si="141"/>
        <v>0</v>
      </c>
      <c r="AG42" s="223">
        <f t="shared" si="142"/>
        <v>0</v>
      </c>
      <c r="AH42" s="223">
        <f t="shared" si="142"/>
        <v>0</v>
      </c>
      <c r="AI42" s="223">
        <f t="shared" si="142"/>
        <v>0</v>
      </c>
      <c r="AJ42" s="223">
        <f t="shared" si="142"/>
        <v>0</v>
      </c>
      <c r="AK42" s="223">
        <f t="shared" si="142"/>
        <v>0</v>
      </c>
      <c r="AL42" s="223">
        <f t="shared" si="142"/>
        <v>0</v>
      </c>
      <c r="AM42" s="223">
        <f t="shared" si="142"/>
        <v>0</v>
      </c>
      <c r="AN42" s="223">
        <f t="shared" si="142"/>
        <v>0</v>
      </c>
      <c r="AO42" s="223">
        <f t="shared" si="142"/>
        <v>0</v>
      </c>
      <c r="AP42" s="223">
        <f t="shared" si="142"/>
        <v>0</v>
      </c>
      <c r="AQ42" s="223">
        <f t="shared" si="142"/>
        <v>0</v>
      </c>
      <c r="AR42" s="223"/>
      <c r="AS42" s="223">
        <f t="shared" si="143"/>
        <v>0</v>
      </c>
      <c r="AT42" s="223">
        <f t="shared" si="144"/>
        <v>0</v>
      </c>
      <c r="AU42" s="223">
        <f t="shared" si="144"/>
        <v>0</v>
      </c>
      <c r="AV42" s="223">
        <f t="shared" si="144"/>
        <v>0</v>
      </c>
      <c r="AW42" s="223">
        <f t="shared" si="144"/>
        <v>0</v>
      </c>
      <c r="AX42" s="223">
        <f t="shared" si="144"/>
        <v>0</v>
      </c>
      <c r="AY42" s="223">
        <f t="shared" si="144"/>
        <v>0</v>
      </c>
      <c r="AZ42" s="223">
        <f t="shared" si="144"/>
        <v>0</v>
      </c>
      <c r="BA42" s="223">
        <f t="shared" si="144"/>
        <v>0</v>
      </c>
      <c r="BB42" s="223">
        <f t="shared" si="144"/>
        <v>0</v>
      </c>
      <c r="BC42" s="223">
        <f t="shared" si="144"/>
        <v>0</v>
      </c>
      <c r="BD42" s="223">
        <f t="shared" si="144"/>
        <v>0</v>
      </c>
      <c r="BE42" s="223"/>
      <c r="BF42" s="223">
        <f t="shared" si="145"/>
        <v>0</v>
      </c>
      <c r="BG42" s="223">
        <f t="shared" si="146"/>
        <v>0</v>
      </c>
      <c r="BH42" s="223">
        <f t="shared" si="146"/>
        <v>0</v>
      </c>
      <c r="BI42" s="223">
        <f t="shared" si="146"/>
        <v>0</v>
      </c>
      <c r="BJ42" s="223">
        <f t="shared" si="146"/>
        <v>0</v>
      </c>
      <c r="BK42" s="223">
        <f t="shared" si="146"/>
        <v>0</v>
      </c>
      <c r="BL42" s="223">
        <f t="shared" si="146"/>
        <v>0</v>
      </c>
      <c r="BM42" s="223">
        <f t="shared" si="146"/>
        <v>0</v>
      </c>
      <c r="BN42" s="223">
        <f t="shared" si="146"/>
        <v>0</v>
      </c>
      <c r="BO42" s="223">
        <f t="shared" si="146"/>
        <v>0</v>
      </c>
      <c r="BP42" s="223">
        <f t="shared" si="146"/>
        <v>0</v>
      </c>
      <c r="BQ42" s="223">
        <f t="shared" si="146"/>
        <v>0</v>
      </c>
      <c r="BR42" s="223"/>
      <c r="BS42" s="223">
        <f t="shared" si="147"/>
        <v>0</v>
      </c>
      <c r="BT42" s="223">
        <f t="shared" si="148"/>
        <v>0</v>
      </c>
      <c r="BU42" s="223">
        <f t="shared" si="148"/>
        <v>0</v>
      </c>
      <c r="BV42" s="223">
        <f t="shared" si="148"/>
        <v>0</v>
      </c>
      <c r="BW42" s="223">
        <f t="shared" si="148"/>
        <v>0</v>
      </c>
      <c r="BX42" s="223">
        <f t="shared" si="148"/>
        <v>0</v>
      </c>
      <c r="BY42" s="223">
        <f t="shared" si="148"/>
        <v>0</v>
      </c>
      <c r="BZ42" s="223">
        <f t="shared" si="148"/>
        <v>0</v>
      </c>
      <c r="CA42" s="223">
        <f t="shared" si="148"/>
        <v>0</v>
      </c>
      <c r="CB42" s="223">
        <f t="shared" si="148"/>
        <v>0</v>
      </c>
      <c r="CC42" s="223">
        <f t="shared" si="148"/>
        <v>0</v>
      </c>
      <c r="CD42" s="223">
        <f t="shared" si="148"/>
        <v>0</v>
      </c>
      <c r="CE42" s="389"/>
      <c r="CF42" s="223">
        <f t="shared" si="149"/>
        <v>0</v>
      </c>
      <c r="CG42" s="223">
        <f t="shared" si="150"/>
        <v>0</v>
      </c>
      <c r="CH42" s="223">
        <f t="shared" si="151"/>
        <v>0</v>
      </c>
      <c r="CI42" s="223">
        <f t="shared" si="152"/>
        <v>0</v>
      </c>
      <c r="CJ42" s="223">
        <f t="shared" si="153"/>
        <v>0</v>
      </c>
      <c r="CK42" s="223">
        <f t="shared" si="154"/>
        <v>0</v>
      </c>
      <c r="CL42" s="223">
        <f t="shared" si="155"/>
        <v>0</v>
      </c>
      <c r="CM42" s="223">
        <f t="shared" si="156"/>
        <v>0</v>
      </c>
      <c r="CN42" s="223">
        <f t="shared" si="157"/>
        <v>0</v>
      </c>
      <c r="CO42" s="223">
        <f t="shared" si="158"/>
        <v>0</v>
      </c>
      <c r="CP42" s="223">
        <f t="shared" si="159"/>
        <v>0</v>
      </c>
      <c r="CQ42" s="223">
        <f t="shared" si="160"/>
        <v>0</v>
      </c>
      <c r="CR42" s="389"/>
      <c r="CS42" s="223">
        <f t="shared" si="161"/>
        <v>0</v>
      </c>
      <c r="CT42" s="223">
        <f t="shared" si="162"/>
        <v>0</v>
      </c>
      <c r="CU42" s="223">
        <f t="shared" si="163"/>
        <v>0</v>
      </c>
      <c r="CV42" s="223">
        <f t="shared" si="164"/>
        <v>0</v>
      </c>
      <c r="CW42" s="223">
        <f t="shared" si="165"/>
        <v>0</v>
      </c>
      <c r="CX42" s="223">
        <f t="shared" si="166"/>
        <v>0</v>
      </c>
      <c r="CY42" s="223">
        <f t="shared" si="167"/>
        <v>0</v>
      </c>
      <c r="CZ42" s="223">
        <f t="shared" si="168"/>
        <v>0</v>
      </c>
      <c r="DA42" s="223">
        <f t="shared" si="169"/>
        <v>0</v>
      </c>
      <c r="DB42" s="223">
        <f t="shared" si="170"/>
        <v>0</v>
      </c>
      <c r="DC42" s="223">
        <f t="shared" si="171"/>
        <v>0</v>
      </c>
      <c r="DD42" s="223">
        <f t="shared" si="172"/>
        <v>0</v>
      </c>
      <c r="DE42" s="389"/>
      <c r="DF42" s="223">
        <f t="shared" si="173"/>
        <v>0</v>
      </c>
      <c r="DG42" s="223">
        <f t="shared" si="174"/>
        <v>0</v>
      </c>
      <c r="DH42" s="223">
        <f t="shared" si="175"/>
        <v>0</v>
      </c>
      <c r="DI42" s="223">
        <f t="shared" si="176"/>
        <v>0</v>
      </c>
      <c r="DJ42" s="223">
        <f t="shared" si="177"/>
        <v>0</v>
      </c>
      <c r="DK42" s="223">
        <f t="shared" si="178"/>
        <v>0</v>
      </c>
      <c r="DL42" s="223">
        <f t="shared" si="179"/>
        <v>0</v>
      </c>
      <c r="DM42" s="223">
        <f t="shared" si="180"/>
        <v>0</v>
      </c>
      <c r="DN42" s="223">
        <f t="shared" si="181"/>
        <v>0</v>
      </c>
      <c r="DO42" s="223">
        <f t="shared" si="182"/>
        <v>0</v>
      </c>
      <c r="DP42" s="223">
        <f t="shared" si="183"/>
        <v>0</v>
      </c>
      <c r="DQ42" s="223">
        <f t="shared" si="184"/>
        <v>0</v>
      </c>
      <c r="DR42" s="389"/>
      <c r="DS42" s="31">
        <f t="shared" si="185"/>
        <v>0</v>
      </c>
      <c r="DT42" s="390"/>
      <c r="DU42" s="9"/>
      <c r="DV42" s="8"/>
      <c r="DW42" s="7"/>
      <c r="DX42" s="7"/>
      <c r="DY42" s="7"/>
      <c r="DZ42" s="7"/>
      <c r="EA42" s="7"/>
      <c r="EB42" s="7"/>
      <c r="EC42" s="7"/>
    </row>
    <row r="43" spans="1:133">
      <c r="C43" s="57" t="str">
        <f t="shared" si="186"/>
        <v>///</v>
      </c>
      <c r="D43" s="57">
        <f t="shared" si="187"/>
        <v>0</v>
      </c>
      <c r="E43" s="62">
        <f t="shared" si="186"/>
        <v>0</v>
      </c>
      <c r="F43" s="223"/>
      <c r="G43" s="223">
        <f t="shared" si="139"/>
        <v>0</v>
      </c>
      <c r="H43" s="223">
        <f t="shared" si="139"/>
        <v>0</v>
      </c>
      <c r="I43" s="223">
        <f t="shared" si="139"/>
        <v>0</v>
      </c>
      <c r="J43" s="223">
        <f t="shared" si="139"/>
        <v>0</v>
      </c>
      <c r="K43" s="223">
        <f t="shared" si="139"/>
        <v>0</v>
      </c>
      <c r="L43" s="223">
        <f t="shared" si="139"/>
        <v>0</v>
      </c>
      <c r="M43" s="223">
        <f t="shared" si="139"/>
        <v>0</v>
      </c>
      <c r="N43" s="223">
        <f t="shared" si="139"/>
        <v>0</v>
      </c>
      <c r="O43" s="223">
        <f t="shared" si="139"/>
        <v>0</v>
      </c>
      <c r="P43" s="223">
        <f t="shared" si="139"/>
        <v>0</v>
      </c>
      <c r="Q43" s="223">
        <f t="shared" si="139"/>
        <v>0</v>
      </c>
      <c r="R43" s="223"/>
      <c r="S43" s="223">
        <f t="shared" si="188"/>
        <v>0</v>
      </c>
      <c r="T43" s="223">
        <f t="shared" si="140"/>
        <v>0</v>
      </c>
      <c r="U43" s="223">
        <f t="shared" si="140"/>
        <v>0</v>
      </c>
      <c r="V43" s="223">
        <f t="shared" si="140"/>
        <v>0</v>
      </c>
      <c r="W43" s="223">
        <f t="shared" si="140"/>
        <v>0</v>
      </c>
      <c r="X43" s="223">
        <f t="shared" si="140"/>
        <v>0</v>
      </c>
      <c r="Y43" s="223">
        <f t="shared" si="140"/>
        <v>0</v>
      </c>
      <c r="Z43" s="223">
        <f t="shared" si="140"/>
        <v>0</v>
      </c>
      <c r="AA43" s="223">
        <f t="shared" si="140"/>
        <v>0</v>
      </c>
      <c r="AB43" s="223">
        <f t="shared" si="140"/>
        <v>0</v>
      </c>
      <c r="AC43" s="223">
        <f t="shared" si="140"/>
        <v>0</v>
      </c>
      <c r="AD43" s="223">
        <f t="shared" si="140"/>
        <v>0</v>
      </c>
      <c r="AE43" s="223"/>
      <c r="AF43" s="223">
        <f t="shared" si="141"/>
        <v>0</v>
      </c>
      <c r="AG43" s="223">
        <f t="shared" si="142"/>
        <v>0</v>
      </c>
      <c r="AH43" s="223">
        <f t="shared" si="142"/>
        <v>0</v>
      </c>
      <c r="AI43" s="223">
        <f t="shared" si="142"/>
        <v>0</v>
      </c>
      <c r="AJ43" s="223">
        <f t="shared" si="142"/>
        <v>0</v>
      </c>
      <c r="AK43" s="223">
        <f t="shared" si="142"/>
        <v>0</v>
      </c>
      <c r="AL43" s="223">
        <f t="shared" si="142"/>
        <v>0</v>
      </c>
      <c r="AM43" s="223">
        <f t="shared" si="142"/>
        <v>0</v>
      </c>
      <c r="AN43" s="223">
        <f t="shared" si="142"/>
        <v>0</v>
      </c>
      <c r="AO43" s="223">
        <f t="shared" si="142"/>
        <v>0</v>
      </c>
      <c r="AP43" s="223">
        <f t="shared" si="142"/>
        <v>0</v>
      </c>
      <c r="AQ43" s="223">
        <f t="shared" si="142"/>
        <v>0</v>
      </c>
      <c r="AR43" s="223"/>
      <c r="AS43" s="223">
        <f t="shared" si="143"/>
        <v>0</v>
      </c>
      <c r="AT43" s="223">
        <f t="shared" si="144"/>
        <v>0</v>
      </c>
      <c r="AU43" s="223">
        <f t="shared" si="144"/>
        <v>0</v>
      </c>
      <c r="AV43" s="223">
        <f t="shared" si="144"/>
        <v>0</v>
      </c>
      <c r="AW43" s="223">
        <f t="shared" si="144"/>
        <v>0</v>
      </c>
      <c r="AX43" s="223">
        <f t="shared" si="144"/>
        <v>0</v>
      </c>
      <c r="AY43" s="223">
        <f t="shared" si="144"/>
        <v>0</v>
      </c>
      <c r="AZ43" s="223">
        <f t="shared" si="144"/>
        <v>0</v>
      </c>
      <c r="BA43" s="223">
        <f t="shared" si="144"/>
        <v>0</v>
      </c>
      <c r="BB43" s="223">
        <f t="shared" si="144"/>
        <v>0</v>
      </c>
      <c r="BC43" s="223">
        <f t="shared" si="144"/>
        <v>0</v>
      </c>
      <c r="BD43" s="223">
        <f t="shared" si="144"/>
        <v>0</v>
      </c>
      <c r="BE43" s="223"/>
      <c r="BF43" s="223">
        <f t="shared" si="145"/>
        <v>0</v>
      </c>
      <c r="BG43" s="223">
        <f t="shared" si="146"/>
        <v>0</v>
      </c>
      <c r="BH43" s="223">
        <f t="shared" si="146"/>
        <v>0</v>
      </c>
      <c r="BI43" s="223">
        <f t="shared" si="146"/>
        <v>0</v>
      </c>
      <c r="BJ43" s="223">
        <f t="shared" si="146"/>
        <v>0</v>
      </c>
      <c r="BK43" s="223">
        <f t="shared" si="146"/>
        <v>0</v>
      </c>
      <c r="BL43" s="223">
        <f t="shared" si="146"/>
        <v>0</v>
      </c>
      <c r="BM43" s="223">
        <f t="shared" si="146"/>
        <v>0</v>
      </c>
      <c r="BN43" s="223">
        <f t="shared" si="146"/>
        <v>0</v>
      </c>
      <c r="BO43" s="223">
        <f t="shared" si="146"/>
        <v>0</v>
      </c>
      <c r="BP43" s="223">
        <f t="shared" si="146"/>
        <v>0</v>
      </c>
      <c r="BQ43" s="223">
        <f t="shared" si="146"/>
        <v>0</v>
      </c>
      <c r="BR43" s="223"/>
      <c r="BS43" s="223">
        <f t="shared" si="147"/>
        <v>0</v>
      </c>
      <c r="BT43" s="223">
        <f t="shared" si="148"/>
        <v>0</v>
      </c>
      <c r="BU43" s="223">
        <f t="shared" si="148"/>
        <v>0</v>
      </c>
      <c r="BV43" s="223">
        <f t="shared" si="148"/>
        <v>0</v>
      </c>
      <c r="BW43" s="223">
        <f t="shared" si="148"/>
        <v>0</v>
      </c>
      <c r="BX43" s="223">
        <f t="shared" si="148"/>
        <v>0</v>
      </c>
      <c r="BY43" s="223">
        <f t="shared" si="148"/>
        <v>0</v>
      </c>
      <c r="BZ43" s="223">
        <f t="shared" si="148"/>
        <v>0</v>
      </c>
      <c r="CA43" s="223">
        <f t="shared" si="148"/>
        <v>0</v>
      </c>
      <c r="CB43" s="223">
        <f t="shared" si="148"/>
        <v>0</v>
      </c>
      <c r="CC43" s="223">
        <f t="shared" si="148"/>
        <v>0</v>
      </c>
      <c r="CD43" s="223">
        <f t="shared" si="148"/>
        <v>0</v>
      </c>
      <c r="CE43" s="389"/>
      <c r="CF43" s="223">
        <f t="shared" si="149"/>
        <v>0</v>
      </c>
      <c r="CG43" s="223">
        <f t="shared" si="150"/>
        <v>0</v>
      </c>
      <c r="CH43" s="223">
        <f t="shared" si="151"/>
        <v>0</v>
      </c>
      <c r="CI43" s="223">
        <f t="shared" si="152"/>
        <v>0</v>
      </c>
      <c r="CJ43" s="223">
        <f t="shared" si="153"/>
        <v>0</v>
      </c>
      <c r="CK43" s="223">
        <f t="shared" si="154"/>
        <v>0</v>
      </c>
      <c r="CL43" s="223">
        <f t="shared" si="155"/>
        <v>0</v>
      </c>
      <c r="CM43" s="223">
        <f t="shared" si="156"/>
        <v>0</v>
      </c>
      <c r="CN43" s="223">
        <f t="shared" si="157"/>
        <v>0</v>
      </c>
      <c r="CO43" s="223">
        <f t="shared" si="158"/>
        <v>0</v>
      </c>
      <c r="CP43" s="223">
        <f t="shared" si="159"/>
        <v>0</v>
      </c>
      <c r="CQ43" s="223">
        <f t="shared" si="160"/>
        <v>0</v>
      </c>
      <c r="CR43" s="389"/>
      <c r="CS43" s="223">
        <f t="shared" si="161"/>
        <v>0</v>
      </c>
      <c r="CT43" s="223">
        <f t="shared" si="162"/>
        <v>0</v>
      </c>
      <c r="CU43" s="223">
        <f t="shared" si="163"/>
        <v>0</v>
      </c>
      <c r="CV43" s="223">
        <f t="shared" si="164"/>
        <v>0</v>
      </c>
      <c r="CW43" s="223">
        <f t="shared" si="165"/>
        <v>0</v>
      </c>
      <c r="CX43" s="223">
        <f t="shared" si="166"/>
        <v>0</v>
      </c>
      <c r="CY43" s="223">
        <f t="shared" si="167"/>
        <v>0</v>
      </c>
      <c r="CZ43" s="223">
        <f t="shared" si="168"/>
        <v>0</v>
      </c>
      <c r="DA43" s="223">
        <f t="shared" si="169"/>
        <v>0</v>
      </c>
      <c r="DB43" s="223">
        <f t="shared" si="170"/>
        <v>0</v>
      </c>
      <c r="DC43" s="223">
        <f t="shared" si="171"/>
        <v>0</v>
      </c>
      <c r="DD43" s="223">
        <f t="shared" si="172"/>
        <v>0</v>
      </c>
      <c r="DE43" s="389"/>
      <c r="DF43" s="223">
        <f t="shared" si="173"/>
        <v>0</v>
      </c>
      <c r="DG43" s="223">
        <f t="shared" si="174"/>
        <v>0</v>
      </c>
      <c r="DH43" s="223">
        <f t="shared" si="175"/>
        <v>0</v>
      </c>
      <c r="DI43" s="223">
        <f t="shared" si="176"/>
        <v>0</v>
      </c>
      <c r="DJ43" s="223">
        <f t="shared" si="177"/>
        <v>0</v>
      </c>
      <c r="DK43" s="223">
        <f t="shared" si="178"/>
        <v>0</v>
      </c>
      <c r="DL43" s="223">
        <f t="shared" si="179"/>
        <v>0</v>
      </c>
      <c r="DM43" s="223">
        <f t="shared" si="180"/>
        <v>0</v>
      </c>
      <c r="DN43" s="223">
        <f t="shared" si="181"/>
        <v>0</v>
      </c>
      <c r="DO43" s="223">
        <f t="shared" si="182"/>
        <v>0</v>
      </c>
      <c r="DP43" s="223">
        <f t="shared" si="183"/>
        <v>0</v>
      </c>
      <c r="DQ43" s="223">
        <f t="shared" si="184"/>
        <v>0</v>
      </c>
      <c r="DR43" s="389"/>
      <c r="DS43" s="31">
        <f t="shared" si="185"/>
        <v>0</v>
      </c>
      <c r="DT43" s="390"/>
      <c r="DU43" s="9"/>
      <c r="DV43" s="8"/>
      <c r="DW43" s="7"/>
      <c r="DX43" s="7"/>
      <c r="DY43" s="7"/>
      <c r="DZ43" s="7"/>
      <c r="EA43" s="7"/>
      <c r="EB43" s="7"/>
      <c r="EC43" s="7"/>
    </row>
    <row r="44" spans="1:133">
      <c r="A44" s="1">
        <v>2</v>
      </c>
      <c r="B44" s="1">
        <v>3</v>
      </c>
      <c r="C44" s="57" t="str">
        <f t="shared" si="186"/>
        <v>///</v>
      </c>
      <c r="D44" s="57">
        <f t="shared" si="187"/>
        <v>0</v>
      </c>
      <c r="E44" s="62">
        <f t="shared" si="186"/>
        <v>0</v>
      </c>
      <c r="F44" s="223"/>
      <c r="G44" s="223">
        <f t="shared" si="139"/>
        <v>0</v>
      </c>
      <c r="H44" s="223">
        <f t="shared" si="139"/>
        <v>0</v>
      </c>
      <c r="I44" s="223">
        <f t="shared" si="139"/>
        <v>0</v>
      </c>
      <c r="J44" s="223">
        <f t="shared" si="139"/>
        <v>0</v>
      </c>
      <c r="K44" s="223">
        <f t="shared" si="139"/>
        <v>0</v>
      </c>
      <c r="L44" s="223">
        <f t="shared" si="139"/>
        <v>0</v>
      </c>
      <c r="M44" s="223">
        <f t="shared" si="139"/>
        <v>0</v>
      </c>
      <c r="N44" s="223">
        <f t="shared" si="139"/>
        <v>0</v>
      </c>
      <c r="O44" s="223">
        <f t="shared" si="139"/>
        <v>0</v>
      </c>
      <c r="P44" s="223">
        <f t="shared" si="139"/>
        <v>0</v>
      </c>
      <c r="Q44" s="223">
        <f t="shared" si="139"/>
        <v>0</v>
      </c>
      <c r="R44" s="223"/>
      <c r="S44" s="223">
        <f t="shared" si="188"/>
        <v>0</v>
      </c>
      <c r="T44" s="223">
        <f t="shared" si="140"/>
        <v>0</v>
      </c>
      <c r="U44" s="223">
        <f t="shared" si="140"/>
        <v>0</v>
      </c>
      <c r="V44" s="223">
        <f t="shared" si="140"/>
        <v>0</v>
      </c>
      <c r="W44" s="223">
        <f t="shared" si="140"/>
        <v>0</v>
      </c>
      <c r="X44" s="223">
        <f t="shared" si="140"/>
        <v>0</v>
      </c>
      <c r="Y44" s="223">
        <f t="shared" si="140"/>
        <v>0</v>
      </c>
      <c r="Z44" s="223">
        <f t="shared" si="140"/>
        <v>0</v>
      </c>
      <c r="AA44" s="223">
        <f t="shared" si="140"/>
        <v>0</v>
      </c>
      <c r="AB44" s="223">
        <f t="shared" si="140"/>
        <v>0</v>
      </c>
      <c r="AC44" s="223">
        <f t="shared" si="140"/>
        <v>0</v>
      </c>
      <c r="AD44" s="223">
        <f t="shared" si="140"/>
        <v>0</v>
      </c>
      <c r="AE44" s="223"/>
      <c r="AF44" s="223">
        <f t="shared" si="141"/>
        <v>0</v>
      </c>
      <c r="AG44" s="223">
        <f t="shared" si="142"/>
        <v>0</v>
      </c>
      <c r="AH44" s="223">
        <f t="shared" si="142"/>
        <v>0</v>
      </c>
      <c r="AI44" s="223">
        <f t="shared" si="142"/>
        <v>0</v>
      </c>
      <c r="AJ44" s="223">
        <f t="shared" si="142"/>
        <v>0</v>
      </c>
      <c r="AK44" s="223">
        <f t="shared" si="142"/>
        <v>0</v>
      </c>
      <c r="AL44" s="223">
        <f t="shared" si="142"/>
        <v>0</v>
      </c>
      <c r="AM44" s="223">
        <f t="shared" si="142"/>
        <v>0</v>
      </c>
      <c r="AN44" s="223">
        <f t="shared" si="142"/>
        <v>0</v>
      </c>
      <c r="AO44" s="223">
        <f t="shared" si="142"/>
        <v>0</v>
      </c>
      <c r="AP44" s="223">
        <f t="shared" si="142"/>
        <v>0</v>
      </c>
      <c r="AQ44" s="223">
        <f t="shared" si="142"/>
        <v>0</v>
      </c>
      <c r="AR44" s="223"/>
      <c r="AS44" s="223">
        <f t="shared" si="143"/>
        <v>0</v>
      </c>
      <c r="AT44" s="223">
        <f t="shared" si="144"/>
        <v>0</v>
      </c>
      <c r="AU44" s="223">
        <f t="shared" si="144"/>
        <v>0</v>
      </c>
      <c r="AV44" s="223">
        <f t="shared" si="144"/>
        <v>0</v>
      </c>
      <c r="AW44" s="223">
        <f t="shared" si="144"/>
        <v>0</v>
      </c>
      <c r="AX44" s="223">
        <f t="shared" si="144"/>
        <v>0</v>
      </c>
      <c r="AY44" s="223">
        <f t="shared" si="144"/>
        <v>0</v>
      </c>
      <c r="AZ44" s="223">
        <f t="shared" si="144"/>
        <v>0</v>
      </c>
      <c r="BA44" s="223">
        <f t="shared" si="144"/>
        <v>0</v>
      </c>
      <c r="BB44" s="223">
        <f t="shared" si="144"/>
        <v>0</v>
      </c>
      <c r="BC44" s="223">
        <f t="shared" si="144"/>
        <v>0</v>
      </c>
      <c r="BD44" s="223">
        <f t="shared" si="144"/>
        <v>0</v>
      </c>
      <c r="BE44" s="223"/>
      <c r="BF44" s="223">
        <f t="shared" si="145"/>
        <v>0</v>
      </c>
      <c r="BG44" s="223">
        <f t="shared" si="146"/>
        <v>0</v>
      </c>
      <c r="BH44" s="223">
        <f t="shared" si="146"/>
        <v>0</v>
      </c>
      <c r="BI44" s="223">
        <f t="shared" si="146"/>
        <v>0</v>
      </c>
      <c r="BJ44" s="223">
        <f t="shared" si="146"/>
        <v>0</v>
      </c>
      <c r="BK44" s="223">
        <f t="shared" si="146"/>
        <v>0</v>
      </c>
      <c r="BL44" s="223">
        <f t="shared" si="146"/>
        <v>0</v>
      </c>
      <c r="BM44" s="223">
        <f t="shared" si="146"/>
        <v>0</v>
      </c>
      <c r="BN44" s="223">
        <f t="shared" si="146"/>
        <v>0</v>
      </c>
      <c r="BO44" s="223">
        <f t="shared" si="146"/>
        <v>0</v>
      </c>
      <c r="BP44" s="223">
        <f t="shared" si="146"/>
        <v>0</v>
      </c>
      <c r="BQ44" s="223">
        <f t="shared" si="146"/>
        <v>0</v>
      </c>
      <c r="BR44" s="223"/>
      <c r="BS44" s="223">
        <f t="shared" si="147"/>
        <v>0</v>
      </c>
      <c r="BT44" s="223">
        <f t="shared" si="148"/>
        <v>0</v>
      </c>
      <c r="BU44" s="223">
        <f t="shared" si="148"/>
        <v>0</v>
      </c>
      <c r="BV44" s="223">
        <f t="shared" si="148"/>
        <v>0</v>
      </c>
      <c r="BW44" s="223">
        <f t="shared" si="148"/>
        <v>0</v>
      </c>
      <c r="BX44" s="223">
        <f t="shared" si="148"/>
        <v>0</v>
      </c>
      <c r="BY44" s="223">
        <f t="shared" si="148"/>
        <v>0</v>
      </c>
      <c r="BZ44" s="223">
        <f t="shared" si="148"/>
        <v>0</v>
      </c>
      <c r="CA44" s="223">
        <f t="shared" si="148"/>
        <v>0</v>
      </c>
      <c r="CB44" s="223">
        <f t="shared" si="148"/>
        <v>0</v>
      </c>
      <c r="CC44" s="223">
        <f t="shared" si="148"/>
        <v>0</v>
      </c>
      <c r="CD44" s="223">
        <f t="shared" si="148"/>
        <v>0</v>
      </c>
      <c r="CE44" s="389"/>
      <c r="CF44" s="223">
        <f t="shared" si="149"/>
        <v>0</v>
      </c>
      <c r="CG44" s="223">
        <f t="shared" si="150"/>
        <v>0</v>
      </c>
      <c r="CH44" s="223">
        <f t="shared" si="151"/>
        <v>0</v>
      </c>
      <c r="CI44" s="223">
        <f t="shared" si="152"/>
        <v>0</v>
      </c>
      <c r="CJ44" s="223">
        <f t="shared" si="153"/>
        <v>0</v>
      </c>
      <c r="CK44" s="223">
        <f t="shared" si="154"/>
        <v>0</v>
      </c>
      <c r="CL44" s="223">
        <f t="shared" si="155"/>
        <v>0</v>
      </c>
      <c r="CM44" s="223">
        <f t="shared" si="156"/>
        <v>0</v>
      </c>
      <c r="CN44" s="223">
        <f t="shared" si="157"/>
        <v>0</v>
      </c>
      <c r="CO44" s="223">
        <f t="shared" si="158"/>
        <v>0</v>
      </c>
      <c r="CP44" s="223">
        <f t="shared" si="159"/>
        <v>0</v>
      </c>
      <c r="CQ44" s="223">
        <f t="shared" si="160"/>
        <v>0</v>
      </c>
      <c r="CR44" s="389"/>
      <c r="CS44" s="223">
        <f t="shared" si="161"/>
        <v>0</v>
      </c>
      <c r="CT44" s="223">
        <f t="shared" si="162"/>
        <v>0</v>
      </c>
      <c r="CU44" s="223">
        <f t="shared" si="163"/>
        <v>0</v>
      </c>
      <c r="CV44" s="223">
        <f t="shared" si="164"/>
        <v>0</v>
      </c>
      <c r="CW44" s="223">
        <f t="shared" si="165"/>
        <v>0</v>
      </c>
      <c r="CX44" s="223">
        <f t="shared" si="166"/>
        <v>0</v>
      </c>
      <c r="CY44" s="223">
        <f t="shared" si="167"/>
        <v>0</v>
      </c>
      <c r="CZ44" s="223">
        <f t="shared" si="168"/>
        <v>0</v>
      </c>
      <c r="DA44" s="223">
        <f t="shared" si="169"/>
        <v>0</v>
      </c>
      <c r="DB44" s="223">
        <f t="shared" si="170"/>
        <v>0</v>
      </c>
      <c r="DC44" s="223">
        <f t="shared" si="171"/>
        <v>0</v>
      </c>
      <c r="DD44" s="223">
        <f t="shared" si="172"/>
        <v>0</v>
      </c>
      <c r="DE44" s="389"/>
      <c r="DF44" s="223">
        <f t="shared" si="173"/>
        <v>0</v>
      </c>
      <c r="DG44" s="223">
        <f t="shared" si="174"/>
        <v>0</v>
      </c>
      <c r="DH44" s="223">
        <f t="shared" si="175"/>
        <v>0</v>
      </c>
      <c r="DI44" s="223">
        <f t="shared" si="176"/>
        <v>0</v>
      </c>
      <c r="DJ44" s="223">
        <f t="shared" si="177"/>
        <v>0</v>
      </c>
      <c r="DK44" s="223">
        <f t="shared" si="178"/>
        <v>0</v>
      </c>
      <c r="DL44" s="223">
        <f t="shared" si="179"/>
        <v>0</v>
      </c>
      <c r="DM44" s="223">
        <f t="shared" si="180"/>
        <v>0</v>
      </c>
      <c r="DN44" s="223">
        <f t="shared" si="181"/>
        <v>0</v>
      </c>
      <c r="DO44" s="223">
        <f t="shared" si="182"/>
        <v>0</v>
      </c>
      <c r="DP44" s="223">
        <f t="shared" si="183"/>
        <v>0</v>
      </c>
      <c r="DQ44" s="223">
        <f t="shared" si="184"/>
        <v>0</v>
      </c>
      <c r="DR44" s="389"/>
      <c r="DS44" s="31">
        <f t="shared" si="185"/>
        <v>0</v>
      </c>
      <c r="DT44" s="390"/>
      <c r="DU44" s="9"/>
      <c r="DV44" s="8"/>
      <c r="DW44" s="7"/>
      <c r="DX44" s="7"/>
      <c r="DY44" s="7"/>
      <c r="DZ44" s="7"/>
      <c r="EA44" s="7"/>
      <c r="EB44" s="7"/>
      <c r="EC44" s="7"/>
    </row>
    <row r="45" spans="1:133">
      <c r="C45" s="57" t="str">
        <f t="shared" si="186"/>
        <v>///</v>
      </c>
      <c r="D45" s="57">
        <f t="shared" si="187"/>
        <v>0</v>
      </c>
      <c r="E45" s="62">
        <f t="shared" si="186"/>
        <v>0</v>
      </c>
      <c r="F45" s="223"/>
      <c r="G45" s="223">
        <f t="shared" si="139"/>
        <v>0</v>
      </c>
      <c r="H45" s="223">
        <f t="shared" si="139"/>
        <v>0</v>
      </c>
      <c r="I45" s="223">
        <f t="shared" si="139"/>
        <v>0</v>
      </c>
      <c r="J45" s="223">
        <f t="shared" si="139"/>
        <v>0</v>
      </c>
      <c r="K45" s="223">
        <f t="shared" si="139"/>
        <v>0</v>
      </c>
      <c r="L45" s="223">
        <f t="shared" si="139"/>
        <v>0</v>
      </c>
      <c r="M45" s="223">
        <f t="shared" si="139"/>
        <v>0</v>
      </c>
      <c r="N45" s="223">
        <f t="shared" si="139"/>
        <v>0</v>
      </c>
      <c r="O45" s="223">
        <f t="shared" si="139"/>
        <v>0</v>
      </c>
      <c r="P45" s="223">
        <f t="shared" si="139"/>
        <v>0</v>
      </c>
      <c r="Q45" s="223">
        <f t="shared" si="139"/>
        <v>0</v>
      </c>
      <c r="R45" s="223"/>
      <c r="S45" s="223">
        <f t="shared" si="188"/>
        <v>0</v>
      </c>
      <c r="T45" s="223">
        <f t="shared" si="140"/>
        <v>0</v>
      </c>
      <c r="U45" s="223">
        <f t="shared" si="140"/>
        <v>0</v>
      </c>
      <c r="V45" s="223">
        <f t="shared" si="140"/>
        <v>0</v>
      </c>
      <c r="W45" s="223">
        <f t="shared" si="140"/>
        <v>0</v>
      </c>
      <c r="X45" s="223">
        <f t="shared" si="140"/>
        <v>0</v>
      </c>
      <c r="Y45" s="223">
        <f t="shared" si="140"/>
        <v>0</v>
      </c>
      <c r="Z45" s="223">
        <f t="shared" si="140"/>
        <v>0</v>
      </c>
      <c r="AA45" s="223">
        <f t="shared" si="140"/>
        <v>0</v>
      </c>
      <c r="AB45" s="223">
        <f t="shared" si="140"/>
        <v>0</v>
      </c>
      <c r="AC45" s="223">
        <f t="shared" si="140"/>
        <v>0</v>
      </c>
      <c r="AD45" s="223">
        <f t="shared" si="140"/>
        <v>0</v>
      </c>
      <c r="AE45" s="223"/>
      <c r="AF45" s="223">
        <f t="shared" si="141"/>
        <v>0</v>
      </c>
      <c r="AG45" s="223">
        <f t="shared" si="142"/>
        <v>0</v>
      </c>
      <c r="AH45" s="223">
        <f t="shared" si="142"/>
        <v>0</v>
      </c>
      <c r="AI45" s="223">
        <f t="shared" si="142"/>
        <v>0</v>
      </c>
      <c r="AJ45" s="223">
        <f t="shared" si="142"/>
        <v>0</v>
      </c>
      <c r="AK45" s="223">
        <f t="shared" si="142"/>
        <v>0</v>
      </c>
      <c r="AL45" s="223">
        <f t="shared" si="142"/>
        <v>0</v>
      </c>
      <c r="AM45" s="223">
        <f t="shared" si="142"/>
        <v>0</v>
      </c>
      <c r="AN45" s="223">
        <f t="shared" si="142"/>
        <v>0</v>
      </c>
      <c r="AO45" s="223">
        <f t="shared" si="142"/>
        <v>0</v>
      </c>
      <c r="AP45" s="223">
        <f t="shared" si="142"/>
        <v>0</v>
      </c>
      <c r="AQ45" s="223">
        <f t="shared" si="142"/>
        <v>0</v>
      </c>
      <c r="AR45" s="223"/>
      <c r="AS45" s="223">
        <f t="shared" si="143"/>
        <v>0</v>
      </c>
      <c r="AT45" s="223">
        <f t="shared" si="144"/>
        <v>0</v>
      </c>
      <c r="AU45" s="223">
        <f t="shared" si="144"/>
        <v>0</v>
      </c>
      <c r="AV45" s="223">
        <f t="shared" si="144"/>
        <v>0</v>
      </c>
      <c r="AW45" s="223">
        <f t="shared" si="144"/>
        <v>0</v>
      </c>
      <c r="AX45" s="223">
        <f t="shared" si="144"/>
        <v>0</v>
      </c>
      <c r="AY45" s="223">
        <f t="shared" si="144"/>
        <v>0</v>
      </c>
      <c r="AZ45" s="223">
        <f t="shared" si="144"/>
        <v>0</v>
      </c>
      <c r="BA45" s="223">
        <f t="shared" si="144"/>
        <v>0</v>
      </c>
      <c r="BB45" s="223">
        <f t="shared" si="144"/>
        <v>0</v>
      </c>
      <c r="BC45" s="223">
        <f t="shared" si="144"/>
        <v>0</v>
      </c>
      <c r="BD45" s="223">
        <f t="shared" si="144"/>
        <v>0</v>
      </c>
      <c r="BE45" s="223"/>
      <c r="BF45" s="223">
        <f t="shared" si="145"/>
        <v>0</v>
      </c>
      <c r="BG45" s="223">
        <f t="shared" si="146"/>
        <v>0</v>
      </c>
      <c r="BH45" s="223">
        <f t="shared" si="146"/>
        <v>0</v>
      </c>
      <c r="BI45" s="223">
        <f t="shared" si="146"/>
        <v>0</v>
      </c>
      <c r="BJ45" s="223">
        <f t="shared" si="146"/>
        <v>0</v>
      </c>
      <c r="BK45" s="223">
        <f t="shared" si="146"/>
        <v>0</v>
      </c>
      <c r="BL45" s="223">
        <f t="shared" si="146"/>
        <v>0</v>
      </c>
      <c r="BM45" s="223">
        <f t="shared" si="146"/>
        <v>0</v>
      </c>
      <c r="BN45" s="223">
        <f t="shared" si="146"/>
        <v>0</v>
      </c>
      <c r="BO45" s="223">
        <f t="shared" si="146"/>
        <v>0</v>
      </c>
      <c r="BP45" s="223">
        <f t="shared" si="146"/>
        <v>0</v>
      </c>
      <c r="BQ45" s="223">
        <f t="shared" si="146"/>
        <v>0</v>
      </c>
      <c r="BR45" s="223"/>
      <c r="BS45" s="223">
        <f t="shared" si="147"/>
        <v>0</v>
      </c>
      <c r="BT45" s="223">
        <f t="shared" si="148"/>
        <v>0</v>
      </c>
      <c r="BU45" s="223">
        <f t="shared" si="148"/>
        <v>0</v>
      </c>
      <c r="BV45" s="223">
        <f t="shared" si="148"/>
        <v>0</v>
      </c>
      <c r="BW45" s="223">
        <f t="shared" si="148"/>
        <v>0</v>
      </c>
      <c r="BX45" s="223">
        <f t="shared" si="148"/>
        <v>0</v>
      </c>
      <c r="BY45" s="223">
        <f t="shared" si="148"/>
        <v>0</v>
      </c>
      <c r="BZ45" s="223">
        <f t="shared" si="148"/>
        <v>0</v>
      </c>
      <c r="CA45" s="223">
        <f t="shared" si="148"/>
        <v>0</v>
      </c>
      <c r="CB45" s="223">
        <f t="shared" si="148"/>
        <v>0</v>
      </c>
      <c r="CC45" s="223">
        <f t="shared" si="148"/>
        <v>0</v>
      </c>
      <c r="CD45" s="223">
        <f t="shared" si="148"/>
        <v>0</v>
      </c>
      <c r="CE45" s="389"/>
      <c r="CF45" s="223">
        <f t="shared" si="149"/>
        <v>0</v>
      </c>
      <c r="CG45" s="223">
        <f t="shared" si="150"/>
        <v>0</v>
      </c>
      <c r="CH45" s="223">
        <f t="shared" si="151"/>
        <v>0</v>
      </c>
      <c r="CI45" s="223">
        <f t="shared" si="152"/>
        <v>0</v>
      </c>
      <c r="CJ45" s="223">
        <f t="shared" si="153"/>
        <v>0</v>
      </c>
      <c r="CK45" s="223">
        <f t="shared" si="154"/>
        <v>0</v>
      </c>
      <c r="CL45" s="223">
        <f t="shared" si="155"/>
        <v>0</v>
      </c>
      <c r="CM45" s="223">
        <f t="shared" si="156"/>
        <v>0</v>
      </c>
      <c r="CN45" s="223">
        <f t="shared" si="157"/>
        <v>0</v>
      </c>
      <c r="CO45" s="223">
        <f t="shared" si="158"/>
        <v>0</v>
      </c>
      <c r="CP45" s="223">
        <f t="shared" si="159"/>
        <v>0</v>
      </c>
      <c r="CQ45" s="223">
        <f t="shared" si="160"/>
        <v>0</v>
      </c>
      <c r="CR45" s="389"/>
      <c r="CS45" s="223">
        <f t="shared" si="161"/>
        <v>0</v>
      </c>
      <c r="CT45" s="223">
        <f t="shared" si="162"/>
        <v>0</v>
      </c>
      <c r="CU45" s="223">
        <f t="shared" si="163"/>
        <v>0</v>
      </c>
      <c r="CV45" s="223">
        <f t="shared" si="164"/>
        <v>0</v>
      </c>
      <c r="CW45" s="223">
        <f t="shared" si="165"/>
        <v>0</v>
      </c>
      <c r="CX45" s="223">
        <f t="shared" si="166"/>
        <v>0</v>
      </c>
      <c r="CY45" s="223">
        <f t="shared" si="167"/>
        <v>0</v>
      </c>
      <c r="CZ45" s="223">
        <f t="shared" si="168"/>
        <v>0</v>
      </c>
      <c r="DA45" s="223">
        <f t="shared" si="169"/>
        <v>0</v>
      </c>
      <c r="DB45" s="223">
        <f t="shared" si="170"/>
        <v>0</v>
      </c>
      <c r="DC45" s="223">
        <f t="shared" si="171"/>
        <v>0</v>
      </c>
      <c r="DD45" s="223">
        <f t="shared" si="172"/>
        <v>0</v>
      </c>
      <c r="DE45" s="389"/>
      <c r="DF45" s="223">
        <f t="shared" si="173"/>
        <v>0</v>
      </c>
      <c r="DG45" s="223">
        <f t="shared" si="174"/>
        <v>0</v>
      </c>
      <c r="DH45" s="223">
        <f t="shared" si="175"/>
        <v>0</v>
      </c>
      <c r="DI45" s="223">
        <f t="shared" si="176"/>
        <v>0</v>
      </c>
      <c r="DJ45" s="223">
        <f t="shared" si="177"/>
        <v>0</v>
      </c>
      <c r="DK45" s="223">
        <f t="shared" si="178"/>
        <v>0</v>
      </c>
      <c r="DL45" s="223">
        <f t="shared" si="179"/>
        <v>0</v>
      </c>
      <c r="DM45" s="223">
        <f t="shared" si="180"/>
        <v>0</v>
      </c>
      <c r="DN45" s="223">
        <f t="shared" si="181"/>
        <v>0</v>
      </c>
      <c r="DO45" s="223">
        <f t="shared" si="182"/>
        <v>0</v>
      </c>
      <c r="DP45" s="223">
        <f t="shared" si="183"/>
        <v>0</v>
      </c>
      <c r="DQ45" s="223">
        <f t="shared" si="184"/>
        <v>0</v>
      </c>
      <c r="DR45" s="389"/>
      <c r="DS45" s="31">
        <f t="shared" si="185"/>
        <v>0</v>
      </c>
      <c r="DT45" s="390"/>
      <c r="DU45" s="9"/>
      <c r="DV45" s="8"/>
      <c r="DW45" s="7"/>
      <c r="DX45" s="7"/>
      <c r="DY45" s="7"/>
      <c r="DZ45" s="7"/>
      <c r="EA45" s="7"/>
      <c r="EB45" s="7"/>
      <c r="EC45" s="7"/>
    </row>
    <row r="46" spans="1:133">
      <c r="A46" s="1">
        <v>2</v>
      </c>
      <c r="B46" s="1">
        <v>4</v>
      </c>
      <c r="C46" s="57" t="str">
        <f t="shared" si="186"/>
        <v>///</v>
      </c>
      <c r="D46" s="57">
        <f t="shared" si="187"/>
        <v>0</v>
      </c>
      <c r="E46" s="62">
        <f t="shared" si="186"/>
        <v>0</v>
      </c>
      <c r="F46" s="223"/>
      <c r="G46" s="223">
        <f t="shared" si="139"/>
        <v>0</v>
      </c>
      <c r="H46" s="223">
        <f t="shared" si="139"/>
        <v>0</v>
      </c>
      <c r="I46" s="223">
        <f t="shared" si="139"/>
        <v>0</v>
      </c>
      <c r="J46" s="223">
        <f t="shared" si="139"/>
        <v>0</v>
      </c>
      <c r="K46" s="223">
        <f t="shared" si="139"/>
        <v>0</v>
      </c>
      <c r="L46" s="223">
        <f t="shared" si="139"/>
        <v>0</v>
      </c>
      <c r="M46" s="223">
        <f t="shared" si="139"/>
        <v>0</v>
      </c>
      <c r="N46" s="223">
        <f t="shared" si="139"/>
        <v>0</v>
      </c>
      <c r="O46" s="223">
        <f t="shared" si="139"/>
        <v>0</v>
      </c>
      <c r="P46" s="223">
        <f t="shared" si="139"/>
        <v>0</v>
      </c>
      <c r="Q46" s="223">
        <f t="shared" si="139"/>
        <v>0</v>
      </c>
      <c r="R46" s="223"/>
      <c r="S46" s="223">
        <f t="shared" si="188"/>
        <v>0</v>
      </c>
      <c r="T46" s="223">
        <f t="shared" si="140"/>
        <v>0</v>
      </c>
      <c r="U46" s="223">
        <f t="shared" si="140"/>
        <v>0</v>
      </c>
      <c r="V46" s="223">
        <f t="shared" si="140"/>
        <v>0</v>
      </c>
      <c r="W46" s="223">
        <f t="shared" si="140"/>
        <v>0</v>
      </c>
      <c r="X46" s="223">
        <f t="shared" si="140"/>
        <v>0</v>
      </c>
      <c r="Y46" s="223">
        <f t="shared" si="140"/>
        <v>0</v>
      </c>
      <c r="Z46" s="223">
        <f t="shared" si="140"/>
        <v>0</v>
      </c>
      <c r="AA46" s="223">
        <f t="shared" si="140"/>
        <v>0</v>
      </c>
      <c r="AB46" s="223">
        <f t="shared" si="140"/>
        <v>0</v>
      </c>
      <c r="AC46" s="223">
        <f t="shared" si="140"/>
        <v>0</v>
      </c>
      <c r="AD46" s="223">
        <f t="shared" si="140"/>
        <v>0</v>
      </c>
      <c r="AE46" s="223"/>
      <c r="AF46" s="223">
        <f t="shared" si="141"/>
        <v>0</v>
      </c>
      <c r="AG46" s="223">
        <f t="shared" si="142"/>
        <v>0</v>
      </c>
      <c r="AH46" s="223">
        <f t="shared" si="142"/>
        <v>0</v>
      </c>
      <c r="AI46" s="223">
        <f t="shared" si="142"/>
        <v>0</v>
      </c>
      <c r="AJ46" s="223">
        <f t="shared" si="142"/>
        <v>0</v>
      </c>
      <c r="AK46" s="223">
        <f t="shared" si="142"/>
        <v>0</v>
      </c>
      <c r="AL46" s="223">
        <f t="shared" si="142"/>
        <v>0</v>
      </c>
      <c r="AM46" s="223">
        <f t="shared" si="142"/>
        <v>0</v>
      </c>
      <c r="AN46" s="223">
        <f t="shared" si="142"/>
        <v>0</v>
      </c>
      <c r="AO46" s="223">
        <f t="shared" si="142"/>
        <v>0</v>
      </c>
      <c r="AP46" s="223">
        <f t="shared" si="142"/>
        <v>0</v>
      </c>
      <c r="AQ46" s="223">
        <f t="shared" si="142"/>
        <v>0</v>
      </c>
      <c r="AR46" s="223"/>
      <c r="AS46" s="223">
        <f t="shared" si="143"/>
        <v>0</v>
      </c>
      <c r="AT46" s="223">
        <f t="shared" si="144"/>
        <v>0</v>
      </c>
      <c r="AU46" s="223">
        <f t="shared" si="144"/>
        <v>0</v>
      </c>
      <c r="AV46" s="223">
        <f t="shared" si="144"/>
        <v>0</v>
      </c>
      <c r="AW46" s="223">
        <f t="shared" si="144"/>
        <v>0</v>
      </c>
      <c r="AX46" s="223">
        <f t="shared" si="144"/>
        <v>0</v>
      </c>
      <c r="AY46" s="223">
        <f t="shared" si="144"/>
        <v>0</v>
      </c>
      <c r="AZ46" s="223">
        <f t="shared" si="144"/>
        <v>0</v>
      </c>
      <c r="BA46" s="223">
        <f t="shared" si="144"/>
        <v>0</v>
      </c>
      <c r="BB46" s="223">
        <f t="shared" si="144"/>
        <v>0</v>
      </c>
      <c r="BC46" s="223">
        <f t="shared" si="144"/>
        <v>0</v>
      </c>
      <c r="BD46" s="223">
        <f t="shared" si="144"/>
        <v>0</v>
      </c>
      <c r="BE46" s="223"/>
      <c r="BF46" s="223">
        <f t="shared" si="145"/>
        <v>0</v>
      </c>
      <c r="BG46" s="223">
        <f t="shared" si="146"/>
        <v>0</v>
      </c>
      <c r="BH46" s="223">
        <f t="shared" si="146"/>
        <v>0</v>
      </c>
      <c r="BI46" s="223">
        <f t="shared" si="146"/>
        <v>0</v>
      </c>
      <c r="BJ46" s="223">
        <f t="shared" si="146"/>
        <v>0</v>
      </c>
      <c r="BK46" s="223">
        <f t="shared" si="146"/>
        <v>0</v>
      </c>
      <c r="BL46" s="223">
        <f t="shared" si="146"/>
        <v>0</v>
      </c>
      <c r="BM46" s="223">
        <f t="shared" si="146"/>
        <v>0</v>
      </c>
      <c r="BN46" s="223">
        <f t="shared" si="146"/>
        <v>0</v>
      </c>
      <c r="BO46" s="223">
        <f t="shared" si="146"/>
        <v>0</v>
      </c>
      <c r="BP46" s="223">
        <f t="shared" si="146"/>
        <v>0</v>
      </c>
      <c r="BQ46" s="223">
        <f t="shared" si="146"/>
        <v>0</v>
      </c>
      <c r="BR46" s="223"/>
      <c r="BS46" s="223">
        <f t="shared" si="147"/>
        <v>0</v>
      </c>
      <c r="BT46" s="223">
        <f t="shared" si="148"/>
        <v>0</v>
      </c>
      <c r="BU46" s="223">
        <f t="shared" si="148"/>
        <v>0</v>
      </c>
      <c r="BV46" s="223">
        <f t="shared" si="148"/>
        <v>0</v>
      </c>
      <c r="BW46" s="223">
        <f t="shared" si="148"/>
        <v>0</v>
      </c>
      <c r="BX46" s="223">
        <f t="shared" si="148"/>
        <v>0</v>
      </c>
      <c r="BY46" s="223">
        <f t="shared" si="148"/>
        <v>0</v>
      </c>
      <c r="BZ46" s="223">
        <f t="shared" si="148"/>
        <v>0</v>
      </c>
      <c r="CA46" s="223">
        <f t="shared" si="148"/>
        <v>0</v>
      </c>
      <c r="CB46" s="223">
        <f t="shared" si="148"/>
        <v>0</v>
      </c>
      <c r="CC46" s="223">
        <f t="shared" si="148"/>
        <v>0</v>
      </c>
      <c r="CD46" s="223">
        <f t="shared" si="148"/>
        <v>0</v>
      </c>
      <c r="CE46" s="389"/>
      <c r="CF46" s="223">
        <f t="shared" si="149"/>
        <v>0</v>
      </c>
      <c r="CG46" s="223">
        <f t="shared" si="150"/>
        <v>0</v>
      </c>
      <c r="CH46" s="223">
        <f t="shared" si="151"/>
        <v>0</v>
      </c>
      <c r="CI46" s="223">
        <f t="shared" si="152"/>
        <v>0</v>
      </c>
      <c r="CJ46" s="223">
        <f t="shared" si="153"/>
        <v>0</v>
      </c>
      <c r="CK46" s="223">
        <f t="shared" si="154"/>
        <v>0</v>
      </c>
      <c r="CL46" s="223">
        <f t="shared" si="155"/>
        <v>0</v>
      </c>
      <c r="CM46" s="223">
        <f t="shared" si="156"/>
        <v>0</v>
      </c>
      <c r="CN46" s="223">
        <f t="shared" si="157"/>
        <v>0</v>
      </c>
      <c r="CO46" s="223">
        <f t="shared" si="158"/>
        <v>0</v>
      </c>
      <c r="CP46" s="223">
        <f t="shared" si="159"/>
        <v>0</v>
      </c>
      <c r="CQ46" s="223">
        <f t="shared" si="160"/>
        <v>0</v>
      </c>
      <c r="CR46" s="389"/>
      <c r="CS46" s="223">
        <f t="shared" si="161"/>
        <v>0</v>
      </c>
      <c r="CT46" s="223">
        <f t="shared" si="162"/>
        <v>0</v>
      </c>
      <c r="CU46" s="223">
        <f t="shared" si="163"/>
        <v>0</v>
      </c>
      <c r="CV46" s="223">
        <f t="shared" si="164"/>
        <v>0</v>
      </c>
      <c r="CW46" s="223">
        <f t="shared" si="165"/>
        <v>0</v>
      </c>
      <c r="CX46" s="223">
        <f t="shared" si="166"/>
        <v>0</v>
      </c>
      <c r="CY46" s="223">
        <f t="shared" si="167"/>
        <v>0</v>
      </c>
      <c r="CZ46" s="223">
        <f t="shared" si="168"/>
        <v>0</v>
      </c>
      <c r="DA46" s="223">
        <f t="shared" si="169"/>
        <v>0</v>
      </c>
      <c r="DB46" s="223">
        <f t="shared" si="170"/>
        <v>0</v>
      </c>
      <c r="DC46" s="223">
        <f t="shared" si="171"/>
        <v>0</v>
      </c>
      <c r="DD46" s="223">
        <f t="shared" si="172"/>
        <v>0</v>
      </c>
      <c r="DE46" s="389"/>
      <c r="DF46" s="223">
        <f t="shared" si="173"/>
        <v>0</v>
      </c>
      <c r="DG46" s="223">
        <f t="shared" si="174"/>
        <v>0</v>
      </c>
      <c r="DH46" s="223">
        <f t="shared" si="175"/>
        <v>0</v>
      </c>
      <c r="DI46" s="223">
        <f t="shared" si="176"/>
        <v>0</v>
      </c>
      <c r="DJ46" s="223">
        <f t="shared" si="177"/>
        <v>0</v>
      </c>
      <c r="DK46" s="223">
        <f t="shared" si="178"/>
        <v>0</v>
      </c>
      <c r="DL46" s="223">
        <f t="shared" si="179"/>
        <v>0</v>
      </c>
      <c r="DM46" s="223">
        <f t="shared" si="180"/>
        <v>0</v>
      </c>
      <c r="DN46" s="223">
        <f t="shared" si="181"/>
        <v>0</v>
      </c>
      <c r="DO46" s="223">
        <f t="shared" si="182"/>
        <v>0</v>
      </c>
      <c r="DP46" s="223">
        <f t="shared" si="183"/>
        <v>0</v>
      </c>
      <c r="DQ46" s="223">
        <f t="shared" si="184"/>
        <v>0</v>
      </c>
      <c r="DR46" s="389"/>
      <c r="DS46" s="31">
        <f t="shared" si="185"/>
        <v>0</v>
      </c>
      <c r="DT46" s="390"/>
      <c r="DU46" s="9"/>
      <c r="DV46" s="8"/>
      <c r="DW46" s="7"/>
      <c r="DX46" s="7"/>
      <c r="DY46" s="7"/>
      <c r="DZ46" s="7"/>
      <c r="EA46" s="7"/>
      <c r="EB46" s="7"/>
      <c r="EC46" s="7"/>
    </row>
    <row r="47" spans="1:133">
      <c r="C47" s="57" t="str">
        <f t="shared" si="186"/>
        <v>///</v>
      </c>
      <c r="D47" s="57">
        <f t="shared" si="187"/>
        <v>0</v>
      </c>
      <c r="E47" s="62">
        <f t="shared" si="186"/>
        <v>0</v>
      </c>
      <c r="F47" s="223"/>
      <c r="G47" s="223">
        <f t="shared" si="139"/>
        <v>0</v>
      </c>
      <c r="H47" s="223">
        <f t="shared" si="139"/>
        <v>0</v>
      </c>
      <c r="I47" s="223">
        <f t="shared" si="139"/>
        <v>0</v>
      </c>
      <c r="J47" s="223">
        <f t="shared" si="139"/>
        <v>0</v>
      </c>
      <c r="K47" s="223">
        <f t="shared" si="139"/>
        <v>0</v>
      </c>
      <c r="L47" s="223">
        <f t="shared" si="139"/>
        <v>0</v>
      </c>
      <c r="M47" s="223">
        <f t="shared" si="139"/>
        <v>0</v>
      </c>
      <c r="N47" s="223">
        <f t="shared" si="139"/>
        <v>0</v>
      </c>
      <c r="O47" s="223">
        <f t="shared" si="139"/>
        <v>0</v>
      </c>
      <c r="P47" s="223">
        <f t="shared" si="139"/>
        <v>0</v>
      </c>
      <c r="Q47" s="223">
        <f t="shared" si="139"/>
        <v>0</v>
      </c>
      <c r="R47" s="223"/>
      <c r="S47" s="223">
        <f t="shared" si="188"/>
        <v>0</v>
      </c>
      <c r="T47" s="223">
        <f t="shared" si="140"/>
        <v>0</v>
      </c>
      <c r="U47" s="223">
        <f t="shared" si="140"/>
        <v>0</v>
      </c>
      <c r="V47" s="223">
        <f t="shared" si="140"/>
        <v>0</v>
      </c>
      <c r="W47" s="223">
        <f t="shared" si="140"/>
        <v>0</v>
      </c>
      <c r="X47" s="223">
        <f t="shared" si="140"/>
        <v>0</v>
      </c>
      <c r="Y47" s="223">
        <f t="shared" si="140"/>
        <v>0</v>
      </c>
      <c r="Z47" s="223">
        <f t="shared" si="140"/>
        <v>0</v>
      </c>
      <c r="AA47" s="223">
        <f t="shared" si="140"/>
        <v>0</v>
      </c>
      <c r="AB47" s="223">
        <f t="shared" si="140"/>
        <v>0</v>
      </c>
      <c r="AC47" s="223">
        <f t="shared" si="140"/>
        <v>0</v>
      </c>
      <c r="AD47" s="223">
        <f t="shared" si="140"/>
        <v>0</v>
      </c>
      <c r="AE47" s="223"/>
      <c r="AF47" s="223">
        <f t="shared" si="141"/>
        <v>0</v>
      </c>
      <c r="AG47" s="223">
        <f t="shared" si="142"/>
        <v>0</v>
      </c>
      <c r="AH47" s="223">
        <f t="shared" si="142"/>
        <v>0</v>
      </c>
      <c r="AI47" s="223">
        <f t="shared" si="142"/>
        <v>0</v>
      </c>
      <c r="AJ47" s="223">
        <f t="shared" si="142"/>
        <v>0</v>
      </c>
      <c r="AK47" s="223">
        <f t="shared" si="142"/>
        <v>0</v>
      </c>
      <c r="AL47" s="223">
        <f t="shared" si="142"/>
        <v>0</v>
      </c>
      <c r="AM47" s="223">
        <f t="shared" si="142"/>
        <v>0</v>
      </c>
      <c r="AN47" s="223">
        <f t="shared" si="142"/>
        <v>0</v>
      </c>
      <c r="AO47" s="223">
        <f t="shared" si="142"/>
        <v>0</v>
      </c>
      <c r="AP47" s="223">
        <f t="shared" si="142"/>
        <v>0</v>
      </c>
      <c r="AQ47" s="223">
        <f t="shared" si="142"/>
        <v>0</v>
      </c>
      <c r="AR47" s="223"/>
      <c r="AS47" s="223">
        <f t="shared" si="143"/>
        <v>0</v>
      </c>
      <c r="AT47" s="223">
        <f t="shared" si="144"/>
        <v>0</v>
      </c>
      <c r="AU47" s="223">
        <f t="shared" si="144"/>
        <v>0</v>
      </c>
      <c r="AV47" s="223">
        <f t="shared" si="144"/>
        <v>0</v>
      </c>
      <c r="AW47" s="223">
        <f t="shared" si="144"/>
        <v>0</v>
      </c>
      <c r="AX47" s="223">
        <f t="shared" si="144"/>
        <v>0</v>
      </c>
      <c r="AY47" s="223">
        <f t="shared" si="144"/>
        <v>0</v>
      </c>
      <c r="AZ47" s="223">
        <f t="shared" si="144"/>
        <v>0</v>
      </c>
      <c r="BA47" s="223">
        <f t="shared" si="144"/>
        <v>0</v>
      </c>
      <c r="BB47" s="223">
        <f t="shared" si="144"/>
        <v>0</v>
      </c>
      <c r="BC47" s="223">
        <f t="shared" si="144"/>
        <v>0</v>
      </c>
      <c r="BD47" s="223">
        <f t="shared" si="144"/>
        <v>0</v>
      </c>
      <c r="BE47" s="223"/>
      <c r="BF47" s="223">
        <f t="shared" si="145"/>
        <v>0</v>
      </c>
      <c r="BG47" s="223">
        <f t="shared" si="146"/>
        <v>0</v>
      </c>
      <c r="BH47" s="223">
        <f t="shared" si="146"/>
        <v>0</v>
      </c>
      <c r="BI47" s="223">
        <f t="shared" si="146"/>
        <v>0</v>
      </c>
      <c r="BJ47" s="223">
        <f t="shared" si="146"/>
        <v>0</v>
      </c>
      <c r="BK47" s="223">
        <f t="shared" si="146"/>
        <v>0</v>
      </c>
      <c r="BL47" s="223">
        <f t="shared" si="146"/>
        <v>0</v>
      </c>
      <c r="BM47" s="223">
        <f t="shared" si="146"/>
        <v>0</v>
      </c>
      <c r="BN47" s="223">
        <f t="shared" si="146"/>
        <v>0</v>
      </c>
      <c r="BO47" s="223">
        <f t="shared" si="146"/>
        <v>0</v>
      </c>
      <c r="BP47" s="223">
        <f t="shared" si="146"/>
        <v>0</v>
      </c>
      <c r="BQ47" s="223">
        <f t="shared" si="146"/>
        <v>0</v>
      </c>
      <c r="BR47" s="223"/>
      <c r="BS47" s="223">
        <f t="shared" si="147"/>
        <v>0</v>
      </c>
      <c r="BT47" s="223">
        <f t="shared" si="148"/>
        <v>0</v>
      </c>
      <c r="BU47" s="223">
        <f t="shared" si="148"/>
        <v>0</v>
      </c>
      <c r="BV47" s="223">
        <f t="shared" si="148"/>
        <v>0</v>
      </c>
      <c r="BW47" s="223">
        <f t="shared" si="148"/>
        <v>0</v>
      </c>
      <c r="BX47" s="223">
        <f t="shared" si="148"/>
        <v>0</v>
      </c>
      <c r="BY47" s="223">
        <f t="shared" si="148"/>
        <v>0</v>
      </c>
      <c r="BZ47" s="223">
        <f t="shared" si="148"/>
        <v>0</v>
      </c>
      <c r="CA47" s="223">
        <f t="shared" si="148"/>
        <v>0</v>
      </c>
      <c r="CB47" s="223">
        <f t="shared" si="148"/>
        <v>0</v>
      </c>
      <c r="CC47" s="223">
        <f t="shared" si="148"/>
        <v>0</v>
      </c>
      <c r="CD47" s="223">
        <f t="shared" si="148"/>
        <v>0</v>
      </c>
      <c r="CE47" s="389"/>
      <c r="CF47" s="223">
        <f t="shared" si="149"/>
        <v>0</v>
      </c>
      <c r="CG47" s="223">
        <f t="shared" si="150"/>
        <v>0</v>
      </c>
      <c r="CH47" s="223">
        <f t="shared" si="151"/>
        <v>0</v>
      </c>
      <c r="CI47" s="223">
        <f t="shared" si="152"/>
        <v>0</v>
      </c>
      <c r="CJ47" s="223">
        <f t="shared" si="153"/>
        <v>0</v>
      </c>
      <c r="CK47" s="223">
        <f t="shared" si="154"/>
        <v>0</v>
      </c>
      <c r="CL47" s="223">
        <f t="shared" si="155"/>
        <v>0</v>
      </c>
      <c r="CM47" s="223">
        <f t="shared" si="156"/>
        <v>0</v>
      </c>
      <c r="CN47" s="223">
        <f t="shared" si="157"/>
        <v>0</v>
      </c>
      <c r="CO47" s="223">
        <f t="shared" si="158"/>
        <v>0</v>
      </c>
      <c r="CP47" s="223">
        <f t="shared" si="159"/>
        <v>0</v>
      </c>
      <c r="CQ47" s="223">
        <f t="shared" si="160"/>
        <v>0</v>
      </c>
      <c r="CR47" s="389"/>
      <c r="CS47" s="223">
        <f t="shared" si="161"/>
        <v>0</v>
      </c>
      <c r="CT47" s="223">
        <f t="shared" si="162"/>
        <v>0</v>
      </c>
      <c r="CU47" s="223">
        <f t="shared" si="163"/>
        <v>0</v>
      </c>
      <c r="CV47" s="223">
        <f t="shared" si="164"/>
        <v>0</v>
      </c>
      <c r="CW47" s="223">
        <f t="shared" si="165"/>
        <v>0</v>
      </c>
      <c r="CX47" s="223">
        <f t="shared" si="166"/>
        <v>0</v>
      </c>
      <c r="CY47" s="223">
        <f t="shared" si="167"/>
        <v>0</v>
      </c>
      <c r="CZ47" s="223">
        <f t="shared" si="168"/>
        <v>0</v>
      </c>
      <c r="DA47" s="223">
        <f t="shared" si="169"/>
        <v>0</v>
      </c>
      <c r="DB47" s="223">
        <f t="shared" si="170"/>
        <v>0</v>
      </c>
      <c r="DC47" s="223">
        <f t="shared" si="171"/>
        <v>0</v>
      </c>
      <c r="DD47" s="223">
        <f t="shared" si="172"/>
        <v>0</v>
      </c>
      <c r="DE47" s="389"/>
      <c r="DF47" s="223">
        <f t="shared" si="173"/>
        <v>0</v>
      </c>
      <c r="DG47" s="223">
        <f t="shared" si="174"/>
        <v>0</v>
      </c>
      <c r="DH47" s="223">
        <f t="shared" si="175"/>
        <v>0</v>
      </c>
      <c r="DI47" s="223">
        <f t="shared" si="176"/>
        <v>0</v>
      </c>
      <c r="DJ47" s="223">
        <f t="shared" si="177"/>
        <v>0</v>
      </c>
      <c r="DK47" s="223">
        <f t="shared" si="178"/>
        <v>0</v>
      </c>
      <c r="DL47" s="223">
        <f t="shared" si="179"/>
        <v>0</v>
      </c>
      <c r="DM47" s="223">
        <f t="shared" si="180"/>
        <v>0</v>
      </c>
      <c r="DN47" s="223">
        <f t="shared" si="181"/>
        <v>0</v>
      </c>
      <c r="DO47" s="223">
        <f t="shared" si="182"/>
        <v>0</v>
      </c>
      <c r="DP47" s="223">
        <f t="shared" si="183"/>
        <v>0</v>
      </c>
      <c r="DQ47" s="223">
        <f t="shared" si="184"/>
        <v>0</v>
      </c>
      <c r="DR47" s="389"/>
      <c r="DS47" s="31">
        <f t="shared" si="185"/>
        <v>0</v>
      </c>
      <c r="DT47" s="390"/>
      <c r="DU47" s="9"/>
      <c r="DV47" s="8"/>
      <c r="DW47" s="7"/>
      <c r="DX47" s="7"/>
      <c r="DY47" s="7"/>
      <c r="DZ47" s="7"/>
      <c r="EA47" s="7"/>
      <c r="EB47" s="7"/>
      <c r="EC47" s="7"/>
    </row>
    <row r="48" spans="1:133">
      <c r="A48" s="1">
        <v>2</v>
      </c>
      <c r="B48" s="1">
        <v>5</v>
      </c>
      <c r="C48" s="57" t="str">
        <f t="shared" si="186"/>
        <v>///</v>
      </c>
      <c r="D48" s="57">
        <f t="shared" si="187"/>
        <v>0</v>
      </c>
      <c r="E48" s="62">
        <f t="shared" si="186"/>
        <v>0</v>
      </c>
      <c r="F48" s="223"/>
      <c r="G48" s="223">
        <f t="shared" si="139"/>
        <v>0</v>
      </c>
      <c r="H48" s="223">
        <f t="shared" si="139"/>
        <v>0</v>
      </c>
      <c r="I48" s="223">
        <f t="shared" si="139"/>
        <v>0</v>
      </c>
      <c r="J48" s="223">
        <f t="shared" si="139"/>
        <v>0</v>
      </c>
      <c r="K48" s="223">
        <f t="shared" si="139"/>
        <v>0</v>
      </c>
      <c r="L48" s="223">
        <f t="shared" si="139"/>
        <v>0</v>
      </c>
      <c r="M48" s="223">
        <f t="shared" si="139"/>
        <v>0</v>
      </c>
      <c r="N48" s="223">
        <f t="shared" si="139"/>
        <v>0</v>
      </c>
      <c r="O48" s="223">
        <f t="shared" si="139"/>
        <v>0</v>
      </c>
      <c r="P48" s="223">
        <f t="shared" si="139"/>
        <v>0</v>
      </c>
      <c r="Q48" s="223">
        <f t="shared" si="139"/>
        <v>0</v>
      </c>
      <c r="R48" s="223"/>
      <c r="S48" s="223">
        <f t="shared" si="188"/>
        <v>0</v>
      </c>
      <c r="T48" s="223">
        <f t="shared" si="140"/>
        <v>0</v>
      </c>
      <c r="U48" s="223">
        <f t="shared" si="140"/>
        <v>0</v>
      </c>
      <c r="V48" s="223">
        <f t="shared" si="140"/>
        <v>0</v>
      </c>
      <c r="W48" s="223">
        <f t="shared" si="140"/>
        <v>0</v>
      </c>
      <c r="X48" s="223">
        <f t="shared" si="140"/>
        <v>0</v>
      </c>
      <c r="Y48" s="223">
        <f t="shared" si="140"/>
        <v>0</v>
      </c>
      <c r="Z48" s="223">
        <f t="shared" si="140"/>
        <v>0</v>
      </c>
      <c r="AA48" s="223">
        <f t="shared" si="140"/>
        <v>0</v>
      </c>
      <c r="AB48" s="223">
        <f t="shared" si="140"/>
        <v>0</v>
      </c>
      <c r="AC48" s="223">
        <f t="shared" si="140"/>
        <v>0</v>
      </c>
      <c r="AD48" s="223">
        <f t="shared" si="140"/>
        <v>0</v>
      </c>
      <c r="AE48" s="223"/>
      <c r="AF48" s="223">
        <f t="shared" si="141"/>
        <v>0</v>
      </c>
      <c r="AG48" s="223">
        <f t="shared" si="142"/>
        <v>0</v>
      </c>
      <c r="AH48" s="223">
        <f t="shared" si="142"/>
        <v>0</v>
      </c>
      <c r="AI48" s="223">
        <f t="shared" si="142"/>
        <v>0</v>
      </c>
      <c r="AJ48" s="223">
        <f t="shared" si="142"/>
        <v>0</v>
      </c>
      <c r="AK48" s="223">
        <f t="shared" si="142"/>
        <v>0</v>
      </c>
      <c r="AL48" s="223">
        <f t="shared" si="142"/>
        <v>0</v>
      </c>
      <c r="AM48" s="223">
        <f t="shared" si="142"/>
        <v>0</v>
      </c>
      <c r="AN48" s="223">
        <f t="shared" si="142"/>
        <v>0</v>
      </c>
      <c r="AO48" s="223">
        <f t="shared" si="142"/>
        <v>0</v>
      </c>
      <c r="AP48" s="223">
        <f t="shared" si="142"/>
        <v>0</v>
      </c>
      <c r="AQ48" s="223">
        <f t="shared" si="142"/>
        <v>0</v>
      </c>
      <c r="AR48" s="223"/>
      <c r="AS48" s="223">
        <f t="shared" si="143"/>
        <v>0</v>
      </c>
      <c r="AT48" s="223">
        <f t="shared" si="144"/>
        <v>0</v>
      </c>
      <c r="AU48" s="223">
        <f t="shared" si="144"/>
        <v>0</v>
      </c>
      <c r="AV48" s="223">
        <f t="shared" si="144"/>
        <v>0</v>
      </c>
      <c r="AW48" s="223">
        <f t="shared" si="144"/>
        <v>0</v>
      </c>
      <c r="AX48" s="223">
        <f t="shared" si="144"/>
        <v>0</v>
      </c>
      <c r="AY48" s="223">
        <f t="shared" si="144"/>
        <v>0</v>
      </c>
      <c r="AZ48" s="223">
        <f t="shared" si="144"/>
        <v>0</v>
      </c>
      <c r="BA48" s="223">
        <f t="shared" si="144"/>
        <v>0</v>
      </c>
      <c r="BB48" s="223">
        <f t="shared" si="144"/>
        <v>0</v>
      </c>
      <c r="BC48" s="223">
        <f t="shared" si="144"/>
        <v>0</v>
      </c>
      <c r="BD48" s="223">
        <f t="shared" si="144"/>
        <v>0</v>
      </c>
      <c r="BE48" s="223"/>
      <c r="BF48" s="223">
        <f t="shared" si="145"/>
        <v>0</v>
      </c>
      <c r="BG48" s="223">
        <f t="shared" si="146"/>
        <v>0</v>
      </c>
      <c r="BH48" s="223">
        <f t="shared" si="146"/>
        <v>0</v>
      </c>
      <c r="BI48" s="223">
        <f t="shared" si="146"/>
        <v>0</v>
      </c>
      <c r="BJ48" s="223">
        <f t="shared" si="146"/>
        <v>0</v>
      </c>
      <c r="BK48" s="223">
        <f t="shared" si="146"/>
        <v>0</v>
      </c>
      <c r="BL48" s="223">
        <f t="shared" si="146"/>
        <v>0</v>
      </c>
      <c r="BM48" s="223">
        <f t="shared" si="146"/>
        <v>0</v>
      </c>
      <c r="BN48" s="223">
        <f t="shared" si="146"/>
        <v>0</v>
      </c>
      <c r="BO48" s="223">
        <f t="shared" si="146"/>
        <v>0</v>
      </c>
      <c r="BP48" s="223">
        <f t="shared" si="146"/>
        <v>0</v>
      </c>
      <c r="BQ48" s="223">
        <f t="shared" si="146"/>
        <v>0</v>
      </c>
      <c r="BR48" s="223"/>
      <c r="BS48" s="223">
        <f t="shared" si="147"/>
        <v>0</v>
      </c>
      <c r="BT48" s="223">
        <f t="shared" si="148"/>
        <v>0</v>
      </c>
      <c r="BU48" s="223">
        <f t="shared" si="148"/>
        <v>0</v>
      </c>
      <c r="BV48" s="223">
        <f t="shared" si="148"/>
        <v>0</v>
      </c>
      <c r="BW48" s="223">
        <f t="shared" si="148"/>
        <v>0</v>
      </c>
      <c r="BX48" s="223">
        <f t="shared" si="148"/>
        <v>0</v>
      </c>
      <c r="BY48" s="223">
        <f t="shared" si="148"/>
        <v>0</v>
      </c>
      <c r="BZ48" s="223">
        <f t="shared" si="148"/>
        <v>0</v>
      </c>
      <c r="CA48" s="223">
        <f t="shared" si="148"/>
        <v>0</v>
      </c>
      <c r="CB48" s="223">
        <f t="shared" si="148"/>
        <v>0</v>
      </c>
      <c r="CC48" s="223">
        <f t="shared" si="148"/>
        <v>0</v>
      </c>
      <c r="CD48" s="223">
        <f t="shared" si="148"/>
        <v>0</v>
      </c>
      <c r="CE48" s="389"/>
      <c r="CF48" s="223">
        <f t="shared" si="149"/>
        <v>0</v>
      </c>
      <c r="CG48" s="223">
        <f t="shared" si="150"/>
        <v>0</v>
      </c>
      <c r="CH48" s="223">
        <f t="shared" si="151"/>
        <v>0</v>
      </c>
      <c r="CI48" s="223">
        <f t="shared" si="152"/>
        <v>0</v>
      </c>
      <c r="CJ48" s="223">
        <f t="shared" si="153"/>
        <v>0</v>
      </c>
      <c r="CK48" s="223">
        <f t="shared" si="154"/>
        <v>0</v>
      </c>
      <c r="CL48" s="223">
        <f t="shared" si="155"/>
        <v>0</v>
      </c>
      <c r="CM48" s="223">
        <f t="shared" si="156"/>
        <v>0</v>
      </c>
      <c r="CN48" s="223">
        <f t="shared" si="157"/>
        <v>0</v>
      </c>
      <c r="CO48" s="223">
        <f t="shared" si="158"/>
        <v>0</v>
      </c>
      <c r="CP48" s="223">
        <f t="shared" si="159"/>
        <v>0</v>
      </c>
      <c r="CQ48" s="223">
        <f t="shared" si="160"/>
        <v>0</v>
      </c>
      <c r="CR48" s="389"/>
      <c r="CS48" s="223">
        <f t="shared" si="161"/>
        <v>0</v>
      </c>
      <c r="CT48" s="223">
        <f t="shared" si="162"/>
        <v>0</v>
      </c>
      <c r="CU48" s="223">
        <f t="shared" si="163"/>
        <v>0</v>
      </c>
      <c r="CV48" s="223">
        <f t="shared" si="164"/>
        <v>0</v>
      </c>
      <c r="CW48" s="223">
        <f t="shared" si="165"/>
        <v>0</v>
      </c>
      <c r="CX48" s="223">
        <f t="shared" si="166"/>
        <v>0</v>
      </c>
      <c r="CY48" s="223">
        <f t="shared" si="167"/>
        <v>0</v>
      </c>
      <c r="CZ48" s="223">
        <f t="shared" si="168"/>
        <v>0</v>
      </c>
      <c r="DA48" s="223">
        <f t="shared" si="169"/>
        <v>0</v>
      </c>
      <c r="DB48" s="223">
        <f t="shared" si="170"/>
        <v>0</v>
      </c>
      <c r="DC48" s="223">
        <f t="shared" si="171"/>
        <v>0</v>
      </c>
      <c r="DD48" s="223">
        <f t="shared" si="172"/>
        <v>0</v>
      </c>
      <c r="DE48" s="389"/>
      <c r="DF48" s="223">
        <f t="shared" si="173"/>
        <v>0</v>
      </c>
      <c r="DG48" s="223">
        <f t="shared" si="174"/>
        <v>0</v>
      </c>
      <c r="DH48" s="223">
        <f t="shared" si="175"/>
        <v>0</v>
      </c>
      <c r="DI48" s="223">
        <f t="shared" si="176"/>
        <v>0</v>
      </c>
      <c r="DJ48" s="223">
        <f t="shared" si="177"/>
        <v>0</v>
      </c>
      <c r="DK48" s="223">
        <f t="shared" si="178"/>
        <v>0</v>
      </c>
      <c r="DL48" s="223">
        <f t="shared" si="179"/>
        <v>0</v>
      </c>
      <c r="DM48" s="223">
        <f t="shared" si="180"/>
        <v>0</v>
      </c>
      <c r="DN48" s="223">
        <f t="shared" si="181"/>
        <v>0</v>
      </c>
      <c r="DO48" s="223">
        <f t="shared" si="182"/>
        <v>0</v>
      </c>
      <c r="DP48" s="223">
        <f t="shared" si="183"/>
        <v>0</v>
      </c>
      <c r="DQ48" s="223">
        <f t="shared" si="184"/>
        <v>0</v>
      </c>
      <c r="DR48" s="389"/>
      <c r="DS48" s="31">
        <f t="shared" si="185"/>
        <v>0</v>
      </c>
      <c r="DT48" s="390"/>
      <c r="DU48" s="9"/>
      <c r="DV48" s="8"/>
      <c r="DW48" s="7"/>
      <c r="DX48" s="7"/>
      <c r="DY48" s="7"/>
      <c r="DZ48" s="7"/>
      <c r="EA48" s="7"/>
      <c r="EB48" s="7"/>
      <c r="EC48" s="7"/>
    </row>
    <row r="49" spans="1:133">
      <c r="C49" s="57" t="str">
        <f t="shared" si="186"/>
        <v>///</v>
      </c>
      <c r="D49" s="57">
        <f t="shared" si="187"/>
        <v>0</v>
      </c>
      <c r="E49" s="62">
        <f t="shared" si="186"/>
        <v>0</v>
      </c>
      <c r="F49" s="223"/>
      <c r="G49" s="223">
        <f t="shared" si="139"/>
        <v>0</v>
      </c>
      <c r="H49" s="223">
        <f t="shared" si="139"/>
        <v>0</v>
      </c>
      <c r="I49" s="223">
        <f t="shared" si="139"/>
        <v>0</v>
      </c>
      <c r="J49" s="223">
        <f t="shared" si="139"/>
        <v>0</v>
      </c>
      <c r="K49" s="223">
        <f t="shared" si="139"/>
        <v>0</v>
      </c>
      <c r="L49" s="223">
        <f t="shared" si="139"/>
        <v>0</v>
      </c>
      <c r="M49" s="223">
        <f t="shared" si="139"/>
        <v>0</v>
      </c>
      <c r="N49" s="223">
        <f t="shared" si="139"/>
        <v>0</v>
      </c>
      <c r="O49" s="223">
        <f t="shared" si="139"/>
        <v>0</v>
      </c>
      <c r="P49" s="223">
        <f t="shared" si="139"/>
        <v>0</v>
      </c>
      <c r="Q49" s="223">
        <f t="shared" si="139"/>
        <v>0</v>
      </c>
      <c r="R49" s="223"/>
      <c r="S49" s="223">
        <f t="shared" si="188"/>
        <v>0</v>
      </c>
      <c r="T49" s="223">
        <f t="shared" si="140"/>
        <v>0</v>
      </c>
      <c r="U49" s="223">
        <f t="shared" si="140"/>
        <v>0</v>
      </c>
      <c r="V49" s="223">
        <f t="shared" si="140"/>
        <v>0</v>
      </c>
      <c r="W49" s="223">
        <f t="shared" si="140"/>
        <v>0</v>
      </c>
      <c r="X49" s="223">
        <f t="shared" si="140"/>
        <v>0</v>
      </c>
      <c r="Y49" s="223">
        <f t="shared" si="140"/>
        <v>0</v>
      </c>
      <c r="Z49" s="223">
        <f t="shared" si="140"/>
        <v>0</v>
      </c>
      <c r="AA49" s="223">
        <f t="shared" si="140"/>
        <v>0</v>
      </c>
      <c r="AB49" s="223">
        <f t="shared" si="140"/>
        <v>0</v>
      </c>
      <c r="AC49" s="223">
        <f t="shared" si="140"/>
        <v>0</v>
      </c>
      <c r="AD49" s="223">
        <f t="shared" si="140"/>
        <v>0</v>
      </c>
      <c r="AE49" s="223"/>
      <c r="AF49" s="223">
        <f t="shared" si="141"/>
        <v>0</v>
      </c>
      <c r="AG49" s="223">
        <f t="shared" si="142"/>
        <v>0</v>
      </c>
      <c r="AH49" s="223">
        <f t="shared" si="142"/>
        <v>0</v>
      </c>
      <c r="AI49" s="223">
        <f t="shared" si="142"/>
        <v>0</v>
      </c>
      <c r="AJ49" s="223">
        <f t="shared" si="142"/>
        <v>0</v>
      </c>
      <c r="AK49" s="223">
        <f t="shared" si="142"/>
        <v>0</v>
      </c>
      <c r="AL49" s="223">
        <f t="shared" si="142"/>
        <v>0</v>
      </c>
      <c r="AM49" s="223">
        <f t="shared" si="142"/>
        <v>0</v>
      </c>
      <c r="AN49" s="223">
        <f t="shared" si="142"/>
        <v>0</v>
      </c>
      <c r="AO49" s="223">
        <f t="shared" si="142"/>
        <v>0</v>
      </c>
      <c r="AP49" s="223">
        <f t="shared" si="142"/>
        <v>0</v>
      </c>
      <c r="AQ49" s="223">
        <f t="shared" si="142"/>
        <v>0</v>
      </c>
      <c r="AR49" s="223"/>
      <c r="AS49" s="223">
        <f t="shared" si="143"/>
        <v>0</v>
      </c>
      <c r="AT49" s="223">
        <f t="shared" si="144"/>
        <v>0</v>
      </c>
      <c r="AU49" s="223">
        <f t="shared" si="144"/>
        <v>0</v>
      </c>
      <c r="AV49" s="223">
        <f t="shared" si="144"/>
        <v>0</v>
      </c>
      <c r="AW49" s="223">
        <f t="shared" si="144"/>
        <v>0</v>
      </c>
      <c r="AX49" s="223">
        <f t="shared" si="144"/>
        <v>0</v>
      </c>
      <c r="AY49" s="223">
        <f t="shared" si="144"/>
        <v>0</v>
      </c>
      <c r="AZ49" s="223">
        <f t="shared" si="144"/>
        <v>0</v>
      </c>
      <c r="BA49" s="223">
        <f t="shared" si="144"/>
        <v>0</v>
      </c>
      <c r="BB49" s="223">
        <f t="shared" si="144"/>
        <v>0</v>
      </c>
      <c r="BC49" s="223">
        <f t="shared" si="144"/>
        <v>0</v>
      </c>
      <c r="BD49" s="223">
        <f t="shared" si="144"/>
        <v>0</v>
      </c>
      <c r="BE49" s="223"/>
      <c r="BF49" s="223">
        <f t="shared" si="145"/>
        <v>0</v>
      </c>
      <c r="BG49" s="223">
        <f t="shared" si="146"/>
        <v>0</v>
      </c>
      <c r="BH49" s="223">
        <f t="shared" si="146"/>
        <v>0</v>
      </c>
      <c r="BI49" s="223">
        <f t="shared" si="146"/>
        <v>0</v>
      </c>
      <c r="BJ49" s="223">
        <f t="shared" si="146"/>
        <v>0</v>
      </c>
      <c r="BK49" s="223">
        <f t="shared" si="146"/>
        <v>0</v>
      </c>
      <c r="BL49" s="223">
        <f t="shared" si="146"/>
        <v>0</v>
      </c>
      <c r="BM49" s="223">
        <f t="shared" si="146"/>
        <v>0</v>
      </c>
      <c r="BN49" s="223">
        <f t="shared" si="146"/>
        <v>0</v>
      </c>
      <c r="BO49" s="223">
        <f t="shared" si="146"/>
        <v>0</v>
      </c>
      <c r="BP49" s="223">
        <f t="shared" si="146"/>
        <v>0</v>
      </c>
      <c r="BQ49" s="223">
        <f t="shared" si="146"/>
        <v>0</v>
      </c>
      <c r="BR49" s="223"/>
      <c r="BS49" s="223">
        <f t="shared" si="147"/>
        <v>0</v>
      </c>
      <c r="BT49" s="223">
        <f t="shared" si="148"/>
        <v>0</v>
      </c>
      <c r="BU49" s="223">
        <f t="shared" si="148"/>
        <v>0</v>
      </c>
      <c r="BV49" s="223">
        <f t="shared" si="148"/>
        <v>0</v>
      </c>
      <c r="BW49" s="223">
        <f t="shared" si="148"/>
        <v>0</v>
      </c>
      <c r="BX49" s="223">
        <f t="shared" si="148"/>
        <v>0</v>
      </c>
      <c r="BY49" s="223">
        <f t="shared" si="148"/>
        <v>0</v>
      </c>
      <c r="BZ49" s="223">
        <f t="shared" si="148"/>
        <v>0</v>
      </c>
      <c r="CA49" s="223">
        <f t="shared" si="148"/>
        <v>0</v>
      </c>
      <c r="CB49" s="223">
        <f t="shared" si="148"/>
        <v>0</v>
      </c>
      <c r="CC49" s="223">
        <f t="shared" si="148"/>
        <v>0</v>
      </c>
      <c r="CD49" s="223">
        <f t="shared" si="148"/>
        <v>0</v>
      </c>
      <c r="CE49" s="389"/>
      <c r="CF49" s="223">
        <f t="shared" si="149"/>
        <v>0</v>
      </c>
      <c r="CG49" s="223">
        <f t="shared" si="150"/>
        <v>0</v>
      </c>
      <c r="CH49" s="223">
        <f t="shared" si="151"/>
        <v>0</v>
      </c>
      <c r="CI49" s="223">
        <f t="shared" si="152"/>
        <v>0</v>
      </c>
      <c r="CJ49" s="223">
        <f t="shared" si="153"/>
        <v>0</v>
      </c>
      <c r="CK49" s="223">
        <f t="shared" si="154"/>
        <v>0</v>
      </c>
      <c r="CL49" s="223">
        <f t="shared" si="155"/>
        <v>0</v>
      </c>
      <c r="CM49" s="223">
        <f t="shared" si="156"/>
        <v>0</v>
      </c>
      <c r="CN49" s="223">
        <f t="shared" si="157"/>
        <v>0</v>
      </c>
      <c r="CO49" s="223">
        <f t="shared" si="158"/>
        <v>0</v>
      </c>
      <c r="CP49" s="223">
        <f t="shared" si="159"/>
        <v>0</v>
      </c>
      <c r="CQ49" s="223">
        <f t="shared" si="160"/>
        <v>0</v>
      </c>
      <c r="CR49" s="389"/>
      <c r="CS49" s="223">
        <f t="shared" si="161"/>
        <v>0</v>
      </c>
      <c r="CT49" s="223">
        <f t="shared" si="162"/>
        <v>0</v>
      </c>
      <c r="CU49" s="223">
        <f t="shared" si="163"/>
        <v>0</v>
      </c>
      <c r="CV49" s="223">
        <f t="shared" si="164"/>
        <v>0</v>
      </c>
      <c r="CW49" s="223">
        <f t="shared" si="165"/>
        <v>0</v>
      </c>
      <c r="CX49" s="223">
        <f t="shared" si="166"/>
        <v>0</v>
      </c>
      <c r="CY49" s="223">
        <f t="shared" si="167"/>
        <v>0</v>
      </c>
      <c r="CZ49" s="223">
        <f t="shared" si="168"/>
        <v>0</v>
      </c>
      <c r="DA49" s="223">
        <f t="shared" si="169"/>
        <v>0</v>
      </c>
      <c r="DB49" s="223">
        <f t="shared" si="170"/>
        <v>0</v>
      </c>
      <c r="DC49" s="223">
        <f t="shared" si="171"/>
        <v>0</v>
      </c>
      <c r="DD49" s="223">
        <f t="shared" si="172"/>
        <v>0</v>
      </c>
      <c r="DE49" s="389"/>
      <c r="DF49" s="223">
        <f t="shared" si="173"/>
        <v>0</v>
      </c>
      <c r="DG49" s="223">
        <f t="shared" si="174"/>
        <v>0</v>
      </c>
      <c r="DH49" s="223">
        <f t="shared" si="175"/>
        <v>0</v>
      </c>
      <c r="DI49" s="223">
        <f t="shared" si="176"/>
        <v>0</v>
      </c>
      <c r="DJ49" s="223">
        <f t="shared" si="177"/>
        <v>0</v>
      </c>
      <c r="DK49" s="223">
        <f t="shared" si="178"/>
        <v>0</v>
      </c>
      <c r="DL49" s="223">
        <f t="shared" si="179"/>
        <v>0</v>
      </c>
      <c r="DM49" s="223">
        <f t="shared" si="180"/>
        <v>0</v>
      </c>
      <c r="DN49" s="223">
        <f t="shared" si="181"/>
        <v>0</v>
      </c>
      <c r="DO49" s="223">
        <f t="shared" si="182"/>
        <v>0</v>
      </c>
      <c r="DP49" s="223">
        <f t="shared" si="183"/>
        <v>0</v>
      </c>
      <c r="DQ49" s="223">
        <f t="shared" si="184"/>
        <v>0</v>
      </c>
      <c r="DR49" s="389"/>
      <c r="DS49" s="31">
        <f t="shared" si="185"/>
        <v>0</v>
      </c>
      <c r="DT49" s="390"/>
      <c r="DU49" s="9"/>
      <c r="DV49" s="8"/>
      <c r="DW49" s="7"/>
      <c r="DX49" s="7"/>
      <c r="DY49" s="7"/>
      <c r="DZ49" s="7"/>
      <c r="EA49" s="7"/>
      <c r="EB49" s="7"/>
      <c r="EC49" s="7"/>
    </row>
    <row r="50" spans="1:133">
      <c r="C50" s="57" t="str">
        <f t="shared" si="186"/>
        <v>///</v>
      </c>
      <c r="D50" s="57">
        <f t="shared" si="187"/>
        <v>0</v>
      </c>
      <c r="E50" s="62">
        <f t="shared" si="186"/>
        <v>0</v>
      </c>
      <c r="F50" s="223"/>
      <c r="G50" s="223">
        <f t="shared" si="139"/>
        <v>0</v>
      </c>
      <c r="H50" s="223">
        <f t="shared" si="139"/>
        <v>0</v>
      </c>
      <c r="I50" s="223">
        <f t="shared" si="139"/>
        <v>0</v>
      </c>
      <c r="J50" s="223">
        <f t="shared" si="139"/>
        <v>0</v>
      </c>
      <c r="K50" s="223">
        <f t="shared" si="139"/>
        <v>0</v>
      </c>
      <c r="L50" s="223">
        <f t="shared" si="139"/>
        <v>0</v>
      </c>
      <c r="M50" s="223">
        <f t="shared" si="139"/>
        <v>0</v>
      </c>
      <c r="N50" s="223">
        <f t="shared" si="139"/>
        <v>0</v>
      </c>
      <c r="O50" s="223">
        <f t="shared" si="139"/>
        <v>0</v>
      </c>
      <c r="P50" s="223">
        <f t="shared" si="139"/>
        <v>0</v>
      </c>
      <c r="Q50" s="223">
        <f t="shared" si="139"/>
        <v>0</v>
      </c>
      <c r="R50" s="223"/>
      <c r="S50" s="223">
        <f t="shared" si="188"/>
        <v>0</v>
      </c>
      <c r="T50" s="223">
        <f t="shared" si="140"/>
        <v>0</v>
      </c>
      <c r="U50" s="223">
        <f t="shared" si="140"/>
        <v>0</v>
      </c>
      <c r="V50" s="223">
        <f t="shared" si="140"/>
        <v>0</v>
      </c>
      <c r="W50" s="223">
        <f t="shared" si="140"/>
        <v>0</v>
      </c>
      <c r="X50" s="223">
        <f t="shared" si="140"/>
        <v>0</v>
      </c>
      <c r="Y50" s="223">
        <f t="shared" si="140"/>
        <v>0</v>
      </c>
      <c r="Z50" s="223">
        <f t="shared" si="140"/>
        <v>0</v>
      </c>
      <c r="AA50" s="223">
        <f t="shared" si="140"/>
        <v>0</v>
      </c>
      <c r="AB50" s="223">
        <f t="shared" si="140"/>
        <v>0</v>
      </c>
      <c r="AC50" s="223">
        <f t="shared" si="140"/>
        <v>0</v>
      </c>
      <c r="AD50" s="223">
        <f t="shared" si="140"/>
        <v>0</v>
      </c>
      <c r="AE50" s="223"/>
      <c r="AF50" s="223">
        <f t="shared" si="141"/>
        <v>0</v>
      </c>
      <c r="AG50" s="223">
        <f t="shared" si="142"/>
        <v>0</v>
      </c>
      <c r="AH50" s="223">
        <f t="shared" si="142"/>
        <v>0</v>
      </c>
      <c r="AI50" s="223">
        <f t="shared" si="142"/>
        <v>0</v>
      </c>
      <c r="AJ50" s="223">
        <f t="shared" si="142"/>
        <v>0</v>
      </c>
      <c r="AK50" s="223">
        <f t="shared" si="142"/>
        <v>0</v>
      </c>
      <c r="AL50" s="223">
        <f t="shared" si="142"/>
        <v>0</v>
      </c>
      <c r="AM50" s="223">
        <f t="shared" si="142"/>
        <v>0</v>
      </c>
      <c r="AN50" s="223">
        <f t="shared" si="142"/>
        <v>0</v>
      </c>
      <c r="AO50" s="223">
        <f t="shared" si="142"/>
        <v>0</v>
      </c>
      <c r="AP50" s="223">
        <f t="shared" si="142"/>
        <v>0</v>
      </c>
      <c r="AQ50" s="223">
        <f t="shared" si="142"/>
        <v>0</v>
      </c>
      <c r="AR50" s="223"/>
      <c r="AS50" s="223">
        <f t="shared" si="143"/>
        <v>0</v>
      </c>
      <c r="AT50" s="223">
        <f t="shared" si="144"/>
        <v>0</v>
      </c>
      <c r="AU50" s="223">
        <f t="shared" si="144"/>
        <v>0</v>
      </c>
      <c r="AV50" s="223">
        <f t="shared" si="144"/>
        <v>0</v>
      </c>
      <c r="AW50" s="223">
        <f t="shared" si="144"/>
        <v>0</v>
      </c>
      <c r="AX50" s="223">
        <f t="shared" si="144"/>
        <v>0</v>
      </c>
      <c r="AY50" s="223">
        <f t="shared" si="144"/>
        <v>0</v>
      </c>
      <c r="AZ50" s="223">
        <f t="shared" si="144"/>
        <v>0</v>
      </c>
      <c r="BA50" s="223">
        <f t="shared" si="144"/>
        <v>0</v>
      </c>
      <c r="BB50" s="223">
        <f t="shared" si="144"/>
        <v>0</v>
      </c>
      <c r="BC50" s="223">
        <f t="shared" si="144"/>
        <v>0</v>
      </c>
      <c r="BD50" s="223">
        <f t="shared" si="144"/>
        <v>0</v>
      </c>
      <c r="BE50" s="223"/>
      <c r="BF50" s="223">
        <f t="shared" si="145"/>
        <v>0</v>
      </c>
      <c r="BG50" s="223">
        <f t="shared" si="146"/>
        <v>0</v>
      </c>
      <c r="BH50" s="223">
        <f t="shared" si="146"/>
        <v>0</v>
      </c>
      <c r="BI50" s="223">
        <f t="shared" si="146"/>
        <v>0</v>
      </c>
      <c r="BJ50" s="223">
        <f t="shared" si="146"/>
        <v>0</v>
      </c>
      <c r="BK50" s="223">
        <f t="shared" si="146"/>
        <v>0</v>
      </c>
      <c r="BL50" s="223">
        <f t="shared" si="146"/>
        <v>0</v>
      </c>
      <c r="BM50" s="223">
        <f t="shared" si="146"/>
        <v>0</v>
      </c>
      <c r="BN50" s="223">
        <f t="shared" si="146"/>
        <v>0</v>
      </c>
      <c r="BO50" s="223">
        <f t="shared" si="146"/>
        <v>0</v>
      </c>
      <c r="BP50" s="223">
        <f t="shared" si="146"/>
        <v>0</v>
      </c>
      <c r="BQ50" s="223">
        <f t="shared" si="146"/>
        <v>0</v>
      </c>
      <c r="BR50" s="223"/>
      <c r="BS50" s="223">
        <f t="shared" si="147"/>
        <v>0</v>
      </c>
      <c r="BT50" s="223">
        <f t="shared" si="148"/>
        <v>0</v>
      </c>
      <c r="BU50" s="223">
        <f t="shared" si="148"/>
        <v>0</v>
      </c>
      <c r="BV50" s="223">
        <f t="shared" si="148"/>
        <v>0</v>
      </c>
      <c r="BW50" s="223">
        <f t="shared" si="148"/>
        <v>0</v>
      </c>
      <c r="BX50" s="223">
        <f t="shared" si="148"/>
        <v>0</v>
      </c>
      <c r="BY50" s="223">
        <f t="shared" si="148"/>
        <v>0</v>
      </c>
      <c r="BZ50" s="223">
        <f t="shared" si="148"/>
        <v>0</v>
      </c>
      <c r="CA50" s="223">
        <f t="shared" si="148"/>
        <v>0</v>
      </c>
      <c r="CB50" s="223">
        <f t="shared" si="148"/>
        <v>0</v>
      </c>
      <c r="CC50" s="223">
        <f t="shared" si="148"/>
        <v>0</v>
      </c>
      <c r="CD50" s="223">
        <f t="shared" si="148"/>
        <v>0</v>
      </c>
      <c r="CE50" s="389"/>
      <c r="CF50" s="223">
        <f t="shared" si="149"/>
        <v>0</v>
      </c>
      <c r="CG50" s="223">
        <f t="shared" si="150"/>
        <v>0</v>
      </c>
      <c r="CH50" s="223">
        <f t="shared" si="151"/>
        <v>0</v>
      </c>
      <c r="CI50" s="223">
        <f t="shared" si="152"/>
        <v>0</v>
      </c>
      <c r="CJ50" s="223">
        <f t="shared" si="153"/>
        <v>0</v>
      </c>
      <c r="CK50" s="223">
        <f t="shared" si="154"/>
        <v>0</v>
      </c>
      <c r="CL50" s="223">
        <f t="shared" si="155"/>
        <v>0</v>
      </c>
      <c r="CM50" s="223">
        <f t="shared" si="156"/>
        <v>0</v>
      </c>
      <c r="CN50" s="223">
        <f t="shared" si="157"/>
        <v>0</v>
      </c>
      <c r="CO50" s="223">
        <f t="shared" si="158"/>
        <v>0</v>
      </c>
      <c r="CP50" s="223">
        <f t="shared" si="159"/>
        <v>0</v>
      </c>
      <c r="CQ50" s="223">
        <f t="shared" si="160"/>
        <v>0</v>
      </c>
      <c r="CR50" s="389"/>
      <c r="CS50" s="223">
        <f t="shared" si="161"/>
        <v>0</v>
      </c>
      <c r="CT50" s="223">
        <f t="shared" si="162"/>
        <v>0</v>
      </c>
      <c r="CU50" s="223">
        <f t="shared" si="163"/>
        <v>0</v>
      </c>
      <c r="CV50" s="223">
        <f t="shared" si="164"/>
        <v>0</v>
      </c>
      <c r="CW50" s="223">
        <f t="shared" si="165"/>
        <v>0</v>
      </c>
      <c r="CX50" s="223">
        <f t="shared" si="166"/>
        <v>0</v>
      </c>
      <c r="CY50" s="223">
        <f t="shared" si="167"/>
        <v>0</v>
      </c>
      <c r="CZ50" s="223">
        <f t="shared" si="168"/>
        <v>0</v>
      </c>
      <c r="DA50" s="223">
        <f t="shared" si="169"/>
        <v>0</v>
      </c>
      <c r="DB50" s="223">
        <f t="shared" si="170"/>
        <v>0</v>
      </c>
      <c r="DC50" s="223">
        <f t="shared" si="171"/>
        <v>0</v>
      </c>
      <c r="DD50" s="223">
        <f t="shared" si="172"/>
        <v>0</v>
      </c>
      <c r="DE50" s="389"/>
      <c r="DF50" s="223">
        <f t="shared" si="173"/>
        <v>0</v>
      </c>
      <c r="DG50" s="223">
        <f t="shared" si="174"/>
        <v>0</v>
      </c>
      <c r="DH50" s="223">
        <f t="shared" si="175"/>
        <v>0</v>
      </c>
      <c r="DI50" s="223">
        <f t="shared" si="176"/>
        <v>0</v>
      </c>
      <c r="DJ50" s="223">
        <f t="shared" si="177"/>
        <v>0</v>
      </c>
      <c r="DK50" s="223">
        <f t="shared" si="178"/>
        <v>0</v>
      </c>
      <c r="DL50" s="223">
        <f t="shared" si="179"/>
        <v>0</v>
      </c>
      <c r="DM50" s="223">
        <f t="shared" si="180"/>
        <v>0</v>
      </c>
      <c r="DN50" s="223">
        <f t="shared" si="181"/>
        <v>0</v>
      </c>
      <c r="DO50" s="223">
        <f t="shared" si="182"/>
        <v>0</v>
      </c>
      <c r="DP50" s="223">
        <f t="shared" si="183"/>
        <v>0</v>
      </c>
      <c r="DQ50" s="223">
        <f t="shared" si="184"/>
        <v>0</v>
      </c>
      <c r="DR50" s="389"/>
      <c r="DS50" s="31">
        <f t="shared" si="185"/>
        <v>0</v>
      </c>
      <c r="DT50" s="390"/>
      <c r="DU50" s="9"/>
      <c r="DV50" s="8"/>
      <c r="DW50" s="7"/>
      <c r="DX50" s="7"/>
      <c r="DY50" s="7"/>
      <c r="DZ50" s="7"/>
      <c r="EA50" s="7"/>
      <c r="EB50" s="7"/>
      <c r="EC50" s="7"/>
    </row>
    <row r="51" spans="1:133">
      <c r="A51" s="1">
        <v>2</v>
      </c>
      <c r="B51" s="1">
        <v>6</v>
      </c>
      <c r="C51" s="57" t="str">
        <f t="shared" si="186"/>
        <v>///</v>
      </c>
      <c r="D51" s="57">
        <f t="shared" si="187"/>
        <v>0</v>
      </c>
      <c r="E51" s="62">
        <f t="shared" si="186"/>
        <v>0</v>
      </c>
      <c r="F51" s="223"/>
      <c r="G51" s="223">
        <f t="shared" ref="G51:Q57" si="189">F51</f>
        <v>0</v>
      </c>
      <c r="H51" s="223">
        <f t="shared" si="189"/>
        <v>0</v>
      </c>
      <c r="I51" s="223">
        <f t="shared" si="189"/>
        <v>0</v>
      </c>
      <c r="J51" s="223">
        <f t="shared" si="189"/>
        <v>0</v>
      </c>
      <c r="K51" s="223">
        <f t="shared" si="189"/>
        <v>0</v>
      </c>
      <c r="L51" s="223">
        <f t="shared" si="189"/>
        <v>0</v>
      </c>
      <c r="M51" s="223">
        <f t="shared" si="189"/>
        <v>0</v>
      </c>
      <c r="N51" s="223">
        <f t="shared" si="189"/>
        <v>0</v>
      </c>
      <c r="O51" s="223">
        <f t="shared" si="189"/>
        <v>0</v>
      </c>
      <c r="P51" s="223">
        <f t="shared" si="189"/>
        <v>0</v>
      </c>
      <c r="Q51" s="223">
        <f t="shared" si="189"/>
        <v>0</v>
      </c>
      <c r="R51" s="223"/>
      <c r="S51" s="223">
        <f t="shared" si="188"/>
        <v>0</v>
      </c>
      <c r="T51" s="223">
        <f t="shared" ref="T51:AD57" si="190">S51</f>
        <v>0</v>
      </c>
      <c r="U51" s="223">
        <f t="shared" si="190"/>
        <v>0</v>
      </c>
      <c r="V51" s="223">
        <f t="shared" si="190"/>
        <v>0</v>
      </c>
      <c r="W51" s="223">
        <f t="shared" si="190"/>
        <v>0</v>
      </c>
      <c r="X51" s="223">
        <f t="shared" si="190"/>
        <v>0</v>
      </c>
      <c r="Y51" s="223">
        <f t="shared" si="190"/>
        <v>0</v>
      </c>
      <c r="Z51" s="223">
        <f t="shared" si="190"/>
        <v>0</v>
      </c>
      <c r="AA51" s="223">
        <f t="shared" si="190"/>
        <v>0</v>
      </c>
      <c r="AB51" s="223">
        <f t="shared" si="190"/>
        <v>0</v>
      </c>
      <c r="AC51" s="223">
        <f t="shared" si="190"/>
        <v>0</v>
      </c>
      <c r="AD51" s="223">
        <f t="shared" si="190"/>
        <v>0</v>
      </c>
      <c r="AE51" s="223"/>
      <c r="AF51" s="223">
        <f t="shared" si="141"/>
        <v>0</v>
      </c>
      <c r="AG51" s="223">
        <f t="shared" ref="AG51:AQ56" si="191">AF51</f>
        <v>0</v>
      </c>
      <c r="AH51" s="223">
        <f t="shared" si="191"/>
        <v>0</v>
      </c>
      <c r="AI51" s="223">
        <f t="shared" si="191"/>
        <v>0</v>
      </c>
      <c r="AJ51" s="223">
        <f t="shared" si="191"/>
        <v>0</v>
      </c>
      <c r="AK51" s="223">
        <f t="shared" si="191"/>
        <v>0</v>
      </c>
      <c r="AL51" s="223">
        <f t="shared" si="191"/>
        <v>0</v>
      </c>
      <c r="AM51" s="223">
        <f t="shared" si="191"/>
        <v>0</v>
      </c>
      <c r="AN51" s="223">
        <f t="shared" si="191"/>
        <v>0</v>
      </c>
      <c r="AO51" s="223">
        <f t="shared" si="191"/>
        <v>0</v>
      </c>
      <c r="AP51" s="223">
        <f t="shared" si="191"/>
        <v>0</v>
      </c>
      <c r="AQ51" s="223">
        <f t="shared" si="191"/>
        <v>0</v>
      </c>
      <c r="AR51" s="223"/>
      <c r="AS51" s="223">
        <f t="shared" si="143"/>
        <v>0</v>
      </c>
      <c r="AT51" s="223">
        <f t="shared" ref="AT51:BD56" si="192">AS51</f>
        <v>0</v>
      </c>
      <c r="AU51" s="223">
        <f t="shared" si="192"/>
        <v>0</v>
      </c>
      <c r="AV51" s="223">
        <f t="shared" si="192"/>
        <v>0</v>
      </c>
      <c r="AW51" s="223">
        <f t="shared" si="192"/>
        <v>0</v>
      </c>
      <c r="AX51" s="223">
        <f t="shared" si="192"/>
        <v>0</v>
      </c>
      <c r="AY51" s="223">
        <f t="shared" si="192"/>
        <v>0</v>
      </c>
      <c r="AZ51" s="223">
        <f t="shared" si="192"/>
        <v>0</v>
      </c>
      <c r="BA51" s="223">
        <f t="shared" si="192"/>
        <v>0</v>
      </c>
      <c r="BB51" s="223">
        <f t="shared" si="192"/>
        <v>0</v>
      </c>
      <c r="BC51" s="223">
        <f t="shared" si="192"/>
        <v>0</v>
      </c>
      <c r="BD51" s="223">
        <f t="shared" si="192"/>
        <v>0</v>
      </c>
      <c r="BE51" s="223"/>
      <c r="BF51" s="223">
        <f t="shared" si="145"/>
        <v>0</v>
      </c>
      <c r="BG51" s="223">
        <f t="shared" ref="BG51:BQ56" si="193">BF51</f>
        <v>0</v>
      </c>
      <c r="BH51" s="223">
        <f t="shared" si="193"/>
        <v>0</v>
      </c>
      <c r="BI51" s="223">
        <f t="shared" si="193"/>
        <v>0</v>
      </c>
      <c r="BJ51" s="223">
        <f t="shared" si="193"/>
        <v>0</v>
      </c>
      <c r="BK51" s="223">
        <f t="shared" si="193"/>
        <v>0</v>
      </c>
      <c r="BL51" s="223">
        <f t="shared" si="193"/>
        <v>0</v>
      </c>
      <c r="BM51" s="223">
        <f t="shared" si="193"/>
        <v>0</v>
      </c>
      <c r="BN51" s="223">
        <f t="shared" si="193"/>
        <v>0</v>
      </c>
      <c r="BO51" s="223">
        <f t="shared" si="193"/>
        <v>0</v>
      </c>
      <c r="BP51" s="223">
        <f t="shared" si="193"/>
        <v>0</v>
      </c>
      <c r="BQ51" s="223">
        <f t="shared" si="193"/>
        <v>0</v>
      </c>
      <c r="BR51" s="223"/>
      <c r="BS51" s="223">
        <f t="shared" si="147"/>
        <v>0</v>
      </c>
      <c r="BT51" s="223">
        <f t="shared" ref="BT51:CD56" si="194">BS51</f>
        <v>0</v>
      </c>
      <c r="BU51" s="223">
        <f t="shared" si="194"/>
        <v>0</v>
      </c>
      <c r="BV51" s="223">
        <f t="shared" si="194"/>
        <v>0</v>
      </c>
      <c r="BW51" s="223">
        <f t="shared" si="194"/>
        <v>0</v>
      </c>
      <c r="BX51" s="223">
        <f t="shared" si="194"/>
        <v>0</v>
      </c>
      <c r="BY51" s="223">
        <f t="shared" si="194"/>
        <v>0</v>
      </c>
      <c r="BZ51" s="223">
        <f t="shared" si="194"/>
        <v>0</v>
      </c>
      <c r="CA51" s="223">
        <f t="shared" si="194"/>
        <v>0</v>
      </c>
      <c r="CB51" s="223">
        <f t="shared" si="194"/>
        <v>0</v>
      </c>
      <c r="CC51" s="223">
        <f t="shared" si="194"/>
        <v>0</v>
      </c>
      <c r="CD51" s="223">
        <f t="shared" si="194"/>
        <v>0</v>
      </c>
      <c r="CE51" s="389"/>
      <c r="CF51" s="223">
        <f t="shared" si="149"/>
        <v>0</v>
      </c>
      <c r="CG51" s="223">
        <f t="shared" si="150"/>
        <v>0</v>
      </c>
      <c r="CH51" s="223">
        <f t="shared" si="151"/>
        <v>0</v>
      </c>
      <c r="CI51" s="223">
        <f t="shared" si="152"/>
        <v>0</v>
      </c>
      <c r="CJ51" s="223">
        <f t="shared" si="153"/>
        <v>0</v>
      </c>
      <c r="CK51" s="223">
        <f t="shared" si="154"/>
        <v>0</v>
      </c>
      <c r="CL51" s="223">
        <f t="shared" si="155"/>
        <v>0</v>
      </c>
      <c r="CM51" s="223">
        <f t="shared" si="156"/>
        <v>0</v>
      </c>
      <c r="CN51" s="223">
        <f t="shared" si="157"/>
        <v>0</v>
      </c>
      <c r="CO51" s="223">
        <f t="shared" si="158"/>
        <v>0</v>
      </c>
      <c r="CP51" s="223">
        <f t="shared" si="159"/>
        <v>0</v>
      </c>
      <c r="CQ51" s="223">
        <f t="shared" si="160"/>
        <v>0</v>
      </c>
      <c r="CR51" s="389"/>
      <c r="CS51" s="223">
        <f t="shared" si="161"/>
        <v>0</v>
      </c>
      <c r="CT51" s="223">
        <f t="shared" si="162"/>
        <v>0</v>
      </c>
      <c r="CU51" s="223">
        <f t="shared" si="163"/>
        <v>0</v>
      </c>
      <c r="CV51" s="223">
        <f t="shared" si="164"/>
        <v>0</v>
      </c>
      <c r="CW51" s="223">
        <f t="shared" si="165"/>
        <v>0</v>
      </c>
      <c r="CX51" s="223">
        <f t="shared" si="166"/>
        <v>0</v>
      </c>
      <c r="CY51" s="223">
        <f t="shared" si="167"/>
        <v>0</v>
      </c>
      <c r="CZ51" s="223">
        <f t="shared" si="168"/>
        <v>0</v>
      </c>
      <c r="DA51" s="223">
        <f t="shared" si="169"/>
        <v>0</v>
      </c>
      <c r="DB51" s="223">
        <f t="shared" si="170"/>
        <v>0</v>
      </c>
      <c r="DC51" s="223">
        <f t="shared" si="171"/>
        <v>0</v>
      </c>
      <c r="DD51" s="223">
        <f t="shared" si="172"/>
        <v>0</v>
      </c>
      <c r="DE51" s="389"/>
      <c r="DF51" s="223">
        <f t="shared" si="173"/>
        <v>0</v>
      </c>
      <c r="DG51" s="223">
        <f t="shared" si="174"/>
        <v>0</v>
      </c>
      <c r="DH51" s="223">
        <f t="shared" si="175"/>
        <v>0</v>
      </c>
      <c r="DI51" s="223">
        <f t="shared" si="176"/>
        <v>0</v>
      </c>
      <c r="DJ51" s="223">
        <f t="shared" si="177"/>
        <v>0</v>
      </c>
      <c r="DK51" s="223">
        <f t="shared" si="178"/>
        <v>0</v>
      </c>
      <c r="DL51" s="223">
        <f t="shared" si="179"/>
        <v>0</v>
      </c>
      <c r="DM51" s="223">
        <f t="shared" si="180"/>
        <v>0</v>
      </c>
      <c r="DN51" s="223">
        <f t="shared" si="181"/>
        <v>0</v>
      </c>
      <c r="DO51" s="223">
        <f t="shared" si="182"/>
        <v>0</v>
      </c>
      <c r="DP51" s="223">
        <f t="shared" si="183"/>
        <v>0</v>
      </c>
      <c r="DQ51" s="223">
        <f t="shared" si="184"/>
        <v>0</v>
      </c>
      <c r="DR51" s="389"/>
      <c r="DS51" s="31">
        <f t="shared" si="185"/>
        <v>0</v>
      </c>
      <c r="DT51" s="390"/>
      <c r="DU51" s="9"/>
      <c r="DV51" s="8"/>
      <c r="DW51" s="7"/>
      <c r="DX51" s="7"/>
      <c r="DY51" s="7"/>
      <c r="DZ51" s="7"/>
      <c r="EA51" s="7"/>
      <c r="EB51" s="7"/>
      <c r="EC51" s="7"/>
    </row>
    <row r="52" spans="1:133">
      <c r="C52" s="57" t="str">
        <f t="shared" ref="C52:E55" si="195">C26</f>
        <v>///</v>
      </c>
      <c r="D52" s="57">
        <f t="shared" si="187"/>
        <v>0</v>
      </c>
      <c r="E52" s="62">
        <f t="shared" si="195"/>
        <v>0</v>
      </c>
      <c r="F52" s="223"/>
      <c r="G52" s="223">
        <f t="shared" si="189"/>
        <v>0</v>
      </c>
      <c r="H52" s="223">
        <f t="shared" si="189"/>
        <v>0</v>
      </c>
      <c r="I52" s="223">
        <f t="shared" si="189"/>
        <v>0</v>
      </c>
      <c r="J52" s="223">
        <f t="shared" si="189"/>
        <v>0</v>
      </c>
      <c r="K52" s="223">
        <f t="shared" si="189"/>
        <v>0</v>
      </c>
      <c r="L52" s="223">
        <f t="shared" si="189"/>
        <v>0</v>
      </c>
      <c r="M52" s="223">
        <f t="shared" si="189"/>
        <v>0</v>
      </c>
      <c r="N52" s="223">
        <f t="shared" si="189"/>
        <v>0</v>
      </c>
      <c r="O52" s="223">
        <f t="shared" si="189"/>
        <v>0</v>
      </c>
      <c r="P52" s="223">
        <f t="shared" si="189"/>
        <v>0</v>
      </c>
      <c r="Q52" s="223">
        <f t="shared" si="189"/>
        <v>0</v>
      </c>
      <c r="R52" s="223"/>
      <c r="S52" s="223">
        <f t="shared" si="188"/>
        <v>0</v>
      </c>
      <c r="T52" s="223">
        <f t="shared" si="190"/>
        <v>0</v>
      </c>
      <c r="U52" s="223">
        <f t="shared" si="190"/>
        <v>0</v>
      </c>
      <c r="V52" s="223">
        <f t="shared" si="190"/>
        <v>0</v>
      </c>
      <c r="W52" s="223">
        <f t="shared" si="190"/>
        <v>0</v>
      </c>
      <c r="X52" s="223">
        <f t="shared" si="190"/>
        <v>0</v>
      </c>
      <c r="Y52" s="223">
        <f t="shared" si="190"/>
        <v>0</v>
      </c>
      <c r="Z52" s="223">
        <f t="shared" si="190"/>
        <v>0</v>
      </c>
      <c r="AA52" s="223">
        <f t="shared" si="190"/>
        <v>0</v>
      </c>
      <c r="AB52" s="223">
        <f t="shared" si="190"/>
        <v>0</v>
      </c>
      <c r="AC52" s="223">
        <f t="shared" si="190"/>
        <v>0</v>
      </c>
      <c r="AD52" s="223">
        <f t="shared" si="190"/>
        <v>0</v>
      </c>
      <c r="AE52" s="223"/>
      <c r="AF52" s="223">
        <f t="shared" si="141"/>
        <v>0</v>
      </c>
      <c r="AG52" s="223">
        <f t="shared" si="191"/>
        <v>0</v>
      </c>
      <c r="AH52" s="223">
        <f t="shared" si="191"/>
        <v>0</v>
      </c>
      <c r="AI52" s="223">
        <f t="shared" si="191"/>
        <v>0</v>
      </c>
      <c r="AJ52" s="223">
        <f t="shared" si="191"/>
        <v>0</v>
      </c>
      <c r="AK52" s="223">
        <f t="shared" si="191"/>
        <v>0</v>
      </c>
      <c r="AL52" s="223">
        <f t="shared" si="191"/>
        <v>0</v>
      </c>
      <c r="AM52" s="223">
        <f t="shared" si="191"/>
        <v>0</v>
      </c>
      <c r="AN52" s="223">
        <f t="shared" si="191"/>
        <v>0</v>
      </c>
      <c r="AO52" s="223">
        <f t="shared" si="191"/>
        <v>0</v>
      </c>
      <c r="AP52" s="223">
        <f t="shared" si="191"/>
        <v>0</v>
      </c>
      <c r="AQ52" s="223">
        <f t="shared" si="191"/>
        <v>0</v>
      </c>
      <c r="AR52" s="223"/>
      <c r="AS52" s="223">
        <f t="shared" si="143"/>
        <v>0</v>
      </c>
      <c r="AT52" s="223">
        <f t="shared" si="192"/>
        <v>0</v>
      </c>
      <c r="AU52" s="223">
        <f t="shared" si="192"/>
        <v>0</v>
      </c>
      <c r="AV52" s="223">
        <f t="shared" si="192"/>
        <v>0</v>
      </c>
      <c r="AW52" s="223">
        <f t="shared" si="192"/>
        <v>0</v>
      </c>
      <c r="AX52" s="223">
        <f t="shared" si="192"/>
        <v>0</v>
      </c>
      <c r="AY52" s="223">
        <f t="shared" si="192"/>
        <v>0</v>
      </c>
      <c r="AZ52" s="223">
        <f t="shared" si="192"/>
        <v>0</v>
      </c>
      <c r="BA52" s="223">
        <f t="shared" si="192"/>
        <v>0</v>
      </c>
      <c r="BB52" s="223">
        <f t="shared" si="192"/>
        <v>0</v>
      </c>
      <c r="BC52" s="223">
        <f t="shared" si="192"/>
        <v>0</v>
      </c>
      <c r="BD52" s="223">
        <f t="shared" si="192"/>
        <v>0</v>
      </c>
      <c r="BE52" s="223"/>
      <c r="BF52" s="223">
        <f t="shared" si="145"/>
        <v>0</v>
      </c>
      <c r="BG52" s="223">
        <f t="shared" si="193"/>
        <v>0</v>
      </c>
      <c r="BH52" s="223">
        <f t="shared" si="193"/>
        <v>0</v>
      </c>
      <c r="BI52" s="223">
        <f t="shared" si="193"/>
        <v>0</v>
      </c>
      <c r="BJ52" s="223">
        <f t="shared" si="193"/>
        <v>0</v>
      </c>
      <c r="BK52" s="223">
        <f t="shared" si="193"/>
        <v>0</v>
      </c>
      <c r="BL52" s="223">
        <f t="shared" si="193"/>
        <v>0</v>
      </c>
      <c r="BM52" s="223">
        <f t="shared" si="193"/>
        <v>0</v>
      </c>
      <c r="BN52" s="223">
        <f t="shared" si="193"/>
        <v>0</v>
      </c>
      <c r="BO52" s="223">
        <f t="shared" si="193"/>
        <v>0</v>
      </c>
      <c r="BP52" s="223">
        <f t="shared" si="193"/>
        <v>0</v>
      </c>
      <c r="BQ52" s="223">
        <f t="shared" si="193"/>
        <v>0</v>
      </c>
      <c r="BR52" s="223"/>
      <c r="BS52" s="223">
        <f t="shared" si="147"/>
        <v>0</v>
      </c>
      <c r="BT52" s="223">
        <f t="shared" si="194"/>
        <v>0</v>
      </c>
      <c r="BU52" s="223">
        <f t="shared" si="194"/>
        <v>0</v>
      </c>
      <c r="BV52" s="223">
        <f t="shared" si="194"/>
        <v>0</v>
      </c>
      <c r="BW52" s="223">
        <f t="shared" si="194"/>
        <v>0</v>
      </c>
      <c r="BX52" s="223">
        <f t="shared" si="194"/>
        <v>0</v>
      </c>
      <c r="BY52" s="223">
        <f t="shared" si="194"/>
        <v>0</v>
      </c>
      <c r="BZ52" s="223">
        <f t="shared" si="194"/>
        <v>0</v>
      </c>
      <c r="CA52" s="223">
        <f t="shared" si="194"/>
        <v>0</v>
      </c>
      <c r="CB52" s="223">
        <f t="shared" si="194"/>
        <v>0</v>
      </c>
      <c r="CC52" s="223">
        <f t="shared" si="194"/>
        <v>0</v>
      </c>
      <c r="CD52" s="223">
        <f t="shared" si="194"/>
        <v>0</v>
      </c>
      <c r="CE52" s="389"/>
      <c r="CF52" s="223">
        <f t="shared" si="149"/>
        <v>0</v>
      </c>
      <c r="CG52" s="223">
        <f t="shared" si="150"/>
        <v>0</v>
      </c>
      <c r="CH52" s="223">
        <f t="shared" si="151"/>
        <v>0</v>
      </c>
      <c r="CI52" s="223">
        <f t="shared" si="152"/>
        <v>0</v>
      </c>
      <c r="CJ52" s="223">
        <f t="shared" si="153"/>
        <v>0</v>
      </c>
      <c r="CK52" s="223">
        <f t="shared" si="154"/>
        <v>0</v>
      </c>
      <c r="CL52" s="223">
        <f t="shared" si="155"/>
        <v>0</v>
      </c>
      <c r="CM52" s="223">
        <f t="shared" si="156"/>
        <v>0</v>
      </c>
      <c r="CN52" s="223">
        <f t="shared" si="157"/>
        <v>0</v>
      </c>
      <c r="CO52" s="223">
        <f t="shared" si="158"/>
        <v>0</v>
      </c>
      <c r="CP52" s="223">
        <f t="shared" si="159"/>
        <v>0</v>
      </c>
      <c r="CQ52" s="223">
        <f t="shared" si="160"/>
        <v>0</v>
      </c>
      <c r="CR52" s="389"/>
      <c r="CS52" s="223">
        <f t="shared" si="161"/>
        <v>0</v>
      </c>
      <c r="CT52" s="223">
        <f t="shared" si="162"/>
        <v>0</v>
      </c>
      <c r="CU52" s="223">
        <f t="shared" si="163"/>
        <v>0</v>
      </c>
      <c r="CV52" s="223">
        <f t="shared" si="164"/>
        <v>0</v>
      </c>
      <c r="CW52" s="223">
        <f t="shared" si="165"/>
        <v>0</v>
      </c>
      <c r="CX52" s="223">
        <f t="shared" si="166"/>
        <v>0</v>
      </c>
      <c r="CY52" s="223">
        <f t="shared" si="167"/>
        <v>0</v>
      </c>
      <c r="CZ52" s="223">
        <f t="shared" si="168"/>
        <v>0</v>
      </c>
      <c r="DA52" s="223">
        <f t="shared" si="169"/>
        <v>0</v>
      </c>
      <c r="DB52" s="223">
        <f t="shared" si="170"/>
        <v>0</v>
      </c>
      <c r="DC52" s="223">
        <f t="shared" si="171"/>
        <v>0</v>
      </c>
      <c r="DD52" s="223">
        <f t="shared" si="172"/>
        <v>0</v>
      </c>
      <c r="DE52" s="389"/>
      <c r="DF52" s="223">
        <f t="shared" si="173"/>
        <v>0</v>
      </c>
      <c r="DG52" s="223">
        <f t="shared" si="174"/>
        <v>0</v>
      </c>
      <c r="DH52" s="223">
        <f t="shared" si="175"/>
        <v>0</v>
      </c>
      <c r="DI52" s="223">
        <f t="shared" si="176"/>
        <v>0</v>
      </c>
      <c r="DJ52" s="223">
        <f t="shared" si="177"/>
        <v>0</v>
      </c>
      <c r="DK52" s="223">
        <f t="shared" si="178"/>
        <v>0</v>
      </c>
      <c r="DL52" s="223">
        <f t="shared" si="179"/>
        <v>0</v>
      </c>
      <c r="DM52" s="223">
        <f t="shared" si="180"/>
        <v>0</v>
      </c>
      <c r="DN52" s="223">
        <f t="shared" si="181"/>
        <v>0</v>
      </c>
      <c r="DO52" s="223">
        <f t="shared" si="182"/>
        <v>0</v>
      </c>
      <c r="DP52" s="223">
        <f t="shared" si="183"/>
        <v>0</v>
      </c>
      <c r="DQ52" s="223">
        <f t="shared" si="184"/>
        <v>0</v>
      </c>
      <c r="DR52" s="389"/>
      <c r="DS52" s="31">
        <f t="shared" si="185"/>
        <v>0</v>
      </c>
      <c r="DT52" s="390"/>
      <c r="DU52" s="9"/>
      <c r="DV52" s="8"/>
      <c r="DW52" s="7"/>
      <c r="DX52" s="7"/>
      <c r="DY52" s="7"/>
      <c r="DZ52" s="7"/>
      <c r="EA52" s="7"/>
      <c r="EB52" s="7"/>
      <c r="EC52" s="7"/>
    </row>
    <row r="53" spans="1:133">
      <c r="A53" s="1">
        <v>2</v>
      </c>
      <c r="B53" s="1">
        <v>7</v>
      </c>
      <c r="C53" s="57" t="str">
        <f t="shared" si="195"/>
        <v>///</v>
      </c>
      <c r="D53" s="57">
        <f t="shared" si="187"/>
        <v>0</v>
      </c>
      <c r="E53" s="62">
        <f t="shared" si="195"/>
        <v>0</v>
      </c>
      <c r="F53" s="223"/>
      <c r="G53" s="223">
        <f t="shared" si="189"/>
        <v>0</v>
      </c>
      <c r="H53" s="223">
        <f t="shared" si="189"/>
        <v>0</v>
      </c>
      <c r="I53" s="223">
        <f t="shared" si="189"/>
        <v>0</v>
      </c>
      <c r="J53" s="223">
        <f t="shared" si="189"/>
        <v>0</v>
      </c>
      <c r="K53" s="223">
        <f t="shared" si="189"/>
        <v>0</v>
      </c>
      <c r="L53" s="223">
        <f t="shared" si="189"/>
        <v>0</v>
      </c>
      <c r="M53" s="223">
        <f t="shared" si="189"/>
        <v>0</v>
      </c>
      <c r="N53" s="223">
        <f t="shared" si="189"/>
        <v>0</v>
      </c>
      <c r="O53" s="223">
        <f t="shared" si="189"/>
        <v>0</v>
      </c>
      <c r="P53" s="223">
        <f t="shared" si="189"/>
        <v>0</v>
      </c>
      <c r="Q53" s="223">
        <f t="shared" si="189"/>
        <v>0</v>
      </c>
      <c r="R53" s="223"/>
      <c r="S53" s="223">
        <f t="shared" si="188"/>
        <v>0</v>
      </c>
      <c r="T53" s="223">
        <f t="shared" si="190"/>
        <v>0</v>
      </c>
      <c r="U53" s="223">
        <f t="shared" si="190"/>
        <v>0</v>
      </c>
      <c r="V53" s="223">
        <f t="shared" si="190"/>
        <v>0</v>
      </c>
      <c r="W53" s="223">
        <f t="shared" si="190"/>
        <v>0</v>
      </c>
      <c r="X53" s="223">
        <f t="shared" si="190"/>
        <v>0</v>
      </c>
      <c r="Y53" s="223">
        <f t="shared" si="190"/>
        <v>0</v>
      </c>
      <c r="Z53" s="223">
        <f t="shared" si="190"/>
        <v>0</v>
      </c>
      <c r="AA53" s="223">
        <f t="shared" si="190"/>
        <v>0</v>
      </c>
      <c r="AB53" s="223">
        <f t="shared" si="190"/>
        <v>0</v>
      </c>
      <c r="AC53" s="223">
        <f t="shared" si="190"/>
        <v>0</v>
      </c>
      <c r="AD53" s="223">
        <f t="shared" si="190"/>
        <v>0</v>
      </c>
      <c r="AE53" s="223"/>
      <c r="AF53" s="223">
        <f t="shared" si="141"/>
        <v>0</v>
      </c>
      <c r="AG53" s="223">
        <f t="shared" si="191"/>
        <v>0</v>
      </c>
      <c r="AH53" s="223">
        <f t="shared" si="191"/>
        <v>0</v>
      </c>
      <c r="AI53" s="223">
        <f t="shared" si="191"/>
        <v>0</v>
      </c>
      <c r="AJ53" s="223">
        <f t="shared" si="191"/>
        <v>0</v>
      </c>
      <c r="AK53" s="223">
        <f t="shared" si="191"/>
        <v>0</v>
      </c>
      <c r="AL53" s="223">
        <f t="shared" si="191"/>
        <v>0</v>
      </c>
      <c r="AM53" s="223">
        <f t="shared" si="191"/>
        <v>0</v>
      </c>
      <c r="AN53" s="223">
        <f t="shared" si="191"/>
        <v>0</v>
      </c>
      <c r="AO53" s="223">
        <f t="shared" si="191"/>
        <v>0</v>
      </c>
      <c r="AP53" s="223">
        <f t="shared" si="191"/>
        <v>0</v>
      </c>
      <c r="AQ53" s="223">
        <f t="shared" si="191"/>
        <v>0</v>
      </c>
      <c r="AR53" s="223"/>
      <c r="AS53" s="223">
        <f t="shared" si="143"/>
        <v>0</v>
      </c>
      <c r="AT53" s="223">
        <f t="shared" si="192"/>
        <v>0</v>
      </c>
      <c r="AU53" s="223">
        <f t="shared" si="192"/>
        <v>0</v>
      </c>
      <c r="AV53" s="223">
        <f t="shared" si="192"/>
        <v>0</v>
      </c>
      <c r="AW53" s="223">
        <f t="shared" si="192"/>
        <v>0</v>
      </c>
      <c r="AX53" s="223">
        <f t="shared" si="192"/>
        <v>0</v>
      </c>
      <c r="AY53" s="223">
        <f t="shared" si="192"/>
        <v>0</v>
      </c>
      <c r="AZ53" s="223">
        <f t="shared" si="192"/>
        <v>0</v>
      </c>
      <c r="BA53" s="223">
        <f t="shared" si="192"/>
        <v>0</v>
      </c>
      <c r="BB53" s="223">
        <f t="shared" si="192"/>
        <v>0</v>
      </c>
      <c r="BC53" s="223">
        <f t="shared" si="192"/>
        <v>0</v>
      </c>
      <c r="BD53" s="223">
        <f t="shared" si="192"/>
        <v>0</v>
      </c>
      <c r="BE53" s="223"/>
      <c r="BF53" s="223">
        <f t="shared" si="145"/>
        <v>0</v>
      </c>
      <c r="BG53" s="223">
        <f t="shared" si="193"/>
        <v>0</v>
      </c>
      <c r="BH53" s="223">
        <f t="shared" si="193"/>
        <v>0</v>
      </c>
      <c r="BI53" s="223">
        <f t="shared" si="193"/>
        <v>0</v>
      </c>
      <c r="BJ53" s="223">
        <f t="shared" si="193"/>
        <v>0</v>
      </c>
      <c r="BK53" s="223">
        <f t="shared" si="193"/>
        <v>0</v>
      </c>
      <c r="BL53" s="223">
        <f t="shared" si="193"/>
        <v>0</v>
      </c>
      <c r="BM53" s="223">
        <f t="shared" si="193"/>
        <v>0</v>
      </c>
      <c r="BN53" s="223">
        <f t="shared" si="193"/>
        <v>0</v>
      </c>
      <c r="BO53" s="223">
        <f t="shared" si="193"/>
        <v>0</v>
      </c>
      <c r="BP53" s="223">
        <f t="shared" si="193"/>
        <v>0</v>
      </c>
      <c r="BQ53" s="223">
        <f t="shared" si="193"/>
        <v>0</v>
      </c>
      <c r="BR53" s="223"/>
      <c r="BS53" s="223">
        <f t="shared" si="147"/>
        <v>0</v>
      </c>
      <c r="BT53" s="223">
        <f t="shared" si="194"/>
        <v>0</v>
      </c>
      <c r="BU53" s="223">
        <f t="shared" si="194"/>
        <v>0</v>
      </c>
      <c r="BV53" s="223">
        <f t="shared" si="194"/>
        <v>0</v>
      </c>
      <c r="BW53" s="223">
        <f t="shared" si="194"/>
        <v>0</v>
      </c>
      <c r="BX53" s="223">
        <f t="shared" si="194"/>
        <v>0</v>
      </c>
      <c r="BY53" s="223">
        <f t="shared" si="194"/>
        <v>0</v>
      </c>
      <c r="BZ53" s="223">
        <f t="shared" si="194"/>
        <v>0</v>
      </c>
      <c r="CA53" s="223">
        <f t="shared" si="194"/>
        <v>0</v>
      </c>
      <c r="CB53" s="223">
        <f t="shared" si="194"/>
        <v>0</v>
      </c>
      <c r="CC53" s="223">
        <f t="shared" si="194"/>
        <v>0</v>
      </c>
      <c r="CD53" s="223">
        <f t="shared" si="194"/>
        <v>0</v>
      </c>
      <c r="CE53" s="389"/>
      <c r="CF53" s="223">
        <f t="shared" si="149"/>
        <v>0</v>
      </c>
      <c r="CG53" s="223">
        <f t="shared" si="150"/>
        <v>0</v>
      </c>
      <c r="CH53" s="223">
        <f t="shared" si="151"/>
        <v>0</v>
      </c>
      <c r="CI53" s="223">
        <f t="shared" si="152"/>
        <v>0</v>
      </c>
      <c r="CJ53" s="223">
        <f t="shared" si="153"/>
        <v>0</v>
      </c>
      <c r="CK53" s="223">
        <f t="shared" si="154"/>
        <v>0</v>
      </c>
      <c r="CL53" s="223">
        <f t="shared" si="155"/>
        <v>0</v>
      </c>
      <c r="CM53" s="223">
        <f t="shared" si="156"/>
        <v>0</v>
      </c>
      <c r="CN53" s="223">
        <f t="shared" si="157"/>
        <v>0</v>
      </c>
      <c r="CO53" s="223">
        <f t="shared" si="158"/>
        <v>0</v>
      </c>
      <c r="CP53" s="223">
        <f t="shared" si="159"/>
        <v>0</v>
      </c>
      <c r="CQ53" s="223">
        <f t="shared" si="160"/>
        <v>0</v>
      </c>
      <c r="CR53" s="389"/>
      <c r="CS53" s="223">
        <f t="shared" si="161"/>
        <v>0</v>
      </c>
      <c r="CT53" s="223">
        <f t="shared" si="162"/>
        <v>0</v>
      </c>
      <c r="CU53" s="223">
        <f t="shared" si="163"/>
        <v>0</v>
      </c>
      <c r="CV53" s="223">
        <f t="shared" si="164"/>
        <v>0</v>
      </c>
      <c r="CW53" s="223">
        <f t="shared" si="165"/>
        <v>0</v>
      </c>
      <c r="CX53" s="223">
        <f t="shared" si="166"/>
        <v>0</v>
      </c>
      <c r="CY53" s="223">
        <f t="shared" si="167"/>
        <v>0</v>
      </c>
      <c r="CZ53" s="223">
        <f t="shared" si="168"/>
        <v>0</v>
      </c>
      <c r="DA53" s="223">
        <f t="shared" si="169"/>
        <v>0</v>
      </c>
      <c r="DB53" s="223">
        <f t="shared" si="170"/>
        <v>0</v>
      </c>
      <c r="DC53" s="223">
        <f t="shared" si="171"/>
        <v>0</v>
      </c>
      <c r="DD53" s="223">
        <f t="shared" si="172"/>
        <v>0</v>
      </c>
      <c r="DE53" s="389"/>
      <c r="DF53" s="223">
        <f t="shared" si="173"/>
        <v>0</v>
      </c>
      <c r="DG53" s="223">
        <f t="shared" si="174"/>
        <v>0</v>
      </c>
      <c r="DH53" s="223">
        <f t="shared" si="175"/>
        <v>0</v>
      </c>
      <c r="DI53" s="223">
        <f t="shared" si="176"/>
        <v>0</v>
      </c>
      <c r="DJ53" s="223">
        <f t="shared" si="177"/>
        <v>0</v>
      </c>
      <c r="DK53" s="223">
        <f t="shared" si="178"/>
        <v>0</v>
      </c>
      <c r="DL53" s="223">
        <f t="shared" si="179"/>
        <v>0</v>
      </c>
      <c r="DM53" s="223">
        <f t="shared" si="180"/>
        <v>0</v>
      </c>
      <c r="DN53" s="223">
        <f t="shared" si="181"/>
        <v>0</v>
      </c>
      <c r="DO53" s="223">
        <f t="shared" si="182"/>
        <v>0</v>
      </c>
      <c r="DP53" s="223">
        <f t="shared" si="183"/>
        <v>0</v>
      </c>
      <c r="DQ53" s="223">
        <f t="shared" si="184"/>
        <v>0</v>
      </c>
      <c r="DR53" s="389"/>
      <c r="DS53" s="31">
        <f t="shared" si="185"/>
        <v>0</v>
      </c>
      <c r="DT53" s="390"/>
      <c r="DU53" s="9"/>
      <c r="DV53" s="8"/>
      <c r="DW53" s="7"/>
      <c r="DX53" s="7"/>
      <c r="DY53" s="7"/>
      <c r="DZ53" s="7"/>
      <c r="EA53" s="7"/>
      <c r="EB53" s="7"/>
      <c r="EC53" s="7"/>
    </row>
    <row r="54" spans="1:133">
      <c r="C54" s="57" t="str">
        <f t="shared" si="195"/>
        <v>///</v>
      </c>
      <c r="D54" s="57">
        <f t="shared" si="187"/>
        <v>0</v>
      </c>
      <c r="E54" s="62">
        <f t="shared" si="195"/>
        <v>0</v>
      </c>
      <c r="F54" s="223"/>
      <c r="G54" s="223">
        <f t="shared" si="189"/>
        <v>0</v>
      </c>
      <c r="H54" s="223">
        <f t="shared" si="189"/>
        <v>0</v>
      </c>
      <c r="I54" s="223">
        <f t="shared" si="189"/>
        <v>0</v>
      </c>
      <c r="J54" s="223">
        <f t="shared" si="189"/>
        <v>0</v>
      </c>
      <c r="K54" s="223">
        <f t="shared" si="189"/>
        <v>0</v>
      </c>
      <c r="L54" s="223">
        <f t="shared" si="189"/>
        <v>0</v>
      </c>
      <c r="M54" s="223">
        <f t="shared" si="189"/>
        <v>0</v>
      </c>
      <c r="N54" s="223">
        <f t="shared" si="189"/>
        <v>0</v>
      </c>
      <c r="O54" s="223">
        <f t="shared" si="189"/>
        <v>0</v>
      </c>
      <c r="P54" s="223">
        <f t="shared" si="189"/>
        <v>0</v>
      </c>
      <c r="Q54" s="223">
        <f t="shared" si="189"/>
        <v>0</v>
      </c>
      <c r="R54" s="223"/>
      <c r="S54" s="223">
        <f t="shared" si="188"/>
        <v>0</v>
      </c>
      <c r="T54" s="223">
        <f t="shared" si="190"/>
        <v>0</v>
      </c>
      <c r="U54" s="223">
        <f t="shared" si="190"/>
        <v>0</v>
      </c>
      <c r="V54" s="223">
        <f t="shared" si="190"/>
        <v>0</v>
      </c>
      <c r="W54" s="223">
        <f t="shared" si="190"/>
        <v>0</v>
      </c>
      <c r="X54" s="223">
        <f t="shared" si="190"/>
        <v>0</v>
      </c>
      <c r="Y54" s="223">
        <f t="shared" si="190"/>
        <v>0</v>
      </c>
      <c r="Z54" s="223">
        <f t="shared" si="190"/>
        <v>0</v>
      </c>
      <c r="AA54" s="223">
        <f t="shared" si="190"/>
        <v>0</v>
      </c>
      <c r="AB54" s="223">
        <f t="shared" si="190"/>
        <v>0</v>
      </c>
      <c r="AC54" s="223">
        <f t="shared" si="190"/>
        <v>0</v>
      </c>
      <c r="AD54" s="223">
        <f t="shared" si="190"/>
        <v>0</v>
      </c>
      <c r="AE54" s="223"/>
      <c r="AF54" s="223">
        <f t="shared" si="141"/>
        <v>0</v>
      </c>
      <c r="AG54" s="223">
        <f t="shared" si="191"/>
        <v>0</v>
      </c>
      <c r="AH54" s="223">
        <f t="shared" si="191"/>
        <v>0</v>
      </c>
      <c r="AI54" s="223">
        <f t="shared" si="191"/>
        <v>0</v>
      </c>
      <c r="AJ54" s="223">
        <f t="shared" si="191"/>
        <v>0</v>
      </c>
      <c r="AK54" s="223">
        <f t="shared" si="191"/>
        <v>0</v>
      </c>
      <c r="AL54" s="223">
        <f t="shared" si="191"/>
        <v>0</v>
      </c>
      <c r="AM54" s="223">
        <f t="shared" si="191"/>
        <v>0</v>
      </c>
      <c r="AN54" s="223">
        <f t="shared" si="191"/>
        <v>0</v>
      </c>
      <c r="AO54" s="223">
        <f t="shared" si="191"/>
        <v>0</v>
      </c>
      <c r="AP54" s="223">
        <f t="shared" si="191"/>
        <v>0</v>
      </c>
      <c r="AQ54" s="223">
        <f t="shared" si="191"/>
        <v>0</v>
      </c>
      <c r="AR54" s="223"/>
      <c r="AS54" s="223">
        <f t="shared" si="143"/>
        <v>0</v>
      </c>
      <c r="AT54" s="223">
        <f t="shared" si="192"/>
        <v>0</v>
      </c>
      <c r="AU54" s="223">
        <f t="shared" si="192"/>
        <v>0</v>
      </c>
      <c r="AV54" s="223">
        <f t="shared" si="192"/>
        <v>0</v>
      </c>
      <c r="AW54" s="223">
        <f t="shared" si="192"/>
        <v>0</v>
      </c>
      <c r="AX54" s="223">
        <f t="shared" si="192"/>
        <v>0</v>
      </c>
      <c r="AY54" s="223">
        <f t="shared" si="192"/>
        <v>0</v>
      </c>
      <c r="AZ54" s="223">
        <f t="shared" si="192"/>
        <v>0</v>
      </c>
      <c r="BA54" s="223">
        <f t="shared" si="192"/>
        <v>0</v>
      </c>
      <c r="BB54" s="223">
        <f t="shared" si="192"/>
        <v>0</v>
      </c>
      <c r="BC54" s="223">
        <f t="shared" si="192"/>
        <v>0</v>
      </c>
      <c r="BD54" s="223">
        <f t="shared" si="192"/>
        <v>0</v>
      </c>
      <c r="BE54" s="223"/>
      <c r="BF54" s="223">
        <f t="shared" si="145"/>
        <v>0</v>
      </c>
      <c r="BG54" s="223">
        <f t="shared" si="193"/>
        <v>0</v>
      </c>
      <c r="BH54" s="223">
        <f t="shared" si="193"/>
        <v>0</v>
      </c>
      <c r="BI54" s="223">
        <f t="shared" si="193"/>
        <v>0</v>
      </c>
      <c r="BJ54" s="223">
        <f t="shared" si="193"/>
        <v>0</v>
      </c>
      <c r="BK54" s="223">
        <f t="shared" si="193"/>
        <v>0</v>
      </c>
      <c r="BL54" s="223">
        <f t="shared" si="193"/>
        <v>0</v>
      </c>
      <c r="BM54" s="223">
        <f t="shared" si="193"/>
        <v>0</v>
      </c>
      <c r="BN54" s="223">
        <f t="shared" si="193"/>
        <v>0</v>
      </c>
      <c r="BO54" s="223">
        <f t="shared" si="193"/>
        <v>0</v>
      </c>
      <c r="BP54" s="223">
        <f t="shared" si="193"/>
        <v>0</v>
      </c>
      <c r="BQ54" s="223">
        <f t="shared" si="193"/>
        <v>0</v>
      </c>
      <c r="BR54" s="223"/>
      <c r="BS54" s="223">
        <f t="shared" si="147"/>
        <v>0</v>
      </c>
      <c r="BT54" s="223">
        <f t="shared" si="194"/>
        <v>0</v>
      </c>
      <c r="BU54" s="223">
        <f t="shared" si="194"/>
        <v>0</v>
      </c>
      <c r="BV54" s="223">
        <f t="shared" si="194"/>
        <v>0</v>
      </c>
      <c r="BW54" s="223">
        <f t="shared" si="194"/>
        <v>0</v>
      </c>
      <c r="BX54" s="223">
        <f t="shared" si="194"/>
        <v>0</v>
      </c>
      <c r="BY54" s="223">
        <f t="shared" si="194"/>
        <v>0</v>
      </c>
      <c r="BZ54" s="223">
        <f t="shared" si="194"/>
        <v>0</v>
      </c>
      <c r="CA54" s="223">
        <f t="shared" si="194"/>
        <v>0</v>
      </c>
      <c r="CB54" s="223">
        <f t="shared" si="194"/>
        <v>0</v>
      </c>
      <c r="CC54" s="223">
        <f t="shared" si="194"/>
        <v>0</v>
      </c>
      <c r="CD54" s="223">
        <f t="shared" si="194"/>
        <v>0</v>
      </c>
      <c r="CE54" s="389"/>
      <c r="CF54" s="223">
        <f t="shared" si="149"/>
        <v>0</v>
      </c>
      <c r="CG54" s="223">
        <f t="shared" si="150"/>
        <v>0</v>
      </c>
      <c r="CH54" s="223">
        <f t="shared" si="151"/>
        <v>0</v>
      </c>
      <c r="CI54" s="223">
        <f t="shared" si="152"/>
        <v>0</v>
      </c>
      <c r="CJ54" s="223">
        <f t="shared" si="153"/>
        <v>0</v>
      </c>
      <c r="CK54" s="223">
        <f t="shared" si="154"/>
        <v>0</v>
      </c>
      <c r="CL54" s="223">
        <f t="shared" si="155"/>
        <v>0</v>
      </c>
      <c r="CM54" s="223">
        <f t="shared" si="156"/>
        <v>0</v>
      </c>
      <c r="CN54" s="223">
        <f t="shared" si="157"/>
        <v>0</v>
      </c>
      <c r="CO54" s="223">
        <f t="shared" si="158"/>
        <v>0</v>
      </c>
      <c r="CP54" s="223">
        <f t="shared" si="159"/>
        <v>0</v>
      </c>
      <c r="CQ54" s="223">
        <f t="shared" si="160"/>
        <v>0</v>
      </c>
      <c r="CR54" s="389"/>
      <c r="CS54" s="223">
        <f t="shared" si="161"/>
        <v>0</v>
      </c>
      <c r="CT54" s="223">
        <f t="shared" si="162"/>
        <v>0</v>
      </c>
      <c r="CU54" s="223">
        <f t="shared" si="163"/>
        <v>0</v>
      </c>
      <c r="CV54" s="223">
        <f t="shared" si="164"/>
        <v>0</v>
      </c>
      <c r="CW54" s="223">
        <f t="shared" si="165"/>
        <v>0</v>
      </c>
      <c r="CX54" s="223">
        <f t="shared" si="166"/>
        <v>0</v>
      </c>
      <c r="CY54" s="223">
        <f t="shared" si="167"/>
        <v>0</v>
      </c>
      <c r="CZ54" s="223">
        <f t="shared" si="168"/>
        <v>0</v>
      </c>
      <c r="DA54" s="223">
        <f t="shared" si="169"/>
        <v>0</v>
      </c>
      <c r="DB54" s="223">
        <f t="shared" si="170"/>
        <v>0</v>
      </c>
      <c r="DC54" s="223">
        <f t="shared" si="171"/>
        <v>0</v>
      </c>
      <c r="DD54" s="223">
        <f t="shared" si="172"/>
        <v>0</v>
      </c>
      <c r="DE54" s="389"/>
      <c r="DF54" s="223">
        <f t="shared" si="173"/>
        <v>0</v>
      </c>
      <c r="DG54" s="223">
        <f t="shared" si="174"/>
        <v>0</v>
      </c>
      <c r="DH54" s="223">
        <f t="shared" si="175"/>
        <v>0</v>
      </c>
      <c r="DI54" s="223">
        <f t="shared" si="176"/>
        <v>0</v>
      </c>
      <c r="DJ54" s="223">
        <f t="shared" si="177"/>
        <v>0</v>
      </c>
      <c r="DK54" s="223">
        <f t="shared" si="178"/>
        <v>0</v>
      </c>
      <c r="DL54" s="223">
        <f t="shared" si="179"/>
        <v>0</v>
      </c>
      <c r="DM54" s="223">
        <f t="shared" si="180"/>
        <v>0</v>
      </c>
      <c r="DN54" s="223">
        <f t="shared" si="181"/>
        <v>0</v>
      </c>
      <c r="DO54" s="223">
        <f t="shared" si="182"/>
        <v>0</v>
      </c>
      <c r="DP54" s="223">
        <f t="shared" si="183"/>
        <v>0</v>
      </c>
      <c r="DQ54" s="223">
        <f t="shared" si="184"/>
        <v>0</v>
      </c>
      <c r="DR54" s="389"/>
      <c r="DS54" s="31">
        <f t="shared" si="185"/>
        <v>0</v>
      </c>
      <c r="DT54" s="390"/>
      <c r="DU54" s="9"/>
      <c r="DV54" s="8"/>
      <c r="DW54" s="7"/>
      <c r="DX54" s="7"/>
      <c r="DY54" s="7"/>
      <c r="DZ54" s="7"/>
      <c r="EA54" s="7"/>
      <c r="EB54" s="7"/>
      <c r="EC54" s="7"/>
    </row>
    <row r="55" spans="1:133">
      <c r="A55" s="1">
        <v>2</v>
      </c>
      <c r="B55" s="1">
        <v>8</v>
      </c>
      <c r="C55" s="57" t="str">
        <f t="shared" si="195"/>
        <v>///</v>
      </c>
      <c r="D55" s="57">
        <f t="shared" si="187"/>
        <v>0</v>
      </c>
      <c r="E55" s="62">
        <f t="shared" si="195"/>
        <v>0</v>
      </c>
      <c r="F55" s="223"/>
      <c r="G55" s="223">
        <f t="shared" si="189"/>
        <v>0</v>
      </c>
      <c r="H55" s="223">
        <f t="shared" si="189"/>
        <v>0</v>
      </c>
      <c r="I55" s="223">
        <f t="shared" si="189"/>
        <v>0</v>
      </c>
      <c r="J55" s="223">
        <f t="shared" si="189"/>
        <v>0</v>
      </c>
      <c r="K55" s="223">
        <f t="shared" si="189"/>
        <v>0</v>
      </c>
      <c r="L55" s="223">
        <f t="shared" si="189"/>
        <v>0</v>
      </c>
      <c r="M55" s="223">
        <f t="shared" si="189"/>
        <v>0</v>
      </c>
      <c r="N55" s="223">
        <f t="shared" si="189"/>
        <v>0</v>
      </c>
      <c r="O55" s="223">
        <f t="shared" si="189"/>
        <v>0</v>
      </c>
      <c r="P55" s="223">
        <f t="shared" si="189"/>
        <v>0</v>
      </c>
      <c r="Q55" s="223">
        <f t="shared" si="189"/>
        <v>0</v>
      </c>
      <c r="R55" s="223"/>
      <c r="S55" s="223">
        <f t="shared" si="188"/>
        <v>0</v>
      </c>
      <c r="T55" s="223">
        <f t="shared" si="190"/>
        <v>0</v>
      </c>
      <c r="U55" s="223">
        <f t="shared" si="190"/>
        <v>0</v>
      </c>
      <c r="V55" s="223">
        <f t="shared" si="190"/>
        <v>0</v>
      </c>
      <c r="W55" s="223">
        <f t="shared" si="190"/>
        <v>0</v>
      </c>
      <c r="X55" s="223">
        <f t="shared" si="190"/>
        <v>0</v>
      </c>
      <c r="Y55" s="223">
        <f t="shared" si="190"/>
        <v>0</v>
      </c>
      <c r="Z55" s="223">
        <f t="shared" si="190"/>
        <v>0</v>
      </c>
      <c r="AA55" s="223">
        <f t="shared" si="190"/>
        <v>0</v>
      </c>
      <c r="AB55" s="223">
        <f t="shared" si="190"/>
        <v>0</v>
      </c>
      <c r="AC55" s="223">
        <f t="shared" si="190"/>
        <v>0</v>
      </c>
      <c r="AD55" s="223">
        <f t="shared" si="190"/>
        <v>0</v>
      </c>
      <c r="AE55" s="223"/>
      <c r="AF55" s="223">
        <f t="shared" si="141"/>
        <v>0</v>
      </c>
      <c r="AG55" s="223">
        <f t="shared" si="191"/>
        <v>0</v>
      </c>
      <c r="AH55" s="223">
        <f t="shared" si="191"/>
        <v>0</v>
      </c>
      <c r="AI55" s="223">
        <f t="shared" si="191"/>
        <v>0</v>
      </c>
      <c r="AJ55" s="223">
        <f t="shared" si="191"/>
        <v>0</v>
      </c>
      <c r="AK55" s="223">
        <f t="shared" si="191"/>
        <v>0</v>
      </c>
      <c r="AL55" s="223">
        <f t="shared" si="191"/>
        <v>0</v>
      </c>
      <c r="AM55" s="223">
        <f t="shared" si="191"/>
        <v>0</v>
      </c>
      <c r="AN55" s="223">
        <f t="shared" si="191"/>
        <v>0</v>
      </c>
      <c r="AO55" s="223">
        <f t="shared" si="191"/>
        <v>0</v>
      </c>
      <c r="AP55" s="223">
        <f t="shared" si="191"/>
        <v>0</v>
      </c>
      <c r="AQ55" s="223">
        <f t="shared" si="191"/>
        <v>0</v>
      </c>
      <c r="AR55" s="223"/>
      <c r="AS55" s="223">
        <f t="shared" si="143"/>
        <v>0</v>
      </c>
      <c r="AT55" s="223">
        <f t="shared" si="192"/>
        <v>0</v>
      </c>
      <c r="AU55" s="223">
        <f t="shared" si="192"/>
        <v>0</v>
      </c>
      <c r="AV55" s="223">
        <f t="shared" si="192"/>
        <v>0</v>
      </c>
      <c r="AW55" s="223">
        <f t="shared" si="192"/>
        <v>0</v>
      </c>
      <c r="AX55" s="223">
        <f t="shared" si="192"/>
        <v>0</v>
      </c>
      <c r="AY55" s="223">
        <f t="shared" si="192"/>
        <v>0</v>
      </c>
      <c r="AZ55" s="223">
        <f t="shared" si="192"/>
        <v>0</v>
      </c>
      <c r="BA55" s="223">
        <f t="shared" si="192"/>
        <v>0</v>
      </c>
      <c r="BB55" s="223">
        <f t="shared" si="192"/>
        <v>0</v>
      </c>
      <c r="BC55" s="223">
        <f t="shared" si="192"/>
        <v>0</v>
      </c>
      <c r="BD55" s="223">
        <f t="shared" si="192"/>
        <v>0</v>
      </c>
      <c r="BE55" s="223"/>
      <c r="BF55" s="223">
        <f t="shared" si="145"/>
        <v>0</v>
      </c>
      <c r="BG55" s="223">
        <f t="shared" si="193"/>
        <v>0</v>
      </c>
      <c r="BH55" s="223">
        <f t="shared" si="193"/>
        <v>0</v>
      </c>
      <c r="BI55" s="223">
        <f t="shared" si="193"/>
        <v>0</v>
      </c>
      <c r="BJ55" s="223">
        <f t="shared" si="193"/>
        <v>0</v>
      </c>
      <c r="BK55" s="223">
        <f t="shared" si="193"/>
        <v>0</v>
      </c>
      <c r="BL55" s="223">
        <f t="shared" si="193"/>
        <v>0</v>
      </c>
      <c r="BM55" s="223">
        <f t="shared" si="193"/>
        <v>0</v>
      </c>
      <c r="BN55" s="223">
        <f t="shared" si="193"/>
        <v>0</v>
      </c>
      <c r="BO55" s="223">
        <f t="shared" si="193"/>
        <v>0</v>
      </c>
      <c r="BP55" s="223">
        <f t="shared" si="193"/>
        <v>0</v>
      </c>
      <c r="BQ55" s="223">
        <f t="shared" si="193"/>
        <v>0</v>
      </c>
      <c r="BR55" s="223"/>
      <c r="BS55" s="223">
        <f t="shared" si="147"/>
        <v>0</v>
      </c>
      <c r="BT55" s="223">
        <f t="shared" si="194"/>
        <v>0</v>
      </c>
      <c r="BU55" s="223">
        <f t="shared" si="194"/>
        <v>0</v>
      </c>
      <c r="BV55" s="223">
        <f t="shared" si="194"/>
        <v>0</v>
      </c>
      <c r="BW55" s="223">
        <f t="shared" si="194"/>
        <v>0</v>
      </c>
      <c r="BX55" s="223">
        <f t="shared" si="194"/>
        <v>0</v>
      </c>
      <c r="BY55" s="223">
        <f t="shared" si="194"/>
        <v>0</v>
      </c>
      <c r="BZ55" s="223">
        <f t="shared" si="194"/>
        <v>0</v>
      </c>
      <c r="CA55" s="223">
        <f t="shared" si="194"/>
        <v>0</v>
      </c>
      <c r="CB55" s="223">
        <f t="shared" si="194"/>
        <v>0</v>
      </c>
      <c r="CC55" s="223">
        <f t="shared" si="194"/>
        <v>0</v>
      </c>
      <c r="CD55" s="223">
        <f t="shared" si="194"/>
        <v>0</v>
      </c>
      <c r="CE55" s="389"/>
      <c r="CF55" s="223">
        <f t="shared" si="149"/>
        <v>0</v>
      </c>
      <c r="CG55" s="223">
        <f t="shared" si="150"/>
        <v>0</v>
      </c>
      <c r="CH55" s="223">
        <f t="shared" si="151"/>
        <v>0</v>
      </c>
      <c r="CI55" s="223">
        <f t="shared" si="152"/>
        <v>0</v>
      </c>
      <c r="CJ55" s="223">
        <f t="shared" si="153"/>
        <v>0</v>
      </c>
      <c r="CK55" s="223">
        <f t="shared" si="154"/>
        <v>0</v>
      </c>
      <c r="CL55" s="223">
        <f t="shared" si="155"/>
        <v>0</v>
      </c>
      <c r="CM55" s="223">
        <f t="shared" si="156"/>
        <v>0</v>
      </c>
      <c r="CN55" s="223">
        <f t="shared" si="157"/>
        <v>0</v>
      </c>
      <c r="CO55" s="223">
        <f t="shared" si="158"/>
        <v>0</v>
      </c>
      <c r="CP55" s="223">
        <f t="shared" si="159"/>
        <v>0</v>
      </c>
      <c r="CQ55" s="223">
        <f t="shared" si="160"/>
        <v>0</v>
      </c>
      <c r="CR55" s="389"/>
      <c r="CS55" s="223">
        <f t="shared" si="161"/>
        <v>0</v>
      </c>
      <c r="CT55" s="223">
        <f t="shared" si="162"/>
        <v>0</v>
      </c>
      <c r="CU55" s="223">
        <f t="shared" si="163"/>
        <v>0</v>
      </c>
      <c r="CV55" s="223">
        <f t="shared" si="164"/>
        <v>0</v>
      </c>
      <c r="CW55" s="223">
        <f t="shared" si="165"/>
        <v>0</v>
      </c>
      <c r="CX55" s="223">
        <f t="shared" si="166"/>
        <v>0</v>
      </c>
      <c r="CY55" s="223">
        <f t="shared" si="167"/>
        <v>0</v>
      </c>
      <c r="CZ55" s="223">
        <f t="shared" si="168"/>
        <v>0</v>
      </c>
      <c r="DA55" s="223">
        <f t="shared" si="169"/>
        <v>0</v>
      </c>
      <c r="DB55" s="223">
        <f t="shared" si="170"/>
        <v>0</v>
      </c>
      <c r="DC55" s="223">
        <f t="shared" si="171"/>
        <v>0</v>
      </c>
      <c r="DD55" s="223">
        <f t="shared" si="172"/>
        <v>0</v>
      </c>
      <c r="DE55" s="389"/>
      <c r="DF55" s="223">
        <f t="shared" si="173"/>
        <v>0</v>
      </c>
      <c r="DG55" s="223">
        <f t="shared" si="174"/>
        <v>0</v>
      </c>
      <c r="DH55" s="223">
        <f t="shared" si="175"/>
        <v>0</v>
      </c>
      <c r="DI55" s="223">
        <f t="shared" si="176"/>
        <v>0</v>
      </c>
      <c r="DJ55" s="223">
        <f t="shared" si="177"/>
        <v>0</v>
      </c>
      <c r="DK55" s="223">
        <f t="shared" si="178"/>
        <v>0</v>
      </c>
      <c r="DL55" s="223">
        <f t="shared" si="179"/>
        <v>0</v>
      </c>
      <c r="DM55" s="223">
        <f t="shared" si="180"/>
        <v>0</v>
      </c>
      <c r="DN55" s="223">
        <f t="shared" si="181"/>
        <v>0</v>
      </c>
      <c r="DO55" s="223">
        <f t="shared" si="182"/>
        <v>0</v>
      </c>
      <c r="DP55" s="223">
        <f t="shared" si="183"/>
        <v>0</v>
      </c>
      <c r="DQ55" s="223">
        <f t="shared" si="184"/>
        <v>0</v>
      </c>
      <c r="DR55" s="389"/>
      <c r="DS55" s="31">
        <f t="shared" si="185"/>
        <v>0</v>
      </c>
      <c r="DT55" s="390"/>
      <c r="DU55" s="9"/>
      <c r="DW55" s="7"/>
      <c r="DX55" s="7"/>
      <c r="DY55" s="7"/>
      <c r="DZ55" s="7"/>
      <c r="EA55" s="7"/>
      <c r="EB55" s="7"/>
      <c r="EC55" s="7"/>
    </row>
    <row r="56" spans="1:133" hidden="1">
      <c r="A56" s="1">
        <v>2</v>
      </c>
      <c r="B56" s="1">
        <v>9</v>
      </c>
      <c r="C56" s="57" t="s">
        <v>26</v>
      </c>
      <c r="D56" s="57"/>
      <c r="E56" s="62"/>
      <c r="F56" s="389"/>
      <c r="G56" s="389">
        <f t="shared" si="189"/>
        <v>0</v>
      </c>
      <c r="H56" s="389">
        <f t="shared" si="189"/>
        <v>0</v>
      </c>
      <c r="I56" s="389">
        <f t="shared" si="189"/>
        <v>0</v>
      </c>
      <c r="J56" s="389">
        <f t="shared" si="189"/>
        <v>0</v>
      </c>
      <c r="K56" s="389">
        <f t="shared" si="189"/>
        <v>0</v>
      </c>
      <c r="L56" s="389">
        <f t="shared" si="189"/>
        <v>0</v>
      </c>
      <c r="M56" s="389">
        <f t="shared" si="189"/>
        <v>0</v>
      </c>
      <c r="N56" s="389">
        <f t="shared" si="189"/>
        <v>0</v>
      </c>
      <c r="O56" s="389">
        <f t="shared" si="189"/>
        <v>0</v>
      </c>
      <c r="P56" s="389">
        <f t="shared" si="189"/>
        <v>0</v>
      </c>
      <c r="Q56" s="389">
        <f t="shared" si="189"/>
        <v>0</v>
      </c>
      <c r="R56" s="10"/>
      <c r="S56" s="389">
        <f t="shared" si="188"/>
        <v>0</v>
      </c>
      <c r="T56" s="389">
        <f t="shared" si="190"/>
        <v>0</v>
      </c>
      <c r="U56" s="389">
        <f t="shared" si="190"/>
        <v>0</v>
      </c>
      <c r="V56" s="389">
        <f t="shared" si="190"/>
        <v>0</v>
      </c>
      <c r="W56" s="389">
        <f t="shared" si="190"/>
        <v>0</v>
      </c>
      <c r="X56" s="389">
        <f t="shared" si="190"/>
        <v>0</v>
      </c>
      <c r="Y56" s="389">
        <f t="shared" si="190"/>
        <v>0</v>
      </c>
      <c r="Z56" s="389">
        <f t="shared" si="190"/>
        <v>0</v>
      </c>
      <c r="AA56" s="389">
        <f t="shared" si="190"/>
        <v>0</v>
      </c>
      <c r="AB56" s="389">
        <f t="shared" si="190"/>
        <v>0</v>
      </c>
      <c r="AC56" s="389">
        <f t="shared" si="190"/>
        <v>0</v>
      </c>
      <c r="AD56" s="389">
        <f t="shared" si="190"/>
        <v>0</v>
      </c>
      <c r="AE56" s="10"/>
      <c r="AF56" s="389">
        <f t="shared" si="141"/>
        <v>0</v>
      </c>
      <c r="AG56" s="389">
        <f t="shared" si="191"/>
        <v>0</v>
      </c>
      <c r="AH56" s="389">
        <f t="shared" si="191"/>
        <v>0</v>
      </c>
      <c r="AI56" s="389">
        <f t="shared" si="191"/>
        <v>0</v>
      </c>
      <c r="AJ56" s="389">
        <f t="shared" si="191"/>
        <v>0</v>
      </c>
      <c r="AK56" s="389">
        <f t="shared" si="191"/>
        <v>0</v>
      </c>
      <c r="AL56" s="389">
        <f t="shared" si="191"/>
        <v>0</v>
      </c>
      <c r="AM56" s="389">
        <f t="shared" si="191"/>
        <v>0</v>
      </c>
      <c r="AN56" s="389">
        <f t="shared" si="191"/>
        <v>0</v>
      </c>
      <c r="AO56" s="389">
        <f t="shared" si="191"/>
        <v>0</v>
      </c>
      <c r="AP56" s="389">
        <f t="shared" si="191"/>
        <v>0</v>
      </c>
      <c r="AQ56" s="389">
        <f t="shared" si="191"/>
        <v>0</v>
      </c>
      <c r="AR56" s="389"/>
      <c r="AS56" s="389">
        <f t="shared" si="143"/>
        <v>0</v>
      </c>
      <c r="AT56" s="389">
        <f t="shared" si="192"/>
        <v>0</v>
      </c>
      <c r="AU56" s="389">
        <f t="shared" si="192"/>
        <v>0</v>
      </c>
      <c r="AV56" s="389">
        <f t="shared" si="192"/>
        <v>0</v>
      </c>
      <c r="AW56" s="389">
        <f t="shared" si="192"/>
        <v>0</v>
      </c>
      <c r="AX56" s="389">
        <f t="shared" si="192"/>
        <v>0</v>
      </c>
      <c r="AY56" s="389">
        <f t="shared" si="192"/>
        <v>0</v>
      </c>
      <c r="AZ56" s="389">
        <f t="shared" si="192"/>
        <v>0</v>
      </c>
      <c r="BA56" s="389">
        <f t="shared" si="192"/>
        <v>0</v>
      </c>
      <c r="BB56" s="389">
        <f t="shared" si="192"/>
        <v>0</v>
      </c>
      <c r="BC56" s="389">
        <f t="shared" si="192"/>
        <v>0</v>
      </c>
      <c r="BD56" s="389">
        <f t="shared" si="192"/>
        <v>0</v>
      </c>
      <c r="BE56" s="389"/>
      <c r="BF56" s="389">
        <f t="shared" si="145"/>
        <v>0</v>
      </c>
      <c r="BG56" s="389">
        <f t="shared" si="193"/>
        <v>0</v>
      </c>
      <c r="BH56" s="389">
        <f t="shared" si="193"/>
        <v>0</v>
      </c>
      <c r="BI56" s="389">
        <f t="shared" si="193"/>
        <v>0</v>
      </c>
      <c r="BJ56" s="389">
        <f t="shared" si="193"/>
        <v>0</v>
      </c>
      <c r="BK56" s="389">
        <f t="shared" si="193"/>
        <v>0</v>
      </c>
      <c r="BL56" s="389">
        <f t="shared" si="193"/>
        <v>0</v>
      </c>
      <c r="BM56" s="389">
        <f t="shared" si="193"/>
        <v>0</v>
      </c>
      <c r="BN56" s="389">
        <f t="shared" si="193"/>
        <v>0</v>
      </c>
      <c r="BO56" s="389">
        <f t="shared" si="193"/>
        <v>0</v>
      </c>
      <c r="BP56" s="389">
        <f t="shared" si="193"/>
        <v>0</v>
      </c>
      <c r="BQ56" s="389">
        <f t="shared" si="193"/>
        <v>0</v>
      </c>
      <c r="BR56" s="389"/>
      <c r="BS56" s="389">
        <f t="shared" si="147"/>
        <v>0</v>
      </c>
      <c r="BT56" s="389">
        <f t="shared" si="194"/>
        <v>0</v>
      </c>
      <c r="BU56" s="389">
        <f t="shared" si="194"/>
        <v>0</v>
      </c>
      <c r="BV56" s="389">
        <f t="shared" si="194"/>
        <v>0</v>
      </c>
      <c r="BW56" s="389">
        <f t="shared" si="194"/>
        <v>0</v>
      </c>
      <c r="BX56" s="389">
        <f t="shared" si="194"/>
        <v>0</v>
      </c>
      <c r="BY56" s="389">
        <f t="shared" si="194"/>
        <v>0</v>
      </c>
      <c r="BZ56" s="389">
        <f t="shared" si="194"/>
        <v>0</v>
      </c>
      <c r="CA56" s="389">
        <f t="shared" si="194"/>
        <v>0</v>
      </c>
      <c r="CB56" s="389">
        <f t="shared" si="194"/>
        <v>0</v>
      </c>
      <c r="CC56" s="389">
        <f t="shared" si="194"/>
        <v>0</v>
      </c>
      <c r="CD56" s="389">
        <f t="shared" si="194"/>
        <v>0</v>
      </c>
      <c r="CE56" s="389"/>
      <c r="CF56" s="389">
        <f t="shared" si="149"/>
        <v>0</v>
      </c>
      <c r="CG56" s="389">
        <f t="shared" si="150"/>
        <v>0</v>
      </c>
      <c r="CH56" s="389">
        <f t="shared" si="151"/>
        <v>0</v>
      </c>
      <c r="CI56" s="389">
        <f t="shared" si="152"/>
        <v>0</v>
      </c>
      <c r="CJ56" s="389">
        <f t="shared" si="153"/>
        <v>0</v>
      </c>
      <c r="CK56" s="389">
        <f t="shared" si="154"/>
        <v>0</v>
      </c>
      <c r="CL56" s="389">
        <f t="shared" si="155"/>
        <v>0</v>
      </c>
      <c r="CM56" s="389">
        <f t="shared" si="156"/>
        <v>0</v>
      </c>
      <c r="CN56" s="389">
        <f t="shared" si="157"/>
        <v>0</v>
      </c>
      <c r="CO56" s="389">
        <f t="shared" si="158"/>
        <v>0</v>
      </c>
      <c r="CP56" s="389">
        <f t="shared" si="159"/>
        <v>0</v>
      </c>
      <c r="CQ56" s="389">
        <f t="shared" si="160"/>
        <v>0</v>
      </c>
      <c r="CR56" s="389"/>
      <c r="CS56" s="389">
        <f t="shared" si="161"/>
        <v>0</v>
      </c>
      <c r="CT56" s="389">
        <f t="shared" si="162"/>
        <v>0</v>
      </c>
      <c r="CU56" s="389">
        <f t="shared" si="163"/>
        <v>0</v>
      </c>
      <c r="CV56" s="389">
        <f t="shared" si="164"/>
        <v>0</v>
      </c>
      <c r="CW56" s="389">
        <f t="shared" si="165"/>
        <v>0</v>
      </c>
      <c r="CX56" s="389">
        <f t="shared" si="166"/>
        <v>0</v>
      </c>
      <c r="CY56" s="389">
        <f t="shared" si="167"/>
        <v>0</v>
      </c>
      <c r="CZ56" s="389">
        <f t="shared" si="168"/>
        <v>0</v>
      </c>
      <c r="DA56" s="389">
        <f t="shared" si="169"/>
        <v>0</v>
      </c>
      <c r="DB56" s="389">
        <f t="shared" si="170"/>
        <v>0</v>
      </c>
      <c r="DC56" s="389">
        <f t="shared" si="171"/>
        <v>0</v>
      </c>
      <c r="DD56" s="389">
        <f t="shared" si="172"/>
        <v>0</v>
      </c>
      <c r="DE56" s="389"/>
      <c r="DF56" s="389">
        <f t="shared" si="173"/>
        <v>0</v>
      </c>
      <c r="DG56" s="389">
        <f t="shared" si="174"/>
        <v>0</v>
      </c>
      <c r="DH56" s="389">
        <f t="shared" si="175"/>
        <v>0</v>
      </c>
      <c r="DI56" s="389">
        <f t="shared" si="176"/>
        <v>0</v>
      </c>
      <c r="DJ56" s="389">
        <f t="shared" si="177"/>
        <v>0</v>
      </c>
      <c r="DK56" s="389">
        <f t="shared" si="178"/>
        <v>0</v>
      </c>
      <c r="DL56" s="389">
        <f t="shared" si="179"/>
        <v>0</v>
      </c>
      <c r="DM56" s="389">
        <f t="shared" si="180"/>
        <v>0</v>
      </c>
      <c r="DN56" s="389">
        <f t="shared" si="181"/>
        <v>0</v>
      </c>
      <c r="DO56" s="389">
        <f t="shared" si="182"/>
        <v>0</v>
      </c>
      <c r="DP56" s="389">
        <f t="shared" si="183"/>
        <v>0</v>
      </c>
      <c r="DQ56" s="389">
        <f t="shared" si="184"/>
        <v>0</v>
      </c>
      <c r="DR56" s="389"/>
      <c r="DS56" s="31">
        <f>SUM(F56:Q56)+SUM(S56:AD56)+SUM(AF56:AQ56)+SUM(AS56:BD56)+SUM(BF56:BQ56)+SUM(BS56:CD56)</f>
        <v>0</v>
      </c>
      <c r="DT56" s="31"/>
      <c r="DU56" s="9"/>
      <c r="DW56" s="7"/>
      <c r="DX56" s="7"/>
      <c r="DY56" s="7"/>
      <c r="DZ56" s="7"/>
      <c r="EA56" s="7"/>
      <c r="EB56" s="7"/>
      <c r="EC56" s="7"/>
    </row>
    <row r="57" spans="1:133" hidden="1">
      <c r="C57" s="57" t="s">
        <v>26</v>
      </c>
      <c r="D57" s="57"/>
      <c r="E57" s="62"/>
      <c r="F57" s="389">
        <v>0</v>
      </c>
      <c r="G57" s="389">
        <f t="shared" si="189"/>
        <v>0</v>
      </c>
      <c r="H57" s="389">
        <f t="shared" si="189"/>
        <v>0</v>
      </c>
      <c r="I57" s="389">
        <f t="shared" si="189"/>
        <v>0</v>
      </c>
      <c r="J57" s="389">
        <f t="shared" si="189"/>
        <v>0</v>
      </c>
      <c r="K57" s="389">
        <f t="shared" si="189"/>
        <v>0</v>
      </c>
      <c r="L57" s="389">
        <f t="shared" si="189"/>
        <v>0</v>
      </c>
      <c r="M57" s="389">
        <f t="shared" si="189"/>
        <v>0</v>
      </c>
      <c r="N57" s="389">
        <f t="shared" si="189"/>
        <v>0</v>
      </c>
      <c r="O57" s="389">
        <f t="shared" si="189"/>
        <v>0</v>
      </c>
      <c r="P57" s="389">
        <f t="shared" si="189"/>
        <v>0</v>
      </c>
      <c r="Q57" s="389">
        <f t="shared" si="189"/>
        <v>0</v>
      </c>
      <c r="R57" s="10"/>
      <c r="S57" s="389">
        <f t="shared" si="188"/>
        <v>0</v>
      </c>
      <c r="T57" s="389">
        <f t="shared" si="190"/>
        <v>0</v>
      </c>
      <c r="U57" s="389">
        <f t="shared" si="190"/>
        <v>0</v>
      </c>
      <c r="V57" s="389">
        <f t="shared" si="190"/>
        <v>0</v>
      </c>
      <c r="W57" s="389">
        <f t="shared" si="190"/>
        <v>0</v>
      </c>
      <c r="X57" s="389">
        <f t="shared" si="190"/>
        <v>0</v>
      </c>
      <c r="Y57" s="389">
        <f t="shared" si="190"/>
        <v>0</v>
      </c>
      <c r="Z57" s="389">
        <f t="shared" si="190"/>
        <v>0</v>
      </c>
      <c r="AA57" s="389">
        <f t="shared" si="190"/>
        <v>0</v>
      </c>
      <c r="AB57" s="389">
        <f t="shared" si="190"/>
        <v>0</v>
      </c>
      <c r="AC57" s="389">
        <f t="shared" si="190"/>
        <v>0</v>
      </c>
      <c r="AD57" s="389">
        <f t="shared" si="190"/>
        <v>0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389">
        <f>AD57*AR$4/12</f>
        <v>0</v>
      </c>
      <c r="AS57" s="389"/>
      <c r="AT57" s="389"/>
      <c r="AU57" s="389"/>
      <c r="AV57" s="389"/>
      <c r="AW57" s="389"/>
      <c r="AX57" s="389"/>
      <c r="AY57" s="389"/>
      <c r="AZ57" s="389"/>
      <c r="BA57" s="389"/>
      <c r="BB57" s="389"/>
      <c r="BC57" s="389"/>
      <c r="BD57" s="389"/>
      <c r="BE57" s="389">
        <f>AR57*BE$4/12</f>
        <v>0</v>
      </c>
      <c r="BF57" s="389"/>
      <c r="BG57" s="389"/>
      <c r="BH57" s="389"/>
      <c r="BI57" s="389"/>
      <c r="BJ57" s="389"/>
      <c r="BK57" s="389"/>
      <c r="BL57" s="389"/>
      <c r="BM57" s="389"/>
      <c r="BN57" s="389"/>
      <c r="BO57" s="389"/>
      <c r="BP57" s="389"/>
      <c r="BQ57" s="389"/>
      <c r="BR57" s="389">
        <f>BE57*BR$4/12</f>
        <v>0</v>
      </c>
      <c r="BS57" s="389"/>
      <c r="BT57" s="389"/>
      <c r="BU57" s="389"/>
      <c r="BV57" s="389"/>
      <c r="BW57" s="389"/>
      <c r="BX57" s="389"/>
      <c r="BY57" s="389"/>
      <c r="BZ57" s="389"/>
      <c r="CA57" s="389"/>
      <c r="CB57" s="389"/>
      <c r="CC57" s="389"/>
      <c r="CD57" s="389"/>
      <c r="CE57" s="389">
        <f>BR57*CE$4/12</f>
        <v>0</v>
      </c>
      <c r="CF57" s="389"/>
      <c r="CG57" s="389"/>
      <c r="CH57" s="389"/>
      <c r="CI57" s="389"/>
      <c r="CJ57" s="389"/>
      <c r="CK57" s="389"/>
      <c r="CL57" s="389"/>
      <c r="CM57" s="389"/>
      <c r="CN57" s="389"/>
      <c r="CO57" s="389"/>
      <c r="CP57" s="389"/>
      <c r="CQ57" s="389"/>
      <c r="CR57" s="389">
        <f>CE57*CR$4/12</f>
        <v>0</v>
      </c>
      <c r="CS57" s="389"/>
      <c r="CT57" s="389"/>
      <c r="CU57" s="389"/>
      <c r="CV57" s="389"/>
      <c r="CW57" s="389"/>
      <c r="CX57" s="389"/>
      <c r="CY57" s="389"/>
      <c r="CZ57" s="389"/>
      <c r="DA57" s="389"/>
      <c r="DB57" s="389"/>
      <c r="DC57" s="389"/>
      <c r="DD57" s="389"/>
      <c r="DE57" s="389">
        <f>CR57*DE$4/12</f>
        <v>0</v>
      </c>
      <c r="DF57" s="389"/>
      <c r="DG57" s="389"/>
      <c r="DH57" s="389"/>
      <c r="DI57" s="389"/>
      <c r="DJ57" s="389"/>
      <c r="DK57" s="389"/>
      <c r="DL57" s="389"/>
      <c r="DM57" s="389"/>
      <c r="DN57" s="389"/>
      <c r="DO57" s="389"/>
      <c r="DP57" s="389"/>
      <c r="DQ57" s="389"/>
      <c r="DR57" s="389">
        <f>DE57*DR$4/12</f>
        <v>0</v>
      </c>
      <c r="DS57" s="31"/>
      <c r="DT57" s="391"/>
      <c r="DU57" s="10"/>
      <c r="DV57" s="8"/>
      <c r="DW57" s="7"/>
      <c r="DX57" s="7"/>
      <c r="DY57" s="7"/>
      <c r="DZ57" s="7"/>
      <c r="EA57" s="7"/>
      <c r="EB57" s="7"/>
      <c r="EC57" s="7"/>
    </row>
    <row r="58" spans="1:133">
      <c r="C58" s="396" t="str">
        <f>$C32</f>
        <v>Subtotal</v>
      </c>
      <c r="D58" s="57"/>
      <c r="E58" s="62"/>
      <c r="F58" s="12">
        <f t="shared" ref="F58:AK58" si="196">SUM(F35:F57)</f>
        <v>0</v>
      </c>
      <c r="G58" s="12">
        <f t="shared" si="196"/>
        <v>0</v>
      </c>
      <c r="H58" s="12">
        <f t="shared" si="196"/>
        <v>0</v>
      </c>
      <c r="I58" s="12">
        <f t="shared" si="196"/>
        <v>0</v>
      </c>
      <c r="J58" s="12">
        <f t="shared" si="196"/>
        <v>0</v>
      </c>
      <c r="K58" s="12">
        <f t="shared" si="196"/>
        <v>0</v>
      </c>
      <c r="L58" s="12">
        <f t="shared" si="196"/>
        <v>0</v>
      </c>
      <c r="M58" s="12">
        <f t="shared" si="196"/>
        <v>0</v>
      </c>
      <c r="N58" s="12">
        <f t="shared" si="196"/>
        <v>0</v>
      </c>
      <c r="O58" s="12">
        <f t="shared" si="196"/>
        <v>0</v>
      </c>
      <c r="P58" s="12">
        <f t="shared" si="196"/>
        <v>0</v>
      </c>
      <c r="Q58" s="12">
        <f t="shared" si="196"/>
        <v>0</v>
      </c>
      <c r="R58" s="12">
        <f t="shared" si="196"/>
        <v>0</v>
      </c>
      <c r="S58" s="12">
        <f t="shared" si="196"/>
        <v>0</v>
      </c>
      <c r="T58" s="12">
        <f t="shared" si="196"/>
        <v>0</v>
      </c>
      <c r="U58" s="12">
        <f t="shared" si="196"/>
        <v>0</v>
      </c>
      <c r="V58" s="12">
        <f t="shared" si="196"/>
        <v>0</v>
      </c>
      <c r="W58" s="12">
        <f t="shared" si="196"/>
        <v>0</v>
      </c>
      <c r="X58" s="12">
        <f t="shared" si="196"/>
        <v>0</v>
      </c>
      <c r="Y58" s="12">
        <f t="shared" si="196"/>
        <v>0</v>
      </c>
      <c r="Z58" s="12">
        <f t="shared" si="196"/>
        <v>0</v>
      </c>
      <c r="AA58" s="12">
        <f t="shared" si="196"/>
        <v>0</v>
      </c>
      <c r="AB58" s="12">
        <f t="shared" si="196"/>
        <v>0</v>
      </c>
      <c r="AC58" s="12">
        <f t="shared" si="196"/>
        <v>0</v>
      </c>
      <c r="AD58" s="12">
        <f t="shared" si="196"/>
        <v>0</v>
      </c>
      <c r="AE58" s="12">
        <f t="shared" si="196"/>
        <v>0</v>
      </c>
      <c r="AF58" s="12">
        <f t="shared" si="196"/>
        <v>0</v>
      </c>
      <c r="AG58" s="12">
        <f t="shared" si="196"/>
        <v>0</v>
      </c>
      <c r="AH58" s="12">
        <f t="shared" si="196"/>
        <v>0</v>
      </c>
      <c r="AI58" s="12">
        <f t="shared" si="196"/>
        <v>0</v>
      </c>
      <c r="AJ58" s="12">
        <f t="shared" si="196"/>
        <v>0</v>
      </c>
      <c r="AK58" s="12">
        <f t="shared" si="196"/>
        <v>0</v>
      </c>
      <c r="AL58" s="12">
        <f t="shared" ref="AL58:DT58" si="197">SUM(AL35:AL57)</f>
        <v>0</v>
      </c>
      <c r="AM58" s="12">
        <f t="shared" si="197"/>
        <v>0</v>
      </c>
      <c r="AN58" s="12">
        <f t="shared" si="197"/>
        <v>0</v>
      </c>
      <c r="AO58" s="12">
        <f t="shared" si="197"/>
        <v>0</v>
      </c>
      <c r="AP58" s="12">
        <f t="shared" si="197"/>
        <v>0</v>
      </c>
      <c r="AQ58" s="12">
        <f t="shared" si="197"/>
        <v>0</v>
      </c>
      <c r="AR58" s="12">
        <f t="shared" si="197"/>
        <v>0</v>
      </c>
      <c r="AS58" s="12">
        <f t="shared" si="197"/>
        <v>0</v>
      </c>
      <c r="AT58" s="12">
        <f t="shared" si="197"/>
        <v>0</v>
      </c>
      <c r="AU58" s="12">
        <f t="shared" si="197"/>
        <v>0</v>
      </c>
      <c r="AV58" s="12">
        <f t="shared" si="197"/>
        <v>0</v>
      </c>
      <c r="AW58" s="12">
        <f t="shared" si="197"/>
        <v>0</v>
      </c>
      <c r="AX58" s="12">
        <f t="shared" si="197"/>
        <v>0</v>
      </c>
      <c r="AY58" s="12">
        <f t="shared" si="197"/>
        <v>0</v>
      </c>
      <c r="AZ58" s="12">
        <f t="shared" si="197"/>
        <v>0</v>
      </c>
      <c r="BA58" s="12">
        <f t="shared" si="197"/>
        <v>0</v>
      </c>
      <c r="BB58" s="12">
        <f t="shared" si="197"/>
        <v>0</v>
      </c>
      <c r="BC58" s="12">
        <f t="shared" si="197"/>
        <v>0</v>
      </c>
      <c r="BD58" s="12">
        <f t="shared" si="197"/>
        <v>0</v>
      </c>
      <c r="BE58" s="12">
        <f t="shared" si="197"/>
        <v>0</v>
      </c>
      <c r="BF58" s="12">
        <f t="shared" si="197"/>
        <v>0</v>
      </c>
      <c r="BG58" s="12">
        <f t="shared" si="197"/>
        <v>0</v>
      </c>
      <c r="BH58" s="12">
        <f t="shared" si="197"/>
        <v>0</v>
      </c>
      <c r="BI58" s="12">
        <f t="shared" si="197"/>
        <v>0</v>
      </c>
      <c r="BJ58" s="12">
        <f t="shared" si="197"/>
        <v>0</v>
      </c>
      <c r="BK58" s="12">
        <f t="shared" si="197"/>
        <v>0</v>
      </c>
      <c r="BL58" s="12">
        <f t="shared" si="197"/>
        <v>0</v>
      </c>
      <c r="BM58" s="12">
        <f t="shared" si="197"/>
        <v>0</v>
      </c>
      <c r="BN58" s="12">
        <f t="shared" si="197"/>
        <v>0</v>
      </c>
      <c r="BO58" s="12">
        <f t="shared" si="197"/>
        <v>0</v>
      </c>
      <c r="BP58" s="12">
        <f t="shared" si="197"/>
        <v>0</v>
      </c>
      <c r="BQ58" s="12">
        <f t="shared" si="197"/>
        <v>0</v>
      </c>
      <c r="BR58" s="12">
        <f t="shared" si="197"/>
        <v>0</v>
      </c>
      <c r="BS58" s="12">
        <f t="shared" si="197"/>
        <v>0</v>
      </c>
      <c r="BT58" s="12">
        <f t="shared" si="197"/>
        <v>0</v>
      </c>
      <c r="BU58" s="12">
        <f t="shared" si="197"/>
        <v>0</v>
      </c>
      <c r="BV58" s="12">
        <f t="shared" si="197"/>
        <v>0</v>
      </c>
      <c r="BW58" s="12">
        <f t="shared" si="197"/>
        <v>0</v>
      </c>
      <c r="BX58" s="12">
        <f t="shared" si="197"/>
        <v>0</v>
      </c>
      <c r="BY58" s="12">
        <f t="shared" si="197"/>
        <v>0</v>
      </c>
      <c r="BZ58" s="12">
        <f t="shared" si="197"/>
        <v>0</v>
      </c>
      <c r="CA58" s="12">
        <f t="shared" si="197"/>
        <v>0</v>
      </c>
      <c r="CB58" s="12">
        <f t="shared" si="197"/>
        <v>0</v>
      </c>
      <c r="CC58" s="12">
        <f t="shared" si="197"/>
        <v>0</v>
      </c>
      <c r="CD58" s="12">
        <f t="shared" si="197"/>
        <v>0</v>
      </c>
      <c r="CE58" s="12">
        <f t="shared" si="197"/>
        <v>0</v>
      </c>
      <c r="CF58" s="12">
        <f t="shared" ref="CF58:DR58" si="198">SUM(CF35:CF57)</f>
        <v>0</v>
      </c>
      <c r="CG58" s="12">
        <f t="shared" si="198"/>
        <v>0</v>
      </c>
      <c r="CH58" s="12">
        <f t="shared" si="198"/>
        <v>0</v>
      </c>
      <c r="CI58" s="12">
        <f t="shared" si="198"/>
        <v>0</v>
      </c>
      <c r="CJ58" s="12">
        <f t="shared" si="198"/>
        <v>0</v>
      </c>
      <c r="CK58" s="12">
        <f t="shared" si="198"/>
        <v>0</v>
      </c>
      <c r="CL58" s="12">
        <f t="shared" si="198"/>
        <v>0</v>
      </c>
      <c r="CM58" s="12">
        <f t="shared" si="198"/>
        <v>0</v>
      </c>
      <c r="CN58" s="12">
        <f t="shared" si="198"/>
        <v>0</v>
      </c>
      <c r="CO58" s="12">
        <f t="shared" si="198"/>
        <v>0</v>
      </c>
      <c r="CP58" s="12">
        <f t="shared" si="198"/>
        <v>0</v>
      </c>
      <c r="CQ58" s="12">
        <f t="shared" si="198"/>
        <v>0</v>
      </c>
      <c r="CR58" s="12">
        <f t="shared" si="198"/>
        <v>0</v>
      </c>
      <c r="CS58" s="12">
        <f t="shared" si="198"/>
        <v>0</v>
      </c>
      <c r="CT58" s="12">
        <f t="shared" si="198"/>
        <v>0</v>
      </c>
      <c r="CU58" s="12">
        <f t="shared" si="198"/>
        <v>0</v>
      </c>
      <c r="CV58" s="12">
        <f t="shared" si="198"/>
        <v>0</v>
      </c>
      <c r="CW58" s="12">
        <f t="shared" si="198"/>
        <v>0</v>
      </c>
      <c r="CX58" s="12">
        <f t="shared" si="198"/>
        <v>0</v>
      </c>
      <c r="CY58" s="12">
        <f t="shared" si="198"/>
        <v>0</v>
      </c>
      <c r="CZ58" s="12">
        <f t="shared" si="198"/>
        <v>0</v>
      </c>
      <c r="DA58" s="12">
        <f t="shared" si="198"/>
        <v>0</v>
      </c>
      <c r="DB58" s="12">
        <f t="shared" si="198"/>
        <v>0</v>
      </c>
      <c r="DC58" s="12">
        <f t="shared" si="198"/>
        <v>0</v>
      </c>
      <c r="DD58" s="12">
        <f t="shared" si="198"/>
        <v>0</v>
      </c>
      <c r="DE58" s="12">
        <f t="shared" si="198"/>
        <v>0</v>
      </c>
      <c r="DF58" s="12">
        <f t="shared" si="198"/>
        <v>0</v>
      </c>
      <c r="DG58" s="12">
        <f t="shared" si="198"/>
        <v>0</v>
      </c>
      <c r="DH58" s="12">
        <f t="shared" si="198"/>
        <v>0</v>
      </c>
      <c r="DI58" s="12">
        <f t="shared" si="198"/>
        <v>0</v>
      </c>
      <c r="DJ58" s="12">
        <f t="shared" si="198"/>
        <v>0</v>
      </c>
      <c r="DK58" s="12">
        <f t="shared" si="198"/>
        <v>0</v>
      </c>
      <c r="DL58" s="12">
        <f t="shared" si="198"/>
        <v>0</v>
      </c>
      <c r="DM58" s="12">
        <f t="shared" si="198"/>
        <v>0</v>
      </c>
      <c r="DN58" s="12">
        <f t="shared" si="198"/>
        <v>0</v>
      </c>
      <c r="DO58" s="12">
        <f t="shared" si="198"/>
        <v>0</v>
      </c>
      <c r="DP58" s="12">
        <f t="shared" si="198"/>
        <v>0</v>
      </c>
      <c r="DQ58" s="12">
        <f t="shared" si="198"/>
        <v>0</v>
      </c>
      <c r="DR58" s="12">
        <f t="shared" si="198"/>
        <v>0</v>
      </c>
      <c r="DS58" s="30">
        <f t="shared" si="197"/>
        <v>0</v>
      </c>
      <c r="DT58" s="30">
        <f t="shared" si="197"/>
        <v>0</v>
      </c>
      <c r="DU58" s="13"/>
      <c r="DV58" s="8"/>
      <c r="DW58" s="7"/>
      <c r="DX58" s="7"/>
      <c r="DY58" s="7"/>
      <c r="DZ58" s="7"/>
      <c r="EA58" s="7"/>
      <c r="EB58" s="7"/>
      <c r="EC58" s="7"/>
    </row>
    <row r="59" spans="1:133" hidden="1">
      <c r="C59" s="57"/>
      <c r="D59" s="57"/>
      <c r="E59" s="62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31"/>
      <c r="DT59" s="31"/>
      <c r="DU59" s="9"/>
      <c r="DV59" s="8"/>
      <c r="DW59" s="7"/>
      <c r="DX59" s="7"/>
      <c r="DY59" s="7"/>
      <c r="DZ59" s="7"/>
      <c r="EA59" s="7"/>
      <c r="EB59" s="7"/>
      <c r="EC59" s="7"/>
    </row>
    <row r="60" spans="1:133" hidden="1">
      <c r="C60" s="59" t="s">
        <v>37</v>
      </c>
      <c r="D60" s="59"/>
      <c r="E60" s="63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31"/>
      <c r="DT60" s="31"/>
      <c r="DU60" s="9"/>
      <c r="DV60" s="8"/>
      <c r="DW60" s="7"/>
      <c r="DX60" s="7"/>
      <c r="DY60" s="7"/>
      <c r="DZ60" s="7"/>
      <c r="EA60" s="7"/>
      <c r="EB60" s="7"/>
      <c r="EC60" s="7"/>
    </row>
    <row r="61" spans="1:133" hidden="1">
      <c r="C61" s="57" t="str">
        <f>C35</f>
        <v>IT/JavaNetColdFusionIT/DeveloperJavaNetColdFusion/Junior</v>
      </c>
      <c r="D61" s="57"/>
      <c r="E61" s="62" t="str">
        <f>E35</f>
        <v>B2 AP1 / B2 AP2 (0.6 to 3 yrs)</v>
      </c>
      <c r="F61" s="223"/>
      <c r="G61" s="223">
        <f t="shared" ref="G61:Q76" si="199">F61</f>
        <v>0</v>
      </c>
      <c r="H61" s="223">
        <f t="shared" si="199"/>
        <v>0</v>
      </c>
      <c r="I61" s="223">
        <f t="shared" si="199"/>
        <v>0</v>
      </c>
      <c r="J61" s="223">
        <f t="shared" si="199"/>
        <v>0</v>
      </c>
      <c r="K61" s="223">
        <f t="shared" si="199"/>
        <v>0</v>
      </c>
      <c r="L61" s="223">
        <f t="shared" si="199"/>
        <v>0</v>
      </c>
      <c r="M61" s="223">
        <f t="shared" si="199"/>
        <v>0</v>
      </c>
      <c r="N61" s="223">
        <f t="shared" si="199"/>
        <v>0</v>
      </c>
      <c r="O61" s="223">
        <f t="shared" si="199"/>
        <v>0</v>
      </c>
      <c r="P61" s="223">
        <f t="shared" si="199"/>
        <v>0</v>
      </c>
      <c r="Q61" s="223">
        <f t="shared" si="199"/>
        <v>0</v>
      </c>
      <c r="R61" s="223"/>
      <c r="S61" s="223"/>
      <c r="T61" s="223">
        <f t="shared" ref="T61:AD76" si="200">S61</f>
        <v>0</v>
      </c>
      <c r="U61" s="223">
        <f t="shared" si="200"/>
        <v>0</v>
      </c>
      <c r="V61" s="223">
        <f t="shared" si="200"/>
        <v>0</v>
      </c>
      <c r="W61" s="223">
        <f t="shared" si="200"/>
        <v>0</v>
      </c>
      <c r="X61" s="223">
        <f t="shared" si="200"/>
        <v>0</v>
      </c>
      <c r="Y61" s="223">
        <f t="shared" si="200"/>
        <v>0</v>
      </c>
      <c r="Z61" s="223">
        <f t="shared" si="200"/>
        <v>0</v>
      </c>
      <c r="AA61" s="223">
        <f t="shared" si="200"/>
        <v>0</v>
      </c>
      <c r="AB61" s="223">
        <f t="shared" si="200"/>
        <v>0</v>
      </c>
      <c r="AC61" s="223">
        <f t="shared" si="200"/>
        <v>0</v>
      </c>
      <c r="AD61" s="223">
        <f t="shared" si="200"/>
        <v>0</v>
      </c>
      <c r="AE61" s="223"/>
      <c r="AF61" s="223">
        <f t="shared" ref="AF61:AF82" si="201">AD61</f>
        <v>0</v>
      </c>
      <c r="AG61" s="223">
        <f t="shared" ref="AG61:AQ76" si="202">AF61</f>
        <v>0</v>
      </c>
      <c r="AH61" s="223">
        <f t="shared" si="202"/>
        <v>0</v>
      </c>
      <c r="AI61" s="223">
        <f t="shared" si="202"/>
        <v>0</v>
      </c>
      <c r="AJ61" s="223">
        <f t="shared" si="202"/>
        <v>0</v>
      </c>
      <c r="AK61" s="223">
        <f t="shared" si="202"/>
        <v>0</v>
      </c>
      <c r="AL61" s="223">
        <f t="shared" si="202"/>
        <v>0</v>
      </c>
      <c r="AM61" s="223">
        <f t="shared" si="202"/>
        <v>0</v>
      </c>
      <c r="AN61" s="223">
        <f t="shared" si="202"/>
        <v>0</v>
      </c>
      <c r="AO61" s="223">
        <f t="shared" si="202"/>
        <v>0</v>
      </c>
      <c r="AP61" s="223">
        <f t="shared" si="202"/>
        <v>0</v>
      </c>
      <c r="AQ61" s="223">
        <f t="shared" si="202"/>
        <v>0</v>
      </c>
      <c r="AR61" s="223"/>
      <c r="AS61" s="223">
        <f t="shared" ref="AS61:AS82" si="203">AQ61</f>
        <v>0</v>
      </c>
      <c r="AT61" s="223">
        <f t="shared" ref="AT61:BD76" si="204">AS61</f>
        <v>0</v>
      </c>
      <c r="AU61" s="223">
        <f t="shared" si="204"/>
        <v>0</v>
      </c>
      <c r="AV61" s="223">
        <f t="shared" si="204"/>
        <v>0</v>
      </c>
      <c r="AW61" s="223">
        <f t="shared" si="204"/>
        <v>0</v>
      </c>
      <c r="AX61" s="223">
        <f t="shared" si="204"/>
        <v>0</v>
      </c>
      <c r="AY61" s="223">
        <f t="shared" si="204"/>
        <v>0</v>
      </c>
      <c r="AZ61" s="223">
        <f t="shared" si="204"/>
        <v>0</v>
      </c>
      <c r="BA61" s="223">
        <f t="shared" si="204"/>
        <v>0</v>
      </c>
      <c r="BB61" s="223">
        <f t="shared" si="204"/>
        <v>0</v>
      </c>
      <c r="BC61" s="223">
        <f t="shared" si="204"/>
        <v>0</v>
      </c>
      <c r="BD61" s="223">
        <f t="shared" si="204"/>
        <v>0</v>
      </c>
      <c r="BE61" s="223"/>
      <c r="BF61" s="223">
        <f t="shared" ref="BF61:BF82" si="205">BD61</f>
        <v>0</v>
      </c>
      <c r="BG61" s="223">
        <f t="shared" ref="BG61:BQ76" si="206">BF61</f>
        <v>0</v>
      </c>
      <c r="BH61" s="223">
        <f t="shared" si="206"/>
        <v>0</v>
      </c>
      <c r="BI61" s="223">
        <f t="shared" si="206"/>
        <v>0</v>
      </c>
      <c r="BJ61" s="223">
        <f t="shared" si="206"/>
        <v>0</v>
      </c>
      <c r="BK61" s="223">
        <f t="shared" si="206"/>
        <v>0</v>
      </c>
      <c r="BL61" s="223">
        <f t="shared" si="206"/>
        <v>0</v>
      </c>
      <c r="BM61" s="223">
        <f t="shared" si="206"/>
        <v>0</v>
      </c>
      <c r="BN61" s="223">
        <f t="shared" si="206"/>
        <v>0</v>
      </c>
      <c r="BO61" s="223">
        <f t="shared" si="206"/>
        <v>0</v>
      </c>
      <c r="BP61" s="223">
        <f t="shared" si="206"/>
        <v>0</v>
      </c>
      <c r="BQ61" s="223">
        <f t="shared" si="206"/>
        <v>0</v>
      </c>
      <c r="BR61" s="223"/>
      <c r="BS61" s="223">
        <f t="shared" ref="BS61:BS82" si="207">BQ61</f>
        <v>0</v>
      </c>
      <c r="BT61" s="223">
        <f t="shared" ref="BT61:CD76" si="208">BS61</f>
        <v>0</v>
      </c>
      <c r="BU61" s="223">
        <f t="shared" si="208"/>
        <v>0</v>
      </c>
      <c r="BV61" s="223">
        <f t="shared" si="208"/>
        <v>0</v>
      </c>
      <c r="BW61" s="223">
        <f t="shared" si="208"/>
        <v>0</v>
      </c>
      <c r="BX61" s="223">
        <f t="shared" si="208"/>
        <v>0</v>
      </c>
      <c r="BY61" s="223">
        <f t="shared" si="208"/>
        <v>0</v>
      </c>
      <c r="BZ61" s="223">
        <f t="shared" si="208"/>
        <v>0</v>
      </c>
      <c r="CA61" s="223">
        <f t="shared" si="208"/>
        <v>0</v>
      </c>
      <c r="CB61" s="223">
        <f t="shared" si="208"/>
        <v>0</v>
      </c>
      <c r="CC61" s="223">
        <f t="shared" si="208"/>
        <v>0</v>
      </c>
      <c r="CD61" s="223">
        <f t="shared" si="208"/>
        <v>0</v>
      </c>
      <c r="CE61" s="389"/>
      <c r="CF61" s="223">
        <f t="shared" ref="CF61:CF82" si="209">CD61</f>
        <v>0</v>
      </c>
      <c r="CG61" s="223">
        <f t="shared" ref="CG61:CG82" si="210">CF61</f>
        <v>0</v>
      </c>
      <c r="CH61" s="223">
        <f t="shared" ref="CH61:CH82" si="211">CG61</f>
        <v>0</v>
      </c>
      <c r="CI61" s="223">
        <f t="shared" ref="CI61:CI82" si="212">CH61</f>
        <v>0</v>
      </c>
      <c r="CJ61" s="223">
        <f t="shared" ref="CJ61:CJ82" si="213">CI61</f>
        <v>0</v>
      </c>
      <c r="CK61" s="223">
        <f t="shared" ref="CK61:CK82" si="214">CJ61</f>
        <v>0</v>
      </c>
      <c r="CL61" s="223">
        <f t="shared" ref="CL61:CL82" si="215">CK61</f>
        <v>0</v>
      </c>
      <c r="CM61" s="223">
        <f t="shared" ref="CM61:CM82" si="216">CL61</f>
        <v>0</v>
      </c>
      <c r="CN61" s="223">
        <f t="shared" ref="CN61:CN82" si="217">CM61</f>
        <v>0</v>
      </c>
      <c r="CO61" s="223">
        <f t="shared" ref="CO61:CO82" si="218">CN61</f>
        <v>0</v>
      </c>
      <c r="CP61" s="223">
        <f t="shared" ref="CP61:CP82" si="219">CO61</f>
        <v>0</v>
      </c>
      <c r="CQ61" s="223">
        <f t="shared" ref="CQ61:CQ82" si="220">CP61</f>
        <v>0</v>
      </c>
      <c r="CR61" s="389"/>
      <c r="CS61" s="223">
        <f t="shared" ref="CS61:CS82" si="221">CQ61</f>
        <v>0</v>
      </c>
      <c r="CT61" s="223">
        <f t="shared" ref="CT61:CT82" si="222">CS61</f>
        <v>0</v>
      </c>
      <c r="CU61" s="223">
        <f t="shared" ref="CU61:CU82" si="223">CT61</f>
        <v>0</v>
      </c>
      <c r="CV61" s="223">
        <f t="shared" ref="CV61:CV82" si="224">CU61</f>
        <v>0</v>
      </c>
      <c r="CW61" s="223">
        <f t="shared" ref="CW61:CW82" si="225">CV61</f>
        <v>0</v>
      </c>
      <c r="CX61" s="223">
        <f t="shared" ref="CX61:CX82" si="226">CW61</f>
        <v>0</v>
      </c>
      <c r="CY61" s="223">
        <f t="shared" ref="CY61:CY82" si="227">CX61</f>
        <v>0</v>
      </c>
      <c r="CZ61" s="223">
        <f t="shared" ref="CZ61:CZ82" si="228">CY61</f>
        <v>0</v>
      </c>
      <c r="DA61" s="223">
        <f t="shared" ref="DA61:DA82" si="229">CZ61</f>
        <v>0</v>
      </c>
      <c r="DB61" s="223">
        <f t="shared" ref="DB61:DB82" si="230">DA61</f>
        <v>0</v>
      </c>
      <c r="DC61" s="223">
        <f t="shared" ref="DC61:DC82" si="231">DB61</f>
        <v>0</v>
      </c>
      <c r="DD61" s="223">
        <f t="shared" ref="DD61:DD82" si="232">DC61</f>
        <v>0</v>
      </c>
      <c r="DE61" s="389"/>
      <c r="DF61" s="223">
        <f t="shared" ref="DF61:DF82" si="233">DD61</f>
        <v>0</v>
      </c>
      <c r="DG61" s="223">
        <f t="shared" ref="DG61:DG82" si="234">DF61</f>
        <v>0</v>
      </c>
      <c r="DH61" s="223">
        <f t="shared" ref="DH61:DH82" si="235">DG61</f>
        <v>0</v>
      </c>
      <c r="DI61" s="223">
        <f t="shared" ref="DI61:DI82" si="236">DH61</f>
        <v>0</v>
      </c>
      <c r="DJ61" s="223">
        <f t="shared" ref="DJ61:DJ82" si="237">DI61</f>
        <v>0</v>
      </c>
      <c r="DK61" s="223">
        <f t="shared" ref="DK61:DK82" si="238">DJ61</f>
        <v>0</v>
      </c>
      <c r="DL61" s="223">
        <f t="shared" ref="DL61:DL82" si="239">DK61</f>
        <v>0</v>
      </c>
      <c r="DM61" s="223">
        <f t="shared" ref="DM61:DM82" si="240">DL61</f>
        <v>0</v>
      </c>
      <c r="DN61" s="223">
        <f t="shared" ref="DN61:DN82" si="241">DM61</f>
        <v>0</v>
      </c>
      <c r="DO61" s="223">
        <f t="shared" ref="DO61:DO82" si="242">DN61</f>
        <v>0</v>
      </c>
      <c r="DP61" s="223">
        <f t="shared" ref="DP61:DP82" si="243">DO61</f>
        <v>0</v>
      </c>
      <c r="DQ61" s="223">
        <f t="shared" ref="DQ61:DQ82" si="244">DP61</f>
        <v>0</v>
      </c>
      <c r="DR61" s="389"/>
      <c r="DS61" s="31">
        <f>SUM(F61:Q61)+SUM(S61:AD61)+SUM(AF61:AQ61)+SUM(AS61:BD61)+SUM(BF61:BQ61)+SUM(BS61:CD61)</f>
        <v>0</v>
      </c>
      <c r="DT61" s="390"/>
      <c r="DU61" s="9"/>
      <c r="DV61" s="8"/>
      <c r="DW61" s="7"/>
      <c r="DX61" s="7"/>
      <c r="DY61" s="7"/>
      <c r="DZ61" s="7"/>
      <c r="EA61" s="7"/>
      <c r="EB61" s="7"/>
      <c r="EC61" s="7"/>
    </row>
    <row r="62" spans="1:133" hidden="1">
      <c r="C62" s="57" t="str">
        <f t="shared" ref="C62:E77" si="245">C36</f>
        <v>///</v>
      </c>
      <c r="D62" s="57"/>
      <c r="E62" s="62">
        <f t="shared" si="245"/>
        <v>0</v>
      </c>
      <c r="F62" s="223"/>
      <c r="G62" s="223">
        <f t="shared" si="199"/>
        <v>0</v>
      </c>
      <c r="H62" s="223">
        <f t="shared" si="199"/>
        <v>0</v>
      </c>
      <c r="I62" s="223">
        <f t="shared" si="199"/>
        <v>0</v>
      </c>
      <c r="J62" s="223">
        <f t="shared" si="199"/>
        <v>0</v>
      </c>
      <c r="K62" s="223">
        <f t="shared" si="199"/>
        <v>0</v>
      </c>
      <c r="L62" s="223">
        <f t="shared" si="199"/>
        <v>0</v>
      </c>
      <c r="M62" s="223">
        <f t="shared" si="199"/>
        <v>0</v>
      </c>
      <c r="N62" s="223">
        <f t="shared" si="199"/>
        <v>0</v>
      </c>
      <c r="O62" s="223">
        <f t="shared" si="199"/>
        <v>0</v>
      </c>
      <c r="P62" s="223">
        <f t="shared" si="199"/>
        <v>0</v>
      </c>
      <c r="Q62" s="223">
        <f t="shared" si="199"/>
        <v>0</v>
      </c>
      <c r="R62" s="223"/>
      <c r="S62" s="223"/>
      <c r="T62" s="223">
        <f t="shared" si="200"/>
        <v>0</v>
      </c>
      <c r="U62" s="223">
        <f t="shared" si="200"/>
        <v>0</v>
      </c>
      <c r="V62" s="223">
        <f t="shared" si="200"/>
        <v>0</v>
      </c>
      <c r="W62" s="223">
        <f t="shared" si="200"/>
        <v>0</v>
      </c>
      <c r="X62" s="223">
        <f t="shared" si="200"/>
        <v>0</v>
      </c>
      <c r="Y62" s="223">
        <f t="shared" si="200"/>
        <v>0</v>
      </c>
      <c r="Z62" s="223">
        <f t="shared" si="200"/>
        <v>0</v>
      </c>
      <c r="AA62" s="223">
        <f t="shared" si="200"/>
        <v>0</v>
      </c>
      <c r="AB62" s="223">
        <f t="shared" si="200"/>
        <v>0</v>
      </c>
      <c r="AC62" s="223">
        <f t="shared" si="200"/>
        <v>0</v>
      </c>
      <c r="AD62" s="223">
        <f t="shared" si="200"/>
        <v>0</v>
      </c>
      <c r="AE62" s="223"/>
      <c r="AF62" s="223">
        <f t="shared" si="201"/>
        <v>0</v>
      </c>
      <c r="AG62" s="223">
        <f t="shared" si="202"/>
        <v>0</v>
      </c>
      <c r="AH62" s="223">
        <f t="shared" si="202"/>
        <v>0</v>
      </c>
      <c r="AI62" s="223">
        <f t="shared" si="202"/>
        <v>0</v>
      </c>
      <c r="AJ62" s="223">
        <f t="shared" si="202"/>
        <v>0</v>
      </c>
      <c r="AK62" s="223">
        <f t="shared" si="202"/>
        <v>0</v>
      </c>
      <c r="AL62" s="223">
        <f t="shared" si="202"/>
        <v>0</v>
      </c>
      <c r="AM62" s="223">
        <f t="shared" si="202"/>
        <v>0</v>
      </c>
      <c r="AN62" s="223">
        <f t="shared" si="202"/>
        <v>0</v>
      </c>
      <c r="AO62" s="223">
        <f t="shared" si="202"/>
        <v>0</v>
      </c>
      <c r="AP62" s="223">
        <f t="shared" si="202"/>
        <v>0</v>
      </c>
      <c r="AQ62" s="223">
        <f t="shared" si="202"/>
        <v>0</v>
      </c>
      <c r="AR62" s="223"/>
      <c r="AS62" s="223">
        <f t="shared" si="203"/>
        <v>0</v>
      </c>
      <c r="AT62" s="223">
        <f t="shared" si="204"/>
        <v>0</v>
      </c>
      <c r="AU62" s="223">
        <f t="shared" si="204"/>
        <v>0</v>
      </c>
      <c r="AV62" s="223">
        <f t="shared" si="204"/>
        <v>0</v>
      </c>
      <c r="AW62" s="223">
        <f t="shared" si="204"/>
        <v>0</v>
      </c>
      <c r="AX62" s="223">
        <f t="shared" si="204"/>
        <v>0</v>
      </c>
      <c r="AY62" s="223">
        <f t="shared" si="204"/>
        <v>0</v>
      </c>
      <c r="AZ62" s="223">
        <f t="shared" si="204"/>
        <v>0</v>
      </c>
      <c r="BA62" s="223">
        <f t="shared" si="204"/>
        <v>0</v>
      </c>
      <c r="BB62" s="223">
        <f t="shared" si="204"/>
        <v>0</v>
      </c>
      <c r="BC62" s="223">
        <f t="shared" si="204"/>
        <v>0</v>
      </c>
      <c r="BD62" s="223">
        <f t="shared" si="204"/>
        <v>0</v>
      </c>
      <c r="BE62" s="223"/>
      <c r="BF62" s="223">
        <f t="shared" si="205"/>
        <v>0</v>
      </c>
      <c r="BG62" s="223">
        <f t="shared" si="206"/>
        <v>0</v>
      </c>
      <c r="BH62" s="223">
        <f t="shared" si="206"/>
        <v>0</v>
      </c>
      <c r="BI62" s="223">
        <f t="shared" si="206"/>
        <v>0</v>
      </c>
      <c r="BJ62" s="223">
        <f t="shared" si="206"/>
        <v>0</v>
      </c>
      <c r="BK62" s="223">
        <f t="shared" si="206"/>
        <v>0</v>
      </c>
      <c r="BL62" s="223">
        <f t="shared" si="206"/>
        <v>0</v>
      </c>
      <c r="BM62" s="223">
        <f t="shared" si="206"/>
        <v>0</v>
      </c>
      <c r="BN62" s="223">
        <f t="shared" si="206"/>
        <v>0</v>
      </c>
      <c r="BO62" s="223">
        <f t="shared" si="206"/>
        <v>0</v>
      </c>
      <c r="BP62" s="223">
        <f t="shared" si="206"/>
        <v>0</v>
      </c>
      <c r="BQ62" s="223">
        <f t="shared" si="206"/>
        <v>0</v>
      </c>
      <c r="BR62" s="223"/>
      <c r="BS62" s="223">
        <f t="shared" si="207"/>
        <v>0</v>
      </c>
      <c r="BT62" s="223">
        <f t="shared" si="208"/>
        <v>0</v>
      </c>
      <c r="BU62" s="223">
        <f t="shared" si="208"/>
        <v>0</v>
      </c>
      <c r="BV62" s="223">
        <f t="shared" si="208"/>
        <v>0</v>
      </c>
      <c r="BW62" s="223">
        <f t="shared" si="208"/>
        <v>0</v>
      </c>
      <c r="BX62" s="223">
        <f t="shared" si="208"/>
        <v>0</v>
      </c>
      <c r="BY62" s="223">
        <f t="shared" si="208"/>
        <v>0</v>
      </c>
      <c r="BZ62" s="223">
        <f t="shared" si="208"/>
        <v>0</v>
      </c>
      <c r="CA62" s="223">
        <f t="shared" si="208"/>
        <v>0</v>
      </c>
      <c r="CB62" s="223">
        <f t="shared" si="208"/>
        <v>0</v>
      </c>
      <c r="CC62" s="223">
        <f t="shared" si="208"/>
        <v>0</v>
      </c>
      <c r="CD62" s="223">
        <f t="shared" si="208"/>
        <v>0</v>
      </c>
      <c r="CE62" s="389"/>
      <c r="CF62" s="223">
        <f t="shared" si="209"/>
        <v>0</v>
      </c>
      <c r="CG62" s="223">
        <f t="shared" si="210"/>
        <v>0</v>
      </c>
      <c r="CH62" s="223">
        <f t="shared" si="211"/>
        <v>0</v>
      </c>
      <c r="CI62" s="223">
        <f t="shared" si="212"/>
        <v>0</v>
      </c>
      <c r="CJ62" s="223">
        <f t="shared" si="213"/>
        <v>0</v>
      </c>
      <c r="CK62" s="223">
        <f t="shared" si="214"/>
        <v>0</v>
      </c>
      <c r="CL62" s="223">
        <f t="shared" si="215"/>
        <v>0</v>
      </c>
      <c r="CM62" s="223">
        <f t="shared" si="216"/>
        <v>0</v>
      </c>
      <c r="CN62" s="223">
        <f t="shared" si="217"/>
        <v>0</v>
      </c>
      <c r="CO62" s="223">
        <f t="shared" si="218"/>
        <v>0</v>
      </c>
      <c r="CP62" s="223">
        <f t="shared" si="219"/>
        <v>0</v>
      </c>
      <c r="CQ62" s="223">
        <f t="shared" si="220"/>
        <v>0</v>
      </c>
      <c r="CR62" s="389"/>
      <c r="CS62" s="223">
        <f t="shared" si="221"/>
        <v>0</v>
      </c>
      <c r="CT62" s="223">
        <f t="shared" si="222"/>
        <v>0</v>
      </c>
      <c r="CU62" s="223">
        <f t="shared" si="223"/>
        <v>0</v>
      </c>
      <c r="CV62" s="223">
        <f t="shared" si="224"/>
        <v>0</v>
      </c>
      <c r="CW62" s="223">
        <f t="shared" si="225"/>
        <v>0</v>
      </c>
      <c r="CX62" s="223">
        <f t="shared" si="226"/>
        <v>0</v>
      </c>
      <c r="CY62" s="223">
        <f t="shared" si="227"/>
        <v>0</v>
      </c>
      <c r="CZ62" s="223">
        <f t="shared" si="228"/>
        <v>0</v>
      </c>
      <c r="DA62" s="223">
        <f t="shared" si="229"/>
        <v>0</v>
      </c>
      <c r="DB62" s="223">
        <f t="shared" si="230"/>
        <v>0</v>
      </c>
      <c r="DC62" s="223">
        <f t="shared" si="231"/>
        <v>0</v>
      </c>
      <c r="DD62" s="223">
        <f t="shared" si="232"/>
        <v>0</v>
      </c>
      <c r="DE62" s="389"/>
      <c r="DF62" s="223">
        <f t="shared" si="233"/>
        <v>0</v>
      </c>
      <c r="DG62" s="223">
        <f t="shared" si="234"/>
        <v>0</v>
      </c>
      <c r="DH62" s="223">
        <f t="shared" si="235"/>
        <v>0</v>
      </c>
      <c r="DI62" s="223">
        <f t="shared" si="236"/>
        <v>0</v>
      </c>
      <c r="DJ62" s="223">
        <f t="shared" si="237"/>
        <v>0</v>
      </c>
      <c r="DK62" s="223">
        <f t="shared" si="238"/>
        <v>0</v>
      </c>
      <c r="DL62" s="223">
        <f t="shared" si="239"/>
        <v>0</v>
      </c>
      <c r="DM62" s="223">
        <f t="shared" si="240"/>
        <v>0</v>
      </c>
      <c r="DN62" s="223">
        <f t="shared" si="241"/>
        <v>0</v>
      </c>
      <c r="DO62" s="223">
        <f t="shared" si="242"/>
        <v>0</v>
      </c>
      <c r="DP62" s="223">
        <f t="shared" si="243"/>
        <v>0</v>
      </c>
      <c r="DQ62" s="223">
        <f t="shared" si="244"/>
        <v>0</v>
      </c>
      <c r="DR62" s="389"/>
      <c r="DS62" s="31">
        <f>SUM(F62:Q62)+SUM(S62:AD62)+SUM(AF62:AQ62)+SUM(AS62:BD62)+SUM(BF62:BQ62)+SUM(BS62:CD62)</f>
        <v>0</v>
      </c>
      <c r="DT62" s="390"/>
      <c r="DU62" s="9"/>
      <c r="DV62" s="8"/>
      <c r="DW62" s="7"/>
      <c r="DX62" s="7"/>
      <c r="DY62" s="7"/>
      <c r="DZ62" s="7"/>
      <c r="EA62" s="7"/>
      <c r="EB62" s="7"/>
      <c r="EC62" s="7"/>
    </row>
    <row r="63" spans="1:133" hidden="1">
      <c r="C63" s="57" t="str">
        <f t="shared" si="245"/>
        <v>///</v>
      </c>
      <c r="D63" s="57"/>
      <c r="E63" s="62">
        <f t="shared" si="245"/>
        <v>0</v>
      </c>
      <c r="F63" s="223"/>
      <c r="G63" s="223">
        <f t="shared" si="199"/>
        <v>0</v>
      </c>
      <c r="H63" s="223">
        <f t="shared" si="199"/>
        <v>0</v>
      </c>
      <c r="I63" s="223">
        <f t="shared" si="199"/>
        <v>0</v>
      </c>
      <c r="J63" s="223">
        <f t="shared" si="199"/>
        <v>0</v>
      </c>
      <c r="K63" s="223">
        <f t="shared" si="199"/>
        <v>0</v>
      </c>
      <c r="L63" s="223">
        <f t="shared" si="199"/>
        <v>0</v>
      </c>
      <c r="M63" s="223">
        <f t="shared" si="199"/>
        <v>0</v>
      </c>
      <c r="N63" s="223">
        <f t="shared" si="199"/>
        <v>0</v>
      </c>
      <c r="O63" s="223">
        <f t="shared" si="199"/>
        <v>0</v>
      </c>
      <c r="P63" s="223">
        <f t="shared" si="199"/>
        <v>0</v>
      </c>
      <c r="Q63" s="223">
        <f t="shared" si="199"/>
        <v>0</v>
      </c>
      <c r="R63" s="223"/>
      <c r="S63" s="223"/>
      <c r="T63" s="223">
        <f t="shared" si="200"/>
        <v>0</v>
      </c>
      <c r="U63" s="223">
        <f t="shared" si="200"/>
        <v>0</v>
      </c>
      <c r="V63" s="223">
        <f t="shared" si="200"/>
        <v>0</v>
      </c>
      <c r="W63" s="223">
        <f t="shared" si="200"/>
        <v>0</v>
      </c>
      <c r="X63" s="223">
        <f t="shared" si="200"/>
        <v>0</v>
      </c>
      <c r="Y63" s="223">
        <f t="shared" si="200"/>
        <v>0</v>
      </c>
      <c r="Z63" s="223">
        <f t="shared" si="200"/>
        <v>0</v>
      </c>
      <c r="AA63" s="223">
        <f t="shared" si="200"/>
        <v>0</v>
      </c>
      <c r="AB63" s="223">
        <f t="shared" si="200"/>
        <v>0</v>
      </c>
      <c r="AC63" s="223">
        <f t="shared" si="200"/>
        <v>0</v>
      </c>
      <c r="AD63" s="223">
        <f t="shared" si="200"/>
        <v>0</v>
      </c>
      <c r="AE63" s="223"/>
      <c r="AF63" s="223">
        <f t="shared" si="201"/>
        <v>0</v>
      </c>
      <c r="AG63" s="223">
        <f t="shared" si="202"/>
        <v>0</v>
      </c>
      <c r="AH63" s="223">
        <f t="shared" si="202"/>
        <v>0</v>
      </c>
      <c r="AI63" s="223">
        <f t="shared" si="202"/>
        <v>0</v>
      </c>
      <c r="AJ63" s="223">
        <f t="shared" si="202"/>
        <v>0</v>
      </c>
      <c r="AK63" s="223">
        <f t="shared" si="202"/>
        <v>0</v>
      </c>
      <c r="AL63" s="223">
        <f t="shared" si="202"/>
        <v>0</v>
      </c>
      <c r="AM63" s="223">
        <f t="shared" si="202"/>
        <v>0</v>
      </c>
      <c r="AN63" s="223">
        <f t="shared" si="202"/>
        <v>0</v>
      </c>
      <c r="AO63" s="223">
        <f t="shared" si="202"/>
        <v>0</v>
      </c>
      <c r="AP63" s="223">
        <f t="shared" si="202"/>
        <v>0</v>
      </c>
      <c r="AQ63" s="223">
        <f t="shared" si="202"/>
        <v>0</v>
      </c>
      <c r="AR63" s="223"/>
      <c r="AS63" s="223">
        <f t="shared" si="203"/>
        <v>0</v>
      </c>
      <c r="AT63" s="223">
        <f t="shared" si="204"/>
        <v>0</v>
      </c>
      <c r="AU63" s="223">
        <f t="shared" si="204"/>
        <v>0</v>
      </c>
      <c r="AV63" s="223">
        <f t="shared" si="204"/>
        <v>0</v>
      </c>
      <c r="AW63" s="223">
        <f t="shared" si="204"/>
        <v>0</v>
      </c>
      <c r="AX63" s="223">
        <f t="shared" si="204"/>
        <v>0</v>
      </c>
      <c r="AY63" s="223">
        <f t="shared" si="204"/>
        <v>0</v>
      </c>
      <c r="AZ63" s="223">
        <f t="shared" si="204"/>
        <v>0</v>
      </c>
      <c r="BA63" s="223">
        <f t="shared" si="204"/>
        <v>0</v>
      </c>
      <c r="BB63" s="223">
        <f t="shared" si="204"/>
        <v>0</v>
      </c>
      <c r="BC63" s="223">
        <f t="shared" si="204"/>
        <v>0</v>
      </c>
      <c r="BD63" s="223">
        <f t="shared" si="204"/>
        <v>0</v>
      </c>
      <c r="BE63" s="223"/>
      <c r="BF63" s="223">
        <f t="shared" si="205"/>
        <v>0</v>
      </c>
      <c r="BG63" s="223">
        <f t="shared" si="206"/>
        <v>0</v>
      </c>
      <c r="BH63" s="223">
        <f t="shared" si="206"/>
        <v>0</v>
      </c>
      <c r="BI63" s="223">
        <f t="shared" si="206"/>
        <v>0</v>
      </c>
      <c r="BJ63" s="223">
        <f t="shared" si="206"/>
        <v>0</v>
      </c>
      <c r="BK63" s="223">
        <f t="shared" si="206"/>
        <v>0</v>
      </c>
      <c r="BL63" s="223">
        <f t="shared" si="206"/>
        <v>0</v>
      </c>
      <c r="BM63" s="223">
        <f t="shared" si="206"/>
        <v>0</v>
      </c>
      <c r="BN63" s="223">
        <f t="shared" si="206"/>
        <v>0</v>
      </c>
      <c r="BO63" s="223">
        <f t="shared" si="206"/>
        <v>0</v>
      </c>
      <c r="BP63" s="223">
        <f t="shared" si="206"/>
        <v>0</v>
      </c>
      <c r="BQ63" s="223">
        <f t="shared" si="206"/>
        <v>0</v>
      </c>
      <c r="BR63" s="223"/>
      <c r="BS63" s="223">
        <f t="shared" si="207"/>
        <v>0</v>
      </c>
      <c r="BT63" s="223">
        <f t="shared" si="208"/>
        <v>0</v>
      </c>
      <c r="BU63" s="223">
        <f t="shared" si="208"/>
        <v>0</v>
      </c>
      <c r="BV63" s="223">
        <f t="shared" si="208"/>
        <v>0</v>
      </c>
      <c r="BW63" s="223">
        <f t="shared" si="208"/>
        <v>0</v>
      </c>
      <c r="BX63" s="223">
        <f t="shared" si="208"/>
        <v>0</v>
      </c>
      <c r="BY63" s="223">
        <f t="shared" si="208"/>
        <v>0</v>
      </c>
      <c r="BZ63" s="223">
        <f t="shared" si="208"/>
        <v>0</v>
      </c>
      <c r="CA63" s="223">
        <f t="shared" si="208"/>
        <v>0</v>
      </c>
      <c r="CB63" s="223">
        <f t="shared" si="208"/>
        <v>0</v>
      </c>
      <c r="CC63" s="223">
        <f t="shared" si="208"/>
        <v>0</v>
      </c>
      <c r="CD63" s="223">
        <f t="shared" si="208"/>
        <v>0</v>
      </c>
      <c r="CE63" s="389"/>
      <c r="CF63" s="223">
        <f t="shared" si="209"/>
        <v>0</v>
      </c>
      <c r="CG63" s="223">
        <f t="shared" si="210"/>
        <v>0</v>
      </c>
      <c r="CH63" s="223">
        <f t="shared" si="211"/>
        <v>0</v>
      </c>
      <c r="CI63" s="223">
        <f t="shared" si="212"/>
        <v>0</v>
      </c>
      <c r="CJ63" s="223">
        <f t="shared" si="213"/>
        <v>0</v>
      </c>
      <c r="CK63" s="223">
        <f t="shared" si="214"/>
        <v>0</v>
      </c>
      <c r="CL63" s="223">
        <f t="shared" si="215"/>
        <v>0</v>
      </c>
      <c r="CM63" s="223">
        <f t="shared" si="216"/>
        <v>0</v>
      </c>
      <c r="CN63" s="223">
        <f t="shared" si="217"/>
        <v>0</v>
      </c>
      <c r="CO63" s="223">
        <f t="shared" si="218"/>
        <v>0</v>
      </c>
      <c r="CP63" s="223">
        <f t="shared" si="219"/>
        <v>0</v>
      </c>
      <c r="CQ63" s="223">
        <f t="shared" si="220"/>
        <v>0</v>
      </c>
      <c r="CR63" s="389"/>
      <c r="CS63" s="223">
        <f t="shared" si="221"/>
        <v>0</v>
      </c>
      <c r="CT63" s="223">
        <f t="shared" si="222"/>
        <v>0</v>
      </c>
      <c r="CU63" s="223">
        <f t="shared" si="223"/>
        <v>0</v>
      </c>
      <c r="CV63" s="223">
        <f t="shared" si="224"/>
        <v>0</v>
      </c>
      <c r="CW63" s="223">
        <f t="shared" si="225"/>
        <v>0</v>
      </c>
      <c r="CX63" s="223">
        <f t="shared" si="226"/>
        <v>0</v>
      </c>
      <c r="CY63" s="223">
        <f t="shared" si="227"/>
        <v>0</v>
      </c>
      <c r="CZ63" s="223">
        <f t="shared" si="228"/>
        <v>0</v>
      </c>
      <c r="DA63" s="223">
        <f t="shared" si="229"/>
        <v>0</v>
      </c>
      <c r="DB63" s="223">
        <f t="shared" si="230"/>
        <v>0</v>
      </c>
      <c r="DC63" s="223">
        <f t="shared" si="231"/>
        <v>0</v>
      </c>
      <c r="DD63" s="223">
        <f t="shared" si="232"/>
        <v>0</v>
      </c>
      <c r="DE63" s="389"/>
      <c r="DF63" s="223">
        <f t="shared" si="233"/>
        <v>0</v>
      </c>
      <c r="DG63" s="223">
        <f t="shared" si="234"/>
        <v>0</v>
      </c>
      <c r="DH63" s="223">
        <f t="shared" si="235"/>
        <v>0</v>
      </c>
      <c r="DI63" s="223">
        <f t="shared" si="236"/>
        <v>0</v>
      </c>
      <c r="DJ63" s="223">
        <f t="shared" si="237"/>
        <v>0</v>
      </c>
      <c r="DK63" s="223">
        <f t="shared" si="238"/>
        <v>0</v>
      </c>
      <c r="DL63" s="223">
        <f t="shared" si="239"/>
        <v>0</v>
      </c>
      <c r="DM63" s="223">
        <f t="shared" si="240"/>
        <v>0</v>
      </c>
      <c r="DN63" s="223">
        <f t="shared" si="241"/>
        <v>0</v>
      </c>
      <c r="DO63" s="223">
        <f t="shared" si="242"/>
        <v>0</v>
      </c>
      <c r="DP63" s="223">
        <f t="shared" si="243"/>
        <v>0</v>
      </c>
      <c r="DQ63" s="223">
        <f t="shared" si="244"/>
        <v>0</v>
      </c>
      <c r="DR63" s="389"/>
      <c r="DS63" s="31">
        <f>SUM(F63:Q63)+SUM(S63:AD63)+SUM(AF63:AQ63)+SUM(AS63:BD63)+SUM(BF63:BQ63)+SUM(BS63:CD63)</f>
        <v>0</v>
      </c>
      <c r="DT63" s="390"/>
      <c r="DU63" s="9"/>
      <c r="DV63" s="8"/>
      <c r="DW63" s="7"/>
      <c r="DX63" s="7"/>
      <c r="DY63" s="7"/>
      <c r="DZ63" s="7"/>
      <c r="EA63" s="7"/>
      <c r="EB63" s="7"/>
      <c r="EC63" s="7"/>
    </row>
    <row r="64" spans="1:133" hidden="1">
      <c r="C64" s="57" t="str">
        <f t="shared" si="245"/>
        <v>///</v>
      </c>
      <c r="D64" s="57"/>
      <c r="E64" s="62">
        <f t="shared" si="245"/>
        <v>0</v>
      </c>
      <c r="F64" s="223"/>
      <c r="G64" s="223">
        <f t="shared" si="199"/>
        <v>0</v>
      </c>
      <c r="H64" s="223">
        <f t="shared" si="199"/>
        <v>0</v>
      </c>
      <c r="I64" s="223">
        <f t="shared" si="199"/>
        <v>0</v>
      </c>
      <c r="J64" s="223">
        <f t="shared" si="199"/>
        <v>0</v>
      </c>
      <c r="K64" s="223">
        <f t="shared" si="199"/>
        <v>0</v>
      </c>
      <c r="L64" s="223">
        <f t="shared" si="199"/>
        <v>0</v>
      </c>
      <c r="M64" s="223">
        <f t="shared" si="199"/>
        <v>0</v>
      </c>
      <c r="N64" s="223">
        <f t="shared" si="199"/>
        <v>0</v>
      </c>
      <c r="O64" s="223">
        <f t="shared" si="199"/>
        <v>0</v>
      </c>
      <c r="P64" s="223">
        <f t="shared" si="199"/>
        <v>0</v>
      </c>
      <c r="Q64" s="223">
        <f t="shared" si="199"/>
        <v>0</v>
      </c>
      <c r="R64" s="223"/>
      <c r="S64" s="223"/>
      <c r="T64" s="223">
        <f t="shared" si="200"/>
        <v>0</v>
      </c>
      <c r="U64" s="223">
        <f t="shared" si="200"/>
        <v>0</v>
      </c>
      <c r="V64" s="223">
        <f t="shared" si="200"/>
        <v>0</v>
      </c>
      <c r="W64" s="223">
        <f t="shared" si="200"/>
        <v>0</v>
      </c>
      <c r="X64" s="223">
        <f t="shared" si="200"/>
        <v>0</v>
      </c>
      <c r="Y64" s="223">
        <f t="shared" si="200"/>
        <v>0</v>
      </c>
      <c r="Z64" s="223">
        <f t="shared" si="200"/>
        <v>0</v>
      </c>
      <c r="AA64" s="223">
        <f t="shared" si="200"/>
        <v>0</v>
      </c>
      <c r="AB64" s="223">
        <f t="shared" si="200"/>
        <v>0</v>
      </c>
      <c r="AC64" s="223">
        <f t="shared" si="200"/>
        <v>0</v>
      </c>
      <c r="AD64" s="223">
        <f t="shared" si="200"/>
        <v>0</v>
      </c>
      <c r="AE64" s="223"/>
      <c r="AF64" s="223">
        <f t="shared" si="201"/>
        <v>0</v>
      </c>
      <c r="AG64" s="223">
        <f t="shared" si="202"/>
        <v>0</v>
      </c>
      <c r="AH64" s="223">
        <f t="shared" si="202"/>
        <v>0</v>
      </c>
      <c r="AI64" s="223">
        <f t="shared" si="202"/>
        <v>0</v>
      </c>
      <c r="AJ64" s="223">
        <f t="shared" si="202"/>
        <v>0</v>
      </c>
      <c r="AK64" s="223">
        <f t="shared" si="202"/>
        <v>0</v>
      </c>
      <c r="AL64" s="223">
        <f t="shared" si="202"/>
        <v>0</v>
      </c>
      <c r="AM64" s="223">
        <f t="shared" si="202"/>
        <v>0</v>
      </c>
      <c r="AN64" s="223">
        <f t="shared" si="202"/>
        <v>0</v>
      </c>
      <c r="AO64" s="223">
        <f t="shared" si="202"/>
        <v>0</v>
      </c>
      <c r="AP64" s="223">
        <f t="shared" si="202"/>
        <v>0</v>
      </c>
      <c r="AQ64" s="223">
        <f t="shared" si="202"/>
        <v>0</v>
      </c>
      <c r="AR64" s="223"/>
      <c r="AS64" s="223">
        <f t="shared" si="203"/>
        <v>0</v>
      </c>
      <c r="AT64" s="223">
        <f t="shared" si="204"/>
        <v>0</v>
      </c>
      <c r="AU64" s="223">
        <f t="shared" si="204"/>
        <v>0</v>
      </c>
      <c r="AV64" s="223">
        <f t="shared" si="204"/>
        <v>0</v>
      </c>
      <c r="AW64" s="223">
        <f t="shared" si="204"/>
        <v>0</v>
      </c>
      <c r="AX64" s="223">
        <f t="shared" si="204"/>
        <v>0</v>
      </c>
      <c r="AY64" s="223">
        <f t="shared" si="204"/>
        <v>0</v>
      </c>
      <c r="AZ64" s="223">
        <f t="shared" si="204"/>
        <v>0</v>
      </c>
      <c r="BA64" s="223">
        <f t="shared" si="204"/>
        <v>0</v>
      </c>
      <c r="BB64" s="223">
        <f t="shared" si="204"/>
        <v>0</v>
      </c>
      <c r="BC64" s="223">
        <f t="shared" si="204"/>
        <v>0</v>
      </c>
      <c r="BD64" s="223">
        <f t="shared" si="204"/>
        <v>0</v>
      </c>
      <c r="BE64" s="223"/>
      <c r="BF64" s="223">
        <f t="shared" si="205"/>
        <v>0</v>
      </c>
      <c r="BG64" s="223">
        <f t="shared" si="206"/>
        <v>0</v>
      </c>
      <c r="BH64" s="223">
        <f t="shared" si="206"/>
        <v>0</v>
      </c>
      <c r="BI64" s="223">
        <f t="shared" si="206"/>
        <v>0</v>
      </c>
      <c r="BJ64" s="223">
        <f t="shared" si="206"/>
        <v>0</v>
      </c>
      <c r="BK64" s="223">
        <f t="shared" si="206"/>
        <v>0</v>
      </c>
      <c r="BL64" s="223">
        <f t="shared" si="206"/>
        <v>0</v>
      </c>
      <c r="BM64" s="223">
        <f t="shared" si="206"/>
        <v>0</v>
      </c>
      <c r="BN64" s="223">
        <f t="shared" si="206"/>
        <v>0</v>
      </c>
      <c r="BO64" s="223">
        <f t="shared" si="206"/>
        <v>0</v>
      </c>
      <c r="BP64" s="223">
        <f t="shared" si="206"/>
        <v>0</v>
      </c>
      <c r="BQ64" s="223">
        <f t="shared" si="206"/>
        <v>0</v>
      </c>
      <c r="BR64" s="223"/>
      <c r="BS64" s="223">
        <f t="shared" si="207"/>
        <v>0</v>
      </c>
      <c r="BT64" s="223">
        <f t="shared" si="208"/>
        <v>0</v>
      </c>
      <c r="BU64" s="223">
        <f t="shared" si="208"/>
        <v>0</v>
      </c>
      <c r="BV64" s="223">
        <f t="shared" si="208"/>
        <v>0</v>
      </c>
      <c r="BW64" s="223">
        <f t="shared" si="208"/>
        <v>0</v>
      </c>
      <c r="BX64" s="223">
        <f t="shared" si="208"/>
        <v>0</v>
      </c>
      <c r="BY64" s="223">
        <f t="shared" si="208"/>
        <v>0</v>
      </c>
      <c r="BZ64" s="223">
        <f t="shared" si="208"/>
        <v>0</v>
      </c>
      <c r="CA64" s="223">
        <f t="shared" si="208"/>
        <v>0</v>
      </c>
      <c r="CB64" s="223">
        <f t="shared" si="208"/>
        <v>0</v>
      </c>
      <c r="CC64" s="223">
        <f t="shared" si="208"/>
        <v>0</v>
      </c>
      <c r="CD64" s="223">
        <f t="shared" si="208"/>
        <v>0</v>
      </c>
      <c r="CE64" s="389"/>
      <c r="CF64" s="223">
        <f t="shared" si="209"/>
        <v>0</v>
      </c>
      <c r="CG64" s="223">
        <f t="shared" si="210"/>
        <v>0</v>
      </c>
      <c r="CH64" s="223">
        <f t="shared" si="211"/>
        <v>0</v>
      </c>
      <c r="CI64" s="223">
        <f t="shared" si="212"/>
        <v>0</v>
      </c>
      <c r="CJ64" s="223">
        <f t="shared" si="213"/>
        <v>0</v>
      </c>
      <c r="CK64" s="223">
        <f t="shared" si="214"/>
        <v>0</v>
      </c>
      <c r="CL64" s="223">
        <f t="shared" si="215"/>
        <v>0</v>
      </c>
      <c r="CM64" s="223">
        <f t="shared" si="216"/>
        <v>0</v>
      </c>
      <c r="CN64" s="223">
        <f t="shared" si="217"/>
        <v>0</v>
      </c>
      <c r="CO64" s="223">
        <f t="shared" si="218"/>
        <v>0</v>
      </c>
      <c r="CP64" s="223">
        <f t="shared" si="219"/>
        <v>0</v>
      </c>
      <c r="CQ64" s="223">
        <f t="shared" si="220"/>
        <v>0</v>
      </c>
      <c r="CR64" s="389"/>
      <c r="CS64" s="223">
        <f t="shared" si="221"/>
        <v>0</v>
      </c>
      <c r="CT64" s="223">
        <f t="shared" si="222"/>
        <v>0</v>
      </c>
      <c r="CU64" s="223">
        <f t="shared" si="223"/>
        <v>0</v>
      </c>
      <c r="CV64" s="223">
        <f t="shared" si="224"/>
        <v>0</v>
      </c>
      <c r="CW64" s="223">
        <f t="shared" si="225"/>
        <v>0</v>
      </c>
      <c r="CX64" s="223">
        <f t="shared" si="226"/>
        <v>0</v>
      </c>
      <c r="CY64" s="223">
        <f t="shared" si="227"/>
        <v>0</v>
      </c>
      <c r="CZ64" s="223">
        <f t="shared" si="228"/>
        <v>0</v>
      </c>
      <c r="DA64" s="223">
        <f t="shared" si="229"/>
        <v>0</v>
      </c>
      <c r="DB64" s="223">
        <f t="shared" si="230"/>
        <v>0</v>
      </c>
      <c r="DC64" s="223">
        <f t="shared" si="231"/>
        <v>0</v>
      </c>
      <c r="DD64" s="223">
        <f t="shared" si="232"/>
        <v>0</v>
      </c>
      <c r="DE64" s="389"/>
      <c r="DF64" s="223">
        <f t="shared" si="233"/>
        <v>0</v>
      </c>
      <c r="DG64" s="223">
        <f t="shared" si="234"/>
        <v>0</v>
      </c>
      <c r="DH64" s="223">
        <f t="shared" si="235"/>
        <v>0</v>
      </c>
      <c r="DI64" s="223">
        <f t="shared" si="236"/>
        <v>0</v>
      </c>
      <c r="DJ64" s="223">
        <f t="shared" si="237"/>
        <v>0</v>
      </c>
      <c r="DK64" s="223">
        <f t="shared" si="238"/>
        <v>0</v>
      </c>
      <c r="DL64" s="223">
        <f t="shared" si="239"/>
        <v>0</v>
      </c>
      <c r="DM64" s="223">
        <f t="shared" si="240"/>
        <v>0</v>
      </c>
      <c r="DN64" s="223">
        <f t="shared" si="241"/>
        <v>0</v>
      </c>
      <c r="DO64" s="223">
        <f t="shared" si="242"/>
        <v>0</v>
      </c>
      <c r="DP64" s="223">
        <f t="shared" si="243"/>
        <v>0</v>
      </c>
      <c r="DQ64" s="223">
        <f t="shared" si="244"/>
        <v>0</v>
      </c>
      <c r="DR64" s="389"/>
      <c r="DS64" s="31">
        <f>SUM(F64:Q64)+SUM(S64:AD64)+SUM(AF64:AQ64)+SUM(AS64:BD64)+SUM(BF64:BQ64)+SUM(BS64:CD64)</f>
        <v>0</v>
      </c>
      <c r="DT64" s="390"/>
      <c r="DU64" s="9"/>
      <c r="DV64" s="8"/>
      <c r="DW64" s="7"/>
      <c r="DX64" s="7"/>
      <c r="DY64" s="7"/>
      <c r="DZ64" s="7"/>
      <c r="EA64" s="7"/>
      <c r="EB64" s="7"/>
      <c r="EC64" s="7"/>
    </row>
    <row r="65" spans="1:133" hidden="1">
      <c r="A65" s="1">
        <v>3</v>
      </c>
      <c r="B65" s="1">
        <v>1</v>
      </c>
      <c r="C65" s="57" t="str">
        <f t="shared" si="245"/>
        <v>///</v>
      </c>
      <c r="D65" s="57"/>
      <c r="E65" s="62">
        <f t="shared" si="245"/>
        <v>0</v>
      </c>
      <c r="F65" s="223"/>
      <c r="G65" s="223">
        <f t="shared" si="199"/>
        <v>0</v>
      </c>
      <c r="H65" s="223">
        <f t="shared" si="199"/>
        <v>0</v>
      </c>
      <c r="I65" s="223">
        <f t="shared" si="199"/>
        <v>0</v>
      </c>
      <c r="J65" s="223">
        <f t="shared" si="199"/>
        <v>0</v>
      </c>
      <c r="K65" s="223">
        <f t="shared" si="199"/>
        <v>0</v>
      </c>
      <c r="L65" s="223">
        <f t="shared" si="199"/>
        <v>0</v>
      </c>
      <c r="M65" s="223">
        <f t="shared" si="199"/>
        <v>0</v>
      </c>
      <c r="N65" s="223">
        <f t="shared" si="199"/>
        <v>0</v>
      </c>
      <c r="O65" s="223">
        <f t="shared" si="199"/>
        <v>0</v>
      </c>
      <c r="P65" s="223">
        <f t="shared" si="199"/>
        <v>0</v>
      </c>
      <c r="Q65" s="223">
        <f t="shared" si="199"/>
        <v>0</v>
      </c>
      <c r="R65" s="223"/>
      <c r="S65" s="223"/>
      <c r="T65" s="223">
        <f t="shared" si="200"/>
        <v>0</v>
      </c>
      <c r="U65" s="223">
        <f t="shared" si="200"/>
        <v>0</v>
      </c>
      <c r="V65" s="223">
        <f t="shared" si="200"/>
        <v>0</v>
      </c>
      <c r="W65" s="223">
        <f t="shared" si="200"/>
        <v>0</v>
      </c>
      <c r="X65" s="223">
        <f t="shared" si="200"/>
        <v>0</v>
      </c>
      <c r="Y65" s="223">
        <f t="shared" si="200"/>
        <v>0</v>
      </c>
      <c r="Z65" s="223">
        <f t="shared" si="200"/>
        <v>0</v>
      </c>
      <c r="AA65" s="223">
        <f t="shared" si="200"/>
        <v>0</v>
      </c>
      <c r="AB65" s="223">
        <f t="shared" si="200"/>
        <v>0</v>
      </c>
      <c r="AC65" s="223">
        <f t="shared" si="200"/>
        <v>0</v>
      </c>
      <c r="AD65" s="223">
        <f t="shared" si="200"/>
        <v>0</v>
      </c>
      <c r="AE65" s="223"/>
      <c r="AF65" s="223">
        <f t="shared" si="201"/>
        <v>0</v>
      </c>
      <c r="AG65" s="223">
        <f t="shared" si="202"/>
        <v>0</v>
      </c>
      <c r="AH65" s="223">
        <f t="shared" si="202"/>
        <v>0</v>
      </c>
      <c r="AI65" s="223">
        <f t="shared" si="202"/>
        <v>0</v>
      </c>
      <c r="AJ65" s="223">
        <f t="shared" si="202"/>
        <v>0</v>
      </c>
      <c r="AK65" s="223">
        <f t="shared" si="202"/>
        <v>0</v>
      </c>
      <c r="AL65" s="223">
        <f t="shared" si="202"/>
        <v>0</v>
      </c>
      <c r="AM65" s="223">
        <f t="shared" si="202"/>
        <v>0</v>
      </c>
      <c r="AN65" s="223">
        <f t="shared" si="202"/>
        <v>0</v>
      </c>
      <c r="AO65" s="223">
        <f t="shared" si="202"/>
        <v>0</v>
      </c>
      <c r="AP65" s="223">
        <f t="shared" si="202"/>
        <v>0</v>
      </c>
      <c r="AQ65" s="223">
        <f t="shared" si="202"/>
        <v>0</v>
      </c>
      <c r="AR65" s="223"/>
      <c r="AS65" s="223">
        <f t="shared" si="203"/>
        <v>0</v>
      </c>
      <c r="AT65" s="223">
        <f t="shared" si="204"/>
        <v>0</v>
      </c>
      <c r="AU65" s="223">
        <f t="shared" si="204"/>
        <v>0</v>
      </c>
      <c r="AV65" s="223">
        <f t="shared" si="204"/>
        <v>0</v>
      </c>
      <c r="AW65" s="223">
        <f t="shared" si="204"/>
        <v>0</v>
      </c>
      <c r="AX65" s="223">
        <f t="shared" si="204"/>
        <v>0</v>
      </c>
      <c r="AY65" s="223">
        <f t="shared" si="204"/>
        <v>0</v>
      </c>
      <c r="AZ65" s="223">
        <f t="shared" si="204"/>
        <v>0</v>
      </c>
      <c r="BA65" s="223">
        <f t="shared" si="204"/>
        <v>0</v>
      </c>
      <c r="BB65" s="223">
        <f t="shared" si="204"/>
        <v>0</v>
      </c>
      <c r="BC65" s="223">
        <f t="shared" si="204"/>
        <v>0</v>
      </c>
      <c r="BD65" s="223">
        <f t="shared" si="204"/>
        <v>0</v>
      </c>
      <c r="BE65" s="223"/>
      <c r="BF65" s="223">
        <f t="shared" si="205"/>
        <v>0</v>
      </c>
      <c r="BG65" s="223">
        <f t="shared" si="206"/>
        <v>0</v>
      </c>
      <c r="BH65" s="223">
        <f t="shared" si="206"/>
        <v>0</v>
      </c>
      <c r="BI65" s="223">
        <f t="shared" si="206"/>
        <v>0</v>
      </c>
      <c r="BJ65" s="223">
        <f t="shared" si="206"/>
        <v>0</v>
      </c>
      <c r="BK65" s="223">
        <f t="shared" si="206"/>
        <v>0</v>
      </c>
      <c r="BL65" s="223">
        <f t="shared" si="206"/>
        <v>0</v>
      </c>
      <c r="BM65" s="223">
        <f t="shared" si="206"/>
        <v>0</v>
      </c>
      <c r="BN65" s="223">
        <f t="shared" si="206"/>
        <v>0</v>
      </c>
      <c r="BO65" s="223">
        <f t="shared" si="206"/>
        <v>0</v>
      </c>
      <c r="BP65" s="223">
        <f t="shared" si="206"/>
        <v>0</v>
      </c>
      <c r="BQ65" s="223">
        <f t="shared" si="206"/>
        <v>0</v>
      </c>
      <c r="BR65" s="223"/>
      <c r="BS65" s="223">
        <f t="shared" si="207"/>
        <v>0</v>
      </c>
      <c r="BT65" s="223">
        <f t="shared" si="208"/>
        <v>0</v>
      </c>
      <c r="BU65" s="223">
        <f t="shared" si="208"/>
        <v>0</v>
      </c>
      <c r="BV65" s="223">
        <f t="shared" si="208"/>
        <v>0</v>
      </c>
      <c r="BW65" s="223">
        <f t="shared" si="208"/>
        <v>0</v>
      </c>
      <c r="BX65" s="223">
        <f t="shared" si="208"/>
        <v>0</v>
      </c>
      <c r="BY65" s="223">
        <f t="shared" si="208"/>
        <v>0</v>
      </c>
      <c r="BZ65" s="223">
        <f t="shared" si="208"/>
        <v>0</v>
      </c>
      <c r="CA65" s="223">
        <f t="shared" si="208"/>
        <v>0</v>
      </c>
      <c r="CB65" s="223">
        <f t="shared" si="208"/>
        <v>0</v>
      </c>
      <c r="CC65" s="223">
        <f t="shared" si="208"/>
        <v>0</v>
      </c>
      <c r="CD65" s="223">
        <f t="shared" si="208"/>
        <v>0</v>
      </c>
      <c r="CE65" s="389"/>
      <c r="CF65" s="223">
        <f t="shared" si="209"/>
        <v>0</v>
      </c>
      <c r="CG65" s="223">
        <f t="shared" si="210"/>
        <v>0</v>
      </c>
      <c r="CH65" s="223">
        <f t="shared" si="211"/>
        <v>0</v>
      </c>
      <c r="CI65" s="223">
        <f t="shared" si="212"/>
        <v>0</v>
      </c>
      <c r="CJ65" s="223">
        <f t="shared" si="213"/>
        <v>0</v>
      </c>
      <c r="CK65" s="223">
        <f t="shared" si="214"/>
        <v>0</v>
      </c>
      <c r="CL65" s="223">
        <f t="shared" si="215"/>
        <v>0</v>
      </c>
      <c r="CM65" s="223">
        <f t="shared" si="216"/>
        <v>0</v>
      </c>
      <c r="CN65" s="223">
        <f t="shared" si="217"/>
        <v>0</v>
      </c>
      <c r="CO65" s="223">
        <f t="shared" si="218"/>
        <v>0</v>
      </c>
      <c r="CP65" s="223">
        <f t="shared" si="219"/>
        <v>0</v>
      </c>
      <c r="CQ65" s="223">
        <f t="shared" si="220"/>
        <v>0</v>
      </c>
      <c r="CR65" s="389"/>
      <c r="CS65" s="223">
        <f t="shared" si="221"/>
        <v>0</v>
      </c>
      <c r="CT65" s="223">
        <f t="shared" si="222"/>
        <v>0</v>
      </c>
      <c r="CU65" s="223">
        <f t="shared" si="223"/>
        <v>0</v>
      </c>
      <c r="CV65" s="223">
        <f t="shared" si="224"/>
        <v>0</v>
      </c>
      <c r="CW65" s="223">
        <f t="shared" si="225"/>
        <v>0</v>
      </c>
      <c r="CX65" s="223">
        <f t="shared" si="226"/>
        <v>0</v>
      </c>
      <c r="CY65" s="223">
        <f t="shared" si="227"/>
        <v>0</v>
      </c>
      <c r="CZ65" s="223">
        <f t="shared" si="228"/>
        <v>0</v>
      </c>
      <c r="DA65" s="223">
        <f t="shared" si="229"/>
        <v>0</v>
      </c>
      <c r="DB65" s="223">
        <f t="shared" si="230"/>
        <v>0</v>
      </c>
      <c r="DC65" s="223">
        <f t="shared" si="231"/>
        <v>0</v>
      </c>
      <c r="DD65" s="223">
        <f t="shared" si="232"/>
        <v>0</v>
      </c>
      <c r="DE65" s="389"/>
      <c r="DF65" s="223">
        <f t="shared" si="233"/>
        <v>0</v>
      </c>
      <c r="DG65" s="223">
        <f t="shared" si="234"/>
        <v>0</v>
      </c>
      <c r="DH65" s="223">
        <f t="shared" si="235"/>
        <v>0</v>
      </c>
      <c r="DI65" s="223">
        <f t="shared" si="236"/>
        <v>0</v>
      </c>
      <c r="DJ65" s="223">
        <f t="shared" si="237"/>
        <v>0</v>
      </c>
      <c r="DK65" s="223">
        <f t="shared" si="238"/>
        <v>0</v>
      </c>
      <c r="DL65" s="223">
        <f t="shared" si="239"/>
        <v>0</v>
      </c>
      <c r="DM65" s="223">
        <f t="shared" si="240"/>
        <v>0</v>
      </c>
      <c r="DN65" s="223">
        <f t="shared" si="241"/>
        <v>0</v>
      </c>
      <c r="DO65" s="223">
        <f t="shared" si="242"/>
        <v>0</v>
      </c>
      <c r="DP65" s="223">
        <f t="shared" si="243"/>
        <v>0</v>
      </c>
      <c r="DQ65" s="223">
        <f t="shared" si="244"/>
        <v>0</v>
      </c>
      <c r="DR65" s="389"/>
      <c r="DS65" s="31">
        <f>SUM(F65:Q65)+SUM(S65:AD65)+SUM(AF65:AQ65)+SUM(AS65:BD65)+SUM(BF65:BQ65)+SUM(BS65:CD65)</f>
        <v>0</v>
      </c>
      <c r="DT65" s="390"/>
      <c r="DU65" s="9"/>
      <c r="DV65" s="8"/>
      <c r="DW65" s="7"/>
      <c r="DX65" s="7"/>
      <c r="DY65" s="7"/>
      <c r="DZ65" s="7"/>
      <c r="EA65" s="7"/>
      <c r="EB65" s="7"/>
      <c r="EC65" s="7"/>
    </row>
    <row r="66" spans="1:133" hidden="1">
      <c r="C66" s="57" t="str">
        <f t="shared" si="245"/>
        <v>///</v>
      </c>
      <c r="D66" s="57"/>
      <c r="E66" s="62">
        <f t="shared" si="245"/>
        <v>0</v>
      </c>
      <c r="F66" s="223"/>
      <c r="G66" s="223">
        <f t="shared" si="199"/>
        <v>0</v>
      </c>
      <c r="H66" s="223">
        <f t="shared" si="199"/>
        <v>0</v>
      </c>
      <c r="I66" s="223">
        <f t="shared" si="199"/>
        <v>0</v>
      </c>
      <c r="J66" s="223">
        <f t="shared" si="199"/>
        <v>0</v>
      </c>
      <c r="K66" s="223">
        <f t="shared" si="199"/>
        <v>0</v>
      </c>
      <c r="L66" s="223">
        <f t="shared" si="199"/>
        <v>0</v>
      </c>
      <c r="M66" s="223">
        <f t="shared" si="199"/>
        <v>0</v>
      </c>
      <c r="N66" s="223">
        <f t="shared" si="199"/>
        <v>0</v>
      </c>
      <c r="O66" s="223">
        <f t="shared" si="199"/>
        <v>0</v>
      </c>
      <c r="P66" s="223">
        <f t="shared" si="199"/>
        <v>0</v>
      </c>
      <c r="Q66" s="223">
        <f t="shared" si="199"/>
        <v>0</v>
      </c>
      <c r="R66" s="223"/>
      <c r="S66" s="223">
        <f t="shared" ref="S66:S83" si="246">Q66</f>
        <v>0</v>
      </c>
      <c r="T66" s="223">
        <f t="shared" si="200"/>
        <v>0</v>
      </c>
      <c r="U66" s="223">
        <f t="shared" si="200"/>
        <v>0</v>
      </c>
      <c r="V66" s="223">
        <f t="shared" si="200"/>
        <v>0</v>
      </c>
      <c r="W66" s="223">
        <f t="shared" si="200"/>
        <v>0</v>
      </c>
      <c r="X66" s="223">
        <f t="shared" si="200"/>
        <v>0</v>
      </c>
      <c r="Y66" s="223">
        <f t="shared" si="200"/>
        <v>0</v>
      </c>
      <c r="Z66" s="223">
        <f t="shared" si="200"/>
        <v>0</v>
      </c>
      <c r="AA66" s="223">
        <f t="shared" si="200"/>
        <v>0</v>
      </c>
      <c r="AB66" s="223">
        <f t="shared" si="200"/>
        <v>0</v>
      </c>
      <c r="AC66" s="223">
        <f t="shared" si="200"/>
        <v>0</v>
      </c>
      <c r="AD66" s="223">
        <f t="shared" si="200"/>
        <v>0</v>
      </c>
      <c r="AE66" s="223"/>
      <c r="AF66" s="223">
        <f t="shared" si="201"/>
        <v>0</v>
      </c>
      <c r="AG66" s="223">
        <f t="shared" si="202"/>
        <v>0</v>
      </c>
      <c r="AH66" s="223">
        <f t="shared" si="202"/>
        <v>0</v>
      </c>
      <c r="AI66" s="223">
        <f t="shared" si="202"/>
        <v>0</v>
      </c>
      <c r="AJ66" s="223">
        <f t="shared" si="202"/>
        <v>0</v>
      </c>
      <c r="AK66" s="223">
        <f t="shared" si="202"/>
        <v>0</v>
      </c>
      <c r="AL66" s="223">
        <f t="shared" si="202"/>
        <v>0</v>
      </c>
      <c r="AM66" s="223">
        <f t="shared" si="202"/>
        <v>0</v>
      </c>
      <c r="AN66" s="223">
        <f t="shared" si="202"/>
        <v>0</v>
      </c>
      <c r="AO66" s="223">
        <f t="shared" si="202"/>
        <v>0</v>
      </c>
      <c r="AP66" s="223">
        <f t="shared" si="202"/>
        <v>0</v>
      </c>
      <c r="AQ66" s="223">
        <f t="shared" si="202"/>
        <v>0</v>
      </c>
      <c r="AR66" s="223"/>
      <c r="AS66" s="223">
        <f t="shared" si="203"/>
        <v>0</v>
      </c>
      <c r="AT66" s="223">
        <f t="shared" si="204"/>
        <v>0</v>
      </c>
      <c r="AU66" s="223">
        <f t="shared" si="204"/>
        <v>0</v>
      </c>
      <c r="AV66" s="223">
        <f t="shared" si="204"/>
        <v>0</v>
      </c>
      <c r="AW66" s="223">
        <f t="shared" si="204"/>
        <v>0</v>
      </c>
      <c r="AX66" s="223">
        <f t="shared" si="204"/>
        <v>0</v>
      </c>
      <c r="AY66" s="223">
        <f t="shared" si="204"/>
        <v>0</v>
      </c>
      <c r="AZ66" s="223">
        <f t="shared" si="204"/>
        <v>0</v>
      </c>
      <c r="BA66" s="223">
        <f t="shared" si="204"/>
        <v>0</v>
      </c>
      <c r="BB66" s="223">
        <f t="shared" si="204"/>
        <v>0</v>
      </c>
      <c r="BC66" s="223">
        <f t="shared" si="204"/>
        <v>0</v>
      </c>
      <c r="BD66" s="223">
        <f t="shared" si="204"/>
        <v>0</v>
      </c>
      <c r="BE66" s="223"/>
      <c r="BF66" s="223">
        <f t="shared" si="205"/>
        <v>0</v>
      </c>
      <c r="BG66" s="223">
        <f t="shared" si="206"/>
        <v>0</v>
      </c>
      <c r="BH66" s="223">
        <f t="shared" si="206"/>
        <v>0</v>
      </c>
      <c r="BI66" s="223">
        <f t="shared" si="206"/>
        <v>0</v>
      </c>
      <c r="BJ66" s="223">
        <f t="shared" si="206"/>
        <v>0</v>
      </c>
      <c r="BK66" s="223">
        <f t="shared" si="206"/>
        <v>0</v>
      </c>
      <c r="BL66" s="223">
        <f t="shared" si="206"/>
        <v>0</v>
      </c>
      <c r="BM66" s="223">
        <f t="shared" si="206"/>
        <v>0</v>
      </c>
      <c r="BN66" s="223">
        <f t="shared" si="206"/>
        <v>0</v>
      </c>
      <c r="BO66" s="223">
        <f t="shared" si="206"/>
        <v>0</v>
      </c>
      <c r="BP66" s="223">
        <f t="shared" si="206"/>
        <v>0</v>
      </c>
      <c r="BQ66" s="223">
        <f t="shared" si="206"/>
        <v>0</v>
      </c>
      <c r="BR66" s="223"/>
      <c r="BS66" s="223">
        <f t="shared" si="207"/>
        <v>0</v>
      </c>
      <c r="BT66" s="223">
        <f t="shared" si="208"/>
        <v>0</v>
      </c>
      <c r="BU66" s="223">
        <f t="shared" si="208"/>
        <v>0</v>
      </c>
      <c r="BV66" s="223">
        <f t="shared" si="208"/>
        <v>0</v>
      </c>
      <c r="BW66" s="223">
        <f t="shared" si="208"/>
        <v>0</v>
      </c>
      <c r="BX66" s="223">
        <f t="shared" si="208"/>
        <v>0</v>
      </c>
      <c r="BY66" s="223">
        <f t="shared" si="208"/>
        <v>0</v>
      </c>
      <c r="BZ66" s="223">
        <f t="shared" si="208"/>
        <v>0</v>
      </c>
      <c r="CA66" s="223">
        <f t="shared" si="208"/>
        <v>0</v>
      </c>
      <c r="CB66" s="223">
        <f t="shared" si="208"/>
        <v>0</v>
      </c>
      <c r="CC66" s="223">
        <f t="shared" si="208"/>
        <v>0</v>
      </c>
      <c r="CD66" s="223">
        <f t="shared" si="208"/>
        <v>0</v>
      </c>
      <c r="CE66" s="389"/>
      <c r="CF66" s="223">
        <f t="shared" si="209"/>
        <v>0</v>
      </c>
      <c r="CG66" s="223">
        <f t="shared" si="210"/>
        <v>0</v>
      </c>
      <c r="CH66" s="223">
        <f t="shared" si="211"/>
        <v>0</v>
      </c>
      <c r="CI66" s="223">
        <f t="shared" si="212"/>
        <v>0</v>
      </c>
      <c r="CJ66" s="223">
        <f t="shared" si="213"/>
        <v>0</v>
      </c>
      <c r="CK66" s="223">
        <f t="shared" si="214"/>
        <v>0</v>
      </c>
      <c r="CL66" s="223">
        <f t="shared" si="215"/>
        <v>0</v>
      </c>
      <c r="CM66" s="223">
        <f t="shared" si="216"/>
        <v>0</v>
      </c>
      <c r="CN66" s="223">
        <f t="shared" si="217"/>
        <v>0</v>
      </c>
      <c r="CO66" s="223">
        <f t="shared" si="218"/>
        <v>0</v>
      </c>
      <c r="CP66" s="223">
        <f t="shared" si="219"/>
        <v>0</v>
      </c>
      <c r="CQ66" s="223">
        <f t="shared" si="220"/>
        <v>0</v>
      </c>
      <c r="CR66" s="389"/>
      <c r="CS66" s="223">
        <f t="shared" si="221"/>
        <v>0</v>
      </c>
      <c r="CT66" s="223">
        <f t="shared" si="222"/>
        <v>0</v>
      </c>
      <c r="CU66" s="223">
        <f t="shared" si="223"/>
        <v>0</v>
      </c>
      <c r="CV66" s="223">
        <f t="shared" si="224"/>
        <v>0</v>
      </c>
      <c r="CW66" s="223">
        <f t="shared" si="225"/>
        <v>0</v>
      </c>
      <c r="CX66" s="223">
        <f t="shared" si="226"/>
        <v>0</v>
      </c>
      <c r="CY66" s="223">
        <f t="shared" si="227"/>
        <v>0</v>
      </c>
      <c r="CZ66" s="223">
        <f t="shared" si="228"/>
        <v>0</v>
      </c>
      <c r="DA66" s="223">
        <f t="shared" si="229"/>
        <v>0</v>
      </c>
      <c r="DB66" s="223">
        <f t="shared" si="230"/>
        <v>0</v>
      </c>
      <c r="DC66" s="223">
        <f t="shared" si="231"/>
        <v>0</v>
      </c>
      <c r="DD66" s="223">
        <f t="shared" si="232"/>
        <v>0</v>
      </c>
      <c r="DE66" s="389"/>
      <c r="DF66" s="223">
        <f t="shared" si="233"/>
        <v>0</v>
      </c>
      <c r="DG66" s="223">
        <f t="shared" si="234"/>
        <v>0</v>
      </c>
      <c r="DH66" s="223">
        <f t="shared" si="235"/>
        <v>0</v>
      </c>
      <c r="DI66" s="223">
        <f t="shared" si="236"/>
        <v>0</v>
      </c>
      <c r="DJ66" s="223">
        <f t="shared" si="237"/>
        <v>0</v>
      </c>
      <c r="DK66" s="223">
        <f t="shared" si="238"/>
        <v>0</v>
      </c>
      <c r="DL66" s="223">
        <f t="shared" si="239"/>
        <v>0</v>
      </c>
      <c r="DM66" s="223">
        <f t="shared" si="240"/>
        <v>0</v>
      </c>
      <c r="DN66" s="223">
        <f t="shared" si="241"/>
        <v>0</v>
      </c>
      <c r="DO66" s="223">
        <f t="shared" si="242"/>
        <v>0</v>
      </c>
      <c r="DP66" s="223">
        <f t="shared" si="243"/>
        <v>0</v>
      </c>
      <c r="DQ66" s="223">
        <f t="shared" si="244"/>
        <v>0</v>
      </c>
      <c r="DR66" s="389"/>
      <c r="DS66" s="31">
        <f>SUM(F66:Q66)+SUM(S66:AD66)+SUM(AF66:AQ66)+SUM(AS66:BD66)+SUM(BF66:BQ66)+SUM(BS66:CD66)</f>
        <v>0</v>
      </c>
      <c r="DT66" s="390"/>
      <c r="DU66" s="9"/>
      <c r="DV66" s="8"/>
      <c r="DW66" s="7"/>
      <c r="DX66" s="7"/>
      <c r="DY66" s="7"/>
      <c r="DZ66" s="7"/>
      <c r="EA66" s="7"/>
      <c r="EB66" s="7"/>
      <c r="EC66" s="7"/>
    </row>
    <row r="67" spans="1:133" hidden="1">
      <c r="A67" s="1">
        <v>3</v>
      </c>
      <c r="B67" s="1">
        <v>2</v>
      </c>
      <c r="C67" s="57" t="str">
        <f t="shared" si="245"/>
        <v>///</v>
      </c>
      <c r="D67" s="57"/>
      <c r="E67" s="62">
        <f t="shared" si="245"/>
        <v>0</v>
      </c>
      <c r="F67" s="223"/>
      <c r="G67" s="223">
        <f t="shared" si="199"/>
        <v>0</v>
      </c>
      <c r="H67" s="223">
        <f t="shared" si="199"/>
        <v>0</v>
      </c>
      <c r="I67" s="223">
        <f t="shared" si="199"/>
        <v>0</v>
      </c>
      <c r="J67" s="223">
        <f t="shared" si="199"/>
        <v>0</v>
      </c>
      <c r="K67" s="223">
        <f t="shared" si="199"/>
        <v>0</v>
      </c>
      <c r="L67" s="223">
        <f t="shared" si="199"/>
        <v>0</v>
      </c>
      <c r="M67" s="223">
        <f t="shared" si="199"/>
        <v>0</v>
      </c>
      <c r="N67" s="223">
        <f t="shared" si="199"/>
        <v>0</v>
      </c>
      <c r="O67" s="223">
        <f t="shared" si="199"/>
        <v>0</v>
      </c>
      <c r="P67" s="223">
        <f t="shared" si="199"/>
        <v>0</v>
      </c>
      <c r="Q67" s="223">
        <f t="shared" si="199"/>
        <v>0</v>
      </c>
      <c r="R67" s="223"/>
      <c r="S67" s="223">
        <f t="shared" si="246"/>
        <v>0</v>
      </c>
      <c r="T67" s="223">
        <f t="shared" si="200"/>
        <v>0</v>
      </c>
      <c r="U67" s="223">
        <f t="shared" si="200"/>
        <v>0</v>
      </c>
      <c r="V67" s="223">
        <f t="shared" si="200"/>
        <v>0</v>
      </c>
      <c r="W67" s="223">
        <f t="shared" si="200"/>
        <v>0</v>
      </c>
      <c r="X67" s="223">
        <f t="shared" si="200"/>
        <v>0</v>
      </c>
      <c r="Y67" s="223">
        <f t="shared" si="200"/>
        <v>0</v>
      </c>
      <c r="Z67" s="223">
        <f t="shared" si="200"/>
        <v>0</v>
      </c>
      <c r="AA67" s="223">
        <f t="shared" si="200"/>
        <v>0</v>
      </c>
      <c r="AB67" s="223">
        <f t="shared" si="200"/>
        <v>0</v>
      </c>
      <c r="AC67" s="223">
        <f t="shared" si="200"/>
        <v>0</v>
      </c>
      <c r="AD67" s="223">
        <f t="shared" si="200"/>
        <v>0</v>
      </c>
      <c r="AE67" s="223"/>
      <c r="AF67" s="223">
        <f t="shared" si="201"/>
        <v>0</v>
      </c>
      <c r="AG67" s="223">
        <f t="shared" si="202"/>
        <v>0</v>
      </c>
      <c r="AH67" s="223">
        <f t="shared" si="202"/>
        <v>0</v>
      </c>
      <c r="AI67" s="223">
        <f t="shared" si="202"/>
        <v>0</v>
      </c>
      <c r="AJ67" s="223">
        <f t="shared" si="202"/>
        <v>0</v>
      </c>
      <c r="AK67" s="223">
        <f t="shared" si="202"/>
        <v>0</v>
      </c>
      <c r="AL67" s="223">
        <f t="shared" si="202"/>
        <v>0</v>
      </c>
      <c r="AM67" s="223">
        <f t="shared" si="202"/>
        <v>0</v>
      </c>
      <c r="AN67" s="223">
        <f t="shared" si="202"/>
        <v>0</v>
      </c>
      <c r="AO67" s="223">
        <f t="shared" si="202"/>
        <v>0</v>
      </c>
      <c r="AP67" s="223">
        <f t="shared" si="202"/>
        <v>0</v>
      </c>
      <c r="AQ67" s="223">
        <f t="shared" si="202"/>
        <v>0</v>
      </c>
      <c r="AR67" s="223"/>
      <c r="AS67" s="223">
        <f t="shared" si="203"/>
        <v>0</v>
      </c>
      <c r="AT67" s="223">
        <f t="shared" si="204"/>
        <v>0</v>
      </c>
      <c r="AU67" s="223">
        <f t="shared" si="204"/>
        <v>0</v>
      </c>
      <c r="AV67" s="223">
        <f t="shared" si="204"/>
        <v>0</v>
      </c>
      <c r="AW67" s="223">
        <f t="shared" si="204"/>
        <v>0</v>
      </c>
      <c r="AX67" s="223">
        <f t="shared" si="204"/>
        <v>0</v>
      </c>
      <c r="AY67" s="223">
        <f t="shared" si="204"/>
        <v>0</v>
      </c>
      <c r="AZ67" s="223">
        <f t="shared" si="204"/>
        <v>0</v>
      </c>
      <c r="BA67" s="223">
        <f t="shared" si="204"/>
        <v>0</v>
      </c>
      <c r="BB67" s="223">
        <f t="shared" si="204"/>
        <v>0</v>
      </c>
      <c r="BC67" s="223">
        <f t="shared" si="204"/>
        <v>0</v>
      </c>
      <c r="BD67" s="223">
        <f t="shared" si="204"/>
        <v>0</v>
      </c>
      <c r="BE67" s="223"/>
      <c r="BF67" s="223">
        <f t="shared" si="205"/>
        <v>0</v>
      </c>
      <c r="BG67" s="223">
        <f t="shared" si="206"/>
        <v>0</v>
      </c>
      <c r="BH67" s="223">
        <f t="shared" si="206"/>
        <v>0</v>
      </c>
      <c r="BI67" s="223">
        <f t="shared" si="206"/>
        <v>0</v>
      </c>
      <c r="BJ67" s="223">
        <f t="shared" si="206"/>
        <v>0</v>
      </c>
      <c r="BK67" s="223">
        <f t="shared" si="206"/>
        <v>0</v>
      </c>
      <c r="BL67" s="223">
        <f t="shared" si="206"/>
        <v>0</v>
      </c>
      <c r="BM67" s="223">
        <f t="shared" si="206"/>
        <v>0</v>
      </c>
      <c r="BN67" s="223">
        <f t="shared" si="206"/>
        <v>0</v>
      </c>
      <c r="BO67" s="223">
        <f t="shared" si="206"/>
        <v>0</v>
      </c>
      <c r="BP67" s="223">
        <f t="shared" si="206"/>
        <v>0</v>
      </c>
      <c r="BQ67" s="223">
        <f t="shared" si="206"/>
        <v>0</v>
      </c>
      <c r="BR67" s="223"/>
      <c r="BS67" s="223">
        <f t="shared" si="207"/>
        <v>0</v>
      </c>
      <c r="BT67" s="223">
        <f t="shared" si="208"/>
        <v>0</v>
      </c>
      <c r="BU67" s="223">
        <f t="shared" si="208"/>
        <v>0</v>
      </c>
      <c r="BV67" s="223">
        <f t="shared" si="208"/>
        <v>0</v>
      </c>
      <c r="BW67" s="223">
        <f t="shared" si="208"/>
        <v>0</v>
      </c>
      <c r="BX67" s="223">
        <f t="shared" si="208"/>
        <v>0</v>
      </c>
      <c r="BY67" s="223">
        <f t="shared" si="208"/>
        <v>0</v>
      </c>
      <c r="BZ67" s="223">
        <f t="shared" si="208"/>
        <v>0</v>
      </c>
      <c r="CA67" s="223">
        <f t="shared" si="208"/>
        <v>0</v>
      </c>
      <c r="CB67" s="223">
        <f t="shared" si="208"/>
        <v>0</v>
      </c>
      <c r="CC67" s="223">
        <f t="shared" si="208"/>
        <v>0</v>
      </c>
      <c r="CD67" s="223">
        <f t="shared" si="208"/>
        <v>0</v>
      </c>
      <c r="CE67" s="389"/>
      <c r="CF67" s="223">
        <f t="shared" si="209"/>
        <v>0</v>
      </c>
      <c r="CG67" s="223">
        <f t="shared" si="210"/>
        <v>0</v>
      </c>
      <c r="CH67" s="223">
        <f t="shared" si="211"/>
        <v>0</v>
      </c>
      <c r="CI67" s="223">
        <f t="shared" si="212"/>
        <v>0</v>
      </c>
      <c r="CJ67" s="223">
        <f t="shared" si="213"/>
        <v>0</v>
      </c>
      <c r="CK67" s="223">
        <f t="shared" si="214"/>
        <v>0</v>
      </c>
      <c r="CL67" s="223">
        <f t="shared" si="215"/>
        <v>0</v>
      </c>
      <c r="CM67" s="223">
        <f t="shared" si="216"/>
        <v>0</v>
      </c>
      <c r="CN67" s="223">
        <f t="shared" si="217"/>
        <v>0</v>
      </c>
      <c r="CO67" s="223">
        <f t="shared" si="218"/>
        <v>0</v>
      </c>
      <c r="CP67" s="223">
        <f t="shared" si="219"/>
        <v>0</v>
      </c>
      <c r="CQ67" s="223">
        <f t="shared" si="220"/>
        <v>0</v>
      </c>
      <c r="CR67" s="389"/>
      <c r="CS67" s="223">
        <f t="shared" si="221"/>
        <v>0</v>
      </c>
      <c r="CT67" s="223">
        <f t="shared" si="222"/>
        <v>0</v>
      </c>
      <c r="CU67" s="223">
        <f t="shared" si="223"/>
        <v>0</v>
      </c>
      <c r="CV67" s="223">
        <f t="shared" si="224"/>
        <v>0</v>
      </c>
      <c r="CW67" s="223">
        <f t="shared" si="225"/>
        <v>0</v>
      </c>
      <c r="CX67" s="223">
        <f t="shared" si="226"/>
        <v>0</v>
      </c>
      <c r="CY67" s="223">
        <f t="shared" si="227"/>
        <v>0</v>
      </c>
      <c r="CZ67" s="223">
        <f t="shared" si="228"/>
        <v>0</v>
      </c>
      <c r="DA67" s="223">
        <f t="shared" si="229"/>
        <v>0</v>
      </c>
      <c r="DB67" s="223">
        <f t="shared" si="230"/>
        <v>0</v>
      </c>
      <c r="DC67" s="223">
        <f t="shared" si="231"/>
        <v>0</v>
      </c>
      <c r="DD67" s="223">
        <f t="shared" si="232"/>
        <v>0</v>
      </c>
      <c r="DE67" s="389"/>
      <c r="DF67" s="223">
        <f t="shared" si="233"/>
        <v>0</v>
      </c>
      <c r="DG67" s="223">
        <f t="shared" si="234"/>
        <v>0</v>
      </c>
      <c r="DH67" s="223">
        <f t="shared" si="235"/>
        <v>0</v>
      </c>
      <c r="DI67" s="223">
        <f t="shared" si="236"/>
        <v>0</v>
      </c>
      <c r="DJ67" s="223">
        <f t="shared" si="237"/>
        <v>0</v>
      </c>
      <c r="DK67" s="223">
        <f t="shared" si="238"/>
        <v>0</v>
      </c>
      <c r="DL67" s="223">
        <f t="shared" si="239"/>
        <v>0</v>
      </c>
      <c r="DM67" s="223">
        <f t="shared" si="240"/>
        <v>0</v>
      </c>
      <c r="DN67" s="223">
        <f t="shared" si="241"/>
        <v>0</v>
      </c>
      <c r="DO67" s="223">
        <f t="shared" si="242"/>
        <v>0</v>
      </c>
      <c r="DP67" s="223">
        <f t="shared" si="243"/>
        <v>0</v>
      </c>
      <c r="DQ67" s="223">
        <f t="shared" si="244"/>
        <v>0</v>
      </c>
      <c r="DR67" s="389"/>
      <c r="DS67" s="31">
        <f>SUM(F67:Q67)+SUM(S67:AD67)+SUM(AF67:AQ67)+SUM(AS67:BD67)+SUM(BF67:BQ67)+SUM(BS67:CD67)</f>
        <v>0</v>
      </c>
      <c r="DT67" s="390"/>
      <c r="DU67" s="9"/>
      <c r="DV67" s="8"/>
      <c r="DW67" s="7"/>
      <c r="DX67" s="7"/>
      <c r="DY67" s="7"/>
      <c r="DZ67" s="7"/>
      <c r="EA67" s="7"/>
      <c r="EB67" s="7"/>
      <c r="EC67" s="7"/>
    </row>
    <row r="68" spans="1:133" hidden="1">
      <c r="C68" s="57" t="str">
        <f t="shared" si="245"/>
        <v>///</v>
      </c>
      <c r="D68" s="57"/>
      <c r="E68" s="62">
        <f t="shared" si="245"/>
        <v>0</v>
      </c>
      <c r="F68" s="223"/>
      <c r="G68" s="223">
        <f t="shared" si="199"/>
        <v>0</v>
      </c>
      <c r="H68" s="223">
        <f t="shared" si="199"/>
        <v>0</v>
      </c>
      <c r="I68" s="223">
        <f t="shared" si="199"/>
        <v>0</v>
      </c>
      <c r="J68" s="223">
        <f t="shared" si="199"/>
        <v>0</v>
      </c>
      <c r="K68" s="223">
        <f t="shared" si="199"/>
        <v>0</v>
      </c>
      <c r="L68" s="223">
        <f t="shared" si="199"/>
        <v>0</v>
      </c>
      <c r="M68" s="223">
        <f t="shared" si="199"/>
        <v>0</v>
      </c>
      <c r="N68" s="223">
        <f t="shared" si="199"/>
        <v>0</v>
      </c>
      <c r="O68" s="223">
        <f t="shared" si="199"/>
        <v>0</v>
      </c>
      <c r="P68" s="223">
        <f t="shared" si="199"/>
        <v>0</v>
      </c>
      <c r="Q68" s="223">
        <f t="shared" si="199"/>
        <v>0</v>
      </c>
      <c r="R68" s="223"/>
      <c r="S68" s="223">
        <f t="shared" si="246"/>
        <v>0</v>
      </c>
      <c r="T68" s="223">
        <f t="shared" si="200"/>
        <v>0</v>
      </c>
      <c r="U68" s="223">
        <f t="shared" si="200"/>
        <v>0</v>
      </c>
      <c r="V68" s="223">
        <f t="shared" si="200"/>
        <v>0</v>
      </c>
      <c r="W68" s="223">
        <f t="shared" si="200"/>
        <v>0</v>
      </c>
      <c r="X68" s="223">
        <f t="shared" si="200"/>
        <v>0</v>
      </c>
      <c r="Y68" s="223">
        <f t="shared" si="200"/>
        <v>0</v>
      </c>
      <c r="Z68" s="223">
        <f t="shared" si="200"/>
        <v>0</v>
      </c>
      <c r="AA68" s="223">
        <f t="shared" si="200"/>
        <v>0</v>
      </c>
      <c r="AB68" s="223">
        <f t="shared" si="200"/>
        <v>0</v>
      </c>
      <c r="AC68" s="223">
        <f t="shared" si="200"/>
        <v>0</v>
      </c>
      <c r="AD68" s="223">
        <f t="shared" si="200"/>
        <v>0</v>
      </c>
      <c r="AE68" s="223"/>
      <c r="AF68" s="223">
        <f t="shared" si="201"/>
        <v>0</v>
      </c>
      <c r="AG68" s="223">
        <f t="shared" si="202"/>
        <v>0</v>
      </c>
      <c r="AH68" s="223">
        <f t="shared" si="202"/>
        <v>0</v>
      </c>
      <c r="AI68" s="223">
        <f t="shared" si="202"/>
        <v>0</v>
      </c>
      <c r="AJ68" s="223">
        <f t="shared" si="202"/>
        <v>0</v>
      </c>
      <c r="AK68" s="223">
        <f t="shared" si="202"/>
        <v>0</v>
      </c>
      <c r="AL68" s="223">
        <f t="shared" si="202"/>
        <v>0</v>
      </c>
      <c r="AM68" s="223">
        <f t="shared" si="202"/>
        <v>0</v>
      </c>
      <c r="AN68" s="223">
        <f t="shared" si="202"/>
        <v>0</v>
      </c>
      <c r="AO68" s="223">
        <f t="shared" si="202"/>
        <v>0</v>
      </c>
      <c r="AP68" s="223">
        <f t="shared" si="202"/>
        <v>0</v>
      </c>
      <c r="AQ68" s="223">
        <f t="shared" si="202"/>
        <v>0</v>
      </c>
      <c r="AR68" s="223"/>
      <c r="AS68" s="223">
        <f t="shared" si="203"/>
        <v>0</v>
      </c>
      <c r="AT68" s="223">
        <f t="shared" si="204"/>
        <v>0</v>
      </c>
      <c r="AU68" s="223">
        <f t="shared" si="204"/>
        <v>0</v>
      </c>
      <c r="AV68" s="223">
        <f t="shared" si="204"/>
        <v>0</v>
      </c>
      <c r="AW68" s="223">
        <f t="shared" si="204"/>
        <v>0</v>
      </c>
      <c r="AX68" s="223">
        <f t="shared" si="204"/>
        <v>0</v>
      </c>
      <c r="AY68" s="223">
        <f t="shared" si="204"/>
        <v>0</v>
      </c>
      <c r="AZ68" s="223">
        <f t="shared" si="204"/>
        <v>0</v>
      </c>
      <c r="BA68" s="223">
        <f t="shared" si="204"/>
        <v>0</v>
      </c>
      <c r="BB68" s="223">
        <f t="shared" si="204"/>
        <v>0</v>
      </c>
      <c r="BC68" s="223">
        <f t="shared" si="204"/>
        <v>0</v>
      </c>
      <c r="BD68" s="223">
        <f t="shared" si="204"/>
        <v>0</v>
      </c>
      <c r="BE68" s="223"/>
      <c r="BF68" s="223">
        <f t="shared" si="205"/>
        <v>0</v>
      </c>
      <c r="BG68" s="223">
        <f t="shared" si="206"/>
        <v>0</v>
      </c>
      <c r="BH68" s="223">
        <f t="shared" si="206"/>
        <v>0</v>
      </c>
      <c r="BI68" s="223">
        <f t="shared" si="206"/>
        <v>0</v>
      </c>
      <c r="BJ68" s="223">
        <f t="shared" si="206"/>
        <v>0</v>
      </c>
      <c r="BK68" s="223">
        <f t="shared" si="206"/>
        <v>0</v>
      </c>
      <c r="BL68" s="223">
        <f t="shared" si="206"/>
        <v>0</v>
      </c>
      <c r="BM68" s="223">
        <f t="shared" si="206"/>
        <v>0</v>
      </c>
      <c r="BN68" s="223">
        <f t="shared" si="206"/>
        <v>0</v>
      </c>
      <c r="BO68" s="223">
        <f t="shared" si="206"/>
        <v>0</v>
      </c>
      <c r="BP68" s="223">
        <f t="shared" si="206"/>
        <v>0</v>
      </c>
      <c r="BQ68" s="223">
        <f t="shared" si="206"/>
        <v>0</v>
      </c>
      <c r="BR68" s="223"/>
      <c r="BS68" s="223">
        <f t="shared" si="207"/>
        <v>0</v>
      </c>
      <c r="BT68" s="223">
        <f t="shared" si="208"/>
        <v>0</v>
      </c>
      <c r="BU68" s="223">
        <f t="shared" si="208"/>
        <v>0</v>
      </c>
      <c r="BV68" s="223">
        <f t="shared" si="208"/>
        <v>0</v>
      </c>
      <c r="BW68" s="223">
        <f t="shared" si="208"/>
        <v>0</v>
      </c>
      <c r="BX68" s="223">
        <f t="shared" si="208"/>
        <v>0</v>
      </c>
      <c r="BY68" s="223">
        <f t="shared" si="208"/>
        <v>0</v>
      </c>
      <c r="BZ68" s="223">
        <f t="shared" si="208"/>
        <v>0</v>
      </c>
      <c r="CA68" s="223">
        <f t="shared" si="208"/>
        <v>0</v>
      </c>
      <c r="CB68" s="223">
        <f t="shared" si="208"/>
        <v>0</v>
      </c>
      <c r="CC68" s="223">
        <f t="shared" si="208"/>
        <v>0</v>
      </c>
      <c r="CD68" s="223">
        <f t="shared" si="208"/>
        <v>0</v>
      </c>
      <c r="CE68" s="389"/>
      <c r="CF68" s="223">
        <f t="shared" si="209"/>
        <v>0</v>
      </c>
      <c r="CG68" s="223">
        <f t="shared" si="210"/>
        <v>0</v>
      </c>
      <c r="CH68" s="223">
        <f t="shared" si="211"/>
        <v>0</v>
      </c>
      <c r="CI68" s="223">
        <f t="shared" si="212"/>
        <v>0</v>
      </c>
      <c r="CJ68" s="223">
        <f t="shared" si="213"/>
        <v>0</v>
      </c>
      <c r="CK68" s="223">
        <f t="shared" si="214"/>
        <v>0</v>
      </c>
      <c r="CL68" s="223">
        <f t="shared" si="215"/>
        <v>0</v>
      </c>
      <c r="CM68" s="223">
        <f t="shared" si="216"/>
        <v>0</v>
      </c>
      <c r="CN68" s="223">
        <f t="shared" si="217"/>
        <v>0</v>
      </c>
      <c r="CO68" s="223">
        <f t="shared" si="218"/>
        <v>0</v>
      </c>
      <c r="CP68" s="223">
        <f t="shared" si="219"/>
        <v>0</v>
      </c>
      <c r="CQ68" s="223">
        <f t="shared" si="220"/>
        <v>0</v>
      </c>
      <c r="CR68" s="389"/>
      <c r="CS68" s="223">
        <f t="shared" si="221"/>
        <v>0</v>
      </c>
      <c r="CT68" s="223">
        <f t="shared" si="222"/>
        <v>0</v>
      </c>
      <c r="CU68" s="223">
        <f t="shared" si="223"/>
        <v>0</v>
      </c>
      <c r="CV68" s="223">
        <f t="shared" si="224"/>
        <v>0</v>
      </c>
      <c r="CW68" s="223">
        <f t="shared" si="225"/>
        <v>0</v>
      </c>
      <c r="CX68" s="223">
        <f t="shared" si="226"/>
        <v>0</v>
      </c>
      <c r="CY68" s="223">
        <f t="shared" si="227"/>
        <v>0</v>
      </c>
      <c r="CZ68" s="223">
        <f t="shared" si="228"/>
        <v>0</v>
      </c>
      <c r="DA68" s="223">
        <f t="shared" si="229"/>
        <v>0</v>
      </c>
      <c r="DB68" s="223">
        <f t="shared" si="230"/>
        <v>0</v>
      </c>
      <c r="DC68" s="223">
        <f t="shared" si="231"/>
        <v>0</v>
      </c>
      <c r="DD68" s="223">
        <f t="shared" si="232"/>
        <v>0</v>
      </c>
      <c r="DE68" s="389"/>
      <c r="DF68" s="223">
        <f t="shared" si="233"/>
        <v>0</v>
      </c>
      <c r="DG68" s="223">
        <f t="shared" si="234"/>
        <v>0</v>
      </c>
      <c r="DH68" s="223">
        <f t="shared" si="235"/>
        <v>0</v>
      </c>
      <c r="DI68" s="223">
        <f t="shared" si="236"/>
        <v>0</v>
      </c>
      <c r="DJ68" s="223">
        <f t="shared" si="237"/>
        <v>0</v>
      </c>
      <c r="DK68" s="223">
        <f t="shared" si="238"/>
        <v>0</v>
      </c>
      <c r="DL68" s="223">
        <f t="shared" si="239"/>
        <v>0</v>
      </c>
      <c r="DM68" s="223">
        <f t="shared" si="240"/>
        <v>0</v>
      </c>
      <c r="DN68" s="223">
        <f t="shared" si="241"/>
        <v>0</v>
      </c>
      <c r="DO68" s="223">
        <f t="shared" si="242"/>
        <v>0</v>
      </c>
      <c r="DP68" s="223">
        <f t="shared" si="243"/>
        <v>0</v>
      </c>
      <c r="DQ68" s="223">
        <f t="shared" si="244"/>
        <v>0</v>
      </c>
      <c r="DR68" s="389"/>
      <c r="DS68" s="31">
        <f>SUM(F68:Q68)+SUM(S68:AD68)+SUM(AF68:AQ68)+SUM(AS68:BD68)+SUM(BF68:BQ68)+SUM(BS68:CD68)</f>
        <v>0</v>
      </c>
      <c r="DT68" s="390"/>
      <c r="DU68" s="9"/>
      <c r="DV68" s="8"/>
      <c r="DW68" s="7"/>
      <c r="DX68" s="7"/>
      <c r="DY68" s="7"/>
      <c r="DZ68" s="7"/>
      <c r="EA68" s="7"/>
      <c r="EB68" s="7"/>
      <c r="EC68" s="7"/>
    </row>
    <row r="69" spans="1:133" hidden="1">
      <c r="C69" s="57" t="str">
        <f t="shared" si="245"/>
        <v>///</v>
      </c>
      <c r="D69" s="57"/>
      <c r="E69" s="62">
        <f t="shared" si="245"/>
        <v>0</v>
      </c>
      <c r="F69" s="223"/>
      <c r="G69" s="223">
        <f t="shared" si="199"/>
        <v>0</v>
      </c>
      <c r="H69" s="223">
        <f t="shared" si="199"/>
        <v>0</v>
      </c>
      <c r="I69" s="223">
        <f t="shared" si="199"/>
        <v>0</v>
      </c>
      <c r="J69" s="223">
        <f t="shared" si="199"/>
        <v>0</v>
      </c>
      <c r="K69" s="223">
        <f t="shared" si="199"/>
        <v>0</v>
      </c>
      <c r="L69" s="223">
        <f t="shared" si="199"/>
        <v>0</v>
      </c>
      <c r="M69" s="223">
        <f t="shared" si="199"/>
        <v>0</v>
      </c>
      <c r="N69" s="223">
        <f t="shared" si="199"/>
        <v>0</v>
      </c>
      <c r="O69" s="223">
        <f t="shared" si="199"/>
        <v>0</v>
      </c>
      <c r="P69" s="223">
        <f t="shared" si="199"/>
        <v>0</v>
      </c>
      <c r="Q69" s="223">
        <f t="shared" si="199"/>
        <v>0</v>
      </c>
      <c r="R69" s="223"/>
      <c r="S69" s="223">
        <f t="shared" si="246"/>
        <v>0</v>
      </c>
      <c r="T69" s="223">
        <f t="shared" si="200"/>
        <v>0</v>
      </c>
      <c r="U69" s="223">
        <f t="shared" si="200"/>
        <v>0</v>
      </c>
      <c r="V69" s="223">
        <f t="shared" si="200"/>
        <v>0</v>
      </c>
      <c r="W69" s="223">
        <f t="shared" si="200"/>
        <v>0</v>
      </c>
      <c r="X69" s="223">
        <f t="shared" si="200"/>
        <v>0</v>
      </c>
      <c r="Y69" s="223">
        <f t="shared" si="200"/>
        <v>0</v>
      </c>
      <c r="Z69" s="223">
        <f t="shared" si="200"/>
        <v>0</v>
      </c>
      <c r="AA69" s="223">
        <f t="shared" si="200"/>
        <v>0</v>
      </c>
      <c r="AB69" s="223">
        <f t="shared" si="200"/>
        <v>0</v>
      </c>
      <c r="AC69" s="223">
        <f t="shared" si="200"/>
        <v>0</v>
      </c>
      <c r="AD69" s="223">
        <f t="shared" si="200"/>
        <v>0</v>
      </c>
      <c r="AE69" s="223"/>
      <c r="AF69" s="223">
        <f t="shared" si="201"/>
        <v>0</v>
      </c>
      <c r="AG69" s="223">
        <f t="shared" si="202"/>
        <v>0</v>
      </c>
      <c r="AH69" s="223">
        <f t="shared" si="202"/>
        <v>0</v>
      </c>
      <c r="AI69" s="223">
        <f t="shared" si="202"/>
        <v>0</v>
      </c>
      <c r="AJ69" s="223">
        <f t="shared" si="202"/>
        <v>0</v>
      </c>
      <c r="AK69" s="223">
        <f t="shared" si="202"/>
        <v>0</v>
      </c>
      <c r="AL69" s="223">
        <f t="shared" si="202"/>
        <v>0</v>
      </c>
      <c r="AM69" s="223">
        <f t="shared" si="202"/>
        <v>0</v>
      </c>
      <c r="AN69" s="223">
        <f t="shared" si="202"/>
        <v>0</v>
      </c>
      <c r="AO69" s="223">
        <f t="shared" si="202"/>
        <v>0</v>
      </c>
      <c r="AP69" s="223">
        <f t="shared" si="202"/>
        <v>0</v>
      </c>
      <c r="AQ69" s="223">
        <f t="shared" si="202"/>
        <v>0</v>
      </c>
      <c r="AR69" s="223"/>
      <c r="AS69" s="223">
        <f t="shared" si="203"/>
        <v>0</v>
      </c>
      <c r="AT69" s="223">
        <f t="shared" si="204"/>
        <v>0</v>
      </c>
      <c r="AU69" s="223">
        <f t="shared" si="204"/>
        <v>0</v>
      </c>
      <c r="AV69" s="223">
        <f t="shared" si="204"/>
        <v>0</v>
      </c>
      <c r="AW69" s="223">
        <f t="shared" si="204"/>
        <v>0</v>
      </c>
      <c r="AX69" s="223">
        <f t="shared" si="204"/>
        <v>0</v>
      </c>
      <c r="AY69" s="223">
        <f t="shared" si="204"/>
        <v>0</v>
      </c>
      <c r="AZ69" s="223">
        <f t="shared" si="204"/>
        <v>0</v>
      </c>
      <c r="BA69" s="223">
        <f t="shared" si="204"/>
        <v>0</v>
      </c>
      <c r="BB69" s="223">
        <f t="shared" si="204"/>
        <v>0</v>
      </c>
      <c r="BC69" s="223">
        <f t="shared" si="204"/>
        <v>0</v>
      </c>
      <c r="BD69" s="223">
        <f t="shared" si="204"/>
        <v>0</v>
      </c>
      <c r="BE69" s="223"/>
      <c r="BF69" s="223">
        <f t="shared" si="205"/>
        <v>0</v>
      </c>
      <c r="BG69" s="223">
        <f t="shared" si="206"/>
        <v>0</v>
      </c>
      <c r="BH69" s="223">
        <f t="shared" si="206"/>
        <v>0</v>
      </c>
      <c r="BI69" s="223">
        <f t="shared" si="206"/>
        <v>0</v>
      </c>
      <c r="BJ69" s="223">
        <f t="shared" si="206"/>
        <v>0</v>
      </c>
      <c r="BK69" s="223">
        <f t="shared" si="206"/>
        <v>0</v>
      </c>
      <c r="BL69" s="223">
        <f t="shared" si="206"/>
        <v>0</v>
      </c>
      <c r="BM69" s="223">
        <f t="shared" si="206"/>
        <v>0</v>
      </c>
      <c r="BN69" s="223">
        <f t="shared" si="206"/>
        <v>0</v>
      </c>
      <c r="BO69" s="223">
        <f t="shared" si="206"/>
        <v>0</v>
      </c>
      <c r="BP69" s="223">
        <f t="shared" si="206"/>
        <v>0</v>
      </c>
      <c r="BQ69" s="223">
        <f t="shared" si="206"/>
        <v>0</v>
      </c>
      <c r="BR69" s="223"/>
      <c r="BS69" s="223">
        <f t="shared" si="207"/>
        <v>0</v>
      </c>
      <c r="BT69" s="223">
        <f t="shared" si="208"/>
        <v>0</v>
      </c>
      <c r="BU69" s="223">
        <f t="shared" si="208"/>
        <v>0</v>
      </c>
      <c r="BV69" s="223">
        <f t="shared" si="208"/>
        <v>0</v>
      </c>
      <c r="BW69" s="223">
        <f t="shared" si="208"/>
        <v>0</v>
      </c>
      <c r="BX69" s="223">
        <f t="shared" si="208"/>
        <v>0</v>
      </c>
      <c r="BY69" s="223">
        <f t="shared" si="208"/>
        <v>0</v>
      </c>
      <c r="BZ69" s="223">
        <f t="shared" si="208"/>
        <v>0</v>
      </c>
      <c r="CA69" s="223">
        <f t="shared" si="208"/>
        <v>0</v>
      </c>
      <c r="CB69" s="223">
        <f t="shared" si="208"/>
        <v>0</v>
      </c>
      <c r="CC69" s="223">
        <f t="shared" si="208"/>
        <v>0</v>
      </c>
      <c r="CD69" s="223">
        <f t="shared" si="208"/>
        <v>0</v>
      </c>
      <c r="CE69" s="389"/>
      <c r="CF69" s="223">
        <f t="shared" si="209"/>
        <v>0</v>
      </c>
      <c r="CG69" s="223">
        <f t="shared" si="210"/>
        <v>0</v>
      </c>
      <c r="CH69" s="223">
        <f t="shared" si="211"/>
        <v>0</v>
      </c>
      <c r="CI69" s="223">
        <f t="shared" si="212"/>
        <v>0</v>
      </c>
      <c r="CJ69" s="223">
        <f t="shared" si="213"/>
        <v>0</v>
      </c>
      <c r="CK69" s="223">
        <f t="shared" si="214"/>
        <v>0</v>
      </c>
      <c r="CL69" s="223">
        <f t="shared" si="215"/>
        <v>0</v>
      </c>
      <c r="CM69" s="223">
        <f t="shared" si="216"/>
        <v>0</v>
      </c>
      <c r="CN69" s="223">
        <f t="shared" si="217"/>
        <v>0</v>
      </c>
      <c r="CO69" s="223">
        <f t="shared" si="218"/>
        <v>0</v>
      </c>
      <c r="CP69" s="223">
        <f t="shared" si="219"/>
        <v>0</v>
      </c>
      <c r="CQ69" s="223">
        <f t="shared" si="220"/>
        <v>0</v>
      </c>
      <c r="CR69" s="389"/>
      <c r="CS69" s="223">
        <f t="shared" si="221"/>
        <v>0</v>
      </c>
      <c r="CT69" s="223">
        <f t="shared" si="222"/>
        <v>0</v>
      </c>
      <c r="CU69" s="223">
        <f t="shared" si="223"/>
        <v>0</v>
      </c>
      <c r="CV69" s="223">
        <f t="shared" si="224"/>
        <v>0</v>
      </c>
      <c r="CW69" s="223">
        <f t="shared" si="225"/>
        <v>0</v>
      </c>
      <c r="CX69" s="223">
        <f t="shared" si="226"/>
        <v>0</v>
      </c>
      <c r="CY69" s="223">
        <f t="shared" si="227"/>
        <v>0</v>
      </c>
      <c r="CZ69" s="223">
        <f t="shared" si="228"/>
        <v>0</v>
      </c>
      <c r="DA69" s="223">
        <f t="shared" si="229"/>
        <v>0</v>
      </c>
      <c r="DB69" s="223">
        <f t="shared" si="230"/>
        <v>0</v>
      </c>
      <c r="DC69" s="223">
        <f t="shared" si="231"/>
        <v>0</v>
      </c>
      <c r="DD69" s="223">
        <f t="shared" si="232"/>
        <v>0</v>
      </c>
      <c r="DE69" s="389"/>
      <c r="DF69" s="223">
        <f t="shared" si="233"/>
        <v>0</v>
      </c>
      <c r="DG69" s="223">
        <f t="shared" si="234"/>
        <v>0</v>
      </c>
      <c r="DH69" s="223">
        <f t="shared" si="235"/>
        <v>0</v>
      </c>
      <c r="DI69" s="223">
        <f t="shared" si="236"/>
        <v>0</v>
      </c>
      <c r="DJ69" s="223">
        <f t="shared" si="237"/>
        <v>0</v>
      </c>
      <c r="DK69" s="223">
        <f t="shared" si="238"/>
        <v>0</v>
      </c>
      <c r="DL69" s="223">
        <f t="shared" si="239"/>
        <v>0</v>
      </c>
      <c r="DM69" s="223">
        <f t="shared" si="240"/>
        <v>0</v>
      </c>
      <c r="DN69" s="223">
        <f t="shared" si="241"/>
        <v>0</v>
      </c>
      <c r="DO69" s="223">
        <f t="shared" si="242"/>
        <v>0</v>
      </c>
      <c r="DP69" s="223">
        <f t="shared" si="243"/>
        <v>0</v>
      </c>
      <c r="DQ69" s="223">
        <f t="shared" si="244"/>
        <v>0</v>
      </c>
      <c r="DR69" s="389"/>
      <c r="DS69" s="31">
        <f>SUM(F69:Q69)+SUM(S69:AD69)+SUM(AF69:AQ69)+SUM(AS69:BD69)+SUM(BF69:BQ69)+SUM(BS69:CD69)</f>
        <v>0</v>
      </c>
      <c r="DT69" s="390"/>
      <c r="DU69" s="9"/>
      <c r="DV69" s="8"/>
      <c r="DW69" s="7"/>
      <c r="DX69" s="7"/>
      <c r="DY69" s="7"/>
      <c r="DZ69" s="7"/>
      <c r="EA69" s="7"/>
      <c r="EB69" s="7"/>
      <c r="EC69" s="7"/>
    </row>
    <row r="70" spans="1:133" hidden="1">
      <c r="A70" s="1">
        <v>3</v>
      </c>
      <c r="B70" s="1">
        <v>3</v>
      </c>
      <c r="C70" s="57" t="str">
        <f t="shared" si="245"/>
        <v>///</v>
      </c>
      <c r="D70" s="57"/>
      <c r="E70" s="62">
        <f t="shared" si="245"/>
        <v>0</v>
      </c>
      <c r="F70" s="223"/>
      <c r="G70" s="223">
        <f t="shared" si="199"/>
        <v>0</v>
      </c>
      <c r="H70" s="223">
        <f t="shared" si="199"/>
        <v>0</v>
      </c>
      <c r="I70" s="223">
        <f t="shared" si="199"/>
        <v>0</v>
      </c>
      <c r="J70" s="223">
        <f t="shared" si="199"/>
        <v>0</v>
      </c>
      <c r="K70" s="223">
        <f t="shared" si="199"/>
        <v>0</v>
      </c>
      <c r="L70" s="223">
        <f t="shared" si="199"/>
        <v>0</v>
      </c>
      <c r="M70" s="223">
        <f t="shared" si="199"/>
        <v>0</v>
      </c>
      <c r="N70" s="223">
        <f t="shared" si="199"/>
        <v>0</v>
      </c>
      <c r="O70" s="223">
        <f t="shared" si="199"/>
        <v>0</v>
      </c>
      <c r="P70" s="223">
        <f t="shared" si="199"/>
        <v>0</v>
      </c>
      <c r="Q70" s="223">
        <f t="shared" si="199"/>
        <v>0</v>
      </c>
      <c r="R70" s="223"/>
      <c r="S70" s="223">
        <f t="shared" si="246"/>
        <v>0</v>
      </c>
      <c r="T70" s="223">
        <f t="shared" si="200"/>
        <v>0</v>
      </c>
      <c r="U70" s="223">
        <f t="shared" si="200"/>
        <v>0</v>
      </c>
      <c r="V70" s="223">
        <f t="shared" si="200"/>
        <v>0</v>
      </c>
      <c r="W70" s="223">
        <f t="shared" si="200"/>
        <v>0</v>
      </c>
      <c r="X70" s="223">
        <f t="shared" si="200"/>
        <v>0</v>
      </c>
      <c r="Y70" s="223">
        <f t="shared" si="200"/>
        <v>0</v>
      </c>
      <c r="Z70" s="223">
        <f t="shared" si="200"/>
        <v>0</v>
      </c>
      <c r="AA70" s="223">
        <f t="shared" si="200"/>
        <v>0</v>
      </c>
      <c r="AB70" s="223">
        <f t="shared" si="200"/>
        <v>0</v>
      </c>
      <c r="AC70" s="223">
        <f t="shared" si="200"/>
        <v>0</v>
      </c>
      <c r="AD70" s="223">
        <f t="shared" si="200"/>
        <v>0</v>
      </c>
      <c r="AE70" s="223"/>
      <c r="AF70" s="223">
        <f t="shared" si="201"/>
        <v>0</v>
      </c>
      <c r="AG70" s="223">
        <f t="shared" si="202"/>
        <v>0</v>
      </c>
      <c r="AH70" s="223">
        <f t="shared" si="202"/>
        <v>0</v>
      </c>
      <c r="AI70" s="223">
        <f t="shared" si="202"/>
        <v>0</v>
      </c>
      <c r="AJ70" s="223">
        <f t="shared" si="202"/>
        <v>0</v>
      </c>
      <c r="AK70" s="223">
        <f t="shared" si="202"/>
        <v>0</v>
      </c>
      <c r="AL70" s="223">
        <f t="shared" si="202"/>
        <v>0</v>
      </c>
      <c r="AM70" s="223">
        <f t="shared" si="202"/>
        <v>0</v>
      </c>
      <c r="AN70" s="223">
        <f t="shared" si="202"/>
        <v>0</v>
      </c>
      <c r="AO70" s="223">
        <f t="shared" si="202"/>
        <v>0</v>
      </c>
      <c r="AP70" s="223">
        <f t="shared" si="202"/>
        <v>0</v>
      </c>
      <c r="AQ70" s="223">
        <f t="shared" si="202"/>
        <v>0</v>
      </c>
      <c r="AR70" s="223"/>
      <c r="AS70" s="223">
        <f t="shared" si="203"/>
        <v>0</v>
      </c>
      <c r="AT70" s="223">
        <f t="shared" si="204"/>
        <v>0</v>
      </c>
      <c r="AU70" s="223">
        <f t="shared" si="204"/>
        <v>0</v>
      </c>
      <c r="AV70" s="223">
        <f t="shared" si="204"/>
        <v>0</v>
      </c>
      <c r="AW70" s="223">
        <f t="shared" si="204"/>
        <v>0</v>
      </c>
      <c r="AX70" s="223">
        <f t="shared" si="204"/>
        <v>0</v>
      </c>
      <c r="AY70" s="223">
        <f t="shared" si="204"/>
        <v>0</v>
      </c>
      <c r="AZ70" s="223">
        <f t="shared" si="204"/>
        <v>0</v>
      </c>
      <c r="BA70" s="223">
        <f t="shared" si="204"/>
        <v>0</v>
      </c>
      <c r="BB70" s="223">
        <f t="shared" si="204"/>
        <v>0</v>
      </c>
      <c r="BC70" s="223">
        <f t="shared" si="204"/>
        <v>0</v>
      </c>
      <c r="BD70" s="223">
        <f t="shared" si="204"/>
        <v>0</v>
      </c>
      <c r="BE70" s="223"/>
      <c r="BF70" s="223">
        <f t="shared" si="205"/>
        <v>0</v>
      </c>
      <c r="BG70" s="223">
        <f t="shared" si="206"/>
        <v>0</v>
      </c>
      <c r="BH70" s="223">
        <f t="shared" si="206"/>
        <v>0</v>
      </c>
      <c r="BI70" s="223">
        <f t="shared" si="206"/>
        <v>0</v>
      </c>
      <c r="BJ70" s="223">
        <f t="shared" si="206"/>
        <v>0</v>
      </c>
      <c r="BK70" s="223">
        <f t="shared" si="206"/>
        <v>0</v>
      </c>
      <c r="BL70" s="223">
        <f t="shared" si="206"/>
        <v>0</v>
      </c>
      <c r="BM70" s="223">
        <f t="shared" si="206"/>
        <v>0</v>
      </c>
      <c r="BN70" s="223">
        <f t="shared" si="206"/>
        <v>0</v>
      </c>
      <c r="BO70" s="223">
        <f t="shared" si="206"/>
        <v>0</v>
      </c>
      <c r="BP70" s="223">
        <f t="shared" si="206"/>
        <v>0</v>
      </c>
      <c r="BQ70" s="223">
        <f t="shared" si="206"/>
        <v>0</v>
      </c>
      <c r="BR70" s="223"/>
      <c r="BS70" s="223">
        <f t="shared" si="207"/>
        <v>0</v>
      </c>
      <c r="BT70" s="223">
        <f t="shared" si="208"/>
        <v>0</v>
      </c>
      <c r="BU70" s="223">
        <f t="shared" si="208"/>
        <v>0</v>
      </c>
      <c r="BV70" s="223">
        <f t="shared" si="208"/>
        <v>0</v>
      </c>
      <c r="BW70" s="223">
        <f t="shared" si="208"/>
        <v>0</v>
      </c>
      <c r="BX70" s="223">
        <f t="shared" si="208"/>
        <v>0</v>
      </c>
      <c r="BY70" s="223">
        <f t="shared" si="208"/>
        <v>0</v>
      </c>
      <c r="BZ70" s="223">
        <f t="shared" si="208"/>
        <v>0</v>
      </c>
      <c r="CA70" s="223">
        <f t="shared" si="208"/>
        <v>0</v>
      </c>
      <c r="CB70" s="223">
        <f t="shared" si="208"/>
        <v>0</v>
      </c>
      <c r="CC70" s="223">
        <f t="shared" si="208"/>
        <v>0</v>
      </c>
      <c r="CD70" s="223">
        <f t="shared" si="208"/>
        <v>0</v>
      </c>
      <c r="CE70" s="389"/>
      <c r="CF70" s="223">
        <f t="shared" si="209"/>
        <v>0</v>
      </c>
      <c r="CG70" s="223">
        <f t="shared" si="210"/>
        <v>0</v>
      </c>
      <c r="CH70" s="223">
        <f t="shared" si="211"/>
        <v>0</v>
      </c>
      <c r="CI70" s="223">
        <f t="shared" si="212"/>
        <v>0</v>
      </c>
      <c r="CJ70" s="223">
        <f t="shared" si="213"/>
        <v>0</v>
      </c>
      <c r="CK70" s="223">
        <f t="shared" si="214"/>
        <v>0</v>
      </c>
      <c r="CL70" s="223">
        <f t="shared" si="215"/>
        <v>0</v>
      </c>
      <c r="CM70" s="223">
        <f t="shared" si="216"/>
        <v>0</v>
      </c>
      <c r="CN70" s="223">
        <f t="shared" si="217"/>
        <v>0</v>
      </c>
      <c r="CO70" s="223">
        <f t="shared" si="218"/>
        <v>0</v>
      </c>
      <c r="CP70" s="223">
        <f t="shared" si="219"/>
        <v>0</v>
      </c>
      <c r="CQ70" s="223">
        <f t="shared" si="220"/>
        <v>0</v>
      </c>
      <c r="CR70" s="389"/>
      <c r="CS70" s="223">
        <f t="shared" si="221"/>
        <v>0</v>
      </c>
      <c r="CT70" s="223">
        <f t="shared" si="222"/>
        <v>0</v>
      </c>
      <c r="CU70" s="223">
        <f t="shared" si="223"/>
        <v>0</v>
      </c>
      <c r="CV70" s="223">
        <f t="shared" si="224"/>
        <v>0</v>
      </c>
      <c r="CW70" s="223">
        <f t="shared" si="225"/>
        <v>0</v>
      </c>
      <c r="CX70" s="223">
        <f t="shared" si="226"/>
        <v>0</v>
      </c>
      <c r="CY70" s="223">
        <f t="shared" si="227"/>
        <v>0</v>
      </c>
      <c r="CZ70" s="223">
        <f t="shared" si="228"/>
        <v>0</v>
      </c>
      <c r="DA70" s="223">
        <f t="shared" si="229"/>
        <v>0</v>
      </c>
      <c r="DB70" s="223">
        <f t="shared" si="230"/>
        <v>0</v>
      </c>
      <c r="DC70" s="223">
        <f t="shared" si="231"/>
        <v>0</v>
      </c>
      <c r="DD70" s="223">
        <f t="shared" si="232"/>
        <v>0</v>
      </c>
      <c r="DE70" s="389"/>
      <c r="DF70" s="223">
        <f t="shared" si="233"/>
        <v>0</v>
      </c>
      <c r="DG70" s="223">
        <f t="shared" si="234"/>
        <v>0</v>
      </c>
      <c r="DH70" s="223">
        <f t="shared" si="235"/>
        <v>0</v>
      </c>
      <c r="DI70" s="223">
        <f t="shared" si="236"/>
        <v>0</v>
      </c>
      <c r="DJ70" s="223">
        <f t="shared" si="237"/>
        <v>0</v>
      </c>
      <c r="DK70" s="223">
        <f t="shared" si="238"/>
        <v>0</v>
      </c>
      <c r="DL70" s="223">
        <f t="shared" si="239"/>
        <v>0</v>
      </c>
      <c r="DM70" s="223">
        <f t="shared" si="240"/>
        <v>0</v>
      </c>
      <c r="DN70" s="223">
        <f t="shared" si="241"/>
        <v>0</v>
      </c>
      <c r="DO70" s="223">
        <f t="shared" si="242"/>
        <v>0</v>
      </c>
      <c r="DP70" s="223">
        <f t="shared" si="243"/>
        <v>0</v>
      </c>
      <c r="DQ70" s="223">
        <f t="shared" si="244"/>
        <v>0</v>
      </c>
      <c r="DR70" s="389"/>
      <c r="DS70" s="31">
        <f>SUM(F70:Q70)+SUM(S70:AD70)+SUM(AF70:AQ70)+SUM(AS70:BD70)+SUM(BF70:BQ70)+SUM(BS70:CD70)</f>
        <v>0</v>
      </c>
      <c r="DT70" s="390"/>
      <c r="DU70" s="9"/>
      <c r="DV70" s="8"/>
      <c r="DW70" s="7"/>
      <c r="DX70" s="7"/>
      <c r="DY70" s="7"/>
      <c r="DZ70" s="7"/>
      <c r="EA70" s="7"/>
      <c r="EB70" s="7"/>
      <c r="EC70" s="7"/>
    </row>
    <row r="71" spans="1:133" hidden="1">
      <c r="C71" s="57" t="str">
        <f t="shared" si="245"/>
        <v>///</v>
      </c>
      <c r="D71" s="57"/>
      <c r="E71" s="62">
        <f t="shared" si="245"/>
        <v>0</v>
      </c>
      <c r="F71" s="223"/>
      <c r="G71" s="223">
        <f t="shared" si="199"/>
        <v>0</v>
      </c>
      <c r="H71" s="223">
        <f t="shared" si="199"/>
        <v>0</v>
      </c>
      <c r="I71" s="223">
        <f t="shared" si="199"/>
        <v>0</v>
      </c>
      <c r="J71" s="223">
        <f t="shared" si="199"/>
        <v>0</v>
      </c>
      <c r="K71" s="223">
        <f t="shared" si="199"/>
        <v>0</v>
      </c>
      <c r="L71" s="223">
        <f t="shared" si="199"/>
        <v>0</v>
      </c>
      <c r="M71" s="223">
        <f t="shared" si="199"/>
        <v>0</v>
      </c>
      <c r="N71" s="223">
        <f t="shared" si="199"/>
        <v>0</v>
      </c>
      <c r="O71" s="223">
        <f t="shared" si="199"/>
        <v>0</v>
      </c>
      <c r="P71" s="223">
        <f t="shared" si="199"/>
        <v>0</v>
      </c>
      <c r="Q71" s="223">
        <f t="shared" si="199"/>
        <v>0</v>
      </c>
      <c r="R71" s="223"/>
      <c r="S71" s="223">
        <f t="shared" si="246"/>
        <v>0</v>
      </c>
      <c r="T71" s="223">
        <f t="shared" si="200"/>
        <v>0</v>
      </c>
      <c r="U71" s="223">
        <f t="shared" si="200"/>
        <v>0</v>
      </c>
      <c r="V71" s="223">
        <f t="shared" si="200"/>
        <v>0</v>
      </c>
      <c r="W71" s="223">
        <f t="shared" si="200"/>
        <v>0</v>
      </c>
      <c r="X71" s="223">
        <f t="shared" si="200"/>
        <v>0</v>
      </c>
      <c r="Y71" s="223">
        <f t="shared" si="200"/>
        <v>0</v>
      </c>
      <c r="Z71" s="223">
        <f t="shared" si="200"/>
        <v>0</v>
      </c>
      <c r="AA71" s="223">
        <f t="shared" si="200"/>
        <v>0</v>
      </c>
      <c r="AB71" s="223">
        <f t="shared" si="200"/>
        <v>0</v>
      </c>
      <c r="AC71" s="223">
        <f t="shared" si="200"/>
        <v>0</v>
      </c>
      <c r="AD71" s="223">
        <f t="shared" si="200"/>
        <v>0</v>
      </c>
      <c r="AE71" s="223"/>
      <c r="AF71" s="223">
        <f t="shared" si="201"/>
        <v>0</v>
      </c>
      <c r="AG71" s="223">
        <f t="shared" si="202"/>
        <v>0</v>
      </c>
      <c r="AH71" s="223">
        <f t="shared" si="202"/>
        <v>0</v>
      </c>
      <c r="AI71" s="223">
        <f t="shared" si="202"/>
        <v>0</v>
      </c>
      <c r="AJ71" s="223">
        <f t="shared" si="202"/>
        <v>0</v>
      </c>
      <c r="AK71" s="223">
        <f t="shared" si="202"/>
        <v>0</v>
      </c>
      <c r="AL71" s="223">
        <f t="shared" si="202"/>
        <v>0</v>
      </c>
      <c r="AM71" s="223">
        <f t="shared" si="202"/>
        <v>0</v>
      </c>
      <c r="AN71" s="223">
        <f t="shared" si="202"/>
        <v>0</v>
      </c>
      <c r="AO71" s="223">
        <f t="shared" si="202"/>
        <v>0</v>
      </c>
      <c r="AP71" s="223">
        <f t="shared" si="202"/>
        <v>0</v>
      </c>
      <c r="AQ71" s="223">
        <f t="shared" si="202"/>
        <v>0</v>
      </c>
      <c r="AR71" s="223"/>
      <c r="AS71" s="223">
        <f t="shared" si="203"/>
        <v>0</v>
      </c>
      <c r="AT71" s="223">
        <f t="shared" si="204"/>
        <v>0</v>
      </c>
      <c r="AU71" s="223">
        <f t="shared" si="204"/>
        <v>0</v>
      </c>
      <c r="AV71" s="223">
        <f t="shared" si="204"/>
        <v>0</v>
      </c>
      <c r="AW71" s="223">
        <f t="shared" si="204"/>
        <v>0</v>
      </c>
      <c r="AX71" s="223">
        <f t="shared" si="204"/>
        <v>0</v>
      </c>
      <c r="AY71" s="223">
        <f t="shared" si="204"/>
        <v>0</v>
      </c>
      <c r="AZ71" s="223">
        <f t="shared" si="204"/>
        <v>0</v>
      </c>
      <c r="BA71" s="223">
        <f t="shared" si="204"/>
        <v>0</v>
      </c>
      <c r="BB71" s="223">
        <f t="shared" si="204"/>
        <v>0</v>
      </c>
      <c r="BC71" s="223">
        <f t="shared" si="204"/>
        <v>0</v>
      </c>
      <c r="BD71" s="223">
        <f t="shared" si="204"/>
        <v>0</v>
      </c>
      <c r="BE71" s="223"/>
      <c r="BF71" s="223">
        <f t="shared" si="205"/>
        <v>0</v>
      </c>
      <c r="BG71" s="223">
        <f t="shared" si="206"/>
        <v>0</v>
      </c>
      <c r="BH71" s="223">
        <f t="shared" si="206"/>
        <v>0</v>
      </c>
      <c r="BI71" s="223">
        <f t="shared" si="206"/>
        <v>0</v>
      </c>
      <c r="BJ71" s="223">
        <f t="shared" si="206"/>
        <v>0</v>
      </c>
      <c r="BK71" s="223">
        <f t="shared" si="206"/>
        <v>0</v>
      </c>
      <c r="BL71" s="223">
        <f t="shared" si="206"/>
        <v>0</v>
      </c>
      <c r="BM71" s="223">
        <f t="shared" si="206"/>
        <v>0</v>
      </c>
      <c r="BN71" s="223">
        <f t="shared" si="206"/>
        <v>0</v>
      </c>
      <c r="BO71" s="223">
        <f t="shared" si="206"/>
        <v>0</v>
      </c>
      <c r="BP71" s="223">
        <f t="shared" si="206"/>
        <v>0</v>
      </c>
      <c r="BQ71" s="223">
        <f t="shared" si="206"/>
        <v>0</v>
      </c>
      <c r="BR71" s="223"/>
      <c r="BS71" s="223">
        <f t="shared" si="207"/>
        <v>0</v>
      </c>
      <c r="BT71" s="223">
        <f t="shared" si="208"/>
        <v>0</v>
      </c>
      <c r="BU71" s="223">
        <f t="shared" si="208"/>
        <v>0</v>
      </c>
      <c r="BV71" s="223">
        <f t="shared" si="208"/>
        <v>0</v>
      </c>
      <c r="BW71" s="223">
        <f t="shared" si="208"/>
        <v>0</v>
      </c>
      <c r="BX71" s="223">
        <f t="shared" si="208"/>
        <v>0</v>
      </c>
      <c r="BY71" s="223">
        <f t="shared" si="208"/>
        <v>0</v>
      </c>
      <c r="BZ71" s="223">
        <f t="shared" si="208"/>
        <v>0</v>
      </c>
      <c r="CA71" s="223">
        <f t="shared" si="208"/>
        <v>0</v>
      </c>
      <c r="CB71" s="223">
        <f t="shared" si="208"/>
        <v>0</v>
      </c>
      <c r="CC71" s="223">
        <f t="shared" si="208"/>
        <v>0</v>
      </c>
      <c r="CD71" s="223">
        <f t="shared" si="208"/>
        <v>0</v>
      </c>
      <c r="CE71" s="389"/>
      <c r="CF71" s="223">
        <f t="shared" si="209"/>
        <v>0</v>
      </c>
      <c r="CG71" s="223">
        <f t="shared" si="210"/>
        <v>0</v>
      </c>
      <c r="CH71" s="223">
        <f t="shared" si="211"/>
        <v>0</v>
      </c>
      <c r="CI71" s="223">
        <f t="shared" si="212"/>
        <v>0</v>
      </c>
      <c r="CJ71" s="223">
        <f t="shared" si="213"/>
        <v>0</v>
      </c>
      <c r="CK71" s="223">
        <f t="shared" si="214"/>
        <v>0</v>
      </c>
      <c r="CL71" s="223">
        <f t="shared" si="215"/>
        <v>0</v>
      </c>
      <c r="CM71" s="223">
        <f t="shared" si="216"/>
        <v>0</v>
      </c>
      <c r="CN71" s="223">
        <f t="shared" si="217"/>
        <v>0</v>
      </c>
      <c r="CO71" s="223">
        <f t="shared" si="218"/>
        <v>0</v>
      </c>
      <c r="CP71" s="223">
        <f t="shared" si="219"/>
        <v>0</v>
      </c>
      <c r="CQ71" s="223">
        <f t="shared" si="220"/>
        <v>0</v>
      </c>
      <c r="CR71" s="389"/>
      <c r="CS71" s="223">
        <f t="shared" si="221"/>
        <v>0</v>
      </c>
      <c r="CT71" s="223">
        <f t="shared" si="222"/>
        <v>0</v>
      </c>
      <c r="CU71" s="223">
        <f t="shared" si="223"/>
        <v>0</v>
      </c>
      <c r="CV71" s="223">
        <f t="shared" si="224"/>
        <v>0</v>
      </c>
      <c r="CW71" s="223">
        <f t="shared" si="225"/>
        <v>0</v>
      </c>
      <c r="CX71" s="223">
        <f t="shared" si="226"/>
        <v>0</v>
      </c>
      <c r="CY71" s="223">
        <f t="shared" si="227"/>
        <v>0</v>
      </c>
      <c r="CZ71" s="223">
        <f t="shared" si="228"/>
        <v>0</v>
      </c>
      <c r="DA71" s="223">
        <f t="shared" si="229"/>
        <v>0</v>
      </c>
      <c r="DB71" s="223">
        <f t="shared" si="230"/>
        <v>0</v>
      </c>
      <c r="DC71" s="223">
        <f t="shared" si="231"/>
        <v>0</v>
      </c>
      <c r="DD71" s="223">
        <f t="shared" si="232"/>
        <v>0</v>
      </c>
      <c r="DE71" s="389"/>
      <c r="DF71" s="223">
        <f t="shared" si="233"/>
        <v>0</v>
      </c>
      <c r="DG71" s="223">
        <f t="shared" si="234"/>
        <v>0</v>
      </c>
      <c r="DH71" s="223">
        <f t="shared" si="235"/>
        <v>0</v>
      </c>
      <c r="DI71" s="223">
        <f t="shared" si="236"/>
        <v>0</v>
      </c>
      <c r="DJ71" s="223">
        <f t="shared" si="237"/>
        <v>0</v>
      </c>
      <c r="DK71" s="223">
        <f t="shared" si="238"/>
        <v>0</v>
      </c>
      <c r="DL71" s="223">
        <f t="shared" si="239"/>
        <v>0</v>
      </c>
      <c r="DM71" s="223">
        <f t="shared" si="240"/>
        <v>0</v>
      </c>
      <c r="DN71" s="223">
        <f t="shared" si="241"/>
        <v>0</v>
      </c>
      <c r="DO71" s="223">
        <f t="shared" si="242"/>
        <v>0</v>
      </c>
      <c r="DP71" s="223">
        <f t="shared" si="243"/>
        <v>0</v>
      </c>
      <c r="DQ71" s="223">
        <f t="shared" si="244"/>
        <v>0</v>
      </c>
      <c r="DR71" s="389"/>
      <c r="DS71" s="31">
        <f>SUM(F71:Q71)+SUM(S71:AD71)+SUM(AF71:AQ71)+SUM(AS71:BD71)+SUM(BF71:BQ71)+SUM(BS71:CD71)</f>
        <v>0</v>
      </c>
      <c r="DT71" s="390"/>
      <c r="DU71" s="9"/>
      <c r="DV71" s="8"/>
      <c r="DW71" s="7"/>
      <c r="DX71" s="7"/>
      <c r="DY71" s="7"/>
      <c r="DZ71" s="7"/>
      <c r="EA71" s="7"/>
      <c r="EB71" s="7"/>
      <c r="EC71" s="7"/>
    </row>
    <row r="72" spans="1:133" hidden="1">
      <c r="A72" s="1">
        <v>3</v>
      </c>
      <c r="B72" s="1">
        <v>4</v>
      </c>
      <c r="C72" s="57" t="str">
        <f t="shared" si="245"/>
        <v>///</v>
      </c>
      <c r="D72" s="57"/>
      <c r="E72" s="62">
        <f t="shared" si="245"/>
        <v>0</v>
      </c>
      <c r="F72" s="223"/>
      <c r="G72" s="223">
        <f t="shared" si="199"/>
        <v>0</v>
      </c>
      <c r="H72" s="223">
        <f t="shared" si="199"/>
        <v>0</v>
      </c>
      <c r="I72" s="223">
        <f t="shared" si="199"/>
        <v>0</v>
      </c>
      <c r="J72" s="223">
        <f t="shared" si="199"/>
        <v>0</v>
      </c>
      <c r="K72" s="223">
        <f t="shared" si="199"/>
        <v>0</v>
      </c>
      <c r="L72" s="223">
        <f t="shared" si="199"/>
        <v>0</v>
      </c>
      <c r="M72" s="223">
        <f t="shared" si="199"/>
        <v>0</v>
      </c>
      <c r="N72" s="223">
        <f t="shared" si="199"/>
        <v>0</v>
      </c>
      <c r="O72" s="223">
        <f t="shared" si="199"/>
        <v>0</v>
      </c>
      <c r="P72" s="223">
        <f t="shared" si="199"/>
        <v>0</v>
      </c>
      <c r="Q72" s="223">
        <f t="shared" si="199"/>
        <v>0</v>
      </c>
      <c r="R72" s="223"/>
      <c r="S72" s="223">
        <f t="shared" si="246"/>
        <v>0</v>
      </c>
      <c r="T72" s="223">
        <f t="shared" si="200"/>
        <v>0</v>
      </c>
      <c r="U72" s="223">
        <f t="shared" si="200"/>
        <v>0</v>
      </c>
      <c r="V72" s="223">
        <f t="shared" si="200"/>
        <v>0</v>
      </c>
      <c r="W72" s="223">
        <f t="shared" si="200"/>
        <v>0</v>
      </c>
      <c r="X72" s="223">
        <f t="shared" si="200"/>
        <v>0</v>
      </c>
      <c r="Y72" s="223">
        <f t="shared" si="200"/>
        <v>0</v>
      </c>
      <c r="Z72" s="223">
        <f t="shared" si="200"/>
        <v>0</v>
      </c>
      <c r="AA72" s="223">
        <f t="shared" si="200"/>
        <v>0</v>
      </c>
      <c r="AB72" s="223">
        <f t="shared" si="200"/>
        <v>0</v>
      </c>
      <c r="AC72" s="223">
        <f t="shared" si="200"/>
        <v>0</v>
      </c>
      <c r="AD72" s="223">
        <f t="shared" si="200"/>
        <v>0</v>
      </c>
      <c r="AE72" s="223"/>
      <c r="AF72" s="223">
        <f t="shared" si="201"/>
        <v>0</v>
      </c>
      <c r="AG72" s="223">
        <f t="shared" si="202"/>
        <v>0</v>
      </c>
      <c r="AH72" s="223">
        <f t="shared" si="202"/>
        <v>0</v>
      </c>
      <c r="AI72" s="223">
        <f t="shared" si="202"/>
        <v>0</v>
      </c>
      <c r="AJ72" s="223">
        <f t="shared" si="202"/>
        <v>0</v>
      </c>
      <c r="AK72" s="223">
        <f t="shared" si="202"/>
        <v>0</v>
      </c>
      <c r="AL72" s="223">
        <f t="shared" si="202"/>
        <v>0</v>
      </c>
      <c r="AM72" s="223">
        <f t="shared" si="202"/>
        <v>0</v>
      </c>
      <c r="AN72" s="223">
        <f t="shared" si="202"/>
        <v>0</v>
      </c>
      <c r="AO72" s="223">
        <f t="shared" si="202"/>
        <v>0</v>
      </c>
      <c r="AP72" s="223">
        <f t="shared" si="202"/>
        <v>0</v>
      </c>
      <c r="AQ72" s="223">
        <f t="shared" si="202"/>
        <v>0</v>
      </c>
      <c r="AR72" s="223"/>
      <c r="AS72" s="223">
        <f t="shared" si="203"/>
        <v>0</v>
      </c>
      <c r="AT72" s="223">
        <f t="shared" si="204"/>
        <v>0</v>
      </c>
      <c r="AU72" s="223">
        <f t="shared" si="204"/>
        <v>0</v>
      </c>
      <c r="AV72" s="223">
        <f t="shared" si="204"/>
        <v>0</v>
      </c>
      <c r="AW72" s="223">
        <f t="shared" si="204"/>
        <v>0</v>
      </c>
      <c r="AX72" s="223">
        <f t="shared" si="204"/>
        <v>0</v>
      </c>
      <c r="AY72" s="223">
        <f t="shared" si="204"/>
        <v>0</v>
      </c>
      <c r="AZ72" s="223">
        <f t="shared" si="204"/>
        <v>0</v>
      </c>
      <c r="BA72" s="223">
        <f t="shared" si="204"/>
        <v>0</v>
      </c>
      <c r="BB72" s="223">
        <f t="shared" si="204"/>
        <v>0</v>
      </c>
      <c r="BC72" s="223">
        <f t="shared" si="204"/>
        <v>0</v>
      </c>
      <c r="BD72" s="223">
        <f t="shared" si="204"/>
        <v>0</v>
      </c>
      <c r="BE72" s="223"/>
      <c r="BF72" s="223">
        <f t="shared" si="205"/>
        <v>0</v>
      </c>
      <c r="BG72" s="223">
        <f t="shared" si="206"/>
        <v>0</v>
      </c>
      <c r="BH72" s="223">
        <f t="shared" si="206"/>
        <v>0</v>
      </c>
      <c r="BI72" s="223">
        <f t="shared" si="206"/>
        <v>0</v>
      </c>
      <c r="BJ72" s="223">
        <f t="shared" si="206"/>
        <v>0</v>
      </c>
      <c r="BK72" s="223">
        <f t="shared" si="206"/>
        <v>0</v>
      </c>
      <c r="BL72" s="223">
        <f t="shared" si="206"/>
        <v>0</v>
      </c>
      <c r="BM72" s="223">
        <f t="shared" si="206"/>
        <v>0</v>
      </c>
      <c r="BN72" s="223">
        <f t="shared" si="206"/>
        <v>0</v>
      </c>
      <c r="BO72" s="223">
        <f t="shared" si="206"/>
        <v>0</v>
      </c>
      <c r="BP72" s="223">
        <f t="shared" si="206"/>
        <v>0</v>
      </c>
      <c r="BQ72" s="223">
        <f t="shared" si="206"/>
        <v>0</v>
      </c>
      <c r="BR72" s="223"/>
      <c r="BS72" s="223">
        <f t="shared" si="207"/>
        <v>0</v>
      </c>
      <c r="BT72" s="223">
        <f t="shared" si="208"/>
        <v>0</v>
      </c>
      <c r="BU72" s="223">
        <f t="shared" si="208"/>
        <v>0</v>
      </c>
      <c r="BV72" s="223">
        <f t="shared" si="208"/>
        <v>0</v>
      </c>
      <c r="BW72" s="223">
        <f t="shared" si="208"/>
        <v>0</v>
      </c>
      <c r="BX72" s="223">
        <f t="shared" si="208"/>
        <v>0</v>
      </c>
      <c r="BY72" s="223">
        <f t="shared" si="208"/>
        <v>0</v>
      </c>
      <c r="BZ72" s="223">
        <f t="shared" si="208"/>
        <v>0</v>
      </c>
      <c r="CA72" s="223">
        <f t="shared" si="208"/>
        <v>0</v>
      </c>
      <c r="CB72" s="223">
        <f t="shared" si="208"/>
        <v>0</v>
      </c>
      <c r="CC72" s="223">
        <f t="shared" si="208"/>
        <v>0</v>
      </c>
      <c r="CD72" s="223">
        <f t="shared" si="208"/>
        <v>0</v>
      </c>
      <c r="CE72" s="389"/>
      <c r="CF72" s="223">
        <f t="shared" si="209"/>
        <v>0</v>
      </c>
      <c r="CG72" s="223">
        <f t="shared" si="210"/>
        <v>0</v>
      </c>
      <c r="CH72" s="223">
        <f t="shared" si="211"/>
        <v>0</v>
      </c>
      <c r="CI72" s="223">
        <f t="shared" si="212"/>
        <v>0</v>
      </c>
      <c r="CJ72" s="223">
        <f t="shared" si="213"/>
        <v>0</v>
      </c>
      <c r="CK72" s="223">
        <f t="shared" si="214"/>
        <v>0</v>
      </c>
      <c r="CL72" s="223">
        <f t="shared" si="215"/>
        <v>0</v>
      </c>
      <c r="CM72" s="223">
        <f t="shared" si="216"/>
        <v>0</v>
      </c>
      <c r="CN72" s="223">
        <f t="shared" si="217"/>
        <v>0</v>
      </c>
      <c r="CO72" s="223">
        <f t="shared" si="218"/>
        <v>0</v>
      </c>
      <c r="CP72" s="223">
        <f t="shared" si="219"/>
        <v>0</v>
      </c>
      <c r="CQ72" s="223">
        <f t="shared" si="220"/>
        <v>0</v>
      </c>
      <c r="CR72" s="389"/>
      <c r="CS72" s="223">
        <f t="shared" si="221"/>
        <v>0</v>
      </c>
      <c r="CT72" s="223">
        <f t="shared" si="222"/>
        <v>0</v>
      </c>
      <c r="CU72" s="223">
        <f t="shared" si="223"/>
        <v>0</v>
      </c>
      <c r="CV72" s="223">
        <f t="shared" si="224"/>
        <v>0</v>
      </c>
      <c r="CW72" s="223">
        <f t="shared" si="225"/>
        <v>0</v>
      </c>
      <c r="CX72" s="223">
        <f t="shared" si="226"/>
        <v>0</v>
      </c>
      <c r="CY72" s="223">
        <f t="shared" si="227"/>
        <v>0</v>
      </c>
      <c r="CZ72" s="223">
        <f t="shared" si="228"/>
        <v>0</v>
      </c>
      <c r="DA72" s="223">
        <f t="shared" si="229"/>
        <v>0</v>
      </c>
      <c r="DB72" s="223">
        <f t="shared" si="230"/>
        <v>0</v>
      </c>
      <c r="DC72" s="223">
        <f t="shared" si="231"/>
        <v>0</v>
      </c>
      <c r="DD72" s="223">
        <f t="shared" si="232"/>
        <v>0</v>
      </c>
      <c r="DE72" s="389"/>
      <c r="DF72" s="223">
        <f t="shared" si="233"/>
        <v>0</v>
      </c>
      <c r="DG72" s="223">
        <f t="shared" si="234"/>
        <v>0</v>
      </c>
      <c r="DH72" s="223">
        <f t="shared" si="235"/>
        <v>0</v>
      </c>
      <c r="DI72" s="223">
        <f t="shared" si="236"/>
        <v>0</v>
      </c>
      <c r="DJ72" s="223">
        <f t="shared" si="237"/>
        <v>0</v>
      </c>
      <c r="DK72" s="223">
        <f t="shared" si="238"/>
        <v>0</v>
      </c>
      <c r="DL72" s="223">
        <f t="shared" si="239"/>
        <v>0</v>
      </c>
      <c r="DM72" s="223">
        <f t="shared" si="240"/>
        <v>0</v>
      </c>
      <c r="DN72" s="223">
        <f t="shared" si="241"/>
        <v>0</v>
      </c>
      <c r="DO72" s="223">
        <f t="shared" si="242"/>
        <v>0</v>
      </c>
      <c r="DP72" s="223">
        <f t="shared" si="243"/>
        <v>0</v>
      </c>
      <c r="DQ72" s="223">
        <f t="shared" si="244"/>
        <v>0</v>
      </c>
      <c r="DR72" s="389"/>
      <c r="DS72" s="31">
        <f>SUM(F72:Q72)+SUM(S72:AD72)+SUM(AF72:AQ72)+SUM(AS72:BD72)+SUM(BF72:BQ72)+SUM(BS72:CD72)</f>
        <v>0</v>
      </c>
      <c r="DT72" s="390"/>
      <c r="DU72" s="9"/>
      <c r="DV72" s="8"/>
      <c r="DW72" s="7"/>
      <c r="DX72" s="7"/>
      <c r="DY72" s="7"/>
      <c r="DZ72" s="7"/>
      <c r="EA72" s="7"/>
      <c r="EB72" s="7"/>
      <c r="EC72" s="7"/>
    </row>
    <row r="73" spans="1:133" hidden="1">
      <c r="C73" s="57" t="str">
        <f t="shared" si="245"/>
        <v>///</v>
      </c>
      <c r="D73" s="57"/>
      <c r="E73" s="62">
        <f t="shared" si="245"/>
        <v>0</v>
      </c>
      <c r="F73" s="223"/>
      <c r="G73" s="223">
        <f t="shared" si="199"/>
        <v>0</v>
      </c>
      <c r="H73" s="223">
        <f t="shared" si="199"/>
        <v>0</v>
      </c>
      <c r="I73" s="223">
        <f t="shared" si="199"/>
        <v>0</v>
      </c>
      <c r="J73" s="223">
        <f t="shared" si="199"/>
        <v>0</v>
      </c>
      <c r="K73" s="223">
        <f t="shared" si="199"/>
        <v>0</v>
      </c>
      <c r="L73" s="223">
        <f t="shared" si="199"/>
        <v>0</v>
      </c>
      <c r="M73" s="223">
        <f t="shared" si="199"/>
        <v>0</v>
      </c>
      <c r="N73" s="223">
        <f t="shared" si="199"/>
        <v>0</v>
      </c>
      <c r="O73" s="223">
        <f t="shared" si="199"/>
        <v>0</v>
      </c>
      <c r="P73" s="223">
        <f t="shared" si="199"/>
        <v>0</v>
      </c>
      <c r="Q73" s="223">
        <f t="shared" si="199"/>
        <v>0</v>
      </c>
      <c r="R73" s="223"/>
      <c r="S73" s="223">
        <f t="shared" si="246"/>
        <v>0</v>
      </c>
      <c r="T73" s="223">
        <f t="shared" si="200"/>
        <v>0</v>
      </c>
      <c r="U73" s="223">
        <f t="shared" si="200"/>
        <v>0</v>
      </c>
      <c r="V73" s="223">
        <f t="shared" si="200"/>
        <v>0</v>
      </c>
      <c r="W73" s="223">
        <f t="shared" si="200"/>
        <v>0</v>
      </c>
      <c r="X73" s="223">
        <f t="shared" si="200"/>
        <v>0</v>
      </c>
      <c r="Y73" s="223">
        <f t="shared" si="200"/>
        <v>0</v>
      </c>
      <c r="Z73" s="223">
        <f t="shared" si="200"/>
        <v>0</v>
      </c>
      <c r="AA73" s="223">
        <f t="shared" si="200"/>
        <v>0</v>
      </c>
      <c r="AB73" s="223">
        <f t="shared" si="200"/>
        <v>0</v>
      </c>
      <c r="AC73" s="223">
        <f t="shared" si="200"/>
        <v>0</v>
      </c>
      <c r="AD73" s="223">
        <f t="shared" si="200"/>
        <v>0</v>
      </c>
      <c r="AE73" s="223"/>
      <c r="AF73" s="223">
        <f t="shared" si="201"/>
        <v>0</v>
      </c>
      <c r="AG73" s="223">
        <f t="shared" si="202"/>
        <v>0</v>
      </c>
      <c r="AH73" s="223">
        <f t="shared" si="202"/>
        <v>0</v>
      </c>
      <c r="AI73" s="223">
        <f t="shared" si="202"/>
        <v>0</v>
      </c>
      <c r="AJ73" s="223">
        <f t="shared" si="202"/>
        <v>0</v>
      </c>
      <c r="AK73" s="223">
        <f t="shared" si="202"/>
        <v>0</v>
      </c>
      <c r="AL73" s="223">
        <f t="shared" si="202"/>
        <v>0</v>
      </c>
      <c r="AM73" s="223">
        <f t="shared" si="202"/>
        <v>0</v>
      </c>
      <c r="AN73" s="223">
        <f t="shared" si="202"/>
        <v>0</v>
      </c>
      <c r="AO73" s="223">
        <f t="shared" si="202"/>
        <v>0</v>
      </c>
      <c r="AP73" s="223">
        <f t="shared" si="202"/>
        <v>0</v>
      </c>
      <c r="AQ73" s="223">
        <f t="shared" si="202"/>
        <v>0</v>
      </c>
      <c r="AR73" s="223"/>
      <c r="AS73" s="223">
        <f t="shared" si="203"/>
        <v>0</v>
      </c>
      <c r="AT73" s="223">
        <f t="shared" si="204"/>
        <v>0</v>
      </c>
      <c r="AU73" s="223">
        <f t="shared" si="204"/>
        <v>0</v>
      </c>
      <c r="AV73" s="223">
        <f t="shared" si="204"/>
        <v>0</v>
      </c>
      <c r="AW73" s="223">
        <f t="shared" si="204"/>
        <v>0</v>
      </c>
      <c r="AX73" s="223">
        <f t="shared" si="204"/>
        <v>0</v>
      </c>
      <c r="AY73" s="223">
        <f t="shared" si="204"/>
        <v>0</v>
      </c>
      <c r="AZ73" s="223">
        <f t="shared" si="204"/>
        <v>0</v>
      </c>
      <c r="BA73" s="223">
        <f t="shared" si="204"/>
        <v>0</v>
      </c>
      <c r="BB73" s="223">
        <f t="shared" si="204"/>
        <v>0</v>
      </c>
      <c r="BC73" s="223">
        <f t="shared" si="204"/>
        <v>0</v>
      </c>
      <c r="BD73" s="223">
        <f t="shared" si="204"/>
        <v>0</v>
      </c>
      <c r="BE73" s="223"/>
      <c r="BF73" s="223">
        <f t="shared" si="205"/>
        <v>0</v>
      </c>
      <c r="BG73" s="223">
        <f t="shared" si="206"/>
        <v>0</v>
      </c>
      <c r="BH73" s="223">
        <f t="shared" si="206"/>
        <v>0</v>
      </c>
      <c r="BI73" s="223">
        <f t="shared" si="206"/>
        <v>0</v>
      </c>
      <c r="BJ73" s="223">
        <f t="shared" si="206"/>
        <v>0</v>
      </c>
      <c r="BK73" s="223">
        <f t="shared" si="206"/>
        <v>0</v>
      </c>
      <c r="BL73" s="223">
        <f t="shared" si="206"/>
        <v>0</v>
      </c>
      <c r="BM73" s="223">
        <f t="shared" si="206"/>
        <v>0</v>
      </c>
      <c r="BN73" s="223">
        <f t="shared" si="206"/>
        <v>0</v>
      </c>
      <c r="BO73" s="223">
        <f t="shared" si="206"/>
        <v>0</v>
      </c>
      <c r="BP73" s="223">
        <f t="shared" si="206"/>
        <v>0</v>
      </c>
      <c r="BQ73" s="223">
        <f t="shared" si="206"/>
        <v>0</v>
      </c>
      <c r="BR73" s="223"/>
      <c r="BS73" s="223">
        <f t="shared" si="207"/>
        <v>0</v>
      </c>
      <c r="BT73" s="223">
        <f t="shared" si="208"/>
        <v>0</v>
      </c>
      <c r="BU73" s="223">
        <f t="shared" si="208"/>
        <v>0</v>
      </c>
      <c r="BV73" s="223">
        <f t="shared" si="208"/>
        <v>0</v>
      </c>
      <c r="BW73" s="223">
        <f t="shared" si="208"/>
        <v>0</v>
      </c>
      <c r="BX73" s="223">
        <f t="shared" si="208"/>
        <v>0</v>
      </c>
      <c r="BY73" s="223">
        <f t="shared" si="208"/>
        <v>0</v>
      </c>
      <c r="BZ73" s="223">
        <f t="shared" si="208"/>
        <v>0</v>
      </c>
      <c r="CA73" s="223">
        <f t="shared" si="208"/>
        <v>0</v>
      </c>
      <c r="CB73" s="223">
        <f t="shared" si="208"/>
        <v>0</v>
      </c>
      <c r="CC73" s="223">
        <f t="shared" si="208"/>
        <v>0</v>
      </c>
      <c r="CD73" s="223">
        <f t="shared" si="208"/>
        <v>0</v>
      </c>
      <c r="CE73" s="389"/>
      <c r="CF73" s="223">
        <f t="shared" si="209"/>
        <v>0</v>
      </c>
      <c r="CG73" s="223">
        <f t="shared" si="210"/>
        <v>0</v>
      </c>
      <c r="CH73" s="223">
        <f t="shared" si="211"/>
        <v>0</v>
      </c>
      <c r="CI73" s="223">
        <f t="shared" si="212"/>
        <v>0</v>
      </c>
      <c r="CJ73" s="223">
        <f t="shared" si="213"/>
        <v>0</v>
      </c>
      <c r="CK73" s="223">
        <f t="shared" si="214"/>
        <v>0</v>
      </c>
      <c r="CL73" s="223">
        <f t="shared" si="215"/>
        <v>0</v>
      </c>
      <c r="CM73" s="223">
        <f t="shared" si="216"/>
        <v>0</v>
      </c>
      <c r="CN73" s="223">
        <f t="shared" si="217"/>
        <v>0</v>
      </c>
      <c r="CO73" s="223">
        <f t="shared" si="218"/>
        <v>0</v>
      </c>
      <c r="CP73" s="223">
        <f t="shared" si="219"/>
        <v>0</v>
      </c>
      <c r="CQ73" s="223">
        <f t="shared" si="220"/>
        <v>0</v>
      </c>
      <c r="CR73" s="389"/>
      <c r="CS73" s="223">
        <f t="shared" si="221"/>
        <v>0</v>
      </c>
      <c r="CT73" s="223">
        <f t="shared" si="222"/>
        <v>0</v>
      </c>
      <c r="CU73" s="223">
        <f t="shared" si="223"/>
        <v>0</v>
      </c>
      <c r="CV73" s="223">
        <f t="shared" si="224"/>
        <v>0</v>
      </c>
      <c r="CW73" s="223">
        <f t="shared" si="225"/>
        <v>0</v>
      </c>
      <c r="CX73" s="223">
        <f t="shared" si="226"/>
        <v>0</v>
      </c>
      <c r="CY73" s="223">
        <f t="shared" si="227"/>
        <v>0</v>
      </c>
      <c r="CZ73" s="223">
        <f t="shared" si="228"/>
        <v>0</v>
      </c>
      <c r="DA73" s="223">
        <f t="shared" si="229"/>
        <v>0</v>
      </c>
      <c r="DB73" s="223">
        <f t="shared" si="230"/>
        <v>0</v>
      </c>
      <c r="DC73" s="223">
        <f t="shared" si="231"/>
        <v>0</v>
      </c>
      <c r="DD73" s="223">
        <f t="shared" si="232"/>
        <v>0</v>
      </c>
      <c r="DE73" s="389"/>
      <c r="DF73" s="223">
        <f t="shared" si="233"/>
        <v>0</v>
      </c>
      <c r="DG73" s="223">
        <f t="shared" si="234"/>
        <v>0</v>
      </c>
      <c r="DH73" s="223">
        <f t="shared" si="235"/>
        <v>0</v>
      </c>
      <c r="DI73" s="223">
        <f t="shared" si="236"/>
        <v>0</v>
      </c>
      <c r="DJ73" s="223">
        <f t="shared" si="237"/>
        <v>0</v>
      </c>
      <c r="DK73" s="223">
        <f t="shared" si="238"/>
        <v>0</v>
      </c>
      <c r="DL73" s="223">
        <f t="shared" si="239"/>
        <v>0</v>
      </c>
      <c r="DM73" s="223">
        <f t="shared" si="240"/>
        <v>0</v>
      </c>
      <c r="DN73" s="223">
        <f t="shared" si="241"/>
        <v>0</v>
      </c>
      <c r="DO73" s="223">
        <f t="shared" si="242"/>
        <v>0</v>
      </c>
      <c r="DP73" s="223">
        <f t="shared" si="243"/>
        <v>0</v>
      </c>
      <c r="DQ73" s="223">
        <f t="shared" si="244"/>
        <v>0</v>
      </c>
      <c r="DR73" s="389"/>
      <c r="DS73" s="31">
        <f>SUM(F73:Q73)+SUM(S73:AD73)+SUM(AF73:AQ73)+SUM(AS73:BD73)+SUM(BF73:BQ73)+SUM(BS73:CD73)</f>
        <v>0</v>
      </c>
      <c r="DT73" s="390"/>
      <c r="DU73" s="9"/>
      <c r="DV73" s="8"/>
      <c r="DW73" s="7"/>
      <c r="DX73" s="7"/>
      <c r="DY73" s="7"/>
      <c r="DZ73" s="7"/>
      <c r="EA73" s="7"/>
      <c r="EB73" s="7"/>
      <c r="EC73" s="7"/>
    </row>
    <row r="74" spans="1:133" hidden="1">
      <c r="A74" s="1">
        <v>3</v>
      </c>
      <c r="B74" s="1">
        <v>5</v>
      </c>
      <c r="C74" s="57" t="str">
        <f t="shared" si="245"/>
        <v>///</v>
      </c>
      <c r="D74" s="57"/>
      <c r="E74" s="62">
        <f t="shared" si="245"/>
        <v>0</v>
      </c>
      <c r="F74" s="223"/>
      <c r="G74" s="223">
        <f t="shared" si="199"/>
        <v>0</v>
      </c>
      <c r="H74" s="223">
        <f t="shared" si="199"/>
        <v>0</v>
      </c>
      <c r="I74" s="223">
        <f t="shared" si="199"/>
        <v>0</v>
      </c>
      <c r="J74" s="223">
        <f t="shared" si="199"/>
        <v>0</v>
      </c>
      <c r="K74" s="223">
        <f t="shared" si="199"/>
        <v>0</v>
      </c>
      <c r="L74" s="223">
        <f t="shared" si="199"/>
        <v>0</v>
      </c>
      <c r="M74" s="223">
        <f t="shared" si="199"/>
        <v>0</v>
      </c>
      <c r="N74" s="223">
        <f t="shared" si="199"/>
        <v>0</v>
      </c>
      <c r="O74" s="223">
        <f t="shared" si="199"/>
        <v>0</v>
      </c>
      <c r="P74" s="223">
        <f t="shared" si="199"/>
        <v>0</v>
      </c>
      <c r="Q74" s="223">
        <f t="shared" si="199"/>
        <v>0</v>
      </c>
      <c r="R74" s="223"/>
      <c r="S74" s="223">
        <f t="shared" si="246"/>
        <v>0</v>
      </c>
      <c r="T74" s="223">
        <f t="shared" si="200"/>
        <v>0</v>
      </c>
      <c r="U74" s="223">
        <f t="shared" si="200"/>
        <v>0</v>
      </c>
      <c r="V74" s="223">
        <f t="shared" si="200"/>
        <v>0</v>
      </c>
      <c r="W74" s="223">
        <f t="shared" si="200"/>
        <v>0</v>
      </c>
      <c r="X74" s="223">
        <f t="shared" si="200"/>
        <v>0</v>
      </c>
      <c r="Y74" s="223">
        <f t="shared" si="200"/>
        <v>0</v>
      </c>
      <c r="Z74" s="223">
        <f t="shared" si="200"/>
        <v>0</v>
      </c>
      <c r="AA74" s="223">
        <f t="shared" si="200"/>
        <v>0</v>
      </c>
      <c r="AB74" s="223">
        <f t="shared" si="200"/>
        <v>0</v>
      </c>
      <c r="AC74" s="223">
        <f t="shared" si="200"/>
        <v>0</v>
      </c>
      <c r="AD74" s="223">
        <f t="shared" si="200"/>
        <v>0</v>
      </c>
      <c r="AE74" s="223"/>
      <c r="AF74" s="223">
        <f t="shared" si="201"/>
        <v>0</v>
      </c>
      <c r="AG74" s="223">
        <f t="shared" si="202"/>
        <v>0</v>
      </c>
      <c r="AH74" s="223">
        <f t="shared" si="202"/>
        <v>0</v>
      </c>
      <c r="AI74" s="223">
        <f t="shared" si="202"/>
        <v>0</v>
      </c>
      <c r="AJ74" s="223">
        <f t="shared" si="202"/>
        <v>0</v>
      </c>
      <c r="AK74" s="223">
        <f t="shared" si="202"/>
        <v>0</v>
      </c>
      <c r="AL74" s="223">
        <f t="shared" si="202"/>
        <v>0</v>
      </c>
      <c r="AM74" s="223">
        <f t="shared" si="202"/>
        <v>0</v>
      </c>
      <c r="AN74" s="223">
        <f t="shared" si="202"/>
        <v>0</v>
      </c>
      <c r="AO74" s="223">
        <f t="shared" si="202"/>
        <v>0</v>
      </c>
      <c r="AP74" s="223">
        <f t="shared" si="202"/>
        <v>0</v>
      </c>
      <c r="AQ74" s="223">
        <f t="shared" si="202"/>
        <v>0</v>
      </c>
      <c r="AR74" s="223"/>
      <c r="AS74" s="223">
        <f t="shared" si="203"/>
        <v>0</v>
      </c>
      <c r="AT74" s="223">
        <f t="shared" si="204"/>
        <v>0</v>
      </c>
      <c r="AU74" s="223">
        <f t="shared" si="204"/>
        <v>0</v>
      </c>
      <c r="AV74" s="223">
        <f t="shared" si="204"/>
        <v>0</v>
      </c>
      <c r="AW74" s="223">
        <f t="shared" si="204"/>
        <v>0</v>
      </c>
      <c r="AX74" s="223">
        <f t="shared" si="204"/>
        <v>0</v>
      </c>
      <c r="AY74" s="223">
        <f t="shared" si="204"/>
        <v>0</v>
      </c>
      <c r="AZ74" s="223">
        <f t="shared" si="204"/>
        <v>0</v>
      </c>
      <c r="BA74" s="223">
        <f t="shared" si="204"/>
        <v>0</v>
      </c>
      <c r="BB74" s="223">
        <f t="shared" si="204"/>
        <v>0</v>
      </c>
      <c r="BC74" s="223">
        <f t="shared" si="204"/>
        <v>0</v>
      </c>
      <c r="BD74" s="223">
        <f t="shared" si="204"/>
        <v>0</v>
      </c>
      <c r="BE74" s="223"/>
      <c r="BF74" s="223">
        <f t="shared" si="205"/>
        <v>0</v>
      </c>
      <c r="BG74" s="223">
        <f t="shared" si="206"/>
        <v>0</v>
      </c>
      <c r="BH74" s="223">
        <f t="shared" si="206"/>
        <v>0</v>
      </c>
      <c r="BI74" s="223">
        <f t="shared" si="206"/>
        <v>0</v>
      </c>
      <c r="BJ74" s="223">
        <f t="shared" si="206"/>
        <v>0</v>
      </c>
      <c r="BK74" s="223">
        <f t="shared" si="206"/>
        <v>0</v>
      </c>
      <c r="BL74" s="223">
        <f t="shared" si="206"/>
        <v>0</v>
      </c>
      <c r="BM74" s="223">
        <f t="shared" si="206"/>
        <v>0</v>
      </c>
      <c r="BN74" s="223">
        <f t="shared" si="206"/>
        <v>0</v>
      </c>
      <c r="BO74" s="223">
        <f t="shared" si="206"/>
        <v>0</v>
      </c>
      <c r="BP74" s="223">
        <f t="shared" si="206"/>
        <v>0</v>
      </c>
      <c r="BQ74" s="223">
        <f t="shared" si="206"/>
        <v>0</v>
      </c>
      <c r="BR74" s="223"/>
      <c r="BS74" s="223">
        <f t="shared" si="207"/>
        <v>0</v>
      </c>
      <c r="BT74" s="223">
        <f t="shared" si="208"/>
        <v>0</v>
      </c>
      <c r="BU74" s="223">
        <f t="shared" si="208"/>
        <v>0</v>
      </c>
      <c r="BV74" s="223">
        <f t="shared" si="208"/>
        <v>0</v>
      </c>
      <c r="BW74" s="223">
        <f t="shared" si="208"/>
        <v>0</v>
      </c>
      <c r="BX74" s="223">
        <f t="shared" si="208"/>
        <v>0</v>
      </c>
      <c r="BY74" s="223">
        <f t="shared" si="208"/>
        <v>0</v>
      </c>
      <c r="BZ74" s="223">
        <f t="shared" si="208"/>
        <v>0</v>
      </c>
      <c r="CA74" s="223">
        <f t="shared" si="208"/>
        <v>0</v>
      </c>
      <c r="CB74" s="223">
        <f t="shared" si="208"/>
        <v>0</v>
      </c>
      <c r="CC74" s="223">
        <f t="shared" si="208"/>
        <v>0</v>
      </c>
      <c r="CD74" s="223">
        <f t="shared" si="208"/>
        <v>0</v>
      </c>
      <c r="CE74" s="389"/>
      <c r="CF74" s="223">
        <f t="shared" si="209"/>
        <v>0</v>
      </c>
      <c r="CG74" s="223">
        <f t="shared" si="210"/>
        <v>0</v>
      </c>
      <c r="CH74" s="223">
        <f t="shared" si="211"/>
        <v>0</v>
      </c>
      <c r="CI74" s="223">
        <f t="shared" si="212"/>
        <v>0</v>
      </c>
      <c r="CJ74" s="223">
        <f t="shared" si="213"/>
        <v>0</v>
      </c>
      <c r="CK74" s="223">
        <f t="shared" si="214"/>
        <v>0</v>
      </c>
      <c r="CL74" s="223">
        <f t="shared" si="215"/>
        <v>0</v>
      </c>
      <c r="CM74" s="223">
        <f t="shared" si="216"/>
        <v>0</v>
      </c>
      <c r="CN74" s="223">
        <f t="shared" si="217"/>
        <v>0</v>
      </c>
      <c r="CO74" s="223">
        <f t="shared" si="218"/>
        <v>0</v>
      </c>
      <c r="CP74" s="223">
        <f t="shared" si="219"/>
        <v>0</v>
      </c>
      <c r="CQ74" s="223">
        <f t="shared" si="220"/>
        <v>0</v>
      </c>
      <c r="CR74" s="389"/>
      <c r="CS74" s="223">
        <f t="shared" si="221"/>
        <v>0</v>
      </c>
      <c r="CT74" s="223">
        <f t="shared" si="222"/>
        <v>0</v>
      </c>
      <c r="CU74" s="223">
        <f t="shared" si="223"/>
        <v>0</v>
      </c>
      <c r="CV74" s="223">
        <f t="shared" si="224"/>
        <v>0</v>
      </c>
      <c r="CW74" s="223">
        <f t="shared" si="225"/>
        <v>0</v>
      </c>
      <c r="CX74" s="223">
        <f t="shared" si="226"/>
        <v>0</v>
      </c>
      <c r="CY74" s="223">
        <f t="shared" si="227"/>
        <v>0</v>
      </c>
      <c r="CZ74" s="223">
        <f t="shared" si="228"/>
        <v>0</v>
      </c>
      <c r="DA74" s="223">
        <f t="shared" si="229"/>
        <v>0</v>
      </c>
      <c r="DB74" s="223">
        <f t="shared" si="230"/>
        <v>0</v>
      </c>
      <c r="DC74" s="223">
        <f t="shared" si="231"/>
        <v>0</v>
      </c>
      <c r="DD74" s="223">
        <f t="shared" si="232"/>
        <v>0</v>
      </c>
      <c r="DE74" s="389"/>
      <c r="DF74" s="223">
        <f t="shared" si="233"/>
        <v>0</v>
      </c>
      <c r="DG74" s="223">
        <f t="shared" si="234"/>
        <v>0</v>
      </c>
      <c r="DH74" s="223">
        <f t="shared" si="235"/>
        <v>0</v>
      </c>
      <c r="DI74" s="223">
        <f t="shared" si="236"/>
        <v>0</v>
      </c>
      <c r="DJ74" s="223">
        <f t="shared" si="237"/>
        <v>0</v>
      </c>
      <c r="DK74" s="223">
        <f t="shared" si="238"/>
        <v>0</v>
      </c>
      <c r="DL74" s="223">
        <f t="shared" si="239"/>
        <v>0</v>
      </c>
      <c r="DM74" s="223">
        <f t="shared" si="240"/>
        <v>0</v>
      </c>
      <c r="DN74" s="223">
        <f t="shared" si="241"/>
        <v>0</v>
      </c>
      <c r="DO74" s="223">
        <f t="shared" si="242"/>
        <v>0</v>
      </c>
      <c r="DP74" s="223">
        <f t="shared" si="243"/>
        <v>0</v>
      </c>
      <c r="DQ74" s="223">
        <f t="shared" si="244"/>
        <v>0</v>
      </c>
      <c r="DR74" s="389"/>
      <c r="DS74" s="31">
        <f>SUM(F74:Q74)+SUM(S74:AD74)+SUM(AF74:AQ74)+SUM(AS74:BD74)+SUM(BF74:BQ74)+SUM(BS74:CD74)</f>
        <v>0</v>
      </c>
      <c r="DT74" s="390"/>
      <c r="DU74" s="9"/>
      <c r="DV74" s="8"/>
      <c r="DW74" s="7"/>
      <c r="DX74" s="7"/>
      <c r="DY74" s="7"/>
      <c r="DZ74" s="7"/>
      <c r="EA74" s="7"/>
      <c r="EB74" s="7"/>
      <c r="EC74" s="7"/>
    </row>
    <row r="75" spans="1:133" hidden="1">
      <c r="C75" s="57" t="str">
        <f t="shared" si="245"/>
        <v>///</v>
      </c>
      <c r="D75" s="57"/>
      <c r="E75" s="62">
        <f t="shared" si="245"/>
        <v>0</v>
      </c>
      <c r="F75" s="223"/>
      <c r="G75" s="223">
        <f t="shared" si="199"/>
        <v>0</v>
      </c>
      <c r="H75" s="223">
        <f t="shared" si="199"/>
        <v>0</v>
      </c>
      <c r="I75" s="223">
        <f t="shared" si="199"/>
        <v>0</v>
      </c>
      <c r="J75" s="223">
        <f t="shared" si="199"/>
        <v>0</v>
      </c>
      <c r="K75" s="223">
        <f t="shared" si="199"/>
        <v>0</v>
      </c>
      <c r="L75" s="223">
        <f t="shared" si="199"/>
        <v>0</v>
      </c>
      <c r="M75" s="223">
        <f t="shared" si="199"/>
        <v>0</v>
      </c>
      <c r="N75" s="223">
        <f t="shared" si="199"/>
        <v>0</v>
      </c>
      <c r="O75" s="223">
        <f t="shared" si="199"/>
        <v>0</v>
      </c>
      <c r="P75" s="223">
        <f t="shared" si="199"/>
        <v>0</v>
      </c>
      <c r="Q75" s="223">
        <f t="shared" si="199"/>
        <v>0</v>
      </c>
      <c r="R75" s="223"/>
      <c r="S75" s="223">
        <f t="shared" si="246"/>
        <v>0</v>
      </c>
      <c r="T75" s="223">
        <f t="shared" si="200"/>
        <v>0</v>
      </c>
      <c r="U75" s="223">
        <f t="shared" si="200"/>
        <v>0</v>
      </c>
      <c r="V75" s="223">
        <f t="shared" si="200"/>
        <v>0</v>
      </c>
      <c r="W75" s="223">
        <f t="shared" si="200"/>
        <v>0</v>
      </c>
      <c r="X75" s="223">
        <f t="shared" si="200"/>
        <v>0</v>
      </c>
      <c r="Y75" s="223">
        <f t="shared" si="200"/>
        <v>0</v>
      </c>
      <c r="Z75" s="223">
        <f t="shared" si="200"/>
        <v>0</v>
      </c>
      <c r="AA75" s="223">
        <f t="shared" si="200"/>
        <v>0</v>
      </c>
      <c r="AB75" s="223">
        <f t="shared" si="200"/>
        <v>0</v>
      </c>
      <c r="AC75" s="223">
        <f t="shared" si="200"/>
        <v>0</v>
      </c>
      <c r="AD75" s="223">
        <f t="shared" si="200"/>
        <v>0</v>
      </c>
      <c r="AE75" s="223"/>
      <c r="AF75" s="223">
        <f t="shared" si="201"/>
        <v>0</v>
      </c>
      <c r="AG75" s="223">
        <f t="shared" si="202"/>
        <v>0</v>
      </c>
      <c r="AH75" s="223">
        <f t="shared" si="202"/>
        <v>0</v>
      </c>
      <c r="AI75" s="223">
        <f t="shared" si="202"/>
        <v>0</v>
      </c>
      <c r="AJ75" s="223">
        <f t="shared" si="202"/>
        <v>0</v>
      </c>
      <c r="AK75" s="223">
        <f t="shared" si="202"/>
        <v>0</v>
      </c>
      <c r="AL75" s="223">
        <f t="shared" si="202"/>
        <v>0</v>
      </c>
      <c r="AM75" s="223">
        <f t="shared" si="202"/>
        <v>0</v>
      </c>
      <c r="AN75" s="223">
        <f t="shared" si="202"/>
        <v>0</v>
      </c>
      <c r="AO75" s="223">
        <f t="shared" si="202"/>
        <v>0</v>
      </c>
      <c r="AP75" s="223">
        <f t="shared" si="202"/>
        <v>0</v>
      </c>
      <c r="AQ75" s="223">
        <f t="shared" si="202"/>
        <v>0</v>
      </c>
      <c r="AR75" s="223"/>
      <c r="AS75" s="223">
        <f t="shared" si="203"/>
        <v>0</v>
      </c>
      <c r="AT75" s="223">
        <f t="shared" si="204"/>
        <v>0</v>
      </c>
      <c r="AU75" s="223">
        <f t="shared" si="204"/>
        <v>0</v>
      </c>
      <c r="AV75" s="223">
        <f t="shared" si="204"/>
        <v>0</v>
      </c>
      <c r="AW75" s="223">
        <f t="shared" si="204"/>
        <v>0</v>
      </c>
      <c r="AX75" s="223">
        <f t="shared" si="204"/>
        <v>0</v>
      </c>
      <c r="AY75" s="223">
        <f t="shared" si="204"/>
        <v>0</v>
      </c>
      <c r="AZ75" s="223">
        <f t="shared" si="204"/>
        <v>0</v>
      </c>
      <c r="BA75" s="223">
        <f t="shared" si="204"/>
        <v>0</v>
      </c>
      <c r="BB75" s="223">
        <f t="shared" si="204"/>
        <v>0</v>
      </c>
      <c r="BC75" s="223">
        <f t="shared" si="204"/>
        <v>0</v>
      </c>
      <c r="BD75" s="223">
        <f t="shared" si="204"/>
        <v>0</v>
      </c>
      <c r="BE75" s="223"/>
      <c r="BF75" s="223">
        <f t="shared" si="205"/>
        <v>0</v>
      </c>
      <c r="BG75" s="223">
        <f t="shared" si="206"/>
        <v>0</v>
      </c>
      <c r="BH75" s="223">
        <f t="shared" si="206"/>
        <v>0</v>
      </c>
      <c r="BI75" s="223">
        <f t="shared" si="206"/>
        <v>0</v>
      </c>
      <c r="BJ75" s="223">
        <f t="shared" si="206"/>
        <v>0</v>
      </c>
      <c r="BK75" s="223">
        <f t="shared" si="206"/>
        <v>0</v>
      </c>
      <c r="BL75" s="223">
        <f t="shared" si="206"/>
        <v>0</v>
      </c>
      <c r="BM75" s="223">
        <f t="shared" si="206"/>
        <v>0</v>
      </c>
      <c r="BN75" s="223">
        <f t="shared" si="206"/>
        <v>0</v>
      </c>
      <c r="BO75" s="223">
        <f t="shared" si="206"/>
        <v>0</v>
      </c>
      <c r="BP75" s="223">
        <f t="shared" si="206"/>
        <v>0</v>
      </c>
      <c r="BQ75" s="223">
        <f t="shared" si="206"/>
        <v>0</v>
      </c>
      <c r="BR75" s="223"/>
      <c r="BS75" s="223">
        <f t="shared" si="207"/>
        <v>0</v>
      </c>
      <c r="BT75" s="223">
        <f t="shared" si="208"/>
        <v>0</v>
      </c>
      <c r="BU75" s="223">
        <f t="shared" si="208"/>
        <v>0</v>
      </c>
      <c r="BV75" s="223">
        <f t="shared" si="208"/>
        <v>0</v>
      </c>
      <c r="BW75" s="223">
        <f t="shared" si="208"/>
        <v>0</v>
      </c>
      <c r="BX75" s="223">
        <f t="shared" si="208"/>
        <v>0</v>
      </c>
      <c r="BY75" s="223">
        <f t="shared" si="208"/>
        <v>0</v>
      </c>
      <c r="BZ75" s="223">
        <f t="shared" si="208"/>
        <v>0</v>
      </c>
      <c r="CA75" s="223">
        <f t="shared" si="208"/>
        <v>0</v>
      </c>
      <c r="CB75" s="223">
        <f t="shared" si="208"/>
        <v>0</v>
      </c>
      <c r="CC75" s="223">
        <f t="shared" si="208"/>
        <v>0</v>
      </c>
      <c r="CD75" s="223">
        <f t="shared" si="208"/>
        <v>0</v>
      </c>
      <c r="CE75" s="389"/>
      <c r="CF75" s="223">
        <f t="shared" si="209"/>
        <v>0</v>
      </c>
      <c r="CG75" s="223">
        <f t="shared" si="210"/>
        <v>0</v>
      </c>
      <c r="CH75" s="223">
        <f t="shared" si="211"/>
        <v>0</v>
      </c>
      <c r="CI75" s="223">
        <f t="shared" si="212"/>
        <v>0</v>
      </c>
      <c r="CJ75" s="223">
        <f t="shared" si="213"/>
        <v>0</v>
      </c>
      <c r="CK75" s="223">
        <f t="shared" si="214"/>
        <v>0</v>
      </c>
      <c r="CL75" s="223">
        <f t="shared" si="215"/>
        <v>0</v>
      </c>
      <c r="CM75" s="223">
        <f t="shared" si="216"/>
        <v>0</v>
      </c>
      <c r="CN75" s="223">
        <f t="shared" si="217"/>
        <v>0</v>
      </c>
      <c r="CO75" s="223">
        <f t="shared" si="218"/>
        <v>0</v>
      </c>
      <c r="CP75" s="223">
        <f t="shared" si="219"/>
        <v>0</v>
      </c>
      <c r="CQ75" s="223">
        <f t="shared" si="220"/>
        <v>0</v>
      </c>
      <c r="CR75" s="389"/>
      <c r="CS75" s="223">
        <f t="shared" si="221"/>
        <v>0</v>
      </c>
      <c r="CT75" s="223">
        <f t="shared" si="222"/>
        <v>0</v>
      </c>
      <c r="CU75" s="223">
        <f t="shared" si="223"/>
        <v>0</v>
      </c>
      <c r="CV75" s="223">
        <f t="shared" si="224"/>
        <v>0</v>
      </c>
      <c r="CW75" s="223">
        <f t="shared" si="225"/>
        <v>0</v>
      </c>
      <c r="CX75" s="223">
        <f t="shared" si="226"/>
        <v>0</v>
      </c>
      <c r="CY75" s="223">
        <f t="shared" si="227"/>
        <v>0</v>
      </c>
      <c r="CZ75" s="223">
        <f t="shared" si="228"/>
        <v>0</v>
      </c>
      <c r="DA75" s="223">
        <f t="shared" si="229"/>
        <v>0</v>
      </c>
      <c r="DB75" s="223">
        <f t="shared" si="230"/>
        <v>0</v>
      </c>
      <c r="DC75" s="223">
        <f t="shared" si="231"/>
        <v>0</v>
      </c>
      <c r="DD75" s="223">
        <f t="shared" si="232"/>
        <v>0</v>
      </c>
      <c r="DE75" s="389"/>
      <c r="DF75" s="223">
        <f t="shared" si="233"/>
        <v>0</v>
      </c>
      <c r="DG75" s="223">
        <f t="shared" si="234"/>
        <v>0</v>
      </c>
      <c r="DH75" s="223">
        <f t="shared" si="235"/>
        <v>0</v>
      </c>
      <c r="DI75" s="223">
        <f t="shared" si="236"/>
        <v>0</v>
      </c>
      <c r="DJ75" s="223">
        <f t="shared" si="237"/>
        <v>0</v>
      </c>
      <c r="DK75" s="223">
        <f t="shared" si="238"/>
        <v>0</v>
      </c>
      <c r="DL75" s="223">
        <f t="shared" si="239"/>
        <v>0</v>
      </c>
      <c r="DM75" s="223">
        <f t="shared" si="240"/>
        <v>0</v>
      </c>
      <c r="DN75" s="223">
        <f t="shared" si="241"/>
        <v>0</v>
      </c>
      <c r="DO75" s="223">
        <f t="shared" si="242"/>
        <v>0</v>
      </c>
      <c r="DP75" s="223">
        <f t="shared" si="243"/>
        <v>0</v>
      </c>
      <c r="DQ75" s="223">
        <f t="shared" si="244"/>
        <v>0</v>
      </c>
      <c r="DR75" s="389"/>
      <c r="DS75" s="31">
        <f>SUM(F75:Q75)+SUM(S75:AD75)+SUM(AF75:AQ75)+SUM(AS75:BD75)+SUM(BF75:BQ75)+SUM(BS75:CD75)</f>
        <v>0</v>
      </c>
      <c r="DT75" s="390"/>
      <c r="DU75" s="9"/>
      <c r="DV75" s="8"/>
      <c r="DW75" s="7"/>
      <c r="DX75" s="7"/>
      <c r="DY75" s="7"/>
      <c r="DZ75" s="7"/>
      <c r="EA75" s="7"/>
      <c r="EB75" s="7"/>
      <c r="EC75" s="7"/>
    </row>
    <row r="76" spans="1:133" hidden="1">
      <c r="C76" s="57" t="str">
        <f t="shared" si="245"/>
        <v>///</v>
      </c>
      <c r="D76" s="57"/>
      <c r="E76" s="62">
        <f t="shared" si="245"/>
        <v>0</v>
      </c>
      <c r="F76" s="223"/>
      <c r="G76" s="223">
        <f t="shared" si="199"/>
        <v>0</v>
      </c>
      <c r="H76" s="223">
        <f t="shared" si="199"/>
        <v>0</v>
      </c>
      <c r="I76" s="223">
        <f t="shared" si="199"/>
        <v>0</v>
      </c>
      <c r="J76" s="223">
        <f t="shared" si="199"/>
        <v>0</v>
      </c>
      <c r="K76" s="223">
        <f t="shared" si="199"/>
        <v>0</v>
      </c>
      <c r="L76" s="223">
        <f t="shared" si="199"/>
        <v>0</v>
      </c>
      <c r="M76" s="223">
        <f t="shared" si="199"/>
        <v>0</v>
      </c>
      <c r="N76" s="223">
        <f t="shared" si="199"/>
        <v>0</v>
      </c>
      <c r="O76" s="223">
        <f t="shared" si="199"/>
        <v>0</v>
      </c>
      <c r="P76" s="223">
        <f t="shared" si="199"/>
        <v>0</v>
      </c>
      <c r="Q76" s="223">
        <f t="shared" si="199"/>
        <v>0</v>
      </c>
      <c r="R76" s="223"/>
      <c r="S76" s="223">
        <f t="shared" si="246"/>
        <v>0</v>
      </c>
      <c r="T76" s="223">
        <f t="shared" si="200"/>
        <v>0</v>
      </c>
      <c r="U76" s="223">
        <f t="shared" si="200"/>
        <v>0</v>
      </c>
      <c r="V76" s="223">
        <f t="shared" si="200"/>
        <v>0</v>
      </c>
      <c r="W76" s="223">
        <f t="shared" si="200"/>
        <v>0</v>
      </c>
      <c r="X76" s="223">
        <f t="shared" si="200"/>
        <v>0</v>
      </c>
      <c r="Y76" s="223">
        <f t="shared" si="200"/>
        <v>0</v>
      </c>
      <c r="Z76" s="223">
        <f t="shared" si="200"/>
        <v>0</v>
      </c>
      <c r="AA76" s="223">
        <f t="shared" si="200"/>
        <v>0</v>
      </c>
      <c r="AB76" s="223">
        <f t="shared" si="200"/>
        <v>0</v>
      </c>
      <c r="AC76" s="223">
        <f t="shared" si="200"/>
        <v>0</v>
      </c>
      <c r="AD76" s="223">
        <f t="shared" si="200"/>
        <v>0</v>
      </c>
      <c r="AE76" s="223"/>
      <c r="AF76" s="223">
        <f t="shared" si="201"/>
        <v>0</v>
      </c>
      <c r="AG76" s="223">
        <f t="shared" si="202"/>
        <v>0</v>
      </c>
      <c r="AH76" s="223">
        <f t="shared" si="202"/>
        <v>0</v>
      </c>
      <c r="AI76" s="223">
        <f t="shared" si="202"/>
        <v>0</v>
      </c>
      <c r="AJ76" s="223">
        <f t="shared" si="202"/>
        <v>0</v>
      </c>
      <c r="AK76" s="223">
        <f t="shared" si="202"/>
        <v>0</v>
      </c>
      <c r="AL76" s="223">
        <f t="shared" si="202"/>
        <v>0</v>
      </c>
      <c r="AM76" s="223">
        <f t="shared" si="202"/>
        <v>0</v>
      </c>
      <c r="AN76" s="223">
        <f t="shared" si="202"/>
        <v>0</v>
      </c>
      <c r="AO76" s="223">
        <f t="shared" si="202"/>
        <v>0</v>
      </c>
      <c r="AP76" s="223">
        <f t="shared" si="202"/>
        <v>0</v>
      </c>
      <c r="AQ76" s="223">
        <f t="shared" si="202"/>
        <v>0</v>
      </c>
      <c r="AR76" s="223"/>
      <c r="AS76" s="223">
        <f t="shared" si="203"/>
        <v>0</v>
      </c>
      <c r="AT76" s="223">
        <f t="shared" si="204"/>
        <v>0</v>
      </c>
      <c r="AU76" s="223">
        <f t="shared" si="204"/>
        <v>0</v>
      </c>
      <c r="AV76" s="223">
        <f t="shared" si="204"/>
        <v>0</v>
      </c>
      <c r="AW76" s="223">
        <f t="shared" si="204"/>
        <v>0</v>
      </c>
      <c r="AX76" s="223">
        <f t="shared" si="204"/>
        <v>0</v>
      </c>
      <c r="AY76" s="223">
        <f t="shared" si="204"/>
        <v>0</v>
      </c>
      <c r="AZ76" s="223">
        <f t="shared" si="204"/>
        <v>0</v>
      </c>
      <c r="BA76" s="223">
        <f t="shared" si="204"/>
        <v>0</v>
      </c>
      <c r="BB76" s="223">
        <f t="shared" si="204"/>
        <v>0</v>
      </c>
      <c r="BC76" s="223">
        <f t="shared" si="204"/>
        <v>0</v>
      </c>
      <c r="BD76" s="223">
        <f t="shared" si="204"/>
        <v>0</v>
      </c>
      <c r="BE76" s="223"/>
      <c r="BF76" s="223">
        <f t="shared" si="205"/>
        <v>0</v>
      </c>
      <c r="BG76" s="223">
        <f t="shared" si="206"/>
        <v>0</v>
      </c>
      <c r="BH76" s="223">
        <f t="shared" si="206"/>
        <v>0</v>
      </c>
      <c r="BI76" s="223">
        <f t="shared" si="206"/>
        <v>0</v>
      </c>
      <c r="BJ76" s="223">
        <f t="shared" si="206"/>
        <v>0</v>
      </c>
      <c r="BK76" s="223">
        <f t="shared" si="206"/>
        <v>0</v>
      </c>
      <c r="BL76" s="223">
        <f t="shared" si="206"/>
        <v>0</v>
      </c>
      <c r="BM76" s="223">
        <f t="shared" si="206"/>
        <v>0</v>
      </c>
      <c r="BN76" s="223">
        <f t="shared" si="206"/>
        <v>0</v>
      </c>
      <c r="BO76" s="223">
        <f t="shared" si="206"/>
        <v>0</v>
      </c>
      <c r="BP76" s="223">
        <f t="shared" si="206"/>
        <v>0</v>
      </c>
      <c r="BQ76" s="223">
        <f t="shared" si="206"/>
        <v>0</v>
      </c>
      <c r="BR76" s="223"/>
      <c r="BS76" s="223">
        <f t="shared" si="207"/>
        <v>0</v>
      </c>
      <c r="BT76" s="223">
        <f t="shared" si="208"/>
        <v>0</v>
      </c>
      <c r="BU76" s="223">
        <f t="shared" si="208"/>
        <v>0</v>
      </c>
      <c r="BV76" s="223">
        <f t="shared" si="208"/>
        <v>0</v>
      </c>
      <c r="BW76" s="223">
        <f t="shared" si="208"/>
        <v>0</v>
      </c>
      <c r="BX76" s="223">
        <f t="shared" si="208"/>
        <v>0</v>
      </c>
      <c r="BY76" s="223">
        <f t="shared" si="208"/>
        <v>0</v>
      </c>
      <c r="BZ76" s="223">
        <f t="shared" si="208"/>
        <v>0</v>
      </c>
      <c r="CA76" s="223">
        <f t="shared" si="208"/>
        <v>0</v>
      </c>
      <c r="CB76" s="223">
        <f t="shared" si="208"/>
        <v>0</v>
      </c>
      <c r="CC76" s="223">
        <f t="shared" si="208"/>
        <v>0</v>
      </c>
      <c r="CD76" s="223">
        <f t="shared" si="208"/>
        <v>0</v>
      </c>
      <c r="CE76" s="389"/>
      <c r="CF76" s="223">
        <f t="shared" si="209"/>
        <v>0</v>
      </c>
      <c r="CG76" s="223">
        <f t="shared" si="210"/>
        <v>0</v>
      </c>
      <c r="CH76" s="223">
        <f t="shared" si="211"/>
        <v>0</v>
      </c>
      <c r="CI76" s="223">
        <f t="shared" si="212"/>
        <v>0</v>
      </c>
      <c r="CJ76" s="223">
        <f t="shared" si="213"/>
        <v>0</v>
      </c>
      <c r="CK76" s="223">
        <f t="shared" si="214"/>
        <v>0</v>
      </c>
      <c r="CL76" s="223">
        <f t="shared" si="215"/>
        <v>0</v>
      </c>
      <c r="CM76" s="223">
        <f t="shared" si="216"/>
        <v>0</v>
      </c>
      <c r="CN76" s="223">
        <f t="shared" si="217"/>
        <v>0</v>
      </c>
      <c r="CO76" s="223">
        <f t="shared" si="218"/>
        <v>0</v>
      </c>
      <c r="CP76" s="223">
        <f t="shared" si="219"/>
        <v>0</v>
      </c>
      <c r="CQ76" s="223">
        <f t="shared" si="220"/>
        <v>0</v>
      </c>
      <c r="CR76" s="389"/>
      <c r="CS76" s="223">
        <f t="shared" si="221"/>
        <v>0</v>
      </c>
      <c r="CT76" s="223">
        <f t="shared" si="222"/>
        <v>0</v>
      </c>
      <c r="CU76" s="223">
        <f t="shared" si="223"/>
        <v>0</v>
      </c>
      <c r="CV76" s="223">
        <f t="shared" si="224"/>
        <v>0</v>
      </c>
      <c r="CW76" s="223">
        <f t="shared" si="225"/>
        <v>0</v>
      </c>
      <c r="CX76" s="223">
        <f t="shared" si="226"/>
        <v>0</v>
      </c>
      <c r="CY76" s="223">
        <f t="shared" si="227"/>
        <v>0</v>
      </c>
      <c r="CZ76" s="223">
        <f t="shared" si="228"/>
        <v>0</v>
      </c>
      <c r="DA76" s="223">
        <f t="shared" si="229"/>
        <v>0</v>
      </c>
      <c r="DB76" s="223">
        <f t="shared" si="230"/>
        <v>0</v>
      </c>
      <c r="DC76" s="223">
        <f t="shared" si="231"/>
        <v>0</v>
      </c>
      <c r="DD76" s="223">
        <f t="shared" si="232"/>
        <v>0</v>
      </c>
      <c r="DE76" s="389"/>
      <c r="DF76" s="223">
        <f t="shared" si="233"/>
        <v>0</v>
      </c>
      <c r="DG76" s="223">
        <f t="shared" si="234"/>
        <v>0</v>
      </c>
      <c r="DH76" s="223">
        <f t="shared" si="235"/>
        <v>0</v>
      </c>
      <c r="DI76" s="223">
        <f t="shared" si="236"/>
        <v>0</v>
      </c>
      <c r="DJ76" s="223">
        <f t="shared" si="237"/>
        <v>0</v>
      </c>
      <c r="DK76" s="223">
        <f t="shared" si="238"/>
        <v>0</v>
      </c>
      <c r="DL76" s="223">
        <f t="shared" si="239"/>
        <v>0</v>
      </c>
      <c r="DM76" s="223">
        <f t="shared" si="240"/>
        <v>0</v>
      </c>
      <c r="DN76" s="223">
        <f t="shared" si="241"/>
        <v>0</v>
      </c>
      <c r="DO76" s="223">
        <f t="shared" si="242"/>
        <v>0</v>
      </c>
      <c r="DP76" s="223">
        <f t="shared" si="243"/>
        <v>0</v>
      </c>
      <c r="DQ76" s="223">
        <f t="shared" si="244"/>
        <v>0</v>
      </c>
      <c r="DR76" s="389"/>
      <c r="DS76" s="31">
        <f>SUM(F76:Q76)+SUM(S76:AD76)+SUM(AF76:AQ76)+SUM(AS76:BD76)+SUM(BF76:BQ76)+SUM(BS76:CD76)</f>
        <v>0</v>
      </c>
      <c r="DT76" s="390"/>
      <c r="DU76" s="9"/>
      <c r="DV76" s="8"/>
      <c r="DW76" s="7"/>
      <c r="DX76" s="7"/>
      <c r="DY76" s="7"/>
      <c r="DZ76" s="7"/>
      <c r="EA76" s="7"/>
      <c r="EB76" s="7"/>
      <c r="EC76" s="7"/>
    </row>
    <row r="77" spans="1:133" hidden="1">
      <c r="A77" s="1">
        <v>3</v>
      </c>
      <c r="B77" s="1">
        <v>6</v>
      </c>
      <c r="C77" s="57" t="str">
        <f t="shared" si="245"/>
        <v>///</v>
      </c>
      <c r="D77" s="57"/>
      <c r="E77" s="62">
        <f t="shared" si="245"/>
        <v>0</v>
      </c>
      <c r="F77" s="223"/>
      <c r="G77" s="223">
        <f t="shared" ref="G77:Q83" si="247">F77</f>
        <v>0</v>
      </c>
      <c r="H77" s="223">
        <f t="shared" si="247"/>
        <v>0</v>
      </c>
      <c r="I77" s="223">
        <f t="shared" si="247"/>
        <v>0</v>
      </c>
      <c r="J77" s="223">
        <f t="shared" si="247"/>
        <v>0</v>
      </c>
      <c r="K77" s="223">
        <f t="shared" si="247"/>
        <v>0</v>
      </c>
      <c r="L77" s="223">
        <f t="shared" si="247"/>
        <v>0</v>
      </c>
      <c r="M77" s="223">
        <f t="shared" si="247"/>
        <v>0</v>
      </c>
      <c r="N77" s="223">
        <f t="shared" si="247"/>
        <v>0</v>
      </c>
      <c r="O77" s="223">
        <f t="shared" si="247"/>
        <v>0</v>
      </c>
      <c r="P77" s="223">
        <f t="shared" si="247"/>
        <v>0</v>
      </c>
      <c r="Q77" s="223">
        <f t="shared" si="247"/>
        <v>0</v>
      </c>
      <c r="R77" s="223"/>
      <c r="S77" s="223">
        <f t="shared" si="246"/>
        <v>0</v>
      </c>
      <c r="T77" s="223">
        <f t="shared" ref="T77:AD83" si="248">S77</f>
        <v>0</v>
      </c>
      <c r="U77" s="223">
        <f t="shared" si="248"/>
        <v>0</v>
      </c>
      <c r="V77" s="223">
        <f t="shared" si="248"/>
        <v>0</v>
      </c>
      <c r="W77" s="223">
        <f t="shared" si="248"/>
        <v>0</v>
      </c>
      <c r="X77" s="223">
        <f t="shared" si="248"/>
        <v>0</v>
      </c>
      <c r="Y77" s="223">
        <f t="shared" si="248"/>
        <v>0</v>
      </c>
      <c r="Z77" s="223">
        <f t="shared" si="248"/>
        <v>0</v>
      </c>
      <c r="AA77" s="223">
        <f t="shared" si="248"/>
        <v>0</v>
      </c>
      <c r="AB77" s="223">
        <f t="shared" si="248"/>
        <v>0</v>
      </c>
      <c r="AC77" s="223">
        <f t="shared" si="248"/>
        <v>0</v>
      </c>
      <c r="AD77" s="223">
        <f t="shared" si="248"/>
        <v>0</v>
      </c>
      <c r="AE77" s="223"/>
      <c r="AF77" s="223">
        <f t="shared" si="201"/>
        <v>0</v>
      </c>
      <c r="AG77" s="223">
        <f t="shared" ref="AG77:AQ82" si="249">AF77</f>
        <v>0</v>
      </c>
      <c r="AH77" s="223">
        <f t="shared" si="249"/>
        <v>0</v>
      </c>
      <c r="AI77" s="223">
        <f t="shared" si="249"/>
        <v>0</v>
      </c>
      <c r="AJ77" s="223">
        <f t="shared" si="249"/>
        <v>0</v>
      </c>
      <c r="AK77" s="223">
        <f t="shared" si="249"/>
        <v>0</v>
      </c>
      <c r="AL77" s="223">
        <f t="shared" si="249"/>
        <v>0</v>
      </c>
      <c r="AM77" s="223">
        <f t="shared" si="249"/>
        <v>0</v>
      </c>
      <c r="AN77" s="223">
        <f t="shared" si="249"/>
        <v>0</v>
      </c>
      <c r="AO77" s="223">
        <f t="shared" si="249"/>
        <v>0</v>
      </c>
      <c r="AP77" s="223">
        <f t="shared" si="249"/>
        <v>0</v>
      </c>
      <c r="AQ77" s="223">
        <f t="shared" si="249"/>
        <v>0</v>
      </c>
      <c r="AR77" s="223"/>
      <c r="AS77" s="223">
        <f t="shared" si="203"/>
        <v>0</v>
      </c>
      <c r="AT77" s="223">
        <f t="shared" ref="AT77:BD82" si="250">AS77</f>
        <v>0</v>
      </c>
      <c r="AU77" s="223">
        <f t="shared" si="250"/>
        <v>0</v>
      </c>
      <c r="AV77" s="223">
        <f t="shared" si="250"/>
        <v>0</v>
      </c>
      <c r="AW77" s="223">
        <f t="shared" si="250"/>
        <v>0</v>
      </c>
      <c r="AX77" s="223">
        <f t="shared" si="250"/>
        <v>0</v>
      </c>
      <c r="AY77" s="223">
        <f t="shared" si="250"/>
        <v>0</v>
      </c>
      <c r="AZ77" s="223">
        <f t="shared" si="250"/>
        <v>0</v>
      </c>
      <c r="BA77" s="223">
        <f t="shared" si="250"/>
        <v>0</v>
      </c>
      <c r="BB77" s="223">
        <f t="shared" si="250"/>
        <v>0</v>
      </c>
      <c r="BC77" s="223">
        <f t="shared" si="250"/>
        <v>0</v>
      </c>
      <c r="BD77" s="223">
        <f t="shared" si="250"/>
        <v>0</v>
      </c>
      <c r="BE77" s="223"/>
      <c r="BF77" s="223">
        <f t="shared" si="205"/>
        <v>0</v>
      </c>
      <c r="BG77" s="223">
        <f t="shared" ref="BG77:BQ82" si="251">BF77</f>
        <v>0</v>
      </c>
      <c r="BH77" s="223">
        <f t="shared" si="251"/>
        <v>0</v>
      </c>
      <c r="BI77" s="223">
        <f t="shared" si="251"/>
        <v>0</v>
      </c>
      <c r="BJ77" s="223">
        <f t="shared" si="251"/>
        <v>0</v>
      </c>
      <c r="BK77" s="223">
        <f t="shared" si="251"/>
        <v>0</v>
      </c>
      <c r="BL77" s="223">
        <f t="shared" si="251"/>
        <v>0</v>
      </c>
      <c r="BM77" s="223">
        <f t="shared" si="251"/>
        <v>0</v>
      </c>
      <c r="BN77" s="223">
        <f t="shared" si="251"/>
        <v>0</v>
      </c>
      <c r="BO77" s="223">
        <f t="shared" si="251"/>
        <v>0</v>
      </c>
      <c r="BP77" s="223">
        <f t="shared" si="251"/>
        <v>0</v>
      </c>
      <c r="BQ77" s="223">
        <f t="shared" si="251"/>
        <v>0</v>
      </c>
      <c r="BR77" s="223"/>
      <c r="BS77" s="223">
        <f t="shared" si="207"/>
        <v>0</v>
      </c>
      <c r="BT77" s="223">
        <f t="shared" ref="BT77:CD82" si="252">BS77</f>
        <v>0</v>
      </c>
      <c r="BU77" s="223">
        <f t="shared" si="252"/>
        <v>0</v>
      </c>
      <c r="BV77" s="223">
        <f t="shared" si="252"/>
        <v>0</v>
      </c>
      <c r="BW77" s="223">
        <f t="shared" si="252"/>
        <v>0</v>
      </c>
      <c r="BX77" s="223">
        <f t="shared" si="252"/>
        <v>0</v>
      </c>
      <c r="BY77" s="223">
        <f t="shared" si="252"/>
        <v>0</v>
      </c>
      <c r="BZ77" s="223">
        <f t="shared" si="252"/>
        <v>0</v>
      </c>
      <c r="CA77" s="223">
        <f t="shared" si="252"/>
        <v>0</v>
      </c>
      <c r="CB77" s="223">
        <f t="shared" si="252"/>
        <v>0</v>
      </c>
      <c r="CC77" s="223">
        <f t="shared" si="252"/>
        <v>0</v>
      </c>
      <c r="CD77" s="223">
        <f t="shared" si="252"/>
        <v>0</v>
      </c>
      <c r="CE77" s="389"/>
      <c r="CF77" s="223">
        <f t="shared" si="209"/>
        <v>0</v>
      </c>
      <c r="CG77" s="223">
        <f t="shared" si="210"/>
        <v>0</v>
      </c>
      <c r="CH77" s="223">
        <f t="shared" si="211"/>
        <v>0</v>
      </c>
      <c r="CI77" s="223">
        <f t="shared" si="212"/>
        <v>0</v>
      </c>
      <c r="CJ77" s="223">
        <f t="shared" si="213"/>
        <v>0</v>
      </c>
      <c r="CK77" s="223">
        <f t="shared" si="214"/>
        <v>0</v>
      </c>
      <c r="CL77" s="223">
        <f t="shared" si="215"/>
        <v>0</v>
      </c>
      <c r="CM77" s="223">
        <f t="shared" si="216"/>
        <v>0</v>
      </c>
      <c r="CN77" s="223">
        <f t="shared" si="217"/>
        <v>0</v>
      </c>
      <c r="CO77" s="223">
        <f t="shared" si="218"/>
        <v>0</v>
      </c>
      <c r="CP77" s="223">
        <f t="shared" si="219"/>
        <v>0</v>
      </c>
      <c r="CQ77" s="223">
        <f t="shared" si="220"/>
        <v>0</v>
      </c>
      <c r="CR77" s="389"/>
      <c r="CS77" s="223">
        <f t="shared" si="221"/>
        <v>0</v>
      </c>
      <c r="CT77" s="223">
        <f t="shared" si="222"/>
        <v>0</v>
      </c>
      <c r="CU77" s="223">
        <f t="shared" si="223"/>
        <v>0</v>
      </c>
      <c r="CV77" s="223">
        <f t="shared" si="224"/>
        <v>0</v>
      </c>
      <c r="CW77" s="223">
        <f t="shared" si="225"/>
        <v>0</v>
      </c>
      <c r="CX77" s="223">
        <f t="shared" si="226"/>
        <v>0</v>
      </c>
      <c r="CY77" s="223">
        <f t="shared" si="227"/>
        <v>0</v>
      </c>
      <c r="CZ77" s="223">
        <f t="shared" si="228"/>
        <v>0</v>
      </c>
      <c r="DA77" s="223">
        <f t="shared" si="229"/>
        <v>0</v>
      </c>
      <c r="DB77" s="223">
        <f t="shared" si="230"/>
        <v>0</v>
      </c>
      <c r="DC77" s="223">
        <f t="shared" si="231"/>
        <v>0</v>
      </c>
      <c r="DD77" s="223">
        <f t="shared" si="232"/>
        <v>0</v>
      </c>
      <c r="DE77" s="389"/>
      <c r="DF77" s="223">
        <f t="shared" si="233"/>
        <v>0</v>
      </c>
      <c r="DG77" s="223">
        <f t="shared" si="234"/>
        <v>0</v>
      </c>
      <c r="DH77" s="223">
        <f t="shared" si="235"/>
        <v>0</v>
      </c>
      <c r="DI77" s="223">
        <f t="shared" si="236"/>
        <v>0</v>
      </c>
      <c r="DJ77" s="223">
        <f t="shared" si="237"/>
        <v>0</v>
      </c>
      <c r="DK77" s="223">
        <f t="shared" si="238"/>
        <v>0</v>
      </c>
      <c r="DL77" s="223">
        <f t="shared" si="239"/>
        <v>0</v>
      </c>
      <c r="DM77" s="223">
        <f t="shared" si="240"/>
        <v>0</v>
      </c>
      <c r="DN77" s="223">
        <f t="shared" si="241"/>
        <v>0</v>
      </c>
      <c r="DO77" s="223">
        <f t="shared" si="242"/>
        <v>0</v>
      </c>
      <c r="DP77" s="223">
        <f t="shared" si="243"/>
        <v>0</v>
      </c>
      <c r="DQ77" s="223">
        <f t="shared" si="244"/>
        <v>0</v>
      </c>
      <c r="DR77" s="389"/>
      <c r="DS77" s="31">
        <f>SUM(F77:Q77)+SUM(S77:AD77)+SUM(AF77:AQ77)+SUM(AS77:BD77)+SUM(BF77:BQ77)+SUM(BS77:CD77)</f>
        <v>0</v>
      </c>
      <c r="DT77" s="390"/>
      <c r="DU77" s="9"/>
      <c r="DV77" s="8"/>
      <c r="DW77" s="7"/>
      <c r="DX77" s="7"/>
      <c r="DY77" s="7"/>
      <c r="DZ77" s="7"/>
      <c r="EA77" s="7"/>
      <c r="EB77" s="7"/>
      <c r="EC77" s="7"/>
    </row>
    <row r="78" spans="1:133" hidden="1">
      <c r="C78" s="57" t="str">
        <f t="shared" ref="C78:E81" si="253">C52</f>
        <v>///</v>
      </c>
      <c r="D78" s="57"/>
      <c r="E78" s="62">
        <f t="shared" si="253"/>
        <v>0</v>
      </c>
      <c r="F78" s="223"/>
      <c r="G78" s="223">
        <f t="shared" si="247"/>
        <v>0</v>
      </c>
      <c r="H78" s="223">
        <f t="shared" si="247"/>
        <v>0</v>
      </c>
      <c r="I78" s="223">
        <f t="shared" si="247"/>
        <v>0</v>
      </c>
      <c r="J78" s="223">
        <f t="shared" si="247"/>
        <v>0</v>
      </c>
      <c r="K78" s="223">
        <f t="shared" si="247"/>
        <v>0</v>
      </c>
      <c r="L78" s="223">
        <f t="shared" si="247"/>
        <v>0</v>
      </c>
      <c r="M78" s="223">
        <f t="shared" si="247"/>
        <v>0</v>
      </c>
      <c r="N78" s="223">
        <f t="shared" si="247"/>
        <v>0</v>
      </c>
      <c r="O78" s="223">
        <f t="shared" si="247"/>
        <v>0</v>
      </c>
      <c r="P78" s="223">
        <f t="shared" si="247"/>
        <v>0</v>
      </c>
      <c r="Q78" s="223">
        <f t="shared" si="247"/>
        <v>0</v>
      </c>
      <c r="R78" s="223"/>
      <c r="S78" s="223">
        <f t="shared" si="246"/>
        <v>0</v>
      </c>
      <c r="T78" s="223">
        <f t="shared" si="248"/>
        <v>0</v>
      </c>
      <c r="U78" s="223">
        <f t="shared" si="248"/>
        <v>0</v>
      </c>
      <c r="V78" s="223">
        <f t="shared" si="248"/>
        <v>0</v>
      </c>
      <c r="W78" s="223">
        <f t="shared" si="248"/>
        <v>0</v>
      </c>
      <c r="X78" s="223">
        <f t="shared" si="248"/>
        <v>0</v>
      </c>
      <c r="Y78" s="223">
        <f t="shared" si="248"/>
        <v>0</v>
      </c>
      <c r="Z78" s="223">
        <f t="shared" si="248"/>
        <v>0</v>
      </c>
      <c r="AA78" s="223">
        <f t="shared" si="248"/>
        <v>0</v>
      </c>
      <c r="AB78" s="223">
        <f t="shared" si="248"/>
        <v>0</v>
      </c>
      <c r="AC78" s="223">
        <f t="shared" si="248"/>
        <v>0</v>
      </c>
      <c r="AD78" s="223">
        <f t="shared" si="248"/>
        <v>0</v>
      </c>
      <c r="AE78" s="223"/>
      <c r="AF78" s="223">
        <f t="shared" si="201"/>
        <v>0</v>
      </c>
      <c r="AG78" s="223">
        <f t="shared" si="249"/>
        <v>0</v>
      </c>
      <c r="AH78" s="223">
        <f t="shared" si="249"/>
        <v>0</v>
      </c>
      <c r="AI78" s="223">
        <f t="shared" si="249"/>
        <v>0</v>
      </c>
      <c r="AJ78" s="223">
        <f t="shared" si="249"/>
        <v>0</v>
      </c>
      <c r="AK78" s="223">
        <f t="shared" si="249"/>
        <v>0</v>
      </c>
      <c r="AL78" s="223">
        <f t="shared" si="249"/>
        <v>0</v>
      </c>
      <c r="AM78" s="223">
        <f t="shared" si="249"/>
        <v>0</v>
      </c>
      <c r="AN78" s="223">
        <f t="shared" si="249"/>
        <v>0</v>
      </c>
      <c r="AO78" s="223">
        <f t="shared" si="249"/>
        <v>0</v>
      </c>
      <c r="AP78" s="223">
        <f t="shared" si="249"/>
        <v>0</v>
      </c>
      <c r="AQ78" s="223">
        <f t="shared" si="249"/>
        <v>0</v>
      </c>
      <c r="AR78" s="223"/>
      <c r="AS78" s="223">
        <f t="shared" si="203"/>
        <v>0</v>
      </c>
      <c r="AT78" s="223">
        <f t="shared" si="250"/>
        <v>0</v>
      </c>
      <c r="AU78" s="223">
        <f t="shared" si="250"/>
        <v>0</v>
      </c>
      <c r="AV78" s="223">
        <f t="shared" si="250"/>
        <v>0</v>
      </c>
      <c r="AW78" s="223">
        <f t="shared" si="250"/>
        <v>0</v>
      </c>
      <c r="AX78" s="223">
        <f t="shared" si="250"/>
        <v>0</v>
      </c>
      <c r="AY78" s="223">
        <f t="shared" si="250"/>
        <v>0</v>
      </c>
      <c r="AZ78" s="223">
        <f t="shared" si="250"/>
        <v>0</v>
      </c>
      <c r="BA78" s="223">
        <f t="shared" si="250"/>
        <v>0</v>
      </c>
      <c r="BB78" s="223">
        <f t="shared" si="250"/>
        <v>0</v>
      </c>
      <c r="BC78" s="223">
        <f t="shared" si="250"/>
        <v>0</v>
      </c>
      <c r="BD78" s="223">
        <f t="shared" si="250"/>
        <v>0</v>
      </c>
      <c r="BE78" s="223"/>
      <c r="BF78" s="223">
        <f t="shared" si="205"/>
        <v>0</v>
      </c>
      <c r="BG78" s="223">
        <f t="shared" si="251"/>
        <v>0</v>
      </c>
      <c r="BH78" s="223">
        <f t="shared" si="251"/>
        <v>0</v>
      </c>
      <c r="BI78" s="223">
        <f t="shared" si="251"/>
        <v>0</v>
      </c>
      <c r="BJ78" s="223">
        <f t="shared" si="251"/>
        <v>0</v>
      </c>
      <c r="BK78" s="223">
        <f t="shared" si="251"/>
        <v>0</v>
      </c>
      <c r="BL78" s="223">
        <f t="shared" si="251"/>
        <v>0</v>
      </c>
      <c r="BM78" s="223">
        <f t="shared" si="251"/>
        <v>0</v>
      </c>
      <c r="BN78" s="223">
        <f t="shared" si="251"/>
        <v>0</v>
      </c>
      <c r="BO78" s="223">
        <f t="shared" si="251"/>
        <v>0</v>
      </c>
      <c r="BP78" s="223">
        <f t="shared" si="251"/>
        <v>0</v>
      </c>
      <c r="BQ78" s="223">
        <f t="shared" si="251"/>
        <v>0</v>
      </c>
      <c r="BR78" s="223"/>
      <c r="BS78" s="223">
        <f t="shared" si="207"/>
        <v>0</v>
      </c>
      <c r="BT78" s="223">
        <f t="shared" si="252"/>
        <v>0</v>
      </c>
      <c r="BU78" s="223">
        <f t="shared" si="252"/>
        <v>0</v>
      </c>
      <c r="BV78" s="223">
        <f t="shared" si="252"/>
        <v>0</v>
      </c>
      <c r="BW78" s="223">
        <f t="shared" si="252"/>
        <v>0</v>
      </c>
      <c r="BX78" s="223">
        <f t="shared" si="252"/>
        <v>0</v>
      </c>
      <c r="BY78" s="223">
        <f t="shared" si="252"/>
        <v>0</v>
      </c>
      <c r="BZ78" s="223">
        <f t="shared" si="252"/>
        <v>0</v>
      </c>
      <c r="CA78" s="223">
        <f t="shared" si="252"/>
        <v>0</v>
      </c>
      <c r="CB78" s="223">
        <f t="shared" si="252"/>
        <v>0</v>
      </c>
      <c r="CC78" s="223">
        <f t="shared" si="252"/>
        <v>0</v>
      </c>
      <c r="CD78" s="223">
        <f t="shared" si="252"/>
        <v>0</v>
      </c>
      <c r="CE78" s="389"/>
      <c r="CF78" s="223">
        <f t="shared" si="209"/>
        <v>0</v>
      </c>
      <c r="CG78" s="223">
        <f t="shared" si="210"/>
        <v>0</v>
      </c>
      <c r="CH78" s="223">
        <f t="shared" si="211"/>
        <v>0</v>
      </c>
      <c r="CI78" s="223">
        <f t="shared" si="212"/>
        <v>0</v>
      </c>
      <c r="CJ78" s="223">
        <f t="shared" si="213"/>
        <v>0</v>
      </c>
      <c r="CK78" s="223">
        <f t="shared" si="214"/>
        <v>0</v>
      </c>
      <c r="CL78" s="223">
        <f t="shared" si="215"/>
        <v>0</v>
      </c>
      <c r="CM78" s="223">
        <f t="shared" si="216"/>
        <v>0</v>
      </c>
      <c r="CN78" s="223">
        <f t="shared" si="217"/>
        <v>0</v>
      </c>
      <c r="CO78" s="223">
        <f t="shared" si="218"/>
        <v>0</v>
      </c>
      <c r="CP78" s="223">
        <f t="shared" si="219"/>
        <v>0</v>
      </c>
      <c r="CQ78" s="223">
        <f t="shared" si="220"/>
        <v>0</v>
      </c>
      <c r="CR78" s="389"/>
      <c r="CS78" s="223">
        <f t="shared" si="221"/>
        <v>0</v>
      </c>
      <c r="CT78" s="223">
        <f t="shared" si="222"/>
        <v>0</v>
      </c>
      <c r="CU78" s="223">
        <f t="shared" si="223"/>
        <v>0</v>
      </c>
      <c r="CV78" s="223">
        <f t="shared" si="224"/>
        <v>0</v>
      </c>
      <c r="CW78" s="223">
        <f t="shared" si="225"/>
        <v>0</v>
      </c>
      <c r="CX78" s="223">
        <f t="shared" si="226"/>
        <v>0</v>
      </c>
      <c r="CY78" s="223">
        <f t="shared" si="227"/>
        <v>0</v>
      </c>
      <c r="CZ78" s="223">
        <f t="shared" si="228"/>
        <v>0</v>
      </c>
      <c r="DA78" s="223">
        <f t="shared" si="229"/>
        <v>0</v>
      </c>
      <c r="DB78" s="223">
        <f t="shared" si="230"/>
        <v>0</v>
      </c>
      <c r="DC78" s="223">
        <f t="shared" si="231"/>
        <v>0</v>
      </c>
      <c r="DD78" s="223">
        <f t="shared" si="232"/>
        <v>0</v>
      </c>
      <c r="DE78" s="389"/>
      <c r="DF78" s="223">
        <f t="shared" si="233"/>
        <v>0</v>
      </c>
      <c r="DG78" s="223">
        <f t="shared" si="234"/>
        <v>0</v>
      </c>
      <c r="DH78" s="223">
        <f t="shared" si="235"/>
        <v>0</v>
      </c>
      <c r="DI78" s="223">
        <f t="shared" si="236"/>
        <v>0</v>
      </c>
      <c r="DJ78" s="223">
        <f t="shared" si="237"/>
        <v>0</v>
      </c>
      <c r="DK78" s="223">
        <f t="shared" si="238"/>
        <v>0</v>
      </c>
      <c r="DL78" s="223">
        <f t="shared" si="239"/>
        <v>0</v>
      </c>
      <c r="DM78" s="223">
        <f t="shared" si="240"/>
        <v>0</v>
      </c>
      <c r="DN78" s="223">
        <f t="shared" si="241"/>
        <v>0</v>
      </c>
      <c r="DO78" s="223">
        <f t="shared" si="242"/>
        <v>0</v>
      </c>
      <c r="DP78" s="223">
        <f t="shared" si="243"/>
        <v>0</v>
      </c>
      <c r="DQ78" s="223">
        <f t="shared" si="244"/>
        <v>0</v>
      </c>
      <c r="DR78" s="389"/>
      <c r="DS78" s="31">
        <f>SUM(F78:Q78)+SUM(S78:AD78)+SUM(AF78:AQ78)+SUM(AS78:BD78)+SUM(BF78:BQ78)+SUM(BS78:CD78)</f>
        <v>0</v>
      </c>
      <c r="DT78" s="390"/>
      <c r="DU78" s="9"/>
      <c r="DV78" s="8"/>
      <c r="DW78" s="7"/>
      <c r="DX78" s="7"/>
      <c r="DY78" s="7"/>
      <c r="DZ78" s="7"/>
      <c r="EA78" s="7"/>
      <c r="EB78" s="7"/>
      <c r="EC78" s="7"/>
    </row>
    <row r="79" spans="1:133" hidden="1">
      <c r="A79" s="1">
        <v>3</v>
      </c>
      <c r="B79" s="1">
        <v>7</v>
      </c>
      <c r="C79" s="57" t="str">
        <f t="shared" si="253"/>
        <v>///</v>
      </c>
      <c r="D79" s="57"/>
      <c r="E79" s="62">
        <f t="shared" si="253"/>
        <v>0</v>
      </c>
      <c r="F79" s="223"/>
      <c r="G79" s="223">
        <f t="shared" si="247"/>
        <v>0</v>
      </c>
      <c r="H79" s="223">
        <f t="shared" si="247"/>
        <v>0</v>
      </c>
      <c r="I79" s="223">
        <f t="shared" si="247"/>
        <v>0</v>
      </c>
      <c r="J79" s="223">
        <f t="shared" si="247"/>
        <v>0</v>
      </c>
      <c r="K79" s="223">
        <f t="shared" si="247"/>
        <v>0</v>
      </c>
      <c r="L79" s="223">
        <f t="shared" si="247"/>
        <v>0</v>
      </c>
      <c r="M79" s="223">
        <f t="shared" si="247"/>
        <v>0</v>
      </c>
      <c r="N79" s="223">
        <f t="shared" si="247"/>
        <v>0</v>
      </c>
      <c r="O79" s="223">
        <f t="shared" si="247"/>
        <v>0</v>
      </c>
      <c r="P79" s="223">
        <f t="shared" si="247"/>
        <v>0</v>
      </c>
      <c r="Q79" s="223">
        <f t="shared" si="247"/>
        <v>0</v>
      </c>
      <c r="R79" s="223"/>
      <c r="S79" s="223">
        <f t="shared" si="246"/>
        <v>0</v>
      </c>
      <c r="T79" s="223">
        <f t="shared" si="248"/>
        <v>0</v>
      </c>
      <c r="U79" s="223">
        <f t="shared" si="248"/>
        <v>0</v>
      </c>
      <c r="V79" s="223">
        <f t="shared" si="248"/>
        <v>0</v>
      </c>
      <c r="W79" s="223">
        <f t="shared" si="248"/>
        <v>0</v>
      </c>
      <c r="X79" s="223">
        <f t="shared" si="248"/>
        <v>0</v>
      </c>
      <c r="Y79" s="223">
        <f t="shared" si="248"/>
        <v>0</v>
      </c>
      <c r="Z79" s="223">
        <f t="shared" si="248"/>
        <v>0</v>
      </c>
      <c r="AA79" s="223">
        <f t="shared" si="248"/>
        <v>0</v>
      </c>
      <c r="AB79" s="223">
        <f t="shared" si="248"/>
        <v>0</v>
      </c>
      <c r="AC79" s="223">
        <f t="shared" si="248"/>
        <v>0</v>
      </c>
      <c r="AD79" s="223">
        <f t="shared" si="248"/>
        <v>0</v>
      </c>
      <c r="AE79" s="223"/>
      <c r="AF79" s="223">
        <f t="shared" si="201"/>
        <v>0</v>
      </c>
      <c r="AG79" s="223">
        <f t="shared" si="249"/>
        <v>0</v>
      </c>
      <c r="AH79" s="223">
        <f t="shared" si="249"/>
        <v>0</v>
      </c>
      <c r="AI79" s="223">
        <f t="shared" si="249"/>
        <v>0</v>
      </c>
      <c r="AJ79" s="223">
        <f t="shared" si="249"/>
        <v>0</v>
      </c>
      <c r="AK79" s="223">
        <f t="shared" si="249"/>
        <v>0</v>
      </c>
      <c r="AL79" s="223">
        <f t="shared" si="249"/>
        <v>0</v>
      </c>
      <c r="AM79" s="223">
        <f t="shared" si="249"/>
        <v>0</v>
      </c>
      <c r="AN79" s="223">
        <f t="shared" si="249"/>
        <v>0</v>
      </c>
      <c r="AO79" s="223">
        <f t="shared" si="249"/>
        <v>0</v>
      </c>
      <c r="AP79" s="223">
        <f t="shared" si="249"/>
        <v>0</v>
      </c>
      <c r="AQ79" s="223">
        <f t="shared" si="249"/>
        <v>0</v>
      </c>
      <c r="AR79" s="223"/>
      <c r="AS79" s="223">
        <f t="shared" si="203"/>
        <v>0</v>
      </c>
      <c r="AT79" s="223">
        <f t="shared" si="250"/>
        <v>0</v>
      </c>
      <c r="AU79" s="223">
        <f t="shared" si="250"/>
        <v>0</v>
      </c>
      <c r="AV79" s="223">
        <f t="shared" si="250"/>
        <v>0</v>
      </c>
      <c r="AW79" s="223">
        <f t="shared" si="250"/>
        <v>0</v>
      </c>
      <c r="AX79" s="223">
        <f t="shared" si="250"/>
        <v>0</v>
      </c>
      <c r="AY79" s="223">
        <f t="shared" si="250"/>
        <v>0</v>
      </c>
      <c r="AZ79" s="223">
        <f t="shared" si="250"/>
        <v>0</v>
      </c>
      <c r="BA79" s="223">
        <f t="shared" si="250"/>
        <v>0</v>
      </c>
      <c r="BB79" s="223">
        <f t="shared" si="250"/>
        <v>0</v>
      </c>
      <c r="BC79" s="223">
        <f t="shared" si="250"/>
        <v>0</v>
      </c>
      <c r="BD79" s="223">
        <f t="shared" si="250"/>
        <v>0</v>
      </c>
      <c r="BE79" s="223"/>
      <c r="BF79" s="223">
        <f t="shared" si="205"/>
        <v>0</v>
      </c>
      <c r="BG79" s="223">
        <f t="shared" si="251"/>
        <v>0</v>
      </c>
      <c r="BH79" s="223">
        <f t="shared" si="251"/>
        <v>0</v>
      </c>
      <c r="BI79" s="223">
        <f t="shared" si="251"/>
        <v>0</v>
      </c>
      <c r="BJ79" s="223">
        <f t="shared" si="251"/>
        <v>0</v>
      </c>
      <c r="BK79" s="223">
        <f t="shared" si="251"/>
        <v>0</v>
      </c>
      <c r="BL79" s="223">
        <f t="shared" si="251"/>
        <v>0</v>
      </c>
      <c r="BM79" s="223">
        <f t="shared" si="251"/>
        <v>0</v>
      </c>
      <c r="BN79" s="223">
        <f t="shared" si="251"/>
        <v>0</v>
      </c>
      <c r="BO79" s="223">
        <f t="shared" si="251"/>
        <v>0</v>
      </c>
      <c r="BP79" s="223">
        <f t="shared" si="251"/>
        <v>0</v>
      </c>
      <c r="BQ79" s="223">
        <f t="shared" si="251"/>
        <v>0</v>
      </c>
      <c r="BR79" s="223"/>
      <c r="BS79" s="223">
        <f t="shared" si="207"/>
        <v>0</v>
      </c>
      <c r="BT79" s="223">
        <f t="shared" si="252"/>
        <v>0</v>
      </c>
      <c r="BU79" s="223">
        <f t="shared" si="252"/>
        <v>0</v>
      </c>
      <c r="BV79" s="223">
        <f t="shared" si="252"/>
        <v>0</v>
      </c>
      <c r="BW79" s="223">
        <f t="shared" si="252"/>
        <v>0</v>
      </c>
      <c r="BX79" s="223">
        <f t="shared" si="252"/>
        <v>0</v>
      </c>
      <c r="BY79" s="223">
        <f t="shared" si="252"/>
        <v>0</v>
      </c>
      <c r="BZ79" s="223">
        <f t="shared" si="252"/>
        <v>0</v>
      </c>
      <c r="CA79" s="223">
        <f t="shared" si="252"/>
        <v>0</v>
      </c>
      <c r="CB79" s="223">
        <f t="shared" si="252"/>
        <v>0</v>
      </c>
      <c r="CC79" s="223">
        <f t="shared" si="252"/>
        <v>0</v>
      </c>
      <c r="CD79" s="223">
        <f t="shared" si="252"/>
        <v>0</v>
      </c>
      <c r="CE79" s="389"/>
      <c r="CF79" s="223">
        <f t="shared" si="209"/>
        <v>0</v>
      </c>
      <c r="CG79" s="223">
        <f t="shared" si="210"/>
        <v>0</v>
      </c>
      <c r="CH79" s="223">
        <f t="shared" si="211"/>
        <v>0</v>
      </c>
      <c r="CI79" s="223">
        <f t="shared" si="212"/>
        <v>0</v>
      </c>
      <c r="CJ79" s="223">
        <f t="shared" si="213"/>
        <v>0</v>
      </c>
      <c r="CK79" s="223">
        <f t="shared" si="214"/>
        <v>0</v>
      </c>
      <c r="CL79" s="223">
        <f t="shared" si="215"/>
        <v>0</v>
      </c>
      <c r="CM79" s="223">
        <f t="shared" si="216"/>
        <v>0</v>
      </c>
      <c r="CN79" s="223">
        <f t="shared" si="217"/>
        <v>0</v>
      </c>
      <c r="CO79" s="223">
        <f t="shared" si="218"/>
        <v>0</v>
      </c>
      <c r="CP79" s="223">
        <f t="shared" si="219"/>
        <v>0</v>
      </c>
      <c r="CQ79" s="223">
        <f t="shared" si="220"/>
        <v>0</v>
      </c>
      <c r="CR79" s="389"/>
      <c r="CS79" s="223">
        <f t="shared" si="221"/>
        <v>0</v>
      </c>
      <c r="CT79" s="223">
        <f t="shared" si="222"/>
        <v>0</v>
      </c>
      <c r="CU79" s="223">
        <f t="shared" si="223"/>
        <v>0</v>
      </c>
      <c r="CV79" s="223">
        <f t="shared" si="224"/>
        <v>0</v>
      </c>
      <c r="CW79" s="223">
        <f t="shared" si="225"/>
        <v>0</v>
      </c>
      <c r="CX79" s="223">
        <f t="shared" si="226"/>
        <v>0</v>
      </c>
      <c r="CY79" s="223">
        <f t="shared" si="227"/>
        <v>0</v>
      </c>
      <c r="CZ79" s="223">
        <f t="shared" si="228"/>
        <v>0</v>
      </c>
      <c r="DA79" s="223">
        <f t="shared" si="229"/>
        <v>0</v>
      </c>
      <c r="DB79" s="223">
        <f t="shared" si="230"/>
        <v>0</v>
      </c>
      <c r="DC79" s="223">
        <f t="shared" si="231"/>
        <v>0</v>
      </c>
      <c r="DD79" s="223">
        <f t="shared" si="232"/>
        <v>0</v>
      </c>
      <c r="DE79" s="389"/>
      <c r="DF79" s="223">
        <f t="shared" si="233"/>
        <v>0</v>
      </c>
      <c r="DG79" s="223">
        <f t="shared" si="234"/>
        <v>0</v>
      </c>
      <c r="DH79" s="223">
        <f t="shared" si="235"/>
        <v>0</v>
      </c>
      <c r="DI79" s="223">
        <f t="shared" si="236"/>
        <v>0</v>
      </c>
      <c r="DJ79" s="223">
        <f t="shared" si="237"/>
        <v>0</v>
      </c>
      <c r="DK79" s="223">
        <f t="shared" si="238"/>
        <v>0</v>
      </c>
      <c r="DL79" s="223">
        <f t="shared" si="239"/>
        <v>0</v>
      </c>
      <c r="DM79" s="223">
        <f t="shared" si="240"/>
        <v>0</v>
      </c>
      <c r="DN79" s="223">
        <f t="shared" si="241"/>
        <v>0</v>
      </c>
      <c r="DO79" s="223">
        <f t="shared" si="242"/>
        <v>0</v>
      </c>
      <c r="DP79" s="223">
        <f t="shared" si="243"/>
        <v>0</v>
      </c>
      <c r="DQ79" s="223">
        <f t="shared" si="244"/>
        <v>0</v>
      </c>
      <c r="DR79" s="389"/>
      <c r="DS79" s="31">
        <f>SUM(F79:Q79)+SUM(S79:AD79)+SUM(AF79:AQ79)+SUM(AS79:BD79)+SUM(BF79:BQ79)+SUM(BS79:CD79)</f>
        <v>0</v>
      </c>
      <c r="DT79" s="390"/>
      <c r="DU79" s="9"/>
      <c r="DV79" s="8"/>
      <c r="DW79" s="7"/>
      <c r="DX79" s="7"/>
      <c r="DY79" s="7"/>
      <c r="DZ79" s="7"/>
      <c r="EA79" s="7"/>
      <c r="EB79" s="7"/>
      <c r="EC79" s="7"/>
    </row>
    <row r="80" spans="1:133" hidden="1">
      <c r="C80" s="57" t="str">
        <f t="shared" si="253"/>
        <v>///</v>
      </c>
      <c r="D80" s="57"/>
      <c r="E80" s="62">
        <f t="shared" si="253"/>
        <v>0</v>
      </c>
      <c r="F80" s="223"/>
      <c r="G80" s="223">
        <f t="shared" si="247"/>
        <v>0</v>
      </c>
      <c r="H80" s="223">
        <f t="shared" si="247"/>
        <v>0</v>
      </c>
      <c r="I80" s="223">
        <f t="shared" si="247"/>
        <v>0</v>
      </c>
      <c r="J80" s="223">
        <f t="shared" si="247"/>
        <v>0</v>
      </c>
      <c r="K80" s="223">
        <f t="shared" si="247"/>
        <v>0</v>
      </c>
      <c r="L80" s="223">
        <f t="shared" si="247"/>
        <v>0</v>
      </c>
      <c r="M80" s="223">
        <f t="shared" si="247"/>
        <v>0</v>
      </c>
      <c r="N80" s="223">
        <f t="shared" si="247"/>
        <v>0</v>
      </c>
      <c r="O80" s="223">
        <f t="shared" si="247"/>
        <v>0</v>
      </c>
      <c r="P80" s="223">
        <f t="shared" si="247"/>
        <v>0</v>
      </c>
      <c r="Q80" s="223">
        <f t="shared" si="247"/>
        <v>0</v>
      </c>
      <c r="R80" s="223"/>
      <c r="S80" s="223">
        <f t="shared" si="246"/>
        <v>0</v>
      </c>
      <c r="T80" s="223">
        <f t="shared" si="248"/>
        <v>0</v>
      </c>
      <c r="U80" s="223">
        <f t="shared" si="248"/>
        <v>0</v>
      </c>
      <c r="V80" s="223">
        <f t="shared" si="248"/>
        <v>0</v>
      </c>
      <c r="W80" s="223">
        <f t="shared" si="248"/>
        <v>0</v>
      </c>
      <c r="X80" s="223">
        <f t="shared" si="248"/>
        <v>0</v>
      </c>
      <c r="Y80" s="223">
        <f t="shared" si="248"/>
        <v>0</v>
      </c>
      <c r="Z80" s="223">
        <f t="shared" si="248"/>
        <v>0</v>
      </c>
      <c r="AA80" s="223">
        <f t="shared" si="248"/>
        <v>0</v>
      </c>
      <c r="AB80" s="223">
        <f t="shared" si="248"/>
        <v>0</v>
      </c>
      <c r="AC80" s="223">
        <f t="shared" si="248"/>
        <v>0</v>
      </c>
      <c r="AD80" s="223">
        <f t="shared" si="248"/>
        <v>0</v>
      </c>
      <c r="AE80" s="223"/>
      <c r="AF80" s="223">
        <f t="shared" si="201"/>
        <v>0</v>
      </c>
      <c r="AG80" s="223">
        <f t="shared" si="249"/>
        <v>0</v>
      </c>
      <c r="AH80" s="223">
        <f t="shared" si="249"/>
        <v>0</v>
      </c>
      <c r="AI80" s="223">
        <f t="shared" si="249"/>
        <v>0</v>
      </c>
      <c r="AJ80" s="223">
        <f t="shared" si="249"/>
        <v>0</v>
      </c>
      <c r="AK80" s="223">
        <f t="shared" si="249"/>
        <v>0</v>
      </c>
      <c r="AL80" s="223">
        <f t="shared" si="249"/>
        <v>0</v>
      </c>
      <c r="AM80" s="223">
        <f t="shared" si="249"/>
        <v>0</v>
      </c>
      <c r="AN80" s="223">
        <f t="shared" si="249"/>
        <v>0</v>
      </c>
      <c r="AO80" s="223">
        <f t="shared" si="249"/>
        <v>0</v>
      </c>
      <c r="AP80" s="223">
        <f t="shared" si="249"/>
        <v>0</v>
      </c>
      <c r="AQ80" s="223">
        <f t="shared" si="249"/>
        <v>0</v>
      </c>
      <c r="AR80" s="223"/>
      <c r="AS80" s="223">
        <f t="shared" si="203"/>
        <v>0</v>
      </c>
      <c r="AT80" s="223">
        <f t="shared" si="250"/>
        <v>0</v>
      </c>
      <c r="AU80" s="223">
        <f t="shared" si="250"/>
        <v>0</v>
      </c>
      <c r="AV80" s="223">
        <f t="shared" si="250"/>
        <v>0</v>
      </c>
      <c r="AW80" s="223">
        <f t="shared" si="250"/>
        <v>0</v>
      </c>
      <c r="AX80" s="223">
        <f t="shared" si="250"/>
        <v>0</v>
      </c>
      <c r="AY80" s="223">
        <f t="shared" si="250"/>
        <v>0</v>
      </c>
      <c r="AZ80" s="223">
        <f t="shared" si="250"/>
        <v>0</v>
      </c>
      <c r="BA80" s="223">
        <f t="shared" si="250"/>
        <v>0</v>
      </c>
      <c r="BB80" s="223">
        <f t="shared" si="250"/>
        <v>0</v>
      </c>
      <c r="BC80" s="223">
        <f t="shared" si="250"/>
        <v>0</v>
      </c>
      <c r="BD80" s="223">
        <f t="shared" si="250"/>
        <v>0</v>
      </c>
      <c r="BE80" s="223"/>
      <c r="BF80" s="223">
        <f t="shared" si="205"/>
        <v>0</v>
      </c>
      <c r="BG80" s="223">
        <f t="shared" si="251"/>
        <v>0</v>
      </c>
      <c r="BH80" s="223">
        <f t="shared" si="251"/>
        <v>0</v>
      </c>
      <c r="BI80" s="223">
        <f t="shared" si="251"/>
        <v>0</v>
      </c>
      <c r="BJ80" s="223">
        <f t="shared" si="251"/>
        <v>0</v>
      </c>
      <c r="BK80" s="223">
        <f t="shared" si="251"/>
        <v>0</v>
      </c>
      <c r="BL80" s="223">
        <f t="shared" si="251"/>
        <v>0</v>
      </c>
      <c r="BM80" s="223">
        <f t="shared" si="251"/>
        <v>0</v>
      </c>
      <c r="BN80" s="223">
        <f t="shared" si="251"/>
        <v>0</v>
      </c>
      <c r="BO80" s="223">
        <f t="shared" si="251"/>
        <v>0</v>
      </c>
      <c r="BP80" s="223">
        <f t="shared" si="251"/>
        <v>0</v>
      </c>
      <c r="BQ80" s="223">
        <f t="shared" si="251"/>
        <v>0</v>
      </c>
      <c r="BR80" s="223"/>
      <c r="BS80" s="223">
        <f t="shared" si="207"/>
        <v>0</v>
      </c>
      <c r="BT80" s="223">
        <f t="shared" si="252"/>
        <v>0</v>
      </c>
      <c r="BU80" s="223">
        <f t="shared" si="252"/>
        <v>0</v>
      </c>
      <c r="BV80" s="223">
        <f t="shared" si="252"/>
        <v>0</v>
      </c>
      <c r="BW80" s="223">
        <f t="shared" si="252"/>
        <v>0</v>
      </c>
      <c r="BX80" s="223">
        <f t="shared" si="252"/>
        <v>0</v>
      </c>
      <c r="BY80" s="223">
        <f t="shared" si="252"/>
        <v>0</v>
      </c>
      <c r="BZ80" s="223">
        <f t="shared" si="252"/>
        <v>0</v>
      </c>
      <c r="CA80" s="223">
        <f t="shared" si="252"/>
        <v>0</v>
      </c>
      <c r="CB80" s="223">
        <f t="shared" si="252"/>
        <v>0</v>
      </c>
      <c r="CC80" s="223">
        <f t="shared" si="252"/>
        <v>0</v>
      </c>
      <c r="CD80" s="223">
        <f t="shared" si="252"/>
        <v>0</v>
      </c>
      <c r="CE80" s="389"/>
      <c r="CF80" s="223">
        <f t="shared" si="209"/>
        <v>0</v>
      </c>
      <c r="CG80" s="223">
        <f t="shared" si="210"/>
        <v>0</v>
      </c>
      <c r="CH80" s="223">
        <f t="shared" si="211"/>
        <v>0</v>
      </c>
      <c r="CI80" s="223">
        <f t="shared" si="212"/>
        <v>0</v>
      </c>
      <c r="CJ80" s="223">
        <f t="shared" si="213"/>
        <v>0</v>
      </c>
      <c r="CK80" s="223">
        <f t="shared" si="214"/>
        <v>0</v>
      </c>
      <c r="CL80" s="223">
        <f t="shared" si="215"/>
        <v>0</v>
      </c>
      <c r="CM80" s="223">
        <f t="shared" si="216"/>
        <v>0</v>
      </c>
      <c r="CN80" s="223">
        <f t="shared" si="217"/>
        <v>0</v>
      </c>
      <c r="CO80" s="223">
        <f t="shared" si="218"/>
        <v>0</v>
      </c>
      <c r="CP80" s="223">
        <f t="shared" si="219"/>
        <v>0</v>
      </c>
      <c r="CQ80" s="223">
        <f t="shared" si="220"/>
        <v>0</v>
      </c>
      <c r="CR80" s="389"/>
      <c r="CS80" s="223">
        <f t="shared" si="221"/>
        <v>0</v>
      </c>
      <c r="CT80" s="223">
        <f t="shared" si="222"/>
        <v>0</v>
      </c>
      <c r="CU80" s="223">
        <f t="shared" si="223"/>
        <v>0</v>
      </c>
      <c r="CV80" s="223">
        <f t="shared" si="224"/>
        <v>0</v>
      </c>
      <c r="CW80" s="223">
        <f t="shared" si="225"/>
        <v>0</v>
      </c>
      <c r="CX80" s="223">
        <f t="shared" si="226"/>
        <v>0</v>
      </c>
      <c r="CY80" s="223">
        <f t="shared" si="227"/>
        <v>0</v>
      </c>
      <c r="CZ80" s="223">
        <f t="shared" si="228"/>
        <v>0</v>
      </c>
      <c r="DA80" s="223">
        <f t="shared" si="229"/>
        <v>0</v>
      </c>
      <c r="DB80" s="223">
        <f t="shared" si="230"/>
        <v>0</v>
      </c>
      <c r="DC80" s="223">
        <f t="shared" si="231"/>
        <v>0</v>
      </c>
      <c r="DD80" s="223">
        <f t="shared" si="232"/>
        <v>0</v>
      </c>
      <c r="DE80" s="389"/>
      <c r="DF80" s="223">
        <f t="shared" si="233"/>
        <v>0</v>
      </c>
      <c r="DG80" s="223">
        <f t="shared" si="234"/>
        <v>0</v>
      </c>
      <c r="DH80" s="223">
        <f t="shared" si="235"/>
        <v>0</v>
      </c>
      <c r="DI80" s="223">
        <f t="shared" si="236"/>
        <v>0</v>
      </c>
      <c r="DJ80" s="223">
        <f t="shared" si="237"/>
        <v>0</v>
      </c>
      <c r="DK80" s="223">
        <f t="shared" si="238"/>
        <v>0</v>
      </c>
      <c r="DL80" s="223">
        <f t="shared" si="239"/>
        <v>0</v>
      </c>
      <c r="DM80" s="223">
        <f t="shared" si="240"/>
        <v>0</v>
      </c>
      <c r="DN80" s="223">
        <f t="shared" si="241"/>
        <v>0</v>
      </c>
      <c r="DO80" s="223">
        <f t="shared" si="242"/>
        <v>0</v>
      </c>
      <c r="DP80" s="223">
        <f t="shared" si="243"/>
        <v>0</v>
      </c>
      <c r="DQ80" s="223">
        <f t="shared" si="244"/>
        <v>0</v>
      </c>
      <c r="DR80" s="389"/>
      <c r="DS80" s="31">
        <f>SUM(F80:Q80)+SUM(S80:AD80)+SUM(AF80:AQ80)+SUM(AS80:BD80)+SUM(BF80:BQ80)+SUM(BS80:CD80)</f>
        <v>0</v>
      </c>
      <c r="DT80" s="390"/>
      <c r="DU80" s="9"/>
      <c r="DV80" s="8"/>
      <c r="DW80" s="7"/>
      <c r="DX80" s="7"/>
      <c r="DY80" s="7"/>
      <c r="DZ80" s="7"/>
      <c r="EA80" s="7"/>
      <c r="EB80" s="7"/>
      <c r="EC80" s="7"/>
    </row>
    <row r="81" spans="1:133" hidden="1">
      <c r="A81" s="1">
        <v>3</v>
      </c>
      <c r="B81" s="1">
        <v>8</v>
      </c>
      <c r="C81" s="57" t="str">
        <f t="shared" si="253"/>
        <v>///</v>
      </c>
      <c r="D81" s="57"/>
      <c r="E81" s="62">
        <f t="shared" si="253"/>
        <v>0</v>
      </c>
      <c r="F81" s="223"/>
      <c r="G81" s="223">
        <f t="shared" si="247"/>
        <v>0</v>
      </c>
      <c r="H81" s="223">
        <f t="shared" si="247"/>
        <v>0</v>
      </c>
      <c r="I81" s="223">
        <f t="shared" si="247"/>
        <v>0</v>
      </c>
      <c r="J81" s="223">
        <f t="shared" si="247"/>
        <v>0</v>
      </c>
      <c r="K81" s="223">
        <f t="shared" si="247"/>
        <v>0</v>
      </c>
      <c r="L81" s="223">
        <f t="shared" si="247"/>
        <v>0</v>
      </c>
      <c r="M81" s="223">
        <f t="shared" si="247"/>
        <v>0</v>
      </c>
      <c r="N81" s="223">
        <f t="shared" si="247"/>
        <v>0</v>
      </c>
      <c r="O81" s="223">
        <f t="shared" si="247"/>
        <v>0</v>
      </c>
      <c r="P81" s="223">
        <f t="shared" si="247"/>
        <v>0</v>
      </c>
      <c r="Q81" s="223">
        <f t="shared" si="247"/>
        <v>0</v>
      </c>
      <c r="R81" s="223"/>
      <c r="S81" s="223">
        <f t="shared" si="246"/>
        <v>0</v>
      </c>
      <c r="T81" s="223">
        <f t="shared" si="248"/>
        <v>0</v>
      </c>
      <c r="U81" s="223">
        <f t="shared" si="248"/>
        <v>0</v>
      </c>
      <c r="V81" s="223">
        <f t="shared" si="248"/>
        <v>0</v>
      </c>
      <c r="W81" s="223">
        <f t="shared" si="248"/>
        <v>0</v>
      </c>
      <c r="X81" s="223">
        <f t="shared" si="248"/>
        <v>0</v>
      </c>
      <c r="Y81" s="223">
        <f t="shared" si="248"/>
        <v>0</v>
      </c>
      <c r="Z81" s="223">
        <f t="shared" si="248"/>
        <v>0</v>
      </c>
      <c r="AA81" s="223">
        <f t="shared" si="248"/>
        <v>0</v>
      </c>
      <c r="AB81" s="223">
        <f t="shared" si="248"/>
        <v>0</v>
      </c>
      <c r="AC81" s="223">
        <f t="shared" si="248"/>
        <v>0</v>
      </c>
      <c r="AD81" s="223">
        <f t="shared" si="248"/>
        <v>0</v>
      </c>
      <c r="AE81" s="223"/>
      <c r="AF81" s="223">
        <f t="shared" si="201"/>
        <v>0</v>
      </c>
      <c r="AG81" s="223">
        <f t="shared" si="249"/>
        <v>0</v>
      </c>
      <c r="AH81" s="223">
        <f t="shared" si="249"/>
        <v>0</v>
      </c>
      <c r="AI81" s="223">
        <f t="shared" si="249"/>
        <v>0</v>
      </c>
      <c r="AJ81" s="223">
        <f t="shared" si="249"/>
        <v>0</v>
      </c>
      <c r="AK81" s="223">
        <f t="shared" si="249"/>
        <v>0</v>
      </c>
      <c r="AL81" s="223">
        <f t="shared" si="249"/>
        <v>0</v>
      </c>
      <c r="AM81" s="223">
        <f t="shared" si="249"/>
        <v>0</v>
      </c>
      <c r="AN81" s="223">
        <f t="shared" si="249"/>
        <v>0</v>
      </c>
      <c r="AO81" s="223">
        <f t="shared" si="249"/>
        <v>0</v>
      </c>
      <c r="AP81" s="223">
        <f t="shared" si="249"/>
        <v>0</v>
      </c>
      <c r="AQ81" s="223">
        <f t="shared" si="249"/>
        <v>0</v>
      </c>
      <c r="AR81" s="223"/>
      <c r="AS81" s="223">
        <f t="shared" si="203"/>
        <v>0</v>
      </c>
      <c r="AT81" s="223">
        <f t="shared" si="250"/>
        <v>0</v>
      </c>
      <c r="AU81" s="223">
        <f t="shared" si="250"/>
        <v>0</v>
      </c>
      <c r="AV81" s="223">
        <f t="shared" si="250"/>
        <v>0</v>
      </c>
      <c r="AW81" s="223">
        <f t="shared" si="250"/>
        <v>0</v>
      </c>
      <c r="AX81" s="223">
        <f t="shared" si="250"/>
        <v>0</v>
      </c>
      <c r="AY81" s="223">
        <f t="shared" si="250"/>
        <v>0</v>
      </c>
      <c r="AZ81" s="223">
        <f t="shared" si="250"/>
        <v>0</v>
      </c>
      <c r="BA81" s="223">
        <f t="shared" si="250"/>
        <v>0</v>
      </c>
      <c r="BB81" s="223">
        <f t="shared" si="250"/>
        <v>0</v>
      </c>
      <c r="BC81" s="223">
        <f t="shared" si="250"/>
        <v>0</v>
      </c>
      <c r="BD81" s="223">
        <f t="shared" si="250"/>
        <v>0</v>
      </c>
      <c r="BE81" s="223"/>
      <c r="BF81" s="223">
        <f t="shared" si="205"/>
        <v>0</v>
      </c>
      <c r="BG81" s="223">
        <f t="shared" si="251"/>
        <v>0</v>
      </c>
      <c r="BH81" s="223">
        <f t="shared" si="251"/>
        <v>0</v>
      </c>
      <c r="BI81" s="223">
        <f t="shared" si="251"/>
        <v>0</v>
      </c>
      <c r="BJ81" s="223">
        <f t="shared" si="251"/>
        <v>0</v>
      </c>
      <c r="BK81" s="223">
        <f t="shared" si="251"/>
        <v>0</v>
      </c>
      <c r="BL81" s="223">
        <f t="shared" si="251"/>
        <v>0</v>
      </c>
      <c r="BM81" s="223">
        <f t="shared" si="251"/>
        <v>0</v>
      </c>
      <c r="BN81" s="223">
        <f t="shared" si="251"/>
        <v>0</v>
      </c>
      <c r="BO81" s="223">
        <f t="shared" si="251"/>
        <v>0</v>
      </c>
      <c r="BP81" s="223">
        <f t="shared" si="251"/>
        <v>0</v>
      </c>
      <c r="BQ81" s="223">
        <f t="shared" si="251"/>
        <v>0</v>
      </c>
      <c r="BR81" s="223"/>
      <c r="BS81" s="223">
        <f t="shared" si="207"/>
        <v>0</v>
      </c>
      <c r="BT81" s="223">
        <f t="shared" si="252"/>
        <v>0</v>
      </c>
      <c r="BU81" s="223">
        <f t="shared" si="252"/>
        <v>0</v>
      </c>
      <c r="BV81" s="223">
        <f t="shared" si="252"/>
        <v>0</v>
      </c>
      <c r="BW81" s="223">
        <f t="shared" si="252"/>
        <v>0</v>
      </c>
      <c r="BX81" s="223">
        <f t="shared" si="252"/>
        <v>0</v>
      </c>
      <c r="BY81" s="223">
        <f t="shared" si="252"/>
        <v>0</v>
      </c>
      <c r="BZ81" s="223">
        <f t="shared" si="252"/>
        <v>0</v>
      </c>
      <c r="CA81" s="223">
        <f t="shared" si="252"/>
        <v>0</v>
      </c>
      <c r="CB81" s="223">
        <f t="shared" si="252"/>
        <v>0</v>
      </c>
      <c r="CC81" s="223">
        <f t="shared" si="252"/>
        <v>0</v>
      </c>
      <c r="CD81" s="223">
        <f t="shared" si="252"/>
        <v>0</v>
      </c>
      <c r="CE81" s="389"/>
      <c r="CF81" s="223">
        <f t="shared" si="209"/>
        <v>0</v>
      </c>
      <c r="CG81" s="223">
        <f t="shared" si="210"/>
        <v>0</v>
      </c>
      <c r="CH81" s="223">
        <f t="shared" si="211"/>
        <v>0</v>
      </c>
      <c r="CI81" s="223">
        <f t="shared" si="212"/>
        <v>0</v>
      </c>
      <c r="CJ81" s="223">
        <f t="shared" si="213"/>
        <v>0</v>
      </c>
      <c r="CK81" s="223">
        <f t="shared" si="214"/>
        <v>0</v>
      </c>
      <c r="CL81" s="223">
        <f t="shared" si="215"/>
        <v>0</v>
      </c>
      <c r="CM81" s="223">
        <f t="shared" si="216"/>
        <v>0</v>
      </c>
      <c r="CN81" s="223">
        <f t="shared" si="217"/>
        <v>0</v>
      </c>
      <c r="CO81" s="223">
        <f t="shared" si="218"/>
        <v>0</v>
      </c>
      <c r="CP81" s="223">
        <f t="shared" si="219"/>
        <v>0</v>
      </c>
      <c r="CQ81" s="223">
        <f t="shared" si="220"/>
        <v>0</v>
      </c>
      <c r="CR81" s="389"/>
      <c r="CS81" s="223">
        <f t="shared" si="221"/>
        <v>0</v>
      </c>
      <c r="CT81" s="223">
        <f t="shared" si="222"/>
        <v>0</v>
      </c>
      <c r="CU81" s="223">
        <f t="shared" si="223"/>
        <v>0</v>
      </c>
      <c r="CV81" s="223">
        <f t="shared" si="224"/>
        <v>0</v>
      </c>
      <c r="CW81" s="223">
        <f t="shared" si="225"/>
        <v>0</v>
      </c>
      <c r="CX81" s="223">
        <f t="shared" si="226"/>
        <v>0</v>
      </c>
      <c r="CY81" s="223">
        <f t="shared" si="227"/>
        <v>0</v>
      </c>
      <c r="CZ81" s="223">
        <f t="shared" si="228"/>
        <v>0</v>
      </c>
      <c r="DA81" s="223">
        <f t="shared" si="229"/>
        <v>0</v>
      </c>
      <c r="DB81" s="223">
        <f t="shared" si="230"/>
        <v>0</v>
      </c>
      <c r="DC81" s="223">
        <f t="shared" si="231"/>
        <v>0</v>
      </c>
      <c r="DD81" s="223">
        <f t="shared" si="232"/>
        <v>0</v>
      </c>
      <c r="DE81" s="389"/>
      <c r="DF81" s="223">
        <f t="shared" si="233"/>
        <v>0</v>
      </c>
      <c r="DG81" s="223">
        <f t="shared" si="234"/>
        <v>0</v>
      </c>
      <c r="DH81" s="223">
        <f t="shared" si="235"/>
        <v>0</v>
      </c>
      <c r="DI81" s="223">
        <f t="shared" si="236"/>
        <v>0</v>
      </c>
      <c r="DJ81" s="223">
        <f t="shared" si="237"/>
        <v>0</v>
      </c>
      <c r="DK81" s="223">
        <f t="shared" si="238"/>
        <v>0</v>
      </c>
      <c r="DL81" s="223">
        <f t="shared" si="239"/>
        <v>0</v>
      </c>
      <c r="DM81" s="223">
        <f t="shared" si="240"/>
        <v>0</v>
      </c>
      <c r="DN81" s="223">
        <f t="shared" si="241"/>
        <v>0</v>
      </c>
      <c r="DO81" s="223">
        <f t="shared" si="242"/>
        <v>0</v>
      </c>
      <c r="DP81" s="223">
        <f t="shared" si="243"/>
        <v>0</v>
      </c>
      <c r="DQ81" s="223">
        <f t="shared" si="244"/>
        <v>0</v>
      </c>
      <c r="DR81" s="389"/>
      <c r="DS81" s="31">
        <f>SUM(F81:Q81)+SUM(S81:AD81)+SUM(AF81:AQ81)+SUM(AS81:BD81)+SUM(BF81:BQ81)+SUM(BS81:CD81)</f>
        <v>0</v>
      </c>
      <c r="DT81" s="390"/>
      <c r="DU81" s="9"/>
      <c r="DW81" s="7"/>
      <c r="DX81" s="7"/>
      <c r="DY81" s="7"/>
      <c r="DZ81" s="7"/>
      <c r="EA81" s="7"/>
      <c r="EB81" s="7"/>
      <c r="EC81" s="7"/>
    </row>
    <row r="82" spans="1:133" hidden="1">
      <c r="A82" s="1">
        <v>3</v>
      </c>
      <c r="B82" s="1">
        <v>9</v>
      </c>
      <c r="C82" s="57" t="s">
        <v>26</v>
      </c>
      <c r="D82" s="57"/>
      <c r="E82" s="62"/>
      <c r="F82" s="389"/>
      <c r="G82" s="389">
        <f t="shared" si="247"/>
        <v>0</v>
      </c>
      <c r="H82" s="389">
        <f t="shared" si="247"/>
        <v>0</v>
      </c>
      <c r="I82" s="389">
        <f t="shared" si="247"/>
        <v>0</v>
      </c>
      <c r="J82" s="389">
        <f t="shared" si="247"/>
        <v>0</v>
      </c>
      <c r="K82" s="389">
        <f t="shared" si="247"/>
        <v>0</v>
      </c>
      <c r="L82" s="389">
        <f t="shared" si="247"/>
        <v>0</v>
      </c>
      <c r="M82" s="389">
        <f t="shared" si="247"/>
        <v>0</v>
      </c>
      <c r="N82" s="389">
        <f t="shared" si="247"/>
        <v>0</v>
      </c>
      <c r="O82" s="389">
        <f t="shared" si="247"/>
        <v>0</v>
      </c>
      <c r="P82" s="389">
        <f t="shared" si="247"/>
        <v>0</v>
      </c>
      <c r="Q82" s="389">
        <f t="shared" si="247"/>
        <v>0</v>
      </c>
      <c r="R82" s="10"/>
      <c r="S82" s="389">
        <f t="shared" si="246"/>
        <v>0</v>
      </c>
      <c r="T82" s="389">
        <f t="shared" si="248"/>
        <v>0</v>
      </c>
      <c r="U82" s="389">
        <f t="shared" si="248"/>
        <v>0</v>
      </c>
      <c r="V82" s="389">
        <f t="shared" si="248"/>
        <v>0</v>
      </c>
      <c r="W82" s="389">
        <f t="shared" si="248"/>
        <v>0</v>
      </c>
      <c r="X82" s="389">
        <f t="shared" si="248"/>
        <v>0</v>
      </c>
      <c r="Y82" s="389">
        <f t="shared" si="248"/>
        <v>0</v>
      </c>
      <c r="Z82" s="389">
        <f t="shared" si="248"/>
        <v>0</v>
      </c>
      <c r="AA82" s="389">
        <f t="shared" si="248"/>
        <v>0</v>
      </c>
      <c r="AB82" s="389">
        <f t="shared" si="248"/>
        <v>0</v>
      </c>
      <c r="AC82" s="389">
        <f t="shared" si="248"/>
        <v>0</v>
      </c>
      <c r="AD82" s="389">
        <f t="shared" si="248"/>
        <v>0</v>
      </c>
      <c r="AE82" s="10"/>
      <c r="AF82" s="389">
        <f t="shared" si="201"/>
        <v>0</v>
      </c>
      <c r="AG82" s="389">
        <f t="shared" si="249"/>
        <v>0</v>
      </c>
      <c r="AH82" s="389">
        <f t="shared" si="249"/>
        <v>0</v>
      </c>
      <c r="AI82" s="389">
        <f t="shared" si="249"/>
        <v>0</v>
      </c>
      <c r="AJ82" s="389">
        <f t="shared" si="249"/>
        <v>0</v>
      </c>
      <c r="AK82" s="389">
        <f t="shared" si="249"/>
        <v>0</v>
      </c>
      <c r="AL82" s="389">
        <f t="shared" si="249"/>
        <v>0</v>
      </c>
      <c r="AM82" s="389">
        <f t="shared" si="249"/>
        <v>0</v>
      </c>
      <c r="AN82" s="389">
        <f t="shared" si="249"/>
        <v>0</v>
      </c>
      <c r="AO82" s="389">
        <f t="shared" si="249"/>
        <v>0</v>
      </c>
      <c r="AP82" s="389">
        <f t="shared" si="249"/>
        <v>0</v>
      </c>
      <c r="AQ82" s="389">
        <f t="shared" si="249"/>
        <v>0</v>
      </c>
      <c r="AR82" s="389"/>
      <c r="AS82" s="389">
        <f t="shared" si="203"/>
        <v>0</v>
      </c>
      <c r="AT82" s="389">
        <f t="shared" si="250"/>
        <v>0</v>
      </c>
      <c r="AU82" s="389">
        <f t="shared" si="250"/>
        <v>0</v>
      </c>
      <c r="AV82" s="389">
        <f t="shared" si="250"/>
        <v>0</v>
      </c>
      <c r="AW82" s="389">
        <f t="shared" si="250"/>
        <v>0</v>
      </c>
      <c r="AX82" s="389">
        <f t="shared" si="250"/>
        <v>0</v>
      </c>
      <c r="AY82" s="389">
        <f t="shared" si="250"/>
        <v>0</v>
      </c>
      <c r="AZ82" s="389">
        <f t="shared" si="250"/>
        <v>0</v>
      </c>
      <c r="BA82" s="389">
        <f t="shared" si="250"/>
        <v>0</v>
      </c>
      <c r="BB82" s="389">
        <f t="shared" si="250"/>
        <v>0</v>
      </c>
      <c r="BC82" s="389">
        <f t="shared" si="250"/>
        <v>0</v>
      </c>
      <c r="BD82" s="389">
        <f t="shared" si="250"/>
        <v>0</v>
      </c>
      <c r="BE82" s="389"/>
      <c r="BF82" s="389">
        <f t="shared" si="205"/>
        <v>0</v>
      </c>
      <c r="BG82" s="389">
        <f t="shared" si="251"/>
        <v>0</v>
      </c>
      <c r="BH82" s="389">
        <f t="shared" si="251"/>
        <v>0</v>
      </c>
      <c r="BI82" s="389">
        <f t="shared" si="251"/>
        <v>0</v>
      </c>
      <c r="BJ82" s="389">
        <f t="shared" si="251"/>
        <v>0</v>
      </c>
      <c r="BK82" s="389">
        <f t="shared" si="251"/>
        <v>0</v>
      </c>
      <c r="BL82" s="389">
        <f t="shared" si="251"/>
        <v>0</v>
      </c>
      <c r="BM82" s="389">
        <f t="shared" si="251"/>
        <v>0</v>
      </c>
      <c r="BN82" s="389">
        <f t="shared" si="251"/>
        <v>0</v>
      </c>
      <c r="BO82" s="389">
        <f t="shared" si="251"/>
        <v>0</v>
      </c>
      <c r="BP82" s="389">
        <f t="shared" si="251"/>
        <v>0</v>
      </c>
      <c r="BQ82" s="389">
        <f t="shared" si="251"/>
        <v>0</v>
      </c>
      <c r="BR82" s="389"/>
      <c r="BS82" s="389">
        <f t="shared" si="207"/>
        <v>0</v>
      </c>
      <c r="BT82" s="389">
        <f t="shared" si="252"/>
        <v>0</v>
      </c>
      <c r="BU82" s="389">
        <f t="shared" si="252"/>
        <v>0</v>
      </c>
      <c r="BV82" s="389">
        <f t="shared" si="252"/>
        <v>0</v>
      </c>
      <c r="BW82" s="389">
        <f t="shared" si="252"/>
        <v>0</v>
      </c>
      <c r="BX82" s="389">
        <f t="shared" si="252"/>
        <v>0</v>
      </c>
      <c r="BY82" s="389">
        <f t="shared" si="252"/>
        <v>0</v>
      </c>
      <c r="BZ82" s="389">
        <f t="shared" si="252"/>
        <v>0</v>
      </c>
      <c r="CA82" s="389">
        <f t="shared" si="252"/>
        <v>0</v>
      </c>
      <c r="CB82" s="389">
        <f t="shared" si="252"/>
        <v>0</v>
      </c>
      <c r="CC82" s="389">
        <f t="shared" si="252"/>
        <v>0</v>
      </c>
      <c r="CD82" s="389">
        <f t="shared" si="252"/>
        <v>0</v>
      </c>
      <c r="CE82" s="389"/>
      <c r="CF82" s="389">
        <f t="shared" si="209"/>
        <v>0</v>
      </c>
      <c r="CG82" s="389">
        <f t="shared" si="210"/>
        <v>0</v>
      </c>
      <c r="CH82" s="389">
        <f t="shared" si="211"/>
        <v>0</v>
      </c>
      <c r="CI82" s="389">
        <f t="shared" si="212"/>
        <v>0</v>
      </c>
      <c r="CJ82" s="389">
        <f t="shared" si="213"/>
        <v>0</v>
      </c>
      <c r="CK82" s="389">
        <f t="shared" si="214"/>
        <v>0</v>
      </c>
      <c r="CL82" s="389">
        <f t="shared" si="215"/>
        <v>0</v>
      </c>
      <c r="CM82" s="389">
        <f t="shared" si="216"/>
        <v>0</v>
      </c>
      <c r="CN82" s="389">
        <f t="shared" si="217"/>
        <v>0</v>
      </c>
      <c r="CO82" s="389">
        <f t="shared" si="218"/>
        <v>0</v>
      </c>
      <c r="CP82" s="389">
        <f t="shared" si="219"/>
        <v>0</v>
      </c>
      <c r="CQ82" s="389">
        <f t="shared" si="220"/>
        <v>0</v>
      </c>
      <c r="CR82" s="389"/>
      <c r="CS82" s="389">
        <f t="shared" si="221"/>
        <v>0</v>
      </c>
      <c r="CT82" s="389">
        <f t="shared" si="222"/>
        <v>0</v>
      </c>
      <c r="CU82" s="389">
        <f t="shared" si="223"/>
        <v>0</v>
      </c>
      <c r="CV82" s="389">
        <f t="shared" si="224"/>
        <v>0</v>
      </c>
      <c r="CW82" s="389">
        <f t="shared" si="225"/>
        <v>0</v>
      </c>
      <c r="CX82" s="389">
        <f t="shared" si="226"/>
        <v>0</v>
      </c>
      <c r="CY82" s="389">
        <f t="shared" si="227"/>
        <v>0</v>
      </c>
      <c r="CZ82" s="389">
        <f t="shared" si="228"/>
        <v>0</v>
      </c>
      <c r="DA82" s="389">
        <f t="shared" si="229"/>
        <v>0</v>
      </c>
      <c r="DB82" s="389">
        <f t="shared" si="230"/>
        <v>0</v>
      </c>
      <c r="DC82" s="389">
        <f t="shared" si="231"/>
        <v>0</v>
      </c>
      <c r="DD82" s="389">
        <f t="shared" si="232"/>
        <v>0</v>
      </c>
      <c r="DE82" s="389"/>
      <c r="DF82" s="389">
        <f t="shared" si="233"/>
        <v>0</v>
      </c>
      <c r="DG82" s="389">
        <f t="shared" si="234"/>
        <v>0</v>
      </c>
      <c r="DH82" s="389">
        <f t="shared" si="235"/>
        <v>0</v>
      </c>
      <c r="DI82" s="389">
        <f t="shared" si="236"/>
        <v>0</v>
      </c>
      <c r="DJ82" s="389">
        <f t="shared" si="237"/>
        <v>0</v>
      </c>
      <c r="DK82" s="389">
        <f t="shared" si="238"/>
        <v>0</v>
      </c>
      <c r="DL82" s="389">
        <f t="shared" si="239"/>
        <v>0</v>
      </c>
      <c r="DM82" s="389">
        <f t="shared" si="240"/>
        <v>0</v>
      </c>
      <c r="DN82" s="389">
        <f t="shared" si="241"/>
        <v>0</v>
      </c>
      <c r="DO82" s="389">
        <f t="shared" si="242"/>
        <v>0</v>
      </c>
      <c r="DP82" s="389">
        <f t="shared" si="243"/>
        <v>0</v>
      </c>
      <c r="DQ82" s="389">
        <f t="shared" si="244"/>
        <v>0</v>
      </c>
      <c r="DR82" s="389"/>
      <c r="DS82" s="31">
        <f>SUM(F82:Q82)+SUM(S82:AD82)+SUM(AF82:AQ82)+SUM(AS82:BD82)+SUM(BF82:BQ82)+SUM(BS82:CD82)</f>
        <v>0</v>
      </c>
      <c r="DT82" s="31"/>
      <c r="DU82" s="9"/>
      <c r="DW82" s="7"/>
      <c r="DX82" s="7"/>
      <c r="DY82" s="7"/>
      <c r="DZ82" s="7"/>
      <c r="EA82" s="7"/>
      <c r="EB82" s="7"/>
      <c r="EC82" s="7"/>
    </row>
    <row r="83" spans="1:133" hidden="1">
      <c r="C83" s="57" t="s">
        <v>26</v>
      </c>
      <c r="D83" s="57"/>
      <c r="E83" s="62"/>
      <c r="F83" s="389">
        <v>0</v>
      </c>
      <c r="G83" s="389">
        <f t="shared" si="247"/>
        <v>0</v>
      </c>
      <c r="H83" s="389">
        <f t="shared" si="247"/>
        <v>0</v>
      </c>
      <c r="I83" s="389">
        <f t="shared" si="247"/>
        <v>0</v>
      </c>
      <c r="J83" s="389">
        <f t="shared" si="247"/>
        <v>0</v>
      </c>
      <c r="K83" s="389">
        <f t="shared" si="247"/>
        <v>0</v>
      </c>
      <c r="L83" s="389">
        <f t="shared" si="247"/>
        <v>0</v>
      </c>
      <c r="M83" s="389">
        <f t="shared" si="247"/>
        <v>0</v>
      </c>
      <c r="N83" s="389">
        <f t="shared" si="247"/>
        <v>0</v>
      </c>
      <c r="O83" s="389">
        <f t="shared" si="247"/>
        <v>0</v>
      </c>
      <c r="P83" s="389">
        <f t="shared" si="247"/>
        <v>0</v>
      </c>
      <c r="Q83" s="389">
        <f t="shared" si="247"/>
        <v>0</v>
      </c>
      <c r="R83" s="10"/>
      <c r="S83" s="389">
        <f t="shared" si="246"/>
        <v>0</v>
      </c>
      <c r="T83" s="389">
        <f t="shared" si="248"/>
        <v>0</v>
      </c>
      <c r="U83" s="389">
        <f t="shared" si="248"/>
        <v>0</v>
      </c>
      <c r="V83" s="389">
        <f t="shared" si="248"/>
        <v>0</v>
      </c>
      <c r="W83" s="389">
        <f t="shared" si="248"/>
        <v>0</v>
      </c>
      <c r="X83" s="389">
        <f t="shared" si="248"/>
        <v>0</v>
      </c>
      <c r="Y83" s="389">
        <f t="shared" si="248"/>
        <v>0</v>
      </c>
      <c r="Z83" s="389">
        <f t="shared" si="248"/>
        <v>0</v>
      </c>
      <c r="AA83" s="389">
        <f t="shared" si="248"/>
        <v>0</v>
      </c>
      <c r="AB83" s="389">
        <f t="shared" si="248"/>
        <v>0</v>
      </c>
      <c r="AC83" s="389">
        <f t="shared" si="248"/>
        <v>0</v>
      </c>
      <c r="AD83" s="389">
        <f t="shared" si="248"/>
        <v>0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389">
        <f>AD83*AR$4/12</f>
        <v>0</v>
      </c>
      <c r="AS83" s="389"/>
      <c r="AT83" s="389"/>
      <c r="AU83" s="389"/>
      <c r="AV83" s="389"/>
      <c r="AW83" s="389"/>
      <c r="AX83" s="389"/>
      <c r="AY83" s="389"/>
      <c r="AZ83" s="389"/>
      <c r="BA83" s="389"/>
      <c r="BB83" s="389"/>
      <c r="BC83" s="389"/>
      <c r="BD83" s="389"/>
      <c r="BE83" s="389">
        <f>AR83*BE$4/12</f>
        <v>0</v>
      </c>
      <c r="BF83" s="389"/>
      <c r="BG83" s="389"/>
      <c r="BH83" s="389"/>
      <c r="BI83" s="389"/>
      <c r="BJ83" s="389"/>
      <c r="BK83" s="389"/>
      <c r="BL83" s="389"/>
      <c r="BM83" s="389"/>
      <c r="BN83" s="389"/>
      <c r="BO83" s="389"/>
      <c r="BP83" s="389"/>
      <c r="BQ83" s="389"/>
      <c r="BR83" s="389">
        <f>BE83*BR$4/12</f>
        <v>0</v>
      </c>
      <c r="BS83" s="389"/>
      <c r="BT83" s="389"/>
      <c r="BU83" s="389"/>
      <c r="BV83" s="389"/>
      <c r="BW83" s="389"/>
      <c r="BX83" s="389"/>
      <c r="BY83" s="389"/>
      <c r="BZ83" s="389"/>
      <c r="CA83" s="389"/>
      <c r="CB83" s="389"/>
      <c r="CC83" s="389"/>
      <c r="CD83" s="389"/>
      <c r="CE83" s="389">
        <f>BR83*CE$4/12</f>
        <v>0</v>
      </c>
      <c r="CF83" s="389"/>
      <c r="CG83" s="389"/>
      <c r="CH83" s="389"/>
      <c r="CI83" s="389"/>
      <c r="CJ83" s="389"/>
      <c r="CK83" s="389"/>
      <c r="CL83" s="389"/>
      <c r="CM83" s="389"/>
      <c r="CN83" s="389"/>
      <c r="CO83" s="389"/>
      <c r="CP83" s="389"/>
      <c r="CQ83" s="389"/>
      <c r="CR83" s="389">
        <f>CE83*CR$4/12</f>
        <v>0</v>
      </c>
      <c r="CS83" s="389"/>
      <c r="CT83" s="389"/>
      <c r="CU83" s="389"/>
      <c r="CV83" s="389"/>
      <c r="CW83" s="389"/>
      <c r="CX83" s="389"/>
      <c r="CY83" s="389"/>
      <c r="CZ83" s="389"/>
      <c r="DA83" s="389"/>
      <c r="DB83" s="389"/>
      <c r="DC83" s="389"/>
      <c r="DD83" s="389"/>
      <c r="DE83" s="389">
        <f>CR83*DE$4/12</f>
        <v>0</v>
      </c>
      <c r="DF83" s="389"/>
      <c r="DG83" s="389"/>
      <c r="DH83" s="389"/>
      <c r="DI83" s="389"/>
      <c r="DJ83" s="389"/>
      <c r="DK83" s="389"/>
      <c r="DL83" s="389"/>
      <c r="DM83" s="389"/>
      <c r="DN83" s="389"/>
      <c r="DO83" s="389"/>
      <c r="DP83" s="389"/>
      <c r="DQ83" s="389"/>
      <c r="DR83" s="389">
        <f>DE83*DR$4/12</f>
        <v>0</v>
      </c>
      <c r="DS83" s="31"/>
      <c r="DT83" s="391"/>
      <c r="DU83" s="10"/>
      <c r="DV83" s="8"/>
      <c r="DW83" s="7"/>
      <c r="DX83" s="7"/>
      <c r="DY83" s="7"/>
      <c r="DZ83" s="7"/>
      <c r="EA83" s="7"/>
      <c r="EB83" s="7"/>
      <c r="EC83" s="7"/>
    </row>
    <row r="84" spans="1:133" hidden="1">
      <c r="C84" s="57" t="s">
        <v>27</v>
      </c>
      <c r="D84" s="57"/>
      <c r="E84" s="62"/>
      <c r="F84" s="12">
        <f t="shared" ref="F84:AK84" si="254">SUM(F61:F83)</f>
        <v>0</v>
      </c>
      <c r="G84" s="12">
        <f t="shared" si="254"/>
        <v>0</v>
      </c>
      <c r="H84" s="12">
        <f t="shared" si="254"/>
        <v>0</v>
      </c>
      <c r="I84" s="12">
        <f t="shared" si="254"/>
        <v>0</v>
      </c>
      <c r="J84" s="12">
        <f t="shared" si="254"/>
        <v>0</v>
      </c>
      <c r="K84" s="12">
        <f t="shared" si="254"/>
        <v>0</v>
      </c>
      <c r="L84" s="12">
        <f t="shared" si="254"/>
        <v>0</v>
      </c>
      <c r="M84" s="12">
        <f t="shared" si="254"/>
        <v>0</v>
      </c>
      <c r="N84" s="12">
        <f t="shared" si="254"/>
        <v>0</v>
      </c>
      <c r="O84" s="12">
        <f t="shared" si="254"/>
        <v>0</v>
      </c>
      <c r="P84" s="12">
        <f t="shared" si="254"/>
        <v>0</v>
      </c>
      <c r="Q84" s="12">
        <f t="shared" si="254"/>
        <v>0</v>
      </c>
      <c r="R84" s="12">
        <f t="shared" si="254"/>
        <v>0</v>
      </c>
      <c r="S84" s="12">
        <f t="shared" si="254"/>
        <v>0</v>
      </c>
      <c r="T84" s="12">
        <f t="shared" si="254"/>
        <v>0</v>
      </c>
      <c r="U84" s="12">
        <f t="shared" si="254"/>
        <v>0</v>
      </c>
      <c r="V84" s="12">
        <f t="shared" si="254"/>
        <v>0</v>
      </c>
      <c r="W84" s="12">
        <f t="shared" si="254"/>
        <v>0</v>
      </c>
      <c r="X84" s="12">
        <f t="shared" si="254"/>
        <v>0</v>
      </c>
      <c r="Y84" s="12">
        <f t="shared" si="254"/>
        <v>0</v>
      </c>
      <c r="Z84" s="12">
        <f t="shared" si="254"/>
        <v>0</v>
      </c>
      <c r="AA84" s="12">
        <f t="shared" si="254"/>
        <v>0</v>
      </c>
      <c r="AB84" s="12">
        <f t="shared" si="254"/>
        <v>0</v>
      </c>
      <c r="AC84" s="12">
        <f t="shared" si="254"/>
        <v>0</v>
      </c>
      <c r="AD84" s="12">
        <f t="shared" si="254"/>
        <v>0</v>
      </c>
      <c r="AE84" s="12">
        <f t="shared" si="254"/>
        <v>0</v>
      </c>
      <c r="AF84" s="12">
        <f t="shared" si="254"/>
        <v>0</v>
      </c>
      <c r="AG84" s="12">
        <f t="shared" si="254"/>
        <v>0</v>
      </c>
      <c r="AH84" s="12">
        <f t="shared" si="254"/>
        <v>0</v>
      </c>
      <c r="AI84" s="12">
        <f t="shared" si="254"/>
        <v>0</v>
      </c>
      <c r="AJ84" s="12">
        <f t="shared" si="254"/>
        <v>0</v>
      </c>
      <c r="AK84" s="12">
        <f t="shared" si="254"/>
        <v>0</v>
      </c>
      <c r="AL84" s="12">
        <f t="shared" ref="AL84:DT84" si="255">SUM(AL61:AL83)</f>
        <v>0</v>
      </c>
      <c r="AM84" s="12">
        <f t="shared" si="255"/>
        <v>0</v>
      </c>
      <c r="AN84" s="12">
        <f t="shared" si="255"/>
        <v>0</v>
      </c>
      <c r="AO84" s="12">
        <f t="shared" si="255"/>
        <v>0</v>
      </c>
      <c r="AP84" s="12">
        <f t="shared" si="255"/>
        <v>0</v>
      </c>
      <c r="AQ84" s="12">
        <f t="shared" si="255"/>
        <v>0</v>
      </c>
      <c r="AR84" s="12">
        <f t="shared" si="255"/>
        <v>0</v>
      </c>
      <c r="AS84" s="12">
        <f t="shared" si="255"/>
        <v>0</v>
      </c>
      <c r="AT84" s="12">
        <f t="shared" si="255"/>
        <v>0</v>
      </c>
      <c r="AU84" s="12">
        <f t="shared" si="255"/>
        <v>0</v>
      </c>
      <c r="AV84" s="12">
        <f t="shared" si="255"/>
        <v>0</v>
      </c>
      <c r="AW84" s="12">
        <f t="shared" si="255"/>
        <v>0</v>
      </c>
      <c r="AX84" s="12">
        <f t="shared" si="255"/>
        <v>0</v>
      </c>
      <c r="AY84" s="12">
        <f t="shared" si="255"/>
        <v>0</v>
      </c>
      <c r="AZ84" s="12">
        <f t="shared" si="255"/>
        <v>0</v>
      </c>
      <c r="BA84" s="12">
        <f t="shared" si="255"/>
        <v>0</v>
      </c>
      <c r="BB84" s="12">
        <f t="shared" si="255"/>
        <v>0</v>
      </c>
      <c r="BC84" s="12">
        <f t="shared" si="255"/>
        <v>0</v>
      </c>
      <c r="BD84" s="12">
        <f t="shared" si="255"/>
        <v>0</v>
      </c>
      <c r="BE84" s="12">
        <f t="shared" si="255"/>
        <v>0</v>
      </c>
      <c r="BF84" s="12">
        <f t="shared" si="255"/>
        <v>0</v>
      </c>
      <c r="BG84" s="12">
        <f t="shared" si="255"/>
        <v>0</v>
      </c>
      <c r="BH84" s="12">
        <f t="shared" si="255"/>
        <v>0</v>
      </c>
      <c r="BI84" s="12">
        <f t="shared" si="255"/>
        <v>0</v>
      </c>
      <c r="BJ84" s="12">
        <f t="shared" si="255"/>
        <v>0</v>
      </c>
      <c r="BK84" s="12">
        <f t="shared" si="255"/>
        <v>0</v>
      </c>
      <c r="BL84" s="12">
        <f t="shared" si="255"/>
        <v>0</v>
      </c>
      <c r="BM84" s="12">
        <f t="shared" si="255"/>
        <v>0</v>
      </c>
      <c r="BN84" s="12">
        <f t="shared" si="255"/>
        <v>0</v>
      </c>
      <c r="BO84" s="12">
        <f t="shared" si="255"/>
        <v>0</v>
      </c>
      <c r="BP84" s="12">
        <f t="shared" si="255"/>
        <v>0</v>
      </c>
      <c r="BQ84" s="12">
        <f t="shared" si="255"/>
        <v>0</v>
      </c>
      <c r="BR84" s="12">
        <f t="shared" si="255"/>
        <v>0</v>
      </c>
      <c r="BS84" s="12">
        <f t="shared" si="255"/>
        <v>0</v>
      </c>
      <c r="BT84" s="12">
        <f t="shared" si="255"/>
        <v>0</v>
      </c>
      <c r="BU84" s="12">
        <f t="shared" si="255"/>
        <v>0</v>
      </c>
      <c r="BV84" s="12">
        <f t="shared" si="255"/>
        <v>0</v>
      </c>
      <c r="BW84" s="12">
        <f t="shared" si="255"/>
        <v>0</v>
      </c>
      <c r="BX84" s="12">
        <f t="shared" si="255"/>
        <v>0</v>
      </c>
      <c r="BY84" s="12">
        <f t="shared" si="255"/>
        <v>0</v>
      </c>
      <c r="BZ84" s="12">
        <f t="shared" si="255"/>
        <v>0</v>
      </c>
      <c r="CA84" s="12">
        <f t="shared" si="255"/>
        <v>0</v>
      </c>
      <c r="CB84" s="12">
        <f t="shared" si="255"/>
        <v>0</v>
      </c>
      <c r="CC84" s="12">
        <f t="shared" si="255"/>
        <v>0</v>
      </c>
      <c r="CD84" s="12">
        <f t="shared" si="255"/>
        <v>0</v>
      </c>
      <c r="CE84" s="12">
        <f t="shared" si="255"/>
        <v>0</v>
      </c>
      <c r="CF84" s="12">
        <f t="shared" ref="CF84:DR84" si="256">SUM(CF61:CF83)</f>
        <v>0</v>
      </c>
      <c r="CG84" s="12">
        <f t="shared" si="256"/>
        <v>0</v>
      </c>
      <c r="CH84" s="12">
        <f t="shared" si="256"/>
        <v>0</v>
      </c>
      <c r="CI84" s="12">
        <f t="shared" si="256"/>
        <v>0</v>
      </c>
      <c r="CJ84" s="12">
        <f t="shared" si="256"/>
        <v>0</v>
      </c>
      <c r="CK84" s="12">
        <f t="shared" si="256"/>
        <v>0</v>
      </c>
      <c r="CL84" s="12">
        <f t="shared" si="256"/>
        <v>0</v>
      </c>
      <c r="CM84" s="12">
        <f t="shared" si="256"/>
        <v>0</v>
      </c>
      <c r="CN84" s="12">
        <f t="shared" si="256"/>
        <v>0</v>
      </c>
      <c r="CO84" s="12">
        <f t="shared" si="256"/>
        <v>0</v>
      </c>
      <c r="CP84" s="12">
        <f t="shared" si="256"/>
        <v>0</v>
      </c>
      <c r="CQ84" s="12">
        <f t="shared" si="256"/>
        <v>0</v>
      </c>
      <c r="CR84" s="12">
        <f t="shared" si="256"/>
        <v>0</v>
      </c>
      <c r="CS84" s="12">
        <f t="shared" si="256"/>
        <v>0</v>
      </c>
      <c r="CT84" s="12">
        <f t="shared" si="256"/>
        <v>0</v>
      </c>
      <c r="CU84" s="12">
        <f t="shared" si="256"/>
        <v>0</v>
      </c>
      <c r="CV84" s="12">
        <f t="shared" si="256"/>
        <v>0</v>
      </c>
      <c r="CW84" s="12">
        <f t="shared" si="256"/>
        <v>0</v>
      </c>
      <c r="CX84" s="12">
        <f t="shared" si="256"/>
        <v>0</v>
      </c>
      <c r="CY84" s="12">
        <f t="shared" si="256"/>
        <v>0</v>
      </c>
      <c r="CZ84" s="12">
        <f t="shared" si="256"/>
        <v>0</v>
      </c>
      <c r="DA84" s="12">
        <f t="shared" si="256"/>
        <v>0</v>
      </c>
      <c r="DB84" s="12">
        <f t="shared" si="256"/>
        <v>0</v>
      </c>
      <c r="DC84" s="12">
        <f t="shared" si="256"/>
        <v>0</v>
      </c>
      <c r="DD84" s="12">
        <f t="shared" si="256"/>
        <v>0</v>
      </c>
      <c r="DE84" s="12">
        <f t="shared" si="256"/>
        <v>0</v>
      </c>
      <c r="DF84" s="12">
        <f t="shared" si="256"/>
        <v>0</v>
      </c>
      <c r="DG84" s="12">
        <f t="shared" si="256"/>
        <v>0</v>
      </c>
      <c r="DH84" s="12">
        <f t="shared" si="256"/>
        <v>0</v>
      </c>
      <c r="DI84" s="12">
        <f t="shared" si="256"/>
        <v>0</v>
      </c>
      <c r="DJ84" s="12">
        <f t="shared" si="256"/>
        <v>0</v>
      </c>
      <c r="DK84" s="12">
        <f t="shared" si="256"/>
        <v>0</v>
      </c>
      <c r="DL84" s="12">
        <f t="shared" si="256"/>
        <v>0</v>
      </c>
      <c r="DM84" s="12">
        <f t="shared" si="256"/>
        <v>0</v>
      </c>
      <c r="DN84" s="12">
        <f t="shared" si="256"/>
        <v>0</v>
      </c>
      <c r="DO84" s="12">
        <f t="shared" si="256"/>
        <v>0</v>
      </c>
      <c r="DP84" s="12">
        <f t="shared" si="256"/>
        <v>0</v>
      </c>
      <c r="DQ84" s="12">
        <f t="shared" si="256"/>
        <v>0</v>
      </c>
      <c r="DR84" s="12">
        <f t="shared" si="256"/>
        <v>0</v>
      </c>
      <c r="DS84" s="30">
        <f t="shared" si="255"/>
        <v>0</v>
      </c>
      <c r="DT84" s="30">
        <f t="shared" si="255"/>
        <v>0</v>
      </c>
      <c r="DU84" s="13"/>
      <c r="DV84" s="8"/>
      <c r="DW84" s="7"/>
      <c r="DX84" s="7"/>
      <c r="DY84" s="7"/>
      <c r="DZ84" s="7"/>
      <c r="EA84" s="7"/>
      <c r="EB84" s="7"/>
      <c r="EC84" s="7"/>
    </row>
    <row r="85" spans="1:133">
      <c r="C85" s="57"/>
      <c r="D85" s="57"/>
      <c r="E85" s="62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31"/>
      <c r="DT85" s="31"/>
      <c r="DU85" s="9"/>
      <c r="DV85" s="8"/>
      <c r="DW85" s="7"/>
      <c r="DX85" s="7"/>
      <c r="DY85" s="7"/>
      <c r="DZ85" s="7"/>
      <c r="EA85" s="7"/>
      <c r="EB85" s="7"/>
      <c r="EC85" s="7"/>
    </row>
    <row r="86" spans="1:133">
      <c r="C86" s="59" t="s">
        <v>1411</v>
      </c>
      <c r="D86" s="59"/>
      <c r="E86" s="63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31"/>
      <c r="DT86" s="31"/>
      <c r="DU86" s="9"/>
      <c r="DV86" s="8"/>
      <c r="DW86" s="7"/>
      <c r="DX86" s="7"/>
      <c r="DY86" s="7"/>
      <c r="DZ86" s="7"/>
      <c r="EA86" s="7"/>
      <c r="EB86" s="7"/>
      <c r="EC86" s="7"/>
    </row>
    <row r="87" spans="1:133">
      <c r="C87" s="57" t="str">
        <f>C61</f>
        <v>IT/JavaNetColdFusionIT/DeveloperJavaNetColdFusion/Junior</v>
      </c>
      <c r="D87" s="57">
        <f>+D35</f>
        <v>0</v>
      </c>
      <c r="E87" s="62" t="str">
        <f>E61</f>
        <v>B2 AP1 / B2 AP2 (0.6 to 3 yrs)</v>
      </c>
      <c r="F87" s="223"/>
      <c r="G87" s="223">
        <f t="shared" ref="G87:Q102" si="257">F87</f>
        <v>0</v>
      </c>
      <c r="H87" s="223">
        <f t="shared" si="257"/>
        <v>0</v>
      </c>
      <c r="I87" s="223">
        <f t="shared" si="257"/>
        <v>0</v>
      </c>
      <c r="J87" s="223">
        <f t="shared" si="257"/>
        <v>0</v>
      </c>
      <c r="K87" s="223">
        <f t="shared" si="257"/>
        <v>0</v>
      </c>
      <c r="L87" s="223">
        <f t="shared" si="257"/>
        <v>0</v>
      </c>
      <c r="M87" s="223">
        <f t="shared" si="257"/>
        <v>0</v>
      </c>
      <c r="N87" s="223">
        <f t="shared" si="257"/>
        <v>0</v>
      </c>
      <c r="O87" s="223">
        <f t="shared" si="257"/>
        <v>0</v>
      </c>
      <c r="P87" s="223">
        <f t="shared" si="257"/>
        <v>0</v>
      </c>
      <c r="Q87" s="223">
        <f t="shared" si="257"/>
        <v>0</v>
      </c>
      <c r="R87" s="223"/>
      <c r="S87" s="223">
        <f>+Q87</f>
        <v>0</v>
      </c>
      <c r="T87" s="223">
        <f t="shared" ref="T87:AD102" si="258">S87</f>
        <v>0</v>
      </c>
      <c r="U87" s="223">
        <f t="shared" si="258"/>
        <v>0</v>
      </c>
      <c r="V87" s="223">
        <f t="shared" si="258"/>
        <v>0</v>
      </c>
      <c r="W87" s="223">
        <f t="shared" si="258"/>
        <v>0</v>
      </c>
      <c r="X87" s="223">
        <f t="shared" si="258"/>
        <v>0</v>
      </c>
      <c r="Y87" s="223">
        <f t="shared" si="258"/>
        <v>0</v>
      </c>
      <c r="Z87" s="223">
        <f t="shared" si="258"/>
        <v>0</v>
      </c>
      <c r="AA87" s="223">
        <f t="shared" si="258"/>
        <v>0</v>
      </c>
      <c r="AB87" s="223">
        <f t="shared" si="258"/>
        <v>0</v>
      </c>
      <c r="AC87" s="223">
        <f t="shared" si="258"/>
        <v>0</v>
      </c>
      <c r="AD87" s="223">
        <f t="shared" si="258"/>
        <v>0</v>
      </c>
      <c r="AE87" s="223"/>
      <c r="AF87" s="223">
        <f t="shared" ref="AF87:AF108" si="259">AD87</f>
        <v>0</v>
      </c>
      <c r="AG87" s="223">
        <f t="shared" ref="AG87:AQ102" si="260">AF87</f>
        <v>0</v>
      </c>
      <c r="AH87" s="223">
        <f t="shared" si="260"/>
        <v>0</v>
      </c>
      <c r="AI87" s="223">
        <f t="shared" si="260"/>
        <v>0</v>
      </c>
      <c r="AJ87" s="223">
        <f t="shared" si="260"/>
        <v>0</v>
      </c>
      <c r="AK87" s="223">
        <f t="shared" si="260"/>
        <v>0</v>
      </c>
      <c r="AL87" s="223">
        <f t="shared" si="260"/>
        <v>0</v>
      </c>
      <c r="AM87" s="223">
        <f t="shared" si="260"/>
        <v>0</v>
      </c>
      <c r="AN87" s="223">
        <f t="shared" si="260"/>
        <v>0</v>
      </c>
      <c r="AO87" s="223">
        <f t="shared" si="260"/>
        <v>0</v>
      </c>
      <c r="AP87" s="223">
        <f t="shared" si="260"/>
        <v>0</v>
      </c>
      <c r="AQ87" s="223">
        <f t="shared" si="260"/>
        <v>0</v>
      </c>
      <c r="AR87" s="223"/>
      <c r="AS87" s="223">
        <f t="shared" ref="AS87:AS108" si="261">AQ87</f>
        <v>0</v>
      </c>
      <c r="AT87" s="223">
        <f t="shared" ref="AT87:BD102" si="262">AS87</f>
        <v>0</v>
      </c>
      <c r="AU87" s="223">
        <f t="shared" si="262"/>
        <v>0</v>
      </c>
      <c r="AV87" s="223">
        <f t="shared" si="262"/>
        <v>0</v>
      </c>
      <c r="AW87" s="223">
        <f t="shared" si="262"/>
        <v>0</v>
      </c>
      <c r="AX87" s="223">
        <f t="shared" si="262"/>
        <v>0</v>
      </c>
      <c r="AY87" s="223">
        <f t="shared" si="262"/>
        <v>0</v>
      </c>
      <c r="AZ87" s="223">
        <f t="shared" si="262"/>
        <v>0</v>
      </c>
      <c r="BA87" s="223">
        <f t="shared" si="262"/>
        <v>0</v>
      </c>
      <c r="BB87" s="223">
        <f t="shared" si="262"/>
        <v>0</v>
      </c>
      <c r="BC87" s="223">
        <f t="shared" si="262"/>
        <v>0</v>
      </c>
      <c r="BD87" s="223">
        <f t="shared" si="262"/>
        <v>0</v>
      </c>
      <c r="BE87" s="223"/>
      <c r="BF87" s="223">
        <f t="shared" ref="BF87:BF108" si="263">BD87</f>
        <v>0</v>
      </c>
      <c r="BG87" s="223">
        <f t="shared" ref="BG87:BQ102" si="264">BF87</f>
        <v>0</v>
      </c>
      <c r="BH87" s="223">
        <f t="shared" si="264"/>
        <v>0</v>
      </c>
      <c r="BI87" s="223">
        <f t="shared" si="264"/>
        <v>0</v>
      </c>
      <c r="BJ87" s="223">
        <f t="shared" si="264"/>
        <v>0</v>
      </c>
      <c r="BK87" s="223">
        <f t="shared" si="264"/>
        <v>0</v>
      </c>
      <c r="BL87" s="223">
        <f t="shared" si="264"/>
        <v>0</v>
      </c>
      <c r="BM87" s="223">
        <f t="shared" si="264"/>
        <v>0</v>
      </c>
      <c r="BN87" s="223">
        <f t="shared" si="264"/>
        <v>0</v>
      </c>
      <c r="BO87" s="223">
        <f t="shared" si="264"/>
        <v>0</v>
      </c>
      <c r="BP87" s="223">
        <f t="shared" si="264"/>
        <v>0</v>
      </c>
      <c r="BQ87" s="223">
        <f t="shared" si="264"/>
        <v>0</v>
      </c>
      <c r="BR87" s="223"/>
      <c r="BS87" s="223">
        <f t="shared" ref="BS87:BS108" si="265">BQ87</f>
        <v>0</v>
      </c>
      <c r="BT87" s="223">
        <f t="shared" ref="BT87:CD102" si="266">BS87</f>
        <v>0</v>
      </c>
      <c r="BU87" s="223">
        <f t="shared" si="266"/>
        <v>0</v>
      </c>
      <c r="BV87" s="223">
        <f t="shared" si="266"/>
        <v>0</v>
      </c>
      <c r="BW87" s="223">
        <f t="shared" si="266"/>
        <v>0</v>
      </c>
      <c r="BX87" s="223">
        <f t="shared" si="266"/>
        <v>0</v>
      </c>
      <c r="BY87" s="223">
        <f t="shared" si="266"/>
        <v>0</v>
      </c>
      <c r="BZ87" s="223">
        <f t="shared" si="266"/>
        <v>0</v>
      </c>
      <c r="CA87" s="223">
        <f t="shared" si="266"/>
        <v>0</v>
      </c>
      <c r="CB87" s="223">
        <f t="shared" si="266"/>
        <v>0</v>
      </c>
      <c r="CC87" s="223">
        <f t="shared" si="266"/>
        <v>0</v>
      </c>
      <c r="CD87" s="223">
        <f t="shared" si="266"/>
        <v>0</v>
      </c>
      <c r="CE87" s="389"/>
      <c r="CF87" s="223">
        <f t="shared" ref="CF87:CF108" si="267">CD87</f>
        <v>0</v>
      </c>
      <c r="CG87" s="223">
        <f t="shared" ref="CG87:CG108" si="268">CF87</f>
        <v>0</v>
      </c>
      <c r="CH87" s="223">
        <f t="shared" ref="CH87:CH108" si="269">CG87</f>
        <v>0</v>
      </c>
      <c r="CI87" s="223">
        <f t="shared" ref="CI87:CI108" si="270">CH87</f>
        <v>0</v>
      </c>
      <c r="CJ87" s="223">
        <f t="shared" ref="CJ87:CJ108" si="271">CI87</f>
        <v>0</v>
      </c>
      <c r="CK87" s="223">
        <f t="shared" ref="CK87:CK108" si="272">CJ87</f>
        <v>0</v>
      </c>
      <c r="CL87" s="223">
        <f t="shared" ref="CL87:CL108" si="273">CK87</f>
        <v>0</v>
      </c>
      <c r="CM87" s="223">
        <f t="shared" ref="CM87:CM108" si="274">CL87</f>
        <v>0</v>
      </c>
      <c r="CN87" s="223">
        <f t="shared" ref="CN87:CN108" si="275">CM87</f>
        <v>0</v>
      </c>
      <c r="CO87" s="223">
        <f t="shared" ref="CO87:CO108" si="276">CN87</f>
        <v>0</v>
      </c>
      <c r="CP87" s="223">
        <f t="shared" ref="CP87:CP108" si="277">CO87</f>
        <v>0</v>
      </c>
      <c r="CQ87" s="223">
        <f t="shared" ref="CQ87:CQ108" si="278">CP87</f>
        <v>0</v>
      </c>
      <c r="CR87" s="389"/>
      <c r="CS87" s="223">
        <f t="shared" ref="CS87:CS108" si="279">CQ87</f>
        <v>0</v>
      </c>
      <c r="CT87" s="223">
        <f t="shared" ref="CT87:CT108" si="280">CS87</f>
        <v>0</v>
      </c>
      <c r="CU87" s="223">
        <f t="shared" ref="CU87:CU108" si="281">CT87</f>
        <v>0</v>
      </c>
      <c r="CV87" s="223">
        <f t="shared" ref="CV87:CV108" si="282">CU87</f>
        <v>0</v>
      </c>
      <c r="CW87" s="223">
        <f t="shared" ref="CW87:CW108" si="283">CV87</f>
        <v>0</v>
      </c>
      <c r="CX87" s="223">
        <f t="shared" ref="CX87:CX108" si="284">CW87</f>
        <v>0</v>
      </c>
      <c r="CY87" s="223">
        <f t="shared" ref="CY87:CY108" si="285">CX87</f>
        <v>0</v>
      </c>
      <c r="CZ87" s="223">
        <f t="shared" ref="CZ87:CZ108" si="286">CY87</f>
        <v>0</v>
      </c>
      <c r="DA87" s="223">
        <f t="shared" ref="DA87:DA108" si="287">CZ87</f>
        <v>0</v>
      </c>
      <c r="DB87" s="223">
        <f t="shared" ref="DB87:DB108" si="288">DA87</f>
        <v>0</v>
      </c>
      <c r="DC87" s="223">
        <f t="shared" ref="DC87:DC108" si="289">DB87</f>
        <v>0</v>
      </c>
      <c r="DD87" s="223">
        <f t="shared" ref="DD87:DD108" si="290">DC87</f>
        <v>0</v>
      </c>
      <c r="DE87" s="389"/>
      <c r="DF87" s="223">
        <f t="shared" ref="DF87:DF108" si="291">DD87</f>
        <v>0</v>
      </c>
      <c r="DG87" s="223">
        <f t="shared" ref="DG87:DG108" si="292">DF87</f>
        <v>0</v>
      </c>
      <c r="DH87" s="223">
        <f t="shared" ref="DH87:DH108" si="293">DG87</f>
        <v>0</v>
      </c>
      <c r="DI87" s="223">
        <f t="shared" ref="DI87:DI108" si="294">DH87</f>
        <v>0</v>
      </c>
      <c r="DJ87" s="223">
        <f t="shared" ref="DJ87:DJ108" si="295">DI87</f>
        <v>0</v>
      </c>
      <c r="DK87" s="223">
        <f t="shared" ref="DK87:DK108" si="296">DJ87</f>
        <v>0</v>
      </c>
      <c r="DL87" s="223">
        <f t="shared" ref="DL87:DL108" si="297">DK87</f>
        <v>0</v>
      </c>
      <c r="DM87" s="223">
        <f t="shared" ref="DM87:DM108" si="298">DL87</f>
        <v>0</v>
      </c>
      <c r="DN87" s="223">
        <f t="shared" ref="DN87:DN108" si="299">DM87</f>
        <v>0</v>
      </c>
      <c r="DO87" s="223">
        <f t="shared" ref="DO87:DO108" si="300">DN87</f>
        <v>0</v>
      </c>
      <c r="DP87" s="223">
        <f t="shared" ref="DP87:DP108" si="301">DO87</f>
        <v>0</v>
      </c>
      <c r="DQ87" s="223">
        <f t="shared" ref="DQ87:DQ108" si="302">DP87</f>
        <v>0</v>
      </c>
      <c r="DR87" s="389"/>
      <c r="DS87" s="31">
        <f t="shared" ref="DS87:DS107" si="303">SUM(F87:Q87)+SUM(S87:AD87)+SUM(AF87:AQ87)+SUM(AS87:BD87)+SUM(BF87:BQ87)+SUM(BS87:CD87)+SUM(CF87:CQ87)+SUM(CS87:DD87)+SUM(DF87:DQ87)</f>
        <v>0</v>
      </c>
      <c r="DT87" s="390"/>
      <c r="DU87" s="9"/>
      <c r="DV87" s="8"/>
      <c r="DW87" s="7"/>
      <c r="DX87" s="7"/>
      <c r="DY87" s="7"/>
      <c r="DZ87" s="7"/>
      <c r="EA87" s="7"/>
      <c r="EB87" s="7"/>
      <c r="EC87" s="7"/>
    </row>
    <row r="88" spans="1:133">
      <c r="C88" s="57" t="str">
        <f t="shared" ref="C88:E103" si="304">C62</f>
        <v>///</v>
      </c>
      <c r="D88" s="57">
        <f t="shared" ref="D88:D107" si="305">+D36</f>
        <v>0</v>
      </c>
      <c r="E88" s="62">
        <f t="shared" si="304"/>
        <v>0</v>
      </c>
      <c r="F88" s="223"/>
      <c r="G88" s="223">
        <f t="shared" si="257"/>
        <v>0</v>
      </c>
      <c r="H88" s="223">
        <f t="shared" si="257"/>
        <v>0</v>
      </c>
      <c r="I88" s="223">
        <f t="shared" si="257"/>
        <v>0</v>
      </c>
      <c r="J88" s="223">
        <f t="shared" si="257"/>
        <v>0</v>
      </c>
      <c r="K88" s="223">
        <f t="shared" si="257"/>
        <v>0</v>
      </c>
      <c r="L88" s="223">
        <f t="shared" si="257"/>
        <v>0</v>
      </c>
      <c r="M88" s="223">
        <f t="shared" si="257"/>
        <v>0</v>
      </c>
      <c r="N88" s="223">
        <f t="shared" si="257"/>
        <v>0</v>
      </c>
      <c r="O88" s="223">
        <f t="shared" si="257"/>
        <v>0</v>
      </c>
      <c r="P88" s="223">
        <f t="shared" si="257"/>
        <v>0</v>
      </c>
      <c r="Q88" s="223">
        <f t="shared" si="257"/>
        <v>0</v>
      </c>
      <c r="R88" s="223"/>
      <c r="S88" s="223">
        <f t="shared" ref="S88:S109" si="306">Q88</f>
        <v>0</v>
      </c>
      <c r="T88" s="223">
        <f t="shared" si="258"/>
        <v>0</v>
      </c>
      <c r="U88" s="223">
        <f t="shared" si="258"/>
        <v>0</v>
      </c>
      <c r="V88" s="223">
        <f t="shared" si="258"/>
        <v>0</v>
      </c>
      <c r="W88" s="223">
        <f t="shared" si="258"/>
        <v>0</v>
      </c>
      <c r="X88" s="223">
        <f t="shared" si="258"/>
        <v>0</v>
      </c>
      <c r="Y88" s="223">
        <f t="shared" si="258"/>
        <v>0</v>
      </c>
      <c r="Z88" s="223">
        <f t="shared" si="258"/>
        <v>0</v>
      </c>
      <c r="AA88" s="223">
        <f t="shared" si="258"/>
        <v>0</v>
      </c>
      <c r="AB88" s="223">
        <f t="shared" si="258"/>
        <v>0</v>
      </c>
      <c r="AC88" s="223">
        <f t="shared" si="258"/>
        <v>0</v>
      </c>
      <c r="AD88" s="223">
        <f t="shared" si="258"/>
        <v>0</v>
      </c>
      <c r="AE88" s="223"/>
      <c r="AF88" s="223">
        <f t="shared" si="259"/>
        <v>0</v>
      </c>
      <c r="AG88" s="223">
        <f t="shared" si="260"/>
        <v>0</v>
      </c>
      <c r="AH88" s="223">
        <f t="shared" si="260"/>
        <v>0</v>
      </c>
      <c r="AI88" s="223">
        <f t="shared" si="260"/>
        <v>0</v>
      </c>
      <c r="AJ88" s="223">
        <f t="shared" si="260"/>
        <v>0</v>
      </c>
      <c r="AK88" s="223">
        <f t="shared" si="260"/>
        <v>0</v>
      </c>
      <c r="AL88" s="223">
        <f t="shared" si="260"/>
        <v>0</v>
      </c>
      <c r="AM88" s="223">
        <f t="shared" si="260"/>
        <v>0</v>
      </c>
      <c r="AN88" s="223">
        <f t="shared" si="260"/>
        <v>0</v>
      </c>
      <c r="AO88" s="223">
        <f t="shared" si="260"/>
        <v>0</v>
      </c>
      <c r="AP88" s="223">
        <f t="shared" si="260"/>
        <v>0</v>
      </c>
      <c r="AQ88" s="223">
        <f t="shared" si="260"/>
        <v>0</v>
      </c>
      <c r="AR88" s="223"/>
      <c r="AS88" s="223">
        <f t="shared" si="261"/>
        <v>0</v>
      </c>
      <c r="AT88" s="223">
        <f t="shared" si="262"/>
        <v>0</v>
      </c>
      <c r="AU88" s="223">
        <f t="shared" si="262"/>
        <v>0</v>
      </c>
      <c r="AV88" s="223">
        <f t="shared" si="262"/>
        <v>0</v>
      </c>
      <c r="AW88" s="223">
        <f t="shared" si="262"/>
        <v>0</v>
      </c>
      <c r="AX88" s="223">
        <f t="shared" si="262"/>
        <v>0</v>
      </c>
      <c r="AY88" s="223">
        <f t="shared" si="262"/>
        <v>0</v>
      </c>
      <c r="AZ88" s="223">
        <f t="shared" si="262"/>
        <v>0</v>
      </c>
      <c r="BA88" s="223">
        <f t="shared" si="262"/>
        <v>0</v>
      </c>
      <c r="BB88" s="223">
        <f t="shared" si="262"/>
        <v>0</v>
      </c>
      <c r="BC88" s="223">
        <f t="shared" si="262"/>
        <v>0</v>
      </c>
      <c r="BD88" s="223">
        <f t="shared" si="262"/>
        <v>0</v>
      </c>
      <c r="BE88" s="223"/>
      <c r="BF88" s="223">
        <f t="shared" si="263"/>
        <v>0</v>
      </c>
      <c r="BG88" s="223">
        <f t="shared" si="264"/>
        <v>0</v>
      </c>
      <c r="BH88" s="223">
        <f t="shared" si="264"/>
        <v>0</v>
      </c>
      <c r="BI88" s="223">
        <f t="shared" si="264"/>
        <v>0</v>
      </c>
      <c r="BJ88" s="223">
        <f t="shared" si="264"/>
        <v>0</v>
      </c>
      <c r="BK88" s="223">
        <f t="shared" si="264"/>
        <v>0</v>
      </c>
      <c r="BL88" s="223">
        <f t="shared" si="264"/>
        <v>0</v>
      </c>
      <c r="BM88" s="223">
        <f t="shared" si="264"/>
        <v>0</v>
      </c>
      <c r="BN88" s="223">
        <f t="shared" si="264"/>
        <v>0</v>
      </c>
      <c r="BO88" s="223">
        <f t="shared" si="264"/>
        <v>0</v>
      </c>
      <c r="BP88" s="223">
        <f t="shared" si="264"/>
        <v>0</v>
      </c>
      <c r="BQ88" s="223">
        <f t="shared" si="264"/>
        <v>0</v>
      </c>
      <c r="BR88" s="223"/>
      <c r="BS88" s="223">
        <f t="shared" si="265"/>
        <v>0</v>
      </c>
      <c r="BT88" s="223">
        <f t="shared" si="266"/>
        <v>0</v>
      </c>
      <c r="BU88" s="223">
        <f t="shared" si="266"/>
        <v>0</v>
      </c>
      <c r="BV88" s="223">
        <f t="shared" si="266"/>
        <v>0</v>
      </c>
      <c r="BW88" s="223">
        <f t="shared" si="266"/>
        <v>0</v>
      </c>
      <c r="BX88" s="223">
        <f t="shared" si="266"/>
        <v>0</v>
      </c>
      <c r="BY88" s="223">
        <f t="shared" si="266"/>
        <v>0</v>
      </c>
      <c r="BZ88" s="223">
        <f t="shared" si="266"/>
        <v>0</v>
      </c>
      <c r="CA88" s="223">
        <f t="shared" si="266"/>
        <v>0</v>
      </c>
      <c r="CB88" s="223">
        <f t="shared" si="266"/>
        <v>0</v>
      </c>
      <c r="CC88" s="223">
        <f t="shared" si="266"/>
        <v>0</v>
      </c>
      <c r="CD88" s="223">
        <f t="shared" si="266"/>
        <v>0</v>
      </c>
      <c r="CE88" s="389"/>
      <c r="CF88" s="223">
        <f t="shared" si="267"/>
        <v>0</v>
      </c>
      <c r="CG88" s="223">
        <f t="shared" si="268"/>
        <v>0</v>
      </c>
      <c r="CH88" s="223">
        <f t="shared" si="269"/>
        <v>0</v>
      </c>
      <c r="CI88" s="223">
        <f t="shared" si="270"/>
        <v>0</v>
      </c>
      <c r="CJ88" s="223">
        <f t="shared" si="271"/>
        <v>0</v>
      </c>
      <c r="CK88" s="223">
        <f t="shared" si="272"/>
        <v>0</v>
      </c>
      <c r="CL88" s="223">
        <f t="shared" si="273"/>
        <v>0</v>
      </c>
      <c r="CM88" s="223">
        <f t="shared" si="274"/>
        <v>0</v>
      </c>
      <c r="CN88" s="223">
        <f t="shared" si="275"/>
        <v>0</v>
      </c>
      <c r="CO88" s="223">
        <f t="shared" si="276"/>
        <v>0</v>
      </c>
      <c r="CP88" s="223">
        <f t="shared" si="277"/>
        <v>0</v>
      </c>
      <c r="CQ88" s="223">
        <f t="shared" si="278"/>
        <v>0</v>
      </c>
      <c r="CR88" s="389"/>
      <c r="CS88" s="223">
        <f t="shared" si="279"/>
        <v>0</v>
      </c>
      <c r="CT88" s="223">
        <f t="shared" si="280"/>
        <v>0</v>
      </c>
      <c r="CU88" s="223">
        <f t="shared" si="281"/>
        <v>0</v>
      </c>
      <c r="CV88" s="223">
        <f t="shared" si="282"/>
        <v>0</v>
      </c>
      <c r="CW88" s="223">
        <f t="shared" si="283"/>
        <v>0</v>
      </c>
      <c r="CX88" s="223">
        <f t="shared" si="284"/>
        <v>0</v>
      </c>
      <c r="CY88" s="223">
        <f t="shared" si="285"/>
        <v>0</v>
      </c>
      <c r="CZ88" s="223">
        <f t="shared" si="286"/>
        <v>0</v>
      </c>
      <c r="DA88" s="223">
        <f t="shared" si="287"/>
        <v>0</v>
      </c>
      <c r="DB88" s="223">
        <f t="shared" si="288"/>
        <v>0</v>
      </c>
      <c r="DC88" s="223">
        <f t="shared" si="289"/>
        <v>0</v>
      </c>
      <c r="DD88" s="223">
        <f t="shared" si="290"/>
        <v>0</v>
      </c>
      <c r="DE88" s="389"/>
      <c r="DF88" s="223">
        <f t="shared" si="291"/>
        <v>0</v>
      </c>
      <c r="DG88" s="223">
        <f t="shared" si="292"/>
        <v>0</v>
      </c>
      <c r="DH88" s="223">
        <f t="shared" si="293"/>
        <v>0</v>
      </c>
      <c r="DI88" s="223">
        <f t="shared" si="294"/>
        <v>0</v>
      </c>
      <c r="DJ88" s="223">
        <f t="shared" si="295"/>
        <v>0</v>
      </c>
      <c r="DK88" s="223">
        <f t="shared" si="296"/>
        <v>0</v>
      </c>
      <c r="DL88" s="223">
        <f t="shared" si="297"/>
        <v>0</v>
      </c>
      <c r="DM88" s="223">
        <f t="shared" si="298"/>
        <v>0</v>
      </c>
      <c r="DN88" s="223">
        <f t="shared" si="299"/>
        <v>0</v>
      </c>
      <c r="DO88" s="223">
        <f t="shared" si="300"/>
        <v>0</v>
      </c>
      <c r="DP88" s="223">
        <f t="shared" si="301"/>
        <v>0</v>
      </c>
      <c r="DQ88" s="223">
        <f t="shared" si="302"/>
        <v>0</v>
      </c>
      <c r="DR88" s="389"/>
      <c r="DS88" s="31">
        <f t="shared" si="303"/>
        <v>0</v>
      </c>
      <c r="DT88" s="390"/>
      <c r="DU88" s="9"/>
      <c r="DV88" s="8"/>
      <c r="DW88" s="7"/>
      <c r="DX88" s="7"/>
      <c r="DY88" s="7"/>
      <c r="DZ88" s="7"/>
      <c r="EA88" s="7"/>
      <c r="EB88" s="7"/>
      <c r="EC88" s="7"/>
    </row>
    <row r="89" spans="1:133">
      <c r="C89" s="57" t="str">
        <f t="shared" si="304"/>
        <v>///</v>
      </c>
      <c r="D89" s="57">
        <f t="shared" si="305"/>
        <v>0</v>
      </c>
      <c r="E89" s="62">
        <f t="shared" si="304"/>
        <v>0</v>
      </c>
      <c r="F89" s="223"/>
      <c r="G89" s="223">
        <f t="shared" si="257"/>
        <v>0</v>
      </c>
      <c r="H89" s="223">
        <f t="shared" si="257"/>
        <v>0</v>
      </c>
      <c r="I89" s="223">
        <f t="shared" si="257"/>
        <v>0</v>
      </c>
      <c r="J89" s="223">
        <f t="shared" si="257"/>
        <v>0</v>
      </c>
      <c r="K89" s="223">
        <f t="shared" si="257"/>
        <v>0</v>
      </c>
      <c r="L89" s="223">
        <f t="shared" si="257"/>
        <v>0</v>
      </c>
      <c r="M89" s="223">
        <f t="shared" si="257"/>
        <v>0</v>
      </c>
      <c r="N89" s="223">
        <f t="shared" si="257"/>
        <v>0</v>
      </c>
      <c r="O89" s="223">
        <f t="shared" si="257"/>
        <v>0</v>
      </c>
      <c r="P89" s="223">
        <f t="shared" si="257"/>
        <v>0</v>
      </c>
      <c r="Q89" s="223">
        <f t="shared" si="257"/>
        <v>0</v>
      </c>
      <c r="R89" s="223"/>
      <c r="S89" s="223">
        <f t="shared" si="306"/>
        <v>0</v>
      </c>
      <c r="T89" s="223">
        <f t="shared" si="258"/>
        <v>0</v>
      </c>
      <c r="U89" s="223">
        <f t="shared" si="258"/>
        <v>0</v>
      </c>
      <c r="V89" s="223">
        <f t="shared" si="258"/>
        <v>0</v>
      </c>
      <c r="W89" s="223">
        <f t="shared" si="258"/>
        <v>0</v>
      </c>
      <c r="X89" s="223">
        <f t="shared" si="258"/>
        <v>0</v>
      </c>
      <c r="Y89" s="223">
        <f t="shared" si="258"/>
        <v>0</v>
      </c>
      <c r="Z89" s="223">
        <f t="shared" si="258"/>
        <v>0</v>
      </c>
      <c r="AA89" s="223">
        <f t="shared" si="258"/>
        <v>0</v>
      </c>
      <c r="AB89" s="223">
        <f t="shared" si="258"/>
        <v>0</v>
      </c>
      <c r="AC89" s="223">
        <f t="shared" si="258"/>
        <v>0</v>
      </c>
      <c r="AD89" s="223">
        <f t="shared" si="258"/>
        <v>0</v>
      </c>
      <c r="AE89" s="223"/>
      <c r="AF89" s="223">
        <f t="shared" si="259"/>
        <v>0</v>
      </c>
      <c r="AG89" s="223">
        <f t="shared" si="260"/>
        <v>0</v>
      </c>
      <c r="AH89" s="223">
        <f t="shared" si="260"/>
        <v>0</v>
      </c>
      <c r="AI89" s="223">
        <f t="shared" si="260"/>
        <v>0</v>
      </c>
      <c r="AJ89" s="223">
        <f t="shared" si="260"/>
        <v>0</v>
      </c>
      <c r="AK89" s="223">
        <f t="shared" si="260"/>
        <v>0</v>
      </c>
      <c r="AL89" s="223">
        <f t="shared" si="260"/>
        <v>0</v>
      </c>
      <c r="AM89" s="223">
        <f t="shared" si="260"/>
        <v>0</v>
      </c>
      <c r="AN89" s="223">
        <f t="shared" si="260"/>
        <v>0</v>
      </c>
      <c r="AO89" s="223">
        <f t="shared" si="260"/>
        <v>0</v>
      </c>
      <c r="AP89" s="223">
        <f t="shared" si="260"/>
        <v>0</v>
      </c>
      <c r="AQ89" s="223">
        <f t="shared" si="260"/>
        <v>0</v>
      </c>
      <c r="AR89" s="223"/>
      <c r="AS89" s="223">
        <f t="shared" si="261"/>
        <v>0</v>
      </c>
      <c r="AT89" s="223">
        <f t="shared" si="262"/>
        <v>0</v>
      </c>
      <c r="AU89" s="223">
        <f t="shared" si="262"/>
        <v>0</v>
      </c>
      <c r="AV89" s="223">
        <f t="shared" si="262"/>
        <v>0</v>
      </c>
      <c r="AW89" s="223">
        <f t="shared" si="262"/>
        <v>0</v>
      </c>
      <c r="AX89" s="223">
        <f t="shared" si="262"/>
        <v>0</v>
      </c>
      <c r="AY89" s="223">
        <f t="shared" si="262"/>
        <v>0</v>
      </c>
      <c r="AZ89" s="223">
        <f t="shared" si="262"/>
        <v>0</v>
      </c>
      <c r="BA89" s="223">
        <f t="shared" si="262"/>
        <v>0</v>
      </c>
      <c r="BB89" s="223">
        <f t="shared" si="262"/>
        <v>0</v>
      </c>
      <c r="BC89" s="223">
        <f t="shared" si="262"/>
        <v>0</v>
      </c>
      <c r="BD89" s="223">
        <f t="shared" si="262"/>
        <v>0</v>
      </c>
      <c r="BE89" s="223"/>
      <c r="BF89" s="223">
        <f t="shared" si="263"/>
        <v>0</v>
      </c>
      <c r="BG89" s="223">
        <f t="shared" si="264"/>
        <v>0</v>
      </c>
      <c r="BH89" s="223">
        <f t="shared" si="264"/>
        <v>0</v>
      </c>
      <c r="BI89" s="223">
        <f t="shared" si="264"/>
        <v>0</v>
      </c>
      <c r="BJ89" s="223">
        <f t="shared" si="264"/>
        <v>0</v>
      </c>
      <c r="BK89" s="223">
        <f t="shared" si="264"/>
        <v>0</v>
      </c>
      <c r="BL89" s="223">
        <f t="shared" si="264"/>
        <v>0</v>
      </c>
      <c r="BM89" s="223">
        <f t="shared" si="264"/>
        <v>0</v>
      </c>
      <c r="BN89" s="223">
        <f t="shared" si="264"/>
        <v>0</v>
      </c>
      <c r="BO89" s="223">
        <f t="shared" si="264"/>
        <v>0</v>
      </c>
      <c r="BP89" s="223">
        <f t="shared" si="264"/>
        <v>0</v>
      </c>
      <c r="BQ89" s="223">
        <f t="shared" si="264"/>
        <v>0</v>
      </c>
      <c r="BR89" s="223"/>
      <c r="BS89" s="223">
        <f t="shared" si="265"/>
        <v>0</v>
      </c>
      <c r="BT89" s="223">
        <f t="shared" si="266"/>
        <v>0</v>
      </c>
      <c r="BU89" s="223">
        <f t="shared" si="266"/>
        <v>0</v>
      </c>
      <c r="BV89" s="223">
        <f t="shared" si="266"/>
        <v>0</v>
      </c>
      <c r="BW89" s="223">
        <f t="shared" si="266"/>
        <v>0</v>
      </c>
      <c r="BX89" s="223">
        <f t="shared" si="266"/>
        <v>0</v>
      </c>
      <c r="BY89" s="223">
        <f t="shared" si="266"/>
        <v>0</v>
      </c>
      <c r="BZ89" s="223">
        <f t="shared" si="266"/>
        <v>0</v>
      </c>
      <c r="CA89" s="223">
        <f t="shared" si="266"/>
        <v>0</v>
      </c>
      <c r="CB89" s="223">
        <f t="shared" si="266"/>
        <v>0</v>
      </c>
      <c r="CC89" s="223">
        <f t="shared" si="266"/>
        <v>0</v>
      </c>
      <c r="CD89" s="223">
        <f t="shared" si="266"/>
        <v>0</v>
      </c>
      <c r="CE89" s="389"/>
      <c r="CF89" s="223">
        <f t="shared" si="267"/>
        <v>0</v>
      </c>
      <c r="CG89" s="223">
        <f t="shared" si="268"/>
        <v>0</v>
      </c>
      <c r="CH89" s="223">
        <f t="shared" si="269"/>
        <v>0</v>
      </c>
      <c r="CI89" s="223">
        <f t="shared" si="270"/>
        <v>0</v>
      </c>
      <c r="CJ89" s="223">
        <f t="shared" si="271"/>
        <v>0</v>
      </c>
      <c r="CK89" s="223">
        <f t="shared" si="272"/>
        <v>0</v>
      </c>
      <c r="CL89" s="223">
        <f t="shared" si="273"/>
        <v>0</v>
      </c>
      <c r="CM89" s="223">
        <f t="shared" si="274"/>
        <v>0</v>
      </c>
      <c r="CN89" s="223">
        <f t="shared" si="275"/>
        <v>0</v>
      </c>
      <c r="CO89" s="223">
        <f t="shared" si="276"/>
        <v>0</v>
      </c>
      <c r="CP89" s="223">
        <f t="shared" si="277"/>
        <v>0</v>
      </c>
      <c r="CQ89" s="223">
        <f t="shared" si="278"/>
        <v>0</v>
      </c>
      <c r="CR89" s="389"/>
      <c r="CS89" s="223">
        <f t="shared" si="279"/>
        <v>0</v>
      </c>
      <c r="CT89" s="223">
        <f t="shared" si="280"/>
        <v>0</v>
      </c>
      <c r="CU89" s="223">
        <f t="shared" si="281"/>
        <v>0</v>
      </c>
      <c r="CV89" s="223">
        <f t="shared" si="282"/>
        <v>0</v>
      </c>
      <c r="CW89" s="223">
        <f t="shared" si="283"/>
        <v>0</v>
      </c>
      <c r="CX89" s="223">
        <f t="shared" si="284"/>
        <v>0</v>
      </c>
      <c r="CY89" s="223">
        <f t="shared" si="285"/>
        <v>0</v>
      </c>
      <c r="CZ89" s="223">
        <f t="shared" si="286"/>
        <v>0</v>
      </c>
      <c r="DA89" s="223">
        <f t="shared" si="287"/>
        <v>0</v>
      </c>
      <c r="DB89" s="223">
        <f t="shared" si="288"/>
        <v>0</v>
      </c>
      <c r="DC89" s="223">
        <f t="shared" si="289"/>
        <v>0</v>
      </c>
      <c r="DD89" s="223">
        <f t="shared" si="290"/>
        <v>0</v>
      </c>
      <c r="DE89" s="389"/>
      <c r="DF89" s="223">
        <f t="shared" si="291"/>
        <v>0</v>
      </c>
      <c r="DG89" s="223">
        <f t="shared" si="292"/>
        <v>0</v>
      </c>
      <c r="DH89" s="223">
        <f t="shared" si="293"/>
        <v>0</v>
      </c>
      <c r="DI89" s="223">
        <f t="shared" si="294"/>
        <v>0</v>
      </c>
      <c r="DJ89" s="223">
        <f t="shared" si="295"/>
        <v>0</v>
      </c>
      <c r="DK89" s="223">
        <f t="shared" si="296"/>
        <v>0</v>
      </c>
      <c r="DL89" s="223">
        <f t="shared" si="297"/>
        <v>0</v>
      </c>
      <c r="DM89" s="223">
        <f t="shared" si="298"/>
        <v>0</v>
      </c>
      <c r="DN89" s="223">
        <f t="shared" si="299"/>
        <v>0</v>
      </c>
      <c r="DO89" s="223">
        <f t="shared" si="300"/>
        <v>0</v>
      </c>
      <c r="DP89" s="223">
        <f t="shared" si="301"/>
        <v>0</v>
      </c>
      <c r="DQ89" s="223">
        <f t="shared" si="302"/>
        <v>0</v>
      </c>
      <c r="DR89" s="389"/>
      <c r="DS89" s="31">
        <f t="shared" si="303"/>
        <v>0</v>
      </c>
      <c r="DT89" s="390"/>
      <c r="DU89" s="9"/>
      <c r="DV89" s="8"/>
      <c r="DW89" s="7"/>
      <c r="DX89" s="7"/>
      <c r="DY89" s="7"/>
      <c r="DZ89" s="7"/>
      <c r="EA89" s="7"/>
      <c r="EB89" s="7"/>
      <c r="EC89" s="7"/>
    </row>
    <row r="90" spans="1:133">
      <c r="C90" s="57" t="str">
        <f t="shared" si="304"/>
        <v>///</v>
      </c>
      <c r="D90" s="57">
        <f t="shared" si="305"/>
        <v>0</v>
      </c>
      <c r="E90" s="62">
        <f t="shared" si="304"/>
        <v>0</v>
      </c>
      <c r="F90" s="223"/>
      <c r="G90" s="223">
        <f t="shared" si="257"/>
        <v>0</v>
      </c>
      <c r="H90" s="223">
        <f t="shared" si="257"/>
        <v>0</v>
      </c>
      <c r="I90" s="223">
        <f t="shared" si="257"/>
        <v>0</v>
      </c>
      <c r="J90" s="223">
        <f t="shared" si="257"/>
        <v>0</v>
      </c>
      <c r="K90" s="223">
        <f t="shared" si="257"/>
        <v>0</v>
      </c>
      <c r="L90" s="223">
        <f t="shared" si="257"/>
        <v>0</v>
      </c>
      <c r="M90" s="223">
        <f t="shared" si="257"/>
        <v>0</v>
      </c>
      <c r="N90" s="223">
        <f t="shared" si="257"/>
        <v>0</v>
      </c>
      <c r="O90" s="223">
        <f t="shared" si="257"/>
        <v>0</v>
      </c>
      <c r="P90" s="223">
        <f t="shared" si="257"/>
        <v>0</v>
      </c>
      <c r="Q90" s="223">
        <f t="shared" si="257"/>
        <v>0</v>
      </c>
      <c r="R90" s="223"/>
      <c r="S90" s="223">
        <f t="shared" si="306"/>
        <v>0</v>
      </c>
      <c r="T90" s="223">
        <f t="shared" si="258"/>
        <v>0</v>
      </c>
      <c r="U90" s="223">
        <f t="shared" si="258"/>
        <v>0</v>
      </c>
      <c r="V90" s="223">
        <f t="shared" si="258"/>
        <v>0</v>
      </c>
      <c r="W90" s="223">
        <f t="shared" si="258"/>
        <v>0</v>
      </c>
      <c r="X90" s="223">
        <f t="shared" si="258"/>
        <v>0</v>
      </c>
      <c r="Y90" s="223">
        <f t="shared" si="258"/>
        <v>0</v>
      </c>
      <c r="Z90" s="223">
        <f t="shared" si="258"/>
        <v>0</v>
      </c>
      <c r="AA90" s="223">
        <f t="shared" si="258"/>
        <v>0</v>
      </c>
      <c r="AB90" s="223">
        <f t="shared" si="258"/>
        <v>0</v>
      </c>
      <c r="AC90" s="223">
        <f t="shared" si="258"/>
        <v>0</v>
      </c>
      <c r="AD90" s="223">
        <f t="shared" si="258"/>
        <v>0</v>
      </c>
      <c r="AE90" s="223"/>
      <c r="AF90" s="223">
        <f t="shared" si="259"/>
        <v>0</v>
      </c>
      <c r="AG90" s="223">
        <f t="shared" si="260"/>
        <v>0</v>
      </c>
      <c r="AH90" s="223">
        <f t="shared" si="260"/>
        <v>0</v>
      </c>
      <c r="AI90" s="223">
        <f t="shared" si="260"/>
        <v>0</v>
      </c>
      <c r="AJ90" s="223">
        <f t="shared" si="260"/>
        <v>0</v>
      </c>
      <c r="AK90" s="223">
        <f t="shared" si="260"/>
        <v>0</v>
      </c>
      <c r="AL90" s="223">
        <f t="shared" si="260"/>
        <v>0</v>
      </c>
      <c r="AM90" s="223">
        <f t="shared" si="260"/>
        <v>0</v>
      </c>
      <c r="AN90" s="223">
        <f t="shared" si="260"/>
        <v>0</v>
      </c>
      <c r="AO90" s="223">
        <f t="shared" si="260"/>
        <v>0</v>
      </c>
      <c r="AP90" s="223">
        <f t="shared" si="260"/>
        <v>0</v>
      </c>
      <c r="AQ90" s="223">
        <f t="shared" si="260"/>
        <v>0</v>
      </c>
      <c r="AR90" s="223"/>
      <c r="AS90" s="223">
        <f t="shared" si="261"/>
        <v>0</v>
      </c>
      <c r="AT90" s="223">
        <f t="shared" si="262"/>
        <v>0</v>
      </c>
      <c r="AU90" s="223">
        <f t="shared" si="262"/>
        <v>0</v>
      </c>
      <c r="AV90" s="223">
        <f t="shared" si="262"/>
        <v>0</v>
      </c>
      <c r="AW90" s="223">
        <f t="shared" si="262"/>
        <v>0</v>
      </c>
      <c r="AX90" s="223">
        <f t="shared" si="262"/>
        <v>0</v>
      </c>
      <c r="AY90" s="223">
        <f t="shared" si="262"/>
        <v>0</v>
      </c>
      <c r="AZ90" s="223">
        <f t="shared" si="262"/>
        <v>0</v>
      </c>
      <c r="BA90" s="223">
        <f t="shared" si="262"/>
        <v>0</v>
      </c>
      <c r="BB90" s="223">
        <f t="shared" si="262"/>
        <v>0</v>
      </c>
      <c r="BC90" s="223">
        <f t="shared" si="262"/>
        <v>0</v>
      </c>
      <c r="BD90" s="223">
        <f t="shared" si="262"/>
        <v>0</v>
      </c>
      <c r="BE90" s="223"/>
      <c r="BF90" s="223">
        <f t="shared" si="263"/>
        <v>0</v>
      </c>
      <c r="BG90" s="223">
        <f t="shared" si="264"/>
        <v>0</v>
      </c>
      <c r="BH90" s="223">
        <f t="shared" si="264"/>
        <v>0</v>
      </c>
      <c r="BI90" s="223">
        <f t="shared" si="264"/>
        <v>0</v>
      </c>
      <c r="BJ90" s="223">
        <f t="shared" si="264"/>
        <v>0</v>
      </c>
      <c r="BK90" s="223">
        <f t="shared" si="264"/>
        <v>0</v>
      </c>
      <c r="BL90" s="223">
        <f t="shared" si="264"/>
        <v>0</v>
      </c>
      <c r="BM90" s="223">
        <f t="shared" si="264"/>
        <v>0</v>
      </c>
      <c r="BN90" s="223">
        <f t="shared" si="264"/>
        <v>0</v>
      </c>
      <c r="BO90" s="223">
        <f t="shared" si="264"/>
        <v>0</v>
      </c>
      <c r="BP90" s="223">
        <f t="shared" si="264"/>
        <v>0</v>
      </c>
      <c r="BQ90" s="223">
        <f t="shared" si="264"/>
        <v>0</v>
      </c>
      <c r="BR90" s="223"/>
      <c r="BS90" s="223">
        <f t="shared" si="265"/>
        <v>0</v>
      </c>
      <c r="BT90" s="223">
        <f t="shared" si="266"/>
        <v>0</v>
      </c>
      <c r="BU90" s="223">
        <f t="shared" si="266"/>
        <v>0</v>
      </c>
      <c r="BV90" s="223">
        <f t="shared" si="266"/>
        <v>0</v>
      </c>
      <c r="BW90" s="223">
        <f t="shared" si="266"/>
        <v>0</v>
      </c>
      <c r="BX90" s="223">
        <f t="shared" si="266"/>
        <v>0</v>
      </c>
      <c r="BY90" s="223">
        <f t="shared" si="266"/>
        <v>0</v>
      </c>
      <c r="BZ90" s="223">
        <f t="shared" si="266"/>
        <v>0</v>
      </c>
      <c r="CA90" s="223">
        <f t="shared" si="266"/>
        <v>0</v>
      </c>
      <c r="CB90" s="223">
        <f t="shared" si="266"/>
        <v>0</v>
      </c>
      <c r="CC90" s="223">
        <f t="shared" si="266"/>
        <v>0</v>
      </c>
      <c r="CD90" s="223">
        <f t="shared" si="266"/>
        <v>0</v>
      </c>
      <c r="CE90" s="389"/>
      <c r="CF90" s="223">
        <f t="shared" si="267"/>
        <v>0</v>
      </c>
      <c r="CG90" s="223">
        <f t="shared" si="268"/>
        <v>0</v>
      </c>
      <c r="CH90" s="223">
        <f t="shared" si="269"/>
        <v>0</v>
      </c>
      <c r="CI90" s="223">
        <f t="shared" si="270"/>
        <v>0</v>
      </c>
      <c r="CJ90" s="223">
        <f t="shared" si="271"/>
        <v>0</v>
      </c>
      <c r="CK90" s="223">
        <f t="shared" si="272"/>
        <v>0</v>
      </c>
      <c r="CL90" s="223">
        <f t="shared" si="273"/>
        <v>0</v>
      </c>
      <c r="CM90" s="223">
        <f t="shared" si="274"/>
        <v>0</v>
      </c>
      <c r="CN90" s="223">
        <f t="shared" si="275"/>
        <v>0</v>
      </c>
      <c r="CO90" s="223">
        <f t="shared" si="276"/>
        <v>0</v>
      </c>
      <c r="CP90" s="223">
        <f t="shared" si="277"/>
        <v>0</v>
      </c>
      <c r="CQ90" s="223">
        <f t="shared" si="278"/>
        <v>0</v>
      </c>
      <c r="CR90" s="389"/>
      <c r="CS90" s="223">
        <f t="shared" si="279"/>
        <v>0</v>
      </c>
      <c r="CT90" s="223">
        <f t="shared" si="280"/>
        <v>0</v>
      </c>
      <c r="CU90" s="223">
        <f t="shared" si="281"/>
        <v>0</v>
      </c>
      <c r="CV90" s="223">
        <f t="shared" si="282"/>
        <v>0</v>
      </c>
      <c r="CW90" s="223">
        <f t="shared" si="283"/>
        <v>0</v>
      </c>
      <c r="CX90" s="223">
        <f t="shared" si="284"/>
        <v>0</v>
      </c>
      <c r="CY90" s="223">
        <f t="shared" si="285"/>
        <v>0</v>
      </c>
      <c r="CZ90" s="223">
        <f t="shared" si="286"/>
        <v>0</v>
      </c>
      <c r="DA90" s="223">
        <f t="shared" si="287"/>
        <v>0</v>
      </c>
      <c r="DB90" s="223">
        <f t="shared" si="288"/>
        <v>0</v>
      </c>
      <c r="DC90" s="223">
        <f t="shared" si="289"/>
        <v>0</v>
      </c>
      <c r="DD90" s="223">
        <f t="shared" si="290"/>
        <v>0</v>
      </c>
      <c r="DE90" s="389"/>
      <c r="DF90" s="223">
        <f t="shared" si="291"/>
        <v>0</v>
      </c>
      <c r="DG90" s="223">
        <f t="shared" si="292"/>
        <v>0</v>
      </c>
      <c r="DH90" s="223">
        <f t="shared" si="293"/>
        <v>0</v>
      </c>
      <c r="DI90" s="223">
        <f t="shared" si="294"/>
        <v>0</v>
      </c>
      <c r="DJ90" s="223">
        <f t="shared" si="295"/>
        <v>0</v>
      </c>
      <c r="DK90" s="223">
        <f t="shared" si="296"/>
        <v>0</v>
      </c>
      <c r="DL90" s="223">
        <f t="shared" si="297"/>
        <v>0</v>
      </c>
      <c r="DM90" s="223">
        <f t="shared" si="298"/>
        <v>0</v>
      </c>
      <c r="DN90" s="223">
        <f t="shared" si="299"/>
        <v>0</v>
      </c>
      <c r="DO90" s="223">
        <f t="shared" si="300"/>
        <v>0</v>
      </c>
      <c r="DP90" s="223">
        <f t="shared" si="301"/>
        <v>0</v>
      </c>
      <c r="DQ90" s="223">
        <f t="shared" si="302"/>
        <v>0</v>
      </c>
      <c r="DR90" s="389"/>
      <c r="DS90" s="31">
        <f t="shared" si="303"/>
        <v>0</v>
      </c>
      <c r="DT90" s="390"/>
      <c r="DU90" s="9"/>
      <c r="DV90" s="8"/>
      <c r="DW90" s="7"/>
      <c r="DX90" s="7"/>
      <c r="DY90" s="7"/>
      <c r="DZ90" s="7"/>
      <c r="EA90" s="7"/>
      <c r="EB90" s="7"/>
      <c r="EC90" s="7"/>
    </row>
    <row r="91" spans="1:133">
      <c r="C91" s="57" t="str">
        <f t="shared" si="304"/>
        <v>///</v>
      </c>
      <c r="D91" s="57">
        <f t="shared" si="305"/>
        <v>0</v>
      </c>
      <c r="E91" s="62">
        <f t="shared" si="304"/>
        <v>0</v>
      </c>
      <c r="F91" s="223"/>
      <c r="G91" s="223">
        <f t="shared" si="257"/>
        <v>0</v>
      </c>
      <c r="H91" s="223">
        <f t="shared" si="257"/>
        <v>0</v>
      </c>
      <c r="I91" s="223">
        <f t="shared" si="257"/>
        <v>0</v>
      </c>
      <c r="J91" s="223">
        <f t="shared" si="257"/>
        <v>0</v>
      </c>
      <c r="K91" s="223">
        <f t="shared" si="257"/>
        <v>0</v>
      </c>
      <c r="L91" s="223">
        <f t="shared" si="257"/>
        <v>0</v>
      </c>
      <c r="M91" s="223">
        <f t="shared" si="257"/>
        <v>0</v>
      </c>
      <c r="N91" s="223">
        <f t="shared" si="257"/>
        <v>0</v>
      </c>
      <c r="O91" s="223">
        <f t="shared" si="257"/>
        <v>0</v>
      </c>
      <c r="P91" s="223">
        <f t="shared" si="257"/>
        <v>0</v>
      </c>
      <c r="Q91" s="223">
        <f t="shared" si="257"/>
        <v>0</v>
      </c>
      <c r="R91" s="223"/>
      <c r="S91" s="223">
        <f t="shared" si="306"/>
        <v>0</v>
      </c>
      <c r="T91" s="223">
        <f t="shared" si="258"/>
        <v>0</v>
      </c>
      <c r="U91" s="223">
        <f t="shared" si="258"/>
        <v>0</v>
      </c>
      <c r="V91" s="223">
        <f t="shared" si="258"/>
        <v>0</v>
      </c>
      <c r="W91" s="223">
        <f t="shared" si="258"/>
        <v>0</v>
      </c>
      <c r="X91" s="223">
        <f t="shared" si="258"/>
        <v>0</v>
      </c>
      <c r="Y91" s="223">
        <f t="shared" si="258"/>
        <v>0</v>
      </c>
      <c r="Z91" s="223">
        <f t="shared" si="258"/>
        <v>0</v>
      </c>
      <c r="AA91" s="223">
        <f t="shared" si="258"/>
        <v>0</v>
      </c>
      <c r="AB91" s="223">
        <f t="shared" si="258"/>
        <v>0</v>
      </c>
      <c r="AC91" s="223">
        <f t="shared" si="258"/>
        <v>0</v>
      </c>
      <c r="AD91" s="223">
        <f t="shared" si="258"/>
        <v>0</v>
      </c>
      <c r="AE91" s="223"/>
      <c r="AF91" s="223">
        <f t="shared" si="259"/>
        <v>0</v>
      </c>
      <c r="AG91" s="223">
        <f t="shared" si="260"/>
        <v>0</v>
      </c>
      <c r="AH91" s="223">
        <f t="shared" si="260"/>
        <v>0</v>
      </c>
      <c r="AI91" s="223">
        <f t="shared" si="260"/>
        <v>0</v>
      </c>
      <c r="AJ91" s="223">
        <f t="shared" si="260"/>
        <v>0</v>
      </c>
      <c r="AK91" s="223">
        <f t="shared" si="260"/>
        <v>0</v>
      </c>
      <c r="AL91" s="223">
        <f t="shared" si="260"/>
        <v>0</v>
      </c>
      <c r="AM91" s="223">
        <f t="shared" si="260"/>
        <v>0</v>
      </c>
      <c r="AN91" s="223">
        <f t="shared" si="260"/>
        <v>0</v>
      </c>
      <c r="AO91" s="223">
        <f t="shared" si="260"/>
        <v>0</v>
      </c>
      <c r="AP91" s="223">
        <f t="shared" si="260"/>
        <v>0</v>
      </c>
      <c r="AQ91" s="223">
        <f t="shared" si="260"/>
        <v>0</v>
      </c>
      <c r="AR91" s="223"/>
      <c r="AS91" s="223">
        <f t="shared" si="261"/>
        <v>0</v>
      </c>
      <c r="AT91" s="223">
        <f t="shared" si="262"/>
        <v>0</v>
      </c>
      <c r="AU91" s="223">
        <f t="shared" si="262"/>
        <v>0</v>
      </c>
      <c r="AV91" s="223">
        <f t="shared" si="262"/>
        <v>0</v>
      </c>
      <c r="AW91" s="223">
        <f t="shared" si="262"/>
        <v>0</v>
      </c>
      <c r="AX91" s="223">
        <f t="shared" si="262"/>
        <v>0</v>
      </c>
      <c r="AY91" s="223">
        <f t="shared" si="262"/>
        <v>0</v>
      </c>
      <c r="AZ91" s="223">
        <f t="shared" si="262"/>
        <v>0</v>
      </c>
      <c r="BA91" s="223">
        <f t="shared" si="262"/>
        <v>0</v>
      </c>
      <c r="BB91" s="223">
        <f t="shared" si="262"/>
        <v>0</v>
      </c>
      <c r="BC91" s="223">
        <f t="shared" si="262"/>
        <v>0</v>
      </c>
      <c r="BD91" s="223">
        <f t="shared" si="262"/>
        <v>0</v>
      </c>
      <c r="BE91" s="223"/>
      <c r="BF91" s="223">
        <f t="shared" si="263"/>
        <v>0</v>
      </c>
      <c r="BG91" s="223">
        <f t="shared" si="264"/>
        <v>0</v>
      </c>
      <c r="BH91" s="223">
        <f t="shared" si="264"/>
        <v>0</v>
      </c>
      <c r="BI91" s="223">
        <f t="shared" si="264"/>
        <v>0</v>
      </c>
      <c r="BJ91" s="223">
        <f t="shared" si="264"/>
        <v>0</v>
      </c>
      <c r="BK91" s="223">
        <f t="shared" si="264"/>
        <v>0</v>
      </c>
      <c r="BL91" s="223">
        <f t="shared" si="264"/>
        <v>0</v>
      </c>
      <c r="BM91" s="223">
        <f t="shared" si="264"/>
        <v>0</v>
      </c>
      <c r="BN91" s="223">
        <f t="shared" si="264"/>
        <v>0</v>
      </c>
      <c r="BO91" s="223">
        <f t="shared" si="264"/>
        <v>0</v>
      </c>
      <c r="BP91" s="223">
        <f t="shared" si="264"/>
        <v>0</v>
      </c>
      <c r="BQ91" s="223">
        <f t="shared" si="264"/>
        <v>0</v>
      </c>
      <c r="BR91" s="223"/>
      <c r="BS91" s="223">
        <f t="shared" si="265"/>
        <v>0</v>
      </c>
      <c r="BT91" s="223">
        <f t="shared" si="266"/>
        <v>0</v>
      </c>
      <c r="BU91" s="223">
        <f t="shared" si="266"/>
        <v>0</v>
      </c>
      <c r="BV91" s="223">
        <f t="shared" si="266"/>
        <v>0</v>
      </c>
      <c r="BW91" s="223">
        <f t="shared" si="266"/>
        <v>0</v>
      </c>
      <c r="BX91" s="223">
        <f t="shared" si="266"/>
        <v>0</v>
      </c>
      <c r="BY91" s="223">
        <f t="shared" si="266"/>
        <v>0</v>
      </c>
      <c r="BZ91" s="223">
        <f t="shared" si="266"/>
        <v>0</v>
      </c>
      <c r="CA91" s="223">
        <f t="shared" si="266"/>
        <v>0</v>
      </c>
      <c r="CB91" s="223">
        <f t="shared" si="266"/>
        <v>0</v>
      </c>
      <c r="CC91" s="223">
        <f t="shared" si="266"/>
        <v>0</v>
      </c>
      <c r="CD91" s="223">
        <f t="shared" si="266"/>
        <v>0</v>
      </c>
      <c r="CE91" s="389"/>
      <c r="CF91" s="223">
        <f t="shared" si="267"/>
        <v>0</v>
      </c>
      <c r="CG91" s="223">
        <f t="shared" si="268"/>
        <v>0</v>
      </c>
      <c r="CH91" s="223">
        <f t="shared" si="269"/>
        <v>0</v>
      </c>
      <c r="CI91" s="223">
        <f t="shared" si="270"/>
        <v>0</v>
      </c>
      <c r="CJ91" s="223">
        <f t="shared" si="271"/>
        <v>0</v>
      </c>
      <c r="CK91" s="223">
        <f t="shared" si="272"/>
        <v>0</v>
      </c>
      <c r="CL91" s="223">
        <f t="shared" si="273"/>
        <v>0</v>
      </c>
      <c r="CM91" s="223">
        <f t="shared" si="274"/>
        <v>0</v>
      </c>
      <c r="CN91" s="223">
        <f t="shared" si="275"/>
        <v>0</v>
      </c>
      <c r="CO91" s="223">
        <f t="shared" si="276"/>
        <v>0</v>
      </c>
      <c r="CP91" s="223">
        <f t="shared" si="277"/>
        <v>0</v>
      </c>
      <c r="CQ91" s="223">
        <f t="shared" si="278"/>
        <v>0</v>
      </c>
      <c r="CR91" s="389"/>
      <c r="CS91" s="223">
        <f t="shared" si="279"/>
        <v>0</v>
      </c>
      <c r="CT91" s="223">
        <f t="shared" si="280"/>
        <v>0</v>
      </c>
      <c r="CU91" s="223">
        <f t="shared" si="281"/>
        <v>0</v>
      </c>
      <c r="CV91" s="223">
        <f t="shared" si="282"/>
        <v>0</v>
      </c>
      <c r="CW91" s="223">
        <f t="shared" si="283"/>
        <v>0</v>
      </c>
      <c r="CX91" s="223">
        <f t="shared" si="284"/>
        <v>0</v>
      </c>
      <c r="CY91" s="223">
        <f t="shared" si="285"/>
        <v>0</v>
      </c>
      <c r="CZ91" s="223">
        <f t="shared" si="286"/>
        <v>0</v>
      </c>
      <c r="DA91" s="223">
        <f t="shared" si="287"/>
        <v>0</v>
      </c>
      <c r="DB91" s="223">
        <f t="shared" si="288"/>
        <v>0</v>
      </c>
      <c r="DC91" s="223">
        <f t="shared" si="289"/>
        <v>0</v>
      </c>
      <c r="DD91" s="223">
        <f t="shared" si="290"/>
        <v>0</v>
      </c>
      <c r="DE91" s="389"/>
      <c r="DF91" s="223">
        <f t="shared" si="291"/>
        <v>0</v>
      </c>
      <c r="DG91" s="223">
        <f t="shared" si="292"/>
        <v>0</v>
      </c>
      <c r="DH91" s="223">
        <f t="shared" si="293"/>
        <v>0</v>
      </c>
      <c r="DI91" s="223">
        <f t="shared" si="294"/>
        <v>0</v>
      </c>
      <c r="DJ91" s="223">
        <f t="shared" si="295"/>
        <v>0</v>
      </c>
      <c r="DK91" s="223">
        <f t="shared" si="296"/>
        <v>0</v>
      </c>
      <c r="DL91" s="223">
        <f t="shared" si="297"/>
        <v>0</v>
      </c>
      <c r="DM91" s="223">
        <f t="shared" si="298"/>
        <v>0</v>
      </c>
      <c r="DN91" s="223">
        <f t="shared" si="299"/>
        <v>0</v>
      </c>
      <c r="DO91" s="223">
        <f t="shared" si="300"/>
        <v>0</v>
      </c>
      <c r="DP91" s="223">
        <f t="shared" si="301"/>
        <v>0</v>
      </c>
      <c r="DQ91" s="223">
        <f t="shared" si="302"/>
        <v>0</v>
      </c>
      <c r="DR91" s="389"/>
      <c r="DS91" s="31">
        <f t="shared" si="303"/>
        <v>0</v>
      </c>
      <c r="DT91" s="390"/>
      <c r="DU91" s="9"/>
      <c r="DV91" s="8"/>
      <c r="DW91" s="7"/>
      <c r="DX91" s="7"/>
      <c r="DY91" s="7"/>
      <c r="DZ91" s="7"/>
      <c r="EA91" s="7"/>
      <c r="EB91" s="7"/>
      <c r="EC91" s="7"/>
    </row>
    <row r="92" spans="1:133">
      <c r="C92" s="57" t="str">
        <f t="shared" si="304"/>
        <v>///</v>
      </c>
      <c r="D92" s="57">
        <f t="shared" si="305"/>
        <v>0</v>
      </c>
      <c r="E92" s="62">
        <f t="shared" si="304"/>
        <v>0</v>
      </c>
      <c r="F92" s="223"/>
      <c r="G92" s="223">
        <f t="shared" si="257"/>
        <v>0</v>
      </c>
      <c r="H92" s="223">
        <f t="shared" si="257"/>
        <v>0</v>
      </c>
      <c r="I92" s="223">
        <f t="shared" si="257"/>
        <v>0</v>
      </c>
      <c r="J92" s="223">
        <f t="shared" si="257"/>
        <v>0</v>
      </c>
      <c r="K92" s="223">
        <f t="shared" si="257"/>
        <v>0</v>
      </c>
      <c r="L92" s="223">
        <f t="shared" si="257"/>
        <v>0</v>
      </c>
      <c r="M92" s="223">
        <f t="shared" si="257"/>
        <v>0</v>
      </c>
      <c r="N92" s="223">
        <f t="shared" si="257"/>
        <v>0</v>
      </c>
      <c r="O92" s="223">
        <f t="shared" si="257"/>
        <v>0</v>
      </c>
      <c r="P92" s="223">
        <f t="shared" si="257"/>
        <v>0</v>
      </c>
      <c r="Q92" s="223">
        <f t="shared" si="257"/>
        <v>0</v>
      </c>
      <c r="R92" s="223"/>
      <c r="S92" s="223">
        <f t="shared" si="306"/>
        <v>0</v>
      </c>
      <c r="T92" s="223">
        <f t="shared" si="258"/>
        <v>0</v>
      </c>
      <c r="U92" s="223">
        <f t="shared" si="258"/>
        <v>0</v>
      </c>
      <c r="V92" s="223">
        <f t="shared" si="258"/>
        <v>0</v>
      </c>
      <c r="W92" s="223">
        <f t="shared" si="258"/>
        <v>0</v>
      </c>
      <c r="X92" s="223">
        <f t="shared" si="258"/>
        <v>0</v>
      </c>
      <c r="Y92" s="223">
        <f t="shared" si="258"/>
        <v>0</v>
      </c>
      <c r="Z92" s="223">
        <f t="shared" si="258"/>
        <v>0</v>
      </c>
      <c r="AA92" s="223">
        <f t="shared" si="258"/>
        <v>0</v>
      </c>
      <c r="AB92" s="223">
        <f t="shared" si="258"/>
        <v>0</v>
      </c>
      <c r="AC92" s="223">
        <f t="shared" si="258"/>
        <v>0</v>
      </c>
      <c r="AD92" s="223">
        <f t="shared" si="258"/>
        <v>0</v>
      </c>
      <c r="AE92" s="223"/>
      <c r="AF92" s="223">
        <f t="shared" si="259"/>
        <v>0</v>
      </c>
      <c r="AG92" s="223">
        <f t="shared" si="260"/>
        <v>0</v>
      </c>
      <c r="AH92" s="223">
        <f t="shared" si="260"/>
        <v>0</v>
      </c>
      <c r="AI92" s="223">
        <f t="shared" si="260"/>
        <v>0</v>
      </c>
      <c r="AJ92" s="223">
        <f t="shared" si="260"/>
        <v>0</v>
      </c>
      <c r="AK92" s="223">
        <f t="shared" si="260"/>
        <v>0</v>
      </c>
      <c r="AL92" s="223">
        <f t="shared" si="260"/>
        <v>0</v>
      </c>
      <c r="AM92" s="223">
        <f t="shared" si="260"/>
        <v>0</v>
      </c>
      <c r="AN92" s="223">
        <f t="shared" si="260"/>
        <v>0</v>
      </c>
      <c r="AO92" s="223">
        <f t="shared" si="260"/>
        <v>0</v>
      </c>
      <c r="AP92" s="223">
        <f t="shared" si="260"/>
        <v>0</v>
      </c>
      <c r="AQ92" s="223">
        <f t="shared" si="260"/>
        <v>0</v>
      </c>
      <c r="AR92" s="223"/>
      <c r="AS92" s="223">
        <f t="shared" si="261"/>
        <v>0</v>
      </c>
      <c r="AT92" s="223">
        <f t="shared" si="262"/>
        <v>0</v>
      </c>
      <c r="AU92" s="223">
        <f t="shared" si="262"/>
        <v>0</v>
      </c>
      <c r="AV92" s="223">
        <f t="shared" si="262"/>
        <v>0</v>
      </c>
      <c r="AW92" s="223">
        <f t="shared" si="262"/>
        <v>0</v>
      </c>
      <c r="AX92" s="223">
        <f t="shared" si="262"/>
        <v>0</v>
      </c>
      <c r="AY92" s="223">
        <f t="shared" si="262"/>
        <v>0</v>
      </c>
      <c r="AZ92" s="223">
        <f t="shared" si="262"/>
        <v>0</v>
      </c>
      <c r="BA92" s="223">
        <f t="shared" si="262"/>
        <v>0</v>
      </c>
      <c r="BB92" s="223">
        <f t="shared" si="262"/>
        <v>0</v>
      </c>
      <c r="BC92" s="223">
        <f t="shared" si="262"/>
        <v>0</v>
      </c>
      <c r="BD92" s="223">
        <f t="shared" si="262"/>
        <v>0</v>
      </c>
      <c r="BE92" s="223"/>
      <c r="BF92" s="223">
        <f t="shared" si="263"/>
        <v>0</v>
      </c>
      <c r="BG92" s="223">
        <f t="shared" si="264"/>
        <v>0</v>
      </c>
      <c r="BH92" s="223">
        <f t="shared" si="264"/>
        <v>0</v>
      </c>
      <c r="BI92" s="223">
        <f t="shared" si="264"/>
        <v>0</v>
      </c>
      <c r="BJ92" s="223">
        <f t="shared" si="264"/>
        <v>0</v>
      </c>
      <c r="BK92" s="223">
        <f t="shared" si="264"/>
        <v>0</v>
      </c>
      <c r="BL92" s="223">
        <f t="shared" si="264"/>
        <v>0</v>
      </c>
      <c r="BM92" s="223">
        <f t="shared" si="264"/>
        <v>0</v>
      </c>
      <c r="BN92" s="223">
        <f t="shared" si="264"/>
        <v>0</v>
      </c>
      <c r="BO92" s="223">
        <f t="shared" si="264"/>
        <v>0</v>
      </c>
      <c r="BP92" s="223">
        <f t="shared" si="264"/>
        <v>0</v>
      </c>
      <c r="BQ92" s="223">
        <f t="shared" si="264"/>
        <v>0</v>
      </c>
      <c r="BR92" s="223"/>
      <c r="BS92" s="223">
        <f t="shared" si="265"/>
        <v>0</v>
      </c>
      <c r="BT92" s="223">
        <f t="shared" si="266"/>
        <v>0</v>
      </c>
      <c r="BU92" s="223">
        <f t="shared" si="266"/>
        <v>0</v>
      </c>
      <c r="BV92" s="223">
        <f t="shared" si="266"/>
        <v>0</v>
      </c>
      <c r="BW92" s="223">
        <f t="shared" si="266"/>
        <v>0</v>
      </c>
      <c r="BX92" s="223">
        <f t="shared" si="266"/>
        <v>0</v>
      </c>
      <c r="BY92" s="223">
        <f t="shared" si="266"/>
        <v>0</v>
      </c>
      <c r="BZ92" s="223">
        <f t="shared" si="266"/>
        <v>0</v>
      </c>
      <c r="CA92" s="223">
        <f t="shared" si="266"/>
        <v>0</v>
      </c>
      <c r="CB92" s="223">
        <f t="shared" si="266"/>
        <v>0</v>
      </c>
      <c r="CC92" s="223">
        <f t="shared" si="266"/>
        <v>0</v>
      </c>
      <c r="CD92" s="223">
        <f t="shared" si="266"/>
        <v>0</v>
      </c>
      <c r="CE92" s="389"/>
      <c r="CF92" s="223">
        <f t="shared" si="267"/>
        <v>0</v>
      </c>
      <c r="CG92" s="223">
        <f t="shared" si="268"/>
        <v>0</v>
      </c>
      <c r="CH92" s="223">
        <f t="shared" si="269"/>
        <v>0</v>
      </c>
      <c r="CI92" s="223">
        <f t="shared" si="270"/>
        <v>0</v>
      </c>
      <c r="CJ92" s="223">
        <f t="shared" si="271"/>
        <v>0</v>
      </c>
      <c r="CK92" s="223">
        <f t="shared" si="272"/>
        <v>0</v>
      </c>
      <c r="CL92" s="223">
        <f t="shared" si="273"/>
        <v>0</v>
      </c>
      <c r="CM92" s="223">
        <f t="shared" si="274"/>
        <v>0</v>
      </c>
      <c r="CN92" s="223">
        <f t="shared" si="275"/>
        <v>0</v>
      </c>
      <c r="CO92" s="223">
        <f t="shared" si="276"/>
        <v>0</v>
      </c>
      <c r="CP92" s="223">
        <f t="shared" si="277"/>
        <v>0</v>
      </c>
      <c r="CQ92" s="223">
        <f t="shared" si="278"/>
        <v>0</v>
      </c>
      <c r="CR92" s="389"/>
      <c r="CS92" s="223">
        <f t="shared" si="279"/>
        <v>0</v>
      </c>
      <c r="CT92" s="223">
        <f t="shared" si="280"/>
        <v>0</v>
      </c>
      <c r="CU92" s="223">
        <f t="shared" si="281"/>
        <v>0</v>
      </c>
      <c r="CV92" s="223">
        <f t="shared" si="282"/>
        <v>0</v>
      </c>
      <c r="CW92" s="223">
        <f t="shared" si="283"/>
        <v>0</v>
      </c>
      <c r="CX92" s="223">
        <f t="shared" si="284"/>
        <v>0</v>
      </c>
      <c r="CY92" s="223">
        <f t="shared" si="285"/>
        <v>0</v>
      </c>
      <c r="CZ92" s="223">
        <f t="shared" si="286"/>
        <v>0</v>
      </c>
      <c r="DA92" s="223">
        <f t="shared" si="287"/>
        <v>0</v>
      </c>
      <c r="DB92" s="223">
        <f t="shared" si="288"/>
        <v>0</v>
      </c>
      <c r="DC92" s="223">
        <f t="shared" si="289"/>
        <v>0</v>
      </c>
      <c r="DD92" s="223">
        <f t="shared" si="290"/>
        <v>0</v>
      </c>
      <c r="DE92" s="389"/>
      <c r="DF92" s="223">
        <f t="shared" si="291"/>
        <v>0</v>
      </c>
      <c r="DG92" s="223">
        <f t="shared" si="292"/>
        <v>0</v>
      </c>
      <c r="DH92" s="223">
        <f t="shared" si="293"/>
        <v>0</v>
      </c>
      <c r="DI92" s="223">
        <f t="shared" si="294"/>
        <v>0</v>
      </c>
      <c r="DJ92" s="223">
        <f t="shared" si="295"/>
        <v>0</v>
      </c>
      <c r="DK92" s="223">
        <f t="shared" si="296"/>
        <v>0</v>
      </c>
      <c r="DL92" s="223">
        <f t="shared" si="297"/>
        <v>0</v>
      </c>
      <c r="DM92" s="223">
        <f t="shared" si="298"/>
        <v>0</v>
      </c>
      <c r="DN92" s="223">
        <f t="shared" si="299"/>
        <v>0</v>
      </c>
      <c r="DO92" s="223">
        <f t="shared" si="300"/>
        <v>0</v>
      </c>
      <c r="DP92" s="223">
        <f t="shared" si="301"/>
        <v>0</v>
      </c>
      <c r="DQ92" s="223">
        <f t="shared" si="302"/>
        <v>0</v>
      </c>
      <c r="DR92" s="389"/>
      <c r="DS92" s="31">
        <f t="shared" si="303"/>
        <v>0</v>
      </c>
      <c r="DT92" s="390"/>
      <c r="DU92" s="9"/>
      <c r="DV92" s="8"/>
      <c r="DW92" s="7"/>
      <c r="DX92" s="7"/>
      <c r="DY92" s="7"/>
      <c r="DZ92" s="7"/>
      <c r="EA92" s="7"/>
      <c r="EB92" s="7"/>
      <c r="EC92" s="7"/>
    </row>
    <row r="93" spans="1:133">
      <c r="C93" s="57" t="str">
        <f t="shared" si="304"/>
        <v>///</v>
      </c>
      <c r="D93" s="57">
        <f t="shared" si="305"/>
        <v>0</v>
      </c>
      <c r="E93" s="62">
        <f t="shared" si="304"/>
        <v>0</v>
      </c>
      <c r="F93" s="223"/>
      <c r="G93" s="223">
        <f t="shared" si="257"/>
        <v>0</v>
      </c>
      <c r="H93" s="223">
        <f t="shared" si="257"/>
        <v>0</v>
      </c>
      <c r="I93" s="223">
        <f t="shared" si="257"/>
        <v>0</v>
      </c>
      <c r="J93" s="223">
        <f t="shared" si="257"/>
        <v>0</v>
      </c>
      <c r="K93" s="223">
        <f t="shared" si="257"/>
        <v>0</v>
      </c>
      <c r="L93" s="223">
        <f t="shared" si="257"/>
        <v>0</v>
      </c>
      <c r="M93" s="223">
        <f t="shared" si="257"/>
        <v>0</v>
      </c>
      <c r="N93" s="223">
        <f t="shared" si="257"/>
        <v>0</v>
      </c>
      <c r="O93" s="223">
        <f t="shared" si="257"/>
        <v>0</v>
      </c>
      <c r="P93" s="223">
        <f t="shared" si="257"/>
        <v>0</v>
      </c>
      <c r="Q93" s="223">
        <f t="shared" si="257"/>
        <v>0</v>
      </c>
      <c r="R93" s="223"/>
      <c r="S93" s="223">
        <f t="shared" si="306"/>
        <v>0</v>
      </c>
      <c r="T93" s="223">
        <f t="shared" si="258"/>
        <v>0</v>
      </c>
      <c r="U93" s="223">
        <f t="shared" si="258"/>
        <v>0</v>
      </c>
      <c r="V93" s="223">
        <f t="shared" si="258"/>
        <v>0</v>
      </c>
      <c r="W93" s="223">
        <f t="shared" si="258"/>
        <v>0</v>
      </c>
      <c r="X93" s="223">
        <f t="shared" si="258"/>
        <v>0</v>
      </c>
      <c r="Y93" s="223">
        <f t="shared" si="258"/>
        <v>0</v>
      </c>
      <c r="Z93" s="223">
        <f t="shared" si="258"/>
        <v>0</v>
      </c>
      <c r="AA93" s="223">
        <f t="shared" si="258"/>
        <v>0</v>
      </c>
      <c r="AB93" s="223">
        <f t="shared" si="258"/>
        <v>0</v>
      </c>
      <c r="AC93" s="223">
        <f t="shared" si="258"/>
        <v>0</v>
      </c>
      <c r="AD93" s="223">
        <f t="shared" si="258"/>
        <v>0</v>
      </c>
      <c r="AE93" s="223"/>
      <c r="AF93" s="223">
        <f t="shared" si="259"/>
        <v>0</v>
      </c>
      <c r="AG93" s="223">
        <f t="shared" si="260"/>
        <v>0</v>
      </c>
      <c r="AH93" s="223">
        <f t="shared" si="260"/>
        <v>0</v>
      </c>
      <c r="AI93" s="223">
        <f t="shared" si="260"/>
        <v>0</v>
      </c>
      <c r="AJ93" s="223">
        <f t="shared" si="260"/>
        <v>0</v>
      </c>
      <c r="AK93" s="223">
        <f t="shared" si="260"/>
        <v>0</v>
      </c>
      <c r="AL93" s="223">
        <f t="shared" si="260"/>
        <v>0</v>
      </c>
      <c r="AM93" s="223">
        <f t="shared" si="260"/>
        <v>0</v>
      </c>
      <c r="AN93" s="223">
        <f t="shared" si="260"/>
        <v>0</v>
      </c>
      <c r="AO93" s="223">
        <f t="shared" si="260"/>
        <v>0</v>
      </c>
      <c r="AP93" s="223">
        <f t="shared" si="260"/>
        <v>0</v>
      </c>
      <c r="AQ93" s="223">
        <f t="shared" si="260"/>
        <v>0</v>
      </c>
      <c r="AR93" s="223"/>
      <c r="AS93" s="223">
        <f t="shared" si="261"/>
        <v>0</v>
      </c>
      <c r="AT93" s="223">
        <f t="shared" si="262"/>
        <v>0</v>
      </c>
      <c r="AU93" s="223">
        <f t="shared" si="262"/>
        <v>0</v>
      </c>
      <c r="AV93" s="223">
        <f t="shared" si="262"/>
        <v>0</v>
      </c>
      <c r="AW93" s="223">
        <f t="shared" si="262"/>
        <v>0</v>
      </c>
      <c r="AX93" s="223">
        <f t="shared" si="262"/>
        <v>0</v>
      </c>
      <c r="AY93" s="223">
        <f t="shared" si="262"/>
        <v>0</v>
      </c>
      <c r="AZ93" s="223">
        <f t="shared" si="262"/>
        <v>0</v>
      </c>
      <c r="BA93" s="223">
        <f t="shared" si="262"/>
        <v>0</v>
      </c>
      <c r="BB93" s="223">
        <f t="shared" si="262"/>
        <v>0</v>
      </c>
      <c r="BC93" s="223">
        <f t="shared" si="262"/>
        <v>0</v>
      </c>
      <c r="BD93" s="223">
        <f t="shared" si="262"/>
        <v>0</v>
      </c>
      <c r="BE93" s="223"/>
      <c r="BF93" s="223">
        <f t="shared" si="263"/>
        <v>0</v>
      </c>
      <c r="BG93" s="223">
        <f t="shared" si="264"/>
        <v>0</v>
      </c>
      <c r="BH93" s="223">
        <f t="shared" si="264"/>
        <v>0</v>
      </c>
      <c r="BI93" s="223">
        <f t="shared" si="264"/>
        <v>0</v>
      </c>
      <c r="BJ93" s="223">
        <f t="shared" si="264"/>
        <v>0</v>
      </c>
      <c r="BK93" s="223">
        <f t="shared" si="264"/>
        <v>0</v>
      </c>
      <c r="BL93" s="223">
        <f t="shared" si="264"/>
        <v>0</v>
      </c>
      <c r="BM93" s="223">
        <f t="shared" si="264"/>
        <v>0</v>
      </c>
      <c r="BN93" s="223">
        <f t="shared" si="264"/>
        <v>0</v>
      </c>
      <c r="BO93" s="223">
        <f t="shared" si="264"/>
        <v>0</v>
      </c>
      <c r="BP93" s="223">
        <f t="shared" si="264"/>
        <v>0</v>
      </c>
      <c r="BQ93" s="223">
        <f t="shared" si="264"/>
        <v>0</v>
      </c>
      <c r="BR93" s="223"/>
      <c r="BS93" s="223">
        <f t="shared" si="265"/>
        <v>0</v>
      </c>
      <c r="BT93" s="223">
        <f t="shared" si="266"/>
        <v>0</v>
      </c>
      <c r="BU93" s="223">
        <f t="shared" si="266"/>
        <v>0</v>
      </c>
      <c r="BV93" s="223">
        <f t="shared" si="266"/>
        <v>0</v>
      </c>
      <c r="BW93" s="223">
        <f t="shared" si="266"/>
        <v>0</v>
      </c>
      <c r="BX93" s="223">
        <f t="shared" si="266"/>
        <v>0</v>
      </c>
      <c r="BY93" s="223">
        <f t="shared" si="266"/>
        <v>0</v>
      </c>
      <c r="BZ93" s="223">
        <f t="shared" si="266"/>
        <v>0</v>
      </c>
      <c r="CA93" s="223">
        <f t="shared" si="266"/>
        <v>0</v>
      </c>
      <c r="CB93" s="223">
        <f t="shared" si="266"/>
        <v>0</v>
      </c>
      <c r="CC93" s="223">
        <f t="shared" si="266"/>
        <v>0</v>
      </c>
      <c r="CD93" s="223">
        <f t="shared" si="266"/>
        <v>0</v>
      </c>
      <c r="CE93" s="389"/>
      <c r="CF93" s="223">
        <f t="shared" si="267"/>
        <v>0</v>
      </c>
      <c r="CG93" s="223">
        <f t="shared" si="268"/>
        <v>0</v>
      </c>
      <c r="CH93" s="223">
        <f t="shared" si="269"/>
        <v>0</v>
      </c>
      <c r="CI93" s="223">
        <f t="shared" si="270"/>
        <v>0</v>
      </c>
      <c r="CJ93" s="223">
        <f t="shared" si="271"/>
        <v>0</v>
      </c>
      <c r="CK93" s="223">
        <f t="shared" si="272"/>
        <v>0</v>
      </c>
      <c r="CL93" s="223">
        <f t="shared" si="273"/>
        <v>0</v>
      </c>
      <c r="CM93" s="223">
        <f t="shared" si="274"/>
        <v>0</v>
      </c>
      <c r="CN93" s="223">
        <f t="shared" si="275"/>
        <v>0</v>
      </c>
      <c r="CO93" s="223">
        <f t="shared" si="276"/>
        <v>0</v>
      </c>
      <c r="CP93" s="223">
        <f t="shared" si="277"/>
        <v>0</v>
      </c>
      <c r="CQ93" s="223">
        <f t="shared" si="278"/>
        <v>0</v>
      </c>
      <c r="CR93" s="389"/>
      <c r="CS93" s="223">
        <f t="shared" si="279"/>
        <v>0</v>
      </c>
      <c r="CT93" s="223">
        <f t="shared" si="280"/>
        <v>0</v>
      </c>
      <c r="CU93" s="223">
        <f t="shared" si="281"/>
        <v>0</v>
      </c>
      <c r="CV93" s="223">
        <f t="shared" si="282"/>
        <v>0</v>
      </c>
      <c r="CW93" s="223">
        <f t="shared" si="283"/>
        <v>0</v>
      </c>
      <c r="CX93" s="223">
        <f t="shared" si="284"/>
        <v>0</v>
      </c>
      <c r="CY93" s="223">
        <f t="shared" si="285"/>
        <v>0</v>
      </c>
      <c r="CZ93" s="223">
        <f t="shared" si="286"/>
        <v>0</v>
      </c>
      <c r="DA93" s="223">
        <f t="shared" si="287"/>
        <v>0</v>
      </c>
      <c r="DB93" s="223">
        <f t="shared" si="288"/>
        <v>0</v>
      </c>
      <c r="DC93" s="223">
        <f t="shared" si="289"/>
        <v>0</v>
      </c>
      <c r="DD93" s="223">
        <f t="shared" si="290"/>
        <v>0</v>
      </c>
      <c r="DE93" s="389"/>
      <c r="DF93" s="223">
        <f t="shared" si="291"/>
        <v>0</v>
      </c>
      <c r="DG93" s="223">
        <f t="shared" si="292"/>
        <v>0</v>
      </c>
      <c r="DH93" s="223">
        <f t="shared" si="293"/>
        <v>0</v>
      </c>
      <c r="DI93" s="223">
        <f t="shared" si="294"/>
        <v>0</v>
      </c>
      <c r="DJ93" s="223">
        <f t="shared" si="295"/>
        <v>0</v>
      </c>
      <c r="DK93" s="223">
        <f t="shared" si="296"/>
        <v>0</v>
      </c>
      <c r="DL93" s="223">
        <f t="shared" si="297"/>
        <v>0</v>
      </c>
      <c r="DM93" s="223">
        <f t="shared" si="298"/>
        <v>0</v>
      </c>
      <c r="DN93" s="223">
        <f t="shared" si="299"/>
        <v>0</v>
      </c>
      <c r="DO93" s="223">
        <f t="shared" si="300"/>
        <v>0</v>
      </c>
      <c r="DP93" s="223">
        <f t="shared" si="301"/>
        <v>0</v>
      </c>
      <c r="DQ93" s="223">
        <f t="shared" si="302"/>
        <v>0</v>
      </c>
      <c r="DR93" s="389"/>
      <c r="DS93" s="31">
        <f t="shared" si="303"/>
        <v>0</v>
      </c>
      <c r="DT93" s="390"/>
      <c r="DU93" s="9"/>
      <c r="DV93" s="8"/>
      <c r="DW93" s="7"/>
      <c r="DX93" s="7"/>
      <c r="DY93" s="7"/>
      <c r="DZ93" s="7"/>
      <c r="EA93" s="7"/>
      <c r="EB93" s="7"/>
      <c r="EC93" s="7"/>
    </row>
    <row r="94" spans="1:133">
      <c r="C94" s="57" t="str">
        <f t="shared" si="304"/>
        <v>///</v>
      </c>
      <c r="D94" s="57">
        <f t="shared" si="305"/>
        <v>0</v>
      </c>
      <c r="E94" s="62">
        <f t="shared" si="304"/>
        <v>0</v>
      </c>
      <c r="F94" s="223"/>
      <c r="G94" s="223">
        <f t="shared" si="257"/>
        <v>0</v>
      </c>
      <c r="H94" s="223">
        <f t="shared" si="257"/>
        <v>0</v>
      </c>
      <c r="I94" s="223">
        <f t="shared" si="257"/>
        <v>0</v>
      </c>
      <c r="J94" s="223">
        <f t="shared" si="257"/>
        <v>0</v>
      </c>
      <c r="K94" s="223">
        <f t="shared" si="257"/>
        <v>0</v>
      </c>
      <c r="L94" s="223">
        <f t="shared" si="257"/>
        <v>0</v>
      </c>
      <c r="M94" s="223">
        <f t="shared" si="257"/>
        <v>0</v>
      </c>
      <c r="N94" s="223">
        <f t="shared" si="257"/>
        <v>0</v>
      </c>
      <c r="O94" s="223">
        <f t="shared" si="257"/>
        <v>0</v>
      </c>
      <c r="P94" s="223">
        <f t="shared" si="257"/>
        <v>0</v>
      </c>
      <c r="Q94" s="223">
        <f t="shared" si="257"/>
        <v>0</v>
      </c>
      <c r="R94" s="223"/>
      <c r="S94" s="223">
        <f t="shared" si="306"/>
        <v>0</v>
      </c>
      <c r="T94" s="223">
        <f t="shared" si="258"/>
        <v>0</v>
      </c>
      <c r="U94" s="223">
        <f t="shared" si="258"/>
        <v>0</v>
      </c>
      <c r="V94" s="223">
        <f t="shared" si="258"/>
        <v>0</v>
      </c>
      <c r="W94" s="223">
        <f t="shared" si="258"/>
        <v>0</v>
      </c>
      <c r="X94" s="223">
        <f t="shared" si="258"/>
        <v>0</v>
      </c>
      <c r="Y94" s="223">
        <f t="shared" si="258"/>
        <v>0</v>
      </c>
      <c r="Z94" s="223">
        <f t="shared" si="258"/>
        <v>0</v>
      </c>
      <c r="AA94" s="223">
        <f t="shared" si="258"/>
        <v>0</v>
      </c>
      <c r="AB94" s="223">
        <f t="shared" si="258"/>
        <v>0</v>
      </c>
      <c r="AC94" s="223">
        <f t="shared" si="258"/>
        <v>0</v>
      </c>
      <c r="AD94" s="223">
        <f t="shared" si="258"/>
        <v>0</v>
      </c>
      <c r="AE94" s="223"/>
      <c r="AF94" s="223">
        <f t="shared" si="259"/>
        <v>0</v>
      </c>
      <c r="AG94" s="223">
        <f t="shared" si="260"/>
        <v>0</v>
      </c>
      <c r="AH94" s="223">
        <f t="shared" si="260"/>
        <v>0</v>
      </c>
      <c r="AI94" s="223">
        <f t="shared" si="260"/>
        <v>0</v>
      </c>
      <c r="AJ94" s="223">
        <f t="shared" si="260"/>
        <v>0</v>
      </c>
      <c r="AK94" s="223">
        <f t="shared" si="260"/>
        <v>0</v>
      </c>
      <c r="AL94" s="223">
        <f t="shared" si="260"/>
        <v>0</v>
      </c>
      <c r="AM94" s="223">
        <f t="shared" si="260"/>
        <v>0</v>
      </c>
      <c r="AN94" s="223">
        <f t="shared" si="260"/>
        <v>0</v>
      </c>
      <c r="AO94" s="223">
        <f t="shared" si="260"/>
        <v>0</v>
      </c>
      <c r="AP94" s="223">
        <f t="shared" si="260"/>
        <v>0</v>
      </c>
      <c r="AQ94" s="223">
        <f t="shared" si="260"/>
        <v>0</v>
      </c>
      <c r="AR94" s="223"/>
      <c r="AS94" s="223">
        <f t="shared" si="261"/>
        <v>0</v>
      </c>
      <c r="AT94" s="223">
        <f t="shared" si="262"/>
        <v>0</v>
      </c>
      <c r="AU94" s="223">
        <f t="shared" si="262"/>
        <v>0</v>
      </c>
      <c r="AV94" s="223">
        <f t="shared" si="262"/>
        <v>0</v>
      </c>
      <c r="AW94" s="223">
        <f t="shared" si="262"/>
        <v>0</v>
      </c>
      <c r="AX94" s="223">
        <f t="shared" si="262"/>
        <v>0</v>
      </c>
      <c r="AY94" s="223">
        <f t="shared" si="262"/>
        <v>0</v>
      </c>
      <c r="AZ94" s="223">
        <f t="shared" si="262"/>
        <v>0</v>
      </c>
      <c r="BA94" s="223">
        <f t="shared" si="262"/>
        <v>0</v>
      </c>
      <c r="BB94" s="223">
        <f t="shared" si="262"/>
        <v>0</v>
      </c>
      <c r="BC94" s="223">
        <f t="shared" si="262"/>
        <v>0</v>
      </c>
      <c r="BD94" s="223">
        <f t="shared" si="262"/>
        <v>0</v>
      </c>
      <c r="BE94" s="223"/>
      <c r="BF94" s="223">
        <f t="shared" si="263"/>
        <v>0</v>
      </c>
      <c r="BG94" s="223">
        <f t="shared" si="264"/>
        <v>0</v>
      </c>
      <c r="BH94" s="223">
        <f t="shared" si="264"/>
        <v>0</v>
      </c>
      <c r="BI94" s="223">
        <f t="shared" si="264"/>
        <v>0</v>
      </c>
      <c r="BJ94" s="223">
        <f t="shared" si="264"/>
        <v>0</v>
      </c>
      <c r="BK94" s="223">
        <f t="shared" si="264"/>
        <v>0</v>
      </c>
      <c r="BL94" s="223">
        <f t="shared" si="264"/>
        <v>0</v>
      </c>
      <c r="BM94" s="223">
        <f t="shared" si="264"/>
        <v>0</v>
      </c>
      <c r="BN94" s="223">
        <f t="shared" si="264"/>
        <v>0</v>
      </c>
      <c r="BO94" s="223">
        <f t="shared" si="264"/>
        <v>0</v>
      </c>
      <c r="BP94" s="223">
        <f t="shared" si="264"/>
        <v>0</v>
      </c>
      <c r="BQ94" s="223">
        <f t="shared" si="264"/>
        <v>0</v>
      </c>
      <c r="BR94" s="223"/>
      <c r="BS94" s="223">
        <f t="shared" si="265"/>
        <v>0</v>
      </c>
      <c r="BT94" s="223">
        <f t="shared" si="266"/>
        <v>0</v>
      </c>
      <c r="BU94" s="223">
        <f t="shared" si="266"/>
        <v>0</v>
      </c>
      <c r="BV94" s="223">
        <f t="shared" si="266"/>
        <v>0</v>
      </c>
      <c r="BW94" s="223">
        <f t="shared" si="266"/>
        <v>0</v>
      </c>
      <c r="BX94" s="223">
        <f t="shared" si="266"/>
        <v>0</v>
      </c>
      <c r="BY94" s="223">
        <f t="shared" si="266"/>
        <v>0</v>
      </c>
      <c r="BZ94" s="223">
        <f t="shared" si="266"/>
        <v>0</v>
      </c>
      <c r="CA94" s="223">
        <f t="shared" si="266"/>
        <v>0</v>
      </c>
      <c r="CB94" s="223">
        <f t="shared" si="266"/>
        <v>0</v>
      </c>
      <c r="CC94" s="223">
        <f t="shared" si="266"/>
        <v>0</v>
      </c>
      <c r="CD94" s="223">
        <f t="shared" si="266"/>
        <v>0</v>
      </c>
      <c r="CE94" s="389"/>
      <c r="CF94" s="223">
        <f t="shared" si="267"/>
        <v>0</v>
      </c>
      <c r="CG94" s="223">
        <f t="shared" si="268"/>
        <v>0</v>
      </c>
      <c r="CH94" s="223">
        <f t="shared" si="269"/>
        <v>0</v>
      </c>
      <c r="CI94" s="223">
        <f t="shared" si="270"/>
        <v>0</v>
      </c>
      <c r="CJ94" s="223">
        <f t="shared" si="271"/>
        <v>0</v>
      </c>
      <c r="CK94" s="223">
        <f t="shared" si="272"/>
        <v>0</v>
      </c>
      <c r="CL94" s="223">
        <f t="shared" si="273"/>
        <v>0</v>
      </c>
      <c r="CM94" s="223">
        <f t="shared" si="274"/>
        <v>0</v>
      </c>
      <c r="CN94" s="223">
        <f t="shared" si="275"/>
        <v>0</v>
      </c>
      <c r="CO94" s="223">
        <f t="shared" si="276"/>
        <v>0</v>
      </c>
      <c r="CP94" s="223">
        <f t="shared" si="277"/>
        <v>0</v>
      </c>
      <c r="CQ94" s="223">
        <f t="shared" si="278"/>
        <v>0</v>
      </c>
      <c r="CR94" s="389"/>
      <c r="CS94" s="223">
        <f t="shared" si="279"/>
        <v>0</v>
      </c>
      <c r="CT94" s="223">
        <f t="shared" si="280"/>
        <v>0</v>
      </c>
      <c r="CU94" s="223">
        <f t="shared" si="281"/>
        <v>0</v>
      </c>
      <c r="CV94" s="223">
        <f t="shared" si="282"/>
        <v>0</v>
      </c>
      <c r="CW94" s="223">
        <f t="shared" si="283"/>
        <v>0</v>
      </c>
      <c r="CX94" s="223">
        <f t="shared" si="284"/>
        <v>0</v>
      </c>
      <c r="CY94" s="223">
        <f t="shared" si="285"/>
        <v>0</v>
      </c>
      <c r="CZ94" s="223">
        <f t="shared" si="286"/>
        <v>0</v>
      </c>
      <c r="DA94" s="223">
        <f t="shared" si="287"/>
        <v>0</v>
      </c>
      <c r="DB94" s="223">
        <f t="shared" si="288"/>
        <v>0</v>
      </c>
      <c r="DC94" s="223">
        <f t="shared" si="289"/>
        <v>0</v>
      </c>
      <c r="DD94" s="223">
        <f t="shared" si="290"/>
        <v>0</v>
      </c>
      <c r="DE94" s="389"/>
      <c r="DF94" s="223">
        <f t="shared" si="291"/>
        <v>0</v>
      </c>
      <c r="DG94" s="223">
        <f t="shared" si="292"/>
        <v>0</v>
      </c>
      <c r="DH94" s="223">
        <f t="shared" si="293"/>
        <v>0</v>
      </c>
      <c r="DI94" s="223">
        <f t="shared" si="294"/>
        <v>0</v>
      </c>
      <c r="DJ94" s="223">
        <f t="shared" si="295"/>
        <v>0</v>
      </c>
      <c r="DK94" s="223">
        <f t="shared" si="296"/>
        <v>0</v>
      </c>
      <c r="DL94" s="223">
        <f t="shared" si="297"/>
        <v>0</v>
      </c>
      <c r="DM94" s="223">
        <f t="shared" si="298"/>
        <v>0</v>
      </c>
      <c r="DN94" s="223">
        <f t="shared" si="299"/>
        <v>0</v>
      </c>
      <c r="DO94" s="223">
        <f t="shared" si="300"/>
        <v>0</v>
      </c>
      <c r="DP94" s="223">
        <f t="shared" si="301"/>
        <v>0</v>
      </c>
      <c r="DQ94" s="223">
        <f t="shared" si="302"/>
        <v>0</v>
      </c>
      <c r="DR94" s="389"/>
      <c r="DS94" s="31">
        <f t="shared" si="303"/>
        <v>0</v>
      </c>
      <c r="DT94" s="390"/>
      <c r="DU94" s="9"/>
      <c r="DV94" s="8"/>
      <c r="DW94" s="7"/>
      <c r="DX94" s="7"/>
      <c r="DY94" s="7"/>
      <c r="DZ94" s="7"/>
      <c r="EA94" s="7"/>
      <c r="EB94" s="7"/>
      <c r="EC94" s="7"/>
    </row>
    <row r="95" spans="1:133">
      <c r="C95" s="57" t="str">
        <f t="shared" si="304"/>
        <v>///</v>
      </c>
      <c r="D95" s="57">
        <f t="shared" si="305"/>
        <v>0</v>
      </c>
      <c r="E95" s="62">
        <f t="shared" si="304"/>
        <v>0</v>
      </c>
      <c r="F95" s="223"/>
      <c r="G95" s="223">
        <f t="shared" si="257"/>
        <v>0</v>
      </c>
      <c r="H95" s="223">
        <f t="shared" si="257"/>
        <v>0</v>
      </c>
      <c r="I95" s="223">
        <f t="shared" si="257"/>
        <v>0</v>
      </c>
      <c r="J95" s="223">
        <f t="shared" si="257"/>
        <v>0</v>
      </c>
      <c r="K95" s="223">
        <f t="shared" si="257"/>
        <v>0</v>
      </c>
      <c r="L95" s="223">
        <f t="shared" si="257"/>
        <v>0</v>
      </c>
      <c r="M95" s="223">
        <f t="shared" si="257"/>
        <v>0</v>
      </c>
      <c r="N95" s="223">
        <f t="shared" si="257"/>
        <v>0</v>
      </c>
      <c r="O95" s="223">
        <f t="shared" si="257"/>
        <v>0</v>
      </c>
      <c r="P95" s="223">
        <f t="shared" si="257"/>
        <v>0</v>
      </c>
      <c r="Q95" s="223">
        <f t="shared" si="257"/>
        <v>0</v>
      </c>
      <c r="R95" s="223"/>
      <c r="S95" s="223">
        <f t="shared" si="306"/>
        <v>0</v>
      </c>
      <c r="T95" s="223">
        <f t="shared" si="258"/>
        <v>0</v>
      </c>
      <c r="U95" s="223">
        <f t="shared" si="258"/>
        <v>0</v>
      </c>
      <c r="V95" s="223">
        <f t="shared" si="258"/>
        <v>0</v>
      </c>
      <c r="W95" s="223">
        <f t="shared" si="258"/>
        <v>0</v>
      </c>
      <c r="X95" s="223">
        <f t="shared" si="258"/>
        <v>0</v>
      </c>
      <c r="Y95" s="223">
        <f t="shared" si="258"/>
        <v>0</v>
      </c>
      <c r="Z95" s="223">
        <f t="shared" si="258"/>
        <v>0</v>
      </c>
      <c r="AA95" s="223">
        <f t="shared" si="258"/>
        <v>0</v>
      </c>
      <c r="AB95" s="223">
        <f t="shared" si="258"/>
        <v>0</v>
      </c>
      <c r="AC95" s="223">
        <f t="shared" si="258"/>
        <v>0</v>
      </c>
      <c r="AD95" s="223">
        <f t="shared" si="258"/>
        <v>0</v>
      </c>
      <c r="AE95" s="223"/>
      <c r="AF95" s="223">
        <f t="shared" si="259"/>
        <v>0</v>
      </c>
      <c r="AG95" s="223">
        <f t="shared" si="260"/>
        <v>0</v>
      </c>
      <c r="AH95" s="223">
        <f t="shared" si="260"/>
        <v>0</v>
      </c>
      <c r="AI95" s="223">
        <f t="shared" si="260"/>
        <v>0</v>
      </c>
      <c r="AJ95" s="223">
        <f t="shared" si="260"/>
        <v>0</v>
      </c>
      <c r="AK95" s="223">
        <f t="shared" si="260"/>
        <v>0</v>
      </c>
      <c r="AL95" s="223">
        <f t="shared" si="260"/>
        <v>0</v>
      </c>
      <c r="AM95" s="223">
        <f t="shared" si="260"/>
        <v>0</v>
      </c>
      <c r="AN95" s="223">
        <f t="shared" si="260"/>
        <v>0</v>
      </c>
      <c r="AO95" s="223">
        <f t="shared" si="260"/>
        <v>0</v>
      </c>
      <c r="AP95" s="223">
        <f t="shared" si="260"/>
        <v>0</v>
      </c>
      <c r="AQ95" s="223">
        <f t="shared" si="260"/>
        <v>0</v>
      </c>
      <c r="AR95" s="223"/>
      <c r="AS95" s="223">
        <f t="shared" si="261"/>
        <v>0</v>
      </c>
      <c r="AT95" s="223">
        <f t="shared" si="262"/>
        <v>0</v>
      </c>
      <c r="AU95" s="223">
        <f t="shared" si="262"/>
        <v>0</v>
      </c>
      <c r="AV95" s="223">
        <f t="shared" si="262"/>
        <v>0</v>
      </c>
      <c r="AW95" s="223">
        <f t="shared" si="262"/>
        <v>0</v>
      </c>
      <c r="AX95" s="223">
        <f t="shared" si="262"/>
        <v>0</v>
      </c>
      <c r="AY95" s="223">
        <f t="shared" si="262"/>
        <v>0</v>
      </c>
      <c r="AZ95" s="223">
        <f t="shared" si="262"/>
        <v>0</v>
      </c>
      <c r="BA95" s="223">
        <f t="shared" si="262"/>
        <v>0</v>
      </c>
      <c r="BB95" s="223">
        <f t="shared" si="262"/>
        <v>0</v>
      </c>
      <c r="BC95" s="223">
        <f t="shared" si="262"/>
        <v>0</v>
      </c>
      <c r="BD95" s="223">
        <f t="shared" si="262"/>
        <v>0</v>
      </c>
      <c r="BE95" s="223"/>
      <c r="BF95" s="223">
        <f t="shared" si="263"/>
        <v>0</v>
      </c>
      <c r="BG95" s="223">
        <f t="shared" si="264"/>
        <v>0</v>
      </c>
      <c r="BH95" s="223">
        <f t="shared" si="264"/>
        <v>0</v>
      </c>
      <c r="BI95" s="223">
        <f t="shared" si="264"/>
        <v>0</v>
      </c>
      <c r="BJ95" s="223">
        <f t="shared" si="264"/>
        <v>0</v>
      </c>
      <c r="BK95" s="223">
        <f t="shared" si="264"/>
        <v>0</v>
      </c>
      <c r="BL95" s="223">
        <f t="shared" si="264"/>
        <v>0</v>
      </c>
      <c r="BM95" s="223">
        <f t="shared" si="264"/>
        <v>0</v>
      </c>
      <c r="BN95" s="223">
        <f t="shared" si="264"/>
        <v>0</v>
      </c>
      <c r="BO95" s="223">
        <f t="shared" si="264"/>
        <v>0</v>
      </c>
      <c r="BP95" s="223">
        <f t="shared" si="264"/>
        <v>0</v>
      </c>
      <c r="BQ95" s="223">
        <f t="shared" si="264"/>
        <v>0</v>
      </c>
      <c r="BR95" s="223"/>
      <c r="BS95" s="223">
        <f t="shared" si="265"/>
        <v>0</v>
      </c>
      <c r="BT95" s="223">
        <f t="shared" si="266"/>
        <v>0</v>
      </c>
      <c r="BU95" s="223">
        <f t="shared" si="266"/>
        <v>0</v>
      </c>
      <c r="BV95" s="223">
        <f t="shared" si="266"/>
        <v>0</v>
      </c>
      <c r="BW95" s="223">
        <f t="shared" si="266"/>
        <v>0</v>
      </c>
      <c r="BX95" s="223">
        <f t="shared" si="266"/>
        <v>0</v>
      </c>
      <c r="BY95" s="223">
        <f t="shared" si="266"/>
        <v>0</v>
      </c>
      <c r="BZ95" s="223">
        <f t="shared" si="266"/>
        <v>0</v>
      </c>
      <c r="CA95" s="223">
        <f t="shared" si="266"/>
        <v>0</v>
      </c>
      <c r="CB95" s="223">
        <f t="shared" si="266"/>
        <v>0</v>
      </c>
      <c r="CC95" s="223">
        <f t="shared" si="266"/>
        <v>0</v>
      </c>
      <c r="CD95" s="223">
        <f t="shared" si="266"/>
        <v>0</v>
      </c>
      <c r="CE95" s="389"/>
      <c r="CF95" s="223">
        <f t="shared" si="267"/>
        <v>0</v>
      </c>
      <c r="CG95" s="223">
        <f t="shared" si="268"/>
        <v>0</v>
      </c>
      <c r="CH95" s="223">
        <f t="shared" si="269"/>
        <v>0</v>
      </c>
      <c r="CI95" s="223">
        <f t="shared" si="270"/>
        <v>0</v>
      </c>
      <c r="CJ95" s="223">
        <f t="shared" si="271"/>
        <v>0</v>
      </c>
      <c r="CK95" s="223">
        <f t="shared" si="272"/>
        <v>0</v>
      </c>
      <c r="CL95" s="223">
        <f t="shared" si="273"/>
        <v>0</v>
      </c>
      <c r="CM95" s="223">
        <f t="shared" si="274"/>
        <v>0</v>
      </c>
      <c r="CN95" s="223">
        <f t="shared" si="275"/>
        <v>0</v>
      </c>
      <c r="CO95" s="223">
        <f t="shared" si="276"/>
        <v>0</v>
      </c>
      <c r="CP95" s="223">
        <f t="shared" si="277"/>
        <v>0</v>
      </c>
      <c r="CQ95" s="223">
        <f t="shared" si="278"/>
        <v>0</v>
      </c>
      <c r="CR95" s="389"/>
      <c r="CS95" s="223">
        <f t="shared" si="279"/>
        <v>0</v>
      </c>
      <c r="CT95" s="223">
        <f t="shared" si="280"/>
        <v>0</v>
      </c>
      <c r="CU95" s="223">
        <f t="shared" si="281"/>
        <v>0</v>
      </c>
      <c r="CV95" s="223">
        <f t="shared" si="282"/>
        <v>0</v>
      </c>
      <c r="CW95" s="223">
        <f t="shared" si="283"/>
        <v>0</v>
      </c>
      <c r="CX95" s="223">
        <f t="shared" si="284"/>
        <v>0</v>
      </c>
      <c r="CY95" s="223">
        <f t="shared" si="285"/>
        <v>0</v>
      </c>
      <c r="CZ95" s="223">
        <f t="shared" si="286"/>
        <v>0</v>
      </c>
      <c r="DA95" s="223">
        <f t="shared" si="287"/>
        <v>0</v>
      </c>
      <c r="DB95" s="223">
        <f t="shared" si="288"/>
        <v>0</v>
      </c>
      <c r="DC95" s="223">
        <f t="shared" si="289"/>
        <v>0</v>
      </c>
      <c r="DD95" s="223">
        <f t="shared" si="290"/>
        <v>0</v>
      </c>
      <c r="DE95" s="389"/>
      <c r="DF95" s="223">
        <f t="shared" si="291"/>
        <v>0</v>
      </c>
      <c r="DG95" s="223">
        <f t="shared" si="292"/>
        <v>0</v>
      </c>
      <c r="DH95" s="223">
        <f t="shared" si="293"/>
        <v>0</v>
      </c>
      <c r="DI95" s="223">
        <f t="shared" si="294"/>
        <v>0</v>
      </c>
      <c r="DJ95" s="223">
        <f t="shared" si="295"/>
        <v>0</v>
      </c>
      <c r="DK95" s="223">
        <f t="shared" si="296"/>
        <v>0</v>
      </c>
      <c r="DL95" s="223">
        <f t="shared" si="297"/>
        <v>0</v>
      </c>
      <c r="DM95" s="223">
        <f t="shared" si="298"/>
        <v>0</v>
      </c>
      <c r="DN95" s="223">
        <f t="shared" si="299"/>
        <v>0</v>
      </c>
      <c r="DO95" s="223">
        <f t="shared" si="300"/>
        <v>0</v>
      </c>
      <c r="DP95" s="223">
        <f t="shared" si="301"/>
        <v>0</v>
      </c>
      <c r="DQ95" s="223">
        <f t="shared" si="302"/>
        <v>0</v>
      </c>
      <c r="DR95" s="389"/>
      <c r="DS95" s="31">
        <f t="shared" si="303"/>
        <v>0</v>
      </c>
      <c r="DT95" s="390"/>
      <c r="DU95" s="9"/>
      <c r="DV95" s="8"/>
      <c r="DW95" s="7"/>
      <c r="DX95" s="7"/>
      <c r="DY95" s="7"/>
      <c r="DZ95" s="7"/>
      <c r="EA95" s="7"/>
      <c r="EB95" s="7"/>
      <c r="EC95" s="7"/>
    </row>
    <row r="96" spans="1:133">
      <c r="C96" s="57" t="str">
        <f t="shared" si="304"/>
        <v>///</v>
      </c>
      <c r="D96" s="57">
        <f t="shared" si="305"/>
        <v>0</v>
      </c>
      <c r="E96" s="62">
        <f t="shared" si="304"/>
        <v>0</v>
      </c>
      <c r="F96" s="223"/>
      <c r="G96" s="223">
        <f t="shared" si="257"/>
        <v>0</v>
      </c>
      <c r="H96" s="223">
        <f t="shared" si="257"/>
        <v>0</v>
      </c>
      <c r="I96" s="223">
        <f t="shared" si="257"/>
        <v>0</v>
      </c>
      <c r="J96" s="223">
        <f t="shared" si="257"/>
        <v>0</v>
      </c>
      <c r="K96" s="223">
        <f t="shared" si="257"/>
        <v>0</v>
      </c>
      <c r="L96" s="223">
        <f t="shared" si="257"/>
        <v>0</v>
      </c>
      <c r="M96" s="223">
        <f t="shared" si="257"/>
        <v>0</v>
      </c>
      <c r="N96" s="223">
        <f t="shared" si="257"/>
        <v>0</v>
      </c>
      <c r="O96" s="223">
        <f t="shared" si="257"/>
        <v>0</v>
      </c>
      <c r="P96" s="223">
        <f t="shared" si="257"/>
        <v>0</v>
      </c>
      <c r="Q96" s="223">
        <f t="shared" si="257"/>
        <v>0</v>
      </c>
      <c r="R96" s="223"/>
      <c r="S96" s="223">
        <f t="shared" si="306"/>
        <v>0</v>
      </c>
      <c r="T96" s="223">
        <f t="shared" si="258"/>
        <v>0</v>
      </c>
      <c r="U96" s="223">
        <f t="shared" si="258"/>
        <v>0</v>
      </c>
      <c r="V96" s="223">
        <f t="shared" si="258"/>
        <v>0</v>
      </c>
      <c r="W96" s="223">
        <f t="shared" si="258"/>
        <v>0</v>
      </c>
      <c r="X96" s="223">
        <f t="shared" si="258"/>
        <v>0</v>
      </c>
      <c r="Y96" s="223">
        <f t="shared" si="258"/>
        <v>0</v>
      </c>
      <c r="Z96" s="223">
        <f t="shared" si="258"/>
        <v>0</v>
      </c>
      <c r="AA96" s="223">
        <f t="shared" si="258"/>
        <v>0</v>
      </c>
      <c r="AB96" s="223">
        <f t="shared" si="258"/>
        <v>0</v>
      </c>
      <c r="AC96" s="223">
        <f t="shared" si="258"/>
        <v>0</v>
      </c>
      <c r="AD96" s="223">
        <f t="shared" si="258"/>
        <v>0</v>
      </c>
      <c r="AE96" s="223"/>
      <c r="AF96" s="223">
        <f t="shared" si="259"/>
        <v>0</v>
      </c>
      <c r="AG96" s="223">
        <f t="shared" si="260"/>
        <v>0</v>
      </c>
      <c r="AH96" s="223">
        <f t="shared" si="260"/>
        <v>0</v>
      </c>
      <c r="AI96" s="223">
        <f t="shared" si="260"/>
        <v>0</v>
      </c>
      <c r="AJ96" s="223">
        <f t="shared" si="260"/>
        <v>0</v>
      </c>
      <c r="AK96" s="223">
        <f t="shared" si="260"/>
        <v>0</v>
      </c>
      <c r="AL96" s="223">
        <f t="shared" si="260"/>
        <v>0</v>
      </c>
      <c r="AM96" s="223">
        <f t="shared" si="260"/>
        <v>0</v>
      </c>
      <c r="AN96" s="223">
        <f t="shared" si="260"/>
        <v>0</v>
      </c>
      <c r="AO96" s="223">
        <f t="shared" si="260"/>
        <v>0</v>
      </c>
      <c r="AP96" s="223">
        <f t="shared" si="260"/>
        <v>0</v>
      </c>
      <c r="AQ96" s="223">
        <f t="shared" si="260"/>
        <v>0</v>
      </c>
      <c r="AR96" s="223"/>
      <c r="AS96" s="223">
        <f t="shared" si="261"/>
        <v>0</v>
      </c>
      <c r="AT96" s="223">
        <f t="shared" si="262"/>
        <v>0</v>
      </c>
      <c r="AU96" s="223">
        <f t="shared" si="262"/>
        <v>0</v>
      </c>
      <c r="AV96" s="223">
        <f t="shared" si="262"/>
        <v>0</v>
      </c>
      <c r="AW96" s="223">
        <f t="shared" si="262"/>
        <v>0</v>
      </c>
      <c r="AX96" s="223">
        <f t="shared" si="262"/>
        <v>0</v>
      </c>
      <c r="AY96" s="223">
        <f t="shared" si="262"/>
        <v>0</v>
      </c>
      <c r="AZ96" s="223">
        <f t="shared" si="262"/>
        <v>0</v>
      </c>
      <c r="BA96" s="223">
        <f t="shared" si="262"/>
        <v>0</v>
      </c>
      <c r="BB96" s="223">
        <f t="shared" si="262"/>
        <v>0</v>
      </c>
      <c r="BC96" s="223">
        <f t="shared" si="262"/>
        <v>0</v>
      </c>
      <c r="BD96" s="223">
        <f t="shared" si="262"/>
        <v>0</v>
      </c>
      <c r="BE96" s="223"/>
      <c r="BF96" s="223">
        <f t="shared" si="263"/>
        <v>0</v>
      </c>
      <c r="BG96" s="223">
        <f t="shared" si="264"/>
        <v>0</v>
      </c>
      <c r="BH96" s="223">
        <f t="shared" si="264"/>
        <v>0</v>
      </c>
      <c r="BI96" s="223">
        <f t="shared" si="264"/>
        <v>0</v>
      </c>
      <c r="BJ96" s="223">
        <f t="shared" si="264"/>
        <v>0</v>
      </c>
      <c r="BK96" s="223">
        <f t="shared" si="264"/>
        <v>0</v>
      </c>
      <c r="BL96" s="223">
        <f t="shared" si="264"/>
        <v>0</v>
      </c>
      <c r="BM96" s="223">
        <f t="shared" si="264"/>
        <v>0</v>
      </c>
      <c r="BN96" s="223">
        <f t="shared" si="264"/>
        <v>0</v>
      </c>
      <c r="BO96" s="223">
        <f t="shared" si="264"/>
        <v>0</v>
      </c>
      <c r="BP96" s="223">
        <f t="shared" si="264"/>
        <v>0</v>
      </c>
      <c r="BQ96" s="223">
        <f t="shared" si="264"/>
        <v>0</v>
      </c>
      <c r="BR96" s="223"/>
      <c r="BS96" s="223">
        <f t="shared" si="265"/>
        <v>0</v>
      </c>
      <c r="BT96" s="223">
        <f t="shared" si="266"/>
        <v>0</v>
      </c>
      <c r="BU96" s="223">
        <f t="shared" si="266"/>
        <v>0</v>
      </c>
      <c r="BV96" s="223">
        <f t="shared" si="266"/>
        <v>0</v>
      </c>
      <c r="BW96" s="223">
        <f t="shared" si="266"/>
        <v>0</v>
      </c>
      <c r="BX96" s="223">
        <f t="shared" si="266"/>
        <v>0</v>
      </c>
      <c r="BY96" s="223">
        <f t="shared" si="266"/>
        <v>0</v>
      </c>
      <c r="BZ96" s="223">
        <f t="shared" si="266"/>
        <v>0</v>
      </c>
      <c r="CA96" s="223">
        <f t="shared" si="266"/>
        <v>0</v>
      </c>
      <c r="CB96" s="223">
        <f t="shared" si="266"/>
        <v>0</v>
      </c>
      <c r="CC96" s="223">
        <f t="shared" si="266"/>
        <v>0</v>
      </c>
      <c r="CD96" s="223">
        <f t="shared" si="266"/>
        <v>0</v>
      </c>
      <c r="CE96" s="389"/>
      <c r="CF96" s="223">
        <f t="shared" si="267"/>
        <v>0</v>
      </c>
      <c r="CG96" s="223">
        <f t="shared" si="268"/>
        <v>0</v>
      </c>
      <c r="CH96" s="223">
        <f t="shared" si="269"/>
        <v>0</v>
      </c>
      <c r="CI96" s="223">
        <f t="shared" si="270"/>
        <v>0</v>
      </c>
      <c r="CJ96" s="223">
        <f t="shared" si="271"/>
        <v>0</v>
      </c>
      <c r="CK96" s="223">
        <f t="shared" si="272"/>
        <v>0</v>
      </c>
      <c r="CL96" s="223">
        <f t="shared" si="273"/>
        <v>0</v>
      </c>
      <c r="CM96" s="223">
        <f t="shared" si="274"/>
        <v>0</v>
      </c>
      <c r="CN96" s="223">
        <f t="shared" si="275"/>
        <v>0</v>
      </c>
      <c r="CO96" s="223">
        <f t="shared" si="276"/>
        <v>0</v>
      </c>
      <c r="CP96" s="223">
        <f t="shared" si="277"/>
        <v>0</v>
      </c>
      <c r="CQ96" s="223">
        <f t="shared" si="278"/>
        <v>0</v>
      </c>
      <c r="CR96" s="389"/>
      <c r="CS96" s="223">
        <f t="shared" si="279"/>
        <v>0</v>
      </c>
      <c r="CT96" s="223">
        <f t="shared" si="280"/>
        <v>0</v>
      </c>
      <c r="CU96" s="223">
        <f t="shared" si="281"/>
        <v>0</v>
      </c>
      <c r="CV96" s="223">
        <f t="shared" si="282"/>
        <v>0</v>
      </c>
      <c r="CW96" s="223">
        <f t="shared" si="283"/>
        <v>0</v>
      </c>
      <c r="CX96" s="223">
        <f t="shared" si="284"/>
        <v>0</v>
      </c>
      <c r="CY96" s="223">
        <f t="shared" si="285"/>
        <v>0</v>
      </c>
      <c r="CZ96" s="223">
        <f t="shared" si="286"/>
        <v>0</v>
      </c>
      <c r="DA96" s="223">
        <f t="shared" si="287"/>
        <v>0</v>
      </c>
      <c r="DB96" s="223">
        <f t="shared" si="288"/>
        <v>0</v>
      </c>
      <c r="DC96" s="223">
        <f t="shared" si="289"/>
        <v>0</v>
      </c>
      <c r="DD96" s="223">
        <f t="shared" si="290"/>
        <v>0</v>
      </c>
      <c r="DE96" s="389"/>
      <c r="DF96" s="223">
        <f t="shared" si="291"/>
        <v>0</v>
      </c>
      <c r="DG96" s="223">
        <f t="shared" si="292"/>
        <v>0</v>
      </c>
      <c r="DH96" s="223">
        <f t="shared" si="293"/>
        <v>0</v>
      </c>
      <c r="DI96" s="223">
        <f t="shared" si="294"/>
        <v>0</v>
      </c>
      <c r="DJ96" s="223">
        <f t="shared" si="295"/>
        <v>0</v>
      </c>
      <c r="DK96" s="223">
        <f t="shared" si="296"/>
        <v>0</v>
      </c>
      <c r="DL96" s="223">
        <f t="shared" si="297"/>
        <v>0</v>
      </c>
      <c r="DM96" s="223">
        <f t="shared" si="298"/>
        <v>0</v>
      </c>
      <c r="DN96" s="223">
        <f t="shared" si="299"/>
        <v>0</v>
      </c>
      <c r="DO96" s="223">
        <f t="shared" si="300"/>
        <v>0</v>
      </c>
      <c r="DP96" s="223">
        <f t="shared" si="301"/>
        <v>0</v>
      </c>
      <c r="DQ96" s="223">
        <f t="shared" si="302"/>
        <v>0</v>
      </c>
      <c r="DR96" s="389"/>
      <c r="DS96" s="31">
        <f t="shared" si="303"/>
        <v>0</v>
      </c>
      <c r="DT96" s="390"/>
      <c r="DU96" s="9"/>
      <c r="DV96" s="8"/>
      <c r="DW96" s="7"/>
      <c r="DX96" s="7"/>
      <c r="DY96" s="7"/>
      <c r="DZ96" s="7"/>
      <c r="EA96" s="7"/>
      <c r="EB96" s="7"/>
      <c r="EC96" s="7"/>
    </row>
    <row r="97" spans="3:133">
      <c r="C97" s="57" t="str">
        <f t="shared" si="304"/>
        <v>///</v>
      </c>
      <c r="D97" s="57">
        <f t="shared" si="305"/>
        <v>0</v>
      </c>
      <c r="E97" s="62">
        <f t="shared" si="304"/>
        <v>0</v>
      </c>
      <c r="F97" s="223"/>
      <c r="G97" s="223">
        <f t="shared" si="257"/>
        <v>0</v>
      </c>
      <c r="H97" s="223">
        <f t="shared" si="257"/>
        <v>0</v>
      </c>
      <c r="I97" s="223">
        <f t="shared" si="257"/>
        <v>0</v>
      </c>
      <c r="J97" s="223">
        <f t="shared" si="257"/>
        <v>0</v>
      </c>
      <c r="K97" s="223">
        <f t="shared" si="257"/>
        <v>0</v>
      </c>
      <c r="L97" s="223">
        <f t="shared" si="257"/>
        <v>0</v>
      </c>
      <c r="M97" s="223">
        <f t="shared" si="257"/>
        <v>0</v>
      </c>
      <c r="N97" s="223">
        <f t="shared" si="257"/>
        <v>0</v>
      </c>
      <c r="O97" s="223">
        <f t="shared" si="257"/>
        <v>0</v>
      </c>
      <c r="P97" s="223">
        <f t="shared" si="257"/>
        <v>0</v>
      </c>
      <c r="Q97" s="223">
        <f t="shared" si="257"/>
        <v>0</v>
      </c>
      <c r="R97" s="223"/>
      <c r="S97" s="223">
        <f t="shared" si="306"/>
        <v>0</v>
      </c>
      <c r="T97" s="223">
        <f t="shared" si="258"/>
        <v>0</v>
      </c>
      <c r="U97" s="223">
        <f t="shared" si="258"/>
        <v>0</v>
      </c>
      <c r="V97" s="223">
        <f t="shared" si="258"/>
        <v>0</v>
      </c>
      <c r="W97" s="223">
        <f t="shared" si="258"/>
        <v>0</v>
      </c>
      <c r="X97" s="223">
        <f t="shared" si="258"/>
        <v>0</v>
      </c>
      <c r="Y97" s="223">
        <f t="shared" si="258"/>
        <v>0</v>
      </c>
      <c r="Z97" s="223">
        <f t="shared" si="258"/>
        <v>0</v>
      </c>
      <c r="AA97" s="223">
        <f t="shared" si="258"/>
        <v>0</v>
      </c>
      <c r="AB97" s="223">
        <f t="shared" si="258"/>
        <v>0</v>
      </c>
      <c r="AC97" s="223">
        <f t="shared" si="258"/>
        <v>0</v>
      </c>
      <c r="AD97" s="223">
        <f t="shared" si="258"/>
        <v>0</v>
      </c>
      <c r="AE97" s="223"/>
      <c r="AF97" s="223">
        <f t="shared" si="259"/>
        <v>0</v>
      </c>
      <c r="AG97" s="223">
        <f t="shared" si="260"/>
        <v>0</v>
      </c>
      <c r="AH97" s="223">
        <f t="shared" si="260"/>
        <v>0</v>
      </c>
      <c r="AI97" s="223">
        <f t="shared" si="260"/>
        <v>0</v>
      </c>
      <c r="AJ97" s="223">
        <f t="shared" si="260"/>
        <v>0</v>
      </c>
      <c r="AK97" s="223">
        <f t="shared" si="260"/>
        <v>0</v>
      </c>
      <c r="AL97" s="223">
        <f t="shared" si="260"/>
        <v>0</v>
      </c>
      <c r="AM97" s="223">
        <f t="shared" si="260"/>
        <v>0</v>
      </c>
      <c r="AN97" s="223">
        <f t="shared" si="260"/>
        <v>0</v>
      </c>
      <c r="AO97" s="223">
        <f t="shared" si="260"/>
        <v>0</v>
      </c>
      <c r="AP97" s="223">
        <f t="shared" si="260"/>
        <v>0</v>
      </c>
      <c r="AQ97" s="223">
        <f t="shared" si="260"/>
        <v>0</v>
      </c>
      <c r="AR97" s="223"/>
      <c r="AS97" s="223">
        <f t="shared" si="261"/>
        <v>0</v>
      </c>
      <c r="AT97" s="223">
        <f t="shared" si="262"/>
        <v>0</v>
      </c>
      <c r="AU97" s="223">
        <f t="shared" si="262"/>
        <v>0</v>
      </c>
      <c r="AV97" s="223">
        <f t="shared" si="262"/>
        <v>0</v>
      </c>
      <c r="AW97" s="223">
        <f t="shared" si="262"/>
        <v>0</v>
      </c>
      <c r="AX97" s="223">
        <f t="shared" si="262"/>
        <v>0</v>
      </c>
      <c r="AY97" s="223">
        <f t="shared" si="262"/>
        <v>0</v>
      </c>
      <c r="AZ97" s="223">
        <f t="shared" si="262"/>
        <v>0</v>
      </c>
      <c r="BA97" s="223">
        <f t="shared" si="262"/>
        <v>0</v>
      </c>
      <c r="BB97" s="223">
        <f t="shared" si="262"/>
        <v>0</v>
      </c>
      <c r="BC97" s="223">
        <f t="shared" si="262"/>
        <v>0</v>
      </c>
      <c r="BD97" s="223">
        <f t="shared" si="262"/>
        <v>0</v>
      </c>
      <c r="BE97" s="223"/>
      <c r="BF97" s="223">
        <f t="shared" si="263"/>
        <v>0</v>
      </c>
      <c r="BG97" s="223">
        <f t="shared" si="264"/>
        <v>0</v>
      </c>
      <c r="BH97" s="223">
        <f t="shared" si="264"/>
        <v>0</v>
      </c>
      <c r="BI97" s="223">
        <f t="shared" si="264"/>
        <v>0</v>
      </c>
      <c r="BJ97" s="223">
        <f t="shared" si="264"/>
        <v>0</v>
      </c>
      <c r="BK97" s="223">
        <f t="shared" si="264"/>
        <v>0</v>
      </c>
      <c r="BL97" s="223">
        <f t="shared" si="264"/>
        <v>0</v>
      </c>
      <c r="BM97" s="223">
        <f t="shared" si="264"/>
        <v>0</v>
      </c>
      <c r="BN97" s="223">
        <f t="shared" si="264"/>
        <v>0</v>
      </c>
      <c r="BO97" s="223">
        <f t="shared" si="264"/>
        <v>0</v>
      </c>
      <c r="BP97" s="223">
        <f t="shared" si="264"/>
        <v>0</v>
      </c>
      <c r="BQ97" s="223">
        <f t="shared" si="264"/>
        <v>0</v>
      </c>
      <c r="BR97" s="223"/>
      <c r="BS97" s="223">
        <f t="shared" si="265"/>
        <v>0</v>
      </c>
      <c r="BT97" s="223">
        <f t="shared" si="266"/>
        <v>0</v>
      </c>
      <c r="BU97" s="223">
        <f t="shared" si="266"/>
        <v>0</v>
      </c>
      <c r="BV97" s="223">
        <f t="shared" si="266"/>
        <v>0</v>
      </c>
      <c r="BW97" s="223">
        <f t="shared" si="266"/>
        <v>0</v>
      </c>
      <c r="BX97" s="223">
        <f t="shared" si="266"/>
        <v>0</v>
      </c>
      <c r="BY97" s="223">
        <f t="shared" si="266"/>
        <v>0</v>
      </c>
      <c r="BZ97" s="223">
        <f t="shared" si="266"/>
        <v>0</v>
      </c>
      <c r="CA97" s="223">
        <f t="shared" si="266"/>
        <v>0</v>
      </c>
      <c r="CB97" s="223">
        <f t="shared" si="266"/>
        <v>0</v>
      </c>
      <c r="CC97" s="223">
        <f t="shared" si="266"/>
        <v>0</v>
      </c>
      <c r="CD97" s="223">
        <f t="shared" si="266"/>
        <v>0</v>
      </c>
      <c r="CE97" s="389"/>
      <c r="CF97" s="223">
        <f t="shared" si="267"/>
        <v>0</v>
      </c>
      <c r="CG97" s="223">
        <f t="shared" si="268"/>
        <v>0</v>
      </c>
      <c r="CH97" s="223">
        <f t="shared" si="269"/>
        <v>0</v>
      </c>
      <c r="CI97" s="223">
        <f t="shared" si="270"/>
        <v>0</v>
      </c>
      <c r="CJ97" s="223">
        <f t="shared" si="271"/>
        <v>0</v>
      </c>
      <c r="CK97" s="223">
        <f t="shared" si="272"/>
        <v>0</v>
      </c>
      <c r="CL97" s="223">
        <f t="shared" si="273"/>
        <v>0</v>
      </c>
      <c r="CM97" s="223">
        <f t="shared" si="274"/>
        <v>0</v>
      </c>
      <c r="CN97" s="223">
        <f t="shared" si="275"/>
        <v>0</v>
      </c>
      <c r="CO97" s="223">
        <f t="shared" si="276"/>
        <v>0</v>
      </c>
      <c r="CP97" s="223">
        <f t="shared" si="277"/>
        <v>0</v>
      </c>
      <c r="CQ97" s="223">
        <f t="shared" si="278"/>
        <v>0</v>
      </c>
      <c r="CR97" s="389"/>
      <c r="CS97" s="223">
        <f t="shared" si="279"/>
        <v>0</v>
      </c>
      <c r="CT97" s="223">
        <f t="shared" si="280"/>
        <v>0</v>
      </c>
      <c r="CU97" s="223">
        <f t="shared" si="281"/>
        <v>0</v>
      </c>
      <c r="CV97" s="223">
        <f t="shared" si="282"/>
        <v>0</v>
      </c>
      <c r="CW97" s="223">
        <f t="shared" si="283"/>
        <v>0</v>
      </c>
      <c r="CX97" s="223">
        <f t="shared" si="284"/>
        <v>0</v>
      </c>
      <c r="CY97" s="223">
        <f t="shared" si="285"/>
        <v>0</v>
      </c>
      <c r="CZ97" s="223">
        <f t="shared" si="286"/>
        <v>0</v>
      </c>
      <c r="DA97" s="223">
        <f t="shared" si="287"/>
        <v>0</v>
      </c>
      <c r="DB97" s="223">
        <f t="shared" si="288"/>
        <v>0</v>
      </c>
      <c r="DC97" s="223">
        <f t="shared" si="289"/>
        <v>0</v>
      </c>
      <c r="DD97" s="223">
        <f t="shared" si="290"/>
        <v>0</v>
      </c>
      <c r="DE97" s="389"/>
      <c r="DF97" s="223">
        <f t="shared" si="291"/>
        <v>0</v>
      </c>
      <c r="DG97" s="223">
        <f t="shared" si="292"/>
        <v>0</v>
      </c>
      <c r="DH97" s="223">
        <f t="shared" si="293"/>
        <v>0</v>
      </c>
      <c r="DI97" s="223">
        <f t="shared" si="294"/>
        <v>0</v>
      </c>
      <c r="DJ97" s="223">
        <f t="shared" si="295"/>
        <v>0</v>
      </c>
      <c r="DK97" s="223">
        <f t="shared" si="296"/>
        <v>0</v>
      </c>
      <c r="DL97" s="223">
        <f t="shared" si="297"/>
        <v>0</v>
      </c>
      <c r="DM97" s="223">
        <f t="shared" si="298"/>
        <v>0</v>
      </c>
      <c r="DN97" s="223">
        <f t="shared" si="299"/>
        <v>0</v>
      </c>
      <c r="DO97" s="223">
        <f t="shared" si="300"/>
        <v>0</v>
      </c>
      <c r="DP97" s="223">
        <f t="shared" si="301"/>
        <v>0</v>
      </c>
      <c r="DQ97" s="223">
        <f t="shared" si="302"/>
        <v>0</v>
      </c>
      <c r="DR97" s="389"/>
      <c r="DS97" s="31">
        <f t="shared" si="303"/>
        <v>0</v>
      </c>
      <c r="DT97" s="390"/>
      <c r="DU97" s="9"/>
      <c r="DV97" s="8"/>
      <c r="DW97" s="7"/>
      <c r="DX97" s="7"/>
      <c r="DY97" s="7"/>
      <c r="DZ97" s="7"/>
      <c r="EA97" s="7"/>
      <c r="EB97" s="7"/>
      <c r="EC97" s="7"/>
    </row>
    <row r="98" spans="3:133">
      <c r="C98" s="57" t="str">
        <f t="shared" si="304"/>
        <v>///</v>
      </c>
      <c r="D98" s="57">
        <f t="shared" si="305"/>
        <v>0</v>
      </c>
      <c r="E98" s="62">
        <f t="shared" si="304"/>
        <v>0</v>
      </c>
      <c r="F98" s="223"/>
      <c r="G98" s="223">
        <f t="shared" si="257"/>
        <v>0</v>
      </c>
      <c r="H98" s="223">
        <f t="shared" si="257"/>
        <v>0</v>
      </c>
      <c r="I98" s="223">
        <f t="shared" si="257"/>
        <v>0</v>
      </c>
      <c r="J98" s="223">
        <f t="shared" si="257"/>
        <v>0</v>
      </c>
      <c r="K98" s="223">
        <f t="shared" si="257"/>
        <v>0</v>
      </c>
      <c r="L98" s="223">
        <f t="shared" si="257"/>
        <v>0</v>
      </c>
      <c r="M98" s="223">
        <f t="shared" si="257"/>
        <v>0</v>
      </c>
      <c r="N98" s="223">
        <f t="shared" si="257"/>
        <v>0</v>
      </c>
      <c r="O98" s="223">
        <f t="shared" si="257"/>
        <v>0</v>
      </c>
      <c r="P98" s="223">
        <f t="shared" si="257"/>
        <v>0</v>
      </c>
      <c r="Q98" s="223">
        <f t="shared" si="257"/>
        <v>0</v>
      </c>
      <c r="R98" s="223"/>
      <c r="S98" s="223">
        <f t="shared" si="306"/>
        <v>0</v>
      </c>
      <c r="T98" s="223">
        <f t="shared" si="258"/>
        <v>0</v>
      </c>
      <c r="U98" s="223">
        <f t="shared" si="258"/>
        <v>0</v>
      </c>
      <c r="V98" s="223">
        <f t="shared" si="258"/>
        <v>0</v>
      </c>
      <c r="W98" s="223">
        <f t="shared" si="258"/>
        <v>0</v>
      </c>
      <c r="X98" s="223">
        <f t="shared" si="258"/>
        <v>0</v>
      </c>
      <c r="Y98" s="223">
        <f t="shared" si="258"/>
        <v>0</v>
      </c>
      <c r="Z98" s="223">
        <f t="shared" si="258"/>
        <v>0</v>
      </c>
      <c r="AA98" s="223">
        <f t="shared" si="258"/>
        <v>0</v>
      </c>
      <c r="AB98" s="223">
        <f t="shared" si="258"/>
        <v>0</v>
      </c>
      <c r="AC98" s="223">
        <f t="shared" si="258"/>
        <v>0</v>
      </c>
      <c r="AD98" s="223">
        <f t="shared" si="258"/>
        <v>0</v>
      </c>
      <c r="AE98" s="223"/>
      <c r="AF98" s="223">
        <f t="shared" si="259"/>
        <v>0</v>
      </c>
      <c r="AG98" s="223">
        <f t="shared" si="260"/>
        <v>0</v>
      </c>
      <c r="AH98" s="223">
        <f t="shared" si="260"/>
        <v>0</v>
      </c>
      <c r="AI98" s="223">
        <f t="shared" si="260"/>
        <v>0</v>
      </c>
      <c r="AJ98" s="223">
        <f t="shared" si="260"/>
        <v>0</v>
      </c>
      <c r="AK98" s="223">
        <f t="shared" si="260"/>
        <v>0</v>
      </c>
      <c r="AL98" s="223">
        <f t="shared" si="260"/>
        <v>0</v>
      </c>
      <c r="AM98" s="223">
        <f t="shared" si="260"/>
        <v>0</v>
      </c>
      <c r="AN98" s="223">
        <f t="shared" si="260"/>
        <v>0</v>
      </c>
      <c r="AO98" s="223">
        <f t="shared" si="260"/>
        <v>0</v>
      </c>
      <c r="AP98" s="223">
        <f t="shared" si="260"/>
        <v>0</v>
      </c>
      <c r="AQ98" s="223">
        <f t="shared" si="260"/>
        <v>0</v>
      </c>
      <c r="AR98" s="223"/>
      <c r="AS98" s="223">
        <f t="shared" si="261"/>
        <v>0</v>
      </c>
      <c r="AT98" s="223">
        <f t="shared" si="262"/>
        <v>0</v>
      </c>
      <c r="AU98" s="223">
        <f t="shared" si="262"/>
        <v>0</v>
      </c>
      <c r="AV98" s="223">
        <f t="shared" si="262"/>
        <v>0</v>
      </c>
      <c r="AW98" s="223">
        <f t="shared" si="262"/>
        <v>0</v>
      </c>
      <c r="AX98" s="223">
        <f t="shared" si="262"/>
        <v>0</v>
      </c>
      <c r="AY98" s="223">
        <f t="shared" si="262"/>
        <v>0</v>
      </c>
      <c r="AZ98" s="223">
        <f t="shared" si="262"/>
        <v>0</v>
      </c>
      <c r="BA98" s="223">
        <f t="shared" si="262"/>
        <v>0</v>
      </c>
      <c r="BB98" s="223">
        <f t="shared" si="262"/>
        <v>0</v>
      </c>
      <c r="BC98" s="223">
        <f t="shared" si="262"/>
        <v>0</v>
      </c>
      <c r="BD98" s="223">
        <f t="shared" si="262"/>
        <v>0</v>
      </c>
      <c r="BE98" s="223"/>
      <c r="BF98" s="223">
        <f t="shared" si="263"/>
        <v>0</v>
      </c>
      <c r="BG98" s="223">
        <f t="shared" si="264"/>
        <v>0</v>
      </c>
      <c r="BH98" s="223">
        <f t="shared" si="264"/>
        <v>0</v>
      </c>
      <c r="BI98" s="223">
        <f t="shared" si="264"/>
        <v>0</v>
      </c>
      <c r="BJ98" s="223">
        <f t="shared" si="264"/>
        <v>0</v>
      </c>
      <c r="BK98" s="223">
        <f t="shared" si="264"/>
        <v>0</v>
      </c>
      <c r="BL98" s="223">
        <f t="shared" si="264"/>
        <v>0</v>
      </c>
      <c r="BM98" s="223">
        <f t="shared" si="264"/>
        <v>0</v>
      </c>
      <c r="BN98" s="223">
        <f t="shared" si="264"/>
        <v>0</v>
      </c>
      <c r="BO98" s="223">
        <f t="shared" si="264"/>
        <v>0</v>
      </c>
      <c r="BP98" s="223">
        <f t="shared" si="264"/>
        <v>0</v>
      </c>
      <c r="BQ98" s="223">
        <f t="shared" si="264"/>
        <v>0</v>
      </c>
      <c r="BR98" s="223"/>
      <c r="BS98" s="223">
        <f t="shared" si="265"/>
        <v>0</v>
      </c>
      <c r="BT98" s="223">
        <f t="shared" si="266"/>
        <v>0</v>
      </c>
      <c r="BU98" s="223">
        <f t="shared" si="266"/>
        <v>0</v>
      </c>
      <c r="BV98" s="223">
        <f t="shared" si="266"/>
        <v>0</v>
      </c>
      <c r="BW98" s="223">
        <f t="shared" si="266"/>
        <v>0</v>
      </c>
      <c r="BX98" s="223">
        <f t="shared" si="266"/>
        <v>0</v>
      </c>
      <c r="BY98" s="223">
        <f t="shared" si="266"/>
        <v>0</v>
      </c>
      <c r="BZ98" s="223">
        <f t="shared" si="266"/>
        <v>0</v>
      </c>
      <c r="CA98" s="223">
        <f t="shared" si="266"/>
        <v>0</v>
      </c>
      <c r="CB98" s="223">
        <f t="shared" si="266"/>
        <v>0</v>
      </c>
      <c r="CC98" s="223">
        <f t="shared" si="266"/>
        <v>0</v>
      </c>
      <c r="CD98" s="223">
        <f t="shared" si="266"/>
        <v>0</v>
      </c>
      <c r="CE98" s="389"/>
      <c r="CF98" s="223">
        <f t="shared" si="267"/>
        <v>0</v>
      </c>
      <c r="CG98" s="223">
        <f t="shared" si="268"/>
        <v>0</v>
      </c>
      <c r="CH98" s="223">
        <f t="shared" si="269"/>
        <v>0</v>
      </c>
      <c r="CI98" s="223">
        <f t="shared" si="270"/>
        <v>0</v>
      </c>
      <c r="CJ98" s="223">
        <f t="shared" si="271"/>
        <v>0</v>
      </c>
      <c r="CK98" s="223">
        <f t="shared" si="272"/>
        <v>0</v>
      </c>
      <c r="CL98" s="223">
        <f t="shared" si="273"/>
        <v>0</v>
      </c>
      <c r="CM98" s="223">
        <f t="shared" si="274"/>
        <v>0</v>
      </c>
      <c r="CN98" s="223">
        <f t="shared" si="275"/>
        <v>0</v>
      </c>
      <c r="CO98" s="223">
        <f t="shared" si="276"/>
        <v>0</v>
      </c>
      <c r="CP98" s="223">
        <f t="shared" si="277"/>
        <v>0</v>
      </c>
      <c r="CQ98" s="223">
        <f t="shared" si="278"/>
        <v>0</v>
      </c>
      <c r="CR98" s="389"/>
      <c r="CS98" s="223">
        <f t="shared" si="279"/>
        <v>0</v>
      </c>
      <c r="CT98" s="223">
        <f t="shared" si="280"/>
        <v>0</v>
      </c>
      <c r="CU98" s="223">
        <f t="shared" si="281"/>
        <v>0</v>
      </c>
      <c r="CV98" s="223">
        <f t="shared" si="282"/>
        <v>0</v>
      </c>
      <c r="CW98" s="223">
        <f t="shared" si="283"/>
        <v>0</v>
      </c>
      <c r="CX98" s="223">
        <f t="shared" si="284"/>
        <v>0</v>
      </c>
      <c r="CY98" s="223">
        <f t="shared" si="285"/>
        <v>0</v>
      </c>
      <c r="CZ98" s="223">
        <f t="shared" si="286"/>
        <v>0</v>
      </c>
      <c r="DA98" s="223">
        <f t="shared" si="287"/>
        <v>0</v>
      </c>
      <c r="DB98" s="223">
        <f t="shared" si="288"/>
        <v>0</v>
      </c>
      <c r="DC98" s="223">
        <f t="shared" si="289"/>
        <v>0</v>
      </c>
      <c r="DD98" s="223">
        <f t="shared" si="290"/>
        <v>0</v>
      </c>
      <c r="DE98" s="389"/>
      <c r="DF98" s="223">
        <f t="shared" si="291"/>
        <v>0</v>
      </c>
      <c r="DG98" s="223">
        <f t="shared" si="292"/>
        <v>0</v>
      </c>
      <c r="DH98" s="223">
        <f t="shared" si="293"/>
        <v>0</v>
      </c>
      <c r="DI98" s="223">
        <f t="shared" si="294"/>
        <v>0</v>
      </c>
      <c r="DJ98" s="223">
        <f t="shared" si="295"/>
        <v>0</v>
      </c>
      <c r="DK98" s="223">
        <f t="shared" si="296"/>
        <v>0</v>
      </c>
      <c r="DL98" s="223">
        <f t="shared" si="297"/>
        <v>0</v>
      </c>
      <c r="DM98" s="223">
        <f t="shared" si="298"/>
        <v>0</v>
      </c>
      <c r="DN98" s="223">
        <f t="shared" si="299"/>
        <v>0</v>
      </c>
      <c r="DO98" s="223">
        <f t="shared" si="300"/>
        <v>0</v>
      </c>
      <c r="DP98" s="223">
        <f t="shared" si="301"/>
        <v>0</v>
      </c>
      <c r="DQ98" s="223">
        <f t="shared" si="302"/>
        <v>0</v>
      </c>
      <c r="DR98" s="389"/>
      <c r="DS98" s="31">
        <f t="shared" si="303"/>
        <v>0</v>
      </c>
      <c r="DT98" s="390"/>
      <c r="DU98" s="9"/>
      <c r="DV98" s="8"/>
      <c r="DW98" s="7"/>
      <c r="DX98" s="7"/>
      <c r="DY98" s="7"/>
      <c r="DZ98" s="7"/>
      <c r="EA98" s="7"/>
      <c r="EB98" s="7"/>
      <c r="EC98" s="7"/>
    </row>
    <row r="99" spans="3:133">
      <c r="C99" s="57" t="str">
        <f t="shared" si="304"/>
        <v>///</v>
      </c>
      <c r="D99" s="57">
        <f t="shared" si="305"/>
        <v>0</v>
      </c>
      <c r="E99" s="62">
        <f t="shared" si="304"/>
        <v>0</v>
      </c>
      <c r="F99" s="223"/>
      <c r="G99" s="223">
        <f t="shared" si="257"/>
        <v>0</v>
      </c>
      <c r="H99" s="223">
        <f t="shared" si="257"/>
        <v>0</v>
      </c>
      <c r="I99" s="223">
        <f t="shared" si="257"/>
        <v>0</v>
      </c>
      <c r="J99" s="223">
        <f t="shared" si="257"/>
        <v>0</v>
      </c>
      <c r="K99" s="223">
        <f t="shared" si="257"/>
        <v>0</v>
      </c>
      <c r="L99" s="223">
        <f t="shared" si="257"/>
        <v>0</v>
      </c>
      <c r="M99" s="223">
        <f t="shared" si="257"/>
        <v>0</v>
      </c>
      <c r="N99" s="223">
        <f t="shared" si="257"/>
        <v>0</v>
      </c>
      <c r="O99" s="223">
        <f t="shared" si="257"/>
        <v>0</v>
      </c>
      <c r="P99" s="223">
        <f t="shared" si="257"/>
        <v>0</v>
      </c>
      <c r="Q99" s="223">
        <f t="shared" si="257"/>
        <v>0</v>
      </c>
      <c r="R99" s="223"/>
      <c r="S99" s="223">
        <f t="shared" si="306"/>
        <v>0</v>
      </c>
      <c r="T99" s="223">
        <f t="shared" si="258"/>
        <v>0</v>
      </c>
      <c r="U99" s="223">
        <f t="shared" si="258"/>
        <v>0</v>
      </c>
      <c r="V99" s="223">
        <f t="shared" si="258"/>
        <v>0</v>
      </c>
      <c r="W99" s="223">
        <f t="shared" si="258"/>
        <v>0</v>
      </c>
      <c r="X99" s="223">
        <f t="shared" si="258"/>
        <v>0</v>
      </c>
      <c r="Y99" s="223">
        <f t="shared" si="258"/>
        <v>0</v>
      </c>
      <c r="Z99" s="223">
        <f t="shared" si="258"/>
        <v>0</v>
      </c>
      <c r="AA99" s="223">
        <f t="shared" si="258"/>
        <v>0</v>
      </c>
      <c r="AB99" s="223">
        <f t="shared" si="258"/>
        <v>0</v>
      </c>
      <c r="AC99" s="223">
        <f t="shared" si="258"/>
        <v>0</v>
      </c>
      <c r="AD99" s="223">
        <f t="shared" si="258"/>
        <v>0</v>
      </c>
      <c r="AE99" s="223"/>
      <c r="AF99" s="223">
        <f t="shared" si="259"/>
        <v>0</v>
      </c>
      <c r="AG99" s="223">
        <f t="shared" si="260"/>
        <v>0</v>
      </c>
      <c r="AH99" s="223">
        <f t="shared" si="260"/>
        <v>0</v>
      </c>
      <c r="AI99" s="223">
        <f t="shared" si="260"/>
        <v>0</v>
      </c>
      <c r="AJ99" s="223">
        <f t="shared" si="260"/>
        <v>0</v>
      </c>
      <c r="AK99" s="223">
        <f t="shared" si="260"/>
        <v>0</v>
      </c>
      <c r="AL99" s="223">
        <f t="shared" si="260"/>
        <v>0</v>
      </c>
      <c r="AM99" s="223">
        <f t="shared" si="260"/>
        <v>0</v>
      </c>
      <c r="AN99" s="223">
        <f t="shared" si="260"/>
        <v>0</v>
      </c>
      <c r="AO99" s="223">
        <f t="shared" si="260"/>
        <v>0</v>
      </c>
      <c r="AP99" s="223">
        <f t="shared" si="260"/>
        <v>0</v>
      </c>
      <c r="AQ99" s="223">
        <f t="shared" si="260"/>
        <v>0</v>
      </c>
      <c r="AR99" s="223"/>
      <c r="AS99" s="223">
        <f t="shared" si="261"/>
        <v>0</v>
      </c>
      <c r="AT99" s="223">
        <f t="shared" si="262"/>
        <v>0</v>
      </c>
      <c r="AU99" s="223">
        <f t="shared" si="262"/>
        <v>0</v>
      </c>
      <c r="AV99" s="223">
        <f t="shared" si="262"/>
        <v>0</v>
      </c>
      <c r="AW99" s="223">
        <f t="shared" si="262"/>
        <v>0</v>
      </c>
      <c r="AX99" s="223">
        <f t="shared" si="262"/>
        <v>0</v>
      </c>
      <c r="AY99" s="223">
        <f t="shared" si="262"/>
        <v>0</v>
      </c>
      <c r="AZ99" s="223">
        <f t="shared" si="262"/>
        <v>0</v>
      </c>
      <c r="BA99" s="223">
        <f t="shared" si="262"/>
        <v>0</v>
      </c>
      <c r="BB99" s="223">
        <f t="shared" si="262"/>
        <v>0</v>
      </c>
      <c r="BC99" s="223">
        <f t="shared" si="262"/>
        <v>0</v>
      </c>
      <c r="BD99" s="223">
        <f t="shared" si="262"/>
        <v>0</v>
      </c>
      <c r="BE99" s="223"/>
      <c r="BF99" s="223">
        <f t="shared" si="263"/>
        <v>0</v>
      </c>
      <c r="BG99" s="223">
        <f t="shared" si="264"/>
        <v>0</v>
      </c>
      <c r="BH99" s="223">
        <f t="shared" si="264"/>
        <v>0</v>
      </c>
      <c r="BI99" s="223">
        <f t="shared" si="264"/>
        <v>0</v>
      </c>
      <c r="BJ99" s="223">
        <f t="shared" si="264"/>
        <v>0</v>
      </c>
      <c r="BK99" s="223">
        <f t="shared" si="264"/>
        <v>0</v>
      </c>
      <c r="BL99" s="223">
        <f t="shared" si="264"/>
        <v>0</v>
      </c>
      <c r="BM99" s="223">
        <f t="shared" si="264"/>
        <v>0</v>
      </c>
      <c r="BN99" s="223">
        <f t="shared" si="264"/>
        <v>0</v>
      </c>
      <c r="BO99" s="223">
        <f t="shared" si="264"/>
        <v>0</v>
      </c>
      <c r="BP99" s="223">
        <f t="shared" si="264"/>
        <v>0</v>
      </c>
      <c r="BQ99" s="223">
        <f t="shared" si="264"/>
        <v>0</v>
      </c>
      <c r="BR99" s="223"/>
      <c r="BS99" s="223">
        <f t="shared" si="265"/>
        <v>0</v>
      </c>
      <c r="BT99" s="223">
        <f t="shared" si="266"/>
        <v>0</v>
      </c>
      <c r="BU99" s="223">
        <f t="shared" si="266"/>
        <v>0</v>
      </c>
      <c r="BV99" s="223">
        <f t="shared" si="266"/>
        <v>0</v>
      </c>
      <c r="BW99" s="223">
        <f t="shared" si="266"/>
        <v>0</v>
      </c>
      <c r="BX99" s="223">
        <f t="shared" si="266"/>
        <v>0</v>
      </c>
      <c r="BY99" s="223">
        <f t="shared" si="266"/>
        <v>0</v>
      </c>
      <c r="BZ99" s="223">
        <f t="shared" si="266"/>
        <v>0</v>
      </c>
      <c r="CA99" s="223">
        <f t="shared" si="266"/>
        <v>0</v>
      </c>
      <c r="CB99" s="223">
        <f t="shared" si="266"/>
        <v>0</v>
      </c>
      <c r="CC99" s="223">
        <f t="shared" si="266"/>
        <v>0</v>
      </c>
      <c r="CD99" s="223">
        <f t="shared" si="266"/>
        <v>0</v>
      </c>
      <c r="CE99" s="389"/>
      <c r="CF99" s="223">
        <f t="shared" si="267"/>
        <v>0</v>
      </c>
      <c r="CG99" s="223">
        <f t="shared" si="268"/>
        <v>0</v>
      </c>
      <c r="CH99" s="223">
        <f t="shared" si="269"/>
        <v>0</v>
      </c>
      <c r="CI99" s="223">
        <f t="shared" si="270"/>
        <v>0</v>
      </c>
      <c r="CJ99" s="223">
        <f t="shared" si="271"/>
        <v>0</v>
      </c>
      <c r="CK99" s="223">
        <f t="shared" si="272"/>
        <v>0</v>
      </c>
      <c r="CL99" s="223">
        <f t="shared" si="273"/>
        <v>0</v>
      </c>
      <c r="CM99" s="223">
        <f t="shared" si="274"/>
        <v>0</v>
      </c>
      <c r="CN99" s="223">
        <f t="shared" si="275"/>
        <v>0</v>
      </c>
      <c r="CO99" s="223">
        <f t="shared" si="276"/>
        <v>0</v>
      </c>
      <c r="CP99" s="223">
        <f t="shared" si="277"/>
        <v>0</v>
      </c>
      <c r="CQ99" s="223">
        <f t="shared" si="278"/>
        <v>0</v>
      </c>
      <c r="CR99" s="389"/>
      <c r="CS99" s="223">
        <f t="shared" si="279"/>
        <v>0</v>
      </c>
      <c r="CT99" s="223">
        <f t="shared" si="280"/>
        <v>0</v>
      </c>
      <c r="CU99" s="223">
        <f t="shared" si="281"/>
        <v>0</v>
      </c>
      <c r="CV99" s="223">
        <f t="shared" si="282"/>
        <v>0</v>
      </c>
      <c r="CW99" s="223">
        <f t="shared" si="283"/>
        <v>0</v>
      </c>
      <c r="CX99" s="223">
        <f t="shared" si="284"/>
        <v>0</v>
      </c>
      <c r="CY99" s="223">
        <f t="shared" si="285"/>
        <v>0</v>
      </c>
      <c r="CZ99" s="223">
        <f t="shared" si="286"/>
        <v>0</v>
      </c>
      <c r="DA99" s="223">
        <f t="shared" si="287"/>
        <v>0</v>
      </c>
      <c r="DB99" s="223">
        <f t="shared" si="288"/>
        <v>0</v>
      </c>
      <c r="DC99" s="223">
        <f t="shared" si="289"/>
        <v>0</v>
      </c>
      <c r="DD99" s="223">
        <f t="shared" si="290"/>
        <v>0</v>
      </c>
      <c r="DE99" s="389"/>
      <c r="DF99" s="223">
        <f t="shared" si="291"/>
        <v>0</v>
      </c>
      <c r="DG99" s="223">
        <f t="shared" si="292"/>
        <v>0</v>
      </c>
      <c r="DH99" s="223">
        <f t="shared" si="293"/>
        <v>0</v>
      </c>
      <c r="DI99" s="223">
        <f t="shared" si="294"/>
        <v>0</v>
      </c>
      <c r="DJ99" s="223">
        <f t="shared" si="295"/>
        <v>0</v>
      </c>
      <c r="DK99" s="223">
        <f t="shared" si="296"/>
        <v>0</v>
      </c>
      <c r="DL99" s="223">
        <f t="shared" si="297"/>
        <v>0</v>
      </c>
      <c r="DM99" s="223">
        <f t="shared" si="298"/>
        <v>0</v>
      </c>
      <c r="DN99" s="223">
        <f t="shared" si="299"/>
        <v>0</v>
      </c>
      <c r="DO99" s="223">
        <f t="shared" si="300"/>
        <v>0</v>
      </c>
      <c r="DP99" s="223">
        <f t="shared" si="301"/>
        <v>0</v>
      </c>
      <c r="DQ99" s="223">
        <f t="shared" si="302"/>
        <v>0</v>
      </c>
      <c r="DR99" s="389"/>
      <c r="DS99" s="31">
        <f t="shared" si="303"/>
        <v>0</v>
      </c>
      <c r="DT99" s="390"/>
      <c r="DU99" s="9"/>
      <c r="DV99" s="8"/>
      <c r="DW99" s="7"/>
      <c r="DX99" s="7"/>
      <c r="DY99" s="7"/>
      <c r="DZ99" s="7"/>
      <c r="EA99" s="7"/>
      <c r="EB99" s="7"/>
      <c r="EC99" s="7"/>
    </row>
    <row r="100" spans="3:133">
      <c r="C100" s="57" t="str">
        <f t="shared" si="304"/>
        <v>///</v>
      </c>
      <c r="D100" s="57">
        <f t="shared" si="305"/>
        <v>0</v>
      </c>
      <c r="E100" s="62">
        <f t="shared" si="304"/>
        <v>0</v>
      </c>
      <c r="F100" s="223"/>
      <c r="G100" s="223">
        <f t="shared" si="257"/>
        <v>0</v>
      </c>
      <c r="H100" s="223">
        <f t="shared" si="257"/>
        <v>0</v>
      </c>
      <c r="I100" s="223">
        <f t="shared" si="257"/>
        <v>0</v>
      </c>
      <c r="J100" s="223">
        <f t="shared" si="257"/>
        <v>0</v>
      </c>
      <c r="K100" s="223">
        <f t="shared" si="257"/>
        <v>0</v>
      </c>
      <c r="L100" s="223">
        <f t="shared" si="257"/>
        <v>0</v>
      </c>
      <c r="M100" s="223">
        <f t="shared" si="257"/>
        <v>0</v>
      </c>
      <c r="N100" s="223">
        <f t="shared" si="257"/>
        <v>0</v>
      </c>
      <c r="O100" s="223">
        <f t="shared" si="257"/>
        <v>0</v>
      </c>
      <c r="P100" s="223">
        <f t="shared" si="257"/>
        <v>0</v>
      </c>
      <c r="Q100" s="223">
        <f t="shared" si="257"/>
        <v>0</v>
      </c>
      <c r="R100" s="223"/>
      <c r="S100" s="223">
        <f t="shared" si="306"/>
        <v>0</v>
      </c>
      <c r="T100" s="223">
        <f t="shared" si="258"/>
        <v>0</v>
      </c>
      <c r="U100" s="223">
        <f t="shared" si="258"/>
        <v>0</v>
      </c>
      <c r="V100" s="223">
        <f t="shared" si="258"/>
        <v>0</v>
      </c>
      <c r="W100" s="223">
        <f t="shared" si="258"/>
        <v>0</v>
      </c>
      <c r="X100" s="223">
        <f t="shared" si="258"/>
        <v>0</v>
      </c>
      <c r="Y100" s="223">
        <f t="shared" si="258"/>
        <v>0</v>
      </c>
      <c r="Z100" s="223">
        <f t="shared" si="258"/>
        <v>0</v>
      </c>
      <c r="AA100" s="223">
        <f t="shared" si="258"/>
        <v>0</v>
      </c>
      <c r="AB100" s="223">
        <f t="shared" si="258"/>
        <v>0</v>
      </c>
      <c r="AC100" s="223">
        <f t="shared" si="258"/>
        <v>0</v>
      </c>
      <c r="AD100" s="223">
        <f t="shared" si="258"/>
        <v>0</v>
      </c>
      <c r="AE100" s="223"/>
      <c r="AF100" s="223">
        <f t="shared" si="259"/>
        <v>0</v>
      </c>
      <c r="AG100" s="223">
        <f t="shared" si="260"/>
        <v>0</v>
      </c>
      <c r="AH100" s="223">
        <f t="shared" si="260"/>
        <v>0</v>
      </c>
      <c r="AI100" s="223">
        <f t="shared" si="260"/>
        <v>0</v>
      </c>
      <c r="AJ100" s="223">
        <f t="shared" si="260"/>
        <v>0</v>
      </c>
      <c r="AK100" s="223">
        <f t="shared" si="260"/>
        <v>0</v>
      </c>
      <c r="AL100" s="223">
        <f t="shared" si="260"/>
        <v>0</v>
      </c>
      <c r="AM100" s="223">
        <f t="shared" si="260"/>
        <v>0</v>
      </c>
      <c r="AN100" s="223">
        <f t="shared" si="260"/>
        <v>0</v>
      </c>
      <c r="AO100" s="223">
        <f t="shared" si="260"/>
        <v>0</v>
      </c>
      <c r="AP100" s="223">
        <f t="shared" si="260"/>
        <v>0</v>
      </c>
      <c r="AQ100" s="223">
        <f t="shared" si="260"/>
        <v>0</v>
      </c>
      <c r="AR100" s="223"/>
      <c r="AS100" s="223">
        <f t="shared" si="261"/>
        <v>0</v>
      </c>
      <c r="AT100" s="223">
        <f t="shared" si="262"/>
        <v>0</v>
      </c>
      <c r="AU100" s="223">
        <f t="shared" si="262"/>
        <v>0</v>
      </c>
      <c r="AV100" s="223">
        <f t="shared" si="262"/>
        <v>0</v>
      </c>
      <c r="AW100" s="223">
        <f t="shared" si="262"/>
        <v>0</v>
      </c>
      <c r="AX100" s="223">
        <f t="shared" si="262"/>
        <v>0</v>
      </c>
      <c r="AY100" s="223">
        <f t="shared" si="262"/>
        <v>0</v>
      </c>
      <c r="AZ100" s="223">
        <f t="shared" si="262"/>
        <v>0</v>
      </c>
      <c r="BA100" s="223">
        <f t="shared" si="262"/>
        <v>0</v>
      </c>
      <c r="BB100" s="223">
        <f t="shared" si="262"/>
        <v>0</v>
      </c>
      <c r="BC100" s="223">
        <f t="shared" si="262"/>
        <v>0</v>
      </c>
      <c r="BD100" s="223">
        <f t="shared" si="262"/>
        <v>0</v>
      </c>
      <c r="BE100" s="223"/>
      <c r="BF100" s="223">
        <f t="shared" si="263"/>
        <v>0</v>
      </c>
      <c r="BG100" s="223">
        <f t="shared" si="264"/>
        <v>0</v>
      </c>
      <c r="BH100" s="223">
        <f t="shared" si="264"/>
        <v>0</v>
      </c>
      <c r="BI100" s="223">
        <f t="shared" si="264"/>
        <v>0</v>
      </c>
      <c r="BJ100" s="223">
        <f t="shared" si="264"/>
        <v>0</v>
      </c>
      <c r="BK100" s="223">
        <f t="shared" si="264"/>
        <v>0</v>
      </c>
      <c r="BL100" s="223">
        <f t="shared" si="264"/>
        <v>0</v>
      </c>
      <c r="BM100" s="223">
        <f t="shared" si="264"/>
        <v>0</v>
      </c>
      <c r="BN100" s="223">
        <f t="shared" si="264"/>
        <v>0</v>
      </c>
      <c r="BO100" s="223">
        <f t="shared" si="264"/>
        <v>0</v>
      </c>
      <c r="BP100" s="223">
        <f t="shared" si="264"/>
        <v>0</v>
      </c>
      <c r="BQ100" s="223">
        <f t="shared" si="264"/>
        <v>0</v>
      </c>
      <c r="BR100" s="223"/>
      <c r="BS100" s="223">
        <f t="shared" si="265"/>
        <v>0</v>
      </c>
      <c r="BT100" s="223">
        <f t="shared" si="266"/>
        <v>0</v>
      </c>
      <c r="BU100" s="223">
        <f t="shared" si="266"/>
        <v>0</v>
      </c>
      <c r="BV100" s="223">
        <f t="shared" si="266"/>
        <v>0</v>
      </c>
      <c r="BW100" s="223">
        <f t="shared" si="266"/>
        <v>0</v>
      </c>
      <c r="BX100" s="223">
        <f t="shared" si="266"/>
        <v>0</v>
      </c>
      <c r="BY100" s="223">
        <f t="shared" si="266"/>
        <v>0</v>
      </c>
      <c r="BZ100" s="223">
        <f t="shared" si="266"/>
        <v>0</v>
      </c>
      <c r="CA100" s="223">
        <f t="shared" si="266"/>
        <v>0</v>
      </c>
      <c r="CB100" s="223">
        <f t="shared" si="266"/>
        <v>0</v>
      </c>
      <c r="CC100" s="223">
        <f t="shared" si="266"/>
        <v>0</v>
      </c>
      <c r="CD100" s="223">
        <f t="shared" si="266"/>
        <v>0</v>
      </c>
      <c r="CE100" s="389"/>
      <c r="CF100" s="223">
        <f t="shared" si="267"/>
        <v>0</v>
      </c>
      <c r="CG100" s="223">
        <f t="shared" si="268"/>
        <v>0</v>
      </c>
      <c r="CH100" s="223">
        <f t="shared" si="269"/>
        <v>0</v>
      </c>
      <c r="CI100" s="223">
        <f t="shared" si="270"/>
        <v>0</v>
      </c>
      <c r="CJ100" s="223">
        <f t="shared" si="271"/>
        <v>0</v>
      </c>
      <c r="CK100" s="223">
        <f t="shared" si="272"/>
        <v>0</v>
      </c>
      <c r="CL100" s="223">
        <f t="shared" si="273"/>
        <v>0</v>
      </c>
      <c r="CM100" s="223">
        <f t="shared" si="274"/>
        <v>0</v>
      </c>
      <c r="CN100" s="223">
        <f t="shared" si="275"/>
        <v>0</v>
      </c>
      <c r="CO100" s="223">
        <f t="shared" si="276"/>
        <v>0</v>
      </c>
      <c r="CP100" s="223">
        <f t="shared" si="277"/>
        <v>0</v>
      </c>
      <c r="CQ100" s="223">
        <f t="shared" si="278"/>
        <v>0</v>
      </c>
      <c r="CR100" s="389"/>
      <c r="CS100" s="223">
        <f t="shared" si="279"/>
        <v>0</v>
      </c>
      <c r="CT100" s="223">
        <f t="shared" si="280"/>
        <v>0</v>
      </c>
      <c r="CU100" s="223">
        <f t="shared" si="281"/>
        <v>0</v>
      </c>
      <c r="CV100" s="223">
        <f t="shared" si="282"/>
        <v>0</v>
      </c>
      <c r="CW100" s="223">
        <f t="shared" si="283"/>
        <v>0</v>
      </c>
      <c r="CX100" s="223">
        <f t="shared" si="284"/>
        <v>0</v>
      </c>
      <c r="CY100" s="223">
        <f t="shared" si="285"/>
        <v>0</v>
      </c>
      <c r="CZ100" s="223">
        <f t="shared" si="286"/>
        <v>0</v>
      </c>
      <c r="DA100" s="223">
        <f t="shared" si="287"/>
        <v>0</v>
      </c>
      <c r="DB100" s="223">
        <f t="shared" si="288"/>
        <v>0</v>
      </c>
      <c r="DC100" s="223">
        <f t="shared" si="289"/>
        <v>0</v>
      </c>
      <c r="DD100" s="223">
        <f t="shared" si="290"/>
        <v>0</v>
      </c>
      <c r="DE100" s="389"/>
      <c r="DF100" s="223">
        <f t="shared" si="291"/>
        <v>0</v>
      </c>
      <c r="DG100" s="223">
        <f t="shared" si="292"/>
        <v>0</v>
      </c>
      <c r="DH100" s="223">
        <f t="shared" si="293"/>
        <v>0</v>
      </c>
      <c r="DI100" s="223">
        <f t="shared" si="294"/>
        <v>0</v>
      </c>
      <c r="DJ100" s="223">
        <f t="shared" si="295"/>
        <v>0</v>
      </c>
      <c r="DK100" s="223">
        <f t="shared" si="296"/>
        <v>0</v>
      </c>
      <c r="DL100" s="223">
        <f t="shared" si="297"/>
        <v>0</v>
      </c>
      <c r="DM100" s="223">
        <f t="shared" si="298"/>
        <v>0</v>
      </c>
      <c r="DN100" s="223">
        <f t="shared" si="299"/>
        <v>0</v>
      </c>
      <c r="DO100" s="223">
        <f t="shared" si="300"/>
        <v>0</v>
      </c>
      <c r="DP100" s="223">
        <f t="shared" si="301"/>
        <v>0</v>
      </c>
      <c r="DQ100" s="223">
        <f t="shared" si="302"/>
        <v>0</v>
      </c>
      <c r="DR100" s="389"/>
      <c r="DS100" s="31">
        <f t="shared" si="303"/>
        <v>0</v>
      </c>
      <c r="DT100" s="390"/>
      <c r="DU100" s="9"/>
      <c r="DV100" s="8"/>
      <c r="DW100" s="7"/>
      <c r="DX100" s="7"/>
      <c r="DY100" s="7"/>
      <c r="DZ100" s="7"/>
      <c r="EA100" s="7"/>
      <c r="EB100" s="7"/>
      <c r="EC100" s="7"/>
    </row>
    <row r="101" spans="3:133">
      <c r="C101" s="57" t="str">
        <f t="shared" si="304"/>
        <v>///</v>
      </c>
      <c r="D101" s="57">
        <f t="shared" si="305"/>
        <v>0</v>
      </c>
      <c r="E101" s="62">
        <f t="shared" si="304"/>
        <v>0</v>
      </c>
      <c r="F101" s="223"/>
      <c r="G101" s="223">
        <f t="shared" si="257"/>
        <v>0</v>
      </c>
      <c r="H101" s="223">
        <f t="shared" si="257"/>
        <v>0</v>
      </c>
      <c r="I101" s="223">
        <f t="shared" si="257"/>
        <v>0</v>
      </c>
      <c r="J101" s="223">
        <f t="shared" si="257"/>
        <v>0</v>
      </c>
      <c r="K101" s="223">
        <f t="shared" si="257"/>
        <v>0</v>
      </c>
      <c r="L101" s="223">
        <f t="shared" si="257"/>
        <v>0</v>
      </c>
      <c r="M101" s="223">
        <f t="shared" si="257"/>
        <v>0</v>
      </c>
      <c r="N101" s="223">
        <f t="shared" si="257"/>
        <v>0</v>
      </c>
      <c r="O101" s="223">
        <f t="shared" si="257"/>
        <v>0</v>
      </c>
      <c r="P101" s="223">
        <f t="shared" si="257"/>
        <v>0</v>
      </c>
      <c r="Q101" s="223">
        <f t="shared" si="257"/>
        <v>0</v>
      </c>
      <c r="R101" s="223"/>
      <c r="S101" s="223">
        <f t="shared" si="306"/>
        <v>0</v>
      </c>
      <c r="T101" s="223">
        <f t="shared" si="258"/>
        <v>0</v>
      </c>
      <c r="U101" s="223">
        <f t="shared" si="258"/>
        <v>0</v>
      </c>
      <c r="V101" s="223">
        <f t="shared" si="258"/>
        <v>0</v>
      </c>
      <c r="W101" s="223">
        <f t="shared" si="258"/>
        <v>0</v>
      </c>
      <c r="X101" s="223">
        <f t="shared" si="258"/>
        <v>0</v>
      </c>
      <c r="Y101" s="223">
        <f t="shared" si="258"/>
        <v>0</v>
      </c>
      <c r="Z101" s="223">
        <f t="shared" si="258"/>
        <v>0</v>
      </c>
      <c r="AA101" s="223">
        <f t="shared" si="258"/>
        <v>0</v>
      </c>
      <c r="AB101" s="223">
        <f t="shared" si="258"/>
        <v>0</v>
      </c>
      <c r="AC101" s="223">
        <f t="shared" si="258"/>
        <v>0</v>
      </c>
      <c r="AD101" s="223">
        <f t="shared" si="258"/>
        <v>0</v>
      </c>
      <c r="AE101" s="223"/>
      <c r="AF101" s="223">
        <f t="shared" si="259"/>
        <v>0</v>
      </c>
      <c r="AG101" s="223">
        <f t="shared" si="260"/>
        <v>0</v>
      </c>
      <c r="AH101" s="223">
        <f t="shared" si="260"/>
        <v>0</v>
      </c>
      <c r="AI101" s="223">
        <f t="shared" si="260"/>
        <v>0</v>
      </c>
      <c r="AJ101" s="223">
        <f t="shared" si="260"/>
        <v>0</v>
      </c>
      <c r="AK101" s="223">
        <f t="shared" si="260"/>
        <v>0</v>
      </c>
      <c r="AL101" s="223">
        <f t="shared" si="260"/>
        <v>0</v>
      </c>
      <c r="AM101" s="223">
        <f t="shared" si="260"/>
        <v>0</v>
      </c>
      <c r="AN101" s="223">
        <f t="shared" si="260"/>
        <v>0</v>
      </c>
      <c r="AO101" s="223">
        <f t="shared" si="260"/>
        <v>0</v>
      </c>
      <c r="AP101" s="223">
        <f t="shared" si="260"/>
        <v>0</v>
      </c>
      <c r="AQ101" s="223">
        <f t="shared" si="260"/>
        <v>0</v>
      </c>
      <c r="AR101" s="223"/>
      <c r="AS101" s="223">
        <f t="shared" si="261"/>
        <v>0</v>
      </c>
      <c r="AT101" s="223">
        <f t="shared" si="262"/>
        <v>0</v>
      </c>
      <c r="AU101" s="223">
        <f t="shared" si="262"/>
        <v>0</v>
      </c>
      <c r="AV101" s="223">
        <f t="shared" si="262"/>
        <v>0</v>
      </c>
      <c r="AW101" s="223">
        <f t="shared" si="262"/>
        <v>0</v>
      </c>
      <c r="AX101" s="223">
        <f t="shared" si="262"/>
        <v>0</v>
      </c>
      <c r="AY101" s="223">
        <f t="shared" si="262"/>
        <v>0</v>
      </c>
      <c r="AZ101" s="223">
        <f t="shared" si="262"/>
        <v>0</v>
      </c>
      <c r="BA101" s="223">
        <f t="shared" si="262"/>
        <v>0</v>
      </c>
      <c r="BB101" s="223">
        <f t="shared" si="262"/>
        <v>0</v>
      </c>
      <c r="BC101" s="223">
        <f t="shared" si="262"/>
        <v>0</v>
      </c>
      <c r="BD101" s="223">
        <f t="shared" si="262"/>
        <v>0</v>
      </c>
      <c r="BE101" s="223"/>
      <c r="BF101" s="223">
        <f t="shared" si="263"/>
        <v>0</v>
      </c>
      <c r="BG101" s="223">
        <f t="shared" si="264"/>
        <v>0</v>
      </c>
      <c r="BH101" s="223">
        <f t="shared" si="264"/>
        <v>0</v>
      </c>
      <c r="BI101" s="223">
        <f t="shared" si="264"/>
        <v>0</v>
      </c>
      <c r="BJ101" s="223">
        <f t="shared" si="264"/>
        <v>0</v>
      </c>
      <c r="BK101" s="223">
        <f t="shared" si="264"/>
        <v>0</v>
      </c>
      <c r="BL101" s="223">
        <f t="shared" si="264"/>
        <v>0</v>
      </c>
      <c r="BM101" s="223">
        <f t="shared" si="264"/>
        <v>0</v>
      </c>
      <c r="BN101" s="223">
        <f t="shared" si="264"/>
        <v>0</v>
      </c>
      <c r="BO101" s="223">
        <f t="shared" si="264"/>
        <v>0</v>
      </c>
      <c r="BP101" s="223">
        <f t="shared" si="264"/>
        <v>0</v>
      </c>
      <c r="BQ101" s="223">
        <f t="shared" si="264"/>
        <v>0</v>
      </c>
      <c r="BR101" s="223"/>
      <c r="BS101" s="223">
        <f t="shared" si="265"/>
        <v>0</v>
      </c>
      <c r="BT101" s="223">
        <f t="shared" si="266"/>
        <v>0</v>
      </c>
      <c r="BU101" s="223">
        <f t="shared" si="266"/>
        <v>0</v>
      </c>
      <c r="BV101" s="223">
        <f t="shared" si="266"/>
        <v>0</v>
      </c>
      <c r="BW101" s="223">
        <f t="shared" si="266"/>
        <v>0</v>
      </c>
      <c r="BX101" s="223">
        <f t="shared" si="266"/>
        <v>0</v>
      </c>
      <c r="BY101" s="223">
        <f t="shared" si="266"/>
        <v>0</v>
      </c>
      <c r="BZ101" s="223">
        <f t="shared" si="266"/>
        <v>0</v>
      </c>
      <c r="CA101" s="223">
        <f t="shared" si="266"/>
        <v>0</v>
      </c>
      <c r="CB101" s="223">
        <f t="shared" si="266"/>
        <v>0</v>
      </c>
      <c r="CC101" s="223">
        <f t="shared" si="266"/>
        <v>0</v>
      </c>
      <c r="CD101" s="223">
        <f t="shared" si="266"/>
        <v>0</v>
      </c>
      <c r="CE101" s="389"/>
      <c r="CF101" s="223">
        <f t="shared" si="267"/>
        <v>0</v>
      </c>
      <c r="CG101" s="223">
        <f t="shared" si="268"/>
        <v>0</v>
      </c>
      <c r="CH101" s="223">
        <f t="shared" si="269"/>
        <v>0</v>
      </c>
      <c r="CI101" s="223">
        <f t="shared" si="270"/>
        <v>0</v>
      </c>
      <c r="CJ101" s="223">
        <f t="shared" si="271"/>
        <v>0</v>
      </c>
      <c r="CK101" s="223">
        <f t="shared" si="272"/>
        <v>0</v>
      </c>
      <c r="CL101" s="223">
        <f t="shared" si="273"/>
        <v>0</v>
      </c>
      <c r="CM101" s="223">
        <f t="shared" si="274"/>
        <v>0</v>
      </c>
      <c r="CN101" s="223">
        <f t="shared" si="275"/>
        <v>0</v>
      </c>
      <c r="CO101" s="223">
        <f t="shared" si="276"/>
        <v>0</v>
      </c>
      <c r="CP101" s="223">
        <f t="shared" si="277"/>
        <v>0</v>
      </c>
      <c r="CQ101" s="223">
        <f t="shared" si="278"/>
        <v>0</v>
      </c>
      <c r="CR101" s="389"/>
      <c r="CS101" s="223">
        <f t="shared" si="279"/>
        <v>0</v>
      </c>
      <c r="CT101" s="223">
        <f t="shared" si="280"/>
        <v>0</v>
      </c>
      <c r="CU101" s="223">
        <f t="shared" si="281"/>
        <v>0</v>
      </c>
      <c r="CV101" s="223">
        <f t="shared" si="282"/>
        <v>0</v>
      </c>
      <c r="CW101" s="223">
        <f t="shared" si="283"/>
        <v>0</v>
      </c>
      <c r="CX101" s="223">
        <f t="shared" si="284"/>
        <v>0</v>
      </c>
      <c r="CY101" s="223">
        <f t="shared" si="285"/>
        <v>0</v>
      </c>
      <c r="CZ101" s="223">
        <f t="shared" si="286"/>
        <v>0</v>
      </c>
      <c r="DA101" s="223">
        <f t="shared" si="287"/>
        <v>0</v>
      </c>
      <c r="DB101" s="223">
        <f t="shared" si="288"/>
        <v>0</v>
      </c>
      <c r="DC101" s="223">
        <f t="shared" si="289"/>
        <v>0</v>
      </c>
      <c r="DD101" s="223">
        <f t="shared" si="290"/>
        <v>0</v>
      </c>
      <c r="DE101" s="389"/>
      <c r="DF101" s="223">
        <f t="shared" si="291"/>
        <v>0</v>
      </c>
      <c r="DG101" s="223">
        <f t="shared" si="292"/>
        <v>0</v>
      </c>
      <c r="DH101" s="223">
        <f t="shared" si="293"/>
        <v>0</v>
      </c>
      <c r="DI101" s="223">
        <f t="shared" si="294"/>
        <v>0</v>
      </c>
      <c r="DJ101" s="223">
        <f t="shared" si="295"/>
        <v>0</v>
      </c>
      <c r="DK101" s="223">
        <f t="shared" si="296"/>
        <v>0</v>
      </c>
      <c r="DL101" s="223">
        <f t="shared" si="297"/>
        <v>0</v>
      </c>
      <c r="DM101" s="223">
        <f t="shared" si="298"/>
        <v>0</v>
      </c>
      <c r="DN101" s="223">
        <f t="shared" si="299"/>
        <v>0</v>
      </c>
      <c r="DO101" s="223">
        <f t="shared" si="300"/>
        <v>0</v>
      </c>
      <c r="DP101" s="223">
        <f t="shared" si="301"/>
        <v>0</v>
      </c>
      <c r="DQ101" s="223">
        <f t="shared" si="302"/>
        <v>0</v>
      </c>
      <c r="DR101" s="389"/>
      <c r="DS101" s="31">
        <f t="shared" si="303"/>
        <v>0</v>
      </c>
      <c r="DT101" s="390"/>
      <c r="DU101" s="9"/>
      <c r="DV101" s="8"/>
      <c r="DW101" s="7"/>
      <c r="DX101" s="7"/>
      <c r="DY101" s="7"/>
      <c r="DZ101" s="7"/>
      <c r="EA101" s="7"/>
      <c r="EB101" s="7"/>
      <c r="EC101" s="7"/>
    </row>
    <row r="102" spans="3:133">
      <c r="C102" s="57" t="str">
        <f t="shared" si="304"/>
        <v>///</v>
      </c>
      <c r="D102" s="57">
        <f t="shared" si="305"/>
        <v>0</v>
      </c>
      <c r="E102" s="62">
        <f t="shared" si="304"/>
        <v>0</v>
      </c>
      <c r="F102" s="223"/>
      <c r="G102" s="223">
        <f t="shared" si="257"/>
        <v>0</v>
      </c>
      <c r="H102" s="223">
        <f t="shared" si="257"/>
        <v>0</v>
      </c>
      <c r="I102" s="223">
        <f t="shared" si="257"/>
        <v>0</v>
      </c>
      <c r="J102" s="223">
        <f t="shared" si="257"/>
        <v>0</v>
      </c>
      <c r="K102" s="223">
        <f t="shared" si="257"/>
        <v>0</v>
      </c>
      <c r="L102" s="223">
        <f t="shared" si="257"/>
        <v>0</v>
      </c>
      <c r="M102" s="223">
        <f t="shared" si="257"/>
        <v>0</v>
      </c>
      <c r="N102" s="223">
        <f t="shared" si="257"/>
        <v>0</v>
      </c>
      <c r="O102" s="223">
        <f t="shared" si="257"/>
        <v>0</v>
      </c>
      <c r="P102" s="223">
        <f t="shared" si="257"/>
        <v>0</v>
      </c>
      <c r="Q102" s="223">
        <f t="shared" si="257"/>
        <v>0</v>
      </c>
      <c r="R102" s="223"/>
      <c r="S102" s="223">
        <f t="shared" si="306"/>
        <v>0</v>
      </c>
      <c r="T102" s="223">
        <f t="shared" si="258"/>
        <v>0</v>
      </c>
      <c r="U102" s="223">
        <f t="shared" si="258"/>
        <v>0</v>
      </c>
      <c r="V102" s="223">
        <f t="shared" si="258"/>
        <v>0</v>
      </c>
      <c r="W102" s="223">
        <f t="shared" si="258"/>
        <v>0</v>
      </c>
      <c r="X102" s="223">
        <f t="shared" si="258"/>
        <v>0</v>
      </c>
      <c r="Y102" s="223">
        <f t="shared" si="258"/>
        <v>0</v>
      </c>
      <c r="Z102" s="223">
        <f t="shared" si="258"/>
        <v>0</v>
      </c>
      <c r="AA102" s="223">
        <f t="shared" si="258"/>
        <v>0</v>
      </c>
      <c r="AB102" s="223">
        <f t="shared" si="258"/>
        <v>0</v>
      </c>
      <c r="AC102" s="223">
        <f t="shared" si="258"/>
        <v>0</v>
      </c>
      <c r="AD102" s="223">
        <f t="shared" si="258"/>
        <v>0</v>
      </c>
      <c r="AE102" s="223"/>
      <c r="AF102" s="223">
        <f t="shared" si="259"/>
        <v>0</v>
      </c>
      <c r="AG102" s="223">
        <f t="shared" si="260"/>
        <v>0</v>
      </c>
      <c r="AH102" s="223">
        <f t="shared" si="260"/>
        <v>0</v>
      </c>
      <c r="AI102" s="223">
        <f t="shared" si="260"/>
        <v>0</v>
      </c>
      <c r="AJ102" s="223">
        <f t="shared" si="260"/>
        <v>0</v>
      </c>
      <c r="AK102" s="223">
        <f t="shared" si="260"/>
        <v>0</v>
      </c>
      <c r="AL102" s="223">
        <f t="shared" si="260"/>
        <v>0</v>
      </c>
      <c r="AM102" s="223">
        <f t="shared" si="260"/>
        <v>0</v>
      </c>
      <c r="AN102" s="223">
        <f t="shared" si="260"/>
        <v>0</v>
      </c>
      <c r="AO102" s="223">
        <f t="shared" si="260"/>
        <v>0</v>
      </c>
      <c r="AP102" s="223">
        <f t="shared" si="260"/>
        <v>0</v>
      </c>
      <c r="AQ102" s="223">
        <f t="shared" si="260"/>
        <v>0</v>
      </c>
      <c r="AR102" s="223"/>
      <c r="AS102" s="223">
        <f t="shared" si="261"/>
        <v>0</v>
      </c>
      <c r="AT102" s="223">
        <f t="shared" si="262"/>
        <v>0</v>
      </c>
      <c r="AU102" s="223">
        <f t="shared" si="262"/>
        <v>0</v>
      </c>
      <c r="AV102" s="223">
        <f t="shared" si="262"/>
        <v>0</v>
      </c>
      <c r="AW102" s="223">
        <f t="shared" si="262"/>
        <v>0</v>
      </c>
      <c r="AX102" s="223">
        <f t="shared" si="262"/>
        <v>0</v>
      </c>
      <c r="AY102" s="223">
        <f t="shared" si="262"/>
        <v>0</v>
      </c>
      <c r="AZ102" s="223">
        <f t="shared" si="262"/>
        <v>0</v>
      </c>
      <c r="BA102" s="223">
        <f t="shared" si="262"/>
        <v>0</v>
      </c>
      <c r="BB102" s="223">
        <f t="shared" si="262"/>
        <v>0</v>
      </c>
      <c r="BC102" s="223">
        <f t="shared" si="262"/>
        <v>0</v>
      </c>
      <c r="BD102" s="223">
        <f t="shared" si="262"/>
        <v>0</v>
      </c>
      <c r="BE102" s="223"/>
      <c r="BF102" s="223">
        <f t="shared" si="263"/>
        <v>0</v>
      </c>
      <c r="BG102" s="223">
        <f t="shared" si="264"/>
        <v>0</v>
      </c>
      <c r="BH102" s="223">
        <f t="shared" si="264"/>
        <v>0</v>
      </c>
      <c r="BI102" s="223">
        <f t="shared" si="264"/>
        <v>0</v>
      </c>
      <c r="BJ102" s="223">
        <f t="shared" si="264"/>
        <v>0</v>
      </c>
      <c r="BK102" s="223">
        <f t="shared" si="264"/>
        <v>0</v>
      </c>
      <c r="BL102" s="223">
        <f t="shared" si="264"/>
        <v>0</v>
      </c>
      <c r="BM102" s="223">
        <f t="shared" si="264"/>
        <v>0</v>
      </c>
      <c r="BN102" s="223">
        <f t="shared" si="264"/>
        <v>0</v>
      </c>
      <c r="BO102" s="223">
        <f t="shared" si="264"/>
        <v>0</v>
      </c>
      <c r="BP102" s="223">
        <f t="shared" si="264"/>
        <v>0</v>
      </c>
      <c r="BQ102" s="223">
        <f t="shared" si="264"/>
        <v>0</v>
      </c>
      <c r="BR102" s="223"/>
      <c r="BS102" s="223">
        <f t="shared" si="265"/>
        <v>0</v>
      </c>
      <c r="BT102" s="223">
        <f t="shared" si="266"/>
        <v>0</v>
      </c>
      <c r="BU102" s="223">
        <f t="shared" si="266"/>
        <v>0</v>
      </c>
      <c r="BV102" s="223">
        <f t="shared" si="266"/>
        <v>0</v>
      </c>
      <c r="BW102" s="223">
        <f t="shared" si="266"/>
        <v>0</v>
      </c>
      <c r="BX102" s="223">
        <f t="shared" si="266"/>
        <v>0</v>
      </c>
      <c r="BY102" s="223">
        <f t="shared" si="266"/>
        <v>0</v>
      </c>
      <c r="BZ102" s="223">
        <f t="shared" si="266"/>
        <v>0</v>
      </c>
      <c r="CA102" s="223">
        <f t="shared" si="266"/>
        <v>0</v>
      </c>
      <c r="CB102" s="223">
        <f t="shared" si="266"/>
        <v>0</v>
      </c>
      <c r="CC102" s="223">
        <f t="shared" si="266"/>
        <v>0</v>
      </c>
      <c r="CD102" s="223">
        <f t="shared" si="266"/>
        <v>0</v>
      </c>
      <c r="CE102" s="389"/>
      <c r="CF102" s="223">
        <f t="shared" si="267"/>
        <v>0</v>
      </c>
      <c r="CG102" s="223">
        <f t="shared" si="268"/>
        <v>0</v>
      </c>
      <c r="CH102" s="223">
        <f t="shared" si="269"/>
        <v>0</v>
      </c>
      <c r="CI102" s="223">
        <f t="shared" si="270"/>
        <v>0</v>
      </c>
      <c r="CJ102" s="223">
        <f t="shared" si="271"/>
        <v>0</v>
      </c>
      <c r="CK102" s="223">
        <f t="shared" si="272"/>
        <v>0</v>
      </c>
      <c r="CL102" s="223">
        <f t="shared" si="273"/>
        <v>0</v>
      </c>
      <c r="CM102" s="223">
        <f t="shared" si="274"/>
        <v>0</v>
      </c>
      <c r="CN102" s="223">
        <f t="shared" si="275"/>
        <v>0</v>
      </c>
      <c r="CO102" s="223">
        <f t="shared" si="276"/>
        <v>0</v>
      </c>
      <c r="CP102" s="223">
        <f t="shared" si="277"/>
        <v>0</v>
      </c>
      <c r="CQ102" s="223">
        <f t="shared" si="278"/>
        <v>0</v>
      </c>
      <c r="CR102" s="389"/>
      <c r="CS102" s="223">
        <f t="shared" si="279"/>
        <v>0</v>
      </c>
      <c r="CT102" s="223">
        <f t="shared" si="280"/>
        <v>0</v>
      </c>
      <c r="CU102" s="223">
        <f t="shared" si="281"/>
        <v>0</v>
      </c>
      <c r="CV102" s="223">
        <f t="shared" si="282"/>
        <v>0</v>
      </c>
      <c r="CW102" s="223">
        <f t="shared" si="283"/>
        <v>0</v>
      </c>
      <c r="CX102" s="223">
        <f t="shared" si="284"/>
        <v>0</v>
      </c>
      <c r="CY102" s="223">
        <f t="shared" si="285"/>
        <v>0</v>
      </c>
      <c r="CZ102" s="223">
        <f t="shared" si="286"/>
        <v>0</v>
      </c>
      <c r="DA102" s="223">
        <f t="shared" si="287"/>
        <v>0</v>
      </c>
      <c r="DB102" s="223">
        <f t="shared" si="288"/>
        <v>0</v>
      </c>
      <c r="DC102" s="223">
        <f t="shared" si="289"/>
        <v>0</v>
      </c>
      <c r="DD102" s="223">
        <f t="shared" si="290"/>
        <v>0</v>
      </c>
      <c r="DE102" s="389"/>
      <c r="DF102" s="223">
        <f t="shared" si="291"/>
        <v>0</v>
      </c>
      <c r="DG102" s="223">
        <f t="shared" si="292"/>
        <v>0</v>
      </c>
      <c r="DH102" s="223">
        <f t="shared" si="293"/>
        <v>0</v>
      </c>
      <c r="DI102" s="223">
        <f t="shared" si="294"/>
        <v>0</v>
      </c>
      <c r="DJ102" s="223">
        <f t="shared" si="295"/>
        <v>0</v>
      </c>
      <c r="DK102" s="223">
        <f t="shared" si="296"/>
        <v>0</v>
      </c>
      <c r="DL102" s="223">
        <f t="shared" si="297"/>
        <v>0</v>
      </c>
      <c r="DM102" s="223">
        <f t="shared" si="298"/>
        <v>0</v>
      </c>
      <c r="DN102" s="223">
        <f t="shared" si="299"/>
        <v>0</v>
      </c>
      <c r="DO102" s="223">
        <f t="shared" si="300"/>
        <v>0</v>
      </c>
      <c r="DP102" s="223">
        <f t="shared" si="301"/>
        <v>0</v>
      </c>
      <c r="DQ102" s="223">
        <f t="shared" si="302"/>
        <v>0</v>
      </c>
      <c r="DR102" s="389"/>
      <c r="DS102" s="31">
        <f t="shared" si="303"/>
        <v>0</v>
      </c>
      <c r="DT102" s="390"/>
      <c r="DU102" s="9"/>
      <c r="DV102" s="8"/>
      <c r="DW102" s="7"/>
      <c r="DX102" s="7"/>
      <c r="DY102" s="7"/>
      <c r="DZ102" s="7"/>
      <c r="EA102" s="7"/>
      <c r="EB102" s="7"/>
      <c r="EC102" s="7"/>
    </row>
    <row r="103" spans="3:133">
      <c r="C103" s="57" t="str">
        <f t="shared" si="304"/>
        <v>///</v>
      </c>
      <c r="D103" s="57">
        <f t="shared" si="305"/>
        <v>0</v>
      </c>
      <c r="E103" s="62">
        <f t="shared" si="304"/>
        <v>0</v>
      </c>
      <c r="F103" s="223"/>
      <c r="G103" s="223">
        <f t="shared" ref="G103:Q109" si="307">F103</f>
        <v>0</v>
      </c>
      <c r="H103" s="223">
        <f t="shared" si="307"/>
        <v>0</v>
      </c>
      <c r="I103" s="223">
        <f t="shared" si="307"/>
        <v>0</v>
      </c>
      <c r="J103" s="223">
        <f t="shared" si="307"/>
        <v>0</v>
      </c>
      <c r="K103" s="223">
        <f t="shared" si="307"/>
        <v>0</v>
      </c>
      <c r="L103" s="223">
        <f t="shared" si="307"/>
        <v>0</v>
      </c>
      <c r="M103" s="223">
        <f t="shared" si="307"/>
        <v>0</v>
      </c>
      <c r="N103" s="223">
        <f t="shared" si="307"/>
        <v>0</v>
      </c>
      <c r="O103" s="223">
        <f t="shared" si="307"/>
        <v>0</v>
      </c>
      <c r="P103" s="223">
        <f t="shared" si="307"/>
        <v>0</v>
      </c>
      <c r="Q103" s="223">
        <f t="shared" si="307"/>
        <v>0</v>
      </c>
      <c r="R103" s="223"/>
      <c r="S103" s="223">
        <f t="shared" si="306"/>
        <v>0</v>
      </c>
      <c r="T103" s="223">
        <f t="shared" ref="T103:AD109" si="308">S103</f>
        <v>0</v>
      </c>
      <c r="U103" s="223">
        <f t="shared" si="308"/>
        <v>0</v>
      </c>
      <c r="V103" s="223">
        <f t="shared" si="308"/>
        <v>0</v>
      </c>
      <c r="W103" s="223">
        <f t="shared" si="308"/>
        <v>0</v>
      </c>
      <c r="X103" s="223">
        <f t="shared" si="308"/>
        <v>0</v>
      </c>
      <c r="Y103" s="223">
        <f t="shared" si="308"/>
        <v>0</v>
      </c>
      <c r="Z103" s="223">
        <f t="shared" si="308"/>
        <v>0</v>
      </c>
      <c r="AA103" s="223">
        <f t="shared" si="308"/>
        <v>0</v>
      </c>
      <c r="AB103" s="223">
        <f t="shared" si="308"/>
        <v>0</v>
      </c>
      <c r="AC103" s="223">
        <f t="shared" si="308"/>
        <v>0</v>
      </c>
      <c r="AD103" s="223">
        <f t="shared" si="308"/>
        <v>0</v>
      </c>
      <c r="AE103" s="223"/>
      <c r="AF103" s="223">
        <f t="shared" si="259"/>
        <v>0</v>
      </c>
      <c r="AG103" s="223">
        <f t="shared" ref="AG103:AQ108" si="309">AF103</f>
        <v>0</v>
      </c>
      <c r="AH103" s="223">
        <f t="shared" si="309"/>
        <v>0</v>
      </c>
      <c r="AI103" s="223">
        <f t="shared" si="309"/>
        <v>0</v>
      </c>
      <c r="AJ103" s="223">
        <f t="shared" si="309"/>
        <v>0</v>
      </c>
      <c r="AK103" s="223">
        <f t="shared" si="309"/>
        <v>0</v>
      </c>
      <c r="AL103" s="223">
        <f t="shared" si="309"/>
        <v>0</v>
      </c>
      <c r="AM103" s="223">
        <f t="shared" si="309"/>
        <v>0</v>
      </c>
      <c r="AN103" s="223">
        <f t="shared" si="309"/>
        <v>0</v>
      </c>
      <c r="AO103" s="223">
        <f t="shared" si="309"/>
        <v>0</v>
      </c>
      <c r="AP103" s="223">
        <f t="shared" si="309"/>
        <v>0</v>
      </c>
      <c r="AQ103" s="223">
        <f t="shared" si="309"/>
        <v>0</v>
      </c>
      <c r="AR103" s="223"/>
      <c r="AS103" s="223">
        <f t="shared" si="261"/>
        <v>0</v>
      </c>
      <c r="AT103" s="223">
        <f t="shared" ref="AT103:BD108" si="310">AS103</f>
        <v>0</v>
      </c>
      <c r="AU103" s="223">
        <f t="shared" si="310"/>
        <v>0</v>
      </c>
      <c r="AV103" s="223">
        <f t="shared" si="310"/>
        <v>0</v>
      </c>
      <c r="AW103" s="223">
        <f t="shared" si="310"/>
        <v>0</v>
      </c>
      <c r="AX103" s="223">
        <f t="shared" si="310"/>
        <v>0</v>
      </c>
      <c r="AY103" s="223">
        <f t="shared" si="310"/>
        <v>0</v>
      </c>
      <c r="AZ103" s="223">
        <f t="shared" si="310"/>
        <v>0</v>
      </c>
      <c r="BA103" s="223">
        <f t="shared" si="310"/>
        <v>0</v>
      </c>
      <c r="BB103" s="223">
        <f t="shared" si="310"/>
        <v>0</v>
      </c>
      <c r="BC103" s="223">
        <f t="shared" si="310"/>
        <v>0</v>
      </c>
      <c r="BD103" s="223">
        <f t="shared" si="310"/>
        <v>0</v>
      </c>
      <c r="BE103" s="223"/>
      <c r="BF103" s="223">
        <f t="shared" si="263"/>
        <v>0</v>
      </c>
      <c r="BG103" s="223">
        <f t="shared" ref="BG103:BQ108" si="311">BF103</f>
        <v>0</v>
      </c>
      <c r="BH103" s="223">
        <f t="shared" si="311"/>
        <v>0</v>
      </c>
      <c r="BI103" s="223">
        <f t="shared" si="311"/>
        <v>0</v>
      </c>
      <c r="BJ103" s="223">
        <f t="shared" si="311"/>
        <v>0</v>
      </c>
      <c r="BK103" s="223">
        <f t="shared" si="311"/>
        <v>0</v>
      </c>
      <c r="BL103" s="223">
        <f t="shared" si="311"/>
        <v>0</v>
      </c>
      <c r="BM103" s="223">
        <f t="shared" si="311"/>
        <v>0</v>
      </c>
      <c r="BN103" s="223">
        <f t="shared" si="311"/>
        <v>0</v>
      </c>
      <c r="BO103" s="223">
        <f t="shared" si="311"/>
        <v>0</v>
      </c>
      <c r="BP103" s="223">
        <f t="shared" si="311"/>
        <v>0</v>
      </c>
      <c r="BQ103" s="223">
        <f t="shared" si="311"/>
        <v>0</v>
      </c>
      <c r="BR103" s="223"/>
      <c r="BS103" s="223">
        <f t="shared" si="265"/>
        <v>0</v>
      </c>
      <c r="BT103" s="223">
        <f t="shared" ref="BT103:CD108" si="312">BS103</f>
        <v>0</v>
      </c>
      <c r="BU103" s="223">
        <f t="shared" si="312"/>
        <v>0</v>
      </c>
      <c r="BV103" s="223">
        <f t="shared" si="312"/>
        <v>0</v>
      </c>
      <c r="BW103" s="223">
        <f t="shared" si="312"/>
        <v>0</v>
      </c>
      <c r="BX103" s="223">
        <f t="shared" si="312"/>
        <v>0</v>
      </c>
      <c r="BY103" s="223">
        <f t="shared" si="312"/>
        <v>0</v>
      </c>
      <c r="BZ103" s="223">
        <f t="shared" si="312"/>
        <v>0</v>
      </c>
      <c r="CA103" s="223">
        <f t="shared" si="312"/>
        <v>0</v>
      </c>
      <c r="CB103" s="223">
        <f t="shared" si="312"/>
        <v>0</v>
      </c>
      <c r="CC103" s="223">
        <f t="shared" si="312"/>
        <v>0</v>
      </c>
      <c r="CD103" s="223">
        <f t="shared" si="312"/>
        <v>0</v>
      </c>
      <c r="CE103" s="389"/>
      <c r="CF103" s="223">
        <f t="shared" si="267"/>
        <v>0</v>
      </c>
      <c r="CG103" s="223">
        <f t="shared" si="268"/>
        <v>0</v>
      </c>
      <c r="CH103" s="223">
        <f t="shared" si="269"/>
        <v>0</v>
      </c>
      <c r="CI103" s="223">
        <f t="shared" si="270"/>
        <v>0</v>
      </c>
      <c r="CJ103" s="223">
        <f t="shared" si="271"/>
        <v>0</v>
      </c>
      <c r="CK103" s="223">
        <f t="shared" si="272"/>
        <v>0</v>
      </c>
      <c r="CL103" s="223">
        <f t="shared" si="273"/>
        <v>0</v>
      </c>
      <c r="CM103" s="223">
        <f t="shared" si="274"/>
        <v>0</v>
      </c>
      <c r="CN103" s="223">
        <f t="shared" si="275"/>
        <v>0</v>
      </c>
      <c r="CO103" s="223">
        <f t="shared" si="276"/>
        <v>0</v>
      </c>
      <c r="CP103" s="223">
        <f t="shared" si="277"/>
        <v>0</v>
      </c>
      <c r="CQ103" s="223">
        <f t="shared" si="278"/>
        <v>0</v>
      </c>
      <c r="CR103" s="389"/>
      <c r="CS103" s="223">
        <f t="shared" si="279"/>
        <v>0</v>
      </c>
      <c r="CT103" s="223">
        <f t="shared" si="280"/>
        <v>0</v>
      </c>
      <c r="CU103" s="223">
        <f t="shared" si="281"/>
        <v>0</v>
      </c>
      <c r="CV103" s="223">
        <f t="shared" si="282"/>
        <v>0</v>
      </c>
      <c r="CW103" s="223">
        <f t="shared" si="283"/>
        <v>0</v>
      </c>
      <c r="CX103" s="223">
        <f t="shared" si="284"/>
        <v>0</v>
      </c>
      <c r="CY103" s="223">
        <f t="shared" si="285"/>
        <v>0</v>
      </c>
      <c r="CZ103" s="223">
        <f t="shared" si="286"/>
        <v>0</v>
      </c>
      <c r="DA103" s="223">
        <f t="shared" si="287"/>
        <v>0</v>
      </c>
      <c r="DB103" s="223">
        <f t="shared" si="288"/>
        <v>0</v>
      </c>
      <c r="DC103" s="223">
        <f t="shared" si="289"/>
        <v>0</v>
      </c>
      <c r="DD103" s="223">
        <f t="shared" si="290"/>
        <v>0</v>
      </c>
      <c r="DE103" s="389"/>
      <c r="DF103" s="223">
        <f t="shared" si="291"/>
        <v>0</v>
      </c>
      <c r="DG103" s="223">
        <f t="shared" si="292"/>
        <v>0</v>
      </c>
      <c r="DH103" s="223">
        <f t="shared" si="293"/>
        <v>0</v>
      </c>
      <c r="DI103" s="223">
        <f t="shared" si="294"/>
        <v>0</v>
      </c>
      <c r="DJ103" s="223">
        <f t="shared" si="295"/>
        <v>0</v>
      </c>
      <c r="DK103" s="223">
        <f t="shared" si="296"/>
        <v>0</v>
      </c>
      <c r="DL103" s="223">
        <f t="shared" si="297"/>
        <v>0</v>
      </c>
      <c r="DM103" s="223">
        <f t="shared" si="298"/>
        <v>0</v>
      </c>
      <c r="DN103" s="223">
        <f t="shared" si="299"/>
        <v>0</v>
      </c>
      <c r="DO103" s="223">
        <f t="shared" si="300"/>
        <v>0</v>
      </c>
      <c r="DP103" s="223">
        <f t="shared" si="301"/>
        <v>0</v>
      </c>
      <c r="DQ103" s="223">
        <f t="shared" si="302"/>
        <v>0</v>
      </c>
      <c r="DR103" s="389"/>
      <c r="DS103" s="31">
        <f t="shared" si="303"/>
        <v>0</v>
      </c>
      <c r="DT103" s="390"/>
      <c r="DU103" s="9"/>
      <c r="DV103" s="8"/>
      <c r="DW103" s="7"/>
      <c r="DX103" s="7"/>
      <c r="DY103" s="7"/>
      <c r="DZ103" s="7"/>
      <c r="EA103" s="7"/>
      <c r="EB103" s="7"/>
      <c r="EC103" s="7"/>
    </row>
    <row r="104" spans="3:133">
      <c r="C104" s="57" t="str">
        <f t="shared" ref="C104:E107" si="313">C78</f>
        <v>///</v>
      </c>
      <c r="D104" s="57">
        <f t="shared" si="305"/>
        <v>0</v>
      </c>
      <c r="E104" s="62">
        <f t="shared" si="313"/>
        <v>0</v>
      </c>
      <c r="F104" s="223"/>
      <c r="G104" s="223">
        <f t="shared" si="307"/>
        <v>0</v>
      </c>
      <c r="H104" s="223">
        <f t="shared" si="307"/>
        <v>0</v>
      </c>
      <c r="I104" s="223">
        <f t="shared" si="307"/>
        <v>0</v>
      </c>
      <c r="J104" s="223">
        <f t="shared" si="307"/>
        <v>0</v>
      </c>
      <c r="K104" s="223">
        <f t="shared" si="307"/>
        <v>0</v>
      </c>
      <c r="L104" s="223">
        <f t="shared" si="307"/>
        <v>0</v>
      </c>
      <c r="M104" s="223">
        <f t="shared" si="307"/>
        <v>0</v>
      </c>
      <c r="N104" s="223">
        <f t="shared" si="307"/>
        <v>0</v>
      </c>
      <c r="O104" s="223">
        <f t="shared" si="307"/>
        <v>0</v>
      </c>
      <c r="P104" s="223">
        <f t="shared" si="307"/>
        <v>0</v>
      </c>
      <c r="Q104" s="223">
        <f t="shared" si="307"/>
        <v>0</v>
      </c>
      <c r="R104" s="223"/>
      <c r="S104" s="223">
        <f t="shared" si="306"/>
        <v>0</v>
      </c>
      <c r="T104" s="223">
        <f t="shared" si="308"/>
        <v>0</v>
      </c>
      <c r="U104" s="223">
        <f t="shared" si="308"/>
        <v>0</v>
      </c>
      <c r="V104" s="223">
        <f t="shared" si="308"/>
        <v>0</v>
      </c>
      <c r="W104" s="223">
        <f t="shared" si="308"/>
        <v>0</v>
      </c>
      <c r="X104" s="223">
        <f t="shared" si="308"/>
        <v>0</v>
      </c>
      <c r="Y104" s="223">
        <f t="shared" si="308"/>
        <v>0</v>
      </c>
      <c r="Z104" s="223">
        <f t="shared" si="308"/>
        <v>0</v>
      </c>
      <c r="AA104" s="223">
        <f t="shared" si="308"/>
        <v>0</v>
      </c>
      <c r="AB104" s="223">
        <f t="shared" si="308"/>
        <v>0</v>
      </c>
      <c r="AC104" s="223">
        <f t="shared" si="308"/>
        <v>0</v>
      </c>
      <c r="AD104" s="223">
        <f t="shared" si="308"/>
        <v>0</v>
      </c>
      <c r="AE104" s="223"/>
      <c r="AF104" s="223">
        <f t="shared" si="259"/>
        <v>0</v>
      </c>
      <c r="AG104" s="223">
        <f t="shared" si="309"/>
        <v>0</v>
      </c>
      <c r="AH104" s="223">
        <f t="shared" si="309"/>
        <v>0</v>
      </c>
      <c r="AI104" s="223">
        <f t="shared" si="309"/>
        <v>0</v>
      </c>
      <c r="AJ104" s="223">
        <f t="shared" si="309"/>
        <v>0</v>
      </c>
      <c r="AK104" s="223">
        <f t="shared" si="309"/>
        <v>0</v>
      </c>
      <c r="AL104" s="223">
        <f t="shared" si="309"/>
        <v>0</v>
      </c>
      <c r="AM104" s="223">
        <f t="shared" si="309"/>
        <v>0</v>
      </c>
      <c r="AN104" s="223">
        <f t="shared" si="309"/>
        <v>0</v>
      </c>
      <c r="AO104" s="223">
        <f t="shared" si="309"/>
        <v>0</v>
      </c>
      <c r="AP104" s="223">
        <f t="shared" si="309"/>
        <v>0</v>
      </c>
      <c r="AQ104" s="223">
        <f t="shared" si="309"/>
        <v>0</v>
      </c>
      <c r="AR104" s="223"/>
      <c r="AS104" s="223">
        <f t="shared" si="261"/>
        <v>0</v>
      </c>
      <c r="AT104" s="223">
        <f t="shared" si="310"/>
        <v>0</v>
      </c>
      <c r="AU104" s="223">
        <f t="shared" si="310"/>
        <v>0</v>
      </c>
      <c r="AV104" s="223">
        <f t="shared" si="310"/>
        <v>0</v>
      </c>
      <c r="AW104" s="223">
        <f t="shared" si="310"/>
        <v>0</v>
      </c>
      <c r="AX104" s="223">
        <f t="shared" si="310"/>
        <v>0</v>
      </c>
      <c r="AY104" s="223">
        <f t="shared" si="310"/>
        <v>0</v>
      </c>
      <c r="AZ104" s="223">
        <f t="shared" si="310"/>
        <v>0</v>
      </c>
      <c r="BA104" s="223">
        <f t="shared" si="310"/>
        <v>0</v>
      </c>
      <c r="BB104" s="223">
        <f t="shared" si="310"/>
        <v>0</v>
      </c>
      <c r="BC104" s="223">
        <f t="shared" si="310"/>
        <v>0</v>
      </c>
      <c r="BD104" s="223">
        <f t="shared" si="310"/>
        <v>0</v>
      </c>
      <c r="BE104" s="223"/>
      <c r="BF104" s="223">
        <f t="shared" si="263"/>
        <v>0</v>
      </c>
      <c r="BG104" s="223">
        <f t="shared" si="311"/>
        <v>0</v>
      </c>
      <c r="BH104" s="223">
        <f t="shared" si="311"/>
        <v>0</v>
      </c>
      <c r="BI104" s="223">
        <f t="shared" si="311"/>
        <v>0</v>
      </c>
      <c r="BJ104" s="223">
        <f t="shared" si="311"/>
        <v>0</v>
      </c>
      <c r="BK104" s="223">
        <f t="shared" si="311"/>
        <v>0</v>
      </c>
      <c r="BL104" s="223">
        <f t="shared" si="311"/>
        <v>0</v>
      </c>
      <c r="BM104" s="223">
        <f t="shared" si="311"/>
        <v>0</v>
      </c>
      <c r="BN104" s="223">
        <f t="shared" si="311"/>
        <v>0</v>
      </c>
      <c r="BO104" s="223">
        <f t="shared" si="311"/>
        <v>0</v>
      </c>
      <c r="BP104" s="223">
        <f t="shared" si="311"/>
        <v>0</v>
      </c>
      <c r="BQ104" s="223">
        <f t="shared" si="311"/>
        <v>0</v>
      </c>
      <c r="BR104" s="223"/>
      <c r="BS104" s="223">
        <f t="shared" si="265"/>
        <v>0</v>
      </c>
      <c r="BT104" s="223">
        <f t="shared" si="312"/>
        <v>0</v>
      </c>
      <c r="BU104" s="223">
        <f t="shared" si="312"/>
        <v>0</v>
      </c>
      <c r="BV104" s="223">
        <f t="shared" si="312"/>
        <v>0</v>
      </c>
      <c r="BW104" s="223">
        <f t="shared" si="312"/>
        <v>0</v>
      </c>
      <c r="BX104" s="223">
        <f t="shared" si="312"/>
        <v>0</v>
      </c>
      <c r="BY104" s="223">
        <f t="shared" si="312"/>
        <v>0</v>
      </c>
      <c r="BZ104" s="223">
        <f t="shared" si="312"/>
        <v>0</v>
      </c>
      <c r="CA104" s="223">
        <f t="shared" si="312"/>
        <v>0</v>
      </c>
      <c r="CB104" s="223">
        <f t="shared" si="312"/>
        <v>0</v>
      </c>
      <c r="CC104" s="223">
        <f t="shared" si="312"/>
        <v>0</v>
      </c>
      <c r="CD104" s="223">
        <f t="shared" si="312"/>
        <v>0</v>
      </c>
      <c r="CE104" s="389"/>
      <c r="CF104" s="223">
        <f t="shared" si="267"/>
        <v>0</v>
      </c>
      <c r="CG104" s="223">
        <f t="shared" si="268"/>
        <v>0</v>
      </c>
      <c r="CH104" s="223">
        <f t="shared" si="269"/>
        <v>0</v>
      </c>
      <c r="CI104" s="223">
        <f t="shared" si="270"/>
        <v>0</v>
      </c>
      <c r="CJ104" s="223">
        <f t="shared" si="271"/>
        <v>0</v>
      </c>
      <c r="CK104" s="223">
        <f t="shared" si="272"/>
        <v>0</v>
      </c>
      <c r="CL104" s="223">
        <f t="shared" si="273"/>
        <v>0</v>
      </c>
      <c r="CM104" s="223">
        <f t="shared" si="274"/>
        <v>0</v>
      </c>
      <c r="CN104" s="223">
        <f t="shared" si="275"/>
        <v>0</v>
      </c>
      <c r="CO104" s="223">
        <f t="shared" si="276"/>
        <v>0</v>
      </c>
      <c r="CP104" s="223">
        <f t="shared" si="277"/>
        <v>0</v>
      </c>
      <c r="CQ104" s="223">
        <f t="shared" si="278"/>
        <v>0</v>
      </c>
      <c r="CR104" s="389"/>
      <c r="CS104" s="223">
        <f t="shared" si="279"/>
        <v>0</v>
      </c>
      <c r="CT104" s="223">
        <f t="shared" si="280"/>
        <v>0</v>
      </c>
      <c r="CU104" s="223">
        <f t="shared" si="281"/>
        <v>0</v>
      </c>
      <c r="CV104" s="223">
        <f t="shared" si="282"/>
        <v>0</v>
      </c>
      <c r="CW104" s="223">
        <f t="shared" si="283"/>
        <v>0</v>
      </c>
      <c r="CX104" s="223">
        <f t="shared" si="284"/>
        <v>0</v>
      </c>
      <c r="CY104" s="223">
        <f t="shared" si="285"/>
        <v>0</v>
      </c>
      <c r="CZ104" s="223">
        <f t="shared" si="286"/>
        <v>0</v>
      </c>
      <c r="DA104" s="223">
        <f t="shared" si="287"/>
        <v>0</v>
      </c>
      <c r="DB104" s="223">
        <f t="shared" si="288"/>
        <v>0</v>
      </c>
      <c r="DC104" s="223">
        <f t="shared" si="289"/>
        <v>0</v>
      </c>
      <c r="DD104" s="223">
        <f t="shared" si="290"/>
        <v>0</v>
      </c>
      <c r="DE104" s="389"/>
      <c r="DF104" s="223">
        <f t="shared" si="291"/>
        <v>0</v>
      </c>
      <c r="DG104" s="223">
        <f t="shared" si="292"/>
        <v>0</v>
      </c>
      <c r="DH104" s="223">
        <f t="shared" si="293"/>
        <v>0</v>
      </c>
      <c r="DI104" s="223">
        <f t="shared" si="294"/>
        <v>0</v>
      </c>
      <c r="DJ104" s="223">
        <f t="shared" si="295"/>
        <v>0</v>
      </c>
      <c r="DK104" s="223">
        <f t="shared" si="296"/>
        <v>0</v>
      </c>
      <c r="DL104" s="223">
        <f t="shared" si="297"/>
        <v>0</v>
      </c>
      <c r="DM104" s="223">
        <f t="shared" si="298"/>
        <v>0</v>
      </c>
      <c r="DN104" s="223">
        <f t="shared" si="299"/>
        <v>0</v>
      </c>
      <c r="DO104" s="223">
        <f t="shared" si="300"/>
        <v>0</v>
      </c>
      <c r="DP104" s="223">
        <f t="shared" si="301"/>
        <v>0</v>
      </c>
      <c r="DQ104" s="223">
        <f t="shared" si="302"/>
        <v>0</v>
      </c>
      <c r="DR104" s="389"/>
      <c r="DS104" s="31">
        <f t="shared" si="303"/>
        <v>0</v>
      </c>
      <c r="DT104" s="390"/>
      <c r="DU104" s="9"/>
      <c r="DV104" s="8"/>
      <c r="DW104" s="7"/>
      <c r="DX104" s="7"/>
      <c r="DY104" s="7"/>
      <c r="DZ104" s="7"/>
      <c r="EA104" s="7"/>
      <c r="EB104" s="7"/>
      <c r="EC104" s="7"/>
    </row>
    <row r="105" spans="3:133">
      <c r="C105" s="57" t="str">
        <f t="shared" si="313"/>
        <v>///</v>
      </c>
      <c r="D105" s="57">
        <f t="shared" si="305"/>
        <v>0</v>
      </c>
      <c r="E105" s="62">
        <f t="shared" si="313"/>
        <v>0</v>
      </c>
      <c r="F105" s="223"/>
      <c r="G105" s="223">
        <f t="shared" si="307"/>
        <v>0</v>
      </c>
      <c r="H105" s="223">
        <f t="shared" si="307"/>
        <v>0</v>
      </c>
      <c r="I105" s="223">
        <f t="shared" si="307"/>
        <v>0</v>
      </c>
      <c r="J105" s="223">
        <f t="shared" si="307"/>
        <v>0</v>
      </c>
      <c r="K105" s="223">
        <f t="shared" si="307"/>
        <v>0</v>
      </c>
      <c r="L105" s="223">
        <f t="shared" si="307"/>
        <v>0</v>
      </c>
      <c r="M105" s="223">
        <f t="shared" si="307"/>
        <v>0</v>
      </c>
      <c r="N105" s="223">
        <f t="shared" si="307"/>
        <v>0</v>
      </c>
      <c r="O105" s="223">
        <f t="shared" si="307"/>
        <v>0</v>
      </c>
      <c r="P105" s="223">
        <f t="shared" si="307"/>
        <v>0</v>
      </c>
      <c r="Q105" s="223">
        <f t="shared" si="307"/>
        <v>0</v>
      </c>
      <c r="R105" s="223"/>
      <c r="S105" s="223">
        <f t="shared" si="306"/>
        <v>0</v>
      </c>
      <c r="T105" s="223">
        <f t="shared" si="308"/>
        <v>0</v>
      </c>
      <c r="U105" s="223">
        <f t="shared" si="308"/>
        <v>0</v>
      </c>
      <c r="V105" s="223">
        <f t="shared" si="308"/>
        <v>0</v>
      </c>
      <c r="W105" s="223">
        <f t="shared" si="308"/>
        <v>0</v>
      </c>
      <c r="X105" s="223">
        <f t="shared" si="308"/>
        <v>0</v>
      </c>
      <c r="Y105" s="223">
        <f t="shared" si="308"/>
        <v>0</v>
      </c>
      <c r="Z105" s="223">
        <f t="shared" si="308"/>
        <v>0</v>
      </c>
      <c r="AA105" s="223">
        <f t="shared" si="308"/>
        <v>0</v>
      </c>
      <c r="AB105" s="223">
        <f t="shared" si="308"/>
        <v>0</v>
      </c>
      <c r="AC105" s="223">
        <f t="shared" si="308"/>
        <v>0</v>
      </c>
      <c r="AD105" s="223">
        <f t="shared" si="308"/>
        <v>0</v>
      </c>
      <c r="AE105" s="223"/>
      <c r="AF105" s="223">
        <f t="shared" si="259"/>
        <v>0</v>
      </c>
      <c r="AG105" s="223">
        <f t="shared" si="309"/>
        <v>0</v>
      </c>
      <c r="AH105" s="223">
        <f t="shared" si="309"/>
        <v>0</v>
      </c>
      <c r="AI105" s="223">
        <f t="shared" si="309"/>
        <v>0</v>
      </c>
      <c r="AJ105" s="223">
        <f t="shared" si="309"/>
        <v>0</v>
      </c>
      <c r="AK105" s="223">
        <f t="shared" si="309"/>
        <v>0</v>
      </c>
      <c r="AL105" s="223">
        <f t="shared" si="309"/>
        <v>0</v>
      </c>
      <c r="AM105" s="223">
        <f t="shared" si="309"/>
        <v>0</v>
      </c>
      <c r="AN105" s="223">
        <f t="shared" si="309"/>
        <v>0</v>
      </c>
      <c r="AO105" s="223">
        <f t="shared" si="309"/>
        <v>0</v>
      </c>
      <c r="AP105" s="223">
        <f t="shared" si="309"/>
        <v>0</v>
      </c>
      <c r="AQ105" s="223">
        <f t="shared" si="309"/>
        <v>0</v>
      </c>
      <c r="AR105" s="223"/>
      <c r="AS105" s="223">
        <f t="shared" si="261"/>
        <v>0</v>
      </c>
      <c r="AT105" s="223">
        <f t="shared" si="310"/>
        <v>0</v>
      </c>
      <c r="AU105" s="223">
        <f t="shared" si="310"/>
        <v>0</v>
      </c>
      <c r="AV105" s="223">
        <f t="shared" si="310"/>
        <v>0</v>
      </c>
      <c r="AW105" s="223">
        <f t="shared" si="310"/>
        <v>0</v>
      </c>
      <c r="AX105" s="223">
        <f t="shared" si="310"/>
        <v>0</v>
      </c>
      <c r="AY105" s="223">
        <f t="shared" si="310"/>
        <v>0</v>
      </c>
      <c r="AZ105" s="223">
        <f t="shared" si="310"/>
        <v>0</v>
      </c>
      <c r="BA105" s="223">
        <f t="shared" si="310"/>
        <v>0</v>
      </c>
      <c r="BB105" s="223">
        <f t="shared" si="310"/>
        <v>0</v>
      </c>
      <c r="BC105" s="223">
        <f t="shared" si="310"/>
        <v>0</v>
      </c>
      <c r="BD105" s="223">
        <f t="shared" si="310"/>
        <v>0</v>
      </c>
      <c r="BE105" s="223"/>
      <c r="BF105" s="223">
        <f t="shared" si="263"/>
        <v>0</v>
      </c>
      <c r="BG105" s="223">
        <f t="shared" si="311"/>
        <v>0</v>
      </c>
      <c r="BH105" s="223">
        <f t="shared" si="311"/>
        <v>0</v>
      </c>
      <c r="BI105" s="223">
        <f t="shared" si="311"/>
        <v>0</v>
      </c>
      <c r="BJ105" s="223">
        <f t="shared" si="311"/>
        <v>0</v>
      </c>
      <c r="BK105" s="223">
        <f t="shared" si="311"/>
        <v>0</v>
      </c>
      <c r="BL105" s="223">
        <f t="shared" si="311"/>
        <v>0</v>
      </c>
      <c r="BM105" s="223">
        <f t="shared" si="311"/>
        <v>0</v>
      </c>
      <c r="BN105" s="223">
        <f t="shared" si="311"/>
        <v>0</v>
      </c>
      <c r="BO105" s="223">
        <f t="shared" si="311"/>
        <v>0</v>
      </c>
      <c r="BP105" s="223">
        <f t="shared" si="311"/>
        <v>0</v>
      </c>
      <c r="BQ105" s="223">
        <f t="shared" si="311"/>
        <v>0</v>
      </c>
      <c r="BR105" s="223"/>
      <c r="BS105" s="223">
        <f t="shared" si="265"/>
        <v>0</v>
      </c>
      <c r="BT105" s="223">
        <f t="shared" si="312"/>
        <v>0</v>
      </c>
      <c r="BU105" s="223">
        <f t="shared" si="312"/>
        <v>0</v>
      </c>
      <c r="BV105" s="223">
        <f t="shared" si="312"/>
        <v>0</v>
      </c>
      <c r="BW105" s="223">
        <f t="shared" si="312"/>
        <v>0</v>
      </c>
      <c r="BX105" s="223">
        <f t="shared" si="312"/>
        <v>0</v>
      </c>
      <c r="BY105" s="223">
        <f t="shared" si="312"/>
        <v>0</v>
      </c>
      <c r="BZ105" s="223">
        <f t="shared" si="312"/>
        <v>0</v>
      </c>
      <c r="CA105" s="223">
        <f t="shared" si="312"/>
        <v>0</v>
      </c>
      <c r="CB105" s="223">
        <f t="shared" si="312"/>
        <v>0</v>
      </c>
      <c r="CC105" s="223">
        <f t="shared" si="312"/>
        <v>0</v>
      </c>
      <c r="CD105" s="223">
        <f t="shared" si="312"/>
        <v>0</v>
      </c>
      <c r="CE105" s="389"/>
      <c r="CF105" s="223">
        <f t="shared" si="267"/>
        <v>0</v>
      </c>
      <c r="CG105" s="223">
        <f t="shared" si="268"/>
        <v>0</v>
      </c>
      <c r="CH105" s="223">
        <f t="shared" si="269"/>
        <v>0</v>
      </c>
      <c r="CI105" s="223">
        <f t="shared" si="270"/>
        <v>0</v>
      </c>
      <c r="CJ105" s="223">
        <f t="shared" si="271"/>
        <v>0</v>
      </c>
      <c r="CK105" s="223">
        <f t="shared" si="272"/>
        <v>0</v>
      </c>
      <c r="CL105" s="223">
        <f t="shared" si="273"/>
        <v>0</v>
      </c>
      <c r="CM105" s="223">
        <f t="shared" si="274"/>
        <v>0</v>
      </c>
      <c r="CN105" s="223">
        <f t="shared" si="275"/>
        <v>0</v>
      </c>
      <c r="CO105" s="223">
        <f t="shared" si="276"/>
        <v>0</v>
      </c>
      <c r="CP105" s="223">
        <f t="shared" si="277"/>
        <v>0</v>
      </c>
      <c r="CQ105" s="223">
        <f t="shared" si="278"/>
        <v>0</v>
      </c>
      <c r="CR105" s="389"/>
      <c r="CS105" s="223">
        <f t="shared" si="279"/>
        <v>0</v>
      </c>
      <c r="CT105" s="223">
        <f t="shared" si="280"/>
        <v>0</v>
      </c>
      <c r="CU105" s="223">
        <f t="shared" si="281"/>
        <v>0</v>
      </c>
      <c r="CV105" s="223">
        <f t="shared" si="282"/>
        <v>0</v>
      </c>
      <c r="CW105" s="223">
        <f t="shared" si="283"/>
        <v>0</v>
      </c>
      <c r="CX105" s="223">
        <f t="shared" si="284"/>
        <v>0</v>
      </c>
      <c r="CY105" s="223">
        <f t="shared" si="285"/>
        <v>0</v>
      </c>
      <c r="CZ105" s="223">
        <f t="shared" si="286"/>
        <v>0</v>
      </c>
      <c r="DA105" s="223">
        <f t="shared" si="287"/>
        <v>0</v>
      </c>
      <c r="DB105" s="223">
        <f t="shared" si="288"/>
        <v>0</v>
      </c>
      <c r="DC105" s="223">
        <f t="shared" si="289"/>
        <v>0</v>
      </c>
      <c r="DD105" s="223">
        <f t="shared" si="290"/>
        <v>0</v>
      </c>
      <c r="DE105" s="389"/>
      <c r="DF105" s="223">
        <f t="shared" si="291"/>
        <v>0</v>
      </c>
      <c r="DG105" s="223">
        <f t="shared" si="292"/>
        <v>0</v>
      </c>
      <c r="DH105" s="223">
        <f t="shared" si="293"/>
        <v>0</v>
      </c>
      <c r="DI105" s="223">
        <f t="shared" si="294"/>
        <v>0</v>
      </c>
      <c r="DJ105" s="223">
        <f t="shared" si="295"/>
        <v>0</v>
      </c>
      <c r="DK105" s="223">
        <f t="shared" si="296"/>
        <v>0</v>
      </c>
      <c r="DL105" s="223">
        <f t="shared" si="297"/>
        <v>0</v>
      </c>
      <c r="DM105" s="223">
        <f t="shared" si="298"/>
        <v>0</v>
      </c>
      <c r="DN105" s="223">
        <f t="shared" si="299"/>
        <v>0</v>
      </c>
      <c r="DO105" s="223">
        <f t="shared" si="300"/>
        <v>0</v>
      </c>
      <c r="DP105" s="223">
        <f t="shared" si="301"/>
        <v>0</v>
      </c>
      <c r="DQ105" s="223">
        <f t="shared" si="302"/>
        <v>0</v>
      </c>
      <c r="DR105" s="389"/>
      <c r="DS105" s="31">
        <f t="shared" si="303"/>
        <v>0</v>
      </c>
      <c r="DT105" s="390"/>
      <c r="DU105" s="9"/>
      <c r="DV105" s="8"/>
      <c r="DW105" s="7"/>
      <c r="DX105" s="7"/>
      <c r="DY105" s="7"/>
      <c r="DZ105" s="7"/>
      <c r="EA105" s="7"/>
      <c r="EB105" s="7"/>
      <c r="EC105" s="7"/>
    </row>
    <row r="106" spans="3:133">
      <c r="C106" s="57" t="str">
        <f t="shared" si="313"/>
        <v>///</v>
      </c>
      <c r="D106" s="57">
        <f t="shared" si="305"/>
        <v>0</v>
      </c>
      <c r="E106" s="62">
        <f t="shared" si="313"/>
        <v>0</v>
      </c>
      <c r="F106" s="223"/>
      <c r="G106" s="223">
        <f t="shared" si="307"/>
        <v>0</v>
      </c>
      <c r="H106" s="223">
        <f t="shared" si="307"/>
        <v>0</v>
      </c>
      <c r="I106" s="223">
        <f t="shared" si="307"/>
        <v>0</v>
      </c>
      <c r="J106" s="223">
        <f t="shared" si="307"/>
        <v>0</v>
      </c>
      <c r="K106" s="223">
        <f t="shared" si="307"/>
        <v>0</v>
      </c>
      <c r="L106" s="223">
        <f t="shared" si="307"/>
        <v>0</v>
      </c>
      <c r="M106" s="223">
        <f t="shared" si="307"/>
        <v>0</v>
      </c>
      <c r="N106" s="223">
        <f t="shared" si="307"/>
        <v>0</v>
      </c>
      <c r="O106" s="223">
        <f t="shared" si="307"/>
        <v>0</v>
      </c>
      <c r="P106" s="223">
        <f t="shared" si="307"/>
        <v>0</v>
      </c>
      <c r="Q106" s="223">
        <f t="shared" si="307"/>
        <v>0</v>
      </c>
      <c r="R106" s="223"/>
      <c r="S106" s="223">
        <f t="shared" si="306"/>
        <v>0</v>
      </c>
      <c r="T106" s="223">
        <f t="shared" si="308"/>
        <v>0</v>
      </c>
      <c r="U106" s="223">
        <f t="shared" si="308"/>
        <v>0</v>
      </c>
      <c r="V106" s="223">
        <f t="shared" si="308"/>
        <v>0</v>
      </c>
      <c r="W106" s="223">
        <f t="shared" si="308"/>
        <v>0</v>
      </c>
      <c r="X106" s="223">
        <f t="shared" si="308"/>
        <v>0</v>
      </c>
      <c r="Y106" s="223">
        <f t="shared" si="308"/>
        <v>0</v>
      </c>
      <c r="Z106" s="223">
        <f t="shared" si="308"/>
        <v>0</v>
      </c>
      <c r="AA106" s="223">
        <f t="shared" si="308"/>
        <v>0</v>
      </c>
      <c r="AB106" s="223">
        <f t="shared" si="308"/>
        <v>0</v>
      </c>
      <c r="AC106" s="223">
        <f t="shared" si="308"/>
        <v>0</v>
      </c>
      <c r="AD106" s="223">
        <f t="shared" si="308"/>
        <v>0</v>
      </c>
      <c r="AE106" s="223"/>
      <c r="AF106" s="223">
        <f t="shared" si="259"/>
        <v>0</v>
      </c>
      <c r="AG106" s="223">
        <f t="shared" si="309"/>
        <v>0</v>
      </c>
      <c r="AH106" s="223">
        <f t="shared" si="309"/>
        <v>0</v>
      </c>
      <c r="AI106" s="223">
        <f t="shared" si="309"/>
        <v>0</v>
      </c>
      <c r="AJ106" s="223">
        <f t="shared" si="309"/>
        <v>0</v>
      </c>
      <c r="AK106" s="223">
        <f t="shared" si="309"/>
        <v>0</v>
      </c>
      <c r="AL106" s="223">
        <f t="shared" si="309"/>
        <v>0</v>
      </c>
      <c r="AM106" s="223">
        <f t="shared" si="309"/>
        <v>0</v>
      </c>
      <c r="AN106" s="223">
        <f t="shared" si="309"/>
        <v>0</v>
      </c>
      <c r="AO106" s="223">
        <f t="shared" si="309"/>
        <v>0</v>
      </c>
      <c r="AP106" s="223">
        <f t="shared" si="309"/>
        <v>0</v>
      </c>
      <c r="AQ106" s="223">
        <f t="shared" si="309"/>
        <v>0</v>
      </c>
      <c r="AR106" s="223"/>
      <c r="AS106" s="223">
        <f t="shared" si="261"/>
        <v>0</v>
      </c>
      <c r="AT106" s="223">
        <f t="shared" si="310"/>
        <v>0</v>
      </c>
      <c r="AU106" s="223">
        <f t="shared" si="310"/>
        <v>0</v>
      </c>
      <c r="AV106" s="223">
        <f t="shared" si="310"/>
        <v>0</v>
      </c>
      <c r="AW106" s="223">
        <f t="shared" si="310"/>
        <v>0</v>
      </c>
      <c r="AX106" s="223">
        <f t="shared" si="310"/>
        <v>0</v>
      </c>
      <c r="AY106" s="223">
        <f t="shared" si="310"/>
        <v>0</v>
      </c>
      <c r="AZ106" s="223">
        <f t="shared" si="310"/>
        <v>0</v>
      </c>
      <c r="BA106" s="223">
        <f t="shared" si="310"/>
        <v>0</v>
      </c>
      <c r="BB106" s="223">
        <f t="shared" si="310"/>
        <v>0</v>
      </c>
      <c r="BC106" s="223">
        <f t="shared" si="310"/>
        <v>0</v>
      </c>
      <c r="BD106" s="223">
        <f t="shared" si="310"/>
        <v>0</v>
      </c>
      <c r="BE106" s="223"/>
      <c r="BF106" s="223">
        <f t="shared" si="263"/>
        <v>0</v>
      </c>
      <c r="BG106" s="223">
        <f t="shared" si="311"/>
        <v>0</v>
      </c>
      <c r="BH106" s="223">
        <f t="shared" si="311"/>
        <v>0</v>
      </c>
      <c r="BI106" s="223">
        <f t="shared" si="311"/>
        <v>0</v>
      </c>
      <c r="BJ106" s="223">
        <f t="shared" si="311"/>
        <v>0</v>
      </c>
      <c r="BK106" s="223">
        <f t="shared" si="311"/>
        <v>0</v>
      </c>
      <c r="BL106" s="223">
        <f t="shared" si="311"/>
        <v>0</v>
      </c>
      <c r="BM106" s="223">
        <f t="shared" si="311"/>
        <v>0</v>
      </c>
      <c r="BN106" s="223">
        <f t="shared" si="311"/>
        <v>0</v>
      </c>
      <c r="BO106" s="223">
        <f t="shared" si="311"/>
        <v>0</v>
      </c>
      <c r="BP106" s="223">
        <f t="shared" si="311"/>
        <v>0</v>
      </c>
      <c r="BQ106" s="223">
        <f t="shared" si="311"/>
        <v>0</v>
      </c>
      <c r="BR106" s="223"/>
      <c r="BS106" s="223">
        <f t="shared" si="265"/>
        <v>0</v>
      </c>
      <c r="BT106" s="223">
        <f t="shared" si="312"/>
        <v>0</v>
      </c>
      <c r="BU106" s="223">
        <f t="shared" si="312"/>
        <v>0</v>
      </c>
      <c r="BV106" s="223">
        <f t="shared" si="312"/>
        <v>0</v>
      </c>
      <c r="BW106" s="223">
        <f t="shared" si="312"/>
        <v>0</v>
      </c>
      <c r="BX106" s="223">
        <f t="shared" si="312"/>
        <v>0</v>
      </c>
      <c r="BY106" s="223">
        <f t="shared" si="312"/>
        <v>0</v>
      </c>
      <c r="BZ106" s="223">
        <f t="shared" si="312"/>
        <v>0</v>
      </c>
      <c r="CA106" s="223">
        <f t="shared" si="312"/>
        <v>0</v>
      </c>
      <c r="CB106" s="223">
        <f t="shared" si="312"/>
        <v>0</v>
      </c>
      <c r="CC106" s="223">
        <f t="shared" si="312"/>
        <v>0</v>
      </c>
      <c r="CD106" s="223">
        <f t="shared" si="312"/>
        <v>0</v>
      </c>
      <c r="CE106" s="389"/>
      <c r="CF106" s="223">
        <f t="shared" si="267"/>
        <v>0</v>
      </c>
      <c r="CG106" s="223">
        <f t="shared" si="268"/>
        <v>0</v>
      </c>
      <c r="CH106" s="223">
        <f t="shared" si="269"/>
        <v>0</v>
      </c>
      <c r="CI106" s="223">
        <f t="shared" si="270"/>
        <v>0</v>
      </c>
      <c r="CJ106" s="223">
        <f t="shared" si="271"/>
        <v>0</v>
      </c>
      <c r="CK106" s="223">
        <f t="shared" si="272"/>
        <v>0</v>
      </c>
      <c r="CL106" s="223">
        <f t="shared" si="273"/>
        <v>0</v>
      </c>
      <c r="CM106" s="223">
        <f t="shared" si="274"/>
        <v>0</v>
      </c>
      <c r="CN106" s="223">
        <f t="shared" si="275"/>
        <v>0</v>
      </c>
      <c r="CO106" s="223">
        <f t="shared" si="276"/>
        <v>0</v>
      </c>
      <c r="CP106" s="223">
        <f t="shared" si="277"/>
        <v>0</v>
      </c>
      <c r="CQ106" s="223">
        <f t="shared" si="278"/>
        <v>0</v>
      </c>
      <c r="CR106" s="389"/>
      <c r="CS106" s="223">
        <f t="shared" si="279"/>
        <v>0</v>
      </c>
      <c r="CT106" s="223">
        <f t="shared" si="280"/>
        <v>0</v>
      </c>
      <c r="CU106" s="223">
        <f t="shared" si="281"/>
        <v>0</v>
      </c>
      <c r="CV106" s="223">
        <f t="shared" si="282"/>
        <v>0</v>
      </c>
      <c r="CW106" s="223">
        <f t="shared" si="283"/>
        <v>0</v>
      </c>
      <c r="CX106" s="223">
        <f t="shared" si="284"/>
        <v>0</v>
      </c>
      <c r="CY106" s="223">
        <f t="shared" si="285"/>
        <v>0</v>
      </c>
      <c r="CZ106" s="223">
        <f t="shared" si="286"/>
        <v>0</v>
      </c>
      <c r="DA106" s="223">
        <f t="shared" si="287"/>
        <v>0</v>
      </c>
      <c r="DB106" s="223">
        <f t="shared" si="288"/>
        <v>0</v>
      </c>
      <c r="DC106" s="223">
        <f t="shared" si="289"/>
        <v>0</v>
      </c>
      <c r="DD106" s="223">
        <f t="shared" si="290"/>
        <v>0</v>
      </c>
      <c r="DE106" s="389"/>
      <c r="DF106" s="223">
        <f t="shared" si="291"/>
        <v>0</v>
      </c>
      <c r="DG106" s="223">
        <f t="shared" si="292"/>
        <v>0</v>
      </c>
      <c r="DH106" s="223">
        <f t="shared" si="293"/>
        <v>0</v>
      </c>
      <c r="DI106" s="223">
        <f t="shared" si="294"/>
        <v>0</v>
      </c>
      <c r="DJ106" s="223">
        <f t="shared" si="295"/>
        <v>0</v>
      </c>
      <c r="DK106" s="223">
        <f t="shared" si="296"/>
        <v>0</v>
      </c>
      <c r="DL106" s="223">
        <f t="shared" si="297"/>
        <v>0</v>
      </c>
      <c r="DM106" s="223">
        <f t="shared" si="298"/>
        <v>0</v>
      </c>
      <c r="DN106" s="223">
        <f t="shared" si="299"/>
        <v>0</v>
      </c>
      <c r="DO106" s="223">
        <f t="shared" si="300"/>
        <v>0</v>
      </c>
      <c r="DP106" s="223">
        <f t="shared" si="301"/>
        <v>0</v>
      </c>
      <c r="DQ106" s="223">
        <f t="shared" si="302"/>
        <v>0</v>
      </c>
      <c r="DR106" s="389"/>
      <c r="DS106" s="31">
        <f t="shared" si="303"/>
        <v>0</v>
      </c>
      <c r="DT106" s="390"/>
      <c r="DU106" s="9"/>
      <c r="DV106" s="8"/>
      <c r="DW106" s="7"/>
      <c r="DX106" s="7"/>
      <c r="DY106" s="7"/>
      <c r="DZ106" s="7"/>
      <c r="EA106" s="7"/>
      <c r="EB106" s="7"/>
      <c r="EC106" s="7"/>
    </row>
    <row r="107" spans="3:133">
      <c r="C107" s="57" t="str">
        <f t="shared" si="313"/>
        <v>///</v>
      </c>
      <c r="D107" s="57">
        <f t="shared" si="305"/>
        <v>0</v>
      </c>
      <c r="E107" s="62">
        <f t="shared" si="313"/>
        <v>0</v>
      </c>
      <c r="F107" s="223"/>
      <c r="G107" s="223">
        <f t="shared" si="307"/>
        <v>0</v>
      </c>
      <c r="H107" s="223">
        <f t="shared" si="307"/>
        <v>0</v>
      </c>
      <c r="I107" s="223">
        <f t="shared" si="307"/>
        <v>0</v>
      </c>
      <c r="J107" s="223">
        <f t="shared" si="307"/>
        <v>0</v>
      </c>
      <c r="K107" s="223">
        <f t="shared" si="307"/>
        <v>0</v>
      </c>
      <c r="L107" s="223">
        <f t="shared" si="307"/>
        <v>0</v>
      </c>
      <c r="M107" s="223">
        <f t="shared" si="307"/>
        <v>0</v>
      </c>
      <c r="N107" s="223">
        <f t="shared" si="307"/>
        <v>0</v>
      </c>
      <c r="O107" s="223">
        <f t="shared" si="307"/>
        <v>0</v>
      </c>
      <c r="P107" s="223">
        <f t="shared" si="307"/>
        <v>0</v>
      </c>
      <c r="Q107" s="223">
        <f t="shared" si="307"/>
        <v>0</v>
      </c>
      <c r="R107" s="223"/>
      <c r="S107" s="223">
        <f t="shared" si="306"/>
        <v>0</v>
      </c>
      <c r="T107" s="223">
        <f t="shared" si="308"/>
        <v>0</v>
      </c>
      <c r="U107" s="223">
        <f t="shared" si="308"/>
        <v>0</v>
      </c>
      <c r="V107" s="223">
        <f t="shared" si="308"/>
        <v>0</v>
      </c>
      <c r="W107" s="223">
        <f t="shared" si="308"/>
        <v>0</v>
      </c>
      <c r="X107" s="223">
        <f t="shared" si="308"/>
        <v>0</v>
      </c>
      <c r="Y107" s="223">
        <f t="shared" si="308"/>
        <v>0</v>
      </c>
      <c r="Z107" s="223">
        <f t="shared" si="308"/>
        <v>0</v>
      </c>
      <c r="AA107" s="223">
        <f t="shared" si="308"/>
        <v>0</v>
      </c>
      <c r="AB107" s="223">
        <f t="shared" si="308"/>
        <v>0</v>
      </c>
      <c r="AC107" s="223">
        <f t="shared" si="308"/>
        <v>0</v>
      </c>
      <c r="AD107" s="223">
        <f t="shared" si="308"/>
        <v>0</v>
      </c>
      <c r="AE107" s="223"/>
      <c r="AF107" s="223">
        <f t="shared" si="259"/>
        <v>0</v>
      </c>
      <c r="AG107" s="223">
        <f t="shared" si="309"/>
        <v>0</v>
      </c>
      <c r="AH107" s="223">
        <f t="shared" si="309"/>
        <v>0</v>
      </c>
      <c r="AI107" s="223">
        <f t="shared" si="309"/>
        <v>0</v>
      </c>
      <c r="AJ107" s="223">
        <f t="shared" si="309"/>
        <v>0</v>
      </c>
      <c r="AK107" s="223">
        <f t="shared" si="309"/>
        <v>0</v>
      </c>
      <c r="AL107" s="223">
        <f t="shared" si="309"/>
        <v>0</v>
      </c>
      <c r="AM107" s="223">
        <f t="shared" si="309"/>
        <v>0</v>
      </c>
      <c r="AN107" s="223">
        <f t="shared" si="309"/>
        <v>0</v>
      </c>
      <c r="AO107" s="223">
        <f t="shared" si="309"/>
        <v>0</v>
      </c>
      <c r="AP107" s="223">
        <f t="shared" si="309"/>
        <v>0</v>
      </c>
      <c r="AQ107" s="223">
        <f t="shared" si="309"/>
        <v>0</v>
      </c>
      <c r="AR107" s="223"/>
      <c r="AS107" s="223">
        <f t="shared" si="261"/>
        <v>0</v>
      </c>
      <c r="AT107" s="223">
        <f t="shared" si="310"/>
        <v>0</v>
      </c>
      <c r="AU107" s="223">
        <f t="shared" si="310"/>
        <v>0</v>
      </c>
      <c r="AV107" s="223">
        <f t="shared" si="310"/>
        <v>0</v>
      </c>
      <c r="AW107" s="223">
        <f t="shared" si="310"/>
        <v>0</v>
      </c>
      <c r="AX107" s="223">
        <f t="shared" si="310"/>
        <v>0</v>
      </c>
      <c r="AY107" s="223">
        <f t="shared" si="310"/>
        <v>0</v>
      </c>
      <c r="AZ107" s="223">
        <f t="shared" si="310"/>
        <v>0</v>
      </c>
      <c r="BA107" s="223">
        <f t="shared" si="310"/>
        <v>0</v>
      </c>
      <c r="BB107" s="223">
        <f t="shared" si="310"/>
        <v>0</v>
      </c>
      <c r="BC107" s="223">
        <f t="shared" si="310"/>
        <v>0</v>
      </c>
      <c r="BD107" s="223">
        <f t="shared" si="310"/>
        <v>0</v>
      </c>
      <c r="BE107" s="223"/>
      <c r="BF107" s="223">
        <f t="shared" si="263"/>
        <v>0</v>
      </c>
      <c r="BG107" s="223">
        <f t="shared" si="311"/>
        <v>0</v>
      </c>
      <c r="BH107" s="223">
        <f t="shared" si="311"/>
        <v>0</v>
      </c>
      <c r="BI107" s="223">
        <f t="shared" si="311"/>
        <v>0</v>
      </c>
      <c r="BJ107" s="223">
        <f t="shared" si="311"/>
        <v>0</v>
      </c>
      <c r="BK107" s="223">
        <f t="shared" si="311"/>
        <v>0</v>
      </c>
      <c r="BL107" s="223">
        <f t="shared" si="311"/>
        <v>0</v>
      </c>
      <c r="BM107" s="223">
        <f t="shared" si="311"/>
        <v>0</v>
      </c>
      <c r="BN107" s="223">
        <f t="shared" si="311"/>
        <v>0</v>
      </c>
      <c r="BO107" s="223">
        <f t="shared" si="311"/>
        <v>0</v>
      </c>
      <c r="BP107" s="223">
        <f t="shared" si="311"/>
        <v>0</v>
      </c>
      <c r="BQ107" s="223">
        <f t="shared" si="311"/>
        <v>0</v>
      </c>
      <c r="BR107" s="223"/>
      <c r="BS107" s="223">
        <f t="shared" si="265"/>
        <v>0</v>
      </c>
      <c r="BT107" s="223">
        <f t="shared" si="312"/>
        <v>0</v>
      </c>
      <c r="BU107" s="223">
        <f t="shared" si="312"/>
        <v>0</v>
      </c>
      <c r="BV107" s="223">
        <f t="shared" si="312"/>
        <v>0</v>
      </c>
      <c r="BW107" s="223">
        <f t="shared" si="312"/>
        <v>0</v>
      </c>
      <c r="BX107" s="223">
        <f t="shared" si="312"/>
        <v>0</v>
      </c>
      <c r="BY107" s="223">
        <f t="shared" si="312"/>
        <v>0</v>
      </c>
      <c r="BZ107" s="223">
        <f t="shared" si="312"/>
        <v>0</v>
      </c>
      <c r="CA107" s="223">
        <f t="shared" si="312"/>
        <v>0</v>
      </c>
      <c r="CB107" s="223">
        <f t="shared" si="312"/>
        <v>0</v>
      </c>
      <c r="CC107" s="223">
        <f t="shared" si="312"/>
        <v>0</v>
      </c>
      <c r="CD107" s="223">
        <f t="shared" si="312"/>
        <v>0</v>
      </c>
      <c r="CE107" s="389"/>
      <c r="CF107" s="223">
        <f t="shared" si="267"/>
        <v>0</v>
      </c>
      <c r="CG107" s="223">
        <f t="shared" si="268"/>
        <v>0</v>
      </c>
      <c r="CH107" s="223">
        <f t="shared" si="269"/>
        <v>0</v>
      </c>
      <c r="CI107" s="223">
        <f t="shared" si="270"/>
        <v>0</v>
      </c>
      <c r="CJ107" s="223">
        <f t="shared" si="271"/>
        <v>0</v>
      </c>
      <c r="CK107" s="223">
        <f t="shared" si="272"/>
        <v>0</v>
      </c>
      <c r="CL107" s="223">
        <f t="shared" si="273"/>
        <v>0</v>
      </c>
      <c r="CM107" s="223">
        <f t="shared" si="274"/>
        <v>0</v>
      </c>
      <c r="CN107" s="223">
        <f t="shared" si="275"/>
        <v>0</v>
      </c>
      <c r="CO107" s="223">
        <f t="shared" si="276"/>
        <v>0</v>
      </c>
      <c r="CP107" s="223">
        <f t="shared" si="277"/>
        <v>0</v>
      </c>
      <c r="CQ107" s="223">
        <f t="shared" si="278"/>
        <v>0</v>
      </c>
      <c r="CR107" s="389"/>
      <c r="CS107" s="223">
        <f t="shared" si="279"/>
        <v>0</v>
      </c>
      <c r="CT107" s="223">
        <f t="shared" si="280"/>
        <v>0</v>
      </c>
      <c r="CU107" s="223">
        <f t="shared" si="281"/>
        <v>0</v>
      </c>
      <c r="CV107" s="223">
        <f t="shared" si="282"/>
        <v>0</v>
      </c>
      <c r="CW107" s="223">
        <f t="shared" si="283"/>
        <v>0</v>
      </c>
      <c r="CX107" s="223">
        <f t="shared" si="284"/>
        <v>0</v>
      </c>
      <c r="CY107" s="223">
        <f t="shared" si="285"/>
        <v>0</v>
      </c>
      <c r="CZ107" s="223">
        <f t="shared" si="286"/>
        <v>0</v>
      </c>
      <c r="DA107" s="223">
        <f t="shared" si="287"/>
        <v>0</v>
      </c>
      <c r="DB107" s="223">
        <f t="shared" si="288"/>
        <v>0</v>
      </c>
      <c r="DC107" s="223">
        <f t="shared" si="289"/>
        <v>0</v>
      </c>
      <c r="DD107" s="223">
        <f t="shared" si="290"/>
        <v>0</v>
      </c>
      <c r="DE107" s="389"/>
      <c r="DF107" s="223">
        <f t="shared" si="291"/>
        <v>0</v>
      </c>
      <c r="DG107" s="223">
        <f t="shared" si="292"/>
        <v>0</v>
      </c>
      <c r="DH107" s="223">
        <f t="shared" si="293"/>
        <v>0</v>
      </c>
      <c r="DI107" s="223">
        <f t="shared" si="294"/>
        <v>0</v>
      </c>
      <c r="DJ107" s="223">
        <f t="shared" si="295"/>
        <v>0</v>
      </c>
      <c r="DK107" s="223">
        <f t="shared" si="296"/>
        <v>0</v>
      </c>
      <c r="DL107" s="223">
        <f t="shared" si="297"/>
        <v>0</v>
      </c>
      <c r="DM107" s="223">
        <f t="shared" si="298"/>
        <v>0</v>
      </c>
      <c r="DN107" s="223">
        <f t="shared" si="299"/>
        <v>0</v>
      </c>
      <c r="DO107" s="223">
        <f t="shared" si="300"/>
        <v>0</v>
      </c>
      <c r="DP107" s="223">
        <f t="shared" si="301"/>
        <v>0</v>
      </c>
      <c r="DQ107" s="223">
        <f t="shared" si="302"/>
        <v>0</v>
      </c>
      <c r="DR107" s="389"/>
      <c r="DS107" s="31">
        <f t="shared" si="303"/>
        <v>0</v>
      </c>
      <c r="DT107" s="390"/>
      <c r="DU107" s="9"/>
      <c r="DV107" s="8"/>
      <c r="DW107" s="7"/>
      <c r="DX107" s="7"/>
      <c r="DY107" s="7"/>
      <c r="DZ107" s="7"/>
      <c r="EA107" s="7"/>
      <c r="EB107" s="7"/>
      <c r="EC107" s="7"/>
    </row>
    <row r="108" spans="3:133" hidden="1">
      <c r="C108" s="57" t="s">
        <v>26</v>
      </c>
      <c r="D108" s="57"/>
      <c r="E108" s="62"/>
      <c r="F108" s="389"/>
      <c r="G108" s="389">
        <f t="shared" si="307"/>
        <v>0</v>
      </c>
      <c r="H108" s="389">
        <f t="shared" si="307"/>
        <v>0</v>
      </c>
      <c r="I108" s="389">
        <f t="shared" si="307"/>
        <v>0</v>
      </c>
      <c r="J108" s="389">
        <f t="shared" si="307"/>
        <v>0</v>
      </c>
      <c r="K108" s="389">
        <f t="shared" si="307"/>
        <v>0</v>
      </c>
      <c r="L108" s="389">
        <f t="shared" si="307"/>
        <v>0</v>
      </c>
      <c r="M108" s="389">
        <f t="shared" si="307"/>
        <v>0</v>
      </c>
      <c r="N108" s="389">
        <f t="shared" si="307"/>
        <v>0</v>
      </c>
      <c r="O108" s="389">
        <f t="shared" si="307"/>
        <v>0</v>
      </c>
      <c r="P108" s="389">
        <f t="shared" si="307"/>
        <v>0</v>
      </c>
      <c r="Q108" s="389">
        <f t="shared" si="307"/>
        <v>0</v>
      </c>
      <c r="R108" s="10"/>
      <c r="S108" s="389">
        <f t="shared" si="306"/>
        <v>0</v>
      </c>
      <c r="T108" s="389">
        <f t="shared" si="308"/>
        <v>0</v>
      </c>
      <c r="U108" s="389">
        <f t="shared" si="308"/>
        <v>0</v>
      </c>
      <c r="V108" s="389">
        <f t="shared" si="308"/>
        <v>0</v>
      </c>
      <c r="W108" s="389">
        <f t="shared" si="308"/>
        <v>0</v>
      </c>
      <c r="X108" s="389">
        <f t="shared" si="308"/>
        <v>0</v>
      </c>
      <c r="Y108" s="389">
        <f t="shared" si="308"/>
        <v>0</v>
      </c>
      <c r="Z108" s="389">
        <f t="shared" si="308"/>
        <v>0</v>
      </c>
      <c r="AA108" s="389">
        <f t="shared" si="308"/>
        <v>0</v>
      </c>
      <c r="AB108" s="389">
        <f t="shared" si="308"/>
        <v>0</v>
      </c>
      <c r="AC108" s="389">
        <f t="shared" si="308"/>
        <v>0</v>
      </c>
      <c r="AD108" s="389">
        <f t="shared" si="308"/>
        <v>0</v>
      </c>
      <c r="AE108" s="10"/>
      <c r="AF108" s="10">
        <f t="shared" si="259"/>
        <v>0</v>
      </c>
      <c r="AG108" s="10">
        <f t="shared" si="309"/>
        <v>0</v>
      </c>
      <c r="AH108" s="10">
        <f t="shared" si="309"/>
        <v>0</v>
      </c>
      <c r="AI108" s="10">
        <f t="shared" si="309"/>
        <v>0</v>
      </c>
      <c r="AJ108" s="10">
        <f t="shared" si="309"/>
        <v>0</v>
      </c>
      <c r="AK108" s="10">
        <f t="shared" si="309"/>
        <v>0</v>
      </c>
      <c r="AL108" s="10">
        <f t="shared" si="309"/>
        <v>0</v>
      </c>
      <c r="AM108" s="10">
        <f t="shared" si="309"/>
        <v>0</v>
      </c>
      <c r="AN108" s="10">
        <f t="shared" si="309"/>
        <v>0</v>
      </c>
      <c r="AO108" s="10">
        <f t="shared" si="309"/>
        <v>0</v>
      </c>
      <c r="AP108" s="10">
        <f t="shared" si="309"/>
        <v>0</v>
      </c>
      <c r="AQ108" s="10">
        <f t="shared" si="309"/>
        <v>0</v>
      </c>
      <c r="AR108" s="389"/>
      <c r="AS108" s="389">
        <f t="shared" si="261"/>
        <v>0</v>
      </c>
      <c r="AT108" s="389">
        <f t="shared" si="310"/>
        <v>0</v>
      </c>
      <c r="AU108" s="389">
        <f t="shared" si="310"/>
        <v>0</v>
      </c>
      <c r="AV108" s="389">
        <f t="shared" si="310"/>
        <v>0</v>
      </c>
      <c r="AW108" s="389">
        <f t="shared" si="310"/>
        <v>0</v>
      </c>
      <c r="AX108" s="389">
        <f t="shared" si="310"/>
        <v>0</v>
      </c>
      <c r="AY108" s="389">
        <f t="shared" si="310"/>
        <v>0</v>
      </c>
      <c r="AZ108" s="389">
        <f t="shared" si="310"/>
        <v>0</v>
      </c>
      <c r="BA108" s="389">
        <f t="shared" si="310"/>
        <v>0</v>
      </c>
      <c r="BB108" s="389">
        <f t="shared" si="310"/>
        <v>0</v>
      </c>
      <c r="BC108" s="389">
        <f t="shared" si="310"/>
        <v>0</v>
      </c>
      <c r="BD108" s="389">
        <f t="shared" si="310"/>
        <v>0</v>
      </c>
      <c r="BE108" s="389"/>
      <c r="BF108" s="389">
        <f t="shared" si="263"/>
        <v>0</v>
      </c>
      <c r="BG108" s="389">
        <f t="shared" si="311"/>
        <v>0</v>
      </c>
      <c r="BH108" s="389">
        <f t="shared" si="311"/>
        <v>0</v>
      </c>
      <c r="BI108" s="389">
        <f t="shared" si="311"/>
        <v>0</v>
      </c>
      <c r="BJ108" s="389">
        <f t="shared" si="311"/>
        <v>0</v>
      </c>
      <c r="BK108" s="389">
        <f t="shared" si="311"/>
        <v>0</v>
      </c>
      <c r="BL108" s="389">
        <f t="shared" si="311"/>
        <v>0</v>
      </c>
      <c r="BM108" s="389">
        <f t="shared" si="311"/>
        <v>0</v>
      </c>
      <c r="BN108" s="389">
        <f t="shared" si="311"/>
        <v>0</v>
      </c>
      <c r="BO108" s="389">
        <f t="shared" si="311"/>
        <v>0</v>
      </c>
      <c r="BP108" s="389">
        <f t="shared" si="311"/>
        <v>0</v>
      </c>
      <c r="BQ108" s="389">
        <f t="shared" si="311"/>
        <v>0</v>
      </c>
      <c r="BR108" s="389"/>
      <c r="BS108" s="389">
        <f t="shared" si="265"/>
        <v>0</v>
      </c>
      <c r="BT108" s="389">
        <f t="shared" si="312"/>
        <v>0</v>
      </c>
      <c r="BU108" s="389">
        <f t="shared" si="312"/>
        <v>0</v>
      </c>
      <c r="BV108" s="389">
        <f t="shared" si="312"/>
        <v>0</v>
      </c>
      <c r="BW108" s="389">
        <f t="shared" si="312"/>
        <v>0</v>
      </c>
      <c r="BX108" s="389">
        <f t="shared" si="312"/>
        <v>0</v>
      </c>
      <c r="BY108" s="389">
        <f t="shared" si="312"/>
        <v>0</v>
      </c>
      <c r="BZ108" s="389">
        <f t="shared" si="312"/>
        <v>0</v>
      </c>
      <c r="CA108" s="389">
        <f t="shared" si="312"/>
        <v>0</v>
      </c>
      <c r="CB108" s="389">
        <f t="shared" si="312"/>
        <v>0</v>
      </c>
      <c r="CC108" s="389">
        <f t="shared" si="312"/>
        <v>0</v>
      </c>
      <c r="CD108" s="389">
        <f t="shared" si="312"/>
        <v>0</v>
      </c>
      <c r="CE108" s="389">
        <f>BR108*CE$4/12</f>
        <v>0</v>
      </c>
      <c r="CF108" s="389">
        <f t="shared" si="267"/>
        <v>0</v>
      </c>
      <c r="CG108" s="389">
        <f t="shared" si="268"/>
        <v>0</v>
      </c>
      <c r="CH108" s="389">
        <f t="shared" si="269"/>
        <v>0</v>
      </c>
      <c r="CI108" s="389">
        <f t="shared" si="270"/>
        <v>0</v>
      </c>
      <c r="CJ108" s="389">
        <f t="shared" si="271"/>
        <v>0</v>
      </c>
      <c r="CK108" s="389">
        <f t="shared" si="272"/>
        <v>0</v>
      </c>
      <c r="CL108" s="389">
        <f t="shared" si="273"/>
        <v>0</v>
      </c>
      <c r="CM108" s="389">
        <f t="shared" si="274"/>
        <v>0</v>
      </c>
      <c r="CN108" s="389">
        <f t="shared" si="275"/>
        <v>0</v>
      </c>
      <c r="CO108" s="389">
        <f t="shared" si="276"/>
        <v>0</v>
      </c>
      <c r="CP108" s="389">
        <f t="shared" si="277"/>
        <v>0</v>
      </c>
      <c r="CQ108" s="389">
        <f t="shared" si="278"/>
        <v>0</v>
      </c>
      <c r="CR108" s="389">
        <f>CE108*CR$4/12</f>
        <v>0</v>
      </c>
      <c r="CS108" s="389">
        <f t="shared" si="279"/>
        <v>0</v>
      </c>
      <c r="CT108" s="389">
        <f t="shared" si="280"/>
        <v>0</v>
      </c>
      <c r="CU108" s="389">
        <f t="shared" si="281"/>
        <v>0</v>
      </c>
      <c r="CV108" s="389">
        <f t="shared" si="282"/>
        <v>0</v>
      </c>
      <c r="CW108" s="389">
        <f t="shared" si="283"/>
        <v>0</v>
      </c>
      <c r="CX108" s="389">
        <f t="shared" si="284"/>
        <v>0</v>
      </c>
      <c r="CY108" s="389">
        <f t="shared" si="285"/>
        <v>0</v>
      </c>
      <c r="CZ108" s="389">
        <f t="shared" si="286"/>
        <v>0</v>
      </c>
      <c r="DA108" s="389">
        <f t="shared" si="287"/>
        <v>0</v>
      </c>
      <c r="DB108" s="389">
        <f t="shared" si="288"/>
        <v>0</v>
      </c>
      <c r="DC108" s="389">
        <f t="shared" si="289"/>
        <v>0</v>
      </c>
      <c r="DD108" s="389">
        <f t="shared" si="290"/>
        <v>0</v>
      </c>
      <c r="DE108" s="389">
        <f>CR108*DE$4/12</f>
        <v>0</v>
      </c>
      <c r="DF108" s="389">
        <f t="shared" si="291"/>
        <v>0</v>
      </c>
      <c r="DG108" s="389">
        <f t="shared" si="292"/>
        <v>0</v>
      </c>
      <c r="DH108" s="389">
        <f t="shared" si="293"/>
        <v>0</v>
      </c>
      <c r="DI108" s="389">
        <f t="shared" si="294"/>
        <v>0</v>
      </c>
      <c r="DJ108" s="389">
        <f t="shared" si="295"/>
        <v>0</v>
      </c>
      <c r="DK108" s="389">
        <f t="shared" si="296"/>
        <v>0</v>
      </c>
      <c r="DL108" s="389">
        <f t="shared" si="297"/>
        <v>0</v>
      </c>
      <c r="DM108" s="389">
        <f t="shared" si="298"/>
        <v>0</v>
      </c>
      <c r="DN108" s="389">
        <f t="shared" si="299"/>
        <v>0</v>
      </c>
      <c r="DO108" s="389">
        <f t="shared" si="300"/>
        <v>0</v>
      </c>
      <c r="DP108" s="389">
        <f t="shared" si="301"/>
        <v>0</v>
      </c>
      <c r="DQ108" s="389">
        <f t="shared" si="302"/>
        <v>0</v>
      </c>
      <c r="DR108" s="389">
        <f>DE108*DR$4/12</f>
        <v>0</v>
      </c>
      <c r="DS108" s="31">
        <f>SUM(F108:Q108)+SUM(S108:AD108)+SUM(AF108:AQ108)+SUM(AS108:BD108)+SUM(BF108:BQ108)+SUM(BS108:CD108)</f>
        <v>0</v>
      </c>
      <c r="DT108" s="31"/>
      <c r="DU108" s="9"/>
      <c r="DW108" s="7"/>
      <c r="DX108" s="7"/>
      <c r="DY108" s="7"/>
      <c r="DZ108" s="7"/>
      <c r="EA108" s="7"/>
      <c r="EB108" s="7"/>
      <c r="EC108" s="7"/>
    </row>
    <row r="109" spans="3:133" hidden="1">
      <c r="C109" s="57" t="s">
        <v>26</v>
      </c>
      <c r="D109" s="57"/>
      <c r="E109" s="62"/>
      <c r="F109" s="389">
        <v>0</v>
      </c>
      <c r="G109" s="389">
        <f t="shared" si="307"/>
        <v>0</v>
      </c>
      <c r="H109" s="389">
        <f t="shared" si="307"/>
        <v>0</v>
      </c>
      <c r="I109" s="389">
        <f t="shared" si="307"/>
        <v>0</v>
      </c>
      <c r="J109" s="389">
        <f t="shared" si="307"/>
        <v>0</v>
      </c>
      <c r="K109" s="389">
        <f t="shared" si="307"/>
        <v>0</v>
      </c>
      <c r="L109" s="389">
        <f t="shared" si="307"/>
        <v>0</v>
      </c>
      <c r="M109" s="389">
        <f t="shared" si="307"/>
        <v>0</v>
      </c>
      <c r="N109" s="389">
        <f t="shared" si="307"/>
        <v>0</v>
      </c>
      <c r="O109" s="389">
        <f t="shared" si="307"/>
        <v>0</v>
      </c>
      <c r="P109" s="389">
        <f t="shared" si="307"/>
        <v>0</v>
      </c>
      <c r="Q109" s="389">
        <f t="shared" si="307"/>
        <v>0</v>
      </c>
      <c r="R109" s="10"/>
      <c r="S109" s="389">
        <f t="shared" si="306"/>
        <v>0</v>
      </c>
      <c r="T109" s="389">
        <f t="shared" si="308"/>
        <v>0</v>
      </c>
      <c r="U109" s="389">
        <f t="shared" si="308"/>
        <v>0</v>
      </c>
      <c r="V109" s="389">
        <f t="shared" si="308"/>
        <v>0</v>
      </c>
      <c r="W109" s="389">
        <f t="shared" si="308"/>
        <v>0</v>
      </c>
      <c r="X109" s="389">
        <f t="shared" si="308"/>
        <v>0</v>
      </c>
      <c r="Y109" s="389">
        <f t="shared" si="308"/>
        <v>0</v>
      </c>
      <c r="Z109" s="389">
        <f t="shared" si="308"/>
        <v>0</v>
      </c>
      <c r="AA109" s="389">
        <f t="shared" si="308"/>
        <v>0</v>
      </c>
      <c r="AB109" s="389">
        <f t="shared" si="308"/>
        <v>0</v>
      </c>
      <c r="AC109" s="389">
        <f t="shared" si="308"/>
        <v>0</v>
      </c>
      <c r="AD109" s="389">
        <f t="shared" si="308"/>
        <v>0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389">
        <f>AD109*AR$4/12</f>
        <v>0</v>
      </c>
      <c r="AS109" s="389"/>
      <c r="AT109" s="389"/>
      <c r="AU109" s="389"/>
      <c r="AV109" s="389"/>
      <c r="AW109" s="389"/>
      <c r="AX109" s="389"/>
      <c r="AY109" s="389"/>
      <c r="AZ109" s="389"/>
      <c r="BA109" s="389"/>
      <c r="BB109" s="389"/>
      <c r="BC109" s="389"/>
      <c r="BD109" s="389"/>
      <c r="BE109" s="389">
        <f>AR109*BE$4/12</f>
        <v>0</v>
      </c>
      <c r="BF109" s="389"/>
      <c r="BG109" s="389"/>
      <c r="BH109" s="389"/>
      <c r="BI109" s="389"/>
      <c r="BJ109" s="389"/>
      <c r="BK109" s="389"/>
      <c r="BL109" s="389"/>
      <c r="BM109" s="389"/>
      <c r="BN109" s="389"/>
      <c r="BO109" s="389"/>
      <c r="BP109" s="389"/>
      <c r="BQ109" s="389"/>
      <c r="BR109" s="389">
        <f>BE109*BR$4/12</f>
        <v>0</v>
      </c>
      <c r="BS109" s="389"/>
      <c r="BT109" s="389"/>
      <c r="BU109" s="389"/>
      <c r="BV109" s="389"/>
      <c r="BW109" s="389"/>
      <c r="BX109" s="389"/>
      <c r="BY109" s="389"/>
      <c r="BZ109" s="389"/>
      <c r="CA109" s="389"/>
      <c r="CB109" s="389"/>
      <c r="CC109" s="389"/>
      <c r="CD109" s="389"/>
      <c r="CE109" s="389">
        <f>BR109*CE$4/12</f>
        <v>0</v>
      </c>
      <c r="CF109" s="389"/>
      <c r="CG109" s="389"/>
      <c r="CH109" s="389"/>
      <c r="CI109" s="389"/>
      <c r="CJ109" s="389"/>
      <c r="CK109" s="389"/>
      <c r="CL109" s="389"/>
      <c r="CM109" s="389"/>
      <c r="CN109" s="389"/>
      <c r="CO109" s="389"/>
      <c r="CP109" s="389"/>
      <c r="CQ109" s="389"/>
      <c r="CR109" s="389">
        <f>CE109*CR$4/12</f>
        <v>0</v>
      </c>
      <c r="CS109" s="389"/>
      <c r="CT109" s="389"/>
      <c r="CU109" s="389"/>
      <c r="CV109" s="389"/>
      <c r="CW109" s="389"/>
      <c r="CX109" s="389"/>
      <c r="CY109" s="389"/>
      <c r="CZ109" s="389"/>
      <c r="DA109" s="389"/>
      <c r="DB109" s="389"/>
      <c r="DC109" s="389"/>
      <c r="DD109" s="389"/>
      <c r="DE109" s="389">
        <f>CR109*DE$4/12</f>
        <v>0</v>
      </c>
      <c r="DF109" s="389"/>
      <c r="DG109" s="389"/>
      <c r="DH109" s="389"/>
      <c r="DI109" s="389"/>
      <c r="DJ109" s="389"/>
      <c r="DK109" s="389"/>
      <c r="DL109" s="389"/>
      <c r="DM109" s="389"/>
      <c r="DN109" s="389"/>
      <c r="DO109" s="389"/>
      <c r="DP109" s="389"/>
      <c r="DQ109" s="389"/>
      <c r="DR109" s="389">
        <f>DE109*DR$4/12</f>
        <v>0</v>
      </c>
      <c r="DS109" s="31"/>
      <c r="DT109" s="31"/>
      <c r="DU109" s="10"/>
      <c r="DV109" s="8"/>
      <c r="DW109" s="7"/>
      <c r="DX109" s="7"/>
      <c r="DY109" s="7"/>
      <c r="DZ109" s="7"/>
      <c r="EA109" s="7"/>
      <c r="EB109" s="7"/>
      <c r="EC109" s="7"/>
    </row>
    <row r="110" spans="3:133">
      <c r="C110" s="396" t="s">
        <v>27</v>
      </c>
      <c r="D110" s="57"/>
      <c r="E110" s="62"/>
      <c r="F110" s="12">
        <f t="shared" ref="F110:AK110" si="314">SUM(F87:F109)</f>
        <v>0</v>
      </c>
      <c r="G110" s="12">
        <f t="shared" si="314"/>
        <v>0</v>
      </c>
      <c r="H110" s="12">
        <f t="shared" si="314"/>
        <v>0</v>
      </c>
      <c r="I110" s="12">
        <f t="shared" si="314"/>
        <v>0</v>
      </c>
      <c r="J110" s="12">
        <f t="shared" si="314"/>
        <v>0</v>
      </c>
      <c r="K110" s="12">
        <f t="shared" si="314"/>
        <v>0</v>
      </c>
      <c r="L110" s="12">
        <f t="shared" si="314"/>
        <v>0</v>
      </c>
      <c r="M110" s="12">
        <f t="shared" si="314"/>
        <v>0</v>
      </c>
      <c r="N110" s="12">
        <f t="shared" si="314"/>
        <v>0</v>
      </c>
      <c r="O110" s="12">
        <f t="shared" si="314"/>
        <v>0</v>
      </c>
      <c r="P110" s="12">
        <f t="shared" si="314"/>
        <v>0</v>
      </c>
      <c r="Q110" s="12">
        <f t="shared" si="314"/>
        <v>0</v>
      </c>
      <c r="R110" s="12">
        <f t="shared" si="314"/>
        <v>0</v>
      </c>
      <c r="S110" s="12">
        <f t="shared" si="314"/>
        <v>0</v>
      </c>
      <c r="T110" s="12">
        <f t="shared" si="314"/>
        <v>0</v>
      </c>
      <c r="U110" s="12">
        <f t="shared" si="314"/>
        <v>0</v>
      </c>
      <c r="V110" s="12">
        <f t="shared" si="314"/>
        <v>0</v>
      </c>
      <c r="W110" s="12">
        <f t="shared" si="314"/>
        <v>0</v>
      </c>
      <c r="X110" s="12">
        <f t="shared" si="314"/>
        <v>0</v>
      </c>
      <c r="Y110" s="12">
        <f t="shared" si="314"/>
        <v>0</v>
      </c>
      <c r="Z110" s="12">
        <f t="shared" si="314"/>
        <v>0</v>
      </c>
      <c r="AA110" s="12">
        <f t="shared" si="314"/>
        <v>0</v>
      </c>
      <c r="AB110" s="12">
        <f t="shared" si="314"/>
        <v>0</v>
      </c>
      <c r="AC110" s="12">
        <f t="shared" si="314"/>
        <v>0</v>
      </c>
      <c r="AD110" s="12">
        <f t="shared" si="314"/>
        <v>0</v>
      </c>
      <c r="AE110" s="12">
        <f t="shared" si="314"/>
        <v>0</v>
      </c>
      <c r="AF110" s="12">
        <f t="shared" si="314"/>
        <v>0</v>
      </c>
      <c r="AG110" s="12">
        <f t="shared" si="314"/>
        <v>0</v>
      </c>
      <c r="AH110" s="12">
        <f t="shared" si="314"/>
        <v>0</v>
      </c>
      <c r="AI110" s="12">
        <f t="shared" si="314"/>
        <v>0</v>
      </c>
      <c r="AJ110" s="12">
        <f t="shared" si="314"/>
        <v>0</v>
      </c>
      <c r="AK110" s="12">
        <f t="shared" si="314"/>
        <v>0</v>
      </c>
      <c r="AL110" s="12">
        <f t="shared" ref="AL110:DT110" si="315">SUM(AL87:AL109)</f>
        <v>0</v>
      </c>
      <c r="AM110" s="12">
        <f t="shared" si="315"/>
        <v>0</v>
      </c>
      <c r="AN110" s="12">
        <f t="shared" si="315"/>
        <v>0</v>
      </c>
      <c r="AO110" s="12">
        <f t="shared" si="315"/>
        <v>0</v>
      </c>
      <c r="AP110" s="12">
        <f t="shared" si="315"/>
        <v>0</v>
      </c>
      <c r="AQ110" s="12">
        <f t="shared" si="315"/>
        <v>0</v>
      </c>
      <c r="AR110" s="12">
        <f t="shared" si="315"/>
        <v>0</v>
      </c>
      <c r="AS110" s="12">
        <f t="shared" si="315"/>
        <v>0</v>
      </c>
      <c r="AT110" s="12">
        <f t="shared" si="315"/>
        <v>0</v>
      </c>
      <c r="AU110" s="12">
        <f t="shared" si="315"/>
        <v>0</v>
      </c>
      <c r="AV110" s="12">
        <f t="shared" si="315"/>
        <v>0</v>
      </c>
      <c r="AW110" s="12">
        <f t="shared" si="315"/>
        <v>0</v>
      </c>
      <c r="AX110" s="12">
        <f t="shared" si="315"/>
        <v>0</v>
      </c>
      <c r="AY110" s="12">
        <f t="shared" si="315"/>
        <v>0</v>
      </c>
      <c r="AZ110" s="12">
        <f t="shared" si="315"/>
        <v>0</v>
      </c>
      <c r="BA110" s="12">
        <f t="shared" si="315"/>
        <v>0</v>
      </c>
      <c r="BB110" s="12">
        <f t="shared" si="315"/>
        <v>0</v>
      </c>
      <c r="BC110" s="12">
        <f t="shared" si="315"/>
        <v>0</v>
      </c>
      <c r="BD110" s="12">
        <f t="shared" si="315"/>
        <v>0</v>
      </c>
      <c r="BE110" s="12">
        <f t="shared" si="315"/>
        <v>0</v>
      </c>
      <c r="BF110" s="12">
        <f t="shared" si="315"/>
        <v>0</v>
      </c>
      <c r="BG110" s="12">
        <f t="shared" si="315"/>
        <v>0</v>
      </c>
      <c r="BH110" s="12">
        <f t="shared" si="315"/>
        <v>0</v>
      </c>
      <c r="BI110" s="12">
        <f t="shared" si="315"/>
        <v>0</v>
      </c>
      <c r="BJ110" s="12">
        <f t="shared" si="315"/>
        <v>0</v>
      </c>
      <c r="BK110" s="12">
        <f t="shared" si="315"/>
        <v>0</v>
      </c>
      <c r="BL110" s="12">
        <f t="shared" si="315"/>
        <v>0</v>
      </c>
      <c r="BM110" s="12">
        <f t="shared" si="315"/>
        <v>0</v>
      </c>
      <c r="BN110" s="12">
        <f t="shared" si="315"/>
        <v>0</v>
      </c>
      <c r="BO110" s="12">
        <f t="shared" si="315"/>
        <v>0</v>
      </c>
      <c r="BP110" s="12">
        <f t="shared" si="315"/>
        <v>0</v>
      </c>
      <c r="BQ110" s="12">
        <f t="shared" si="315"/>
        <v>0</v>
      </c>
      <c r="BR110" s="12">
        <f t="shared" si="315"/>
        <v>0</v>
      </c>
      <c r="BS110" s="12">
        <f t="shared" si="315"/>
        <v>0</v>
      </c>
      <c r="BT110" s="12">
        <f t="shared" si="315"/>
        <v>0</v>
      </c>
      <c r="BU110" s="12">
        <f t="shared" si="315"/>
        <v>0</v>
      </c>
      <c r="BV110" s="12">
        <f t="shared" si="315"/>
        <v>0</v>
      </c>
      <c r="BW110" s="12">
        <f t="shared" si="315"/>
        <v>0</v>
      </c>
      <c r="BX110" s="12">
        <f t="shared" si="315"/>
        <v>0</v>
      </c>
      <c r="BY110" s="12">
        <f t="shared" si="315"/>
        <v>0</v>
      </c>
      <c r="BZ110" s="12">
        <f t="shared" si="315"/>
        <v>0</v>
      </c>
      <c r="CA110" s="12">
        <f t="shared" si="315"/>
        <v>0</v>
      </c>
      <c r="CB110" s="12">
        <f t="shared" si="315"/>
        <v>0</v>
      </c>
      <c r="CC110" s="12">
        <f t="shared" si="315"/>
        <v>0</v>
      </c>
      <c r="CD110" s="12">
        <f t="shared" si="315"/>
        <v>0</v>
      </c>
      <c r="CE110" s="12">
        <f t="shared" si="315"/>
        <v>0</v>
      </c>
      <c r="CF110" s="12">
        <f t="shared" ref="CF110:DR110" si="316">SUM(CF87:CF109)</f>
        <v>0</v>
      </c>
      <c r="CG110" s="12">
        <f t="shared" si="316"/>
        <v>0</v>
      </c>
      <c r="CH110" s="12">
        <f t="shared" si="316"/>
        <v>0</v>
      </c>
      <c r="CI110" s="12">
        <f t="shared" si="316"/>
        <v>0</v>
      </c>
      <c r="CJ110" s="12">
        <f t="shared" si="316"/>
        <v>0</v>
      </c>
      <c r="CK110" s="12">
        <f t="shared" si="316"/>
        <v>0</v>
      </c>
      <c r="CL110" s="12">
        <f t="shared" si="316"/>
        <v>0</v>
      </c>
      <c r="CM110" s="12">
        <f t="shared" si="316"/>
        <v>0</v>
      </c>
      <c r="CN110" s="12">
        <f t="shared" si="316"/>
        <v>0</v>
      </c>
      <c r="CO110" s="12">
        <f t="shared" si="316"/>
        <v>0</v>
      </c>
      <c r="CP110" s="12">
        <f t="shared" si="316"/>
        <v>0</v>
      </c>
      <c r="CQ110" s="12">
        <f t="shared" si="316"/>
        <v>0</v>
      </c>
      <c r="CR110" s="12">
        <f t="shared" si="316"/>
        <v>0</v>
      </c>
      <c r="CS110" s="12">
        <f t="shared" si="316"/>
        <v>0</v>
      </c>
      <c r="CT110" s="12">
        <f t="shared" si="316"/>
        <v>0</v>
      </c>
      <c r="CU110" s="12">
        <f t="shared" si="316"/>
        <v>0</v>
      </c>
      <c r="CV110" s="12">
        <f t="shared" si="316"/>
        <v>0</v>
      </c>
      <c r="CW110" s="12">
        <f t="shared" si="316"/>
        <v>0</v>
      </c>
      <c r="CX110" s="12">
        <f t="shared" si="316"/>
        <v>0</v>
      </c>
      <c r="CY110" s="12">
        <f t="shared" si="316"/>
        <v>0</v>
      </c>
      <c r="CZ110" s="12">
        <f t="shared" si="316"/>
        <v>0</v>
      </c>
      <c r="DA110" s="12">
        <f t="shared" si="316"/>
        <v>0</v>
      </c>
      <c r="DB110" s="12">
        <f t="shared" si="316"/>
        <v>0</v>
      </c>
      <c r="DC110" s="12">
        <f t="shared" si="316"/>
        <v>0</v>
      </c>
      <c r="DD110" s="12">
        <f t="shared" si="316"/>
        <v>0</v>
      </c>
      <c r="DE110" s="12">
        <f t="shared" si="316"/>
        <v>0</v>
      </c>
      <c r="DF110" s="12">
        <f t="shared" si="316"/>
        <v>0</v>
      </c>
      <c r="DG110" s="12">
        <f t="shared" si="316"/>
        <v>0</v>
      </c>
      <c r="DH110" s="12">
        <f t="shared" si="316"/>
        <v>0</v>
      </c>
      <c r="DI110" s="12">
        <f t="shared" si="316"/>
        <v>0</v>
      </c>
      <c r="DJ110" s="12">
        <f t="shared" si="316"/>
        <v>0</v>
      </c>
      <c r="DK110" s="12">
        <f t="shared" si="316"/>
        <v>0</v>
      </c>
      <c r="DL110" s="12">
        <f t="shared" si="316"/>
        <v>0</v>
      </c>
      <c r="DM110" s="12">
        <f t="shared" si="316"/>
        <v>0</v>
      </c>
      <c r="DN110" s="12">
        <f t="shared" si="316"/>
        <v>0</v>
      </c>
      <c r="DO110" s="12">
        <f t="shared" si="316"/>
        <v>0</v>
      </c>
      <c r="DP110" s="12">
        <f t="shared" si="316"/>
        <v>0</v>
      </c>
      <c r="DQ110" s="12">
        <f t="shared" si="316"/>
        <v>0</v>
      </c>
      <c r="DR110" s="12">
        <f t="shared" si="316"/>
        <v>0</v>
      </c>
      <c r="DS110" s="30">
        <f t="shared" si="315"/>
        <v>0</v>
      </c>
      <c r="DT110" s="30">
        <f t="shared" si="315"/>
        <v>0</v>
      </c>
      <c r="DU110" s="13"/>
      <c r="DV110" s="8"/>
      <c r="DW110" s="7"/>
      <c r="DX110" s="7"/>
      <c r="DY110" s="7"/>
      <c r="DZ110" s="7"/>
      <c r="EA110" s="7"/>
      <c r="EB110" s="7"/>
      <c r="EC110" s="7"/>
    </row>
    <row r="111" spans="3:133">
      <c r="C111" s="57"/>
      <c r="D111" s="57"/>
      <c r="E111" s="62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31"/>
      <c r="DT111" s="31"/>
      <c r="DU111" s="9"/>
      <c r="DV111" s="8"/>
      <c r="DW111" s="7"/>
      <c r="DX111" s="7"/>
      <c r="DY111" s="7"/>
      <c r="DZ111" s="7"/>
      <c r="EA111" s="7"/>
      <c r="EB111" s="7"/>
      <c r="EC111" s="7"/>
    </row>
    <row r="112" spans="3:133">
      <c r="C112" s="59" t="s">
        <v>28</v>
      </c>
      <c r="D112" s="59"/>
      <c r="E112" s="63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31"/>
      <c r="DT112" s="31"/>
      <c r="DU112" s="9"/>
      <c r="DV112" s="8"/>
      <c r="DW112" s="7"/>
      <c r="DX112" s="7"/>
      <c r="DY112" s="7"/>
      <c r="DZ112" s="7"/>
      <c r="EA112" s="7"/>
      <c r="EB112" s="7"/>
      <c r="EC112" s="7"/>
    </row>
    <row r="113" spans="3:133">
      <c r="C113" s="57" t="str">
        <f>C7</f>
        <v>Skillbay/Contract Hires-</v>
      </c>
      <c r="D113" s="57"/>
      <c r="E113" s="62"/>
      <c r="F113" s="9">
        <f t="shared" ref="F113:BQ113" si="317">F7</f>
        <v>0</v>
      </c>
      <c r="G113" s="9">
        <f t="shared" si="317"/>
        <v>0</v>
      </c>
      <c r="H113" s="9">
        <f t="shared" si="317"/>
        <v>0</v>
      </c>
      <c r="I113" s="9">
        <f t="shared" si="317"/>
        <v>0</v>
      </c>
      <c r="J113" s="9">
        <f t="shared" si="317"/>
        <v>0</v>
      </c>
      <c r="K113" s="9">
        <f t="shared" si="317"/>
        <v>0</v>
      </c>
      <c r="L113" s="9">
        <f t="shared" si="317"/>
        <v>0</v>
      </c>
      <c r="M113" s="9">
        <f t="shared" si="317"/>
        <v>0</v>
      </c>
      <c r="N113" s="9">
        <f t="shared" si="317"/>
        <v>0</v>
      </c>
      <c r="O113" s="9">
        <f t="shared" si="317"/>
        <v>0</v>
      </c>
      <c r="P113" s="9">
        <f t="shared" si="317"/>
        <v>0</v>
      </c>
      <c r="Q113" s="9">
        <f t="shared" si="317"/>
        <v>0</v>
      </c>
      <c r="R113" s="9">
        <f t="shared" si="317"/>
        <v>0</v>
      </c>
      <c r="S113" s="9">
        <f t="shared" si="317"/>
        <v>0</v>
      </c>
      <c r="T113" s="9">
        <f t="shared" si="317"/>
        <v>0</v>
      </c>
      <c r="U113" s="9">
        <f t="shared" si="317"/>
        <v>0</v>
      </c>
      <c r="V113" s="9">
        <f t="shared" si="317"/>
        <v>0</v>
      </c>
      <c r="W113" s="9">
        <f t="shared" si="317"/>
        <v>0</v>
      </c>
      <c r="X113" s="9">
        <f t="shared" si="317"/>
        <v>0</v>
      </c>
      <c r="Y113" s="9">
        <f t="shared" si="317"/>
        <v>0</v>
      </c>
      <c r="Z113" s="9">
        <f t="shared" si="317"/>
        <v>0</v>
      </c>
      <c r="AA113" s="9">
        <f t="shared" si="317"/>
        <v>0</v>
      </c>
      <c r="AB113" s="9">
        <f t="shared" si="317"/>
        <v>0</v>
      </c>
      <c r="AC113" s="9">
        <f t="shared" si="317"/>
        <v>0</v>
      </c>
      <c r="AD113" s="9">
        <f t="shared" si="317"/>
        <v>0</v>
      </c>
      <c r="AE113" s="9">
        <f t="shared" si="317"/>
        <v>0</v>
      </c>
      <c r="AF113" s="9">
        <f t="shared" si="317"/>
        <v>0</v>
      </c>
      <c r="AG113" s="9">
        <f t="shared" si="317"/>
        <v>0</v>
      </c>
      <c r="AH113" s="9">
        <f t="shared" si="317"/>
        <v>0</v>
      </c>
      <c r="AI113" s="9">
        <f t="shared" si="317"/>
        <v>0</v>
      </c>
      <c r="AJ113" s="9">
        <f t="shared" si="317"/>
        <v>0</v>
      </c>
      <c r="AK113" s="9">
        <f t="shared" si="317"/>
        <v>0</v>
      </c>
      <c r="AL113" s="9">
        <f t="shared" si="317"/>
        <v>0</v>
      </c>
      <c r="AM113" s="9">
        <f t="shared" si="317"/>
        <v>0</v>
      </c>
      <c r="AN113" s="9">
        <f t="shared" si="317"/>
        <v>0</v>
      </c>
      <c r="AO113" s="9">
        <f t="shared" si="317"/>
        <v>0</v>
      </c>
      <c r="AP113" s="9">
        <f t="shared" si="317"/>
        <v>0</v>
      </c>
      <c r="AQ113" s="9">
        <f t="shared" si="317"/>
        <v>0</v>
      </c>
      <c r="AR113" s="9">
        <f t="shared" si="317"/>
        <v>0</v>
      </c>
      <c r="AS113" s="9">
        <f t="shared" si="317"/>
        <v>0</v>
      </c>
      <c r="AT113" s="9">
        <f t="shared" si="317"/>
        <v>0</v>
      </c>
      <c r="AU113" s="9">
        <f t="shared" si="317"/>
        <v>0</v>
      </c>
      <c r="AV113" s="9">
        <f t="shared" si="317"/>
        <v>0</v>
      </c>
      <c r="AW113" s="9">
        <f t="shared" si="317"/>
        <v>0</v>
      </c>
      <c r="AX113" s="9">
        <f t="shared" si="317"/>
        <v>0</v>
      </c>
      <c r="AY113" s="9">
        <f t="shared" si="317"/>
        <v>0</v>
      </c>
      <c r="AZ113" s="9">
        <f t="shared" si="317"/>
        <v>0</v>
      </c>
      <c r="BA113" s="9">
        <f t="shared" si="317"/>
        <v>0</v>
      </c>
      <c r="BB113" s="9">
        <f t="shared" si="317"/>
        <v>0</v>
      </c>
      <c r="BC113" s="9">
        <f t="shared" si="317"/>
        <v>0</v>
      </c>
      <c r="BD113" s="9">
        <f t="shared" si="317"/>
        <v>0</v>
      </c>
      <c r="BE113" s="9">
        <f t="shared" si="317"/>
        <v>0</v>
      </c>
      <c r="BF113" s="9">
        <f t="shared" si="317"/>
        <v>0</v>
      </c>
      <c r="BG113" s="9">
        <f t="shared" si="317"/>
        <v>0</v>
      </c>
      <c r="BH113" s="9">
        <f t="shared" si="317"/>
        <v>0</v>
      </c>
      <c r="BI113" s="9">
        <f t="shared" si="317"/>
        <v>0</v>
      </c>
      <c r="BJ113" s="9">
        <f t="shared" si="317"/>
        <v>0</v>
      </c>
      <c r="BK113" s="9">
        <f t="shared" si="317"/>
        <v>0</v>
      </c>
      <c r="BL113" s="9">
        <f t="shared" si="317"/>
        <v>0</v>
      </c>
      <c r="BM113" s="9">
        <f t="shared" si="317"/>
        <v>0</v>
      </c>
      <c r="BN113" s="9">
        <f t="shared" si="317"/>
        <v>0</v>
      </c>
      <c r="BO113" s="9">
        <f t="shared" si="317"/>
        <v>0</v>
      </c>
      <c r="BP113" s="9">
        <f t="shared" si="317"/>
        <v>0</v>
      </c>
      <c r="BQ113" s="9">
        <f t="shared" si="317"/>
        <v>0</v>
      </c>
      <c r="BR113" s="9">
        <f t="shared" ref="BR113:CD113" si="318">BR7</f>
        <v>0</v>
      </c>
      <c r="BS113" s="9">
        <f t="shared" si="318"/>
        <v>0</v>
      </c>
      <c r="BT113" s="9">
        <f t="shared" si="318"/>
        <v>0</v>
      </c>
      <c r="BU113" s="9">
        <f t="shared" si="318"/>
        <v>0</v>
      </c>
      <c r="BV113" s="9">
        <f t="shared" si="318"/>
        <v>0</v>
      </c>
      <c r="BW113" s="9">
        <f t="shared" si="318"/>
        <v>0</v>
      </c>
      <c r="BX113" s="9">
        <f t="shared" si="318"/>
        <v>0</v>
      </c>
      <c r="BY113" s="9">
        <f t="shared" si="318"/>
        <v>0</v>
      </c>
      <c r="BZ113" s="9">
        <f t="shared" si="318"/>
        <v>0</v>
      </c>
      <c r="CA113" s="9">
        <f t="shared" si="318"/>
        <v>0</v>
      </c>
      <c r="CB113" s="9">
        <f t="shared" si="318"/>
        <v>0</v>
      </c>
      <c r="CC113" s="9">
        <f t="shared" si="318"/>
        <v>0</v>
      </c>
      <c r="CD113" s="9">
        <f t="shared" si="318"/>
        <v>0</v>
      </c>
      <c r="CE113" s="9"/>
      <c r="CF113" s="9">
        <f t="shared" ref="CF113:CQ113" si="319">CF7</f>
        <v>0</v>
      </c>
      <c r="CG113" s="9">
        <f t="shared" si="319"/>
        <v>0</v>
      </c>
      <c r="CH113" s="9">
        <f t="shared" si="319"/>
        <v>0</v>
      </c>
      <c r="CI113" s="9">
        <f t="shared" si="319"/>
        <v>0</v>
      </c>
      <c r="CJ113" s="9">
        <f t="shared" si="319"/>
        <v>0</v>
      </c>
      <c r="CK113" s="9">
        <f t="shared" si="319"/>
        <v>0</v>
      </c>
      <c r="CL113" s="9">
        <f t="shared" si="319"/>
        <v>0</v>
      </c>
      <c r="CM113" s="9">
        <f t="shared" si="319"/>
        <v>0</v>
      </c>
      <c r="CN113" s="9">
        <f t="shared" si="319"/>
        <v>0</v>
      </c>
      <c r="CO113" s="9">
        <f t="shared" si="319"/>
        <v>0</v>
      </c>
      <c r="CP113" s="9">
        <f t="shared" si="319"/>
        <v>0</v>
      </c>
      <c r="CQ113" s="9">
        <f t="shared" si="319"/>
        <v>0</v>
      </c>
      <c r="CR113" s="9"/>
      <c r="CS113" s="9">
        <f t="shared" ref="CS113:DD113" si="320">CS7</f>
        <v>0</v>
      </c>
      <c r="CT113" s="9">
        <f t="shared" si="320"/>
        <v>0</v>
      </c>
      <c r="CU113" s="9">
        <f t="shared" si="320"/>
        <v>0</v>
      </c>
      <c r="CV113" s="9">
        <f t="shared" si="320"/>
        <v>0</v>
      </c>
      <c r="CW113" s="9">
        <f t="shared" si="320"/>
        <v>0</v>
      </c>
      <c r="CX113" s="9">
        <f t="shared" si="320"/>
        <v>0</v>
      </c>
      <c r="CY113" s="9">
        <f t="shared" si="320"/>
        <v>0</v>
      </c>
      <c r="CZ113" s="9">
        <f t="shared" si="320"/>
        <v>0</v>
      </c>
      <c r="DA113" s="9">
        <f t="shared" si="320"/>
        <v>0</v>
      </c>
      <c r="DB113" s="9">
        <f t="shared" si="320"/>
        <v>0</v>
      </c>
      <c r="DC113" s="9">
        <f t="shared" si="320"/>
        <v>0</v>
      </c>
      <c r="DD113" s="9">
        <f t="shared" si="320"/>
        <v>0</v>
      </c>
      <c r="DE113" s="9"/>
      <c r="DF113" s="9">
        <f t="shared" ref="DF113:DQ113" si="321">DF7</f>
        <v>0</v>
      </c>
      <c r="DG113" s="9">
        <f t="shared" si="321"/>
        <v>0</v>
      </c>
      <c r="DH113" s="9">
        <f t="shared" si="321"/>
        <v>0</v>
      </c>
      <c r="DI113" s="9">
        <f t="shared" si="321"/>
        <v>0</v>
      </c>
      <c r="DJ113" s="9">
        <f t="shared" si="321"/>
        <v>0</v>
      </c>
      <c r="DK113" s="9">
        <f t="shared" si="321"/>
        <v>0</v>
      </c>
      <c r="DL113" s="9">
        <f t="shared" si="321"/>
        <v>0</v>
      </c>
      <c r="DM113" s="9">
        <f t="shared" si="321"/>
        <v>0</v>
      </c>
      <c r="DN113" s="9">
        <f t="shared" si="321"/>
        <v>0</v>
      </c>
      <c r="DO113" s="9">
        <f t="shared" si="321"/>
        <v>0</v>
      </c>
      <c r="DP113" s="9">
        <f t="shared" si="321"/>
        <v>0</v>
      </c>
      <c r="DQ113" s="9">
        <f t="shared" si="321"/>
        <v>0</v>
      </c>
      <c r="DR113" s="9"/>
      <c r="DS113" s="31">
        <f t="shared" ref="DS113:DS134" si="322">SUM(F113:Q113)+SUM(S113:AD113)+SUM(AF113:AQ113)+SUM(AS113:BD113)+SUM(BF113:BQ113)+SUM(BS113:CD113)+SUM(CF113:CQ113)+SUM(CS113:DD113)+SUM(DF113:DQ113)</f>
        <v>0</v>
      </c>
      <c r="DT113" s="31"/>
      <c r="DU113" s="9"/>
      <c r="DV113" s="8"/>
      <c r="DW113" s="7"/>
      <c r="DX113" s="7"/>
      <c r="DY113" s="7"/>
      <c r="DZ113" s="7"/>
      <c r="EA113" s="7"/>
      <c r="EB113" s="7"/>
      <c r="EC113" s="7"/>
    </row>
    <row r="114" spans="3:133">
      <c r="C114" s="57" t="str">
        <f>C87</f>
        <v>IT/JavaNetColdFusionIT/DeveloperJavaNetColdFusion/Junior</v>
      </c>
      <c r="D114" s="57">
        <f>+D87</f>
        <v>0</v>
      </c>
      <c r="E114" s="62" t="str">
        <f>E87</f>
        <v>B2 AP1 / B2 AP2 (0.6 to 3 yrs)</v>
      </c>
      <c r="F114" s="9">
        <f t="shared" ref="F114:Q129" si="323">F9+F35+F61+F87</f>
        <v>0</v>
      </c>
      <c r="G114" s="9">
        <f t="shared" si="323"/>
        <v>0</v>
      </c>
      <c r="H114" s="9">
        <f t="shared" si="323"/>
        <v>0</v>
      </c>
      <c r="I114" s="9">
        <f t="shared" si="323"/>
        <v>0</v>
      </c>
      <c r="J114" s="9">
        <f t="shared" si="323"/>
        <v>0</v>
      </c>
      <c r="K114" s="9">
        <f t="shared" si="323"/>
        <v>0</v>
      </c>
      <c r="L114" s="9">
        <f t="shared" si="323"/>
        <v>0</v>
      </c>
      <c r="M114" s="9">
        <f t="shared" si="323"/>
        <v>0</v>
      </c>
      <c r="N114" s="9">
        <f t="shared" si="323"/>
        <v>0</v>
      </c>
      <c r="O114" s="9">
        <f t="shared" si="323"/>
        <v>0</v>
      </c>
      <c r="P114" s="9">
        <f t="shared" si="323"/>
        <v>0</v>
      </c>
      <c r="Q114" s="9">
        <f t="shared" si="323"/>
        <v>0</v>
      </c>
      <c r="R114" s="9"/>
      <c r="S114" s="9">
        <f t="shared" ref="S114:CD117" si="324">S9+S35+S61+S87</f>
        <v>0</v>
      </c>
      <c r="T114" s="9">
        <f t="shared" si="324"/>
        <v>0</v>
      </c>
      <c r="U114" s="9">
        <f t="shared" si="324"/>
        <v>0</v>
      </c>
      <c r="V114" s="9">
        <f t="shared" si="324"/>
        <v>0</v>
      </c>
      <c r="W114" s="9">
        <f t="shared" si="324"/>
        <v>0</v>
      </c>
      <c r="X114" s="9">
        <f t="shared" si="324"/>
        <v>0</v>
      </c>
      <c r="Y114" s="9">
        <f t="shared" si="324"/>
        <v>0</v>
      </c>
      <c r="Z114" s="9">
        <f t="shared" si="324"/>
        <v>0</v>
      </c>
      <c r="AA114" s="9">
        <f t="shared" si="324"/>
        <v>0</v>
      </c>
      <c r="AB114" s="9">
        <f t="shared" si="324"/>
        <v>0</v>
      </c>
      <c r="AC114" s="9">
        <f t="shared" si="324"/>
        <v>0</v>
      </c>
      <c r="AD114" s="9">
        <f t="shared" si="324"/>
        <v>0</v>
      </c>
      <c r="AE114" s="9">
        <f t="shared" si="324"/>
        <v>0</v>
      </c>
      <c r="AF114" s="9">
        <f t="shared" si="324"/>
        <v>0</v>
      </c>
      <c r="AG114" s="9">
        <f t="shared" si="324"/>
        <v>0</v>
      </c>
      <c r="AH114" s="9">
        <f t="shared" si="324"/>
        <v>0</v>
      </c>
      <c r="AI114" s="9">
        <f t="shared" si="324"/>
        <v>0</v>
      </c>
      <c r="AJ114" s="9">
        <f t="shared" si="324"/>
        <v>0</v>
      </c>
      <c r="AK114" s="9">
        <f t="shared" si="324"/>
        <v>0</v>
      </c>
      <c r="AL114" s="9">
        <f t="shared" si="324"/>
        <v>0</v>
      </c>
      <c r="AM114" s="9">
        <f t="shared" si="324"/>
        <v>0</v>
      </c>
      <c r="AN114" s="9">
        <f t="shared" si="324"/>
        <v>0</v>
      </c>
      <c r="AO114" s="9">
        <f t="shared" si="324"/>
        <v>0</v>
      </c>
      <c r="AP114" s="9">
        <f t="shared" si="324"/>
        <v>0</v>
      </c>
      <c r="AQ114" s="9">
        <f t="shared" si="324"/>
        <v>0</v>
      </c>
      <c r="AR114" s="9">
        <f t="shared" si="324"/>
        <v>0</v>
      </c>
      <c r="AS114" s="9">
        <f t="shared" si="324"/>
        <v>0</v>
      </c>
      <c r="AT114" s="9">
        <f t="shared" si="324"/>
        <v>0</v>
      </c>
      <c r="AU114" s="9">
        <f t="shared" si="324"/>
        <v>0</v>
      </c>
      <c r="AV114" s="9">
        <f t="shared" si="324"/>
        <v>0</v>
      </c>
      <c r="AW114" s="9">
        <f t="shared" si="324"/>
        <v>0</v>
      </c>
      <c r="AX114" s="9">
        <f t="shared" si="324"/>
        <v>0</v>
      </c>
      <c r="AY114" s="9">
        <f t="shared" si="324"/>
        <v>0</v>
      </c>
      <c r="AZ114" s="9">
        <f t="shared" si="324"/>
        <v>0</v>
      </c>
      <c r="BA114" s="9">
        <f t="shared" si="324"/>
        <v>0</v>
      </c>
      <c r="BB114" s="9">
        <f t="shared" si="324"/>
        <v>0</v>
      </c>
      <c r="BC114" s="9">
        <f t="shared" si="324"/>
        <v>0</v>
      </c>
      <c r="BD114" s="9">
        <f t="shared" si="324"/>
        <v>0</v>
      </c>
      <c r="BE114" s="9">
        <f t="shared" si="324"/>
        <v>0</v>
      </c>
      <c r="BF114" s="9">
        <f t="shared" si="324"/>
        <v>0</v>
      </c>
      <c r="BG114" s="9">
        <f t="shared" si="324"/>
        <v>0</v>
      </c>
      <c r="BH114" s="9">
        <f t="shared" si="324"/>
        <v>0</v>
      </c>
      <c r="BI114" s="9">
        <f t="shared" si="324"/>
        <v>0</v>
      </c>
      <c r="BJ114" s="9">
        <f t="shared" si="324"/>
        <v>0</v>
      </c>
      <c r="BK114" s="9">
        <f t="shared" si="324"/>
        <v>0</v>
      </c>
      <c r="BL114" s="9">
        <f t="shared" si="324"/>
        <v>0</v>
      </c>
      <c r="BM114" s="9">
        <f t="shared" si="324"/>
        <v>0</v>
      </c>
      <c r="BN114" s="9">
        <f t="shared" si="324"/>
        <v>0</v>
      </c>
      <c r="BO114" s="9">
        <f t="shared" si="324"/>
        <v>0</v>
      </c>
      <c r="BP114" s="9">
        <f t="shared" si="324"/>
        <v>0</v>
      </c>
      <c r="BQ114" s="9">
        <f t="shared" si="324"/>
        <v>0</v>
      </c>
      <c r="BR114" s="9">
        <f t="shared" si="324"/>
        <v>0</v>
      </c>
      <c r="BS114" s="9">
        <f t="shared" si="324"/>
        <v>0</v>
      </c>
      <c r="BT114" s="9">
        <f t="shared" si="324"/>
        <v>0</v>
      </c>
      <c r="BU114" s="9">
        <f t="shared" si="324"/>
        <v>0</v>
      </c>
      <c r="BV114" s="9">
        <f t="shared" si="324"/>
        <v>0</v>
      </c>
      <c r="BW114" s="9">
        <f t="shared" si="324"/>
        <v>0</v>
      </c>
      <c r="BX114" s="9">
        <f t="shared" si="324"/>
        <v>0</v>
      </c>
      <c r="BY114" s="9">
        <f t="shared" si="324"/>
        <v>0</v>
      </c>
      <c r="BZ114" s="9">
        <f t="shared" si="324"/>
        <v>0</v>
      </c>
      <c r="CA114" s="9">
        <f t="shared" si="324"/>
        <v>0</v>
      </c>
      <c r="CB114" s="9">
        <f t="shared" si="324"/>
        <v>0</v>
      </c>
      <c r="CC114" s="9">
        <f t="shared" si="324"/>
        <v>0</v>
      </c>
      <c r="CD114" s="9">
        <f t="shared" si="324"/>
        <v>0</v>
      </c>
      <c r="CE114" s="9"/>
      <c r="CF114" s="9">
        <f t="shared" ref="CF114:CQ129" si="325">CF9+CF35+CF61+CF87</f>
        <v>0</v>
      </c>
      <c r="CG114" s="9">
        <f t="shared" si="325"/>
        <v>0</v>
      </c>
      <c r="CH114" s="9">
        <f t="shared" si="325"/>
        <v>0</v>
      </c>
      <c r="CI114" s="9">
        <f t="shared" si="325"/>
        <v>0</v>
      </c>
      <c r="CJ114" s="9">
        <f t="shared" si="325"/>
        <v>0</v>
      </c>
      <c r="CK114" s="9">
        <f t="shared" si="325"/>
        <v>0</v>
      </c>
      <c r="CL114" s="9">
        <f t="shared" si="325"/>
        <v>0</v>
      </c>
      <c r="CM114" s="9">
        <f t="shared" si="325"/>
        <v>0</v>
      </c>
      <c r="CN114" s="9">
        <f t="shared" si="325"/>
        <v>0</v>
      </c>
      <c r="CO114" s="9">
        <f t="shared" si="325"/>
        <v>0</v>
      </c>
      <c r="CP114" s="9">
        <f t="shared" si="325"/>
        <v>0</v>
      </c>
      <c r="CQ114" s="9">
        <f t="shared" si="325"/>
        <v>0</v>
      </c>
      <c r="CR114" s="9"/>
      <c r="CS114" s="9">
        <f t="shared" ref="CS114:DD129" si="326">CS9+CS35+CS61+CS87</f>
        <v>0</v>
      </c>
      <c r="CT114" s="9">
        <f t="shared" si="326"/>
        <v>0</v>
      </c>
      <c r="CU114" s="9">
        <f t="shared" si="326"/>
        <v>0</v>
      </c>
      <c r="CV114" s="9">
        <f t="shared" si="326"/>
        <v>0</v>
      </c>
      <c r="CW114" s="9">
        <f t="shared" si="326"/>
        <v>0</v>
      </c>
      <c r="CX114" s="9">
        <f t="shared" si="326"/>
        <v>0</v>
      </c>
      <c r="CY114" s="9">
        <f t="shared" si="326"/>
        <v>0</v>
      </c>
      <c r="CZ114" s="9">
        <f t="shared" si="326"/>
        <v>0</v>
      </c>
      <c r="DA114" s="9">
        <f t="shared" si="326"/>
        <v>0</v>
      </c>
      <c r="DB114" s="9">
        <f t="shared" si="326"/>
        <v>0</v>
      </c>
      <c r="DC114" s="9">
        <f t="shared" si="326"/>
        <v>0</v>
      </c>
      <c r="DD114" s="9">
        <f t="shared" si="326"/>
        <v>0</v>
      </c>
      <c r="DE114" s="9"/>
      <c r="DF114" s="9">
        <f t="shared" ref="DF114:DQ129" si="327">DF9+DF35+DF61+DF87</f>
        <v>0</v>
      </c>
      <c r="DG114" s="9">
        <f t="shared" si="327"/>
        <v>0</v>
      </c>
      <c r="DH114" s="9">
        <f t="shared" si="327"/>
        <v>0</v>
      </c>
      <c r="DI114" s="9">
        <f t="shared" si="327"/>
        <v>0</v>
      </c>
      <c r="DJ114" s="9">
        <f t="shared" si="327"/>
        <v>0</v>
      </c>
      <c r="DK114" s="9">
        <f t="shared" si="327"/>
        <v>0</v>
      </c>
      <c r="DL114" s="9">
        <f t="shared" si="327"/>
        <v>0</v>
      </c>
      <c r="DM114" s="9">
        <f t="shared" si="327"/>
        <v>0</v>
      </c>
      <c r="DN114" s="9">
        <f t="shared" si="327"/>
        <v>0</v>
      </c>
      <c r="DO114" s="9">
        <f t="shared" si="327"/>
        <v>0</v>
      </c>
      <c r="DP114" s="9">
        <f t="shared" si="327"/>
        <v>0</v>
      </c>
      <c r="DQ114" s="9">
        <f t="shared" si="327"/>
        <v>0</v>
      </c>
      <c r="DR114" s="9"/>
      <c r="DS114" s="31">
        <f t="shared" si="322"/>
        <v>0</v>
      </c>
      <c r="DT114" s="31">
        <f t="shared" ref="DT114:DT136" si="328">DT9+DT35+DT61+DT87</f>
        <v>0</v>
      </c>
      <c r="DU114" s="9"/>
      <c r="DV114" s="8"/>
      <c r="DW114" s="7"/>
      <c r="DX114" s="7"/>
      <c r="DY114" s="7"/>
      <c r="DZ114" s="7"/>
      <c r="EA114" s="7"/>
      <c r="EB114" s="7"/>
      <c r="EC114" s="7"/>
    </row>
    <row r="115" spans="3:133">
      <c r="C115" s="57" t="str">
        <f t="shared" ref="C115:E130" si="329">C88</f>
        <v>///</v>
      </c>
      <c r="D115" s="57">
        <f t="shared" ref="D115:D134" si="330">+D88</f>
        <v>0</v>
      </c>
      <c r="E115" s="62">
        <f t="shared" si="329"/>
        <v>0</v>
      </c>
      <c r="F115" s="9">
        <f t="shared" si="323"/>
        <v>0</v>
      </c>
      <c r="G115" s="9">
        <f t="shared" si="323"/>
        <v>0</v>
      </c>
      <c r="H115" s="9">
        <f t="shared" si="323"/>
        <v>0</v>
      </c>
      <c r="I115" s="9">
        <f t="shared" si="323"/>
        <v>0</v>
      </c>
      <c r="J115" s="9">
        <f t="shared" si="323"/>
        <v>0</v>
      </c>
      <c r="K115" s="9">
        <f t="shared" si="323"/>
        <v>0</v>
      </c>
      <c r="L115" s="9">
        <f t="shared" si="323"/>
        <v>0</v>
      </c>
      <c r="M115" s="9">
        <f t="shared" si="323"/>
        <v>0</v>
      </c>
      <c r="N115" s="9">
        <f t="shared" si="323"/>
        <v>0</v>
      </c>
      <c r="O115" s="9">
        <f t="shared" si="323"/>
        <v>0</v>
      </c>
      <c r="P115" s="9">
        <f t="shared" si="323"/>
        <v>0</v>
      </c>
      <c r="Q115" s="9">
        <f t="shared" si="323"/>
        <v>0</v>
      </c>
      <c r="R115" s="9"/>
      <c r="S115" s="9">
        <f t="shared" si="324"/>
        <v>0</v>
      </c>
      <c r="T115" s="9">
        <f t="shared" si="324"/>
        <v>0</v>
      </c>
      <c r="U115" s="9">
        <f t="shared" si="324"/>
        <v>0</v>
      </c>
      <c r="V115" s="9">
        <f t="shared" si="324"/>
        <v>0</v>
      </c>
      <c r="W115" s="9">
        <f t="shared" si="324"/>
        <v>0</v>
      </c>
      <c r="X115" s="9">
        <f t="shared" si="324"/>
        <v>0</v>
      </c>
      <c r="Y115" s="9">
        <f t="shared" si="324"/>
        <v>0</v>
      </c>
      <c r="Z115" s="9">
        <f t="shared" si="324"/>
        <v>0</v>
      </c>
      <c r="AA115" s="9">
        <f t="shared" si="324"/>
        <v>0</v>
      </c>
      <c r="AB115" s="9">
        <f t="shared" si="324"/>
        <v>0</v>
      </c>
      <c r="AC115" s="9">
        <f t="shared" si="324"/>
        <v>0</v>
      </c>
      <c r="AD115" s="9">
        <f t="shared" si="324"/>
        <v>0</v>
      </c>
      <c r="AE115" s="9">
        <f t="shared" si="324"/>
        <v>0</v>
      </c>
      <c r="AF115" s="9">
        <f t="shared" si="324"/>
        <v>0</v>
      </c>
      <c r="AG115" s="9">
        <f t="shared" si="324"/>
        <v>0</v>
      </c>
      <c r="AH115" s="9">
        <f t="shared" si="324"/>
        <v>0</v>
      </c>
      <c r="AI115" s="9">
        <f t="shared" si="324"/>
        <v>0</v>
      </c>
      <c r="AJ115" s="9">
        <f t="shared" si="324"/>
        <v>0</v>
      </c>
      <c r="AK115" s="9">
        <f t="shared" si="324"/>
        <v>0</v>
      </c>
      <c r="AL115" s="9">
        <f t="shared" si="324"/>
        <v>0</v>
      </c>
      <c r="AM115" s="9">
        <f t="shared" si="324"/>
        <v>0</v>
      </c>
      <c r="AN115" s="9">
        <f t="shared" si="324"/>
        <v>0</v>
      </c>
      <c r="AO115" s="9">
        <f t="shared" si="324"/>
        <v>0</v>
      </c>
      <c r="AP115" s="9">
        <f t="shared" si="324"/>
        <v>0</v>
      </c>
      <c r="AQ115" s="9">
        <f t="shared" si="324"/>
        <v>0</v>
      </c>
      <c r="AR115" s="9">
        <f t="shared" si="324"/>
        <v>0</v>
      </c>
      <c r="AS115" s="9">
        <f t="shared" si="324"/>
        <v>0</v>
      </c>
      <c r="AT115" s="9">
        <f t="shared" si="324"/>
        <v>0</v>
      </c>
      <c r="AU115" s="9">
        <f t="shared" si="324"/>
        <v>0</v>
      </c>
      <c r="AV115" s="9">
        <f t="shared" si="324"/>
        <v>0</v>
      </c>
      <c r="AW115" s="9">
        <f t="shared" si="324"/>
        <v>0</v>
      </c>
      <c r="AX115" s="9">
        <f t="shared" si="324"/>
        <v>0</v>
      </c>
      <c r="AY115" s="9">
        <f t="shared" si="324"/>
        <v>0</v>
      </c>
      <c r="AZ115" s="9">
        <f t="shared" si="324"/>
        <v>0</v>
      </c>
      <c r="BA115" s="9">
        <f t="shared" si="324"/>
        <v>0</v>
      </c>
      <c r="BB115" s="9">
        <f t="shared" si="324"/>
        <v>0</v>
      </c>
      <c r="BC115" s="9">
        <f t="shared" si="324"/>
        <v>0</v>
      </c>
      <c r="BD115" s="9">
        <f t="shared" si="324"/>
        <v>0</v>
      </c>
      <c r="BE115" s="9">
        <f t="shared" si="324"/>
        <v>0</v>
      </c>
      <c r="BF115" s="9">
        <f t="shared" si="324"/>
        <v>0</v>
      </c>
      <c r="BG115" s="9">
        <f t="shared" si="324"/>
        <v>0</v>
      </c>
      <c r="BH115" s="9">
        <f t="shared" si="324"/>
        <v>0</v>
      </c>
      <c r="BI115" s="9">
        <f t="shared" si="324"/>
        <v>0</v>
      </c>
      <c r="BJ115" s="9">
        <f t="shared" si="324"/>
        <v>0</v>
      </c>
      <c r="BK115" s="9">
        <f t="shared" si="324"/>
        <v>0</v>
      </c>
      <c r="BL115" s="9">
        <f t="shared" si="324"/>
        <v>0</v>
      </c>
      <c r="BM115" s="9">
        <f t="shared" si="324"/>
        <v>0</v>
      </c>
      <c r="BN115" s="9">
        <f t="shared" si="324"/>
        <v>0</v>
      </c>
      <c r="BO115" s="9">
        <f t="shared" si="324"/>
        <v>0</v>
      </c>
      <c r="BP115" s="9">
        <f t="shared" si="324"/>
        <v>0</v>
      </c>
      <c r="BQ115" s="9">
        <f t="shared" si="324"/>
        <v>0</v>
      </c>
      <c r="BR115" s="9">
        <f t="shared" si="324"/>
        <v>0</v>
      </c>
      <c r="BS115" s="9">
        <f t="shared" si="324"/>
        <v>0</v>
      </c>
      <c r="BT115" s="9">
        <f t="shared" si="324"/>
        <v>0</v>
      </c>
      <c r="BU115" s="9">
        <f t="shared" si="324"/>
        <v>0</v>
      </c>
      <c r="BV115" s="9">
        <f t="shared" si="324"/>
        <v>0</v>
      </c>
      <c r="BW115" s="9">
        <f t="shared" si="324"/>
        <v>0</v>
      </c>
      <c r="BX115" s="9">
        <f t="shared" si="324"/>
        <v>0</v>
      </c>
      <c r="BY115" s="9">
        <f t="shared" si="324"/>
        <v>0</v>
      </c>
      <c r="BZ115" s="9">
        <f t="shared" si="324"/>
        <v>0</v>
      </c>
      <c r="CA115" s="9">
        <f t="shared" si="324"/>
        <v>0</v>
      </c>
      <c r="CB115" s="9">
        <f t="shared" si="324"/>
        <v>0</v>
      </c>
      <c r="CC115" s="9">
        <f t="shared" si="324"/>
        <v>0</v>
      </c>
      <c r="CD115" s="9">
        <f t="shared" si="324"/>
        <v>0</v>
      </c>
      <c r="CE115" s="9"/>
      <c r="CF115" s="9">
        <f t="shared" si="325"/>
        <v>0</v>
      </c>
      <c r="CG115" s="9">
        <f t="shared" si="325"/>
        <v>0</v>
      </c>
      <c r="CH115" s="9">
        <f t="shared" si="325"/>
        <v>0</v>
      </c>
      <c r="CI115" s="9">
        <f t="shared" si="325"/>
        <v>0</v>
      </c>
      <c r="CJ115" s="9">
        <f t="shared" si="325"/>
        <v>0</v>
      </c>
      <c r="CK115" s="9">
        <f t="shared" si="325"/>
        <v>0</v>
      </c>
      <c r="CL115" s="9">
        <f t="shared" si="325"/>
        <v>0</v>
      </c>
      <c r="CM115" s="9">
        <f t="shared" si="325"/>
        <v>0</v>
      </c>
      <c r="CN115" s="9">
        <f t="shared" si="325"/>
        <v>0</v>
      </c>
      <c r="CO115" s="9">
        <f t="shared" si="325"/>
        <v>0</v>
      </c>
      <c r="CP115" s="9">
        <f t="shared" si="325"/>
        <v>0</v>
      </c>
      <c r="CQ115" s="9">
        <f t="shared" si="325"/>
        <v>0</v>
      </c>
      <c r="CR115" s="9"/>
      <c r="CS115" s="9">
        <f t="shared" si="326"/>
        <v>0</v>
      </c>
      <c r="CT115" s="9">
        <f t="shared" si="326"/>
        <v>0</v>
      </c>
      <c r="CU115" s="9">
        <f t="shared" si="326"/>
        <v>0</v>
      </c>
      <c r="CV115" s="9">
        <f t="shared" si="326"/>
        <v>0</v>
      </c>
      <c r="CW115" s="9">
        <f t="shared" si="326"/>
        <v>0</v>
      </c>
      <c r="CX115" s="9">
        <f t="shared" si="326"/>
        <v>0</v>
      </c>
      <c r="CY115" s="9">
        <f t="shared" si="326"/>
        <v>0</v>
      </c>
      <c r="CZ115" s="9">
        <f t="shared" si="326"/>
        <v>0</v>
      </c>
      <c r="DA115" s="9">
        <f t="shared" si="326"/>
        <v>0</v>
      </c>
      <c r="DB115" s="9">
        <f t="shared" si="326"/>
        <v>0</v>
      </c>
      <c r="DC115" s="9">
        <f t="shared" si="326"/>
        <v>0</v>
      </c>
      <c r="DD115" s="9">
        <f t="shared" si="326"/>
        <v>0</v>
      </c>
      <c r="DE115" s="9"/>
      <c r="DF115" s="9">
        <f t="shared" si="327"/>
        <v>0</v>
      </c>
      <c r="DG115" s="9">
        <f t="shared" si="327"/>
        <v>0</v>
      </c>
      <c r="DH115" s="9">
        <f t="shared" si="327"/>
        <v>0</v>
      </c>
      <c r="DI115" s="9">
        <f t="shared" si="327"/>
        <v>0</v>
      </c>
      <c r="DJ115" s="9">
        <f t="shared" si="327"/>
        <v>0</v>
      </c>
      <c r="DK115" s="9">
        <f t="shared" si="327"/>
        <v>0</v>
      </c>
      <c r="DL115" s="9">
        <f t="shared" si="327"/>
        <v>0</v>
      </c>
      <c r="DM115" s="9">
        <f t="shared" si="327"/>
        <v>0</v>
      </c>
      <c r="DN115" s="9">
        <f t="shared" si="327"/>
        <v>0</v>
      </c>
      <c r="DO115" s="9">
        <f t="shared" si="327"/>
        <v>0</v>
      </c>
      <c r="DP115" s="9">
        <f t="shared" si="327"/>
        <v>0</v>
      </c>
      <c r="DQ115" s="9">
        <f t="shared" si="327"/>
        <v>0</v>
      </c>
      <c r="DR115" s="9"/>
      <c r="DS115" s="31">
        <f t="shared" si="322"/>
        <v>0</v>
      </c>
      <c r="DT115" s="31">
        <f t="shared" si="328"/>
        <v>0</v>
      </c>
      <c r="DU115" s="9"/>
      <c r="DV115" s="8"/>
      <c r="DW115" s="7"/>
      <c r="DX115" s="7"/>
      <c r="DY115" s="7"/>
      <c r="DZ115" s="7"/>
      <c r="EA115" s="7"/>
      <c r="EB115" s="7"/>
      <c r="EC115" s="7"/>
    </row>
    <row r="116" spans="3:133">
      <c r="C116" s="57" t="str">
        <f t="shared" si="329"/>
        <v>///</v>
      </c>
      <c r="D116" s="57">
        <f t="shared" si="330"/>
        <v>0</v>
      </c>
      <c r="E116" s="62">
        <f t="shared" si="329"/>
        <v>0</v>
      </c>
      <c r="F116" s="9">
        <f t="shared" si="323"/>
        <v>0</v>
      </c>
      <c r="G116" s="9">
        <f t="shared" si="323"/>
        <v>0</v>
      </c>
      <c r="H116" s="9">
        <f t="shared" si="323"/>
        <v>0</v>
      </c>
      <c r="I116" s="9">
        <f t="shared" si="323"/>
        <v>0</v>
      </c>
      <c r="J116" s="9">
        <f t="shared" si="323"/>
        <v>0</v>
      </c>
      <c r="K116" s="9">
        <f t="shared" si="323"/>
        <v>0</v>
      </c>
      <c r="L116" s="9">
        <f t="shared" si="323"/>
        <v>0</v>
      </c>
      <c r="M116" s="9">
        <f t="shared" si="323"/>
        <v>0</v>
      </c>
      <c r="N116" s="9">
        <f t="shared" si="323"/>
        <v>0</v>
      </c>
      <c r="O116" s="9">
        <f t="shared" si="323"/>
        <v>0</v>
      </c>
      <c r="P116" s="9">
        <f t="shared" si="323"/>
        <v>0</v>
      </c>
      <c r="Q116" s="9">
        <f t="shared" si="323"/>
        <v>0</v>
      </c>
      <c r="R116" s="9"/>
      <c r="S116" s="9">
        <f t="shared" si="324"/>
        <v>0</v>
      </c>
      <c r="T116" s="9">
        <f t="shared" si="324"/>
        <v>0</v>
      </c>
      <c r="U116" s="9">
        <f t="shared" si="324"/>
        <v>0</v>
      </c>
      <c r="V116" s="9">
        <f t="shared" si="324"/>
        <v>0</v>
      </c>
      <c r="W116" s="9">
        <f t="shared" si="324"/>
        <v>0</v>
      </c>
      <c r="X116" s="9">
        <f t="shared" si="324"/>
        <v>0</v>
      </c>
      <c r="Y116" s="9">
        <f t="shared" si="324"/>
        <v>0</v>
      </c>
      <c r="Z116" s="9">
        <f t="shared" si="324"/>
        <v>0</v>
      </c>
      <c r="AA116" s="9">
        <f t="shared" si="324"/>
        <v>0</v>
      </c>
      <c r="AB116" s="9">
        <f t="shared" si="324"/>
        <v>0</v>
      </c>
      <c r="AC116" s="9">
        <f t="shared" si="324"/>
        <v>0</v>
      </c>
      <c r="AD116" s="9">
        <f t="shared" si="324"/>
        <v>0</v>
      </c>
      <c r="AE116" s="9">
        <f t="shared" si="324"/>
        <v>0</v>
      </c>
      <c r="AF116" s="9">
        <f t="shared" si="324"/>
        <v>0</v>
      </c>
      <c r="AG116" s="9">
        <f t="shared" si="324"/>
        <v>0</v>
      </c>
      <c r="AH116" s="9">
        <f t="shared" si="324"/>
        <v>0</v>
      </c>
      <c r="AI116" s="9">
        <f t="shared" si="324"/>
        <v>0</v>
      </c>
      <c r="AJ116" s="9">
        <f t="shared" si="324"/>
        <v>0</v>
      </c>
      <c r="AK116" s="9">
        <f t="shared" si="324"/>
        <v>0</v>
      </c>
      <c r="AL116" s="9">
        <f t="shared" si="324"/>
        <v>0</v>
      </c>
      <c r="AM116" s="9">
        <f t="shared" si="324"/>
        <v>0</v>
      </c>
      <c r="AN116" s="9">
        <f t="shared" si="324"/>
        <v>0</v>
      </c>
      <c r="AO116" s="9">
        <f t="shared" si="324"/>
        <v>0</v>
      </c>
      <c r="AP116" s="9">
        <f t="shared" si="324"/>
        <v>0</v>
      </c>
      <c r="AQ116" s="9">
        <f t="shared" si="324"/>
        <v>0</v>
      </c>
      <c r="AR116" s="9">
        <f t="shared" si="324"/>
        <v>0</v>
      </c>
      <c r="AS116" s="9">
        <f t="shared" si="324"/>
        <v>0</v>
      </c>
      <c r="AT116" s="9">
        <f t="shared" si="324"/>
        <v>0</v>
      </c>
      <c r="AU116" s="9">
        <f t="shared" si="324"/>
        <v>0</v>
      </c>
      <c r="AV116" s="9">
        <f t="shared" si="324"/>
        <v>0</v>
      </c>
      <c r="AW116" s="9">
        <f t="shared" si="324"/>
        <v>0</v>
      </c>
      <c r="AX116" s="9">
        <f t="shared" si="324"/>
        <v>0</v>
      </c>
      <c r="AY116" s="9">
        <f t="shared" si="324"/>
        <v>0</v>
      </c>
      <c r="AZ116" s="9">
        <f t="shared" si="324"/>
        <v>0</v>
      </c>
      <c r="BA116" s="9">
        <f t="shared" si="324"/>
        <v>0</v>
      </c>
      <c r="BB116" s="9">
        <f t="shared" si="324"/>
        <v>0</v>
      </c>
      <c r="BC116" s="9">
        <f t="shared" si="324"/>
        <v>0</v>
      </c>
      <c r="BD116" s="9">
        <f t="shared" si="324"/>
        <v>0</v>
      </c>
      <c r="BE116" s="9">
        <f t="shared" si="324"/>
        <v>0</v>
      </c>
      <c r="BF116" s="9">
        <f t="shared" si="324"/>
        <v>0</v>
      </c>
      <c r="BG116" s="9">
        <f t="shared" si="324"/>
        <v>0</v>
      </c>
      <c r="BH116" s="9">
        <f t="shared" si="324"/>
        <v>0</v>
      </c>
      <c r="BI116" s="9">
        <f t="shared" si="324"/>
        <v>0</v>
      </c>
      <c r="BJ116" s="9">
        <f t="shared" si="324"/>
        <v>0</v>
      </c>
      <c r="BK116" s="9">
        <f t="shared" si="324"/>
        <v>0</v>
      </c>
      <c r="BL116" s="9">
        <f t="shared" si="324"/>
        <v>0</v>
      </c>
      <c r="BM116" s="9">
        <f t="shared" si="324"/>
        <v>0</v>
      </c>
      <c r="BN116" s="9">
        <f t="shared" si="324"/>
        <v>0</v>
      </c>
      <c r="BO116" s="9">
        <f t="shared" si="324"/>
        <v>0</v>
      </c>
      <c r="BP116" s="9">
        <f t="shared" si="324"/>
        <v>0</v>
      </c>
      <c r="BQ116" s="9">
        <f t="shared" si="324"/>
        <v>0</v>
      </c>
      <c r="BR116" s="9">
        <f t="shared" si="324"/>
        <v>0</v>
      </c>
      <c r="BS116" s="9">
        <f t="shared" si="324"/>
        <v>0</v>
      </c>
      <c r="BT116" s="9">
        <f t="shared" si="324"/>
        <v>0</v>
      </c>
      <c r="BU116" s="9">
        <f t="shared" si="324"/>
        <v>0</v>
      </c>
      <c r="BV116" s="9">
        <f t="shared" si="324"/>
        <v>0</v>
      </c>
      <c r="BW116" s="9">
        <f t="shared" si="324"/>
        <v>0</v>
      </c>
      <c r="BX116" s="9">
        <f t="shared" si="324"/>
        <v>0</v>
      </c>
      <c r="BY116" s="9">
        <f t="shared" si="324"/>
        <v>0</v>
      </c>
      <c r="BZ116" s="9">
        <f t="shared" si="324"/>
        <v>0</v>
      </c>
      <c r="CA116" s="9">
        <f t="shared" si="324"/>
        <v>0</v>
      </c>
      <c r="CB116" s="9">
        <f t="shared" si="324"/>
        <v>0</v>
      </c>
      <c r="CC116" s="9">
        <f t="shared" si="324"/>
        <v>0</v>
      </c>
      <c r="CD116" s="9">
        <f t="shared" si="324"/>
        <v>0</v>
      </c>
      <c r="CE116" s="9"/>
      <c r="CF116" s="9">
        <f t="shared" si="325"/>
        <v>0</v>
      </c>
      <c r="CG116" s="9">
        <f t="shared" si="325"/>
        <v>0</v>
      </c>
      <c r="CH116" s="9">
        <f t="shared" si="325"/>
        <v>0</v>
      </c>
      <c r="CI116" s="9">
        <f t="shared" si="325"/>
        <v>0</v>
      </c>
      <c r="CJ116" s="9">
        <f t="shared" si="325"/>
        <v>0</v>
      </c>
      <c r="CK116" s="9">
        <f t="shared" si="325"/>
        <v>0</v>
      </c>
      <c r="CL116" s="9">
        <f t="shared" si="325"/>
        <v>0</v>
      </c>
      <c r="CM116" s="9">
        <f t="shared" si="325"/>
        <v>0</v>
      </c>
      <c r="CN116" s="9">
        <f t="shared" si="325"/>
        <v>0</v>
      </c>
      <c r="CO116" s="9">
        <f t="shared" si="325"/>
        <v>0</v>
      </c>
      <c r="CP116" s="9">
        <f t="shared" si="325"/>
        <v>0</v>
      </c>
      <c r="CQ116" s="9">
        <f t="shared" si="325"/>
        <v>0</v>
      </c>
      <c r="CR116" s="9"/>
      <c r="CS116" s="9">
        <f t="shared" si="326"/>
        <v>0</v>
      </c>
      <c r="CT116" s="9">
        <f t="shared" si="326"/>
        <v>0</v>
      </c>
      <c r="CU116" s="9">
        <f t="shared" si="326"/>
        <v>0</v>
      </c>
      <c r="CV116" s="9">
        <f t="shared" si="326"/>
        <v>0</v>
      </c>
      <c r="CW116" s="9">
        <f t="shared" si="326"/>
        <v>0</v>
      </c>
      <c r="CX116" s="9">
        <f t="shared" si="326"/>
        <v>0</v>
      </c>
      <c r="CY116" s="9">
        <f t="shared" si="326"/>
        <v>0</v>
      </c>
      <c r="CZ116" s="9">
        <f t="shared" si="326"/>
        <v>0</v>
      </c>
      <c r="DA116" s="9">
        <f t="shared" si="326"/>
        <v>0</v>
      </c>
      <c r="DB116" s="9">
        <f t="shared" si="326"/>
        <v>0</v>
      </c>
      <c r="DC116" s="9">
        <f t="shared" si="326"/>
        <v>0</v>
      </c>
      <c r="DD116" s="9">
        <f t="shared" si="326"/>
        <v>0</v>
      </c>
      <c r="DE116" s="9"/>
      <c r="DF116" s="9">
        <f t="shared" si="327"/>
        <v>0</v>
      </c>
      <c r="DG116" s="9">
        <f t="shared" si="327"/>
        <v>0</v>
      </c>
      <c r="DH116" s="9">
        <f t="shared" si="327"/>
        <v>0</v>
      </c>
      <c r="DI116" s="9">
        <f t="shared" si="327"/>
        <v>0</v>
      </c>
      <c r="DJ116" s="9">
        <f t="shared" si="327"/>
        <v>0</v>
      </c>
      <c r="DK116" s="9">
        <f t="shared" si="327"/>
        <v>0</v>
      </c>
      <c r="DL116" s="9">
        <f t="shared" si="327"/>
        <v>0</v>
      </c>
      <c r="DM116" s="9">
        <f t="shared" si="327"/>
        <v>0</v>
      </c>
      <c r="DN116" s="9">
        <f t="shared" si="327"/>
        <v>0</v>
      </c>
      <c r="DO116" s="9">
        <f t="shared" si="327"/>
        <v>0</v>
      </c>
      <c r="DP116" s="9">
        <f t="shared" si="327"/>
        <v>0</v>
      </c>
      <c r="DQ116" s="9">
        <f t="shared" si="327"/>
        <v>0</v>
      </c>
      <c r="DR116" s="9"/>
      <c r="DS116" s="31">
        <f t="shared" si="322"/>
        <v>0</v>
      </c>
      <c r="DT116" s="31">
        <f t="shared" si="328"/>
        <v>0</v>
      </c>
      <c r="DU116" s="9"/>
      <c r="DV116" s="8"/>
      <c r="DW116" s="7"/>
      <c r="DX116" s="7"/>
      <c r="DY116" s="7"/>
      <c r="DZ116" s="7"/>
      <c r="EA116" s="7"/>
      <c r="EB116" s="7"/>
      <c r="EC116" s="7"/>
    </row>
    <row r="117" spans="3:133">
      <c r="C117" s="57" t="str">
        <f t="shared" si="329"/>
        <v>///</v>
      </c>
      <c r="D117" s="57">
        <f t="shared" si="330"/>
        <v>0</v>
      </c>
      <c r="E117" s="62">
        <f t="shared" si="329"/>
        <v>0</v>
      </c>
      <c r="F117" s="9">
        <f t="shared" si="323"/>
        <v>0</v>
      </c>
      <c r="G117" s="9">
        <f t="shared" si="323"/>
        <v>0</v>
      </c>
      <c r="H117" s="9">
        <f t="shared" si="323"/>
        <v>0</v>
      </c>
      <c r="I117" s="9">
        <f t="shared" si="323"/>
        <v>0</v>
      </c>
      <c r="J117" s="9">
        <f t="shared" si="323"/>
        <v>0</v>
      </c>
      <c r="K117" s="9">
        <f t="shared" si="323"/>
        <v>0</v>
      </c>
      <c r="L117" s="9">
        <f t="shared" si="323"/>
        <v>0</v>
      </c>
      <c r="M117" s="9">
        <f t="shared" si="323"/>
        <v>0</v>
      </c>
      <c r="N117" s="9">
        <f t="shared" si="323"/>
        <v>0</v>
      </c>
      <c r="O117" s="9">
        <f t="shared" si="323"/>
        <v>0</v>
      </c>
      <c r="P117" s="9">
        <f t="shared" si="323"/>
        <v>0</v>
      </c>
      <c r="Q117" s="9">
        <f t="shared" si="323"/>
        <v>0</v>
      </c>
      <c r="R117" s="9"/>
      <c r="S117" s="9">
        <f t="shared" si="324"/>
        <v>0</v>
      </c>
      <c r="T117" s="9">
        <f t="shared" si="324"/>
        <v>0</v>
      </c>
      <c r="U117" s="9">
        <f t="shared" si="324"/>
        <v>0</v>
      </c>
      <c r="V117" s="9">
        <f t="shared" si="324"/>
        <v>0</v>
      </c>
      <c r="W117" s="9">
        <f t="shared" si="324"/>
        <v>0</v>
      </c>
      <c r="X117" s="9">
        <f t="shared" si="324"/>
        <v>0</v>
      </c>
      <c r="Y117" s="9">
        <f t="shared" si="324"/>
        <v>0</v>
      </c>
      <c r="Z117" s="9">
        <f t="shared" si="324"/>
        <v>0</v>
      </c>
      <c r="AA117" s="9">
        <f t="shared" si="324"/>
        <v>0</v>
      </c>
      <c r="AB117" s="9">
        <f t="shared" si="324"/>
        <v>0</v>
      </c>
      <c r="AC117" s="9">
        <f t="shared" si="324"/>
        <v>0</v>
      </c>
      <c r="AD117" s="9">
        <f t="shared" si="324"/>
        <v>0</v>
      </c>
      <c r="AE117" s="9">
        <f t="shared" si="324"/>
        <v>0</v>
      </c>
      <c r="AF117" s="9">
        <f t="shared" si="324"/>
        <v>0</v>
      </c>
      <c r="AG117" s="9">
        <f t="shared" si="324"/>
        <v>0</v>
      </c>
      <c r="AH117" s="9">
        <f t="shared" si="324"/>
        <v>0</v>
      </c>
      <c r="AI117" s="9">
        <f t="shared" si="324"/>
        <v>0</v>
      </c>
      <c r="AJ117" s="9">
        <f t="shared" si="324"/>
        <v>0</v>
      </c>
      <c r="AK117" s="9">
        <f t="shared" si="324"/>
        <v>0</v>
      </c>
      <c r="AL117" s="9">
        <f t="shared" si="324"/>
        <v>0</v>
      </c>
      <c r="AM117" s="9">
        <f t="shared" si="324"/>
        <v>0</v>
      </c>
      <c r="AN117" s="9">
        <f t="shared" si="324"/>
        <v>0</v>
      </c>
      <c r="AO117" s="9">
        <f t="shared" si="324"/>
        <v>0</v>
      </c>
      <c r="AP117" s="9">
        <f t="shared" si="324"/>
        <v>0</v>
      </c>
      <c r="AQ117" s="9">
        <f t="shared" si="324"/>
        <v>0</v>
      </c>
      <c r="AR117" s="9">
        <f t="shared" si="324"/>
        <v>0</v>
      </c>
      <c r="AS117" s="9">
        <f t="shared" si="324"/>
        <v>0</v>
      </c>
      <c r="AT117" s="9">
        <f t="shared" si="324"/>
        <v>0</v>
      </c>
      <c r="AU117" s="9">
        <f t="shared" si="324"/>
        <v>0</v>
      </c>
      <c r="AV117" s="9">
        <f t="shared" si="324"/>
        <v>0</v>
      </c>
      <c r="AW117" s="9">
        <f t="shared" si="324"/>
        <v>0</v>
      </c>
      <c r="AX117" s="9">
        <f t="shared" si="324"/>
        <v>0</v>
      </c>
      <c r="AY117" s="9">
        <f t="shared" si="324"/>
        <v>0</v>
      </c>
      <c r="AZ117" s="9">
        <f t="shared" si="324"/>
        <v>0</v>
      </c>
      <c r="BA117" s="9">
        <f t="shared" si="324"/>
        <v>0</v>
      </c>
      <c r="BB117" s="9">
        <f t="shared" si="324"/>
        <v>0</v>
      </c>
      <c r="BC117" s="9">
        <f t="shared" si="324"/>
        <v>0</v>
      </c>
      <c r="BD117" s="9">
        <f t="shared" si="324"/>
        <v>0</v>
      </c>
      <c r="BE117" s="9">
        <f t="shared" si="324"/>
        <v>0</v>
      </c>
      <c r="BF117" s="9">
        <f t="shared" si="324"/>
        <v>0</v>
      </c>
      <c r="BG117" s="9">
        <f t="shared" si="324"/>
        <v>0</v>
      </c>
      <c r="BH117" s="9">
        <f t="shared" si="324"/>
        <v>0</v>
      </c>
      <c r="BI117" s="9">
        <f t="shared" si="324"/>
        <v>0</v>
      </c>
      <c r="BJ117" s="9">
        <f t="shared" si="324"/>
        <v>0</v>
      </c>
      <c r="BK117" s="9">
        <f t="shared" si="324"/>
        <v>0</v>
      </c>
      <c r="BL117" s="9">
        <f t="shared" si="324"/>
        <v>0</v>
      </c>
      <c r="BM117" s="9">
        <f t="shared" si="324"/>
        <v>0</v>
      </c>
      <c r="BN117" s="9">
        <f t="shared" si="324"/>
        <v>0</v>
      </c>
      <c r="BO117" s="9">
        <f t="shared" si="324"/>
        <v>0</v>
      </c>
      <c r="BP117" s="9">
        <f t="shared" si="324"/>
        <v>0</v>
      </c>
      <c r="BQ117" s="9">
        <f t="shared" si="324"/>
        <v>0</v>
      </c>
      <c r="BR117" s="9">
        <f t="shared" si="324"/>
        <v>0</v>
      </c>
      <c r="BS117" s="9">
        <f t="shared" si="324"/>
        <v>0</v>
      </c>
      <c r="BT117" s="9">
        <f t="shared" si="324"/>
        <v>0</v>
      </c>
      <c r="BU117" s="9">
        <f t="shared" si="324"/>
        <v>0</v>
      </c>
      <c r="BV117" s="9">
        <f t="shared" si="324"/>
        <v>0</v>
      </c>
      <c r="BW117" s="9">
        <f t="shared" si="324"/>
        <v>0</v>
      </c>
      <c r="BX117" s="9">
        <f t="shared" si="324"/>
        <v>0</v>
      </c>
      <c r="BY117" s="9">
        <f t="shared" si="324"/>
        <v>0</v>
      </c>
      <c r="BZ117" s="9">
        <f t="shared" si="324"/>
        <v>0</v>
      </c>
      <c r="CA117" s="9">
        <f t="shared" si="324"/>
        <v>0</v>
      </c>
      <c r="CB117" s="9">
        <f t="shared" si="324"/>
        <v>0</v>
      </c>
      <c r="CC117" s="9">
        <f t="shared" si="324"/>
        <v>0</v>
      </c>
      <c r="CD117" s="9">
        <f t="shared" ref="CD117" si="331">CD12+CD38+CD64+CD90</f>
        <v>0</v>
      </c>
      <c r="CE117" s="9"/>
      <c r="CF117" s="9">
        <f t="shared" si="325"/>
        <v>0</v>
      </c>
      <c r="CG117" s="9">
        <f t="shared" si="325"/>
        <v>0</v>
      </c>
      <c r="CH117" s="9">
        <f t="shared" si="325"/>
        <v>0</v>
      </c>
      <c r="CI117" s="9">
        <f t="shared" si="325"/>
        <v>0</v>
      </c>
      <c r="CJ117" s="9">
        <f t="shared" si="325"/>
        <v>0</v>
      </c>
      <c r="CK117" s="9">
        <f t="shared" si="325"/>
        <v>0</v>
      </c>
      <c r="CL117" s="9">
        <f t="shared" si="325"/>
        <v>0</v>
      </c>
      <c r="CM117" s="9">
        <f t="shared" si="325"/>
        <v>0</v>
      </c>
      <c r="CN117" s="9">
        <f t="shared" si="325"/>
        <v>0</v>
      </c>
      <c r="CO117" s="9">
        <f t="shared" si="325"/>
        <v>0</v>
      </c>
      <c r="CP117" s="9">
        <f t="shared" si="325"/>
        <v>0</v>
      </c>
      <c r="CQ117" s="9">
        <f t="shared" si="325"/>
        <v>0</v>
      </c>
      <c r="CR117" s="9"/>
      <c r="CS117" s="9">
        <f t="shared" si="326"/>
        <v>0</v>
      </c>
      <c r="CT117" s="9">
        <f t="shared" si="326"/>
        <v>0</v>
      </c>
      <c r="CU117" s="9">
        <f t="shared" si="326"/>
        <v>0</v>
      </c>
      <c r="CV117" s="9">
        <f t="shared" si="326"/>
        <v>0</v>
      </c>
      <c r="CW117" s="9">
        <f t="shared" si="326"/>
        <v>0</v>
      </c>
      <c r="CX117" s="9">
        <f t="shared" si="326"/>
        <v>0</v>
      </c>
      <c r="CY117" s="9">
        <f t="shared" si="326"/>
        <v>0</v>
      </c>
      <c r="CZ117" s="9">
        <f t="shared" si="326"/>
        <v>0</v>
      </c>
      <c r="DA117" s="9">
        <f t="shared" si="326"/>
        <v>0</v>
      </c>
      <c r="DB117" s="9">
        <f t="shared" si="326"/>
        <v>0</v>
      </c>
      <c r="DC117" s="9">
        <f t="shared" si="326"/>
        <v>0</v>
      </c>
      <c r="DD117" s="9">
        <f t="shared" si="326"/>
        <v>0</v>
      </c>
      <c r="DE117" s="9"/>
      <c r="DF117" s="9">
        <f t="shared" si="327"/>
        <v>0</v>
      </c>
      <c r="DG117" s="9">
        <f t="shared" si="327"/>
        <v>0</v>
      </c>
      <c r="DH117" s="9">
        <f t="shared" si="327"/>
        <v>0</v>
      </c>
      <c r="DI117" s="9">
        <f t="shared" si="327"/>
        <v>0</v>
      </c>
      <c r="DJ117" s="9">
        <f t="shared" si="327"/>
        <v>0</v>
      </c>
      <c r="DK117" s="9">
        <f t="shared" si="327"/>
        <v>0</v>
      </c>
      <c r="DL117" s="9">
        <f t="shared" si="327"/>
        <v>0</v>
      </c>
      <c r="DM117" s="9">
        <f t="shared" si="327"/>
        <v>0</v>
      </c>
      <c r="DN117" s="9">
        <f t="shared" si="327"/>
        <v>0</v>
      </c>
      <c r="DO117" s="9">
        <f t="shared" si="327"/>
        <v>0</v>
      </c>
      <c r="DP117" s="9">
        <f t="shared" si="327"/>
        <v>0</v>
      </c>
      <c r="DQ117" s="9">
        <f t="shared" si="327"/>
        <v>0</v>
      </c>
      <c r="DR117" s="9"/>
      <c r="DS117" s="31">
        <f t="shared" si="322"/>
        <v>0</v>
      </c>
      <c r="DT117" s="31">
        <f t="shared" si="328"/>
        <v>0</v>
      </c>
      <c r="DU117" s="9"/>
      <c r="DV117" s="8"/>
      <c r="DW117" s="7"/>
      <c r="DX117" s="7"/>
      <c r="DY117" s="7"/>
      <c r="DZ117" s="7"/>
      <c r="EA117" s="7"/>
      <c r="EB117" s="7"/>
      <c r="EC117" s="7"/>
    </row>
    <row r="118" spans="3:133">
      <c r="C118" s="57" t="str">
        <f t="shared" si="329"/>
        <v>///</v>
      </c>
      <c r="D118" s="57">
        <f t="shared" si="330"/>
        <v>0</v>
      </c>
      <c r="E118" s="62">
        <f t="shared" si="329"/>
        <v>0</v>
      </c>
      <c r="F118" s="9">
        <f t="shared" si="323"/>
        <v>0</v>
      </c>
      <c r="G118" s="9">
        <f t="shared" si="323"/>
        <v>0</v>
      </c>
      <c r="H118" s="9">
        <f t="shared" si="323"/>
        <v>0</v>
      </c>
      <c r="I118" s="9">
        <f t="shared" si="323"/>
        <v>0</v>
      </c>
      <c r="J118" s="9">
        <f t="shared" si="323"/>
        <v>0</v>
      </c>
      <c r="K118" s="9">
        <f t="shared" si="323"/>
        <v>0</v>
      </c>
      <c r="L118" s="9">
        <f t="shared" si="323"/>
        <v>0</v>
      </c>
      <c r="M118" s="9">
        <f t="shared" si="323"/>
        <v>0</v>
      </c>
      <c r="N118" s="9">
        <f t="shared" si="323"/>
        <v>0</v>
      </c>
      <c r="O118" s="9">
        <f t="shared" si="323"/>
        <v>0</v>
      </c>
      <c r="P118" s="9">
        <f t="shared" si="323"/>
        <v>0</v>
      </c>
      <c r="Q118" s="9">
        <f t="shared" si="323"/>
        <v>0</v>
      </c>
      <c r="R118" s="9"/>
      <c r="S118" s="9">
        <f t="shared" ref="S118:CD121" si="332">S13+S39+S65+S91</f>
        <v>0</v>
      </c>
      <c r="T118" s="9">
        <f t="shared" si="332"/>
        <v>0</v>
      </c>
      <c r="U118" s="9">
        <f t="shared" si="332"/>
        <v>0</v>
      </c>
      <c r="V118" s="9">
        <f t="shared" si="332"/>
        <v>0</v>
      </c>
      <c r="W118" s="9">
        <f t="shared" si="332"/>
        <v>0</v>
      </c>
      <c r="X118" s="9">
        <f t="shared" si="332"/>
        <v>0</v>
      </c>
      <c r="Y118" s="9">
        <f t="shared" si="332"/>
        <v>0</v>
      </c>
      <c r="Z118" s="9">
        <f t="shared" si="332"/>
        <v>0</v>
      </c>
      <c r="AA118" s="9">
        <f t="shared" si="332"/>
        <v>0</v>
      </c>
      <c r="AB118" s="9">
        <f t="shared" si="332"/>
        <v>0</v>
      </c>
      <c r="AC118" s="9">
        <f t="shared" si="332"/>
        <v>0</v>
      </c>
      <c r="AD118" s="9">
        <f t="shared" si="332"/>
        <v>0</v>
      </c>
      <c r="AE118" s="9">
        <f t="shared" si="332"/>
        <v>0</v>
      </c>
      <c r="AF118" s="9">
        <f t="shared" si="332"/>
        <v>0</v>
      </c>
      <c r="AG118" s="9">
        <f t="shared" si="332"/>
        <v>0</v>
      </c>
      <c r="AH118" s="9">
        <f t="shared" si="332"/>
        <v>0</v>
      </c>
      <c r="AI118" s="9">
        <f t="shared" si="332"/>
        <v>0</v>
      </c>
      <c r="AJ118" s="9">
        <f t="shared" si="332"/>
        <v>0</v>
      </c>
      <c r="AK118" s="9">
        <f t="shared" si="332"/>
        <v>0</v>
      </c>
      <c r="AL118" s="9">
        <f t="shared" si="332"/>
        <v>0</v>
      </c>
      <c r="AM118" s="9">
        <f t="shared" si="332"/>
        <v>0</v>
      </c>
      <c r="AN118" s="9">
        <f t="shared" si="332"/>
        <v>0</v>
      </c>
      <c r="AO118" s="9">
        <f t="shared" si="332"/>
        <v>0</v>
      </c>
      <c r="AP118" s="9">
        <f t="shared" si="332"/>
        <v>0</v>
      </c>
      <c r="AQ118" s="9">
        <f t="shared" si="332"/>
        <v>0</v>
      </c>
      <c r="AR118" s="9">
        <f t="shared" si="332"/>
        <v>0</v>
      </c>
      <c r="AS118" s="9">
        <f t="shared" si="332"/>
        <v>0</v>
      </c>
      <c r="AT118" s="9">
        <f t="shared" si="332"/>
        <v>0</v>
      </c>
      <c r="AU118" s="9">
        <f t="shared" si="332"/>
        <v>0</v>
      </c>
      <c r="AV118" s="9">
        <f t="shared" si="332"/>
        <v>0</v>
      </c>
      <c r="AW118" s="9">
        <f t="shared" si="332"/>
        <v>0</v>
      </c>
      <c r="AX118" s="9">
        <f t="shared" si="332"/>
        <v>0</v>
      </c>
      <c r="AY118" s="9">
        <f t="shared" si="332"/>
        <v>0</v>
      </c>
      <c r="AZ118" s="9">
        <f t="shared" si="332"/>
        <v>0</v>
      </c>
      <c r="BA118" s="9">
        <f t="shared" si="332"/>
        <v>0</v>
      </c>
      <c r="BB118" s="9">
        <f t="shared" si="332"/>
        <v>0</v>
      </c>
      <c r="BC118" s="9">
        <f t="shared" si="332"/>
        <v>0</v>
      </c>
      <c r="BD118" s="9">
        <f t="shared" si="332"/>
        <v>0</v>
      </c>
      <c r="BE118" s="9">
        <f t="shared" si="332"/>
        <v>0</v>
      </c>
      <c r="BF118" s="9">
        <f t="shared" si="332"/>
        <v>0</v>
      </c>
      <c r="BG118" s="9">
        <f t="shared" si="332"/>
        <v>0</v>
      </c>
      <c r="BH118" s="9">
        <f t="shared" si="332"/>
        <v>0</v>
      </c>
      <c r="BI118" s="9">
        <f t="shared" si="332"/>
        <v>0</v>
      </c>
      <c r="BJ118" s="9">
        <f t="shared" si="332"/>
        <v>0</v>
      </c>
      <c r="BK118" s="9">
        <f t="shared" si="332"/>
        <v>0</v>
      </c>
      <c r="BL118" s="9">
        <f t="shared" si="332"/>
        <v>0</v>
      </c>
      <c r="BM118" s="9">
        <f t="shared" si="332"/>
        <v>0</v>
      </c>
      <c r="BN118" s="9">
        <f t="shared" si="332"/>
        <v>0</v>
      </c>
      <c r="BO118" s="9">
        <f t="shared" si="332"/>
        <v>0</v>
      </c>
      <c r="BP118" s="9">
        <f t="shared" si="332"/>
        <v>0</v>
      </c>
      <c r="BQ118" s="9">
        <f t="shared" si="332"/>
        <v>0</v>
      </c>
      <c r="BR118" s="9">
        <f t="shared" si="332"/>
        <v>0</v>
      </c>
      <c r="BS118" s="9">
        <f t="shared" si="332"/>
        <v>0</v>
      </c>
      <c r="BT118" s="9">
        <f t="shared" si="332"/>
        <v>0</v>
      </c>
      <c r="BU118" s="9">
        <f t="shared" si="332"/>
        <v>0</v>
      </c>
      <c r="BV118" s="9">
        <f t="shared" si="332"/>
        <v>0</v>
      </c>
      <c r="BW118" s="9">
        <f t="shared" si="332"/>
        <v>0</v>
      </c>
      <c r="BX118" s="9">
        <f t="shared" si="332"/>
        <v>0</v>
      </c>
      <c r="BY118" s="9">
        <f t="shared" si="332"/>
        <v>0</v>
      </c>
      <c r="BZ118" s="9">
        <f t="shared" si="332"/>
        <v>0</v>
      </c>
      <c r="CA118" s="9">
        <f t="shared" si="332"/>
        <v>0</v>
      </c>
      <c r="CB118" s="9">
        <f t="shared" si="332"/>
        <v>0</v>
      </c>
      <c r="CC118" s="9">
        <f t="shared" si="332"/>
        <v>0</v>
      </c>
      <c r="CD118" s="9">
        <f t="shared" si="332"/>
        <v>0</v>
      </c>
      <c r="CE118" s="9"/>
      <c r="CF118" s="9">
        <f t="shared" si="325"/>
        <v>0</v>
      </c>
      <c r="CG118" s="9">
        <f t="shared" si="325"/>
        <v>0</v>
      </c>
      <c r="CH118" s="9">
        <f t="shared" si="325"/>
        <v>0</v>
      </c>
      <c r="CI118" s="9">
        <f t="shared" si="325"/>
        <v>0</v>
      </c>
      <c r="CJ118" s="9">
        <f t="shared" si="325"/>
        <v>0</v>
      </c>
      <c r="CK118" s="9">
        <f t="shared" si="325"/>
        <v>0</v>
      </c>
      <c r="CL118" s="9">
        <f t="shared" si="325"/>
        <v>0</v>
      </c>
      <c r="CM118" s="9">
        <f t="shared" si="325"/>
        <v>0</v>
      </c>
      <c r="CN118" s="9">
        <f t="shared" si="325"/>
        <v>0</v>
      </c>
      <c r="CO118" s="9">
        <f t="shared" si="325"/>
        <v>0</v>
      </c>
      <c r="CP118" s="9">
        <f t="shared" si="325"/>
        <v>0</v>
      </c>
      <c r="CQ118" s="9">
        <f t="shared" si="325"/>
        <v>0</v>
      </c>
      <c r="CR118" s="9"/>
      <c r="CS118" s="9">
        <f t="shared" si="326"/>
        <v>0</v>
      </c>
      <c r="CT118" s="9">
        <f t="shared" si="326"/>
        <v>0</v>
      </c>
      <c r="CU118" s="9">
        <f t="shared" si="326"/>
        <v>0</v>
      </c>
      <c r="CV118" s="9">
        <f t="shared" si="326"/>
        <v>0</v>
      </c>
      <c r="CW118" s="9">
        <f t="shared" si="326"/>
        <v>0</v>
      </c>
      <c r="CX118" s="9">
        <f t="shared" si="326"/>
        <v>0</v>
      </c>
      <c r="CY118" s="9">
        <f t="shared" si="326"/>
        <v>0</v>
      </c>
      <c r="CZ118" s="9">
        <f t="shared" si="326"/>
        <v>0</v>
      </c>
      <c r="DA118" s="9">
        <f t="shared" si="326"/>
        <v>0</v>
      </c>
      <c r="DB118" s="9">
        <f t="shared" si="326"/>
        <v>0</v>
      </c>
      <c r="DC118" s="9">
        <f t="shared" si="326"/>
        <v>0</v>
      </c>
      <c r="DD118" s="9">
        <f t="shared" si="326"/>
        <v>0</v>
      </c>
      <c r="DE118" s="9"/>
      <c r="DF118" s="9">
        <f t="shared" si="327"/>
        <v>0</v>
      </c>
      <c r="DG118" s="9">
        <f t="shared" si="327"/>
        <v>0</v>
      </c>
      <c r="DH118" s="9">
        <f t="shared" si="327"/>
        <v>0</v>
      </c>
      <c r="DI118" s="9">
        <f t="shared" si="327"/>
        <v>0</v>
      </c>
      <c r="DJ118" s="9">
        <f t="shared" si="327"/>
        <v>0</v>
      </c>
      <c r="DK118" s="9">
        <f t="shared" si="327"/>
        <v>0</v>
      </c>
      <c r="DL118" s="9">
        <f t="shared" si="327"/>
        <v>0</v>
      </c>
      <c r="DM118" s="9">
        <f t="shared" si="327"/>
        <v>0</v>
      </c>
      <c r="DN118" s="9">
        <f t="shared" si="327"/>
        <v>0</v>
      </c>
      <c r="DO118" s="9">
        <f t="shared" si="327"/>
        <v>0</v>
      </c>
      <c r="DP118" s="9">
        <f t="shared" si="327"/>
        <v>0</v>
      </c>
      <c r="DQ118" s="9">
        <f t="shared" si="327"/>
        <v>0</v>
      </c>
      <c r="DR118" s="9"/>
      <c r="DS118" s="31">
        <f t="shared" si="322"/>
        <v>0</v>
      </c>
      <c r="DT118" s="31">
        <f t="shared" si="328"/>
        <v>0</v>
      </c>
      <c r="DU118" s="9"/>
      <c r="DV118" s="8"/>
      <c r="DW118" s="7"/>
      <c r="DX118" s="7"/>
      <c r="DY118" s="7"/>
      <c r="DZ118" s="7"/>
      <c r="EA118" s="7"/>
      <c r="EB118" s="7"/>
      <c r="EC118" s="7"/>
    </row>
    <row r="119" spans="3:133">
      <c r="C119" s="57" t="str">
        <f t="shared" si="329"/>
        <v>///</v>
      </c>
      <c r="D119" s="57">
        <f t="shared" si="330"/>
        <v>0</v>
      </c>
      <c r="E119" s="62">
        <f t="shared" si="329"/>
        <v>0</v>
      </c>
      <c r="F119" s="9">
        <f t="shared" si="323"/>
        <v>0</v>
      </c>
      <c r="G119" s="9">
        <f t="shared" si="323"/>
        <v>0</v>
      </c>
      <c r="H119" s="9">
        <f t="shared" si="323"/>
        <v>0</v>
      </c>
      <c r="I119" s="9">
        <f t="shared" si="323"/>
        <v>0</v>
      </c>
      <c r="J119" s="9">
        <f t="shared" si="323"/>
        <v>0</v>
      </c>
      <c r="K119" s="9">
        <f t="shared" si="323"/>
        <v>0</v>
      </c>
      <c r="L119" s="9">
        <f t="shared" si="323"/>
        <v>0</v>
      </c>
      <c r="M119" s="9">
        <f t="shared" si="323"/>
        <v>0</v>
      </c>
      <c r="N119" s="9">
        <f t="shared" si="323"/>
        <v>0</v>
      </c>
      <c r="O119" s="9">
        <f t="shared" si="323"/>
        <v>0</v>
      </c>
      <c r="P119" s="9">
        <f t="shared" si="323"/>
        <v>0</v>
      </c>
      <c r="Q119" s="9">
        <f t="shared" si="323"/>
        <v>0</v>
      </c>
      <c r="R119" s="9"/>
      <c r="S119" s="9">
        <f t="shared" si="332"/>
        <v>0</v>
      </c>
      <c r="T119" s="9">
        <f t="shared" si="332"/>
        <v>0</v>
      </c>
      <c r="U119" s="9">
        <f t="shared" si="332"/>
        <v>0</v>
      </c>
      <c r="V119" s="9">
        <f t="shared" si="332"/>
        <v>0</v>
      </c>
      <c r="W119" s="9">
        <f t="shared" si="332"/>
        <v>0</v>
      </c>
      <c r="X119" s="9">
        <f t="shared" si="332"/>
        <v>0</v>
      </c>
      <c r="Y119" s="9">
        <f t="shared" si="332"/>
        <v>0</v>
      </c>
      <c r="Z119" s="9">
        <f t="shared" si="332"/>
        <v>0</v>
      </c>
      <c r="AA119" s="9">
        <f t="shared" si="332"/>
        <v>0</v>
      </c>
      <c r="AB119" s="9">
        <f t="shared" si="332"/>
        <v>0</v>
      </c>
      <c r="AC119" s="9">
        <f t="shared" si="332"/>
        <v>0</v>
      </c>
      <c r="AD119" s="9">
        <f t="shared" si="332"/>
        <v>0</v>
      </c>
      <c r="AE119" s="9">
        <f t="shared" si="332"/>
        <v>0</v>
      </c>
      <c r="AF119" s="9">
        <f t="shared" si="332"/>
        <v>0</v>
      </c>
      <c r="AG119" s="9">
        <f t="shared" si="332"/>
        <v>0</v>
      </c>
      <c r="AH119" s="9">
        <f t="shared" si="332"/>
        <v>0</v>
      </c>
      <c r="AI119" s="9">
        <f t="shared" si="332"/>
        <v>0</v>
      </c>
      <c r="AJ119" s="9">
        <f t="shared" si="332"/>
        <v>0</v>
      </c>
      <c r="AK119" s="9">
        <f t="shared" si="332"/>
        <v>0</v>
      </c>
      <c r="AL119" s="9">
        <f t="shared" si="332"/>
        <v>0</v>
      </c>
      <c r="AM119" s="9">
        <f t="shared" si="332"/>
        <v>0</v>
      </c>
      <c r="AN119" s="9">
        <f t="shared" si="332"/>
        <v>0</v>
      </c>
      <c r="AO119" s="9">
        <f t="shared" si="332"/>
        <v>0</v>
      </c>
      <c r="AP119" s="9">
        <f t="shared" si="332"/>
        <v>0</v>
      </c>
      <c r="AQ119" s="9">
        <f t="shared" si="332"/>
        <v>0</v>
      </c>
      <c r="AR119" s="9">
        <f t="shared" si="332"/>
        <v>0</v>
      </c>
      <c r="AS119" s="9">
        <f t="shared" si="332"/>
        <v>0</v>
      </c>
      <c r="AT119" s="9">
        <f t="shared" si="332"/>
        <v>0</v>
      </c>
      <c r="AU119" s="9">
        <f t="shared" si="332"/>
        <v>0</v>
      </c>
      <c r="AV119" s="9">
        <f t="shared" si="332"/>
        <v>0</v>
      </c>
      <c r="AW119" s="9">
        <f t="shared" si="332"/>
        <v>0</v>
      </c>
      <c r="AX119" s="9">
        <f t="shared" si="332"/>
        <v>0</v>
      </c>
      <c r="AY119" s="9">
        <f t="shared" si="332"/>
        <v>0</v>
      </c>
      <c r="AZ119" s="9">
        <f t="shared" si="332"/>
        <v>0</v>
      </c>
      <c r="BA119" s="9">
        <f t="shared" si="332"/>
        <v>0</v>
      </c>
      <c r="BB119" s="9">
        <f t="shared" si="332"/>
        <v>0</v>
      </c>
      <c r="BC119" s="9">
        <f t="shared" si="332"/>
        <v>0</v>
      </c>
      <c r="BD119" s="9">
        <f t="shared" si="332"/>
        <v>0</v>
      </c>
      <c r="BE119" s="9">
        <f t="shared" si="332"/>
        <v>0</v>
      </c>
      <c r="BF119" s="9">
        <f t="shared" si="332"/>
        <v>0</v>
      </c>
      <c r="BG119" s="9">
        <f t="shared" si="332"/>
        <v>0</v>
      </c>
      <c r="BH119" s="9">
        <f t="shared" si="332"/>
        <v>0</v>
      </c>
      <c r="BI119" s="9">
        <f t="shared" si="332"/>
        <v>0</v>
      </c>
      <c r="BJ119" s="9">
        <f t="shared" si="332"/>
        <v>0</v>
      </c>
      <c r="BK119" s="9">
        <f t="shared" si="332"/>
        <v>0</v>
      </c>
      <c r="BL119" s="9">
        <f t="shared" si="332"/>
        <v>0</v>
      </c>
      <c r="BM119" s="9">
        <f t="shared" si="332"/>
        <v>0</v>
      </c>
      <c r="BN119" s="9">
        <f t="shared" si="332"/>
        <v>0</v>
      </c>
      <c r="BO119" s="9">
        <f t="shared" si="332"/>
        <v>0</v>
      </c>
      <c r="BP119" s="9">
        <f t="shared" si="332"/>
        <v>0</v>
      </c>
      <c r="BQ119" s="9">
        <f t="shared" si="332"/>
        <v>0</v>
      </c>
      <c r="BR119" s="9">
        <f t="shared" si="332"/>
        <v>0</v>
      </c>
      <c r="BS119" s="9">
        <f t="shared" si="332"/>
        <v>0</v>
      </c>
      <c r="BT119" s="9">
        <f t="shared" si="332"/>
        <v>0</v>
      </c>
      <c r="BU119" s="9">
        <f t="shared" si="332"/>
        <v>0</v>
      </c>
      <c r="BV119" s="9">
        <f t="shared" si="332"/>
        <v>0</v>
      </c>
      <c r="BW119" s="9">
        <f t="shared" si="332"/>
        <v>0</v>
      </c>
      <c r="BX119" s="9">
        <f t="shared" si="332"/>
        <v>0</v>
      </c>
      <c r="BY119" s="9">
        <f t="shared" si="332"/>
        <v>0</v>
      </c>
      <c r="BZ119" s="9">
        <f t="shared" si="332"/>
        <v>0</v>
      </c>
      <c r="CA119" s="9">
        <f t="shared" si="332"/>
        <v>0</v>
      </c>
      <c r="CB119" s="9">
        <f t="shared" si="332"/>
        <v>0</v>
      </c>
      <c r="CC119" s="9">
        <f t="shared" si="332"/>
        <v>0</v>
      </c>
      <c r="CD119" s="9">
        <f t="shared" si="332"/>
        <v>0</v>
      </c>
      <c r="CE119" s="9"/>
      <c r="CF119" s="9">
        <f t="shared" si="325"/>
        <v>0</v>
      </c>
      <c r="CG119" s="9">
        <f t="shared" si="325"/>
        <v>0</v>
      </c>
      <c r="CH119" s="9">
        <f t="shared" si="325"/>
        <v>0</v>
      </c>
      <c r="CI119" s="9">
        <f t="shared" si="325"/>
        <v>0</v>
      </c>
      <c r="CJ119" s="9">
        <f t="shared" si="325"/>
        <v>0</v>
      </c>
      <c r="CK119" s="9">
        <f t="shared" si="325"/>
        <v>0</v>
      </c>
      <c r="CL119" s="9">
        <f t="shared" si="325"/>
        <v>0</v>
      </c>
      <c r="CM119" s="9">
        <f t="shared" si="325"/>
        <v>0</v>
      </c>
      <c r="CN119" s="9">
        <f t="shared" si="325"/>
        <v>0</v>
      </c>
      <c r="CO119" s="9">
        <f t="shared" si="325"/>
        <v>0</v>
      </c>
      <c r="CP119" s="9">
        <f t="shared" si="325"/>
        <v>0</v>
      </c>
      <c r="CQ119" s="9">
        <f t="shared" si="325"/>
        <v>0</v>
      </c>
      <c r="CR119" s="9"/>
      <c r="CS119" s="9">
        <f t="shared" si="326"/>
        <v>0</v>
      </c>
      <c r="CT119" s="9">
        <f t="shared" si="326"/>
        <v>0</v>
      </c>
      <c r="CU119" s="9">
        <f t="shared" si="326"/>
        <v>0</v>
      </c>
      <c r="CV119" s="9">
        <f t="shared" si="326"/>
        <v>0</v>
      </c>
      <c r="CW119" s="9">
        <f t="shared" si="326"/>
        <v>0</v>
      </c>
      <c r="CX119" s="9">
        <f t="shared" si="326"/>
        <v>0</v>
      </c>
      <c r="CY119" s="9">
        <f t="shared" si="326"/>
        <v>0</v>
      </c>
      <c r="CZ119" s="9">
        <f t="shared" si="326"/>
        <v>0</v>
      </c>
      <c r="DA119" s="9">
        <f t="shared" si="326"/>
        <v>0</v>
      </c>
      <c r="DB119" s="9">
        <f t="shared" si="326"/>
        <v>0</v>
      </c>
      <c r="DC119" s="9">
        <f t="shared" si="326"/>
        <v>0</v>
      </c>
      <c r="DD119" s="9">
        <f t="shared" si="326"/>
        <v>0</v>
      </c>
      <c r="DE119" s="9"/>
      <c r="DF119" s="9">
        <f t="shared" si="327"/>
        <v>0</v>
      </c>
      <c r="DG119" s="9">
        <f t="shared" si="327"/>
        <v>0</v>
      </c>
      <c r="DH119" s="9">
        <f t="shared" si="327"/>
        <v>0</v>
      </c>
      <c r="DI119" s="9">
        <f t="shared" si="327"/>
        <v>0</v>
      </c>
      <c r="DJ119" s="9">
        <f t="shared" si="327"/>
        <v>0</v>
      </c>
      <c r="DK119" s="9">
        <f t="shared" si="327"/>
        <v>0</v>
      </c>
      <c r="DL119" s="9">
        <f t="shared" si="327"/>
        <v>0</v>
      </c>
      <c r="DM119" s="9">
        <f t="shared" si="327"/>
        <v>0</v>
      </c>
      <c r="DN119" s="9">
        <f t="shared" si="327"/>
        <v>0</v>
      </c>
      <c r="DO119" s="9">
        <f t="shared" si="327"/>
        <v>0</v>
      </c>
      <c r="DP119" s="9">
        <f t="shared" si="327"/>
        <v>0</v>
      </c>
      <c r="DQ119" s="9">
        <f t="shared" si="327"/>
        <v>0</v>
      </c>
      <c r="DR119" s="9"/>
      <c r="DS119" s="31">
        <f t="shared" si="322"/>
        <v>0</v>
      </c>
      <c r="DT119" s="31">
        <f t="shared" si="328"/>
        <v>0</v>
      </c>
      <c r="DU119" s="9"/>
      <c r="DV119" s="8"/>
      <c r="DW119" s="7"/>
      <c r="DX119" s="7"/>
      <c r="DY119" s="7"/>
      <c r="DZ119" s="7"/>
      <c r="EA119" s="7"/>
      <c r="EB119" s="7"/>
      <c r="EC119" s="7"/>
    </row>
    <row r="120" spans="3:133">
      <c r="C120" s="57" t="str">
        <f t="shared" si="329"/>
        <v>///</v>
      </c>
      <c r="D120" s="57">
        <f t="shared" si="330"/>
        <v>0</v>
      </c>
      <c r="E120" s="62">
        <f t="shared" si="329"/>
        <v>0</v>
      </c>
      <c r="F120" s="9">
        <f t="shared" si="323"/>
        <v>0</v>
      </c>
      <c r="G120" s="9">
        <f t="shared" si="323"/>
        <v>0</v>
      </c>
      <c r="H120" s="9">
        <f t="shared" si="323"/>
        <v>0</v>
      </c>
      <c r="I120" s="9">
        <f t="shared" si="323"/>
        <v>0</v>
      </c>
      <c r="J120" s="9">
        <f t="shared" si="323"/>
        <v>0</v>
      </c>
      <c r="K120" s="9">
        <f t="shared" si="323"/>
        <v>0</v>
      </c>
      <c r="L120" s="9">
        <f t="shared" si="323"/>
        <v>0</v>
      </c>
      <c r="M120" s="9">
        <f t="shared" si="323"/>
        <v>0</v>
      </c>
      <c r="N120" s="9">
        <f t="shared" si="323"/>
        <v>0</v>
      </c>
      <c r="O120" s="9">
        <f t="shared" si="323"/>
        <v>0</v>
      </c>
      <c r="P120" s="9">
        <f t="shared" si="323"/>
        <v>0</v>
      </c>
      <c r="Q120" s="9">
        <f t="shared" si="323"/>
        <v>0</v>
      </c>
      <c r="R120" s="9"/>
      <c r="S120" s="9">
        <f t="shared" si="332"/>
        <v>0</v>
      </c>
      <c r="T120" s="9">
        <f t="shared" si="332"/>
        <v>0</v>
      </c>
      <c r="U120" s="9">
        <f t="shared" si="332"/>
        <v>0</v>
      </c>
      <c r="V120" s="9">
        <f t="shared" si="332"/>
        <v>0</v>
      </c>
      <c r="W120" s="9">
        <f t="shared" si="332"/>
        <v>0</v>
      </c>
      <c r="X120" s="9">
        <f t="shared" si="332"/>
        <v>0</v>
      </c>
      <c r="Y120" s="9">
        <f t="shared" si="332"/>
        <v>0</v>
      </c>
      <c r="Z120" s="9">
        <f t="shared" si="332"/>
        <v>0</v>
      </c>
      <c r="AA120" s="9">
        <f t="shared" si="332"/>
        <v>0</v>
      </c>
      <c r="AB120" s="9">
        <f t="shared" si="332"/>
        <v>0</v>
      </c>
      <c r="AC120" s="9">
        <f t="shared" si="332"/>
        <v>0</v>
      </c>
      <c r="AD120" s="9">
        <f t="shared" si="332"/>
        <v>0</v>
      </c>
      <c r="AE120" s="9">
        <f t="shared" si="332"/>
        <v>0</v>
      </c>
      <c r="AF120" s="9">
        <f t="shared" si="332"/>
        <v>0</v>
      </c>
      <c r="AG120" s="9">
        <f t="shared" si="332"/>
        <v>0</v>
      </c>
      <c r="AH120" s="9">
        <f t="shared" si="332"/>
        <v>0</v>
      </c>
      <c r="AI120" s="9">
        <f t="shared" si="332"/>
        <v>0</v>
      </c>
      <c r="AJ120" s="9">
        <f t="shared" si="332"/>
        <v>0</v>
      </c>
      <c r="AK120" s="9">
        <f t="shared" si="332"/>
        <v>0</v>
      </c>
      <c r="AL120" s="9">
        <f t="shared" si="332"/>
        <v>0</v>
      </c>
      <c r="AM120" s="9">
        <f t="shared" si="332"/>
        <v>0</v>
      </c>
      <c r="AN120" s="9">
        <f t="shared" si="332"/>
        <v>0</v>
      </c>
      <c r="AO120" s="9">
        <f t="shared" si="332"/>
        <v>0</v>
      </c>
      <c r="AP120" s="9">
        <f t="shared" si="332"/>
        <v>0</v>
      </c>
      <c r="AQ120" s="9">
        <f t="shared" si="332"/>
        <v>0</v>
      </c>
      <c r="AR120" s="9">
        <f t="shared" si="332"/>
        <v>0</v>
      </c>
      <c r="AS120" s="9">
        <f t="shared" si="332"/>
        <v>0</v>
      </c>
      <c r="AT120" s="9">
        <f t="shared" si="332"/>
        <v>0</v>
      </c>
      <c r="AU120" s="9">
        <f t="shared" si="332"/>
        <v>0</v>
      </c>
      <c r="AV120" s="9">
        <f t="shared" si="332"/>
        <v>0</v>
      </c>
      <c r="AW120" s="9">
        <f t="shared" si="332"/>
        <v>0</v>
      </c>
      <c r="AX120" s="9">
        <f t="shared" si="332"/>
        <v>0</v>
      </c>
      <c r="AY120" s="9">
        <f t="shared" si="332"/>
        <v>0</v>
      </c>
      <c r="AZ120" s="9">
        <f t="shared" si="332"/>
        <v>0</v>
      </c>
      <c r="BA120" s="9">
        <f t="shared" si="332"/>
        <v>0</v>
      </c>
      <c r="BB120" s="9">
        <f t="shared" si="332"/>
        <v>0</v>
      </c>
      <c r="BC120" s="9">
        <f t="shared" si="332"/>
        <v>0</v>
      </c>
      <c r="BD120" s="9">
        <f t="shared" si="332"/>
        <v>0</v>
      </c>
      <c r="BE120" s="9">
        <f t="shared" si="332"/>
        <v>0</v>
      </c>
      <c r="BF120" s="9">
        <f t="shared" si="332"/>
        <v>0</v>
      </c>
      <c r="BG120" s="9">
        <f t="shared" si="332"/>
        <v>0</v>
      </c>
      <c r="BH120" s="9">
        <f t="shared" si="332"/>
        <v>0</v>
      </c>
      <c r="BI120" s="9">
        <f t="shared" si="332"/>
        <v>0</v>
      </c>
      <c r="BJ120" s="9">
        <f t="shared" si="332"/>
        <v>0</v>
      </c>
      <c r="BK120" s="9">
        <f t="shared" si="332"/>
        <v>0</v>
      </c>
      <c r="BL120" s="9">
        <f t="shared" si="332"/>
        <v>0</v>
      </c>
      <c r="BM120" s="9">
        <f t="shared" si="332"/>
        <v>0</v>
      </c>
      <c r="BN120" s="9">
        <f t="shared" si="332"/>
        <v>0</v>
      </c>
      <c r="BO120" s="9">
        <f t="shared" si="332"/>
        <v>0</v>
      </c>
      <c r="BP120" s="9">
        <f t="shared" si="332"/>
        <v>0</v>
      </c>
      <c r="BQ120" s="9">
        <f t="shared" si="332"/>
        <v>0</v>
      </c>
      <c r="BR120" s="9">
        <f t="shared" si="332"/>
        <v>0</v>
      </c>
      <c r="BS120" s="9">
        <f t="shared" si="332"/>
        <v>0</v>
      </c>
      <c r="BT120" s="9">
        <f t="shared" si="332"/>
        <v>0</v>
      </c>
      <c r="BU120" s="9">
        <f t="shared" si="332"/>
        <v>0</v>
      </c>
      <c r="BV120" s="9">
        <f t="shared" si="332"/>
        <v>0</v>
      </c>
      <c r="BW120" s="9">
        <f t="shared" si="332"/>
        <v>0</v>
      </c>
      <c r="BX120" s="9">
        <f t="shared" si="332"/>
        <v>0</v>
      </c>
      <c r="BY120" s="9">
        <f t="shared" si="332"/>
        <v>0</v>
      </c>
      <c r="BZ120" s="9">
        <f t="shared" si="332"/>
        <v>0</v>
      </c>
      <c r="CA120" s="9">
        <f t="shared" si="332"/>
        <v>0</v>
      </c>
      <c r="CB120" s="9">
        <f t="shared" si="332"/>
        <v>0</v>
      </c>
      <c r="CC120" s="9">
        <f t="shared" si="332"/>
        <v>0</v>
      </c>
      <c r="CD120" s="9">
        <f t="shared" si="332"/>
        <v>0</v>
      </c>
      <c r="CE120" s="9"/>
      <c r="CF120" s="9">
        <f t="shared" si="325"/>
        <v>0</v>
      </c>
      <c r="CG120" s="9">
        <f t="shared" si="325"/>
        <v>0</v>
      </c>
      <c r="CH120" s="9">
        <f t="shared" si="325"/>
        <v>0</v>
      </c>
      <c r="CI120" s="9">
        <f t="shared" si="325"/>
        <v>0</v>
      </c>
      <c r="CJ120" s="9">
        <f t="shared" si="325"/>
        <v>0</v>
      </c>
      <c r="CK120" s="9">
        <f t="shared" si="325"/>
        <v>0</v>
      </c>
      <c r="CL120" s="9">
        <f t="shared" si="325"/>
        <v>0</v>
      </c>
      <c r="CM120" s="9">
        <f t="shared" si="325"/>
        <v>0</v>
      </c>
      <c r="CN120" s="9">
        <f t="shared" si="325"/>
        <v>0</v>
      </c>
      <c r="CO120" s="9">
        <f t="shared" si="325"/>
        <v>0</v>
      </c>
      <c r="CP120" s="9">
        <f t="shared" si="325"/>
        <v>0</v>
      </c>
      <c r="CQ120" s="9">
        <f t="shared" si="325"/>
        <v>0</v>
      </c>
      <c r="CR120" s="9"/>
      <c r="CS120" s="9">
        <f t="shared" si="326"/>
        <v>0</v>
      </c>
      <c r="CT120" s="9">
        <f t="shared" si="326"/>
        <v>0</v>
      </c>
      <c r="CU120" s="9">
        <f t="shared" si="326"/>
        <v>0</v>
      </c>
      <c r="CV120" s="9">
        <f t="shared" si="326"/>
        <v>0</v>
      </c>
      <c r="CW120" s="9">
        <f t="shared" si="326"/>
        <v>0</v>
      </c>
      <c r="CX120" s="9">
        <f t="shared" si="326"/>
        <v>0</v>
      </c>
      <c r="CY120" s="9">
        <f t="shared" si="326"/>
        <v>0</v>
      </c>
      <c r="CZ120" s="9">
        <f t="shared" si="326"/>
        <v>0</v>
      </c>
      <c r="DA120" s="9">
        <f t="shared" si="326"/>
        <v>0</v>
      </c>
      <c r="DB120" s="9">
        <f t="shared" si="326"/>
        <v>0</v>
      </c>
      <c r="DC120" s="9">
        <f t="shared" si="326"/>
        <v>0</v>
      </c>
      <c r="DD120" s="9">
        <f t="shared" si="326"/>
        <v>0</v>
      </c>
      <c r="DE120" s="9"/>
      <c r="DF120" s="9">
        <f t="shared" si="327"/>
        <v>0</v>
      </c>
      <c r="DG120" s="9">
        <f t="shared" si="327"/>
        <v>0</v>
      </c>
      <c r="DH120" s="9">
        <f t="shared" si="327"/>
        <v>0</v>
      </c>
      <c r="DI120" s="9">
        <f t="shared" si="327"/>
        <v>0</v>
      </c>
      <c r="DJ120" s="9">
        <f t="shared" si="327"/>
        <v>0</v>
      </c>
      <c r="DK120" s="9">
        <f t="shared" si="327"/>
        <v>0</v>
      </c>
      <c r="DL120" s="9">
        <f t="shared" si="327"/>
        <v>0</v>
      </c>
      <c r="DM120" s="9">
        <f t="shared" si="327"/>
        <v>0</v>
      </c>
      <c r="DN120" s="9">
        <f t="shared" si="327"/>
        <v>0</v>
      </c>
      <c r="DO120" s="9">
        <f t="shared" si="327"/>
        <v>0</v>
      </c>
      <c r="DP120" s="9">
        <f t="shared" si="327"/>
        <v>0</v>
      </c>
      <c r="DQ120" s="9">
        <f t="shared" si="327"/>
        <v>0</v>
      </c>
      <c r="DR120" s="9"/>
      <c r="DS120" s="31">
        <f t="shared" si="322"/>
        <v>0</v>
      </c>
      <c r="DT120" s="31">
        <f t="shared" si="328"/>
        <v>0</v>
      </c>
      <c r="DU120" s="9"/>
      <c r="DV120" s="8"/>
      <c r="DW120" s="7"/>
      <c r="DX120" s="7"/>
      <c r="DY120" s="7"/>
      <c r="DZ120" s="7"/>
      <c r="EA120" s="7"/>
      <c r="EB120" s="7"/>
      <c r="EC120" s="7"/>
    </row>
    <row r="121" spans="3:133">
      <c r="C121" s="57" t="str">
        <f t="shared" si="329"/>
        <v>///</v>
      </c>
      <c r="D121" s="57">
        <f t="shared" si="330"/>
        <v>0</v>
      </c>
      <c r="E121" s="62">
        <f t="shared" si="329"/>
        <v>0</v>
      </c>
      <c r="F121" s="9">
        <f t="shared" si="323"/>
        <v>0</v>
      </c>
      <c r="G121" s="9">
        <f t="shared" si="323"/>
        <v>0</v>
      </c>
      <c r="H121" s="9">
        <f t="shared" si="323"/>
        <v>0</v>
      </c>
      <c r="I121" s="9">
        <f t="shared" si="323"/>
        <v>0</v>
      </c>
      <c r="J121" s="9">
        <f t="shared" si="323"/>
        <v>0</v>
      </c>
      <c r="K121" s="9">
        <f t="shared" si="323"/>
        <v>0</v>
      </c>
      <c r="L121" s="9">
        <f t="shared" si="323"/>
        <v>0</v>
      </c>
      <c r="M121" s="9">
        <f t="shared" si="323"/>
        <v>0</v>
      </c>
      <c r="N121" s="9">
        <f t="shared" si="323"/>
        <v>0</v>
      </c>
      <c r="O121" s="9">
        <f t="shared" si="323"/>
        <v>0</v>
      </c>
      <c r="P121" s="9">
        <f t="shared" si="323"/>
        <v>0</v>
      </c>
      <c r="Q121" s="9">
        <f t="shared" si="323"/>
        <v>0</v>
      </c>
      <c r="R121" s="9"/>
      <c r="S121" s="9">
        <f t="shared" si="332"/>
        <v>0</v>
      </c>
      <c r="T121" s="9">
        <f t="shared" si="332"/>
        <v>0</v>
      </c>
      <c r="U121" s="9">
        <f t="shared" si="332"/>
        <v>0</v>
      </c>
      <c r="V121" s="9">
        <f t="shared" si="332"/>
        <v>0</v>
      </c>
      <c r="W121" s="9">
        <f t="shared" si="332"/>
        <v>0</v>
      </c>
      <c r="X121" s="9">
        <f t="shared" si="332"/>
        <v>0</v>
      </c>
      <c r="Y121" s="9">
        <f t="shared" si="332"/>
        <v>0</v>
      </c>
      <c r="Z121" s="9">
        <f t="shared" si="332"/>
        <v>0</v>
      </c>
      <c r="AA121" s="9">
        <f t="shared" si="332"/>
        <v>0</v>
      </c>
      <c r="AB121" s="9">
        <f t="shared" si="332"/>
        <v>0</v>
      </c>
      <c r="AC121" s="9">
        <f t="shared" si="332"/>
        <v>0</v>
      </c>
      <c r="AD121" s="9">
        <f t="shared" si="332"/>
        <v>0</v>
      </c>
      <c r="AE121" s="9">
        <f t="shared" si="332"/>
        <v>0</v>
      </c>
      <c r="AF121" s="9">
        <f t="shared" si="332"/>
        <v>0</v>
      </c>
      <c r="AG121" s="9">
        <f t="shared" si="332"/>
        <v>0</v>
      </c>
      <c r="AH121" s="9">
        <f t="shared" si="332"/>
        <v>0</v>
      </c>
      <c r="AI121" s="9">
        <f t="shared" si="332"/>
        <v>0</v>
      </c>
      <c r="AJ121" s="9">
        <f t="shared" si="332"/>
        <v>0</v>
      </c>
      <c r="AK121" s="9">
        <f t="shared" si="332"/>
        <v>0</v>
      </c>
      <c r="AL121" s="9">
        <f t="shared" si="332"/>
        <v>0</v>
      </c>
      <c r="AM121" s="9">
        <f t="shared" si="332"/>
        <v>0</v>
      </c>
      <c r="AN121" s="9">
        <f t="shared" si="332"/>
        <v>0</v>
      </c>
      <c r="AO121" s="9">
        <f t="shared" si="332"/>
        <v>0</v>
      </c>
      <c r="AP121" s="9">
        <f t="shared" si="332"/>
        <v>0</v>
      </c>
      <c r="AQ121" s="9">
        <f t="shared" si="332"/>
        <v>0</v>
      </c>
      <c r="AR121" s="9">
        <f t="shared" si="332"/>
        <v>0</v>
      </c>
      <c r="AS121" s="9">
        <f t="shared" si="332"/>
        <v>0</v>
      </c>
      <c r="AT121" s="9">
        <f t="shared" si="332"/>
        <v>0</v>
      </c>
      <c r="AU121" s="9">
        <f t="shared" si="332"/>
        <v>0</v>
      </c>
      <c r="AV121" s="9">
        <f t="shared" si="332"/>
        <v>0</v>
      </c>
      <c r="AW121" s="9">
        <f t="shared" si="332"/>
        <v>0</v>
      </c>
      <c r="AX121" s="9">
        <f t="shared" si="332"/>
        <v>0</v>
      </c>
      <c r="AY121" s="9">
        <f t="shared" si="332"/>
        <v>0</v>
      </c>
      <c r="AZ121" s="9">
        <f t="shared" si="332"/>
        <v>0</v>
      </c>
      <c r="BA121" s="9">
        <f t="shared" si="332"/>
        <v>0</v>
      </c>
      <c r="BB121" s="9">
        <f t="shared" si="332"/>
        <v>0</v>
      </c>
      <c r="BC121" s="9">
        <f t="shared" si="332"/>
        <v>0</v>
      </c>
      <c r="BD121" s="9">
        <f t="shared" si="332"/>
        <v>0</v>
      </c>
      <c r="BE121" s="9">
        <f t="shared" si="332"/>
        <v>0</v>
      </c>
      <c r="BF121" s="9">
        <f t="shared" si="332"/>
        <v>0</v>
      </c>
      <c r="BG121" s="9">
        <f t="shared" si="332"/>
        <v>0</v>
      </c>
      <c r="BH121" s="9">
        <f t="shared" si="332"/>
        <v>0</v>
      </c>
      <c r="BI121" s="9">
        <f t="shared" si="332"/>
        <v>0</v>
      </c>
      <c r="BJ121" s="9">
        <f t="shared" si="332"/>
        <v>0</v>
      </c>
      <c r="BK121" s="9">
        <f t="shared" si="332"/>
        <v>0</v>
      </c>
      <c r="BL121" s="9">
        <f t="shared" si="332"/>
        <v>0</v>
      </c>
      <c r="BM121" s="9">
        <f t="shared" si="332"/>
        <v>0</v>
      </c>
      <c r="BN121" s="9">
        <f t="shared" si="332"/>
        <v>0</v>
      </c>
      <c r="BO121" s="9">
        <f t="shared" si="332"/>
        <v>0</v>
      </c>
      <c r="BP121" s="9">
        <f t="shared" si="332"/>
        <v>0</v>
      </c>
      <c r="BQ121" s="9">
        <f t="shared" si="332"/>
        <v>0</v>
      </c>
      <c r="BR121" s="9">
        <f t="shared" si="332"/>
        <v>0</v>
      </c>
      <c r="BS121" s="9">
        <f t="shared" si="332"/>
        <v>0</v>
      </c>
      <c r="BT121" s="9">
        <f t="shared" si="332"/>
        <v>0</v>
      </c>
      <c r="BU121" s="9">
        <f t="shared" si="332"/>
        <v>0</v>
      </c>
      <c r="BV121" s="9">
        <f t="shared" si="332"/>
        <v>0</v>
      </c>
      <c r="BW121" s="9">
        <f t="shared" si="332"/>
        <v>0</v>
      </c>
      <c r="BX121" s="9">
        <f t="shared" si="332"/>
        <v>0</v>
      </c>
      <c r="BY121" s="9">
        <f t="shared" si="332"/>
        <v>0</v>
      </c>
      <c r="BZ121" s="9">
        <f t="shared" si="332"/>
        <v>0</v>
      </c>
      <c r="CA121" s="9">
        <f t="shared" si="332"/>
        <v>0</v>
      </c>
      <c r="CB121" s="9">
        <f t="shared" si="332"/>
        <v>0</v>
      </c>
      <c r="CC121" s="9">
        <f t="shared" si="332"/>
        <v>0</v>
      </c>
      <c r="CD121" s="9">
        <f t="shared" ref="CD121" si="333">CD16+CD42+CD68+CD94</f>
        <v>0</v>
      </c>
      <c r="CE121" s="9"/>
      <c r="CF121" s="9">
        <f t="shared" si="325"/>
        <v>0</v>
      </c>
      <c r="CG121" s="9">
        <f t="shared" si="325"/>
        <v>0</v>
      </c>
      <c r="CH121" s="9">
        <f t="shared" si="325"/>
        <v>0</v>
      </c>
      <c r="CI121" s="9">
        <f t="shared" si="325"/>
        <v>0</v>
      </c>
      <c r="CJ121" s="9">
        <f t="shared" si="325"/>
        <v>0</v>
      </c>
      <c r="CK121" s="9">
        <f t="shared" si="325"/>
        <v>0</v>
      </c>
      <c r="CL121" s="9">
        <f t="shared" si="325"/>
        <v>0</v>
      </c>
      <c r="CM121" s="9">
        <f t="shared" si="325"/>
        <v>0</v>
      </c>
      <c r="CN121" s="9">
        <f t="shared" si="325"/>
        <v>0</v>
      </c>
      <c r="CO121" s="9">
        <f t="shared" si="325"/>
        <v>0</v>
      </c>
      <c r="CP121" s="9">
        <f t="shared" si="325"/>
        <v>0</v>
      </c>
      <c r="CQ121" s="9">
        <f t="shared" si="325"/>
        <v>0</v>
      </c>
      <c r="CR121" s="9"/>
      <c r="CS121" s="9">
        <f t="shared" si="326"/>
        <v>0</v>
      </c>
      <c r="CT121" s="9">
        <f t="shared" si="326"/>
        <v>0</v>
      </c>
      <c r="CU121" s="9">
        <f t="shared" si="326"/>
        <v>0</v>
      </c>
      <c r="CV121" s="9">
        <f t="shared" si="326"/>
        <v>0</v>
      </c>
      <c r="CW121" s="9">
        <f t="shared" si="326"/>
        <v>0</v>
      </c>
      <c r="CX121" s="9">
        <f t="shared" si="326"/>
        <v>0</v>
      </c>
      <c r="CY121" s="9">
        <f t="shared" si="326"/>
        <v>0</v>
      </c>
      <c r="CZ121" s="9">
        <f t="shared" si="326"/>
        <v>0</v>
      </c>
      <c r="DA121" s="9">
        <f t="shared" si="326"/>
        <v>0</v>
      </c>
      <c r="DB121" s="9">
        <f t="shared" si="326"/>
        <v>0</v>
      </c>
      <c r="DC121" s="9">
        <f t="shared" si="326"/>
        <v>0</v>
      </c>
      <c r="DD121" s="9">
        <f t="shared" si="326"/>
        <v>0</v>
      </c>
      <c r="DE121" s="9"/>
      <c r="DF121" s="9">
        <f t="shared" si="327"/>
        <v>0</v>
      </c>
      <c r="DG121" s="9">
        <f t="shared" si="327"/>
        <v>0</v>
      </c>
      <c r="DH121" s="9">
        <f t="shared" si="327"/>
        <v>0</v>
      </c>
      <c r="DI121" s="9">
        <f t="shared" si="327"/>
        <v>0</v>
      </c>
      <c r="DJ121" s="9">
        <f t="shared" si="327"/>
        <v>0</v>
      </c>
      <c r="DK121" s="9">
        <f t="shared" si="327"/>
        <v>0</v>
      </c>
      <c r="DL121" s="9">
        <f t="shared" si="327"/>
        <v>0</v>
      </c>
      <c r="DM121" s="9">
        <f t="shared" si="327"/>
        <v>0</v>
      </c>
      <c r="DN121" s="9">
        <f t="shared" si="327"/>
        <v>0</v>
      </c>
      <c r="DO121" s="9">
        <f t="shared" si="327"/>
        <v>0</v>
      </c>
      <c r="DP121" s="9">
        <f t="shared" si="327"/>
        <v>0</v>
      </c>
      <c r="DQ121" s="9">
        <f t="shared" si="327"/>
        <v>0</v>
      </c>
      <c r="DR121" s="9"/>
      <c r="DS121" s="31">
        <f t="shared" si="322"/>
        <v>0</v>
      </c>
      <c r="DT121" s="31">
        <f t="shared" si="328"/>
        <v>0</v>
      </c>
      <c r="DU121" s="9"/>
      <c r="DV121" s="8"/>
      <c r="DW121" s="7"/>
      <c r="DX121" s="7"/>
      <c r="DY121" s="7"/>
      <c r="DZ121" s="7"/>
      <c r="EA121" s="7"/>
      <c r="EB121" s="7"/>
      <c r="EC121" s="7"/>
    </row>
    <row r="122" spans="3:133">
      <c r="C122" s="57" t="str">
        <f t="shared" si="329"/>
        <v>///</v>
      </c>
      <c r="D122" s="57">
        <f t="shared" si="330"/>
        <v>0</v>
      </c>
      <c r="E122" s="62">
        <f t="shared" si="329"/>
        <v>0</v>
      </c>
      <c r="F122" s="9">
        <f t="shared" si="323"/>
        <v>0</v>
      </c>
      <c r="G122" s="9">
        <f t="shared" si="323"/>
        <v>0</v>
      </c>
      <c r="H122" s="9">
        <f t="shared" si="323"/>
        <v>0</v>
      </c>
      <c r="I122" s="9">
        <f t="shared" si="323"/>
        <v>0</v>
      </c>
      <c r="J122" s="9">
        <f t="shared" si="323"/>
        <v>0</v>
      </c>
      <c r="K122" s="9">
        <f t="shared" si="323"/>
        <v>0</v>
      </c>
      <c r="L122" s="9">
        <f t="shared" si="323"/>
        <v>0</v>
      </c>
      <c r="M122" s="9">
        <f t="shared" si="323"/>
        <v>0</v>
      </c>
      <c r="N122" s="9">
        <f t="shared" si="323"/>
        <v>0</v>
      </c>
      <c r="O122" s="9">
        <f t="shared" si="323"/>
        <v>0</v>
      </c>
      <c r="P122" s="9">
        <f t="shared" si="323"/>
        <v>0</v>
      </c>
      <c r="Q122" s="9">
        <f t="shared" si="323"/>
        <v>0</v>
      </c>
      <c r="R122" s="9"/>
      <c r="S122" s="9">
        <f t="shared" ref="S122:CD125" si="334">S17+S43+S69+S95</f>
        <v>0</v>
      </c>
      <c r="T122" s="9">
        <f t="shared" si="334"/>
        <v>0</v>
      </c>
      <c r="U122" s="9">
        <f t="shared" si="334"/>
        <v>0</v>
      </c>
      <c r="V122" s="9">
        <f t="shared" si="334"/>
        <v>0</v>
      </c>
      <c r="W122" s="9">
        <f t="shared" si="334"/>
        <v>0</v>
      </c>
      <c r="X122" s="9">
        <f t="shared" si="334"/>
        <v>0</v>
      </c>
      <c r="Y122" s="9">
        <f t="shared" si="334"/>
        <v>0</v>
      </c>
      <c r="Z122" s="9">
        <f t="shared" si="334"/>
        <v>0</v>
      </c>
      <c r="AA122" s="9">
        <f t="shared" si="334"/>
        <v>0</v>
      </c>
      <c r="AB122" s="9">
        <f t="shared" si="334"/>
        <v>0</v>
      </c>
      <c r="AC122" s="9">
        <f t="shared" si="334"/>
        <v>0</v>
      </c>
      <c r="AD122" s="9">
        <f t="shared" si="334"/>
        <v>0</v>
      </c>
      <c r="AE122" s="9">
        <f t="shared" si="334"/>
        <v>0</v>
      </c>
      <c r="AF122" s="9">
        <f t="shared" si="334"/>
        <v>0</v>
      </c>
      <c r="AG122" s="9">
        <f t="shared" si="334"/>
        <v>0</v>
      </c>
      <c r="AH122" s="9">
        <f t="shared" si="334"/>
        <v>0</v>
      </c>
      <c r="AI122" s="9">
        <f t="shared" si="334"/>
        <v>0</v>
      </c>
      <c r="AJ122" s="9">
        <f t="shared" si="334"/>
        <v>0</v>
      </c>
      <c r="AK122" s="9">
        <f t="shared" si="334"/>
        <v>0</v>
      </c>
      <c r="AL122" s="9">
        <f t="shared" si="334"/>
        <v>0</v>
      </c>
      <c r="AM122" s="9">
        <f t="shared" si="334"/>
        <v>0</v>
      </c>
      <c r="AN122" s="9">
        <f t="shared" si="334"/>
        <v>0</v>
      </c>
      <c r="AO122" s="9">
        <f t="shared" si="334"/>
        <v>0</v>
      </c>
      <c r="AP122" s="9">
        <f t="shared" si="334"/>
        <v>0</v>
      </c>
      <c r="AQ122" s="9">
        <f t="shared" si="334"/>
        <v>0</v>
      </c>
      <c r="AR122" s="9">
        <f t="shared" si="334"/>
        <v>0</v>
      </c>
      <c r="AS122" s="9">
        <f t="shared" si="334"/>
        <v>0</v>
      </c>
      <c r="AT122" s="9">
        <f t="shared" si="334"/>
        <v>0</v>
      </c>
      <c r="AU122" s="9">
        <f t="shared" si="334"/>
        <v>0</v>
      </c>
      <c r="AV122" s="9">
        <f t="shared" si="334"/>
        <v>0</v>
      </c>
      <c r="AW122" s="9">
        <f t="shared" si="334"/>
        <v>0</v>
      </c>
      <c r="AX122" s="9">
        <f t="shared" si="334"/>
        <v>0</v>
      </c>
      <c r="AY122" s="9">
        <f t="shared" si="334"/>
        <v>0</v>
      </c>
      <c r="AZ122" s="9">
        <f t="shared" si="334"/>
        <v>0</v>
      </c>
      <c r="BA122" s="9">
        <f t="shared" si="334"/>
        <v>0</v>
      </c>
      <c r="BB122" s="9">
        <f t="shared" si="334"/>
        <v>0</v>
      </c>
      <c r="BC122" s="9">
        <f t="shared" si="334"/>
        <v>0</v>
      </c>
      <c r="BD122" s="9">
        <f t="shared" si="334"/>
        <v>0</v>
      </c>
      <c r="BE122" s="9">
        <f t="shared" si="334"/>
        <v>0</v>
      </c>
      <c r="BF122" s="9">
        <f t="shared" si="334"/>
        <v>0</v>
      </c>
      <c r="BG122" s="9">
        <f t="shared" si="334"/>
        <v>0</v>
      </c>
      <c r="BH122" s="9">
        <f t="shared" si="334"/>
        <v>0</v>
      </c>
      <c r="BI122" s="9">
        <f t="shared" si="334"/>
        <v>0</v>
      </c>
      <c r="BJ122" s="9">
        <f t="shared" si="334"/>
        <v>0</v>
      </c>
      <c r="BK122" s="9">
        <f t="shared" si="334"/>
        <v>0</v>
      </c>
      <c r="BL122" s="9">
        <f t="shared" si="334"/>
        <v>0</v>
      </c>
      <c r="BM122" s="9">
        <f t="shared" si="334"/>
        <v>0</v>
      </c>
      <c r="BN122" s="9">
        <f t="shared" si="334"/>
        <v>0</v>
      </c>
      <c r="BO122" s="9">
        <f t="shared" si="334"/>
        <v>0</v>
      </c>
      <c r="BP122" s="9">
        <f t="shared" si="334"/>
        <v>0</v>
      </c>
      <c r="BQ122" s="9">
        <f t="shared" si="334"/>
        <v>0</v>
      </c>
      <c r="BR122" s="9">
        <f t="shared" si="334"/>
        <v>0</v>
      </c>
      <c r="BS122" s="9">
        <f t="shared" si="334"/>
        <v>0</v>
      </c>
      <c r="BT122" s="9">
        <f t="shared" si="334"/>
        <v>0</v>
      </c>
      <c r="BU122" s="9">
        <f t="shared" si="334"/>
        <v>0</v>
      </c>
      <c r="BV122" s="9">
        <f t="shared" si="334"/>
        <v>0</v>
      </c>
      <c r="BW122" s="9">
        <f t="shared" si="334"/>
        <v>0</v>
      </c>
      <c r="BX122" s="9">
        <f t="shared" si="334"/>
        <v>0</v>
      </c>
      <c r="BY122" s="9">
        <f t="shared" si="334"/>
        <v>0</v>
      </c>
      <c r="BZ122" s="9">
        <f t="shared" si="334"/>
        <v>0</v>
      </c>
      <c r="CA122" s="9">
        <f t="shared" si="334"/>
        <v>0</v>
      </c>
      <c r="CB122" s="9">
        <f t="shared" si="334"/>
        <v>0</v>
      </c>
      <c r="CC122" s="9">
        <f t="shared" si="334"/>
        <v>0</v>
      </c>
      <c r="CD122" s="9">
        <f t="shared" si="334"/>
        <v>0</v>
      </c>
      <c r="CE122" s="9"/>
      <c r="CF122" s="9">
        <f t="shared" si="325"/>
        <v>0</v>
      </c>
      <c r="CG122" s="9">
        <f t="shared" si="325"/>
        <v>0</v>
      </c>
      <c r="CH122" s="9">
        <f t="shared" si="325"/>
        <v>0</v>
      </c>
      <c r="CI122" s="9">
        <f t="shared" si="325"/>
        <v>0</v>
      </c>
      <c r="CJ122" s="9">
        <f t="shared" si="325"/>
        <v>0</v>
      </c>
      <c r="CK122" s="9">
        <f t="shared" si="325"/>
        <v>0</v>
      </c>
      <c r="CL122" s="9">
        <f t="shared" si="325"/>
        <v>0</v>
      </c>
      <c r="CM122" s="9">
        <f t="shared" si="325"/>
        <v>0</v>
      </c>
      <c r="CN122" s="9">
        <f t="shared" si="325"/>
        <v>0</v>
      </c>
      <c r="CO122" s="9">
        <f t="shared" si="325"/>
        <v>0</v>
      </c>
      <c r="CP122" s="9">
        <f t="shared" si="325"/>
        <v>0</v>
      </c>
      <c r="CQ122" s="9">
        <f t="shared" si="325"/>
        <v>0</v>
      </c>
      <c r="CR122" s="9"/>
      <c r="CS122" s="9">
        <f t="shared" si="326"/>
        <v>0</v>
      </c>
      <c r="CT122" s="9">
        <f t="shared" si="326"/>
        <v>0</v>
      </c>
      <c r="CU122" s="9">
        <f t="shared" si="326"/>
        <v>0</v>
      </c>
      <c r="CV122" s="9">
        <f t="shared" si="326"/>
        <v>0</v>
      </c>
      <c r="CW122" s="9">
        <f t="shared" si="326"/>
        <v>0</v>
      </c>
      <c r="CX122" s="9">
        <f t="shared" si="326"/>
        <v>0</v>
      </c>
      <c r="CY122" s="9">
        <f t="shared" si="326"/>
        <v>0</v>
      </c>
      <c r="CZ122" s="9">
        <f t="shared" si="326"/>
        <v>0</v>
      </c>
      <c r="DA122" s="9">
        <f t="shared" si="326"/>
        <v>0</v>
      </c>
      <c r="DB122" s="9">
        <f t="shared" si="326"/>
        <v>0</v>
      </c>
      <c r="DC122" s="9">
        <f t="shared" si="326"/>
        <v>0</v>
      </c>
      <c r="DD122" s="9">
        <f t="shared" si="326"/>
        <v>0</v>
      </c>
      <c r="DE122" s="9"/>
      <c r="DF122" s="9">
        <f t="shared" si="327"/>
        <v>0</v>
      </c>
      <c r="DG122" s="9">
        <f t="shared" si="327"/>
        <v>0</v>
      </c>
      <c r="DH122" s="9">
        <f t="shared" si="327"/>
        <v>0</v>
      </c>
      <c r="DI122" s="9">
        <f t="shared" si="327"/>
        <v>0</v>
      </c>
      <c r="DJ122" s="9">
        <f t="shared" si="327"/>
        <v>0</v>
      </c>
      <c r="DK122" s="9">
        <f t="shared" si="327"/>
        <v>0</v>
      </c>
      <c r="DL122" s="9">
        <f t="shared" si="327"/>
        <v>0</v>
      </c>
      <c r="DM122" s="9">
        <f t="shared" si="327"/>
        <v>0</v>
      </c>
      <c r="DN122" s="9">
        <f t="shared" si="327"/>
        <v>0</v>
      </c>
      <c r="DO122" s="9">
        <f t="shared" si="327"/>
        <v>0</v>
      </c>
      <c r="DP122" s="9">
        <f t="shared" si="327"/>
        <v>0</v>
      </c>
      <c r="DQ122" s="9">
        <f t="shared" si="327"/>
        <v>0</v>
      </c>
      <c r="DR122" s="9"/>
      <c r="DS122" s="31">
        <f t="shared" si="322"/>
        <v>0</v>
      </c>
      <c r="DT122" s="31">
        <f t="shared" si="328"/>
        <v>0</v>
      </c>
      <c r="DU122" s="9"/>
      <c r="DV122" s="8"/>
      <c r="DW122" s="7"/>
      <c r="DX122" s="7"/>
      <c r="DY122" s="7"/>
      <c r="DZ122" s="7"/>
      <c r="EA122" s="7"/>
      <c r="EB122" s="7"/>
      <c r="EC122" s="7"/>
    </row>
    <row r="123" spans="3:133">
      <c r="C123" s="57" t="str">
        <f t="shared" si="329"/>
        <v>///</v>
      </c>
      <c r="D123" s="57">
        <f t="shared" si="330"/>
        <v>0</v>
      </c>
      <c r="E123" s="62">
        <f t="shared" si="329"/>
        <v>0</v>
      </c>
      <c r="F123" s="9">
        <f t="shared" si="323"/>
        <v>0</v>
      </c>
      <c r="G123" s="9">
        <f t="shared" si="323"/>
        <v>0</v>
      </c>
      <c r="H123" s="9">
        <f t="shared" si="323"/>
        <v>0</v>
      </c>
      <c r="I123" s="9">
        <f t="shared" si="323"/>
        <v>0</v>
      </c>
      <c r="J123" s="9">
        <f t="shared" si="323"/>
        <v>0</v>
      </c>
      <c r="K123" s="9">
        <f t="shared" si="323"/>
        <v>0</v>
      </c>
      <c r="L123" s="9">
        <f t="shared" si="323"/>
        <v>0</v>
      </c>
      <c r="M123" s="9">
        <f t="shared" si="323"/>
        <v>0</v>
      </c>
      <c r="N123" s="9">
        <f t="shared" si="323"/>
        <v>0</v>
      </c>
      <c r="O123" s="9">
        <f t="shared" si="323"/>
        <v>0</v>
      </c>
      <c r="P123" s="9">
        <f t="shared" si="323"/>
        <v>0</v>
      </c>
      <c r="Q123" s="9">
        <f t="shared" si="323"/>
        <v>0</v>
      </c>
      <c r="R123" s="9"/>
      <c r="S123" s="9">
        <f t="shared" si="334"/>
        <v>0</v>
      </c>
      <c r="T123" s="9">
        <f t="shared" si="334"/>
        <v>0</v>
      </c>
      <c r="U123" s="9">
        <f t="shared" si="334"/>
        <v>0</v>
      </c>
      <c r="V123" s="9">
        <f t="shared" si="334"/>
        <v>0</v>
      </c>
      <c r="W123" s="9">
        <f t="shared" si="334"/>
        <v>0</v>
      </c>
      <c r="X123" s="9">
        <f t="shared" si="334"/>
        <v>0</v>
      </c>
      <c r="Y123" s="9">
        <f t="shared" si="334"/>
        <v>0</v>
      </c>
      <c r="Z123" s="9">
        <f t="shared" si="334"/>
        <v>0</v>
      </c>
      <c r="AA123" s="9">
        <f t="shared" si="334"/>
        <v>0</v>
      </c>
      <c r="AB123" s="9">
        <f t="shared" si="334"/>
        <v>0</v>
      </c>
      <c r="AC123" s="9">
        <f t="shared" si="334"/>
        <v>0</v>
      </c>
      <c r="AD123" s="9">
        <f t="shared" si="334"/>
        <v>0</v>
      </c>
      <c r="AE123" s="9">
        <f t="shared" si="334"/>
        <v>0</v>
      </c>
      <c r="AF123" s="9">
        <f t="shared" si="334"/>
        <v>0</v>
      </c>
      <c r="AG123" s="9">
        <f t="shared" si="334"/>
        <v>0</v>
      </c>
      <c r="AH123" s="9">
        <f t="shared" si="334"/>
        <v>0</v>
      </c>
      <c r="AI123" s="9">
        <f t="shared" si="334"/>
        <v>0</v>
      </c>
      <c r="AJ123" s="9">
        <f t="shared" si="334"/>
        <v>0</v>
      </c>
      <c r="AK123" s="9">
        <f t="shared" si="334"/>
        <v>0</v>
      </c>
      <c r="AL123" s="9">
        <f t="shared" si="334"/>
        <v>0</v>
      </c>
      <c r="AM123" s="9">
        <f t="shared" si="334"/>
        <v>0</v>
      </c>
      <c r="AN123" s="9">
        <f t="shared" si="334"/>
        <v>0</v>
      </c>
      <c r="AO123" s="9">
        <f t="shared" si="334"/>
        <v>0</v>
      </c>
      <c r="AP123" s="9">
        <f t="shared" si="334"/>
        <v>0</v>
      </c>
      <c r="AQ123" s="9">
        <f t="shared" si="334"/>
        <v>0</v>
      </c>
      <c r="AR123" s="9">
        <f t="shared" si="334"/>
        <v>0</v>
      </c>
      <c r="AS123" s="9">
        <f t="shared" si="334"/>
        <v>0</v>
      </c>
      <c r="AT123" s="9">
        <f t="shared" si="334"/>
        <v>0</v>
      </c>
      <c r="AU123" s="9">
        <f t="shared" si="334"/>
        <v>0</v>
      </c>
      <c r="AV123" s="9">
        <f t="shared" si="334"/>
        <v>0</v>
      </c>
      <c r="AW123" s="9">
        <f t="shared" si="334"/>
        <v>0</v>
      </c>
      <c r="AX123" s="9">
        <f t="shared" si="334"/>
        <v>0</v>
      </c>
      <c r="AY123" s="9">
        <f t="shared" si="334"/>
        <v>0</v>
      </c>
      <c r="AZ123" s="9">
        <f t="shared" si="334"/>
        <v>0</v>
      </c>
      <c r="BA123" s="9">
        <f t="shared" si="334"/>
        <v>0</v>
      </c>
      <c r="BB123" s="9">
        <f t="shared" si="334"/>
        <v>0</v>
      </c>
      <c r="BC123" s="9">
        <f t="shared" si="334"/>
        <v>0</v>
      </c>
      <c r="BD123" s="9">
        <f t="shared" si="334"/>
        <v>0</v>
      </c>
      <c r="BE123" s="9">
        <f t="shared" si="334"/>
        <v>0</v>
      </c>
      <c r="BF123" s="9">
        <f t="shared" si="334"/>
        <v>0</v>
      </c>
      <c r="BG123" s="9">
        <f t="shared" si="334"/>
        <v>0</v>
      </c>
      <c r="BH123" s="9">
        <f t="shared" si="334"/>
        <v>0</v>
      </c>
      <c r="BI123" s="9">
        <f t="shared" si="334"/>
        <v>0</v>
      </c>
      <c r="BJ123" s="9">
        <f t="shared" si="334"/>
        <v>0</v>
      </c>
      <c r="BK123" s="9">
        <f t="shared" si="334"/>
        <v>0</v>
      </c>
      <c r="BL123" s="9">
        <f t="shared" si="334"/>
        <v>0</v>
      </c>
      <c r="BM123" s="9">
        <f t="shared" si="334"/>
        <v>0</v>
      </c>
      <c r="BN123" s="9">
        <f t="shared" si="334"/>
        <v>0</v>
      </c>
      <c r="BO123" s="9">
        <f t="shared" si="334"/>
        <v>0</v>
      </c>
      <c r="BP123" s="9">
        <f t="shared" si="334"/>
        <v>0</v>
      </c>
      <c r="BQ123" s="9">
        <f t="shared" si="334"/>
        <v>0</v>
      </c>
      <c r="BR123" s="9">
        <f t="shared" si="334"/>
        <v>0</v>
      </c>
      <c r="BS123" s="9">
        <f t="shared" si="334"/>
        <v>0</v>
      </c>
      <c r="BT123" s="9">
        <f t="shared" si="334"/>
        <v>0</v>
      </c>
      <c r="BU123" s="9">
        <f t="shared" si="334"/>
        <v>0</v>
      </c>
      <c r="BV123" s="9">
        <f t="shared" si="334"/>
        <v>0</v>
      </c>
      <c r="BW123" s="9">
        <f t="shared" si="334"/>
        <v>0</v>
      </c>
      <c r="BX123" s="9">
        <f t="shared" si="334"/>
        <v>0</v>
      </c>
      <c r="BY123" s="9">
        <f t="shared" si="334"/>
        <v>0</v>
      </c>
      <c r="BZ123" s="9">
        <f t="shared" si="334"/>
        <v>0</v>
      </c>
      <c r="CA123" s="9">
        <f t="shared" si="334"/>
        <v>0</v>
      </c>
      <c r="CB123" s="9">
        <f t="shared" si="334"/>
        <v>0</v>
      </c>
      <c r="CC123" s="9">
        <f t="shared" si="334"/>
        <v>0</v>
      </c>
      <c r="CD123" s="9">
        <f t="shared" si="334"/>
        <v>0</v>
      </c>
      <c r="CE123" s="9"/>
      <c r="CF123" s="9">
        <f t="shared" si="325"/>
        <v>0</v>
      </c>
      <c r="CG123" s="9">
        <f t="shared" si="325"/>
        <v>0</v>
      </c>
      <c r="CH123" s="9">
        <f t="shared" si="325"/>
        <v>0</v>
      </c>
      <c r="CI123" s="9">
        <f t="shared" si="325"/>
        <v>0</v>
      </c>
      <c r="CJ123" s="9">
        <f t="shared" si="325"/>
        <v>0</v>
      </c>
      <c r="CK123" s="9">
        <f t="shared" si="325"/>
        <v>0</v>
      </c>
      <c r="CL123" s="9">
        <f t="shared" si="325"/>
        <v>0</v>
      </c>
      <c r="CM123" s="9">
        <f t="shared" si="325"/>
        <v>0</v>
      </c>
      <c r="CN123" s="9">
        <f t="shared" si="325"/>
        <v>0</v>
      </c>
      <c r="CO123" s="9">
        <f t="shared" si="325"/>
        <v>0</v>
      </c>
      <c r="CP123" s="9">
        <f t="shared" si="325"/>
        <v>0</v>
      </c>
      <c r="CQ123" s="9">
        <f t="shared" si="325"/>
        <v>0</v>
      </c>
      <c r="CR123" s="9"/>
      <c r="CS123" s="9">
        <f t="shared" si="326"/>
        <v>0</v>
      </c>
      <c r="CT123" s="9">
        <f t="shared" si="326"/>
        <v>0</v>
      </c>
      <c r="CU123" s="9">
        <f t="shared" si="326"/>
        <v>0</v>
      </c>
      <c r="CV123" s="9">
        <f t="shared" si="326"/>
        <v>0</v>
      </c>
      <c r="CW123" s="9">
        <f t="shared" si="326"/>
        <v>0</v>
      </c>
      <c r="CX123" s="9">
        <f t="shared" si="326"/>
        <v>0</v>
      </c>
      <c r="CY123" s="9">
        <f t="shared" si="326"/>
        <v>0</v>
      </c>
      <c r="CZ123" s="9">
        <f t="shared" si="326"/>
        <v>0</v>
      </c>
      <c r="DA123" s="9">
        <f t="shared" si="326"/>
        <v>0</v>
      </c>
      <c r="DB123" s="9">
        <f t="shared" si="326"/>
        <v>0</v>
      </c>
      <c r="DC123" s="9">
        <f t="shared" si="326"/>
        <v>0</v>
      </c>
      <c r="DD123" s="9">
        <f t="shared" si="326"/>
        <v>0</v>
      </c>
      <c r="DE123" s="9"/>
      <c r="DF123" s="9">
        <f t="shared" si="327"/>
        <v>0</v>
      </c>
      <c r="DG123" s="9">
        <f t="shared" si="327"/>
        <v>0</v>
      </c>
      <c r="DH123" s="9">
        <f t="shared" si="327"/>
        <v>0</v>
      </c>
      <c r="DI123" s="9">
        <f t="shared" si="327"/>
        <v>0</v>
      </c>
      <c r="DJ123" s="9">
        <f t="shared" si="327"/>
        <v>0</v>
      </c>
      <c r="DK123" s="9">
        <f t="shared" si="327"/>
        <v>0</v>
      </c>
      <c r="DL123" s="9">
        <f t="shared" si="327"/>
        <v>0</v>
      </c>
      <c r="DM123" s="9">
        <f t="shared" si="327"/>
        <v>0</v>
      </c>
      <c r="DN123" s="9">
        <f t="shared" si="327"/>
        <v>0</v>
      </c>
      <c r="DO123" s="9">
        <f t="shared" si="327"/>
        <v>0</v>
      </c>
      <c r="DP123" s="9">
        <f t="shared" si="327"/>
        <v>0</v>
      </c>
      <c r="DQ123" s="9">
        <f t="shared" si="327"/>
        <v>0</v>
      </c>
      <c r="DR123" s="9"/>
      <c r="DS123" s="31">
        <f t="shared" si="322"/>
        <v>0</v>
      </c>
      <c r="DT123" s="31">
        <f t="shared" si="328"/>
        <v>0</v>
      </c>
      <c r="DU123" s="9"/>
      <c r="DV123" s="8"/>
      <c r="DW123" s="7"/>
      <c r="DX123" s="7"/>
      <c r="DY123" s="7"/>
      <c r="DZ123" s="7"/>
      <c r="EA123" s="7"/>
      <c r="EB123" s="7"/>
      <c r="EC123" s="7"/>
    </row>
    <row r="124" spans="3:133">
      <c r="C124" s="57" t="str">
        <f t="shared" si="329"/>
        <v>///</v>
      </c>
      <c r="D124" s="57">
        <f t="shared" si="330"/>
        <v>0</v>
      </c>
      <c r="E124" s="62">
        <f t="shared" si="329"/>
        <v>0</v>
      </c>
      <c r="F124" s="9">
        <f t="shared" si="323"/>
        <v>0</v>
      </c>
      <c r="G124" s="9">
        <f t="shared" si="323"/>
        <v>0</v>
      </c>
      <c r="H124" s="9">
        <f t="shared" si="323"/>
        <v>0</v>
      </c>
      <c r="I124" s="9">
        <f t="shared" si="323"/>
        <v>0</v>
      </c>
      <c r="J124" s="9">
        <f t="shared" si="323"/>
        <v>0</v>
      </c>
      <c r="K124" s="9">
        <f t="shared" si="323"/>
        <v>0</v>
      </c>
      <c r="L124" s="9">
        <f t="shared" si="323"/>
        <v>0</v>
      </c>
      <c r="M124" s="9">
        <f t="shared" si="323"/>
        <v>0</v>
      </c>
      <c r="N124" s="9">
        <f t="shared" si="323"/>
        <v>0</v>
      </c>
      <c r="O124" s="9">
        <f t="shared" si="323"/>
        <v>0</v>
      </c>
      <c r="P124" s="9">
        <f t="shared" si="323"/>
        <v>0</v>
      </c>
      <c r="Q124" s="9">
        <f t="shared" si="323"/>
        <v>0</v>
      </c>
      <c r="R124" s="9"/>
      <c r="S124" s="9">
        <f t="shared" si="334"/>
        <v>0</v>
      </c>
      <c r="T124" s="9">
        <f t="shared" si="334"/>
        <v>0</v>
      </c>
      <c r="U124" s="9">
        <f t="shared" si="334"/>
        <v>0</v>
      </c>
      <c r="V124" s="9">
        <f t="shared" si="334"/>
        <v>0</v>
      </c>
      <c r="W124" s="9">
        <f t="shared" si="334"/>
        <v>0</v>
      </c>
      <c r="X124" s="9">
        <f t="shared" si="334"/>
        <v>0</v>
      </c>
      <c r="Y124" s="9">
        <f t="shared" si="334"/>
        <v>0</v>
      </c>
      <c r="Z124" s="9">
        <f t="shared" si="334"/>
        <v>0</v>
      </c>
      <c r="AA124" s="9">
        <f t="shared" si="334"/>
        <v>0</v>
      </c>
      <c r="AB124" s="9">
        <f t="shared" si="334"/>
        <v>0</v>
      </c>
      <c r="AC124" s="9">
        <f t="shared" si="334"/>
        <v>0</v>
      </c>
      <c r="AD124" s="9">
        <f t="shared" si="334"/>
        <v>0</v>
      </c>
      <c r="AE124" s="9">
        <f t="shared" si="334"/>
        <v>0</v>
      </c>
      <c r="AF124" s="9">
        <f t="shared" si="334"/>
        <v>0</v>
      </c>
      <c r="AG124" s="9">
        <f t="shared" si="334"/>
        <v>0</v>
      </c>
      <c r="AH124" s="9">
        <f t="shared" si="334"/>
        <v>0</v>
      </c>
      <c r="AI124" s="9">
        <f t="shared" si="334"/>
        <v>0</v>
      </c>
      <c r="AJ124" s="9">
        <f t="shared" si="334"/>
        <v>0</v>
      </c>
      <c r="AK124" s="9">
        <f t="shared" si="334"/>
        <v>0</v>
      </c>
      <c r="AL124" s="9">
        <f t="shared" si="334"/>
        <v>0</v>
      </c>
      <c r="AM124" s="9">
        <f t="shared" si="334"/>
        <v>0</v>
      </c>
      <c r="AN124" s="9">
        <f t="shared" si="334"/>
        <v>0</v>
      </c>
      <c r="AO124" s="9">
        <f t="shared" si="334"/>
        <v>0</v>
      </c>
      <c r="AP124" s="9">
        <f t="shared" si="334"/>
        <v>0</v>
      </c>
      <c r="AQ124" s="9">
        <f t="shared" si="334"/>
        <v>0</v>
      </c>
      <c r="AR124" s="9">
        <f t="shared" si="334"/>
        <v>0</v>
      </c>
      <c r="AS124" s="9">
        <f t="shared" si="334"/>
        <v>0</v>
      </c>
      <c r="AT124" s="9">
        <f t="shared" si="334"/>
        <v>0</v>
      </c>
      <c r="AU124" s="9">
        <f t="shared" si="334"/>
        <v>0</v>
      </c>
      <c r="AV124" s="9">
        <f t="shared" si="334"/>
        <v>0</v>
      </c>
      <c r="AW124" s="9">
        <f t="shared" si="334"/>
        <v>0</v>
      </c>
      <c r="AX124" s="9">
        <f t="shared" si="334"/>
        <v>0</v>
      </c>
      <c r="AY124" s="9">
        <f t="shared" si="334"/>
        <v>0</v>
      </c>
      <c r="AZ124" s="9">
        <f t="shared" si="334"/>
        <v>0</v>
      </c>
      <c r="BA124" s="9">
        <f t="shared" si="334"/>
        <v>0</v>
      </c>
      <c r="BB124" s="9">
        <f t="shared" si="334"/>
        <v>0</v>
      </c>
      <c r="BC124" s="9">
        <f t="shared" si="334"/>
        <v>0</v>
      </c>
      <c r="BD124" s="9">
        <f t="shared" si="334"/>
        <v>0</v>
      </c>
      <c r="BE124" s="9">
        <f t="shared" si="334"/>
        <v>0</v>
      </c>
      <c r="BF124" s="9">
        <f t="shared" si="334"/>
        <v>0</v>
      </c>
      <c r="BG124" s="9">
        <f t="shared" si="334"/>
        <v>0</v>
      </c>
      <c r="BH124" s="9">
        <f t="shared" si="334"/>
        <v>0</v>
      </c>
      <c r="BI124" s="9">
        <f t="shared" si="334"/>
        <v>0</v>
      </c>
      <c r="BJ124" s="9">
        <f t="shared" si="334"/>
        <v>0</v>
      </c>
      <c r="BK124" s="9">
        <f t="shared" si="334"/>
        <v>0</v>
      </c>
      <c r="BL124" s="9">
        <f t="shared" si="334"/>
        <v>0</v>
      </c>
      <c r="BM124" s="9">
        <f t="shared" si="334"/>
        <v>0</v>
      </c>
      <c r="BN124" s="9">
        <f t="shared" si="334"/>
        <v>0</v>
      </c>
      <c r="BO124" s="9">
        <f t="shared" si="334"/>
        <v>0</v>
      </c>
      <c r="BP124" s="9">
        <f t="shared" si="334"/>
        <v>0</v>
      </c>
      <c r="BQ124" s="9">
        <f t="shared" si="334"/>
        <v>0</v>
      </c>
      <c r="BR124" s="9">
        <f t="shared" si="334"/>
        <v>0</v>
      </c>
      <c r="BS124" s="9">
        <f t="shared" si="334"/>
        <v>0</v>
      </c>
      <c r="BT124" s="9">
        <f t="shared" si="334"/>
        <v>0</v>
      </c>
      <c r="BU124" s="9">
        <f t="shared" si="334"/>
        <v>0</v>
      </c>
      <c r="BV124" s="9">
        <f t="shared" si="334"/>
        <v>0</v>
      </c>
      <c r="BW124" s="9">
        <f t="shared" si="334"/>
        <v>0</v>
      </c>
      <c r="BX124" s="9">
        <f t="shared" si="334"/>
        <v>0</v>
      </c>
      <c r="BY124" s="9">
        <f t="shared" si="334"/>
        <v>0</v>
      </c>
      <c r="BZ124" s="9">
        <f t="shared" si="334"/>
        <v>0</v>
      </c>
      <c r="CA124" s="9">
        <f t="shared" si="334"/>
        <v>0</v>
      </c>
      <c r="CB124" s="9">
        <f t="shared" si="334"/>
        <v>0</v>
      </c>
      <c r="CC124" s="9">
        <f t="shared" si="334"/>
        <v>0</v>
      </c>
      <c r="CD124" s="9">
        <f t="shared" si="334"/>
        <v>0</v>
      </c>
      <c r="CE124" s="9"/>
      <c r="CF124" s="9">
        <f t="shared" si="325"/>
        <v>0</v>
      </c>
      <c r="CG124" s="9">
        <f t="shared" si="325"/>
        <v>0</v>
      </c>
      <c r="CH124" s="9">
        <f t="shared" si="325"/>
        <v>0</v>
      </c>
      <c r="CI124" s="9">
        <f t="shared" si="325"/>
        <v>0</v>
      </c>
      <c r="CJ124" s="9">
        <f t="shared" si="325"/>
        <v>0</v>
      </c>
      <c r="CK124" s="9">
        <f t="shared" si="325"/>
        <v>0</v>
      </c>
      <c r="CL124" s="9">
        <f t="shared" si="325"/>
        <v>0</v>
      </c>
      <c r="CM124" s="9">
        <f t="shared" si="325"/>
        <v>0</v>
      </c>
      <c r="CN124" s="9">
        <f t="shared" si="325"/>
        <v>0</v>
      </c>
      <c r="CO124" s="9">
        <f t="shared" si="325"/>
        <v>0</v>
      </c>
      <c r="CP124" s="9">
        <f t="shared" si="325"/>
        <v>0</v>
      </c>
      <c r="CQ124" s="9">
        <f t="shared" si="325"/>
        <v>0</v>
      </c>
      <c r="CR124" s="9"/>
      <c r="CS124" s="9">
        <f t="shared" si="326"/>
        <v>0</v>
      </c>
      <c r="CT124" s="9">
        <f t="shared" si="326"/>
        <v>0</v>
      </c>
      <c r="CU124" s="9">
        <f t="shared" si="326"/>
        <v>0</v>
      </c>
      <c r="CV124" s="9">
        <f t="shared" si="326"/>
        <v>0</v>
      </c>
      <c r="CW124" s="9">
        <f t="shared" si="326"/>
        <v>0</v>
      </c>
      <c r="CX124" s="9">
        <f t="shared" si="326"/>
        <v>0</v>
      </c>
      <c r="CY124" s="9">
        <f t="shared" si="326"/>
        <v>0</v>
      </c>
      <c r="CZ124" s="9">
        <f t="shared" si="326"/>
        <v>0</v>
      </c>
      <c r="DA124" s="9">
        <f t="shared" si="326"/>
        <v>0</v>
      </c>
      <c r="DB124" s="9">
        <f t="shared" si="326"/>
        <v>0</v>
      </c>
      <c r="DC124" s="9">
        <f t="shared" si="326"/>
        <v>0</v>
      </c>
      <c r="DD124" s="9">
        <f t="shared" si="326"/>
        <v>0</v>
      </c>
      <c r="DE124" s="9"/>
      <c r="DF124" s="9">
        <f t="shared" si="327"/>
        <v>0</v>
      </c>
      <c r="DG124" s="9">
        <f t="shared" si="327"/>
        <v>0</v>
      </c>
      <c r="DH124" s="9">
        <f t="shared" si="327"/>
        <v>0</v>
      </c>
      <c r="DI124" s="9">
        <f t="shared" si="327"/>
        <v>0</v>
      </c>
      <c r="DJ124" s="9">
        <f t="shared" si="327"/>
        <v>0</v>
      </c>
      <c r="DK124" s="9">
        <f t="shared" si="327"/>
        <v>0</v>
      </c>
      <c r="DL124" s="9">
        <f t="shared" si="327"/>
        <v>0</v>
      </c>
      <c r="DM124" s="9">
        <f t="shared" si="327"/>
        <v>0</v>
      </c>
      <c r="DN124" s="9">
        <f t="shared" si="327"/>
        <v>0</v>
      </c>
      <c r="DO124" s="9">
        <f t="shared" si="327"/>
        <v>0</v>
      </c>
      <c r="DP124" s="9">
        <f t="shared" si="327"/>
        <v>0</v>
      </c>
      <c r="DQ124" s="9">
        <f t="shared" si="327"/>
        <v>0</v>
      </c>
      <c r="DR124" s="9"/>
      <c r="DS124" s="31">
        <f t="shared" si="322"/>
        <v>0</v>
      </c>
      <c r="DT124" s="31">
        <f t="shared" si="328"/>
        <v>0</v>
      </c>
      <c r="DU124" s="9"/>
      <c r="DV124" s="8"/>
      <c r="DW124" s="7"/>
      <c r="DX124" s="7"/>
      <c r="DY124" s="7"/>
      <c r="DZ124" s="7"/>
      <c r="EA124" s="7"/>
      <c r="EB124" s="7"/>
      <c r="EC124" s="7"/>
    </row>
    <row r="125" spans="3:133">
      <c r="C125" s="57" t="str">
        <f t="shared" si="329"/>
        <v>///</v>
      </c>
      <c r="D125" s="57">
        <f t="shared" si="330"/>
        <v>0</v>
      </c>
      <c r="E125" s="62">
        <f t="shared" si="329"/>
        <v>0</v>
      </c>
      <c r="F125" s="9">
        <f t="shared" si="323"/>
        <v>0</v>
      </c>
      <c r="G125" s="9">
        <f t="shared" si="323"/>
        <v>0</v>
      </c>
      <c r="H125" s="9">
        <f t="shared" si="323"/>
        <v>0</v>
      </c>
      <c r="I125" s="9">
        <f t="shared" si="323"/>
        <v>0</v>
      </c>
      <c r="J125" s="9">
        <f t="shared" si="323"/>
        <v>0</v>
      </c>
      <c r="K125" s="9">
        <f t="shared" si="323"/>
        <v>0</v>
      </c>
      <c r="L125" s="9">
        <f t="shared" si="323"/>
        <v>0</v>
      </c>
      <c r="M125" s="9">
        <f t="shared" si="323"/>
        <v>0</v>
      </c>
      <c r="N125" s="9">
        <f t="shared" si="323"/>
        <v>0</v>
      </c>
      <c r="O125" s="9">
        <f t="shared" si="323"/>
        <v>0</v>
      </c>
      <c r="P125" s="9">
        <f t="shared" si="323"/>
        <v>0</v>
      </c>
      <c r="Q125" s="9">
        <f t="shared" si="323"/>
        <v>0</v>
      </c>
      <c r="R125" s="9"/>
      <c r="S125" s="9">
        <f t="shared" si="334"/>
        <v>0</v>
      </c>
      <c r="T125" s="9">
        <f t="shared" si="334"/>
        <v>0</v>
      </c>
      <c r="U125" s="9">
        <f t="shared" si="334"/>
        <v>0</v>
      </c>
      <c r="V125" s="9">
        <f t="shared" si="334"/>
        <v>0</v>
      </c>
      <c r="W125" s="9">
        <f t="shared" si="334"/>
        <v>0</v>
      </c>
      <c r="X125" s="9">
        <f t="shared" si="334"/>
        <v>0</v>
      </c>
      <c r="Y125" s="9">
        <f t="shared" si="334"/>
        <v>0</v>
      </c>
      <c r="Z125" s="9">
        <f t="shared" si="334"/>
        <v>0</v>
      </c>
      <c r="AA125" s="9">
        <f t="shared" si="334"/>
        <v>0</v>
      </c>
      <c r="AB125" s="9">
        <f t="shared" si="334"/>
        <v>0</v>
      </c>
      <c r="AC125" s="9">
        <f t="shared" si="334"/>
        <v>0</v>
      </c>
      <c r="AD125" s="9">
        <f t="shared" si="334"/>
        <v>0</v>
      </c>
      <c r="AE125" s="9">
        <f t="shared" si="334"/>
        <v>0</v>
      </c>
      <c r="AF125" s="9">
        <f t="shared" si="334"/>
        <v>0</v>
      </c>
      <c r="AG125" s="9">
        <f t="shared" si="334"/>
        <v>0</v>
      </c>
      <c r="AH125" s="9">
        <f t="shared" si="334"/>
        <v>0</v>
      </c>
      <c r="AI125" s="9">
        <f t="shared" si="334"/>
        <v>0</v>
      </c>
      <c r="AJ125" s="9">
        <f t="shared" si="334"/>
        <v>0</v>
      </c>
      <c r="AK125" s="9">
        <f t="shared" si="334"/>
        <v>0</v>
      </c>
      <c r="AL125" s="9">
        <f t="shared" si="334"/>
        <v>0</v>
      </c>
      <c r="AM125" s="9">
        <f t="shared" si="334"/>
        <v>0</v>
      </c>
      <c r="AN125" s="9">
        <f t="shared" si="334"/>
        <v>0</v>
      </c>
      <c r="AO125" s="9">
        <f t="shared" si="334"/>
        <v>0</v>
      </c>
      <c r="AP125" s="9">
        <f t="shared" si="334"/>
        <v>0</v>
      </c>
      <c r="AQ125" s="9">
        <f t="shared" si="334"/>
        <v>0</v>
      </c>
      <c r="AR125" s="9">
        <f t="shared" si="334"/>
        <v>0</v>
      </c>
      <c r="AS125" s="9">
        <f t="shared" si="334"/>
        <v>0</v>
      </c>
      <c r="AT125" s="9">
        <f t="shared" si="334"/>
        <v>0</v>
      </c>
      <c r="AU125" s="9">
        <f t="shared" si="334"/>
        <v>0</v>
      </c>
      <c r="AV125" s="9">
        <f t="shared" si="334"/>
        <v>0</v>
      </c>
      <c r="AW125" s="9">
        <f t="shared" si="334"/>
        <v>0</v>
      </c>
      <c r="AX125" s="9">
        <f t="shared" si="334"/>
        <v>0</v>
      </c>
      <c r="AY125" s="9">
        <f t="shared" si="334"/>
        <v>0</v>
      </c>
      <c r="AZ125" s="9">
        <f t="shared" si="334"/>
        <v>0</v>
      </c>
      <c r="BA125" s="9">
        <f t="shared" si="334"/>
        <v>0</v>
      </c>
      <c r="BB125" s="9">
        <f t="shared" si="334"/>
        <v>0</v>
      </c>
      <c r="BC125" s="9">
        <f t="shared" si="334"/>
        <v>0</v>
      </c>
      <c r="BD125" s="9">
        <f t="shared" si="334"/>
        <v>0</v>
      </c>
      <c r="BE125" s="9">
        <f t="shared" si="334"/>
        <v>0</v>
      </c>
      <c r="BF125" s="9">
        <f t="shared" si="334"/>
        <v>0</v>
      </c>
      <c r="BG125" s="9">
        <f t="shared" si="334"/>
        <v>0</v>
      </c>
      <c r="BH125" s="9">
        <f t="shared" si="334"/>
        <v>0</v>
      </c>
      <c r="BI125" s="9">
        <f t="shared" si="334"/>
        <v>0</v>
      </c>
      <c r="BJ125" s="9">
        <f t="shared" si="334"/>
        <v>0</v>
      </c>
      <c r="BK125" s="9">
        <f t="shared" si="334"/>
        <v>0</v>
      </c>
      <c r="BL125" s="9">
        <f t="shared" si="334"/>
        <v>0</v>
      </c>
      <c r="BM125" s="9">
        <f t="shared" si="334"/>
        <v>0</v>
      </c>
      <c r="BN125" s="9">
        <f t="shared" si="334"/>
        <v>0</v>
      </c>
      <c r="BO125" s="9">
        <f t="shared" si="334"/>
        <v>0</v>
      </c>
      <c r="BP125" s="9">
        <f t="shared" si="334"/>
        <v>0</v>
      </c>
      <c r="BQ125" s="9">
        <f t="shared" si="334"/>
        <v>0</v>
      </c>
      <c r="BR125" s="9">
        <f t="shared" si="334"/>
        <v>0</v>
      </c>
      <c r="BS125" s="9">
        <f t="shared" si="334"/>
        <v>0</v>
      </c>
      <c r="BT125" s="9">
        <f t="shared" si="334"/>
        <v>0</v>
      </c>
      <c r="BU125" s="9">
        <f t="shared" si="334"/>
        <v>0</v>
      </c>
      <c r="BV125" s="9">
        <f t="shared" si="334"/>
        <v>0</v>
      </c>
      <c r="BW125" s="9">
        <f t="shared" si="334"/>
        <v>0</v>
      </c>
      <c r="BX125" s="9">
        <f t="shared" si="334"/>
        <v>0</v>
      </c>
      <c r="BY125" s="9">
        <f t="shared" si="334"/>
        <v>0</v>
      </c>
      <c r="BZ125" s="9">
        <f t="shared" si="334"/>
        <v>0</v>
      </c>
      <c r="CA125" s="9">
        <f t="shared" si="334"/>
        <v>0</v>
      </c>
      <c r="CB125" s="9">
        <f t="shared" si="334"/>
        <v>0</v>
      </c>
      <c r="CC125" s="9">
        <f t="shared" si="334"/>
        <v>0</v>
      </c>
      <c r="CD125" s="9">
        <f t="shared" ref="CD125" si="335">CD20+CD46+CD72+CD98</f>
        <v>0</v>
      </c>
      <c r="CE125" s="9"/>
      <c r="CF125" s="9">
        <f t="shared" si="325"/>
        <v>0</v>
      </c>
      <c r="CG125" s="9">
        <f t="shared" si="325"/>
        <v>0</v>
      </c>
      <c r="CH125" s="9">
        <f t="shared" si="325"/>
        <v>0</v>
      </c>
      <c r="CI125" s="9">
        <f t="shared" si="325"/>
        <v>0</v>
      </c>
      <c r="CJ125" s="9">
        <f t="shared" si="325"/>
        <v>0</v>
      </c>
      <c r="CK125" s="9">
        <f t="shared" si="325"/>
        <v>0</v>
      </c>
      <c r="CL125" s="9">
        <f t="shared" si="325"/>
        <v>0</v>
      </c>
      <c r="CM125" s="9">
        <f t="shared" si="325"/>
        <v>0</v>
      </c>
      <c r="CN125" s="9">
        <f t="shared" si="325"/>
        <v>0</v>
      </c>
      <c r="CO125" s="9">
        <f t="shared" si="325"/>
        <v>0</v>
      </c>
      <c r="CP125" s="9">
        <f t="shared" si="325"/>
        <v>0</v>
      </c>
      <c r="CQ125" s="9">
        <f t="shared" si="325"/>
        <v>0</v>
      </c>
      <c r="CR125" s="9"/>
      <c r="CS125" s="9">
        <f t="shared" si="326"/>
        <v>0</v>
      </c>
      <c r="CT125" s="9">
        <f t="shared" si="326"/>
        <v>0</v>
      </c>
      <c r="CU125" s="9">
        <f t="shared" si="326"/>
        <v>0</v>
      </c>
      <c r="CV125" s="9">
        <f t="shared" si="326"/>
        <v>0</v>
      </c>
      <c r="CW125" s="9">
        <f t="shared" si="326"/>
        <v>0</v>
      </c>
      <c r="CX125" s="9">
        <f t="shared" si="326"/>
        <v>0</v>
      </c>
      <c r="CY125" s="9">
        <f t="shared" si="326"/>
        <v>0</v>
      </c>
      <c r="CZ125" s="9">
        <f t="shared" si="326"/>
        <v>0</v>
      </c>
      <c r="DA125" s="9">
        <f t="shared" si="326"/>
        <v>0</v>
      </c>
      <c r="DB125" s="9">
        <f t="shared" si="326"/>
        <v>0</v>
      </c>
      <c r="DC125" s="9">
        <f t="shared" si="326"/>
        <v>0</v>
      </c>
      <c r="DD125" s="9">
        <f t="shared" si="326"/>
        <v>0</v>
      </c>
      <c r="DE125" s="9"/>
      <c r="DF125" s="9">
        <f t="shared" si="327"/>
        <v>0</v>
      </c>
      <c r="DG125" s="9">
        <f t="shared" si="327"/>
        <v>0</v>
      </c>
      <c r="DH125" s="9">
        <f t="shared" si="327"/>
        <v>0</v>
      </c>
      <c r="DI125" s="9">
        <f t="shared" si="327"/>
        <v>0</v>
      </c>
      <c r="DJ125" s="9">
        <f t="shared" si="327"/>
        <v>0</v>
      </c>
      <c r="DK125" s="9">
        <f t="shared" si="327"/>
        <v>0</v>
      </c>
      <c r="DL125" s="9">
        <f t="shared" si="327"/>
        <v>0</v>
      </c>
      <c r="DM125" s="9">
        <f t="shared" si="327"/>
        <v>0</v>
      </c>
      <c r="DN125" s="9">
        <f t="shared" si="327"/>
        <v>0</v>
      </c>
      <c r="DO125" s="9">
        <f t="shared" si="327"/>
        <v>0</v>
      </c>
      <c r="DP125" s="9">
        <f t="shared" si="327"/>
        <v>0</v>
      </c>
      <c r="DQ125" s="9">
        <f t="shared" si="327"/>
        <v>0</v>
      </c>
      <c r="DR125" s="9"/>
      <c r="DS125" s="31">
        <f t="shared" si="322"/>
        <v>0</v>
      </c>
      <c r="DT125" s="31">
        <f t="shared" si="328"/>
        <v>0</v>
      </c>
      <c r="DU125" s="9"/>
      <c r="DV125" s="8"/>
      <c r="DW125" s="7"/>
      <c r="DX125" s="7"/>
      <c r="DY125" s="7"/>
      <c r="DZ125" s="7"/>
      <c r="EA125" s="7"/>
      <c r="EB125" s="7"/>
      <c r="EC125" s="7"/>
    </row>
    <row r="126" spans="3:133">
      <c r="C126" s="57" t="str">
        <f t="shared" si="329"/>
        <v>///</v>
      </c>
      <c r="D126" s="57">
        <f t="shared" si="330"/>
        <v>0</v>
      </c>
      <c r="E126" s="62">
        <f t="shared" si="329"/>
        <v>0</v>
      </c>
      <c r="F126" s="9">
        <f t="shared" si="323"/>
        <v>0</v>
      </c>
      <c r="G126" s="9">
        <f t="shared" si="323"/>
        <v>0</v>
      </c>
      <c r="H126" s="9">
        <f t="shared" si="323"/>
        <v>0</v>
      </c>
      <c r="I126" s="9">
        <f t="shared" si="323"/>
        <v>0</v>
      </c>
      <c r="J126" s="9">
        <f t="shared" si="323"/>
        <v>0</v>
      </c>
      <c r="K126" s="9">
        <f t="shared" si="323"/>
        <v>0</v>
      </c>
      <c r="L126" s="9">
        <f t="shared" si="323"/>
        <v>0</v>
      </c>
      <c r="M126" s="9">
        <f t="shared" si="323"/>
        <v>0</v>
      </c>
      <c r="N126" s="9">
        <f t="shared" si="323"/>
        <v>0</v>
      </c>
      <c r="O126" s="9">
        <f t="shared" si="323"/>
        <v>0</v>
      </c>
      <c r="P126" s="9">
        <f t="shared" si="323"/>
        <v>0</v>
      </c>
      <c r="Q126" s="9">
        <f t="shared" si="323"/>
        <v>0</v>
      </c>
      <c r="R126" s="9"/>
      <c r="S126" s="9">
        <f t="shared" ref="S126:CD129" si="336">S21+S47+S73+S99</f>
        <v>0</v>
      </c>
      <c r="T126" s="9">
        <f t="shared" si="336"/>
        <v>0</v>
      </c>
      <c r="U126" s="9">
        <f t="shared" si="336"/>
        <v>0</v>
      </c>
      <c r="V126" s="9">
        <f t="shared" si="336"/>
        <v>0</v>
      </c>
      <c r="W126" s="9">
        <f t="shared" si="336"/>
        <v>0</v>
      </c>
      <c r="X126" s="9">
        <f t="shared" si="336"/>
        <v>0</v>
      </c>
      <c r="Y126" s="9">
        <f t="shared" si="336"/>
        <v>0</v>
      </c>
      <c r="Z126" s="9">
        <f t="shared" si="336"/>
        <v>0</v>
      </c>
      <c r="AA126" s="9">
        <f t="shared" si="336"/>
        <v>0</v>
      </c>
      <c r="AB126" s="9">
        <f t="shared" si="336"/>
        <v>0</v>
      </c>
      <c r="AC126" s="9">
        <f t="shared" si="336"/>
        <v>0</v>
      </c>
      <c r="AD126" s="9">
        <f t="shared" si="336"/>
        <v>0</v>
      </c>
      <c r="AE126" s="9">
        <f t="shared" si="336"/>
        <v>0</v>
      </c>
      <c r="AF126" s="9">
        <f t="shared" si="336"/>
        <v>0</v>
      </c>
      <c r="AG126" s="9">
        <f t="shared" si="336"/>
        <v>0</v>
      </c>
      <c r="AH126" s="9">
        <f t="shared" si="336"/>
        <v>0</v>
      </c>
      <c r="AI126" s="9">
        <f t="shared" si="336"/>
        <v>0</v>
      </c>
      <c r="AJ126" s="9">
        <f t="shared" si="336"/>
        <v>0</v>
      </c>
      <c r="AK126" s="9">
        <f t="shared" si="336"/>
        <v>0</v>
      </c>
      <c r="AL126" s="9">
        <f t="shared" si="336"/>
        <v>0</v>
      </c>
      <c r="AM126" s="9">
        <f t="shared" si="336"/>
        <v>0</v>
      </c>
      <c r="AN126" s="9">
        <f t="shared" si="336"/>
        <v>0</v>
      </c>
      <c r="AO126" s="9">
        <f t="shared" si="336"/>
        <v>0</v>
      </c>
      <c r="AP126" s="9">
        <f t="shared" si="336"/>
        <v>0</v>
      </c>
      <c r="AQ126" s="9">
        <f t="shared" si="336"/>
        <v>0</v>
      </c>
      <c r="AR126" s="9">
        <f t="shared" si="336"/>
        <v>0</v>
      </c>
      <c r="AS126" s="9">
        <f t="shared" si="336"/>
        <v>0</v>
      </c>
      <c r="AT126" s="9">
        <f t="shared" si="336"/>
        <v>0</v>
      </c>
      <c r="AU126" s="9">
        <f t="shared" si="336"/>
        <v>0</v>
      </c>
      <c r="AV126" s="9">
        <f t="shared" si="336"/>
        <v>0</v>
      </c>
      <c r="AW126" s="9">
        <f t="shared" si="336"/>
        <v>0</v>
      </c>
      <c r="AX126" s="9">
        <f t="shared" si="336"/>
        <v>0</v>
      </c>
      <c r="AY126" s="9">
        <f t="shared" si="336"/>
        <v>0</v>
      </c>
      <c r="AZ126" s="9">
        <f t="shared" si="336"/>
        <v>0</v>
      </c>
      <c r="BA126" s="9">
        <f t="shared" si="336"/>
        <v>0</v>
      </c>
      <c r="BB126" s="9">
        <f t="shared" si="336"/>
        <v>0</v>
      </c>
      <c r="BC126" s="9">
        <f t="shared" si="336"/>
        <v>0</v>
      </c>
      <c r="BD126" s="9">
        <f t="shared" si="336"/>
        <v>0</v>
      </c>
      <c r="BE126" s="9">
        <f t="shared" si="336"/>
        <v>0</v>
      </c>
      <c r="BF126" s="9">
        <f t="shared" si="336"/>
        <v>0</v>
      </c>
      <c r="BG126" s="9">
        <f t="shared" si="336"/>
        <v>0</v>
      </c>
      <c r="BH126" s="9">
        <f t="shared" si="336"/>
        <v>0</v>
      </c>
      <c r="BI126" s="9">
        <f t="shared" si="336"/>
        <v>0</v>
      </c>
      <c r="BJ126" s="9">
        <f t="shared" si="336"/>
        <v>0</v>
      </c>
      <c r="BK126" s="9">
        <f t="shared" si="336"/>
        <v>0</v>
      </c>
      <c r="BL126" s="9">
        <f t="shared" si="336"/>
        <v>0</v>
      </c>
      <c r="BM126" s="9">
        <f t="shared" si="336"/>
        <v>0</v>
      </c>
      <c r="BN126" s="9">
        <f t="shared" si="336"/>
        <v>0</v>
      </c>
      <c r="BO126" s="9">
        <f t="shared" si="336"/>
        <v>0</v>
      </c>
      <c r="BP126" s="9">
        <f t="shared" si="336"/>
        <v>0</v>
      </c>
      <c r="BQ126" s="9">
        <f t="shared" si="336"/>
        <v>0</v>
      </c>
      <c r="BR126" s="9">
        <f t="shared" si="336"/>
        <v>0</v>
      </c>
      <c r="BS126" s="9">
        <f t="shared" si="336"/>
        <v>0</v>
      </c>
      <c r="BT126" s="9">
        <f t="shared" si="336"/>
        <v>0</v>
      </c>
      <c r="BU126" s="9">
        <f t="shared" si="336"/>
        <v>0</v>
      </c>
      <c r="BV126" s="9">
        <f t="shared" si="336"/>
        <v>0</v>
      </c>
      <c r="BW126" s="9">
        <f t="shared" si="336"/>
        <v>0</v>
      </c>
      <c r="BX126" s="9">
        <f t="shared" si="336"/>
        <v>0</v>
      </c>
      <c r="BY126" s="9">
        <f t="shared" si="336"/>
        <v>0</v>
      </c>
      <c r="BZ126" s="9">
        <f t="shared" si="336"/>
        <v>0</v>
      </c>
      <c r="CA126" s="9">
        <f t="shared" si="336"/>
        <v>0</v>
      </c>
      <c r="CB126" s="9">
        <f t="shared" si="336"/>
        <v>0</v>
      </c>
      <c r="CC126" s="9">
        <f t="shared" si="336"/>
        <v>0</v>
      </c>
      <c r="CD126" s="9">
        <f t="shared" si="336"/>
        <v>0</v>
      </c>
      <c r="CE126" s="9"/>
      <c r="CF126" s="9">
        <f t="shared" si="325"/>
        <v>0</v>
      </c>
      <c r="CG126" s="9">
        <f t="shared" si="325"/>
        <v>0</v>
      </c>
      <c r="CH126" s="9">
        <f t="shared" si="325"/>
        <v>0</v>
      </c>
      <c r="CI126" s="9">
        <f t="shared" si="325"/>
        <v>0</v>
      </c>
      <c r="CJ126" s="9">
        <f t="shared" si="325"/>
        <v>0</v>
      </c>
      <c r="CK126" s="9">
        <f t="shared" si="325"/>
        <v>0</v>
      </c>
      <c r="CL126" s="9">
        <f t="shared" si="325"/>
        <v>0</v>
      </c>
      <c r="CM126" s="9">
        <f t="shared" si="325"/>
        <v>0</v>
      </c>
      <c r="CN126" s="9">
        <f t="shared" si="325"/>
        <v>0</v>
      </c>
      <c r="CO126" s="9">
        <f t="shared" si="325"/>
        <v>0</v>
      </c>
      <c r="CP126" s="9">
        <f t="shared" si="325"/>
        <v>0</v>
      </c>
      <c r="CQ126" s="9">
        <f t="shared" si="325"/>
        <v>0</v>
      </c>
      <c r="CR126" s="9"/>
      <c r="CS126" s="9">
        <f t="shared" si="326"/>
        <v>0</v>
      </c>
      <c r="CT126" s="9">
        <f t="shared" si="326"/>
        <v>0</v>
      </c>
      <c r="CU126" s="9">
        <f t="shared" si="326"/>
        <v>0</v>
      </c>
      <c r="CV126" s="9">
        <f t="shared" si="326"/>
        <v>0</v>
      </c>
      <c r="CW126" s="9">
        <f t="shared" si="326"/>
        <v>0</v>
      </c>
      <c r="CX126" s="9">
        <f t="shared" si="326"/>
        <v>0</v>
      </c>
      <c r="CY126" s="9">
        <f t="shared" si="326"/>
        <v>0</v>
      </c>
      <c r="CZ126" s="9">
        <f t="shared" si="326"/>
        <v>0</v>
      </c>
      <c r="DA126" s="9">
        <f t="shared" si="326"/>
        <v>0</v>
      </c>
      <c r="DB126" s="9">
        <f t="shared" si="326"/>
        <v>0</v>
      </c>
      <c r="DC126" s="9">
        <f t="shared" si="326"/>
        <v>0</v>
      </c>
      <c r="DD126" s="9">
        <f t="shared" si="326"/>
        <v>0</v>
      </c>
      <c r="DE126" s="9"/>
      <c r="DF126" s="9">
        <f t="shared" si="327"/>
        <v>0</v>
      </c>
      <c r="DG126" s="9">
        <f t="shared" si="327"/>
        <v>0</v>
      </c>
      <c r="DH126" s="9">
        <f t="shared" si="327"/>
        <v>0</v>
      </c>
      <c r="DI126" s="9">
        <f t="shared" si="327"/>
        <v>0</v>
      </c>
      <c r="DJ126" s="9">
        <f t="shared" si="327"/>
        <v>0</v>
      </c>
      <c r="DK126" s="9">
        <f t="shared" si="327"/>
        <v>0</v>
      </c>
      <c r="DL126" s="9">
        <f t="shared" si="327"/>
        <v>0</v>
      </c>
      <c r="DM126" s="9">
        <f t="shared" si="327"/>
        <v>0</v>
      </c>
      <c r="DN126" s="9">
        <f t="shared" si="327"/>
        <v>0</v>
      </c>
      <c r="DO126" s="9">
        <f t="shared" si="327"/>
        <v>0</v>
      </c>
      <c r="DP126" s="9">
        <f t="shared" si="327"/>
        <v>0</v>
      </c>
      <c r="DQ126" s="9">
        <f t="shared" si="327"/>
        <v>0</v>
      </c>
      <c r="DR126" s="9"/>
      <c r="DS126" s="31">
        <f t="shared" si="322"/>
        <v>0</v>
      </c>
      <c r="DT126" s="31">
        <f t="shared" si="328"/>
        <v>0</v>
      </c>
      <c r="DU126" s="9"/>
      <c r="DV126" s="8"/>
      <c r="DW126" s="7"/>
      <c r="DX126" s="7"/>
      <c r="DY126" s="7"/>
      <c r="DZ126" s="7"/>
      <c r="EA126" s="7"/>
      <c r="EB126" s="7"/>
      <c r="EC126" s="7"/>
    </row>
    <row r="127" spans="3:133">
      <c r="C127" s="57" t="str">
        <f t="shared" si="329"/>
        <v>///</v>
      </c>
      <c r="D127" s="57">
        <f t="shared" si="330"/>
        <v>0</v>
      </c>
      <c r="E127" s="62">
        <f t="shared" si="329"/>
        <v>0</v>
      </c>
      <c r="F127" s="9">
        <f t="shared" si="323"/>
        <v>0</v>
      </c>
      <c r="G127" s="9">
        <f t="shared" si="323"/>
        <v>0</v>
      </c>
      <c r="H127" s="9">
        <f t="shared" si="323"/>
        <v>0</v>
      </c>
      <c r="I127" s="9">
        <f t="shared" si="323"/>
        <v>0</v>
      </c>
      <c r="J127" s="9">
        <f t="shared" si="323"/>
        <v>0</v>
      </c>
      <c r="K127" s="9">
        <f t="shared" si="323"/>
        <v>0</v>
      </c>
      <c r="L127" s="9">
        <f t="shared" si="323"/>
        <v>0</v>
      </c>
      <c r="M127" s="9">
        <f t="shared" si="323"/>
        <v>0</v>
      </c>
      <c r="N127" s="9">
        <f t="shared" si="323"/>
        <v>0</v>
      </c>
      <c r="O127" s="9">
        <f t="shared" si="323"/>
        <v>0</v>
      </c>
      <c r="P127" s="9">
        <f t="shared" si="323"/>
        <v>0</v>
      </c>
      <c r="Q127" s="9">
        <f t="shared" si="323"/>
        <v>0</v>
      </c>
      <c r="R127" s="9"/>
      <c r="S127" s="9">
        <f t="shared" si="336"/>
        <v>0</v>
      </c>
      <c r="T127" s="9">
        <f t="shared" si="336"/>
        <v>0</v>
      </c>
      <c r="U127" s="9">
        <f t="shared" si="336"/>
        <v>0</v>
      </c>
      <c r="V127" s="9">
        <f t="shared" si="336"/>
        <v>0</v>
      </c>
      <c r="W127" s="9">
        <f t="shared" si="336"/>
        <v>0</v>
      </c>
      <c r="X127" s="9">
        <f t="shared" si="336"/>
        <v>0</v>
      </c>
      <c r="Y127" s="9">
        <f t="shared" si="336"/>
        <v>0</v>
      </c>
      <c r="Z127" s="9">
        <f t="shared" si="336"/>
        <v>0</v>
      </c>
      <c r="AA127" s="9">
        <f t="shared" si="336"/>
        <v>0</v>
      </c>
      <c r="AB127" s="9">
        <f t="shared" si="336"/>
        <v>0</v>
      </c>
      <c r="AC127" s="9">
        <f t="shared" si="336"/>
        <v>0</v>
      </c>
      <c r="AD127" s="9">
        <f t="shared" si="336"/>
        <v>0</v>
      </c>
      <c r="AE127" s="9">
        <f t="shared" si="336"/>
        <v>0</v>
      </c>
      <c r="AF127" s="9">
        <f t="shared" si="336"/>
        <v>0</v>
      </c>
      <c r="AG127" s="9">
        <f t="shared" si="336"/>
        <v>0</v>
      </c>
      <c r="AH127" s="9">
        <f t="shared" si="336"/>
        <v>0</v>
      </c>
      <c r="AI127" s="9">
        <f t="shared" si="336"/>
        <v>0</v>
      </c>
      <c r="AJ127" s="9">
        <f t="shared" si="336"/>
        <v>0</v>
      </c>
      <c r="AK127" s="9">
        <f t="shared" si="336"/>
        <v>0</v>
      </c>
      <c r="AL127" s="9">
        <f t="shared" si="336"/>
        <v>0</v>
      </c>
      <c r="AM127" s="9">
        <f t="shared" si="336"/>
        <v>0</v>
      </c>
      <c r="AN127" s="9">
        <f t="shared" si="336"/>
        <v>0</v>
      </c>
      <c r="AO127" s="9">
        <f t="shared" si="336"/>
        <v>0</v>
      </c>
      <c r="AP127" s="9">
        <f t="shared" si="336"/>
        <v>0</v>
      </c>
      <c r="AQ127" s="9">
        <f t="shared" si="336"/>
        <v>0</v>
      </c>
      <c r="AR127" s="9">
        <f t="shared" si="336"/>
        <v>0</v>
      </c>
      <c r="AS127" s="9">
        <f t="shared" si="336"/>
        <v>0</v>
      </c>
      <c r="AT127" s="9">
        <f t="shared" si="336"/>
        <v>0</v>
      </c>
      <c r="AU127" s="9">
        <f t="shared" si="336"/>
        <v>0</v>
      </c>
      <c r="AV127" s="9">
        <f t="shared" si="336"/>
        <v>0</v>
      </c>
      <c r="AW127" s="9">
        <f t="shared" si="336"/>
        <v>0</v>
      </c>
      <c r="AX127" s="9">
        <f t="shared" si="336"/>
        <v>0</v>
      </c>
      <c r="AY127" s="9">
        <f t="shared" si="336"/>
        <v>0</v>
      </c>
      <c r="AZ127" s="9">
        <f t="shared" si="336"/>
        <v>0</v>
      </c>
      <c r="BA127" s="9">
        <f t="shared" si="336"/>
        <v>0</v>
      </c>
      <c r="BB127" s="9">
        <f t="shared" si="336"/>
        <v>0</v>
      </c>
      <c r="BC127" s="9">
        <f t="shared" si="336"/>
        <v>0</v>
      </c>
      <c r="BD127" s="9">
        <f t="shared" si="336"/>
        <v>0</v>
      </c>
      <c r="BE127" s="9">
        <f t="shared" si="336"/>
        <v>0</v>
      </c>
      <c r="BF127" s="9">
        <f t="shared" si="336"/>
        <v>0</v>
      </c>
      <c r="BG127" s="9">
        <f t="shared" si="336"/>
        <v>0</v>
      </c>
      <c r="BH127" s="9">
        <f t="shared" si="336"/>
        <v>0</v>
      </c>
      <c r="BI127" s="9">
        <f t="shared" si="336"/>
        <v>0</v>
      </c>
      <c r="BJ127" s="9">
        <f t="shared" si="336"/>
        <v>0</v>
      </c>
      <c r="BK127" s="9">
        <f t="shared" si="336"/>
        <v>0</v>
      </c>
      <c r="BL127" s="9">
        <f t="shared" si="336"/>
        <v>0</v>
      </c>
      <c r="BM127" s="9">
        <f t="shared" si="336"/>
        <v>0</v>
      </c>
      <c r="BN127" s="9">
        <f t="shared" si="336"/>
        <v>0</v>
      </c>
      <c r="BO127" s="9">
        <f t="shared" si="336"/>
        <v>0</v>
      </c>
      <c r="BP127" s="9">
        <f t="shared" si="336"/>
        <v>0</v>
      </c>
      <c r="BQ127" s="9">
        <f t="shared" si="336"/>
        <v>0</v>
      </c>
      <c r="BR127" s="9">
        <f t="shared" si="336"/>
        <v>0</v>
      </c>
      <c r="BS127" s="9">
        <f t="shared" si="336"/>
        <v>0</v>
      </c>
      <c r="BT127" s="9">
        <f t="shared" si="336"/>
        <v>0</v>
      </c>
      <c r="BU127" s="9">
        <f t="shared" si="336"/>
        <v>0</v>
      </c>
      <c r="BV127" s="9">
        <f t="shared" si="336"/>
        <v>0</v>
      </c>
      <c r="BW127" s="9">
        <f t="shared" si="336"/>
        <v>0</v>
      </c>
      <c r="BX127" s="9">
        <f t="shared" si="336"/>
        <v>0</v>
      </c>
      <c r="BY127" s="9">
        <f t="shared" si="336"/>
        <v>0</v>
      </c>
      <c r="BZ127" s="9">
        <f t="shared" si="336"/>
        <v>0</v>
      </c>
      <c r="CA127" s="9">
        <f t="shared" si="336"/>
        <v>0</v>
      </c>
      <c r="CB127" s="9">
        <f t="shared" si="336"/>
        <v>0</v>
      </c>
      <c r="CC127" s="9">
        <f t="shared" si="336"/>
        <v>0</v>
      </c>
      <c r="CD127" s="9">
        <f t="shared" si="336"/>
        <v>0</v>
      </c>
      <c r="CE127" s="9"/>
      <c r="CF127" s="9">
        <f t="shared" si="325"/>
        <v>0</v>
      </c>
      <c r="CG127" s="9">
        <f t="shared" si="325"/>
        <v>0</v>
      </c>
      <c r="CH127" s="9">
        <f t="shared" si="325"/>
        <v>0</v>
      </c>
      <c r="CI127" s="9">
        <f t="shared" si="325"/>
        <v>0</v>
      </c>
      <c r="CJ127" s="9">
        <f t="shared" si="325"/>
        <v>0</v>
      </c>
      <c r="CK127" s="9">
        <f t="shared" si="325"/>
        <v>0</v>
      </c>
      <c r="CL127" s="9">
        <f t="shared" si="325"/>
        <v>0</v>
      </c>
      <c r="CM127" s="9">
        <f t="shared" si="325"/>
        <v>0</v>
      </c>
      <c r="CN127" s="9">
        <f t="shared" si="325"/>
        <v>0</v>
      </c>
      <c r="CO127" s="9">
        <f t="shared" si="325"/>
        <v>0</v>
      </c>
      <c r="CP127" s="9">
        <f t="shared" si="325"/>
        <v>0</v>
      </c>
      <c r="CQ127" s="9">
        <f t="shared" si="325"/>
        <v>0</v>
      </c>
      <c r="CR127" s="9"/>
      <c r="CS127" s="9">
        <f t="shared" si="326"/>
        <v>0</v>
      </c>
      <c r="CT127" s="9">
        <f t="shared" si="326"/>
        <v>0</v>
      </c>
      <c r="CU127" s="9">
        <f t="shared" si="326"/>
        <v>0</v>
      </c>
      <c r="CV127" s="9">
        <f t="shared" si="326"/>
        <v>0</v>
      </c>
      <c r="CW127" s="9">
        <f t="shared" si="326"/>
        <v>0</v>
      </c>
      <c r="CX127" s="9">
        <f t="shared" si="326"/>
        <v>0</v>
      </c>
      <c r="CY127" s="9">
        <f t="shared" si="326"/>
        <v>0</v>
      </c>
      <c r="CZ127" s="9">
        <f t="shared" si="326"/>
        <v>0</v>
      </c>
      <c r="DA127" s="9">
        <f t="shared" si="326"/>
        <v>0</v>
      </c>
      <c r="DB127" s="9">
        <f t="shared" si="326"/>
        <v>0</v>
      </c>
      <c r="DC127" s="9">
        <f t="shared" si="326"/>
        <v>0</v>
      </c>
      <c r="DD127" s="9">
        <f t="shared" si="326"/>
        <v>0</v>
      </c>
      <c r="DE127" s="9"/>
      <c r="DF127" s="9">
        <f t="shared" si="327"/>
        <v>0</v>
      </c>
      <c r="DG127" s="9">
        <f t="shared" si="327"/>
        <v>0</v>
      </c>
      <c r="DH127" s="9">
        <f t="shared" si="327"/>
        <v>0</v>
      </c>
      <c r="DI127" s="9">
        <f t="shared" si="327"/>
        <v>0</v>
      </c>
      <c r="DJ127" s="9">
        <f t="shared" si="327"/>
        <v>0</v>
      </c>
      <c r="DK127" s="9">
        <f t="shared" si="327"/>
        <v>0</v>
      </c>
      <c r="DL127" s="9">
        <f t="shared" si="327"/>
        <v>0</v>
      </c>
      <c r="DM127" s="9">
        <f t="shared" si="327"/>
        <v>0</v>
      </c>
      <c r="DN127" s="9">
        <f t="shared" si="327"/>
        <v>0</v>
      </c>
      <c r="DO127" s="9">
        <f t="shared" si="327"/>
        <v>0</v>
      </c>
      <c r="DP127" s="9">
        <f t="shared" si="327"/>
        <v>0</v>
      </c>
      <c r="DQ127" s="9">
        <f t="shared" si="327"/>
        <v>0</v>
      </c>
      <c r="DR127" s="9"/>
      <c r="DS127" s="31">
        <f t="shared" si="322"/>
        <v>0</v>
      </c>
      <c r="DT127" s="31">
        <f t="shared" si="328"/>
        <v>0</v>
      </c>
      <c r="DU127" s="9"/>
      <c r="DV127" s="8"/>
      <c r="DW127" s="7"/>
      <c r="DX127" s="7"/>
      <c r="DY127" s="7"/>
      <c r="DZ127" s="7"/>
      <c r="EA127" s="7"/>
      <c r="EB127" s="7"/>
      <c r="EC127" s="7"/>
    </row>
    <row r="128" spans="3:133">
      <c r="C128" s="57" t="str">
        <f t="shared" si="329"/>
        <v>///</v>
      </c>
      <c r="D128" s="57">
        <f t="shared" si="330"/>
        <v>0</v>
      </c>
      <c r="E128" s="62">
        <f t="shared" si="329"/>
        <v>0</v>
      </c>
      <c r="F128" s="9">
        <f t="shared" si="323"/>
        <v>0</v>
      </c>
      <c r="G128" s="9">
        <f t="shared" si="323"/>
        <v>0</v>
      </c>
      <c r="H128" s="9">
        <f t="shared" si="323"/>
        <v>0</v>
      </c>
      <c r="I128" s="9">
        <f t="shared" si="323"/>
        <v>0</v>
      </c>
      <c r="J128" s="9">
        <f t="shared" si="323"/>
        <v>0</v>
      </c>
      <c r="K128" s="9">
        <f t="shared" si="323"/>
        <v>0</v>
      </c>
      <c r="L128" s="9">
        <f t="shared" si="323"/>
        <v>0</v>
      </c>
      <c r="M128" s="9">
        <f t="shared" si="323"/>
        <v>0</v>
      </c>
      <c r="N128" s="9">
        <f t="shared" si="323"/>
        <v>0</v>
      </c>
      <c r="O128" s="9">
        <f t="shared" si="323"/>
        <v>0</v>
      </c>
      <c r="P128" s="9">
        <f t="shared" si="323"/>
        <v>0</v>
      </c>
      <c r="Q128" s="9">
        <f t="shared" si="323"/>
        <v>0</v>
      </c>
      <c r="R128" s="9"/>
      <c r="S128" s="9">
        <f t="shared" si="336"/>
        <v>0</v>
      </c>
      <c r="T128" s="9">
        <f t="shared" si="336"/>
        <v>0</v>
      </c>
      <c r="U128" s="9">
        <f t="shared" si="336"/>
        <v>0</v>
      </c>
      <c r="V128" s="9">
        <f t="shared" si="336"/>
        <v>0</v>
      </c>
      <c r="W128" s="9">
        <f t="shared" si="336"/>
        <v>0</v>
      </c>
      <c r="X128" s="9">
        <f t="shared" si="336"/>
        <v>0</v>
      </c>
      <c r="Y128" s="9">
        <f t="shared" si="336"/>
        <v>0</v>
      </c>
      <c r="Z128" s="9">
        <f t="shared" si="336"/>
        <v>0</v>
      </c>
      <c r="AA128" s="9">
        <f t="shared" si="336"/>
        <v>0</v>
      </c>
      <c r="AB128" s="9">
        <f t="shared" si="336"/>
        <v>0</v>
      </c>
      <c r="AC128" s="9">
        <f t="shared" si="336"/>
        <v>0</v>
      </c>
      <c r="AD128" s="9">
        <f t="shared" si="336"/>
        <v>0</v>
      </c>
      <c r="AE128" s="9">
        <f t="shared" si="336"/>
        <v>0</v>
      </c>
      <c r="AF128" s="9">
        <f t="shared" si="336"/>
        <v>0</v>
      </c>
      <c r="AG128" s="9">
        <f t="shared" si="336"/>
        <v>0</v>
      </c>
      <c r="AH128" s="9">
        <f t="shared" si="336"/>
        <v>0</v>
      </c>
      <c r="AI128" s="9">
        <f t="shared" si="336"/>
        <v>0</v>
      </c>
      <c r="AJ128" s="9">
        <f t="shared" si="336"/>
        <v>0</v>
      </c>
      <c r="AK128" s="9">
        <f t="shared" si="336"/>
        <v>0</v>
      </c>
      <c r="AL128" s="9">
        <f t="shared" si="336"/>
        <v>0</v>
      </c>
      <c r="AM128" s="9">
        <f t="shared" si="336"/>
        <v>0</v>
      </c>
      <c r="AN128" s="9">
        <f t="shared" si="336"/>
        <v>0</v>
      </c>
      <c r="AO128" s="9">
        <f t="shared" si="336"/>
        <v>0</v>
      </c>
      <c r="AP128" s="9">
        <f t="shared" si="336"/>
        <v>0</v>
      </c>
      <c r="AQ128" s="9">
        <f t="shared" si="336"/>
        <v>0</v>
      </c>
      <c r="AR128" s="9">
        <f t="shared" si="336"/>
        <v>0</v>
      </c>
      <c r="AS128" s="9">
        <f t="shared" si="336"/>
        <v>0</v>
      </c>
      <c r="AT128" s="9">
        <f t="shared" si="336"/>
        <v>0</v>
      </c>
      <c r="AU128" s="9">
        <f t="shared" si="336"/>
        <v>0</v>
      </c>
      <c r="AV128" s="9">
        <f t="shared" si="336"/>
        <v>0</v>
      </c>
      <c r="AW128" s="9">
        <f t="shared" si="336"/>
        <v>0</v>
      </c>
      <c r="AX128" s="9">
        <f t="shared" si="336"/>
        <v>0</v>
      </c>
      <c r="AY128" s="9">
        <f t="shared" si="336"/>
        <v>0</v>
      </c>
      <c r="AZ128" s="9">
        <f t="shared" si="336"/>
        <v>0</v>
      </c>
      <c r="BA128" s="9">
        <f t="shared" si="336"/>
        <v>0</v>
      </c>
      <c r="BB128" s="9">
        <f t="shared" si="336"/>
        <v>0</v>
      </c>
      <c r="BC128" s="9">
        <f t="shared" si="336"/>
        <v>0</v>
      </c>
      <c r="BD128" s="9">
        <f t="shared" si="336"/>
        <v>0</v>
      </c>
      <c r="BE128" s="9">
        <f t="shared" si="336"/>
        <v>0</v>
      </c>
      <c r="BF128" s="9">
        <f t="shared" si="336"/>
        <v>0</v>
      </c>
      <c r="BG128" s="9">
        <f t="shared" si="336"/>
        <v>0</v>
      </c>
      <c r="BH128" s="9">
        <f t="shared" si="336"/>
        <v>0</v>
      </c>
      <c r="BI128" s="9">
        <f t="shared" si="336"/>
        <v>0</v>
      </c>
      <c r="BJ128" s="9">
        <f t="shared" si="336"/>
        <v>0</v>
      </c>
      <c r="BK128" s="9">
        <f t="shared" si="336"/>
        <v>0</v>
      </c>
      <c r="BL128" s="9">
        <f t="shared" si="336"/>
        <v>0</v>
      </c>
      <c r="BM128" s="9">
        <f t="shared" si="336"/>
        <v>0</v>
      </c>
      <c r="BN128" s="9">
        <f t="shared" si="336"/>
        <v>0</v>
      </c>
      <c r="BO128" s="9">
        <f t="shared" si="336"/>
        <v>0</v>
      </c>
      <c r="BP128" s="9">
        <f t="shared" si="336"/>
        <v>0</v>
      </c>
      <c r="BQ128" s="9">
        <f t="shared" si="336"/>
        <v>0</v>
      </c>
      <c r="BR128" s="9">
        <f t="shared" si="336"/>
        <v>0</v>
      </c>
      <c r="BS128" s="9">
        <f t="shared" si="336"/>
        <v>0</v>
      </c>
      <c r="BT128" s="9">
        <f t="shared" si="336"/>
        <v>0</v>
      </c>
      <c r="BU128" s="9">
        <f t="shared" si="336"/>
        <v>0</v>
      </c>
      <c r="BV128" s="9">
        <f t="shared" si="336"/>
        <v>0</v>
      </c>
      <c r="BW128" s="9">
        <f t="shared" si="336"/>
        <v>0</v>
      </c>
      <c r="BX128" s="9">
        <f t="shared" si="336"/>
        <v>0</v>
      </c>
      <c r="BY128" s="9">
        <f t="shared" si="336"/>
        <v>0</v>
      </c>
      <c r="BZ128" s="9">
        <f t="shared" si="336"/>
        <v>0</v>
      </c>
      <c r="CA128" s="9">
        <f t="shared" si="336"/>
        <v>0</v>
      </c>
      <c r="CB128" s="9">
        <f t="shared" si="336"/>
        <v>0</v>
      </c>
      <c r="CC128" s="9">
        <f t="shared" si="336"/>
        <v>0</v>
      </c>
      <c r="CD128" s="9">
        <f t="shared" si="336"/>
        <v>0</v>
      </c>
      <c r="CE128" s="9"/>
      <c r="CF128" s="9">
        <f t="shared" si="325"/>
        <v>0</v>
      </c>
      <c r="CG128" s="9">
        <f t="shared" si="325"/>
        <v>0</v>
      </c>
      <c r="CH128" s="9">
        <f t="shared" si="325"/>
        <v>0</v>
      </c>
      <c r="CI128" s="9">
        <f t="shared" si="325"/>
        <v>0</v>
      </c>
      <c r="CJ128" s="9">
        <f t="shared" si="325"/>
        <v>0</v>
      </c>
      <c r="CK128" s="9">
        <f t="shared" si="325"/>
        <v>0</v>
      </c>
      <c r="CL128" s="9">
        <f t="shared" si="325"/>
        <v>0</v>
      </c>
      <c r="CM128" s="9">
        <f t="shared" si="325"/>
        <v>0</v>
      </c>
      <c r="CN128" s="9">
        <f t="shared" si="325"/>
        <v>0</v>
      </c>
      <c r="CO128" s="9">
        <f t="shared" si="325"/>
        <v>0</v>
      </c>
      <c r="CP128" s="9">
        <f t="shared" si="325"/>
        <v>0</v>
      </c>
      <c r="CQ128" s="9">
        <f t="shared" si="325"/>
        <v>0</v>
      </c>
      <c r="CR128" s="9"/>
      <c r="CS128" s="9">
        <f t="shared" si="326"/>
        <v>0</v>
      </c>
      <c r="CT128" s="9">
        <f t="shared" si="326"/>
        <v>0</v>
      </c>
      <c r="CU128" s="9">
        <f t="shared" si="326"/>
        <v>0</v>
      </c>
      <c r="CV128" s="9">
        <f t="shared" si="326"/>
        <v>0</v>
      </c>
      <c r="CW128" s="9">
        <f t="shared" si="326"/>
        <v>0</v>
      </c>
      <c r="CX128" s="9">
        <f t="shared" si="326"/>
        <v>0</v>
      </c>
      <c r="CY128" s="9">
        <f t="shared" si="326"/>
        <v>0</v>
      </c>
      <c r="CZ128" s="9">
        <f t="shared" si="326"/>
        <v>0</v>
      </c>
      <c r="DA128" s="9">
        <f t="shared" si="326"/>
        <v>0</v>
      </c>
      <c r="DB128" s="9">
        <f t="shared" si="326"/>
        <v>0</v>
      </c>
      <c r="DC128" s="9">
        <f t="shared" si="326"/>
        <v>0</v>
      </c>
      <c r="DD128" s="9">
        <f t="shared" si="326"/>
        <v>0</v>
      </c>
      <c r="DE128" s="9"/>
      <c r="DF128" s="9">
        <f t="shared" si="327"/>
        <v>0</v>
      </c>
      <c r="DG128" s="9">
        <f t="shared" si="327"/>
        <v>0</v>
      </c>
      <c r="DH128" s="9">
        <f t="shared" si="327"/>
        <v>0</v>
      </c>
      <c r="DI128" s="9">
        <f t="shared" si="327"/>
        <v>0</v>
      </c>
      <c r="DJ128" s="9">
        <f t="shared" si="327"/>
        <v>0</v>
      </c>
      <c r="DK128" s="9">
        <f t="shared" si="327"/>
        <v>0</v>
      </c>
      <c r="DL128" s="9">
        <f t="shared" si="327"/>
        <v>0</v>
      </c>
      <c r="DM128" s="9">
        <f t="shared" si="327"/>
        <v>0</v>
      </c>
      <c r="DN128" s="9">
        <f t="shared" si="327"/>
        <v>0</v>
      </c>
      <c r="DO128" s="9">
        <f t="shared" si="327"/>
        <v>0</v>
      </c>
      <c r="DP128" s="9">
        <f t="shared" si="327"/>
        <v>0</v>
      </c>
      <c r="DQ128" s="9">
        <f t="shared" si="327"/>
        <v>0</v>
      </c>
      <c r="DR128" s="9"/>
      <c r="DS128" s="31">
        <f t="shared" si="322"/>
        <v>0</v>
      </c>
      <c r="DT128" s="31">
        <f t="shared" si="328"/>
        <v>0</v>
      </c>
      <c r="DU128" s="9"/>
      <c r="DV128" s="8"/>
      <c r="DW128" s="7"/>
      <c r="DX128" s="7"/>
      <c r="DY128" s="7"/>
      <c r="DZ128" s="7"/>
      <c r="EA128" s="7"/>
      <c r="EB128" s="7"/>
      <c r="EC128" s="7"/>
    </row>
    <row r="129" spans="1:133">
      <c r="C129" s="57" t="str">
        <f t="shared" si="329"/>
        <v>///</v>
      </c>
      <c r="D129" s="57">
        <f t="shared" si="330"/>
        <v>0</v>
      </c>
      <c r="E129" s="62">
        <f t="shared" si="329"/>
        <v>0</v>
      </c>
      <c r="F129" s="9">
        <f t="shared" si="323"/>
        <v>0</v>
      </c>
      <c r="G129" s="9">
        <f t="shared" si="323"/>
        <v>0</v>
      </c>
      <c r="H129" s="9">
        <f t="shared" si="323"/>
        <v>0</v>
      </c>
      <c r="I129" s="9">
        <f t="shared" si="323"/>
        <v>0</v>
      </c>
      <c r="J129" s="9">
        <f t="shared" si="323"/>
        <v>0</v>
      </c>
      <c r="K129" s="9">
        <f t="shared" si="323"/>
        <v>0</v>
      </c>
      <c r="L129" s="9">
        <f t="shared" si="323"/>
        <v>0</v>
      </c>
      <c r="M129" s="9">
        <f t="shared" si="323"/>
        <v>0</v>
      </c>
      <c r="N129" s="9">
        <f t="shared" si="323"/>
        <v>0</v>
      </c>
      <c r="O129" s="9">
        <f t="shared" si="323"/>
        <v>0</v>
      </c>
      <c r="P129" s="9">
        <f t="shared" si="323"/>
        <v>0</v>
      </c>
      <c r="Q129" s="9">
        <f t="shared" si="323"/>
        <v>0</v>
      </c>
      <c r="R129" s="9"/>
      <c r="S129" s="9">
        <f t="shared" si="336"/>
        <v>0</v>
      </c>
      <c r="T129" s="9">
        <f t="shared" si="336"/>
        <v>0</v>
      </c>
      <c r="U129" s="9">
        <f t="shared" si="336"/>
        <v>0</v>
      </c>
      <c r="V129" s="9">
        <f t="shared" si="336"/>
        <v>0</v>
      </c>
      <c r="W129" s="9">
        <f t="shared" si="336"/>
        <v>0</v>
      </c>
      <c r="X129" s="9">
        <f t="shared" si="336"/>
        <v>0</v>
      </c>
      <c r="Y129" s="9">
        <f t="shared" si="336"/>
        <v>0</v>
      </c>
      <c r="Z129" s="9">
        <f t="shared" si="336"/>
        <v>0</v>
      </c>
      <c r="AA129" s="9">
        <f t="shared" si="336"/>
        <v>0</v>
      </c>
      <c r="AB129" s="9">
        <f t="shared" si="336"/>
        <v>0</v>
      </c>
      <c r="AC129" s="9">
        <f t="shared" si="336"/>
        <v>0</v>
      </c>
      <c r="AD129" s="9">
        <f t="shared" si="336"/>
        <v>0</v>
      </c>
      <c r="AE129" s="9">
        <f t="shared" si="336"/>
        <v>0</v>
      </c>
      <c r="AF129" s="9">
        <f t="shared" si="336"/>
        <v>0</v>
      </c>
      <c r="AG129" s="9">
        <f t="shared" si="336"/>
        <v>0</v>
      </c>
      <c r="AH129" s="9">
        <f t="shared" si="336"/>
        <v>0</v>
      </c>
      <c r="AI129" s="9">
        <f t="shared" si="336"/>
        <v>0</v>
      </c>
      <c r="AJ129" s="9">
        <f t="shared" si="336"/>
        <v>0</v>
      </c>
      <c r="AK129" s="9">
        <f t="shared" si="336"/>
        <v>0</v>
      </c>
      <c r="AL129" s="9">
        <f t="shared" si="336"/>
        <v>0</v>
      </c>
      <c r="AM129" s="9">
        <f t="shared" si="336"/>
        <v>0</v>
      </c>
      <c r="AN129" s="9">
        <f t="shared" si="336"/>
        <v>0</v>
      </c>
      <c r="AO129" s="9">
        <f t="shared" si="336"/>
        <v>0</v>
      </c>
      <c r="AP129" s="9">
        <f t="shared" si="336"/>
        <v>0</v>
      </c>
      <c r="AQ129" s="9">
        <f t="shared" si="336"/>
        <v>0</v>
      </c>
      <c r="AR129" s="9">
        <f t="shared" si="336"/>
        <v>0</v>
      </c>
      <c r="AS129" s="9">
        <f t="shared" si="336"/>
        <v>0</v>
      </c>
      <c r="AT129" s="9">
        <f t="shared" si="336"/>
        <v>0</v>
      </c>
      <c r="AU129" s="9">
        <f t="shared" si="336"/>
        <v>0</v>
      </c>
      <c r="AV129" s="9">
        <f t="shared" si="336"/>
        <v>0</v>
      </c>
      <c r="AW129" s="9">
        <f t="shared" si="336"/>
        <v>0</v>
      </c>
      <c r="AX129" s="9">
        <f t="shared" si="336"/>
        <v>0</v>
      </c>
      <c r="AY129" s="9">
        <f t="shared" si="336"/>
        <v>0</v>
      </c>
      <c r="AZ129" s="9">
        <f t="shared" si="336"/>
        <v>0</v>
      </c>
      <c r="BA129" s="9">
        <f t="shared" si="336"/>
        <v>0</v>
      </c>
      <c r="BB129" s="9">
        <f t="shared" si="336"/>
        <v>0</v>
      </c>
      <c r="BC129" s="9">
        <f t="shared" si="336"/>
        <v>0</v>
      </c>
      <c r="BD129" s="9">
        <f t="shared" si="336"/>
        <v>0</v>
      </c>
      <c r="BE129" s="9">
        <f t="shared" si="336"/>
        <v>0</v>
      </c>
      <c r="BF129" s="9">
        <f t="shared" si="336"/>
        <v>0</v>
      </c>
      <c r="BG129" s="9">
        <f t="shared" si="336"/>
        <v>0</v>
      </c>
      <c r="BH129" s="9">
        <f t="shared" si="336"/>
        <v>0</v>
      </c>
      <c r="BI129" s="9">
        <f t="shared" si="336"/>
        <v>0</v>
      </c>
      <c r="BJ129" s="9">
        <f t="shared" si="336"/>
        <v>0</v>
      </c>
      <c r="BK129" s="9">
        <f t="shared" si="336"/>
        <v>0</v>
      </c>
      <c r="BL129" s="9">
        <f t="shared" si="336"/>
        <v>0</v>
      </c>
      <c r="BM129" s="9">
        <f t="shared" si="336"/>
        <v>0</v>
      </c>
      <c r="BN129" s="9">
        <f t="shared" si="336"/>
        <v>0</v>
      </c>
      <c r="BO129" s="9">
        <f t="shared" si="336"/>
        <v>0</v>
      </c>
      <c r="BP129" s="9">
        <f t="shared" si="336"/>
        <v>0</v>
      </c>
      <c r="BQ129" s="9">
        <f t="shared" si="336"/>
        <v>0</v>
      </c>
      <c r="BR129" s="9">
        <f t="shared" si="336"/>
        <v>0</v>
      </c>
      <c r="BS129" s="9">
        <f t="shared" si="336"/>
        <v>0</v>
      </c>
      <c r="BT129" s="9">
        <f t="shared" si="336"/>
        <v>0</v>
      </c>
      <c r="BU129" s="9">
        <f t="shared" si="336"/>
        <v>0</v>
      </c>
      <c r="BV129" s="9">
        <f t="shared" si="336"/>
        <v>0</v>
      </c>
      <c r="BW129" s="9">
        <f t="shared" si="336"/>
        <v>0</v>
      </c>
      <c r="BX129" s="9">
        <f t="shared" si="336"/>
        <v>0</v>
      </c>
      <c r="BY129" s="9">
        <f t="shared" si="336"/>
        <v>0</v>
      </c>
      <c r="BZ129" s="9">
        <f t="shared" si="336"/>
        <v>0</v>
      </c>
      <c r="CA129" s="9">
        <f t="shared" si="336"/>
        <v>0</v>
      </c>
      <c r="CB129" s="9">
        <f t="shared" si="336"/>
        <v>0</v>
      </c>
      <c r="CC129" s="9">
        <f t="shared" si="336"/>
        <v>0</v>
      </c>
      <c r="CD129" s="9">
        <f t="shared" ref="CD129" si="337">CD24+CD50+CD76+CD102</f>
        <v>0</v>
      </c>
      <c r="CE129" s="9"/>
      <c r="CF129" s="9">
        <f t="shared" si="325"/>
        <v>0</v>
      </c>
      <c r="CG129" s="9">
        <f t="shared" si="325"/>
        <v>0</v>
      </c>
      <c r="CH129" s="9">
        <f t="shared" si="325"/>
        <v>0</v>
      </c>
      <c r="CI129" s="9">
        <f t="shared" si="325"/>
        <v>0</v>
      </c>
      <c r="CJ129" s="9">
        <f t="shared" si="325"/>
        <v>0</v>
      </c>
      <c r="CK129" s="9">
        <f t="shared" si="325"/>
        <v>0</v>
      </c>
      <c r="CL129" s="9">
        <f t="shared" si="325"/>
        <v>0</v>
      </c>
      <c r="CM129" s="9">
        <f t="shared" si="325"/>
        <v>0</v>
      </c>
      <c r="CN129" s="9">
        <f t="shared" si="325"/>
        <v>0</v>
      </c>
      <c r="CO129" s="9">
        <f t="shared" si="325"/>
        <v>0</v>
      </c>
      <c r="CP129" s="9">
        <f t="shared" si="325"/>
        <v>0</v>
      </c>
      <c r="CQ129" s="9">
        <f t="shared" si="325"/>
        <v>0</v>
      </c>
      <c r="CR129" s="9"/>
      <c r="CS129" s="9">
        <f t="shared" si="326"/>
        <v>0</v>
      </c>
      <c r="CT129" s="9">
        <f t="shared" si="326"/>
        <v>0</v>
      </c>
      <c r="CU129" s="9">
        <f t="shared" si="326"/>
        <v>0</v>
      </c>
      <c r="CV129" s="9">
        <f t="shared" si="326"/>
        <v>0</v>
      </c>
      <c r="CW129" s="9">
        <f t="shared" si="326"/>
        <v>0</v>
      </c>
      <c r="CX129" s="9">
        <f t="shared" si="326"/>
        <v>0</v>
      </c>
      <c r="CY129" s="9">
        <f t="shared" si="326"/>
        <v>0</v>
      </c>
      <c r="CZ129" s="9">
        <f t="shared" si="326"/>
        <v>0</v>
      </c>
      <c r="DA129" s="9">
        <f t="shared" si="326"/>
        <v>0</v>
      </c>
      <c r="DB129" s="9">
        <f t="shared" si="326"/>
        <v>0</v>
      </c>
      <c r="DC129" s="9">
        <f t="shared" si="326"/>
        <v>0</v>
      </c>
      <c r="DD129" s="9">
        <f t="shared" si="326"/>
        <v>0</v>
      </c>
      <c r="DE129" s="9"/>
      <c r="DF129" s="9">
        <f t="shared" si="327"/>
        <v>0</v>
      </c>
      <c r="DG129" s="9">
        <f t="shared" si="327"/>
        <v>0</v>
      </c>
      <c r="DH129" s="9">
        <f t="shared" si="327"/>
        <v>0</v>
      </c>
      <c r="DI129" s="9">
        <f t="shared" si="327"/>
        <v>0</v>
      </c>
      <c r="DJ129" s="9">
        <f t="shared" si="327"/>
        <v>0</v>
      </c>
      <c r="DK129" s="9">
        <f t="shared" si="327"/>
        <v>0</v>
      </c>
      <c r="DL129" s="9">
        <f t="shared" si="327"/>
        <v>0</v>
      </c>
      <c r="DM129" s="9">
        <f t="shared" si="327"/>
        <v>0</v>
      </c>
      <c r="DN129" s="9">
        <f t="shared" si="327"/>
        <v>0</v>
      </c>
      <c r="DO129" s="9">
        <f t="shared" si="327"/>
        <v>0</v>
      </c>
      <c r="DP129" s="9">
        <f t="shared" si="327"/>
        <v>0</v>
      </c>
      <c r="DQ129" s="9">
        <f t="shared" si="327"/>
        <v>0</v>
      </c>
      <c r="DR129" s="9"/>
      <c r="DS129" s="31">
        <f t="shared" si="322"/>
        <v>0</v>
      </c>
      <c r="DT129" s="31">
        <f t="shared" si="328"/>
        <v>0</v>
      </c>
      <c r="DU129" s="9"/>
      <c r="DV129" s="8"/>
      <c r="DW129" s="7"/>
      <c r="DX129" s="7"/>
      <c r="DY129" s="7"/>
      <c r="DZ129" s="7"/>
      <c r="EA129" s="7"/>
      <c r="EB129" s="7"/>
      <c r="EC129" s="7"/>
    </row>
    <row r="130" spans="1:133">
      <c r="C130" s="57" t="str">
        <f t="shared" si="329"/>
        <v>///</v>
      </c>
      <c r="D130" s="57">
        <f t="shared" si="330"/>
        <v>0</v>
      </c>
      <c r="E130" s="62">
        <f t="shared" si="329"/>
        <v>0</v>
      </c>
      <c r="F130" s="9">
        <f t="shared" ref="F130:Q136" si="338">F25+F51+F77+F103</f>
        <v>0</v>
      </c>
      <c r="G130" s="9">
        <f t="shared" si="338"/>
        <v>0</v>
      </c>
      <c r="H130" s="9">
        <f t="shared" si="338"/>
        <v>0</v>
      </c>
      <c r="I130" s="9">
        <f t="shared" si="338"/>
        <v>0</v>
      </c>
      <c r="J130" s="9">
        <f t="shared" si="338"/>
        <v>0</v>
      </c>
      <c r="K130" s="9">
        <f t="shared" si="338"/>
        <v>0</v>
      </c>
      <c r="L130" s="9">
        <f t="shared" si="338"/>
        <v>0</v>
      </c>
      <c r="M130" s="9">
        <f t="shared" si="338"/>
        <v>0</v>
      </c>
      <c r="N130" s="9">
        <f t="shared" si="338"/>
        <v>0</v>
      </c>
      <c r="O130" s="9">
        <f t="shared" si="338"/>
        <v>0</v>
      </c>
      <c r="P130" s="9">
        <f t="shared" si="338"/>
        <v>0</v>
      </c>
      <c r="Q130" s="9">
        <f t="shared" si="338"/>
        <v>0</v>
      </c>
      <c r="R130" s="9"/>
      <c r="S130" s="9">
        <f t="shared" ref="S130:CD133" si="339">S25+S51+S77+S103</f>
        <v>0</v>
      </c>
      <c r="T130" s="9">
        <f t="shared" si="339"/>
        <v>0</v>
      </c>
      <c r="U130" s="9">
        <f t="shared" si="339"/>
        <v>0</v>
      </c>
      <c r="V130" s="9">
        <f t="shared" si="339"/>
        <v>0</v>
      </c>
      <c r="W130" s="9">
        <f t="shared" si="339"/>
        <v>0</v>
      </c>
      <c r="X130" s="9">
        <f t="shared" si="339"/>
        <v>0</v>
      </c>
      <c r="Y130" s="9">
        <f t="shared" si="339"/>
        <v>0</v>
      </c>
      <c r="Z130" s="9">
        <f t="shared" si="339"/>
        <v>0</v>
      </c>
      <c r="AA130" s="9">
        <f t="shared" si="339"/>
        <v>0</v>
      </c>
      <c r="AB130" s="9">
        <f t="shared" si="339"/>
        <v>0</v>
      </c>
      <c r="AC130" s="9">
        <f t="shared" si="339"/>
        <v>0</v>
      </c>
      <c r="AD130" s="9">
        <f t="shared" si="339"/>
        <v>0</v>
      </c>
      <c r="AE130" s="9">
        <f t="shared" si="339"/>
        <v>0</v>
      </c>
      <c r="AF130" s="9">
        <f t="shared" si="339"/>
        <v>0</v>
      </c>
      <c r="AG130" s="9">
        <f t="shared" si="339"/>
        <v>0</v>
      </c>
      <c r="AH130" s="9">
        <f t="shared" si="339"/>
        <v>0</v>
      </c>
      <c r="AI130" s="9">
        <f t="shared" si="339"/>
        <v>0</v>
      </c>
      <c r="AJ130" s="9">
        <f t="shared" si="339"/>
        <v>0</v>
      </c>
      <c r="AK130" s="9">
        <f t="shared" si="339"/>
        <v>0</v>
      </c>
      <c r="AL130" s="9">
        <f t="shared" si="339"/>
        <v>0</v>
      </c>
      <c r="AM130" s="9">
        <f t="shared" si="339"/>
        <v>0</v>
      </c>
      <c r="AN130" s="9">
        <f t="shared" si="339"/>
        <v>0</v>
      </c>
      <c r="AO130" s="9">
        <f t="shared" si="339"/>
        <v>0</v>
      </c>
      <c r="AP130" s="9">
        <f t="shared" si="339"/>
        <v>0</v>
      </c>
      <c r="AQ130" s="9">
        <f t="shared" si="339"/>
        <v>0</v>
      </c>
      <c r="AR130" s="9">
        <f t="shared" si="339"/>
        <v>0</v>
      </c>
      <c r="AS130" s="9">
        <f t="shared" si="339"/>
        <v>0</v>
      </c>
      <c r="AT130" s="9">
        <f t="shared" si="339"/>
        <v>0</v>
      </c>
      <c r="AU130" s="9">
        <f t="shared" si="339"/>
        <v>0</v>
      </c>
      <c r="AV130" s="9">
        <f t="shared" si="339"/>
        <v>0</v>
      </c>
      <c r="AW130" s="9">
        <f t="shared" si="339"/>
        <v>0</v>
      </c>
      <c r="AX130" s="9">
        <f t="shared" si="339"/>
        <v>0</v>
      </c>
      <c r="AY130" s="9">
        <f t="shared" si="339"/>
        <v>0</v>
      </c>
      <c r="AZ130" s="9">
        <f t="shared" si="339"/>
        <v>0</v>
      </c>
      <c r="BA130" s="9">
        <f t="shared" si="339"/>
        <v>0</v>
      </c>
      <c r="BB130" s="9">
        <f t="shared" si="339"/>
        <v>0</v>
      </c>
      <c r="BC130" s="9">
        <f t="shared" si="339"/>
        <v>0</v>
      </c>
      <c r="BD130" s="9">
        <f t="shared" si="339"/>
        <v>0</v>
      </c>
      <c r="BE130" s="9">
        <f t="shared" si="339"/>
        <v>0</v>
      </c>
      <c r="BF130" s="9">
        <f t="shared" si="339"/>
        <v>0</v>
      </c>
      <c r="BG130" s="9">
        <f t="shared" si="339"/>
        <v>0</v>
      </c>
      <c r="BH130" s="9">
        <f t="shared" si="339"/>
        <v>0</v>
      </c>
      <c r="BI130" s="9">
        <f t="shared" si="339"/>
        <v>0</v>
      </c>
      <c r="BJ130" s="9">
        <f t="shared" si="339"/>
        <v>0</v>
      </c>
      <c r="BK130" s="9">
        <f t="shared" si="339"/>
        <v>0</v>
      </c>
      <c r="BL130" s="9">
        <f t="shared" si="339"/>
        <v>0</v>
      </c>
      <c r="BM130" s="9">
        <f t="shared" si="339"/>
        <v>0</v>
      </c>
      <c r="BN130" s="9">
        <f t="shared" si="339"/>
        <v>0</v>
      </c>
      <c r="BO130" s="9">
        <f t="shared" si="339"/>
        <v>0</v>
      </c>
      <c r="BP130" s="9">
        <f t="shared" si="339"/>
        <v>0</v>
      </c>
      <c r="BQ130" s="9">
        <f t="shared" si="339"/>
        <v>0</v>
      </c>
      <c r="BR130" s="9">
        <f t="shared" si="339"/>
        <v>0</v>
      </c>
      <c r="BS130" s="9">
        <f t="shared" si="339"/>
        <v>0</v>
      </c>
      <c r="BT130" s="9">
        <f t="shared" si="339"/>
        <v>0</v>
      </c>
      <c r="BU130" s="9">
        <f t="shared" si="339"/>
        <v>0</v>
      </c>
      <c r="BV130" s="9">
        <f t="shared" si="339"/>
        <v>0</v>
      </c>
      <c r="BW130" s="9">
        <f t="shared" si="339"/>
        <v>0</v>
      </c>
      <c r="BX130" s="9">
        <f t="shared" si="339"/>
        <v>0</v>
      </c>
      <c r="BY130" s="9">
        <f t="shared" si="339"/>
        <v>0</v>
      </c>
      <c r="BZ130" s="9">
        <f t="shared" si="339"/>
        <v>0</v>
      </c>
      <c r="CA130" s="9">
        <f t="shared" si="339"/>
        <v>0</v>
      </c>
      <c r="CB130" s="9">
        <f t="shared" si="339"/>
        <v>0</v>
      </c>
      <c r="CC130" s="9">
        <f t="shared" si="339"/>
        <v>0</v>
      </c>
      <c r="CD130" s="9">
        <f t="shared" si="339"/>
        <v>0</v>
      </c>
      <c r="CE130" s="9"/>
      <c r="CF130" s="9">
        <f t="shared" ref="CF130:CQ133" si="340">CF25+CF51+CF77+CF103</f>
        <v>0</v>
      </c>
      <c r="CG130" s="9">
        <f t="shared" si="340"/>
        <v>0</v>
      </c>
      <c r="CH130" s="9">
        <f t="shared" si="340"/>
        <v>0</v>
      </c>
      <c r="CI130" s="9">
        <f t="shared" si="340"/>
        <v>0</v>
      </c>
      <c r="CJ130" s="9">
        <f t="shared" si="340"/>
        <v>0</v>
      </c>
      <c r="CK130" s="9">
        <f t="shared" si="340"/>
        <v>0</v>
      </c>
      <c r="CL130" s="9">
        <f t="shared" si="340"/>
        <v>0</v>
      </c>
      <c r="CM130" s="9">
        <f t="shared" si="340"/>
        <v>0</v>
      </c>
      <c r="CN130" s="9">
        <f t="shared" si="340"/>
        <v>0</v>
      </c>
      <c r="CO130" s="9">
        <f t="shared" si="340"/>
        <v>0</v>
      </c>
      <c r="CP130" s="9">
        <f t="shared" si="340"/>
        <v>0</v>
      </c>
      <c r="CQ130" s="9">
        <f t="shared" si="340"/>
        <v>0</v>
      </c>
      <c r="CR130" s="9"/>
      <c r="CS130" s="9">
        <f t="shared" ref="CS130:DD133" si="341">CS25+CS51+CS77+CS103</f>
        <v>0</v>
      </c>
      <c r="CT130" s="9">
        <f t="shared" si="341"/>
        <v>0</v>
      </c>
      <c r="CU130" s="9">
        <f t="shared" si="341"/>
        <v>0</v>
      </c>
      <c r="CV130" s="9">
        <f t="shared" si="341"/>
        <v>0</v>
      </c>
      <c r="CW130" s="9">
        <f t="shared" si="341"/>
        <v>0</v>
      </c>
      <c r="CX130" s="9">
        <f t="shared" si="341"/>
        <v>0</v>
      </c>
      <c r="CY130" s="9">
        <f t="shared" si="341"/>
        <v>0</v>
      </c>
      <c r="CZ130" s="9">
        <f t="shared" si="341"/>
        <v>0</v>
      </c>
      <c r="DA130" s="9">
        <f t="shared" si="341"/>
        <v>0</v>
      </c>
      <c r="DB130" s="9">
        <f t="shared" si="341"/>
        <v>0</v>
      </c>
      <c r="DC130" s="9">
        <f t="shared" si="341"/>
        <v>0</v>
      </c>
      <c r="DD130" s="9">
        <f t="shared" si="341"/>
        <v>0</v>
      </c>
      <c r="DE130" s="9"/>
      <c r="DF130" s="9">
        <f t="shared" ref="DF130:DQ133" si="342">DF25+DF51+DF77+DF103</f>
        <v>0</v>
      </c>
      <c r="DG130" s="9">
        <f t="shared" si="342"/>
        <v>0</v>
      </c>
      <c r="DH130" s="9">
        <f t="shared" si="342"/>
        <v>0</v>
      </c>
      <c r="DI130" s="9">
        <f t="shared" si="342"/>
        <v>0</v>
      </c>
      <c r="DJ130" s="9">
        <f t="shared" si="342"/>
        <v>0</v>
      </c>
      <c r="DK130" s="9">
        <f t="shared" si="342"/>
        <v>0</v>
      </c>
      <c r="DL130" s="9">
        <f t="shared" si="342"/>
        <v>0</v>
      </c>
      <c r="DM130" s="9">
        <f t="shared" si="342"/>
        <v>0</v>
      </c>
      <c r="DN130" s="9">
        <f t="shared" si="342"/>
        <v>0</v>
      </c>
      <c r="DO130" s="9">
        <f t="shared" si="342"/>
        <v>0</v>
      </c>
      <c r="DP130" s="9">
        <f t="shared" si="342"/>
        <v>0</v>
      </c>
      <c r="DQ130" s="9">
        <f t="shared" si="342"/>
        <v>0</v>
      </c>
      <c r="DR130" s="9"/>
      <c r="DS130" s="31">
        <f t="shared" si="322"/>
        <v>0</v>
      </c>
      <c r="DT130" s="31">
        <f t="shared" si="328"/>
        <v>0</v>
      </c>
      <c r="DU130" s="9"/>
      <c r="DV130" s="8"/>
      <c r="DW130" s="7"/>
      <c r="DX130" s="7"/>
      <c r="DY130" s="7"/>
      <c r="DZ130" s="7"/>
      <c r="EA130" s="7"/>
      <c r="EB130" s="7"/>
      <c r="EC130" s="7"/>
    </row>
    <row r="131" spans="1:133">
      <c r="C131" s="57" t="str">
        <f t="shared" ref="C131:E134" si="343">C104</f>
        <v>///</v>
      </c>
      <c r="D131" s="57">
        <f t="shared" si="330"/>
        <v>0</v>
      </c>
      <c r="E131" s="62">
        <f t="shared" si="343"/>
        <v>0</v>
      </c>
      <c r="F131" s="9">
        <f t="shared" si="338"/>
        <v>0</v>
      </c>
      <c r="G131" s="9">
        <f t="shared" si="338"/>
        <v>0</v>
      </c>
      <c r="H131" s="9">
        <f t="shared" si="338"/>
        <v>0</v>
      </c>
      <c r="I131" s="9">
        <f t="shared" si="338"/>
        <v>0</v>
      </c>
      <c r="J131" s="9">
        <f t="shared" si="338"/>
        <v>0</v>
      </c>
      <c r="K131" s="9">
        <f t="shared" si="338"/>
        <v>0</v>
      </c>
      <c r="L131" s="9">
        <f t="shared" si="338"/>
        <v>0</v>
      </c>
      <c r="M131" s="9">
        <f t="shared" si="338"/>
        <v>0</v>
      </c>
      <c r="N131" s="9">
        <f t="shared" si="338"/>
        <v>0</v>
      </c>
      <c r="O131" s="9">
        <f t="shared" si="338"/>
        <v>0</v>
      </c>
      <c r="P131" s="9">
        <f t="shared" si="338"/>
        <v>0</v>
      </c>
      <c r="Q131" s="9">
        <f t="shared" si="338"/>
        <v>0</v>
      </c>
      <c r="R131" s="9"/>
      <c r="S131" s="9">
        <f t="shared" si="339"/>
        <v>0</v>
      </c>
      <c r="T131" s="9">
        <f t="shared" si="339"/>
        <v>0</v>
      </c>
      <c r="U131" s="9">
        <f t="shared" si="339"/>
        <v>0</v>
      </c>
      <c r="V131" s="9">
        <f t="shared" si="339"/>
        <v>0</v>
      </c>
      <c r="W131" s="9">
        <f t="shared" si="339"/>
        <v>0</v>
      </c>
      <c r="X131" s="9">
        <f t="shared" si="339"/>
        <v>0</v>
      </c>
      <c r="Y131" s="9">
        <f t="shared" si="339"/>
        <v>0</v>
      </c>
      <c r="Z131" s="9">
        <f t="shared" si="339"/>
        <v>0</v>
      </c>
      <c r="AA131" s="9">
        <f t="shared" si="339"/>
        <v>0</v>
      </c>
      <c r="AB131" s="9">
        <f t="shared" si="339"/>
        <v>0</v>
      </c>
      <c r="AC131" s="9">
        <f t="shared" si="339"/>
        <v>0</v>
      </c>
      <c r="AD131" s="9">
        <f t="shared" si="339"/>
        <v>0</v>
      </c>
      <c r="AE131" s="9">
        <f t="shared" si="339"/>
        <v>0</v>
      </c>
      <c r="AF131" s="9">
        <f t="shared" si="339"/>
        <v>0</v>
      </c>
      <c r="AG131" s="9">
        <f t="shared" si="339"/>
        <v>0</v>
      </c>
      <c r="AH131" s="9">
        <f t="shared" si="339"/>
        <v>0</v>
      </c>
      <c r="AI131" s="9">
        <f t="shared" si="339"/>
        <v>0</v>
      </c>
      <c r="AJ131" s="9">
        <f t="shared" si="339"/>
        <v>0</v>
      </c>
      <c r="AK131" s="9">
        <f t="shared" si="339"/>
        <v>0</v>
      </c>
      <c r="AL131" s="9">
        <f t="shared" si="339"/>
        <v>0</v>
      </c>
      <c r="AM131" s="9">
        <f t="shared" si="339"/>
        <v>0</v>
      </c>
      <c r="AN131" s="9">
        <f t="shared" si="339"/>
        <v>0</v>
      </c>
      <c r="AO131" s="9">
        <f t="shared" si="339"/>
        <v>0</v>
      </c>
      <c r="AP131" s="9">
        <f t="shared" si="339"/>
        <v>0</v>
      </c>
      <c r="AQ131" s="9">
        <f t="shared" si="339"/>
        <v>0</v>
      </c>
      <c r="AR131" s="9">
        <f t="shared" si="339"/>
        <v>0</v>
      </c>
      <c r="AS131" s="9">
        <f t="shared" si="339"/>
        <v>0</v>
      </c>
      <c r="AT131" s="9">
        <f t="shared" si="339"/>
        <v>0</v>
      </c>
      <c r="AU131" s="9">
        <f t="shared" si="339"/>
        <v>0</v>
      </c>
      <c r="AV131" s="9">
        <f t="shared" si="339"/>
        <v>0</v>
      </c>
      <c r="AW131" s="9">
        <f t="shared" si="339"/>
        <v>0</v>
      </c>
      <c r="AX131" s="9">
        <f t="shared" si="339"/>
        <v>0</v>
      </c>
      <c r="AY131" s="9">
        <f t="shared" si="339"/>
        <v>0</v>
      </c>
      <c r="AZ131" s="9">
        <f t="shared" si="339"/>
        <v>0</v>
      </c>
      <c r="BA131" s="9">
        <f t="shared" si="339"/>
        <v>0</v>
      </c>
      <c r="BB131" s="9">
        <f t="shared" si="339"/>
        <v>0</v>
      </c>
      <c r="BC131" s="9">
        <f t="shared" si="339"/>
        <v>0</v>
      </c>
      <c r="BD131" s="9">
        <f t="shared" si="339"/>
        <v>0</v>
      </c>
      <c r="BE131" s="9">
        <f t="shared" si="339"/>
        <v>0</v>
      </c>
      <c r="BF131" s="9">
        <f t="shared" si="339"/>
        <v>0</v>
      </c>
      <c r="BG131" s="9">
        <f t="shared" si="339"/>
        <v>0</v>
      </c>
      <c r="BH131" s="9">
        <f t="shared" si="339"/>
        <v>0</v>
      </c>
      <c r="BI131" s="9">
        <f t="shared" si="339"/>
        <v>0</v>
      </c>
      <c r="BJ131" s="9">
        <f t="shared" si="339"/>
        <v>0</v>
      </c>
      <c r="BK131" s="9">
        <f t="shared" si="339"/>
        <v>0</v>
      </c>
      <c r="BL131" s="9">
        <f t="shared" si="339"/>
        <v>0</v>
      </c>
      <c r="BM131" s="9">
        <f t="shared" si="339"/>
        <v>0</v>
      </c>
      <c r="BN131" s="9">
        <f t="shared" si="339"/>
        <v>0</v>
      </c>
      <c r="BO131" s="9">
        <f t="shared" si="339"/>
        <v>0</v>
      </c>
      <c r="BP131" s="9">
        <f t="shared" si="339"/>
        <v>0</v>
      </c>
      <c r="BQ131" s="9">
        <f t="shared" si="339"/>
        <v>0</v>
      </c>
      <c r="BR131" s="9">
        <f t="shared" si="339"/>
        <v>0</v>
      </c>
      <c r="BS131" s="9">
        <f t="shared" si="339"/>
        <v>0</v>
      </c>
      <c r="BT131" s="9">
        <f t="shared" si="339"/>
        <v>0</v>
      </c>
      <c r="BU131" s="9">
        <f t="shared" si="339"/>
        <v>0</v>
      </c>
      <c r="BV131" s="9">
        <f t="shared" si="339"/>
        <v>0</v>
      </c>
      <c r="BW131" s="9">
        <f t="shared" si="339"/>
        <v>0</v>
      </c>
      <c r="BX131" s="9">
        <f t="shared" si="339"/>
        <v>0</v>
      </c>
      <c r="BY131" s="9">
        <f t="shared" si="339"/>
        <v>0</v>
      </c>
      <c r="BZ131" s="9">
        <f t="shared" si="339"/>
        <v>0</v>
      </c>
      <c r="CA131" s="9">
        <f t="shared" si="339"/>
        <v>0</v>
      </c>
      <c r="CB131" s="9">
        <f t="shared" si="339"/>
        <v>0</v>
      </c>
      <c r="CC131" s="9">
        <f t="shared" si="339"/>
        <v>0</v>
      </c>
      <c r="CD131" s="9">
        <f t="shared" si="339"/>
        <v>0</v>
      </c>
      <c r="CE131" s="9"/>
      <c r="CF131" s="9">
        <f t="shared" si="340"/>
        <v>0</v>
      </c>
      <c r="CG131" s="9">
        <f t="shared" si="340"/>
        <v>0</v>
      </c>
      <c r="CH131" s="9">
        <f t="shared" si="340"/>
        <v>0</v>
      </c>
      <c r="CI131" s="9">
        <f t="shared" si="340"/>
        <v>0</v>
      </c>
      <c r="CJ131" s="9">
        <f t="shared" si="340"/>
        <v>0</v>
      </c>
      <c r="CK131" s="9">
        <f t="shared" si="340"/>
        <v>0</v>
      </c>
      <c r="CL131" s="9">
        <f t="shared" si="340"/>
        <v>0</v>
      </c>
      <c r="CM131" s="9">
        <f t="shared" si="340"/>
        <v>0</v>
      </c>
      <c r="CN131" s="9">
        <f t="shared" si="340"/>
        <v>0</v>
      </c>
      <c r="CO131" s="9">
        <f t="shared" si="340"/>
        <v>0</v>
      </c>
      <c r="CP131" s="9">
        <f t="shared" si="340"/>
        <v>0</v>
      </c>
      <c r="CQ131" s="9">
        <f t="shared" si="340"/>
        <v>0</v>
      </c>
      <c r="CR131" s="9"/>
      <c r="CS131" s="9">
        <f t="shared" si="341"/>
        <v>0</v>
      </c>
      <c r="CT131" s="9">
        <f t="shared" si="341"/>
        <v>0</v>
      </c>
      <c r="CU131" s="9">
        <f t="shared" si="341"/>
        <v>0</v>
      </c>
      <c r="CV131" s="9">
        <f t="shared" si="341"/>
        <v>0</v>
      </c>
      <c r="CW131" s="9">
        <f t="shared" si="341"/>
        <v>0</v>
      </c>
      <c r="CX131" s="9">
        <f t="shared" si="341"/>
        <v>0</v>
      </c>
      <c r="CY131" s="9">
        <f t="shared" si="341"/>
        <v>0</v>
      </c>
      <c r="CZ131" s="9">
        <f t="shared" si="341"/>
        <v>0</v>
      </c>
      <c r="DA131" s="9">
        <f t="shared" si="341"/>
        <v>0</v>
      </c>
      <c r="DB131" s="9">
        <f t="shared" si="341"/>
        <v>0</v>
      </c>
      <c r="DC131" s="9">
        <f t="shared" si="341"/>
        <v>0</v>
      </c>
      <c r="DD131" s="9">
        <f t="shared" si="341"/>
        <v>0</v>
      </c>
      <c r="DE131" s="9"/>
      <c r="DF131" s="9">
        <f t="shared" si="342"/>
        <v>0</v>
      </c>
      <c r="DG131" s="9">
        <f t="shared" si="342"/>
        <v>0</v>
      </c>
      <c r="DH131" s="9">
        <f t="shared" si="342"/>
        <v>0</v>
      </c>
      <c r="DI131" s="9">
        <f t="shared" si="342"/>
        <v>0</v>
      </c>
      <c r="DJ131" s="9">
        <f t="shared" si="342"/>
        <v>0</v>
      </c>
      <c r="DK131" s="9">
        <f t="shared" si="342"/>
        <v>0</v>
      </c>
      <c r="DL131" s="9">
        <f t="shared" si="342"/>
        <v>0</v>
      </c>
      <c r="DM131" s="9">
        <f t="shared" si="342"/>
        <v>0</v>
      </c>
      <c r="DN131" s="9">
        <f t="shared" si="342"/>
        <v>0</v>
      </c>
      <c r="DO131" s="9">
        <f t="shared" si="342"/>
        <v>0</v>
      </c>
      <c r="DP131" s="9">
        <f t="shared" si="342"/>
        <v>0</v>
      </c>
      <c r="DQ131" s="9">
        <f t="shared" si="342"/>
        <v>0</v>
      </c>
      <c r="DR131" s="9"/>
      <c r="DS131" s="31">
        <f t="shared" si="322"/>
        <v>0</v>
      </c>
      <c r="DT131" s="31">
        <f t="shared" si="328"/>
        <v>0</v>
      </c>
      <c r="DU131" s="9"/>
      <c r="DV131" s="8"/>
      <c r="DW131" s="7"/>
      <c r="DX131" s="7"/>
      <c r="DY131" s="7"/>
      <c r="DZ131" s="7"/>
      <c r="EA131" s="7"/>
      <c r="EB131" s="7"/>
      <c r="EC131" s="7"/>
    </row>
    <row r="132" spans="1:133">
      <c r="C132" s="57" t="str">
        <f t="shared" si="343"/>
        <v>///</v>
      </c>
      <c r="D132" s="57">
        <f t="shared" si="330"/>
        <v>0</v>
      </c>
      <c r="E132" s="62">
        <f t="shared" si="343"/>
        <v>0</v>
      </c>
      <c r="F132" s="9">
        <f t="shared" si="338"/>
        <v>0</v>
      </c>
      <c r="G132" s="9">
        <f t="shared" si="338"/>
        <v>0</v>
      </c>
      <c r="H132" s="9">
        <f t="shared" si="338"/>
        <v>0</v>
      </c>
      <c r="I132" s="9">
        <f t="shared" si="338"/>
        <v>0</v>
      </c>
      <c r="J132" s="9">
        <f t="shared" si="338"/>
        <v>0</v>
      </c>
      <c r="K132" s="9">
        <f t="shared" si="338"/>
        <v>0</v>
      </c>
      <c r="L132" s="9">
        <f t="shared" si="338"/>
        <v>0</v>
      </c>
      <c r="M132" s="9">
        <f t="shared" si="338"/>
        <v>0</v>
      </c>
      <c r="N132" s="9">
        <f t="shared" si="338"/>
        <v>0</v>
      </c>
      <c r="O132" s="9">
        <f t="shared" si="338"/>
        <v>0</v>
      </c>
      <c r="P132" s="9">
        <f t="shared" si="338"/>
        <v>0</v>
      </c>
      <c r="Q132" s="9">
        <f t="shared" si="338"/>
        <v>0</v>
      </c>
      <c r="R132" s="9"/>
      <c r="S132" s="9">
        <f t="shared" si="339"/>
        <v>0</v>
      </c>
      <c r="T132" s="9">
        <f t="shared" si="339"/>
        <v>0</v>
      </c>
      <c r="U132" s="9">
        <f t="shared" si="339"/>
        <v>0</v>
      </c>
      <c r="V132" s="9">
        <f t="shared" si="339"/>
        <v>0</v>
      </c>
      <c r="W132" s="9">
        <f t="shared" si="339"/>
        <v>0</v>
      </c>
      <c r="X132" s="9">
        <f t="shared" si="339"/>
        <v>0</v>
      </c>
      <c r="Y132" s="9">
        <f t="shared" si="339"/>
        <v>0</v>
      </c>
      <c r="Z132" s="9">
        <f t="shared" si="339"/>
        <v>0</v>
      </c>
      <c r="AA132" s="9">
        <f t="shared" si="339"/>
        <v>0</v>
      </c>
      <c r="AB132" s="9">
        <f t="shared" si="339"/>
        <v>0</v>
      </c>
      <c r="AC132" s="9">
        <f t="shared" si="339"/>
        <v>0</v>
      </c>
      <c r="AD132" s="9">
        <f t="shared" si="339"/>
        <v>0</v>
      </c>
      <c r="AE132" s="9">
        <f t="shared" si="339"/>
        <v>0</v>
      </c>
      <c r="AF132" s="9">
        <f t="shared" si="339"/>
        <v>0</v>
      </c>
      <c r="AG132" s="9">
        <f t="shared" si="339"/>
        <v>0</v>
      </c>
      <c r="AH132" s="9">
        <f t="shared" si="339"/>
        <v>0</v>
      </c>
      <c r="AI132" s="9">
        <f t="shared" si="339"/>
        <v>0</v>
      </c>
      <c r="AJ132" s="9">
        <f t="shared" si="339"/>
        <v>0</v>
      </c>
      <c r="AK132" s="9">
        <f t="shared" si="339"/>
        <v>0</v>
      </c>
      <c r="AL132" s="9">
        <f t="shared" si="339"/>
        <v>0</v>
      </c>
      <c r="AM132" s="9">
        <f t="shared" si="339"/>
        <v>0</v>
      </c>
      <c r="AN132" s="9">
        <f t="shared" si="339"/>
        <v>0</v>
      </c>
      <c r="AO132" s="9">
        <f t="shared" si="339"/>
        <v>0</v>
      </c>
      <c r="AP132" s="9">
        <f t="shared" si="339"/>
        <v>0</v>
      </c>
      <c r="AQ132" s="9">
        <f t="shared" si="339"/>
        <v>0</v>
      </c>
      <c r="AR132" s="9">
        <f t="shared" si="339"/>
        <v>0</v>
      </c>
      <c r="AS132" s="9">
        <f t="shared" si="339"/>
        <v>0</v>
      </c>
      <c r="AT132" s="9">
        <f t="shared" si="339"/>
        <v>0</v>
      </c>
      <c r="AU132" s="9">
        <f t="shared" si="339"/>
        <v>0</v>
      </c>
      <c r="AV132" s="9">
        <f t="shared" si="339"/>
        <v>0</v>
      </c>
      <c r="AW132" s="9">
        <f t="shared" si="339"/>
        <v>0</v>
      </c>
      <c r="AX132" s="9">
        <f t="shared" si="339"/>
        <v>0</v>
      </c>
      <c r="AY132" s="9">
        <f t="shared" si="339"/>
        <v>0</v>
      </c>
      <c r="AZ132" s="9">
        <f t="shared" si="339"/>
        <v>0</v>
      </c>
      <c r="BA132" s="9">
        <f t="shared" si="339"/>
        <v>0</v>
      </c>
      <c r="BB132" s="9">
        <f t="shared" si="339"/>
        <v>0</v>
      </c>
      <c r="BC132" s="9">
        <f t="shared" si="339"/>
        <v>0</v>
      </c>
      <c r="BD132" s="9">
        <f t="shared" si="339"/>
        <v>0</v>
      </c>
      <c r="BE132" s="9">
        <f t="shared" si="339"/>
        <v>0</v>
      </c>
      <c r="BF132" s="9">
        <f t="shared" si="339"/>
        <v>0</v>
      </c>
      <c r="BG132" s="9">
        <f t="shared" si="339"/>
        <v>0</v>
      </c>
      <c r="BH132" s="9">
        <f t="shared" si="339"/>
        <v>0</v>
      </c>
      <c r="BI132" s="9">
        <f t="shared" si="339"/>
        <v>0</v>
      </c>
      <c r="BJ132" s="9">
        <f t="shared" si="339"/>
        <v>0</v>
      </c>
      <c r="BK132" s="9">
        <f t="shared" si="339"/>
        <v>0</v>
      </c>
      <c r="BL132" s="9">
        <f t="shared" si="339"/>
        <v>0</v>
      </c>
      <c r="BM132" s="9">
        <f t="shared" si="339"/>
        <v>0</v>
      </c>
      <c r="BN132" s="9">
        <f t="shared" si="339"/>
        <v>0</v>
      </c>
      <c r="BO132" s="9">
        <f t="shared" si="339"/>
        <v>0</v>
      </c>
      <c r="BP132" s="9">
        <f t="shared" si="339"/>
        <v>0</v>
      </c>
      <c r="BQ132" s="9">
        <f t="shared" si="339"/>
        <v>0</v>
      </c>
      <c r="BR132" s="9">
        <f t="shared" si="339"/>
        <v>0</v>
      </c>
      <c r="BS132" s="9">
        <f t="shared" si="339"/>
        <v>0</v>
      </c>
      <c r="BT132" s="9">
        <f t="shared" si="339"/>
        <v>0</v>
      </c>
      <c r="BU132" s="9">
        <f t="shared" si="339"/>
        <v>0</v>
      </c>
      <c r="BV132" s="9">
        <f t="shared" si="339"/>
        <v>0</v>
      </c>
      <c r="BW132" s="9">
        <f t="shared" si="339"/>
        <v>0</v>
      </c>
      <c r="BX132" s="9">
        <f t="shared" si="339"/>
        <v>0</v>
      </c>
      <c r="BY132" s="9">
        <f t="shared" si="339"/>
        <v>0</v>
      </c>
      <c r="BZ132" s="9">
        <f t="shared" si="339"/>
        <v>0</v>
      </c>
      <c r="CA132" s="9">
        <f t="shared" si="339"/>
        <v>0</v>
      </c>
      <c r="CB132" s="9">
        <f t="shared" si="339"/>
        <v>0</v>
      </c>
      <c r="CC132" s="9">
        <f t="shared" si="339"/>
        <v>0</v>
      </c>
      <c r="CD132" s="9">
        <f t="shared" si="339"/>
        <v>0</v>
      </c>
      <c r="CE132" s="9"/>
      <c r="CF132" s="9">
        <f t="shared" si="340"/>
        <v>0</v>
      </c>
      <c r="CG132" s="9">
        <f t="shared" si="340"/>
        <v>0</v>
      </c>
      <c r="CH132" s="9">
        <f t="shared" si="340"/>
        <v>0</v>
      </c>
      <c r="CI132" s="9">
        <f t="shared" si="340"/>
        <v>0</v>
      </c>
      <c r="CJ132" s="9">
        <f t="shared" si="340"/>
        <v>0</v>
      </c>
      <c r="CK132" s="9">
        <f t="shared" si="340"/>
        <v>0</v>
      </c>
      <c r="CL132" s="9">
        <f t="shared" si="340"/>
        <v>0</v>
      </c>
      <c r="CM132" s="9">
        <f t="shared" si="340"/>
        <v>0</v>
      </c>
      <c r="CN132" s="9">
        <f t="shared" si="340"/>
        <v>0</v>
      </c>
      <c r="CO132" s="9">
        <f t="shared" si="340"/>
        <v>0</v>
      </c>
      <c r="CP132" s="9">
        <f t="shared" si="340"/>
        <v>0</v>
      </c>
      <c r="CQ132" s="9">
        <f t="shared" si="340"/>
        <v>0</v>
      </c>
      <c r="CR132" s="9"/>
      <c r="CS132" s="9">
        <f t="shared" si="341"/>
        <v>0</v>
      </c>
      <c r="CT132" s="9">
        <f t="shared" si="341"/>
        <v>0</v>
      </c>
      <c r="CU132" s="9">
        <f t="shared" si="341"/>
        <v>0</v>
      </c>
      <c r="CV132" s="9">
        <f t="shared" si="341"/>
        <v>0</v>
      </c>
      <c r="CW132" s="9">
        <f t="shared" si="341"/>
        <v>0</v>
      </c>
      <c r="CX132" s="9">
        <f t="shared" si="341"/>
        <v>0</v>
      </c>
      <c r="CY132" s="9">
        <f t="shared" si="341"/>
        <v>0</v>
      </c>
      <c r="CZ132" s="9">
        <f t="shared" si="341"/>
        <v>0</v>
      </c>
      <c r="DA132" s="9">
        <f t="shared" si="341"/>
        <v>0</v>
      </c>
      <c r="DB132" s="9">
        <f t="shared" si="341"/>
        <v>0</v>
      </c>
      <c r="DC132" s="9">
        <f t="shared" si="341"/>
        <v>0</v>
      </c>
      <c r="DD132" s="9">
        <f t="shared" si="341"/>
        <v>0</v>
      </c>
      <c r="DE132" s="9"/>
      <c r="DF132" s="9">
        <f t="shared" si="342"/>
        <v>0</v>
      </c>
      <c r="DG132" s="9">
        <f t="shared" si="342"/>
        <v>0</v>
      </c>
      <c r="DH132" s="9">
        <f t="shared" si="342"/>
        <v>0</v>
      </c>
      <c r="DI132" s="9">
        <f t="shared" si="342"/>
        <v>0</v>
      </c>
      <c r="DJ132" s="9">
        <f t="shared" si="342"/>
        <v>0</v>
      </c>
      <c r="DK132" s="9">
        <f t="shared" si="342"/>
        <v>0</v>
      </c>
      <c r="DL132" s="9">
        <f t="shared" si="342"/>
        <v>0</v>
      </c>
      <c r="DM132" s="9">
        <f t="shared" si="342"/>
        <v>0</v>
      </c>
      <c r="DN132" s="9">
        <f t="shared" si="342"/>
        <v>0</v>
      </c>
      <c r="DO132" s="9">
        <f t="shared" si="342"/>
        <v>0</v>
      </c>
      <c r="DP132" s="9">
        <f t="shared" si="342"/>
        <v>0</v>
      </c>
      <c r="DQ132" s="9">
        <f t="shared" si="342"/>
        <v>0</v>
      </c>
      <c r="DR132" s="9"/>
      <c r="DS132" s="31">
        <f t="shared" si="322"/>
        <v>0</v>
      </c>
      <c r="DT132" s="31">
        <f t="shared" si="328"/>
        <v>0</v>
      </c>
      <c r="DU132" s="9"/>
      <c r="DV132" s="8"/>
      <c r="DW132" s="7"/>
      <c r="DX132" s="7"/>
      <c r="DY132" s="7"/>
      <c r="DZ132" s="7"/>
      <c r="EA132" s="7"/>
      <c r="EB132" s="7"/>
      <c r="EC132" s="7"/>
    </row>
    <row r="133" spans="1:133">
      <c r="C133" s="57" t="str">
        <f t="shared" si="343"/>
        <v>///</v>
      </c>
      <c r="D133" s="57">
        <f t="shared" si="330"/>
        <v>0</v>
      </c>
      <c r="E133" s="62">
        <f t="shared" si="343"/>
        <v>0</v>
      </c>
      <c r="F133" s="9">
        <f t="shared" si="338"/>
        <v>0</v>
      </c>
      <c r="G133" s="9">
        <f t="shared" si="338"/>
        <v>0</v>
      </c>
      <c r="H133" s="9">
        <f t="shared" si="338"/>
        <v>0</v>
      </c>
      <c r="I133" s="9">
        <f t="shared" si="338"/>
        <v>0</v>
      </c>
      <c r="J133" s="9">
        <f t="shared" si="338"/>
        <v>0</v>
      </c>
      <c r="K133" s="9">
        <f t="shared" si="338"/>
        <v>0</v>
      </c>
      <c r="L133" s="9">
        <f t="shared" si="338"/>
        <v>0</v>
      </c>
      <c r="M133" s="9">
        <f t="shared" si="338"/>
        <v>0</v>
      </c>
      <c r="N133" s="9">
        <f t="shared" si="338"/>
        <v>0</v>
      </c>
      <c r="O133" s="9">
        <f t="shared" si="338"/>
        <v>0</v>
      </c>
      <c r="P133" s="9">
        <f t="shared" si="338"/>
        <v>0</v>
      </c>
      <c r="Q133" s="9">
        <f t="shared" si="338"/>
        <v>0</v>
      </c>
      <c r="R133" s="9"/>
      <c r="S133" s="9">
        <f t="shared" si="339"/>
        <v>0</v>
      </c>
      <c r="T133" s="9">
        <f t="shared" si="339"/>
        <v>0</v>
      </c>
      <c r="U133" s="9">
        <f t="shared" si="339"/>
        <v>0</v>
      </c>
      <c r="V133" s="9">
        <f t="shared" si="339"/>
        <v>0</v>
      </c>
      <c r="W133" s="9">
        <f t="shared" si="339"/>
        <v>0</v>
      </c>
      <c r="X133" s="9">
        <f t="shared" si="339"/>
        <v>0</v>
      </c>
      <c r="Y133" s="9">
        <f t="shared" si="339"/>
        <v>0</v>
      </c>
      <c r="Z133" s="9">
        <f t="shared" si="339"/>
        <v>0</v>
      </c>
      <c r="AA133" s="9">
        <f t="shared" si="339"/>
        <v>0</v>
      </c>
      <c r="AB133" s="9">
        <f t="shared" si="339"/>
        <v>0</v>
      </c>
      <c r="AC133" s="9">
        <f t="shared" si="339"/>
        <v>0</v>
      </c>
      <c r="AD133" s="9">
        <f t="shared" si="339"/>
        <v>0</v>
      </c>
      <c r="AE133" s="9">
        <f t="shared" si="339"/>
        <v>0</v>
      </c>
      <c r="AF133" s="9">
        <f t="shared" si="339"/>
        <v>0</v>
      </c>
      <c r="AG133" s="9">
        <f t="shared" si="339"/>
        <v>0</v>
      </c>
      <c r="AH133" s="9">
        <f t="shared" si="339"/>
        <v>0</v>
      </c>
      <c r="AI133" s="9">
        <f t="shared" si="339"/>
        <v>0</v>
      </c>
      <c r="AJ133" s="9">
        <f t="shared" si="339"/>
        <v>0</v>
      </c>
      <c r="AK133" s="9">
        <f t="shared" si="339"/>
        <v>0</v>
      </c>
      <c r="AL133" s="9">
        <f t="shared" si="339"/>
        <v>0</v>
      </c>
      <c r="AM133" s="9">
        <f t="shared" si="339"/>
        <v>0</v>
      </c>
      <c r="AN133" s="9">
        <f t="shared" si="339"/>
        <v>0</v>
      </c>
      <c r="AO133" s="9">
        <f t="shared" si="339"/>
        <v>0</v>
      </c>
      <c r="AP133" s="9">
        <f t="shared" si="339"/>
        <v>0</v>
      </c>
      <c r="AQ133" s="9">
        <f t="shared" si="339"/>
        <v>0</v>
      </c>
      <c r="AR133" s="9">
        <f t="shared" si="339"/>
        <v>0</v>
      </c>
      <c r="AS133" s="9">
        <f t="shared" si="339"/>
        <v>0</v>
      </c>
      <c r="AT133" s="9">
        <f t="shared" si="339"/>
        <v>0</v>
      </c>
      <c r="AU133" s="9">
        <f t="shared" si="339"/>
        <v>0</v>
      </c>
      <c r="AV133" s="9">
        <f t="shared" si="339"/>
        <v>0</v>
      </c>
      <c r="AW133" s="9">
        <f t="shared" si="339"/>
        <v>0</v>
      </c>
      <c r="AX133" s="9">
        <f t="shared" si="339"/>
        <v>0</v>
      </c>
      <c r="AY133" s="9">
        <f t="shared" si="339"/>
        <v>0</v>
      </c>
      <c r="AZ133" s="9">
        <f t="shared" si="339"/>
        <v>0</v>
      </c>
      <c r="BA133" s="9">
        <f t="shared" si="339"/>
        <v>0</v>
      </c>
      <c r="BB133" s="9">
        <f t="shared" si="339"/>
        <v>0</v>
      </c>
      <c r="BC133" s="9">
        <f t="shared" si="339"/>
        <v>0</v>
      </c>
      <c r="BD133" s="9">
        <f t="shared" si="339"/>
        <v>0</v>
      </c>
      <c r="BE133" s="9">
        <f t="shared" si="339"/>
        <v>0</v>
      </c>
      <c r="BF133" s="9">
        <f t="shared" si="339"/>
        <v>0</v>
      </c>
      <c r="BG133" s="9">
        <f t="shared" si="339"/>
        <v>0</v>
      </c>
      <c r="BH133" s="9">
        <f t="shared" si="339"/>
        <v>0</v>
      </c>
      <c r="BI133" s="9">
        <f t="shared" si="339"/>
        <v>0</v>
      </c>
      <c r="BJ133" s="9">
        <f t="shared" si="339"/>
        <v>0</v>
      </c>
      <c r="BK133" s="9">
        <f t="shared" si="339"/>
        <v>0</v>
      </c>
      <c r="BL133" s="9">
        <f t="shared" si="339"/>
        <v>0</v>
      </c>
      <c r="BM133" s="9">
        <f t="shared" si="339"/>
        <v>0</v>
      </c>
      <c r="BN133" s="9">
        <f t="shared" si="339"/>
        <v>0</v>
      </c>
      <c r="BO133" s="9">
        <f t="shared" si="339"/>
        <v>0</v>
      </c>
      <c r="BP133" s="9">
        <f t="shared" si="339"/>
        <v>0</v>
      </c>
      <c r="BQ133" s="9">
        <f t="shared" si="339"/>
        <v>0</v>
      </c>
      <c r="BR133" s="9">
        <f t="shared" si="339"/>
        <v>0</v>
      </c>
      <c r="BS133" s="9">
        <f t="shared" si="339"/>
        <v>0</v>
      </c>
      <c r="BT133" s="9">
        <f t="shared" si="339"/>
        <v>0</v>
      </c>
      <c r="BU133" s="9">
        <f t="shared" si="339"/>
        <v>0</v>
      </c>
      <c r="BV133" s="9">
        <f t="shared" si="339"/>
        <v>0</v>
      </c>
      <c r="BW133" s="9">
        <f t="shared" si="339"/>
        <v>0</v>
      </c>
      <c r="BX133" s="9">
        <f t="shared" si="339"/>
        <v>0</v>
      </c>
      <c r="BY133" s="9">
        <f t="shared" si="339"/>
        <v>0</v>
      </c>
      <c r="BZ133" s="9">
        <f t="shared" si="339"/>
        <v>0</v>
      </c>
      <c r="CA133" s="9">
        <f t="shared" si="339"/>
        <v>0</v>
      </c>
      <c r="CB133" s="9">
        <f t="shared" si="339"/>
        <v>0</v>
      </c>
      <c r="CC133" s="9">
        <f t="shared" si="339"/>
        <v>0</v>
      </c>
      <c r="CD133" s="9">
        <f t="shared" ref="CD133" si="344">CD28+CD54+CD80+CD106</f>
        <v>0</v>
      </c>
      <c r="CE133" s="9"/>
      <c r="CF133" s="9">
        <f t="shared" si="340"/>
        <v>0</v>
      </c>
      <c r="CG133" s="9">
        <f t="shared" si="340"/>
        <v>0</v>
      </c>
      <c r="CH133" s="9">
        <f t="shared" si="340"/>
        <v>0</v>
      </c>
      <c r="CI133" s="9">
        <f t="shared" si="340"/>
        <v>0</v>
      </c>
      <c r="CJ133" s="9">
        <f t="shared" si="340"/>
        <v>0</v>
      </c>
      <c r="CK133" s="9">
        <f t="shared" si="340"/>
        <v>0</v>
      </c>
      <c r="CL133" s="9">
        <f t="shared" si="340"/>
        <v>0</v>
      </c>
      <c r="CM133" s="9">
        <f t="shared" si="340"/>
        <v>0</v>
      </c>
      <c r="CN133" s="9">
        <f t="shared" si="340"/>
        <v>0</v>
      </c>
      <c r="CO133" s="9">
        <f t="shared" si="340"/>
        <v>0</v>
      </c>
      <c r="CP133" s="9">
        <f t="shared" si="340"/>
        <v>0</v>
      </c>
      <c r="CQ133" s="9">
        <f t="shared" si="340"/>
        <v>0</v>
      </c>
      <c r="CR133" s="9"/>
      <c r="CS133" s="9">
        <f t="shared" si="341"/>
        <v>0</v>
      </c>
      <c r="CT133" s="9">
        <f t="shared" si="341"/>
        <v>0</v>
      </c>
      <c r="CU133" s="9">
        <f t="shared" si="341"/>
        <v>0</v>
      </c>
      <c r="CV133" s="9">
        <f t="shared" si="341"/>
        <v>0</v>
      </c>
      <c r="CW133" s="9">
        <f t="shared" si="341"/>
        <v>0</v>
      </c>
      <c r="CX133" s="9">
        <f t="shared" si="341"/>
        <v>0</v>
      </c>
      <c r="CY133" s="9">
        <f t="shared" si="341"/>
        <v>0</v>
      </c>
      <c r="CZ133" s="9">
        <f t="shared" si="341"/>
        <v>0</v>
      </c>
      <c r="DA133" s="9">
        <f t="shared" si="341"/>
        <v>0</v>
      </c>
      <c r="DB133" s="9">
        <f t="shared" si="341"/>
        <v>0</v>
      </c>
      <c r="DC133" s="9">
        <f t="shared" si="341"/>
        <v>0</v>
      </c>
      <c r="DD133" s="9">
        <f t="shared" si="341"/>
        <v>0</v>
      </c>
      <c r="DE133" s="9"/>
      <c r="DF133" s="9">
        <f t="shared" si="342"/>
        <v>0</v>
      </c>
      <c r="DG133" s="9">
        <f t="shared" si="342"/>
        <v>0</v>
      </c>
      <c r="DH133" s="9">
        <f t="shared" si="342"/>
        <v>0</v>
      </c>
      <c r="DI133" s="9">
        <f t="shared" si="342"/>
        <v>0</v>
      </c>
      <c r="DJ133" s="9">
        <f t="shared" si="342"/>
        <v>0</v>
      </c>
      <c r="DK133" s="9">
        <f t="shared" si="342"/>
        <v>0</v>
      </c>
      <c r="DL133" s="9">
        <f t="shared" si="342"/>
        <v>0</v>
      </c>
      <c r="DM133" s="9">
        <f t="shared" si="342"/>
        <v>0</v>
      </c>
      <c r="DN133" s="9">
        <f t="shared" si="342"/>
        <v>0</v>
      </c>
      <c r="DO133" s="9">
        <f t="shared" si="342"/>
        <v>0</v>
      </c>
      <c r="DP133" s="9">
        <f t="shared" si="342"/>
        <v>0</v>
      </c>
      <c r="DQ133" s="9">
        <f t="shared" si="342"/>
        <v>0</v>
      </c>
      <c r="DR133" s="9"/>
      <c r="DS133" s="31">
        <f t="shared" si="322"/>
        <v>0</v>
      </c>
      <c r="DT133" s="31">
        <f t="shared" si="328"/>
        <v>0</v>
      </c>
      <c r="DU133" s="9"/>
      <c r="DV133" s="8"/>
      <c r="DW133" s="7"/>
      <c r="DX133" s="7"/>
      <c r="DY133" s="7"/>
      <c r="DZ133" s="7"/>
      <c r="EA133" s="7"/>
      <c r="EB133" s="7"/>
      <c r="EC133" s="7"/>
    </row>
    <row r="134" spans="1:133">
      <c r="C134" s="57" t="str">
        <f t="shared" si="343"/>
        <v>///</v>
      </c>
      <c r="D134" s="57">
        <f t="shared" si="330"/>
        <v>0</v>
      </c>
      <c r="E134" s="62">
        <f t="shared" si="343"/>
        <v>0</v>
      </c>
      <c r="F134" s="9">
        <f t="shared" si="338"/>
        <v>0</v>
      </c>
      <c r="G134" s="9">
        <f t="shared" si="338"/>
        <v>0</v>
      </c>
      <c r="H134" s="9">
        <f t="shared" si="338"/>
        <v>0</v>
      </c>
      <c r="I134" s="9">
        <f t="shared" si="338"/>
        <v>0</v>
      </c>
      <c r="J134" s="9">
        <f t="shared" si="338"/>
        <v>0</v>
      </c>
      <c r="K134" s="9">
        <f t="shared" si="338"/>
        <v>0</v>
      </c>
      <c r="L134" s="9">
        <f t="shared" si="338"/>
        <v>0</v>
      </c>
      <c r="M134" s="9">
        <f t="shared" si="338"/>
        <v>0</v>
      </c>
      <c r="N134" s="9">
        <f t="shared" si="338"/>
        <v>0</v>
      </c>
      <c r="O134" s="9">
        <f t="shared" si="338"/>
        <v>0</v>
      </c>
      <c r="P134" s="9">
        <f t="shared" si="338"/>
        <v>0</v>
      </c>
      <c r="Q134" s="9">
        <f t="shared" si="338"/>
        <v>0</v>
      </c>
      <c r="R134" s="9"/>
      <c r="S134" s="9">
        <f t="shared" ref="S134:CD136" si="345">S29+S55+S81+S107</f>
        <v>0</v>
      </c>
      <c r="T134" s="9">
        <f t="shared" si="345"/>
        <v>0</v>
      </c>
      <c r="U134" s="9">
        <f t="shared" si="345"/>
        <v>0</v>
      </c>
      <c r="V134" s="9">
        <f t="shared" si="345"/>
        <v>0</v>
      </c>
      <c r="W134" s="9">
        <f t="shared" si="345"/>
        <v>0</v>
      </c>
      <c r="X134" s="9">
        <f t="shared" si="345"/>
        <v>0</v>
      </c>
      <c r="Y134" s="9">
        <f t="shared" si="345"/>
        <v>0</v>
      </c>
      <c r="Z134" s="9">
        <f t="shared" si="345"/>
        <v>0</v>
      </c>
      <c r="AA134" s="9">
        <f t="shared" si="345"/>
        <v>0</v>
      </c>
      <c r="AB134" s="9">
        <f t="shared" si="345"/>
        <v>0</v>
      </c>
      <c r="AC134" s="9">
        <f t="shared" si="345"/>
        <v>0</v>
      </c>
      <c r="AD134" s="9">
        <f t="shared" si="345"/>
        <v>0</v>
      </c>
      <c r="AE134" s="9">
        <f t="shared" si="345"/>
        <v>0</v>
      </c>
      <c r="AF134" s="9">
        <f t="shared" si="345"/>
        <v>0</v>
      </c>
      <c r="AG134" s="9">
        <f t="shared" si="345"/>
        <v>0</v>
      </c>
      <c r="AH134" s="9">
        <f t="shared" si="345"/>
        <v>0</v>
      </c>
      <c r="AI134" s="9">
        <f t="shared" si="345"/>
        <v>0</v>
      </c>
      <c r="AJ134" s="9">
        <f t="shared" si="345"/>
        <v>0</v>
      </c>
      <c r="AK134" s="9">
        <f t="shared" si="345"/>
        <v>0</v>
      </c>
      <c r="AL134" s="9">
        <f t="shared" si="345"/>
        <v>0</v>
      </c>
      <c r="AM134" s="9">
        <f t="shared" si="345"/>
        <v>0</v>
      </c>
      <c r="AN134" s="9">
        <f t="shared" si="345"/>
        <v>0</v>
      </c>
      <c r="AO134" s="9">
        <f t="shared" si="345"/>
        <v>0</v>
      </c>
      <c r="AP134" s="9">
        <f t="shared" si="345"/>
        <v>0</v>
      </c>
      <c r="AQ134" s="9">
        <f t="shared" si="345"/>
        <v>0</v>
      </c>
      <c r="AR134" s="9">
        <f t="shared" si="345"/>
        <v>0</v>
      </c>
      <c r="AS134" s="9">
        <f t="shared" si="345"/>
        <v>0</v>
      </c>
      <c r="AT134" s="9">
        <f t="shared" si="345"/>
        <v>0</v>
      </c>
      <c r="AU134" s="9">
        <f t="shared" si="345"/>
        <v>0</v>
      </c>
      <c r="AV134" s="9">
        <f t="shared" si="345"/>
        <v>0</v>
      </c>
      <c r="AW134" s="9">
        <f t="shared" si="345"/>
        <v>0</v>
      </c>
      <c r="AX134" s="9">
        <f t="shared" si="345"/>
        <v>0</v>
      </c>
      <c r="AY134" s="9">
        <f t="shared" si="345"/>
        <v>0</v>
      </c>
      <c r="AZ134" s="9">
        <f t="shared" si="345"/>
        <v>0</v>
      </c>
      <c r="BA134" s="9">
        <f t="shared" si="345"/>
        <v>0</v>
      </c>
      <c r="BB134" s="9">
        <f t="shared" si="345"/>
        <v>0</v>
      </c>
      <c r="BC134" s="9">
        <f t="shared" si="345"/>
        <v>0</v>
      </c>
      <c r="BD134" s="9">
        <f t="shared" si="345"/>
        <v>0</v>
      </c>
      <c r="BE134" s="9">
        <f t="shared" si="345"/>
        <v>0</v>
      </c>
      <c r="BF134" s="9">
        <f t="shared" si="345"/>
        <v>0</v>
      </c>
      <c r="BG134" s="9">
        <f t="shared" si="345"/>
        <v>0</v>
      </c>
      <c r="BH134" s="9">
        <f t="shared" si="345"/>
        <v>0</v>
      </c>
      <c r="BI134" s="9">
        <f t="shared" si="345"/>
        <v>0</v>
      </c>
      <c r="BJ134" s="9">
        <f t="shared" si="345"/>
        <v>0</v>
      </c>
      <c r="BK134" s="9">
        <f t="shared" si="345"/>
        <v>0</v>
      </c>
      <c r="BL134" s="9">
        <f t="shared" si="345"/>
        <v>0</v>
      </c>
      <c r="BM134" s="9">
        <f t="shared" si="345"/>
        <v>0</v>
      </c>
      <c r="BN134" s="9">
        <f t="shared" si="345"/>
        <v>0</v>
      </c>
      <c r="BO134" s="9">
        <f t="shared" si="345"/>
        <v>0</v>
      </c>
      <c r="BP134" s="9">
        <f t="shared" si="345"/>
        <v>0</v>
      </c>
      <c r="BQ134" s="9">
        <f t="shared" si="345"/>
        <v>0</v>
      </c>
      <c r="BR134" s="9">
        <f t="shared" si="345"/>
        <v>0</v>
      </c>
      <c r="BS134" s="9">
        <f t="shared" si="345"/>
        <v>0</v>
      </c>
      <c r="BT134" s="9">
        <f t="shared" si="345"/>
        <v>0</v>
      </c>
      <c r="BU134" s="9">
        <f t="shared" si="345"/>
        <v>0</v>
      </c>
      <c r="BV134" s="9">
        <f t="shared" si="345"/>
        <v>0</v>
      </c>
      <c r="BW134" s="9">
        <f t="shared" si="345"/>
        <v>0</v>
      </c>
      <c r="BX134" s="9">
        <f t="shared" si="345"/>
        <v>0</v>
      </c>
      <c r="BY134" s="9">
        <f t="shared" si="345"/>
        <v>0</v>
      </c>
      <c r="BZ134" s="9">
        <f t="shared" si="345"/>
        <v>0</v>
      </c>
      <c r="CA134" s="9">
        <f t="shared" si="345"/>
        <v>0</v>
      </c>
      <c r="CB134" s="9">
        <f t="shared" si="345"/>
        <v>0</v>
      </c>
      <c r="CC134" s="9">
        <f t="shared" si="345"/>
        <v>0</v>
      </c>
      <c r="CD134" s="9">
        <f t="shared" si="345"/>
        <v>0</v>
      </c>
      <c r="CE134" s="9"/>
      <c r="CF134" s="9">
        <f t="shared" ref="CF134:CQ134" si="346">CF29+CF55+CF81+CF107</f>
        <v>0</v>
      </c>
      <c r="CG134" s="9">
        <f t="shared" si="346"/>
        <v>0</v>
      </c>
      <c r="CH134" s="9">
        <f t="shared" si="346"/>
        <v>0</v>
      </c>
      <c r="CI134" s="9">
        <f t="shared" si="346"/>
        <v>0</v>
      </c>
      <c r="CJ134" s="9">
        <f t="shared" si="346"/>
        <v>0</v>
      </c>
      <c r="CK134" s="9">
        <f t="shared" si="346"/>
        <v>0</v>
      </c>
      <c r="CL134" s="9">
        <f t="shared" si="346"/>
        <v>0</v>
      </c>
      <c r="CM134" s="9">
        <f t="shared" si="346"/>
        <v>0</v>
      </c>
      <c r="CN134" s="9">
        <f t="shared" si="346"/>
        <v>0</v>
      </c>
      <c r="CO134" s="9">
        <f t="shared" si="346"/>
        <v>0</v>
      </c>
      <c r="CP134" s="9">
        <f t="shared" si="346"/>
        <v>0</v>
      </c>
      <c r="CQ134" s="9">
        <f t="shared" si="346"/>
        <v>0</v>
      </c>
      <c r="CR134" s="9"/>
      <c r="CS134" s="9">
        <f t="shared" ref="CS134:DD134" si="347">CS29+CS55+CS81+CS107</f>
        <v>0</v>
      </c>
      <c r="CT134" s="9">
        <f t="shared" si="347"/>
        <v>0</v>
      </c>
      <c r="CU134" s="9">
        <f t="shared" si="347"/>
        <v>0</v>
      </c>
      <c r="CV134" s="9">
        <f t="shared" si="347"/>
        <v>0</v>
      </c>
      <c r="CW134" s="9">
        <f t="shared" si="347"/>
        <v>0</v>
      </c>
      <c r="CX134" s="9">
        <f t="shared" si="347"/>
        <v>0</v>
      </c>
      <c r="CY134" s="9">
        <f t="shared" si="347"/>
        <v>0</v>
      </c>
      <c r="CZ134" s="9">
        <f t="shared" si="347"/>
        <v>0</v>
      </c>
      <c r="DA134" s="9">
        <f t="shared" si="347"/>
        <v>0</v>
      </c>
      <c r="DB134" s="9">
        <f t="shared" si="347"/>
        <v>0</v>
      </c>
      <c r="DC134" s="9">
        <f t="shared" si="347"/>
        <v>0</v>
      </c>
      <c r="DD134" s="9">
        <f t="shared" si="347"/>
        <v>0</v>
      </c>
      <c r="DE134" s="9"/>
      <c r="DF134" s="9">
        <f t="shared" ref="DF134:DQ134" si="348">DF29+DF55+DF81+DF107</f>
        <v>0</v>
      </c>
      <c r="DG134" s="9">
        <f t="shared" si="348"/>
        <v>0</v>
      </c>
      <c r="DH134" s="9">
        <f t="shared" si="348"/>
        <v>0</v>
      </c>
      <c r="DI134" s="9">
        <f t="shared" si="348"/>
        <v>0</v>
      </c>
      <c r="DJ134" s="9">
        <f t="shared" si="348"/>
        <v>0</v>
      </c>
      <c r="DK134" s="9">
        <f t="shared" si="348"/>
        <v>0</v>
      </c>
      <c r="DL134" s="9">
        <f t="shared" si="348"/>
        <v>0</v>
      </c>
      <c r="DM134" s="9">
        <f t="shared" si="348"/>
        <v>0</v>
      </c>
      <c r="DN134" s="9">
        <f t="shared" si="348"/>
        <v>0</v>
      </c>
      <c r="DO134" s="9">
        <f t="shared" si="348"/>
        <v>0</v>
      </c>
      <c r="DP134" s="9">
        <f t="shared" si="348"/>
        <v>0</v>
      </c>
      <c r="DQ134" s="9">
        <f t="shared" si="348"/>
        <v>0</v>
      </c>
      <c r="DR134" s="9"/>
      <c r="DS134" s="31">
        <f t="shared" si="322"/>
        <v>0</v>
      </c>
      <c r="DT134" s="31">
        <f t="shared" si="328"/>
        <v>0</v>
      </c>
      <c r="DU134" s="9"/>
      <c r="DV134" s="8"/>
      <c r="DW134" s="7"/>
      <c r="DX134" s="7"/>
      <c r="DY134" s="7"/>
      <c r="DZ134" s="7"/>
      <c r="EA134" s="7"/>
      <c r="EB134" s="7"/>
      <c r="EC134" s="7"/>
    </row>
    <row r="135" spans="1:133" hidden="1">
      <c r="C135" s="57" t="s">
        <v>26</v>
      </c>
      <c r="D135" s="57"/>
      <c r="E135" s="62"/>
      <c r="F135" s="9">
        <f t="shared" si="338"/>
        <v>0</v>
      </c>
      <c r="G135" s="9">
        <f t="shared" si="338"/>
        <v>0</v>
      </c>
      <c r="H135" s="9">
        <f t="shared" si="338"/>
        <v>0</v>
      </c>
      <c r="I135" s="9">
        <f t="shared" si="338"/>
        <v>0</v>
      </c>
      <c r="J135" s="9">
        <f t="shared" si="338"/>
        <v>0</v>
      </c>
      <c r="K135" s="9">
        <f t="shared" si="338"/>
        <v>0</v>
      </c>
      <c r="L135" s="9">
        <f t="shared" si="338"/>
        <v>0</v>
      </c>
      <c r="M135" s="9">
        <f t="shared" si="338"/>
        <v>0</v>
      </c>
      <c r="N135" s="9">
        <f t="shared" si="338"/>
        <v>0</v>
      </c>
      <c r="O135" s="9">
        <f t="shared" si="338"/>
        <v>0</v>
      </c>
      <c r="P135" s="9">
        <f t="shared" si="338"/>
        <v>0</v>
      </c>
      <c r="Q135" s="9">
        <f t="shared" si="338"/>
        <v>0</v>
      </c>
      <c r="R135" s="9">
        <f>R30+R56+R82+R108</f>
        <v>0</v>
      </c>
      <c r="S135" s="9">
        <f t="shared" si="345"/>
        <v>0</v>
      </c>
      <c r="T135" s="9">
        <f t="shared" si="345"/>
        <v>0</v>
      </c>
      <c r="U135" s="9">
        <f t="shared" si="345"/>
        <v>0</v>
      </c>
      <c r="V135" s="9">
        <f t="shared" si="345"/>
        <v>0</v>
      </c>
      <c r="W135" s="9">
        <f t="shared" si="345"/>
        <v>0</v>
      </c>
      <c r="X135" s="9">
        <f t="shared" si="345"/>
        <v>0</v>
      </c>
      <c r="Y135" s="9">
        <f t="shared" si="345"/>
        <v>0</v>
      </c>
      <c r="Z135" s="9">
        <f t="shared" si="345"/>
        <v>0</v>
      </c>
      <c r="AA135" s="9">
        <f t="shared" si="345"/>
        <v>0</v>
      </c>
      <c r="AB135" s="9">
        <f t="shared" si="345"/>
        <v>0</v>
      </c>
      <c r="AC135" s="9">
        <f t="shared" si="345"/>
        <v>0</v>
      </c>
      <c r="AD135" s="9">
        <f t="shared" si="345"/>
        <v>0</v>
      </c>
      <c r="AE135" s="9">
        <f t="shared" si="345"/>
        <v>0</v>
      </c>
      <c r="AF135" s="9">
        <f t="shared" si="345"/>
        <v>0</v>
      </c>
      <c r="AG135" s="9">
        <f t="shared" si="345"/>
        <v>0</v>
      </c>
      <c r="AH135" s="9">
        <f t="shared" si="345"/>
        <v>0</v>
      </c>
      <c r="AI135" s="9">
        <f t="shared" si="345"/>
        <v>0</v>
      </c>
      <c r="AJ135" s="9">
        <f t="shared" si="345"/>
        <v>0</v>
      </c>
      <c r="AK135" s="9">
        <f t="shared" si="345"/>
        <v>0</v>
      </c>
      <c r="AL135" s="9">
        <f t="shared" si="345"/>
        <v>0</v>
      </c>
      <c r="AM135" s="9">
        <f t="shared" si="345"/>
        <v>0</v>
      </c>
      <c r="AN135" s="9">
        <f t="shared" si="345"/>
        <v>0</v>
      </c>
      <c r="AO135" s="9">
        <f t="shared" si="345"/>
        <v>0</v>
      </c>
      <c r="AP135" s="9">
        <f t="shared" si="345"/>
        <v>0</v>
      </c>
      <c r="AQ135" s="9">
        <f t="shared" si="345"/>
        <v>0</v>
      </c>
      <c r="AR135" s="9">
        <f t="shared" si="345"/>
        <v>0</v>
      </c>
      <c r="AS135" s="9">
        <f t="shared" si="345"/>
        <v>0</v>
      </c>
      <c r="AT135" s="9">
        <f t="shared" si="345"/>
        <v>0</v>
      </c>
      <c r="AU135" s="9">
        <f t="shared" si="345"/>
        <v>0</v>
      </c>
      <c r="AV135" s="9">
        <f t="shared" si="345"/>
        <v>0</v>
      </c>
      <c r="AW135" s="9">
        <f t="shared" si="345"/>
        <v>0</v>
      </c>
      <c r="AX135" s="9">
        <f t="shared" si="345"/>
        <v>0</v>
      </c>
      <c r="AY135" s="9">
        <f t="shared" si="345"/>
        <v>0</v>
      </c>
      <c r="AZ135" s="9">
        <f t="shared" si="345"/>
        <v>0</v>
      </c>
      <c r="BA135" s="9">
        <f t="shared" si="345"/>
        <v>0</v>
      </c>
      <c r="BB135" s="9">
        <f t="shared" si="345"/>
        <v>0</v>
      </c>
      <c r="BC135" s="9">
        <f t="shared" si="345"/>
        <v>0</v>
      </c>
      <c r="BD135" s="9">
        <f t="shared" si="345"/>
        <v>0</v>
      </c>
      <c r="BE135" s="9">
        <f t="shared" si="345"/>
        <v>0</v>
      </c>
      <c r="BF135" s="9">
        <f t="shared" si="345"/>
        <v>0</v>
      </c>
      <c r="BG135" s="9">
        <f t="shared" si="345"/>
        <v>0</v>
      </c>
      <c r="BH135" s="9">
        <f t="shared" si="345"/>
        <v>0</v>
      </c>
      <c r="BI135" s="9">
        <f t="shared" si="345"/>
        <v>0</v>
      </c>
      <c r="BJ135" s="9">
        <f t="shared" si="345"/>
        <v>0</v>
      </c>
      <c r="BK135" s="9">
        <f t="shared" si="345"/>
        <v>0</v>
      </c>
      <c r="BL135" s="9">
        <f t="shared" si="345"/>
        <v>0</v>
      </c>
      <c r="BM135" s="9">
        <f t="shared" si="345"/>
        <v>0</v>
      </c>
      <c r="BN135" s="9">
        <f t="shared" si="345"/>
        <v>0</v>
      </c>
      <c r="BO135" s="9">
        <f t="shared" si="345"/>
        <v>0</v>
      </c>
      <c r="BP135" s="9">
        <f t="shared" si="345"/>
        <v>0</v>
      </c>
      <c r="BQ135" s="9">
        <f t="shared" si="345"/>
        <v>0</v>
      </c>
      <c r="BR135" s="9">
        <f t="shared" si="345"/>
        <v>0</v>
      </c>
      <c r="BS135" s="9">
        <f t="shared" si="345"/>
        <v>0</v>
      </c>
      <c r="BT135" s="9">
        <f t="shared" si="345"/>
        <v>0</v>
      </c>
      <c r="BU135" s="9">
        <f t="shared" si="345"/>
        <v>0</v>
      </c>
      <c r="BV135" s="9">
        <f t="shared" si="345"/>
        <v>0</v>
      </c>
      <c r="BW135" s="9">
        <f t="shared" si="345"/>
        <v>0</v>
      </c>
      <c r="BX135" s="9">
        <f t="shared" si="345"/>
        <v>0</v>
      </c>
      <c r="BY135" s="9">
        <f t="shared" si="345"/>
        <v>0</v>
      </c>
      <c r="BZ135" s="9">
        <f t="shared" si="345"/>
        <v>0</v>
      </c>
      <c r="CA135" s="9">
        <f t="shared" si="345"/>
        <v>0</v>
      </c>
      <c r="CB135" s="9">
        <f t="shared" si="345"/>
        <v>0</v>
      </c>
      <c r="CC135" s="9">
        <f t="shared" si="345"/>
        <v>0</v>
      </c>
      <c r="CD135" s="9">
        <f t="shared" si="345"/>
        <v>0</v>
      </c>
      <c r="CE135" s="9">
        <f>CE29+CE57+CE83</f>
        <v>0</v>
      </c>
      <c r="CF135" s="9">
        <f t="shared" ref="CF135:CQ135" si="349">CF30+CF56+CF82+CF108</f>
        <v>0</v>
      </c>
      <c r="CG135" s="9">
        <f t="shared" si="349"/>
        <v>0</v>
      </c>
      <c r="CH135" s="9">
        <f t="shared" si="349"/>
        <v>0</v>
      </c>
      <c r="CI135" s="9">
        <f t="shared" si="349"/>
        <v>0</v>
      </c>
      <c r="CJ135" s="9">
        <f t="shared" si="349"/>
        <v>0</v>
      </c>
      <c r="CK135" s="9">
        <f t="shared" si="349"/>
        <v>0</v>
      </c>
      <c r="CL135" s="9">
        <f t="shared" si="349"/>
        <v>0</v>
      </c>
      <c r="CM135" s="9">
        <f t="shared" si="349"/>
        <v>0</v>
      </c>
      <c r="CN135" s="9">
        <f t="shared" si="349"/>
        <v>0</v>
      </c>
      <c r="CO135" s="9">
        <f t="shared" si="349"/>
        <v>0</v>
      </c>
      <c r="CP135" s="9">
        <f t="shared" si="349"/>
        <v>0</v>
      </c>
      <c r="CQ135" s="9">
        <f t="shared" si="349"/>
        <v>0</v>
      </c>
      <c r="CR135" s="9">
        <f>CR29+CR57+CR83</f>
        <v>0</v>
      </c>
      <c r="CS135" s="9">
        <f t="shared" ref="CS135:DD135" si="350">CS30+CS56+CS82+CS108</f>
        <v>0</v>
      </c>
      <c r="CT135" s="9">
        <f t="shared" si="350"/>
        <v>0</v>
      </c>
      <c r="CU135" s="9">
        <f t="shared" si="350"/>
        <v>0</v>
      </c>
      <c r="CV135" s="9">
        <f t="shared" si="350"/>
        <v>0</v>
      </c>
      <c r="CW135" s="9">
        <f t="shared" si="350"/>
        <v>0</v>
      </c>
      <c r="CX135" s="9">
        <f t="shared" si="350"/>
        <v>0</v>
      </c>
      <c r="CY135" s="9">
        <f t="shared" si="350"/>
        <v>0</v>
      </c>
      <c r="CZ135" s="9">
        <f t="shared" si="350"/>
        <v>0</v>
      </c>
      <c r="DA135" s="9">
        <f t="shared" si="350"/>
        <v>0</v>
      </c>
      <c r="DB135" s="9">
        <f t="shared" si="350"/>
        <v>0</v>
      </c>
      <c r="DC135" s="9">
        <f t="shared" si="350"/>
        <v>0</v>
      </c>
      <c r="DD135" s="9">
        <f t="shared" si="350"/>
        <v>0</v>
      </c>
      <c r="DE135" s="9">
        <f>DE29+DE57+DE83</f>
        <v>0</v>
      </c>
      <c r="DF135" s="9">
        <f t="shared" ref="DF135:DQ135" si="351">DF30+DF56+DF82+DF108</f>
        <v>0</v>
      </c>
      <c r="DG135" s="9">
        <f t="shared" si="351"/>
        <v>0</v>
      </c>
      <c r="DH135" s="9">
        <f t="shared" si="351"/>
        <v>0</v>
      </c>
      <c r="DI135" s="9">
        <f t="shared" si="351"/>
        <v>0</v>
      </c>
      <c r="DJ135" s="9">
        <f t="shared" si="351"/>
        <v>0</v>
      </c>
      <c r="DK135" s="9">
        <f t="shared" si="351"/>
        <v>0</v>
      </c>
      <c r="DL135" s="9">
        <f t="shared" si="351"/>
        <v>0</v>
      </c>
      <c r="DM135" s="9">
        <f t="shared" si="351"/>
        <v>0</v>
      </c>
      <c r="DN135" s="9">
        <f t="shared" si="351"/>
        <v>0</v>
      </c>
      <c r="DO135" s="9">
        <f t="shared" si="351"/>
        <v>0</v>
      </c>
      <c r="DP135" s="9">
        <f t="shared" si="351"/>
        <v>0</v>
      </c>
      <c r="DQ135" s="9">
        <f t="shared" si="351"/>
        <v>0</v>
      </c>
      <c r="DR135" s="9">
        <f>DR29+DR57+DR83</f>
        <v>0</v>
      </c>
      <c r="DS135" s="31"/>
      <c r="DT135" s="31">
        <f t="shared" si="328"/>
        <v>0</v>
      </c>
      <c r="DU135" s="9"/>
      <c r="DV135" s="8"/>
      <c r="DW135" s="7"/>
      <c r="DX135" s="7"/>
      <c r="DY135" s="7"/>
      <c r="DZ135" s="7"/>
      <c r="EA135" s="7"/>
      <c r="EB135" s="7"/>
      <c r="EC135" s="7"/>
    </row>
    <row r="136" spans="1:133" hidden="1">
      <c r="C136" s="57" t="str">
        <f>$C30</f>
        <v>Open</v>
      </c>
      <c r="D136" s="57"/>
      <c r="E136" s="62"/>
      <c r="F136" s="9">
        <f t="shared" si="338"/>
        <v>0</v>
      </c>
      <c r="G136" s="9">
        <f t="shared" si="338"/>
        <v>0</v>
      </c>
      <c r="H136" s="9">
        <f t="shared" si="338"/>
        <v>0</v>
      </c>
      <c r="I136" s="9">
        <f t="shared" si="338"/>
        <v>0</v>
      </c>
      <c r="J136" s="9">
        <f t="shared" si="338"/>
        <v>0</v>
      </c>
      <c r="K136" s="9">
        <f t="shared" si="338"/>
        <v>0</v>
      </c>
      <c r="L136" s="9">
        <f t="shared" si="338"/>
        <v>0</v>
      </c>
      <c r="M136" s="9">
        <f t="shared" si="338"/>
        <v>0</v>
      </c>
      <c r="N136" s="9">
        <f t="shared" si="338"/>
        <v>0</v>
      </c>
      <c r="O136" s="9">
        <f t="shared" si="338"/>
        <v>0</v>
      </c>
      <c r="P136" s="9">
        <f t="shared" si="338"/>
        <v>0</v>
      </c>
      <c r="Q136" s="9">
        <f t="shared" si="338"/>
        <v>0</v>
      </c>
      <c r="R136" s="9">
        <f>R31+R57+R83+R109</f>
        <v>0</v>
      </c>
      <c r="S136" s="9">
        <f t="shared" si="345"/>
        <v>0</v>
      </c>
      <c r="T136" s="9">
        <f t="shared" si="345"/>
        <v>0</v>
      </c>
      <c r="U136" s="9">
        <f t="shared" si="345"/>
        <v>0</v>
      </c>
      <c r="V136" s="9">
        <f t="shared" si="345"/>
        <v>0</v>
      </c>
      <c r="W136" s="9">
        <f t="shared" si="345"/>
        <v>0</v>
      </c>
      <c r="X136" s="9">
        <f t="shared" si="345"/>
        <v>0</v>
      </c>
      <c r="Y136" s="9">
        <f t="shared" si="345"/>
        <v>0</v>
      </c>
      <c r="Z136" s="9">
        <f t="shared" si="345"/>
        <v>0</v>
      </c>
      <c r="AA136" s="9">
        <f t="shared" si="345"/>
        <v>0</v>
      </c>
      <c r="AB136" s="9">
        <f t="shared" si="345"/>
        <v>0</v>
      </c>
      <c r="AC136" s="9">
        <f t="shared" si="345"/>
        <v>0</v>
      </c>
      <c r="AD136" s="9">
        <f t="shared" si="345"/>
        <v>0</v>
      </c>
      <c r="AE136" s="9">
        <f t="shared" si="345"/>
        <v>0</v>
      </c>
      <c r="AF136" s="9">
        <f t="shared" si="345"/>
        <v>0</v>
      </c>
      <c r="AG136" s="9">
        <f t="shared" si="345"/>
        <v>0</v>
      </c>
      <c r="AH136" s="9">
        <f t="shared" si="345"/>
        <v>0</v>
      </c>
      <c r="AI136" s="9">
        <f t="shared" si="345"/>
        <v>0</v>
      </c>
      <c r="AJ136" s="9">
        <f t="shared" si="345"/>
        <v>0</v>
      </c>
      <c r="AK136" s="9">
        <f t="shared" si="345"/>
        <v>0</v>
      </c>
      <c r="AL136" s="9">
        <f t="shared" si="345"/>
        <v>0</v>
      </c>
      <c r="AM136" s="9">
        <f t="shared" si="345"/>
        <v>0</v>
      </c>
      <c r="AN136" s="9">
        <f t="shared" si="345"/>
        <v>0</v>
      </c>
      <c r="AO136" s="9">
        <f t="shared" si="345"/>
        <v>0</v>
      </c>
      <c r="AP136" s="9">
        <f t="shared" si="345"/>
        <v>0</v>
      </c>
      <c r="AQ136" s="9">
        <f t="shared" si="345"/>
        <v>0</v>
      </c>
      <c r="AR136" s="9">
        <f t="shared" si="345"/>
        <v>0</v>
      </c>
      <c r="AS136" s="9">
        <f t="shared" si="345"/>
        <v>0</v>
      </c>
      <c r="AT136" s="9">
        <f t="shared" si="345"/>
        <v>0</v>
      </c>
      <c r="AU136" s="9">
        <f t="shared" si="345"/>
        <v>0</v>
      </c>
      <c r="AV136" s="9">
        <f t="shared" si="345"/>
        <v>0</v>
      </c>
      <c r="AW136" s="9">
        <f t="shared" si="345"/>
        <v>0</v>
      </c>
      <c r="AX136" s="9">
        <f t="shared" si="345"/>
        <v>0</v>
      </c>
      <c r="AY136" s="9">
        <f t="shared" si="345"/>
        <v>0</v>
      </c>
      <c r="AZ136" s="9">
        <f t="shared" si="345"/>
        <v>0</v>
      </c>
      <c r="BA136" s="9">
        <f t="shared" si="345"/>
        <v>0</v>
      </c>
      <c r="BB136" s="9">
        <f t="shared" si="345"/>
        <v>0</v>
      </c>
      <c r="BC136" s="9">
        <f t="shared" si="345"/>
        <v>0</v>
      </c>
      <c r="BD136" s="9">
        <f t="shared" si="345"/>
        <v>0</v>
      </c>
      <c r="BE136" s="9">
        <f t="shared" si="345"/>
        <v>0</v>
      </c>
      <c r="BF136" s="9">
        <f t="shared" si="345"/>
        <v>0</v>
      </c>
      <c r="BG136" s="9">
        <f t="shared" si="345"/>
        <v>0</v>
      </c>
      <c r="BH136" s="9">
        <f t="shared" si="345"/>
        <v>0</v>
      </c>
      <c r="BI136" s="9">
        <f t="shared" si="345"/>
        <v>0</v>
      </c>
      <c r="BJ136" s="9">
        <f t="shared" si="345"/>
        <v>0</v>
      </c>
      <c r="BK136" s="9">
        <f t="shared" si="345"/>
        <v>0</v>
      </c>
      <c r="BL136" s="9">
        <f t="shared" si="345"/>
        <v>0</v>
      </c>
      <c r="BM136" s="9">
        <f t="shared" si="345"/>
        <v>0</v>
      </c>
      <c r="BN136" s="9">
        <f t="shared" si="345"/>
        <v>0</v>
      </c>
      <c r="BO136" s="9">
        <f t="shared" si="345"/>
        <v>0</v>
      </c>
      <c r="BP136" s="9">
        <f t="shared" si="345"/>
        <v>0</v>
      </c>
      <c r="BQ136" s="9">
        <f t="shared" si="345"/>
        <v>0</v>
      </c>
      <c r="BR136" s="9">
        <f t="shared" si="345"/>
        <v>0</v>
      </c>
      <c r="BS136" s="9">
        <f t="shared" si="345"/>
        <v>0</v>
      </c>
      <c r="BT136" s="9">
        <f t="shared" si="345"/>
        <v>0</v>
      </c>
      <c r="BU136" s="9">
        <f t="shared" si="345"/>
        <v>0</v>
      </c>
      <c r="BV136" s="9">
        <f t="shared" si="345"/>
        <v>0</v>
      </c>
      <c r="BW136" s="9">
        <f t="shared" si="345"/>
        <v>0</v>
      </c>
      <c r="BX136" s="9">
        <f t="shared" si="345"/>
        <v>0</v>
      </c>
      <c r="BY136" s="9">
        <f t="shared" si="345"/>
        <v>0</v>
      </c>
      <c r="BZ136" s="9">
        <f t="shared" si="345"/>
        <v>0</v>
      </c>
      <c r="CA136" s="9">
        <f t="shared" si="345"/>
        <v>0</v>
      </c>
      <c r="CB136" s="9">
        <f t="shared" si="345"/>
        <v>0</v>
      </c>
      <c r="CC136" s="9">
        <f t="shared" si="345"/>
        <v>0</v>
      </c>
      <c r="CD136" s="9">
        <f t="shared" si="345"/>
        <v>0</v>
      </c>
      <c r="CE136" s="9"/>
      <c r="CF136" s="9">
        <f t="shared" ref="CF136:CQ136" si="352">CF31+CF57+CF83+CF109</f>
        <v>0</v>
      </c>
      <c r="CG136" s="9">
        <f t="shared" si="352"/>
        <v>0</v>
      </c>
      <c r="CH136" s="9">
        <f t="shared" si="352"/>
        <v>0</v>
      </c>
      <c r="CI136" s="9">
        <f t="shared" si="352"/>
        <v>0</v>
      </c>
      <c r="CJ136" s="9">
        <f t="shared" si="352"/>
        <v>0</v>
      </c>
      <c r="CK136" s="9">
        <f t="shared" si="352"/>
        <v>0</v>
      </c>
      <c r="CL136" s="9">
        <f t="shared" si="352"/>
        <v>0</v>
      </c>
      <c r="CM136" s="9">
        <f t="shared" si="352"/>
        <v>0</v>
      </c>
      <c r="CN136" s="9">
        <f t="shared" si="352"/>
        <v>0</v>
      </c>
      <c r="CO136" s="9">
        <f t="shared" si="352"/>
        <v>0</v>
      </c>
      <c r="CP136" s="9">
        <f t="shared" si="352"/>
        <v>0</v>
      </c>
      <c r="CQ136" s="9">
        <f t="shared" si="352"/>
        <v>0</v>
      </c>
      <c r="CR136" s="9"/>
      <c r="CS136" s="9">
        <f t="shared" ref="CS136:DD136" si="353">CS31+CS57+CS83+CS109</f>
        <v>0</v>
      </c>
      <c r="CT136" s="9">
        <f t="shared" si="353"/>
        <v>0</v>
      </c>
      <c r="CU136" s="9">
        <f t="shared" si="353"/>
        <v>0</v>
      </c>
      <c r="CV136" s="9">
        <f t="shared" si="353"/>
        <v>0</v>
      </c>
      <c r="CW136" s="9">
        <f t="shared" si="353"/>
        <v>0</v>
      </c>
      <c r="CX136" s="9">
        <f t="shared" si="353"/>
        <v>0</v>
      </c>
      <c r="CY136" s="9">
        <f t="shared" si="353"/>
        <v>0</v>
      </c>
      <c r="CZ136" s="9">
        <f t="shared" si="353"/>
        <v>0</v>
      </c>
      <c r="DA136" s="9">
        <f t="shared" si="353"/>
        <v>0</v>
      </c>
      <c r="DB136" s="9">
        <f t="shared" si="353"/>
        <v>0</v>
      </c>
      <c r="DC136" s="9">
        <f t="shared" si="353"/>
        <v>0</v>
      </c>
      <c r="DD136" s="9">
        <f t="shared" si="353"/>
        <v>0</v>
      </c>
      <c r="DE136" s="9"/>
      <c r="DF136" s="9">
        <f t="shared" ref="DF136:DQ136" si="354">DF31+DF57+DF83+DF109</f>
        <v>0</v>
      </c>
      <c r="DG136" s="9">
        <f t="shared" si="354"/>
        <v>0</v>
      </c>
      <c r="DH136" s="9">
        <f t="shared" si="354"/>
        <v>0</v>
      </c>
      <c r="DI136" s="9">
        <f t="shared" si="354"/>
        <v>0</v>
      </c>
      <c r="DJ136" s="9">
        <f t="shared" si="354"/>
        <v>0</v>
      </c>
      <c r="DK136" s="9">
        <f t="shared" si="354"/>
        <v>0</v>
      </c>
      <c r="DL136" s="9">
        <f t="shared" si="354"/>
        <v>0</v>
      </c>
      <c r="DM136" s="9">
        <f t="shared" si="354"/>
        <v>0</v>
      </c>
      <c r="DN136" s="9">
        <f t="shared" si="354"/>
        <v>0</v>
      </c>
      <c r="DO136" s="9">
        <f t="shared" si="354"/>
        <v>0</v>
      </c>
      <c r="DP136" s="9">
        <f t="shared" si="354"/>
        <v>0</v>
      </c>
      <c r="DQ136" s="9">
        <f t="shared" si="354"/>
        <v>0</v>
      </c>
      <c r="DR136" s="9"/>
      <c r="DS136" s="31"/>
      <c r="DT136" s="31">
        <f t="shared" si="328"/>
        <v>0</v>
      </c>
      <c r="DU136" s="9"/>
      <c r="DV136" s="8"/>
      <c r="DW136" s="7"/>
      <c r="DX136" s="7"/>
      <c r="DY136" s="7"/>
      <c r="DZ136" s="7"/>
      <c r="EA136" s="7"/>
      <c r="EB136" s="7"/>
      <c r="EC136" s="7"/>
    </row>
    <row r="137" spans="1:133">
      <c r="C137" s="59" t="s">
        <v>28</v>
      </c>
      <c r="D137" s="59"/>
      <c r="E137" s="62"/>
      <c r="F137" s="12">
        <f t="shared" ref="F137:AK137" si="355">SUM(F113:F136)</f>
        <v>0</v>
      </c>
      <c r="G137" s="12">
        <f t="shared" si="355"/>
        <v>0</v>
      </c>
      <c r="H137" s="12">
        <f t="shared" si="355"/>
        <v>0</v>
      </c>
      <c r="I137" s="12">
        <f t="shared" si="355"/>
        <v>0</v>
      </c>
      <c r="J137" s="12">
        <f t="shared" si="355"/>
        <v>0</v>
      </c>
      <c r="K137" s="12">
        <f t="shared" si="355"/>
        <v>0</v>
      </c>
      <c r="L137" s="12">
        <f t="shared" si="355"/>
        <v>0</v>
      </c>
      <c r="M137" s="12">
        <f t="shared" si="355"/>
        <v>0</v>
      </c>
      <c r="N137" s="12">
        <f t="shared" si="355"/>
        <v>0</v>
      </c>
      <c r="O137" s="12">
        <f t="shared" si="355"/>
        <v>0</v>
      </c>
      <c r="P137" s="12">
        <f t="shared" si="355"/>
        <v>0</v>
      </c>
      <c r="Q137" s="12">
        <f t="shared" si="355"/>
        <v>0</v>
      </c>
      <c r="R137" s="12">
        <f t="shared" si="355"/>
        <v>0</v>
      </c>
      <c r="S137" s="12">
        <f t="shared" si="355"/>
        <v>0</v>
      </c>
      <c r="T137" s="12">
        <f t="shared" si="355"/>
        <v>0</v>
      </c>
      <c r="U137" s="12">
        <f t="shared" si="355"/>
        <v>0</v>
      </c>
      <c r="V137" s="12">
        <f t="shared" si="355"/>
        <v>0</v>
      </c>
      <c r="W137" s="12">
        <f t="shared" si="355"/>
        <v>0</v>
      </c>
      <c r="X137" s="12">
        <f t="shared" si="355"/>
        <v>0</v>
      </c>
      <c r="Y137" s="12">
        <f t="shared" si="355"/>
        <v>0</v>
      </c>
      <c r="Z137" s="12">
        <f t="shared" si="355"/>
        <v>0</v>
      </c>
      <c r="AA137" s="12">
        <f t="shared" si="355"/>
        <v>0</v>
      </c>
      <c r="AB137" s="12">
        <f t="shared" si="355"/>
        <v>0</v>
      </c>
      <c r="AC137" s="12">
        <f t="shared" si="355"/>
        <v>0</v>
      </c>
      <c r="AD137" s="12">
        <f t="shared" si="355"/>
        <v>0</v>
      </c>
      <c r="AE137" s="12">
        <f t="shared" si="355"/>
        <v>0</v>
      </c>
      <c r="AF137" s="12">
        <f t="shared" si="355"/>
        <v>0</v>
      </c>
      <c r="AG137" s="12">
        <f t="shared" si="355"/>
        <v>0</v>
      </c>
      <c r="AH137" s="12">
        <f t="shared" si="355"/>
        <v>0</v>
      </c>
      <c r="AI137" s="12">
        <f t="shared" si="355"/>
        <v>0</v>
      </c>
      <c r="AJ137" s="12">
        <f t="shared" si="355"/>
        <v>0</v>
      </c>
      <c r="AK137" s="12">
        <f t="shared" si="355"/>
        <v>0</v>
      </c>
      <c r="AL137" s="12">
        <f t="shared" ref="AL137:DT137" si="356">SUM(AL113:AL136)</f>
        <v>0</v>
      </c>
      <c r="AM137" s="12">
        <f t="shared" si="356"/>
        <v>0</v>
      </c>
      <c r="AN137" s="12">
        <f t="shared" si="356"/>
        <v>0</v>
      </c>
      <c r="AO137" s="12">
        <f t="shared" si="356"/>
        <v>0</v>
      </c>
      <c r="AP137" s="12">
        <f t="shared" si="356"/>
        <v>0</v>
      </c>
      <c r="AQ137" s="12">
        <f t="shared" si="356"/>
        <v>0</v>
      </c>
      <c r="AR137" s="12">
        <f t="shared" si="356"/>
        <v>0</v>
      </c>
      <c r="AS137" s="12">
        <f t="shared" si="356"/>
        <v>0</v>
      </c>
      <c r="AT137" s="12">
        <f t="shared" si="356"/>
        <v>0</v>
      </c>
      <c r="AU137" s="12">
        <f t="shared" si="356"/>
        <v>0</v>
      </c>
      <c r="AV137" s="12">
        <f t="shared" si="356"/>
        <v>0</v>
      </c>
      <c r="AW137" s="12">
        <f t="shared" si="356"/>
        <v>0</v>
      </c>
      <c r="AX137" s="12">
        <f t="shared" si="356"/>
        <v>0</v>
      </c>
      <c r="AY137" s="12">
        <f t="shared" si="356"/>
        <v>0</v>
      </c>
      <c r="AZ137" s="12">
        <f t="shared" si="356"/>
        <v>0</v>
      </c>
      <c r="BA137" s="12">
        <f t="shared" si="356"/>
        <v>0</v>
      </c>
      <c r="BB137" s="12">
        <f t="shared" si="356"/>
        <v>0</v>
      </c>
      <c r="BC137" s="12">
        <f t="shared" si="356"/>
        <v>0</v>
      </c>
      <c r="BD137" s="12">
        <f t="shared" si="356"/>
        <v>0</v>
      </c>
      <c r="BE137" s="12">
        <f t="shared" si="356"/>
        <v>0</v>
      </c>
      <c r="BF137" s="12">
        <f t="shared" si="356"/>
        <v>0</v>
      </c>
      <c r="BG137" s="12">
        <f t="shared" si="356"/>
        <v>0</v>
      </c>
      <c r="BH137" s="12">
        <f t="shared" si="356"/>
        <v>0</v>
      </c>
      <c r="BI137" s="12">
        <f t="shared" si="356"/>
        <v>0</v>
      </c>
      <c r="BJ137" s="12">
        <f t="shared" si="356"/>
        <v>0</v>
      </c>
      <c r="BK137" s="12">
        <f t="shared" si="356"/>
        <v>0</v>
      </c>
      <c r="BL137" s="12">
        <f t="shared" si="356"/>
        <v>0</v>
      </c>
      <c r="BM137" s="12">
        <f t="shared" si="356"/>
        <v>0</v>
      </c>
      <c r="BN137" s="12">
        <f t="shared" si="356"/>
        <v>0</v>
      </c>
      <c r="BO137" s="12">
        <f t="shared" si="356"/>
        <v>0</v>
      </c>
      <c r="BP137" s="12">
        <f t="shared" si="356"/>
        <v>0</v>
      </c>
      <c r="BQ137" s="12">
        <f t="shared" si="356"/>
        <v>0</v>
      </c>
      <c r="BR137" s="12">
        <f t="shared" si="356"/>
        <v>0</v>
      </c>
      <c r="BS137" s="12">
        <f t="shared" si="356"/>
        <v>0</v>
      </c>
      <c r="BT137" s="12">
        <f t="shared" si="356"/>
        <v>0</v>
      </c>
      <c r="BU137" s="12">
        <f t="shared" si="356"/>
        <v>0</v>
      </c>
      <c r="BV137" s="12">
        <f t="shared" si="356"/>
        <v>0</v>
      </c>
      <c r="BW137" s="12">
        <f t="shared" si="356"/>
        <v>0</v>
      </c>
      <c r="BX137" s="12">
        <f t="shared" si="356"/>
        <v>0</v>
      </c>
      <c r="BY137" s="12">
        <f t="shared" si="356"/>
        <v>0</v>
      </c>
      <c r="BZ137" s="12">
        <f t="shared" si="356"/>
        <v>0</v>
      </c>
      <c r="CA137" s="12">
        <f t="shared" si="356"/>
        <v>0</v>
      </c>
      <c r="CB137" s="12">
        <f t="shared" si="356"/>
        <v>0</v>
      </c>
      <c r="CC137" s="12">
        <f t="shared" si="356"/>
        <v>0</v>
      </c>
      <c r="CD137" s="12">
        <f t="shared" si="356"/>
        <v>0</v>
      </c>
      <c r="CE137" s="12">
        <f t="shared" si="356"/>
        <v>0</v>
      </c>
      <c r="CF137" s="12">
        <f t="shared" ref="CF137:DR137" si="357">SUM(CF113:CF136)</f>
        <v>0</v>
      </c>
      <c r="CG137" s="12">
        <f t="shared" si="357"/>
        <v>0</v>
      </c>
      <c r="CH137" s="12">
        <f t="shared" si="357"/>
        <v>0</v>
      </c>
      <c r="CI137" s="12">
        <f t="shared" si="357"/>
        <v>0</v>
      </c>
      <c r="CJ137" s="12">
        <f t="shared" si="357"/>
        <v>0</v>
      </c>
      <c r="CK137" s="12">
        <f t="shared" si="357"/>
        <v>0</v>
      </c>
      <c r="CL137" s="12">
        <f t="shared" si="357"/>
        <v>0</v>
      </c>
      <c r="CM137" s="12">
        <f t="shared" si="357"/>
        <v>0</v>
      </c>
      <c r="CN137" s="12">
        <f t="shared" si="357"/>
        <v>0</v>
      </c>
      <c r="CO137" s="12">
        <f t="shared" si="357"/>
        <v>0</v>
      </c>
      <c r="CP137" s="12">
        <f t="shared" si="357"/>
        <v>0</v>
      </c>
      <c r="CQ137" s="12">
        <f t="shared" si="357"/>
        <v>0</v>
      </c>
      <c r="CR137" s="12">
        <f t="shared" si="357"/>
        <v>0</v>
      </c>
      <c r="CS137" s="12">
        <f t="shared" si="357"/>
        <v>0</v>
      </c>
      <c r="CT137" s="12">
        <f t="shared" si="357"/>
        <v>0</v>
      </c>
      <c r="CU137" s="12">
        <f t="shared" si="357"/>
        <v>0</v>
      </c>
      <c r="CV137" s="12">
        <f t="shared" si="357"/>
        <v>0</v>
      </c>
      <c r="CW137" s="12">
        <f t="shared" si="357"/>
        <v>0</v>
      </c>
      <c r="CX137" s="12">
        <f t="shared" si="357"/>
        <v>0</v>
      </c>
      <c r="CY137" s="12">
        <f t="shared" si="357"/>
        <v>0</v>
      </c>
      <c r="CZ137" s="12">
        <f t="shared" si="357"/>
        <v>0</v>
      </c>
      <c r="DA137" s="12">
        <f t="shared" si="357"/>
        <v>0</v>
      </c>
      <c r="DB137" s="12">
        <f t="shared" si="357"/>
        <v>0</v>
      </c>
      <c r="DC137" s="12">
        <f t="shared" si="357"/>
        <v>0</v>
      </c>
      <c r="DD137" s="12">
        <f t="shared" si="357"/>
        <v>0</v>
      </c>
      <c r="DE137" s="12">
        <f t="shared" si="357"/>
        <v>0</v>
      </c>
      <c r="DF137" s="12">
        <f t="shared" si="357"/>
        <v>0</v>
      </c>
      <c r="DG137" s="12">
        <f t="shared" si="357"/>
        <v>0</v>
      </c>
      <c r="DH137" s="12">
        <f t="shared" si="357"/>
        <v>0</v>
      </c>
      <c r="DI137" s="12">
        <f t="shared" si="357"/>
        <v>0</v>
      </c>
      <c r="DJ137" s="12">
        <f t="shared" si="357"/>
        <v>0</v>
      </c>
      <c r="DK137" s="12">
        <f t="shared" si="357"/>
        <v>0</v>
      </c>
      <c r="DL137" s="12">
        <f t="shared" si="357"/>
        <v>0</v>
      </c>
      <c r="DM137" s="12">
        <f t="shared" si="357"/>
        <v>0</v>
      </c>
      <c r="DN137" s="12">
        <f t="shared" si="357"/>
        <v>0</v>
      </c>
      <c r="DO137" s="12">
        <f t="shared" si="357"/>
        <v>0</v>
      </c>
      <c r="DP137" s="12">
        <f t="shared" si="357"/>
        <v>0</v>
      </c>
      <c r="DQ137" s="12">
        <f t="shared" si="357"/>
        <v>0</v>
      </c>
      <c r="DR137" s="12">
        <f t="shared" si="357"/>
        <v>0</v>
      </c>
      <c r="DS137" s="30">
        <f t="shared" si="356"/>
        <v>0</v>
      </c>
      <c r="DT137" s="30">
        <f t="shared" si="356"/>
        <v>0</v>
      </c>
      <c r="DU137" s="13"/>
      <c r="DV137" s="8"/>
      <c r="DW137" s="7"/>
      <c r="DX137" s="7"/>
      <c r="DY137" s="7"/>
      <c r="DZ137" s="7"/>
      <c r="EA137" s="7"/>
      <c r="EB137" s="7"/>
      <c r="EC137" s="7"/>
    </row>
    <row r="138" spans="1:133">
      <c r="C138" s="57"/>
      <c r="D138" s="57"/>
      <c r="E138" s="62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31"/>
      <c r="DT138" s="31"/>
      <c r="DU138" s="9"/>
      <c r="DV138" s="8"/>
      <c r="DW138" s="7"/>
      <c r="DX138" s="7"/>
      <c r="DY138" s="7"/>
      <c r="DZ138" s="7"/>
      <c r="EA138" s="7"/>
      <c r="EB138" s="7"/>
      <c r="EC138" s="7"/>
    </row>
    <row r="139" spans="1:133">
      <c r="C139" s="59" t="s">
        <v>21</v>
      </c>
      <c r="D139" s="59"/>
      <c r="E139" s="63"/>
      <c r="F139" s="9"/>
      <c r="G139" s="9"/>
      <c r="H139" s="9"/>
      <c r="I139" s="9"/>
      <c r="J139" s="38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31"/>
      <c r="DT139" s="31"/>
      <c r="DU139" s="9"/>
      <c r="DV139" s="8"/>
      <c r="DW139" s="7"/>
      <c r="DX139" s="7"/>
      <c r="DY139" s="7"/>
      <c r="DZ139" s="7"/>
      <c r="EA139" s="7"/>
      <c r="EB139" s="7"/>
      <c r="EC139" s="7"/>
    </row>
    <row r="140" spans="1:133">
      <c r="C140" s="57" t="s">
        <v>739</v>
      </c>
      <c r="D140" s="57"/>
      <c r="E140" s="62"/>
      <c r="F140" s="223"/>
      <c r="G140" s="223">
        <f t="shared" ref="G140:Q155" si="358">F140</f>
        <v>0</v>
      </c>
      <c r="H140" s="223">
        <f t="shared" si="358"/>
        <v>0</v>
      </c>
      <c r="I140" s="223">
        <f t="shared" si="358"/>
        <v>0</v>
      </c>
      <c r="J140" s="223">
        <f t="shared" si="358"/>
        <v>0</v>
      </c>
      <c r="K140" s="223">
        <f t="shared" si="358"/>
        <v>0</v>
      </c>
      <c r="L140" s="223">
        <f t="shared" si="358"/>
        <v>0</v>
      </c>
      <c r="M140" s="223">
        <f t="shared" si="358"/>
        <v>0</v>
      </c>
      <c r="N140" s="223">
        <f t="shared" si="358"/>
        <v>0</v>
      </c>
      <c r="O140" s="223">
        <f t="shared" si="358"/>
        <v>0</v>
      </c>
      <c r="P140" s="223">
        <f t="shared" si="358"/>
        <v>0</v>
      </c>
      <c r="Q140" s="223">
        <f t="shared" si="358"/>
        <v>0</v>
      </c>
      <c r="R140" s="223"/>
      <c r="S140" s="223">
        <f t="shared" ref="S140:S163" si="359">Q140</f>
        <v>0</v>
      </c>
      <c r="T140" s="223">
        <f t="shared" ref="T140:AD155" si="360">S140</f>
        <v>0</v>
      </c>
      <c r="U140" s="223">
        <f t="shared" si="360"/>
        <v>0</v>
      </c>
      <c r="V140" s="223">
        <f t="shared" si="360"/>
        <v>0</v>
      </c>
      <c r="W140" s="223">
        <f t="shared" si="360"/>
        <v>0</v>
      </c>
      <c r="X140" s="223">
        <f t="shared" si="360"/>
        <v>0</v>
      </c>
      <c r="Y140" s="223">
        <f t="shared" si="360"/>
        <v>0</v>
      </c>
      <c r="Z140" s="223">
        <f t="shared" si="360"/>
        <v>0</v>
      </c>
      <c r="AA140" s="223">
        <f t="shared" si="360"/>
        <v>0</v>
      </c>
      <c r="AB140" s="223">
        <f t="shared" si="360"/>
        <v>0</v>
      </c>
      <c r="AC140" s="223">
        <f t="shared" si="360"/>
        <v>0</v>
      </c>
      <c r="AD140" s="223">
        <f t="shared" si="360"/>
        <v>0</v>
      </c>
      <c r="AE140" s="223"/>
      <c r="AF140" s="223">
        <f t="shared" ref="AF140:AF162" si="361">AD140</f>
        <v>0</v>
      </c>
      <c r="AG140" s="223">
        <f t="shared" ref="AG140:AQ155" si="362">AF140</f>
        <v>0</v>
      </c>
      <c r="AH140" s="223">
        <f t="shared" si="362"/>
        <v>0</v>
      </c>
      <c r="AI140" s="223">
        <f t="shared" si="362"/>
        <v>0</v>
      </c>
      <c r="AJ140" s="223">
        <f t="shared" si="362"/>
        <v>0</v>
      </c>
      <c r="AK140" s="223">
        <f t="shared" si="362"/>
        <v>0</v>
      </c>
      <c r="AL140" s="223">
        <f t="shared" si="362"/>
        <v>0</v>
      </c>
      <c r="AM140" s="223">
        <f t="shared" si="362"/>
        <v>0</v>
      </c>
      <c r="AN140" s="223">
        <f t="shared" si="362"/>
        <v>0</v>
      </c>
      <c r="AO140" s="223">
        <f t="shared" si="362"/>
        <v>0</v>
      </c>
      <c r="AP140" s="223">
        <f t="shared" si="362"/>
        <v>0</v>
      </c>
      <c r="AQ140" s="223">
        <f t="shared" si="362"/>
        <v>0</v>
      </c>
      <c r="AR140" s="223"/>
      <c r="AS140" s="223">
        <f t="shared" ref="AS140:AS162" si="363">AQ140</f>
        <v>0</v>
      </c>
      <c r="AT140" s="223">
        <f t="shared" ref="AT140:BD155" si="364">AS140</f>
        <v>0</v>
      </c>
      <c r="AU140" s="223">
        <f t="shared" si="364"/>
        <v>0</v>
      </c>
      <c r="AV140" s="223">
        <f t="shared" si="364"/>
        <v>0</v>
      </c>
      <c r="AW140" s="223">
        <f t="shared" si="364"/>
        <v>0</v>
      </c>
      <c r="AX140" s="223">
        <f t="shared" si="364"/>
        <v>0</v>
      </c>
      <c r="AY140" s="223">
        <f t="shared" si="364"/>
        <v>0</v>
      </c>
      <c r="AZ140" s="223">
        <f t="shared" si="364"/>
        <v>0</v>
      </c>
      <c r="BA140" s="223">
        <f t="shared" si="364"/>
        <v>0</v>
      </c>
      <c r="BB140" s="223">
        <f t="shared" si="364"/>
        <v>0</v>
      </c>
      <c r="BC140" s="223">
        <f t="shared" si="364"/>
        <v>0</v>
      </c>
      <c r="BD140" s="223">
        <f t="shared" si="364"/>
        <v>0</v>
      </c>
      <c r="BE140" s="223"/>
      <c r="BF140" s="223">
        <f t="shared" ref="BF140:BF162" si="365">BD140</f>
        <v>0</v>
      </c>
      <c r="BG140" s="223">
        <f t="shared" ref="BG140:BQ155" si="366">BF140</f>
        <v>0</v>
      </c>
      <c r="BH140" s="223">
        <f t="shared" si="366"/>
        <v>0</v>
      </c>
      <c r="BI140" s="223">
        <f t="shared" si="366"/>
        <v>0</v>
      </c>
      <c r="BJ140" s="223">
        <f t="shared" si="366"/>
        <v>0</v>
      </c>
      <c r="BK140" s="223">
        <f t="shared" si="366"/>
        <v>0</v>
      </c>
      <c r="BL140" s="223">
        <f t="shared" si="366"/>
        <v>0</v>
      </c>
      <c r="BM140" s="223">
        <f t="shared" si="366"/>
        <v>0</v>
      </c>
      <c r="BN140" s="223">
        <f t="shared" si="366"/>
        <v>0</v>
      </c>
      <c r="BO140" s="223">
        <f t="shared" si="366"/>
        <v>0</v>
      </c>
      <c r="BP140" s="223">
        <f t="shared" si="366"/>
        <v>0</v>
      </c>
      <c r="BQ140" s="223">
        <f t="shared" si="366"/>
        <v>0</v>
      </c>
      <c r="BR140" s="223"/>
      <c r="BS140" s="223">
        <f t="shared" ref="BS140:BS162" si="367">BQ140</f>
        <v>0</v>
      </c>
      <c r="BT140" s="223">
        <f t="shared" ref="BT140:CD155" si="368">BS140</f>
        <v>0</v>
      </c>
      <c r="BU140" s="223">
        <f t="shared" si="368"/>
        <v>0</v>
      </c>
      <c r="BV140" s="223">
        <f t="shared" si="368"/>
        <v>0</v>
      </c>
      <c r="BW140" s="223">
        <f t="shared" si="368"/>
        <v>0</v>
      </c>
      <c r="BX140" s="223">
        <f t="shared" si="368"/>
        <v>0</v>
      </c>
      <c r="BY140" s="223">
        <f t="shared" si="368"/>
        <v>0</v>
      </c>
      <c r="BZ140" s="223">
        <f t="shared" si="368"/>
        <v>0</v>
      </c>
      <c r="CA140" s="223">
        <f t="shared" si="368"/>
        <v>0</v>
      </c>
      <c r="CB140" s="223">
        <f t="shared" si="368"/>
        <v>0</v>
      </c>
      <c r="CC140" s="223">
        <f t="shared" si="368"/>
        <v>0</v>
      </c>
      <c r="CD140" s="223">
        <f t="shared" si="368"/>
        <v>0</v>
      </c>
      <c r="CE140" s="389"/>
      <c r="CF140" s="223">
        <f t="shared" ref="CF140:CF162" si="369">CD140</f>
        <v>0</v>
      </c>
      <c r="CG140" s="223">
        <f t="shared" ref="CG140:CG162" si="370">CF140</f>
        <v>0</v>
      </c>
      <c r="CH140" s="223">
        <f t="shared" ref="CH140:CH162" si="371">CG140</f>
        <v>0</v>
      </c>
      <c r="CI140" s="223">
        <f t="shared" ref="CI140:CI162" si="372">CH140</f>
        <v>0</v>
      </c>
      <c r="CJ140" s="223">
        <f t="shared" ref="CJ140:CJ162" si="373">CI140</f>
        <v>0</v>
      </c>
      <c r="CK140" s="223">
        <f t="shared" ref="CK140:CK162" si="374">CJ140</f>
        <v>0</v>
      </c>
      <c r="CL140" s="223">
        <f t="shared" ref="CL140:CL162" si="375">CK140</f>
        <v>0</v>
      </c>
      <c r="CM140" s="223">
        <f t="shared" ref="CM140:CM162" si="376">CL140</f>
        <v>0</v>
      </c>
      <c r="CN140" s="223">
        <f t="shared" ref="CN140:CN162" si="377">CM140</f>
        <v>0</v>
      </c>
      <c r="CO140" s="223">
        <f t="shared" ref="CO140:CO162" si="378">CN140</f>
        <v>0</v>
      </c>
      <c r="CP140" s="223">
        <f t="shared" ref="CP140:CP162" si="379">CO140</f>
        <v>0</v>
      </c>
      <c r="CQ140" s="223">
        <f t="shared" ref="CQ140:CQ162" si="380">CP140</f>
        <v>0</v>
      </c>
      <c r="CR140" s="389"/>
      <c r="CS140" s="223">
        <f t="shared" ref="CS140:CS162" si="381">CQ140</f>
        <v>0</v>
      </c>
      <c r="CT140" s="223">
        <f t="shared" ref="CT140:CT162" si="382">CS140</f>
        <v>0</v>
      </c>
      <c r="CU140" s="223">
        <f t="shared" ref="CU140:CU162" si="383">CT140</f>
        <v>0</v>
      </c>
      <c r="CV140" s="223">
        <f t="shared" ref="CV140:CV162" si="384">CU140</f>
        <v>0</v>
      </c>
      <c r="CW140" s="223">
        <f t="shared" ref="CW140:CW162" si="385">CV140</f>
        <v>0</v>
      </c>
      <c r="CX140" s="223">
        <f t="shared" ref="CX140:CX162" si="386">CW140</f>
        <v>0</v>
      </c>
      <c r="CY140" s="223">
        <f t="shared" ref="CY140:CY162" si="387">CX140</f>
        <v>0</v>
      </c>
      <c r="CZ140" s="223">
        <f t="shared" ref="CZ140:CZ162" si="388">CY140</f>
        <v>0</v>
      </c>
      <c r="DA140" s="223">
        <f t="shared" ref="DA140:DA162" si="389">CZ140</f>
        <v>0</v>
      </c>
      <c r="DB140" s="223">
        <f t="shared" ref="DB140:DB162" si="390">DA140</f>
        <v>0</v>
      </c>
      <c r="DC140" s="223">
        <f t="shared" ref="DC140:DC162" si="391">DB140</f>
        <v>0</v>
      </c>
      <c r="DD140" s="223">
        <f t="shared" ref="DD140:DD162" si="392">DC140</f>
        <v>0</v>
      </c>
      <c r="DE140" s="389"/>
      <c r="DF140" s="223">
        <f t="shared" ref="DF140:DF162" si="393">DD140</f>
        <v>0</v>
      </c>
      <c r="DG140" s="223">
        <f t="shared" ref="DG140:DG162" si="394">DF140</f>
        <v>0</v>
      </c>
      <c r="DH140" s="223">
        <f t="shared" ref="DH140:DH162" si="395">DG140</f>
        <v>0</v>
      </c>
      <c r="DI140" s="223">
        <f t="shared" ref="DI140:DI162" si="396">DH140</f>
        <v>0</v>
      </c>
      <c r="DJ140" s="223">
        <f t="shared" ref="DJ140:DJ162" si="397">DI140</f>
        <v>0</v>
      </c>
      <c r="DK140" s="223">
        <f t="shared" ref="DK140:DK162" si="398">DJ140</f>
        <v>0</v>
      </c>
      <c r="DL140" s="223">
        <f t="shared" ref="DL140:DL162" si="399">DK140</f>
        <v>0</v>
      </c>
      <c r="DM140" s="223">
        <f t="shared" ref="DM140:DM162" si="400">DL140</f>
        <v>0</v>
      </c>
      <c r="DN140" s="223">
        <f t="shared" ref="DN140:DN162" si="401">DM140</f>
        <v>0</v>
      </c>
      <c r="DO140" s="223">
        <f t="shared" ref="DO140:DO162" si="402">DN140</f>
        <v>0</v>
      </c>
      <c r="DP140" s="223">
        <f t="shared" ref="DP140:DP162" si="403">DO140</f>
        <v>0</v>
      </c>
      <c r="DQ140" s="223">
        <f t="shared" ref="DQ140:DQ162" si="404">DP140</f>
        <v>0</v>
      </c>
      <c r="DR140" s="389"/>
      <c r="DS140" s="31">
        <f t="shared" ref="DS140:DS161" si="405">SUM(F140:Q140)+SUM(S140:AD140)+SUM(AF140:AQ140)+SUM(AS140:BD140)+SUM(BF140:BQ140)+SUM(BS140:CD140)+SUM(CF140:CQ140)+SUM(CS140:DD140)+SUM(DF140:DQ140)</f>
        <v>0</v>
      </c>
      <c r="DT140" s="390"/>
      <c r="DU140" s="9"/>
      <c r="DV140" s="8"/>
      <c r="DW140" s="7"/>
      <c r="DX140" s="7"/>
      <c r="DY140" s="7"/>
      <c r="DZ140" s="7"/>
      <c r="EA140" s="7"/>
      <c r="EB140" s="7"/>
      <c r="EC140" s="7"/>
    </row>
    <row r="141" spans="1:133">
      <c r="C141" s="57" t="str">
        <f>C114</f>
        <v>IT/JavaNetColdFusionIT/DeveloperJavaNetColdFusion/Junior</v>
      </c>
      <c r="D141" s="57">
        <f>+D114</f>
        <v>0</v>
      </c>
      <c r="E141" s="62" t="str">
        <f>E114</f>
        <v>B2 AP1 / B2 AP2 (0.6 to 3 yrs)</v>
      </c>
      <c r="F141" s="223"/>
      <c r="G141" s="223">
        <f t="shared" si="358"/>
        <v>0</v>
      </c>
      <c r="H141" s="223">
        <f t="shared" si="358"/>
        <v>0</v>
      </c>
      <c r="I141" s="223">
        <f t="shared" si="358"/>
        <v>0</v>
      </c>
      <c r="J141" s="223">
        <f t="shared" si="358"/>
        <v>0</v>
      </c>
      <c r="K141" s="223">
        <f t="shared" si="358"/>
        <v>0</v>
      </c>
      <c r="L141" s="223">
        <f t="shared" si="358"/>
        <v>0</v>
      </c>
      <c r="M141" s="223">
        <f t="shared" si="358"/>
        <v>0</v>
      </c>
      <c r="N141" s="223">
        <f t="shared" si="358"/>
        <v>0</v>
      </c>
      <c r="O141" s="223">
        <f t="shared" si="358"/>
        <v>0</v>
      </c>
      <c r="P141" s="223">
        <f t="shared" si="358"/>
        <v>0</v>
      </c>
      <c r="Q141" s="223">
        <f t="shared" si="358"/>
        <v>0</v>
      </c>
      <c r="R141" s="223"/>
      <c r="S141" s="223">
        <f>+Q141</f>
        <v>0</v>
      </c>
      <c r="T141" s="223">
        <f t="shared" si="360"/>
        <v>0</v>
      </c>
      <c r="U141" s="223">
        <f t="shared" si="360"/>
        <v>0</v>
      </c>
      <c r="V141" s="223">
        <f t="shared" si="360"/>
        <v>0</v>
      </c>
      <c r="W141" s="223">
        <f t="shared" si="360"/>
        <v>0</v>
      </c>
      <c r="X141" s="223">
        <f t="shared" si="360"/>
        <v>0</v>
      </c>
      <c r="Y141" s="223">
        <f t="shared" si="360"/>
        <v>0</v>
      </c>
      <c r="Z141" s="223">
        <f t="shared" si="360"/>
        <v>0</v>
      </c>
      <c r="AA141" s="223">
        <f t="shared" si="360"/>
        <v>0</v>
      </c>
      <c r="AB141" s="223">
        <f t="shared" si="360"/>
        <v>0</v>
      </c>
      <c r="AC141" s="223">
        <f t="shared" si="360"/>
        <v>0</v>
      </c>
      <c r="AD141" s="223">
        <f t="shared" si="360"/>
        <v>0</v>
      </c>
      <c r="AE141" s="223"/>
      <c r="AF141" s="223">
        <f t="shared" si="361"/>
        <v>0</v>
      </c>
      <c r="AG141" s="223">
        <f t="shared" si="362"/>
        <v>0</v>
      </c>
      <c r="AH141" s="223">
        <f t="shared" si="362"/>
        <v>0</v>
      </c>
      <c r="AI141" s="223">
        <f t="shared" si="362"/>
        <v>0</v>
      </c>
      <c r="AJ141" s="223">
        <f t="shared" si="362"/>
        <v>0</v>
      </c>
      <c r="AK141" s="223">
        <f t="shared" si="362"/>
        <v>0</v>
      </c>
      <c r="AL141" s="223">
        <f t="shared" si="362"/>
        <v>0</v>
      </c>
      <c r="AM141" s="223">
        <f t="shared" si="362"/>
        <v>0</v>
      </c>
      <c r="AN141" s="223">
        <f t="shared" si="362"/>
        <v>0</v>
      </c>
      <c r="AO141" s="223">
        <f t="shared" si="362"/>
        <v>0</v>
      </c>
      <c r="AP141" s="223">
        <f t="shared" si="362"/>
        <v>0</v>
      </c>
      <c r="AQ141" s="223">
        <f t="shared" si="362"/>
        <v>0</v>
      </c>
      <c r="AR141" s="223"/>
      <c r="AS141" s="223">
        <f t="shared" si="363"/>
        <v>0</v>
      </c>
      <c r="AT141" s="223">
        <f t="shared" si="364"/>
        <v>0</v>
      </c>
      <c r="AU141" s="223">
        <f t="shared" si="364"/>
        <v>0</v>
      </c>
      <c r="AV141" s="223">
        <f t="shared" si="364"/>
        <v>0</v>
      </c>
      <c r="AW141" s="223">
        <f t="shared" si="364"/>
        <v>0</v>
      </c>
      <c r="AX141" s="223">
        <f t="shared" si="364"/>
        <v>0</v>
      </c>
      <c r="AY141" s="223">
        <f t="shared" si="364"/>
        <v>0</v>
      </c>
      <c r="AZ141" s="223">
        <f t="shared" si="364"/>
        <v>0</v>
      </c>
      <c r="BA141" s="223">
        <f t="shared" si="364"/>
        <v>0</v>
      </c>
      <c r="BB141" s="223">
        <f t="shared" si="364"/>
        <v>0</v>
      </c>
      <c r="BC141" s="223">
        <f t="shared" si="364"/>
        <v>0</v>
      </c>
      <c r="BD141" s="223">
        <f t="shared" si="364"/>
        <v>0</v>
      </c>
      <c r="BE141" s="223"/>
      <c r="BF141" s="223">
        <f t="shared" si="365"/>
        <v>0</v>
      </c>
      <c r="BG141" s="223">
        <f t="shared" si="366"/>
        <v>0</v>
      </c>
      <c r="BH141" s="223">
        <f t="shared" si="366"/>
        <v>0</v>
      </c>
      <c r="BI141" s="223">
        <f t="shared" si="366"/>
        <v>0</v>
      </c>
      <c r="BJ141" s="223">
        <f t="shared" si="366"/>
        <v>0</v>
      </c>
      <c r="BK141" s="223">
        <f t="shared" si="366"/>
        <v>0</v>
      </c>
      <c r="BL141" s="223">
        <f t="shared" si="366"/>
        <v>0</v>
      </c>
      <c r="BM141" s="223">
        <f t="shared" si="366"/>
        <v>0</v>
      </c>
      <c r="BN141" s="223">
        <f t="shared" si="366"/>
        <v>0</v>
      </c>
      <c r="BO141" s="223">
        <f t="shared" si="366"/>
        <v>0</v>
      </c>
      <c r="BP141" s="223">
        <f t="shared" si="366"/>
        <v>0</v>
      </c>
      <c r="BQ141" s="223">
        <f t="shared" si="366"/>
        <v>0</v>
      </c>
      <c r="BR141" s="223"/>
      <c r="BS141" s="223">
        <f t="shared" si="367"/>
        <v>0</v>
      </c>
      <c r="BT141" s="223">
        <f t="shared" si="368"/>
        <v>0</v>
      </c>
      <c r="BU141" s="223">
        <f t="shared" si="368"/>
        <v>0</v>
      </c>
      <c r="BV141" s="223">
        <f t="shared" si="368"/>
        <v>0</v>
      </c>
      <c r="BW141" s="223">
        <f t="shared" si="368"/>
        <v>0</v>
      </c>
      <c r="BX141" s="223">
        <f t="shared" si="368"/>
        <v>0</v>
      </c>
      <c r="BY141" s="223">
        <f t="shared" si="368"/>
        <v>0</v>
      </c>
      <c r="BZ141" s="223">
        <f t="shared" si="368"/>
        <v>0</v>
      </c>
      <c r="CA141" s="223">
        <f t="shared" si="368"/>
        <v>0</v>
      </c>
      <c r="CB141" s="223">
        <f t="shared" si="368"/>
        <v>0</v>
      </c>
      <c r="CC141" s="223">
        <f t="shared" si="368"/>
        <v>0</v>
      </c>
      <c r="CD141" s="223">
        <f t="shared" si="368"/>
        <v>0</v>
      </c>
      <c r="CE141" s="389"/>
      <c r="CF141" s="223">
        <f t="shared" si="369"/>
        <v>0</v>
      </c>
      <c r="CG141" s="223">
        <f t="shared" si="370"/>
        <v>0</v>
      </c>
      <c r="CH141" s="223">
        <f t="shared" si="371"/>
        <v>0</v>
      </c>
      <c r="CI141" s="223">
        <f t="shared" si="372"/>
        <v>0</v>
      </c>
      <c r="CJ141" s="223">
        <f t="shared" si="373"/>
        <v>0</v>
      </c>
      <c r="CK141" s="223">
        <f t="shared" si="374"/>
        <v>0</v>
      </c>
      <c r="CL141" s="223">
        <f t="shared" si="375"/>
        <v>0</v>
      </c>
      <c r="CM141" s="223">
        <f t="shared" si="376"/>
        <v>0</v>
      </c>
      <c r="CN141" s="223">
        <f t="shared" si="377"/>
        <v>0</v>
      </c>
      <c r="CO141" s="223">
        <f t="shared" si="378"/>
        <v>0</v>
      </c>
      <c r="CP141" s="223">
        <f t="shared" si="379"/>
        <v>0</v>
      </c>
      <c r="CQ141" s="223">
        <f t="shared" si="380"/>
        <v>0</v>
      </c>
      <c r="CR141" s="389"/>
      <c r="CS141" s="223">
        <f t="shared" si="381"/>
        <v>0</v>
      </c>
      <c r="CT141" s="223">
        <f t="shared" si="382"/>
        <v>0</v>
      </c>
      <c r="CU141" s="223">
        <f t="shared" si="383"/>
        <v>0</v>
      </c>
      <c r="CV141" s="223">
        <f t="shared" si="384"/>
        <v>0</v>
      </c>
      <c r="CW141" s="223">
        <f t="shared" si="385"/>
        <v>0</v>
      </c>
      <c r="CX141" s="223">
        <f t="shared" si="386"/>
        <v>0</v>
      </c>
      <c r="CY141" s="223">
        <f t="shared" si="387"/>
        <v>0</v>
      </c>
      <c r="CZ141" s="223">
        <f t="shared" si="388"/>
        <v>0</v>
      </c>
      <c r="DA141" s="223">
        <f t="shared" si="389"/>
        <v>0</v>
      </c>
      <c r="DB141" s="223">
        <f t="shared" si="390"/>
        <v>0</v>
      </c>
      <c r="DC141" s="223">
        <f t="shared" si="391"/>
        <v>0</v>
      </c>
      <c r="DD141" s="223">
        <f t="shared" si="392"/>
        <v>0</v>
      </c>
      <c r="DE141" s="389"/>
      <c r="DF141" s="223">
        <f t="shared" si="393"/>
        <v>0</v>
      </c>
      <c r="DG141" s="223">
        <f t="shared" si="394"/>
        <v>0</v>
      </c>
      <c r="DH141" s="223">
        <f t="shared" si="395"/>
        <v>0</v>
      </c>
      <c r="DI141" s="223">
        <f t="shared" si="396"/>
        <v>0</v>
      </c>
      <c r="DJ141" s="223">
        <f t="shared" si="397"/>
        <v>0</v>
      </c>
      <c r="DK141" s="223">
        <f t="shared" si="398"/>
        <v>0</v>
      </c>
      <c r="DL141" s="223">
        <f t="shared" si="399"/>
        <v>0</v>
      </c>
      <c r="DM141" s="223">
        <f t="shared" si="400"/>
        <v>0</v>
      </c>
      <c r="DN141" s="223">
        <f t="shared" si="401"/>
        <v>0</v>
      </c>
      <c r="DO141" s="223">
        <f t="shared" si="402"/>
        <v>0</v>
      </c>
      <c r="DP141" s="223">
        <f t="shared" si="403"/>
        <v>0</v>
      </c>
      <c r="DQ141" s="223">
        <f t="shared" si="404"/>
        <v>0</v>
      </c>
      <c r="DR141" s="389"/>
      <c r="DS141" s="31">
        <f t="shared" si="405"/>
        <v>0</v>
      </c>
      <c r="DT141" s="390"/>
      <c r="DU141" s="9"/>
      <c r="DV141" s="8"/>
      <c r="DW141" s="7"/>
      <c r="DX141" s="7"/>
      <c r="DY141" s="7"/>
      <c r="DZ141" s="7"/>
      <c r="EA141" s="7"/>
      <c r="EB141" s="7"/>
      <c r="EC141" s="7"/>
    </row>
    <row r="142" spans="1:133">
      <c r="C142" s="57" t="str">
        <f t="shared" ref="C142:E157" si="406">C115</f>
        <v>///</v>
      </c>
      <c r="D142" s="57">
        <f t="shared" ref="D142:D161" si="407">+D115</f>
        <v>0</v>
      </c>
      <c r="E142" s="62">
        <f t="shared" si="406"/>
        <v>0</v>
      </c>
      <c r="F142" s="223"/>
      <c r="G142" s="223">
        <f t="shared" si="358"/>
        <v>0</v>
      </c>
      <c r="H142" s="223">
        <f t="shared" si="358"/>
        <v>0</v>
      </c>
      <c r="I142" s="223">
        <f t="shared" si="358"/>
        <v>0</v>
      </c>
      <c r="J142" s="223">
        <f t="shared" si="358"/>
        <v>0</v>
      </c>
      <c r="K142" s="223">
        <f t="shared" si="358"/>
        <v>0</v>
      </c>
      <c r="L142" s="223">
        <f t="shared" si="358"/>
        <v>0</v>
      </c>
      <c r="M142" s="223">
        <f t="shared" si="358"/>
        <v>0</v>
      </c>
      <c r="N142" s="223">
        <f t="shared" si="358"/>
        <v>0</v>
      </c>
      <c r="O142" s="223">
        <f t="shared" si="358"/>
        <v>0</v>
      </c>
      <c r="P142" s="223">
        <f t="shared" si="358"/>
        <v>0</v>
      </c>
      <c r="Q142" s="223">
        <f t="shared" si="358"/>
        <v>0</v>
      </c>
      <c r="R142" s="223"/>
      <c r="S142" s="223"/>
      <c r="T142" s="223">
        <f t="shared" si="360"/>
        <v>0</v>
      </c>
      <c r="U142" s="223">
        <f t="shared" si="360"/>
        <v>0</v>
      </c>
      <c r="V142" s="223">
        <f t="shared" si="360"/>
        <v>0</v>
      </c>
      <c r="W142" s="223">
        <f t="shared" si="360"/>
        <v>0</v>
      </c>
      <c r="X142" s="223">
        <f t="shared" si="360"/>
        <v>0</v>
      </c>
      <c r="Y142" s="223">
        <f t="shared" si="360"/>
        <v>0</v>
      </c>
      <c r="Z142" s="223">
        <f t="shared" si="360"/>
        <v>0</v>
      </c>
      <c r="AA142" s="223">
        <f t="shared" si="360"/>
        <v>0</v>
      </c>
      <c r="AB142" s="223">
        <f t="shared" si="360"/>
        <v>0</v>
      </c>
      <c r="AC142" s="223">
        <f t="shared" si="360"/>
        <v>0</v>
      </c>
      <c r="AD142" s="223">
        <f t="shared" si="360"/>
        <v>0</v>
      </c>
      <c r="AE142" s="223"/>
      <c r="AF142" s="223">
        <f t="shared" si="361"/>
        <v>0</v>
      </c>
      <c r="AG142" s="223">
        <f t="shared" si="362"/>
        <v>0</v>
      </c>
      <c r="AH142" s="223">
        <f t="shared" si="362"/>
        <v>0</v>
      </c>
      <c r="AI142" s="223">
        <f t="shared" si="362"/>
        <v>0</v>
      </c>
      <c r="AJ142" s="223">
        <f t="shared" si="362"/>
        <v>0</v>
      </c>
      <c r="AK142" s="223">
        <f t="shared" si="362"/>
        <v>0</v>
      </c>
      <c r="AL142" s="223">
        <f t="shared" si="362"/>
        <v>0</v>
      </c>
      <c r="AM142" s="223">
        <f t="shared" si="362"/>
        <v>0</v>
      </c>
      <c r="AN142" s="223">
        <f t="shared" si="362"/>
        <v>0</v>
      </c>
      <c r="AO142" s="223">
        <f t="shared" si="362"/>
        <v>0</v>
      </c>
      <c r="AP142" s="223">
        <f t="shared" si="362"/>
        <v>0</v>
      </c>
      <c r="AQ142" s="223">
        <f t="shared" si="362"/>
        <v>0</v>
      </c>
      <c r="AR142" s="223"/>
      <c r="AS142" s="223">
        <f t="shared" si="363"/>
        <v>0</v>
      </c>
      <c r="AT142" s="223">
        <f t="shared" si="364"/>
        <v>0</v>
      </c>
      <c r="AU142" s="223">
        <f t="shared" si="364"/>
        <v>0</v>
      </c>
      <c r="AV142" s="223">
        <f t="shared" si="364"/>
        <v>0</v>
      </c>
      <c r="AW142" s="223">
        <f t="shared" si="364"/>
        <v>0</v>
      </c>
      <c r="AX142" s="223">
        <f t="shared" si="364"/>
        <v>0</v>
      </c>
      <c r="AY142" s="223">
        <f t="shared" si="364"/>
        <v>0</v>
      </c>
      <c r="AZ142" s="223">
        <f t="shared" si="364"/>
        <v>0</v>
      </c>
      <c r="BA142" s="223">
        <f t="shared" si="364"/>
        <v>0</v>
      </c>
      <c r="BB142" s="223">
        <f t="shared" si="364"/>
        <v>0</v>
      </c>
      <c r="BC142" s="223">
        <f t="shared" si="364"/>
        <v>0</v>
      </c>
      <c r="BD142" s="223">
        <f t="shared" si="364"/>
        <v>0</v>
      </c>
      <c r="BE142" s="223"/>
      <c r="BF142" s="223">
        <f t="shared" si="365"/>
        <v>0</v>
      </c>
      <c r="BG142" s="223">
        <f t="shared" si="366"/>
        <v>0</v>
      </c>
      <c r="BH142" s="223">
        <f t="shared" si="366"/>
        <v>0</v>
      </c>
      <c r="BI142" s="223">
        <f t="shared" si="366"/>
        <v>0</v>
      </c>
      <c r="BJ142" s="223">
        <f t="shared" si="366"/>
        <v>0</v>
      </c>
      <c r="BK142" s="223">
        <f t="shared" si="366"/>
        <v>0</v>
      </c>
      <c r="BL142" s="223">
        <f t="shared" si="366"/>
        <v>0</v>
      </c>
      <c r="BM142" s="223">
        <f t="shared" si="366"/>
        <v>0</v>
      </c>
      <c r="BN142" s="223">
        <f t="shared" si="366"/>
        <v>0</v>
      </c>
      <c r="BO142" s="223">
        <f t="shared" si="366"/>
        <v>0</v>
      </c>
      <c r="BP142" s="223">
        <f t="shared" si="366"/>
        <v>0</v>
      </c>
      <c r="BQ142" s="223">
        <f t="shared" si="366"/>
        <v>0</v>
      </c>
      <c r="BR142" s="223"/>
      <c r="BS142" s="223">
        <f t="shared" si="367"/>
        <v>0</v>
      </c>
      <c r="BT142" s="223">
        <f t="shared" si="368"/>
        <v>0</v>
      </c>
      <c r="BU142" s="223">
        <f t="shared" si="368"/>
        <v>0</v>
      </c>
      <c r="BV142" s="223">
        <f t="shared" si="368"/>
        <v>0</v>
      </c>
      <c r="BW142" s="223">
        <f t="shared" si="368"/>
        <v>0</v>
      </c>
      <c r="BX142" s="223">
        <f t="shared" si="368"/>
        <v>0</v>
      </c>
      <c r="BY142" s="223">
        <f t="shared" si="368"/>
        <v>0</v>
      </c>
      <c r="BZ142" s="223">
        <f t="shared" si="368"/>
        <v>0</v>
      </c>
      <c r="CA142" s="223">
        <f t="shared" si="368"/>
        <v>0</v>
      </c>
      <c r="CB142" s="223">
        <f t="shared" si="368"/>
        <v>0</v>
      </c>
      <c r="CC142" s="223">
        <f t="shared" si="368"/>
        <v>0</v>
      </c>
      <c r="CD142" s="223">
        <f t="shared" si="368"/>
        <v>0</v>
      </c>
      <c r="CE142" s="389"/>
      <c r="CF142" s="223">
        <f t="shared" si="369"/>
        <v>0</v>
      </c>
      <c r="CG142" s="223">
        <f t="shared" si="370"/>
        <v>0</v>
      </c>
      <c r="CH142" s="223">
        <f t="shared" si="371"/>
        <v>0</v>
      </c>
      <c r="CI142" s="223">
        <f t="shared" si="372"/>
        <v>0</v>
      </c>
      <c r="CJ142" s="223">
        <f t="shared" si="373"/>
        <v>0</v>
      </c>
      <c r="CK142" s="223">
        <f t="shared" si="374"/>
        <v>0</v>
      </c>
      <c r="CL142" s="223">
        <f t="shared" si="375"/>
        <v>0</v>
      </c>
      <c r="CM142" s="223">
        <f t="shared" si="376"/>
        <v>0</v>
      </c>
      <c r="CN142" s="223">
        <f t="shared" si="377"/>
        <v>0</v>
      </c>
      <c r="CO142" s="223">
        <f t="shared" si="378"/>
        <v>0</v>
      </c>
      <c r="CP142" s="223">
        <f t="shared" si="379"/>
        <v>0</v>
      </c>
      <c r="CQ142" s="223">
        <f t="shared" si="380"/>
        <v>0</v>
      </c>
      <c r="CR142" s="389"/>
      <c r="CS142" s="223">
        <f t="shared" si="381"/>
        <v>0</v>
      </c>
      <c r="CT142" s="223">
        <f t="shared" si="382"/>
        <v>0</v>
      </c>
      <c r="CU142" s="223">
        <f t="shared" si="383"/>
        <v>0</v>
      </c>
      <c r="CV142" s="223">
        <f t="shared" si="384"/>
        <v>0</v>
      </c>
      <c r="CW142" s="223">
        <f t="shared" si="385"/>
        <v>0</v>
      </c>
      <c r="CX142" s="223">
        <f t="shared" si="386"/>
        <v>0</v>
      </c>
      <c r="CY142" s="223">
        <f t="shared" si="387"/>
        <v>0</v>
      </c>
      <c r="CZ142" s="223">
        <f t="shared" si="388"/>
        <v>0</v>
      </c>
      <c r="DA142" s="223">
        <f t="shared" si="389"/>
        <v>0</v>
      </c>
      <c r="DB142" s="223">
        <f t="shared" si="390"/>
        <v>0</v>
      </c>
      <c r="DC142" s="223">
        <f t="shared" si="391"/>
        <v>0</v>
      </c>
      <c r="DD142" s="223">
        <f t="shared" si="392"/>
        <v>0</v>
      </c>
      <c r="DE142" s="389"/>
      <c r="DF142" s="223">
        <f t="shared" si="393"/>
        <v>0</v>
      </c>
      <c r="DG142" s="223">
        <f t="shared" si="394"/>
        <v>0</v>
      </c>
      <c r="DH142" s="223">
        <f t="shared" si="395"/>
        <v>0</v>
      </c>
      <c r="DI142" s="223">
        <f t="shared" si="396"/>
        <v>0</v>
      </c>
      <c r="DJ142" s="223">
        <f t="shared" si="397"/>
        <v>0</v>
      </c>
      <c r="DK142" s="223">
        <f t="shared" si="398"/>
        <v>0</v>
      </c>
      <c r="DL142" s="223">
        <f t="shared" si="399"/>
        <v>0</v>
      </c>
      <c r="DM142" s="223">
        <f t="shared" si="400"/>
        <v>0</v>
      </c>
      <c r="DN142" s="223">
        <f t="shared" si="401"/>
        <v>0</v>
      </c>
      <c r="DO142" s="223">
        <f t="shared" si="402"/>
        <v>0</v>
      </c>
      <c r="DP142" s="223">
        <f t="shared" si="403"/>
        <v>0</v>
      </c>
      <c r="DQ142" s="223">
        <f t="shared" si="404"/>
        <v>0</v>
      </c>
      <c r="DR142" s="389"/>
      <c r="DS142" s="31">
        <f t="shared" si="405"/>
        <v>0</v>
      </c>
      <c r="DT142" s="390"/>
      <c r="DU142" s="9"/>
      <c r="DV142" s="8"/>
      <c r="DW142" s="7"/>
      <c r="DX142" s="7"/>
      <c r="DY142" s="7"/>
      <c r="DZ142" s="7"/>
      <c r="EA142" s="7"/>
      <c r="EB142" s="7"/>
      <c r="EC142" s="7"/>
    </row>
    <row r="143" spans="1:133">
      <c r="A143" s="1">
        <v>5</v>
      </c>
      <c r="B143" s="1">
        <v>1</v>
      </c>
      <c r="C143" s="57" t="str">
        <f t="shared" si="406"/>
        <v>///</v>
      </c>
      <c r="D143" s="57">
        <f t="shared" si="407"/>
        <v>0</v>
      </c>
      <c r="E143" s="62">
        <f t="shared" si="406"/>
        <v>0</v>
      </c>
      <c r="F143" s="223"/>
      <c r="G143" s="223">
        <f t="shared" si="358"/>
        <v>0</v>
      </c>
      <c r="H143" s="223">
        <f t="shared" si="358"/>
        <v>0</v>
      </c>
      <c r="I143" s="223">
        <f t="shared" si="358"/>
        <v>0</v>
      </c>
      <c r="J143" s="223">
        <f t="shared" si="358"/>
        <v>0</v>
      </c>
      <c r="K143" s="223">
        <f t="shared" si="358"/>
        <v>0</v>
      </c>
      <c r="L143" s="223">
        <f t="shared" si="358"/>
        <v>0</v>
      </c>
      <c r="M143" s="223">
        <f t="shared" si="358"/>
        <v>0</v>
      </c>
      <c r="N143" s="223">
        <f t="shared" si="358"/>
        <v>0</v>
      </c>
      <c r="O143" s="223">
        <f t="shared" si="358"/>
        <v>0</v>
      </c>
      <c r="P143" s="223">
        <f t="shared" si="358"/>
        <v>0</v>
      </c>
      <c r="Q143" s="223">
        <f t="shared" si="358"/>
        <v>0</v>
      </c>
      <c r="R143" s="223"/>
      <c r="S143" s="223">
        <f>+Q143</f>
        <v>0</v>
      </c>
      <c r="T143" s="223">
        <f t="shared" si="360"/>
        <v>0</v>
      </c>
      <c r="U143" s="223">
        <f t="shared" si="360"/>
        <v>0</v>
      </c>
      <c r="V143" s="223">
        <f t="shared" si="360"/>
        <v>0</v>
      </c>
      <c r="W143" s="223">
        <f t="shared" si="360"/>
        <v>0</v>
      </c>
      <c r="X143" s="223">
        <f t="shared" si="360"/>
        <v>0</v>
      </c>
      <c r="Y143" s="223">
        <f t="shared" si="360"/>
        <v>0</v>
      </c>
      <c r="Z143" s="223">
        <f t="shared" si="360"/>
        <v>0</v>
      </c>
      <c r="AA143" s="223">
        <f t="shared" si="360"/>
        <v>0</v>
      </c>
      <c r="AB143" s="223">
        <f t="shared" si="360"/>
        <v>0</v>
      </c>
      <c r="AC143" s="223">
        <f t="shared" si="360"/>
        <v>0</v>
      </c>
      <c r="AD143" s="223">
        <f t="shared" si="360"/>
        <v>0</v>
      </c>
      <c r="AE143" s="223"/>
      <c r="AF143" s="223">
        <f t="shared" si="361"/>
        <v>0</v>
      </c>
      <c r="AG143" s="223">
        <f t="shared" si="362"/>
        <v>0</v>
      </c>
      <c r="AH143" s="223">
        <f t="shared" si="362"/>
        <v>0</v>
      </c>
      <c r="AI143" s="223">
        <f t="shared" si="362"/>
        <v>0</v>
      </c>
      <c r="AJ143" s="223">
        <f t="shared" si="362"/>
        <v>0</v>
      </c>
      <c r="AK143" s="223">
        <f t="shared" si="362"/>
        <v>0</v>
      </c>
      <c r="AL143" s="223">
        <f t="shared" si="362"/>
        <v>0</v>
      </c>
      <c r="AM143" s="223">
        <f t="shared" si="362"/>
        <v>0</v>
      </c>
      <c r="AN143" s="223">
        <f t="shared" si="362"/>
        <v>0</v>
      </c>
      <c r="AO143" s="223">
        <f t="shared" si="362"/>
        <v>0</v>
      </c>
      <c r="AP143" s="223">
        <f t="shared" si="362"/>
        <v>0</v>
      </c>
      <c r="AQ143" s="223">
        <f t="shared" si="362"/>
        <v>0</v>
      </c>
      <c r="AR143" s="223"/>
      <c r="AS143" s="223">
        <f t="shared" si="363"/>
        <v>0</v>
      </c>
      <c r="AT143" s="223">
        <f t="shared" si="364"/>
        <v>0</v>
      </c>
      <c r="AU143" s="223">
        <f t="shared" si="364"/>
        <v>0</v>
      </c>
      <c r="AV143" s="223">
        <f t="shared" si="364"/>
        <v>0</v>
      </c>
      <c r="AW143" s="223">
        <f t="shared" si="364"/>
        <v>0</v>
      </c>
      <c r="AX143" s="223">
        <f t="shared" si="364"/>
        <v>0</v>
      </c>
      <c r="AY143" s="223">
        <f t="shared" si="364"/>
        <v>0</v>
      </c>
      <c r="AZ143" s="223">
        <f t="shared" si="364"/>
        <v>0</v>
      </c>
      <c r="BA143" s="223">
        <f t="shared" si="364"/>
        <v>0</v>
      </c>
      <c r="BB143" s="223">
        <f t="shared" si="364"/>
        <v>0</v>
      </c>
      <c r="BC143" s="223">
        <f t="shared" si="364"/>
        <v>0</v>
      </c>
      <c r="BD143" s="223">
        <f t="shared" si="364"/>
        <v>0</v>
      </c>
      <c r="BE143" s="223"/>
      <c r="BF143" s="223">
        <f t="shared" si="365"/>
        <v>0</v>
      </c>
      <c r="BG143" s="223">
        <f t="shared" si="366"/>
        <v>0</v>
      </c>
      <c r="BH143" s="223">
        <f t="shared" si="366"/>
        <v>0</v>
      </c>
      <c r="BI143" s="223">
        <f t="shared" si="366"/>
        <v>0</v>
      </c>
      <c r="BJ143" s="223">
        <f t="shared" si="366"/>
        <v>0</v>
      </c>
      <c r="BK143" s="223">
        <f t="shared" si="366"/>
        <v>0</v>
      </c>
      <c r="BL143" s="223">
        <f t="shared" si="366"/>
        <v>0</v>
      </c>
      <c r="BM143" s="223">
        <f t="shared" si="366"/>
        <v>0</v>
      </c>
      <c r="BN143" s="223">
        <f t="shared" si="366"/>
        <v>0</v>
      </c>
      <c r="BO143" s="223">
        <f t="shared" si="366"/>
        <v>0</v>
      </c>
      <c r="BP143" s="223">
        <f t="shared" si="366"/>
        <v>0</v>
      </c>
      <c r="BQ143" s="223">
        <f t="shared" si="366"/>
        <v>0</v>
      </c>
      <c r="BR143" s="223"/>
      <c r="BS143" s="223">
        <f t="shared" si="367"/>
        <v>0</v>
      </c>
      <c r="BT143" s="223">
        <f t="shared" si="368"/>
        <v>0</v>
      </c>
      <c r="BU143" s="223">
        <f t="shared" si="368"/>
        <v>0</v>
      </c>
      <c r="BV143" s="223">
        <f t="shared" si="368"/>
        <v>0</v>
      </c>
      <c r="BW143" s="223">
        <f t="shared" si="368"/>
        <v>0</v>
      </c>
      <c r="BX143" s="223">
        <f t="shared" si="368"/>
        <v>0</v>
      </c>
      <c r="BY143" s="223">
        <f t="shared" si="368"/>
        <v>0</v>
      </c>
      <c r="BZ143" s="223">
        <f t="shared" si="368"/>
        <v>0</v>
      </c>
      <c r="CA143" s="223">
        <f t="shared" si="368"/>
        <v>0</v>
      </c>
      <c r="CB143" s="223">
        <f t="shared" si="368"/>
        <v>0</v>
      </c>
      <c r="CC143" s="223">
        <f t="shared" si="368"/>
        <v>0</v>
      </c>
      <c r="CD143" s="223">
        <f t="shared" si="368"/>
        <v>0</v>
      </c>
      <c r="CE143" s="389"/>
      <c r="CF143" s="223">
        <f t="shared" si="369"/>
        <v>0</v>
      </c>
      <c r="CG143" s="223">
        <f t="shared" si="370"/>
        <v>0</v>
      </c>
      <c r="CH143" s="223">
        <f t="shared" si="371"/>
        <v>0</v>
      </c>
      <c r="CI143" s="223">
        <f t="shared" si="372"/>
        <v>0</v>
      </c>
      <c r="CJ143" s="223">
        <f t="shared" si="373"/>
        <v>0</v>
      </c>
      <c r="CK143" s="223">
        <f t="shared" si="374"/>
        <v>0</v>
      </c>
      <c r="CL143" s="223">
        <f t="shared" si="375"/>
        <v>0</v>
      </c>
      <c r="CM143" s="223">
        <f t="shared" si="376"/>
        <v>0</v>
      </c>
      <c r="CN143" s="223">
        <f t="shared" si="377"/>
        <v>0</v>
      </c>
      <c r="CO143" s="223">
        <f t="shared" si="378"/>
        <v>0</v>
      </c>
      <c r="CP143" s="223">
        <f t="shared" si="379"/>
        <v>0</v>
      </c>
      <c r="CQ143" s="223">
        <f t="shared" si="380"/>
        <v>0</v>
      </c>
      <c r="CR143" s="389"/>
      <c r="CS143" s="223">
        <f t="shared" si="381"/>
        <v>0</v>
      </c>
      <c r="CT143" s="223">
        <f t="shared" si="382"/>
        <v>0</v>
      </c>
      <c r="CU143" s="223">
        <f t="shared" si="383"/>
        <v>0</v>
      </c>
      <c r="CV143" s="223">
        <f t="shared" si="384"/>
        <v>0</v>
      </c>
      <c r="CW143" s="223">
        <f t="shared" si="385"/>
        <v>0</v>
      </c>
      <c r="CX143" s="223">
        <f t="shared" si="386"/>
        <v>0</v>
      </c>
      <c r="CY143" s="223">
        <f t="shared" si="387"/>
        <v>0</v>
      </c>
      <c r="CZ143" s="223">
        <f t="shared" si="388"/>
        <v>0</v>
      </c>
      <c r="DA143" s="223">
        <f t="shared" si="389"/>
        <v>0</v>
      </c>
      <c r="DB143" s="223">
        <f t="shared" si="390"/>
        <v>0</v>
      </c>
      <c r="DC143" s="223">
        <f t="shared" si="391"/>
        <v>0</v>
      </c>
      <c r="DD143" s="223">
        <f t="shared" si="392"/>
        <v>0</v>
      </c>
      <c r="DE143" s="389"/>
      <c r="DF143" s="223">
        <f t="shared" si="393"/>
        <v>0</v>
      </c>
      <c r="DG143" s="223">
        <f t="shared" si="394"/>
        <v>0</v>
      </c>
      <c r="DH143" s="223">
        <f t="shared" si="395"/>
        <v>0</v>
      </c>
      <c r="DI143" s="223">
        <f t="shared" si="396"/>
        <v>0</v>
      </c>
      <c r="DJ143" s="223">
        <f t="shared" si="397"/>
        <v>0</v>
      </c>
      <c r="DK143" s="223">
        <f t="shared" si="398"/>
        <v>0</v>
      </c>
      <c r="DL143" s="223">
        <f t="shared" si="399"/>
        <v>0</v>
      </c>
      <c r="DM143" s="223">
        <f t="shared" si="400"/>
        <v>0</v>
      </c>
      <c r="DN143" s="223">
        <f t="shared" si="401"/>
        <v>0</v>
      </c>
      <c r="DO143" s="223">
        <f t="shared" si="402"/>
        <v>0</v>
      </c>
      <c r="DP143" s="223">
        <f t="shared" si="403"/>
        <v>0</v>
      </c>
      <c r="DQ143" s="223">
        <f t="shared" si="404"/>
        <v>0</v>
      </c>
      <c r="DR143" s="389"/>
      <c r="DS143" s="31">
        <f t="shared" si="405"/>
        <v>0</v>
      </c>
      <c r="DT143" s="390"/>
      <c r="DU143" s="9"/>
      <c r="DV143" s="8"/>
      <c r="DW143" s="7"/>
      <c r="DX143" s="7"/>
      <c r="DY143" s="7"/>
      <c r="DZ143" s="7"/>
      <c r="EA143" s="7"/>
      <c r="EB143" s="7"/>
      <c r="EC143" s="7"/>
    </row>
    <row r="144" spans="1:133">
      <c r="C144" s="57" t="str">
        <f t="shared" si="406"/>
        <v>///</v>
      </c>
      <c r="D144" s="57">
        <f t="shared" si="407"/>
        <v>0</v>
      </c>
      <c r="E144" s="62">
        <f t="shared" si="406"/>
        <v>0</v>
      </c>
      <c r="F144" s="223"/>
      <c r="G144" s="223">
        <f t="shared" si="358"/>
        <v>0</v>
      </c>
      <c r="H144" s="223">
        <f t="shared" si="358"/>
        <v>0</v>
      </c>
      <c r="I144" s="223">
        <f t="shared" si="358"/>
        <v>0</v>
      </c>
      <c r="J144" s="223">
        <f t="shared" si="358"/>
        <v>0</v>
      </c>
      <c r="K144" s="223">
        <f t="shared" si="358"/>
        <v>0</v>
      </c>
      <c r="L144" s="223">
        <f t="shared" si="358"/>
        <v>0</v>
      </c>
      <c r="M144" s="223">
        <f t="shared" si="358"/>
        <v>0</v>
      </c>
      <c r="N144" s="223">
        <f t="shared" si="358"/>
        <v>0</v>
      </c>
      <c r="O144" s="223">
        <f t="shared" si="358"/>
        <v>0</v>
      </c>
      <c r="P144" s="223">
        <f t="shared" si="358"/>
        <v>0</v>
      </c>
      <c r="Q144" s="223">
        <f t="shared" si="358"/>
        <v>0</v>
      </c>
      <c r="R144" s="223"/>
      <c r="S144" s="223"/>
      <c r="T144" s="223">
        <f t="shared" si="360"/>
        <v>0</v>
      </c>
      <c r="U144" s="223">
        <f t="shared" si="360"/>
        <v>0</v>
      </c>
      <c r="V144" s="223">
        <f t="shared" si="360"/>
        <v>0</v>
      </c>
      <c r="W144" s="223">
        <f t="shared" si="360"/>
        <v>0</v>
      </c>
      <c r="X144" s="223">
        <f t="shared" si="360"/>
        <v>0</v>
      </c>
      <c r="Y144" s="223">
        <f t="shared" si="360"/>
        <v>0</v>
      </c>
      <c r="Z144" s="223">
        <f t="shared" si="360"/>
        <v>0</v>
      </c>
      <c r="AA144" s="223">
        <f t="shared" si="360"/>
        <v>0</v>
      </c>
      <c r="AB144" s="223">
        <f t="shared" si="360"/>
        <v>0</v>
      </c>
      <c r="AC144" s="223">
        <f t="shared" si="360"/>
        <v>0</v>
      </c>
      <c r="AD144" s="223">
        <f t="shared" si="360"/>
        <v>0</v>
      </c>
      <c r="AE144" s="223"/>
      <c r="AF144" s="223">
        <f t="shared" si="361"/>
        <v>0</v>
      </c>
      <c r="AG144" s="223">
        <f t="shared" si="362"/>
        <v>0</v>
      </c>
      <c r="AH144" s="223">
        <f t="shared" si="362"/>
        <v>0</v>
      </c>
      <c r="AI144" s="223">
        <f t="shared" si="362"/>
        <v>0</v>
      </c>
      <c r="AJ144" s="223">
        <f t="shared" si="362"/>
        <v>0</v>
      </c>
      <c r="AK144" s="223">
        <f t="shared" si="362"/>
        <v>0</v>
      </c>
      <c r="AL144" s="223">
        <f t="shared" si="362"/>
        <v>0</v>
      </c>
      <c r="AM144" s="223">
        <f t="shared" si="362"/>
        <v>0</v>
      </c>
      <c r="AN144" s="223">
        <f t="shared" si="362"/>
        <v>0</v>
      </c>
      <c r="AO144" s="223">
        <f t="shared" si="362"/>
        <v>0</v>
      </c>
      <c r="AP144" s="223">
        <f t="shared" si="362"/>
        <v>0</v>
      </c>
      <c r="AQ144" s="223">
        <f t="shared" si="362"/>
        <v>0</v>
      </c>
      <c r="AR144" s="223"/>
      <c r="AS144" s="223">
        <f t="shared" si="363"/>
        <v>0</v>
      </c>
      <c r="AT144" s="223">
        <f t="shared" si="364"/>
        <v>0</v>
      </c>
      <c r="AU144" s="223">
        <f t="shared" si="364"/>
        <v>0</v>
      </c>
      <c r="AV144" s="223">
        <f t="shared" si="364"/>
        <v>0</v>
      </c>
      <c r="AW144" s="223">
        <f t="shared" si="364"/>
        <v>0</v>
      </c>
      <c r="AX144" s="223">
        <f t="shared" si="364"/>
        <v>0</v>
      </c>
      <c r="AY144" s="223">
        <f t="shared" si="364"/>
        <v>0</v>
      </c>
      <c r="AZ144" s="223">
        <f t="shared" si="364"/>
        <v>0</v>
      </c>
      <c r="BA144" s="223">
        <f t="shared" si="364"/>
        <v>0</v>
      </c>
      <c r="BB144" s="223">
        <f t="shared" si="364"/>
        <v>0</v>
      </c>
      <c r="BC144" s="223">
        <f t="shared" si="364"/>
        <v>0</v>
      </c>
      <c r="BD144" s="223">
        <f t="shared" si="364"/>
        <v>0</v>
      </c>
      <c r="BE144" s="223"/>
      <c r="BF144" s="223">
        <f t="shared" si="365"/>
        <v>0</v>
      </c>
      <c r="BG144" s="223">
        <f t="shared" si="366"/>
        <v>0</v>
      </c>
      <c r="BH144" s="223">
        <f t="shared" si="366"/>
        <v>0</v>
      </c>
      <c r="BI144" s="223">
        <f t="shared" si="366"/>
        <v>0</v>
      </c>
      <c r="BJ144" s="223">
        <f t="shared" si="366"/>
        <v>0</v>
      </c>
      <c r="BK144" s="223">
        <f t="shared" si="366"/>
        <v>0</v>
      </c>
      <c r="BL144" s="223">
        <f t="shared" si="366"/>
        <v>0</v>
      </c>
      <c r="BM144" s="223">
        <f t="shared" si="366"/>
        <v>0</v>
      </c>
      <c r="BN144" s="223">
        <f t="shared" si="366"/>
        <v>0</v>
      </c>
      <c r="BO144" s="223">
        <f t="shared" si="366"/>
        <v>0</v>
      </c>
      <c r="BP144" s="223">
        <f t="shared" si="366"/>
        <v>0</v>
      </c>
      <c r="BQ144" s="223">
        <f t="shared" si="366"/>
        <v>0</v>
      </c>
      <c r="BR144" s="223"/>
      <c r="BS144" s="223">
        <f t="shared" si="367"/>
        <v>0</v>
      </c>
      <c r="BT144" s="223">
        <f t="shared" si="368"/>
        <v>0</v>
      </c>
      <c r="BU144" s="223">
        <f t="shared" si="368"/>
        <v>0</v>
      </c>
      <c r="BV144" s="223">
        <f t="shared" si="368"/>
        <v>0</v>
      </c>
      <c r="BW144" s="223">
        <f t="shared" si="368"/>
        <v>0</v>
      </c>
      <c r="BX144" s="223">
        <f t="shared" si="368"/>
        <v>0</v>
      </c>
      <c r="BY144" s="223">
        <f t="shared" si="368"/>
        <v>0</v>
      </c>
      <c r="BZ144" s="223">
        <f t="shared" si="368"/>
        <v>0</v>
      </c>
      <c r="CA144" s="223">
        <f t="shared" si="368"/>
        <v>0</v>
      </c>
      <c r="CB144" s="223">
        <f t="shared" si="368"/>
        <v>0</v>
      </c>
      <c r="CC144" s="223">
        <f t="shared" si="368"/>
        <v>0</v>
      </c>
      <c r="CD144" s="223">
        <f t="shared" si="368"/>
        <v>0</v>
      </c>
      <c r="CE144" s="389"/>
      <c r="CF144" s="223">
        <f t="shared" si="369"/>
        <v>0</v>
      </c>
      <c r="CG144" s="223">
        <f t="shared" si="370"/>
        <v>0</v>
      </c>
      <c r="CH144" s="223">
        <f t="shared" si="371"/>
        <v>0</v>
      </c>
      <c r="CI144" s="223">
        <f t="shared" si="372"/>
        <v>0</v>
      </c>
      <c r="CJ144" s="223">
        <f t="shared" si="373"/>
        <v>0</v>
      </c>
      <c r="CK144" s="223">
        <f t="shared" si="374"/>
        <v>0</v>
      </c>
      <c r="CL144" s="223">
        <f t="shared" si="375"/>
        <v>0</v>
      </c>
      <c r="CM144" s="223">
        <f t="shared" si="376"/>
        <v>0</v>
      </c>
      <c r="CN144" s="223">
        <f t="shared" si="377"/>
        <v>0</v>
      </c>
      <c r="CO144" s="223">
        <f t="shared" si="378"/>
        <v>0</v>
      </c>
      <c r="CP144" s="223">
        <f t="shared" si="379"/>
        <v>0</v>
      </c>
      <c r="CQ144" s="223">
        <f t="shared" si="380"/>
        <v>0</v>
      </c>
      <c r="CR144" s="389"/>
      <c r="CS144" s="223">
        <f t="shared" si="381"/>
        <v>0</v>
      </c>
      <c r="CT144" s="223">
        <f t="shared" si="382"/>
        <v>0</v>
      </c>
      <c r="CU144" s="223">
        <f t="shared" si="383"/>
        <v>0</v>
      </c>
      <c r="CV144" s="223">
        <f t="shared" si="384"/>
        <v>0</v>
      </c>
      <c r="CW144" s="223">
        <f t="shared" si="385"/>
        <v>0</v>
      </c>
      <c r="CX144" s="223">
        <f t="shared" si="386"/>
        <v>0</v>
      </c>
      <c r="CY144" s="223">
        <f t="shared" si="387"/>
        <v>0</v>
      </c>
      <c r="CZ144" s="223">
        <f t="shared" si="388"/>
        <v>0</v>
      </c>
      <c r="DA144" s="223">
        <f t="shared" si="389"/>
        <v>0</v>
      </c>
      <c r="DB144" s="223">
        <f t="shared" si="390"/>
        <v>0</v>
      </c>
      <c r="DC144" s="223">
        <f t="shared" si="391"/>
        <v>0</v>
      </c>
      <c r="DD144" s="223">
        <f t="shared" si="392"/>
        <v>0</v>
      </c>
      <c r="DE144" s="389"/>
      <c r="DF144" s="223">
        <f t="shared" si="393"/>
        <v>0</v>
      </c>
      <c r="DG144" s="223">
        <f t="shared" si="394"/>
        <v>0</v>
      </c>
      <c r="DH144" s="223">
        <f t="shared" si="395"/>
        <v>0</v>
      </c>
      <c r="DI144" s="223">
        <f t="shared" si="396"/>
        <v>0</v>
      </c>
      <c r="DJ144" s="223">
        <f t="shared" si="397"/>
        <v>0</v>
      </c>
      <c r="DK144" s="223">
        <f t="shared" si="398"/>
        <v>0</v>
      </c>
      <c r="DL144" s="223">
        <f t="shared" si="399"/>
        <v>0</v>
      </c>
      <c r="DM144" s="223">
        <f t="shared" si="400"/>
        <v>0</v>
      </c>
      <c r="DN144" s="223">
        <f t="shared" si="401"/>
        <v>0</v>
      </c>
      <c r="DO144" s="223">
        <f t="shared" si="402"/>
        <v>0</v>
      </c>
      <c r="DP144" s="223">
        <f t="shared" si="403"/>
        <v>0</v>
      </c>
      <c r="DQ144" s="223">
        <f t="shared" si="404"/>
        <v>0</v>
      </c>
      <c r="DR144" s="389"/>
      <c r="DS144" s="31">
        <f t="shared" si="405"/>
        <v>0</v>
      </c>
      <c r="DT144" s="390"/>
      <c r="DU144" s="9"/>
      <c r="DV144" s="8"/>
      <c r="DW144" s="7"/>
      <c r="DX144" s="7"/>
      <c r="DY144" s="7"/>
      <c r="DZ144" s="7"/>
      <c r="EA144" s="7"/>
      <c r="EB144" s="7"/>
      <c r="EC144" s="7"/>
    </row>
    <row r="145" spans="1:133">
      <c r="A145" s="1">
        <v>5</v>
      </c>
      <c r="B145" s="1">
        <v>2</v>
      </c>
      <c r="C145" s="57" t="str">
        <f t="shared" si="406"/>
        <v>///</v>
      </c>
      <c r="D145" s="57">
        <f t="shared" si="407"/>
        <v>0</v>
      </c>
      <c r="E145" s="62">
        <f t="shared" si="406"/>
        <v>0</v>
      </c>
      <c r="F145" s="223"/>
      <c r="G145" s="223">
        <f t="shared" si="358"/>
        <v>0</v>
      </c>
      <c r="H145" s="223">
        <f t="shared" si="358"/>
        <v>0</v>
      </c>
      <c r="I145" s="223">
        <f t="shared" si="358"/>
        <v>0</v>
      </c>
      <c r="J145" s="223">
        <f t="shared" si="358"/>
        <v>0</v>
      </c>
      <c r="K145" s="223">
        <f t="shared" si="358"/>
        <v>0</v>
      </c>
      <c r="L145" s="223">
        <f t="shared" si="358"/>
        <v>0</v>
      </c>
      <c r="M145" s="223">
        <f t="shared" si="358"/>
        <v>0</v>
      </c>
      <c r="N145" s="223">
        <f t="shared" si="358"/>
        <v>0</v>
      </c>
      <c r="O145" s="223">
        <f t="shared" si="358"/>
        <v>0</v>
      </c>
      <c r="P145" s="223">
        <f t="shared" si="358"/>
        <v>0</v>
      </c>
      <c r="Q145" s="223">
        <f t="shared" si="358"/>
        <v>0</v>
      </c>
      <c r="R145" s="223"/>
      <c r="S145" s="223"/>
      <c r="T145" s="223">
        <f t="shared" si="360"/>
        <v>0</v>
      </c>
      <c r="U145" s="223">
        <f t="shared" si="360"/>
        <v>0</v>
      </c>
      <c r="V145" s="223">
        <f t="shared" si="360"/>
        <v>0</v>
      </c>
      <c r="W145" s="223">
        <f t="shared" si="360"/>
        <v>0</v>
      </c>
      <c r="X145" s="223">
        <f t="shared" si="360"/>
        <v>0</v>
      </c>
      <c r="Y145" s="223">
        <f t="shared" si="360"/>
        <v>0</v>
      </c>
      <c r="Z145" s="223">
        <f t="shared" si="360"/>
        <v>0</v>
      </c>
      <c r="AA145" s="223">
        <f t="shared" si="360"/>
        <v>0</v>
      </c>
      <c r="AB145" s="223">
        <f t="shared" si="360"/>
        <v>0</v>
      </c>
      <c r="AC145" s="223">
        <f t="shared" si="360"/>
        <v>0</v>
      </c>
      <c r="AD145" s="223">
        <f t="shared" si="360"/>
        <v>0</v>
      </c>
      <c r="AE145" s="223"/>
      <c r="AF145" s="223">
        <f t="shared" si="361"/>
        <v>0</v>
      </c>
      <c r="AG145" s="223">
        <f t="shared" si="362"/>
        <v>0</v>
      </c>
      <c r="AH145" s="223">
        <f t="shared" si="362"/>
        <v>0</v>
      </c>
      <c r="AI145" s="223">
        <f t="shared" si="362"/>
        <v>0</v>
      </c>
      <c r="AJ145" s="223">
        <f t="shared" si="362"/>
        <v>0</v>
      </c>
      <c r="AK145" s="223">
        <f t="shared" si="362"/>
        <v>0</v>
      </c>
      <c r="AL145" s="223">
        <f t="shared" si="362"/>
        <v>0</v>
      </c>
      <c r="AM145" s="223">
        <f t="shared" si="362"/>
        <v>0</v>
      </c>
      <c r="AN145" s="223">
        <f t="shared" si="362"/>
        <v>0</v>
      </c>
      <c r="AO145" s="223">
        <f t="shared" si="362"/>
        <v>0</v>
      </c>
      <c r="AP145" s="223">
        <f t="shared" si="362"/>
        <v>0</v>
      </c>
      <c r="AQ145" s="223">
        <f t="shared" si="362"/>
        <v>0</v>
      </c>
      <c r="AR145" s="223"/>
      <c r="AS145" s="223">
        <f t="shared" si="363"/>
        <v>0</v>
      </c>
      <c r="AT145" s="223">
        <f t="shared" si="364"/>
        <v>0</v>
      </c>
      <c r="AU145" s="223">
        <f t="shared" si="364"/>
        <v>0</v>
      </c>
      <c r="AV145" s="223">
        <f t="shared" si="364"/>
        <v>0</v>
      </c>
      <c r="AW145" s="223">
        <f t="shared" si="364"/>
        <v>0</v>
      </c>
      <c r="AX145" s="223">
        <f t="shared" si="364"/>
        <v>0</v>
      </c>
      <c r="AY145" s="223">
        <f t="shared" si="364"/>
        <v>0</v>
      </c>
      <c r="AZ145" s="223">
        <f t="shared" si="364"/>
        <v>0</v>
      </c>
      <c r="BA145" s="223">
        <f t="shared" si="364"/>
        <v>0</v>
      </c>
      <c r="BB145" s="223">
        <f t="shared" si="364"/>
        <v>0</v>
      </c>
      <c r="BC145" s="223">
        <f t="shared" si="364"/>
        <v>0</v>
      </c>
      <c r="BD145" s="223">
        <f t="shared" si="364"/>
        <v>0</v>
      </c>
      <c r="BE145" s="223"/>
      <c r="BF145" s="223">
        <f t="shared" si="365"/>
        <v>0</v>
      </c>
      <c r="BG145" s="223">
        <f t="shared" si="366"/>
        <v>0</v>
      </c>
      <c r="BH145" s="223">
        <f t="shared" si="366"/>
        <v>0</v>
      </c>
      <c r="BI145" s="223">
        <f t="shared" si="366"/>
        <v>0</v>
      </c>
      <c r="BJ145" s="223">
        <f t="shared" si="366"/>
        <v>0</v>
      </c>
      <c r="BK145" s="223">
        <f t="shared" si="366"/>
        <v>0</v>
      </c>
      <c r="BL145" s="223">
        <f t="shared" si="366"/>
        <v>0</v>
      </c>
      <c r="BM145" s="223">
        <f t="shared" si="366"/>
        <v>0</v>
      </c>
      <c r="BN145" s="223">
        <f t="shared" si="366"/>
        <v>0</v>
      </c>
      <c r="BO145" s="223">
        <f t="shared" si="366"/>
        <v>0</v>
      </c>
      <c r="BP145" s="223">
        <f t="shared" si="366"/>
        <v>0</v>
      </c>
      <c r="BQ145" s="223">
        <f t="shared" si="366"/>
        <v>0</v>
      </c>
      <c r="BR145" s="223"/>
      <c r="BS145" s="223">
        <f t="shared" si="367"/>
        <v>0</v>
      </c>
      <c r="BT145" s="223">
        <f t="shared" si="368"/>
        <v>0</v>
      </c>
      <c r="BU145" s="223">
        <f t="shared" si="368"/>
        <v>0</v>
      </c>
      <c r="BV145" s="223">
        <f t="shared" si="368"/>
        <v>0</v>
      </c>
      <c r="BW145" s="223">
        <f t="shared" si="368"/>
        <v>0</v>
      </c>
      <c r="BX145" s="223">
        <f t="shared" si="368"/>
        <v>0</v>
      </c>
      <c r="BY145" s="223">
        <f t="shared" si="368"/>
        <v>0</v>
      </c>
      <c r="BZ145" s="223">
        <f t="shared" si="368"/>
        <v>0</v>
      </c>
      <c r="CA145" s="223">
        <f t="shared" si="368"/>
        <v>0</v>
      </c>
      <c r="CB145" s="223">
        <f t="shared" si="368"/>
        <v>0</v>
      </c>
      <c r="CC145" s="223">
        <f t="shared" si="368"/>
        <v>0</v>
      </c>
      <c r="CD145" s="223">
        <f t="shared" si="368"/>
        <v>0</v>
      </c>
      <c r="CE145" s="389"/>
      <c r="CF145" s="223">
        <f t="shared" si="369"/>
        <v>0</v>
      </c>
      <c r="CG145" s="223">
        <f t="shared" si="370"/>
        <v>0</v>
      </c>
      <c r="CH145" s="223">
        <f t="shared" si="371"/>
        <v>0</v>
      </c>
      <c r="CI145" s="223">
        <f t="shared" si="372"/>
        <v>0</v>
      </c>
      <c r="CJ145" s="223">
        <f t="shared" si="373"/>
        <v>0</v>
      </c>
      <c r="CK145" s="223">
        <f t="shared" si="374"/>
        <v>0</v>
      </c>
      <c r="CL145" s="223">
        <f t="shared" si="375"/>
        <v>0</v>
      </c>
      <c r="CM145" s="223">
        <f t="shared" si="376"/>
        <v>0</v>
      </c>
      <c r="CN145" s="223">
        <f t="shared" si="377"/>
        <v>0</v>
      </c>
      <c r="CO145" s="223">
        <f t="shared" si="378"/>
        <v>0</v>
      </c>
      <c r="CP145" s="223">
        <f t="shared" si="379"/>
        <v>0</v>
      </c>
      <c r="CQ145" s="223">
        <f t="shared" si="380"/>
        <v>0</v>
      </c>
      <c r="CR145" s="389"/>
      <c r="CS145" s="223">
        <f t="shared" si="381"/>
        <v>0</v>
      </c>
      <c r="CT145" s="223">
        <f t="shared" si="382"/>
        <v>0</v>
      </c>
      <c r="CU145" s="223">
        <f t="shared" si="383"/>
        <v>0</v>
      </c>
      <c r="CV145" s="223">
        <f t="shared" si="384"/>
        <v>0</v>
      </c>
      <c r="CW145" s="223">
        <f t="shared" si="385"/>
        <v>0</v>
      </c>
      <c r="CX145" s="223">
        <f t="shared" si="386"/>
        <v>0</v>
      </c>
      <c r="CY145" s="223">
        <f t="shared" si="387"/>
        <v>0</v>
      </c>
      <c r="CZ145" s="223">
        <f t="shared" si="388"/>
        <v>0</v>
      </c>
      <c r="DA145" s="223">
        <f t="shared" si="389"/>
        <v>0</v>
      </c>
      <c r="DB145" s="223">
        <f t="shared" si="390"/>
        <v>0</v>
      </c>
      <c r="DC145" s="223">
        <f t="shared" si="391"/>
        <v>0</v>
      </c>
      <c r="DD145" s="223">
        <f t="shared" si="392"/>
        <v>0</v>
      </c>
      <c r="DE145" s="389"/>
      <c r="DF145" s="223">
        <f t="shared" si="393"/>
        <v>0</v>
      </c>
      <c r="DG145" s="223">
        <f t="shared" si="394"/>
        <v>0</v>
      </c>
      <c r="DH145" s="223">
        <f t="shared" si="395"/>
        <v>0</v>
      </c>
      <c r="DI145" s="223">
        <f t="shared" si="396"/>
        <v>0</v>
      </c>
      <c r="DJ145" s="223">
        <f t="shared" si="397"/>
        <v>0</v>
      </c>
      <c r="DK145" s="223">
        <f t="shared" si="398"/>
        <v>0</v>
      </c>
      <c r="DL145" s="223">
        <f t="shared" si="399"/>
        <v>0</v>
      </c>
      <c r="DM145" s="223">
        <f t="shared" si="400"/>
        <v>0</v>
      </c>
      <c r="DN145" s="223">
        <f t="shared" si="401"/>
        <v>0</v>
      </c>
      <c r="DO145" s="223">
        <f t="shared" si="402"/>
        <v>0</v>
      </c>
      <c r="DP145" s="223">
        <f t="shared" si="403"/>
        <v>0</v>
      </c>
      <c r="DQ145" s="223">
        <f t="shared" si="404"/>
        <v>0</v>
      </c>
      <c r="DR145" s="389"/>
      <c r="DS145" s="31">
        <f t="shared" si="405"/>
        <v>0</v>
      </c>
      <c r="DT145" s="390"/>
      <c r="DU145" s="9"/>
      <c r="DV145" s="8"/>
      <c r="DW145" s="7"/>
      <c r="DX145" s="7"/>
      <c r="DY145" s="7"/>
      <c r="DZ145" s="7"/>
      <c r="EA145" s="7"/>
      <c r="EB145" s="7"/>
      <c r="EC145" s="7"/>
    </row>
    <row r="146" spans="1:133">
      <c r="C146" s="57" t="str">
        <f t="shared" si="406"/>
        <v>///</v>
      </c>
      <c r="D146" s="57">
        <f t="shared" si="407"/>
        <v>0</v>
      </c>
      <c r="E146" s="62">
        <f t="shared" si="406"/>
        <v>0</v>
      </c>
      <c r="F146" s="223"/>
      <c r="G146" s="223">
        <f t="shared" si="358"/>
        <v>0</v>
      </c>
      <c r="H146" s="223">
        <f t="shared" si="358"/>
        <v>0</v>
      </c>
      <c r="I146" s="223">
        <f t="shared" si="358"/>
        <v>0</v>
      </c>
      <c r="J146" s="223">
        <f t="shared" si="358"/>
        <v>0</v>
      </c>
      <c r="K146" s="223">
        <f t="shared" si="358"/>
        <v>0</v>
      </c>
      <c r="L146" s="223">
        <f t="shared" si="358"/>
        <v>0</v>
      </c>
      <c r="M146" s="223">
        <f t="shared" si="358"/>
        <v>0</v>
      </c>
      <c r="N146" s="223">
        <f t="shared" si="358"/>
        <v>0</v>
      </c>
      <c r="O146" s="223">
        <f t="shared" si="358"/>
        <v>0</v>
      </c>
      <c r="P146" s="223">
        <f t="shared" si="358"/>
        <v>0</v>
      </c>
      <c r="Q146" s="223">
        <f t="shared" si="358"/>
        <v>0</v>
      </c>
      <c r="R146" s="223"/>
      <c r="S146" s="223">
        <f t="shared" ref="S146:S161" si="408">Q146</f>
        <v>0</v>
      </c>
      <c r="T146" s="223">
        <f t="shared" si="360"/>
        <v>0</v>
      </c>
      <c r="U146" s="223">
        <f t="shared" si="360"/>
        <v>0</v>
      </c>
      <c r="V146" s="223">
        <f t="shared" si="360"/>
        <v>0</v>
      </c>
      <c r="W146" s="223">
        <f t="shared" si="360"/>
        <v>0</v>
      </c>
      <c r="X146" s="223">
        <f t="shared" si="360"/>
        <v>0</v>
      </c>
      <c r="Y146" s="223">
        <f t="shared" si="360"/>
        <v>0</v>
      </c>
      <c r="Z146" s="223">
        <f t="shared" si="360"/>
        <v>0</v>
      </c>
      <c r="AA146" s="223">
        <f t="shared" si="360"/>
        <v>0</v>
      </c>
      <c r="AB146" s="223">
        <f t="shared" si="360"/>
        <v>0</v>
      </c>
      <c r="AC146" s="223">
        <f t="shared" si="360"/>
        <v>0</v>
      </c>
      <c r="AD146" s="223">
        <f t="shared" si="360"/>
        <v>0</v>
      </c>
      <c r="AE146" s="223"/>
      <c r="AF146" s="223">
        <f t="shared" si="361"/>
        <v>0</v>
      </c>
      <c r="AG146" s="223">
        <f t="shared" si="362"/>
        <v>0</v>
      </c>
      <c r="AH146" s="223">
        <f t="shared" si="362"/>
        <v>0</v>
      </c>
      <c r="AI146" s="223">
        <f t="shared" si="362"/>
        <v>0</v>
      </c>
      <c r="AJ146" s="223">
        <f t="shared" si="362"/>
        <v>0</v>
      </c>
      <c r="AK146" s="223">
        <f t="shared" si="362"/>
        <v>0</v>
      </c>
      <c r="AL146" s="223">
        <f t="shared" si="362"/>
        <v>0</v>
      </c>
      <c r="AM146" s="223">
        <f t="shared" si="362"/>
        <v>0</v>
      </c>
      <c r="AN146" s="223">
        <f t="shared" si="362"/>
        <v>0</v>
      </c>
      <c r="AO146" s="223">
        <f t="shared" si="362"/>
        <v>0</v>
      </c>
      <c r="AP146" s="223">
        <f t="shared" si="362"/>
        <v>0</v>
      </c>
      <c r="AQ146" s="223">
        <f t="shared" si="362"/>
        <v>0</v>
      </c>
      <c r="AR146" s="223"/>
      <c r="AS146" s="223">
        <f t="shared" si="363"/>
        <v>0</v>
      </c>
      <c r="AT146" s="223">
        <f t="shared" si="364"/>
        <v>0</v>
      </c>
      <c r="AU146" s="223">
        <f t="shared" si="364"/>
        <v>0</v>
      </c>
      <c r="AV146" s="223">
        <f t="shared" si="364"/>
        <v>0</v>
      </c>
      <c r="AW146" s="223">
        <f t="shared" si="364"/>
        <v>0</v>
      </c>
      <c r="AX146" s="223">
        <f t="shared" si="364"/>
        <v>0</v>
      </c>
      <c r="AY146" s="223">
        <f t="shared" si="364"/>
        <v>0</v>
      </c>
      <c r="AZ146" s="223">
        <f t="shared" si="364"/>
        <v>0</v>
      </c>
      <c r="BA146" s="223">
        <f t="shared" si="364"/>
        <v>0</v>
      </c>
      <c r="BB146" s="223">
        <f t="shared" si="364"/>
        <v>0</v>
      </c>
      <c r="BC146" s="223">
        <f t="shared" si="364"/>
        <v>0</v>
      </c>
      <c r="BD146" s="223">
        <f t="shared" si="364"/>
        <v>0</v>
      </c>
      <c r="BE146" s="223"/>
      <c r="BF146" s="223">
        <f t="shared" si="365"/>
        <v>0</v>
      </c>
      <c r="BG146" s="223">
        <f t="shared" si="366"/>
        <v>0</v>
      </c>
      <c r="BH146" s="223">
        <f t="shared" si="366"/>
        <v>0</v>
      </c>
      <c r="BI146" s="223">
        <f t="shared" si="366"/>
        <v>0</v>
      </c>
      <c r="BJ146" s="223">
        <f t="shared" si="366"/>
        <v>0</v>
      </c>
      <c r="BK146" s="223">
        <f t="shared" si="366"/>
        <v>0</v>
      </c>
      <c r="BL146" s="223">
        <f t="shared" si="366"/>
        <v>0</v>
      </c>
      <c r="BM146" s="223">
        <f t="shared" si="366"/>
        <v>0</v>
      </c>
      <c r="BN146" s="223">
        <f t="shared" si="366"/>
        <v>0</v>
      </c>
      <c r="BO146" s="223">
        <f t="shared" si="366"/>
        <v>0</v>
      </c>
      <c r="BP146" s="223">
        <f t="shared" si="366"/>
        <v>0</v>
      </c>
      <c r="BQ146" s="223">
        <f t="shared" si="366"/>
        <v>0</v>
      </c>
      <c r="BR146" s="223"/>
      <c r="BS146" s="223">
        <f t="shared" si="367"/>
        <v>0</v>
      </c>
      <c r="BT146" s="223">
        <f t="shared" si="368"/>
        <v>0</v>
      </c>
      <c r="BU146" s="223">
        <f t="shared" si="368"/>
        <v>0</v>
      </c>
      <c r="BV146" s="223">
        <f t="shared" si="368"/>
        <v>0</v>
      </c>
      <c r="BW146" s="223">
        <f t="shared" si="368"/>
        <v>0</v>
      </c>
      <c r="BX146" s="223">
        <f t="shared" si="368"/>
        <v>0</v>
      </c>
      <c r="BY146" s="223">
        <f t="shared" si="368"/>
        <v>0</v>
      </c>
      <c r="BZ146" s="223">
        <f t="shared" si="368"/>
        <v>0</v>
      </c>
      <c r="CA146" s="223">
        <f t="shared" si="368"/>
        <v>0</v>
      </c>
      <c r="CB146" s="223">
        <f t="shared" si="368"/>
        <v>0</v>
      </c>
      <c r="CC146" s="223">
        <f t="shared" si="368"/>
        <v>0</v>
      </c>
      <c r="CD146" s="223">
        <f t="shared" si="368"/>
        <v>0</v>
      </c>
      <c r="CE146" s="389"/>
      <c r="CF146" s="223">
        <f t="shared" si="369"/>
        <v>0</v>
      </c>
      <c r="CG146" s="223">
        <f t="shared" si="370"/>
        <v>0</v>
      </c>
      <c r="CH146" s="223">
        <f t="shared" si="371"/>
        <v>0</v>
      </c>
      <c r="CI146" s="223">
        <f t="shared" si="372"/>
        <v>0</v>
      </c>
      <c r="CJ146" s="223">
        <f t="shared" si="373"/>
        <v>0</v>
      </c>
      <c r="CK146" s="223">
        <f t="shared" si="374"/>
        <v>0</v>
      </c>
      <c r="CL146" s="223">
        <f t="shared" si="375"/>
        <v>0</v>
      </c>
      <c r="CM146" s="223">
        <f t="shared" si="376"/>
        <v>0</v>
      </c>
      <c r="CN146" s="223">
        <f t="shared" si="377"/>
        <v>0</v>
      </c>
      <c r="CO146" s="223">
        <f t="shared" si="378"/>
        <v>0</v>
      </c>
      <c r="CP146" s="223">
        <f t="shared" si="379"/>
        <v>0</v>
      </c>
      <c r="CQ146" s="223">
        <f t="shared" si="380"/>
        <v>0</v>
      </c>
      <c r="CR146" s="389"/>
      <c r="CS146" s="223">
        <f t="shared" si="381"/>
        <v>0</v>
      </c>
      <c r="CT146" s="223">
        <f t="shared" si="382"/>
        <v>0</v>
      </c>
      <c r="CU146" s="223">
        <f t="shared" si="383"/>
        <v>0</v>
      </c>
      <c r="CV146" s="223">
        <f t="shared" si="384"/>
        <v>0</v>
      </c>
      <c r="CW146" s="223">
        <f t="shared" si="385"/>
        <v>0</v>
      </c>
      <c r="CX146" s="223">
        <f t="shared" si="386"/>
        <v>0</v>
      </c>
      <c r="CY146" s="223">
        <f t="shared" si="387"/>
        <v>0</v>
      </c>
      <c r="CZ146" s="223">
        <f t="shared" si="388"/>
        <v>0</v>
      </c>
      <c r="DA146" s="223">
        <f t="shared" si="389"/>
        <v>0</v>
      </c>
      <c r="DB146" s="223">
        <f t="shared" si="390"/>
        <v>0</v>
      </c>
      <c r="DC146" s="223">
        <f t="shared" si="391"/>
        <v>0</v>
      </c>
      <c r="DD146" s="223">
        <f t="shared" si="392"/>
        <v>0</v>
      </c>
      <c r="DE146" s="389"/>
      <c r="DF146" s="223">
        <f t="shared" si="393"/>
        <v>0</v>
      </c>
      <c r="DG146" s="223">
        <f t="shared" si="394"/>
        <v>0</v>
      </c>
      <c r="DH146" s="223">
        <f t="shared" si="395"/>
        <v>0</v>
      </c>
      <c r="DI146" s="223">
        <f t="shared" si="396"/>
        <v>0</v>
      </c>
      <c r="DJ146" s="223">
        <f t="shared" si="397"/>
        <v>0</v>
      </c>
      <c r="DK146" s="223">
        <f t="shared" si="398"/>
        <v>0</v>
      </c>
      <c r="DL146" s="223">
        <f t="shared" si="399"/>
        <v>0</v>
      </c>
      <c r="DM146" s="223">
        <f t="shared" si="400"/>
        <v>0</v>
      </c>
      <c r="DN146" s="223">
        <f t="shared" si="401"/>
        <v>0</v>
      </c>
      <c r="DO146" s="223">
        <f t="shared" si="402"/>
        <v>0</v>
      </c>
      <c r="DP146" s="223">
        <f t="shared" si="403"/>
        <v>0</v>
      </c>
      <c r="DQ146" s="223">
        <f t="shared" si="404"/>
        <v>0</v>
      </c>
      <c r="DR146" s="389"/>
      <c r="DS146" s="31">
        <f t="shared" si="405"/>
        <v>0</v>
      </c>
      <c r="DT146" s="390"/>
      <c r="DU146" s="9"/>
      <c r="DV146" s="8"/>
      <c r="DW146" s="7"/>
      <c r="DX146" s="7"/>
      <c r="DY146" s="7"/>
      <c r="DZ146" s="7"/>
      <c r="EA146" s="7"/>
      <c r="EB146" s="7"/>
      <c r="EC146" s="7"/>
    </row>
    <row r="147" spans="1:133">
      <c r="A147" s="1">
        <v>5</v>
      </c>
      <c r="B147" s="1">
        <v>3</v>
      </c>
      <c r="C147" s="57" t="str">
        <f t="shared" si="406"/>
        <v>///</v>
      </c>
      <c r="D147" s="57">
        <f t="shared" si="407"/>
        <v>0</v>
      </c>
      <c r="E147" s="62">
        <f t="shared" si="406"/>
        <v>0</v>
      </c>
      <c r="F147" s="223"/>
      <c r="G147" s="223">
        <f t="shared" si="358"/>
        <v>0</v>
      </c>
      <c r="H147" s="223">
        <f t="shared" si="358"/>
        <v>0</v>
      </c>
      <c r="I147" s="223">
        <f t="shared" si="358"/>
        <v>0</v>
      </c>
      <c r="J147" s="223">
        <f t="shared" si="358"/>
        <v>0</v>
      </c>
      <c r="K147" s="223">
        <f t="shared" si="358"/>
        <v>0</v>
      </c>
      <c r="L147" s="223">
        <f t="shared" si="358"/>
        <v>0</v>
      </c>
      <c r="M147" s="223">
        <f t="shared" si="358"/>
        <v>0</v>
      </c>
      <c r="N147" s="223">
        <f t="shared" si="358"/>
        <v>0</v>
      </c>
      <c r="O147" s="223">
        <f t="shared" si="358"/>
        <v>0</v>
      </c>
      <c r="P147" s="223">
        <f t="shared" si="358"/>
        <v>0</v>
      </c>
      <c r="Q147" s="223">
        <f t="shared" si="358"/>
        <v>0</v>
      </c>
      <c r="R147" s="223"/>
      <c r="S147" s="223">
        <f t="shared" si="408"/>
        <v>0</v>
      </c>
      <c r="T147" s="223">
        <f t="shared" si="360"/>
        <v>0</v>
      </c>
      <c r="U147" s="223">
        <f t="shared" si="360"/>
        <v>0</v>
      </c>
      <c r="V147" s="223">
        <f t="shared" si="360"/>
        <v>0</v>
      </c>
      <c r="W147" s="223">
        <f t="shared" si="360"/>
        <v>0</v>
      </c>
      <c r="X147" s="223">
        <f t="shared" si="360"/>
        <v>0</v>
      </c>
      <c r="Y147" s="223">
        <f t="shared" si="360"/>
        <v>0</v>
      </c>
      <c r="Z147" s="223">
        <f t="shared" si="360"/>
        <v>0</v>
      </c>
      <c r="AA147" s="223">
        <f t="shared" si="360"/>
        <v>0</v>
      </c>
      <c r="AB147" s="223">
        <f t="shared" si="360"/>
        <v>0</v>
      </c>
      <c r="AC147" s="223">
        <f t="shared" si="360"/>
        <v>0</v>
      </c>
      <c r="AD147" s="223">
        <f t="shared" si="360"/>
        <v>0</v>
      </c>
      <c r="AE147" s="223"/>
      <c r="AF147" s="223">
        <f t="shared" si="361"/>
        <v>0</v>
      </c>
      <c r="AG147" s="223">
        <f t="shared" si="362"/>
        <v>0</v>
      </c>
      <c r="AH147" s="223">
        <f t="shared" si="362"/>
        <v>0</v>
      </c>
      <c r="AI147" s="223">
        <f t="shared" si="362"/>
        <v>0</v>
      </c>
      <c r="AJ147" s="223">
        <f t="shared" si="362"/>
        <v>0</v>
      </c>
      <c r="AK147" s="223">
        <f t="shared" si="362"/>
        <v>0</v>
      </c>
      <c r="AL147" s="223">
        <f t="shared" si="362"/>
        <v>0</v>
      </c>
      <c r="AM147" s="223">
        <f t="shared" si="362"/>
        <v>0</v>
      </c>
      <c r="AN147" s="223">
        <f t="shared" si="362"/>
        <v>0</v>
      </c>
      <c r="AO147" s="223">
        <f t="shared" si="362"/>
        <v>0</v>
      </c>
      <c r="AP147" s="223">
        <f t="shared" si="362"/>
        <v>0</v>
      </c>
      <c r="AQ147" s="223">
        <f t="shared" si="362"/>
        <v>0</v>
      </c>
      <c r="AR147" s="223"/>
      <c r="AS147" s="223">
        <f t="shared" si="363"/>
        <v>0</v>
      </c>
      <c r="AT147" s="223">
        <f t="shared" si="364"/>
        <v>0</v>
      </c>
      <c r="AU147" s="223">
        <f t="shared" si="364"/>
        <v>0</v>
      </c>
      <c r="AV147" s="223">
        <f t="shared" si="364"/>
        <v>0</v>
      </c>
      <c r="AW147" s="223">
        <f t="shared" si="364"/>
        <v>0</v>
      </c>
      <c r="AX147" s="223">
        <f t="shared" si="364"/>
        <v>0</v>
      </c>
      <c r="AY147" s="223">
        <f t="shared" si="364"/>
        <v>0</v>
      </c>
      <c r="AZ147" s="223">
        <f t="shared" si="364"/>
        <v>0</v>
      </c>
      <c r="BA147" s="223">
        <f t="shared" si="364"/>
        <v>0</v>
      </c>
      <c r="BB147" s="223">
        <f t="shared" si="364"/>
        <v>0</v>
      </c>
      <c r="BC147" s="223">
        <f t="shared" si="364"/>
        <v>0</v>
      </c>
      <c r="BD147" s="223">
        <f t="shared" si="364"/>
        <v>0</v>
      </c>
      <c r="BE147" s="223"/>
      <c r="BF147" s="223">
        <f t="shared" si="365"/>
        <v>0</v>
      </c>
      <c r="BG147" s="223">
        <f t="shared" si="366"/>
        <v>0</v>
      </c>
      <c r="BH147" s="223">
        <f t="shared" si="366"/>
        <v>0</v>
      </c>
      <c r="BI147" s="223">
        <f t="shared" si="366"/>
        <v>0</v>
      </c>
      <c r="BJ147" s="223">
        <f t="shared" si="366"/>
        <v>0</v>
      </c>
      <c r="BK147" s="223">
        <f t="shared" si="366"/>
        <v>0</v>
      </c>
      <c r="BL147" s="223">
        <f t="shared" si="366"/>
        <v>0</v>
      </c>
      <c r="BM147" s="223">
        <f t="shared" si="366"/>
        <v>0</v>
      </c>
      <c r="BN147" s="223">
        <f t="shared" si="366"/>
        <v>0</v>
      </c>
      <c r="BO147" s="223">
        <f t="shared" si="366"/>
        <v>0</v>
      </c>
      <c r="BP147" s="223">
        <f t="shared" si="366"/>
        <v>0</v>
      </c>
      <c r="BQ147" s="223">
        <f t="shared" si="366"/>
        <v>0</v>
      </c>
      <c r="BR147" s="223"/>
      <c r="BS147" s="223">
        <f t="shared" si="367"/>
        <v>0</v>
      </c>
      <c r="BT147" s="223">
        <f t="shared" si="368"/>
        <v>0</v>
      </c>
      <c r="BU147" s="223">
        <f t="shared" si="368"/>
        <v>0</v>
      </c>
      <c r="BV147" s="223">
        <f t="shared" si="368"/>
        <v>0</v>
      </c>
      <c r="BW147" s="223">
        <f t="shared" si="368"/>
        <v>0</v>
      </c>
      <c r="BX147" s="223">
        <f t="shared" si="368"/>
        <v>0</v>
      </c>
      <c r="BY147" s="223">
        <f t="shared" si="368"/>
        <v>0</v>
      </c>
      <c r="BZ147" s="223">
        <f t="shared" si="368"/>
        <v>0</v>
      </c>
      <c r="CA147" s="223">
        <f t="shared" si="368"/>
        <v>0</v>
      </c>
      <c r="CB147" s="223">
        <f t="shared" si="368"/>
        <v>0</v>
      </c>
      <c r="CC147" s="223">
        <f t="shared" si="368"/>
        <v>0</v>
      </c>
      <c r="CD147" s="223">
        <f t="shared" si="368"/>
        <v>0</v>
      </c>
      <c r="CE147" s="389"/>
      <c r="CF147" s="223">
        <f t="shared" si="369"/>
        <v>0</v>
      </c>
      <c r="CG147" s="223">
        <f t="shared" si="370"/>
        <v>0</v>
      </c>
      <c r="CH147" s="223">
        <f t="shared" si="371"/>
        <v>0</v>
      </c>
      <c r="CI147" s="223">
        <f t="shared" si="372"/>
        <v>0</v>
      </c>
      <c r="CJ147" s="223">
        <f t="shared" si="373"/>
        <v>0</v>
      </c>
      <c r="CK147" s="223">
        <f t="shared" si="374"/>
        <v>0</v>
      </c>
      <c r="CL147" s="223">
        <f t="shared" si="375"/>
        <v>0</v>
      </c>
      <c r="CM147" s="223">
        <f t="shared" si="376"/>
        <v>0</v>
      </c>
      <c r="CN147" s="223">
        <f t="shared" si="377"/>
        <v>0</v>
      </c>
      <c r="CO147" s="223">
        <f t="shared" si="378"/>
        <v>0</v>
      </c>
      <c r="CP147" s="223">
        <f t="shared" si="379"/>
        <v>0</v>
      </c>
      <c r="CQ147" s="223">
        <f t="shared" si="380"/>
        <v>0</v>
      </c>
      <c r="CR147" s="389"/>
      <c r="CS147" s="223">
        <f t="shared" si="381"/>
        <v>0</v>
      </c>
      <c r="CT147" s="223">
        <f t="shared" si="382"/>
        <v>0</v>
      </c>
      <c r="CU147" s="223">
        <f t="shared" si="383"/>
        <v>0</v>
      </c>
      <c r="CV147" s="223">
        <f t="shared" si="384"/>
        <v>0</v>
      </c>
      <c r="CW147" s="223">
        <f t="shared" si="385"/>
        <v>0</v>
      </c>
      <c r="CX147" s="223">
        <f t="shared" si="386"/>
        <v>0</v>
      </c>
      <c r="CY147" s="223">
        <f t="shared" si="387"/>
        <v>0</v>
      </c>
      <c r="CZ147" s="223">
        <f t="shared" si="388"/>
        <v>0</v>
      </c>
      <c r="DA147" s="223">
        <f t="shared" si="389"/>
        <v>0</v>
      </c>
      <c r="DB147" s="223">
        <f t="shared" si="390"/>
        <v>0</v>
      </c>
      <c r="DC147" s="223">
        <f t="shared" si="391"/>
        <v>0</v>
      </c>
      <c r="DD147" s="223">
        <f t="shared" si="392"/>
        <v>0</v>
      </c>
      <c r="DE147" s="389"/>
      <c r="DF147" s="223">
        <f t="shared" si="393"/>
        <v>0</v>
      </c>
      <c r="DG147" s="223">
        <f t="shared" si="394"/>
        <v>0</v>
      </c>
      <c r="DH147" s="223">
        <f t="shared" si="395"/>
        <v>0</v>
      </c>
      <c r="DI147" s="223">
        <f t="shared" si="396"/>
        <v>0</v>
      </c>
      <c r="DJ147" s="223">
        <f t="shared" si="397"/>
        <v>0</v>
      </c>
      <c r="DK147" s="223">
        <f t="shared" si="398"/>
        <v>0</v>
      </c>
      <c r="DL147" s="223">
        <f t="shared" si="399"/>
        <v>0</v>
      </c>
      <c r="DM147" s="223">
        <f t="shared" si="400"/>
        <v>0</v>
      </c>
      <c r="DN147" s="223">
        <f t="shared" si="401"/>
        <v>0</v>
      </c>
      <c r="DO147" s="223">
        <f t="shared" si="402"/>
        <v>0</v>
      </c>
      <c r="DP147" s="223">
        <f t="shared" si="403"/>
        <v>0</v>
      </c>
      <c r="DQ147" s="223">
        <f t="shared" si="404"/>
        <v>0</v>
      </c>
      <c r="DR147" s="389"/>
      <c r="DS147" s="31">
        <f t="shared" si="405"/>
        <v>0</v>
      </c>
      <c r="DT147" s="390"/>
      <c r="DU147" s="9"/>
      <c r="DV147" s="8"/>
      <c r="DW147" s="7"/>
      <c r="DX147" s="7"/>
      <c r="DY147" s="7"/>
      <c r="DZ147" s="7"/>
      <c r="EA147" s="7"/>
      <c r="EB147" s="7"/>
      <c r="EC147" s="7"/>
    </row>
    <row r="148" spans="1:133">
      <c r="C148" s="57" t="str">
        <f t="shared" si="406"/>
        <v>///</v>
      </c>
      <c r="D148" s="57">
        <f t="shared" si="407"/>
        <v>0</v>
      </c>
      <c r="E148" s="62">
        <f t="shared" si="406"/>
        <v>0</v>
      </c>
      <c r="F148" s="223"/>
      <c r="G148" s="223">
        <f t="shared" si="358"/>
        <v>0</v>
      </c>
      <c r="H148" s="223">
        <f t="shared" si="358"/>
        <v>0</v>
      </c>
      <c r="I148" s="223">
        <f t="shared" si="358"/>
        <v>0</v>
      </c>
      <c r="J148" s="223">
        <f t="shared" si="358"/>
        <v>0</v>
      </c>
      <c r="K148" s="223">
        <f t="shared" si="358"/>
        <v>0</v>
      </c>
      <c r="L148" s="223">
        <f t="shared" si="358"/>
        <v>0</v>
      </c>
      <c r="M148" s="223">
        <f t="shared" si="358"/>
        <v>0</v>
      </c>
      <c r="N148" s="223">
        <f t="shared" si="358"/>
        <v>0</v>
      </c>
      <c r="O148" s="223">
        <f t="shared" si="358"/>
        <v>0</v>
      </c>
      <c r="P148" s="223">
        <f t="shared" si="358"/>
        <v>0</v>
      </c>
      <c r="Q148" s="223">
        <f t="shared" si="358"/>
        <v>0</v>
      </c>
      <c r="R148" s="223"/>
      <c r="S148" s="223">
        <f t="shared" si="408"/>
        <v>0</v>
      </c>
      <c r="T148" s="223">
        <f t="shared" si="360"/>
        <v>0</v>
      </c>
      <c r="U148" s="223">
        <f t="shared" si="360"/>
        <v>0</v>
      </c>
      <c r="V148" s="223">
        <f t="shared" si="360"/>
        <v>0</v>
      </c>
      <c r="W148" s="223">
        <f t="shared" si="360"/>
        <v>0</v>
      </c>
      <c r="X148" s="223">
        <f t="shared" si="360"/>
        <v>0</v>
      </c>
      <c r="Y148" s="223">
        <f t="shared" si="360"/>
        <v>0</v>
      </c>
      <c r="Z148" s="223">
        <f t="shared" si="360"/>
        <v>0</v>
      </c>
      <c r="AA148" s="223">
        <f t="shared" si="360"/>
        <v>0</v>
      </c>
      <c r="AB148" s="223">
        <f t="shared" si="360"/>
        <v>0</v>
      </c>
      <c r="AC148" s="223">
        <f t="shared" si="360"/>
        <v>0</v>
      </c>
      <c r="AD148" s="223">
        <f t="shared" si="360"/>
        <v>0</v>
      </c>
      <c r="AE148" s="223"/>
      <c r="AF148" s="223">
        <f t="shared" si="361"/>
        <v>0</v>
      </c>
      <c r="AG148" s="223">
        <f t="shared" si="362"/>
        <v>0</v>
      </c>
      <c r="AH148" s="223">
        <f t="shared" si="362"/>
        <v>0</v>
      </c>
      <c r="AI148" s="223">
        <f t="shared" si="362"/>
        <v>0</v>
      </c>
      <c r="AJ148" s="223">
        <f t="shared" si="362"/>
        <v>0</v>
      </c>
      <c r="AK148" s="223">
        <f t="shared" si="362"/>
        <v>0</v>
      </c>
      <c r="AL148" s="223">
        <f t="shared" si="362"/>
        <v>0</v>
      </c>
      <c r="AM148" s="223">
        <f t="shared" si="362"/>
        <v>0</v>
      </c>
      <c r="AN148" s="223">
        <f t="shared" si="362"/>
        <v>0</v>
      </c>
      <c r="AO148" s="223">
        <f t="shared" si="362"/>
        <v>0</v>
      </c>
      <c r="AP148" s="223">
        <f t="shared" si="362"/>
        <v>0</v>
      </c>
      <c r="AQ148" s="223">
        <f t="shared" si="362"/>
        <v>0</v>
      </c>
      <c r="AR148" s="223"/>
      <c r="AS148" s="223">
        <f t="shared" si="363"/>
        <v>0</v>
      </c>
      <c r="AT148" s="223">
        <f t="shared" si="364"/>
        <v>0</v>
      </c>
      <c r="AU148" s="223">
        <f t="shared" si="364"/>
        <v>0</v>
      </c>
      <c r="AV148" s="223">
        <f t="shared" si="364"/>
        <v>0</v>
      </c>
      <c r="AW148" s="223">
        <f t="shared" si="364"/>
        <v>0</v>
      </c>
      <c r="AX148" s="223">
        <f t="shared" si="364"/>
        <v>0</v>
      </c>
      <c r="AY148" s="223">
        <f t="shared" si="364"/>
        <v>0</v>
      </c>
      <c r="AZ148" s="223">
        <f t="shared" si="364"/>
        <v>0</v>
      </c>
      <c r="BA148" s="223">
        <f t="shared" si="364"/>
        <v>0</v>
      </c>
      <c r="BB148" s="223">
        <f t="shared" si="364"/>
        <v>0</v>
      </c>
      <c r="BC148" s="223">
        <f t="shared" si="364"/>
        <v>0</v>
      </c>
      <c r="BD148" s="223">
        <f t="shared" si="364"/>
        <v>0</v>
      </c>
      <c r="BE148" s="223"/>
      <c r="BF148" s="223">
        <f t="shared" si="365"/>
        <v>0</v>
      </c>
      <c r="BG148" s="223">
        <f t="shared" si="366"/>
        <v>0</v>
      </c>
      <c r="BH148" s="223">
        <f t="shared" si="366"/>
        <v>0</v>
      </c>
      <c r="BI148" s="223">
        <f t="shared" si="366"/>
        <v>0</v>
      </c>
      <c r="BJ148" s="223">
        <f t="shared" si="366"/>
        <v>0</v>
      </c>
      <c r="BK148" s="223">
        <f t="shared" si="366"/>
        <v>0</v>
      </c>
      <c r="BL148" s="223">
        <f t="shared" si="366"/>
        <v>0</v>
      </c>
      <c r="BM148" s="223">
        <f t="shared" si="366"/>
        <v>0</v>
      </c>
      <c r="BN148" s="223">
        <f t="shared" si="366"/>
        <v>0</v>
      </c>
      <c r="BO148" s="223">
        <f t="shared" si="366"/>
        <v>0</v>
      </c>
      <c r="BP148" s="223">
        <f t="shared" si="366"/>
        <v>0</v>
      </c>
      <c r="BQ148" s="223">
        <f t="shared" si="366"/>
        <v>0</v>
      </c>
      <c r="BR148" s="223"/>
      <c r="BS148" s="223">
        <f t="shared" si="367"/>
        <v>0</v>
      </c>
      <c r="BT148" s="223">
        <f t="shared" si="368"/>
        <v>0</v>
      </c>
      <c r="BU148" s="223">
        <f t="shared" si="368"/>
        <v>0</v>
      </c>
      <c r="BV148" s="223">
        <f t="shared" si="368"/>
        <v>0</v>
      </c>
      <c r="BW148" s="223">
        <f t="shared" si="368"/>
        <v>0</v>
      </c>
      <c r="BX148" s="223">
        <f t="shared" si="368"/>
        <v>0</v>
      </c>
      <c r="BY148" s="223">
        <f t="shared" si="368"/>
        <v>0</v>
      </c>
      <c r="BZ148" s="223">
        <f t="shared" si="368"/>
        <v>0</v>
      </c>
      <c r="CA148" s="223">
        <f t="shared" si="368"/>
        <v>0</v>
      </c>
      <c r="CB148" s="223">
        <f t="shared" si="368"/>
        <v>0</v>
      </c>
      <c r="CC148" s="223">
        <f t="shared" si="368"/>
        <v>0</v>
      </c>
      <c r="CD148" s="223">
        <f t="shared" si="368"/>
        <v>0</v>
      </c>
      <c r="CE148" s="389"/>
      <c r="CF148" s="223">
        <f t="shared" si="369"/>
        <v>0</v>
      </c>
      <c r="CG148" s="223">
        <f t="shared" si="370"/>
        <v>0</v>
      </c>
      <c r="CH148" s="223">
        <f t="shared" si="371"/>
        <v>0</v>
      </c>
      <c r="CI148" s="223">
        <f t="shared" si="372"/>
        <v>0</v>
      </c>
      <c r="CJ148" s="223">
        <f t="shared" si="373"/>
        <v>0</v>
      </c>
      <c r="CK148" s="223">
        <f t="shared" si="374"/>
        <v>0</v>
      </c>
      <c r="CL148" s="223">
        <f t="shared" si="375"/>
        <v>0</v>
      </c>
      <c r="CM148" s="223">
        <f t="shared" si="376"/>
        <v>0</v>
      </c>
      <c r="CN148" s="223">
        <f t="shared" si="377"/>
        <v>0</v>
      </c>
      <c r="CO148" s="223">
        <f t="shared" si="378"/>
        <v>0</v>
      </c>
      <c r="CP148" s="223">
        <f t="shared" si="379"/>
        <v>0</v>
      </c>
      <c r="CQ148" s="223">
        <f t="shared" si="380"/>
        <v>0</v>
      </c>
      <c r="CR148" s="389"/>
      <c r="CS148" s="223">
        <f t="shared" si="381"/>
        <v>0</v>
      </c>
      <c r="CT148" s="223">
        <f t="shared" si="382"/>
        <v>0</v>
      </c>
      <c r="CU148" s="223">
        <f t="shared" si="383"/>
        <v>0</v>
      </c>
      <c r="CV148" s="223">
        <f t="shared" si="384"/>
        <v>0</v>
      </c>
      <c r="CW148" s="223">
        <f t="shared" si="385"/>
        <v>0</v>
      </c>
      <c r="CX148" s="223">
        <f t="shared" si="386"/>
        <v>0</v>
      </c>
      <c r="CY148" s="223">
        <f t="shared" si="387"/>
        <v>0</v>
      </c>
      <c r="CZ148" s="223">
        <f t="shared" si="388"/>
        <v>0</v>
      </c>
      <c r="DA148" s="223">
        <f t="shared" si="389"/>
        <v>0</v>
      </c>
      <c r="DB148" s="223">
        <f t="shared" si="390"/>
        <v>0</v>
      </c>
      <c r="DC148" s="223">
        <f t="shared" si="391"/>
        <v>0</v>
      </c>
      <c r="DD148" s="223">
        <f t="shared" si="392"/>
        <v>0</v>
      </c>
      <c r="DE148" s="389"/>
      <c r="DF148" s="223">
        <f t="shared" si="393"/>
        <v>0</v>
      </c>
      <c r="DG148" s="223">
        <f t="shared" si="394"/>
        <v>0</v>
      </c>
      <c r="DH148" s="223">
        <f t="shared" si="395"/>
        <v>0</v>
      </c>
      <c r="DI148" s="223">
        <f t="shared" si="396"/>
        <v>0</v>
      </c>
      <c r="DJ148" s="223">
        <f t="shared" si="397"/>
        <v>0</v>
      </c>
      <c r="DK148" s="223">
        <f t="shared" si="398"/>
        <v>0</v>
      </c>
      <c r="DL148" s="223">
        <f t="shared" si="399"/>
        <v>0</v>
      </c>
      <c r="DM148" s="223">
        <f t="shared" si="400"/>
        <v>0</v>
      </c>
      <c r="DN148" s="223">
        <f t="shared" si="401"/>
        <v>0</v>
      </c>
      <c r="DO148" s="223">
        <f t="shared" si="402"/>
        <v>0</v>
      </c>
      <c r="DP148" s="223">
        <f t="shared" si="403"/>
        <v>0</v>
      </c>
      <c r="DQ148" s="223">
        <f t="shared" si="404"/>
        <v>0</v>
      </c>
      <c r="DR148" s="389"/>
      <c r="DS148" s="31">
        <f t="shared" si="405"/>
        <v>0</v>
      </c>
      <c r="DT148" s="390"/>
      <c r="DU148" s="9"/>
      <c r="DV148" s="8"/>
      <c r="DW148" s="7"/>
      <c r="DX148" s="7"/>
      <c r="DY148" s="7"/>
      <c r="DZ148" s="7"/>
      <c r="EA148" s="7"/>
      <c r="EB148" s="7"/>
      <c r="EC148" s="7"/>
    </row>
    <row r="149" spans="1:133">
      <c r="C149" s="57" t="str">
        <f t="shared" si="406"/>
        <v>///</v>
      </c>
      <c r="D149" s="57">
        <f t="shared" si="407"/>
        <v>0</v>
      </c>
      <c r="E149" s="62">
        <f t="shared" si="406"/>
        <v>0</v>
      </c>
      <c r="F149" s="223"/>
      <c r="G149" s="223">
        <f t="shared" si="358"/>
        <v>0</v>
      </c>
      <c r="H149" s="223">
        <f t="shared" si="358"/>
        <v>0</v>
      </c>
      <c r="I149" s="223">
        <f t="shared" si="358"/>
        <v>0</v>
      </c>
      <c r="J149" s="223">
        <f t="shared" si="358"/>
        <v>0</v>
      </c>
      <c r="K149" s="223">
        <f t="shared" si="358"/>
        <v>0</v>
      </c>
      <c r="L149" s="223">
        <f t="shared" si="358"/>
        <v>0</v>
      </c>
      <c r="M149" s="223">
        <f t="shared" si="358"/>
        <v>0</v>
      </c>
      <c r="N149" s="223">
        <f t="shared" si="358"/>
        <v>0</v>
      </c>
      <c r="O149" s="223">
        <f t="shared" si="358"/>
        <v>0</v>
      </c>
      <c r="P149" s="223">
        <f t="shared" si="358"/>
        <v>0</v>
      </c>
      <c r="Q149" s="223">
        <f t="shared" si="358"/>
        <v>0</v>
      </c>
      <c r="R149" s="223"/>
      <c r="S149" s="223">
        <f t="shared" si="408"/>
        <v>0</v>
      </c>
      <c r="T149" s="223">
        <f t="shared" si="360"/>
        <v>0</v>
      </c>
      <c r="U149" s="223">
        <f t="shared" si="360"/>
        <v>0</v>
      </c>
      <c r="V149" s="223">
        <f t="shared" si="360"/>
        <v>0</v>
      </c>
      <c r="W149" s="223">
        <f t="shared" si="360"/>
        <v>0</v>
      </c>
      <c r="X149" s="223">
        <f t="shared" si="360"/>
        <v>0</v>
      </c>
      <c r="Y149" s="223">
        <f t="shared" si="360"/>
        <v>0</v>
      </c>
      <c r="Z149" s="223">
        <f t="shared" si="360"/>
        <v>0</v>
      </c>
      <c r="AA149" s="223">
        <f t="shared" si="360"/>
        <v>0</v>
      </c>
      <c r="AB149" s="223">
        <f t="shared" si="360"/>
        <v>0</v>
      </c>
      <c r="AC149" s="223">
        <f t="shared" si="360"/>
        <v>0</v>
      </c>
      <c r="AD149" s="223">
        <f t="shared" si="360"/>
        <v>0</v>
      </c>
      <c r="AE149" s="223"/>
      <c r="AF149" s="223">
        <f t="shared" si="361"/>
        <v>0</v>
      </c>
      <c r="AG149" s="223">
        <f t="shared" si="362"/>
        <v>0</v>
      </c>
      <c r="AH149" s="223">
        <f t="shared" si="362"/>
        <v>0</v>
      </c>
      <c r="AI149" s="223">
        <f t="shared" si="362"/>
        <v>0</v>
      </c>
      <c r="AJ149" s="223">
        <f t="shared" si="362"/>
        <v>0</v>
      </c>
      <c r="AK149" s="223">
        <f t="shared" si="362"/>
        <v>0</v>
      </c>
      <c r="AL149" s="223">
        <f t="shared" si="362"/>
        <v>0</v>
      </c>
      <c r="AM149" s="223">
        <f t="shared" si="362"/>
        <v>0</v>
      </c>
      <c r="AN149" s="223">
        <f t="shared" si="362"/>
        <v>0</v>
      </c>
      <c r="AO149" s="223">
        <f t="shared" si="362"/>
        <v>0</v>
      </c>
      <c r="AP149" s="223">
        <f t="shared" si="362"/>
        <v>0</v>
      </c>
      <c r="AQ149" s="223">
        <f t="shared" si="362"/>
        <v>0</v>
      </c>
      <c r="AR149" s="223"/>
      <c r="AS149" s="223">
        <f t="shared" si="363"/>
        <v>0</v>
      </c>
      <c r="AT149" s="223">
        <f t="shared" si="364"/>
        <v>0</v>
      </c>
      <c r="AU149" s="223">
        <f t="shared" si="364"/>
        <v>0</v>
      </c>
      <c r="AV149" s="223">
        <f t="shared" si="364"/>
        <v>0</v>
      </c>
      <c r="AW149" s="223">
        <f t="shared" si="364"/>
        <v>0</v>
      </c>
      <c r="AX149" s="223">
        <f t="shared" si="364"/>
        <v>0</v>
      </c>
      <c r="AY149" s="223">
        <f t="shared" si="364"/>
        <v>0</v>
      </c>
      <c r="AZ149" s="223">
        <f t="shared" si="364"/>
        <v>0</v>
      </c>
      <c r="BA149" s="223">
        <f t="shared" si="364"/>
        <v>0</v>
      </c>
      <c r="BB149" s="223">
        <f t="shared" si="364"/>
        <v>0</v>
      </c>
      <c r="BC149" s="223">
        <f t="shared" si="364"/>
        <v>0</v>
      </c>
      <c r="BD149" s="223">
        <f t="shared" si="364"/>
        <v>0</v>
      </c>
      <c r="BE149" s="223"/>
      <c r="BF149" s="223">
        <f t="shared" si="365"/>
        <v>0</v>
      </c>
      <c r="BG149" s="223">
        <f t="shared" si="366"/>
        <v>0</v>
      </c>
      <c r="BH149" s="223">
        <f t="shared" si="366"/>
        <v>0</v>
      </c>
      <c r="BI149" s="223">
        <f t="shared" si="366"/>
        <v>0</v>
      </c>
      <c r="BJ149" s="223">
        <f t="shared" si="366"/>
        <v>0</v>
      </c>
      <c r="BK149" s="223">
        <f t="shared" si="366"/>
        <v>0</v>
      </c>
      <c r="BL149" s="223">
        <f t="shared" si="366"/>
        <v>0</v>
      </c>
      <c r="BM149" s="223">
        <f t="shared" si="366"/>
        <v>0</v>
      </c>
      <c r="BN149" s="223">
        <f t="shared" si="366"/>
        <v>0</v>
      </c>
      <c r="BO149" s="223">
        <f t="shared" si="366"/>
        <v>0</v>
      </c>
      <c r="BP149" s="223">
        <f t="shared" si="366"/>
        <v>0</v>
      </c>
      <c r="BQ149" s="223">
        <f t="shared" si="366"/>
        <v>0</v>
      </c>
      <c r="BR149" s="223"/>
      <c r="BS149" s="223">
        <f t="shared" si="367"/>
        <v>0</v>
      </c>
      <c r="BT149" s="223">
        <f t="shared" si="368"/>
        <v>0</v>
      </c>
      <c r="BU149" s="223">
        <f t="shared" si="368"/>
        <v>0</v>
      </c>
      <c r="BV149" s="223">
        <f t="shared" si="368"/>
        <v>0</v>
      </c>
      <c r="BW149" s="223">
        <f t="shared" si="368"/>
        <v>0</v>
      </c>
      <c r="BX149" s="223">
        <f t="shared" si="368"/>
        <v>0</v>
      </c>
      <c r="BY149" s="223">
        <f t="shared" si="368"/>
        <v>0</v>
      </c>
      <c r="BZ149" s="223">
        <f t="shared" si="368"/>
        <v>0</v>
      </c>
      <c r="CA149" s="223">
        <f t="shared" si="368"/>
        <v>0</v>
      </c>
      <c r="CB149" s="223">
        <f t="shared" si="368"/>
        <v>0</v>
      </c>
      <c r="CC149" s="223">
        <f t="shared" si="368"/>
        <v>0</v>
      </c>
      <c r="CD149" s="223">
        <f t="shared" si="368"/>
        <v>0</v>
      </c>
      <c r="CE149" s="389"/>
      <c r="CF149" s="223">
        <f t="shared" si="369"/>
        <v>0</v>
      </c>
      <c r="CG149" s="223">
        <f t="shared" si="370"/>
        <v>0</v>
      </c>
      <c r="CH149" s="223">
        <f t="shared" si="371"/>
        <v>0</v>
      </c>
      <c r="CI149" s="223">
        <f t="shared" si="372"/>
        <v>0</v>
      </c>
      <c r="CJ149" s="223">
        <f t="shared" si="373"/>
        <v>0</v>
      </c>
      <c r="CK149" s="223">
        <f t="shared" si="374"/>
        <v>0</v>
      </c>
      <c r="CL149" s="223">
        <f t="shared" si="375"/>
        <v>0</v>
      </c>
      <c r="CM149" s="223">
        <f t="shared" si="376"/>
        <v>0</v>
      </c>
      <c r="CN149" s="223">
        <f t="shared" si="377"/>
        <v>0</v>
      </c>
      <c r="CO149" s="223">
        <f t="shared" si="378"/>
        <v>0</v>
      </c>
      <c r="CP149" s="223">
        <f t="shared" si="379"/>
        <v>0</v>
      </c>
      <c r="CQ149" s="223">
        <f t="shared" si="380"/>
        <v>0</v>
      </c>
      <c r="CR149" s="389"/>
      <c r="CS149" s="223">
        <f t="shared" si="381"/>
        <v>0</v>
      </c>
      <c r="CT149" s="223">
        <f t="shared" si="382"/>
        <v>0</v>
      </c>
      <c r="CU149" s="223">
        <f t="shared" si="383"/>
        <v>0</v>
      </c>
      <c r="CV149" s="223">
        <f t="shared" si="384"/>
        <v>0</v>
      </c>
      <c r="CW149" s="223">
        <f t="shared" si="385"/>
        <v>0</v>
      </c>
      <c r="CX149" s="223">
        <f t="shared" si="386"/>
        <v>0</v>
      </c>
      <c r="CY149" s="223">
        <f t="shared" si="387"/>
        <v>0</v>
      </c>
      <c r="CZ149" s="223">
        <f t="shared" si="388"/>
        <v>0</v>
      </c>
      <c r="DA149" s="223">
        <f t="shared" si="389"/>
        <v>0</v>
      </c>
      <c r="DB149" s="223">
        <f t="shared" si="390"/>
        <v>0</v>
      </c>
      <c r="DC149" s="223">
        <f t="shared" si="391"/>
        <v>0</v>
      </c>
      <c r="DD149" s="223">
        <f t="shared" si="392"/>
        <v>0</v>
      </c>
      <c r="DE149" s="389"/>
      <c r="DF149" s="223">
        <f t="shared" si="393"/>
        <v>0</v>
      </c>
      <c r="DG149" s="223">
        <f t="shared" si="394"/>
        <v>0</v>
      </c>
      <c r="DH149" s="223">
        <f t="shared" si="395"/>
        <v>0</v>
      </c>
      <c r="DI149" s="223">
        <f t="shared" si="396"/>
        <v>0</v>
      </c>
      <c r="DJ149" s="223">
        <f t="shared" si="397"/>
        <v>0</v>
      </c>
      <c r="DK149" s="223">
        <f t="shared" si="398"/>
        <v>0</v>
      </c>
      <c r="DL149" s="223">
        <f t="shared" si="399"/>
        <v>0</v>
      </c>
      <c r="DM149" s="223">
        <f t="shared" si="400"/>
        <v>0</v>
      </c>
      <c r="DN149" s="223">
        <f t="shared" si="401"/>
        <v>0</v>
      </c>
      <c r="DO149" s="223">
        <f t="shared" si="402"/>
        <v>0</v>
      </c>
      <c r="DP149" s="223">
        <f t="shared" si="403"/>
        <v>0</v>
      </c>
      <c r="DQ149" s="223">
        <f t="shared" si="404"/>
        <v>0</v>
      </c>
      <c r="DR149" s="389"/>
      <c r="DS149" s="31">
        <f t="shared" si="405"/>
        <v>0</v>
      </c>
      <c r="DT149" s="390"/>
      <c r="DU149" s="9"/>
      <c r="DV149" s="8"/>
      <c r="DW149" s="7"/>
      <c r="DX149" s="7"/>
      <c r="DY149" s="7"/>
      <c r="DZ149" s="7"/>
      <c r="EA149" s="7"/>
      <c r="EB149" s="7"/>
      <c r="EC149" s="7"/>
    </row>
    <row r="150" spans="1:133">
      <c r="A150" s="1">
        <v>5</v>
      </c>
      <c r="B150" s="1">
        <v>4</v>
      </c>
      <c r="C150" s="57" t="str">
        <f t="shared" si="406"/>
        <v>///</v>
      </c>
      <c r="D150" s="57">
        <f t="shared" si="407"/>
        <v>0</v>
      </c>
      <c r="E150" s="62">
        <f t="shared" si="406"/>
        <v>0</v>
      </c>
      <c r="F150" s="223"/>
      <c r="G150" s="223">
        <f t="shared" si="358"/>
        <v>0</v>
      </c>
      <c r="H150" s="223">
        <f t="shared" si="358"/>
        <v>0</v>
      </c>
      <c r="I150" s="223">
        <f t="shared" si="358"/>
        <v>0</v>
      </c>
      <c r="J150" s="223">
        <f t="shared" si="358"/>
        <v>0</v>
      </c>
      <c r="K150" s="223">
        <f t="shared" si="358"/>
        <v>0</v>
      </c>
      <c r="L150" s="223">
        <f t="shared" si="358"/>
        <v>0</v>
      </c>
      <c r="M150" s="223">
        <f t="shared" si="358"/>
        <v>0</v>
      </c>
      <c r="N150" s="223">
        <f t="shared" si="358"/>
        <v>0</v>
      </c>
      <c r="O150" s="223">
        <f t="shared" si="358"/>
        <v>0</v>
      </c>
      <c r="P150" s="223">
        <f t="shared" si="358"/>
        <v>0</v>
      </c>
      <c r="Q150" s="223">
        <f t="shared" si="358"/>
        <v>0</v>
      </c>
      <c r="R150" s="223"/>
      <c r="S150" s="223">
        <f t="shared" si="408"/>
        <v>0</v>
      </c>
      <c r="T150" s="223">
        <f t="shared" si="360"/>
        <v>0</v>
      </c>
      <c r="U150" s="223">
        <f t="shared" si="360"/>
        <v>0</v>
      </c>
      <c r="V150" s="223">
        <f t="shared" si="360"/>
        <v>0</v>
      </c>
      <c r="W150" s="223">
        <f t="shared" si="360"/>
        <v>0</v>
      </c>
      <c r="X150" s="223">
        <f t="shared" si="360"/>
        <v>0</v>
      </c>
      <c r="Y150" s="223">
        <f t="shared" si="360"/>
        <v>0</v>
      </c>
      <c r="Z150" s="223">
        <f t="shared" si="360"/>
        <v>0</v>
      </c>
      <c r="AA150" s="223">
        <f t="shared" si="360"/>
        <v>0</v>
      </c>
      <c r="AB150" s="223">
        <f t="shared" si="360"/>
        <v>0</v>
      </c>
      <c r="AC150" s="223">
        <f t="shared" si="360"/>
        <v>0</v>
      </c>
      <c r="AD150" s="223">
        <f t="shared" si="360"/>
        <v>0</v>
      </c>
      <c r="AE150" s="223"/>
      <c r="AF150" s="223">
        <f t="shared" si="361"/>
        <v>0</v>
      </c>
      <c r="AG150" s="223">
        <f t="shared" si="362"/>
        <v>0</v>
      </c>
      <c r="AH150" s="223">
        <f t="shared" si="362"/>
        <v>0</v>
      </c>
      <c r="AI150" s="223">
        <f t="shared" si="362"/>
        <v>0</v>
      </c>
      <c r="AJ150" s="223">
        <f t="shared" si="362"/>
        <v>0</v>
      </c>
      <c r="AK150" s="223">
        <f t="shared" si="362"/>
        <v>0</v>
      </c>
      <c r="AL150" s="223">
        <f t="shared" si="362"/>
        <v>0</v>
      </c>
      <c r="AM150" s="223">
        <f t="shared" si="362"/>
        <v>0</v>
      </c>
      <c r="AN150" s="223">
        <f t="shared" si="362"/>
        <v>0</v>
      </c>
      <c r="AO150" s="223">
        <f t="shared" si="362"/>
        <v>0</v>
      </c>
      <c r="AP150" s="223">
        <f t="shared" si="362"/>
        <v>0</v>
      </c>
      <c r="AQ150" s="223">
        <f t="shared" si="362"/>
        <v>0</v>
      </c>
      <c r="AR150" s="223"/>
      <c r="AS150" s="223">
        <f t="shared" si="363"/>
        <v>0</v>
      </c>
      <c r="AT150" s="223">
        <f t="shared" si="364"/>
        <v>0</v>
      </c>
      <c r="AU150" s="223">
        <f t="shared" si="364"/>
        <v>0</v>
      </c>
      <c r="AV150" s="223">
        <f t="shared" si="364"/>
        <v>0</v>
      </c>
      <c r="AW150" s="223">
        <f t="shared" si="364"/>
        <v>0</v>
      </c>
      <c r="AX150" s="223">
        <f t="shared" si="364"/>
        <v>0</v>
      </c>
      <c r="AY150" s="223">
        <f t="shared" si="364"/>
        <v>0</v>
      </c>
      <c r="AZ150" s="223">
        <f t="shared" si="364"/>
        <v>0</v>
      </c>
      <c r="BA150" s="223">
        <f t="shared" si="364"/>
        <v>0</v>
      </c>
      <c r="BB150" s="223">
        <f t="shared" si="364"/>
        <v>0</v>
      </c>
      <c r="BC150" s="223">
        <f t="shared" si="364"/>
        <v>0</v>
      </c>
      <c r="BD150" s="223">
        <f t="shared" si="364"/>
        <v>0</v>
      </c>
      <c r="BE150" s="223"/>
      <c r="BF150" s="223">
        <f t="shared" si="365"/>
        <v>0</v>
      </c>
      <c r="BG150" s="223">
        <f t="shared" si="366"/>
        <v>0</v>
      </c>
      <c r="BH150" s="223">
        <f t="shared" si="366"/>
        <v>0</v>
      </c>
      <c r="BI150" s="223">
        <f t="shared" si="366"/>
        <v>0</v>
      </c>
      <c r="BJ150" s="223">
        <f t="shared" si="366"/>
        <v>0</v>
      </c>
      <c r="BK150" s="223">
        <f t="shared" si="366"/>
        <v>0</v>
      </c>
      <c r="BL150" s="223">
        <f t="shared" si="366"/>
        <v>0</v>
      </c>
      <c r="BM150" s="223">
        <f t="shared" si="366"/>
        <v>0</v>
      </c>
      <c r="BN150" s="223">
        <f t="shared" si="366"/>
        <v>0</v>
      </c>
      <c r="BO150" s="223">
        <f t="shared" si="366"/>
        <v>0</v>
      </c>
      <c r="BP150" s="223">
        <f t="shared" si="366"/>
        <v>0</v>
      </c>
      <c r="BQ150" s="223">
        <f t="shared" si="366"/>
        <v>0</v>
      </c>
      <c r="BR150" s="223"/>
      <c r="BS150" s="223">
        <f t="shared" si="367"/>
        <v>0</v>
      </c>
      <c r="BT150" s="223">
        <f t="shared" si="368"/>
        <v>0</v>
      </c>
      <c r="BU150" s="223">
        <f t="shared" si="368"/>
        <v>0</v>
      </c>
      <c r="BV150" s="223">
        <f t="shared" si="368"/>
        <v>0</v>
      </c>
      <c r="BW150" s="223">
        <f t="shared" si="368"/>
        <v>0</v>
      </c>
      <c r="BX150" s="223">
        <f t="shared" si="368"/>
        <v>0</v>
      </c>
      <c r="BY150" s="223">
        <f t="shared" si="368"/>
        <v>0</v>
      </c>
      <c r="BZ150" s="223">
        <f t="shared" si="368"/>
        <v>0</v>
      </c>
      <c r="CA150" s="223">
        <f t="shared" si="368"/>
        <v>0</v>
      </c>
      <c r="CB150" s="223">
        <f t="shared" si="368"/>
        <v>0</v>
      </c>
      <c r="CC150" s="223">
        <f t="shared" si="368"/>
        <v>0</v>
      </c>
      <c r="CD150" s="223">
        <f t="shared" si="368"/>
        <v>0</v>
      </c>
      <c r="CE150" s="389"/>
      <c r="CF150" s="223">
        <f t="shared" si="369"/>
        <v>0</v>
      </c>
      <c r="CG150" s="223">
        <f t="shared" si="370"/>
        <v>0</v>
      </c>
      <c r="CH150" s="223">
        <f t="shared" si="371"/>
        <v>0</v>
      </c>
      <c r="CI150" s="223">
        <f t="shared" si="372"/>
        <v>0</v>
      </c>
      <c r="CJ150" s="223">
        <f t="shared" si="373"/>
        <v>0</v>
      </c>
      <c r="CK150" s="223">
        <f t="shared" si="374"/>
        <v>0</v>
      </c>
      <c r="CL150" s="223">
        <f t="shared" si="375"/>
        <v>0</v>
      </c>
      <c r="CM150" s="223">
        <f t="shared" si="376"/>
        <v>0</v>
      </c>
      <c r="CN150" s="223">
        <f t="shared" si="377"/>
        <v>0</v>
      </c>
      <c r="CO150" s="223">
        <f t="shared" si="378"/>
        <v>0</v>
      </c>
      <c r="CP150" s="223">
        <f t="shared" si="379"/>
        <v>0</v>
      </c>
      <c r="CQ150" s="223">
        <f t="shared" si="380"/>
        <v>0</v>
      </c>
      <c r="CR150" s="389"/>
      <c r="CS150" s="223">
        <f t="shared" si="381"/>
        <v>0</v>
      </c>
      <c r="CT150" s="223">
        <f t="shared" si="382"/>
        <v>0</v>
      </c>
      <c r="CU150" s="223">
        <f t="shared" si="383"/>
        <v>0</v>
      </c>
      <c r="CV150" s="223">
        <f t="shared" si="384"/>
        <v>0</v>
      </c>
      <c r="CW150" s="223">
        <f t="shared" si="385"/>
        <v>0</v>
      </c>
      <c r="CX150" s="223">
        <f t="shared" si="386"/>
        <v>0</v>
      </c>
      <c r="CY150" s="223">
        <f t="shared" si="387"/>
        <v>0</v>
      </c>
      <c r="CZ150" s="223">
        <f t="shared" si="388"/>
        <v>0</v>
      </c>
      <c r="DA150" s="223">
        <f t="shared" si="389"/>
        <v>0</v>
      </c>
      <c r="DB150" s="223">
        <f t="shared" si="390"/>
        <v>0</v>
      </c>
      <c r="DC150" s="223">
        <f t="shared" si="391"/>
        <v>0</v>
      </c>
      <c r="DD150" s="223">
        <f t="shared" si="392"/>
        <v>0</v>
      </c>
      <c r="DE150" s="389"/>
      <c r="DF150" s="223">
        <f t="shared" si="393"/>
        <v>0</v>
      </c>
      <c r="DG150" s="223">
        <f t="shared" si="394"/>
        <v>0</v>
      </c>
      <c r="DH150" s="223">
        <f t="shared" si="395"/>
        <v>0</v>
      </c>
      <c r="DI150" s="223">
        <f t="shared" si="396"/>
        <v>0</v>
      </c>
      <c r="DJ150" s="223">
        <f t="shared" si="397"/>
        <v>0</v>
      </c>
      <c r="DK150" s="223">
        <f t="shared" si="398"/>
        <v>0</v>
      </c>
      <c r="DL150" s="223">
        <f t="shared" si="399"/>
        <v>0</v>
      </c>
      <c r="DM150" s="223">
        <f t="shared" si="400"/>
        <v>0</v>
      </c>
      <c r="DN150" s="223">
        <f t="shared" si="401"/>
        <v>0</v>
      </c>
      <c r="DO150" s="223">
        <f t="shared" si="402"/>
        <v>0</v>
      </c>
      <c r="DP150" s="223">
        <f t="shared" si="403"/>
        <v>0</v>
      </c>
      <c r="DQ150" s="223">
        <f t="shared" si="404"/>
        <v>0</v>
      </c>
      <c r="DR150" s="389"/>
      <c r="DS150" s="31">
        <f t="shared" si="405"/>
        <v>0</v>
      </c>
      <c r="DT150" s="390"/>
      <c r="DU150" s="9"/>
      <c r="DV150" s="8"/>
      <c r="DW150" s="7"/>
      <c r="DX150" s="7"/>
      <c r="DY150" s="7"/>
      <c r="DZ150" s="7"/>
      <c r="EA150" s="7"/>
      <c r="EB150" s="7"/>
      <c r="EC150" s="7"/>
    </row>
    <row r="151" spans="1:133">
      <c r="C151" s="57" t="str">
        <f t="shared" si="406"/>
        <v>///</v>
      </c>
      <c r="D151" s="57">
        <f t="shared" si="407"/>
        <v>0</v>
      </c>
      <c r="E151" s="62">
        <f t="shared" si="406"/>
        <v>0</v>
      </c>
      <c r="F151" s="223"/>
      <c r="G151" s="223">
        <f t="shared" si="358"/>
        <v>0</v>
      </c>
      <c r="H151" s="223">
        <f t="shared" si="358"/>
        <v>0</v>
      </c>
      <c r="I151" s="223">
        <f t="shared" si="358"/>
        <v>0</v>
      </c>
      <c r="J151" s="223">
        <f t="shared" si="358"/>
        <v>0</v>
      </c>
      <c r="K151" s="223">
        <f t="shared" si="358"/>
        <v>0</v>
      </c>
      <c r="L151" s="223">
        <f t="shared" si="358"/>
        <v>0</v>
      </c>
      <c r="M151" s="223">
        <f t="shared" si="358"/>
        <v>0</v>
      </c>
      <c r="N151" s="223">
        <f t="shared" si="358"/>
        <v>0</v>
      </c>
      <c r="O151" s="223">
        <f t="shared" si="358"/>
        <v>0</v>
      </c>
      <c r="P151" s="223">
        <f t="shared" si="358"/>
        <v>0</v>
      </c>
      <c r="Q151" s="223">
        <f t="shared" si="358"/>
        <v>0</v>
      </c>
      <c r="R151" s="223"/>
      <c r="S151" s="223">
        <f t="shared" si="408"/>
        <v>0</v>
      </c>
      <c r="T151" s="223">
        <f t="shared" si="360"/>
        <v>0</v>
      </c>
      <c r="U151" s="223">
        <f t="shared" si="360"/>
        <v>0</v>
      </c>
      <c r="V151" s="223">
        <f t="shared" si="360"/>
        <v>0</v>
      </c>
      <c r="W151" s="223">
        <f t="shared" si="360"/>
        <v>0</v>
      </c>
      <c r="X151" s="223">
        <f t="shared" si="360"/>
        <v>0</v>
      </c>
      <c r="Y151" s="223">
        <f t="shared" si="360"/>
        <v>0</v>
      </c>
      <c r="Z151" s="223">
        <f t="shared" si="360"/>
        <v>0</v>
      </c>
      <c r="AA151" s="223">
        <f t="shared" si="360"/>
        <v>0</v>
      </c>
      <c r="AB151" s="223">
        <f t="shared" si="360"/>
        <v>0</v>
      </c>
      <c r="AC151" s="223">
        <f t="shared" si="360"/>
        <v>0</v>
      </c>
      <c r="AD151" s="223">
        <f t="shared" si="360"/>
        <v>0</v>
      </c>
      <c r="AE151" s="223"/>
      <c r="AF151" s="223">
        <f t="shared" si="361"/>
        <v>0</v>
      </c>
      <c r="AG151" s="223">
        <f t="shared" si="362"/>
        <v>0</v>
      </c>
      <c r="AH151" s="223">
        <f t="shared" si="362"/>
        <v>0</v>
      </c>
      <c r="AI151" s="223">
        <f t="shared" si="362"/>
        <v>0</v>
      </c>
      <c r="AJ151" s="223">
        <f t="shared" si="362"/>
        <v>0</v>
      </c>
      <c r="AK151" s="223">
        <f t="shared" si="362"/>
        <v>0</v>
      </c>
      <c r="AL151" s="223">
        <f t="shared" si="362"/>
        <v>0</v>
      </c>
      <c r="AM151" s="223">
        <f t="shared" si="362"/>
        <v>0</v>
      </c>
      <c r="AN151" s="223">
        <f t="shared" si="362"/>
        <v>0</v>
      </c>
      <c r="AO151" s="223">
        <f t="shared" si="362"/>
        <v>0</v>
      </c>
      <c r="AP151" s="223">
        <f t="shared" si="362"/>
        <v>0</v>
      </c>
      <c r="AQ151" s="223">
        <f t="shared" si="362"/>
        <v>0</v>
      </c>
      <c r="AR151" s="223"/>
      <c r="AS151" s="223">
        <f t="shared" si="363"/>
        <v>0</v>
      </c>
      <c r="AT151" s="223">
        <f t="shared" si="364"/>
        <v>0</v>
      </c>
      <c r="AU151" s="223">
        <f t="shared" si="364"/>
        <v>0</v>
      </c>
      <c r="AV151" s="223">
        <f t="shared" si="364"/>
        <v>0</v>
      </c>
      <c r="AW151" s="223">
        <f t="shared" si="364"/>
        <v>0</v>
      </c>
      <c r="AX151" s="223">
        <f t="shared" si="364"/>
        <v>0</v>
      </c>
      <c r="AY151" s="223">
        <f t="shared" si="364"/>
        <v>0</v>
      </c>
      <c r="AZ151" s="223">
        <f t="shared" si="364"/>
        <v>0</v>
      </c>
      <c r="BA151" s="223">
        <f t="shared" si="364"/>
        <v>0</v>
      </c>
      <c r="BB151" s="223">
        <f t="shared" si="364"/>
        <v>0</v>
      </c>
      <c r="BC151" s="223">
        <f t="shared" si="364"/>
        <v>0</v>
      </c>
      <c r="BD151" s="223">
        <f t="shared" si="364"/>
        <v>0</v>
      </c>
      <c r="BE151" s="223"/>
      <c r="BF151" s="223">
        <f t="shared" si="365"/>
        <v>0</v>
      </c>
      <c r="BG151" s="223">
        <f t="shared" si="366"/>
        <v>0</v>
      </c>
      <c r="BH151" s="223">
        <f t="shared" si="366"/>
        <v>0</v>
      </c>
      <c r="BI151" s="223">
        <f t="shared" si="366"/>
        <v>0</v>
      </c>
      <c r="BJ151" s="223">
        <f t="shared" si="366"/>
        <v>0</v>
      </c>
      <c r="BK151" s="223">
        <f t="shared" si="366"/>
        <v>0</v>
      </c>
      <c r="BL151" s="223">
        <f t="shared" si="366"/>
        <v>0</v>
      </c>
      <c r="BM151" s="223">
        <f t="shared" si="366"/>
        <v>0</v>
      </c>
      <c r="BN151" s="223">
        <f t="shared" si="366"/>
        <v>0</v>
      </c>
      <c r="BO151" s="223">
        <f t="shared" si="366"/>
        <v>0</v>
      </c>
      <c r="BP151" s="223">
        <f t="shared" si="366"/>
        <v>0</v>
      </c>
      <c r="BQ151" s="223">
        <f t="shared" si="366"/>
        <v>0</v>
      </c>
      <c r="BR151" s="223"/>
      <c r="BS151" s="223">
        <f t="shared" si="367"/>
        <v>0</v>
      </c>
      <c r="BT151" s="223">
        <f t="shared" si="368"/>
        <v>0</v>
      </c>
      <c r="BU151" s="223">
        <f t="shared" si="368"/>
        <v>0</v>
      </c>
      <c r="BV151" s="223">
        <f t="shared" si="368"/>
        <v>0</v>
      </c>
      <c r="BW151" s="223">
        <f t="shared" si="368"/>
        <v>0</v>
      </c>
      <c r="BX151" s="223">
        <f t="shared" si="368"/>
        <v>0</v>
      </c>
      <c r="BY151" s="223">
        <f t="shared" si="368"/>
        <v>0</v>
      </c>
      <c r="BZ151" s="223">
        <f t="shared" si="368"/>
        <v>0</v>
      </c>
      <c r="CA151" s="223">
        <f t="shared" si="368"/>
        <v>0</v>
      </c>
      <c r="CB151" s="223">
        <f t="shared" si="368"/>
        <v>0</v>
      </c>
      <c r="CC151" s="223">
        <f t="shared" si="368"/>
        <v>0</v>
      </c>
      <c r="CD151" s="223">
        <f t="shared" si="368"/>
        <v>0</v>
      </c>
      <c r="CE151" s="389"/>
      <c r="CF151" s="223">
        <f t="shared" si="369"/>
        <v>0</v>
      </c>
      <c r="CG151" s="223">
        <f t="shared" si="370"/>
        <v>0</v>
      </c>
      <c r="CH151" s="223">
        <f t="shared" si="371"/>
        <v>0</v>
      </c>
      <c r="CI151" s="223">
        <f t="shared" si="372"/>
        <v>0</v>
      </c>
      <c r="CJ151" s="223">
        <f t="shared" si="373"/>
        <v>0</v>
      </c>
      <c r="CK151" s="223">
        <f t="shared" si="374"/>
        <v>0</v>
      </c>
      <c r="CL151" s="223">
        <f t="shared" si="375"/>
        <v>0</v>
      </c>
      <c r="CM151" s="223">
        <f t="shared" si="376"/>
        <v>0</v>
      </c>
      <c r="CN151" s="223">
        <f t="shared" si="377"/>
        <v>0</v>
      </c>
      <c r="CO151" s="223">
        <f t="shared" si="378"/>
        <v>0</v>
      </c>
      <c r="CP151" s="223">
        <f t="shared" si="379"/>
        <v>0</v>
      </c>
      <c r="CQ151" s="223">
        <f t="shared" si="380"/>
        <v>0</v>
      </c>
      <c r="CR151" s="389"/>
      <c r="CS151" s="223">
        <f t="shared" si="381"/>
        <v>0</v>
      </c>
      <c r="CT151" s="223">
        <f t="shared" si="382"/>
        <v>0</v>
      </c>
      <c r="CU151" s="223">
        <f t="shared" si="383"/>
        <v>0</v>
      </c>
      <c r="CV151" s="223">
        <f t="shared" si="384"/>
        <v>0</v>
      </c>
      <c r="CW151" s="223">
        <f t="shared" si="385"/>
        <v>0</v>
      </c>
      <c r="CX151" s="223">
        <f t="shared" si="386"/>
        <v>0</v>
      </c>
      <c r="CY151" s="223">
        <f t="shared" si="387"/>
        <v>0</v>
      </c>
      <c r="CZ151" s="223">
        <f t="shared" si="388"/>
        <v>0</v>
      </c>
      <c r="DA151" s="223">
        <f t="shared" si="389"/>
        <v>0</v>
      </c>
      <c r="DB151" s="223">
        <f t="shared" si="390"/>
        <v>0</v>
      </c>
      <c r="DC151" s="223">
        <f t="shared" si="391"/>
        <v>0</v>
      </c>
      <c r="DD151" s="223">
        <f t="shared" si="392"/>
        <v>0</v>
      </c>
      <c r="DE151" s="389"/>
      <c r="DF151" s="223">
        <f t="shared" si="393"/>
        <v>0</v>
      </c>
      <c r="DG151" s="223">
        <f t="shared" si="394"/>
        <v>0</v>
      </c>
      <c r="DH151" s="223">
        <f t="shared" si="395"/>
        <v>0</v>
      </c>
      <c r="DI151" s="223">
        <f t="shared" si="396"/>
        <v>0</v>
      </c>
      <c r="DJ151" s="223">
        <f t="shared" si="397"/>
        <v>0</v>
      </c>
      <c r="DK151" s="223">
        <f t="shared" si="398"/>
        <v>0</v>
      </c>
      <c r="DL151" s="223">
        <f t="shared" si="399"/>
        <v>0</v>
      </c>
      <c r="DM151" s="223">
        <f t="shared" si="400"/>
        <v>0</v>
      </c>
      <c r="DN151" s="223">
        <f t="shared" si="401"/>
        <v>0</v>
      </c>
      <c r="DO151" s="223">
        <f t="shared" si="402"/>
        <v>0</v>
      </c>
      <c r="DP151" s="223">
        <f t="shared" si="403"/>
        <v>0</v>
      </c>
      <c r="DQ151" s="223">
        <f t="shared" si="404"/>
        <v>0</v>
      </c>
      <c r="DR151" s="389"/>
      <c r="DS151" s="31">
        <f t="shared" si="405"/>
        <v>0</v>
      </c>
      <c r="DT151" s="390"/>
      <c r="DU151" s="9"/>
      <c r="DV151" s="8"/>
      <c r="DW151" s="7"/>
      <c r="DX151" s="7"/>
      <c r="DY151" s="7"/>
      <c r="DZ151" s="7"/>
      <c r="EA151" s="7"/>
      <c r="EB151" s="7"/>
      <c r="EC151" s="7"/>
    </row>
    <row r="152" spans="1:133">
      <c r="A152" s="1">
        <v>5</v>
      </c>
      <c r="B152" s="1">
        <v>5</v>
      </c>
      <c r="C152" s="57" t="str">
        <f t="shared" si="406"/>
        <v>///</v>
      </c>
      <c r="D152" s="57">
        <f t="shared" si="407"/>
        <v>0</v>
      </c>
      <c r="E152" s="62">
        <f t="shared" si="406"/>
        <v>0</v>
      </c>
      <c r="F152" s="223"/>
      <c r="G152" s="223">
        <f t="shared" si="358"/>
        <v>0</v>
      </c>
      <c r="H152" s="223">
        <f t="shared" si="358"/>
        <v>0</v>
      </c>
      <c r="I152" s="223">
        <f t="shared" si="358"/>
        <v>0</v>
      </c>
      <c r="J152" s="223">
        <f t="shared" si="358"/>
        <v>0</v>
      </c>
      <c r="K152" s="223">
        <f t="shared" si="358"/>
        <v>0</v>
      </c>
      <c r="L152" s="223">
        <f t="shared" si="358"/>
        <v>0</v>
      </c>
      <c r="M152" s="223">
        <f t="shared" si="358"/>
        <v>0</v>
      </c>
      <c r="N152" s="223">
        <f t="shared" si="358"/>
        <v>0</v>
      </c>
      <c r="O152" s="223">
        <f t="shared" si="358"/>
        <v>0</v>
      </c>
      <c r="P152" s="223">
        <f t="shared" si="358"/>
        <v>0</v>
      </c>
      <c r="Q152" s="223">
        <f t="shared" si="358"/>
        <v>0</v>
      </c>
      <c r="R152" s="223"/>
      <c r="S152" s="223">
        <f t="shared" si="408"/>
        <v>0</v>
      </c>
      <c r="T152" s="223">
        <f t="shared" si="360"/>
        <v>0</v>
      </c>
      <c r="U152" s="223">
        <f t="shared" si="360"/>
        <v>0</v>
      </c>
      <c r="V152" s="223">
        <f t="shared" si="360"/>
        <v>0</v>
      </c>
      <c r="W152" s="223">
        <f t="shared" si="360"/>
        <v>0</v>
      </c>
      <c r="X152" s="223">
        <f t="shared" si="360"/>
        <v>0</v>
      </c>
      <c r="Y152" s="223">
        <f t="shared" si="360"/>
        <v>0</v>
      </c>
      <c r="Z152" s="223">
        <f t="shared" si="360"/>
        <v>0</v>
      </c>
      <c r="AA152" s="223">
        <f t="shared" si="360"/>
        <v>0</v>
      </c>
      <c r="AB152" s="223">
        <f t="shared" si="360"/>
        <v>0</v>
      </c>
      <c r="AC152" s="223">
        <f t="shared" si="360"/>
        <v>0</v>
      </c>
      <c r="AD152" s="223">
        <f t="shared" si="360"/>
        <v>0</v>
      </c>
      <c r="AE152" s="223"/>
      <c r="AF152" s="223">
        <f t="shared" si="361"/>
        <v>0</v>
      </c>
      <c r="AG152" s="223">
        <f t="shared" si="362"/>
        <v>0</v>
      </c>
      <c r="AH152" s="223">
        <f t="shared" si="362"/>
        <v>0</v>
      </c>
      <c r="AI152" s="223">
        <f t="shared" si="362"/>
        <v>0</v>
      </c>
      <c r="AJ152" s="223">
        <f t="shared" si="362"/>
        <v>0</v>
      </c>
      <c r="AK152" s="223">
        <f t="shared" si="362"/>
        <v>0</v>
      </c>
      <c r="AL152" s="223">
        <f t="shared" si="362"/>
        <v>0</v>
      </c>
      <c r="AM152" s="223">
        <f t="shared" si="362"/>
        <v>0</v>
      </c>
      <c r="AN152" s="223">
        <f t="shared" si="362"/>
        <v>0</v>
      </c>
      <c r="AO152" s="223">
        <f t="shared" si="362"/>
        <v>0</v>
      </c>
      <c r="AP152" s="223">
        <f t="shared" si="362"/>
        <v>0</v>
      </c>
      <c r="AQ152" s="223">
        <f t="shared" si="362"/>
        <v>0</v>
      </c>
      <c r="AR152" s="223"/>
      <c r="AS152" s="223">
        <f t="shared" si="363"/>
        <v>0</v>
      </c>
      <c r="AT152" s="223">
        <f t="shared" si="364"/>
        <v>0</v>
      </c>
      <c r="AU152" s="223">
        <f t="shared" si="364"/>
        <v>0</v>
      </c>
      <c r="AV152" s="223">
        <f t="shared" si="364"/>
        <v>0</v>
      </c>
      <c r="AW152" s="223">
        <f t="shared" si="364"/>
        <v>0</v>
      </c>
      <c r="AX152" s="223">
        <f t="shared" si="364"/>
        <v>0</v>
      </c>
      <c r="AY152" s="223">
        <f t="shared" si="364"/>
        <v>0</v>
      </c>
      <c r="AZ152" s="223">
        <f t="shared" si="364"/>
        <v>0</v>
      </c>
      <c r="BA152" s="223">
        <f t="shared" si="364"/>
        <v>0</v>
      </c>
      <c r="BB152" s="223">
        <f t="shared" si="364"/>
        <v>0</v>
      </c>
      <c r="BC152" s="223">
        <f t="shared" si="364"/>
        <v>0</v>
      </c>
      <c r="BD152" s="223">
        <f t="shared" si="364"/>
        <v>0</v>
      </c>
      <c r="BE152" s="223"/>
      <c r="BF152" s="223">
        <f t="shared" si="365"/>
        <v>0</v>
      </c>
      <c r="BG152" s="223">
        <f t="shared" si="366"/>
        <v>0</v>
      </c>
      <c r="BH152" s="223">
        <f t="shared" si="366"/>
        <v>0</v>
      </c>
      <c r="BI152" s="223">
        <f t="shared" si="366"/>
        <v>0</v>
      </c>
      <c r="BJ152" s="223">
        <f t="shared" si="366"/>
        <v>0</v>
      </c>
      <c r="BK152" s="223">
        <f t="shared" si="366"/>
        <v>0</v>
      </c>
      <c r="BL152" s="223">
        <f t="shared" si="366"/>
        <v>0</v>
      </c>
      <c r="BM152" s="223">
        <f t="shared" si="366"/>
        <v>0</v>
      </c>
      <c r="BN152" s="223">
        <f t="shared" si="366"/>
        <v>0</v>
      </c>
      <c r="BO152" s="223">
        <f t="shared" si="366"/>
        <v>0</v>
      </c>
      <c r="BP152" s="223">
        <f t="shared" si="366"/>
        <v>0</v>
      </c>
      <c r="BQ152" s="223">
        <f t="shared" si="366"/>
        <v>0</v>
      </c>
      <c r="BR152" s="223"/>
      <c r="BS152" s="223">
        <f t="shared" si="367"/>
        <v>0</v>
      </c>
      <c r="BT152" s="223">
        <f t="shared" si="368"/>
        <v>0</v>
      </c>
      <c r="BU152" s="223">
        <f t="shared" si="368"/>
        <v>0</v>
      </c>
      <c r="BV152" s="223">
        <f t="shared" si="368"/>
        <v>0</v>
      </c>
      <c r="BW152" s="223">
        <f t="shared" si="368"/>
        <v>0</v>
      </c>
      <c r="BX152" s="223">
        <f t="shared" si="368"/>
        <v>0</v>
      </c>
      <c r="BY152" s="223">
        <f t="shared" si="368"/>
        <v>0</v>
      </c>
      <c r="BZ152" s="223">
        <f t="shared" si="368"/>
        <v>0</v>
      </c>
      <c r="CA152" s="223">
        <f t="shared" si="368"/>
        <v>0</v>
      </c>
      <c r="CB152" s="223">
        <f t="shared" si="368"/>
        <v>0</v>
      </c>
      <c r="CC152" s="223">
        <f t="shared" si="368"/>
        <v>0</v>
      </c>
      <c r="CD152" s="223">
        <f t="shared" si="368"/>
        <v>0</v>
      </c>
      <c r="CE152" s="389"/>
      <c r="CF152" s="223">
        <f t="shared" si="369"/>
        <v>0</v>
      </c>
      <c r="CG152" s="223">
        <f t="shared" si="370"/>
        <v>0</v>
      </c>
      <c r="CH152" s="223">
        <f t="shared" si="371"/>
        <v>0</v>
      </c>
      <c r="CI152" s="223">
        <f t="shared" si="372"/>
        <v>0</v>
      </c>
      <c r="CJ152" s="223">
        <f t="shared" si="373"/>
        <v>0</v>
      </c>
      <c r="CK152" s="223">
        <f t="shared" si="374"/>
        <v>0</v>
      </c>
      <c r="CL152" s="223">
        <f t="shared" si="375"/>
        <v>0</v>
      </c>
      <c r="CM152" s="223">
        <f t="shared" si="376"/>
        <v>0</v>
      </c>
      <c r="CN152" s="223">
        <f t="shared" si="377"/>
        <v>0</v>
      </c>
      <c r="CO152" s="223">
        <f t="shared" si="378"/>
        <v>0</v>
      </c>
      <c r="CP152" s="223">
        <f t="shared" si="379"/>
        <v>0</v>
      </c>
      <c r="CQ152" s="223">
        <f t="shared" si="380"/>
        <v>0</v>
      </c>
      <c r="CR152" s="389"/>
      <c r="CS152" s="223">
        <f t="shared" si="381"/>
        <v>0</v>
      </c>
      <c r="CT152" s="223">
        <f t="shared" si="382"/>
        <v>0</v>
      </c>
      <c r="CU152" s="223">
        <f t="shared" si="383"/>
        <v>0</v>
      </c>
      <c r="CV152" s="223">
        <f t="shared" si="384"/>
        <v>0</v>
      </c>
      <c r="CW152" s="223">
        <f t="shared" si="385"/>
        <v>0</v>
      </c>
      <c r="CX152" s="223">
        <f t="shared" si="386"/>
        <v>0</v>
      </c>
      <c r="CY152" s="223">
        <f t="shared" si="387"/>
        <v>0</v>
      </c>
      <c r="CZ152" s="223">
        <f t="shared" si="388"/>
        <v>0</v>
      </c>
      <c r="DA152" s="223">
        <f t="shared" si="389"/>
        <v>0</v>
      </c>
      <c r="DB152" s="223">
        <f t="shared" si="390"/>
        <v>0</v>
      </c>
      <c r="DC152" s="223">
        <f t="shared" si="391"/>
        <v>0</v>
      </c>
      <c r="DD152" s="223">
        <f t="shared" si="392"/>
        <v>0</v>
      </c>
      <c r="DE152" s="389"/>
      <c r="DF152" s="223">
        <f t="shared" si="393"/>
        <v>0</v>
      </c>
      <c r="DG152" s="223">
        <f t="shared" si="394"/>
        <v>0</v>
      </c>
      <c r="DH152" s="223">
        <f t="shared" si="395"/>
        <v>0</v>
      </c>
      <c r="DI152" s="223">
        <f t="shared" si="396"/>
        <v>0</v>
      </c>
      <c r="DJ152" s="223">
        <f t="shared" si="397"/>
        <v>0</v>
      </c>
      <c r="DK152" s="223">
        <f t="shared" si="398"/>
        <v>0</v>
      </c>
      <c r="DL152" s="223">
        <f t="shared" si="399"/>
        <v>0</v>
      </c>
      <c r="DM152" s="223">
        <f t="shared" si="400"/>
        <v>0</v>
      </c>
      <c r="DN152" s="223">
        <f t="shared" si="401"/>
        <v>0</v>
      </c>
      <c r="DO152" s="223">
        <f t="shared" si="402"/>
        <v>0</v>
      </c>
      <c r="DP152" s="223">
        <f t="shared" si="403"/>
        <v>0</v>
      </c>
      <c r="DQ152" s="223">
        <f t="shared" si="404"/>
        <v>0</v>
      </c>
      <c r="DR152" s="389"/>
      <c r="DS152" s="31">
        <f t="shared" si="405"/>
        <v>0</v>
      </c>
      <c r="DT152" s="390"/>
      <c r="DU152" s="9"/>
      <c r="DV152" s="8"/>
      <c r="DW152" s="7"/>
      <c r="DX152" s="7"/>
      <c r="DY152" s="7"/>
      <c r="DZ152" s="7"/>
      <c r="EA152" s="7"/>
      <c r="EB152" s="7"/>
      <c r="EC152" s="7"/>
    </row>
    <row r="153" spans="1:133">
      <c r="C153" s="57" t="str">
        <f t="shared" si="406"/>
        <v>///</v>
      </c>
      <c r="D153" s="57">
        <f t="shared" si="407"/>
        <v>0</v>
      </c>
      <c r="E153" s="62">
        <f t="shared" si="406"/>
        <v>0</v>
      </c>
      <c r="F153" s="223"/>
      <c r="G153" s="223">
        <f t="shared" si="358"/>
        <v>0</v>
      </c>
      <c r="H153" s="223">
        <f t="shared" si="358"/>
        <v>0</v>
      </c>
      <c r="I153" s="223">
        <f t="shared" si="358"/>
        <v>0</v>
      </c>
      <c r="J153" s="223">
        <f t="shared" si="358"/>
        <v>0</v>
      </c>
      <c r="K153" s="223">
        <f t="shared" si="358"/>
        <v>0</v>
      </c>
      <c r="L153" s="223">
        <f t="shared" si="358"/>
        <v>0</v>
      </c>
      <c r="M153" s="223">
        <f t="shared" si="358"/>
        <v>0</v>
      </c>
      <c r="N153" s="223">
        <f t="shared" si="358"/>
        <v>0</v>
      </c>
      <c r="O153" s="223">
        <f t="shared" si="358"/>
        <v>0</v>
      </c>
      <c r="P153" s="223">
        <f t="shared" si="358"/>
        <v>0</v>
      </c>
      <c r="Q153" s="223">
        <f t="shared" si="358"/>
        <v>0</v>
      </c>
      <c r="R153" s="223"/>
      <c r="S153" s="223">
        <f t="shared" si="408"/>
        <v>0</v>
      </c>
      <c r="T153" s="223">
        <f t="shared" si="360"/>
        <v>0</v>
      </c>
      <c r="U153" s="223">
        <f t="shared" si="360"/>
        <v>0</v>
      </c>
      <c r="V153" s="223">
        <f t="shared" si="360"/>
        <v>0</v>
      </c>
      <c r="W153" s="223">
        <f t="shared" si="360"/>
        <v>0</v>
      </c>
      <c r="X153" s="223">
        <f t="shared" si="360"/>
        <v>0</v>
      </c>
      <c r="Y153" s="223">
        <f t="shared" si="360"/>
        <v>0</v>
      </c>
      <c r="Z153" s="223">
        <f t="shared" si="360"/>
        <v>0</v>
      </c>
      <c r="AA153" s="223">
        <f t="shared" si="360"/>
        <v>0</v>
      </c>
      <c r="AB153" s="223">
        <f t="shared" si="360"/>
        <v>0</v>
      </c>
      <c r="AC153" s="223">
        <f t="shared" si="360"/>
        <v>0</v>
      </c>
      <c r="AD153" s="223">
        <f t="shared" si="360"/>
        <v>0</v>
      </c>
      <c r="AE153" s="223"/>
      <c r="AF153" s="223">
        <f t="shared" si="361"/>
        <v>0</v>
      </c>
      <c r="AG153" s="223">
        <f t="shared" si="362"/>
        <v>0</v>
      </c>
      <c r="AH153" s="223">
        <f t="shared" si="362"/>
        <v>0</v>
      </c>
      <c r="AI153" s="223">
        <f t="shared" si="362"/>
        <v>0</v>
      </c>
      <c r="AJ153" s="223">
        <f t="shared" si="362"/>
        <v>0</v>
      </c>
      <c r="AK153" s="223">
        <f t="shared" si="362"/>
        <v>0</v>
      </c>
      <c r="AL153" s="223">
        <f t="shared" si="362"/>
        <v>0</v>
      </c>
      <c r="AM153" s="223">
        <f t="shared" si="362"/>
        <v>0</v>
      </c>
      <c r="AN153" s="223">
        <f t="shared" si="362"/>
        <v>0</v>
      </c>
      <c r="AO153" s="223">
        <f t="shared" si="362"/>
        <v>0</v>
      </c>
      <c r="AP153" s="223">
        <f t="shared" si="362"/>
        <v>0</v>
      </c>
      <c r="AQ153" s="223">
        <f t="shared" si="362"/>
        <v>0</v>
      </c>
      <c r="AR153" s="223"/>
      <c r="AS153" s="223">
        <f t="shared" si="363"/>
        <v>0</v>
      </c>
      <c r="AT153" s="223">
        <f t="shared" si="364"/>
        <v>0</v>
      </c>
      <c r="AU153" s="223">
        <f t="shared" si="364"/>
        <v>0</v>
      </c>
      <c r="AV153" s="223">
        <f t="shared" si="364"/>
        <v>0</v>
      </c>
      <c r="AW153" s="223">
        <f t="shared" si="364"/>
        <v>0</v>
      </c>
      <c r="AX153" s="223">
        <f t="shared" si="364"/>
        <v>0</v>
      </c>
      <c r="AY153" s="223">
        <f t="shared" si="364"/>
        <v>0</v>
      </c>
      <c r="AZ153" s="223">
        <f t="shared" si="364"/>
        <v>0</v>
      </c>
      <c r="BA153" s="223">
        <f t="shared" si="364"/>
        <v>0</v>
      </c>
      <c r="BB153" s="223">
        <f t="shared" si="364"/>
        <v>0</v>
      </c>
      <c r="BC153" s="223">
        <f t="shared" si="364"/>
        <v>0</v>
      </c>
      <c r="BD153" s="223">
        <f t="shared" si="364"/>
        <v>0</v>
      </c>
      <c r="BE153" s="223"/>
      <c r="BF153" s="223">
        <f t="shared" si="365"/>
        <v>0</v>
      </c>
      <c r="BG153" s="223">
        <f t="shared" si="366"/>
        <v>0</v>
      </c>
      <c r="BH153" s="223">
        <f t="shared" si="366"/>
        <v>0</v>
      </c>
      <c r="BI153" s="223">
        <f t="shared" si="366"/>
        <v>0</v>
      </c>
      <c r="BJ153" s="223">
        <f t="shared" si="366"/>
        <v>0</v>
      </c>
      <c r="BK153" s="223">
        <f t="shared" si="366"/>
        <v>0</v>
      </c>
      <c r="BL153" s="223">
        <f t="shared" si="366"/>
        <v>0</v>
      </c>
      <c r="BM153" s="223">
        <f t="shared" si="366"/>
        <v>0</v>
      </c>
      <c r="BN153" s="223">
        <f t="shared" si="366"/>
        <v>0</v>
      </c>
      <c r="BO153" s="223">
        <f t="shared" si="366"/>
        <v>0</v>
      </c>
      <c r="BP153" s="223">
        <f t="shared" si="366"/>
        <v>0</v>
      </c>
      <c r="BQ153" s="223">
        <f t="shared" si="366"/>
        <v>0</v>
      </c>
      <c r="BR153" s="223"/>
      <c r="BS153" s="223">
        <f t="shared" si="367"/>
        <v>0</v>
      </c>
      <c r="BT153" s="223">
        <f t="shared" si="368"/>
        <v>0</v>
      </c>
      <c r="BU153" s="223">
        <f t="shared" si="368"/>
        <v>0</v>
      </c>
      <c r="BV153" s="223">
        <f t="shared" si="368"/>
        <v>0</v>
      </c>
      <c r="BW153" s="223">
        <f t="shared" si="368"/>
        <v>0</v>
      </c>
      <c r="BX153" s="223">
        <f t="shared" si="368"/>
        <v>0</v>
      </c>
      <c r="BY153" s="223">
        <f t="shared" si="368"/>
        <v>0</v>
      </c>
      <c r="BZ153" s="223">
        <f t="shared" si="368"/>
        <v>0</v>
      </c>
      <c r="CA153" s="223">
        <f t="shared" si="368"/>
        <v>0</v>
      </c>
      <c r="CB153" s="223">
        <f t="shared" si="368"/>
        <v>0</v>
      </c>
      <c r="CC153" s="223">
        <f t="shared" si="368"/>
        <v>0</v>
      </c>
      <c r="CD153" s="223">
        <f t="shared" si="368"/>
        <v>0</v>
      </c>
      <c r="CE153" s="389"/>
      <c r="CF153" s="223">
        <f t="shared" si="369"/>
        <v>0</v>
      </c>
      <c r="CG153" s="223">
        <f t="shared" si="370"/>
        <v>0</v>
      </c>
      <c r="CH153" s="223">
        <f t="shared" si="371"/>
        <v>0</v>
      </c>
      <c r="CI153" s="223">
        <f t="shared" si="372"/>
        <v>0</v>
      </c>
      <c r="CJ153" s="223">
        <f t="shared" si="373"/>
        <v>0</v>
      </c>
      <c r="CK153" s="223">
        <f t="shared" si="374"/>
        <v>0</v>
      </c>
      <c r="CL153" s="223">
        <f t="shared" si="375"/>
        <v>0</v>
      </c>
      <c r="CM153" s="223">
        <f t="shared" si="376"/>
        <v>0</v>
      </c>
      <c r="CN153" s="223">
        <f t="shared" si="377"/>
        <v>0</v>
      </c>
      <c r="CO153" s="223">
        <f t="shared" si="378"/>
        <v>0</v>
      </c>
      <c r="CP153" s="223">
        <f t="shared" si="379"/>
        <v>0</v>
      </c>
      <c r="CQ153" s="223">
        <f t="shared" si="380"/>
        <v>0</v>
      </c>
      <c r="CR153" s="389"/>
      <c r="CS153" s="223">
        <f t="shared" si="381"/>
        <v>0</v>
      </c>
      <c r="CT153" s="223">
        <f t="shared" si="382"/>
        <v>0</v>
      </c>
      <c r="CU153" s="223">
        <f t="shared" si="383"/>
        <v>0</v>
      </c>
      <c r="CV153" s="223">
        <f t="shared" si="384"/>
        <v>0</v>
      </c>
      <c r="CW153" s="223">
        <f t="shared" si="385"/>
        <v>0</v>
      </c>
      <c r="CX153" s="223">
        <f t="shared" si="386"/>
        <v>0</v>
      </c>
      <c r="CY153" s="223">
        <f t="shared" si="387"/>
        <v>0</v>
      </c>
      <c r="CZ153" s="223">
        <f t="shared" si="388"/>
        <v>0</v>
      </c>
      <c r="DA153" s="223">
        <f t="shared" si="389"/>
        <v>0</v>
      </c>
      <c r="DB153" s="223">
        <f t="shared" si="390"/>
        <v>0</v>
      </c>
      <c r="DC153" s="223">
        <f t="shared" si="391"/>
        <v>0</v>
      </c>
      <c r="DD153" s="223">
        <f t="shared" si="392"/>
        <v>0</v>
      </c>
      <c r="DE153" s="389"/>
      <c r="DF153" s="223">
        <f t="shared" si="393"/>
        <v>0</v>
      </c>
      <c r="DG153" s="223">
        <f t="shared" si="394"/>
        <v>0</v>
      </c>
      <c r="DH153" s="223">
        <f t="shared" si="395"/>
        <v>0</v>
      </c>
      <c r="DI153" s="223">
        <f t="shared" si="396"/>
        <v>0</v>
      </c>
      <c r="DJ153" s="223">
        <f t="shared" si="397"/>
        <v>0</v>
      </c>
      <c r="DK153" s="223">
        <f t="shared" si="398"/>
        <v>0</v>
      </c>
      <c r="DL153" s="223">
        <f t="shared" si="399"/>
        <v>0</v>
      </c>
      <c r="DM153" s="223">
        <f t="shared" si="400"/>
        <v>0</v>
      </c>
      <c r="DN153" s="223">
        <f t="shared" si="401"/>
        <v>0</v>
      </c>
      <c r="DO153" s="223">
        <f t="shared" si="402"/>
        <v>0</v>
      </c>
      <c r="DP153" s="223">
        <f t="shared" si="403"/>
        <v>0</v>
      </c>
      <c r="DQ153" s="223">
        <f t="shared" si="404"/>
        <v>0</v>
      </c>
      <c r="DR153" s="389"/>
      <c r="DS153" s="31">
        <f t="shared" si="405"/>
        <v>0</v>
      </c>
      <c r="DT153" s="390"/>
      <c r="DU153" s="9"/>
      <c r="DV153" s="8"/>
      <c r="DW153" s="7"/>
      <c r="DX153" s="7"/>
      <c r="DY153" s="7"/>
      <c r="DZ153" s="7"/>
      <c r="EA153" s="7"/>
      <c r="EB153" s="7"/>
      <c r="EC153" s="7"/>
    </row>
    <row r="154" spans="1:133">
      <c r="A154" s="1">
        <v>5</v>
      </c>
      <c r="B154" s="1">
        <v>6</v>
      </c>
      <c r="C154" s="57" t="str">
        <f t="shared" si="406"/>
        <v>///</v>
      </c>
      <c r="D154" s="57">
        <f t="shared" si="407"/>
        <v>0</v>
      </c>
      <c r="E154" s="62">
        <f t="shared" si="406"/>
        <v>0</v>
      </c>
      <c r="F154" s="223"/>
      <c r="G154" s="223">
        <f t="shared" si="358"/>
        <v>0</v>
      </c>
      <c r="H154" s="223">
        <f t="shared" si="358"/>
        <v>0</v>
      </c>
      <c r="I154" s="223">
        <f t="shared" si="358"/>
        <v>0</v>
      </c>
      <c r="J154" s="223">
        <f t="shared" si="358"/>
        <v>0</v>
      </c>
      <c r="K154" s="223">
        <f t="shared" si="358"/>
        <v>0</v>
      </c>
      <c r="L154" s="223">
        <f t="shared" si="358"/>
        <v>0</v>
      </c>
      <c r="M154" s="223">
        <f t="shared" si="358"/>
        <v>0</v>
      </c>
      <c r="N154" s="223">
        <f t="shared" si="358"/>
        <v>0</v>
      </c>
      <c r="O154" s="223">
        <f t="shared" si="358"/>
        <v>0</v>
      </c>
      <c r="P154" s="223">
        <f t="shared" si="358"/>
        <v>0</v>
      </c>
      <c r="Q154" s="223">
        <f t="shared" si="358"/>
        <v>0</v>
      </c>
      <c r="R154" s="223"/>
      <c r="S154" s="223">
        <f t="shared" si="408"/>
        <v>0</v>
      </c>
      <c r="T154" s="223">
        <f t="shared" si="360"/>
        <v>0</v>
      </c>
      <c r="U154" s="223">
        <f t="shared" si="360"/>
        <v>0</v>
      </c>
      <c r="V154" s="223">
        <f t="shared" si="360"/>
        <v>0</v>
      </c>
      <c r="W154" s="223">
        <f t="shared" si="360"/>
        <v>0</v>
      </c>
      <c r="X154" s="223">
        <f t="shared" si="360"/>
        <v>0</v>
      </c>
      <c r="Y154" s="223">
        <f t="shared" si="360"/>
        <v>0</v>
      </c>
      <c r="Z154" s="223">
        <f t="shared" si="360"/>
        <v>0</v>
      </c>
      <c r="AA154" s="223">
        <f t="shared" si="360"/>
        <v>0</v>
      </c>
      <c r="AB154" s="223">
        <f t="shared" si="360"/>
        <v>0</v>
      </c>
      <c r="AC154" s="223">
        <f t="shared" si="360"/>
        <v>0</v>
      </c>
      <c r="AD154" s="223">
        <f t="shared" si="360"/>
        <v>0</v>
      </c>
      <c r="AE154" s="223"/>
      <c r="AF154" s="223">
        <f t="shared" si="361"/>
        <v>0</v>
      </c>
      <c r="AG154" s="223">
        <f t="shared" si="362"/>
        <v>0</v>
      </c>
      <c r="AH154" s="223">
        <f t="shared" si="362"/>
        <v>0</v>
      </c>
      <c r="AI154" s="223">
        <f t="shared" si="362"/>
        <v>0</v>
      </c>
      <c r="AJ154" s="223">
        <f t="shared" si="362"/>
        <v>0</v>
      </c>
      <c r="AK154" s="223">
        <f t="shared" si="362"/>
        <v>0</v>
      </c>
      <c r="AL154" s="223">
        <f t="shared" si="362"/>
        <v>0</v>
      </c>
      <c r="AM154" s="223">
        <f t="shared" si="362"/>
        <v>0</v>
      </c>
      <c r="AN154" s="223">
        <f t="shared" si="362"/>
        <v>0</v>
      </c>
      <c r="AO154" s="223">
        <f t="shared" si="362"/>
        <v>0</v>
      </c>
      <c r="AP154" s="223">
        <f t="shared" si="362"/>
        <v>0</v>
      </c>
      <c r="AQ154" s="223">
        <f t="shared" si="362"/>
        <v>0</v>
      </c>
      <c r="AR154" s="223"/>
      <c r="AS154" s="223">
        <f t="shared" si="363"/>
        <v>0</v>
      </c>
      <c r="AT154" s="223">
        <f t="shared" si="364"/>
        <v>0</v>
      </c>
      <c r="AU154" s="223">
        <f t="shared" si="364"/>
        <v>0</v>
      </c>
      <c r="AV154" s="223">
        <f t="shared" si="364"/>
        <v>0</v>
      </c>
      <c r="AW154" s="223">
        <f t="shared" si="364"/>
        <v>0</v>
      </c>
      <c r="AX154" s="223">
        <f t="shared" si="364"/>
        <v>0</v>
      </c>
      <c r="AY154" s="223">
        <f t="shared" si="364"/>
        <v>0</v>
      </c>
      <c r="AZ154" s="223">
        <f t="shared" si="364"/>
        <v>0</v>
      </c>
      <c r="BA154" s="223">
        <f t="shared" si="364"/>
        <v>0</v>
      </c>
      <c r="BB154" s="223">
        <f t="shared" si="364"/>
        <v>0</v>
      </c>
      <c r="BC154" s="223">
        <f t="shared" si="364"/>
        <v>0</v>
      </c>
      <c r="BD154" s="223">
        <f t="shared" si="364"/>
        <v>0</v>
      </c>
      <c r="BE154" s="223"/>
      <c r="BF154" s="223">
        <f t="shared" si="365"/>
        <v>0</v>
      </c>
      <c r="BG154" s="223">
        <f t="shared" si="366"/>
        <v>0</v>
      </c>
      <c r="BH154" s="223">
        <f t="shared" si="366"/>
        <v>0</v>
      </c>
      <c r="BI154" s="223">
        <f t="shared" si="366"/>
        <v>0</v>
      </c>
      <c r="BJ154" s="223">
        <f t="shared" si="366"/>
        <v>0</v>
      </c>
      <c r="BK154" s="223">
        <f t="shared" si="366"/>
        <v>0</v>
      </c>
      <c r="BL154" s="223">
        <f t="shared" si="366"/>
        <v>0</v>
      </c>
      <c r="BM154" s="223">
        <f t="shared" si="366"/>
        <v>0</v>
      </c>
      <c r="BN154" s="223">
        <f t="shared" si="366"/>
        <v>0</v>
      </c>
      <c r="BO154" s="223">
        <f t="shared" si="366"/>
        <v>0</v>
      </c>
      <c r="BP154" s="223">
        <f t="shared" si="366"/>
        <v>0</v>
      </c>
      <c r="BQ154" s="223">
        <f t="shared" si="366"/>
        <v>0</v>
      </c>
      <c r="BR154" s="223"/>
      <c r="BS154" s="223">
        <f t="shared" si="367"/>
        <v>0</v>
      </c>
      <c r="BT154" s="223">
        <f t="shared" si="368"/>
        <v>0</v>
      </c>
      <c r="BU154" s="223">
        <f t="shared" si="368"/>
        <v>0</v>
      </c>
      <c r="BV154" s="223">
        <f t="shared" si="368"/>
        <v>0</v>
      </c>
      <c r="BW154" s="223">
        <f t="shared" si="368"/>
        <v>0</v>
      </c>
      <c r="BX154" s="223">
        <f t="shared" si="368"/>
        <v>0</v>
      </c>
      <c r="BY154" s="223">
        <f t="shared" si="368"/>
        <v>0</v>
      </c>
      <c r="BZ154" s="223">
        <f t="shared" si="368"/>
        <v>0</v>
      </c>
      <c r="CA154" s="223">
        <f t="shared" si="368"/>
        <v>0</v>
      </c>
      <c r="CB154" s="223">
        <f t="shared" si="368"/>
        <v>0</v>
      </c>
      <c r="CC154" s="223">
        <f t="shared" si="368"/>
        <v>0</v>
      </c>
      <c r="CD154" s="223">
        <f t="shared" si="368"/>
        <v>0</v>
      </c>
      <c r="CE154" s="389"/>
      <c r="CF154" s="223">
        <f t="shared" si="369"/>
        <v>0</v>
      </c>
      <c r="CG154" s="223">
        <f t="shared" si="370"/>
        <v>0</v>
      </c>
      <c r="CH154" s="223">
        <f t="shared" si="371"/>
        <v>0</v>
      </c>
      <c r="CI154" s="223">
        <f t="shared" si="372"/>
        <v>0</v>
      </c>
      <c r="CJ154" s="223">
        <f t="shared" si="373"/>
        <v>0</v>
      </c>
      <c r="CK154" s="223">
        <f t="shared" si="374"/>
        <v>0</v>
      </c>
      <c r="CL154" s="223">
        <f t="shared" si="375"/>
        <v>0</v>
      </c>
      <c r="CM154" s="223">
        <f t="shared" si="376"/>
        <v>0</v>
      </c>
      <c r="CN154" s="223">
        <f t="shared" si="377"/>
        <v>0</v>
      </c>
      <c r="CO154" s="223">
        <f t="shared" si="378"/>
        <v>0</v>
      </c>
      <c r="CP154" s="223">
        <f t="shared" si="379"/>
        <v>0</v>
      </c>
      <c r="CQ154" s="223">
        <f t="shared" si="380"/>
        <v>0</v>
      </c>
      <c r="CR154" s="389"/>
      <c r="CS154" s="223">
        <f t="shared" si="381"/>
        <v>0</v>
      </c>
      <c r="CT154" s="223">
        <f t="shared" si="382"/>
        <v>0</v>
      </c>
      <c r="CU154" s="223">
        <f t="shared" si="383"/>
        <v>0</v>
      </c>
      <c r="CV154" s="223">
        <f t="shared" si="384"/>
        <v>0</v>
      </c>
      <c r="CW154" s="223">
        <f t="shared" si="385"/>
        <v>0</v>
      </c>
      <c r="CX154" s="223">
        <f t="shared" si="386"/>
        <v>0</v>
      </c>
      <c r="CY154" s="223">
        <f t="shared" si="387"/>
        <v>0</v>
      </c>
      <c r="CZ154" s="223">
        <f t="shared" si="388"/>
        <v>0</v>
      </c>
      <c r="DA154" s="223">
        <f t="shared" si="389"/>
        <v>0</v>
      </c>
      <c r="DB154" s="223">
        <f t="shared" si="390"/>
        <v>0</v>
      </c>
      <c r="DC154" s="223">
        <f t="shared" si="391"/>
        <v>0</v>
      </c>
      <c r="DD154" s="223">
        <f t="shared" si="392"/>
        <v>0</v>
      </c>
      <c r="DE154" s="389"/>
      <c r="DF154" s="223">
        <f t="shared" si="393"/>
        <v>0</v>
      </c>
      <c r="DG154" s="223">
        <f t="shared" si="394"/>
        <v>0</v>
      </c>
      <c r="DH154" s="223">
        <f t="shared" si="395"/>
        <v>0</v>
      </c>
      <c r="DI154" s="223">
        <f t="shared" si="396"/>
        <v>0</v>
      </c>
      <c r="DJ154" s="223">
        <f t="shared" si="397"/>
        <v>0</v>
      </c>
      <c r="DK154" s="223">
        <f t="shared" si="398"/>
        <v>0</v>
      </c>
      <c r="DL154" s="223">
        <f t="shared" si="399"/>
        <v>0</v>
      </c>
      <c r="DM154" s="223">
        <f t="shared" si="400"/>
        <v>0</v>
      </c>
      <c r="DN154" s="223">
        <f t="shared" si="401"/>
        <v>0</v>
      </c>
      <c r="DO154" s="223">
        <f t="shared" si="402"/>
        <v>0</v>
      </c>
      <c r="DP154" s="223">
        <f t="shared" si="403"/>
        <v>0</v>
      </c>
      <c r="DQ154" s="223">
        <f t="shared" si="404"/>
        <v>0</v>
      </c>
      <c r="DR154" s="389"/>
      <c r="DS154" s="31">
        <f t="shared" si="405"/>
        <v>0</v>
      </c>
      <c r="DT154" s="390"/>
      <c r="DU154" s="9"/>
      <c r="DV154" s="8"/>
      <c r="DW154" s="7"/>
      <c r="DX154" s="7"/>
      <c r="DY154" s="7"/>
      <c r="DZ154" s="7"/>
      <c r="EA154" s="7"/>
      <c r="EB154" s="7"/>
      <c r="EC154" s="7"/>
    </row>
    <row r="155" spans="1:133">
      <c r="C155" s="57" t="str">
        <f t="shared" si="406"/>
        <v>///</v>
      </c>
      <c r="D155" s="57">
        <f t="shared" si="407"/>
        <v>0</v>
      </c>
      <c r="E155" s="62">
        <f t="shared" si="406"/>
        <v>0</v>
      </c>
      <c r="F155" s="223"/>
      <c r="G155" s="223">
        <f t="shared" si="358"/>
        <v>0</v>
      </c>
      <c r="H155" s="223">
        <f t="shared" si="358"/>
        <v>0</v>
      </c>
      <c r="I155" s="223">
        <f t="shared" si="358"/>
        <v>0</v>
      </c>
      <c r="J155" s="223">
        <f t="shared" si="358"/>
        <v>0</v>
      </c>
      <c r="K155" s="223">
        <f t="shared" si="358"/>
        <v>0</v>
      </c>
      <c r="L155" s="223">
        <f t="shared" si="358"/>
        <v>0</v>
      </c>
      <c r="M155" s="223">
        <f t="shared" si="358"/>
        <v>0</v>
      </c>
      <c r="N155" s="223">
        <f t="shared" si="358"/>
        <v>0</v>
      </c>
      <c r="O155" s="223">
        <f t="shared" si="358"/>
        <v>0</v>
      </c>
      <c r="P155" s="223">
        <f t="shared" si="358"/>
        <v>0</v>
      </c>
      <c r="Q155" s="223">
        <f t="shared" si="358"/>
        <v>0</v>
      </c>
      <c r="R155" s="223"/>
      <c r="S155" s="223">
        <f t="shared" si="408"/>
        <v>0</v>
      </c>
      <c r="T155" s="223">
        <f t="shared" si="360"/>
        <v>0</v>
      </c>
      <c r="U155" s="223">
        <f t="shared" si="360"/>
        <v>0</v>
      </c>
      <c r="V155" s="223">
        <f t="shared" si="360"/>
        <v>0</v>
      </c>
      <c r="W155" s="223">
        <f t="shared" si="360"/>
        <v>0</v>
      </c>
      <c r="X155" s="223">
        <f t="shared" si="360"/>
        <v>0</v>
      </c>
      <c r="Y155" s="223">
        <f t="shared" si="360"/>
        <v>0</v>
      </c>
      <c r="Z155" s="223">
        <f t="shared" si="360"/>
        <v>0</v>
      </c>
      <c r="AA155" s="223">
        <f t="shared" si="360"/>
        <v>0</v>
      </c>
      <c r="AB155" s="223">
        <f t="shared" si="360"/>
        <v>0</v>
      </c>
      <c r="AC155" s="223">
        <f t="shared" si="360"/>
        <v>0</v>
      </c>
      <c r="AD155" s="223">
        <f t="shared" si="360"/>
        <v>0</v>
      </c>
      <c r="AE155" s="223"/>
      <c r="AF155" s="223">
        <f t="shared" si="361"/>
        <v>0</v>
      </c>
      <c r="AG155" s="223">
        <f t="shared" si="362"/>
        <v>0</v>
      </c>
      <c r="AH155" s="223">
        <f t="shared" si="362"/>
        <v>0</v>
      </c>
      <c r="AI155" s="223">
        <f t="shared" si="362"/>
        <v>0</v>
      </c>
      <c r="AJ155" s="223">
        <f t="shared" si="362"/>
        <v>0</v>
      </c>
      <c r="AK155" s="223">
        <f t="shared" si="362"/>
        <v>0</v>
      </c>
      <c r="AL155" s="223">
        <f t="shared" si="362"/>
        <v>0</v>
      </c>
      <c r="AM155" s="223">
        <f t="shared" si="362"/>
        <v>0</v>
      </c>
      <c r="AN155" s="223">
        <f t="shared" si="362"/>
        <v>0</v>
      </c>
      <c r="AO155" s="223">
        <f t="shared" si="362"/>
        <v>0</v>
      </c>
      <c r="AP155" s="223">
        <f t="shared" si="362"/>
        <v>0</v>
      </c>
      <c r="AQ155" s="223">
        <f t="shared" si="362"/>
        <v>0</v>
      </c>
      <c r="AR155" s="223"/>
      <c r="AS155" s="223">
        <f t="shared" si="363"/>
        <v>0</v>
      </c>
      <c r="AT155" s="223">
        <f t="shared" si="364"/>
        <v>0</v>
      </c>
      <c r="AU155" s="223">
        <f t="shared" si="364"/>
        <v>0</v>
      </c>
      <c r="AV155" s="223">
        <f t="shared" si="364"/>
        <v>0</v>
      </c>
      <c r="AW155" s="223">
        <f t="shared" si="364"/>
        <v>0</v>
      </c>
      <c r="AX155" s="223">
        <f t="shared" si="364"/>
        <v>0</v>
      </c>
      <c r="AY155" s="223">
        <f t="shared" si="364"/>
        <v>0</v>
      </c>
      <c r="AZ155" s="223">
        <f t="shared" si="364"/>
        <v>0</v>
      </c>
      <c r="BA155" s="223">
        <f t="shared" si="364"/>
        <v>0</v>
      </c>
      <c r="BB155" s="223">
        <f t="shared" si="364"/>
        <v>0</v>
      </c>
      <c r="BC155" s="223">
        <f t="shared" si="364"/>
        <v>0</v>
      </c>
      <c r="BD155" s="223">
        <f t="shared" si="364"/>
        <v>0</v>
      </c>
      <c r="BE155" s="223"/>
      <c r="BF155" s="223">
        <f t="shared" si="365"/>
        <v>0</v>
      </c>
      <c r="BG155" s="223">
        <f t="shared" si="366"/>
        <v>0</v>
      </c>
      <c r="BH155" s="223">
        <f t="shared" si="366"/>
        <v>0</v>
      </c>
      <c r="BI155" s="223">
        <f t="shared" si="366"/>
        <v>0</v>
      </c>
      <c r="BJ155" s="223">
        <f t="shared" si="366"/>
        <v>0</v>
      </c>
      <c r="BK155" s="223">
        <f t="shared" si="366"/>
        <v>0</v>
      </c>
      <c r="BL155" s="223">
        <f t="shared" si="366"/>
        <v>0</v>
      </c>
      <c r="BM155" s="223">
        <f t="shared" si="366"/>
        <v>0</v>
      </c>
      <c r="BN155" s="223">
        <f t="shared" si="366"/>
        <v>0</v>
      </c>
      <c r="BO155" s="223">
        <f t="shared" si="366"/>
        <v>0</v>
      </c>
      <c r="BP155" s="223">
        <f t="shared" si="366"/>
        <v>0</v>
      </c>
      <c r="BQ155" s="223">
        <f t="shared" si="366"/>
        <v>0</v>
      </c>
      <c r="BR155" s="223"/>
      <c r="BS155" s="223">
        <f t="shared" si="367"/>
        <v>0</v>
      </c>
      <c r="BT155" s="223">
        <f t="shared" si="368"/>
        <v>0</v>
      </c>
      <c r="BU155" s="223">
        <f t="shared" si="368"/>
        <v>0</v>
      </c>
      <c r="BV155" s="223">
        <f t="shared" si="368"/>
        <v>0</v>
      </c>
      <c r="BW155" s="223">
        <f t="shared" si="368"/>
        <v>0</v>
      </c>
      <c r="BX155" s="223">
        <f t="shared" si="368"/>
        <v>0</v>
      </c>
      <c r="BY155" s="223">
        <f t="shared" si="368"/>
        <v>0</v>
      </c>
      <c r="BZ155" s="223">
        <f t="shared" si="368"/>
        <v>0</v>
      </c>
      <c r="CA155" s="223">
        <f t="shared" si="368"/>
        <v>0</v>
      </c>
      <c r="CB155" s="223">
        <f t="shared" si="368"/>
        <v>0</v>
      </c>
      <c r="CC155" s="223">
        <f t="shared" si="368"/>
        <v>0</v>
      </c>
      <c r="CD155" s="223">
        <f t="shared" si="368"/>
        <v>0</v>
      </c>
      <c r="CE155" s="389"/>
      <c r="CF155" s="223">
        <f t="shared" si="369"/>
        <v>0</v>
      </c>
      <c r="CG155" s="223">
        <f t="shared" si="370"/>
        <v>0</v>
      </c>
      <c r="CH155" s="223">
        <f t="shared" si="371"/>
        <v>0</v>
      </c>
      <c r="CI155" s="223">
        <f t="shared" si="372"/>
        <v>0</v>
      </c>
      <c r="CJ155" s="223">
        <f t="shared" si="373"/>
        <v>0</v>
      </c>
      <c r="CK155" s="223">
        <f t="shared" si="374"/>
        <v>0</v>
      </c>
      <c r="CL155" s="223">
        <f t="shared" si="375"/>
        <v>0</v>
      </c>
      <c r="CM155" s="223">
        <f t="shared" si="376"/>
        <v>0</v>
      </c>
      <c r="CN155" s="223">
        <f t="shared" si="377"/>
        <v>0</v>
      </c>
      <c r="CO155" s="223">
        <f t="shared" si="378"/>
        <v>0</v>
      </c>
      <c r="CP155" s="223">
        <f t="shared" si="379"/>
        <v>0</v>
      </c>
      <c r="CQ155" s="223">
        <f t="shared" si="380"/>
        <v>0</v>
      </c>
      <c r="CR155" s="389"/>
      <c r="CS155" s="223">
        <f t="shared" si="381"/>
        <v>0</v>
      </c>
      <c r="CT155" s="223">
        <f t="shared" si="382"/>
        <v>0</v>
      </c>
      <c r="CU155" s="223">
        <f t="shared" si="383"/>
        <v>0</v>
      </c>
      <c r="CV155" s="223">
        <f t="shared" si="384"/>
        <v>0</v>
      </c>
      <c r="CW155" s="223">
        <f t="shared" si="385"/>
        <v>0</v>
      </c>
      <c r="CX155" s="223">
        <f t="shared" si="386"/>
        <v>0</v>
      </c>
      <c r="CY155" s="223">
        <f t="shared" si="387"/>
        <v>0</v>
      </c>
      <c r="CZ155" s="223">
        <f t="shared" si="388"/>
        <v>0</v>
      </c>
      <c r="DA155" s="223">
        <f t="shared" si="389"/>
        <v>0</v>
      </c>
      <c r="DB155" s="223">
        <f t="shared" si="390"/>
        <v>0</v>
      </c>
      <c r="DC155" s="223">
        <f t="shared" si="391"/>
        <v>0</v>
      </c>
      <c r="DD155" s="223">
        <f t="shared" si="392"/>
        <v>0</v>
      </c>
      <c r="DE155" s="389"/>
      <c r="DF155" s="223">
        <f t="shared" si="393"/>
        <v>0</v>
      </c>
      <c r="DG155" s="223">
        <f t="shared" si="394"/>
        <v>0</v>
      </c>
      <c r="DH155" s="223">
        <f t="shared" si="395"/>
        <v>0</v>
      </c>
      <c r="DI155" s="223">
        <f t="shared" si="396"/>
        <v>0</v>
      </c>
      <c r="DJ155" s="223">
        <f t="shared" si="397"/>
        <v>0</v>
      </c>
      <c r="DK155" s="223">
        <f t="shared" si="398"/>
        <v>0</v>
      </c>
      <c r="DL155" s="223">
        <f t="shared" si="399"/>
        <v>0</v>
      </c>
      <c r="DM155" s="223">
        <f t="shared" si="400"/>
        <v>0</v>
      </c>
      <c r="DN155" s="223">
        <f t="shared" si="401"/>
        <v>0</v>
      </c>
      <c r="DO155" s="223">
        <f t="shared" si="402"/>
        <v>0</v>
      </c>
      <c r="DP155" s="223">
        <f t="shared" si="403"/>
        <v>0</v>
      </c>
      <c r="DQ155" s="223">
        <f t="shared" si="404"/>
        <v>0</v>
      </c>
      <c r="DR155" s="389"/>
      <c r="DS155" s="31">
        <f t="shared" si="405"/>
        <v>0</v>
      </c>
      <c r="DT155" s="390"/>
      <c r="DU155" s="9"/>
      <c r="DV155" s="8"/>
      <c r="DW155" s="7"/>
      <c r="DX155" s="7"/>
      <c r="DY155" s="7"/>
      <c r="DZ155" s="7"/>
      <c r="EA155" s="7"/>
      <c r="EB155" s="7"/>
      <c r="EC155" s="7"/>
    </row>
    <row r="156" spans="1:133">
      <c r="C156" s="57" t="str">
        <f t="shared" si="406"/>
        <v>///</v>
      </c>
      <c r="D156" s="57">
        <f t="shared" si="407"/>
        <v>0</v>
      </c>
      <c r="E156" s="62">
        <f t="shared" si="406"/>
        <v>0</v>
      </c>
      <c r="F156" s="223"/>
      <c r="G156" s="223">
        <f t="shared" ref="G156:Q163" si="409">F156</f>
        <v>0</v>
      </c>
      <c r="H156" s="223">
        <f t="shared" si="409"/>
        <v>0</v>
      </c>
      <c r="I156" s="223">
        <f t="shared" si="409"/>
        <v>0</v>
      </c>
      <c r="J156" s="223">
        <f t="shared" si="409"/>
        <v>0</v>
      </c>
      <c r="K156" s="223">
        <f t="shared" si="409"/>
        <v>0</v>
      </c>
      <c r="L156" s="223">
        <f t="shared" si="409"/>
        <v>0</v>
      </c>
      <c r="M156" s="223">
        <f t="shared" si="409"/>
        <v>0</v>
      </c>
      <c r="N156" s="223">
        <f t="shared" si="409"/>
        <v>0</v>
      </c>
      <c r="O156" s="223">
        <f t="shared" si="409"/>
        <v>0</v>
      </c>
      <c r="P156" s="223">
        <f t="shared" si="409"/>
        <v>0</v>
      </c>
      <c r="Q156" s="223">
        <f t="shared" si="409"/>
        <v>0</v>
      </c>
      <c r="R156" s="223"/>
      <c r="S156" s="223">
        <f t="shared" si="408"/>
        <v>0</v>
      </c>
      <c r="T156" s="223">
        <f t="shared" ref="T156:AD163" si="410">S156</f>
        <v>0</v>
      </c>
      <c r="U156" s="223">
        <f t="shared" si="410"/>
        <v>0</v>
      </c>
      <c r="V156" s="223">
        <f t="shared" si="410"/>
        <v>0</v>
      </c>
      <c r="W156" s="223">
        <f t="shared" si="410"/>
        <v>0</v>
      </c>
      <c r="X156" s="223">
        <f t="shared" si="410"/>
        <v>0</v>
      </c>
      <c r="Y156" s="223">
        <f t="shared" si="410"/>
        <v>0</v>
      </c>
      <c r="Z156" s="223">
        <f t="shared" si="410"/>
        <v>0</v>
      </c>
      <c r="AA156" s="223">
        <f t="shared" si="410"/>
        <v>0</v>
      </c>
      <c r="AB156" s="223">
        <f t="shared" si="410"/>
        <v>0</v>
      </c>
      <c r="AC156" s="223">
        <f t="shared" si="410"/>
        <v>0</v>
      </c>
      <c r="AD156" s="223">
        <f t="shared" si="410"/>
        <v>0</v>
      </c>
      <c r="AE156" s="223"/>
      <c r="AF156" s="223">
        <f t="shared" si="361"/>
        <v>0</v>
      </c>
      <c r="AG156" s="223">
        <f t="shared" ref="AG156:AQ162" si="411">AF156</f>
        <v>0</v>
      </c>
      <c r="AH156" s="223">
        <f t="shared" si="411"/>
        <v>0</v>
      </c>
      <c r="AI156" s="223">
        <f t="shared" si="411"/>
        <v>0</v>
      </c>
      <c r="AJ156" s="223">
        <f t="shared" si="411"/>
        <v>0</v>
      </c>
      <c r="AK156" s="223">
        <f t="shared" si="411"/>
        <v>0</v>
      </c>
      <c r="AL156" s="223">
        <f t="shared" si="411"/>
        <v>0</v>
      </c>
      <c r="AM156" s="223">
        <f t="shared" si="411"/>
        <v>0</v>
      </c>
      <c r="AN156" s="223">
        <f t="shared" si="411"/>
        <v>0</v>
      </c>
      <c r="AO156" s="223">
        <f t="shared" si="411"/>
        <v>0</v>
      </c>
      <c r="AP156" s="223">
        <f t="shared" si="411"/>
        <v>0</v>
      </c>
      <c r="AQ156" s="223">
        <f t="shared" si="411"/>
        <v>0</v>
      </c>
      <c r="AR156" s="223"/>
      <c r="AS156" s="223">
        <f t="shared" si="363"/>
        <v>0</v>
      </c>
      <c r="AT156" s="223">
        <f t="shared" ref="AT156:BD162" si="412">AS156</f>
        <v>0</v>
      </c>
      <c r="AU156" s="223">
        <f t="shared" si="412"/>
        <v>0</v>
      </c>
      <c r="AV156" s="223">
        <f t="shared" si="412"/>
        <v>0</v>
      </c>
      <c r="AW156" s="223">
        <f t="shared" si="412"/>
        <v>0</v>
      </c>
      <c r="AX156" s="223">
        <f t="shared" si="412"/>
        <v>0</v>
      </c>
      <c r="AY156" s="223">
        <f t="shared" si="412"/>
        <v>0</v>
      </c>
      <c r="AZ156" s="223">
        <f t="shared" si="412"/>
        <v>0</v>
      </c>
      <c r="BA156" s="223">
        <f t="shared" si="412"/>
        <v>0</v>
      </c>
      <c r="BB156" s="223">
        <f t="shared" si="412"/>
        <v>0</v>
      </c>
      <c r="BC156" s="223">
        <f t="shared" si="412"/>
        <v>0</v>
      </c>
      <c r="BD156" s="223">
        <f t="shared" si="412"/>
        <v>0</v>
      </c>
      <c r="BE156" s="223"/>
      <c r="BF156" s="223">
        <f t="shared" si="365"/>
        <v>0</v>
      </c>
      <c r="BG156" s="223">
        <f t="shared" ref="BG156:BQ162" si="413">BF156</f>
        <v>0</v>
      </c>
      <c r="BH156" s="223">
        <f t="shared" si="413"/>
        <v>0</v>
      </c>
      <c r="BI156" s="223">
        <f t="shared" si="413"/>
        <v>0</v>
      </c>
      <c r="BJ156" s="223">
        <f t="shared" si="413"/>
        <v>0</v>
      </c>
      <c r="BK156" s="223">
        <f t="shared" si="413"/>
        <v>0</v>
      </c>
      <c r="BL156" s="223">
        <f t="shared" si="413"/>
        <v>0</v>
      </c>
      <c r="BM156" s="223">
        <f t="shared" si="413"/>
        <v>0</v>
      </c>
      <c r="BN156" s="223">
        <f t="shared" si="413"/>
        <v>0</v>
      </c>
      <c r="BO156" s="223">
        <f t="shared" si="413"/>
        <v>0</v>
      </c>
      <c r="BP156" s="223">
        <f t="shared" si="413"/>
        <v>0</v>
      </c>
      <c r="BQ156" s="223">
        <f t="shared" si="413"/>
        <v>0</v>
      </c>
      <c r="BR156" s="223"/>
      <c r="BS156" s="223">
        <f t="shared" si="367"/>
        <v>0</v>
      </c>
      <c r="BT156" s="223">
        <f t="shared" ref="BT156:CD162" si="414">BS156</f>
        <v>0</v>
      </c>
      <c r="BU156" s="223">
        <f t="shared" si="414"/>
        <v>0</v>
      </c>
      <c r="BV156" s="223">
        <f t="shared" si="414"/>
        <v>0</v>
      </c>
      <c r="BW156" s="223">
        <f t="shared" si="414"/>
        <v>0</v>
      </c>
      <c r="BX156" s="223">
        <f t="shared" si="414"/>
        <v>0</v>
      </c>
      <c r="BY156" s="223">
        <f t="shared" si="414"/>
        <v>0</v>
      </c>
      <c r="BZ156" s="223">
        <f t="shared" si="414"/>
        <v>0</v>
      </c>
      <c r="CA156" s="223">
        <f t="shared" si="414"/>
        <v>0</v>
      </c>
      <c r="CB156" s="223">
        <f t="shared" si="414"/>
        <v>0</v>
      </c>
      <c r="CC156" s="223">
        <f t="shared" si="414"/>
        <v>0</v>
      </c>
      <c r="CD156" s="223">
        <f t="shared" si="414"/>
        <v>0</v>
      </c>
      <c r="CE156" s="389"/>
      <c r="CF156" s="223">
        <f t="shared" si="369"/>
        <v>0</v>
      </c>
      <c r="CG156" s="223">
        <f t="shared" si="370"/>
        <v>0</v>
      </c>
      <c r="CH156" s="223">
        <f t="shared" si="371"/>
        <v>0</v>
      </c>
      <c r="CI156" s="223">
        <f t="shared" si="372"/>
        <v>0</v>
      </c>
      <c r="CJ156" s="223">
        <f t="shared" si="373"/>
        <v>0</v>
      </c>
      <c r="CK156" s="223">
        <f t="shared" si="374"/>
        <v>0</v>
      </c>
      <c r="CL156" s="223">
        <f t="shared" si="375"/>
        <v>0</v>
      </c>
      <c r="CM156" s="223">
        <f t="shared" si="376"/>
        <v>0</v>
      </c>
      <c r="CN156" s="223">
        <f t="shared" si="377"/>
        <v>0</v>
      </c>
      <c r="CO156" s="223">
        <f t="shared" si="378"/>
        <v>0</v>
      </c>
      <c r="CP156" s="223">
        <f t="shared" si="379"/>
        <v>0</v>
      </c>
      <c r="CQ156" s="223">
        <f t="shared" si="380"/>
        <v>0</v>
      </c>
      <c r="CR156" s="389"/>
      <c r="CS156" s="223">
        <f t="shared" si="381"/>
        <v>0</v>
      </c>
      <c r="CT156" s="223">
        <f t="shared" si="382"/>
        <v>0</v>
      </c>
      <c r="CU156" s="223">
        <f t="shared" si="383"/>
        <v>0</v>
      </c>
      <c r="CV156" s="223">
        <f t="shared" si="384"/>
        <v>0</v>
      </c>
      <c r="CW156" s="223">
        <f t="shared" si="385"/>
        <v>0</v>
      </c>
      <c r="CX156" s="223">
        <f t="shared" si="386"/>
        <v>0</v>
      </c>
      <c r="CY156" s="223">
        <f t="shared" si="387"/>
        <v>0</v>
      </c>
      <c r="CZ156" s="223">
        <f t="shared" si="388"/>
        <v>0</v>
      </c>
      <c r="DA156" s="223">
        <f t="shared" si="389"/>
        <v>0</v>
      </c>
      <c r="DB156" s="223">
        <f t="shared" si="390"/>
        <v>0</v>
      </c>
      <c r="DC156" s="223">
        <f t="shared" si="391"/>
        <v>0</v>
      </c>
      <c r="DD156" s="223">
        <f t="shared" si="392"/>
        <v>0</v>
      </c>
      <c r="DE156" s="389"/>
      <c r="DF156" s="223">
        <f t="shared" si="393"/>
        <v>0</v>
      </c>
      <c r="DG156" s="223">
        <f t="shared" si="394"/>
        <v>0</v>
      </c>
      <c r="DH156" s="223">
        <f t="shared" si="395"/>
        <v>0</v>
      </c>
      <c r="DI156" s="223">
        <f t="shared" si="396"/>
        <v>0</v>
      </c>
      <c r="DJ156" s="223">
        <f t="shared" si="397"/>
        <v>0</v>
      </c>
      <c r="DK156" s="223">
        <f t="shared" si="398"/>
        <v>0</v>
      </c>
      <c r="DL156" s="223">
        <f t="shared" si="399"/>
        <v>0</v>
      </c>
      <c r="DM156" s="223">
        <f t="shared" si="400"/>
        <v>0</v>
      </c>
      <c r="DN156" s="223">
        <f t="shared" si="401"/>
        <v>0</v>
      </c>
      <c r="DO156" s="223">
        <f t="shared" si="402"/>
        <v>0</v>
      </c>
      <c r="DP156" s="223">
        <f t="shared" si="403"/>
        <v>0</v>
      </c>
      <c r="DQ156" s="223">
        <f t="shared" si="404"/>
        <v>0</v>
      </c>
      <c r="DR156" s="389"/>
      <c r="DS156" s="31">
        <f t="shared" si="405"/>
        <v>0</v>
      </c>
      <c r="DT156" s="390"/>
      <c r="DU156" s="9"/>
      <c r="DV156" s="8"/>
      <c r="DW156" s="7"/>
      <c r="DX156" s="7"/>
      <c r="DY156" s="7"/>
      <c r="DZ156" s="7"/>
      <c r="EA156" s="7"/>
      <c r="EB156" s="7"/>
      <c r="EC156" s="7"/>
    </row>
    <row r="157" spans="1:133">
      <c r="A157" s="1">
        <v>5</v>
      </c>
      <c r="B157" s="1">
        <v>7</v>
      </c>
      <c r="C157" s="57" t="str">
        <f t="shared" si="406"/>
        <v>///</v>
      </c>
      <c r="D157" s="57">
        <f t="shared" si="407"/>
        <v>0</v>
      </c>
      <c r="E157" s="62">
        <f t="shared" si="406"/>
        <v>0</v>
      </c>
      <c r="F157" s="223"/>
      <c r="G157" s="223">
        <f t="shared" si="409"/>
        <v>0</v>
      </c>
      <c r="H157" s="223">
        <f t="shared" si="409"/>
        <v>0</v>
      </c>
      <c r="I157" s="223">
        <f t="shared" si="409"/>
        <v>0</v>
      </c>
      <c r="J157" s="223">
        <f t="shared" si="409"/>
        <v>0</v>
      </c>
      <c r="K157" s="223">
        <f t="shared" si="409"/>
        <v>0</v>
      </c>
      <c r="L157" s="223">
        <f t="shared" si="409"/>
        <v>0</v>
      </c>
      <c r="M157" s="223">
        <f t="shared" si="409"/>
        <v>0</v>
      </c>
      <c r="N157" s="223">
        <f t="shared" si="409"/>
        <v>0</v>
      </c>
      <c r="O157" s="223">
        <f t="shared" si="409"/>
        <v>0</v>
      </c>
      <c r="P157" s="223">
        <f t="shared" si="409"/>
        <v>0</v>
      </c>
      <c r="Q157" s="223">
        <f t="shared" si="409"/>
        <v>0</v>
      </c>
      <c r="R157" s="223"/>
      <c r="S157" s="223">
        <f t="shared" si="408"/>
        <v>0</v>
      </c>
      <c r="T157" s="223">
        <f t="shared" si="410"/>
        <v>0</v>
      </c>
      <c r="U157" s="223">
        <f t="shared" si="410"/>
        <v>0</v>
      </c>
      <c r="V157" s="223">
        <f t="shared" si="410"/>
        <v>0</v>
      </c>
      <c r="W157" s="223">
        <f t="shared" si="410"/>
        <v>0</v>
      </c>
      <c r="X157" s="223">
        <f t="shared" si="410"/>
        <v>0</v>
      </c>
      <c r="Y157" s="223">
        <f t="shared" si="410"/>
        <v>0</v>
      </c>
      <c r="Z157" s="223">
        <f t="shared" si="410"/>
        <v>0</v>
      </c>
      <c r="AA157" s="223">
        <f t="shared" si="410"/>
        <v>0</v>
      </c>
      <c r="AB157" s="223">
        <f t="shared" si="410"/>
        <v>0</v>
      </c>
      <c r="AC157" s="223">
        <f t="shared" si="410"/>
        <v>0</v>
      </c>
      <c r="AD157" s="223">
        <f t="shared" si="410"/>
        <v>0</v>
      </c>
      <c r="AE157" s="223"/>
      <c r="AF157" s="223">
        <f t="shared" si="361"/>
        <v>0</v>
      </c>
      <c r="AG157" s="223">
        <f t="shared" si="411"/>
        <v>0</v>
      </c>
      <c r="AH157" s="223">
        <f t="shared" si="411"/>
        <v>0</v>
      </c>
      <c r="AI157" s="223">
        <f t="shared" si="411"/>
        <v>0</v>
      </c>
      <c r="AJ157" s="223">
        <f t="shared" si="411"/>
        <v>0</v>
      </c>
      <c r="AK157" s="223">
        <f t="shared" si="411"/>
        <v>0</v>
      </c>
      <c r="AL157" s="223">
        <f t="shared" si="411"/>
        <v>0</v>
      </c>
      <c r="AM157" s="223">
        <f t="shared" si="411"/>
        <v>0</v>
      </c>
      <c r="AN157" s="223">
        <f t="shared" si="411"/>
        <v>0</v>
      </c>
      <c r="AO157" s="223">
        <f t="shared" si="411"/>
        <v>0</v>
      </c>
      <c r="AP157" s="223">
        <f t="shared" si="411"/>
        <v>0</v>
      </c>
      <c r="AQ157" s="223">
        <f t="shared" si="411"/>
        <v>0</v>
      </c>
      <c r="AR157" s="223"/>
      <c r="AS157" s="223">
        <f t="shared" si="363"/>
        <v>0</v>
      </c>
      <c r="AT157" s="223">
        <f t="shared" si="412"/>
        <v>0</v>
      </c>
      <c r="AU157" s="223">
        <f t="shared" si="412"/>
        <v>0</v>
      </c>
      <c r="AV157" s="223">
        <f t="shared" si="412"/>
        <v>0</v>
      </c>
      <c r="AW157" s="223">
        <f t="shared" si="412"/>
        <v>0</v>
      </c>
      <c r="AX157" s="223">
        <f t="shared" si="412"/>
        <v>0</v>
      </c>
      <c r="AY157" s="223">
        <f t="shared" si="412"/>
        <v>0</v>
      </c>
      <c r="AZ157" s="223">
        <f t="shared" si="412"/>
        <v>0</v>
      </c>
      <c r="BA157" s="223">
        <f t="shared" si="412"/>
        <v>0</v>
      </c>
      <c r="BB157" s="223">
        <f t="shared" si="412"/>
        <v>0</v>
      </c>
      <c r="BC157" s="223">
        <f t="shared" si="412"/>
        <v>0</v>
      </c>
      <c r="BD157" s="223">
        <f t="shared" si="412"/>
        <v>0</v>
      </c>
      <c r="BE157" s="223"/>
      <c r="BF157" s="223">
        <f t="shared" si="365"/>
        <v>0</v>
      </c>
      <c r="BG157" s="223">
        <f t="shared" si="413"/>
        <v>0</v>
      </c>
      <c r="BH157" s="223">
        <f t="shared" si="413"/>
        <v>0</v>
      </c>
      <c r="BI157" s="223">
        <f t="shared" si="413"/>
        <v>0</v>
      </c>
      <c r="BJ157" s="223">
        <f t="shared" si="413"/>
        <v>0</v>
      </c>
      <c r="BK157" s="223">
        <f t="shared" si="413"/>
        <v>0</v>
      </c>
      <c r="BL157" s="223">
        <f t="shared" si="413"/>
        <v>0</v>
      </c>
      <c r="BM157" s="223">
        <f t="shared" si="413"/>
        <v>0</v>
      </c>
      <c r="BN157" s="223">
        <f t="shared" si="413"/>
        <v>0</v>
      </c>
      <c r="BO157" s="223">
        <f t="shared" si="413"/>
        <v>0</v>
      </c>
      <c r="BP157" s="223">
        <f t="shared" si="413"/>
        <v>0</v>
      </c>
      <c r="BQ157" s="223">
        <f t="shared" si="413"/>
        <v>0</v>
      </c>
      <c r="BR157" s="223"/>
      <c r="BS157" s="223">
        <f t="shared" si="367"/>
        <v>0</v>
      </c>
      <c r="BT157" s="223">
        <f t="shared" si="414"/>
        <v>0</v>
      </c>
      <c r="BU157" s="223">
        <f t="shared" si="414"/>
        <v>0</v>
      </c>
      <c r="BV157" s="223">
        <f t="shared" si="414"/>
        <v>0</v>
      </c>
      <c r="BW157" s="223">
        <f t="shared" si="414"/>
        <v>0</v>
      </c>
      <c r="BX157" s="223">
        <f t="shared" si="414"/>
        <v>0</v>
      </c>
      <c r="BY157" s="223">
        <f t="shared" si="414"/>
        <v>0</v>
      </c>
      <c r="BZ157" s="223">
        <f t="shared" si="414"/>
        <v>0</v>
      </c>
      <c r="CA157" s="223">
        <f t="shared" si="414"/>
        <v>0</v>
      </c>
      <c r="CB157" s="223">
        <f t="shared" si="414"/>
        <v>0</v>
      </c>
      <c r="CC157" s="223">
        <f t="shared" si="414"/>
        <v>0</v>
      </c>
      <c r="CD157" s="223">
        <f t="shared" si="414"/>
        <v>0</v>
      </c>
      <c r="CE157" s="389"/>
      <c r="CF157" s="223">
        <f t="shared" si="369"/>
        <v>0</v>
      </c>
      <c r="CG157" s="223">
        <f t="shared" si="370"/>
        <v>0</v>
      </c>
      <c r="CH157" s="223">
        <f t="shared" si="371"/>
        <v>0</v>
      </c>
      <c r="CI157" s="223">
        <f t="shared" si="372"/>
        <v>0</v>
      </c>
      <c r="CJ157" s="223">
        <f t="shared" si="373"/>
        <v>0</v>
      </c>
      <c r="CK157" s="223">
        <f t="shared" si="374"/>
        <v>0</v>
      </c>
      <c r="CL157" s="223">
        <f t="shared" si="375"/>
        <v>0</v>
      </c>
      <c r="CM157" s="223">
        <f t="shared" si="376"/>
        <v>0</v>
      </c>
      <c r="CN157" s="223">
        <f t="shared" si="377"/>
        <v>0</v>
      </c>
      <c r="CO157" s="223">
        <f t="shared" si="378"/>
        <v>0</v>
      </c>
      <c r="CP157" s="223">
        <f t="shared" si="379"/>
        <v>0</v>
      </c>
      <c r="CQ157" s="223">
        <f t="shared" si="380"/>
        <v>0</v>
      </c>
      <c r="CR157" s="389"/>
      <c r="CS157" s="223">
        <f t="shared" si="381"/>
        <v>0</v>
      </c>
      <c r="CT157" s="223">
        <f t="shared" si="382"/>
        <v>0</v>
      </c>
      <c r="CU157" s="223">
        <f t="shared" si="383"/>
        <v>0</v>
      </c>
      <c r="CV157" s="223">
        <f t="shared" si="384"/>
        <v>0</v>
      </c>
      <c r="CW157" s="223">
        <f t="shared" si="385"/>
        <v>0</v>
      </c>
      <c r="CX157" s="223">
        <f t="shared" si="386"/>
        <v>0</v>
      </c>
      <c r="CY157" s="223">
        <f t="shared" si="387"/>
        <v>0</v>
      </c>
      <c r="CZ157" s="223">
        <f t="shared" si="388"/>
        <v>0</v>
      </c>
      <c r="DA157" s="223">
        <f t="shared" si="389"/>
        <v>0</v>
      </c>
      <c r="DB157" s="223">
        <f t="shared" si="390"/>
        <v>0</v>
      </c>
      <c r="DC157" s="223">
        <f t="shared" si="391"/>
        <v>0</v>
      </c>
      <c r="DD157" s="223">
        <f t="shared" si="392"/>
        <v>0</v>
      </c>
      <c r="DE157" s="389"/>
      <c r="DF157" s="223">
        <f t="shared" si="393"/>
        <v>0</v>
      </c>
      <c r="DG157" s="223">
        <f t="shared" si="394"/>
        <v>0</v>
      </c>
      <c r="DH157" s="223">
        <f t="shared" si="395"/>
        <v>0</v>
      </c>
      <c r="DI157" s="223">
        <f t="shared" si="396"/>
        <v>0</v>
      </c>
      <c r="DJ157" s="223">
        <f t="shared" si="397"/>
        <v>0</v>
      </c>
      <c r="DK157" s="223">
        <f t="shared" si="398"/>
        <v>0</v>
      </c>
      <c r="DL157" s="223">
        <f t="shared" si="399"/>
        <v>0</v>
      </c>
      <c r="DM157" s="223">
        <f t="shared" si="400"/>
        <v>0</v>
      </c>
      <c r="DN157" s="223">
        <f t="shared" si="401"/>
        <v>0</v>
      </c>
      <c r="DO157" s="223">
        <f t="shared" si="402"/>
        <v>0</v>
      </c>
      <c r="DP157" s="223">
        <f t="shared" si="403"/>
        <v>0</v>
      </c>
      <c r="DQ157" s="223">
        <f t="shared" si="404"/>
        <v>0</v>
      </c>
      <c r="DR157" s="389"/>
      <c r="DS157" s="31">
        <f t="shared" si="405"/>
        <v>0</v>
      </c>
      <c r="DT157" s="390"/>
      <c r="DU157" s="9"/>
      <c r="DV157" s="8"/>
      <c r="DW157" s="7"/>
      <c r="DX157" s="7"/>
      <c r="DY157" s="7"/>
      <c r="DZ157" s="7"/>
      <c r="EA157" s="7"/>
      <c r="EB157" s="7"/>
      <c r="EC157" s="7"/>
    </row>
    <row r="158" spans="1:133">
      <c r="C158" s="57" t="str">
        <f t="shared" ref="C158:E161" si="415">C131</f>
        <v>///</v>
      </c>
      <c r="D158" s="57">
        <f t="shared" si="407"/>
        <v>0</v>
      </c>
      <c r="E158" s="62">
        <f t="shared" si="415"/>
        <v>0</v>
      </c>
      <c r="F158" s="223"/>
      <c r="G158" s="223">
        <f t="shared" si="409"/>
        <v>0</v>
      </c>
      <c r="H158" s="223">
        <f t="shared" si="409"/>
        <v>0</v>
      </c>
      <c r="I158" s="223">
        <f t="shared" si="409"/>
        <v>0</v>
      </c>
      <c r="J158" s="223">
        <f t="shared" si="409"/>
        <v>0</v>
      </c>
      <c r="K158" s="223">
        <f t="shared" si="409"/>
        <v>0</v>
      </c>
      <c r="L158" s="223">
        <f t="shared" si="409"/>
        <v>0</v>
      </c>
      <c r="M158" s="223">
        <f t="shared" si="409"/>
        <v>0</v>
      </c>
      <c r="N158" s="223">
        <f t="shared" si="409"/>
        <v>0</v>
      </c>
      <c r="O158" s="223">
        <f t="shared" si="409"/>
        <v>0</v>
      </c>
      <c r="P158" s="223">
        <f t="shared" si="409"/>
        <v>0</v>
      </c>
      <c r="Q158" s="223">
        <f t="shared" si="409"/>
        <v>0</v>
      </c>
      <c r="R158" s="223"/>
      <c r="S158" s="223">
        <f t="shared" si="408"/>
        <v>0</v>
      </c>
      <c r="T158" s="223">
        <f t="shared" si="410"/>
        <v>0</v>
      </c>
      <c r="U158" s="223">
        <f t="shared" si="410"/>
        <v>0</v>
      </c>
      <c r="V158" s="223">
        <f t="shared" si="410"/>
        <v>0</v>
      </c>
      <c r="W158" s="223">
        <f t="shared" si="410"/>
        <v>0</v>
      </c>
      <c r="X158" s="223">
        <f t="shared" si="410"/>
        <v>0</v>
      </c>
      <c r="Y158" s="223">
        <f t="shared" si="410"/>
        <v>0</v>
      </c>
      <c r="Z158" s="223">
        <f t="shared" si="410"/>
        <v>0</v>
      </c>
      <c r="AA158" s="223">
        <f t="shared" si="410"/>
        <v>0</v>
      </c>
      <c r="AB158" s="223">
        <f t="shared" si="410"/>
        <v>0</v>
      </c>
      <c r="AC158" s="223">
        <f t="shared" si="410"/>
        <v>0</v>
      </c>
      <c r="AD158" s="223">
        <f t="shared" si="410"/>
        <v>0</v>
      </c>
      <c r="AE158" s="223"/>
      <c r="AF158" s="223">
        <f t="shared" si="361"/>
        <v>0</v>
      </c>
      <c r="AG158" s="223">
        <f t="shared" si="411"/>
        <v>0</v>
      </c>
      <c r="AH158" s="223">
        <f t="shared" si="411"/>
        <v>0</v>
      </c>
      <c r="AI158" s="223">
        <f t="shared" si="411"/>
        <v>0</v>
      </c>
      <c r="AJ158" s="223">
        <f t="shared" si="411"/>
        <v>0</v>
      </c>
      <c r="AK158" s="223">
        <f t="shared" si="411"/>
        <v>0</v>
      </c>
      <c r="AL158" s="223">
        <f t="shared" si="411"/>
        <v>0</v>
      </c>
      <c r="AM158" s="223">
        <f t="shared" si="411"/>
        <v>0</v>
      </c>
      <c r="AN158" s="223">
        <f t="shared" si="411"/>
        <v>0</v>
      </c>
      <c r="AO158" s="223">
        <f t="shared" si="411"/>
        <v>0</v>
      </c>
      <c r="AP158" s="223">
        <f t="shared" si="411"/>
        <v>0</v>
      </c>
      <c r="AQ158" s="223">
        <f t="shared" si="411"/>
        <v>0</v>
      </c>
      <c r="AR158" s="223"/>
      <c r="AS158" s="223">
        <f t="shared" si="363"/>
        <v>0</v>
      </c>
      <c r="AT158" s="223">
        <f t="shared" si="412"/>
        <v>0</v>
      </c>
      <c r="AU158" s="223">
        <f t="shared" si="412"/>
        <v>0</v>
      </c>
      <c r="AV158" s="223">
        <f t="shared" si="412"/>
        <v>0</v>
      </c>
      <c r="AW158" s="223">
        <f t="shared" si="412"/>
        <v>0</v>
      </c>
      <c r="AX158" s="223">
        <f t="shared" si="412"/>
        <v>0</v>
      </c>
      <c r="AY158" s="223">
        <f t="shared" si="412"/>
        <v>0</v>
      </c>
      <c r="AZ158" s="223">
        <f t="shared" si="412"/>
        <v>0</v>
      </c>
      <c r="BA158" s="223">
        <f t="shared" si="412"/>
        <v>0</v>
      </c>
      <c r="BB158" s="223">
        <f t="shared" si="412"/>
        <v>0</v>
      </c>
      <c r="BC158" s="223">
        <f t="shared" si="412"/>
        <v>0</v>
      </c>
      <c r="BD158" s="223">
        <f t="shared" si="412"/>
        <v>0</v>
      </c>
      <c r="BE158" s="223"/>
      <c r="BF158" s="223">
        <f t="shared" si="365"/>
        <v>0</v>
      </c>
      <c r="BG158" s="223">
        <f t="shared" si="413"/>
        <v>0</v>
      </c>
      <c r="BH158" s="223">
        <f t="shared" si="413"/>
        <v>0</v>
      </c>
      <c r="BI158" s="223">
        <f t="shared" si="413"/>
        <v>0</v>
      </c>
      <c r="BJ158" s="223">
        <f t="shared" si="413"/>
        <v>0</v>
      </c>
      <c r="BK158" s="223">
        <f t="shared" si="413"/>
        <v>0</v>
      </c>
      <c r="BL158" s="223">
        <f t="shared" si="413"/>
        <v>0</v>
      </c>
      <c r="BM158" s="223">
        <f t="shared" si="413"/>
        <v>0</v>
      </c>
      <c r="BN158" s="223">
        <f t="shared" si="413"/>
        <v>0</v>
      </c>
      <c r="BO158" s="223">
        <f t="shared" si="413"/>
        <v>0</v>
      </c>
      <c r="BP158" s="223">
        <f t="shared" si="413"/>
        <v>0</v>
      </c>
      <c r="BQ158" s="223">
        <f t="shared" si="413"/>
        <v>0</v>
      </c>
      <c r="BR158" s="223"/>
      <c r="BS158" s="223">
        <f t="shared" si="367"/>
        <v>0</v>
      </c>
      <c r="BT158" s="223">
        <f t="shared" si="414"/>
        <v>0</v>
      </c>
      <c r="BU158" s="223">
        <f t="shared" si="414"/>
        <v>0</v>
      </c>
      <c r="BV158" s="223">
        <f t="shared" si="414"/>
        <v>0</v>
      </c>
      <c r="BW158" s="223">
        <f t="shared" si="414"/>
        <v>0</v>
      </c>
      <c r="BX158" s="223">
        <f t="shared" si="414"/>
        <v>0</v>
      </c>
      <c r="BY158" s="223">
        <f t="shared" si="414"/>
        <v>0</v>
      </c>
      <c r="BZ158" s="223">
        <f t="shared" si="414"/>
        <v>0</v>
      </c>
      <c r="CA158" s="223">
        <f t="shared" si="414"/>
        <v>0</v>
      </c>
      <c r="CB158" s="223">
        <f t="shared" si="414"/>
        <v>0</v>
      </c>
      <c r="CC158" s="223">
        <f t="shared" si="414"/>
        <v>0</v>
      </c>
      <c r="CD158" s="223">
        <f t="shared" si="414"/>
        <v>0</v>
      </c>
      <c r="CE158" s="389"/>
      <c r="CF158" s="223">
        <f t="shared" si="369"/>
        <v>0</v>
      </c>
      <c r="CG158" s="223">
        <f t="shared" si="370"/>
        <v>0</v>
      </c>
      <c r="CH158" s="223">
        <f t="shared" si="371"/>
        <v>0</v>
      </c>
      <c r="CI158" s="223">
        <f t="shared" si="372"/>
        <v>0</v>
      </c>
      <c r="CJ158" s="223">
        <f t="shared" si="373"/>
        <v>0</v>
      </c>
      <c r="CK158" s="223">
        <f t="shared" si="374"/>
        <v>0</v>
      </c>
      <c r="CL158" s="223">
        <f t="shared" si="375"/>
        <v>0</v>
      </c>
      <c r="CM158" s="223">
        <f t="shared" si="376"/>
        <v>0</v>
      </c>
      <c r="CN158" s="223">
        <f t="shared" si="377"/>
        <v>0</v>
      </c>
      <c r="CO158" s="223">
        <f t="shared" si="378"/>
        <v>0</v>
      </c>
      <c r="CP158" s="223">
        <f t="shared" si="379"/>
        <v>0</v>
      </c>
      <c r="CQ158" s="223">
        <f t="shared" si="380"/>
        <v>0</v>
      </c>
      <c r="CR158" s="389"/>
      <c r="CS158" s="223">
        <f t="shared" si="381"/>
        <v>0</v>
      </c>
      <c r="CT158" s="223">
        <f t="shared" si="382"/>
        <v>0</v>
      </c>
      <c r="CU158" s="223">
        <f t="shared" si="383"/>
        <v>0</v>
      </c>
      <c r="CV158" s="223">
        <f t="shared" si="384"/>
        <v>0</v>
      </c>
      <c r="CW158" s="223">
        <f t="shared" si="385"/>
        <v>0</v>
      </c>
      <c r="CX158" s="223">
        <f t="shared" si="386"/>
        <v>0</v>
      </c>
      <c r="CY158" s="223">
        <f t="shared" si="387"/>
        <v>0</v>
      </c>
      <c r="CZ158" s="223">
        <f t="shared" si="388"/>
        <v>0</v>
      </c>
      <c r="DA158" s="223">
        <f t="shared" si="389"/>
        <v>0</v>
      </c>
      <c r="DB158" s="223">
        <f t="shared" si="390"/>
        <v>0</v>
      </c>
      <c r="DC158" s="223">
        <f t="shared" si="391"/>
        <v>0</v>
      </c>
      <c r="DD158" s="223">
        <f t="shared" si="392"/>
        <v>0</v>
      </c>
      <c r="DE158" s="389"/>
      <c r="DF158" s="223">
        <f t="shared" si="393"/>
        <v>0</v>
      </c>
      <c r="DG158" s="223">
        <f t="shared" si="394"/>
        <v>0</v>
      </c>
      <c r="DH158" s="223">
        <f t="shared" si="395"/>
        <v>0</v>
      </c>
      <c r="DI158" s="223">
        <f t="shared" si="396"/>
        <v>0</v>
      </c>
      <c r="DJ158" s="223">
        <f t="shared" si="397"/>
        <v>0</v>
      </c>
      <c r="DK158" s="223">
        <f t="shared" si="398"/>
        <v>0</v>
      </c>
      <c r="DL158" s="223">
        <f t="shared" si="399"/>
        <v>0</v>
      </c>
      <c r="DM158" s="223">
        <f t="shared" si="400"/>
        <v>0</v>
      </c>
      <c r="DN158" s="223">
        <f t="shared" si="401"/>
        <v>0</v>
      </c>
      <c r="DO158" s="223">
        <f t="shared" si="402"/>
        <v>0</v>
      </c>
      <c r="DP158" s="223">
        <f t="shared" si="403"/>
        <v>0</v>
      </c>
      <c r="DQ158" s="223">
        <f t="shared" si="404"/>
        <v>0</v>
      </c>
      <c r="DR158" s="389"/>
      <c r="DS158" s="31">
        <f t="shared" si="405"/>
        <v>0</v>
      </c>
      <c r="DT158" s="390"/>
      <c r="DU158" s="9"/>
      <c r="DV158" s="8"/>
      <c r="DW158" s="7"/>
      <c r="DX158" s="7"/>
      <c r="DY158" s="7"/>
      <c r="DZ158" s="7"/>
      <c r="EA158" s="7"/>
      <c r="EB158" s="7"/>
      <c r="EC158" s="7"/>
    </row>
    <row r="159" spans="1:133">
      <c r="A159" s="1">
        <v>5</v>
      </c>
      <c r="B159" s="1">
        <v>8</v>
      </c>
      <c r="C159" s="57" t="str">
        <f t="shared" si="415"/>
        <v>///</v>
      </c>
      <c r="D159" s="57">
        <f t="shared" si="407"/>
        <v>0</v>
      </c>
      <c r="E159" s="62">
        <f t="shared" si="415"/>
        <v>0</v>
      </c>
      <c r="F159" s="223"/>
      <c r="G159" s="223">
        <f t="shared" si="409"/>
        <v>0</v>
      </c>
      <c r="H159" s="223">
        <f t="shared" si="409"/>
        <v>0</v>
      </c>
      <c r="I159" s="223">
        <f t="shared" si="409"/>
        <v>0</v>
      </c>
      <c r="J159" s="223">
        <f t="shared" si="409"/>
        <v>0</v>
      </c>
      <c r="K159" s="223">
        <f t="shared" si="409"/>
        <v>0</v>
      </c>
      <c r="L159" s="223">
        <f t="shared" si="409"/>
        <v>0</v>
      </c>
      <c r="M159" s="223">
        <f t="shared" si="409"/>
        <v>0</v>
      </c>
      <c r="N159" s="223">
        <f t="shared" si="409"/>
        <v>0</v>
      </c>
      <c r="O159" s="223">
        <f t="shared" si="409"/>
        <v>0</v>
      </c>
      <c r="P159" s="223">
        <f t="shared" si="409"/>
        <v>0</v>
      </c>
      <c r="Q159" s="223">
        <f t="shared" si="409"/>
        <v>0</v>
      </c>
      <c r="R159" s="223"/>
      <c r="S159" s="223">
        <f t="shared" si="408"/>
        <v>0</v>
      </c>
      <c r="T159" s="223">
        <f t="shared" si="410"/>
        <v>0</v>
      </c>
      <c r="U159" s="223">
        <f t="shared" si="410"/>
        <v>0</v>
      </c>
      <c r="V159" s="223">
        <f t="shared" si="410"/>
        <v>0</v>
      </c>
      <c r="W159" s="223">
        <f t="shared" si="410"/>
        <v>0</v>
      </c>
      <c r="X159" s="223">
        <f t="shared" si="410"/>
        <v>0</v>
      </c>
      <c r="Y159" s="223">
        <f t="shared" si="410"/>
        <v>0</v>
      </c>
      <c r="Z159" s="223">
        <f t="shared" si="410"/>
        <v>0</v>
      </c>
      <c r="AA159" s="223">
        <f t="shared" si="410"/>
        <v>0</v>
      </c>
      <c r="AB159" s="223">
        <f t="shared" si="410"/>
        <v>0</v>
      </c>
      <c r="AC159" s="223">
        <f t="shared" si="410"/>
        <v>0</v>
      </c>
      <c r="AD159" s="223">
        <f t="shared" si="410"/>
        <v>0</v>
      </c>
      <c r="AE159" s="223"/>
      <c r="AF159" s="223">
        <f t="shared" si="361"/>
        <v>0</v>
      </c>
      <c r="AG159" s="223">
        <f t="shared" si="411"/>
        <v>0</v>
      </c>
      <c r="AH159" s="223">
        <f t="shared" si="411"/>
        <v>0</v>
      </c>
      <c r="AI159" s="223">
        <f t="shared" si="411"/>
        <v>0</v>
      </c>
      <c r="AJ159" s="223">
        <f t="shared" si="411"/>
        <v>0</v>
      </c>
      <c r="AK159" s="223">
        <f t="shared" si="411"/>
        <v>0</v>
      </c>
      <c r="AL159" s="223">
        <f t="shared" si="411"/>
        <v>0</v>
      </c>
      <c r="AM159" s="223">
        <f t="shared" si="411"/>
        <v>0</v>
      </c>
      <c r="AN159" s="223">
        <f t="shared" si="411"/>
        <v>0</v>
      </c>
      <c r="AO159" s="223">
        <f t="shared" si="411"/>
        <v>0</v>
      </c>
      <c r="AP159" s="223">
        <f t="shared" si="411"/>
        <v>0</v>
      </c>
      <c r="AQ159" s="223">
        <f t="shared" si="411"/>
        <v>0</v>
      </c>
      <c r="AR159" s="223"/>
      <c r="AS159" s="223">
        <f t="shared" si="363"/>
        <v>0</v>
      </c>
      <c r="AT159" s="223">
        <f t="shared" si="412"/>
        <v>0</v>
      </c>
      <c r="AU159" s="223">
        <f t="shared" si="412"/>
        <v>0</v>
      </c>
      <c r="AV159" s="223">
        <f t="shared" si="412"/>
        <v>0</v>
      </c>
      <c r="AW159" s="223">
        <f t="shared" si="412"/>
        <v>0</v>
      </c>
      <c r="AX159" s="223">
        <f t="shared" si="412"/>
        <v>0</v>
      </c>
      <c r="AY159" s="223">
        <f t="shared" si="412"/>
        <v>0</v>
      </c>
      <c r="AZ159" s="223">
        <f t="shared" si="412"/>
        <v>0</v>
      </c>
      <c r="BA159" s="223">
        <f t="shared" si="412"/>
        <v>0</v>
      </c>
      <c r="BB159" s="223">
        <f t="shared" si="412"/>
        <v>0</v>
      </c>
      <c r="BC159" s="223">
        <f t="shared" si="412"/>
        <v>0</v>
      </c>
      <c r="BD159" s="223">
        <f t="shared" si="412"/>
        <v>0</v>
      </c>
      <c r="BE159" s="223"/>
      <c r="BF159" s="223">
        <f t="shared" si="365"/>
        <v>0</v>
      </c>
      <c r="BG159" s="223">
        <f t="shared" si="413"/>
        <v>0</v>
      </c>
      <c r="BH159" s="223">
        <f t="shared" si="413"/>
        <v>0</v>
      </c>
      <c r="BI159" s="223">
        <f t="shared" si="413"/>
        <v>0</v>
      </c>
      <c r="BJ159" s="223">
        <f t="shared" si="413"/>
        <v>0</v>
      </c>
      <c r="BK159" s="223">
        <f t="shared" si="413"/>
        <v>0</v>
      </c>
      <c r="BL159" s="223">
        <f t="shared" si="413"/>
        <v>0</v>
      </c>
      <c r="BM159" s="223">
        <f t="shared" si="413"/>
        <v>0</v>
      </c>
      <c r="BN159" s="223">
        <f t="shared" si="413"/>
        <v>0</v>
      </c>
      <c r="BO159" s="223">
        <f t="shared" si="413"/>
        <v>0</v>
      </c>
      <c r="BP159" s="223">
        <f t="shared" si="413"/>
        <v>0</v>
      </c>
      <c r="BQ159" s="223">
        <f t="shared" si="413"/>
        <v>0</v>
      </c>
      <c r="BR159" s="223"/>
      <c r="BS159" s="223">
        <f t="shared" si="367"/>
        <v>0</v>
      </c>
      <c r="BT159" s="223">
        <f t="shared" si="414"/>
        <v>0</v>
      </c>
      <c r="BU159" s="223">
        <f t="shared" si="414"/>
        <v>0</v>
      </c>
      <c r="BV159" s="223">
        <f t="shared" si="414"/>
        <v>0</v>
      </c>
      <c r="BW159" s="223">
        <f t="shared" si="414"/>
        <v>0</v>
      </c>
      <c r="BX159" s="223">
        <f t="shared" si="414"/>
        <v>0</v>
      </c>
      <c r="BY159" s="223">
        <f t="shared" si="414"/>
        <v>0</v>
      </c>
      <c r="BZ159" s="223">
        <f t="shared" si="414"/>
        <v>0</v>
      </c>
      <c r="CA159" s="223">
        <f t="shared" si="414"/>
        <v>0</v>
      </c>
      <c r="CB159" s="223">
        <f t="shared" si="414"/>
        <v>0</v>
      </c>
      <c r="CC159" s="223">
        <f t="shared" si="414"/>
        <v>0</v>
      </c>
      <c r="CD159" s="223">
        <f t="shared" si="414"/>
        <v>0</v>
      </c>
      <c r="CE159" s="389"/>
      <c r="CF159" s="223">
        <f t="shared" si="369"/>
        <v>0</v>
      </c>
      <c r="CG159" s="223">
        <f t="shared" si="370"/>
        <v>0</v>
      </c>
      <c r="CH159" s="223">
        <f t="shared" si="371"/>
        <v>0</v>
      </c>
      <c r="CI159" s="223">
        <f t="shared" si="372"/>
        <v>0</v>
      </c>
      <c r="CJ159" s="223">
        <f t="shared" si="373"/>
        <v>0</v>
      </c>
      <c r="CK159" s="223">
        <f t="shared" si="374"/>
        <v>0</v>
      </c>
      <c r="CL159" s="223">
        <f t="shared" si="375"/>
        <v>0</v>
      </c>
      <c r="CM159" s="223">
        <f t="shared" si="376"/>
        <v>0</v>
      </c>
      <c r="CN159" s="223">
        <f t="shared" si="377"/>
        <v>0</v>
      </c>
      <c r="CO159" s="223">
        <f t="shared" si="378"/>
        <v>0</v>
      </c>
      <c r="CP159" s="223">
        <f t="shared" si="379"/>
        <v>0</v>
      </c>
      <c r="CQ159" s="223">
        <f t="shared" si="380"/>
        <v>0</v>
      </c>
      <c r="CR159" s="389"/>
      <c r="CS159" s="223">
        <f t="shared" si="381"/>
        <v>0</v>
      </c>
      <c r="CT159" s="223">
        <f t="shared" si="382"/>
        <v>0</v>
      </c>
      <c r="CU159" s="223">
        <f t="shared" si="383"/>
        <v>0</v>
      </c>
      <c r="CV159" s="223">
        <f t="shared" si="384"/>
        <v>0</v>
      </c>
      <c r="CW159" s="223">
        <f t="shared" si="385"/>
        <v>0</v>
      </c>
      <c r="CX159" s="223">
        <f t="shared" si="386"/>
        <v>0</v>
      </c>
      <c r="CY159" s="223">
        <f t="shared" si="387"/>
        <v>0</v>
      </c>
      <c r="CZ159" s="223">
        <f t="shared" si="388"/>
        <v>0</v>
      </c>
      <c r="DA159" s="223">
        <f t="shared" si="389"/>
        <v>0</v>
      </c>
      <c r="DB159" s="223">
        <f t="shared" si="390"/>
        <v>0</v>
      </c>
      <c r="DC159" s="223">
        <f t="shared" si="391"/>
        <v>0</v>
      </c>
      <c r="DD159" s="223">
        <f t="shared" si="392"/>
        <v>0</v>
      </c>
      <c r="DE159" s="389"/>
      <c r="DF159" s="223">
        <f t="shared" si="393"/>
        <v>0</v>
      </c>
      <c r="DG159" s="223">
        <f t="shared" si="394"/>
        <v>0</v>
      </c>
      <c r="DH159" s="223">
        <f t="shared" si="395"/>
        <v>0</v>
      </c>
      <c r="DI159" s="223">
        <f t="shared" si="396"/>
        <v>0</v>
      </c>
      <c r="DJ159" s="223">
        <f t="shared" si="397"/>
        <v>0</v>
      </c>
      <c r="DK159" s="223">
        <f t="shared" si="398"/>
        <v>0</v>
      </c>
      <c r="DL159" s="223">
        <f t="shared" si="399"/>
        <v>0</v>
      </c>
      <c r="DM159" s="223">
        <f t="shared" si="400"/>
        <v>0</v>
      </c>
      <c r="DN159" s="223">
        <f t="shared" si="401"/>
        <v>0</v>
      </c>
      <c r="DO159" s="223">
        <f t="shared" si="402"/>
        <v>0</v>
      </c>
      <c r="DP159" s="223">
        <f t="shared" si="403"/>
        <v>0</v>
      </c>
      <c r="DQ159" s="223">
        <f t="shared" si="404"/>
        <v>0</v>
      </c>
      <c r="DR159" s="389"/>
      <c r="DS159" s="31">
        <f t="shared" si="405"/>
        <v>0</v>
      </c>
      <c r="DT159" s="390"/>
      <c r="DU159" s="9"/>
      <c r="DV159" s="8"/>
      <c r="DW159" s="7"/>
      <c r="DX159" s="7"/>
      <c r="DY159" s="7"/>
      <c r="DZ159" s="7"/>
      <c r="EA159" s="7"/>
      <c r="EB159" s="7"/>
      <c r="EC159" s="7"/>
    </row>
    <row r="160" spans="1:133">
      <c r="C160" s="57" t="str">
        <f t="shared" si="415"/>
        <v>///</v>
      </c>
      <c r="D160" s="57">
        <f t="shared" si="407"/>
        <v>0</v>
      </c>
      <c r="E160" s="62">
        <f t="shared" si="415"/>
        <v>0</v>
      </c>
      <c r="F160" s="223"/>
      <c r="G160" s="223">
        <f t="shared" si="409"/>
        <v>0</v>
      </c>
      <c r="H160" s="223">
        <f t="shared" si="409"/>
        <v>0</v>
      </c>
      <c r="I160" s="223">
        <f t="shared" si="409"/>
        <v>0</v>
      </c>
      <c r="J160" s="223">
        <f t="shared" si="409"/>
        <v>0</v>
      </c>
      <c r="K160" s="223">
        <f t="shared" si="409"/>
        <v>0</v>
      </c>
      <c r="L160" s="223">
        <f t="shared" si="409"/>
        <v>0</v>
      </c>
      <c r="M160" s="223">
        <f t="shared" si="409"/>
        <v>0</v>
      </c>
      <c r="N160" s="223">
        <f t="shared" si="409"/>
        <v>0</v>
      </c>
      <c r="O160" s="223">
        <f t="shared" si="409"/>
        <v>0</v>
      </c>
      <c r="P160" s="223">
        <f t="shared" si="409"/>
        <v>0</v>
      </c>
      <c r="Q160" s="223">
        <f t="shared" si="409"/>
        <v>0</v>
      </c>
      <c r="R160" s="223"/>
      <c r="S160" s="223">
        <f t="shared" si="408"/>
        <v>0</v>
      </c>
      <c r="T160" s="223">
        <f t="shared" si="410"/>
        <v>0</v>
      </c>
      <c r="U160" s="223">
        <f t="shared" si="410"/>
        <v>0</v>
      </c>
      <c r="V160" s="223">
        <f t="shared" si="410"/>
        <v>0</v>
      </c>
      <c r="W160" s="223">
        <f t="shared" si="410"/>
        <v>0</v>
      </c>
      <c r="X160" s="223">
        <f t="shared" si="410"/>
        <v>0</v>
      </c>
      <c r="Y160" s="223">
        <f t="shared" si="410"/>
        <v>0</v>
      </c>
      <c r="Z160" s="223">
        <f t="shared" si="410"/>
        <v>0</v>
      </c>
      <c r="AA160" s="223">
        <f t="shared" si="410"/>
        <v>0</v>
      </c>
      <c r="AB160" s="223">
        <f t="shared" si="410"/>
        <v>0</v>
      </c>
      <c r="AC160" s="223">
        <f t="shared" si="410"/>
        <v>0</v>
      </c>
      <c r="AD160" s="223">
        <f t="shared" si="410"/>
        <v>0</v>
      </c>
      <c r="AE160" s="223"/>
      <c r="AF160" s="223">
        <f t="shared" si="361"/>
        <v>0</v>
      </c>
      <c r="AG160" s="223">
        <f t="shared" si="411"/>
        <v>0</v>
      </c>
      <c r="AH160" s="223">
        <f t="shared" si="411"/>
        <v>0</v>
      </c>
      <c r="AI160" s="223">
        <f t="shared" si="411"/>
        <v>0</v>
      </c>
      <c r="AJ160" s="223">
        <f t="shared" si="411"/>
        <v>0</v>
      </c>
      <c r="AK160" s="223">
        <f t="shared" si="411"/>
        <v>0</v>
      </c>
      <c r="AL160" s="223">
        <f t="shared" si="411"/>
        <v>0</v>
      </c>
      <c r="AM160" s="223">
        <f t="shared" si="411"/>
        <v>0</v>
      </c>
      <c r="AN160" s="223">
        <f t="shared" si="411"/>
        <v>0</v>
      </c>
      <c r="AO160" s="223">
        <f t="shared" si="411"/>
        <v>0</v>
      </c>
      <c r="AP160" s="223">
        <f t="shared" si="411"/>
        <v>0</v>
      </c>
      <c r="AQ160" s="223">
        <f t="shared" si="411"/>
        <v>0</v>
      </c>
      <c r="AR160" s="223"/>
      <c r="AS160" s="223">
        <f t="shared" si="363"/>
        <v>0</v>
      </c>
      <c r="AT160" s="223">
        <f t="shared" si="412"/>
        <v>0</v>
      </c>
      <c r="AU160" s="223">
        <f t="shared" si="412"/>
        <v>0</v>
      </c>
      <c r="AV160" s="223">
        <f t="shared" si="412"/>
        <v>0</v>
      </c>
      <c r="AW160" s="223">
        <f t="shared" si="412"/>
        <v>0</v>
      </c>
      <c r="AX160" s="223">
        <f t="shared" si="412"/>
        <v>0</v>
      </c>
      <c r="AY160" s="223">
        <f t="shared" si="412"/>
        <v>0</v>
      </c>
      <c r="AZ160" s="223">
        <f t="shared" si="412"/>
        <v>0</v>
      </c>
      <c r="BA160" s="223">
        <f t="shared" si="412"/>
        <v>0</v>
      </c>
      <c r="BB160" s="223">
        <f t="shared" si="412"/>
        <v>0</v>
      </c>
      <c r="BC160" s="223">
        <f t="shared" si="412"/>
        <v>0</v>
      </c>
      <c r="BD160" s="223">
        <f t="shared" si="412"/>
        <v>0</v>
      </c>
      <c r="BE160" s="223"/>
      <c r="BF160" s="223">
        <f t="shared" si="365"/>
        <v>0</v>
      </c>
      <c r="BG160" s="223">
        <f t="shared" si="413"/>
        <v>0</v>
      </c>
      <c r="BH160" s="223">
        <f t="shared" si="413"/>
        <v>0</v>
      </c>
      <c r="BI160" s="223">
        <f t="shared" si="413"/>
        <v>0</v>
      </c>
      <c r="BJ160" s="223">
        <f t="shared" si="413"/>
        <v>0</v>
      </c>
      <c r="BK160" s="223">
        <f t="shared" si="413"/>
        <v>0</v>
      </c>
      <c r="BL160" s="223">
        <f t="shared" si="413"/>
        <v>0</v>
      </c>
      <c r="BM160" s="223">
        <f t="shared" si="413"/>
        <v>0</v>
      </c>
      <c r="BN160" s="223">
        <f t="shared" si="413"/>
        <v>0</v>
      </c>
      <c r="BO160" s="223">
        <f t="shared" si="413"/>
        <v>0</v>
      </c>
      <c r="BP160" s="223">
        <f t="shared" si="413"/>
        <v>0</v>
      </c>
      <c r="BQ160" s="223">
        <f t="shared" si="413"/>
        <v>0</v>
      </c>
      <c r="BR160" s="223"/>
      <c r="BS160" s="223">
        <f t="shared" si="367"/>
        <v>0</v>
      </c>
      <c r="BT160" s="223">
        <f t="shared" si="414"/>
        <v>0</v>
      </c>
      <c r="BU160" s="223">
        <f t="shared" si="414"/>
        <v>0</v>
      </c>
      <c r="BV160" s="223">
        <f t="shared" si="414"/>
        <v>0</v>
      </c>
      <c r="BW160" s="223">
        <f t="shared" si="414"/>
        <v>0</v>
      </c>
      <c r="BX160" s="223">
        <f t="shared" si="414"/>
        <v>0</v>
      </c>
      <c r="BY160" s="223">
        <f t="shared" si="414"/>
        <v>0</v>
      </c>
      <c r="BZ160" s="223">
        <f t="shared" si="414"/>
        <v>0</v>
      </c>
      <c r="CA160" s="223">
        <f t="shared" si="414"/>
        <v>0</v>
      </c>
      <c r="CB160" s="223">
        <f t="shared" si="414"/>
        <v>0</v>
      </c>
      <c r="CC160" s="223">
        <f t="shared" si="414"/>
        <v>0</v>
      </c>
      <c r="CD160" s="223">
        <f t="shared" si="414"/>
        <v>0</v>
      </c>
      <c r="CE160" s="389"/>
      <c r="CF160" s="223">
        <f t="shared" si="369"/>
        <v>0</v>
      </c>
      <c r="CG160" s="223">
        <f t="shared" si="370"/>
        <v>0</v>
      </c>
      <c r="CH160" s="223">
        <f t="shared" si="371"/>
        <v>0</v>
      </c>
      <c r="CI160" s="223">
        <f t="shared" si="372"/>
        <v>0</v>
      </c>
      <c r="CJ160" s="223">
        <f t="shared" si="373"/>
        <v>0</v>
      </c>
      <c r="CK160" s="223">
        <f t="shared" si="374"/>
        <v>0</v>
      </c>
      <c r="CL160" s="223">
        <f t="shared" si="375"/>
        <v>0</v>
      </c>
      <c r="CM160" s="223">
        <f t="shared" si="376"/>
        <v>0</v>
      </c>
      <c r="CN160" s="223">
        <f t="shared" si="377"/>
        <v>0</v>
      </c>
      <c r="CO160" s="223">
        <f t="shared" si="378"/>
        <v>0</v>
      </c>
      <c r="CP160" s="223">
        <f t="shared" si="379"/>
        <v>0</v>
      </c>
      <c r="CQ160" s="223">
        <f t="shared" si="380"/>
        <v>0</v>
      </c>
      <c r="CR160" s="389"/>
      <c r="CS160" s="223">
        <f t="shared" si="381"/>
        <v>0</v>
      </c>
      <c r="CT160" s="223">
        <f t="shared" si="382"/>
        <v>0</v>
      </c>
      <c r="CU160" s="223">
        <f t="shared" si="383"/>
        <v>0</v>
      </c>
      <c r="CV160" s="223">
        <f t="shared" si="384"/>
        <v>0</v>
      </c>
      <c r="CW160" s="223">
        <f t="shared" si="385"/>
        <v>0</v>
      </c>
      <c r="CX160" s="223">
        <f t="shared" si="386"/>
        <v>0</v>
      </c>
      <c r="CY160" s="223">
        <f t="shared" si="387"/>
        <v>0</v>
      </c>
      <c r="CZ160" s="223">
        <f t="shared" si="388"/>
        <v>0</v>
      </c>
      <c r="DA160" s="223">
        <f t="shared" si="389"/>
        <v>0</v>
      </c>
      <c r="DB160" s="223">
        <f t="shared" si="390"/>
        <v>0</v>
      </c>
      <c r="DC160" s="223">
        <f t="shared" si="391"/>
        <v>0</v>
      </c>
      <c r="DD160" s="223">
        <f t="shared" si="392"/>
        <v>0</v>
      </c>
      <c r="DE160" s="389"/>
      <c r="DF160" s="223">
        <f t="shared" si="393"/>
        <v>0</v>
      </c>
      <c r="DG160" s="223">
        <f t="shared" si="394"/>
        <v>0</v>
      </c>
      <c r="DH160" s="223">
        <f t="shared" si="395"/>
        <v>0</v>
      </c>
      <c r="DI160" s="223">
        <f t="shared" si="396"/>
        <v>0</v>
      </c>
      <c r="DJ160" s="223">
        <f t="shared" si="397"/>
        <v>0</v>
      </c>
      <c r="DK160" s="223">
        <f t="shared" si="398"/>
        <v>0</v>
      </c>
      <c r="DL160" s="223">
        <f t="shared" si="399"/>
        <v>0</v>
      </c>
      <c r="DM160" s="223">
        <f t="shared" si="400"/>
        <v>0</v>
      </c>
      <c r="DN160" s="223">
        <f t="shared" si="401"/>
        <v>0</v>
      </c>
      <c r="DO160" s="223">
        <f t="shared" si="402"/>
        <v>0</v>
      </c>
      <c r="DP160" s="223">
        <f t="shared" si="403"/>
        <v>0</v>
      </c>
      <c r="DQ160" s="223">
        <f t="shared" si="404"/>
        <v>0</v>
      </c>
      <c r="DR160" s="389"/>
      <c r="DS160" s="31">
        <f t="shared" si="405"/>
        <v>0</v>
      </c>
      <c r="DT160" s="390"/>
      <c r="DU160" s="9"/>
      <c r="DV160" s="8"/>
      <c r="DW160" s="7"/>
      <c r="DX160" s="7"/>
      <c r="DY160" s="7"/>
      <c r="DZ160" s="7"/>
      <c r="EA160" s="7"/>
      <c r="EB160" s="7"/>
      <c r="EC160" s="7"/>
    </row>
    <row r="161" spans="1:133">
      <c r="A161" s="1">
        <v>5</v>
      </c>
      <c r="B161" s="1">
        <v>9</v>
      </c>
      <c r="C161" s="57" t="str">
        <f t="shared" si="415"/>
        <v>///</v>
      </c>
      <c r="D161" s="57">
        <f t="shared" si="407"/>
        <v>0</v>
      </c>
      <c r="E161" s="62">
        <f t="shared" si="415"/>
        <v>0</v>
      </c>
      <c r="F161" s="223"/>
      <c r="G161" s="223">
        <f t="shared" si="409"/>
        <v>0</v>
      </c>
      <c r="H161" s="223">
        <f t="shared" si="409"/>
        <v>0</v>
      </c>
      <c r="I161" s="223">
        <f t="shared" si="409"/>
        <v>0</v>
      </c>
      <c r="J161" s="223">
        <f t="shared" si="409"/>
        <v>0</v>
      </c>
      <c r="K161" s="223">
        <f t="shared" si="409"/>
        <v>0</v>
      </c>
      <c r="L161" s="223">
        <f t="shared" si="409"/>
        <v>0</v>
      </c>
      <c r="M161" s="223">
        <f t="shared" si="409"/>
        <v>0</v>
      </c>
      <c r="N161" s="223">
        <f t="shared" si="409"/>
        <v>0</v>
      </c>
      <c r="O161" s="223">
        <f t="shared" si="409"/>
        <v>0</v>
      </c>
      <c r="P161" s="223">
        <f t="shared" si="409"/>
        <v>0</v>
      </c>
      <c r="Q161" s="223">
        <f t="shared" si="409"/>
        <v>0</v>
      </c>
      <c r="R161" s="223"/>
      <c r="S161" s="223">
        <f t="shared" si="408"/>
        <v>0</v>
      </c>
      <c r="T161" s="223">
        <f t="shared" si="410"/>
        <v>0</v>
      </c>
      <c r="U161" s="223">
        <f t="shared" si="410"/>
        <v>0</v>
      </c>
      <c r="V161" s="223">
        <f t="shared" si="410"/>
        <v>0</v>
      </c>
      <c r="W161" s="223">
        <f t="shared" si="410"/>
        <v>0</v>
      </c>
      <c r="X161" s="223">
        <f t="shared" si="410"/>
        <v>0</v>
      </c>
      <c r="Y161" s="223">
        <f t="shared" si="410"/>
        <v>0</v>
      </c>
      <c r="Z161" s="223">
        <f t="shared" si="410"/>
        <v>0</v>
      </c>
      <c r="AA161" s="223">
        <f t="shared" si="410"/>
        <v>0</v>
      </c>
      <c r="AB161" s="223">
        <f t="shared" si="410"/>
        <v>0</v>
      </c>
      <c r="AC161" s="223">
        <f t="shared" si="410"/>
        <v>0</v>
      </c>
      <c r="AD161" s="223">
        <f t="shared" si="410"/>
        <v>0</v>
      </c>
      <c r="AE161" s="223"/>
      <c r="AF161" s="223">
        <f t="shared" si="361"/>
        <v>0</v>
      </c>
      <c r="AG161" s="223">
        <f t="shared" si="411"/>
        <v>0</v>
      </c>
      <c r="AH161" s="223">
        <f t="shared" si="411"/>
        <v>0</v>
      </c>
      <c r="AI161" s="223">
        <f t="shared" si="411"/>
        <v>0</v>
      </c>
      <c r="AJ161" s="223">
        <f t="shared" si="411"/>
        <v>0</v>
      </c>
      <c r="AK161" s="223">
        <f t="shared" si="411"/>
        <v>0</v>
      </c>
      <c r="AL161" s="223">
        <f t="shared" si="411"/>
        <v>0</v>
      </c>
      <c r="AM161" s="223">
        <f t="shared" si="411"/>
        <v>0</v>
      </c>
      <c r="AN161" s="223">
        <f t="shared" si="411"/>
        <v>0</v>
      </c>
      <c r="AO161" s="223">
        <f t="shared" si="411"/>
        <v>0</v>
      </c>
      <c r="AP161" s="223">
        <f t="shared" si="411"/>
        <v>0</v>
      </c>
      <c r="AQ161" s="223">
        <f t="shared" si="411"/>
        <v>0</v>
      </c>
      <c r="AR161" s="223"/>
      <c r="AS161" s="223">
        <f t="shared" si="363"/>
        <v>0</v>
      </c>
      <c r="AT161" s="223">
        <f t="shared" si="412"/>
        <v>0</v>
      </c>
      <c r="AU161" s="223">
        <f t="shared" si="412"/>
        <v>0</v>
      </c>
      <c r="AV161" s="223">
        <f t="shared" si="412"/>
        <v>0</v>
      </c>
      <c r="AW161" s="223">
        <f t="shared" si="412"/>
        <v>0</v>
      </c>
      <c r="AX161" s="223">
        <f t="shared" si="412"/>
        <v>0</v>
      </c>
      <c r="AY161" s="223">
        <f t="shared" si="412"/>
        <v>0</v>
      </c>
      <c r="AZ161" s="223">
        <f t="shared" si="412"/>
        <v>0</v>
      </c>
      <c r="BA161" s="223">
        <f t="shared" si="412"/>
        <v>0</v>
      </c>
      <c r="BB161" s="223">
        <f t="shared" si="412"/>
        <v>0</v>
      </c>
      <c r="BC161" s="223">
        <f t="shared" si="412"/>
        <v>0</v>
      </c>
      <c r="BD161" s="223">
        <f t="shared" si="412"/>
        <v>0</v>
      </c>
      <c r="BE161" s="223"/>
      <c r="BF161" s="223">
        <f t="shared" si="365"/>
        <v>0</v>
      </c>
      <c r="BG161" s="223">
        <f t="shared" si="413"/>
        <v>0</v>
      </c>
      <c r="BH161" s="223">
        <f t="shared" si="413"/>
        <v>0</v>
      </c>
      <c r="BI161" s="223">
        <f t="shared" si="413"/>
        <v>0</v>
      </c>
      <c r="BJ161" s="223">
        <f t="shared" si="413"/>
        <v>0</v>
      </c>
      <c r="BK161" s="223">
        <f t="shared" si="413"/>
        <v>0</v>
      </c>
      <c r="BL161" s="223">
        <f t="shared" si="413"/>
        <v>0</v>
      </c>
      <c r="BM161" s="223">
        <f t="shared" si="413"/>
        <v>0</v>
      </c>
      <c r="BN161" s="223">
        <f t="shared" si="413"/>
        <v>0</v>
      </c>
      <c r="BO161" s="223">
        <f t="shared" si="413"/>
        <v>0</v>
      </c>
      <c r="BP161" s="223">
        <f t="shared" si="413"/>
        <v>0</v>
      </c>
      <c r="BQ161" s="223">
        <f t="shared" si="413"/>
        <v>0</v>
      </c>
      <c r="BR161" s="223"/>
      <c r="BS161" s="223">
        <f t="shared" si="367"/>
        <v>0</v>
      </c>
      <c r="BT161" s="223">
        <f t="shared" si="414"/>
        <v>0</v>
      </c>
      <c r="BU161" s="223">
        <f t="shared" si="414"/>
        <v>0</v>
      </c>
      <c r="BV161" s="223">
        <f t="shared" si="414"/>
        <v>0</v>
      </c>
      <c r="BW161" s="223">
        <f t="shared" si="414"/>
        <v>0</v>
      </c>
      <c r="BX161" s="223">
        <f t="shared" si="414"/>
        <v>0</v>
      </c>
      <c r="BY161" s="223">
        <f t="shared" si="414"/>
        <v>0</v>
      </c>
      <c r="BZ161" s="223">
        <f t="shared" si="414"/>
        <v>0</v>
      </c>
      <c r="CA161" s="223">
        <f t="shared" si="414"/>
        <v>0</v>
      </c>
      <c r="CB161" s="223">
        <f t="shared" si="414"/>
        <v>0</v>
      </c>
      <c r="CC161" s="223">
        <f t="shared" si="414"/>
        <v>0</v>
      </c>
      <c r="CD161" s="223">
        <f t="shared" si="414"/>
        <v>0</v>
      </c>
      <c r="CE161" s="389"/>
      <c r="CF161" s="223">
        <f t="shared" si="369"/>
        <v>0</v>
      </c>
      <c r="CG161" s="223">
        <f t="shared" si="370"/>
        <v>0</v>
      </c>
      <c r="CH161" s="223">
        <f t="shared" si="371"/>
        <v>0</v>
      </c>
      <c r="CI161" s="223">
        <f t="shared" si="372"/>
        <v>0</v>
      </c>
      <c r="CJ161" s="223">
        <f t="shared" si="373"/>
        <v>0</v>
      </c>
      <c r="CK161" s="223">
        <f t="shared" si="374"/>
        <v>0</v>
      </c>
      <c r="CL161" s="223">
        <f t="shared" si="375"/>
        <v>0</v>
      </c>
      <c r="CM161" s="223">
        <f t="shared" si="376"/>
        <v>0</v>
      </c>
      <c r="CN161" s="223">
        <f t="shared" si="377"/>
        <v>0</v>
      </c>
      <c r="CO161" s="223">
        <f t="shared" si="378"/>
        <v>0</v>
      </c>
      <c r="CP161" s="223">
        <f t="shared" si="379"/>
        <v>0</v>
      </c>
      <c r="CQ161" s="223">
        <f t="shared" si="380"/>
        <v>0</v>
      </c>
      <c r="CR161" s="389"/>
      <c r="CS161" s="223">
        <f t="shared" si="381"/>
        <v>0</v>
      </c>
      <c r="CT161" s="223">
        <f t="shared" si="382"/>
        <v>0</v>
      </c>
      <c r="CU161" s="223">
        <f t="shared" si="383"/>
        <v>0</v>
      </c>
      <c r="CV161" s="223">
        <f t="shared" si="384"/>
        <v>0</v>
      </c>
      <c r="CW161" s="223">
        <f t="shared" si="385"/>
        <v>0</v>
      </c>
      <c r="CX161" s="223">
        <f t="shared" si="386"/>
        <v>0</v>
      </c>
      <c r="CY161" s="223">
        <f t="shared" si="387"/>
        <v>0</v>
      </c>
      <c r="CZ161" s="223">
        <f t="shared" si="388"/>
        <v>0</v>
      </c>
      <c r="DA161" s="223">
        <f t="shared" si="389"/>
        <v>0</v>
      </c>
      <c r="DB161" s="223">
        <f t="shared" si="390"/>
        <v>0</v>
      </c>
      <c r="DC161" s="223">
        <f t="shared" si="391"/>
        <v>0</v>
      </c>
      <c r="DD161" s="223">
        <f t="shared" si="392"/>
        <v>0</v>
      </c>
      <c r="DE161" s="389"/>
      <c r="DF161" s="223">
        <f t="shared" si="393"/>
        <v>0</v>
      </c>
      <c r="DG161" s="223">
        <f t="shared" si="394"/>
        <v>0</v>
      </c>
      <c r="DH161" s="223">
        <f t="shared" si="395"/>
        <v>0</v>
      </c>
      <c r="DI161" s="223">
        <f t="shared" si="396"/>
        <v>0</v>
      </c>
      <c r="DJ161" s="223">
        <f t="shared" si="397"/>
        <v>0</v>
      </c>
      <c r="DK161" s="223">
        <f t="shared" si="398"/>
        <v>0</v>
      </c>
      <c r="DL161" s="223">
        <f t="shared" si="399"/>
        <v>0</v>
      </c>
      <c r="DM161" s="223">
        <f t="shared" si="400"/>
        <v>0</v>
      </c>
      <c r="DN161" s="223">
        <f t="shared" si="401"/>
        <v>0</v>
      </c>
      <c r="DO161" s="223">
        <f t="shared" si="402"/>
        <v>0</v>
      </c>
      <c r="DP161" s="223">
        <f t="shared" si="403"/>
        <v>0</v>
      </c>
      <c r="DQ161" s="223">
        <f t="shared" si="404"/>
        <v>0</v>
      </c>
      <c r="DR161" s="389"/>
      <c r="DS161" s="31">
        <f t="shared" si="405"/>
        <v>0</v>
      </c>
      <c r="DT161" s="390"/>
      <c r="DU161" s="9"/>
      <c r="DW161" s="7"/>
      <c r="DX161" s="7"/>
      <c r="DY161" s="7"/>
      <c r="DZ161" s="7"/>
      <c r="EA161" s="7"/>
      <c r="EB161" s="7"/>
      <c r="EC161" s="7"/>
    </row>
    <row r="162" spans="1:133" hidden="1">
      <c r="A162" s="1">
        <v>4</v>
      </c>
      <c r="C162" s="57" t="str">
        <f>C108</f>
        <v>Open</v>
      </c>
      <c r="D162" s="57"/>
      <c r="E162" s="62"/>
      <c r="F162" s="389"/>
      <c r="G162" s="389">
        <f t="shared" si="409"/>
        <v>0</v>
      </c>
      <c r="H162" s="389">
        <f t="shared" si="409"/>
        <v>0</v>
      </c>
      <c r="I162" s="389">
        <f t="shared" si="409"/>
        <v>0</v>
      </c>
      <c r="J162" s="389">
        <f t="shared" si="409"/>
        <v>0</v>
      </c>
      <c r="K162" s="389">
        <f t="shared" si="409"/>
        <v>0</v>
      </c>
      <c r="L162" s="389">
        <f t="shared" si="409"/>
        <v>0</v>
      </c>
      <c r="M162" s="389">
        <f t="shared" si="409"/>
        <v>0</v>
      </c>
      <c r="N162" s="389">
        <f t="shared" si="409"/>
        <v>0</v>
      </c>
      <c r="O162" s="389">
        <f t="shared" si="409"/>
        <v>0</v>
      </c>
      <c r="P162" s="389">
        <f t="shared" si="409"/>
        <v>0</v>
      </c>
      <c r="Q162" s="389">
        <f t="shared" si="409"/>
        <v>0</v>
      </c>
      <c r="R162" s="10"/>
      <c r="S162" s="389">
        <f t="shared" si="359"/>
        <v>0</v>
      </c>
      <c r="T162" s="389">
        <f t="shared" si="410"/>
        <v>0</v>
      </c>
      <c r="U162" s="389">
        <f t="shared" si="410"/>
        <v>0</v>
      </c>
      <c r="V162" s="389">
        <f t="shared" si="410"/>
        <v>0</v>
      </c>
      <c r="W162" s="389">
        <f t="shared" si="410"/>
        <v>0</v>
      </c>
      <c r="X162" s="389">
        <f t="shared" si="410"/>
        <v>0</v>
      </c>
      <c r="Y162" s="389">
        <f t="shared" si="410"/>
        <v>0</v>
      </c>
      <c r="Z162" s="389">
        <f t="shared" si="410"/>
        <v>0</v>
      </c>
      <c r="AA162" s="389">
        <f t="shared" si="410"/>
        <v>0</v>
      </c>
      <c r="AB162" s="389">
        <f t="shared" si="410"/>
        <v>0</v>
      </c>
      <c r="AC162" s="389">
        <f t="shared" si="410"/>
        <v>0</v>
      </c>
      <c r="AD162" s="389">
        <f t="shared" si="410"/>
        <v>0</v>
      </c>
      <c r="AE162" s="10"/>
      <c r="AF162" s="389">
        <f t="shared" si="361"/>
        <v>0</v>
      </c>
      <c r="AG162" s="389">
        <f t="shared" si="411"/>
        <v>0</v>
      </c>
      <c r="AH162" s="389">
        <f t="shared" si="411"/>
        <v>0</v>
      </c>
      <c r="AI162" s="389">
        <f t="shared" si="411"/>
        <v>0</v>
      </c>
      <c r="AJ162" s="389">
        <f t="shared" si="411"/>
        <v>0</v>
      </c>
      <c r="AK162" s="389">
        <f t="shared" si="411"/>
        <v>0</v>
      </c>
      <c r="AL162" s="389">
        <f t="shared" si="411"/>
        <v>0</v>
      </c>
      <c r="AM162" s="389">
        <f t="shared" si="411"/>
        <v>0</v>
      </c>
      <c r="AN162" s="389">
        <f t="shared" si="411"/>
        <v>0</v>
      </c>
      <c r="AO162" s="389">
        <f t="shared" si="411"/>
        <v>0</v>
      </c>
      <c r="AP162" s="389">
        <f t="shared" si="411"/>
        <v>0</v>
      </c>
      <c r="AQ162" s="389">
        <f t="shared" si="411"/>
        <v>0</v>
      </c>
      <c r="AR162" s="389"/>
      <c r="AS162" s="389">
        <f t="shared" si="363"/>
        <v>0</v>
      </c>
      <c r="AT162" s="389">
        <f t="shared" si="412"/>
        <v>0</v>
      </c>
      <c r="AU162" s="389">
        <f t="shared" si="412"/>
        <v>0</v>
      </c>
      <c r="AV162" s="389">
        <f t="shared" si="412"/>
        <v>0</v>
      </c>
      <c r="AW162" s="389">
        <f t="shared" si="412"/>
        <v>0</v>
      </c>
      <c r="AX162" s="389">
        <f t="shared" si="412"/>
        <v>0</v>
      </c>
      <c r="AY162" s="389">
        <f t="shared" si="412"/>
        <v>0</v>
      </c>
      <c r="AZ162" s="389">
        <f t="shared" si="412"/>
        <v>0</v>
      </c>
      <c r="BA162" s="389">
        <f t="shared" si="412"/>
        <v>0</v>
      </c>
      <c r="BB162" s="389">
        <f t="shared" si="412"/>
        <v>0</v>
      </c>
      <c r="BC162" s="389">
        <f t="shared" si="412"/>
        <v>0</v>
      </c>
      <c r="BD162" s="389">
        <f t="shared" si="412"/>
        <v>0</v>
      </c>
      <c r="BE162" s="389"/>
      <c r="BF162" s="389">
        <f t="shared" si="365"/>
        <v>0</v>
      </c>
      <c r="BG162" s="389">
        <f t="shared" si="413"/>
        <v>0</v>
      </c>
      <c r="BH162" s="389">
        <f t="shared" si="413"/>
        <v>0</v>
      </c>
      <c r="BI162" s="389">
        <f t="shared" si="413"/>
        <v>0</v>
      </c>
      <c r="BJ162" s="389">
        <f t="shared" si="413"/>
        <v>0</v>
      </c>
      <c r="BK162" s="389">
        <f t="shared" si="413"/>
        <v>0</v>
      </c>
      <c r="BL162" s="389">
        <f t="shared" si="413"/>
        <v>0</v>
      </c>
      <c r="BM162" s="389">
        <f t="shared" si="413"/>
        <v>0</v>
      </c>
      <c r="BN162" s="389">
        <f t="shared" si="413"/>
        <v>0</v>
      </c>
      <c r="BO162" s="389">
        <f t="shared" si="413"/>
        <v>0</v>
      </c>
      <c r="BP162" s="389">
        <f t="shared" si="413"/>
        <v>0</v>
      </c>
      <c r="BQ162" s="389">
        <f t="shared" si="413"/>
        <v>0</v>
      </c>
      <c r="BR162" s="389"/>
      <c r="BS162" s="389">
        <f t="shared" si="367"/>
        <v>0</v>
      </c>
      <c r="BT162" s="389">
        <f t="shared" si="414"/>
        <v>0</v>
      </c>
      <c r="BU162" s="389">
        <f t="shared" si="414"/>
        <v>0</v>
      </c>
      <c r="BV162" s="389">
        <f t="shared" si="414"/>
        <v>0</v>
      </c>
      <c r="BW162" s="389">
        <f t="shared" si="414"/>
        <v>0</v>
      </c>
      <c r="BX162" s="389">
        <f t="shared" si="414"/>
        <v>0</v>
      </c>
      <c r="BY162" s="389">
        <f t="shared" si="414"/>
        <v>0</v>
      </c>
      <c r="BZ162" s="389">
        <f t="shared" si="414"/>
        <v>0</v>
      </c>
      <c r="CA162" s="389">
        <f t="shared" si="414"/>
        <v>0</v>
      </c>
      <c r="CB162" s="389">
        <f t="shared" si="414"/>
        <v>0</v>
      </c>
      <c r="CC162" s="389">
        <f t="shared" si="414"/>
        <v>0</v>
      </c>
      <c r="CD162" s="389">
        <f t="shared" si="414"/>
        <v>0</v>
      </c>
      <c r="CE162" s="389"/>
      <c r="CF162" s="389">
        <f t="shared" si="369"/>
        <v>0</v>
      </c>
      <c r="CG162" s="389">
        <f t="shared" si="370"/>
        <v>0</v>
      </c>
      <c r="CH162" s="389">
        <f t="shared" si="371"/>
        <v>0</v>
      </c>
      <c r="CI162" s="389">
        <f t="shared" si="372"/>
        <v>0</v>
      </c>
      <c r="CJ162" s="389">
        <f t="shared" si="373"/>
        <v>0</v>
      </c>
      <c r="CK162" s="389">
        <f t="shared" si="374"/>
        <v>0</v>
      </c>
      <c r="CL162" s="389">
        <f t="shared" si="375"/>
        <v>0</v>
      </c>
      <c r="CM162" s="389">
        <f t="shared" si="376"/>
        <v>0</v>
      </c>
      <c r="CN162" s="389">
        <f t="shared" si="377"/>
        <v>0</v>
      </c>
      <c r="CO162" s="389">
        <f t="shared" si="378"/>
        <v>0</v>
      </c>
      <c r="CP162" s="389">
        <f t="shared" si="379"/>
        <v>0</v>
      </c>
      <c r="CQ162" s="389">
        <f t="shared" si="380"/>
        <v>0</v>
      </c>
      <c r="CR162" s="389"/>
      <c r="CS162" s="389">
        <f t="shared" si="381"/>
        <v>0</v>
      </c>
      <c r="CT162" s="389">
        <f t="shared" si="382"/>
        <v>0</v>
      </c>
      <c r="CU162" s="389">
        <f t="shared" si="383"/>
        <v>0</v>
      </c>
      <c r="CV162" s="389">
        <f t="shared" si="384"/>
        <v>0</v>
      </c>
      <c r="CW162" s="389">
        <f t="shared" si="385"/>
        <v>0</v>
      </c>
      <c r="CX162" s="389">
        <f t="shared" si="386"/>
        <v>0</v>
      </c>
      <c r="CY162" s="389">
        <f t="shared" si="387"/>
        <v>0</v>
      </c>
      <c r="CZ162" s="389">
        <f t="shared" si="388"/>
        <v>0</v>
      </c>
      <c r="DA162" s="389">
        <f t="shared" si="389"/>
        <v>0</v>
      </c>
      <c r="DB162" s="389">
        <f t="shared" si="390"/>
        <v>0</v>
      </c>
      <c r="DC162" s="389">
        <f t="shared" si="391"/>
        <v>0</v>
      </c>
      <c r="DD162" s="389">
        <f t="shared" si="392"/>
        <v>0</v>
      </c>
      <c r="DE162" s="389"/>
      <c r="DF162" s="389">
        <f t="shared" si="393"/>
        <v>0</v>
      </c>
      <c r="DG162" s="389">
        <f t="shared" si="394"/>
        <v>0</v>
      </c>
      <c r="DH162" s="389">
        <f t="shared" si="395"/>
        <v>0</v>
      </c>
      <c r="DI162" s="389">
        <f t="shared" si="396"/>
        <v>0</v>
      </c>
      <c r="DJ162" s="389">
        <f t="shared" si="397"/>
        <v>0</v>
      </c>
      <c r="DK162" s="389">
        <f t="shared" si="398"/>
        <v>0</v>
      </c>
      <c r="DL162" s="389">
        <f t="shared" si="399"/>
        <v>0</v>
      </c>
      <c r="DM162" s="389">
        <f t="shared" si="400"/>
        <v>0</v>
      </c>
      <c r="DN162" s="389">
        <f t="shared" si="401"/>
        <v>0</v>
      </c>
      <c r="DO162" s="389">
        <f t="shared" si="402"/>
        <v>0</v>
      </c>
      <c r="DP162" s="389">
        <f t="shared" si="403"/>
        <v>0</v>
      </c>
      <c r="DQ162" s="389">
        <f t="shared" si="404"/>
        <v>0</v>
      </c>
      <c r="DR162" s="389"/>
      <c r="DS162" s="31">
        <f>SUM(F162:Q162)+SUM(S162:AD162)+SUM(AF162:AQ162)+SUM(AS162:BD162)+SUM(BF162:BQ162)+SUM(BS162:CD162)</f>
        <v>0</v>
      </c>
      <c r="DT162" s="31"/>
      <c r="DU162" s="9"/>
      <c r="DV162" s="8"/>
      <c r="DW162" s="7"/>
      <c r="DX162" s="7"/>
      <c r="DY162" s="7"/>
      <c r="DZ162" s="7"/>
      <c r="EA162" s="7"/>
      <c r="EB162" s="7"/>
      <c r="EC162" s="7"/>
    </row>
    <row r="163" spans="1:133" hidden="1">
      <c r="C163" s="57" t="str">
        <f>C136</f>
        <v>Open</v>
      </c>
      <c r="D163" s="57"/>
      <c r="E163" s="62"/>
      <c r="F163" s="389">
        <v>0</v>
      </c>
      <c r="G163" s="389">
        <f t="shared" si="409"/>
        <v>0</v>
      </c>
      <c r="H163" s="389">
        <f t="shared" si="409"/>
        <v>0</v>
      </c>
      <c r="I163" s="389">
        <f t="shared" si="409"/>
        <v>0</v>
      </c>
      <c r="J163" s="389">
        <f t="shared" si="409"/>
        <v>0</v>
      </c>
      <c r="K163" s="389">
        <f t="shared" si="409"/>
        <v>0</v>
      </c>
      <c r="L163" s="389">
        <f t="shared" si="409"/>
        <v>0</v>
      </c>
      <c r="M163" s="389">
        <f t="shared" si="409"/>
        <v>0</v>
      </c>
      <c r="N163" s="389">
        <f t="shared" si="409"/>
        <v>0</v>
      </c>
      <c r="O163" s="389">
        <f t="shared" si="409"/>
        <v>0</v>
      </c>
      <c r="P163" s="389">
        <f t="shared" si="409"/>
        <v>0</v>
      </c>
      <c r="Q163" s="389">
        <f t="shared" si="409"/>
        <v>0</v>
      </c>
      <c r="R163" s="10"/>
      <c r="S163" s="389">
        <f t="shared" si="359"/>
        <v>0</v>
      </c>
      <c r="T163" s="389">
        <f t="shared" si="410"/>
        <v>0</v>
      </c>
      <c r="U163" s="389">
        <f t="shared" si="410"/>
        <v>0</v>
      </c>
      <c r="V163" s="389">
        <f t="shared" si="410"/>
        <v>0</v>
      </c>
      <c r="W163" s="389">
        <f t="shared" si="410"/>
        <v>0</v>
      </c>
      <c r="X163" s="389">
        <f t="shared" si="410"/>
        <v>0</v>
      </c>
      <c r="Y163" s="389">
        <f t="shared" si="410"/>
        <v>0</v>
      </c>
      <c r="Z163" s="389">
        <f t="shared" si="410"/>
        <v>0</v>
      </c>
      <c r="AA163" s="389">
        <f t="shared" si="410"/>
        <v>0</v>
      </c>
      <c r="AB163" s="389">
        <f t="shared" si="410"/>
        <v>0</v>
      </c>
      <c r="AC163" s="389">
        <f t="shared" si="410"/>
        <v>0</v>
      </c>
      <c r="AD163" s="389">
        <f t="shared" si="410"/>
        <v>0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389">
        <f>AD163*AR$4/12</f>
        <v>0</v>
      </c>
      <c r="AS163" s="389"/>
      <c r="AT163" s="389"/>
      <c r="AU163" s="389"/>
      <c r="AV163" s="389"/>
      <c r="AW163" s="389"/>
      <c r="AX163" s="389"/>
      <c r="AY163" s="389"/>
      <c r="AZ163" s="389"/>
      <c r="BA163" s="389"/>
      <c r="BB163" s="389"/>
      <c r="BC163" s="389"/>
      <c r="BD163" s="389"/>
      <c r="BE163" s="389">
        <f>AR163*BE$4/12</f>
        <v>0</v>
      </c>
      <c r="BF163" s="389"/>
      <c r="BG163" s="389"/>
      <c r="BH163" s="389"/>
      <c r="BI163" s="389"/>
      <c r="BJ163" s="389"/>
      <c r="BK163" s="389"/>
      <c r="BL163" s="389"/>
      <c r="BM163" s="389"/>
      <c r="BN163" s="389"/>
      <c r="BO163" s="389"/>
      <c r="BP163" s="389"/>
      <c r="BQ163" s="389"/>
      <c r="BR163" s="389">
        <f>BE163*BR$4/12</f>
        <v>0</v>
      </c>
      <c r="BS163" s="389"/>
      <c r="BT163" s="389"/>
      <c r="BU163" s="389"/>
      <c r="BV163" s="389"/>
      <c r="BW163" s="389"/>
      <c r="BX163" s="389"/>
      <c r="BY163" s="389"/>
      <c r="BZ163" s="389"/>
      <c r="CA163" s="389"/>
      <c r="CB163" s="389"/>
      <c r="CC163" s="389"/>
      <c r="CD163" s="389"/>
      <c r="CE163" s="389">
        <f>BR163*CE$4/12</f>
        <v>0</v>
      </c>
      <c r="CF163" s="389"/>
      <c r="CG163" s="389"/>
      <c r="CH163" s="389"/>
      <c r="CI163" s="389"/>
      <c r="CJ163" s="389"/>
      <c r="CK163" s="389"/>
      <c r="CL163" s="389"/>
      <c r="CM163" s="389"/>
      <c r="CN163" s="389"/>
      <c r="CO163" s="389"/>
      <c r="CP163" s="389"/>
      <c r="CQ163" s="389"/>
      <c r="CR163" s="389">
        <f>CE163*CR$4/12</f>
        <v>0</v>
      </c>
      <c r="CS163" s="389"/>
      <c r="CT163" s="389"/>
      <c r="CU163" s="389"/>
      <c r="CV163" s="389"/>
      <c r="CW163" s="389"/>
      <c r="CX163" s="389"/>
      <c r="CY163" s="389"/>
      <c r="CZ163" s="389"/>
      <c r="DA163" s="389"/>
      <c r="DB163" s="389"/>
      <c r="DC163" s="389"/>
      <c r="DD163" s="389"/>
      <c r="DE163" s="389">
        <f>CR163*DE$4/12</f>
        <v>0</v>
      </c>
      <c r="DF163" s="389"/>
      <c r="DG163" s="389"/>
      <c r="DH163" s="389"/>
      <c r="DI163" s="389"/>
      <c r="DJ163" s="389"/>
      <c r="DK163" s="389"/>
      <c r="DL163" s="389"/>
      <c r="DM163" s="389"/>
      <c r="DN163" s="389"/>
      <c r="DO163" s="389"/>
      <c r="DP163" s="389"/>
      <c r="DQ163" s="389"/>
      <c r="DR163" s="389">
        <f>DE163*DR$4/12</f>
        <v>0</v>
      </c>
      <c r="DS163" s="31"/>
      <c r="DT163" s="31"/>
      <c r="DU163" s="10"/>
      <c r="DV163" s="8"/>
      <c r="DW163" s="7"/>
      <c r="DX163" s="7"/>
      <c r="DY163" s="7"/>
      <c r="DZ163" s="7"/>
      <c r="EA163" s="7"/>
      <c r="EB163" s="7"/>
      <c r="EC163" s="7"/>
    </row>
    <row r="164" spans="1:133">
      <c r="C164" s="59" t="s">
        <v>21</v>
      </c>
      <c r="D164" s="59"/>
      <c r="E164" s="62"/>
      <c r="F164" s="12">
        <f t="shared" ref="F164:AK164" si="416">SUM(F140:F163)</f>
        <v>0</v>
      </c>
      <c r="G164" s="12">
        <f t="shared" si="416"/>
        <v>0</v>
      </c>
      <c r="H164" s="12">
        <f t="shared" si="416"/>
        <v>0</v>
      </c>
      <c r="I164" s="12">
        <f t="shared" si="416"/>
        <v>0</v>
      </c>
      <c r="J164" s="12">
        <f t="shared" si="416"/>
        <v>0</v>
      </c>
      <c r="K164" s="12">
        <f t="shared" si="416"/>
        <v>0</v>
      </c>
      <c r="L164" s="12">
        <f t="shared" si="416"/>
        <v>0</v>
      </c>
      <c r="M164" s="12">
        <f t="shared" si="416"/>
        <v>0</v>
      </c>
      <c r="N164" s="12">
        <f t="shared" si="416"/>
        <v>0</v>
      </c>
      <c r="O164" s="12">
        <f t="shared" si="416"/>
        <v>0</v>
      </c>
      <c r="P164" s="12">
        <f t="shared" si="416"/>
        <v>0</v>
      </c>
      <c r="Q164" s="12">
        <f t="shared" si="416"/>
        <v>0</v>
      </c>
      <c r="R164" s="12">
        <f t="shared" si="416"/>
        <v>0</v>
      </c>
      <c r="S164" s="12">
        <f t="shared" si="416"/>
        <v>0</v>
      </c>
      <c r="T164" s="12">
        <f t="shared" si="416"/>
        <v>0</v>
      </c>
      <c r="U164" s="12">
        <f t="shared" si="416"/>
        <v>0</v>
      </c>
      <c r="V164" s="12">
        <f t="shared" si="416"/>
        <v>0</v>
      </c>
      <c r="W164" s="12">
        <f t="shared" si="416"/>
        <v>0</v>
      </c>
      <c r="X164" s="12">
        <f t="shared" si="416"/>
        <v>0</v>
      </c>
      <c r="Y164" s="12">
        <f t="shared" si="416"/>
        <v>0</v>
      </c>
      <c r="Z164" s="12">
        <f t="shared" si="416"/>
        <v>0</v>
      </c>
      <c r="AA164" s="12">
        <f t="shared" si="416"/>
        <v>0</v>
      </c>
      <c r="AB164" s="12">
        <f t="shared" si="416"/>
        <v>0</v>
      </c>
      <c r="AC164" s="12">
        <f t="shared" si="416"/>
        <v>0</v>
      </c>
      <c r="AD164" s="12">
        <f t="shared" si="416"/>
        <v>0</v>
      </c>
      <c r="AE164" s="12">
        <f t="shared" si="416"/>
        <v>0</v>
      </c>
      <c r="AF164" s="12">
        <f t="shared" si="416"/>
        <v>0</v>
      </c>
      <c r="AG164" s="12">
        <f t="shared" si="416"/>
        <v>0</v>
      </c>
      <c r="AH164" s="12">
        <f t="shared" si="416"/>
        <v>0</v>
      </c>
      <c r="AI164" s="12">
        <f t="shared" si="416"/>
        <v>0</v>
      </c>
      <c r="AJ164" s="12">
        <f t="shared" si="416"/>
        <v>0</v>
      </c>
      <c r="AK164" s="12">
        <f t="shared" si="416"/>
        <v>0</v>
      </c>
      <c r="AL164" s="12">
        <f t="shared" ref="AL164:DT164" si="417">SUM(AL140:AL163)</f>
        <v>0</v>
      </c>
      <c r="AM164" s="12">
        <f t="shared" si="417"/>
        <v>0</v>
      </c>
      <c r="AN164" s="12">
        <f t="shared" si="417"/>
        <v>0</v>
      </c>
      <c r="AO164" s="12">
        <f t="shared" si="417"/>
        <v>0</v>
      </c>
      <c r="AP164" s="12">
        <f t="shared" si="417"/>
        <v>0</v>
      </c>
      <c r="AQ164" s="12">
        <f t="shared" si="417"/>
        <v>0</v>
      </c>
      <c r="AR164" s="12">
        <f t="shared" si="417"/>
        <v>0</v>
      </c>
      <c r="AS164" s="12">
        <f t="shared" si="417"/>
        <v>0</v>
      </c>
      <c r="AT164" s="12">
        <f t="shared" si="417"/>
        <v>0</v>
      </c>
      <c r="AU164" s="12">
        <f t="shared" si="417"/>
        <v>0</v>
      </c>
      <c r="AV164" s="12">
        <f t="shared" si="417"/>
        <v>0</v>
      </c>
      <c r="AW164" s="12">
        <f t="shared" si="417"/>
        <v>0</v>
      </c>
      <c r="AX164" s="12">
        <f t="shared" si="417"/>
        <v>0</v>
      </c>
      <c r="AY164" s="12">
        <f t="shared" si="417"/>
        <v>0</v>
      </c>
      <c r="AZ164" s="12">
        <f t="shared" si="417"/>
        <v>0</v>
      </c>
      <c r="BA164" s="12">
        <f t="shared" si="417"/>
        <v>0</v>
      </c>
      <c r="BB164" s="12">
        <f t="shared" si="417"/>
        <v>0</v>
      </c>
      <c r="BC164" s="12">
        <f t="shared" si="417"/>
        <v>0</v>
      </c>
      <c r="BD164" s="12">
        <f t="shared" si="417"/>
        <v>0</v>
      </c>
      <c r="BE164" s="12">
        <f t="shared" si="417"/>
        <v>0</v>
      </c>
      <c r="BF164" s="12">
        <f t="shared" si="417"/>
        <v>0</v>
      </c>
      <c r="BG164" s="12">
        <f t="shared" si="417"/>
        <v>0</v>
      </c>
      <c r="BH164" s="12">
        <f t="shared" si="417"/>
        <v>0</v>
      </c>
      <c r="BI164" s="12">
        <f t="shared" si="417"/>
        <v>0</v>
      </c>
      <c r="BJ164" s="12">
        <f t="shared" si="417"/>
        <v>0</v>
      </c>
      <c r="BK164" s="12">
        <f t="shared" si="417"/>
        <v>0</v>
      </c>
      <c r="BL164" s="12">
        <f t="shared" si="417"/>
        <v>0</v>
      </c>
      <c r="BM164" s="12">
        <f t="shared" si="417"/>
        <v>0</v>
      </c>
      <c r="BN164" s="12">
        <f t="shared" si="417"/>
        <v>0</v>
      </c>
      <c r="BO164" s="12">
        <f t="shared" si="417"/>
        <v>0</v>
      </c>
      <c r="BP164" s="12">
        <f t="shared" si="417"/>
        <v>0</v>
      </c>
      <c r="BQ164" s="12">
        <f t="shared" si="417"/>
        <v>0</v>
      </c>
      <c r="BR164" s="12">
        <f t="shared" si="417"/>
        <v>0</v>
      </c>
      <c r="BS164" s="12">
        <f t="shared" si="417"/>
        <v>0</v>
      </c>
      <c r="BT164" s="12">
        <f t="shared" si="417"/>
        <v>0</v>
      </c>
      <c r="BU164" s="12">
        <f t="shared" si="417"/>
        <v>0</v>
      </c>
      <c r="BV164" s="12">
        <f t="shared" si="417"/>
        <v>0</v>
      </c>
      <c r="BW164" s="12">
        <f t="shared" si="417"/>
        <v>0</v>
      </c>
      <c r="BX164" s="12">
        <f t="shared" si="417"/>
        <v>0</v>
      </c>
      <c r="BY164" s="12">
        <f t="shared" si="417"/>
        <v>0</v>
      </c>
      <c r="BZ164" s="12">
        <f t="shared" si="417"/>
        <v>0</v>
      </c>
      <c r="CA164" s="12">
        <f t="shared" si="417"/>
        <v>0</v>
      </c>
      <c r="CB164" s="12">
        <f t="shared" si="417"/>
        <v>0</v>
      </c>
      <c r="CC164" s="12">
        <f t="shared" si="417"/>
        <v>0</v>
      </c>
      <c r="CD164" s="12">
        <f t="shared" si="417"/>
        <v>0</v>
      </c>
      <c r="CE164" s="12">
        <f t="shared" si="417"/>
        <v>0</v>
      </c>
      <c r="CF164" s="12">
        <f t="shared" ref="CF164:DR164" si="418">SUM(CF140:CF163)</f>
        <v>0</v>
      </c>
      <c r="CG164" s="12">
        <f t="shared" si="418"/>
        <v>0</v>
      </c>
      <c r="CH164" s="12">
        <f t="shared" si="418"/>
        <v>0</v>
      </c>
      <c r="CI164" s="12">
        <f t="shared" si="418"/>
        <v>0</v>
      </c>
      <c r="CJ164" s="12">
        <f t="shared" si="418"/>
        <v>0</v>
      </c>
      <c r="CK164" s="12">
        <f t="shared" si="418"/>
        <v>0</v>
      </c>
      <c r="CL164" s="12">
        <f t="shared" si="418"/>
        <v>0</v>
      </c>
      <c r="CM164" s="12">
        <f t="shared" si="418"/>
        <v>0</v>
      </c>
      <c r="CN164" s="12">
        <f t="shared" si="418"/>
        <v>0</v>
      </c>
      <c r="CO164" s="12">
        <f t="shared" si="418"/>
        <v>0</v>
      </c>
      <c r="CP164" s="12">
        <f t="shared" si="418"/>
        <v>0</v>
      </c>
      <c r="CQ164" s="12">
        <f t="shared" si="418"/>
        <v>0</v>
      </c>
      <c r="CR164" s="12">
        <f t="shared" si="418"/>
        <v>0</v>
      </c>
      <c r="CS164" s="12">
        <f t="shared" si="418"/>
        <v>0</v>
      </c>
      <c r="CT164" s="12">
        <f t="shared" si="418"/>
        <v>0</v>
      </c>
      <c r="CU164" s="12">
        <f t="shared" si="418"/>
        <v>0</v>
      </c>
      <c r="CV164" s="12">
        <f t="shared" si="418"/>
        <v>0</v>
      </c>
      <c r="CW164" s="12">
        <f t="shared" si="418"/>
        <v>0</v>
      </c>
      <c r="CX164" s="12">
        <f t="shared" si="418"/>
        <v>0</v>
      </c>
      <c r="CY164" s="12">
        <f t="shared" si="418"/>
        <v>0</v>
      </c>
      <c r="CZ164" s="12">
        <f t="shared" si="418"/>
        <v>0</v>
      </c>
      <c r="DA164" s="12">
        <f t="shared" si="418"/>
        <v>0</v>
      </c>
      <c r="DB164" s="12">
        <f t="shared" si="418"/>
        <v>0</v>
      </c>
      <c r="DC164" s="12">
        <f t="shared" si="418"/>
        <v>0</v>
      </c>
      <c r="DD164" s="12">
        <f t="shared" si="418"/>
        <v>0</v>
      </c>
      <c r="DE164" s="12">
        <f t="shared" si="418"/>
        <v>0</v>
      </c>
      <c r="DF164" s="12">
        <f t="shared" si="418"/>
        <v>0</v>
      </c>
      <c r="DG164" s="12">
        <f t="shared" si="418"/>
        <v>0</v>
      </c>
      <c r="DH164" s="12">
        <f t="shared" si="418"/>
        <v>0</v>
      </c>
      <c r="DI164" s="12">
        <f t="shared" si="418"/>
        <v>0</v>
      </c>
      <c r="DJ164" s="12">
        <f t="shared" si="418"/>
        <v>0</v>
      </c>
      <c r="DK164" s="12">
        <f t="shared" si="418"/>
        <v>0</v>
      </c>
      <c r="DL164" s="12">
        <f t="shared" si="418"/>
        <v>0</v>
      </c>
      <c r="DM164" s="12">
        <f t="shared" si="418"/>
        <v>0</v>
      </c>
      <c r="DN164" s="12">
        <f t="shared" si="418"/>
        <v>0</v>
      </c>
      <c r="DO164" s="12">
        <f t="shared" si="418"/>
        <v>0</v>
      </c>
      <c r="DP164" s="12">
        <f t="shared" si="418"/>
        <v>0</v>
      </c>
      <c r="DQ164" s="12">
        <f t="shared" si="418"/>
        <v>0</v>
      </c>
      <c r="DR164" s="12">
        <f t="shared" si="418"/>
        <v>0</v>
      </c>
      <c r="DS164" s="30">
        <f t="shared" si="417"/>
        <v>0</v>
      </c>
      <c r="DT164" s="30">
        <f t="shared" si="417"/>
        <v>0</v>
      </c>
      <c r="DU164" s="13"/>
      <c r="DV164" s="8"/>
      <c r="DW164" s="7"/>
      <c r="DX164" s="7"/>
      <c r="DY164" s="7"/>
      <c r="DZ164" s="7"/>
      <c r="EA164" s="7"/>
      <c r="EB164" s="7"/>
      <c r="EC164" s="7"/>
    </row>
    <row r="165" spans="1:133">
      <c r="C165" s="57"/>
      <c r="D165" s="57"/>
      <c r="E165" s="62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31"/>
      <c r="DT165" s="31"/>
      <c r="DU165" s="9"/>
      <c r="DV165" s="8"/>
      <c r="DW165" s="7"/>
      <c r="DX165" s="7"/>
      <c r="DY165" s="7"/>
      <c r="DZ165" s="7"/>
      <c r="EA165" s="7"/>
      <c r="EB165" s="7"/>
      <c r="EC165" s="7"/>
    </row>
    <row r="166" spans="1:133">
      <c r="C166" s="57"/>
      <c r="D166" s="57"/>
      <c r="E166" s="62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31"/>
      <c r="DT166" s="31"/>
      <c r="DU166" s="9"/>
      <c r="DV166" s="8"/>
      <c r="DW166" s="7"/>
      <c r="DX166" s="7"/>
      <c r="DY166" s="7"/>
      <c r="DZ166" s="7"/>
      <c r="EA166" s="7"/>
      <c r="EB166" s="7"/>
      <c r="EC166" s="7"/>
    </row>
    <row r="167" spans="1:133">
      <c r="C167" s="59" t="s">
        <v>29</v>
      </c>
      <c r="D167" s="59"/>
      <c r="E167" s="63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31"/>
      <c r="DT167" s="31"/>
      <c r="DU167" s="9"/>
      <c r="DV167" s="8"/>
      <c r="DW167" s="7"/>
      <c r="DX167" s="7"/>
      <c r="DY167" s="7"/>
      <c r="DZ167" s="7"/>
      <c r="EA167" s="7"/>
      <c r="EB167" s="7"/>
      <c r="EC167" s="7"/>
    </row>
    <row r="168" spans="1:133">
      <c r="C168" s="57" t="s">
        <v>703</v>
      </c>
      <c r="D168" s="57"/>
      <c r="E168" s="62"/>
      <c r="F168" s="9">
        <f t="shared" ref="F168:BQ171" si="419">F113+F140</f>
        <v>0</v>
      </c>
      <c r="G168" s="9">
        <f t="shared" si="419"/>
        <v>0</v>
      </c>
      <c r="H168" s="9">
        <f t="shared" si="419"/>
        <v>0</v>
      </c>
      <c r="I168" s="9">
        <f t="shared" si="419"/>
        <v>0</v>
      </c>
      <c r="J168" s="9">
        <f t="shared" si="419"/>
        <v>0</v>
      </c>
      <c r="K168" s="9">
        <f t="shared" si="419"/>
        <v>0</v>
      </c>
      <c r="L168" s="9">
        <f t="shared" si="419"/>
        <v>0</v>
      </c>
      <c r="M168" s="9">
        <f t="shared" si="419"/>
        <v>0</v>
      </c>
      <c r="N168" s="9">
        <f t="shared" si="419"/>
        <v>0</v>
      </c>
      <c r="O168" s="9">
        <f t="shared" si="419"/>
        <v>0</v>
      </c>
      <c r="P168" s="9">
        <f t="shared" si="419"/>
        <v>0</v>
      </c>
      <c r="Q168" s="9">
        <f t="shared" si="419"/>
        <v>0</v>
      </c>
      <c r="R168" s="9">
        <f t="shared" si="419"/>
        <v>0</v>
      </c>
      <c r="S168" s="9">
        <f t="shared" si="419"/>
        <v>0</v>
      </c>
      <c r="T168" s="9">
        <f t="shared" si="419"/>
        <v>0</v>
      </c>
      <c r="U168" s="9">
        <f t="shared" si="419"/>
        <v>0</v>
      </c>
      <c r="V168" s="9">
        <f t="shared" si="419"/>
        <v>0</v>
      </c>
      <c r="W168" s="9">
        <f t="shared" si="419"/>
        <v>0</v>
      </c>
      <c r="X168" s="9">
        <f t="shared" si="419"/>
        <v>0</v>
      </c>
      <c r="Y168" s="9">
        <f t="shared" si="419"/>
        <v>0</v>
      </c>
      <c r="Z168" s="9">
        <f t="shared" si="419"/>
        <v>0</v>
      </c>
      <c r="AA168" s="9">
        <f t="shared" si="419"/>
        <v>0</v>
      </c>
      <c r="AB168" s="9">
        <f t="shared" si="419"/>
        <v>0</v>
      </c>
      <c r="AC168" s="9">
        <f t="shared" si="419"/>
        <v>0</v>
      </c>
      <c r="AD168" s="9">
        <f t="shared" si="419"/>
        <v>0</v>
      </c>
      <c r="AE168" s="9">
        <f t="shared" si="419"/>
        <v>0</v>
      </c>
      <c r="AF168" s="9">
        <f t="shared" si="419"/>
        <v>0</v>
      </c>
      <c r="AG168" s="9">
        <f t="shared" si="419"/>
        <v>0</v>
      </c>
      <c r="AH168" s="9">
        <f t="shared" si="419"/>
        <v>0</v>
      </c>
      <c r="AI168" s="9">
        <f t="shared" si="419"/>
        <v>0</v>
      </c>
      <c r="AJ168" s="9">
        <f t="shared" si="419"/>
        <v>0</v>
      </c>
      <c r="AK168" s="9">
        <f t="shared" si="419"/>
        <v>0</v>
      </c>
      <c r="AL168" s="9">
        <f t="shared" si="419"/>
        <v>0</v>
      </c>
      <c r="AM168" s="9">
        <f t="shared" si="419"/>
        <v>0</v>
      </c>
      <c r="AN168" s="9">
        <f t="shared" si="419"/>
        <v>0</v>
      </c>
      <c r="AO168" s="9">
        <f t="shared" si="419"/>
        <v>0</v>
      </c>
      <c r="AP168" s="9">
        <f t="shared" si="419"/>
        <v>0</v>
      </c>
      <c r="AQ168" s="9">
        <f t="shared" si="419"/>
        <v>0</v>
      </c>
      <c r="AR168" s="9">
        <f t="shared" si="419"/>
        <v>0</v>
      </c>
      <c r="AS168" s="9">
        <f t="shared" si="419"/>
        <v>0</v>
      </c>
      <c r="AT168" s="9">
        <f t="shared" si="419"/>
        <v>0</v>
      </c>
      <c r="AU168" s="9">
        <f t="shared" si="419"/>
        <v>0</v>
      </c>
      <c r="AV168" s="9">
        <f t="shared" si="419"/>
        <v>0</v>
      </c>
      <c r="AW168" s="9">
        <f t="shared" si="419"/>
        <v>0</v>
      </c>
      <c r="AX168" s="9">
        <f t="shared" si="419"/>
        <v>0</v>
      </c>
      <c r="AY168" s="9">
        <f t="shared" si="419"/>
        <v>0</v>
      </c>
      <c r="AZ168" s="9">
        <f t="shared" si="419"/>
        <v>0</v>
      </c>
      <c r="BA168" s="9">
        <f t="shared" si="419"/>
        <v>0</v>
      </c>
      <c r="BB168" s="9">
        <f t="shared" si="419"/>
        <v>0</v>
      </c>
      <c r="BC168" s="9">
        <f t="shared" si="419"/>
        <v>0</v>
      </c>
      <c r="BD168" s="9">
        <f t="shared" si="419"/>
        <v>0</v>
      </c>
      <c r="BE168" s="9">
        <f t="shared" si="419"/>
        <v>0</v>
      </c>
      <c r="BF168" s="9">
        <f t="shared" si="419"/>
        <v>0</v>
      </c>
      <c r="BG168" s="9">
        <f t="shared" si="419"/>
        <v>0</v>
      </c>
      <c r="BH168" s="9">
        <f t="shared" si="419"/>
        <v>0</v>
      </c>
      <c r="BI168" s="9">
        <f t="shared" si="419"/>
        <v>0</v>
      </c>
      <c r="BJ168" s="9">
        <f t="shared" si="419"/>
        <v>0</v>
      </c>
      <c r="BK168" s="9">
        <f t="shared" si="419"/>
        <v>0</v>
      </c>
      <c r="BL168" s="9">
        <f t="shared" si="419"/>
        <v>0</v>
      </c>
      <c r="BM168" s="9">
        <f t="shared" si="419"/>
        <v>0</v>
      </c>
      <c r="BN168" s="9">
        <f t="shared" si="419"/>
        <v>0</v>
      </c>
      <c r="BO168" s="9">
        <f t="shared" si="419"/>
        <v>0</v>
      </c>
      <c r="BP168" s="9">
        <f t="shared" si="419"/>
        <v>0</v>
      </c>
      <c r="BQ168" s="9">
        <f t="shared" si="419"/>
        <v>0</v>
      </c>
      <c r="BR168" s="9">
        <f t="shared" ref="BR168:CE183" si="420">BR113+BR140</f>
        <v>0</v>
      </c>
      <c r="BS168" s="9">
        <f t="shared" si="420"/>
        <v>0</v>
      </c>
      <c r="BT168" s="9">
        <f t="shared" si="420"/>
        <v>0</v>
      </c>
      <c r="BU168" s="9">
        <f t="shared" si="420"/>
        <v>0</v>
      </c>
      <c r="BV168" s="9">
        <f t="shared" si="420"/>
        <v>0</v>
      </c>
      <c r="BW168" s="9">
        <f t="shared" si="420"/>
        <v>0</v>
      </c>
      <c r="BX168" s="9">
        <f t="shared" si="420"/>
        <v>0</v>
      </c>
      <c r="BY168" s="9">
        <f t="shared" si="420"/>
        <v>0</v>
      </c>
      <c r="BZ168" s="9">
        <f t="shared" si="420"/>
        <v>0</v>
      </c>
      <c r="CA168" s="9">
        <f t="shared" si="420"/>
        <v>0</v>
      </c>
      <c r="CB168" s="9">
        <f t="shared" si="420"/>
        <v>0</v>
      </c>
      <c r="CC168" s="9">
        <f t="shared" si="420"/>
        <v>0</v>
      </c>
      <c r="CD168" s="9">
        <f t="shared" si="420"/>
        <v>0</v>
      </c>
      <c r="CE168" s="9">
        <f t="shared" si="420"/>
        <v>0</v>
      </c>
      <c r="CF168" s="9">
        <f t="shared" ref="CF168:DR168" si="421">CF113+CF140</f>
        <v>0</v>
      </c>
      <c r="CG168" s="9">
        <f t="shared" si="421"/>
        <v>0</v>
      </c>
      <c r="CH168" s="9">
        <f t="shared" si="421"/>
        <v>0</v>
      </c>
      <c r="CI168" s="9">
        <f t="shared" si="421"/>
        <v>0</v>
      </c>
      <c r="CJ168" s="9">
        <f t="shared" si="421"/>
        <v>0</v>
      </c>
      <c r="CK168" s="9">
        <f t="shared" si="421"/>
        <v>0</v>
      </c>
      <c r="CL168" s="9">
        <f t="shared" si="421"/>
        <v>0</v>
      </c>
      <c r="CM168" s="9">
        <f t="shared" si="421"/>
        <v>0</v>
      </c>
      <c r="CN168" s="9">
        <f t="shared" si="421"/>
        <v>0</v>
      </c>
      <c r="CO168" s="9">
        <f t="shared" si="421"/>
        <v>0</v>
      </c>
      <c r="CP168" s="9">
        <f t="shared" si="421"/>
        <v>0</v>
      </c>
      <c r="CQ168" s="9">
        <f t="shared" si="421"/>
        <v>0</v>
      </c>
      <c r="CR168" s="9">
        <f t="shared" si="421"/>
        <v>0</v>
      </c>
      <c r="CS168" s="9">
        <f t="shared" si="421"/>
        <v>0</v>
      </c>
      <c r="CT168" s="9">
        <f t="shared" si="421"/>
        <v>0</v>
      </c>
      <c r="CU168" s="9">
        <f t="shared" si="421"/>
        <v>0</v>
      </c>
      <c r="CV168" s="9">
        <f t="shared" si="421"/>
        <v>0</v>
      </c>
      <c r="CW168" s="9">
        <f t="shared" si="421"/>
        <v>0</v>
      </c>
      <c r="CX168" s="9">
        <f t="shared" si="421"/>
        <v>0</v>
      </c>
      <c r="CY168" s="9">
        <f t="shared" si="421"/>
        <v>0</v>
      </c>
      <c r="CZ168" s="9">
        <f t="shared" si="421"/>
        <v>0</v>
      </c>
      <c r="DA168" s="9">
        <f t="shared" si="421"/>
        <v>0</v>
      </c>
      <c r="DB168" s="9">
        <f t="shared" si="421"/>
        <v>0</v>
      </c>
      <c r="DC168" s="9">
        <f t="shared" si="421"/>
        <v>0</v>
      </c>
      <c r="DD168" s="9">
        <f t="shared" si="421"/>
        <v>0</v>
      </c>
      <c r="DE168" s="9">
        <f t="shared" si="421"/>
        <v>0</v>
      </c>
      <c r="DF168" s="9">
        <f t="shared" si="421"/>
        <v>0</v>
      </c>
      <c r="DG168" s="9">
        <f t="shared" si="421"/>
        <v>0</v>
      </c>
      <c r="DH168" s="9">
        <f t="shared" si="421"/>
        <v>0</v>
      </c>
      <c r="DI168" s="9">
        <f t="shared" si="421"/>
        <v>0</v>
      </c>
      <c r="DJ168" s="9">
        <f t="shared" si="421"/>
        <v>0</v>
      </c>
      <c r="DK168" s="9">
        <f t="shared" si="421"/>
        <v>0</v>
      </c>
      <c r="DL168" s="9">
        <f t="shared" si="421"/>
        <v>0</v>
      </c>
      <c r="DM168" s="9">
        <f t="shared" si="421"/>
        <v>0</v>
      </c>
      <c r="DN168" s="9">
        <f t="shared" si="421"/>
        <v>0</v>
      </c>
      <c r="DO168" s="9">
        <f t="shared" si="421"/>
        <v>0</v>
      </c>
      <c r="DP168" s="9">
        <f t="shared" si="421"/>
        <v>0</v>
      </c>
      <c r="DQ168" s="9">
        <f t="shared" si="421"/>
        <v>0</v>
      </c>
      <c r="DR168" s="9">
        <f t="shared" si="421"/>
        <v>0</v>
      </c>
      <c r="DS168" s="31">
        <f t="shared" ref="DS168:DS189" si="422">SUM(F168:Q168)+SUM(S168:AD168)+SUM(AF168:AQ168)+SUM(AS168:BD168)+SUM(BF168:BQ168)+SUM(BS168:CD168)+SUM(CF168:CQ168)+SUM(CS168:DD168)+SUM(DF168:DQ168)</f>
        <v>0</v>
      </c>
      <c r="DT168" s="31"/>
      <c r="DU168" s="9"/>
      <c r="DV168" s="8"/>
      <c r="DW168" s="7"/>
      <c r="DX168" s="7"/>
      <c r="DY168" s="7"/>
      <c r="DZ168" s="7"/>
      <c r="EA168" s="7"/>
      <c r="EB168" s="7"/>
      <c r="EC168" s="7"/>
    </row>
    <row r="169" spans="1:133">
      <c r="C169" s="57" t="str">
        <f>C141</f>
        <v>IT/JavaNetColdFusionIT/DeveloperJavaNetColdFusion/Junior</v>
      </c>
      <c r="D169" s="57">
        <f>+D141</f>
        <v>0</v>
      </c>
      <c r="E169" s="62" t="str">
        <f>E141</f>
        <v>B2 AP1 / B2 AP2 (0.6 to 3 yrs)</v>
      </c>
      <c r="F169" s="9">
        <f t="shared" si="419"/>
        <v>0</v>
      </c>
      <c r="G169" s="9">
        <f t="shared" si="419"/>
        <v>0</v>
      </c>
      <c r="H169" s="9">
        <f t="shared" si="419"/>
        <v>0</v>
      </c>
      <c r="I169" s="9">
        <f t="shared" si="419"/>
        <v>0</v>
      </c>
      <c r="J169" s="9">
        <f t="shared" si="419"/>
        <v>0</v>
      </c>
      <c r="K169" s="9">
        <f t="shared" si="419"/>
        <v>0</v>
      </c>
      <c r="L169" s="9">
        <f t="shared" si="419"/>
        <v>0</v>
      </c>
      <c r="M169" s="9">
        <f t="shared" si="419"/>
        <v>0</v>
      </c>
      <c r="N169" s="9">
        <f t="shared" si="419"/>
        <v>0</v>
      </c>
      <c r="O169" s="9">
        <f t="shared" si="419"/>
        <v>0</v>
      </c>
      <c r="P169" s="9">
        <f t="shared" si="419"/>
        <v>0</v>
      </c>
      <c r="Q169" s="9">
        <f t="shared" si="419"/>
        <v>0</v>
      </c>
      <c r="R169" s="9">
        <f t="shared" si="419"/>
        <v>0</v>
      </c>
      <c r="S169" s="9">
        <f t="shared" si="419"/>
        <v>0</v>
      </c>
      <c r="T169" s="9">
        <f t="shared" si="419"/>
        <v>0</v>
      </c>
      <c r="U169" s="9">
        <f t="shared" si="419"/>
        <v>0</v>
      </c>
      <c r="V169" s="9">
        <f t="shared" si="419"/>
        <v>0</v>
      </c>
      <c r="W169" s="9">
        <f t="shared" si="419"/>
        <v>0</v>
      </c>
      <c r="X169" s="9">
        <f t="shared" si="419"/>
        <v>0</v>
      </c>
      <c r="Y169" s="9">
        <f t="shared" si="419"/>
        <v>0</v>
      </c>
      <c r="Z169" s="9">
        <f t="shared" si="419"/>
        <v>0</v>
      </c>
      <c r="AA169" s="9">
        <f t="shared" si="419"/>
        <v>0</v>
      </c>
      <c r="AB169" s="9">
        <f t="shared" si="419"/>
        <v>0</v>
      </c>
      <c r="AC169" s="9">
        <f t="shared" si="419"/>
        <v>0</v>
      </c>
      <c r="AD169" s="9">
        <f t="shared" si="419"/>
        <v>0</v>
      </c>
      <c r="AE169" s="9">
        <f t="shared" si="419"/>
        <v>0</v>
      </c>
      <c r="AF169" s="9">
        <f t="shared" si="419"/>
        <v>0</v>
      </c>
      <c r="AG169" s="9">
        <f t="shared" si="419"/>
        <v>0</v>
      </c>
      <c r="AH169" s="9">
        <f t="shared" si="419"/>
        <v>0</v>
      </c>
      <c r="AI169" s="9">
        <f t="shared" si="419"/>
        <v>0</v>
      </c>
      <c r="AJ169" s="9">
        <f t="shared" si="419"/>
        <v>0</v>
      </c>
      <c r="AK169" s="9">
        <f t="shared" si="419"/>
        <v>0</v>
      </c>
      <c r="AL169" s="9">
        <f t="shared" si="419"/>
        <v>0</v>
      </c>
      <c r="AM169" s="9">
        <f t="shared" si="419"/>
        <v>0</v>
      </c>
      <c r="AN169" s="9">
        <f t="shared" si="419"/>
        <v>0</v>
      </c>
      <c r="AO169" s="9">
        <f t="shared" si="419"/>
        <v>0</v>
      </c>
      <c r="AP169" s="9">
        <f t="shared" si="419"/>
        <v>0</v>
      </c>
      <c r="AQ169" s="9">
        <f t="shared" si="419"/>
        <v>0</v>
      </c>
      <c r="AR169" s="9">
        <f t="shared" si="419"/>
        <v>0</v>
      </c>
      <c r="AS169" s="9">
        <f t="shared" si="419"/>
        <v>0</v>
      </c>
      <c r="AT169" s="9">
        <f t="shared" si="419"/>
        <v>0</v>
      </c>
      <c r="AU169" s="9">
        <f t="shared" si="419"/>
        <v>0</v>
      </c>
      <c r="AV169" s="9">
        <f t="shared" si="419"/>
        <v>0</v>
      </c>
      <c r="AW169" s="9">
        <f t="shared" si="419"/>
        <v>0</v>
      </c>
      <c r="AX169" s="9">
        <f t="shared" si="419"/>
        <v>0</v>
      </c>
      <c r="AY169" s="9">
        <f t="shared" si="419"/>
        <v>0</v>
      </c>
      <c r="AZ169" s="9">
        <f t="shared" si="419"/>
        <v>0</v>
      </c>
      <c r="BA169" s="9">
        <f t="shared" si="419"/>
        <v>0</v>
      </c>
      <c r="BB169" s="9">
        <f t="shared" si="419"/>
        <v>0</v>
      </c>
      <c r="BC169" s="9">
        <f t="shared" si="419"/>
        <v>0</v>
      </c>
      <c r="BD169" s="9">
        <f t="shared" si="419"/>
        <v>0</v>
      </c>
      <c r="BE169" s="9">
        <f t="shared" si="419"/>
        <v>0</v>
      </c>
      <c r="BF169" s="9">
        <f t="shared" si="419"/>
        <v>0</v>
      </c>
      <c r="BG169" s="9">
        <f t="shared" si="419"/>
        <v>0</v>
      </c>
      <c r="BH169" s="9">
        <f t="shared" si="419"/>
        <v>0</v>
      </c>
      <c r="BI169" s="9">
        <f t="shared" si="419"/>
        <v>0</v>
      </c>
      <c r="BJ169" s="9">
        <f t="shared" si="419"/>
        <v>0</v>
      </c>
      <c r="BK169" s="9">
        <f t="shared" si="419"/>
        <v>0</v>
      </c>
      <c r="BL169" s="9">
        <f t="shared" si="419"/>
        <v>0</v>
      </c>
      <c r="BM169" s="9">
        <f t="shared" si="419"/>
        <v>0</v>
      </c>
      <c r="BN169" s="9">
        <f t="shared" si="419"/>
        <v>0</v>
      </c>
      <c r="BO169" s="9">
        <f t="shared" si="419"/>
        <v>0</v>
      </c>
      <c r="BP169" s="9">
        <f t="shared" si="419"/>
        <v>0</v>
      </c>
      <c r="BQ169" s="9">
        <f t="shared" si="419"/>
        <v>0</v>
      </c>
      <c r="BR169" s="9">
        <f t="shared" si="420"/>
        <v>0</v>
      </c>
      <c r="BS169" s="9">
        <f t="shared" si="420"/>
        <v>0</v>
      </c>
      <c r="BT169" s="9">
        <f t="shared" si="420"/>
        <v>0</v>
      </c>
      <c r="BU169" s="9">
        <f t="shared" si="420"/>
        <v>0</v>
      </c>
      <c r="BV169" s="9">
        <f t="shared" si="420"/>
        <v>0</v>
      </c>
      <c r="BW169" s="9">
        <f t="shared" si="420"/>
        <v>0</v>
      </c>
      <c r="BX169" s="9">
        <f t="shared" si="420"/>
        <v>0</v>
      </c>
      <c r="BY169" s="9">
        <f t="shared" si="420"/>
        <v>0</v>
      </c>
      <c r="BZ169" s="9">
        <f t="shared" si="420"/>
        <v>0</v>
      </c>
      <c r="CA169" s="9">
        <f t="shared" si="420"/>
        <v>0</v>
      </c>
      <c r="CB169" s="9">
        <f t="shared" si="420"/>
        <v>0</v>
      </c>
      <c r="CC169" s="9">
        <f t="shared" si="420"/>
        <v>0</v>
      </c>
      <c r="CD169" s="9">
        <f t="shared" si="420"/>
        <v>0</v>
      </c>
      <c r="CE169" s="9">
        <f t="shared" si="420"/>
        <v>0</v>
      </c>
      <c r="CF169" s="9">
        <f t="shared" ref="CF169:DR169" si="423">CF114+CF141</f>
        <v>0</v>
      </c>
      <c r="CG169" s="9">
        <f t="shared" si="423"/>
        <v>0</v>
      </c>
      <c r="CH169" s="9">
        <f t="shared" si="423"/>
        <v>0</v>
      </c>
      <c r="CI169" s="9">
        <f t="shared" si="423"/>
        <v>0</v>
      </c>
      <c r="CJ169" s="9">
        <f t="shared" si="423"/>
        <v>0</v>
      </c>
      <c r="CK169" s="9">
        <f t="shared" si="423"/>
        <v>0</v>
      </c>
      <c r="CL169" s="9">
        <f t="shared" si="423"/>
        <v>0</v>
      </c>
      <c r="CM169" s="9">
        <f t="shared" si="423"/>
        <v>0</v>
      </c>
      <c r="CN169" s="9">
        <f t="shared" si="423"/>
        <v>0</v>
      </c>
      <c r="CO169" s="9">
        <f t="shared" si="423"/>
        <v>0</v>
      </c>
      <c r="CP169" s="9">
        <f t="shared" si="423"/>
        <v>0</v>
      </c>
      <c r="CQ169" s="9">
        <f t="shared" si="423"/>
        <v>0</v>
      </c>
      <c r="CR169" s="9">
        <f t="shared" si="423"/>
        <v>0</v>
      </c>
      <c r="CS169" s="9">
        <f t="shared" si="423"/>
        <v>0</v>
      </c>
      <c r="CT169" s="9">
        <f t="shared" si="423"/>
        <v>0</v>
      </c>
      <c r="CU169" s="9">
        <f t="shared" si="423"/>
        <v>0</v>
      </c>
      <c r="CV169" s="9">
        <f t="shared" si="423"/>
        <v>0</v>
      </c>
      <c r="CW169" s="9">
        <f t="shared" si="423"/>
        <v>0</v>
      </c>
      <c r="CX169" s="9">
        <f t="shared" si="423"/>
        <v>0</v>
      </c>
      <c r="CY169" s="9">
        <f t="shared" si="423"/>
        <v>0</v>
      </c>
      <c r="CZ169" s="9">
        <f t="shared" si="423"/>
        <v>0</v>
      </c>
      <c r="DA169" s="9">
        <f t="shared" si="423"/>
        <v>0</v>
      </c>
      <c r="DB169" s="9">
        <f t="shared" si="423"/>
        <v>0</v>
      </c>
      <c r="DC169" s="9">
        <f t="shared" si="423"/>
        <v>0</v>
      </c>
      <c r="DD169" s="9">
        <f t="shared" si="423"/>
        <v>0</v>
      </c>
      <c r="DE169" s="9">
        <f t="shared" si="423"/>
        <v>0</v>
      </c>
      <c r="DF169" s="9">
        <f t="shared" si="423"/>
        <v>0</v>
      </c>
      <c r="DG169" s="9">
        <f t="shared" si="423"/>
        <v>0</v>
      </c>
      <c r="DH169" s="9">
        <f t="shared" si="423"/>
        <v>0</v>
      </c>
      <c r="DI169" s="9">
        <f t="shared" si="423"/>
        <v>0</v>
      </c>
      <c r="DJ169" s="9">
        <f t="shared" si="423"/>
        <v>0</v>
      </c>
      <c r="DK169" s="9">
        <f t="shared" si="423"/>
        <v>0</v>
      </c>
      <c r="DL169" s="9">
        <f t="shared" si="423"/>
        <v>0</v>
      </c>
      <c r="DM169" s="9">
        <f t="shared" si="423"/>
        <v>0</v>
      </c>
      <c r="DN169" s="9">
        <f t="shared" si="423"/>
        <v>0</v>
      </c>
      <c r="DO169" s="9">
        <f t="shared" si="423"/>
        <v>0</v>
      </c>
      <c r="DP169" s="9">
        <f t="shared" si="423"/>
        <v>0</v>
      </c>
      <c r="DQ169" s="9">
        <f t="shared" si="423"/>
        <v>0</v>
      </c>
      <c r="DR169" s="9">
        <f t="shared" si="423"/>
        <v>0</v>
      </c>
      <c r="DS169" s="31">
        <f t="shared" si="422"/>
        <v>0</v>
      </c>
      <c r="DT169" s="31">
        <f t="shared" ref="DT169:DT191" si="424">DT114+DT141</f>
        <v>0</v>
      </c>
      <c r="DU169" s="9"/>
      <c r="DV169" s="8"/>
      <c r="DW169" s="7"/>
      <c r="DX169" s="7"/>
      <c r="DY169" s="7"/>
      <c r="DZ169" s="7"/>
      <c r="EA169" s="7"/>
      <c r="EB169" s="7"/>
      <c r="EC169" s="7"/>
    </row>
    <row r="170" spans="1:133">
      <c r="C170" s="57" t="str">
        <f t="shared" ref="C170:E185" si="425">C142</f>
        <v>///</v>
      </c>
      <c r="D170" s="57">
        <f t="shared" ref="D170:D189" si="426">+D142</f>
        <v>0</v>
      </c>
      <c r="E170" s="62">
        <f t="shared" si="425"/>
        <v>0</v>
      </c>
      <c r="F170" s="9">
        <f t="shared" si="419"/>
        <v>0</v>
      </c>
      <c r="G170" s="9">
        <f t="shared" si="419"/>
        <v>0</v>
      </c>
      <c r="H170" s="9">
        <f t="shared" si="419"/>
        <v>0</v>
      </c>
      <c r="I170" s="9">
        <f t="shared" si="419"/>
        <v>0</v>
      </c>
      <c r="J170" s="9">
        <f t="shared" si="419"/>
        <v>0</v>
      </c>
      <c r="K170" s="9">
        <f t="shared" si="419"/>
        <v>0</v>
      </c>
      <c r="L170" s="9">
        <f t="shared" si="419"/>
        <v>0</v>
      </c>
      <c r="M170" s="9">
        <f t="shared" si="419"/>
        <v>0</v>
      </c>
      <c r="N170" s="9">
        <f t="shared" si="419"/>
        <v>0</v>
      </c>
      <c r="O170" s="9">
        <f t="shared" si="419"/>
        <v>0</v>
      </c>
      <c r="P170" s="9">
        <f t="shared" si="419"/>
        <v>0</v>
      </c>
      <c r="Q170" s="9">
        <f t="shared" si="419"/>
        <v>0</v>
      </c>
      <c r="R170" s="9">
        <f t="shared" si="419"/>
        <v>0</v>
      </c>
      <c r="S170" s="9">
        <f t="shared" si="419"/>
        <v>0</v>
      </c>
      <c r="T170" s="9">
        <f t="shared" si="419"/>
        <v>0</v>
      </c>
      <c r="U170" s="9">
        <f t="shared" si="419"/>
        <v>0</v>
      </c>
      <c r="V170" s="9">
        <f t="shared" si="419"/>
        <v>0</v>
      </c>
      <c r="W170" s="9">
        <f t="shared" si="419"/>
        <v>0</v>
      </c>
      <c r="X170" s="9">
        <f t="shared" si="419"/>
        <v>0</v>
      </c>
      <c r="Y170" s="9">
        <f t="shared" si="419"/>
        <v>0</v>
      </c>
      <c r="Z170" s="9">
        <f t="shared" si="419"/>
        <v>0</v>
      </c>
      <c r="AA170" s="9">
        <f t="shared" si="419"/>
        <v>0</v>
      </c>
      <c r="AB170" s="9">
        <f t="shared" si="419"/>
        <v>0</v>
      </c>
      <c r="AC170" s="9">
        <f t="shared" si="419"/>
        <v>0</v>
      </c>
      <c r="AD170" s="9">
        <f t="shared" si="419"/>
        <v>0</v>
      </c>
      <c r="AE170" s="9">
        <f t="shared" si="419"/>
        <v>0</v>
      </c>
      <c r="AF170" s="9">
        <f t="shared" si="419"/>
        <v>0</v>
      </c>
      <c r="AG170" s="9">
        <f t="shared" si="419"/>
        <v>0</v>
      </c>
      <c r="AH170" s="9">
        <f t="shared" si="419"/>
        <v>0</v>
      </c>
      <c r="AI170" s="9">
        <f t="shared" si="419"/>
        <v>0</v>
      </c>
      <c r="AJ170" s="9">
        <f t="shared" si="419"/>
        <v>0</v>
      </c>
      <c r="AK170" s="9">
        <f t="shared" si="419"/>
        <v>0</v>
      </c>
      <c r="AL170" s="9">
        <f t="shared" si="419"/>
        <v>0</v>
      </c>
      <c r="AM170" s="9">
        <f t="shared" si="419"/>
        <v>0</v>
      </c>
      <c r="AN170" s="9">
        <f t="shared" si="419"/>
        <v>0</v>
      </c>
      <c r="AO170" s="9">
        <f t="shared" si="419"/>
        <v>0</v>
      </c>
      <c r="AP170" s="9">
        <f t="shared" si="419"/>
        <v>0</v>
      </c>
      <c r="AQ170" s="9">
        <f t="shared" si="419"/>
        <v>0</v>
      </c>
      <c r="AR170" s="9">
        <f t="shared" si="419"/>
        <v>0</v>
      </c>
      <c r="AS170" s="9">
        <f t="shared" si="419"/>
        <v>0</v>
      </c>
      <c r="AT170" s="9">
        <f t="shared" si="419"/>
        <v>0</v>
      </c>
      <c r="AU170" s="9">
        <f t="shared" si="419"/>
        <v>0</v>
      </c>
      <c r="AV170" s="9">
        <f t="shared" si="419"/>
        <v>0</v>
      </c>
      <c r="AW170" s="9">
        <f t="shared" si="419"/>
        <v>0</v>
      </c>
      <c r="AX170" s="9">
        <f t="shared" si="419"/>
        <v>0</v>
      </c>
      <c r="AY170" s="9">
        <f t="shared" si="419"/>
        <v>0</v>
      </c>
      <c r="AZ170" s="9">
        <f t="shared" si="419"/>
        <v>0</v>
      </c>
      <c r="BA170" s="9">
        <f t="shared" si="419"/>
        <v>0</v>
      </c>
      <c r="BB170" s="9">
        <f t="shared" si="419"/>
        <v>0</v>
      </c>
      <c r="BC170" s="9">
        <f t="shared" si="419"/>
        <v>0</v>
      </c>
      <c r="BD170" s="9">
        <f t="shared" si="419"/>
        <v>0</v>
      </c>
      <c r="BE170" s="9">
        <f t="shared" si="419"/>
        <v>0</v>
      </c>
      <c r="BF170" s="9">
        <f t="shared" si="419"/>
        <v>0</v>
      </c>
      <c r="BG170" s="9">
        <f t="shared" si="419"/>
        <v>0</v>
      </c>
      <c r="BH170" s="9">
        <f t="shared" si="419"/>
        <v>0</v>
      </c>
      <c r="BI170" s="9">
        <f t="shared" si="419"/>
        <v>0</v>
      </c>
      <c r="BJ170" s="9">
        <f t="shared" si="419"/>
        <v>0</v>
      </c>
      <c r="BK170" s="9">
        <f t="shared" si="419"/>
        <v>0</v>
      </c>
      <c r="BL170" s="9">
        <f t="shared" si="419"/>
        <v>0</v>
      </c>
      <c r="BM170" s="9">
        <f t="shared" si="419"/>
        <v>0</v>
      </c>
      <c r="BN170" s="9">
        <f t="shared" si="419"/>
        <v>0</v>
      </c>
      <c r="BO170" s="9">
        <f t="shared" si="419"/>
        <v>0</v>
      </c>
      <c r="BP170" s="9">
        <f t="shared" si="419"/>
        <v>0</v>
      </c>
      <c r="BQ170" s="9">
        <f t="shared" si="419"/>
        <v>0</v>
      </c>
      <c r="BR170" s="9">
        <f t="shared" si="420"/>
        <v>0</v>
      </c>
      <c r="BS170" s="9">
        <f t="shared" si="420"/>
        <v>0</v>
      </c>
      <c r="BT170" s="9">
        <f t="shared" si="420"/>
        <v>0</v>
      </c>
      <c r="BU170" s="9">
        <f t="shared" si="420"/>
        <v>0</v>
      </c>
      <c r="BV170" s="9">
        <f t="shared" si="420"/>
        <v>0</v>
      </c>
      <c r="BW170" s="9">
        <f t="shared" si="420"/>
        <v>0</v>
      </c>
      <c r="BX170" s="9">
        <f t="shared" si="420"/>
        <v>0</v>
      </c>
      <c r="BY170" s="9">
        <f t="shared" si="420"/>
        <v>0</v>
      </c>
      <c r="BZ170" s="9">
        <f t="shared" si="420"/>
        <v>0</v>
      </c>
      <c r="CA170" s="9">
        <f t="shared" si="420"/>
        <v>0</v>
      </c>
      <c r="CB170" s="9">
        <f t="shared" si="420"/>
        <v>0</v>
      </c>
      <c r="CC170" s="9">
        <f t="shared" si="420"/>
        <v>0</v>
      </c>
      <c r="CD170" s="9">
        <f t="shared" si="420"/>
        <v>0</v>
      </c>
      <c r="CE170" s="9">
        <f t="shared" si="420"/>
        <v>0</v>
      </c>
      <c r="CF170" s="9">
        <f t="shared" ref="CF170:DR170" si="427">CF115+CF142</f>
        <v>0</v>
      </c>
      <c r="CG170" s="9">
        <f t="shared" si="427"/>
        <v>0</v>
      </c>
      <c r="CH170" s="9">
        <f t="shared" si="427"/>
        <v>0</v>
      </c>
      <c r="CI170" s="9">
        <f t="shared" si="427"/>
        <v>0</v>
      </c>
      <c r="CJ170" s="9">
        <f t="shared" si="427"/>
        <v>0</v>
      </c>
      <c r="CK170" s="9">
        <f t="shared" si="427"/>
        <v>0</v>
      </c>
      <c r="CL170" s="9">
        <f t="shared" si="427"/>
        <v>0</v>
      </c>
      <c r="CM170" s="9">
        <f t="shared" si="427"/>
        <v>0</v>
      </c>
      <c r="CN170" s="9">
        <f t="shared" si="427"/>
        <v>0</v>
      </c>
      <c r="CO170" s="9">
        <f t="shared" si="427"/>
        <v>0</v>
      </c>
      <c r="CP170" s="9">
        <f t="shared" si="427"/>
        <v>0</v>
      </c>
      <c r="CQ170" s="9">
        <f t="shared" si="427"/>
        <v>0</v>
      </c>
      <c r="CR170" s="9">
        <f t="shared" si="427"/>
        <v>0</v>
      </c>
      <c r="CS170" s="9">
        <f t="shared" si="427"/>
        <v>0</v>
      </c>
      <c r="CT170" s="9">
        <f t="shared" si="427"/>
        <v>0</v>
      </c>
      <c r="CU170" s="9">
        <f t="shared" si="427"/>
        <v>0</v>
      </c>
      <c r="CV170" s="9">
        <f t="shared" si="427"/>
        <v>0</v>
      </c>
      <c r="CW170" s="9">
        <f t="shared" si="427"/>
        <v>0</v>
      </c>
      <c r="CX170" s="9">
        <f t="shared" si="427"/>
        <v>0</v>
      </c>
      <c r="CY170" s="9">
        <f t="shared" si="427"/>
        <v>0</v>
      </c>
      <c r="CZ170" s="9">
        <f t="shared" si="427"/>
        <v>0</v>
      </c>
      <c r="DA170" s="9">
        <f t="shared" si="427"/>
        <v>0</v>
      </c>
      <c r="DB170" s="9">
        <f t="shared" si="427"/>
        <v>0</v>
      </c>
      <c r="DC170" s="9">
        <f t="shared" si="427"/>
        <v>0</v>
      </c>
      <c r="DD170" s="9">
        <f t="shared" si="427"/>
        <v>0</v>
      </c>
      <c r="DE170" s="9">
        <f t="shared" si="427"/>
        <v>0</v>
      </c>
      <c r="DF170" s="9">
        <f t="shared" si="427"/>
        <v>0</v>
      </c>
      <c r="DG170" s="9">
        <f t="shared" si="427"/>
        <v>0</v>
      </c>
      <c r="DH170" s="9">
        <f t="shared" si="427"/>
        <v>0</v>
      </c>
      <c r="DI170" s="9">
        <f t="shared" si="427"/>
        <v>0</v>
      </c>
      <c r="DJ170" s="9">
        <f t="shared" si="427"/>
        <v>0</v>
      </c>
      <c r="DK170" s="9">
        <f t="shared" si="427"/>
        <v>0</v>
      </c>
      <c r="DL170" s="9">
        <f t="shared" si="427"/>
        <v>0</v>
      </c>
      <c r="DM170" s="9">
        <f t="shared" si="427"/>
        <v>0</v>
      </c>
      <c r="DN170" s="9">
        <f t="shared" si="427"/>
        <v>0</v>
      </c>
      <c r="DO170" s="9">
        <f t="shared" si="427"/>
        <v>0</v>
      </c>
      <c r="DP170" s="9">
        <f t="shared" si="427"/>
        <v>0</v>
      </c>
      <c r="DQ170" s="9">
        <f t="shared" si="427"/>
        <v>0</v>
      </c>
      <c r="DR170" s="9">
        <f t="shared" si="427"/>
        <v>0</v>
      </c>
      <c r="DS170" s="31">
        <f t="shared" si="422"/>
        <v>0</v>
      </c>
      <c r="DT170" s="31">
        <f t="shared" si="424"/>
        <v>0</v>
      </c>
      <c r="DU170" s="9"/>
      <c r="DV170" s="8"/>
      <c r="DW170" s="7"/>
      <c r="DX170" s="7"/>
      <c r="DY170" s="7"/>
      <c r="DZ170" s="7"/>
      <c r="EA170" s="7"/>
      <c r="EB170" s="7"/>
      <c r="EC170" s="7"/>
    </row>
    <row r="171" spans="1:133">
      <c r="C171" s="57" t="str">
        <f t="shared" si="425"/>
        <v>///</v>
      </c>
      <c r="D171" s="57">
        <f t="shared" si="426"/>
        <v>0</v>
      </c>
      <c r="E171" s="62">
        <f t="shared" si="425"/>
        <v>0</v>
      </c>
      <c r="F171" s="9">
        <f t="shared" si="419"/>
        <v>0</v>
      </c>
      <c r="G171" s="9">
        <f t="shared" si="419"/>
        <v>0</v>
      </c>
      <c r="H171" s="9">
        <f t="shared" si="419"/>
        <v>0</v>
      </c>
      <c r="I171" s="9">
        <f t="shared" si="419"/>
        <v>0</v>
      </c>
      <c r="J171" s="9">
        <f t="shared" si="419"/>
        <v>0</v>
      </c>
      <c r="K171" s="9">
        <f t="shared" si="419"/>
        <v>0</v>
      </c>
      <c r="L171" s="9">
        <f t="shared" si="419"/>
        <v>0</v>
      </c>
      <c r="M171" s="9">
        <f t="shared" si="419"/>
        <v>0</v>
      </c>
      <c r="N171" s="9">
        <f t="shared" si="419"/>
        <v>0</v>
      </c>
      <c r="O171" s="9">
        <f t="shared" si="419"/>
        <v>0</v>
      </c>
      <c r="P171" s="9">
        <f t="shared" si="419"/>
        <v>0</v>
      </c>
      <c r="Q171" s="9">
        <f t="shared" si="419"/>
        <v>0</v>
      </c>
      <c r="R171" s="9">
        <f t="shared" si="419"/>
        <v>0</v>
      </c>
      <c r="S171" s="9">
        <f t="shared" si="419"/>
        <v>0</v>
      </c>
      <c r="T171" s="9">
        <f t="shared" si="419"/>
        <v>0</v>
      </c>
      <c r="U171" s="9">
        <f t="shared" si="419"/>
        <v>0</v>
      </c>
      <c r="V171" s="9">
        <f t="shared" si="419"/>
        <v>0</v>
      </c>
      <c r="W171" s="9">
        <f t="shared" si="419"/>
        <v>0</v>
      </c>
      <c r="X171" s="9">
        <f t="shared" si="419"/>
        <v>0</v>
      </c>
      <c r="Y171" s="9">
        <f t="shared" si="419"/>
        <v>0</v>
      </c>
      <c r="Z171" s="9">
        <f t="shared" si="419"/>
        <v>0</v>
      </c>
      <c r="AA171" s="9">
        <f t="shared" si="419"/>
        <v>0</v>
      </c>
      <c r="AB171" s="9">
        <f t="shared" si="419"/>
        <v>0</v>
      </c>
      <c r="AC171" s="9">
        <f t="shared" si="419"/>
        <v>0</v>
      </c>
      <c r="AD171" s="9">
        <f t="shared" si="419"/>
        <v>0</v>
      </c>
      <c r="AE171" s="9">
        <f t="shared" si="419"/>
        <v>0</v>
      </c>
      <c r="AF171" s="9">
        <f t="shared" si="419"/>
        <v>0</v>
      </c>
      <c r="AG171" s="9">
        <f t="shared" si="419"/>
        <v>0</v>
      </c>
      <c r="AH171" s="9">
        <f t="shared" si="419"/>
        <v>0</v>
      </c>
      <c r="AI171" s="9">
        <f t="shared" si="419"/>
        <v>0</v>
      </c>
      <c r="AJ171" s="9">
        <f t="shared" si="419"/>
        <v>0</v>
      </c>
      <c r="AK171" s="9">
        <f t="shared" si="419"/>
        <v>0</v>
      </c>
      <c r="AL171" s="9">
        <f t="shared" si="419"/>
        <v>0</v>
      </c>
      <c r="AM171" s="9">
        <f t="shared" si="419"/>
        <v>0</v>
      </c>
      <c r="AN171" s="9">
        <f t="shared" si="419"/>
        <v>0</v>
      </c>
      <c r="AO171" s="9">
        <f t="shared" si="419"/>
        <v>0</v>
      </c>
      <c r="AP171" s="9">
        <f t="shared" si="419"/>
        <v>0</v>
      </c>
      <c r="AQ171" s="9">
        <f t="shared" si="419"/>
        <v>0</v>
      </c>
      <c r="AR171" s="9">
        <f t="shared" si="419"/>
        <v>0</v>
      </c>
      <c r="AS171" s="9">
        <f t="shared" si="419"/>
        <v>0</v>
      </c>
      <c r="AT171" s="9">
        <f t="shared" si="419"/>
        <v>0</v>
      </c>
      <c r="AU171" s="9">
        <f t="shared" si="419"/>
        <v>0</v>
      </c>
      <c r="AV171" s="9">
        <f t="shared" si="419"/>
        <v>0</v>
      </c>
      <c r="AW171" s="9">
        <f t="shared" si="419"/>
        <v>0</v>
      </c>
      <c r="AX171" s="9">
        <f t="shared" si="419"/>
        <v>0</v>
      </c>
      <c r="AY171" s="9">
        <f t="shared" si="419"/>
        <v>0</v>
      </c>
      <c r="AZ171" s="9">
        <f t="shared" si="419"/>
        <v>0</v>
      </c>
      <c r="BA171" s="9">
        <f t="shared" si="419"/>
        <v>0</v>
      </c>
      <c r="BB171" s="9">
        <f t="shared" si="419"/>
        <v>0</v>
      </c>
      <c r="BC171" s="9">
        <f t="shared" si="419"/>
        <v>0</v>
      </c>
      <c r="BD171" s="9">
        <f t="shared" si="419"/>
        <v>0</v>
      </c>
      <c r="BE171" s="9">
        <f t="shared" si="419"/>
        <v>0</v>
      </c>
      <c r="BF171" s="9">
        <f t="shared" si="419"/>
        <v>0</v>
      </c>
      <c r="BG171" s="9">
        <f t="shared" si="419"/>
        <v>0</v>
      </c>
      <c r="BH171" s="9">
        <f t="shared" si="419"/>
        <v>0</v>
      </c>
      <c r="BI171" s="9">
        <f t="shared" si="419"/>
        <v>0</v>
      </c>
      <c r="BJ171" s="9">
        <f t="shared" si="419"/>
        <v>0</v>
      </c>
      <c r="BK171" s="9">
        <f t="shared" si="419"/>
        <v>0</v>
      </c>
      <c r="BL171" s="9">
        <f t="shared" si="419"/>
        <v>0</v>
      </c>
      <c r="BM171" s="9">
        <f t="shared" si="419"/>
        <v>0</v>
      </c>
      <c r="BN171" s="9">
        <f t="shared" si="419"/>
        <v>0</v>
      </c>
      <c r="BO171" s="9">
        <f t="shared" si="419"/>
        <v>0</v>
      </c>
      <c r="BP171" s="9">
        <f t="shared" si="419"/>
        <v>0</v>
      </c>
      <c r="BQ171" s="9">
        <f t="shared" ref="BQ171" si="428">BQ116+BQ143</f>
        <v>0</v>
      </c>
      <c r="BR171" s="9">
        <f t="shared" si="420"/>
        <v>0</v>
      </c>
      <c r="BS171" s="9">
        <f t="shared" si="420"/>
        <v>0</v>
      </c>
      <c r="BT171" s="9">
        <f t="shared" si="420"/>
        <v>0</v>
      </c>
      <c r="BU171" s="9">
        <f t="shared" si="420"/>
        <v>0</v>
      </c>
      <c r="BV171" s="9">
        <f t="shared" si="420"/>
        <v>0</v>
      </c>
      <c r="BW171" s="9">
        <f t="shared" si="420"/>
        <v>0</v>
      </c>
      <c r="BX171" s="9">
        <f t="shared" si="420"/>
        <v>0</v>
      </c>
      <c r="BY171" s="9">
        <f t="shared" si="420"/>
        <v>0</v>
      </c>
      <c r="BZ171" s="9">
        <f t="shared" si="420"/>
        <v>0</v>
      </c>
      <c r="CA171" s="9">
        <f t="shared" si="420"/>
        <v>0</v>
      </c>
      <c r="CB171" s="9">
        <f t="shared" si="420"/>
        <v>0</v>
      </c>
      <c r="CC171" s="9">
        <f t="shared" si="420"/>
        <v>0</v>
      </c>
      <c r="CD171" s="9">
        <f t="shared" si="420"/>
        <v>0</v>
      </c>
      <c r="CE171" s="9">
        <f t="shared" si="420"/>
        <v>0</v>
      </c>
      <c r="CF171" s="9">
        <f t="shared" ref="CF171:DR171" si="429">CF116+CF143</f>
        <v>0</v>
      </c>
      <c r="CG171" s="9">
        <f t="shared" si="429"/>
        <v>0</v>
      </c>
      <c r="CH171" s="9">
        <f t="shared" si="429"/>
        <v>0</v>
      </c>
      <c r="CI171" s="9">
        <f t="shared" si="429"/>
        <v>0</v>
      </c>
      <c r="CJ171" s="9">
        <f t="shared" si="429"/>
        <v>0</v>
      </c>
      <c r="CK171" s="9">
        <f t="shared" si="429"/>
        <v>0</v>
      </c>
      <c r="CL171" s="9">
        <f t="shared" si="429"/>
        <v>0</v>
      </c>
      <c r="CM171" s="9">
        <f t="shared" si="429"/>
        <v>0</v>
      </c>
      <c r="CN171" s="9">
        <f t="shared" si="429"/>
        <v>0</v>
      </c>
      <c r="CO171" s="9">
        <f t="shared" si="429"/>
        <v>0</v>
      </c>
      <c r="CP171" s="9">
        <f t="shared" si="429"/>
        <v>0</v>
      </c>
      <c r="CQ171" s="9">
        <f t="shared" si="429"/>
        <v>0</v>
      </c>
      <c r="CR171" s="9">
        <f t="shared" si="429"/>
        <v>0</v>
      </c>
      <c r="CS171" s="9">
        <f t="shared" si="429"/>
        <v>0</v>
      </c>
      <c r="CT171" s="9">
        <f t="shared" si="429"/>
        <v>0</v>
      </c>
      <c r="CU171" s="9">
        <f t="shared" si="429"/>
        <v>0</v>
      </c>
      <c r="CV171" s="9">
        <f t="shared" si="429"/>
        <v>0</v>
      </c>
      <c r="CW171" s="9">
        <f t="shared" si="429"/>
        <v>0</v>
      </c>
      <c r="CX171" s="9">
        <f t="shared" si="429"/>
        <v>0</v>
      </c>
      <c r="CY171" s="9">
        <f t="shared" si="429"/>
        <v>0</v>
      </c>
      <c r="CZ171" s="9">
        <f t="shared" si="429"/>
        <v>0</v>
      </c>
      <c r="DA171" s="9">
        <f t="shared" si="429"/>
        <v>0</v>
      </c>
      <c r="DB171" s="9">
        <f t="shared" si="429"/>
        <v>0</v>
      </c>
      <c r="DC171" s="9">
        <f t="shared" si="429"/>
        <v>0</v>
      </c>
      <c r="DD171" s="9">
        <f t="shared" si="429"/>
        <v>0</v>
      </c>
      <c r="DE171" s="9">
        <f t="shared" si="429"/>
        <v>0</v>
      </c>
      <c r="DF171" s="9">
        <f t="shared" si="429"/>
        <v>0</v>
      </c>
      <c r="DG171" s="9">
        <f t="shared" si="429"/>
        <v>0</v>
      </c>
      <c r="DH171" s="9">
        <f t="shared" si="429"/>
        <v>0</v>
      </c>
      <c r="DI171" s="9">
        <f t="shared" si="429"/>
        <v>0</v>
      </c>
      <c r="DJ171" s="9">
        <f t="shared" si="429"/>
        <v>0</v>
      </c>
      <c r="DK171" s="9">
        <f t="shared" si="429"/>
        <v>0</v>
      </c>
      <c r="DL171" s="9">
        <f t="shared" si="429"/>
        <v>0</v>
      </c>
      <c r="DM171" s="9">
        <f t="shared" si="429"/>
        <v>0</v>
      </c>
      <c r="DN171" s="9">
        <f t="shared" si="429"/>
        <v>0</v>
      </c>
      <c r="DO171" s="9">
        <f t="shared" si="429"/>
        <v>0</v>
      </c>
      <c r="DP171" s="9">
        <f t="shared" si="429"/>
        <v>0</v>
      </c>
      <c r="DQ171" s="9">
        <f t="shared" si="429"/>
        <v>0</v>
      </c>
      <c r="DR171" s="9">
        <f t="shared" si="429"/>
        <v>0</v>
      </c>
      <c r="DS171" s="31">
        <f t="shared" si="422"/>
        <v>0</v>
      </c>
      <c r="DT171" s="31">
        <f t="shared" si="424"/>
        <v>0</v>
      </c>
      <c r="DU171" s="9"/>
      <c r="DV171" s="8"/>
      <c r="DW171" s="7"/>
      <c r="DX171" s="7"/>
      <c r="DY171" s="7"/>
      <c r="DZ171" s="7"/>
      <c r="EA171" s="7"/>
      <c r="EB171" s="7"/>
      <c r="EC171" s="7"/>
    </row>
    <row r="172" spans="1:133">
      <c r="C172" s="57" t="str">
        <f t="shared" si="425"/>
        <v>///</v>
      </c>
      <c r="D172" s="57">
        <f t="shared" si="426"/>
        <v>0</v>
      </c>
      <c r="E172" s="62">
        <f t="shared" si="425"/>
        <v>0</v>
      </c>
      <c r="F172" s="9">
        <f t="shared" ref="F172:BQ175" si="430">F117+F144</f>
        <v>0</v>
      </c>
      <c r="G172" s="9">
        <f t="shared" si="430"/>
        <v>0</v>
      </c>
      <c r="H172" s="9">
        <f t="shared" si="430"/>
        <v>0</v>
      </c>
      <c r="I172" s="9">
        <f t="shared" si="430"/>
        <v>0</v>
      </c>
      <c r="J172" s="9">
        <f t="shared" si="430"/>
        <v>0</v>
      </c>
      <c r="K172" s="9">
        <f t="shared" si="430"/>
        <v>0</v>
      </c>
      <c r="L172" s="9">
        <f t="shared" si="430"/>
        <v>0</v>
      </c>
      <c r="M172" s="9">
        <f t="shared" si="430"/>
        <v>0</v>
      </c>
      <c r="N172" s="9">
        <f t="shared" si="430"/>
        <v>0</v>
      </c>
      <c r="O172" s="9">
        <f t="shared" si="430"/>
        <v>0</v>
      </c>
      <c r="P172" s="9">
        <f t="shared" si="430"/>
        <v>0</v>
      </c>
      <c r="Q172" s="9">
        <f t="shared" si="430"/>
        <v>0</v>
      </c>
      <c r="R172" s="9">
        <f t="shared" si="430"/>
        <v>0</v>
      </c>
      <c r="S172" s="9">
        <f t="shared" si="430"/>
        <v>0</v>
      </c>
      <c r="T172" s="9">
        <f t="shared" si="430"/>
        <v>0</v>
      </c>
      <c r="U172" s="9">
        <f t="shared" si="430"/>
        <v>0</v>
      </c>
      <c r="V172" s="9">
        <f t="shared" si="430"/>
        <v>0</v>
      </c>
      <c r="W172" s="9">
        <f t="shared" si="430"/>
        <v>0</v>
      </c>
      <c r="X172" s="9">
        <f t="shared" si="430"/>
        <v>0</v>
      </c>
      <c r="Y172" s="9">
        <f t="shared" si="430"/>
        <v>0</v>
      </c>
      <c r="Z172" s="9">
        <f t="shared" si="430"/>
        <v>0</v>
      </c>
      <c r="AA172" s="9">
        <f t="shared" si="430"/>
        <v>0</v>
      </c>
      <c r="AB172" s="9">
        <f t="shared" si="430"/>
        <v>0</v>
      </c>
      <c r="AC172" s="9">
        <f t="shared" si="430"/>
        <v>0</v>
      </c>
      <c r="AD172" s="9">
        <f t="shared" si="430"/>
        <v>0</v>
      </c>
      <c r="AE172" s="9">
        <f t="shared" si="430"/>
        <v>0</v>
      </c>
      <c r="AF172" s="9">
        <f t="shared" si="430"/>
        <v>0</v>
      </c>
      <c r="AG172" s="9">
        <f t="shared" si="430"/>
        <v>0</v>
      </c>
      <c r="AH172" s="9">
        <f t="shared" si="430"/>
        <v>0</v>
      </c>
      <c r="AI172" s="9">
        <f t="shared" si="430"/>
        <v>0</v>
      </c>
      <c r="AJ172" s="9">
        <f t="shared" si="430"/>
        <v>0</v>
      </c>
      <c r="AK172" s="9">
        <f t="shared" si="430"/>
        <v>0</v>
      </c>
      <c r="AL172" s="9">
        <f t="shared" si="430"/>
        <v>0</v>
      </c>
      <c r="AM172" s="9">
        <f t="shared" si="430"/>
        <v>0</v>
      </c>
      <c r="AN172" s="9">
        <f t="shared" si="430"/>
        <v>0</v>
      </c>
      <c r="AO172" s="9">
        <f t="shared" si="430"/>
        <v>0</v>
      </c>
      <c r="AP172" s="9">
        <f t="shared" si="430"/>
        <v>0</v>
      </c>
      <c r="AQ172" s="9">
        <f t="shared" si="430"/>
        <v>0</v>
      </c>
      <c r="AR172" s="9">
        <f t="shared" si="430"/>
        <v>0</v>
      </c>
      <c r="AS172" s="9">
        <f t="shared" si="430"/>
        <v>0</v>
      </c>
      <c r="AT172" s="9">
        <f t="shared" si="430"/>
        <v>0</v>
      </c>
      <c r="AU172" s="9">
        <f t="shared" si="430"/>
        <v>0</v>
      </c>
      <c r="AV172" s="9">
        <f t="shared" si="430"/>
        <v>0</v>
      </c>
      <c r="AW172" s="9">
        <f t="shared" si="430"/>
        <v>0</v>
      </c>
      <c r="AX172" s="9">
        <f t="shared" si="430"/>
        <v>0</v>
      </c>
      <c r="AY172" s="9">
        <f t="shared" si="430"/>
        <v>0</v>
      </c>
      <c r="AZ172" s="9">
        <f t="shared" si="430"/>
        <v>0</v>
      </c>
      <c r="BA172" s="9">
        <f t="shared" si="430"/>
        <v>0</v>
      </c>
      <c r="BB172" s="9">
        <f t="shared" si="430"/>
        <v>0</v>
      </c>
      <c r="BC172" s="9">
        <f t="shared" si="430"/>
        <v>0</v>
      </c>
      <c r="BD172" s="9">
        <f t="shared" si="430"/>
        <v>0</v>
      </c>
      <c r="BE172" s="9">
        <f t="shared" si="430"/>
        <v>0</v>
      </c>
      <c r="BF172" s="9">
        <f t="shared" si="430"/>
        <v>0</v>
      </c>
      <c r="BG172" s="9">
        <f t="shared" si="430"/>
        <v>0</v>
      </c>
      <c r="BH172" s="9">
        <f t="shared" si="430"/>
        <v>0</v>
      </c>
      <c r="BI172" s="9">
        <f t="shared" si="430"/>
        <v>0</v>
      </c>
      <c r="BJ172" s="9">
        <f t="shared" si="430"/>
        <v>0</v>
      </c>
      <c r="BK172" s="9">
        <f t="shared" si="430"/>
        <v>0</v>
      </c>
      <c r="BL172" s="9">
        <f t="shared" si="430"/>
        <v>0</v>
      </c>
      <c r="BM172" s="9">
        <f t="shared" si="430"/>
        <v>0</v>
      </c>
      <c r="BN172" s="9">
        <f t="shared" si="430"/>
        <v>0</v>
      </c>
      <c r="BO172" s="9">
        <f t="shared" si="430"/>
        <v>0</v>
      </c>
      <c r="BP172" s="9">
        <f t="shared" si="430"/>
        <v>0</v>
      </c>
      <c r="BQ172" s="9">
        <f t="shared" si="430"/>
        <v>0</v>
      </c>
      <c r="BR172" s="9">
        <f t="shared" si="420"/>
        <v>0</v>
      </c>
      <c r="BS172" s="9">
        <f t="shared" si="420"/>
        <v>0</v>
      </c>
      <c r="BT172" s="9">
        <f t="shared" si="420"/>
        <v>0</v>
      </c>
      <c r="BU172" s="9">
        <f t="shared" si="420"/>
        <v>0</v>
      </c>
      <c r="BV172" s="9">
        <f t="shared" si="420"/>
        <v>0</v>
      </c>
      <c r="BW172" s="9">
        <f t="shared" si="420"/>
        <v>0</v>
      </c>
      <c r="BX172" s="9">
        <f t="shared" si="420"/>
        <v>0</v>
      </c>
      <c r="BY172" s="9">
        <f t="shared" si="420"/>
        <v>0</v>
      </c>
      <c r="BZ172" s="9">
        <f t="shared" si="420"/>
        <v>0</v>
      </c>
      <c r="CA172" s="9">
        <f t="shared" si="420"/>
        <v>0</v>
      </c>
      <c r="CB172" s="9">
        <f t="shared" si="420"/>
        <v>0</v>
      </c>
      <c r="CC172" s="9">
        <f t="shared" si="420"/>
        <v>0</v>
      </c>
      <c r="CD172" s="9">
        <f t="shared" si="420"/>
        <v>0</v>
      </c>
      <c r="CE172" s="9">
        <f t="shared" si="420"/>
        <v>0</v>
      </c>
      <c r="CF172" s="9">
        <f t="shared" ref="CF172:DR172" si="431">CF117+CF144</f>
        <v>0</v>
      </c>
      <c r="CG172" s="9">
        <f t="shared" si="431"/>
        <v>0</v>
      </c>
      <c r="CH172" s="9">
        <f t="shared" si="431"/>
        <v>0</v>
      </c>
      <c r="CI172" s="9">
        <f t="shared" si="431"/>
        <v>0</v>
      </c>
      <c r="CJ172" s="9">
        <f t="shared" si="431"/>
        <v>0</v>
      </c>
      <c r="CK172" s="9">
        <f t="shared" si="431"/>
        <v>0</v>
      </c>
      <c r="CL172" s="9">
        <f t="shared" si="431"/>
        <v>0</v>
      </c>
      <c r="CM172" s="9">
        <f t="shared" si="431"/>
        <v>0</v>
      </c>
      <c r="CN172" s="9">
        <f t="shared" si="431"/>
        <v>0</v>
      </c>
      <c r="CO172" s="9">
        <f t="shared" si="431"/>
        <v>0</v>
      </c>
      <c r="CP172" s="9">
        <f t="shared" si="431"/>
        <v>0</v>
      </c>
      <c r="CQ172" s="9">
        <f t="shared" si="431"/>
        <v>0</v>
      </c>
      <c r="CR172" s="9">
        <f t="shared" si="431"/>
        <v>0</v>
      </c>
      <c r="CS172" s="9">
        <f t="shared" si="431"/>
        <v>0</v>
      </c>
      <c r="CT172" s="9">
        <f t="shared" si="431"/>
        <v>0</v>
      </c>
      <c r="CU172" s="9">
        <f t="shared" si="431"/>
        <v>0</v>
      </c>
      <c r="CV172" s="9">
        <f t="shared" si="431"/>
        <v>0</v>
      </c>
      <c r="CW172" s="9">
        <f t="shared" si="431"/>
        <v>0</v>
      </c>
      <c r="CX172" s="9">
        <f t="shared" si="431"/>
        <v>0</v>
      </c>
      <c r="CY172" s="9">
        <f t="shared" si="431"/>
        <v>0</v>
      </c>
      <c r="CZ172" s="9">
        <f t="shared" si="431"/>
        <v>0</v>
      </c>
      <c r="DA172" s="9">
        <f t="shared" si="431"/>
        <v>0</v>
      </c>
      <c r="DB172" s="9">
        <f t="shared" si="431"/>
        <v>0</v>
      </c>
      <c r="DC172" s="9">
        <f t="shared" si="431"/>
        <v>0</v>
      </c>
      <c r="DD172" s="9">
        <f t="shared" si="431"/>
        <v>0</v>
      </c>
      <c r="DE172" s="9">
        <f t="shared" si="431"/>
        <v>0</v>
      </c>
      <c r="DF172" s="9">
        <f t="shared" si="431"/>
        <v>0</v>
      </c>
      <c r="DG172" s="9">
        <f t="shared" si="431"/>
        <v>0</v>
      </c>
      <c r="DH172" s="9">
        <f t="shared" si="431"/>
        <v>0</v>
      </c>
      <c r="DI172" s="9">
        <f t="shared" si="431"/>
        <v>0</v>
      </c>
      <c r="DJ172" s="9">
        <f t="shared" si="431"/>
        <v>0</v>
      </c>
      <c r="DK172" s="9">
        <f t="shared" si="431"/>
        <v>0</v>
      </c>
      <c r="DL172" s="9">
        <f t="shared" si="431"/>
        <v>0</v>
      </c>
      <c r="DM172" s="9">
        <f t="shared" si="431"/>
        <v>0</v>
      </c>
      <c r="DN172" s="9">
        <f t="shared" si="431"/>
        <v>0</v>
      </c>
      <c r="DO172" s="9">
        <f t="shared" si="431"/>
        <v>0</v>
      </c>
      <c r="DP172" s="9">
        <f t="shared" si="431"/>
        <v>0</v>
      </c>
      <c r="DQ172" s="9">
        <f t="shared" si="431"/>
        <v>0</v>
      </c>
      <c r="DR172" s="9">
        <f t="shared" si="431"/>
        <v>0</v>
      </c>
      <c r="DS172" s="31">
        <f t="shared" si="422"/>
        <v>0</v>
      </c>
      <c r="DT172" s="31">
        <f t="shared" si="424"/>
        <v>0</v>
      </c>
      <c r="DU172" s="9"/>
      <c r="DV172" s="8"/>
      <c r="DW172" s="7"/>
      <c r="DX172" s="7"/>
      <c r="DY172" s="7"/>
      <c r="DZ172" s="7"/>
      <c r="EA172" s="7"/>
      <c r="EB172" s="7"/>
      <c r="EC172" s="7"/>
    </row>
    <row r="173" spans="1:133">
      <c r="C173" s="57" t="str">
        <f t="shared" si="425"/>
        <v>///</v>
      </c>
      <c r="D173" s="57">
        <f t="shared" si="426"/>
        <v>0</v>
      </c>
      <c r="E173" s="62">
        <f t="shared" si="425"/>
        <v>0</v>
      </c>
      <c r="F173" s="9">
        <f t="shared" si="430"/>
        <v>0</v>
      </c>
      <c r="G173" s="9">
        <f t="shared" si="430"/>
        <v>0</v>
      </c>
      <c r="H173" s="9">
        <f t="shared" si="430"/>
        <v>0</v>
      </c>
      <c r="I173" s="9">
        <f t="shared" si="430"/>
        <v>0</v>
      </c>
      <c r="J173" s="9">
        <f t="shared" si="430"/>
        <v>0</v>
      </c>
      <c r="K173" s="9">
        <f t="shared" si="430"/>
        <v>0</v>
      </c>
      <c r="L173" s="9">
        <f t="shared" si="430"/>
        <v>0</v>
      </c>
      <c r="M173" s="9">
        <f t="shared" si="430"/>
        <v>0</v>
      </c>
      <c r="N173" s="9">
        <f t="shared" si="430"/>
        <v>0</v>
      </c>
      <c r="O173" s="9">
        <f t="shared" si="430"/>
        <v>0</v>
      </c>
      <c r="P173" s="9">
        <f t="shared" si="430"/>
        <v>0</v>
      </c>
      <c r="Q173" s="9">
        <f t="shared" si="430"/>
        <v>0</v>
      </c>
      <c r="R173" s="9">
        <f t="shared" si="430"/>
        <v>0</v>
      </c>
      <c r="S173" s="9">
        <f t="shared" si="430"/>
        <v>0</v>
      </c>
      <c r="T173" s="9">
        <f t="shared" si="430"/>
        <v>0</v>
      </c>
      <c r="U173" s="9">
        <f t="shared" si="430"/>
        <v>0</v>
      </c>
      <c r="V173" s="9">
        <f t="shared" si="430"/>
        <v>0</v>
      </c>
      <c r="W173" s="9">
        <f t="shared" si="430"/>
        <v>0</v>
      </c>
      <c r="X173" s="9">
        <f t="shared" si="430"/>
        <v>0</v>
      </c>
      <c r="Y173" s="9">
        <f t="shared" si="430"/>
        <v>0</v>
      </c>
      <c r="Z173" s="9">
        <f t="shared" si="430"/>
        <v>0</v>
      </c>
      <c r="AA173" s="9">
        <f t="shared" si="430"/>
        <v>0</v>
      </c>
      <c r="AB173" s="9">
        <f t="shared" si="430"/>
        <v>0</v>
      </c>
      <c r="AC173" s="9">
        <f t="shared" si="430"/>
        <v>0</v>
      </c>
      <c r="AD173" s="9">
        <f t="shared" si="430"/>
        <v>0</v>
      </c>
      <c r="AE173" s="9">
        <f t="shared" si="430"/>
        <v>0</v>
      </c>
      <c r="AF173" s="9">
        <f t="shared" si="430"/>
        <v>0</v>
      </c>
      <c r="AG173" s="9">
        <f t="shared" si="430"/>
        <v>0</v>
      </c>
      <c r="AH173" s="9">
        <f t="shared" si="430"/>
        <v>0</v>
      </c>
      <c r="AI173" s="9">
        <f t="shared" si="430"/>
        <v>0</v>
      </c>
      <c r="AJ173" s="9">
        <f t="shared" si="430"/>
        <v>0</v>
      </c>
      <c r="AK173" s="9">
        <f t="shared" si="430"/>
        <v>0</v>
      </c>
      <c r="AL173" s="9">
        <f t="shared" si="430"/>
        <v>0</v>
      </c>
      <c r="AM173" s="9">
        <f t="shared" si="430"/>
        <v>0</v>
      </c>
      <c r="AN173" s="9">
        <f t="shared" si="430"/>
        <v>0</v>
      </c>
      <c r="AO173" s="9">
        <f t="shared" si="430"/>
        <v>0</v>
      </c>
      <c r="AP173" s="9">
        <f t="shared" si="430"/>
        <v>0</v>
      </c>
      <c r="AQ173" s="9">
        <f t="shared" si="430"/>
        <v>0</v>
      </c>
      <c r="AR173" s="9">
        <f t="shared" si="430"/>
        <v>0</v>
      </c>
      <c r="AS173" s="9">
        <f t="shared" si="430"/>
        <v>0</v>
      </c>
      <c r="AT173" s="9">
        <f t="shared" si="430"/>
        <v>0</v>
      </c>
      <c r="AU173" s="9">
        <f t="shared" si="430"/>
        <v>0</v>
      </c>
      <c r="AV173" s="9">
        <f t="shared" si="430"/>
        <v>0</v>
      </c>
      <c r="AW173" s="9">
        <f t="shared" si="430"/>
        <v>0</v>
      </c>
      <c r="AX173" s="9">
        <f t="shared" si="430"/>
        <v>0</v>
      </c>
      <c r="AY173" s="9">
        <f t="shared" si="430"/>
        <v>0</v>
      </c>
      <c r="AZ173" s="9">
        <f t="shared" si="430"/>
        <v>0</v>
      </c>
      <c r="BA173" s="9">
        <f t="shared" si="430"/>
        <v>0</v>
      </c>
      <c r="BB173" s="9">
        <f t="shared" si="430"/>
        <v>0</v>
      </c>
      <c r="BC173" s="9">
        <f t="shared" si="430"/>
        <v>0</v>
      </c>
      <c r="BD173" s="9">
        <f t="shared" si="430"/>
        <v>0</v>
      </c>
      <c r="BE173" s="9">
        <f t="shared" si="430"/>
        <v>0</v>
      </c>
      <c r="BF173" s="9">
        <f t="shared" si="430"/>
        <v>0</v>
      </c>
      <c r="BG173" s="9">
        <f t="shared" si="430"/>
        <v>0</v>
      </c>
      <c r="BH173" s="9">
        <f t="shared" si="430"/>
        <v>0</v>
      </c>
      <c r="BI173" s="9">
        <f t="shared" si="430"/>
        <v>0</v>
      </c>
      <c r="BJ173" s="9">
        <f t="shared" si="430"/>
        <v>0</v>
      </c>
      <c r="BK173" s="9">
        <f t="shared" si="430"/>
        <v>0</v>
      </c>
      <c r="BL173" s="9">
        <f t="shared" si="430"/>
        <v>0</v>
      </c>
      <c r="BM173" s="9">
        <f t="shared" si="430"/>
        <v>0</v>
      </c>
      <c r="BN173" s="9">
        <f t="shared" si="430"/>
        <v>0</v>
      </c>
      <c r="BO173" s="9">
        <f t="shared" si="430"/>
        <v>0</v>
      </c>
      <c r="BP173" s="9">
        <f t="shared" si="430"/>
        <v>0</v>
      </c>
      <c r="BQ173" s="9">
        <f t="shared" si="430"/>
        <v>0</v>
      </c>
      <c r="BR173" s="9">
        <f t="shared" si="420"/>
        <v>0</v>
      </c>
      <c r="BS173" s="9">
        <f t="shared" si="420"/>
        <v>0</v>
      </c>
      <c r="BT173" s="9">
        <f t="shared" si="420"/>
        <v>0</v>
      </c>
      <c r="BU173" s="9">
        <f t="shared" si="420"/>
        <v>0</v>
      </c>
      <c r="BV173" s="9">
        <f t="shared" si="420"/>
        <v>0</v>
      </c>
      <c r="BW173" s="9">
        <f t="shared" si="420"/>
        <v>0</v>
      </c>
      <c r="BX173" s="9">
        <f t="shared" si="420"/>
        <v>0</v>
      </c>
      <c r="BY173" s="9">
        <f t="shared" si="420"/>
        <v>0</v>
      </c>
      <c r="BZ173" s="9">
        <f t="shared" si="420"/>
        <v>0</v>
      </c>
      <c r="CA173" s="9">
        <f t="shared" si="420"/>
        <v>0</v>
      </c>
      <c r="CB173" s="9">
        <f t="shared" si="420"/>
        <v>0</v>
      </c>
      <c r="CC173" s="9">
        <f t="shared" si="420"/>
        <v>0</v>
      </c>
      <c r="CD173" s="9">
        <f t="shared" si="420"/>
        <v>0</v>
      </c>
      <c r="CE173" s="9">
        <f t="shared" si="420"/>
        <v>0</v>
      </c>
      <c r="CF173" s="9">
        <f t="shared" ref="CF173:DR173" si="432">CF118+CF145</f>
        <v>0</v>
      </c>
      <c r="CG173" s="9">
        <f t="shared" si="432"/>
        <v>0</v>
      </c>
      <c r="CH173" s="9">
        <f t="shared" si="432"/>
        <v>0</v>
      </c>
      <c r="CI173" s="9">
        <f t="shared" si="432"/>
        <v>0</v>
      </c>
      <c r="CJ173" s="9">
        <f t="shared" si="432"/>
        <v>0</v>
      </c>
      <c r="CK173" s="9">
        <f t="shared" si="432"/>
        <v>0</v>
      </c>
      <c r="CL173" s="9">
        <f t="shared" si="432"/>
        <v>0</v>
      </c>
      <c r="CM173" s="9">
        <f t="shared" si="432"/>
        <v>0</v>
      </c>
      <c r="CN173" s="9">
        <f t="shared" si="432"/>
        <v>0</v>
      </c>
      <c r="CO173" s="9">
        <f t="shared" si="432"/>
        <v>0</v>
      </c>
      <c r="CP173" s="9">
        <f t="shared" si="432"/>
        <v>0</v>
      </c>
      <c r="CQ173" s="9">
        <f t="shared" si="432"/>
        <v>0</v>
      </c>
      <c r="CR173" s="9">
        <f t="shared" si="432"/>
        <v>0</v>
      </c>
      <c r="CS173" s="9">
        <f t="shared" si="432"/>
        <v>0</v>
      </c>
      <c r="CT173" s="9">
        <f t="shared" si="432"/>
        <v>0</v>
      </c>
      <c r="CU173" s="9">
        <f t="shared" si="432"/>
        <v>0</v>
      </c>
      <c r="CV173" s="9">
        <f t="shared" si="432"/>
        <v>0</v>
      </c>
      <c r="CW173" s="9">
        <f t="shared" si="432"/>
        <v>0</v>
      </c>
      <c r="CX173" s="9">
        <f t="shared" si="432"/>
        <v>0</v>
      </c>
      <c r="CY173" s="9">
        <f t="shared" si="432"/>
        <v>0</v>
      </c>
      <c r="CZ173" s="9">
        <f t="shared" si="432"/>
        <v>0</v>
      </c>
      <c r="DA173" s="9">
        <f t="shared" si="432"/>
        <v>0</v>
      </c>
      <c r="DB173" s="9">
        <f t="shared" si="432"/>
        <v>0</v>
      </c>
      <c r="DC173" s="9">
        <f t="shared" si="432"/>
        <v>0</v>
      </c>
      <c r="DD173" s="9">
        <f t="shared" si="432"/>
        <v>0</v>
      </c>
      <c r="DE173" s="9">
        <f t="shared" si="432"/>
        <v>0</v>
      </c>
      <c r="DF173" s="9">
        <f t="shared" si="432"/>
        <v>0</v>
      </c>
      <c r="DG173" s="9">
        <f t="shared" si="432"/>
        <v>0</v>
      </c>
      <c r="DH173" s="9">
        <f t="shared" si="432"/>
        <v>0</v>
      </c>
      <c r="DI173" s="9">
        <f t="shared" si="432"/>
        <v>0</v>
      </c>
      <c r="DJ173" s="9">
        <f t="shared" si="432"/>
        <v>0</v>
      </c>
      <c r="DK173" s="9">
        <f t="shared" si="432"/>
        <v>0</v>
      </c>
      <c r="DL173" s="9">
        <f t="shared" si="432"/>
        <v>0</v>
      </c>
      <c r="DM173" s="9">
        <f t="shared" si="432"/>
        <v>0</v>
      </c>
      <c r="DN173" s="9">
        <f t="shared" si="432"/>
        <v>0</v>
      </c>
      <c r="DO173" s="9">
        <f t="shared" si="432"/>
        <v>0</v>
      </c>
      <c r="DP173" s="9">
        <f t="shared" si="432"/>
        <v>0</v>
      </c>
      <c r="DQ173" s="9">
        <f t="shared" si="432"/>
        <v>0</v>
      </c>
      <c r="DR173" s="9">
        <f t="shared" si="432"/>
        <v>0</v>
      </c>
      <c r="DS173" s="31">
        <f t="shared" si="422"/>
        <v>0</v>
      </c>
      <c r="DT173" s="31">
        <f t="shared" si="424"/>
        <v>0</v>
      </c>
      <c r="DU173" s="9"/>
      <c r="DV173" s="8"/>
      <c r="DW173" s="7"/>
      <c r="DX173" s="7"/>
      <c r="DY173" s="7"/>
      <c r="DZ173" s="7"/>
      <c r="EA173" s="7"/>
      <c r="EB173" s="7"/>
      <c r="EC173" s="7"/>
    </row>
    <row r="174" spans="1:133">
      <c r="C174" s="57" t="str">
        <f t="shared" si="425"/>
        <v>///</v>
      </c>
      <c r="D174" s="57">
        <f t="shared" si="426"/>
        <v>0</v>
      </c>
      <c r="E174" s="62">
        <f t="shared" si="425"/>
        <v>0</v>
      </c>
      <c r="F174" s="9">
        <f t="shared" si="430"/>
        <v>0</v>
      </c>
      <c r="G174" s="9">
        <f t="shared" si="430"/>
        <v>0</v>
      </c>
      <c r="H174" s="9">
        <f t="shared" si="430"/>
        <v>0</v>
      </c>
      <c r="I174" s="9">
        <f t="shared" si="430"/>
        <v>0</v>
      </c>
      <c r="J174" s="9">
        <f t="shared" si="430"/>
        <v>0</v>
      </c>
      <c r="K174" s="9">
        <f t="shared" si="430"/>
        <v>0</v>
      </c>
      <c r="L174" s="9">
        <f t="shared" si="430"/>
        <v>0</v>
      </c>
      <c r="M174" s="9">
        <f t="shared" si="430"/>
        <v>0</v>
      </c>
      <c r="N174" s="9">
        <f t="shared" si="430"/>
        <v>0</v>
      </c>
      <c r="O174" s="9">
        <f t="shared" si="430"/>
        <v>0</v>
      </c>
      <c r="P174" s="9">
        <f t="shared" si="430"/>
        <v>0</v>
      </c>
      <c r="Q174" s="9">
        <f t="shared" si="430"/>
        <v>0</v>
      </c>
      <c r="R174" s="9">
        <f t="shared" si="430"/>
        <v>0</v>
      </c>
      <c r="S174" s="9">
        <f t="shared" si="430"/>
        <v>0</v>
      </c>
      <c r="T174" s="9">
        <f t="shared" si="430"/>
        <v>0</v>
      </c>
      <c r="U174" s="9">
        <f t="shared" si="430"/>
        <v>0</v>
      </c>
      <c r="V174" s="9">
        <f t="shared" si="430"/>
        <v>0</v>
      </c>
      <c r="W174" s="9">
        <f t="shared" si="430"/>
        <v>0</v>
      </c>
      <c r="X174" s="9">
        <f t="shared" si="430"/>
        <v>0</v>
      </c>
      <c r="Y174" s="9">
        <f t="shared" si="430"/>
        <v>0</v>
      </c>
      <c r="Z174" s="9">
        <f t="shared" si="430"/>
        <v>0</v>
      </c>
      <c r="AA174" s="9">
        <f t="shared" si="430"/>
        <v>0</v>
      </c>
      <c r="AB174" s="9">
        <f t="shared" si="430"/>
        <v>0</v>
      </c>
      <c r="AC174" s="9">
        <f t="shared" si="430"/>
        <v>0</v>
      </c>
      <c r="AD174" s="9">
        <f t="shared" si="430"/>
        <v>0</v>
      </c>
      <c r="AE174" s="9">
        <f t="shared" si="430"/>
        <v>0</v>
      </c>
      <c r="AF174" s="9">
        <f t="shared" si="430"/>
        <v>0</v>
      </c>
      <c r="AG174" s="9">
        <f t="shared" si="430"/>
        <v>0</v>
      </c>
      <c r="AH174" s="9">
        <f t="shared" si="430"/>
        <v>0</v>
      </c>
      <c r="AI174" s="9">
        <f t="shared" si="430"/>
        <v>0</v>
      </c>
      <c r="AJ174" s="9">
        <f t="shared" si="430"/>
        <v>0</v>
      </c>
      <c r="AK174" s="9">
        <f t="shared" si="430"/>
        <v>0</v>
      </c>
      <c r="AL174" s="9">
        <f t="shared" si="430"/>
        <v>0</v>
      </c>
      <c r="AM174" s="9">
        <f t="shared" si="430"/>
        <v>0</v>
      </c>
      <c r="AN174" s="9">
        <f t="shared" si="430"/>
        <v>0</v>
      </c>
      <c r="AO174" s="9">
        <f t="shared" si="430"/>
        <v>0</v>
      </c>
      <c r="AP174" s="9">
        <f t="shared" si="430"/>
        <v>0</v>
      </c>
      <c r="AQ174" s="9">
        <f t="shared" si="430"/>
        <v>0</v>
      </c>
      <c r="AR174" s="9">
        <f t="shared" si="430"/>
        <v>0</v>
      </c>
      <c r="AS174" s="9">
        <f t="shared" si="430"/>
        <v>0</v>
      </c>
      <c r="AT174" s="9">
        <f t="shared" si="430"/>
        <v>0</v>
      </c>
      <c r="AU174" s="9">
        <f t="shared" si="430"/>
        <v>0</v>
      </c>
      <c r="AV174" s="9">
        <f t="shared" si="430"/>
        <v>0</v>
      </c>
      <c r="AW174" s="9">
        <f t="shared" si="430"/>
        <v>0</v>
      </c>
      <c r="AX174" s="9">
        <f t="shared" si="430"/>
        <v>0</v>
      </c>
      <c r="AY174" s="9">
        <f t="shared" si="430"/>
        <v>0</v>
      </c>
      <c r="AZ174" s="9">
        <f t="shared" si="430"/>
        <v>0</v>
      </c>
      <c r="BA174" s="9">
        <f t="shared" si="430"/>
        <v>0</v>
      </c>
      <c r="BB174" s="9">
        <f t="shared" si="430"/>
        <v>0</v>
      </c>
      <c r="BC174" s="9">
        <f t="shared" si="430"/>
        <v>0</v>
      </c>
      <c r="BD174" s="9">
        <f t="shared" si="430"/>
        <v>0</v>
      </c>
      <c r="BE174" s="9">
        <f t="shared" si="430"/>
        <v>0</v>
      </c>
      <c r="BF174" s="9">
        <f t="shared" si="430"/>
        <v>0</v>
      </c>
      <c r="BG174" s="9">
        <f t="shared" si="430"/>
        <v>0</v>
      </c>
      <c r="BH174" s="9">
        <f t="shared" si="430"/>
        <v>0</v>
      </c>
      <c r="BI174" s="9">
        <f t="shared" si="430"/>
        <v>0</v>
      </c>
      <c r="BJ174" s="9">
        <f t="shared" si="430"/>
        <v>0</v>
      </c>
      <c r="BK174" s="9">
        <f t="shared" si="430"/>
        <v>0</v>
      </c>
      <c r="BL174" s="9">
        <f t="shared" si="430"/>
        <v>0</v>
      </c>
      <c r="BM174" s="9">
        <f t="shared" si="430"/>
        <v>0</v>
      </c>
      <c r="BN174" s="9">
        <f t="shared" si="430"/>
        <v>0</v>
      </c>
      <c r="BO174" s="9">
        <f t="shared" si="430"/>
        <v>0</v>
      </c>
      <c r="BP174" s="9">
        <f t="shared" si="430"/>
        <v>0</v>
      </c>
      <c r="BQ174" s="9">
        <f t="shared" si="430"/>
        <v>0</v>
      </c>
      <c r="BR174" s="9">
        <f t="shared" si="420"/>
        <v>0</v>
      </c>
      <c r="BS174" s="9">
        <f t="shared" si="420"/>
        <v>0</v>
      </c>
      <c r="BT174" s="9">
        <f t="shared" si="420"/>
        <v>0</v>
      </c>
      <c r="BU174" s="9">
        <f t="shared" si="420"/>
        <v>0</v>
      </c>
      <c r="BV174" s="9">
        <f t="shared" si="420"/>
        <v>0</v>
      </c>
      <c r="BW174" s="9">
        <f t="shared" si="420"/>
        <v>0</v>
      </c>
      <c r="BX174" s="9">
        <f t="shared" si="420"/>
        <v>0</v>
      </c>
      <c r="BY174" s="9">
        <f t="shared" si="420"/>
        <v>0</v>
      </c>
      <c r="BZ174" s="9">
        <f t="shared" si="420"/>
        <v>0</v>
      </c>
      <c r="CA174" s="9">
        <f t="shared" si="420"/>
        <v>0</v>
      </c>
      <c r="CB174" s="9">
        <f t="shared" si="420"/>
        <v>0</v>
      </c>
      <c r="CC174" s="9">
        <f t="shared" si="420"/>
        <v>0</v>
      </c>
      <c r="CD174" s="9">
        <f t="shared" si="420"/>
        <v>0</v>
      </c>
      <c r="CE174" s="9">
        <f t="shared" si="420"/>
        <v>0</v>
      </c>
      <c r="CF174" s="9">
        <f t="shared" ref="CF174:DR174" si="433">CF119+CF146</f>
        <v>0</v>
      </c>
      <c r="CG174" s="9">
        <f t="shared" si="433"/>
        <v>0</v>
      </c>
      <c r="CH174" s="9">
        <f t="shared" si="433"/>
        <v>0</v>
      </c>
      <c r="CI174" s="9">
        <f t="shared" si="433"/>
        <v>0</v>
      </c>
      <c r="CJ174" s="9">
        <f t="shared" si="433"/>
        <v>0</v>
      </c>
      <c r="CK174" s="9">
        <f t="shared" si="433"/>
        <v>0</v>
      </c>
      <c r="CL174" s="9">
        <f t="shared" si="433"/>
        <v>0</v>
      </c>
      <c r="CM174" s="9">
        <f t="shared" si="433"/>
        <v>0</v>
      </c>
      <c r="CN174" s="9">
        <f t="shared" si="433"/>
        <v>0</v>
      </c>
      <c r="CO174" s="9">
        <f t="shared" si="433"/>
        <v>0</v>
      </c>
      <c r="CP174" s="9">
        <f t="shared" si="433"/>
        <v>0</v>
      </c>
      <c r="CQ174" s="9">
        <f t="shared" si="433"/>
        <v>0</v>
      </c>
      <c r="CR174" s="9">
        <f t="shared" si="433"/>
        <v>0</v>
      </c>
      <c r="CS174" s="9">
        <f t="shared" si="433"/>
        <v>0</v>
      </c>
      <c r="CT174" s="9">
        <f t="shared" si="433"/>
        <v>0</v>
      </c>
      <c r="CU174" s="9">
        <f t="shared" si="433"/>
        <v>0</v>
      </c>
      <c r="CV174" s="9">
        <f t="shared" si="433"/>
        <v>0</v>
      </c>
      <c r="CW174" s="9">
        <f t="shared" si="433"/>
        <v>0</v>
      </c>
      <c r="CX174" s="9">
        <f t="shared" si="433"/>
        <v>0</v>
      </c>
      <c r="CY174" s="9">
        <f t="shared" si="433"/>
        <v>0</v>
      </c>
      <c r="CZ174" s="9">
        <f t="shared" si="433"/>
        <v>0</v>
      </c>
      <c r="DA174" s="9">
        <f t="shared" si="433"/>
        <v>0</v>
      </c>
      <c r="DB174" s="9">
        <f t="shared" si="433"/>
        <v>0</v>
      </c>
      <c r="DC174" s="9">
        <f t="shared" si="433"/>
        <v>0</v>
      </c>
      <c r="DD174" s="9">
        <f t="shared" si="433"/>
        <v>0</v>
      </c>
      <c r="DE174" s="9">
        <f t="shared" si="433"/>
        <v>0</v>
      </c>
      <c r="DF174" s="9">
        <f t="shared" si="433"/>
        <v>0</v>
      </c>
      <c r="DG174" s="9">
        <f t="shared" si="433"/>
        <v>0</v>
      </c>
      <c r="DH174" s="9">
        <f t="shared" si="433"/>
        <v>0</v>
      </c>
      <c r="DI174" s="9">
        <f t="shared" si="433"/>
        <v>0</v>
      </c>
      <c r="DJ174" s="9">
        <f t="shared" si="433"/>
        <v>0</v>
      </c>
      <c r="DK174" s="9">
        <f t="shared" si="433"/>
        <v>0</v>
      </c>
      <c r="DL174" s="9">
        <f t="shared" si="433"/>
        <v>0</v>
      </c>
      <c r="DM174" s="9">
        <f t="shared" si="433"/>
        <v>0</v>
      </c>
      <c r="DN174" s="9">
        <f t="shared" si="433"/>
        <v>0</v>
      </c>
      <c r="DO174" s="9">
        <f t="shared" si="433"/>
        <v>0</v>
      </c>
      <c r="DP174" s="9">
        <f t="shared" si="433"/>
        <v>0</v>
      </c>
      <c r="DQ174" s="9">
        <f t="shared" si="433"/>
        <v>0</v>
      </c>
      <c r="DR174" s="9">
        <f t="shared" si="433"/>
        <v>0</v>
      </c>
      <c r="DS174" s="31">
        <f t="shared" si="422"/>
        <v>0</v>
      </c>
      <c r="DT174" s="31">
        <f t="shared" si="424"/>
        <v>0</v>
      </c>
      <c r="DU174" s="9"/>
      <c r="DV174" s="8"/>
      <c r="DW174" s="7"/>
      <c r="DX174" s="7"/>
      <c r="DY174" s="7"/>
      <c r="DZ174" s="7"/>
      <c r="EA174" s="7"/>
      <c r="EB174" s="7"/>
      <c r="EC174" s="7"/>
    </row>
    <row r="175" spans="1:133">
      <c r="C175" s="57" t="str">
        <f t="shared" si="425"/>
        <v>///</v>
      </c>
      <c r="D175" s="57">
        <f t="shared" si="426"/>
        <v>0</v>
      </c>
      <c r="E175" s="62">
        <f t="shared" si="425"/>
        <v>0</v>
      </c>
      <c r="F175" s="9">
        <f t="shared" si="430"/>
        <v>0</v>
      </c>
      <c r="G175" s="9">
        <f t="shared" si="430"/>
        <v>0</v>
      </c>
      <c r="H175" s="9">
        <f t="shared" si="430"/>
        <v>0</v>
      </c>
      <c r="I175" s="9">
        <f t="shared" si="430"/>
        <v>0</v>
      </c>
      <c r="J175" s="9">
        <f t="shared" si="430"/>
        <v>0</v>
      </c>
      <c r="K175" s="9">
        <f t="shared" si="430"/>
        <v>0</v>
      </c>
      <c r="L175" s="9">
        <f t="shared" si="430"/>
        <v>0</v>
      </c>
      <c r="M175" s="9">
        <f t="shared" si="430"/>
        <v>0</v>
      </c>
      <c r="N175" s="9">
        <f t="shared" si="430"/>
        <v>0</v>
      </c>
      <c r="O175" s="9">
        <f t="shared" si="430"/>
        <v>0</v>
      </c>
      <c r="P175" s="9">
        <f t="shared" si="430"/>
        <v>0</v>
      </c>
      <c r="Q175" s="9">
        <f t="shared" si="430"/>
        <v>0</v>
      </c>
      <c r="R175" s="9">
        <f t="shared" si="430"/>
        <v>0</v>
      </c>
      <c r="S175" s="9">
        <f t="shared" si="430"/>
        <v>0</v>
      </c>
      <c r="T175" s="9">
        <f t="shared" si="430"/>
        <v>0</v>
      </c>
      <c r="U175" s="9">
        <f t="shared" si="430"/>
        <v>0</v>
      </c>
      <c r="V175" s="9">
        <f t="shared" si="430"/>
        <v>0</v>
      </c>
      <c r="W175" s="9">
        <f t="shared" si="430"/>
        <v>0</v>
      </c>
      <c r="X175" s="9">
        <f t="shared" si="430"/>
        <v>0</v>
      </c>
      <c r="Y175" s="9">
        <f t="shared" si="430"/>
        <v>0</v>
      </c>
      <c r="Z175" s="9">
        <f t="shared" si="430"/>
        <v>0</v>
      </c>
      <c r="AA175" s="9">
        <f t="shared" si="430"/>
        <v>0</v>
      </c>
      <c r="AB175" s="9">
        <f t="shared" si="430"/>
        <v>0</v>
      </c>
      <c r="AC175" s="9">
        <f t="shared" si="430"/>
        <v>0</v>
      </c>
      <c r="AD175" s="9">
        <f t="shared" si="430"/>
        <v>0</v>
      </c>
      <c r="AE175" s="9">
        <f t="shared" si="430"/>
        <v>0</v>
      </c>
      <c r="AF175" s="9">
        <f t="shared" si="430"/>
        <v>0</v>
      </c>
      <c r="AG175" s="9">
        <f t="shared" si="430"/>
        <v>0</v>
      </c>
      <c r="AH175" s="9">
        <f t="shared" si="430"/>
        <v>0</v>
      </c>
      <c r="AI175" s="9">
        <f t="shared" si="430"/>
        <v>0</v>
      </c>
      <c r="AJ175" s="9">
        <f t="shared" si="430"/>
        <v>0</v>
      </c>
      <c r="AK175" s="9">
        <f t="shared" si="430"/>
        <v>0</v>
      </c>
      <c r="AL175" s="9">
        <f t="shared" si="430"/>
        <v>0</v>
      </c>
      <c r="AM175" s="9">
        <f t="shared" si="430"/>
        <v>0</v>
      </c>
      <c r="AN175" s="9">
        <f t="shared" si="430"/>
        <v>0</v>
      </c>
      <c r="AO175" s="9">
        <f t="shared" si="430"/>
        <v>0</v>
      </c>
      <c r="AP175" s="9">
        <f t="shared" si="430"/>
        <v>0</v>
      </c>
      <c r="AQ175" s="9">
        <f t="shared" si="430"/>
        <v>0</v>
      </c>
      <c r="AR175" s="9">
        <f t="shared" si="430"/>
        <v>0</v>
      </c>
      <c r="AS175" s="9">
        <f t="shared" si="430"/>
        <v>0</v>
      </c>
      <c r="AT175" s="9">
        <f t="shared" si="430"/>
        <v>0</v>
      </c>
      <c r="AU175" s="9">
        <f t="shared" si="430"/>
        <v>0</v>
      </c>
      <c r="AV175" s="9">
        <f t="shared" si="430"/>
        <v>0</v>
      </c>
      <c r="AW175" s="9">
        <f t="shared" si="430"/>
        <v>0</v>
      </c>
      <c r="AX175" s="9">
        <f t="shared" si="430"/>
        <v>0</v>
      </c>
      <c r="AY175" s="9">
        <f t="shared" si="430"/>
        <v>0</v>
      </c>
      <c r="AZ175" s="9">
        <f t="shared" si="430"/>
        <v>0</v>
      </c>
      <c r="BA175" s="9">
        <f t="shared" si="430"/>
        <v>0</v>
      </c>
      <c r="BB175" s="9">
        <f t="shared" si="430"/>
        <v>0</v>
      </c>
      <c r="BC175" s="9">
        <f t="shared" si="430"/>
        <v>0</v>
      </c>
      <c r="BD175" s="9">
        <f t="shared" si="430"/>
        <v>0</v>
      </c>
      <c r="BE175" s="9">
        <f t="shared" si="430"/>
        <v>0</v>
      </c>
      <c r="BF175" s="9">
        <f t="shared" si="430"/>
        <v>0</v>
      </c>
      <c r="BG175" s="9">
        <f t="shared" si="430"/>
        <v>0</v>
      </c>
      <c r="BH175" s="9">
        <f t="shared" si="430"/>
        <v>0</v>
      </c>
      <c r="BI175" s="9">
        <f t="shared" si="430"/>
        <v>0</v>
      </c>
      <c r="BJ175" s="9">
        <f t="shared" si="430"/>
        <v>0</v>
      </c>
      <c r="BK175" s="9">
        <f t="shared" si="430"/>
        <v>0</v>
      </c>
      <c r="BL175" s="9">
        <f t="shared" si="430"/>
        <v>0</v>
      </c>
      <c r="BM175" s="9">
        <f t="shared" si="430"/>
        <v>0</v>
      </c>
      <c r="BN175" s="9">
        <f t="shared" si="430"/>
        <v>0</v>
      </c>
      <c r="BO175" s="9">
        <f t="shared" si="430"/>
        <v>0</v>
      </c>
      <c r="BP175" s="9">
        <f t="shared" si="430"/>
        <v>0</v>
      </c>
      <c r="BQ175" s="9">
        <f t="shared" ref="BQ175" si="434">BQ120+BQ147</f>
        <v>0</v>
      </c>
      <c r="BR175" s="9">
        <f t="shared" si="420"/>
        <v>0</v>
      </c>
      <c r="BS175" s="9">
        <f t="shared" si="420"/>
        <v>0</v>
      </c>
      <c r="BT175" s="9">
        <f t="shared" si="420"/>
        <v>0</v>
      </c>
      <c r="BU175" s="9">
        <f t="shared" si="420"/>
        <v>0</v>
      </c>
      <c r="BV175" s="9">
        <f t="shared" si="420"/>
        <v>0</v>
      </c>
      <c r="BW175" s="9">
        <f t="shared" si="420"/>
        <v>0</v>
      </c>
      <c r="BX175" s="9">
        <f t="shared" si="420"/>
        <v>0</v>
      </c>
      <c r="BY175" s="9">
        <f t="shared" si="420"/>
        <v>0</v>
      </c>
      <c r="BZ175" s="9">
        <f t="shared" si="420"/>
        <v>0</v>
      </c>
      <c r="CA175" s="9">
        <f t="shared" si="420"/>
        <v>0</v>
      </c>
      <c r="CB175" s="9">
        <f t="shared" si="420"/>
        <v>0</v>
      </c>
      <c r="CC175" s="9">
        <f t="shared" si="420"/>
        <v>0</v>
      </c>
      <c r="CD175" s="9">
        <f t="shared" si="420"/>
        <v>0</v>
      </c>
      <c r="CE175" s="9">
        <f t="shared" si="420"/>
        <v>0</v>
      </c>
      <c r="CF175" s="9">
        <f t="shared" ref="CF175:DR175" si="435">CF120+CF147</f>
        <v>0</v>
      </c>
      <c r="CG175" s="9">
        <f t="shared" si="435"/>
        <v>0</v>
      </c>
      <c r="CH175" s="9">
        <f t="shared" si="435"/>
        <v>0</v>
      </c>
      <c r="CI175" s="9">
        <f t="shared" si="435"/>
        <v>0</v>
      </c>
      <c r="CJ175" s="9">
        <f t="shared" si="435"/>
        <v>0</v>
      </c>
      <c r="CK175" s="9">
        <f t="shared" si="435"/>
        <v>0</v>
      </c>
      <c r="CL175" s="9">
        <f t="shared" si="435"/>
        <v>0</v>
      </c>
      <c r="CM175" s="9">
        <f t="shared" si="435"/>
        <v>0</v>
      </c>
      <c r="CN175" s="9">
        <f t="shared" si="435"/>
        <v>0</v>
      </c>
      <c r="CO175" s="9">
        <f t="shared" si="435"/>
        <v>0</v>
      </c>
      <c r="CP175" s="9">
        <f t="shared" si="435"/>
        <v>0</v>
      </c>
      <c r="CQ175" s="9">
        <f t="shared" si="435"/>
        <v>0</v>
      </c>
      <c r="CR175" s="9">
        <f t="shared" si="435"/>
        <v>0</v>
      </c>
      <c r="CS175" s="9">
        <f t="shared" si="435"/>
        <v>0</v>
      </c>
      <c r="CT175" s="9">
        <f t="shared" si="435"/>
        <v>0</v>
      </c>
      <c r="CU175" s="9">
        <f t="shared" si="435"/>
        <v>0</v>
      </c>
      <c r="CV175" s="9">
        <f t="shared" si="435"/>
        <v>0</v>
      </c>
      <c r="CW175" s="9">
        <f t="shared" si="435"/>
        <v>0</v>
      </c>
      <c r="CX175" s="9">
        <f t="shared" si="435"/>
        <v>0</v>
      </c>
      <c r="CY175" s="9">
        <f t="shared" si="435"/>
        <v>0</v>
      </c>
      <c r="CZ175" s="9">
        <f t="shared" si="435"/>
        <v>0</v>
      </c>
      <c r="DA175" s="9">
        <f t="shared" si="435"/>
        <v>0</v>
      </c>
      <c r="DB175" s="9">
        <f t="shared" si="435"/>
        <v>0</v>
      </c>
      <c r="DC175" s="9">
        <f t="shared" si="435"/>
        <v>0</v>
      </c>
      <c r="DD175" s="9">
        <f t="shared" si="435"/>
        <v>0</v>
      </c>
      <c r="DE175" s="9">
        <f t="shared" si="435"/>
        <v>0</v>
      </c>
      <c r="DF175" s="9">
        <f t="shared" si="435"/>
        <v>0</v>
      </c>
      <c r="DG175" s="9">
        <f t="shared" si="435"/>
        <v>0</v>
      </c>
      <c r="DH175" s="9">
        <f t="shared" si="435"/>
        <v>0</v>
      </c>
      <c r="DI175" s="9">
        <f t="shared" si="435"/>
        <v>0</v>
      </c>
      <c r="DJ175" s="9">
        <f t="shared" si="435"/>
        <v>0</v>
      </c>
      <c r="DK175" s="9">
        <f t="shared" si="435"/>
        <v>0</v>
      </c>
      <c r="DL175" s="9">
        <f t="shared" si="435"/>
        <v>0</v>
      </c>
      <c r="DM175" s="9">
        <f t="shared" si="435"/>
        <v>0</v>
      </c>
      <c r="DN175" s="9">
        <f t="shared" si="435"/>
        <v>0</v>
      </c>
      <c r="DO175" s="9">
        <f t="shared" si="435"/>
        <v>0</v>
      </c>
      <c r="DP175" s="9">
        <f t="shared" si="435"/>
        <v>0</v>
      </c>
      <c r="DQ175" s="9">
        <f t="shared" si="435"/>
        <v>0</v>
      </c>
      <c r="DR175" s="9">
        <f t="shared" si="435"/>
        <v>0</v>
      </c>
      <c r="DS175" s="31">
        <f t="shared" si="422"/>
        <v>0</v>
      </c>
      <c r="DT175" s="31">
        <f t="shared" si="424"/>
        <v>0</v>
      </c>
      <c r="DU175" s="9"/>
      <c r="DV175" s="8"/>
      <c r="DW175" s="7"/>
      <c r="DX175" s="7"/>
      <c r="DY175" s="7"/>
      <c r="DZ175" s="7"/>
      <c r="EA175" s="7"/>
      <c r="EB175" s="7"/>
      <c r="EC175" s="7"/>
    </row>
    <row r="176" spans="1:133">
      <c r="C176" s="57" t="str">
        <f t="shared" si="425"/>
        <v>///</v>
      </c>
      <c r="D176" s="57">
        <f t="shared" si="426"/>
        <v>0</v>
      </c>
      <c r="E176" s="62">
        <f t="shared" si="425"/>
        <v>0</v>
      </c>
      <c r="F176" s="9">
        <f t="shared" ref="F176:BQ179" si="436">F121+F148</f>
        <v>0</v>
      </c>
      <c r="G176" s="9">
        <f t="shared" si="436"/>
        <v>0</v>
      </c>
      <c r="H176" s="9">
        <f t="shared" si="436"/>
        <v>0</v>
      </c>
      <c r="I176" s="9">
        <f t="shared" si="436"/>
        <v>0</v>
      </c>
      <c r="J176" s="9">
        <f t="shared" si="436"/>
        <v>0</v>
      </c>
      <c r="K176" s="9">
        <f t="shared" si="436"/>
        <v>0</v>
      </c>
      <c r="L176" s="9">
        <f t="shared" si="436"/>
        <v>0</v>
      </c>
      <c r="M176" s="9">
        <f t="shared" si="436"/>
        <v>0</v>
      </c>
      <c r="N176" s="9">
        <f t="shared" si="436"/>
        <v>0</v>
      </c>
      <c r="O176" s="9">
        <f t="shared" si="436"/>
        <v>0</v>
      </c>
      <c r="P176" s="9">
        <f t="shared" si="436"/>
        <v>0</v>
      </c>
      <c r="Q176" s="9">
        <f t="shared" si="436"/>
        <v>0</v>
      </c>
      <c r="R176" s="9">
        <f t="shared" si="436"/>
        <v>0</v>
      </c>
      <c r="S176" s="9">
        <f t="shared" si="436"/>
        <v>0</v>
      </c>
      <c r="T176" s="9">
        <f t="shared" si="436"/>
        <v>0</v>
      </c>
      <c r="U176" s="9">
        <f t="shared" si="436"/>
        <v>0</v>
      </c>
      <c r="V176" s="9">
        <f t="shared" si="436"/>
        <v>0</v>
      </c>
      <c r="W176" s="9">
        <f t="shared" si="436"/>
        <v>0</v>
      </c>
      <c r="X176" s="9">
        <f t="shared" si="436"/>
        <v>0</v>
      </c>
      <c r="Y176" s="9">
        <f t="shared" si="436"/>
        <v>0</v>
      </c>
      <c r="Z176" s="9">
        <f t="shared" si="436"/>
        <v>0</v>
      </c>
      <c r="AA176" s="9">
        <f t="shared" si="436"/>
        <v>0</v>
      </c>
      <c r="AB176" s="9">
        <f t="shared" si="436"/>
        <v>0</v>
      </c>
      <c r="AC176" s="9">
        <f t="shared" si="436"/>
        <v>0</v>
      </c>
      <c r="AD176" s="9">
        <f t="shared" si="436"/>
        <v>0</v>
      </c>
      <c r="AE176" s="9">
        <f t="shared" si="436"/>
        <v>0</v>
      </c>
      <c r="AF176" s="9">
        <f t="shared" si="436"/>
        <v>0</v>
      </c>
      <c r="AG176" s="9">
        <f t="shared" si="436"/>
        <v>0</v>
      </c>
      <c r="AH176" s="9">
        <f t="shared" si="436"/>
        <v>0</v>
      </c>
      <c r="AI176" s="9">
        <f t="shared" si="436"/>
        <v>0</v>
      </c>
      <c r="AJ176" s="9">
        <f t="shared" si="436"/>
        <v>0</v>
      </c>
      <c r="AK176" s="9">
        <f t="shared" si="436"/>
        <v>0</v>
      </c>
      <c r="AL176" s="9">
        <f t="shared" si="436"/>
        <v>0</v>
      </c>
      <c r="AM176" s="9">
        <f t="shared" si="436"/>
        <v>0</v>
      </c>
      <c r="AN176" s="9">
        <f t="shared" si="436"/>
        <v>0</v>
      </c>
      <c r="AO176" s="9">
        <f t="shared" si="436"/>
        <v>0</v>
      </c>
      <c r="AP176" s="9">
        <f t="shared" si="436"/>
        <v>0</v>
      </c>
      <c r="AQ176" s="9">
        <f t="shared" si="436"/>
        <v>0</v>
      </c>
      <c r="AR176" s="9">
        <f t="shared" si="436"/>
        <v>0</v>
      </c>
      <c r="AS176" s="9">
        <f t="shared" si="436"/>
        <v>0</v>
      </c>
      <c r="AT176" s="9">
        <f t="shared" si="436"/>
        <v>0</v>
      </c>
      <c r="AU176" s="9">
        <f t="shared" si="436"/>
        <v>0</v>
      </c>
      <c r="AV176" s="9">
        <f t="shared" si="436"/>
        <v>0</v>
      </c>
      <c r="AW176" s="9">
        <f t="shared" si="436"/>
        <v>0</v>
      </c>
      <c r="AX176" s="9">
        <f t="shared" si="436"/>
        <v>0</v>
      </c>
      <c r="AY176" s="9">
        <f t="shared" si="436"/>
        <v>0</v>
      </c>
      <c r="AZ176" s="9">
        <f t="shared" si="436"/>
        <v>0</v>
      </c>
      <c r="BA176" s="9">
        <f t="shared" si="436"/>
        <v>0</v>
      </c>
      <c r="BB176" s="9">
        <f t="shared" si="436"/>
        <v>0</v>
      </c>
      <c r="BC176" s="9">
        <f t="shared" si="436"/>
        <v>0</v>
      </c>
      <c r="BD176" s="9">
        <f t="shared" si="436"/>
        <v>0</v>
      </c>
      <c r="BE176" s="9">
        <f t="shared" si="436"/>
        <v>0</v>
      </c>
      <c r="BF176" s="9">
        <f t="shared" si="436"/>
        <v>0</v>
      </c>
      <c r="BG176" s="9">
        <f t="shared" si="436"/>
        <v>0</v>
      </c>
      <c r="BH176" s="9">
        <f t="shared" si="436"/>
        <v>0</v>
      </c>
      <c r="BI176" s="9">
        <f t="shared" si="436"/>
        <v>0</v>
      </c>
      <c r="BJ176" s="9">
        <f t="shared" si="436"/>
        <v>0</v>
      </c>
      <c r="BK176" s="9">
        <f t="shared" si="436"/>
        <v>0</v>
      </c>
      <c r="BL176" s="9">
        <f t="shared" si="436"/>
        <v>0</v>
      </c>
      <c r="BM176" s="9">
        <f t="shared" si="436"/>
        <v>0</v>
      </c>
      <c r="BN176" s="9">
        <f t="shared" si="436"/>
        <v>0</v>
      </c>
      <c r="BO176" s="9">
        <f t="shared" si="436"/>
        <v>0</v>
      </c>
      <c r="BP176" s="9">
        <f t="shared" si="436"/>
        <v>0</v>
      </c>
      <c r="BQ176" s="9">
        <f t="shared" si="436"/>
        <v>0</v>
      </c>
      <c r="BR176" s="9">
        <f t="shared" si="420"/>
        <v>0</v>
      </c>
      <c r="BS176" s="9">
        <f t="shared" si="420"/>
        <v>0</v>
      </c>
      <c r="BT176" s="9">
        <f t="shared" si="420"/>
        <v>0</v>
      </c>
      <c r="BU176" s="9">
        <f t="shared" si="420"/>
        <v>0</v>
      </c>
      <c r="BV176" s="9">
        <f t="shared" si="420"/>
        <v>0</v>
      </c>
      <c r="BW176" s="9">
        <f t="shared" si="420"/>
        <v>0</v>
      </c>
      <c r="BX176" s="9">
        <f t="shared" si="420"/>
        <v>0</v>
      </c>
      <c r="BY176" s="9">
        <f t="shared" si="420"/>
        <v>0</v>
      </c>
      <c r="BZ176" s="9">
        <f t="shared" si="420"/>
        <v>0</v>
      </c>
      <c r="CA176" s="9">
        <f t="shared" si="420"/>
        <v>0</v>
      </c>
      <c r="CB176" s="9">
        <f t="shared" si="420"/>
        <v>0</v>
      </c>
      <c r="CC176" s="9">
        <f t="shared" si="420"/>
        <v>0</v>
      </c>
      <c r="CD176" s="9">
        <f t="shared" si="420"/>
        <v>0</v>
      </c>
      <c r="CE176" s="9">
        <f t="shared" si="420"/>
        <v>0</v>
      </c>
      <c r="CF176" s="9">
        <f t="shared" ref="CF176:DR176" si="437">CF121+CF148</f>
        <v>0</v>
      </c>
      <c r="CG176" s="9">
        <f t="shared" si="437"/>
        <v>0</v>
      </c>
      <c r="CH176" s="9">
        <f t="shared" si="437"/>
        <v>0</v>
      </c>
      <c r="CI176" s="9">
        <f t="shared" si="437"/>
        <v>0</v>
      </c>
      <c r="CJ176" s="9">
        <f t="shared" si="437"/>
        <v>0</v>
      </c>
      <c r="CK176" s="9">
        <f t="shared" si="437"/>
        <v>0</v>
      </c>
      <c r="CL176" s="9">
        <f t="shared" si="437"/>
        <v>0</v>
      </c>
      <c r="CM176" s="9">
        <f t="shared" si="437"/>
        <v>0</v>
      </c>
      <c r="CN176" s="9">
        <f t="shared" si="437"/>
        <v>0</v>
      </c>
      <c r="CO176" s="9">
        <f t="shared" si="437"/>
        <v>0</v>
      </c>
      <c r="CP176" s="9">
        <f t="shared" si="437"/>
        <v>0</v>
      </c>
      <c r="CQ176" s="9">
        <f t="shared" si="437"/>
        <v>0</v>
      </c>
      <c r="CR176" s="9">
        <f t="shared" si="437"/>
        <v>0</v>
      </c>
      <c r="CS176" s="9">
        <f t="shared" si="437"/>
        <v>0</v>
      </c>
      <c r="CT176" s="9">
        <f t="shared" si="437"/>
        <v>0</v>
      </c>
      <c r="CU176" s="9">
        <f t="shared" si="437"/>
        <v>0</v>
      </c>
      <c r="CV176" s="9">
        <f t="shared" si="437"/>
        <v>0</v>
      </c>
      <c r="CW176" s="9">
        <f t="shared" si="437"/>
        <v>0</v>
      </c>
      <c r="CX176" s="9">
        <f t="shared" si="437"/>
        <v>0</v>
      </c>
      <c r="CY176" s="9">
        <f t="shared" si="437"/>
        <v>0</v>
      </c>
      <c r="CZ176" s="9">
        <f t="shared" si="437"/>
        <v>0</v>
      </c>
      <c r="DA176" s="9">
        <f t="shared" si="437"/>
        <v>0</v>
      </c>
      <c r="DB176" s="9">
        <f t="shared" si="437"/>
        <v>0</v>
      </c>
      <c r="DC176" s="9">
        <f t="shared" si="437"/>
        <v>0</v>
      </c>
      <c r="DD176" s="9">
        <f t="shared" si="437"/>
        <v>0</v>
      </c>
      <c r="DE176" s="9">
        <f t="shared" si="437"/>
        <v>0</v>
      </c>
      <c r="DF176" s="9">
        <f t="shared" si="437"/>
        <v>0</v>
      </c>
      <c r="DG176" s="9">
        <f t="shared" si="437"/>
        <v>0</v>
      </c>
      <c r="DH176" s="9">
        <f t="shared" si="437"/>
        <v>0</v>
      </c>
      <c r="DI176" s="9">
        <f t="shared" si="437"/>
        <v>0</v>
      </c>
      <c r="DJ176" s="9">
        <f t="shared" si="437"/>
        <v>0</v>
      </c>
      <c r="DK176" s="9">
        <f t="shared" si="437"/>
        <v>0</v>
      </c>
      <c r="DL176" s="9">
        <f t="shared" si="437"/>
        <v>0</v>
      </c>
      <c r="DM176" s="9">
        <f t="shared" si="437"/>
        <v>0</v>
      </c>
      <c r="DN176" s="9">
        <f t="shared" si="437"/>
        <v>0</v>
      </c>
      <c r="DO176" s="9">
        <f t="shared" si="437"/>
        <v>0</v>
      </c>
      <c r="DP176" s="9">
        <f t="shared" si="437"/>
        <v>0</v>
      </c>
      <c r="DQ176" s="9">
        <f t="shared" si="437"/>
        <v>0</v>
      </c>
      <c r="DR176" s="9">
        <f t="shared" si="437"/>
        <v>0</v>
      </c>
      <c r="DS176" s="31">
        <f t="shared" si="422"/>
        <v>0</v>
      </c>
      <c r="DT176" s="31">
        <f t="shared" si="424"/>
        <v>0</v>
      </c>
      <c r="DU176" s="9"/>
      <c r="DV176" s="8"/>
      <c r="DW176" s="7"/>
      <c r="DX176" s="7"/>
      <c r="DY176" s="7"/>
      <c r="DZ176" s="7"/>
      <c r="EA176" s="7"/>
      <c r="EB176" s="7"/>
      <c r="EC176" s="7"/>
    </row>
    <row r="177" spans="3:133">
      <c r="C177" s="57" t="str">
        <f t="shared" si="425"/>
        <v>///</v>
      </c>
      <c r="D177" s="57">
        <f t="shared" si="426"/>
        <v>0</v>
      </c>
      <c r="E177" s="62">
        <f t="shared" si="425"/>
        <v>0</v>
      </c>
      <c r="F177" s="9">
        <f t="shared" si="436"/>
        <v>0</v>
      </c>
      <c r="G177" s="9">
        <f t="shared" si="436"/>
        <v>0</v>
      </c>
      <c r="H177" s="9">
        <f t="shared" si="436"/>
        <v>0</v>
      </c>
      <c r="I177" s="9">
        <f t="shared" si="436"/>
        <v>0</v>
      </c>
      <c r="J177" s="9">
        <f t="shared" si="436"/>
        <v>0</v>
      </c>
      <c r="K177" s="9">
        <f t="shared" si="436"/>
        <v>0</v>
      </c>
      <c r="L177" s="9">
        <f t="shared" si="436"/>
        <v>0</v>
      </c>
      <c r="M177" s="9">
        <f t="shared" si="436"/>
        <v>0</v>
      </c>
      <c r="N177" s="9">
        <f t="shared" si="436"/>
        <v>0</v>
      </c>
      <c r="O177" s="9">
        <f t="shared" si="436"/>
        <v>0</v>
      </c>
      <c r="P177" s="9">
        <f t="shared" si="436"/>
        <v>0</v>
      </c>
      <c r="Q177" s="9">
        <f t="shared" si="436"/>
        <v>0</v>
      </c>
      <c r="R177" s="9">
        <f t="shared" si="436"/>
        <v>0</v>
      </c>
      <c r="S177" s="9">
        <f t="shared" si="436"/>
        <v>0</v>
      </c>
      <c r="T177" s="9">
        <f t="shared" si="436"/>
        <v>0</v>
      </c>
      <c r="U177" s="9">
        <f t="shared" si="436"/>
        <v>0</v>
      </c>
      <c r="V177" s="9">
        <f t="shared" si="436"/>
        <v>0</v>
      </c>
      <c r="W177" s="9">
        <f t="shared" si="436"/>
        <v>0</v>
      </c>
      <c r="X177" s="9">
        <f t="shared" si="436"/>
        <v>0</v>
      </c>
      <c r="Y177" s="9">
        <f t="shared" si="436"/>
        <v>0</v>
      </c>
      <c r="Z177" s="9">
        <f t="shared" si="436"/>
        <v>0</v>
      </c>
      <c r="AA177" s="9">
        <f t="shared" si="436"/>
        <v>0</v>
      </c>
      <c r="AB177" s="9">
        <f t="shared" si="436"/>
        <v>0</v>
      </c>
      <c r="AC177" s="9">
        <f t="shared" si="436"/>
        <v>0</v>
      </c>
      <c r="AD177" s="9">
        <f t="shared" si="436"/>
        <v>0</v>
      </c>
      <c r="AE177" s="9">
        <f t="shared" si="436"/>
        <v>0</v>
      </c>
      <c r="AF177" s="9">
        <f t="shared" si="436"/>
        <v>0</v>
      </c>
      <c r="AG177" s="9">
        <f t="shared" si="436"/>
        <v>0</v>
      </c>
      <c r="AH177" s="9">
        <f t="shared" si="436"/>
        <v>0</v>
      </c>
      <c r="AI177" s="9">
        <f t="shared" si="436"/>
        <v>0</v>
      </c>
      <c r="AJ177" s="9">
        <f t="shared" si="436"/>
        <v>0</v>
      </c>
      <c r="AK177" s="9">
        <f t="shared" si="436"/>
        <v>0</v>
      </c>
      <c r="AL177" s="9">
        <f t="shared" si="436"/>
        <v>0</v>
      </c>
      <c r="AM177" s="9">
        <f t="shared" si="436"/>
        <v>0</v>
      </c>
      <c r="AN177" s="9">
        <f t="shared" si="436"/>
        <v>0</v>
      </c>
      <c r="AO177" s="9">
        <f t="shared" si="436"/>
        <v>0</v>
      </c>
      <c r="AP177" s="9">
        <f t="shared" si="436"/>
        <v>0</v>
      </c>
      <c r="AQ177" s="9">
        <f t="shared" si="436"/>
        <v>0</v>
      </c>
      <c r="AR177" s="9">
        <f t="shared" si="436"/>
        <v>0</v>
      </c>
      <c r="AS177" s="9">
        <f t="shared" si="436"/>
        <v>0</v>
      </c>
      <c r="AT177" s="9">
        <f t="shared" si="436"/>
        <v>0</v>
      </c>
      <c r="AU177" s="9">
        <f t="shared" si="436"/>
        <v>0</v>
      </c>
      <c r="AV177" s="9">
        <f t="shared" si="436"/>
        <v>0</v>
      </c>
      <c r="AW177" s="9">
        <f t="shared" si="436"/>
        <v>0</v>
      </c>
      <c r="AX177" s="9">
        <f t="shared" si="436"/>
        <v>0</v>
      </c>
      <c r="AY177" s="9">
        <f t="shared" si="436"/>
        <v>0</v>
      </c>
      <c r="AZ177" s="9">
        <f t="shared" si="436"/>
        <v>0</v>
      </c>
      <c r="BA177" s="9">
        <f t="shared" si="436"/>
        <v>0</v>
      </c>
      <c r="BB177" s="9">
        <f t="shared" si="436"/>
        <v>0</v>
      </c>
      <c r="BC177" s="9">
        <f t="shared" si="436"/>
        <v>0</v>
      </c>
      <c r="BD177" s="9">
        <f t="shared" si="436"/>
        <v>0</v>
      </c>
      <c r="BE177" s="9">
        <f t="shared" si="436"/>
        <v>0</v>
      </c>
      <c r="BF177" s="9">
        <f t="shared" si="436"/>
        <v>0</v>
      </c>
      <c r="BG177" s="9">
        <f t="shared" si="436"/>
        <v>0</v>
      </c>
      <c r="BH177" s="9">
        <f t="shared" si="436"/>
        <v>0</v>
      </c>
      <c r="BI177" s="9">
        <f t="shared" si="436"/>
        <v>0</v>
      </c>
      <c r="BJ177" s="9">
        <f t="shared" si="436"/>
        <v>0</v>
      </c>
      <c r="BK177" s="9">
        <f t="shared" si="436"/>
        <v>0</v>
      </c>
      <c r="BL177" s="9">
        <f t="shared" si="436"/>
        <v>0</v>
      </c>
      <c r="BM177" s="9">
        <f t="shared" si="436"/>
        <v>0</v>
      </c>
      <c r="BN177" s="9">
        <f t="shared" si="436"/>
        <v>0</v>
      </c>
      <c r="BO177" s="9">
        <f t="shared" si="436"/>
        <v>0</v>
      </c>
      <c r="BP177" s="9">
        <f t="shared" si="436"/>
        <v>0</v>
      </c>
      <c r="BQ177" s="9">
        <f t="shared" si="436"/>
        <v>0</v>
      </c>
      <c r="BR177" s="9">
        <f t="shared" si="420"/>
        <v>0</v>
      </c>
      <c r="BS177" s="9">
        <f t="shared" si="420"/>
        <v>0</v>
      </c>
      <c r="BT177" s="9">
        <f t="shared" si="420"/>
        <v>0</v>
      </c>
      <c r="BU177" s="9">
        <f t="shared" si="420"/>
        <v>0</v>
      </c>
      <c r="BV177" s="9">
        <f t="shared" si="420"/>
        <v>0</v>
      </c>
      <c r="BW177" s="9">
        <f t="shared" si="420"/>
        <v>0</v>
      </c>
      <c r="BX177" s="9">
        <f t="shared" si="420"/>
        <v>0</v>
      </c>
      <c r="BY177" s="9">
        <f t="shared" si="420"/>
        <v>0</v>
      </c>
      <c r="BZ177" s="9">
        <f t="shared" si="420"/>
        <v>0</v>
      </c>
      <c r="CA177" s="9">
        <f t="shared" si="420"/>
        <v>0</v>
      </c>
      <c r="CB177" s="9">
        <f t="shared" si="420"/>
        <v>0</v>
      </c>
      <c r="CC177" s="9">
        <f t="shared" si="420"/>
        <v>0</v>
      </c>
      <c r="CD177" s="9">
        <f t="shared" si="420"/>
        <v>0</v>
      </c>
      <c r="CE177" s="9">
        <f t="shared" si="420"/>
        <v>0</v>
      </c>
      <c r="CF177" s="9">
        <f t="shared" ref="CF177:DR177" si="438">CF122+CF149</f>
        <v>0</v>
      </c>
      <c r="CG177" s="9">
        <f t="shared" si="438"/>
        <v>0</v>
      </c>
      <c r="CH177" s="9">
        <f t="shared" si="438"/>
        <v>0</v>
      </c>
      <c r="CI177" s="9">
        <f t="shared" si="438"/>
        <v>0</v>
      </c>
      <c r="CJ177" s="9">
        <f t="shared" si="438"/>
        <v>0</v>
      </c>
      <c r="CK177" s="9">
        <f t="shared" si="438"/>
        <v>0</v>
      </c>
      <c r="CL177" s="9">
        <f t="shared" si="438"/>
        <v>0</v>
      </c>
      <c r="CM177" s="9">
        <f t="shared" si="438"/>
        <v>0</v>
      </c>
      <c r="CN177" s="9">
        <f t="shared" si="438"/>
        <v>0</v>
      </c>
      <c r="CO177" s="9">
        <f t="shared" si="438"/>
        <v>0</v>
      </c>
      <c r="CP177" s="9">
        <f t="shared" si="438"/>
        <v>0</v>
      </c>
      <c r="CQ177" s="9">
        <f t="shared" si="438"/>
        <v>0</v>
      </c>
      <c r="CR177" s="9">
        <f t="shared" si="438"/>
        <v>0</v>
      </c>
      <c r="CS177" s="9">
        <f t="shared" si="438"/>
        <v>0</v>
      </c>
      <c r="CT177" s="9">
        <f t="shared" si="438"/>
        <v>0</v>
      </c>
      <c r="CU177" s="9">
        <f t="shared" si="438"/>
        <v>0</v>
      </c>
      <c r="CV177" s="9">
        <f t="shared" si="438"/>
        <v>0</v>
      </c>
      <c r="CW177" s="9">
        <f t="shared" si="438"/>
        <v>0</v>
      </c>
      <c r="CX177" s="9">
        <f t="shared" si="438"/>
        <v>0</v>
      </c>
      <c r="CY177" s="9">
        <f t="shared" si="438"/>
        <v>0</v>
      </c>
      <c r="CZ177" s="9">
        <f t="shared" si="438"/>
        <v>0</v>
      </c>
      <c r="DA177" s="9">
        <f t="shared" si="438"/>
        <v>0</v>
      </c>
      <c r="DB177" s="9">
        <f t="shared" si="438"/>
        <v>0</v>
      </c>
      <c r="DC177" s="9">
        <f t="shared" si="438"/>
        <v>0</v>
      </c>
      <c r="DD177" s="9">
        <f t="shared" si="438"/>
        <v>0</v>
      </c>
      <c r="DE177" s="9">
        <f t="shared" si="438"/>
        <v>0</v>
      </c>
      <c r="DF177" s="9">
        <f t="shared" si="438"/>
        <v>0</v>
      </c>
      <c r="DG177" s="9">
        <f t="shared" si="438"/>
        <v>0</v>
      </c>
      <c r="DH177" s="9">
        <f t="shared" si="438"/>
        <v>0</v>
      </c>
      <c r="DI177" s="9">
        <f t="shared" si="438"/>
        <v>0</v>
      </c>
      <c r="DJ177" s="9">
        <f t="shared" si="438"/>
        <v>0</v>
      </c>
      <c r="DK177" s="9">
        <f t="shared" si="438"/>
        <v>0</v>
      </c>
      <c r="DL177" s="9">
        <f t="shared" si="438"/>
        <v>0</v>
      </c>
      <c r="DM177" s="9">
        <f t="shared" si="438"/>
        <v>0</v>
      </c>
      <c r="DN177" s="9">
        <f t="shared" si="438"/>
        <v>0</v>
      </c>
      <c r="DO177" s="9">
        <f t="shared" si="438"/>
        <v>0</v>
      </c>
      <c r="DP177" s="9">
        <f t="shared" si="438"/>
        <v>0</v>
      </c>
      <c r="DQ177" s="9">
        <f t="shared" si="438"/>
        <v>0</v>
      </c>
      <c r="DR177" s="9">
        <f t="shared" si="438"/>
        <v>0</v>
      </c>
      <c r="DS177" s="31">
        <f t="shared" si="422"/>
        <v>0</v>
      </c>
      <c r="DT177" s="31">
        <f t="shared" si="424"/>
        <v>0</v>
      </c>
      <c r="DU177" s="9"/>
      <c r="DV177" s="8"/>
      <c r="DW177" s="7"/>
      <c r="DX177" s="7"/>
      <c r="DY177" s="7"/>
      <c r="DZ177" s="7"/>
      <c r="EA177" s="7"/>
      <c r="EB177" s="7"/>
      <c r="EC177" s="7"/>
    </row>
    <row r="178" spans="3:133">
      <c r="C178" s="57" t="str">
        <f t="shared" si="425"/>
        <v>///</v>
      </c>
      <c r="D178" s="57">
        <f t="shared" si="426"/>
        <v>0</v>
      </c>
      <c r="E178" s="62">
        <f t="shared" si="425"/>
        <v>0</v>
      </c>
      <c r="F178" s="9">
        <f t="shared" si="436"/>
        <v>0</v>
      </c>
      <c r="G178" s="9">
        <f t="shared" si="436"/>
        <v>0</v>
      </c>
      <c r="H178" s="9">
        <f t="shared" si="436"/>
        <v>0</v>
      </c>
      <c r="I178" s="9">
        <f t="shared" si="436"/>
        <v>0</v>
      </c>
      <c r="J178" s="9">
        <f t="shared" si="436"/>
        <v>0</v>
      </c>
      <c r="K178" s="9">
        <f t="shared" si="436"/>
        <v>0</v>
      </c>
      <c r="L178" s="9">
        <f t="shared" si="436"/>
        <v>0</v>
      </c>
      <c r="M178" s="9">
        <f t="shared" si="436"/>
        <v>0</v>
      </c>
      <c r="N178" s="9">
        <f t="shared" si="436"/>
        <v>0</v>
      </c>
      <c r="O178" s="9">
        <f t="shared" si="436"/>
        <v>0</v>
      </c>
      <c r="P178" s="9">
        <f t="shared" si="436"/>
        <v>0</v>
      </c>
      <c r="Q178" s="9">
        <f t="shared" si="436"/>
        <v>0</v>
      </c>
      <c r="R178" s="9">
        <f t="shared" si="436"/>
        <v>0</v>
      </c>
      <c r="S178" s="9">
        <f t="shared" si="436"/>
        <v>0</v>
      </c>
      <c r="T178" s="9">
        <f t="shared" si="436"/>
        <v>0</v>
      </c>
      <c r="U178" s="9">
        <f t="shared" si="436"/>
        <v>0</v>
      </c>
      <c r="V178" s="9">
        <f t="shared" si="436"/>
        <v>0</v>
      </c>
      <c r="W178" s="9">
        <f t="shared" si="436"/>
        <v>0</v>
      </c>
      <c r="X178" s="9">
        <f t="shared" si="436"/>
        <v>0</v>
      </c>
      <c r="Y178" s="9">
        <f t="shared" si="436"/>
        <v>0</v>
      </c>
      <c r="Z178" s="9">
        <f t="shared" si="436"/>
        <v>0</v>
      </c>
      <c r="AA178" s="9">
        <f t="shared" si="436"/>
        <v>0</v>
      </c>
      <c r="AB178" s="9">
        <f t="shared" si="436"/>
        <v>0</v>
      </c>
      <c r="AC178" s="9">
        <f t="shared" si="436"/>
        <v>0</v>
      </c>
      <c r="AD178" s="9">
        <f t="shared" si="436"/>
        <v>0</v>
      </c>
      <c r="AE178" s="9">
        <f t="shared" si="436"/>
        <v>0</v>
      </c>
      <c r="AF178" s="9">
        <f t="shared" si="436"/>
        <v>0</v>
      </c>
      <c r="AG178" s="9">
        <f t="shared" si="436"/>
        <v>0</v>
      </c>
      <c r="AH178" s="9">
        <f t="shared" si="436"/>
        <v>0</v>
      </c>
      <c r="AI178" s="9">
        <f t="shared" si="436"/>
        <v>0</v>
      </c>
      <c r="AJ178" s="9">
        <f t="shared" si="436"/>
        <v>0</v>
      </c>
      <c r="AK178" s="9">
        <f t="shared" si="436"/>
        <v>0</v>
      </c>
      <c r="AL178" s="9">
        <f t="shared" si="436"/>
        <v>0</v>
      </c>
      <c r="AM178" s="9">
        <f t="shared" si="436"/>
        <v>0</v>
      </c>
      <c r="AN178" s="9">
        <f t="shared" si="436"/>
        <v>0</v>
      </c>
      <c r="AO178" s="9">
        <f t="shared" si="436"/>
        <v>0</v>
      </c>
      <c r="AP178" s="9">
        <f t="shared" si="436"/>
        <v>0</v>
      </c>
      <c r="AQ178" s="9">
        <f t="shared" si="436"/>
        <v>0</v>
      </c>
      <c r="AR178" s="9">
        <f t="shared" si="436"/>
        <v>0</v>
      </c>
      <c r="AS178" s="9">
        <f t="shared" si="436"/>
        <v>0</v>
      </c>
      <c r="AT178" s="9">
        <f t="shared" si="436"/>
        <v>0</v>
      </c>
      <c r="AU178" s="9">
        <f t="shared" si="436"/>
        <v>0</v>
      </c>
      <c r="AV178" s="9">
        <f t="shared" si="436"/>
        <v>0</v>
      </c>
      <c r="AW178" s="9">
        <f t="shared" si="436"/>
        <v>0</v>
      </c>
      <c r="AX178" s="9">
        <f t="shared" si="436"/>
        <v>0</v>
      </c>
      <c r="AY178" s="9">
        <f t="shared" si="436"/>
        <v>0</v>
      </c>
      <c r="AZ178" s="9">
        <f t="shared" si="436"/>
        <v>0</v>
      </c>
      <c r="BA178" s="9">
        <f t="shared" si="436"/>
        <v>0</v>
      </c>
      <c r="BB178" s="9">
        <f t="shared" si="436"/>
        <v>0</v>
      </c>
      <c r="BC178" s="9">
        <f t="shared" si="436"/>
        <v>0</v>
      </c>
      <c r="BD178" s="9">
        <f t="shared" si="436"/>
        <v>0</v>
      </c>
      <c r="BE178" s="9">
        <f t="shared" si="436"/>
        <v>0</v>
      </c>
      <c r="BF178" s="9">
        <f t="shared" si="436"/>
        <v>0</v>
      </c>
      <c r="BG178" s="9">
        <f t="shared" si="436"/>
        <v>0</v>
      </c>
      <c r="BH178" s="9">
        <f t="shared" si="436"/>
        <v>0</v>
      </c>
      <c r="BI178" s="9">
        <f t="shared" si="436"/>
        <v>0</v>
      </c>
      <c r="BJ178" s="9">
        <f t="shared" si="436"/>
        <v>0</v>
      </c>
      <c r="BK178" s="9">
        <f t="shared" si="436"/>
        <v>0</v>
      </c>
      <c r="BL178" s="9">
        <f t="shared" si="436"/>
        <v>0</v>
      </c>
      <c r="BM178" s="9">
        <f t="shared" si="436"/>
        <v>0</v>
      </c>
      <c r="BN178" s="9">
        <f t="shared" si="436"/>
        <v>0</v>
      </c>
      <c r="BO178" s="9">
        <f t="shared" si="436"/>
        <v>0</v>
      </c>
      <c r="BP178" s="9">
        <f t="shared" si="436"/>
        <v>0</v>
      </c>
      <c r="BQ178" s="9">
        <f t="shared" si="436"/>
        <v>0</v>
      </c>
      <c r="BR178" s="9">
        <f t="shared" si="420"/>
        <v>0</v>
      </c>
      <c r="BS178" s="9">
        <f t="shared" si="420"/>
        <v>0</v>
      </c>
      <c r="BT178" s="9">
        <f t="shared" si="420"/>
        <v>0</v>
      </c>
      <c r="BU178" s="9">
        <f t="shared" si="420"/>
        <v>0</v>
      </c>
      <c r="BV178" s="9">
        <f t="shared" si="420"/>
        <v>0</v>
      </c>
      <c r="BW178" s="9">
        <f t="shared" si="420"/>
        <v>0</v>
      </c>
      <c r="BX178" s="9">
        <f t="shared" si="420"/>
        <v>0</v>
      </c>
      <c r="BY178" s="9">
        <f t="shared" si="420"/>
        <v>0</v>
      </c>
      <c r="BZ178" s="9">
        <f t="shared" si="420"/>
        <v>0</v>
      </c>
      <c r="CA178" s="9">
        <f t="shared" si="420"/>
        <v>0</v>
      </c>
      <c r="CB178" s="9">
        <f t="shared" si="420"/>
        <v>0</v>
      </c>
      <c r="CC178" s="9">
        <f t="shared" si="420"/>
        <v>0</v>
      </c>
      <c r="CD178" s="9">
        <f t="shared" si="420"/>
        <v>0</v>
      </c>
      <c r="CE178" s="9">
        <f t="shared" si="420"/>
        <v>0</v>
      </c>
      <c r="CF178" s="9">
        <f t="shared" ref="CF178:DR178" si="439">CF123+CF150</f>
        <v>0</v>
      </c>
      <c r="CG178" s="9">
        <f t="shared" si="439"/>
        <v>0</v>
      </c>
      <c r="CH178" s="9">
        <f t="shared" si="439"/>
        <v>0</v>
      </c>
      <c r="CI178" s="9">
        <f t="shared" si="439"/>
        <v>0</v>
      </c>
      <c r="CJ178" s="9">
        <f t="shared" si="439"/>
        <v>0</v>
      </c>
      <c r="CK178" s="9">
        <f t="shared" si="439"/>
        <v>0</v>
      </c>
      <c r="CL178" s="9">
        <f t="shared" si="439"/>
        <v>0</v>
      </c>
      <c r="CM178" s="9">
        <f t="shared" si="439"/>
        <v>0</v>
      </c>
      <c r="CN178" s="9">
        <f t="shared" si="439"/>
        <v>0</v>
      </c>
      <c r="CO178" s="9">
        <f t="shared" si="439"/>
        <v>0</v>
      </c>
      <c r="CP178" s="9">
        <f t="shared" si="439"/>
        <v>0</v>
      </c>
      <c r="CQ178" s="9">
        <f t="shared" si="439"/>
        <v>0</v>
      </c>
      <c r="CR178" s="9">
        <f t="shared" si="439"/>
        <v>0</v>
      </c>
      <c r="CS178" s="9">
        <f t="shared" si="439"/>
        <v>0</v>
      </c>
      <c r="CT178" s="9">
        <f t="shared" si="439"/>
        <v>0</v>
      </c>
      <c r="CU178" s="9">
        <f t="shared" si="439"/>
        <v>0</v>
      </c>
      <c r="CV178" s="9">
        <f t="shared" si="439"/>
        <v>0</v>
      </c>
      <c r="CW178" s="9">
        <f t="shared" si="439"/>
        <v>0</v>
      </c>
      <c r="CX178" s="9">
        <f t="shared" si="439"/>
        <v>0</v>
      </c>
      <c r="CY178" s="9">
        <f t="shared" si="439"/>
        <v>0</v>
      </c>
      <c r="CZ178" s="9">
        <f t="shared" si="439"/>
        <v>0</v>
      </c>
      <c r="DA178" s="9">
        <f t="shared" si="439"/>
        <v>0</v>
      </c>
      <c r="DB178" s="9">
        <f t="shared" si="439"/>
        <v>0</v>
      </c>
      <c r="DC178" s="9">
        <f t="shared" si="439"/>
        <v>0</v>
      </c>
      <c r="DD178" s="9">
        <f t="shared" si="439"/>
        <v>0</v>
      </c>
      <c r="DE178" s="9">
        <f t="shared" si="439"/>
        <v>0</v>
      </c>
      <c r="DF178" s="9">
        <f t="shared" si="439"/>
        <v>0</v>
      </c>
      <c r="DG178" s="9">
        <f t="shared" si="439"/>
        <v>0</v>
      </c>
      <c r="DH178" s="9">
        <f t="shared" si="439"/>
        <v>0</v>
      </c>
      <c r="DI178" s="9">
        <f t="shared" si="439"/>
        <v>0</v>
      </c>
      <c r="DJ178" s="9">
        <f t="shared" si="439"/>
        <v>0</v>
      </c>
      <c r="DK178" s="9">
        <f t="shared" si="439"/>
        <v>0</v>
      </c>
      <c r="DL178" s="9">
        <f t="shared" si="439"/>
        <v>0</v>
      </c>
      <c r="DM178" s="9">
        <f t="shared" si="439"/>
        <v>0</v>
      </c>
      <c r="DN178" s="9">
        <f t="shared" si="439"/>
        <v>0</v>
      </c>
      <c r="DO178" s="9">
        <f t="shared" si="439"/>
        <v>0</v>
      </c>
      <c r="DP178" s="9">
        <f t="shared" si="439"/>
        <v>0</v>
      </c>
      <c r="DQ178" s="9">
        <f t="shared" si="439"/>
        <v>0</v>
      </c>
      <c r="DR178" s="9">
        <f t="shared" si="439"/>
        <v>0</v>
      </c>
      <c r="DS178" s="31">
        <f t="shared" si="422"/>
        <v>0</v>
      </c>
      <c r="DT178" s="31">
        <f t="shared" si="424"/>
        <v>0</v>
      </c>
      <c r="DU178" s="9"/>
      <c r="DV178" s="8"/>
      <c r="DW178" s="7"/>
      <c r="DX178" s="7"/>
      <c r="DY178" s="7"/>
      <c r="DZ178" s="7"/>
      <c r="EA178" s="7"/>
      <c r="EB178" s="7"/>
      <c r="EC178" s="7"/>
    </row>
    <row r="179" spans="3:133">
      <c r="C179" s="57" t="str">
        <f t="shared" si="425"/>
        <v>///</v>
      </c>
      <c r="D179" s="57">
        <f t="shared" si="426"/>
        <v>0</v>
      </c>
      <c r="E179" s="62">
        <f t="shared" si="425"/>
        <v>0</v>
      </c>
      <c r="F179" s="9">
        <f t="shared" si="436"/>
        <v>0</v>
      </c>
      <c r="G179" s="9">
        <f t="shared" si="436"/>
        <v>0</v>
      </c>
      <c r="H179" s="9">
        <f t="shared" si="436"/>
        <v>0</v>
      </c>
      <c r="I179" s="9">
        <f t="shared" si="436"/>
        <v>0</v>
      </c>
      <c r="J179" s="9">
        <f t="shared" si="436"/>
        <v>0</v>
      </c>
      <c r="K179" s="9">
        <f t="shared" si="436"/>
        <v>0</v>
      </c>
      <c r="L179" s="9">
        <f t="shared" si="436"/>
        <v>0</v>
      </c>
      <c r="M179" s="9">
        <f t="shared" si="436"/>
        <v>0</v>
      </c>
      <c r="N179" s="9">
        <f t="shared" si="436"/>
        <v>0</v>
      </c>
      <c r="O179" s="9">
        <f t="shared" si="436"/>
        <v>0</v>
      </c>
      <c r="P179" s="9">
        <f t="shared" si="436"/>
        <v>0</v>
      </c>
      <c r="Q179" s="9">
        <f t="shared" si="436"/>
        <v>0</v>
      </c>
      <c r="R179" s="9">
        <f t="shared" si="436"/>
        <v>0</v>
      </c>
      <c r="S179" s="9">
        <f t="shared" si="436"/>
        <v>0</v>
      </c>
      <c r="T179" s="9">
        <f t="shared" si="436"/>
        <v>0</v>
      </c>
      <c r="U179" s="9">
        <f t="shared" si="436"/>
        <v>0</v>
      </c>
      <c r="V179" s="9">
        <f t="shared" si="436"/>
        <v>0</v>
      </c>
      <c r="W179" s="9">
        <f t="shared" si="436"/>
        <v>0</v>
      </c>
      <c r="X179" s="9">
        <f t="shared" si="436"/>
        <v>0</v>
      </c>
      <c r="Y179" s="9">
        <f t="shared" si="436"/>
        <v>0</v>
      </c>
      <c r="Z179" s="9">
        <f t="shared" si="436"/>
        <v>0</v>
      </c>
      <c r="AA179" s="9">
        <f t="shared" si="436"/>
        <v>0</v>
      </c>
      <c r="AB179" s="9">
        <f t="shared" si="436"/>
        <v>0</v>
      </c>
      <c r="AC179" s="9">
        <f t="shared" si="436"/>
        <v>0</v>
      </c>
      <c r="AD179" s="9">
        <f t="shared" si="436"/>
        <v>0</v>
      </c>
      <c r="AE179" s="9">
        <f t="shared" si="436"/>
        <v>0</v>
      </c>
      <c r="AF179" s="9">
        <f t="shared" si="436"/>
        <v>0</v>
      </c>
      <c r="AG179" s="9">
        <f t="shared" si="436"/>
        <v>0</v>
      </c>
      <c r="AH179" s="9">
        <f t="shared" si="436"/>
        <v>0</v>
      </c>
      <c r="AI179" s="9">
        <f t="shared" si="436"/>
        <v>0</v>
      </c>
      <c r="AJ179" s="9">
        <f t="shared" si="436"/>
        <v>0</v>
      </c>
      <c r="AK179" s="9">
        <f t="shared" si="436"/>
        <v>0</v>
      </c>
      <c r="AL179" s="9">
        <f t="shared" si="436"/>
        <v>0</v>
      </c>
      <c r="AM179" s="9">
        <f t="shared" si="436"/>
        <v>0</v>
      </c>
      <c r="AN179" s="9">
        <f t="shared" si="436"/>
        <v>0</v>
      </c>
      <c r="AO179" s="9">
        <f t="shared" si="436"/>
        <v>0</v>
      </c>
      <c r="AP179" s="9">
        <f t="shared" si="436"/>
        <v>0</v>
      </c>
      <c r="AQ179" s="9">
        <f t="shared" si="436"/>
        <v>0</v>
      </c>
      <c r="AR179" s="9">
        <f t="shared" si="436"/>
        <v>0</v>
      </c>
      <c r="AS179" s="9">
        <f t="shared" si="436"/>
        <v>0</v>
      </c>
      <c r="AT179" s="9">
        <f t="shared" si="436"/>
        <v>0</v>
      </c>
      <c r="AU179" s="9">
        <f t="shared" si="436"/>
        <v>0</v>
      </c>
      <c r="AV179" s="9">
        <f t="shared" si="436"/>
        <v>0</v>
      </c>
      <c r="AW179" s="9">
        <f t="shared" si="436"/>
        <v>0</v>
      </c>
      <c r="AX179" s="9">
        <f t="shared" si="436"/>
        <v>0</v>
      </c>
      <c r="AY179" s="9">
        <f t="shared" si="436"/>
        <v>0</v>
      </c>
      <c r="AZ179" s="9">
        <f t="shared" si="436"/>
        <v>0</v>
      </c>
      <c r="BA179" s="9">
        <f t="shared" si="436"/>
        <v>0</v>
      </c>
      <c r="BB179" s="9">
        <f t="shared" si="436"/>
        <v>0</v>
      </c>
      <c r="BC179" s="9">
        <f t="shared" si="436"/>
        <v>0</v>
      </c>
      <c r="BD179" s="9">
        <f t="shared" si="436"/>
        <v>0</v>
      </c>
      <c r="BE179" s="9">
        <f t="shared" si="436"/>
        <v>0</v>
      </c>
      <c r="BF179" s="9">
        <f t="shared" si="436"/>
        <v>0</v>
      </c>
      <c r="BG179" s="9">
        <f t="shared" si="436"/>
        <v>0</v>
      </c>
      <c r="BH179" s="9">
        <f t="shared" si="436"/>
        <v>0</v>
      </c>
      <c r="BI179" s="9">
        <f t="shared" si="436"/>
        <v>0</v>
      </c>
      <c r="BJ179" s="9">
        <f t="shared" si="436"/>
        <v>0</v>
      </c>
      <c r="BK179" s="9">
        <f t="shared" si="436"/>
        <v>0</v>
      </c>
      <c r="BL179" s="9">
        <f t="shared" si="436"/>
        <v>0</v>
      </c>
      <c r="BM179" s="9">
        <f t="shared" si="436"/>
        <v>0</v>
      </c>
      <c r="BN179" s="9">
        <f t="shared" si="436"/>
        <v>0</v>
      </c>
      <c r="BO179" s="9">
        <f t="shared" si="436"/>
        <v>0</v>
      </c>
      <c r="BP179" s="9">
        <f t="shared" si="436"/>
        <v>0</v>
      </c>
      <c r="BQ179" s="9">
        <f t="shared" ref="BQ179" si="440">BQ124+BQ151</f>
        <v>0</v>
      </c>
      <c r="BR179" s="9">
        <f t="shared" si="420"/>
        <v>0</v>
      </c>
      <c r="BS179" s="9">
        <f t="shared" si="420"/>
        <v>0</v>
      </c>
      <c r="BT179" s="9">
        <f t="shared" si="420"/>
        <v>0</v>
      </c>
      <c r="BU179" s="9">
        <f t="shared" si="420"/>
        <v>0</v>
      </c>
      <c r="BV179" s="9">
        <f t="shared" si="420"/>
        <v>0</v>
      </c>
      <c r="BW179" s="9">
        <f t="shared" si="420"/>
        <v>0</v>
      </c>
      <c r="BX179" s="9">
        <f t="shared" si="420"/>
        <v>0</v>
      </c>
      <c r="BY179" s="9">
        <f t="shared" si="420"/>
        <v>0</v>
      </c>
      <c r="BZ179" s="9">
        <f t="shared" si="420"/>
        <v>0</v>
      </c>
      <c r="CA179" s="9">
        <f t="shared" si="420"/>
        <v>0</v>
      </c>
      <c r="CB179" s="9">
        <f t="shared" si="420"/>
        <v>0</v>
      </c>
      <c r="CC179" s="9">
        <f t="shared" si="420"/>
        <v>0</v>
      </c>
      <c r="CD179" s="9">
        <f t="shared" si="420"/>
        <v>0</v>
      </c>
      <c r="CE179" s="9">
        <f t="shared" si="420"/>
        <v>0</v>
      </c>
      <c r="CF179" s="9">
        <f t="shared" ref="CF179:DR179" si="441">CF124+CF151</f>
        <v>0</v>
      </c>
      <c r="CG179" s="9">
        <f t="shared" si="441"/>
        <v>0</v>
      </c>
      <c r="CH179" s="9">
        <f t="shared" si="441"/>
        <v>0</v>
      </c>
      <c r="CI179" s="9">
        <f t="shared" si="441"/>
        <v>0</v>
      </c>
      <c r="CJ179" s="9">
        <f t="shared" si="441"/>
        <v>0</v>
      </c>
      <c r="CK179" s="9">
        <f t="shared" si="441"/>
        <v>0</v>
      </c>
      <c r="CL179" s="9">
        <f t="shared" si="441"/>
        <v>0</v>
      </c>
      <c r="CM179" s="9">
        <f t="shared" si="441"/>
        <v>0</v>
      </c>
      <c r="CN179" s="9">
        <f t="shared" si="441"/>
        <v>0</v>
      </c>
      <c r="CO179" s="9">
        <f t="shared" si="441"/>
        <v>0</v>
      </c>
      <c r="CP179" s="9">
        <f t="shared" si="441"/>
        <v>0</v>
      </c>
      <c r="CQ179" s="9">
        <f t="shared" si="441"/>
        <v>0</v>
      </c>
      <c r="CR179" s="9">
        <f t="shared" si="441"/>
        <v>0</v>
      </c>
      <c r="CS179" s="9">
        <f t="shared" si="441"/>
        <v>0</v>
      </c>
      <c r="CT179" s="9">
        <f t="shared" si="441"/>
        <v>0</v>
      </c>
      <c r="CU179" s="9">
        <f t="shared" si="441"/>
        <v>0</v>
      </c>
      <c r="CV179" s="9">
        <f t="shared" si="441"/>
        <v>0</v>
      </c>
      <c r="CW179" s="9">
        <f t="shared" si="441"/>
        <v>0</v>
      </c>
      <c r="CX179" s="9">
        <f t="shared" si="441"/>
        <v>0</v>
      </c>
      <c r="CY179" s="9">
        <f t="shared" si="441"/>
        <v>0</v>
      </c>
      <c r="CZ179" s="9">
        <f t="shared" si="441"/>
        <v>0</v>
      </c>
      <c r="DA179" s="9">
        <f t="shared" si="441"/>
        <v>0</v>
      </c>
      <c r="DB179" s="9">
        <f t="shared" si="441"/>
        <v>0</v>
      </c>
      <c r="DC179" s="9">
        <f t="shared" si="441"/>
        <v>0</v>
      </c>
      <c r="DD179" s="9">
        <f t="shared" si="441"/>
        <v>0</v>
      </c>
      <c r="DE179" s="9">
        <f t="shared" si="441"/>
        <v>0</v>
      </c>
      <c r="DF179" s="9">
        <f t="shared" si="441"/>
        <v>0</v>
      </c>
      <c r="DG179" s="9">
        <f t="shared" si="441"/>
        <v>0</v>
      </c>
      <c r="DH179" s="9">
        <f t="shared" si="441"/>
        <v>0</v>
      </c>
      <c r="DI179" s="9">
        <f t="shared" si="441"/>
        <v>0</v>
      </c>
      <c r="DJ179" s="9">
        <f t="shared" si="441"/>
        <v>0</v>
      </c>
      <c r="DK179" s="9">
        <f t="shared" si="441"/>
        <v>0</v>
      </c>
      <c r="DL179" s="9">
        <f t="shared" si="441"/>
        <v>0</v>
      </c>
      <c r="DM179" s="9">
        <f t="shared" si="441"/>
        <v>0</v>
      </c>
      <c r="DN179" s="9">
        <f t="shared" si="441"/>
        <v>0</v>
      </c>
      <c r="DO179" s="9">
        <f t="shared" si="441"/>
        <v>0</v>
      </c>
      <c r="DP179" s="9">
        <f t="shared" si="441"/>
        <v>0</v>
      </c>
      <c r="DQ179" s="9">
        <f t="shared" si="441"/>
        <v>0</v>
      </c>
      <c r="DR179" s="9">
        <f t="shared" si="441"/>
        <v>0</v>
      </c>
      <c r="DS179" s="31">
        <f t="shared" si="422"/>
        <v>0</v>
      </c>
      <c r="DT179" s="31">
        <f t="shared" si="424"/>
        <v>0</v>
      </c>
      <c r="DU179" s="9"/>
      <c r="DV179" s="8"/>
      <c r="DW179" s="7"/>
      <c r="DX179" s="7"/>
      <c r="DY179" s="7"/>
      <c r="DZ179" s="7"/>
      <c r="EA179" s="7"/>
      <c r="EB179" s="7"/>
      <c r="EC179" s="7"/>
    </row>
    <row r="180" spans="3:133">
      <c r="C180" s="57" t="str">
        <f t="shared" si="425"/>
        <v>///</v>
      </c>
      <c r="D180" s="57">
        <f t="shared" si="426"/>
        <v>0</v>
      </c>
      <c r="E180" s="62">
        <f t="shared" si="425"/>
        <v>0</v>
      </c>
      <c r="F180" s="9">
        <f t="shared" ref="F180:BQ183" si="442">F125+F152</f>
        <v>0</v>
      </c>
      <c r="G180" s="9">
        <f t="shared" si="442"/>
        <v>0</v>
      </c>
      <c r="H180" s="9">
        <f t="shared" si="442"/>
        <v>0</v>
      </c>
      <c r="I180" s="9">
        <f t="shared" si="442"/>
        <v>0</v>
      </c>
      <c r="J180" s="9">
        <f t="shared" si="442"/>
        <v>0</v>
      </c>
      <c r="K180" s="9">
        <f t="shared" si="442"/>
        <v>0</v>
      </c>
      <c r="L180" s="9">
        <f t="shared" si="442"/>
        <v>0</v>
      </c>
      <c r="M180" s="9">
        <f t="shared" si="442"/>
        <v>0</v>
      </c>
      <c r="N180" s="9">
        <f t="shared" si="442"/>
        <v>0</v>
      </c>
      <c r="O180" s="9">
        <f t="shared" si="442"/>
        <v>0</v>
      </c>
      <c r="P180" s="9">
        <f t="shared" si="442"/>
        <v>0</v>
      </c>
      <c r="Q180" s="9">
        <f t="shared" si="442"/>
        <v>0</v>
      </c>
      <c r="R180" s="9">
        <f t="shared" si="442"/>
        <v>0</v>
      </c>
      <c r="S180" s="9">
        <f t="shared" si="442"/>
        <v>0</v>
      </c>
      <c r="T180" s="9">
        <f t="shared" si="442"/>
        <v>0</v>
      </c>
      <c r="U180" s="9">
        <f t="shared" si="442"/>
        <v>0</v>
      </c>
      <c r="V180" s="9">
        <f t="shared" si="442"/>
        <v>0</v>
      </c>
      <c r="W180" s="9">
        <f t="shared" si="442"/>
        <v>0</v>
      </c>
      <c r="X180" s="9">
        <f t="shared" si="442"/>
        <v>0</v>
      </c>
      <c r="Y180" s="9">
        <f t="shared" si="442"/>
        <v>0</v>
      </c>
      <c r="Z180" s="9">
        <f t="shared" si="442"/>
        <v>0</v>
      </c>
      <c r="AA180" s="9">
        <f t="shared" si="442"/>
        <v>0</v>
      </c>
      <c r="AB180" s="9">
        <f t="shared" si="442"/>
        <v>0</v>
      </c>
      <c r="AC180" s="9">
        <f t="shared" si="442"/>
        <v>0</v>
      </c>
      <c r="AD180" s="9">
        <f t="shared" si="442"/>
        <v>0</v>
      </c>
      <c r="AE180" s="9">
        <f t="shared" si="442"/>
        <v>0</v>
      </c>
      <c r="AF180" s="9">
        <f t="shared" si="442"/>
        <v>0</v>
      </c>
      <c r="AG180" s="9">
        <f t="shared" si="442"/>
        <v>0</v>
      </c>
      <c r="AH180" s="9">
        <f t="shared" si="442"/>
        <v>0</v>
      </c>
      <c r="AI180" s="9">
        <f t="shared" si="442"/>
        <v>0</v>
      </c>
      <c r="AJ180" s="9">
        <f t="shared" si="442"/>
        <v>0</v>
      </c>
      <c r="AK180" s="9">
        <f t="shared" si="442"/>
        <v>0</v>
      </c>
      <c r="AL180" s="9">
        <f t="shared" si="442"/>
        <v>0</v>
      </c>
      <c r="AM180" s="9">
        <f t="shared" si="442"/>
        <v>0</v>
      </c>
      <c r="AN180" s="9">
        <f t="shared" si="442"/>
        <v>0</v>
      </c>
      <c r="AO180" s="9">
        <f t="shared" si="442"/>
        <v>0</v>
      </c>
      <c r="AP180" s="9">
        <f t="shared" si="442"/>
        <v>0</v>
      </c>
      <c r="AQ180" s="9">
        <f t="shared" si="442"/>
        <v>0</v>
      </c>
      <c r="AR180" s="9">
        <f t="shared" si="442"/>
        <v>0</v>
      </c>
      <c r="AS180" s="9">
        <f t="shared" si="442"/>
        <v>0</v>
      </c>
      <c r="AT180" s="9">
        <f t="shared" si="442"/>
        <v>0</v>
      </c>
      <c r="AU180" s="9">
        <f t="shared" si="442"/>
        <v>0</v>
      </c>
      <c r="AV180" s="9">
        <f t="shared" si="442"/>
        <v>0</v>
      </c>
      <c r="AW180" s="9">
        <f t="shared" si="442"/>
        <v>0</v>
      </c>
      <c r="AX180" s="9">
        <f t="shared" si="442"/>
        <v>0</v>
      </c>
      <c r="AY180" s="9">
        <f t="shared" si="442"/>
        <v>0</v>
      </c>
      <c r="AZ180" s="9">
        <f t="shared" si="442"/>
        <v>0</v>
      </c>
      <c r="BA180" s="9">
        <f t="shared" si="442"/>
        <v>0</v>
      </c>
      <c r="BB180" s="9">
        <f t="shared" si="442"/>
        <v>0</v>
      </c>
      <c r="BC180" s="9">
        <f t="shared" si="442"/>
        <v>0</v>
      </c>
      <c r="BD180" s="9">
        <f t="shared" si="442"/>
        <v>0</v>
      </c>
      <c r="BE180" s="9">
        <f t="shared" si="442"/>
        <v>0</v>
      </c>
      <c r="BF180" s="9">
        <f t="shared" si="442"/>
        <v>0</v>
      </c>
      <c r="BG180" s="9">
        <f t="shared" si="442"/>
        <v>0</v>
      </c>
      <c r="BH180" s="9">
        <f t="shared" si="442"/>
        <v>0</v>
      </c>
      <c r="BI180" s="9">
        <f t="shared" si="442"/>
        <v>0</v>
      </c>
      <c r="BJ180" s="9">
        <f t="shared" si="442"/>
        <v>0</v>
      </c>
      <c r="BK180" s="9">
        <f t="shared" si="442"/>
        <v>0</v>
      </c>
      <c r="BL180" s="9">
        <f t="shared" si="442"/>
        <v>0</v>
      </c>
      <c r="BM180" s="9">
        <f t="shared" si="442"/>
        <v>0</v>
      </c>
      <c r="BN180" s="9">
        <f t="shared" si="442"/>
        <v>0</v>
      </c>
      <c r="BO180" s="9">
        <f t="shared" si="442"/>
        <v>0</v>
      </c>
      <c r="BP180" s="9">
        <f t="shared" si="442"/>
        <v>0</v>
      </c>
      <c r="BQ180" s="9">
        <f t="shared" si="442"/>
        <v>0</v>
      </c>
      <c r="BR180" s="9">
        <f t="shared" si="420"/>
        <v>0</v>
      </c>
      <c r="BS180" s="9">
        <f t="shared" si="420"/>
        <v>0</v>
      </c>
      <c r="BT180" s="9">
        <f t="shared" si="420"/>
        <v>0</v>
      </c>
      <c r="BU180" s="9">
        <f t="shared" si="420"/>
        <v>0</v>
      </c>
      <c r="BV180" s="9">
        <f t="shared" si="420"/>
        <v>0</v>
      </c>
      <c r="BW180" s="9">
        <f t="shared" si="420"/>
        <v>0</v>
      </c>
      <c r="BX180" s="9">
        <f t="shared" si="420"/>
        <v>0</v>
      </c>
      <c r="BY180" s="9">
        <f t="shared" si="420"/>
        <v>0</v>
      </c>
      <c r="BZ180" s="9">
        <f t="shared" si="420"/>
        <v>0</v>
      </c>
      <c r="CA180" s="9">
        <f t="shared" si="420"/>
        <v>0</v>
      </c>
      <c r="CB180" s="9">
        <f t="shared" si="420"/>
        <v>0</v>
      </c>
      <c r="CC180" s="9">
        <f t="shared" si="420"/>
        <v>0</v>
      </c>
      <c r="CD180" s="9">
        <f t="shared" si="420"/>
        <v>0</v>
      </c>
      <c r="CE180" s="9">
        <f t="shared" si="420"/>
        <v>0</v>
      </c>
      <c r="CF180" s="9">
        <f t="shared" ref="CF180:DR180" si="443">CF125+CF152</f>
        <v>0</v>
      </c>
      <c r="CG180" s="9">
        <f t="shared" si="443"/>
        <v>0</v>
      </c>
      <c r="CH180" s="9">
        <f t="shared" si="443"/>
        <v>0</v>
      </c>
      <c r="CI180" s="9">
        <f t="shared" si="443"/>
        <v>0</v>
      </c>
      <c r="CJ180" s="9">
        <f t="shared" si="443"/>
        <v>0</v>
      </c>
      <c r="CK180" s="9">
        <f t="shared" si="443"/>
        <v>0</v>
      </c>
      <c r="CL180" s="9">
        <f t="shared" si="443"/>
        <v>0</v>
      </c>
      <c r="CM180" s="9">
        <f t="shared" si="443"/>
        <v>0</v>
      </c>
      <c r="CN180" s="9">
        <f t="shared" si="443"/>
        <v>0</v>
      </c>
      <c r="CO180" s="9">
        <f t="shared" si="443"/>
        <v>0</v>
      </c>
      <c r="CP180" s="9">
        <f t="shared" si="443"/>
        <v>0</v>
      </c>
      <c r="CQ180" s="9">
        <f t="shared" si="443"/>
        <v>0</v>
      </c>
      <c r="CR180" s="9">
        <f t="shared" si="443"/>
        <v>0</v>
      </c>
      <c r="CS180" s="9">
        <f t="shared" si="443"/>
        <v>0</v>
      </c>
      <c r="CT180" s="9">
        <f t="shared" si="443"/>
        <v>0</v>
      </c>
      <c r="CU180" s="9">
        <f t="shared" si="443"/>
        <v>0</v>
      </c>
      <c r="CV180" s="9">
        <f t="shared" si="443"/>
        <v>0</v>
      </c>
      <c r="CW180" s="9">
        <f t="shared" si="443"/>
        <v>0</v>
      </c>
      <c r="CX180" s="9">
        <f t="shared" si="443"/>
        <v>0</v>
      </c>
      <c r="CY180" s="9">
        <f t="shared" si="443"/>
        <v>0</v>
      </c>
      <c r="CZ180" s="9">
        <f t="shared" si="443"/>
        <v>0</v>
      </c>
      <c r="DA180" s="9">
        <f t="shared" si="443"/>
        <v>0</v>
      </c>
      <c r="DB180" s="9">
        <f t="shared" si="443"/>
        <v>0</v>
      </c>
      <c r="DC180" s="9">
        <f t="shared" si="443"/>
        <v>0</v>
      </c>
      <c r="DD180" s="9">
        <f t="shared" si="443"/>
        <v>0</v>
      </c>
      <c r="DE180" s="9">
        <f t="shared" si="443"/>
        <v>0</v>
      </c>
      <c r="DF180" s="9">
        <f t="shared" si="443"/>
        <v>0</v>
      </c>
      <c r="DG180" s="9">
        <f t="shared" si="443"/>
        <v>0</v>
      </c>
      <c r="DH180" s="9">
        <f t="shared" si="443"/>
        <v>0</v>
      </c>
      <c r="DI180" s="9">
        <f t="shared" si="443"/>
        <v>0</v>
      </c>
      <c r="DJ180" s="9">
        <f t="shared" si="443"/>
        <v>0</v>
      </c>
      <c r="DK180" s="9">
        <f t="shared" si="443"/>
        <v>0</v>
      </c>
      <c r="DL180" s="9">
        <f t="shared" si="443"/>
        <v>0</v>
      </c>
      <c r="DM180" s="9">
        <f t="shared" si="443"/>
        <v>0</v>
      </c>
      <c r="DN180" s="9">
        <f t="shared" si="443"/>
        <v>0</v>
      </c>
      <c r="DO180" s="9">
        <f t="shared" si="443"/>
        <v>0</v>
      </c>
      <c r="DP180" s="9">
        <f t="shared" si="443"/>
        <v>0</v>
      </c>
      <c r="DQ180" s="9">
        <f t="shared" si="443"/>
        <v>0</v>
      </c>
      <c r="DR180" s="9">
        <f t="shared" si="443"/>
        <v>0</v>
      </c>
      <c r="DS180" s="31">
        <f t="shared" si="422"/>
        <v>0</v>
      </c>
      <c r="DT180" s="31">
        <f t="shared" si="424"/>
        <v>0</v>
      </c>
      <c r="DU180" s="9"/>
      <c r="DV180" s="8"/>
      <c r="DW180" s="7"/>
      <c r="DX180" s="7"/>
      <c r="DY180" s="7"/>
      <c r="DZ180" s="7"/>
      <c r="EA180" s="7"/>
      <c r="EB180" s="7"/>
      <c r="EC180" s="7"/>
    </row>
    <row r="181" spans="3:133">
      <c r="C181" s="57" t="str">
        <f t="shared" si="425"/>
        <v>///</v>
      </c>
      <c r="D181" s="57">
        <f t="shared" si="426"/>
        <v>0</v>
      </c>
      <c r="E181" s="62">
        <f t="shared" si="425"/>
        <v>0</v>
      </c>
      <c r="F181" s="9">
        <f t="shared" si="442"/>
        <v>0</v>
      </c>
      <c r="G181" s="9">
        <f t="shared" si="442"/>
        <v>0</v>
      </c>
      <c r="H181" s="9">
        <f t="shared" si="442"/>
        <v>0</v>
      </c>
      <c r="I181" s="9">
        <f t="shared" si="442"/>
        <v>0</v>
      </c>
      <c r="J181" s="9">
        <f t="shared" si="442"/>
        <v>0</v>
      </c>
      <c r="K181" s="9">
        <f t="shared" si="442"/>
        <v>0</v>
      </c>
      <c r="L181" s="9">
        <f t="shared" si="442"/>
        <v>0</v>
      </c>
      <c r="M181" s="9">
        <f t="shared" si="442"/>
        <v>0</v>
      </c>
      <c r="N181" s="9">
        <f t="shared" si="442"/>
        <v>0</v>
      </c>
      <c r="O181" s="9">
        <f t="shared" si="442"/>
        <v>0</v>
      </c>
      <c r="P181" s="9">
        <f t="shared" si="442"/>
        <v>0</v>
      </c>
      <c r="Q181" s="9">
        <f t="shared" si="442"/>
        <v>0</v>
      </c>
      <c r="R181" s="9">
        <f t="shared" si="442"/>
        <v>0</v>
      </c>
      <c r="S181" s="9">
        <f t="shared" si="442"/>
        <v>0</v>
      </c>
      <c r="T181" s="9">
        <f t="shared" si="442"/>
        <v>0</v>
      </c>
      <c r="U181" s="9">
        <f t="shared" si="442"/>
        <v>0</v>
      </c>
      <c r="V181" s="9">
        <f t="shared" si="442"/>
        <v>0</v>
      </c>
      <c r="W181" s="9">
        <f t="shared" si="442"/>
        <v>0</v>
      </c>
      <c r="X181" s="9">
        <f t="shared" si="442"/>
        <v>0</v>
      </c>
      <c r="Y181" s="9">
        <f t="shared" si="442"/>
        <v>0</v>
      </c>
      <c r="Z181" s="9">
        <f t="shared" si="442"/>
        <v>0</v>
      </c>
      <c r="AA181" s="9">
        <f t="shared" si="442"/>
        <v>0</v>
      </c>
      <c r="AB181" s="9">
        <f t="shared" si="442"/>
        <v>0</v>
      </c>
      <c r="AC181" s="9">
        <f t="shared" si="442"/>
        <v>0</v>
      </c>
      <c r="AD181" s="9">
        <f t="shared" si="442"/>
        <v>0</v>
      </c>
      <c r="AE181" s="9">
        <f t="shared" si="442"/>
        <v>0</v>
      </c>
      <c r="AF181" s="9">
        <f t="shared" si="442"/>
        <v>0</v>
      </c>
      <c r="AG181" s="9">
        <f t="shared" si="442"/>
        <v>0</v>
      </c>
      <c r="AH181" s="9">
        <f t="shared" si="442"/>
        <v>0</v>
      </c>
      <c r="AI181" s="9">
        <f t="shared" si="442"/>
        <v>0</v>
      </c>
      <c r="AJ181" s="9">
        <f t="shared" si="442"/>
        <v>0</v>
      </c>
      <c r="AK181" s="9">
        <f t="shared" si="442"/>
        <v>0</v>
      </c>
      <c r="AL181" s="9">
        <f t="shared" si="442"/>
        <v>0</v>
      </c>
      <c r="AM181" s="9">
        <f t="shared" si="442"/>
        <v>0</v>
      </c>
      <c r="AN181" s="9">
        <f t="shared" si="442"/>
        <v>0</v>
      </c>
      <c r="AO181" s="9">
        <f t="shared" si="442"/>
        <v>0</v>
      </c>
      <c r="AP181" s="9">
        <f t="shared" si="442"/>
        <v>0</v>
      </c>
      <c r="AQ181" s="9">
        <f t="shared" si="442"/>
        <v>0</v>
      </c>
      <c r="AR181" s="9">
        <f t="shared" si="442"/>
        <v>0</v>
      </c>
      <c r="AS181" s="9">
        <f t="shared" si="442"/>
        <v>0</v>
      </c>
      <c r="AT181" s="9">
        <f t="shared" si="442"/>
        <v>0</v>
      </c>
      <c r="AU181" s="9">
        <f t="shared" si="442"/>
        <v>0</v>
      </c>
      <c r="AV181" s="9">
        <f t="shared" si="442"/>
        <v>0</v>
      </c>
      <c r="AW181" s="9">
        <f t="shared" si="442"/>
        <v>0</v>
      </c>
      <c r="AX181" s="9">
        <f t="shared" si="442"/>
        <v>0</v>
      </c>
      <c r="AY181" s="9">
        <f t="shared" si="442"/>
        <v>0</v>
      </c>
      <c r="AZ181" s="9">
        <f t="shared" si="442"/>
        <v>0</v>
      </c>
      <c r="BA181" s="9">
        <f t="shared" si="442"/>
        <v>0</v>
      </c>
      <c r="BB181" s="9">
        <f t="shared" si="442"/>
        <v>0</v>
      </c>
      <c r="BC181" s="9">
        <f t="shared" si="442"/>
        <v>0</v>
      </c>
      <c r="BD181" s="9">
        <f t="shared" si="442"/>
        <v>0</v>
      </c>
      <c r="BE181" s="9">
        <f t="shared" si="442"/>
        <v>0</v>
      </c>
      <c r="BF181" s="9">
        <f t="shared" si="442"/>
        <v>0</v>
      </c>
      <c r="BG181" s="9">
        <f t="shared" si="442"/>
        <v>0</v>
      </c>
      <c r="BH181" s="9">
        <f t="shared" si="442"/>
        <v>0</v>
      </c>
      <c r="BI181" s="9">
        <f t="shared" si="442"/>
        <v>0</v>
      </c>
      <c r="BJ181" s="9">
        <f t="shared" si="442"/>
        <v>0</v>
      </c>
      <c r="BK181" s="9">
        <f t="shared" si="442"/>
        <v>0</v>
      </c>
      <c r="BL181" s="9">
        <f t="shared" si="442"/>
        <v>0</v>
      </c>
      <c r="BM181" s="9">
        <f t="shared" si="442"/>
        <v>0</v>
      </c>
      <c r="BN181" s="9">
        <f t="shared" si="442"/>
        <v>0</v>
      </c>
      <c r="BO181" s="9">
        <f t="shared" si="442"/>
        <v>0</v>
      </c>
      <c r="BP181" s="9">
        <f t="shared" si="442"/>
        <v>0</v>
      </c>
      <c r="BQ181" s="9">
        <f t="shared" si="442"/>
        <v>0</v>
      </c>
      <c r="BR181" s="9">
        <f t="shared" si="420"/>
        <v>0</v>
      </c>
      <c r="BS181" s="9">
        <f t="shared" si="420"/>
        <v>0</v>
      </c>
      <c r="BT181" s="9">
        <f t="shared" si="420"/>
        <v>0</v>
      </c>
      <c r="BU181" s="9">
        <f t="shared" si="420"/>
        <v>0</v>
      </c>
      <c r="BV181" s="9">
        <f t="shared" si="420"/>
        <v>0</v>
      </c>
      <c r="BW181" s="9">
        <f t="shared" si="420"/>
        <v>0</v>
      </c>
      <c r="BX181" s="9">
        <f t="shared" si="420"/>
        <v>0</v>
      </c>
      <c r="BY181" s="9">
        <f t="shared" si="420"/>
        <v>0</v>
      </c>
      <c r="BZ181" s="9">
        <f t="shared" si="420"/>
        <v>0</v>
      </c>
      <c r="CA181" s="9">
        <f t="shared" si="420"/>
        <v>0</v>
      </c>
      <c r="CB181" s="9">
        <f t="shared" si="420"/>
        <v>0</v>
      </c>
      <c r="CC181" s="9">
        <f t="shared" si="420"/>
        <v>0</v>
      </c>
      <c r="CD181" s="9">
        <f t="shared" si="420"/>
        <v>0</v>
      </c>
      <c r="CE181" s="9">
        <f t="shared" si="420"/>
        <v>0</v>
      </c>
      <c r="CF181" s="9">
        <f t="shared" ref="CF181:DR181" si="444">CF126+CF153</f>
        <v>0</v>
      </c>
      <c r="CG181" s="9">
        <f t="shared" si="444"/>
        <v>0</v>
      </c>
      <c r="CH181" s="9">
        <f t="shared" si="444"/>
        <v>0</v>
      </c>
      <c r="CI181" s="9">
        <f t="shared" si="444"/>
        <v>0</v>
      </c>
      <c r="CJ181" s="9">
        <f t="shared" si="444"/>
        <v>0</v>
      </c>
      <c r="CK181" s="9">
        <f t="shared" si="444"/>
        <v>0</v>
      </c>
      <c r="CL181" s="9">
        <f t="shared" si="444"/>
        <v>0</v>
      </c>
      <c r="CM181" s="9">
        <f t="shared" si="444"/>
        <v>0</v>
      </c>
      <c r="CN181" s="9">
        <f t="shared" si="444"/>
        <v>0</v>
      </c>
      <c r="CO181" s="9">
        <f t="shared" si="444"/>
        <v>0</v>
      </c>
      <c r="CP181" s="9">
        <f t="shared" si="444"/>
        <v>0</v>
      </c>
      <c r="CQ181" s="9">
        <f t="shared" si="444"/>
        <v>0</v>
      </c>
      <c r="CR181" s="9">
        <f t="shared" si="444"/>
        <v>0</v>
      </c>
      <c r="CS181" s="9">
        <f t="shared" si="444"/>
        <v>0</v>
      </c>
      <c r="CT181" s="9">
        <f t="shared" si="444"/>
        <v>0</v>
      </c>
      <c r="CU181" s="9">
        <f t="shared" si="444"/>
        <v>0</v>
      </c>
      <c r="CV181" s="9">
        <f t="shared" si="444"/>
        <v>0</v>
      </c>
      <c r="CW181" s="9">
        <f t="shared" si="444"/>
        <v>0</v>
      </c>
      <c r="CX181" s="9">
        <f t="shared" si="444"/>
        <v>0</v>
      </c>
      <c r="CY181" s="9">
        <f t="shared" si="444"/>
        <v>0</v>
      </c>
      <c r="CZ181" s="9">
        <f t="shared" si="444"/>
        <v>0</v>
      </c>
      <c r="DA181" s="9">
        <f t="shared" si="444"/>
        <v>0</v>
      </c>
      <c r="DB181" s="9">
        <f t="shared" si="444"/>
        <v>0</v>
      </c>
      <c r="DC181" s="9">
        <f t="shared" si="444"/>
        <v>0</v>
      </c>
      <c r="DD181" s="9">
        <f t="shared" si="444"/>
        <v>0</v>
      </c>
      <c r="DE181" s="9">
        <f t="shared" si="444"/>
        <v>0</v>
      </c>
      <c r="DF181" s="9">
        <f t="shared" si="444"/>
        <v>0</v>
      </c>
      <c r="DG181" s="9">
        <f t="shared" si="444"/>
        <v>0</v>
      </c>
      <c r="DH181" s="9">
        <f t="shared" si="444"/>
        <v>0</v>
      </c>
      <c r="DI181" s="9">
        <f t="shared" si="444"/>
        <v>0</v>
      </c>
      <c r="DJ181" s="9">
        <f t="shared" si="444"/>
        <v>0</v>
      </c>
      <c r="DK181" s="9">
        <f t="shared" si="444"/>
        <v>0</v>
      </c>
      <c r="DL181" s="9">
        <f t="shared" si="444"/>
        <v>0</v>
      </c>
      <c r="DM181" s="9">
        <f t="shared" si="444"/>
        <v>0</v>
      </c>
      <c r="DN181" s="9">
        <f t="shared" si="444"/>
        <v>0</v>
      </c>
      <c r="DO181" s="9">
        <f t="shared" si="444"/>
        <v>0</v>
      </c>
      <c r="DP181" s="9">
        <f t="shared" si="444"/>
        <v>0</v>
      </c>
      <c r="DQ181" s="9">
        <f t="shared" si="444"/>
        <v>0</v>
      </c>
      <c r="DR181" s="9">
        <f t="shared" si="444"/>
        <v>0</v>
      </c>
      <c r="DS181" s="31">
        <f t="shared" si="422"/>
        <v>0</v>
      </c>
      <c r="DT181" s="31">
        <f t="shared" si="424"/>
        <v>0</v>
      </c>
      <c r="DU181" s="9"/>
      <c r="DV181" s="8"/>
      <c r="DW181" s="7"/>
      <c r="DX181" s="7"/>
      <c r="DY181" s="7"/>
      <c r="DZ181" s="7"/>
      <c r="EA181" s="7"/>
      <c r="EB181" s="7"/>
      <c r="EC181" s="7"/>
    </row>
    <row r="182" spans="3:133">
      <c r="C182" s="57" t="str">
        <f t="shared" si="425"/>
        <v>///</v>
      </c>
      <c r="D182" s="57">
        <f t="shared" si="426"/>
        <v>0</v>
      </c>
      <c r="E182" s="62">
        <f t="shared" si="425"/>
        <v>0</v>
      </c>
      <c r="F182" s="9">
        <f t="shared" si="442"/>
        <v>0</v>
      </c>
      <c r="G182" s="9">
        <f t="shared" si="442"/>
        <v>0</v>
      </c>
      <c r="H182" s="9">
        <f t="shared" si="442"/>
        <v>0</v>
      </c>
      <c r="I182" s="9">
        <f t="shared" si="442"/>
        <v>0</v>
      </c>
      <c r="J182" s="9">
        <f t="shared" si="442"/>
        <v>0</v>
      </c>
      <c r="K182" s="9">
        <f t="shared" si="442"/>
        <v>0</v>
      </c>
      <c r="L182" s="9">
        <f t="shared" si="442"/>
        <v>0</v>
      </c>
      <c r="M182" s="9">
        <f t="shared" si="442"/>
        <v>0</v>
      </c>
      <c r="N182" s="9">
        <f t="shared" si="442"/>
        <v>0</v>
      </c>
      <c r="O182" s="9">
        <f t="shared" si="442"/>
        <v>0</v>
      </c>
      <c r="P182" s="9">
        <f t="shared" si="442"/>
        <v>0</v>
      </c>
      <c r="Q182" s="9">
        <f t="shared" si="442"/>
        <v>0</v>
      </c>
      <c r="R182" s="9">
        <f t="shared" si="442"/>
        <v>0</v>
      </c>
      <c r="S182" s="9">
        <f t="shared" si="442"/>
        <v>0</v>
      </c>
      <c r="T182" s="9">
        <f t="shared" si="442"/>
        <v>0</v>
      </c>
      <c r="U182" s="9">
        <f t="shared" si="442"/>
        <v>0</v>
      </c>
      <c r="V182" s="9">
        <f t="shared" si="442"/>
        <v>0</v>
      </c>
      <c r="W182" s="9">
        <f t="shared" si="442"/>
        <v>0</v>
      </c>
      <c r="X182" s="9">
        <f t="shared" si="442"/>
        <v>0</v>
      </c>
      <c r="Y182" s="9">
        <f t="shared" si="442"/>
        <v>0</v>
      </c>
      <c r="Z182" s="9">
        <f t="shared" si="442"/>
        <v>0</v>
      </c>
      <c r="AA182" s="9">
        <f t="shared" si="442"/>
        <v>0</v>
      </c>
      <c r="AB182" s="9">
        <f t="shared" si="442"/>
        <v>0</v>
      </c>
      <c r="AC182" s="9">
        <f t="shared" si="442"/>
        <v>0</v>
      </c>
      <c r="AD182" s="9">
        <f t="shared" si="442"/>
        <v>0</v>
      </c>
      <c r="AE182" s="9">
        <f t="shared" si="442"/>
        <v>0</v>
      </c>
      <c r="AF182" s="9">
        <f t="shared" si="442"/>
        <v>0</v>
      </c>
      <c r="AG182" s="9">
        <f t="shared" si="442"/>
        <v>0</v>
      </c>
      <c r="AH182" s="9">
        <f t="shared" si="442"/>
        <v>0</v>
      </c>
      <c r="AI182" s="9">
        <f t="shared" si="442"/>
        <v>0</v>
      </c>
      <c r="AJ182" s="9">
        <f t="shared" si="442"/>
        <v>0</v>
      </c>
      <c r="AK182" s="9">
        <f t="shared" si="442"/>
        <v>0</v>
      </c>
      <c r="AL182" s="9">
        <f t="shared" si="442"/>
        <v>0</v>
      </c>
      <c r="AM182" s="9">
        <f t="shared" si="442"/>
        <v>0</v>
      </c>
      <c r="AN182" s="9">
        <f t="shared" si="442"/>
        <v>0</v>
      </c>
      <c r="AO182" s="9">
        <f t="shared" si="442"/>
        <v>0</v>
      </c>
      <c r="AP182" s="9">
        <f t="shared" si="442"/>
        <v>0</v>
      </c>
      <c r="AQ182" s="9">
        <f t="shared" si="442"/>
        <v>0</v>
      </c>
      <c r="AR182" s="9">
        <f t="shared" si="442"/>
        <v>0</v>
      </c>
      <c r="AS182" s="9">
        <f t="shared" si="442"/>
        <v>0</v>
      </c>
      <c r="AT182" s="9">
        <f t="shared" si="442"/>
        <v>0</v>
      </c>
      <c r="AU182" s="9">
        <f t="shared" si="442"/>
        <v>0</v>
      </c>
      <c r="AV182" s="9">
        <f t="shared" si="442"/>
        <v>0</v>
      </c>
      <c r="AW182" s="9">
        <f t="shared" si="442"/>
        <v>0</v>
      </c>
      <c r="AX182" s="9">
        <f t="shared" si="442"/>
        <v>0</v>
      </c>
      <c r="AY182" s="9">
        <f t="shared" si="442"/>
        <v>0</v>
      </c>
      <c r="AZ182" s="9">
        <f t="shared" si="442"/>
        <v>0</v>
      </c>
      <c r="BA182" s="9">
        <f t="shared" si="442"/>
        <v>0</v>
      </c>
      <c r="BB182" s="9">
        <f t="shared" si="442"/>
        <v>0</v>
      </c>
      <c r="BC182" s="9">
        <f t="shared" si="442"/>
        <v>0</v>
      </c>
      <c r="BD182" s="9">
        <f t="shared" si="442"/>
        <v>0</v>
      </c>
      <c r="BE182" s="9">
        <f t="shared" si="442"/>
        <v>0</v>
      </c>
      <c r="BF182" s="9">
        <f t="shared" si="442"/>
        <v>0</v>
      </c>
      <c r="BG182" s="9">
        <f t="shared" si="442"/>
        <v>0</v>
      </c>
      <c r="BH182" s="9">
        <f t="shared" si="442"/>
        <v>0</v>
      </c>
      <c r="BI182" s="9">
        <f t="shared" si="442"/>
        <v>0</v>
      </c>
      <c r="BJ182" s="9">
        <f t="shared" si="442"/>
        <v>0</v>
      </c>
      <c r="BK182" s="9">
        <f t="shared" si="442"/>
        <v>0</v>
      </c>
      <c r="BL182" s="9">
        <f t="shared" si="442"/>
        <v>0</v>
      </c>
      <c r="BM182" s="9">
        <f t="shared" si="442"/>
        <v>0</v>
      </c>
      <c r="BN182" s="9">
        <f t="shared" si="442"/>
        <v>0</v>
      </c>
      <c r="BO182" s="9">
        <f t="shared" si="442"/>
        <v>0</v>
      </c>
      <c r="BP182" s="9">
        <f t="shared" si="442"/>
        <v>0</v>
      </c>
      <c r="BQ182" s="9">
        <f t="shared" si="442"/>
        <v>0</v>
      </c>
      <c r="BR182" s="9">
        <f t="shared" si="420"/>
        <v>0</v>
      </c>
      <c r="BS182" s="9">
        <f t="shared" si="420"/>
        <v>0</v>
      </c>
      <c r="BT182" s="9">
        <f t="shared" si="420"/>
        <v>0</v>
      </c>
      <c r="BU182" s="9">
        <f t="shared" si="420"/>
        <v>0</v>
      </c>
      <c r="BV182" s="9">
        <f t="shared" si="420"/>
        <v>0</v>
      </c>
      <c r="BW182" s="9">
        <f t="shared" si="420"/>
        <v>0</v>
      </c>
      <c r="BX182" s="9">
        <f t="shared" si="420"/>
        <v>0</v>
      </c>
      <c r="BY182" s="9">
        <f t="shared" si="420"/>
        <v>0</v>
      </c>
      <c r="BZ182" s="9">
        <f t="shared" si="420"/>
        <v>0</v>
      </c>
      <c r="CA182" s="9">
        <f t="shared" si="420"/>
        <v>0</v>
      </c>
      <c r="CB182" s="9">
        <f t="shared" si="420"/>
        <v>0</v>
      </c>
      <c r="CC182" s="9">
        <f t="shared" si="420"/>
        <v>0</v>
      </c>
      <c r="CD182" s="9">
        <f t="shared" si="420"/>
        <v>0</v>
      </c>
      <c r="CE182" s="9">
        <f t="shared" si="420"/>
        <v>0</v>
      </c>
      <c r="CF182" s="9">
        <f t="shared" ref="CF182:DR182" si="445">CF127+CF154</f>
        <v>0</v>
      </c>
      <c r="CG182" s="9">
        <f t="shared" si="445"/>
        <v>0</v>
      </c>
      <c r="CH182" s="9">
        <f t="shared" si="445"/>
        <v>0</v>
      </c>
      <c r="CI182" s="9">
        <f t="shared" si="445"/>
        <v>0</v>
      </c>
      <c r="CJ182" s="9">
        <f t="shared" si="445"/>
        <v>0</v>
      </c>
      <c r="CK182" s="9">
        <f t="shared" si="445"/>
        <v>0</v>
      </c>
      <c r="CL182" s="9">
        <f t="shared" si="445"/>
        <v>0</v>
      </c>
      <c r="CM182" s="9">
        <f t="shared" si="445"/>
        <v>0</v>
      </c>
      <c r="CN182" s="9">
        <f t="shared" si="445"/>
        <v>0</v>
      </c>
      <c r="CO182" s="9">
        <f t="shared" si="445"/>
        <v>0</v>
      </c>
      <c r="CP182" s="9">
        <f t="shared" si="445"/>
        <v>0</v>
      </c>
      <c r="CQ182" s="9">
        <f t="shared" si="445"/>
        <v>0</v>
      </c>
      <c r="CR182" s="9">
        <f t="shared" si="445"/>
        <v>0</v>
      </c>
      <c r="CS182" s="9">
        <f t="shared" si="445"/>
        <v>0</v>
      </c>
      <c r="CT182" s="9">
        <f t="shared" si="445"/>
        <v>0</v>
      </c>
      <c r="CU182" s="9">
        <f t="shared" si="445"/>
        <v>0</v>
      </c>
      <c r="CV182" s="9">
        <f t="shared" si="445"/>
        <v>0</v>
      </c>
      <c r="CW182" s="9">
        <f t="shared" si="445"/>
        <v>0</v>
      </c>
      <c r="CX182" s="9">
        <f t="shared" si="445"/>
        <v>0</v>
      </c>
      <c r="CY182" s="9">
        <f t="shared" si="445"/>
        <v>0</v>
      </c>
      <c r="CZ182" s="9">
        <f t="shared" si="445"/>
        <v>0</v>
      </c>
      <c r="DA182" s="9">
        <f t="shared" si="445"/>
        <v>0</v>
      </c>
      <c r="DB182" s="9">
        <f t="shared" si="445"/>
        <v>0</v>
      </c>
      <c r="DC182" s="9">
        <f t="shared" si="445"/>
        <v>0</v>
      </c>
      <c r="DD182" s="9">
        <f t="shared" si="445"/>
        <v>0</v>
      </c>
      <c r="DE182" s="9">
        <f t="shared" si="445"/>
        <v>0</v>
      </c>
      <c r="DF182" s="9">
        <f t="shared" si="445"/>
        <v>0</v>
      </c>
      <c r="DG182" s="9">
        <f t="shared" si="445"/>
        <v>0</v>
      </c>
      <c r="DH182" s="9">
        <f t="shared" si="445"/>
        <v>0</v>
      </c>
      <c r="DI182" s="9">
        <f t="shared" si="445"/>
        <v>0</v>
      </c>
      <c r="DJ182" s="9">
        <f t="shared" si="445"/>
        <v>0</v>
      </c>
      <c r="DK182" s="9">
        <f t="shared" si="445"/>
        <v>0</v>
      </c>
      <c r="DL182" s="9">
        <f t="shared" si="445"/>
        <v>0</v>
      </c>
      <c r="DM182" s="9">
        <f t="shared" si="445"/>
        <v>0</v>
      </c>
      <c r="DN182" s="9">
        <f t="shared" si="445"/>
        <v>0</v>
      </c>
      <c r="DO182" s="9">
        <f t="shared" si="445"/>
        <v>0</v>
      </c>
      <c r="DP182" s="9">
        <f t="shared" si="445"/>
        <v>0</v>
      </c>
      <c r="DQ182" s="9">
        <f t="shared" si="445"/>
        <v>0</v>
      </c>
      <c r="DR182" s="9">
        <f t="shared" si="445"/>
        <v>0</v>
      </c>
      <c r="DS182" s="31">
        <f t="shared" si="422"/>
        <v>0</v>
      </c>
      <c r="DT182" s="31">
        <f t="shared" si="424"/>
        <v>0</v>
      </c>
      <c r="DU182" s="9"/>
      <c r="DV182" s="8"/>
      <c r="DW182" s="7"/>
      <c r="DX182" s="7"/>
      <c r="DY182" s="7"/>
      <c r="DZ182" s="7"/>
      <c r="EA182" s="7"/>
      <c r="EB182" s="7"/>
      <c r="EC182" s="7"/>
    </row>
    <row r="183" spans="3:133">
      <c r="C183" s="57" t="str">
        <f t="shared" si="425"/>
        <v>///</v>
      </c>
      <c r="D183" s="57">
        <f t="shared" si="426"/>
        <v>0</v>
      </c>
      <c r="E183" s="62">
        <f t="shared" si="425"/>
        <v>0</v>
      </c>
      <c r="F183" s="9">
        <f t="shared" si="442"/>
        <v>0</v>
      </c>
      <c r="G183" s="9">
        <f t="shared" si="442"/>
        <v>0</v>
      </c>
      <c r="H183" s="9">
        <f t="shared" si="442"/>
        <v>0</v>
      </c>
      <c r="I183" s="9">
        <f t="shared" si="442"/>
        <v>0</v>
      </c>
      <c r="J183" s="9">
        <f t="shared" si="442"/>
        <v>0</v>
      </c>
      <c r="K183" s="9">
        <f t="shared" si="442"/>
        <v>0</v>
      </c>
      <c r="L183" s="9">
        <f t="shared" si="442"/>
        <v>0</v>
      </c>
      <c r="M183" s="9">
        <f t="shared" si="442"/>
        <v>0</v>
      </c>
      <c r="N183" s="9">
        <f t="shared" si="442"/>
        <v>0</v>
      </c>
      <c r="O183" s="9">
        <f t="shared" si="442"/>
        <v>0</v>
      </c>
      <c r="P183" s="9">
        <f t="shared" si="442"/>
        <v>0</v>
      </c>
      <c r="Q183" s="9">
        <f t="shared" si="442"/>
        <v>0</v>
      </c>
      <c r="R183" s="9">
        <f t="shared" si="442"/>
        <v>0</v>
      </c>
      <c r="S183" s="9">
        <f t="shared" si="442"/>
        <v>0</v>
      </c>
      <c r="T183" s="9">
        <f t="shared" si="442"/>
        <v>0</v>
      </c>
      <c r="U183" s="9">
        <f t="shared" si="442"/>
        <v>0</v>
      </c>
      <c r="V183" s="9">
        <f t="shared" si="442"/>
        <v>0</v>
      </c>
      <c r="W183" s="9">
        <f t="shared" si="442"/>
        <v>0</v>
      </c>
      <c r="X183" s="9">
        <f t="shared" si="442"/>
        <v>0</v>
      </c>
      <c r="Y183" s="9">
        <f t="shared" si="442"/>
        <v>0</v>
      </c>
      <c r="Z183" s="9">
        <f t="shared" si="442"/>
        <v>0</v>
      </c>
      <c r="AA183" s="9">
        <f t="shared" si="442"/>
        <v>0</v>
      </c>
      <c r="AB183" s="9">
        <f t="shared" si="442"/>
        <v>0</v>
      </c>
      <c r="AC183" s="9">
        <f t="shared" si="442"/>
        <v>0</v>
      </c>
      <c r="AD183" s="9">
        <f t="shared" si="442"/>
        <v>0</v>
      </c>
      <c r="AE183" s="9">
        <f t="shared" si="442"/>
        <v>0</v>
      </c>
      <c r="AF183" s="9">
        <f t="shared" si="442"/>
        <v>0</v>
      </c>
      <c r="AG183" s="9">
        <f t="shared" si="442"/>
        <v>0</v>
      </c>
      <c r="AH183" s="9">
        <f t="shared" si="442"/>
        <v>0</v>
      </c>
      <c r="AI183" s="9">
        <f t="shared" si="442"/>
        <v>0</v>
      </c>
      <c r="AJ183" s="9">
        <f t="shared" si="442"/>
        <v>0</v>
      </c>
      <c r="AK183" s="9">
        <f t="shared" si="442"/>
        <v>0</v>
      </c>
      <c r="AL183" s="9">
        <f t="shared" si="442"/>
        <v>0</v>
      </c>
      <c r="AM183" s="9">
        <f t="shared" si="442"/>
        <v>0</v>
      </c>
      <c r="AN183" s="9">
        <f t="shared" si="442"/>
        <v>0</v>
      </c>
      <c r="AO183" s="9">
        <f t="shared" si="442"/>
        <v>0</v>
      </c>
      <c r="AP183" s="9">
        <f t="shared" si="442"/>
        <v>0</v>
      </c>
      <c r="AQ183" s="9">
        <f t="shared" si="442"/>
        <v>0</v>
      </c>
      <c r="AR183" s="9">
        <f t="shared" si="442"/>
        <v>0</v>
      </c>
      <c r="AS183" s="9">
        <f t="shared" si="442"/>
        <v>0</v>
      </c>
      <c r="AT183" s="9">
        <f t="shared" si="442"/>
        <v>0</v>
      </c>
      <c r="AU183" s="9">
        <f t="shared" si="442"/>
        <v>0</v>
      </c>
      <c r="AV183" s="9">
        <f t="shared" si="442"/>
        <v>0</v>
      </c>
      <c r="AW183" s="9">
        <f t="shared" si="442"/>
        <v>0</v>
      </c>
      <c r="AX183" s="9">
        <f t="shared" si="442"/>
        <v>0</v>
      </c>
      <c r="AY183" s="9">
        <f t="shared" si="442"/>
        <v>0</v>
      </c>
      <c r="AZ183" s="9">
        <f t="shared" si="442"/>
        <v>0</v>
      </c>
      <c r="BA183" s="9">
        <f t="shared" si="442"/>
        <v>0</v>
      </c>
      <c r="BB183" s="9">
        <f t="shared" si="442"/>
        <v>0</v>
      </c>
      <c r="BC183" s="9">
        <f t="shared" si="442"/>
        <v>0</v>
      </c>
      <c r="BD183" s="9">
        <f t="shared" si="442"/>
        <v>0</v>
      </c>
      <c r="BE183" s="9">
        <f t="shared" si="442"/>
        <v>0</v>
      </c>
      <c r="BF183" s="9">
        <f t="shared" si="442"/>
        <v>0</v>
      </c>
      <c r="BG183" s="9">
        <f t="shared" si="442"/>
        <v>0</v>
      </c>
      <c r="BH183" s="9">
        <f t="shared" si="442"/>
        <v>0</v>
      </c>
      <c r="BI183" s="9">
        <f t="shared" si="442"/>
        <v>0</v>
      </c>
      <c r="BJ183" s="9">
        <f t="shared" si="442"/>
        <v>0</v>
      </c>
      <c r="BK183" s="9">
        <f t="shared" si="442"/>
        <v>0</v>
      </c>
      <c r="BL183" s="9">
        <f t="shared" si="442"/>
        <v>0</v>
      </c>
      <c r="BM183" s="9">
        <f t="shared" si="442"/>
        <v>0</v>
      </c>
      <c r="BN183" s="9">
        <f t="shared" si="442"/>
        <v>0</v>
      </c>
      <c r="BO183" s="9">
        <f t="shared" si="442"/>
        <v>0</v>
      </c>
      <c r="BP183" s="9">
        <f t="shared" si="442"/>
        <v>0</v>
      </c>
      <c r="BQ183" s="9">
        <f t="shared" ref="BQ183" si="446">BQ128+BQ155</f>
        <v>0</v>
      </c>
      <c r="BR183" s="9">
        <f t="shared" si="420"/>
        <v>0</v>
      </c>
      <c r="BS183" s="9">
        <f t="shared" si="420"/>
        <v>0</v>
      </c>
      <c r="BT183" s="9">
        <f t="shared" si="420"/>
        <v>0</v>
      </c>
      <c r="BU183" s="9">
        <f t="shared" si="420"/>
        <v>0</v>
      </c>
      <c r="BV183" s="9">
        <f t="shared" si="420"/>
        <v>0</v>
      </c>
      <c r="BW183" s="9">
        <f t="shared" si="420"/>
        <v>0</v>
      </c>
      <c r="BX183" s="9">
        <f t="shared" si="420"/>
        <v>0</v>
      </c>
      <c r="BY183" s="9">
        <f t="shared" si="420"/>
        <v>0</v>
      </c>
      <c r="BZ183" s="9">
        <f t="shared" si="420"/>
        <v>0</v>
      </c>
      <c r="CA183" s="9">
        <f t="shared" si="420"/>
        <v>0</v>
      </c>
      <c r="CB183" s="9">
        <f t="shared" si="420"/>
        <v>0</v>
      </c>
      <c r="CC183" s="9">
        <f t="shared" si="420"/>
        <v>0</v>
      </c>
      <c r="CD183" s="9">
        <f t="shared" si="420"/>
        <v>0</v>
      </c>
      <c r="CE183" s="9">
        <f t="shared" si="420"/>
        <v>0</v>
      </c>
      <c r="CF183" s="9">
        <f t="shared" ref="CF183:DR183" si="447">CF128+CF155</f>
        <v>0</v>
      </c>
      <c r="CG183" s="9">
        <f t="shared" si="447"/>
        <v>0</v>
      </c>
      <c r="CH183" s="9">
        <f t="shared" si="447"/>
        <v>0</v>
      </c>
      <c r="CI183" s="9">
        <f t="shared" si="447"/>
        <v>0</v>
      </c>
      <c r="CJ183" s="9">
        <f t="shared" si="447"/>
        <v>0</v>
      </c>
      <c r="CK183" s="9">
        <f t="shared" si="447"/>
        <v>0</v>
      </c>
      <c r="CL183" s="9">
        <f t="shared" si="447"/>
        <v>0</v>
      </c>
      <c r="CM183" s="9">
        <f t="shared" si="447"/>
        <v>0</v>
      </c>
      <c r="CN183" s="9">
        <f t="shared" si="447"/>
        <v>0</v>
      </c>
      <c r="CO183" s="9">
        <f t="shared" si="447"/>
        <v>0</v>
      </c>
      <c r="CP183" s="9">
        <f t="shared" si="447"/>
        <v>0</v>
      </c>
      <c r="CQ183" s="9">
        <f t="shared" si="447"/>
        <v>0</v>
      </c>
      <c r="CR183" s="9">
        <f t="shared" si="447"/>
        <v>0</v>
      </c>
      <c r="CS183" s="9">
        <f t="shared" si="447"/>
        <v>0</v>
      </c>
      <c r="CT183" s="9">
        <f t="shared" si="447"/>
        <v>0</v>
      </c>
      <c r="CU183" s="9">
        <f t="shared" si="447"/>
        <v>0</v>
      </c>
      <c r="CV183" s="9">
        <f t="shared" si="447"/>
        <v>0</v>
      </c>
      <c r="CW183" s="9">
        <f t="shared" si="447"/>
        <v>0</v>
      </c>
      <c r="CX183" s="9">
        <f t="shared" si="447"/>
        <v>0</v>
      </c>
      <c r="CY183" s="9">
        <f t="shared" si="447"/>
        <v>0</v>
      </c>
      <c r="CZ183" s="9">
        <f t="shared" si="447"/>
        <v>0</v>
      </c>
      <c r="DA183" s="9">
        <f t="shared" si="447"/>
        <v>0</v>
      </c>
      <c r="DB183" s="9">
        <f t="shared" si="447"/>
        <v>0</v>
      </c>
      <c r="DC183" s="9">
        <f t="shared" si="447"/>
        <v>0</v>
      </c>
      <c r="DD183" s="9">
        <f t="shared" si="447"/>
        <v>0</v>
      </c>
      <c r="DE183" s="9">
        <f t="shared" si="447"/>
        <v>0</v>
      </c>
      <c r="DF183" s="9">
        <f t="shared" si="447"/>
        <v>0</v>
      </c>
      <c r="DG183" s="9">
        <f t="shared" si="447"/>
        <v>0</v>
      </c>
      <c r="DH183" s="9">
        <f t="shared" si="447"/>
        <v>0</v>
      </c>
      <c r="DI183" s="9">
        <f t="shared" si="447"/>
        <v>0</v>
      </c>
      <c r="DJ183" s="9">
        <f t="shared" si="447"/>
        <v>0</v>
      </c>
      <c r="DK183" s="9">
        <f t="shared" si="447"/>
        <v>0</v>
      </c>
      <c r="DL183" s="9">
        <f t="shared" si="447"/>
        <v>0</v>
      </c>
      <c r="DM183" s="9">
        <f t="shared" si="447"/>
        <v>0</v>
      </c>
      <c r="DN183" s="9">
        <f t="shared" si="447"/>
        <v>0</v>
      </c>
      <c r="DO183" s="9">
        <f t="shared" si="447"/>
        <v>0</v>
      </c>
      <c r="DP183" s="9">
        <f t="shared" si="447"/>
        <v>0</v>
      </c>
      <c r="DQ183" s="9">
        <f t="shared" si="447"/>
        <v>0</v>
      </c>
      <c r="DR183" s="9">
        <f t="shared" si="447"/>
        <v>0</v>
      </c>
      <c r="DS183" s="31">
        <f t="shared" si="422"/>
        <v>0</v>
      </c>
      <c r="DT183" s="31">
        <f t="shared" si="424"/>
        <v>0</v>
      </c>
      <c r="DU183" s="9"/>
      <c r="DV183" s="8"/>
      <c r="DW183" s="7"/>
      <c r="DX183" s="7"/>
      <c r="DY183" s="7"/>
      <c r="DZ183" s="7"/>
      <c r="EA183" s="7"/>
      <c r="EB183" s="7"/>
      <c r="EC183" s="7"/>
    </row>
    <row r="184" spans="3:133">
      <c r="C184" s="57" t="str">
        <f t="shared" si="425"/>
        <v>///</v>
      </c>
      <c r="D184" s="57">
        <f t="shared" si="426"/>
        <v>0</v>
      </c>
      <c r="E184" s="62">
        <f t="shared" si="425"/>
        <v>0</v>
      </c>
      <c r="F184" s="9">
        <f t="shared" ref="F184:BQ187" si="448">F129+F156</f>
        <v>0</v>
      </c>
      <c r="G184" s="9">
        <f t="shared" si="448"/>
        <v>0</v>
      </c>
      <c r="H184" s="9">
        <f t="shared" si="448"/>
        <v>0</v>
      </c>
      <c r="I184" s="9">
        <f t="shared" si="448"/>
        <v>0</v>
      </c>
      <c r="J184" s="9">
        <f t="shared" si="448"/>
        <v>0</v>
      </c>
      <c r="K184" s="9">
        <f t="shared" si="448"/>
        <v>0</v>
      </c>
      <c r="L184" s="9">
        <f t="shared" si="448"/>
        <v>0</v>
      </c>
      <c r="M184" s="9">
        <f t="shared" si="448"/>
        <v>0</v>
      </c>
      <c r="N184" s="9">
        <f t="shared" si="448"/>
        <v>0</v>
      </c>
      <c r="O184" s="9">
        <f t="shared" si="448"/>
        <v>0</v>
      </c>
      <c r="P184" s="9">
        <f t="shared" si="448"/>
        <v>0</v>
      </c>
      <c r="Q184" s="9">
        <f t="shared" si="448"/>
        <v>0</v>
      </c>
      <c r="R184" s="9">
        <f t="shared" si="448"/>
        <v>0</v>
      </c>
      <c r="S184" s="9">
        <f t="shared" si="448"/>
        <v>0</v>
      </c>
      <c r="T184" s="9">
        <f t="shared" si="448"/>
        <v>0</v>
      </c>
      <c r="U184" s="9">
        <f t="shared" si="448"/>
        <v>0</v>
      </c>
      <c r="V184" s="9">
        <f t="shared" si="448"/>
        <v>0</v>
      </c>
      <c r="W184" s="9">
        <f t="shared" si="448"/>
        <v>0</v>
      </c>
      <c r="X184" s="9">
        <f t="shared" si="448"/>
        <v>0</v>
      </c>
      <c r="Y184" s="9">
        <f t="shared" si="448"/>
        <v>0</v>
      </c>
      <c r="Z184" s="9">
        <f t="shared" si="448"/>
        <v>0</v>
      </c>
      <c r="AA184" s="9">
        <f t="shared" si="448"/>
        <v>0</v>
      </c>
      <c r="AB184" s="9">
        <f t="shared" si="448"/>
        <v>0</v>
      </c>
      <c r="AC184" s="9">
        <f t="shared" si="448"/>
        <v>0</v>
      </c>
      <c r="AD184" s="9">
        <f t="shared" si="448"/>
        <v>0</v>
      </c>
      <c r="AE184" s="9">
        <f t="shared" si="448"/>
        <v>0</v>
      </c>
      <c r="AF184" s="9">
        <f t="shared" si="448"/>
        <v>0</v>
      </c>
      <c r="AG184" s="9">
        <f t="shared" si="448"/>
        <v>0</v>
      </c>
      <c r="AH184" s="9">
        <f t="shared" si="448"/>
        <v>0</v>
      </c>
      <c r="AI184" s="9">
        <f t="shared" si="448"/>
        <v>0</v>
      </c>
      <c r="AJ184" s="9">
        <f t="shared" si="448"/>
        <v>0</v>
      </c>
      <c r="AK184" s="9">
        <f t="shared" si="448"/>
        <v>0</v>
      </c>
      <c r="AL184" s="9">
        <f t="shared" si="448"/>
        <v>0</v>
      </c>
      <c r="AM184" s="9">
        <f t="shared" si="448"/>
        <v>0</v>
      </c>
      <c r="AN184" s="9">
        <f t="shared" si="448"/>
        <v>0</v>
      </c>
      <c r="AO184" s="9">
        <f t="shared" si="448"/>
        <v>0</v>
      </c>
      <c r="AP184" s="9">
        <f t="shared" si="448"/>
        <v>0</v>
      </c>
      <c r="AQ184" s="9">
        <f t="shared" si="448"/>
        <v>0</v>
      </c>
      <c r="AR184" s="9">
        <f t="shared" si="448"/>
        <v>0</v>
      </c>
      <c r="AS184" s="9">
        <f t="shared" si="448"/>
        <v>0</v>
      </c>
      <c r="AT184" s="9">
        <f t="shared" si="448"/>
        <v>0</v>
      </c>
      <c r="AU184" s="9">
        <f t="shared" si="448"/>
        <v>0</v>
      </c>
      <c r="AV184" s="9">
        <f t="shared" si="448"/>
        <v>0</v>
      </c>
      <c r="AW184" s="9">
        <f t="shared" si="448"/>
        <v>0</v>
      </c>
      <c r="AX184" s="9">
        <f t="shared" si="448"/>
        <v>0</v>
      </c>
      <c r="AY184" s="9">
        <f t="shared" si="448"/>
        <v>0</v>
      </c>
      <c r="AZ184" s="9">
        <f t="shared" si="448"/>
        <v>0</v>
      </c>
      <c r="BA184" s="9">
        <f t="shared" si="448"/>
        <v>0</v>
      </c>
      <c r="BB184" s="9">
        <f t="shared" si="448"/>
        <v>0</v>
      </c>
      <c r="BC184" s="9">
        <f t="shared" si="448"/>
        <v>0</v>
      </c>
      <c r="BD184" s="9">
        <f t="shared" si="448"/>
        <v>0</v>
      </c>
      <c r="BE184" s="9">
        <f t="shared" si="448"/>
        <v>0</v>
      </c>
      <c r="BF184" s="9">
        <f t="shared" si="448"/>
        <v>0</v>
      </c>
      <c r="BG184" s="9">
        <f t="shared" si="448"/>
        <v>0</v>
      </c>
      <c r="BH184" s="9">
        <f t="shared" si="448"/>
        <v>0</v>
      </c>
      <c r="BI184" s="9">
        <f t="shared" si="448"/>
        <v>0</v>
      </c>
      <c r="BJ184" s="9">
        <f t="shared" si="448"/>
        <v>0</v>
      </c>
      <c r="BK184" s="9">
        <f t="shared" si="448"/>
        <v>0</v>
      </c>
      <c r="BL184" s="9">
        <f t="shared" si="448"/>
        <v>0</v>
      </c>
      <c r="BM184" s="9">
        <f t="shared" si="448"/>
        <v>0</v>
      </c>
      <c r="BN184" s="9">
        <f t="shared" si="448"/>
        <v>0</v>
      </c>
      <c r="BO184" s="9">
        <f t="shared" si="448"/>
        <v>0</v>
      </c>
      <c r="BP184" s="9">
        <f t="shared" si="448"/>
        <v>0</v>
      </c>
      <c r="BQ184" s="9">
        <f t="shared" si="448"/>
        <v>0</v>
      </c>
      <c r="BR184" s="9">
        <f t="shared" ref="BR184:CE191" si="449">BR129+BR156</f>
        <v>0</v>
      </c>
      <c r="BS184" s="9">
        <f t="shared" si="449"/>
        <v>0</v>
      </c>
      <c r="BT184" s="9">
        <f t="shared" si="449"/>
        <v>0</v>
      </c>
      <c r="BU184" s="9">
        <f t="shared" si="449"/>
        <v>0</v>
      </c>
      <c r="BV184" s="9">
        <f t="shared" si="449"/>
        <v>0</v>
      </c>
      <c r="BW184" s="9">
        <f t="shared" si="449"/>
        <v>0</v>
      </c>
      <c r="BX184" s="9">
        <f t="shared" si="449"/>
        <v>0</v>
      </c>
      <c r="BY184" s="9">
        <f t="shared" si="449"/>
        <v>0</v>
      </c>
      <c r="BZ184" s="9">
        <f t="shared" si="449"/>
        <v>0</v>
      </c>
      <c r="CA184" s="9">
        <f t="shared" si="449"/>
        <v>0</v>
      </c>
      <c r="CB184" s="9">
        <f t="shared" si="449"/>
        <v>0</v>
      </c>
      <c r="CC184" s="9">
        <f t="shared" si="449"/>
        <v>0</v>
      </c>
      <c r="CD184" s="9">
        <f t="shared" si="449"/>
        <v>0</v>
      </c>
      <c r="CE184" s="9">
        <f t="shared" si="449"/>
        <v>0</v>
      </c>
      <c r="CF184" s="9">
        <f t="shared" ref="CF184:DR184" si="450">CF129+CF156</f>
        <v>0</v>
      </c>
      <c r="CG184" s="9">
        <f t="shared" si="450"/>
        <v>0</v>
      </c>
      <c r="CH184" s="9">
        <f t="shared" si="450"/>
        <v>0</v>
      </c>
      <c r="CI184" s="9">
        <f t="shared" si="450"/>
        <v>0</v>
      </c>
      <c r="CJ184" s="9">
        <f t="shared" si="450"/>
        <v>0</v>
      </c>
      <c r="CK184" s="9">
        <f t="shared" si="450"/>
        <v>0</v>
      </c>
      <c r="CL184" s="9">
        <f t="shared" si="450"/>
        <v>0</v>
      </c>
      <c r="CM184" s="9">
        <f t="shared" si="450"/>
        <v>0</v>
      </c>
      <c r="CN184" s="9">
        <f t="shared" si="450"/>
        <v>0</v>
      </c>
      <c r="CO184" s="9">
        <f t="shared" si="450"/>
        <v>0</v>
      </c>
      <c r="CP184" s="9">
        <f t="shared" si="450"/>
        <v>0</v>
      </c>
      <c r="CQ184" s="9">
        <f t="shared" si="450"/>
        <v>0</v>
      </c>
      <c r="CR184" s="9">
        <f t="shared" si="450"/>
        <v>0</v>
      </c>
      <c r="CS184" s="9">
        <f t="shared" si="450"/>
        <v>0</v>
      </c>
      <c r="CT184" s="9">
        <f t="shared" si="450"/>
        <v>0</v>
      </c>
      <c r="CU184" s="9">
        <f t="shared" si="450"/>
        <v>0</v>
      </c>
      <c r="CV184" s="9">
        <f t="shared" si="450"/>
        <v>0</v>
      </c>
      <c r="CW184" s="9">
        <f t="shared" si="450"/>
        <v>0</v>
      </c>
      <c r="CX184" s="9">
        <f t="shared" si="450"/>
        <v>0</v>
      </c>
      <c r="CY184" s="9">
        <f t="shared" si="450"/>
        <v>0</v>
      </c>
      <c r="CZ184" s="9">
        <f t="shared" si="450"/>
        <v>0</v>
      </c>
      <c r="DA184" s="9">
        <f t="shared" si="450"/>
        <v>0</v>
      </c>
      <c r="DB184" s="9">
        <f t="shared" si="450"/>
        <v>0</v>
      </c>
      <c r="DC184" s="9">
        <f t="shared" si="450"/>
        <v>0</v>
      </c>
      <c r="DD184" s="9">
        <f t="shared" si="450"/>
        <v>0</v>
      </c>
      <c r="DE184" s="9">
        <f t="shared" si="450"/>
        <v>0</v>
      </c>
      <c r="DF184" s="9">
        <f t="shared" si="450"/>
        <v>0</v>
      </c>
      <c r="DG184" s="9">
        <f t="shared" si="450"/>
        <v>0</v>
      </c>
      <c r="DH184" s="9">
        <f t="shared" si="450"/>
        <v>0</v>
      </c>
      <c r="DI184" s="9">
        <f t="shared" si="450"/>
        <v>0</v>
      </c>
      <c r="DJ184" s="9">
        <f t="shared" si="450"/>
        <v>0</v>
      </c>
      <c r="DK184" s="9">
        <f t="shared" si="450"/>
        <v>0</v>
      </c>
      <c r="DL184" s="9">
        <f t="shared" si="450"/>
        <v>0</v>
      </c>
      <c r="DM184" s="9">
        <f t="shared" si="450"/>
        <v>0</v>
      </c>
      <c r="DN184" s="9">
        <f t="shared" si="450"/>
        <v>0</v>
      </c>
      <c r="DO184" s="9">
        <f t="shared" si="450"/>
        <v>0</v>
      </c>
      <c r="DP184" s="9">
        <f t="shared" si="450"/>
        <v>0</v>
      </c>
      <c r="DQ184" s="9">
        <f t="shared" si="450"/>
        <v>0</v>
      </c>
      <c r="DR184" s="9">
        <f t="shared" si="450"/>
        <v>0</v>
      </c>
      <c r="DS184" s="31">
        <f t="shared" si="422"/>
        <v>0</v>
      </c>
      <c r="DT184" s="31">
        <f t="shared" si="424"/>
        <v>0</v>
      </c>
      <c r="DU184" s="9"/>
      <c r="DV184" s="8"/>
      <c r="DW184" s="7"/>
      <c r="DX184" s="7"/>
      <c r="DY184" s="7"/>
      <c r="DZ184" s="7"/>
      <c r="EA184" s="7"/>
      <c r="EB184" s="7"/>
      <c r="EC184" s="7"/>
    </row>
    <row r="185" spans="3:133">
      <c r="C185" s="57" t="str">
        <f t="shared" si="425"/>
        <v>///</v>
      </c>
      <c r="D185" s="57">
        <f t="shared" si="426"/>
        <v>0</v>
      </c>
      <c r="E185" s="62">
        <f t="shared" si="425"/>
        <v>0</v>
      </c>
      <c r="F185" s="9">
        <f t="shared" si="448"/>
        <v>0</v>
      </c>
      <c r="G185" s="9">
        <f t="shared" si="448"/>
        <v>0</v>
      </c>
      <c r="H185" s="9">
        <f t="shared" si="448"/>
        <v>0</v>
      </c>
      <c r="I185" s="9">
        <f t="shared" si="448"/>
        <v>0</v>
      </c>
      <c r="J185" s="9">
        <f t="shared" si="448"/>
        <v>0</v>
      </c>
      <c r="K185" s="9">
        <f t="shared" si="448"/>
        <v>0</v>
      </c>
      <c r="L185" s="9">
        <f t="shared" si="448"/>
        <v>0</v>
      </c>
      <c r="M185" s="9">
        <f t="shared" si="448"/>
        <v>0</v>
      </c>
      <c r="N185" s="9">
        <f t="shared" si="448"/>
        <v>0</v>
      </c>
      <c r="O185" s="9">
        <f t="shared" si="448"/>
        <v>0</v>
      </c>
      <c r="P185" s="9">
        <f t="shared" si="448"/>
        <v>0</v>
      </c>
      <c r="Q185" s="9">
        <f t="shared" si="448"/>
        <v>0</v>
      </c>
      <c r="R185" s="9">
        <f t="shared" si="448"/>
        <v>0</v>
      </c>
      <c r="S185" s="9">
        <f t="shared" si="448"/>
        <v>0</v>
      </c>
      <c r="T185" s="9">
        <f t="shared" si="448"/>
        <v>0</v>
      </c>
      <c r="U185" s="9">
        <f t="shared" si="448"/>
        <v>0</v>
      </c>
      <c r="V185" s="9">
        <f t="shared" si="448"/>
        <v>0</v>
      </c>
      <c r="W185" s="9">
        <f t="shared" si="448"/>
        <v>0</v>
      </c>
      <c r="X185" s="9">
        <f t="shared" si="448"/>
        <v>0</v>
      </c>
      <c r="Y185" s="9">
        <f t="shared" si="448"/>
        <v>0</v>
      </c>
      <c r="Z185" s="9">
        <f t="shared" si="448"/>
        <v>0</v>
      </c>
      <c r="AA185" s="9">
        <f t="shared" si="448"/>
        <v>0</v>
      </c>
      <c r="AB185" s="9">
        <f t="shared" si="448"/>
        <v>0</v>
      </c>
      <c r="AC185" s="9">
        <f t="shared" si="448"/>
        <v>0</v>
      </c>
      <c r="AD185" s="9">
        <f t="shared" si="448"/>
        <v>0</v>
      </c>
      <c r="AE185" s="9">
        <f t="shared" si="448"/>
        <v>0</v>
      </c>
      <c r="AF185" s="9">
        <f t="shared" si="448"/>
        <v>0</v>
      </c>
      <c r="AG185" s="9">
        <f t="shared" si="448"/>
        <v>0</v>
      </c>
      <c r="AH185" s="9">
        <f t="shared" si="448"/>
        <v>0</v>
      </c>
      <c r="AI185" s="9">
        <f t="shared" si="448"/>
        <v>0</v>
      </c>
      <c r="AJ185" s="9">
        <f t="shared" si="448"/>
        <v>0</v>
      </c>
      <c r="AK185" s="9">
        <f t="shared" si="448"/>
        <v>0</v>
      </c>
      <c r="AL185" s="9">
        <f t="shared" si="448"/>
        <v>0</v>
      </c>
      <c r="AM185" s="9">
        <f t="shared" si="448"/>
        <v>0</v>
      </c>
      <c r="AN185" s="9">
        <f t="shared" si="448"/>
        <v>0</v>
      </c>
      <c r="AO185" s="9">
        <f t="shared" si="448"/>
        <v>0</v>
      </c>
      <c r="AP185" s="9">
        <f t="shared" si="448"/>
        <v>0</v>
      </c>
      <c r="AQ185" s="9">
        <f t="shared" si="448"/>
        <v>0</v>
      </c>
      <c r="AR185" s="9">
        <f t="shared" si="448"/>
        <v>0</v>
      </c>
      <c r="AS185" s="9">
        <f t="shared" si="448"/>
        <v>0</v>
      </c>
      <c r="AT185" s="9">
        <f t="shared" si="448"/>
        <v>0</v>
      </c>
      <c r="AU185" s="9">
        <f t="shared" si="448"/>
        <v>0</v>
      </c>
      <c r="AV185" s="9">
        <f t="shared" si="448"/>
        <v>0</v>
      </c>
      <c r="AW185" s="9">
        <f t="shared" si="448"/>
        <v>0</v>
      </c>
      <c r="AX185" s="9">
        <f t="shared" si="448"/>
        <v>0</v>
      </c>
      <c r="AY185" s="9">
        <f t="shared" si="448"/>
        <v>0</v>
      </c>
      <c r="AZ185" s="9">
        <f t="shared" si="448"/>
        <v>0</v>
      </c>
      <c r="BA185" s="9">
        <f t="shared" si="448"/>
        <v>0</v>
      </c>
      <c r="BB185" s="9">
        <f t="shared" si="448"/>
        <v>0</v>
      </c>
      <c r="BC185" s="9">
        <f t="shared" si="448"/>
        <v>0</v>
      </c>
      <c r="BD185" s="9">
        <f t="shared" si="448"/>
        <v>0</v>
      </c>
      <c r="BE185" s="9">
        <f t="shared" si="448"/>
        <v>0</v>
      </c>
      <c r="BF185" s="9">
        <f t="shared" si="448"/>
        <v>0</v>
      </c>
      <c r="BG185" s="9">
        <f t="shared" si="448"/>
        <v>0</v>
      </c>
      <c r="BH185" s="9">
        <f t="shared" si="448"/>
        <v>0</v>
      </c>
      <c r="BI185" s="9">
        <f t="shared" si="448"/>
        <v>0</v>
      </c>
      <c r="BJ185" s="9">
        <f t="shared" si="448"/>
        <v>0</v>
      </c>
      <c r="BK185" s="9">
        <f t="shared" si="448"/>
        <v>0</v>
      </c>
      <c r="BL185" s="9">
        <f t="shared" si="448"/>
        <v>0</v>
      </c>
      <c r="BM185" s="9">
        <f t="shared" si="448"/>
        <v>0</v>
      </c>
      <c r="BN185" s="9">
        <f t="shared" si="448"/>
        <v>0</v>
      </c>
      <c r="BO185" s="9">
        <f t="shared" si="448"/>
        <v>0</v>
      </c>
      <c r="BP185" s="9">
        <f t="shared" si="448"/>
        <v>0</v>
      </c>
      <c r="BQ185" s="9">
        <f t="shared" si="448"/>
        <v>0</v>
      </c>
      <c r="BR185" s="9">
        <f t="shared" si="449"/>
        <v>0</v>
      </c>
      <c r="BS185" s="9">
        <f t="shared" si="449"/>
        <v>0</v>
      </c>
      <c r="BT185" s="9">
        <f t="shared" si="449"/>
        <v>0</v>
      </c>
      <c r="BU185" s="9">
        <f t="shared" si="449"/>
        <v>0</v>
      </c>
      <c r="BV185" s="9">
        <f t="shared" si="449"/>
        <v>0</v>
      </c>
      <c r="BW185" s="9">
        <f t="shared" si="449"/>
        <v>0</v>
      </c>
      <c r="BX185" s="9">
        <f t="shared" si="449"/>
        <v>0</v>
      </c>
      <c r="BY185" s="9">
        <f t="shared" si="449"/>
        <v>0</v>
      </c>
      <c r="BZ185" s="9">
        <f t="shared" si="449"/>
        <v>0</v>
      </c>
      <c r="CA185" s="9">
        <f t="shared" si="449"/>
        <v>0</v>
      </c>
      <c r="CB185" s="9">
        <f t="shared" si="449"/>
        <v>0</v>
      </c>
      <c r="CC185" s="9">
        <f t="shared" si="449"/>
        <v>0</v>
      </c>
      <c r="CD185" s="9">
        <f t="shared" si="449"/>
        <v>0</v>
      </c>
      <c r="CE185" s="9">
        <f t="shared" si="449"/>
        <v>0</v>
      </c>
      <c r="CF185" s="9">
        <f t="shared" ref="CF185:DR185" si="451">CF130+CF157</f>
        <v>0</v>
      </c>
      <c r="CG185" s="9">
        <f t="shared" si="451"/>
        <v>0</v>
      </c>
      <c r="CH185" s="9">
        <f t="shared" si="451"/>
        <v>0</v>
      </c>
      <c r="CI185" s="9">
        <f t="shared" si="451"/>
        <v>0</v>
      </c>
      <c r="CJ185" s="9">
        <f t="shared" si="451"/>
        <v>0</v>
      </c>
      <c r="CK185" s="9">
        <f t="shared" si="451"/>
        <v>0</v>
      </c>
      <c r="CL185" s="9">
        <f t="shared" si="451"/>
        <v>0</v>
      </c>
      <c r="CM185" s="9">
        <f t="shared" si="451"/>
        <v>0</v>
      </c>
      <c r="CN185" s="9">
        <f t="shared" si="451"/>
        <v>0</v>
      </c>
      <c r="CO185" s="9">
        <f t="shared" si="451"/>
        <v>0</v>
      </c>
      <c r="CP185" s="9">
        <f t="shared" si="451"/>
        <v>0</v>
      </c>
      <c r="CQ185" s="9">
        <f t="shared" si="451"/>
        <v>0</v>
      </c>
      <c r="CR185" s="9">
        <f t="shared" si="451"/>
        <v>0</v>
      </c>
      <c r="CS185" s="9">
        <f t="shared" si="451"/>
        <v>0</v>
      </c>
      <c r="CT185" s="9">
        <f t="shared" si="451"/>
        <v>0</v>
      </c>
      <c r="CU185" s="9">
        <f t="shared" si="451"/>
        <v>0</v>
      </c>
      <c r="CV185" s="9">
        <f t="shared" si="451"/>
        <v>0</v>
      </c>
      <c r="CW185" s="9">
        <f t="shared" si="451"/>
        <v>0</v>
      </c>
      <c r="CX185" s="9">
        <f t="shared" si="451"/>
        <v>0</v>
      </c>
      <c r="CY185" s="9">
        <f t="shared" si="451"/>
        <v>0</v>
      </c>
      <c r="CZ185" s="9">
        <f t="shared" si="451"/>
        <v>0</v>
      </c>
      <c r="DA185" s="9">
        <f t="shared" si="451"/>
        <v>0</v>
      </c>
      <c r="DB185" s="9">
        <f t="shared" si="451"/>
        <v>0</v>
      </c>
      <c r="DC185" s="9">
        <f t="shared" si="451"/>
        <v>0</v>
      </c>
      <c r="DD185" s="9">
        <f t="shared" si="451"/>
        <v>0</v>
      </c>
      <c r="DE185" s="9">
        <f t="shared" si="451"/>
        <v>0</v>
      </c>
      <c r="DF185" s="9">
        <f t="shared" si="451"/>
        <v>0</v>
      </c>
      <c r="DG185" s="9">
        <f t="shared" si="451"/>
        <v>0</v>
      </c>
      <c r="DH185" s="9">
        <f t="shared" si="451"/>
        <v>0</v>
      </c>
      <c r="DI185" s="9">
        <f t="shared" si="451"/>
        <v>0</v>
      </c>
      <c r="DJ185" s="9">
        <f t="shared" si="451"/>
        <v>0</v>
      </c>
      <c r="DK185" s="9">
        <f t="shared" si="451"/>
        <v>0</v>
      </c>
      <c r="DL185" s="9">
        <f t="shared" si="451"/>
        <v>0</v>
      </c>
      <c r="DM185" s="9">
        <f t="shared" si="451"/>
        <v>0</v>
      </c>
      <c r="DN185" s="9">
        <f t="shared" si="451"/>
        <v>0</v>
      </c>
      <c r="DO185" s="9">
        <f t="shared" si="451"/>
        <v>0</v>
      </c>
      <c r="DP185" s="9">
        <f t="shared" si="451"/>
        <v>0</v>
      </c>
      <c r="DQ185" s="9">
        <f t="shared" si="451"/>
        <v>0</v>
      </c>
      <c r="DR185" s="9">
        <f t="shared" si="451"/>
        <v>0</v>
      </c>
      <c r="DS185" s="31">
        <f t="shared" si="422"/>
        <v>0</v>
      </c>
      <c r="DT185" s="31">
        <f t="shared" si="424"/>
        <v>0</v>
      </c>
      <c r="DU185" s="9"/>
      <c r="DV185" s="8"/>
      <c r="DW185" s="7"/>
      <c r="DX185" s="7"/>
      <c r="DY185" s="7"/>
      <c r="DZ185" s="7"/>
      <c r="EA185" s="7"/>
      <c r="EB185" s="7"/>
      <c r="EC185" s="7"/>
    </row>
    <row r="186" spans="3:133">
      <c r="C186" s="57" t="str">
        <f t="shared" ref="C186:E190" si="452">C158</f>
        <v>///</v>
      </c>
      <c r="D186" s="57">
        <f t="shared" si="426"/>
        <v>0</v>
      </c>
      <c r="E186" s="62">
        <f t="shared" si="452"/>
        <v>0</v>
      </c>
      <c r="F186" s="9">
        <f t="shared" si="448"/>
        <v>0</v>
      </c>
      <c r="G186" s="9">
        <f t="shared" si="448"/>
        <v>0</v>
      </c>
      <c r="H186" s="9">
        <f t="shared" si="448"/>
        <v>0</v>
      </c>
      <c r="I186" s="9">
        <f t="shared" si="448"/>
        <v>0</v>
      </c>
      <c r="J186" s="9">
        <f t="shared" si="448"/>
        <v>0</v>
      </c>
      <c r="K186" s="9">
        <f t="shared" si="448"/>
        <v>0</v>
      </c>
      <c r="L186" s="9">
        <f t="shared" si="448"/>
        <v>0</v>
      </c>
      <c r="M186" s="9">
        <f t="shared" si="448"/>
        <v>0</v>
      </c>
      <c r="N186" s="9">
        <f t="shared" si="448"/>
        <v>0</v>
      </c>
      <c r="O186" s="9">
        <f t="shared" si="448"/>
        <v>0</v>
      </c>
      <c r="P186" s="9">
        <f t="shared" si="448"/>
        <v>0</v>
      </c>
      <c r="Q186" s="9">
        <f t="shared" si="448"/>
        <v>0</v>
      </c>
      <c r="R186" s="9">
        <f t="shared" si="448"/>
        <v>0</v>
      </c>
      <c r="S186" s="9">
        <f t="shared" si="448"/>
        <v>0</v>
      </c>
      <c r="T186" s="9">
        <f t="shared" si="448"/>
        <v>0</v>
      </c>
      <c r="U186" s="9">
        <f t="shared" si="448"/>
        <v>0</v>
      </c>
      <c r="V186" s="9">
        <f t="shared" si="448"/>
        <v>0</v>
      </c>
      <c r="W186" s="9">
        <f t="shared" si="448"/>
        <v>0</v>
      </c>
      <c r="X186" s="9">
        <f t="shared" si="448"/>
        <v>0</v>
      </c>
      <c r="Y186" s="9">
        <f t="shared" si="448"/>
        <v>0</v>
      </c>
      <c r="Z186" s="9">
        <f t="shared" si="448"/>
        <v>0</v>
      </c>
      <c r="AA186" s="9">
        <f t="shared" si="448"/>
        <v>0</v>
      </c>
      <c r="AB186" s="9">
        <f t="shared" si="448"/>
        <v>0</v>
      </c>
      <c r="AC186" s="9">
        <f t="shared" si="448"/>
        <v>0</v>
      </c>
      <c r="AD186" s="9">
        <f t="shared" si="448"/>
        <v>0</v>
      </c>
      <c r="AE186" s="9">
        <f t="shared" si="448"/>
        <v>0</v>
      </c>
      <c r="AF186" s="9">
        <f t="shared" si="448"/>
        <v>0</v>
      </c>
      <c r="AG186" s="9">
        <f t="shared" si="448"/>
        <v>0</v>
      </c>
      <c r="AH186" s="9">
        <f t="shared" si="448"/>
        <v>0</v>
      </c>
      <c r="AI186" s="9">
        <f t="shared" si="448"/>
        <v>0</v>
      </c>
      <c r="AJ186" s="9">
        <f t="shared" si="448"/>
        <v>0</v>
      </c>
      <c r="AK186" s="9">
        <f t="shared" si="448"/>
        <v>0</v>
      </c>
      <c r="AL186" s="9">
        <f t="shared" si="448"/>
        <v>0</v>
      </c>
      <c r="AM186" s="9">
        <f t="shared" si="448"/>
        <v>0</v>
      </c>
      <c r="AN186" s="9">
        <f t="shared" si="448"/>
        <v>0</v>
      </c>
      <c r="AO186" s="9">
        <f t="shared" si="448"/>
        <v>0</v>
      </c>
      <c r="AP186" s="9">
        <f t="shared" si="448"/>
        <v>0</v>
      </c>
      <c r="AQ186" s="9">
        <f t="shared" si="448"/>
        <v>0</v>
      </c>
      <c r="AR186" s="9">
        <f t="shared" si="448"/>
        <v>0</v>
      </c>
      <c r="AS186" s="9">
        <f t="shared" si="448"/>
        <v>0</v>
      </c>
      <c r="AT186" s="9">
        <f t="shared" si="448"/>
        <v>0</v>
      </c>
      <c r="AU186" s="9">
        <f t="shared" si="448"/>
        <v>0</v>
      </c>
      <c r="AV186" s="9">
        <f t="shared" si="448"/>
        <v>0</v>
      </c>
      <c r="AW186" s="9">
        <f t="shared" si="448"/>
        <v>0</v>
      </c>
      <c r="AX186" s="9">
        <f t="shared" si="448"/>
        <v>0</v>
      </c>
      <c r="AY186" s="9">
        <f t="shared" si="448"/>
        <v>0</v>
      </c>
      <c r="AZ186" s="9">
        <f t="shared" si="448"/>
        <v>0</v>
      </c>
      <c r="BA186" s="9">
        <f t="shared" si="448"/>
        <v>0</v>
      </c>
      <c r="BB186" s="9">
        <f t="shared" si="448"/>
        <v>0</v>
      </c>
      <c r="BC186" s="9">
        <f t="shared" si="448"/>
        <v>0</v>
      </c>
      <c r="BD186" s="9">
        <f t="shared" si="448"/>
        <v>0</v>
      </c>
      <c r="BE186" s="9">
        <f t="shared" si="448"/>
        <v>0</v>
      </c>
      <c r="BF186" s="9">
        <f t="shared" si="448"/>
        <v>0</v>
      </c>
      <c r="BG186" s="9">
        <f t="shared" si="448"/>
        <v>0</v>
      </c>
      <c r="BH186" s="9">
        <f t="shared" si="448"/>
        <v>0</v>
      </c>
      <c r="BI186" s="9">
        <f t="shared" si="448"/>
        <v>0</v>
      </c>
      <c r="BJ186" s="9">
        <f t="shared" si="448"/>
        <v>0</v>
      </c>
      <c r="BK186" s="9">
        <f t="shared" si="448"/>
        <v>0</v>
      </c>
      <c r="BL186" s="9">
        <f t="shared" si="448"/>
        <v>0</v>
      </c>
      <c r="BM186" s="9">
        <f t="shared" si="448"/>
        <v>0</v>
      </c>
      <c r="BN186" s="9">
        <f t="shared" si="448"/>
        <v>0</v>
      </c>
      <c r="BO186" s="9">
        <f t="shared" si="448"/>
        <v>0</v>
      </c>
      <c r="BP186" s="9">
        <f t="shared" si="448"/>
        <v>0</v>
      </c>
      <c r="BQ186" s="9">
        <f t="shared" si="448"/>
        <v>0</v>
      </c>
      <c r="BR186" s="9">
        <f t="shared" si="449"/>
        <v>0</v>
      </c>
      <c r="BS186" s="9">
        <f t="shared" si="449"/>
        <v>0</v>
      </c>
      <c r="BT186" s="9">
        <f t="shared" si="449"/>
        <v>0</v>
      </c>
      <c r="BU186" s="9">
        <f t="shared" si="449"/>
        <v>0</v>
      </c>
      <c r="BV186" s="9">
        <f t="shared" si="449"/>
        <v>0</v>
      </c>
      <c r="BW186" s="9">
        <f t="shared" si="449"/>
        <v>0</v>
      </c>
      <c r="BX186" s="9">
        <f t="shared" si="449"/>
        <v>0</v>
      </c>
      <c r="BY186" s="9">
        <f t="shared" si="449"/>
        <v>0</v>
      </c>
      <c r="BZ186" s="9">
        <f t="shared" si="449"/>
        <v>0</v>
      </c>
      <c r="CA186" s="9">
        <f t="shared" si="449"/>
        <v>0</v>
      </c>
      <c r="CB186" s="9">
        <f t="shared" si="449"/>
        <v>0</v>
      </c>
      <c r="CC186" s="9">
        <f t="shared" si="449"/>
        <v>0</v>
      </c>
      <c r="CD186" s="9">
        <f t="shared" si="449"/>
        <v>0</v>
      </c>
      <c r="CE186" s="9">
        <f t="shared" si="449"/>
        <v>0</v>
      </c>
      <c r="CF186" s="9">
        <f t="shared" ref="CF186:DR186" si="453">CF131+CF158</f>
        <v>0</v>
      </c>
      <c r="CG186" s="9">
        <f t="shared" si="453"/>
        <v>0</v>
      </c>
      <c r="CH186" s="9">
        <f t="shared" si="453"/>
        <v>0</v>
      </c>
      <c r="CI186" s="9">
        <f t="shared" si="453"/>
        <v>0</v>
      </c>
      <c r="CJ186" s="9">
        <f t="shared" si="453"/>
        <v>0</v>
      </c>
      <c r="CK186" s="9">
        <f t="shared" si="453"/>
        <v>0</v>
      </c>
      <c r="CL186" s="9">
        <f t="shared" si="453"/>
        <v>0</v>
      </c>
      <c r="CM186" s="9">
        <f t="shared" si="453"/>
        <v>0</v>
      </c>
      <c r="CN186" s="9">
        <f t="shared" si="453"/>
        <v>0</v>
      </c>
      <c r="CO186" s="9">
        <f t="shared" si="453"/>
        <v>0</v>
      </c>
      <c r="CP186" s="9">
        <f t="shared" si="453"/>
        <v>0</v>
      </c>
      <c r="CQ186" s="9">
        <f t="shared" si="453"/>
        <v>0</v>
      </c>
      <c r="CR186" s="9">
        <f t="shared" si="453"/>
        <v>0</v>
      </c>
      <c r="CS186" s="9">
        <f t="shared" si="453"/>
        <v>0</v>
      </c>
      <c r="CT186" s="9">
        <f t="shared" si="453"/>
        <v>0</v>
      </c>
      <c r="CU186" s="9">
        <f t="shared" si="453"/>
        <v>0</v>
      </c>
      <c r="CV186" s="9">
        <f t="shared" si="453"/>
        <v>0</v>
      </c>
      <c r="CW186" s="9">
        <f t="shared" si="453"/>
        <v>0</v>
      </c>
      <c r="CX186" s="9">
        <f t="shared" si="453"/>
        <v>0</v>
      </c>
      <c r="CY186" s="9">
        <f t="shared" si="453"/>
        <v>0</v>
      </c>
      <c r="CZ186" s="9">
        <f t="shared" si="453"/>
        <v>0</v>
      </c>
      <c r="DA186" s="9">
        <f t="shared" si="453"/>
        <v>0</v>
      </c>
      <c r="DB186" s="9">
        <f t="shared" si="453"/>
        <v>0</v>
      </c>
      <c r="DC186" s="9">
        <f t="shared" si="453"/>
        <v>0</v>
      </c>
      <c r="DD186" s="9">
        <f t="shared" si="453"/>
        <v>0</v>
      </c>
      <c r="DE186" s="9">
        <f t="shared" si="453"/>
        <v>0</v>
      </c>
      <c r="DF186" s="9">
        <f t="shared" si="453"/>
        <v>0</v>
      </c>
      <c r="DG186" s="9">
        <f t="shared" si="453"/>
        <v>0</v>
      </c>
      <c r="DH186" s="9">
        <f t="shared" si="453"/>
        <v>0</v>
      </c>
      <c r="DI186" s="9">
        <f t="shared" si="453"/>
        <v>0</v>
      </c>
      <c r="DJ186" s="9">
        <f t="shared" si="453"/>
        <v>0</v>
      </c>
      <c r="DK186" s="9">
        <f t="shared" si="453"/>
        <v>0</v>
      </c>
      <c r="DL186" s="9">
        <f t="shared" si="453"/>
        <v>0</v>
      </c>
      <c r="DM186" s="9">
        <f t="shared" si="453"/>
        <v>0</v>
      </c>
      <c r="DN186" s="9">
        <f t="shared" si="453"/>
        <v>0</v>
      </c>
      <c r="DO186" s="9">
        <f t="shared" si="453"/>
        <v>0</v>
      </c>
      <c r="DP186" s="9">
        <f t="shared" si="453"/>
        <v>0</v>
      </c>
      <c r="DQ186" s="9">
        <f t="shared" si="453"/>
        <v>0</v>
      </c>
      <c r="DR186" s="9">
        <f t="shared" si="453"/>
        <v>0</v>
      </c>
      <c r="DS186" s="31">
        <f t="shared" si="422"/>
        <v>0</v>
      </c>
      <c r="DT186" s="31">
        <f t="shared" si="424"/>
        <v>0</v>
      </c>
      <c r="DU186" s="9"/>
      <c r="DV186" s="8"/>
      <c r="DW186" s="7"/>
      <c r="DX186" s="7"/>
      <c r="DY186" s="7"/>
      <c r="DZ186" s="7"/>
      <c r="EA186" s="7"/>
      <c r="EB186" s="7"/>
      <c r="EC186" s="7"/>
    </row>
    <row r="187" spans="3:133">
      <c r="C187" s="57" t="str">
        <f t="shared" si="452"/>
        <v>///</v>
      </c>
      <c r="D187" s="57">
        <f t="shared" si="426"/>
        <v>0</v>
      </c>
      <c r="E187" s="62">
        <f t="shared" si="452"/>
        <v>0</v>
      </c>
      <c r="F187" s="9">
        <f t="shared" si="448"/>
        <v>0</v>
      </c>
      <c r="G187" s="9">
        <f t="shared" si="448"/>
        <v>0</v>
      </c>
      <c r="H187" s="9">
        <f t="shared" si="448"/>
        <v>0</v>
      </c>
      <c r="I187" s="9">
        <f t="shared" si="448"/>
        <v>0</v>
      </c>
      <c r="J187" s="9">
        <f t="shared" si="448"/>
        <v>0</v>
      </c>
      <c r="K187" s="9">
        <f t="shared" si="448"/>
        <v>0</v>
      </c>
      <c r="L187" s="9">
        <f t="shared" si="448"/>
        <v>0</v>
      </c>
      <c r="M187" s="9">
        <f t="shared" si="448"/>
        <v>0</v>
      </c>
      <c r="N187" s="9">
        <f t="shared" si="448"/>
        <v>0</v>
      </c>
      <c r="O187" s="9">
        <f t="shared" si="448"/>
        <v>0</v>
      </c>
      <c r="P187" s="9">
        <f t="shared" si="448"/>
        <v>0</v>
      </c>
      <c r="Q187" s="9">
        <f t="shared" si="448"/>
        <v>0</v>
      </c>
      <c r="R187" s="9">
        <f t="shared" si="448"/>
        <v>0</v>
      </c>
      <c r="S187" s="9">
        <f t="shared" si="448"/>
        <v>0</v>
      </c>
      <c r="T187" s="9">
        <f t="shared" si="448"/>
        <v>0</v>
      </c>
      <c r="U187" s="9">
        <f t="shared" si="448"/>
        <v>0</v>
      </c>
      <c r="V187" s="9">
        <f t="shared" si="448"/>
        <v>0</v>
      </c>
      <c r="W187" s="9">
        <f t="shared" si="448"/>
        <v>0</v>
      </c>
      <c r="X187" s="9">
        <f t="shared" si="448"/>
        <v>0</v>
      </c>
      <c r="Y187" s="9">
        <f t="shared" si="448"/>
        <v>0</v>
      </c>
      <c r="Z187" s="9">
        <f t="shared" si="448"/>
        <v>0</v>
      </c>
      <c r="AA187" s="9">
        <f t="shared" si="448"/>
        <v>0</v>
      </c>
      <c r="AB187" s="9">
        <f t="shared" si="448"/>
        <v>0</v>
      </c>
      <c r="AC187" s="9">
        <f t="shared" si="448"/>
        <v>0</v>
      </c>
      <c r="AD187" s="9">
        <f t="shared" si="448"/>
        <v>0</v>
      </c>
      <c r="AE187" s="9">
        <f t="shared" si="448"/>
        <v>0</v>
      </c>
      <c r="AF187" s="9">
        <f t="shared" si="448"/>
        <v>0</v>
      </c>
      <c r="AG187" s="9">
        <f t="shared" si="448"/>
        <v>0</v>
      </c>
      <c r="AH187" s="9">
        <f t="shared" si="448"/>
        <v>0</v>
      </c>
      <c r="AI187" s="9">
        <f t="shared" si="448"/>
        <v>0</v>
      </c>
      <c r="AJ187" s="9">
        <f t="shared" si="448"/>
        <v>0</v>
      </c>
      <c r="AK187" s="9">
        <f t="shared" si="448"/>
        <v>0</v>
      </c>
      <c r="AL187" s="9">
        <f t="shared" si="448"/>
        <v>0</v>
      </c>
      <c r="AM187" s="9">
        <f t="shared" si="448"/>
        <v>0</v>
      </c>
      <c r="AN187" s="9">
        <f t="shared" si="448"/>
        <v>0</v>
      </c>
      <c r="AO187" s="9">
        <f t="shared" si="448"/>
        <v>0</v>
      </c>
      <c r="AP187" s="9">
        <f t="shared" si="448"/>
        <v>0</v>
      </c>
      <c r="AQ187" s="9">
        <f t="shared" si="448"/>
        <v>0</v>
      </c>
      <c r="AR187" s="9">
        <f t="shared" si="448"/>
        <v>0</v>
      </c>
      <c r="AS187" s="9">
        <f t="shared" si="448"/>
        <v>0</v>
      </c>
      <c r="AT187" s="9">
        <f t="shared" si="448"/>
        <v>0</v>
      </c>
      <c r="AU187" s="9">
        <f t="shared" si="448"/>
        <v>0</v>
      </c>
      <c r="AV187" s="9">
        <f t="shared" si="448"/>
        <v>0</v>
      </c>
      <c r="AW187" s="9">
        <f t="shared" si="448"/>
        <v>0</v>
      </c>
      <c r="AX187" s="9">
        <f t="shared" si="448"/>
        <v>0</v>
      </c>
      <c r="AY187" s="9">
        <f t="shared" si="448"/>
        <v>0</v>
      </c>
      <c r="AZ187" s="9">
        <f t="shared" si="448"/>
        <v>0</v>
      </c>
      <c r="BA187" s="9">
        <f t="shared" si="448"/>
        <v>0</v>
      </c>
      <c r="BB187" s="9">
        <f t="shared" si="448"/>
        <v>0</v>
      </c>
      <c r="BC187" s="9">
        <f t="shared" si="448"/>
        <v>0</v>
      </c>
      <c r="BD187" s="9">
        <f t="shared" si="448"/>
        <v>0</v>
      </c>
      <c r="BE187" s="9">
        <f t="shared" si="448"/>
        <v>0</v>
      </c>
      <c r="BF187" s="9">
        <f t="shared" si="448"/>
        <v>0</v>
      </c>
      <c r="BG187" s="9">
        <f t="shared" si="448"/>
        <v>0</v>
      </c>
      <c r="BH187" s="9">
        <f t="shared" si="448"/>
        <v>0</v>
      </c>
      <c r="BI187" s="9">
        <f t="shared" si="448"/>
        <v>0</v>
      </c>
      <c r="BJ187" s="9">
        <f t="shared" si="448"/>
        <v>0</v>
      </c>
      <c r="BK187" s="9">
        <f t="shared" si="448"/>
        <v>0</v>
      </c>
      <c r="BL187" s="9">
        <f t="shared" si="448"/>
        <v>0</v>
      </c>
      <c r="BM187" s="9">
        <f t="shared" si="448"/>
        <v>0</v>
      </c>
      <c r="BN187" s="9">
        <f t="shared" si="448"/>
        <v>0</v>
      </c>
      <c r="BO187" s="9">
        <f t="shared" si="448"/>
        <v>0</v>
      </c>
      <c r="BP187" s="9">
        <f t="shared" si="448"/>
        <v>0</v>
      </c>
      <c r="BQ187" s="9">
        <f t="shared" ref="BQ187" si="454">BQ132+BQ159</f>
        <v>0</v>
      </c>
      <c r="BR187" s="9">
        <f t="shared" si="449"/>
        <v>0</v>
      </c>
      <c r="BS187" s="9">
        <f t="shared" si="449"/>
        <v>0</v>
      </c>
      <c r="BT187" s="9">
        <f t="shared" si="449"/>
        <v>0</v>
      </c>
      <c r="BU187" s="9">
        <f t="shared" si="449"/>
        <v>0</v>
      </c>
      <c r="BV187" s="9">
        <f t="shared" si="449"/>
        <v>0</v>
      </c>
      <c r="BW187" s="9">
        <f t="shared" si="449"/>
        <v>0</v>
      </c>
      <c r="BX187" s="9">
        <f t="shared" si="449"/>
        <v>0</v>
      </c>
      <c r="BY187" s="9">
        <f t="shared" si="449"/>
        <v>0</v>
      </c>
      <c r="BZ187" s="9">
        <f t="shared" si="449"/>
        <v>0</v>
      </c>
      <c r="CA187" s="9">
        <f t="shared" si="449"/>
        <v>0</v>
      </c>
      <c r="CB187" s="9">
        <f t="shared" si="449"/>
        <v>0</v>
      </c>
      <c r="CC187" s="9">
        <f t="shared" si="449"/>
        <v>0</v>
      </c>
      <c r="CD187" s="9">
        <f t="shared" si="449"/>
        <v>0</v>
      </c>
      <c r="CE187" s="9">
        <f t="shared" si="449"/>
        <v>0</v>
      </c>
      <c r="CF187" s="9">
        <f t="shared" ref="CF187:DR187" si="455">CF132+CF159</f>
        <v>0</v>
      </c>
      <c r="CG187" s="9">
        <f t="shared" si="455"/>
        <v>0</v>
      </c>
      <c r="CH187" s="9">
        <f t="shared" si="455"/>
        <v>0</v>
      </c>
      <c r="CI187" s="9">
        <f t="shared" si="455"/>
        <v>0</v>
      </c>
      <c r="CJ187" s="9">
        <f t="shared" si="455"/>
        <v>0</v>
      </c>
      <c r="CK187" s="9">
        <f t="shared" si="455"/>
        <v>0</v>
      </c>
      <c r="CL187" s="9">
        <f t="shared" si="455"/>
        <v>0</v>
      </c>
      <c r="CM187" s="9">
        <f t="shared" si="455"/>
        <v>0</v>
      </c>
      <c r="CN187" s="9">
        <f t="shared" si="455"/>
        <v>0</v>
      </c>
      <c r="CO187" s="9">
        <f t="shared" si="455"/>
        <v>0</v>
      </c>
      <c r="CP187" s="9">
        <f t="shared" si="455"/>
        <v>0</v>
      </c>
      <c r="CQ187" s="9">
        <f t="shared" si="455"/>
        <v>0</v>
      </c>
      <c r="CR187" s="9">
        <f t="shared" si="455"/>
        <v>0</v>
      </c>
      <c r="CS187" s="9">
        <f t="shared" si="455"/>
        <v>0</v>
      </c>
      <c r="CT187" s="9">
        <f t="shared" si="455"/>
        <v>0</v>
      </c>
      <c r="CU187" s="9">
        <f t="shared" si="455"/>
        <v>0</v>
      </c>
      <c r="CV187" s="9">
        <f t="shared" si="455"/>
        <v>0</v>
      </c>
      <c r="CW187" s="9">
        <f t="shared" si="455"/>
        <v>0</v>
      </c>
      <c r="CX187" s="9">
        <f t="shared" si="455"/>
        <v>0</v>
      </c>
      <c r="CY187" s="9">
        <f t="shared" si="455"/>
        <v>0</v>
      </c>
      <c r="CZ187" s="9">
        <f t="shared" si="455"/>
        <v>0</v>
      </c>
      <c r="DA187" s="9">
        <f t="shared" si="455"/>
        <v>0</v>
      </c>
      <c r="DB187" s="9">
        <f t="shared" si="455"/>
        <v>0</v>
      </c>
      <c r="DC187" s="9">
        <f t="shared" si="455"/>
        <v>0</v>
      </c>
      <c r="DD187" s="9">
        <f t="shared" si="455"/>
        <v>0</v>
      </c>
      <c r="DE187" s="9">
        <f t="shared" si="455"/>
        <v>0</v>
      </c>
      <c r="DF187" s="9">
        <f t="shared" si="455"/>
        <v>0</v>
      </c>
      <c r="DG187" s="9">
        <f t="shared" si="455"/>
        <v>0</v>
      </c>
      <c r="DH187" s="9">
        <f t="shared" si="455"/>
        <v>0</v>
      </c>
      <c r="DI187" s="9">
        <f t="shared" si="455"/>
        <v>0</v>
      </c>
      <c r="DJ187" s="9">
        <f t="shared" si="455"/>
        <v>0</v>
      </c>
      <c r="DK187" s="9">
        <f t="shared" si="455"/>
        <v>0</v>
      </c>
      <c r="DL187" s="9">
        <f t="shared" si="455"/>
        <v>0</v>
      </c>
      <c r="DM187" s="9">
        <f t="shared" si="455"/>
        <v>0</v>
      </c>
      <c r="DN187" s="9">
        <f t="shared" si="455"/>
        <v>0</v>
      </c>
      <c r="DO187" s="9">
        <f t="shared" si="455"/>
        <v>0</v>
      </c>
      <c r="DP187" s="9">
        <f t="shared" si="455"/>
        <v>0</v>
      </c>
      <c r="DQ187" s="9">
        <f t="shared" si="455"/>
        <v>0</v>
      </c>
      <c r="DR187" s="9">
        <f t="shared" si="455"/>
        <v>0</v>
      </c>
      <c r="DS187" s="31">
        <f t="shared" si="422"/>
        <v>0</v>
      </c>
      <c r="DT187" s="31">
        <f t="shared" si="424"/>
        <v>0</v>
      </c>
      <c r="DU187" s="9"/>
      <c r="DV187" s="8"/>
      <c r="DW187" s="7"/>
      <c r="DX187" s="7"/>
      <c r="DY187" s="7"/>
      <c r="DZ187" s="7"/>
      <c r="EA187" s="7"/>
      <c r="EB187" s="7"/>
      <c r="EC187" s="7"/>
    </row>
    <row r="188" spans="3:133">
      <c r="C188" s="57" t="str">
        <f t="shared" si="452"/>
        <v>///</v>
      </c>
      <c r="D188" s="57">
        <f t="shared" si="426"/>
        <v>0</v>
      </c>
      <c r="E188" s="62">
        <f t="shared" si="452"/>
        <v>0</v>
      </c>
      <c r="F188" s="9">
        <f t="shared" ref="F188:BQ191" si="456">F133+F160</f>
        <v>0</v>
      </c>
      <c r="G188" s="9">
        <f t="shared" si="456"/>
        <v>0</v>
      </c>
      <c r="H188" s="9">
        <f t="shared" si="456"/>
        <v>0</v>
      </c>
      <c r="I188" s="9">
        <f t="shared" si="456"/>
        <v>0</v>
      </c>
      <c r="J188" s="9">
        <f t="shared" si="456"/>
        <v>0</v>
      </c>
      <c r="K188" s="9">
        <f t="shared" si="456"/>
        <v>0</v>
      </c>
      <c r="L188" s="9">
        <f t="shared" si="456"/>
        <v>0</v>
      </c>
      <c r="M188" s="9">
        <f t="shared" si="456"/>
        <v>0</v>
      </c>
      <c r="N188" s="9">
        <f t="shared" si="456"/>
        <v>0</v>
      </c>
      <c r="O188" s="9">
        <f t="shared" si="456"/>
        <v>0</v>
      </c>
      <c r="P188" s="9">
        <f t="shared" si="456"/>
        <v>0</v>
      </c>
      <c r="Q188" s="9">
        <f t="shared" si="456"/>
        <v>0</v>
      </c>
      <c r="R188" s="9">
        <f t="shared" si="456"/>
        <v>0</v>
      </c>
      <c r="S188" s="9">
        <f t="shared" si="456"/>
        <v>0</v>
      </c>
      <c r="T188" s="9">
        <f t="shared" si="456"/>
        <v>0</v>
      </c>
      <c r="U188" s="9">
        <f t="shared" si="456"/>
        <v>0</v>
      </c>
      <c r="V188" s="9">
        <f t="shared" si="456"/>
        <v>0</v>
      </c>
      <c r="W188" s="9">
        <f t="shared" si="456"/>
        <v>0</v>
      </c>
      <c r="X188" s="9">
        <f t="shared" si="456"/>
        <v>0</v>
      </c>
      <c r="Y188" s="9">
        <f t="shared" si="456"/>
        <v>0</v>
      </c>
      <c r="Z188" s="9">
        <f t="shared" si="456"/>
        <v>0</v>
      </c>
      <c r="AA188" s="9">
        <f t="shared" si="456"/>
        <v>0</v>
      </c>
      <c r="AB188" s="9">
        <f t="shared" si="456"/>
        <v>0</v>
      </c>
      <c r="AC188" s="9">
        <f t="shared" si="456"/>
        <v>0</v>
      </c>
      <c r="AD188" s="9">
        <f t="shared" si="456"/>
        <v>0</v>
      </c>
      <c r="AE188" s="9">
        <f t="shared" si="456"/>
        <v>0</v>
      </c>
      <c r="AF188" s="9">
        <f t="shared" si="456"/>
        <v>0</v>
      </c>
      <c r="AG188" s="9">
        <f t="shared" si="456"/>
        <v>0</v>
      </c>
      <c r="AH188" s="9">
        <f t="shared" si="456"/>
        <v>0</v>
      </c>
      <c r="AI188" s="9">
        <f t="shared" si="456"/>
        <v>0</v>
      </c>
      <c r="AJ188" s="9">
        <f t="shared" si="456"/>
        <v>0</v>
      </c>
      <c r="AK188" s="9">
        <f t="shared" si="456"/>
        <v>0</v>
      </c>
      <c r="AL188" s="9">
        <f t="shared" si="456"/>
        <v>0</v>
      </c>
      <c r="AM188" s="9">
        <f t="shared" si="456"/>
        <v>0</v>
      </c>
      <c r="AN188" s="9">
        <f t="shared" si="456"/>
        <v>0</v>
      </c>
      <c r="AO188" s="9">
        <f t="shared" si="456"/>
        <v>0</v>
      </c>
      <c r="AP188" s="9">
        <f t="shared" si="456"/>
        <v>0</v>
      </c>
      <c r="AQ188" s="9">
        <f t="shared" si="456"/>
        <v>0</v>
      </c>
      <c r="AR188" s="9">
        <f t="shared" si="456"/>
        <v>0</v>
      </c>
      <c r="AS188" s="9">
        <f t="shared" si="456"/>
        <v>0</v>
      </c>
      <c r="AT188" s="9">
        <f t="shared" si="456"/>
        <v>0</v>
      </c>
      <c r="AU188" s="9">
        <f t="shared" si="456"/>
        <v>0</v>
      </c>
      <c r="AV188" s="9">
        <f t="shared" si="456"/>
        <v>0</v>
      </c>
      <c r="AW188" s="9">
        <f t="shared" si="456"/>
        <v>0</v>
      </c>
      <c r="AX188" s="9">
        <f t="shared" si="456"/>
        <v>0</v>
      </c>
      <c r="AY188" s="9">
        <f t="shared" si="456"/>
        <v>0</v>
      </c>
      <c r="AZ188" s="9">
        <f t="shared" si="456"/>
        <v>0</v>
      </c>
      <c r="BA188" s="9">
        <f t="shared" si="456"/>
        <v>0</v>
      </c>
      <c r="BB188" s="9">
        <f t="shared" si="456"/>
        <v>0</v>
      </c>
      <c r="BC188" s="9">
        <f t="shared" si="456"/>
        <v>0</v>
      </c>
      <c r="BD188" s="9">
        <f t="shared" si="456"/>
        <v>0</v>
      </c>
      <c r="BE188" s="9">
        <f t="shared" si="456"/>
        <v>0</v>
      </c>
      <c r="BF188" s="9">
        <f t="shared" si="456"/>
        <v>0</v>
      </c>
      <c r="BG188" s="9">
        <f t="shared" si="456"/>
        <v>0</v>
      </c>
      <c r="BH188" s="9">
        <f t="shared" si="456"/>
        <v>0</v>
      </c>
      <c r="BI188" s="9">
        <f t="shared" si="456"/>
        <v>0</v>
      </c>
      <c r="BJ188" s="9">
        <f t="shared" si="456"/>
        <v>0</v>
      </c>
      <c r="BK188" s="9">
        <f t="shared" si="456"/>
        <v>0</v>
      </c>
      <c r="BL188" s="9">
        <f t="shared" si="456"/>
        <v>0</v>
      </c>
      <c r="BM188" s="9">
        <f t="shared" si="456"/>
        <v>0</v>
      </c>
      <c r="BN188" s="9">
        <f t="shared" si="456"/>
        <v>0</v>
      </c>
      <c r="BO188" s="9">
        <f t="shared" si="456"/>
        <v>0</v>
      </c>
      <c r="BP188" s="9">
        <f t="shared" si="456"/>
        <v>0</v>
      </c>
      <c r="BQ188" s="9">
        <f t="shared" si="456"/>
        <v>0</v>
      </c>
      <c r="BR188" s="9">
        <f t="shared" si="449"/>
        <v>0</v>
      </c>
      <c r="BS188" s="9">
        <f t="shared" si="449"/>
        <v>0</v>
      </c>
      <c r="BT188" s="9">
        <f t="shared" si="449"/>
        <v>0</v>
      </c>
      <c r="BU188" s="9">
        <f t="shared" si="449"/>
        <v>0</v>
      </c>
      <c r="BV188" s="9">
        <f t="shared" si="449"/>
        <v>0</v>
      </c>
      <c r="BW188" s="9">
        <f t="shared" si="449"/>
        <v>0</v>
      </c>
      <c r="BX188" s="9">
        <f t="shared" si="449"/>
        <v>0</v>
      </c>
      <c r="BY188" s="9">
        <f t="shared" si="449"/>
        <v>0</v>
      </c>
      <c r="BZ188" s="9">
        <f t="shared" si="449"/>
        <v>0</v>
      </c>
      <c r="CA188" s="9">
        <f t="shared" si="449"/>
        <v>0</v>
      </c>
      <c r="CB188" s="9">
        <f t="shared" si="449"/>
        <v>0</v>
      </c>
      <c r="CC188" s="9">
        <f t="shared" si="449"/>
        <v>0</v>
      </c>
      <c r="CD188" s="9">
        <f t="shared" si="449"/>
        <v>0</v>
      </c>
      <c r="CE188" s="9">
        <f t="shared" si="449"/>
        <v>0</v>
      </c>
      <c r="CF188" s="9">
        <f t="shared" ref="CF188:DR188" si="457">CF133+CF160</f>
        <v>0</v>
      </c>
      <c r="CG188" s="9">
        <f t="shared" si="457"/>
        <v>0</v>
      </c>
      <c r="CH188" s="9">
        <f t="shared" si="457"/>
        <v>0</v>
      </c>
      <c r="CI188" s="9">
        <f t="shared" si="457"/>
        <v>0</v>
      </c>
      <c r="CJ188" s="9">
        <f t="shared" si="457"/>
        <v>0</v>
      </c>
      <c r="CK188" s="9">
        <f t="shared" si="457"/>
        <v>0</v>
      </c>
      <c r="CL188" s="9">
        <f t="shared" si="457"/>
        <v>0</v>
      </c>
      <c r="CM188" s="9">
        <f t="shared" si="457"/>
        <v>0</v>
      </c>
      <c r="CN188" s="9">
        <f t="shared" si="457"/>
        <v>0</v>
      </c>
      <c r="CO188" s="9">
        <f t="shared" si="457"/>
        <v>0</v>
      </c>
      <c r="CP188" s="9">
        <f t="shared" si="457"/>
        <v>0</v>
      </c>
      <c r="CQ188" s="9">
        <f t="shared" si="457"/>
        <v>0</v>
      </c>
      <c r="CR188" s="9">
        <f t="shared" si="457"/>
        <v>0</v>
      </c>
      <c r="CS188" s="9">
        <f t="shared" si="457"/>
        <v>0</v>
      </c>
      <c r="CT188" s="9">
        <f t="shared" si="457"/>
        <v>0</v>
      </c>
      <c r="CU188" s="9">
        <f t="shared" si="457"/>
        <v>0</v>
      </c>
      <c r="CV188" s="9">
        <f t="shared" si="457"/>
        <v>0</v>
      </c>
      <c r="CW188" s="9">
        <f t="shared" si="457"/>
        <v>0</v>
      </c>
      <c r="CX188" s="9">
        <f t="shared" si="457"/>
        <v>0</v>
      </c>
      <c r="CY188" s="9">
        <f t="shared" si="457"/>
        <v>0</v>
      </c>
      <c r="CZ188" s="9">
        <f t="shared" si="457"/>
        <v>0</v>
      </c>
      <c r="DA188" s="9">
        <f t="shared" si="457"/>
        <v>0</v>
      </c>
      <c r="DB188" s="9">
        <f t="shared" si="457"/>
        <v>0</v>
      </c>
      <c r="DC188" s="9">
        <f t="shared" si="457"/>
        <v>0</v>
      </c>
      <c r="DD188" s="9">
        <f t="shared" si="457"/>
        <v>0</v>
      </c>
      <c r="DE188" s="9">
        <f t="shared" si="457"/>
        <v>0</v>
      </c>
      <c r="DF188" s="9">
        <f t="shared" si="457"/>
        <v>0</v>
      </c>
      <c r="DG188" s="9">
        <f t="shared" si="457"/>
        <v>0</v>
      </c>
      <c r="DH188" s="9">
        <f t="shared" si="457"/>
        <v>0</v>
      </c>
      <c r="DI188" s="9">
        <f t="shared" si="457"/>
        <v>0</v>
      </c>
      <c r="DJ188" s="9">
        <f t="shared" si="457"/>
        <v>0</v>
      </c>
      <c r="DK188" s="9">
        <f t="shared" si="457"/>
        <v>0</v>
      </c>
      <c r="DL188" s="9">
        <f t="shared" si="457"/>
        <v>0</v>
      </c>
      <c r="DM188" s="9">
        <f t="shared" si="457"/>
        <v>0</v>
      </c>
      <c r="DN188" s="9">
        <f t="shared" si="457"/>
        <v>0</v>
      </c>
      <c r="DO188" s="9">
        <f t="shared" si="457"/>
        <v>0</v>
      </c>
      <c r="DP188" s="9">
        <f t="shared" si="457"/>
        <v>0</v>
      </c>
      <c r="DQ188" s="9">
        <f t="shared" si="457"/>
        <v>0</v>
      </c>
      <c r="DR188" s="9">
        <f t="shared" si="457"/>
        <v>0</v>
      </c>
      <c r="DS188" s="31">
        <f t="shared" si="422"/>
        <v>0</v>
      </c>
      <c r="DT188" s="31">
        <f t="shared" si="424"/>
        <v>0</v>
      </c>
      <c r="DU188" s="9"/>
      <c r="DV188" s="8"/>
      <c r="DW188" s="7"/>
      <c r="DX188" s="7"/>
      <c r="DY188" s="7"/>
      <c r="DZ188" s="7"/>
      <c r="EA188" s="7"/>
      <c r="EB188" s="7"/>
      <c r="EC188" s="7"/>
    </row>
    <row r="189" spans="3:133" ht="15.75" thickBot="1">
      <c r="C189" s="57" t="str">
        <f t="shared" si="452"/>
        <v>///</v>
      </c>
      <c r="D189" s="57">
        <f t="shared" si="426"/>
        <v>0</v>
      </c>
      <c r="E189" s="64">
        <f t="shared" si="452"/>
        <v>0</v>
      </c>
      <c r="F189" s="9">
        <f t="shared" si="456"/>
        <v>0</v>
      </c>
      <c r="G189" s="9">
        <f t="shared" si="456"/>
        <v>0</v>
      </c>
      <c r="H189" s="9">
        <f t="shared" si="456"/>
        <v>0</v>
      </c>
      <c r="I189" s="9">
        <f t="shared" si="456"/>
        <v>0</v>
      </c>
      <c r="J189" s="9">
        <f t="shared" si="456"/>
        <v>0</v>
      </c>
      <c r="K189" s="9">
        <f t="shared" si="456"/>
        <v>0</v>
      </c>
      <c r="L189" s="9">
        <f t="shared" si="456"/>
        <v>0</v>
      </c>
      <c r="M189" s="9">
        <f t="shared" si="456"/>
        <v>0</v>
      </c>
      <c r="N189" s="9">
        <f t="shared" si="456"/>
        <v>0</v>
      </c>
      <c r="O189" s="9">
        <f t="shared" si="456"/>
        <v>0</v>
      </c>
      <c r="P189" s="9">
        <f t="shared" si="456"/>
        <v>0</v>
      </c>
      <c r="Q189" s="9">
        <f t="shared" si="456"/>
        <v>0</v>
      </c>
      <c r="R189" s="9">
        <f t="shared" si="456"/>
        <v>0</v>
      </c>
      <c r="S189" s="9">
        <f t="shared" si="456"/>
        <v>0</v>
      </c>
      <c r="T189" s="9">
        <f t="shared" si="456"/>
        <v>0</v>
      </c>
      <c r="U189" s="9">
        <f t="shared" si="456"/>
        <v>0</v>
      </c>
      <c r="V189" s="9">
        <f t="shared" si="456"/>
        <v>0</v>
      </c>
      <c r="W189" s="9">
        <f t="shared" si="456"/>
        <v>0</v>
      </c>
      <c r="X189" s="9">
        <f t="shared" si="456"/>
        <v>0</v>
      </c>
      <c r="Y189" s="9">
        <f t="shared" si="456"/>
        <v>0</v>
      </c>
      <c r="Z189" s="9">
        <f t="shared" si="456"/>
        <v>0</v>
      </c>
      <c r="AA189" s="9">
        <f t="shared" si="456"/>
        <v>0</v>
      </c>
      <c r="AB189" s="9">
        <f t="shared" si="456"/>
        <v>0</v>
      </c>
      <c r="AC189" s="9">
        <f t="shared" si="456"/>
        <v>0</v>
      </c>
      <c r="AD189" s="9">
        <f t="shared" si="456"/>
        <v>0</v>
      </c>
      <c r="AE189" s="9">
        <f t="shared" si="456"/>
        <v>0</v>
      </c>
      <c r="AF189" s="9">
        <f t="shared" si="456"/>
        <v>0</v>
      </c>
      <c r="AG189" s="9">
        <f t="shared" si="456"/>
        <v>0</v>
      </c>
      <c r="AH189" s="9">
        <f t="shared" si="456"/>
        <v>0</v>
      </c>
      <c r="AI189" s="9">
        <f t="shared" si="456"/>
        <v>0</v>
      </c>
      <c r="AJ189" s="9">
        <f t="shared" si="456"/>
        <v>0</v>
      </c>
      <c r="AK189" s="9">
        <f t="shared" si="456"/>
        <v>0</v>
      </c>
      <c r="AL189" s="9">
        <f t="shared" si="456"/>
        <v>0</v>
      </c>
      <c r="AM189" s="9">
        <f t="shared" si="456"/>
        <v>0</v>
      </c>
      <c r="AN189" s="9">
        <f t="shared" si="456"/>
        <v>0</v>
      </c>
      <c r="AO189" s="9">
        <f t="shared" si="456"/>
        <v>0</v>
      </c>
      <c r="AP189" s="9">
        <f t="shared" si="456"/>
        <v>0</v>
      </c>
      <c r="AQ189" s="9">
        <f t="shared" si="456"/>
        <v>0</v>
      </c>
      <c r="AR189" s="9">
        <f t="shared" si="456"/>
        <v>0</v>
      </c>
      <c r="AS189" s="9">
        <f t="shared" si="456"/>
        <v>0</v>
      </c>
      <c r="AT189" s="9">
        <f t="shared" si="456"/>
        <v>0</v>
      </c>
      <c r="AU189" s="9">
        <f t="shared" si="456"/>
        <v>0</v>
      </c>
      <c r="AV189" s="9">
        <f t="shared" si="456"/>
        <v>0</v>
      </c>
      <c r="AW189" s="9">
        <f t="shared" si="456"/>
        <v>0</v>
      </c>
      <c r="AX189" s="9">
        <f t="shared" si="456"/>
        <v>0</v>
      </c>
      <c r="AY189" s="9">
        <f t="shared" si="456"/>
        <v>0</v>
      </c>
      <c r="AZ189" s="9">
        <f t="shared" si="456"/>
        <v>0</v>
      </c>
      <c r="BA189" s="9">
        <f t="shared" si="456"/>
        <v>0</v>
      </c>
      <c r="BB189" s="9">
        <f t="shared" si="456"/>
        <v>0</v>
      </c>
      <c r="BC189" s="9">
        <f t="shared" si="456"/>
        <v>0</v>
      </c>
      <c r="BD189" s="9">
        <f t="shared" si="456"/>
        <v>0</v>
      </c>
      <c r="BE189" s="9">
        <f t="shared" si="456"/>
        <v>0</v>
      </c>
      <c r="BF189" s="9">
        <f t="shared" si="456"/>
        <v>0</v>
      </c>
      <c r="BG189" s="9">
        <f t="shared" si="456"/>
        <v>0</v>
      </c>
      <c r="BH189" s="9">
        <f t="shared" si="456"/>
        <v>0</v>
      </c>
      <c r="BI189" s="9">
        <f t="shared" si="456"/>
        <v>0</v>
      </c>
      <c r="BJ189" s="9">
        <f t="shared" si="456"/>
        <v>0</v>
      </c>
      <c r="BK189" s="9">
        <f t="shared" si="456"/>
        <v>0</v>
      </c>
      <c r="BL189" s="9">
        <f t="shared" si="456"/>
        <v>0</v>
      </c>
      <c r="BM189" s="9">
        <f t="shared" si="456"/>
        <v>0</v>
      </c>
      <c r="BN189" s="9">
        <f t="shared" si="456"/>
        <v>0</v>
      </c>
      <c r="BO189" s="9">
        <f t="shared" si="456"/>
        <v>0</v>
      </c>
      <c r="BP189" s="9">
        <f t="shared" si="456"/>
        <v>0</v>
      </c>
      <c r="BQ189" s="9">
        <f t="shared" si="456"/>
        <v>0</v>
      </c>
      <c r="BR189" s="9">
        <f t="shared" si="449"/>
        <v>0</v>
      </c>
      <c r="BS189" s="9">
        <f t="shared" si="449"/>
        <v>0</v>
      </c>
      <c r="BT189" s="9">
        <f t="shared" si="449"/>
        <v>0</v>
      </c>
      <c r="BU189" s="9">
        <f t="shared" si="449"/>
        <v>0</v>
      </c>
      <c r="BV189" s="9">
        <f t="shared" si="449"/>
        <v>0</v>
      </c>
      <c r="BW189" s="9">
        <f t="shared" si="449"/>
        <v>0</v>
      </c>
      <c r="BX189" s="9">
        <f t="shared" si="449"/>
        <v>0</v>
      </c>
      <c r="BY189" s="9">
        <f t="shared" si="449"/>
        <v>0</v>
      </c>
      <c r="BZ189" s="9">
        <f t="shared" si="449"/>
        <v>0</v>
      </c>
      <c r="CA189" s="9">
        <f t="shared" si="449"/>
        <v>0</v>
      </c>
      <c r="CB189" s="9">
        <f t="shared" si="449"/>
        <v>0</v>
      </c>
      <c r="CC189" s="9">
        <f t="shared" si="449"/>
        <v>0</v>
      </c>
      <c r="CD189" s="9">
        <f t="shared" si="449"/>
        <v>0</v>
      </c>
      <c r="CE189" s="9">
        <f t="shared" si="449"/>
        <v>0</v>
      </c>
      <c r="CF189" s="9">
        <f t="shared" ref="CF189:DR189" si="458">CF134+CF161</f>
        <v>0</v>
      </c>
      <c r="CG189" s="9">
        <f t="shared" si="458"/>
        <v>0</v>
      </c>
      <c r="CH189" s="9">
        <f t="shared" si="458"/>
        <v>0</v>
      </c>
      <c r="CI189" s="9">
        <f t="shared" si="458"/>
        <v>0</v>
      </c>
      <c r="CJ189" s="9">
        <f t="shared" si="458"/>
        <v>0</v>
      </c>
      <c r="CK189" s="9">
        <f t="shared" si="458"/>
        <v>0</v>
      </c>
      <c r="CL189" s="9">
        <f t="shared" si="458"/>
        <v>0</v>
      </c>
      <c r="CM189" s="9">
        <f t="shared" si="458"/>
        <v>0</v>
      </c>
      <c r="CN189" s="9">
        <f t="shared" si="458"/>
        <v>0</v>
      </c>
      <c r="CO189" s="9">
        <f t="shared" si="458"/>
        <v>0</v>
      </c>
      <c r="CP189" s="9">
        <f t="shared" si="458"/>
        <v>0</v>
      </c>
      <c r="CQ189" s="9">
        <f t="shared" si="458"/>
        <v>0</v>
      </c>
      <c r="CR189" s="9">
        <f t="shared" si="458"/>
        <v>0</v>
      </c>
      <c r="CS189" s="9">
        <f t="shared" si="458"/>
        <v>0</v>
      </c>
      <c r="CT189" s="9">
        <f t="shared" si="458"/>
        <v>0</v>
      </c>
      <c r="CU189" s="9">
        <f t="shared" si="458"/>
        <v>0</v>
      </c>
      <c r="CV189" s="9">
        <f t="shared" si="458"/>
        <v>0</v>
      </c>
      <c r="CW189" s="9">
        <f t="shared" si="458"/>
        <v>0</v>
      </c>
      <c r="CX189" s="9">
        <f t="shared" si="458"/>
        <v>0</v>
      </c>
      <c r="CY189" s="9">
        <f t="shared" si="458"/>
        <v>0</v>
      </c>
      <c r="CZ189" s="9">
        <f t="shared" si="458"/>
        <v>0</v>
      </c>
      <c r="DA189" s="9">
        <f t="shared" si="458"/>
        <v>0</v>
      </c>
      <c r="DB189" s="9">
        <f t="shared" si="458"/>
        <v>0</v>
      </c>
      <c r="DC189" s="9">
        <f t="shared" si="458"/>
        <v>0</v>
      </c>
      <c r="DD189" s="9">
        <f t="shared" si="458"/>
        <v>0</v>
      </c>
      <c r="DE189" s="9">
        <f t="shared" si="458"/>
        <v>0</v>
      </c>
      <c r="DF189" s="9">
        <f t="shared" si="458"/>
        <v>0</v>
      </c>
      <c r="DG189" s="9">
        <f t="shared" si="458"/>
        <v>0</v>
      </c>
      <c r="DH189" s="9">
        <f t="shared" si="458"/>
        <v>0</v>
      </c>
      <c r="DI189" s="9">
        <f t="shared" si="458"/>
        <v>0</v>
      </c>
      <c r="DJ189" s="9">
        <f t="shared" si="458"/>
        <v>0</v>
      </c>
      <c r="DK189" s="9">
        <f t="shared" si="458"/>
        <v>0</v>
      </c>
      <c r="DL189" s="9">
        <f t="shared" si="458"/>
        <v>0</v>
      </c>
      <c r="DM189" s="9">
        <f t="shared" si="458"/>
        <v>0</v>
      </c>
      <c r="DN189" s="9">
        <f t="shared" si="458"/>
        <v>0</v>
      </c>
      <c r="DO189" s="9">
        <f t="shared" si="458"/>
        <v>0</v>
      </c>
      <c r="DP189" s="9">
        <f t="shared" si="458"/>
        <v>0</v>
      </c>
      <c r="DQ189" s="9">
        <f t="shared" si="458"/>
        <v>0</v>
      </c>
      <c r="DR189" s="9">
        <f t="shared" si="458"/>
        <v>0</v>
      </c>
      <c r="DS189" s="31">
        <f t="shared" si="422"/>
        <v>0</v>
      </c>
      <c r="DT189" s="31">
        <f t="shared" si="424"/>
        <v>0</v>
      </c>
      <c r="DU189" s="9"/>
      <c r="DV189" s="8"/>
      <c r="DW189" s="7"/>
      <c r="DX189" s="7"/>
      <c r="DY189" s="7"/>
      <c r="DZ189" s="7"/>
      <c r="EA189" s="7"/>
      <c r="EB189" s="7"/>
      <c r="EC189" s="7"/>
    </row>
    <row r="190" spans="3:133" ht="15.75" hidden="1" thickBot="1">
      <c r="C190" s="52" t="str">
        <f t="shared" si="452"/>
        <v>Open</v>
      </c>
      <c r="D190" s="52"/>
      <c r="E190" s="52"/>
      <c r="F190" s="9">
        <f t="shared" si="456"/>
        <v>0</v>
      </c>
      <c r="G190" s="9">
        <f t="shared" si="456"/>
        <v>0</v>
      </c>
      <c r="H190" s="9">
        <f t="shared" si="456"/>
        <v>0</v>
      </c>
      <c r="I190" s="9">
        <f t="shared" si="456"/>
        <v>0</v>
      </c>
      <c r="J190" s="9">
        <f t="shared" si="456"/>
        <v>0</v>
      </c>
      <c r="K190" s="9">
        <f t="shared" si="456"/>
        <v>0</v>
      </c>
      <c r="L190" s="9">
        <f t="shared" si="456"/>
        <v>0</v>
      </c>
      <c r="M190" s="9">
        <f t="shared" si="456"/>
        <v>0</v>
      </c>
      <c r="N190" s="9">
        <f t="shared" si="456"/>
        <v>0</v>
      </c>
      <c r="O190" s="9">
        <f t="shared" si="456"/>
        <v>0</v>
      </c>
      <c r="P190" s="9">
        <f t="shared" si="456"/>
        <v>0</v>
      </c>
      <c r="Q190" s="9">
        <f t="shared" si="456"/>
        <v>0</v>
      </c>
      <c r="R190" s="9">
        <f t="shared" si="456"/>
        <v>0</v>
      </c>
      <c r="S190" s="9">
        <f t="shared" si="456"/>
        <v>0</v>
      </c>
      <c r="T190" s="9">
        <f t="shared" si="456"/>
        <v>0</v>
      </c>
      <c r="U190" s="9">
        <f t="shared" si="456"/>
        <v>0</v>
      </c>
      <c r="V190" s="9">
        <f t="shared" si="456"/>
        <v>0</v>
      </c>
      <c r="W190" s="9">
        <f t="shared" si="456"/>
        <v>0</v>
      </c>
      <c r="X190" s="9">
        <f t="shared" si="456"/>
        <v>0</v>
      </c>
      <c r="Y190" s="9">
        <f t="shared" si="456"/>
        <v>0</v>
      </c>
      <c r="Z190" s="9">
        <f t="shared" si="456"/>
        <v>0</v>
      </c>
      <c r="AA190" s="9">
        <f t="shared" si="456"/>
        <v>0</v>
      </c>
      <c r="AB190" s="9">
        <f t="shared" si="456"/>
        <v>0</v>
      </c>
      <c r="AC190" s="9">
        <f t="shared" si="456"/>
        <v>0</v>
      </c>
      <c r="AD190" s="9">
        <f t="shared" si="456"/>
        <v>0</v>
      </c>
      <c r="AE190" s="9">
        <f t="shared" si="456"/>
        <v>0</v>
      </c>
      <c r="AF190" s="9">
        <f t="shared" si="456"/>
        <v>0</v>
      </c>
      <c r="AG190" s="9">
        <f t="shared" si="456"/>
        <v>0</v>
      </c>
      <c r="AH190" s="9">
        <f t="shared" si="456"/>
        <v>0</v>
      </c>
      <c r="AI190" s="9">
        <f t="shared" si="456"/>
        <v>0</v>
      </c>
      <c r="AJ190" s="9">
        <f t="shared" si="456"/>
        <v>0</v>
      </c>
      <c r="AK190" s="9">
        <f t="shared" si="456"/>
        <v>0</v>
      </c>
      <c r="AL190" s="9">
        <f t="shared" si="456"/>
        <v>0</v>
      </c>
      <c r="AM190" s="9">
        <f t="shared" si="456"/>
        <v>0</v>
      </c>
      <c r="AN190" s="9">
        <f t="shared" si="456"/>
        <v>0</v>
      </c>
      <c r="AO190" s="9">
        <f t="shared" si="456"/>
        <v>0</v>
      </c>
      <c r="AP190" s="9">
        <f t="shared" si="456"/>
        <v>0</v>
      </c>
      <c r="AQ190" s="9">
        <f t="shared" si="456"/>
        <v>0</v>
      </c>
      <c r="AR190" s="9">
        <f t="shared" si="456"/>
        <v>0</v>
      </c>
      <c r="AS190" s="9">
        <f t="shared" si="456"/>
        <v>0</v>
      </c>
      <c r="AT190" s="9">
        <f t="shared" si="456"/>
        <v>0</v>
      </c>
      <c r="AU190" s="9">
        <f t="shared" si="456"/>
        <v>0</v>
      </c>
      <c r="AV190" s="9">
        <f t="shared" si="456"/>
        <v>0</v>
      </c>
      <c r="AW190" s="9">
        <f t="shared" si="456"/>
        <v>0</v>
      </c>
      <c r="AX190" s="9">
        <f t="shared" si="456"/>
        <v>0</v>
      </c>
      <c r="AY190" s="9">
        <f t="shared" si="456"/>
        <v>0</v>
      </c>
      <c r="AZ190" s="9">
        <f t="shared" si="456"/>
        <v>0</v>
      </c>
      <c r="BA190" s="9">
        <f t="shared" si="456"/>
        <v>0</v>
      </c>
      <c r="BB190" s="9">
        <f t="shared" si="456"/>
        <v>0</v>
      </c>
      <c r="BC190" s="9">
        <f t="shared" si="456"/>
        <v>0</v>
      </c>
      <c r="BD190" s="9">
        <f t="shared" si="456"/>
        <v>0</v>
      </c>
      <c r="BE190" s="9">
        <f t="shared" si="456"/>
        <v>0</v>
      </c>
      <c r="BF190" s="9">
        <f t="shared" si="456"/>
        <v>0</v>
      </c>
      <c r="BG190" s="9">
        <f t="shared" si="456"/>
        <v>0</v>
      </c>
      <c r="BH190" s="9">
        <f t="shared" si="456"/>
        <v>0</v>
      </c>
      <c r="BI190" s="9">
        <f t="shared" si="456"/>
        <v>0</v>
      </c>
      <c r="BJ190" s="9">
        <f t="shared" si="456"/>
        <v>0</v>
      </c>
      <c r="BK190" s="9">
        <f t="shared" si="456"/>
        <v>0</v>
      </c>
      <c r="BL190" s="9">
        <f t="shared" si="456"/>
        <v>0</v>
      </c>
      <c r="BM190" s="9">
        <f t="shared" si="456"/>
        <v>0</v>
      </c>
      <c r="BN190" s="9">
        <f t="shared" si="456"/>
        <v>0</v>
      </c>
      <c r="BO190" s="9">
        <f t="shared" si="456"/>
        <v>0</v>
      </c>
      <c r="BP190" s="9">
        <f t="shared" si="456"/>
        <v>0</v>
      </c>
      <c r="BQ190" s="9">
        <f t="shared" si="456"/>
        <v>0</v>
      </c>
      <c r="BR190" s="9">
        <f t="shared" si="449"/>
        <v>0</v>
      </c>
      <c r="BS190" s="9">
        <f t="shared" si="449"/>
        <v>0</v>
      </c>
      <c r="BT190" s="9">
        <f t="shared" si="449"/>
        <v>0</v>
      </c>
      <c r="BU190" s="9">
        <f t="shared" si="449"/>
        <v>0</v>
      </c>
      <c r="BV190" s="9">
        <f t="shared" si="449"/>
        <v>0</v>
      </c>
      <c r="BW190" s="9">
        <f t="shared" si="449"/>
        <v>0</v>
      </c>
      <c r="BX190" s="9">
        <f t="shared" si="449"/>
        <v>0</v>
      </c>
      <c r="BY190" s="9">
        <f t="shared" si="449"/>
        <v>0</v>
      </c>
      <c r="BZ190" s="9">
        <f t="shared" si="449"/>
        <v>0</v>
      </c>
      <c r="CA190" s="9">
        <f t="shared" si="449"/>
        <v>0</v>
      </c>
      <c r="CB190" s="9">
        <f t="shared" si="449"/>
        <v>0</v>
      </c>
      <c r="CC190" s="9">
        <f t="shared" si="449"/>
        <v>0</v>
      </c>
      <c r="CD190" s="9">
        <f t="shared" si="449"/>
        <v>0</v>
      </c>
      <c r="CE190" s="9">
        <f t="shared" si="449"/>
        <v>0</v>
      </c>
      <c r="CF190" s="9">
        <f t="shared" ref="CF190:DR190" si="459">CF135+CF162</f>
        <v>0</v>
      </c>
      <c r="CG190" s="9">
        <f t="shared" si="459"/>
        <v>0</v>
      </c>
      <c r="CH190" s="9">
        <f t="shared" si="459"/>
        <v>0</v>
      </c>
      <c r="CI190" s="9">
        <f t="shared" si="459"/>
        <v>0</v>
      </c>
      <c r="CJ190" s="9">
        <f t="shared" si="459"/>
        <v>0</v>
      </c>
      <c r="CK190" s="9">
        <f t="shared" si="459"/>
        <v>0</v>
      </c>
      <c r="CL190" s="9">
        <f t="shared" si="459"/>
        <v>0</v>
      </c>
      <c r="CM190" s="9">
        <f t="shared" si="459"/>
        <v>0</v>
      </c>
      <c r="CN190" s="9">
        <f t="shared" si="459"/>
        <v>0</v>
      </c>
      <c r="CO190" s="9">
        <f t="shared" si="459"/>
        <v>0</v>
      </c>
      <c r="CP190" s="9">
        <f t="shared" si="459"/>
        <v>0</v>
      </c>
      <c r="CQ190" s="9">
        <f t="shared" si="459"/>
        <v>0</v>
      </c>
      <c r="CR190" s="9">
        <f t="shared" si="459"/>
        <v>0</v>
      </c>
      <c r="CS190" s="9">
        <f t="shared" si="459"/>
        <v>0</v>
      </c>
      <c r="CT190" s="9">
        <f t="shared" si="459"/>
        <v>0</v>
      </c>
      <c r="CU190" s="9">
        <f t="shared" si="459"/>
        <v>0</v>
      </c>
      <c r="CV190" s="9">
        <f t="shared" si="459"/>
        <v>0</v>
      </c>
      <c r="CW190" s="9">
        <f t="shared" si="459"/>
        <v>0</v>
      </c>
      <c r="CX190" s="9">
        <f t="shared" si="459"/>
        <v>0</v>
      </c>
      <c r="CY190" s="9">
        <f t="shared" si="459"/>
        <v>0</v>
      </c>
      <c r="CZ190" s="9">
        <f t="shared" si="459"/>
        <v>0</v>
      </c>
      <c r="DA190" s="9">
        <f t="shared" si="459"/>
        <v>0</v>
      </c>
      <c r="DB190" s="9">
        <f t="shared" si="459"/>
        <v>0</v>
      </c>
      <c r="DC190" s="9">
        <f t="shared" si="459"/>
        <v>0</v>
      </c>
      <c r="DD190" s="9">
        <f t="shared" si="459"/>
        <v>0</v>
      </c>
      <c r="DE190" s="9">
        <f t="shared" si="459"/>
        <v>0</v>
      </c>
      <c r="DF190" s="9">
        <f t="shared" si="459"/>
        <v>0</v>
      </c>
      <c r="DG190" s="9">
        <f t="shared" si="459"/>
        <v>0</v>
      </c>
      <c r="DH190" s="9">
        <f t="shared" si="459"/>
        <v>0</v>
      </c>
      <c r="DI190" s="9">
        <f t="shared" si="459"/>
        <v>0</v>
      </c>
      <c r="DJ190" s="9">
        <f t="shared" si="459"/>
        <v>0</v>
      </c>
      <c r="DK190" s="9">
        <f t="shared" si="459"/>
        <v>0</v>
      </c>
      <c r="DL190" s="9">
        <f t="shared" si="459"/>
        <v>0</v>
      </c>
      <c r="DM190" s="9">
        <f t="shared" si="459"/>
        <v>0</v>
      </c>
      <c r="DN190" s="9">
        <f t="shared" si="459"/>
        <v>0</v>
      </c>
      <c r="DO190" s="9">
        <f t="shared" si="459"/>
        <v>0</v>
      </c>
      <c r="DP190" s="9">
        <f t="shared" si="459"/>
        <v>0</v>
      </c>
      <c r="DQ190" s="9">
        <f t="shared" si="459"/>
        <v>0</v>
      </c>
      <c r="DR190" s="9">
        <f t="shared" si="459"/>
        <v>0</v>
      </c>
      <c r="DS190" s="31">
        <f>SUM(F190:Q190)+SUM(S190:AD190)+SUM(AF190:AQ190)+SUM(AS190:BD190)+SUM(BF190:BQ190)+SUM(BS190:CD190)</f>
        <v>0</v>
      </c>
      <c r="DT190" s="31">
        <f t="shared" si="424"/>
        <v>0</v>
      </c>
      <c r="DU190" s="9"/>
      <c r="DV190" s="8"/>
      <c r="DW190" s="7"/>
      <c r="DX190" s="7"/>
      <c r="DY190" s="7"/>
      <c r="DZ190" s="7"/>
      <c r="EA190" s="7"/>
      <c r="EB190" s="7"/>
      <c r="EC190" s="7"/>
    </row>
    <row r="191" spans="3:133" ht="15.75" hidden="1" thickBot="1">
      <c r="C191" s="51" t="str">
        <f>$C30</f>
        <v>Open</v>
      </c>
      <c r="D191" s="51"/>
      <c r="E191" s="51"/>
      <c r="F191" s="9">
        <f t="shared" si="456"/>
        <v>0</v>
      </c>
      <c r="G191" s="9">
        <f t="shared" si="456"/>
        <v>0</v>
      </c>
      <c r="H191" s="9">
        <f t="shared" si="456"/>
        <v>0</v>
      </c>
      <c r="I191" s="9">
        <f t="shared" si="456"/>
        <v>0</v>
      </c>
      <c r="J191" s="9">
        <f t="shared" si="456"/>
        <v>0</v>
      </c>
      <c r="K191" s="9">
        <f t="shared" si="456"/>
        <v>0</v>
      </c>
      <c r="L191" s="9">
        <f t="shared" si="456"/>
        <v>0</v>
      </c>
      <c r="M191" s="9">
        <f t="shared" si="456"/>
        <v>0</v>
      </c>
      <c r="N191" s="9">
        <f t="shared" si="456"/>
        <v>0</v>
      </c>
      <c r="O191" s="9">
        <f t="shared" si="456"/>
        <v>0</v>
      </c>
      <c r="P191" s="9">
        <f t="shared" si="456"/>
        <v>0</v>
      </c>
      <c r="Q191" s="9">
        <f t="shared" si="456"/>
        <v>0</v>
      </c>
      <c r="R191" s="9">
        <f t="shared" si="456"/>
        <v>0</v>
      </c>
      <c r="S191" s="9">
        <f t="shared" si="456"/>
        <v>0</v>
      </c>
      <c r="T191" s="9">
        <f t="shared" si="456"/>
        <v>0</v>
      </c>
      <c r="U191" s="9">
        <f t="shared" si="456"/>
        <v>0</v>
      </c>
      <c r="V191" s="9">
        <f t="shared" si="456"/>
        <v>0</v>
      </c>
      <c r="W191" s="9">
        <f t="shared" si="456"/>
        <v>0</v>
      </c>
      <c r="X191" s="9">
        <f t="shared" si="456"/>
        <v>0</v>
      </c>
      <c r="Y191" s="9">
        <f t="shared" si="456"/>
        <v>0</v>
      </c>
      <c r="Z191" s="9">
        <f t="shared" si="456"/>
        <v>0</v>
      </c>
      <c r="AA191" s="9">
        <f t="shared" si="456"/>
        <v>0</v>
      </c>
      <c r="AB191" s="9">
        <f t="shared" si="456"/>
        <v>0</v>
      </c>
      <c r="AC191" s="9">
        <f t="shared" si="456"/>
        <v>0</v>
      </c>
      <c r="AD191" s="9">
        <f t="shared" si="456"/>
        <v>0</v>
      </c>
      <c r="AE191" s="9">
        <f t="shared" si="456"/>
        <v>0</v>
      </c>
      <c r="AF191" s="9">
        <f t="shared" si="456"/>
        <v>0</v>
      </c>
      <c r="AG191" s="9">
        <f t="shared" si="456"/>
        <v>0</v>
      </c>
      <c r="AH191" s="9">
        <f t="shared" si="456"/>
        <v>0</v>
      </c>
      <c r="AI191" s="9">
        <f t="shared" si="456"/>
        <v>0</v>
      </c>
      <c r="AJ191" s="9">
        <f t="shared" si="456"/>
        <v>0</v>
      </c>
      <c r="AK191" s="9">
        <f t="shared" si="456"/>
        <v>0</v>
      </c>
      <c r="AL191" s="9">
        <f t="shared" si="456"/>
        <v>0</v>
      </c>
      <c r="AM191" s="9">
        <f t="shared" si="456"/>
        <v>0</v>
      </c>
      <c r="AN191" s="9">
        <f t="shared" si="456"/>
        <v>0</v>
      </c>
      <c r="AO191" s="9">
        <f t="shared" si="456"/>
        <v>0</v>
      </c>
      <c r="AP191" s="9">
        <f t="shared" si="456"/>
        <v>0</v>
      </c>
      <c r="AQ191" s="9">
        <f t="shared" si="456"/>
        <v>0</v>
      </c>
      <c r="AR191" s="9">
        <f t="shared" si="456"/>
        <v>0</v>
      </c>
      <c r="AS191" s="9">
        <f t="shared" si="456"/>
        <v>0</v>
      </c>
      <c r="AT191" s="9">
        <f t="shared" si="456"/>
        <v>0</v>
      </c>
      <c r="AU191" s="9">
        <f t="shared" si="456"/>
        <v>0</v>
      </c>
      <c r="AV191" s="9">
        <f t="shared" si="456"/>
        <v>0</v>
      </c>
      <c r="AW191" s="9">
        <f t="shared" si="456"/>
        <v>0</v>
      </c>
      <c r="AX191" s="9">
        <f t="shared" si="456"/>
        <v>0</v>
      </c>
      <c r="AY191" s="9">
        <f t="shared" si="456"/>
        <v>0</v>
      </c>
      <c r="AZ191" s="9">
        <f t="shared" si="456"/>
        <v>0</v>
      </c>
      <c r="BA191" s="9">
        <f t="shared" si="456"/>
        <v>0</v>
      </c>
      <c r="BB191" s="9">
        <f t="shared" si="456"/>
        <v>0</v>
      </c>
      <c r="BC191" s="9">
        <f t="shared" si="456"/>
        <v>0</v>
      </c>
      <c r="BD191" s="9">
        <f t="shared" si="456"/>
        <v>0</v>
      </c>
      <c r="BE191" s="9">
        <f t="shared" si="456"/>
        <v>0</v>
      </c>
      <c r="BF191" s="9">
        <f t="shared" si="456"/>
        <v>0</v>
      </c>
      <c r="BG191" s="9">
        <f t="shared" si="456"/>
        <v>0</v>
      </c>
      <c r="BH191" s="9">
        <f t="shared" si="456"/>
        <v>0</v>
      </c>
      <c r="BI191" s="9">
        <f t="shared" si="456"/>
        <v>0</v>
      </c>
      <c r="BJ191" s="9">
        <f t="shared" si="456"/>
        <v>0</v>
      </c>
      <c r="BK191" s="9">
        <f t="shared" si="456"/>
        <v>0</v>
      </c>
      <c r="BL191" s="9">
        <f t="shared" si="456"/>
        <v>0</v>
      </c>
      <c r="BM191" s="9">
        <f t="shared" si="456"/>
        <v>0</v>
      </c>
      <c r="BN191" s="9">
        <f t="shared" si="456"/>
        <v>0</v>
      </c>
      <c r="BO191" s="9">
        <f t="shared" si="456"/>
        <v>0</v>
      </c>
      <c r="BP191" s="9">
        <f t="shared" si="456"/>
        <v>0</v>
      </c>
      <c r="BQ191" s="9">
        <f t="shared" ref="BQ191" si="460">BQ136+BQ163</f>
        <v>0</v>
      </c>
      <c r="BR191" s="9">
        <f t="shared" si="449"/>
        <v>0</v>
      </c>
      <c r="BS191" s="9">
        <f t="shared" si="449"/>
        <v>0</v>
      </c>
      <c r="BT191" s="9">
        <f t="shared" si="449"/>
        <v>0</v>
      </c>
      <c r="BU191" s="9">
        <f t="shared" si="449"/>
        <v>0</v>
      </c>
      <c r="BV191" s="9">
        <f t="shared" si="449"/>
        <v>0</v>
      </c>
      <c r="BW191" s="9">
        <f t="shared" si="449"/>
        <v>0</v>
      </c>
      <c r="BX191" s="9">
        <f t="shared" si="449"/>
        <v>0</v>
      </c>
      <c r="BY191" s="9">
        <f t="shared" si="449"/>
        <v>0</v>
      </c>
      <c r="BZ191" s="9">
        <f t="shared" si="449"/>
        <v>0</v>
      </c>
      <c r="CA191" s="9">
        <f t="shared" si="449"/>
        <v>0</v>
      </c>
      <c r="CB191" s="9">
        <f t="shared" si="449"/>
        <v>0</v>
      </c>
      <c r="CC191" s="9">
        <f t="shared" si="449"/>
        <v>0</v>
      </c>
      <c r="CD191" s="9">
        <f t="shared" si="449"/>
        <v>0</v>
      </c>
      <c r="CE191" s="9">
        <f t="shared" si="449"/>
        <v>0</v>
      </c>
      <c r="CF191" s="9">
        <f t="shared" ref="CF191:DR191" si="461">CF136+CF163</f>
        <v>0</v>
      </c>
      <c r="CG191" s="9">
        <f t="shared" si="461"/>
        <v>0</v>
      </c>
      <c r="CH191" s="9">
        <f t="shared" si="461"/>
        <v>0</v>
      </c>
      <c r="CI191" s="9">
        <f t="shared" si="461"/>
        <v>0</v>
      </c>
      <c r="CJ191" s="9">
        <f t="shared" si="461"/>
        <v>0</v>
      </c>
      <c r="CK191" s="9">
        <f t="shared" si="461"/>
        <v>0</v>
      </c>
      <c r="CL191" s="9">
        <f t="shared" si="461"/>
        <v>0</v>
      </c>
      <c r="CM191" s="9">
        <f t="shared" si="461"/>
        <v>0</v>
      </c>
      <c r="CN191" s="9">
        <f t="shared" si="461"/>
        <v>0</v>
      </c>
      <c r="CO191" s="9">
        <f t="shared" si="461"/>
        <v>0</v>
      </c>
      <c r="CP191" s="9">
        <f t="shared" si="461"/>
        <v>0</v>
      </c>
      <c r="CQ191" s="9">
        <f t="shared" si="461"/>
        <v>0</v>
      </c>
      <c r="CR191" s="9">
        <f t="shared" si="461"/>
        <v>0</v>
      </c>
      <c r="CS191" s="9">
        <f t="shared" si="461"/>
        <v>0</v>
      </c>
      <c r="CT191" s="9">
        <f t="shared" si="461"/>
        <v>0</v>
      </c>
      <c r="CU191" s="9">
        <f t="shared" si="461"/>
        <v>0</v>
      </c>
      <c r="CV191" s="9">
        <f t="shared" si="461"/>
        <v>0</v>
      </c>
      <c r="CW191" s="9">
        <f t="shared" si="461"/>
        <v>0</v>
      </c>
      <c r="CX191" s="9">
        <f t="shared" si="461"/>
        <v>0</v>
      </c>
      <c r="CY191" s="9">
        <f t="shared" si="461"/>
        <v>0</v>
      </c>
      <c r="CZ191" s="9">
        <f t="shared" si="461"/>
        <v>0</v>
      </c>
      <c r="DA191" s="9">
        <f t="shared" si="461"/>
        <v>0</v>
      </c>
      <c r="DB191" s="9">
        <f t="shared" si="461"/>
        <v>0</v>
      </c>
      <c r="DC191" s="9">
        <f t="shared" si="461"/>
        <v>0</v>
      </c>
      <c r="DD191" s="9">
        <f t="shared" si="461"/>
        <v>0</v>
      </c>
      <c r="DE191" s="9">
        <f t="shared" si="461"/>
        <v>0</v>
      </c>
      <c r="DF191" s="9">
        <f t="shared" si="461"/>
        <v>0</v>
      </c>
      <c r="DG191" s="9">
        <f t="shared" si="461"/>
        <v>0</v>
      </c>
      <c r="DH191" s="9">
        <f t="shared" si="461"/>
        <v>0</v>
      </c>
      <c r="DI191" s="9">
        <f t="shared" si="461"/>
        <v>0</v>
      </c>
      <c r="DJ191" s="9">
        <f t="shared" si="461"/>
        <v>0</v>
      </c>
      <c r="DK191" s="9">
        <f t="shared" si="461"/>
        <v>0</v>
      </c>
      <c r="DL191" s="9">
        <f t="shared" si="461"/>
        <v>0</v>
      </c>
      <c r="DM191" s="9">
        <f t="shared" si="461"/>
        <v>0</v>
      </c>
      <c r="DN191" s="9">
        <f t="shared" si="461"/>
        <v>0</v>
      </c>
      <c r="DO191" s="9">
        <f t="shared" si="461"/>
        <v>0</v>
      </c>
      <c r="DP191" s="9">
        <f t="shared" si="461"/>
        <v>0</v>
      </c>
      <c r="DQ191" s="9">
        <f t="shared" si="461"/>
        <v>0</v>
      </c>
      <c r="DR191" s="9">
        <f t="shared" si="461"/>
        <v>0</v>
      </c>
      <c r="DS191" s="31">
        <f>SUM(F191:Q191)+SUM(S191:AD191)+SUM(AF191:AQ191)+SUM(AS191:BD191)+SUM(BF191:BQ191)+SUM(BS191:CD191)</f>
        <v>0</v>
      </c>
      <c r="DT191" s="31">
        <f t="shared" si="424"/>
        <v>0</v>
      </c>
      <c r="DU191" s="9"/>
      <c r="DV191" s="8"/>
      <c r="DW191" s="7"/>
      <c r="DX191" s="7"/>
      <c r="DY191" s="7"/>
      <c r="DZ191" s="7"/>
      <c r="EA191" s="7"/>
      <c r="EB191" s="7"/>
      <c r="EC191" s="7"/>
    </row>
    <row r="192" spans="3:133" s="46" customFormat="1">
      <c r="C192" s="157" t="s">
        <v>29</v>
      </c>
      <c r="D192" s="157"/>
      <c r="E192" s="76"/>
      <c r="F192" s="392">
        <f t="shared" ref="F192:Q192" si="462">SUM(F168:F191)</f>
        <v>0</v>
      </c>
      <c r="G192" s="392">
        <f t="shared" si="462"/>
        <v>0</v>
      </c>
      <c r="H192" s="392">
        <f t="shared" si="462"/>
        <v>0</v>
      </c>
      <c r="I192" s="392">
        <f t="shared" si="462"/>
        <v>0</v>
      </c>
      <c r="J192" s="392">
        <f t="shared" si="462"/>
        <v>0</v>
      </c>
      <c r="K192" s="392">
        <f t="shared" si="462"/>
        <v>0</v>
      </c>
      <c r="L192" s="392">
        <f t="shared" si="462"/>
        <v>0</v>
      </c>
      <c r="M192" s="392">
        <f t="shared" si="462"/>
        <v>0</v>
      </c>
      <c r="N192" s="392">
        <f t="shared" si="462"/>
        <v>0</v>
      </c>
      <c r="O192" s="392">
        <f t="shared" si="462"/>
        <v>0</v>
      </c>
      <c r="P192" s="392">
        <f t="shared" si="462"/>
        <v>0</v>
      </c>
      <c r="Q192" s="392">
        <f t="shared" si="462"/>
        <v>0</v>
      </c>
      <c r="R192" s="392"/>
      <c r="S192" s="392">
        <f t="shared" ref="S192:AD192" si="463">SUM(S168:S191)</f>
        <v>0</v>
      </c>
      <c r="T192" s="392">
        <f t="shared" si="463"/>
        <v>0</v>
      </c>
      <c r="U192" s="392">
        <f t="shared" si="463"/>
        <v>0</v>
      </c>
      <c r="V192" s="392">
        <f t="shared" si="463"/>
        <v>0</v>
      </c>
      <c r="W192" s="392">
        <f t="shared" si="463"/>
        <v>0</v>
      </c>
      <c r="X192" s="392">
        <f t="shared" si="463"/>
        <v>0</v>
      </c>
      <c r="Y192" s="392">
        <f t="shared" si="463"/>
        <v>0</v>
      </c>
      <c r="Z192" s="392">
        <f t="shared" si="463"/>
        <v>0</v>
      </c>
      <c r="AA192" s="392">
        <f t="shared" si="463"/>
        <v>0</v>
      </c>
      <c r="AB192" s="392">
        <f t="shared" si="463"/>
        <v>0</v>
      </c>
      <c r="AC192" s="392">
        <f t="shared" si="463"/>
        <v>0</v>
      </c>
      <c r="AD192" s="392">
        <f t="shared" si="463"/>
        <v>0</v>
      </c>
      <c r="AE192" s="392"/>
      <c r="AF192" s="392">
        <f t="shared" ref="AF192:AQ192" si="464">SUM(AF168:AF191)</f>
        <v>0</v>
      </c>
      <c r="AG192" s="392">
        <f t="shared" si="464"/>
        <v>0</v>
      </c>
      <c r="AH192" s="392">
        <f t="shared" si="464"/>
        <v>0</v>
      </c>
      <c r="AI192" s="392">
        <f t="shared" si="464"/>
        <v>0</v>
      </c>
      <c r="AJ192" s="392">
        <f t="shared" si="464"/>
        <v>0</v>
      </c>
      <c r="AK192" s="392">
        <f t="shared" si="464"/>
        <v>0</v>
      </c>
      <c r="AL192" s="392">
        <f t="shared" si="464"/>
        <v>0</v>
      </c>
      <c r="AM192" s="392">
        <f t="shared" si="464"/>
        <v>0</v>
      </c>
      <c r="AN192" s="392">
        <f t="shared" si="464"/>
        <v>0</v>
      </c>
      <c r="AO192" s="392">
        <f t="shared" si="464"/>
        <v>0</v>
      </c>
      <c r="AP192" s="392">
        <f t="shared" si="464"/>
        <v>0</v>
      </c>
      <c r="AQ192" s="392">
        <f t="shared" si="464"/>
        <v>0</v>
      </c>
      <c r="AR192" s="392"/>
      <c r="AS192" s="392">
        <f t="shared" ref="AS192:BD192" si="465">SUM(AS168:AS191)</f>
        <v>0</v>
      </c>
      <c r="AT192" s="392">
        <f t="shared" si="465"/>
        <v>0</v>
      </c>
      <c r="AU192" s="392">
        <f t="shared" si="465"/>
        <v>0</v>
      </c>
      <c r="AV192" s="392">
        <f t="shared" si="465"/>
        <v>0</v>
      </c>
      <c r="AW192" s="392">
        <f t="shared" si="465"/>
        <v>0</v>
      </c>
      <c r="AX192" s="392">
        <f t="shared" si="465"/>
        <v>0</v>
      </c>
      <c r="AY192" s="392">
        <f t="shared" si="465"/>
        <v>0</v>
      </c>
      <c r="AZ192" s="392">
        <f t="shared" si="465"/>
        <v>0</v>
      </c>
      <c r="BA192" s="392">
        <f t="shared" si="465"/>
        <v>0</v>
      </c>
      <c r="BB192" s="392">
        <f t="shared" si="465"/>
        <v>0</v>
      </c>
      <c r="BC192" s="392">
        <f t="shared" si="465"/>
        <v>0</v>
      </c>
      <c r="BD192" s="392">
        <f t="shared" si="465"/>
        <v>0</v>
      </c>
      <c r="BE192" s="392"/>
      <c r="BF192" s="392">
        <f t="shared" ref="BF192:BQ192" si="466">SUM(BF168:BF191)</f>
        <v>0</v>
      </c>
      <c r="BG192" s="392">
        <f t="shared" si="466"/>
        <v>0</v>
      </c>
      <c r="BH192" s="392">
        <f t="shared" si="466"/>
        <v>0</v>
      </c>
      <c r="BI192" s="392">
        <f t="shared" si="466"/>
        <v>0</v>
      </c>
      <c r="BJ192" s="392">
        <f t="shared" si="466"/>
        <v>0</v>
      </c>
      <c r="BK192" s="392">
        <f t="shared" si="466"/>
        <v>0</v>
      </c>
      <c r="BL192" s="392">
        <f t="shared" si="466"/>
        <v>0</v>
      </c>
      <c r="BM192" s="392">
        <f t="shared" si="466"/>
        <v>0</v>
      </c>
      <c r="BN192" s="392">
        <f t="shared" si="466"/>
        <v>0</v>
      </c>
      <c r="BO192" s="392">
        <f t="shared" si="466"/>
        <v>0</v>
      </c>
      <c r="BP192" s="392">
        <f t="shared" si="466"/>
        <v>0</v>
      </c>
      <c r="BQ192" s="392">
        <f t="shared" si="466"/>
        <v>0</v>
      </c>
      <c r="BR192" s="392"/>
      <c r="BS192" s="392">
        <f t="shared" ref="BS192:CD192" si="467">SUM(BS168:BS191)</f>
        <v>0</v>
      </c>
      <c r="BT192" s="392">
        <f t="shared" si="467"/>
        <v>0</v>
      </c>
      <c r="BU192" s="392">
        <f t="shared" si="467"/>
        <v>0</v>
      </c>
      <c r="BV192" s="392">
        <f t="shared" si="467"/>
        <v>0</v>
      </c>
      <c r="BW192" s="392">
        <f t="shared" si="467"/>
        <v>0</v>
      </c>
      <c r="BX192" s="392">
        <f t="shared" si="467"/>
        <v>0</v>
      </c>
      <c r="BY192" s="392">
        <f t="shared" si="467"/>
        <v>0</v>
      </c>
      <c r="BZ192" s="392">
        <f t="shared" si="467"/>
        <v>0</v>
      </c>
      <c r="CA192" s="392">
        <f t="shared" si="467"/>
        <v>0</v>
      </c>
      <c r="CB192" s="392">
        <f t="shared" si="467"/>
        <v>0</v>
      </c>
      <c r="CC192" s="392">
        <f t="shared" si="467"/>
        <v>0</v>
      </c>
      <c r="CD192" s="392">
        <f t="shared" si="467"/>
        <v>0</v>
      </c>
      <c r="CE192" s="392"/>
      <c r="CF192" s="392">
        <f t="shared" ref="CF192:CQ192" si="468">SUM(CF168:CF191)</f>
        <v>0</v>
      </c>
      <c r="CG192" s="392">
        <f t="shared" si="468"/>
        <v>0</v>
      </c>
      <c r="CH192" s="392">
        <f t="shared" si="468"/>
        <v>0</v>
      </c>
      <c r="CI192" s="392">
        <f t="shared" si="468"/>
        <v>0</v>
      </c>
      <c r="CJ192" s="392">
        <f t="shared" si="468"/>
        <v>0</v>
      </c>
      <c r="CK192" s="392">
        <f t="shared" si="468"/>
        <v>0</v>
      </c>
      <c r="CL192" s="392">
        <f t="shared" si="468"/>
        <v>0</v>
      </c>
      <c r="CM192" s="392">
        <f t="shared" si="468"/>
        <v>0</v>
      </c>
      <c r="CN192" s="392">
        <f t="shared" si="468"/>
        <v>0</v>
      </c>
      <c r="CO192" s="392">
        <f t="shared" si="468"/>
        <v>0</v>
      </c>
      <c r="CP192" s="392">
        <f t="shared" si="468"/>
        <v>0</v>
      </c>
      <c r="CQ192" s="392">
        <f t="shared" si="468"/>
        <v>0</v>
      </c>
      <c r="CR192" s="392"/>
      <c r="CS192" s="392">
        <f t="shared" ref="CS192:DD192" si="469">SUM(CS168:CS191)</f>
        <v>0</v>
      </c>
      <c r="CT192" s="392">
        <f t="shared" si="469"/>
        <v>0</v>
      </c>
      <c r="CU192" s="392">
        <f t="shared" si="469"/>
        <v>0</v>
      </c>
      <c r="CV192" s="392">
        <f t="shared" si="469"/>
        <v>0</v>
      </c>
      <c r="CW192" s="392">
        <f t="shared" si="469"/>
        <v>0</v>
      </c>
      <c r="CX192" s="392">
        <f t="shared" si="469"/>
        <v>0</v>
      </c>
      <c r="CY192" s="392">
        <f t="shared" si="469"/>
        <v>0</v>
      </c>
      <c r="CZ192" s="392">
        <f t="shared" si="469"/>
        <v>0</v>
      </c>
      <c r="DA192" s="392">
        <f t="shared" si="469"/>
        <v>0</v>
      </c>
      <c r="DB192" s="392">
        <f t="shared" si="469"/>
        <v>0</v>
      </c>
      <c r="DC192" s="392">
        <f t="shared" si="469"/>
        <v>0</v>
      </c>
      <c r="DD192" s="392">
        <f t="shared" si="469"/>
        <v>0</v>
      </c>
      <c r="DE192" s="392"/>
      <c r="DF192" s="392">
        <f t="shared" ref="DF192:DQ192" si="470">SUM(DF168:DF191)</f>
        <v>0</v>
      </c>
      <c r="DG192" s="392">
        <f t="shared" si="470"/>
        <v>0</v>
      </c>
      <c r="DH192" s="392">
        <f t="shared" si="470"/>
        <v>0</v>
      </c>
      <c r="DI192" s="392">
        <f t="shared" si="470"/>
        <v>0</v>
      </c>
      <c r="DJ192" s="392">
        <f t="shared" si="470"/>
        <v>0</v>
      </c>
      <c r="DK192" s="392">
        <f t="shared" si="470"/>
        <v>0</v>
      </c>
      <c r="DL192" s="392">
        <f t="shared" si="470"/>
        <v>0</v>
      </c>
      <c r="DM192" s="392">
        <f t="shared" si="470"/>
        <v>0</v>
      </c>
      <c r="DN192" s="392">
        <f t="shared" si="470"/>
        <v>0</v>
      </c>
      <c r="DO192" s="392">
        <f t="shared" si="470"/>
        <v>0</v>
      </c>
      <c r="DP192" s="392">
        <f t="shared" si="470"/>
        <v>0</v>
      </c>
      <c r="DQ192" s="392">
        <f t="shared" si="470"/>
        <v>0</v>
      </c>
      <c r="DR192" s="392"/>
      <c r="DS192" s="163">
        <f>SUM(DS168:DS191)</f>
        <v>0</v>
      </c>
      <c r="DT192" s="393">
        <f>SUM(DT168:DT191)</f>
        <v>0</v>
      </c>
      <c r="DU192" s="43"/>
      <c r="DV192" s="44"/>
      <c r="DW192" s="45"/>
      <c r="DX192" s="45"/>
      <c r="DY192" s="45"/>
      <c r="DZ192" s="45"/>
      <c r="EA192" s="45"/>
      <c r="EB192" s="45"/>
      <c r="EC192" s="45"/>
    </row>
    <row r="193" spans="3:133" ht="15.75" thickBot="1">
      <c r="C193" s="64"/>
      <c r="D193" s="64"/>
      <c r="E193" s="64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  <c r="BT193" s="47"/>
      <c r="BU193" s="47"/>
      <c r="BV193" s="47"/>
      <c r="BW193" s="47"/>
      <c r="BX193" s="47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47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47"/>
      <c r="CZ193" s="47"/>
      <c r="DA193" s="47"/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  <c r="DL193" s="47"/>
      <c r="DM193" s="47"/>
      <c r="DN193" s="47"/>
      <c r="DO193" s="47"/>
      <c r="DP193" s="47"/>
      <c r="DQ193" s="47"/>
      <c r="DR193" s="47"/>
      <c r="DS193" s="48"/>
      <c r="DT193" s="48"/>
      <c r="DU193" s="8"/>
      <c r="DV193" s="8"/>
      <c r="DW193" s="14"/>
      <c r="DX193" s="14"/>
    </row>
    <row r="194" spans="3:133" s="15" customFormat="1" hidden="1">
      <c r="C194" s="39"/>
      <c r="D194" s="33"/>
      <c r="E194" s="40"/>
      <c r="F194" s="15" t="str">
        <f>IF(F192=0,"",DATE(F5,1,1))</f>
        <v/>
      </c>
      <c r="G194" s="15" t="str">
        <f>IF(G192=0,"",DATE(G5,2,1))</f>
        <v/>
      </c>
      <c r="H194" s="15" t="str">
        <f>IF(H192=0,"",DATE(H5,3,1))</f>
        <v/>
      </c>
      <c r="I194" s="15" t="str">
        <f>IF(I192=0,"",DATE(I5,4,1))</f>
        <v/>
      </c>
      <c r="J194" s="15" t="str">
        <f>IF(J192=0,"",DATE(J5,5,1))</f>
        <v/>
      </c>
      <c r="K194" s="15" t="str">
        <f>IF(K192=0,"",DATE(K5,6,1))</f>
        <v/>
      </c>
      <c r="L194" s="15" t="str">
        <f>IF(L192=0,"",DATE(L5,7,1))</f>
        <v/>
      </c>
      <c r="M194" s="15" t="str">
        <f>IF(M192=0,"",DATE(M5,8,1))</f>
        <v/>
      </c>
      <c r="N194" s="15" t="str">
        <f>IF(N192=0,"",DATE(N5,9,1))</f>
        <v/>
      </c>
      <c r="O194" s="15" t="str">
        <f>IF(O192=0,"",DATE(O5,10,1))</f>
        <v/>
      </c>
      <c r="P194" s="15" t="str">
        <f>IF(P192=0,"",DATE(P5,11,1))</f>
        <v/>
      </c>
      <c r="Q194" s="15" t="str">
        <f>IF(Q192=0,"",DATE(Q5,12,1))</f>
        <v/>
      </c>
      <c r="S194" s="15" t="str">
        <f>IF(S192=0,"",DATE(S5,1,1))</f>
        <v/>
      </c>
      <c r="T194" s="15" t="str">
        <f>IF(T192=0,"",DATE(T5,2,1))</f>
        <v/>
      </c>
      <c r="U194" s="15" t="str">
        <f>IF(U192=0,"",DATE(U5,3,1))</f>
        <v/>
      </c>
      <c r="V194" s="15" t="str">
        <f>IF(V192=0,"",DATE(V5,4,1))</f>
        <v/>
      </c>
      <c r="W194" s="15" t="str">
        <f>IF(W192=0,"",DATE(W5,5,1))</f>
        <v/>
      </c>
      <c r="X194" s="15" t="str">
        <f>IF(X192=0,"",DATE(X5,6,1))</f>
        <v/>
      </c>
      <c r="Y194" s="15" t="str">
        <f>IF(Y192=0,"",DATE(Y5,7,1))</f>
        <v/>
      </c>
      <c r="Z194" s="15" t="str">
        <f>IF(Z192=0,"",DATE(Z5,8,1))</f>
        <v/>
      </c>
      <c r="AA194" s="15" t="str">
        <f>IF(AA192=0,"",DATE(AA5,9,1))</f>
        <v/>
      </c>
      <c r="AB194" s="15" t="str">
        <f>IF(AB192=0,"",DATE(AB5,10,1))</f>
        <v/>
      </c>
      <c r="AC194" s="15" t="str">
        <f>IF(AC192=0,"",DATE(AC5,11,1))</f>
        <v/>
      </c>
      <c r="AD194" s="15" t="str">
        <f>IF(AD192=0,"",DATE(AD5,12,1))</f>
        <v/>
      </c>
      <c r="AF194" s="15" t="str">
        <f>IF(AF192=0,"",DATE(AF5,1,1))</f>
        <v/>
      </c>
      <c r="AG194" s="15" t="str">
        <f>IF(AG192=0,"",DATE(AG5,2,1))</f>
        <v/>
      </c>
      <c r="AH194" s="15" t="str">
        <f>IF(AH192=0,"",DATE(AH5,3,1))</f>
        <v/>
      </c>
      <c r="AI194" s="15" t="str">
        <f>IF(AI192=0,"",DATE(AI5,4,1))</f>
        <v/>
      </c>
      <c r="AJ194" s="15" t="str">
        <f>IF(AJ192=0,"",DATE(AJ5,5,1))</f>
        <v/>
      </c>
      <c r="AK194" s="15" t="str">
        <f>IF(AK192=0,"",DATE(AK5,6,1))</f>
        <v/>
      </c>
      <c r="AL194" s="15" t="str">
        <f>IF(AL192=0,"",DATE(AL5,7,1))</f>
        <v/>
      </c>
      <c r="AM194" s="15" t="str">
        <f>IF(AM192=0,"",DATE(AM5,8,1))</f>
        <v/>
      </c>
      <c r="AN194" s="15" t="str">
        <f>IF(AN192=0,"",DATE(AN5,9,1))</f>
        <v/>
      </c>
      <c r="AO194" s="15" t="str">
        <f>IF(AO192=0,"",DATE(AO5,10,1))</f>
        <v/>
      </c>
      <c r="AP194" s="15" t="str">
        <f>IF(AP192=0,"",DATE(AP5,11,1))</f>
        <v/>
      </c>
      <c r="AQ194" s="15" t="str">
        <f>IF(AQ192=0,"",DATE(AQ5,12,1))</f>
        <v/>
      </c>
      <c r="AR194" s="15" t="str">
        <f>IF(AR192=0,"",IF(AR4=1,DATE(2004,1,1),IF(AR4=2,DATE(2004,2,1),IF(AR4=3,DATE(2004,3,1),IF(AR4=4,DATE(2004,4,1),IF(AR4=5,DATE(2004,5,1),IF(AR4=6,DATE(2004,6,1),"")))))))</f>
        <v/>
      </c>
      <c r="AS194" s="15" t="str">
        <f>IF(AS192=0,"",DATE(AS5,1,1))</f>
        <v/>
      </c>
      <c r="AT194" s="15" t="str">
        <f>IF(AT192=0,"",DATE(AT5,2,1))</f>
        <v/>
      </c>
      <c r="AU194" s="15" t="str">
        <f>IF(AU192=0,"",DATE(AU5,3,1))</f>
        <v/>
      </c>
      <c r="AV194" s="15" t="str">
        <f>IF(AV192=0,"",DATE(AV5,4,1))</f>
        <v/>
      </c>
      <c r="AW194" s="15" t="str">
        <f>IF(AW192=0,"",DATE(AW5,5,1))</f>
        <v/>
      </c>
      <c r="AX194" s="15" t="str">
        <f>IF(AX192=0,"",DATE(AX5,6,1))</f>
        <v/>
      </c>
      <c r="AY194" s="15" t="str">
        <f>IF(AY192=0,"",DATE(AY5,7,1))</f>
        <v/>
      </c>
      <c r="AZ194" s="15" t="str">
        <f>IF(AZ192=0,"",DATE(AZ5,8,1))</f>
        <v/>
      </c>
      <c r="BA194" s="15" t="str">
        <f>IF(BA192=0,"",DATE(BA5,9,1))</f>
        <v/>
      </c>
      <c r="BB194" s="15" t="str">
        <f>IF(BB192=0,"",DATE(BB5,10,1))</f>
        <v/>
      </c>
      <c r="BC194" s="15" t="str">
        <f>IF(BC192=0,"",DATE(BC5,11,1))</f>
        <v/>
      </c>
      <c r="BD194" s="15" t="str">
        <f>IF(BD192=0,"",DATE(BD5,12,1))</f>
        <v/>
      </c>
      <c r="BE194" s="15" t="str">
        <f>IF(BE192=0,"",IF(BE4=1,DATE(2005,1,1),IF(BE4=2,DATE(2005,2,1),IF(BE4=3,DATE(2005,3,1),IF(BE4=4,DATE(2005,4,1),IF(BE4=5,DATE(2005,5,1),IF(BE4=6,DATE(2005,6,1),"")))))))</f>
        <v/>
      </c>
      <c r="BF194" s="15" t="str">
        <f>IF(BF192=0,"",DATE(BF5,1,1))</f>
        <v/>
      </c>
      <c r="BG194" s="15" t="str">
        <f>IF(BG192=0,"",DATE(BG5,2,1))</f>
        <v/>
      </c>
      <c r="BH194" s="15" t="str">
        <f>IF(BH192=0,"",DATE(BH5,3,1))</f>
        <v/>
      </c>
      <c r="BI194" s="15" t="str">
        <f>IF(BI192=0,"",DATE(BI5,4,1))</f>
        <v/>
      </c>
      <c r="BJ194" s="15" t="str">
        <f>IF(BJ192=0,"",DATE(BJ5,5,1))</f>
        <v/>
      </c>
      <c r="BK194" s="15" t="str">
        <f>IF(BK192=0,"",DATE(BK5,6,1))</f>
        <v/>
      </c>
      <c r="BL194" s="15" t="str">
        <f>IF(BL192=0,"",DATE(BL5,7,1))</f>
        <v/>
      </c>
      <c r="BM194" s="15" t="str">
        <f>IF(BM192=0,"",DATE(BM5,8,1))</f>
        <v/>
      </c>
      <c r="BN194" s="15" t="str">
        <f>IF(BN192=0,"",DATE(BN5,9,1))</f>
        <v/>
      </c>
      <c r="BO194" s="15" t="str">
        <f>IF(BO192=0,"",DATE(BO5,10,1))</f>
        <v/>
      </c>
      <c r="BP194" s="15" t="str">
        <f>IF(BP192=0,"",DATE(BP5,11,1))</f>
        <v/>
      </c>
      <c r="BQ194" s="15" t="str">
        <f>IF(BQ192=0,"",DATE(BQ5,12,1))</f>
        <v/>
      </c>
      <c r="BR194" s="15" t="str">
        <f>IF(BR192=0,"",IF(BR4=1,DATE(2006,1,1),IF(BR4=2,DATE(2006,2,1),IF(BR4=3,DATE(2006,3,1),IF(BR4=4,DATE(2006,4,1),IF(BR4=5,DATE(2006,5,1),IF(BR4=6,DATE(2006,6,1),"")))))))</f>
        <v/>
      </c>
      <c r="BS194" s="15" t="str">
        <f>IF(BS192=0,"",DATE(BS5,1,1))</f>
        <v/>
      </c>
      <c r="BT194" s="15" t="str">
        <f>IF(BT192=0,"",DATE(BT5,2,1))</f>
        <v/>
      </c>
      <c r="BU194" s="15" t="str">
        <f>IF(BU192=0,"",DATE(BU5,3,1))</f>
        <v/>
      </c>
      <c r="BV194" s="15" t="str">
        <f>IF(BV192=0,"",DATE(BV5,4,1))</f>
        <v/>
      </c>
      <c r="BW194" s="15" t="str">
        <f>IF(BW192=0,"",DATE(BW5,5,1))</f>
        <v/>
      </c>
      <c r="BX194" s="15" t="str">
        <f>IF(BX192=0,"",DATE(BX5,6,1))</f>
        <v/>
      </c>
      <c r="BY194" s="15" t="str">
        <f>IF(BY192=0,"",DATE(BY5,7,1))</f>
        <v/>
      </c>
      <c r="BZ194" s="15" t="str">
        <f>IF(BZ192=0,"",DATE(BZ5,8,1))</f>
        <v/>
      </c>
      <c r="CA194" s="15" t="str">
        <f>IF(CA192=0,"",DATE(CA5,9,1))</f>
        <v/>
      </c>
      <c r="CB194" s="15" t="str">
        <f>IF(CB192=0,"",DATE(CB5,10,1))</f>
        <v/>
      </c>
      <c r="CC194" s="15" t="str">
        <f>IF(CC192=0,"",DATE(CC5,11,1))</f>
        <v/>
      </c>
      <c r="CD194" s="15" t="str">
        <f>IF(CD192=0,"",DATE(CD5,12,1))</f>
        <v/>
      </c>
      <c r="CE194" s="15" t="str">
        <f>IF(CE192=0,"",IF(CE4=1,DATE(2007,1,1),IF(CE4=2,DATE(2007,2,1),IF(CE4=3,DATE(2007,3,1),IF(CE4=4,DATE(2007,4,1),IF(CE4=5,DATE(2007,5,1),IF(CE4=6,DATE(2007,6,1),"")))))))</f>
        <v/>
      </c>
      <c r="CF194" s="15" t="str">
        <f>IF(CF192=0,"",DATE(CF5,1,1))</f>
        <v/>
      </c>
      <c r="CG194" s="15" t="str">
        <f>IF(CG192=0,"",DATE(CG5,2,1))</f>
        <v/>
      </c>
      <c r="CH194" s="15" t="str">
        <f>IF(CH192=0,"",DATE(CH5,3,1))</f>
        <v/>
      </c>
      <c r="CI194" s="15" t="str">
        <f>IF(CI192=0,"",DATE(CI5,4,1))</f>
        <v/>
      </c>
      <c r="CJ194" s="15" t="str">
        <f>IF(CJ192=0,"",DATE(CJ5,5,1))</f>
        <v/>
      </c>
      <c r="CK194" s="15" t="str">
        <f>IF(CK192=0,"",DATE(CK5,6,1))</f>
        <v/>
      </c>
      <c r="CL194" s="15" t="str">
        <f>IF(CL192=0,"",DATE(CL5,7,1))</f>
        <v/>
      </c>
      <c r="CM194" s="15" t="str">
        <f>IF(CM192=0,"",DATE(CM5,8,1))</f>
        <v/>
      </c>
      <c r="CN194" s="15" t="str">
        <f>IF(CN192=0,"",DATE(CN5,9,1))</f>
        <v/>
      </c>
      <c r="CO194" s="15" t="str">
        <f>IF(CO192=0,"",DATE(CO5,10,1))</f>
        <v/>
      </c>
      <c r="CP194" s="15" t="str">
        <f>IF(CP192=0,"",DATE(CP5,11,1))</f>
        <v/>
      </c>
      <c r="CQ194" s="15" t="str">
        <f>IF(CQ192=0,"",DATE(CQ5,12,1))</f>
        <v/>
      </c>
      <c r="CR194" s="15" t="str">
        <f>IF(CR192=0,"",IF(CR4=1,DATE(2007,1,1),IF(CR4=2,DATE(2007,2,1),IF(CR4=3,DATE(2007,3,1),IF(CR4=4,DATE(2007,4,1),IF(CR4=5,DATE(2007,5,1),IF(CR4=6,DATE(2007,6,1),"")))))))</f>
        <v/>
      </c>
      <c r="CS194" s="15" t="str">
        <f>IF(CS192=0,"",DATE(CS5,1,1))</f>
        <v/>
      </c>
      <c r="CT194" s="15" t="str">
        <f>IF(CT192=0,"",DATE(CT5,2,1))</f>
        <v/>
      </c>
      <c r="CU194" s="15" t="str">
        <f>IF(CU192=0,"",DATE(CU5,3,1))</f>
        <v/>
      </c>
      <c r="CV194" s="15" t="str">
        <f>IF(CV192=0,"",DATE(CV5,4,1))</f>
        <v/>
      </c>
      <c r="CW194" s="15" t="str">
        <f>IF(CW192=0,"",DATE(CW5,5,1))</f>
        <v/>
      </c>
      <c r="CX194" s="15" t="str">
        <f>IF(CX192=0,"",DATE(CX5,6,1))</f>
        <v/>
      </c>
      <c r="CY194" s="15" t="str">
        <f>IF(CY192=0,"",DATE(CY5,7,1))</f>
        <v/>
      </c>
      <c r="CZ194" s="15" t="str">
        <f>IF(CZ192=0,"",DATE(CZ5,8,1))</f>
        <v/>
      </c>
      <c r="DA194" s="15" t="str">
        <f>IF(DA192=0,"",DATE(DA5,9,1))</f>
        <v/>
      </c>
      <c r="DB194" s="15" t="str">
        <f>IF(DB192=0,"",DATE(DB5,10,1))</f>
        <v/>
      </c>
      <c r="DC194" s="15" t="str">
        <f>IF(DC192=0,"",DATE(DC5,11,1))</f>
        <v/>
      </c>
      <c r="DD194" s="15" t="str">
        <f>IF(DD192=0,"",DATE(DD5,12,1))</f>
        <v/>
      </c>
      <c r="DE194" s="15" t="str">
        <f>IF(DE192=0,"",IF(DE4=1,DATE(2007,1,1),IF(DE4=2,DATE(2007,2,1),IF(DE4=3,DATE(2007,3,1),IF(DE4=4,DATE(2007,4,1),IF(DE4=5,DATE(2007,5,1),IF(DE4=6,DATE(2007,6,1),"")))))))</f>
        <v/>
      </c>
      <c r="DF194" s="15" t="str">
        <f>IF(DF192=0,"",DATE(DF5,1,1))</f>
        <v/>
      </c>
      <c r="DG194" s="15" t="str">
        <f>IF(DG192=0,"",DATE(DG5,2,1))</f>
        <v/>
      </c>
      <c r="DH194" s="15" t="str">
        <f>IF(DH192=0,"",DATE(DH5,3,1))</f>
        <v/>
      </c>
      <c r="DI194" s="15" t="str">
        <f>IF(DI192=0,"",DATE(DI5,4,1))</f>
        <v/>
      </c>
      <c r="DJ194" s="15" t="str">
        <f>IF(DJ192=0,"",DATE(DJ5,5,1))</f>
        <v/>
      </c>
      <c r="DK194" s="15" t="str">
        <f>IF(DK192=0,"",DATE(DK5,6,1))</f>
        <v/>
      </c>
      <c r="DL194" s="15" t="str">
        <f>IF(DL192=0,"",DATE(DL5,7,1))</f>
        <v/>
      </c>
      <c r="DM194" s="15" t="str">
        <f>IF(DM192=0,"",DATE(DM5,8,1))</f>
        <v/>
      </c>
      <c r="DN194" s="15" t="str">
        <f>IF(DN192=0,"",DATE(DN5,9,1))</f>
        <v/>
      </c>
      <c r="DO194" s="15" t="str">
        <f>IF(DO192=0,"",DATE(DO5,10,1))</f>
        <v/>
      </c>
      <c r="DP194" s="15" t="str">
        <f>IF(DP192=0,"",DATE(DP5,11,1))</f>
        <v/>
      </c>
      <c r="DQ194" s="15" t="str">
        <f>IF(DQ192=0,"",DATE(DQ5,12,1))</f>
        <v/>
      </c>
      <c r="DR194" s="15" t="str">
        <f>IF(DR192=0,"",IF(DR4=1,DATE(2007,1,1),IF(DR4=2,DATE(2007,2,1),IF(DR4=3,DATE(2007,3,1),IF(DR4=4,DATE(2007,4,1),IF(DR4=5,DATE(2007,5,1),IF(DR4=6,DATE(2007,6,1),"")))))))</f>
        <v/>
      </c>
      <c r="DS194" s="33"/>
      <c r="DT194" s="34"/>
      <c r="DW194" s="16"/>
      <c r="DX194" s="16"/>
      <c r="DY194" s="16"/>
      <c r="DZ194" s="16"/>
      <c r="EA194" s="16"/>
      <c r="EB194" s="16"/>
      <c r="EC194" s="16"/>
    </row>
    <row r="195" spans="3:133" hidden="1">
      <c r="C195" s="37"/>
      <c r="D195" s="29"/>
      <c r="E195" s="38"/>
      <c r="F195" s="1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15" t="str">
        <f>IF(OR(AR4&lt;7,AR192=0),"",IF(AR4=7,DATE(2004,7,1),IF(AR4=8,DATE(2004,8,1),IF(AR4=9,DATE(2004,9,1),IF(AR4=10,DATE(2004,10,1),IF(AR4=11,DATE(2004,11,1),IF(AR4=12,DATE(2004,12,1),"")))))))</f>
        <v/>
      </c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 t="str">
        <f>IF(OR(BE4&lt;7,BE192=0),"",IF(BE4=7,DATE(2005,7,1),IF(BE4=8,DATE(2005,8,1),IF(BE4=9,DATE(2005,9,1),IF(BE4=10,DATE(2005,10,1),IF(BE4=11,DATE(2005,11,1),IF(BE4=12,DATE(2005,12,1),"")))))))</f>
        <v/>
      </c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 t="str">
        <f>IF(OR(BR4&lt;7,BR192=0),"",IF(BR4=7,DATE(2006,7,1),IF(BR4=8,DATE(2006,8,1),IF(BR4=9,DATE(2006,9,1),IF(BR4=10,DATE(2006,10,1),IF(BR4=11,DATE(2006,11,1),IF(BR4=12,DATE(2006,12,1),"")))))))</f>
        <v/>
      </c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 t="str">
        <f>IF(OR(CE4&lt;7,CE192=0),"",IF(CE4=7,DATE(2007,7,1),IF(CE4=8,DATE(2007,8,1),IF(CE4=9,DATE(2007,9,1),IF(CE4=10,DATE(2007,10,1),IF(CE4=11,DATE(2007,11,1),IF(CE4=12,DATE(2007,12,1),"")))))))</f>
        <v/>
      </c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 t="str">
        <f>IF(OR(CR4&lt;7,CR192=0),"",IF(CR4=7,DATE(2007,7,1),IF(CR4=8,DATE(2007,8,1),IF(CR4=9,DATE(2007,9,1),IF(CR4=10,DATE(2007,10,1),IF(CR4=11,DATE(2007,11,1),IF(CR4=12,DATE(2007,12,1),"")))))))</f>
        <v/>
      </c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 t="str">
        <f>IF(OR(DE4&lt;7,DE192=0),"",IF(DE4=7,DATE(2007,7,1),IF(DE4=8,DATE(2007,8,1),IF(DE4=9,DATE(2007,9,1),IF(DE4=10,DATE(2007,10,1),IF(DE4=11,DATE(2007,11,1),IF(DE4=12,DATE(2007,12,1),"")))))))</f>
        <v/>
      </c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 t="str">
        <f>IF(OR(DR4&lt;7,DR192=0),"",IF(DR4=7,DATE(2007,7,1),IF(DR4=8,DATE(2007,8,1),IF(DR4=9,DATE(2007,9,1),IF(DR4=10,DATE(2007,10,1),IF(DR4=11,DATE(2007,11,1),IF(DR4=12,DATE(2007,12,1),"")))))))</f>
        <v/>
      </c>
      <c r="DS195" s="29"/>
      <c r="DT195" s="32"/>
      <c r="DU195" s="8"/>
      <c r="DV195" s="8"/>
      <c r="DW195" s="14"/>
      <c r="DX195" s="14"/>
    </row>
    <row r="196" spans="3:133" ht="15.75" hidden="1" thickBot="1">
      <c r="C196" s="41"/>
      <c r="D196" s="207"/>
      <c r="E196" s="42"/>
      <c r="F196" s="15" t="str">
        <f t="shared" ref="F196:BQ196" si="471">IF(AND(F194="",F195=""),"",MAX(F194:F195))</f>
        <v/>
      </c>
      <c r="G196" s="15" t="str">
        <f t="shared" si="471"/>
        <v/>
      </c>
      <c r="H196" s="15" t="str">
        <f t="shared" si="471"/>
        <v/>
      </c>
      <c r="I196" s="15" t="str">
        <f t="shared" si="471"/>
        <v/>
      </c>
      <c r="J196" s="15" t="str">
        <f t="shared" si="471"/>
        <v/>
      </c>
      <c r="K196" s="15" t="str">
        <f t="shared" si="471"/>
        <v/>
      </c>
      <c r="L196" s="15" t="str">
        <f t="shared" si="471"/>
        <v/>
      </c>
      <c r="M196" s="15" t="str">
        <f t="shared" si="471"/>
        <v/>
      </c>
      <c r="N196" s="15" t="str">
        <f t="shared" si="471"/>
        <v/>
      </c>
      <c r="O196" s="15" t="str">
        <f t="shared" si="471"/>
        <v/>
      </c>
      <c r="P196" s="15" t="str">
        <f t="shared" si="471"/>
        <v/>
      </c>
      <c r="Q196" s="15" t="str">
        <f t="shared" si="471"/>
        <v/>
      </c>
      <c r="R196" s="15" t="str">
        <f t="shared" si="471"/>
        <v/>
      </c>
      <c r="S196" s="15" t="str">
        <f t="shared" si="471"/>
        <v/>
      </c>
      <c r="T196" s="15" t="str">
        <f t="shared" si="471"/>
        <v/>
      </c>
      <c r="U196" s="15" t="str">
        <f t="shared" si="471"/>
        <v/>
      </c>
      <c r="V196" s="15" t="str">
        <f t="shared" si="471"/>
        <v/>
      </c>
      <c r="W196" s="15" t="str">
        <f t="shared" si="471"/>
        <v/>
      </c>
      <c r="X196" s="15" t="str">
        <f t="shared" si="471"/>
        <v/>
      </c>
      <c r="Y196" s="15" t="str">
        <f t="shared" si="471"/>
        <v/>
      </c>
      <c r="Z196" s="15" t="str">
        <f t="shared" si="471"/>
        <v/>
      </c>
      <c r="AA196" s="15" t="str">
        <f t="shared" si="471"/>
        <v/>
      </c>
      <c r="AB196" s="15" t="str">
        <f t="shared" si="471"/>
        <v/>
      </c>
      <c r="AC196" s="15" t="str">
        <f t="shared" si="471"/>
        <v/>
      </c>
      <c r="AD196" s="15" t="str">
        <f t="shared" si="471"/>
        <v/>
      </c>
      <c r="AE196" s="15" t="str">
        <f t="shared" si="471"/>
        <v/>
      </c>
      <c r="AF196" s="15" t="str">
        <f t="shared" si="471"/>
        <v/>
      </c>
      <c r="AG196" s="15" t="str">
        <f t="shared" si="471"/>
        <v/>
      </c>
      <c r="AH196" s="15" t="str">
        <f t="shared" si="471"/>
        <v/>
      </c>
      <c r="AI196" s="15" t="str">
        <f t="shared" si="471"/>
        <v/>
      </c>
      <c r="AJ196" s="15" t="str">
        <f t="shared" si="471"/>
        <v/>
      </c>
      <c r="AK196" s="15" t="str">
        <f t="shared" si="471"/>
        <v/>
      </c>
      <c r="AL196" s="15" t="str">
        <f t="shared" si="471"/>
        <v/>
      </c>
      <c r="AM196" s="15" t="str">
        <f t="shared" si="471"/>
        <v/>
      </c>
      <c r="AN196" s="15" t="str">
        <f t="shared" si="471"/>
        <v/>
      </c>
      <c r="AO196" s="15" t="str">
        <f t="shared" si="471"/>
        <v/>
      </c>
      <c r="AP196" s="15" t="str">
        <f t="shared" si="471"/>
        <v/>
      </c>
      <c r="AQ196" s="15" t="str">
        <f t="shared" si="471"/>
        <v/>
      </c>
      <c r="AR196" s="15" t="str">
        <f t="shared" si="471"/>
        <v/>
      </c>
      <c r="AS196" s="15" t="str">
        <f t="shared" si="471"/>
        <v/>
      </c>
      <c r="AT196" s="15" t="str">
        <f t="shared" si="471"/>
        <v/>
      </c>
      <c r="AU196" s="15" t="str">
        <f t="shared" si="471"/>
        <v/>
      </c>
      <c r="AV196" s="15" t="str">
        <f t="shared" si="471"/>
        <v/>
      </c>
      <c r="AW196" s="15" t="str">
        <f t="shared" si="471"/>
        <v/>
      </c>
      <c r="AX196" s="15" t="str">
        <f t="shared" si="471"/>
        <v/>
      </c>
      <c r="AY196" s="15" t="str">
        <f t="shared" si="471"/>
        <v/>
      </c>
      <c r="AZ196" s="15" t="str">
        <f t="shared" si="471"/>
        <v/>
      </c>
      <c r="BA196" s="15" t="str">
        <f t="shared" si="471"/>
        <v/>
      </c>
      <c r="BB196" s="15" t="str">
        <f t="shared" si="471"/>
        <v/>
      </c>
      <c r="BC196" s="15" t="str">
        <f t="shared" si="471"/>
        <v/>
      </c>
      <c r="BD196" s="15" t="str">
        <f t="shared" si="471"/>
        <v/>
      </c>
      <c r="BE196" s="15" t="str">
        <f t="shared" si="471"/>
        <v/>
      </c>
      <c r="BF196" s="15" t="str">
        <f t="shared" si="471"/>
        <v/>
      </c>
      <c r="BG196" s="15" t="str">
        <f t="shared" si="471"/>
        <v/>
      </c>
      <c r="BH196" s="15" t="str">
        <f t="shared" si="471"/>
        <v/>
      </c>
      <c r="BI196" s="15" t="str">
        <f t="shared" si="471"/>
        <v/>
      </c>
      <c r="BJ196" s="15" t="str">
        <f t="shared" si="471"/>
        <v/>
      </c>
      <c r="BK196" s="15" t="str">
        <f t="shared" si="471"/>
        <v/>
      </c>
      <c r="BL196" s="15" t="str">
        <f t="shared" si="471"/>
        <v/>
      </c>
      <c r="BM196" s="15" t="str">
        <f t="shared" si="471"/>
        <v/>
      </c>
      <c r="BN196" s="15" t="str">
        <f t="shared" si="471"/>
        <v/>
      </c>
      <c r="BO196" s="15" t="str">
        <f t="shared" si="471"/>
        <v/>
      </c>
      <c r="BP196" s="15" t="str">
        <f t="shared" si="471"/>
        <v/>
      </c>
      <c r="BQ196" s="15" t="str">
        <f t="shared" si="471"/>
        <v/>
      </c>
      <c r="BR196" s="15" t="str">
        <f t="shared" ref="BR196:CE196" si="472">IF(AND(BR194="",BR195=""),"",MAX(BR194:BR195))</f>
        <v/>
      </c>
      <c r="BS196" s="15" t="str">
        <f t="shared" si="472"/>
        <v/>
      </c>
      <c r="BT196" s="15" t="str">
        <f t="shared" si="472"/>
        <v/>
      </c>
      <c r="BU196" s="15" t="str">
        <f t="shared" si="472"/>
        <v/>
      </c>
      <c r="BV196" s="15" t="str">
        <f t="shared" si="472"/>
        <v/>
      </c>
      <c r="BW196" s="15" t="str">
        <f t="shared" si="472"/>
        <v/>
      </c>
      <c r="BX196" s="15" t="str">
        <f t="shared" si="472"/>
        <v/>
      </c>
      <c r="BY196" s="15" t="str">
        <f t="shared" si="472"/>
        <v/>
      </c>
      <c r="BZ196" s="15" t="str">
        <f t="shared" si="472"/>
        <v/>
      </c>
      <c r="CA196" s="15" t="str">
        <f t="shared" si="472"/>
        <v/>
      </c>
      <c r="CB196" s="15" t="str">
        <f t="shared" si="472"/>
        <v/>
      </c>
      <c r="CC196" s="15" t="str">
        <f t="shared" si="472"/>
        <v/>
      </c>
      <c r="CD196" s="15" t="str">
        <f t="shared" si="472"/>
        <v/>
      </c>
      <c r="CE196" s="15" t="str">
        <f t="shared" si="472"/>
        <v/>
      </c>
      <c r="CF196" s="15" t="str">
        <f t="shared" ref="CF196:DR196" si="473">IF(AND(CF194="",CF195=""),"",MAX(CF194:CF195))</f>
        <v/>
      </c>
      <c r="CG196" s="15" t="str">
        <f t="shared" si="473"/>
        <v/>
      </c>
      <c r="CH196" s="15" t="str">
        <f t="shared" si="473"/>
        <v/>
      </c>
      <c r="CI196" s="15" t="str">
        <f t="shared" si="473"/>
        <v/>
      </c>
      <c r="CJ196" s="15" t="str">
        <f t="shared" si="473"/>
        <v/>
      </c>
      <c r="CK196" s="15" t="str">
        <f t="shared" si="473"/>
        <v/>
      </c>
      <c r="CL196" s="15" t="str">
        <f t="shared" si="473"/>
        <v/>
      </c>
      <c r="CM196" s="15" t="str">
        <f t="shared" si="473"/>
        <v/>
      </c>
      <c r="CN196" s="15" t="str">
        <f t="shared" si="473"/>
        <v/>
      </c>
      <c r="CO196" s="15" t="str">
        <f t="shared" si="473"/>
        <v/>
      </c>
      <c r="CP196" s="15" t="str">
        <f t="shared" si="473"/>
        <v/>
      </c>
      <c r="CQ196" s="15" t="str">
        <f t="shared" si="473"/>
        <v/>
      </c>
      <c r="CR196" s="15" t="str">
        <f t="shared" si="473"/>
        <v/>
      </c>
      <c r="CS196" s="15" t="str">
        <f t="shared" si="473"/>
        <v/>
      </c>
      <c r="CT196" s="15" t="str">
        <f t="shared" si="473"/>
        <v/>
      </c>
      <c r="CU196" s="15" t="str">
        <f t="shared" si="473"/>
        <v/>
      </c>
      <c r="CV196" s="15" t="str">
        <f t="shared" si="473"/>
        <v/>
      </c>
      <c r="CW196" s="15" t="str">
        <f t="shared" si="473"/>
        <v/>
      </c>
      <c r="CX196" s="15" t="str">
        <f t="shared" si="473"/>
        <v/>
      </c>
      <c r="CY196" s="15" t="str">
        <f t="shared" si="473"/>
        <v/>
      </c>
      <c r="CZ196" s="15" t="str">
        <f t="shared" si="473"/>
        <v/>
      </c>
      <c r="DA196" s="15" t="str">
        <f t="shared" si="473"/>
        <v/>
      </c>
      <c r="DB196" s="15" t="str">
        <f t="shared" si="473"/>
        <v/>
      </c>
      <c r="DC196" s="15" t="str">
        <f t="shared" si="473"/>
        <v/>
      </c>
      <c r="DD196" s="15" t="str">
        <f t="shared" si="473"/>
        <v/>
      </c>
      <c r="DE196" s="15" t="str">
        <f t="shared" si="473"/>
        <v/>
      </c>
      <c r="DF196" s="15" t="str">
        <f t="shared" si="473"/>
        <v/>
      </c>
      <c r="DG196" s="15" t="str">
        <f t="shared" si="473"/>
        <v/>
      </c>
      <c r="DH196" s="15" t="str">
        <f t="shared" si="473"/>
        <v/>
      </c>
      <c r="DI196" s="15" t="str">
        <f t="shared" si="473"/>
        <v/>
      </c>
      <c r="DJ196" s="15" t="str">
        <f t="shared" si="473"/>
        <v/>
      </c>
      <c r="DK196" s="15" t="str">
        <f t="shared" si="473"/>
        <v/>
      </c>
      <c r="DL196" s="15" t="str">
        <f t="shared" si="473"/>
        <v/>
      </c>
      <c r="DM196" s="15" t="str">
        <f t="shared" si="473"/>
        <v/>
      </c>
      <c r="DN196" s="15" t="str">
        <f t="shared" si="473"/>
        <v/>
      </c>
      <c r="DO196" s="15" t="str">
        <f t="shared" si="473"/>
        <v/>
      </c>
      <c r="DP196" s="15" t="str">
        <f t="shared" si="473"/>
        <v/>
      </c>
      <c r="DQ196" s="15" t="str">
        <f t="shared" si="473"/>
        <v/>
      </c>
      <c r="DR196" s="15" t="str">
        <f t="shared" si="473"/>
        <v/>
      </c>
      <c r="DS196" s="35"/>
      <c r="DT196" s="36"/>
      <c r="DU196" s="8"/>
      <c r="DV196" s="8"/>
      <c r="DW196" s="14"/>
      <c r="DX196" s="14"/>
      <c r="EC196" s="14"/>
    </row>
    <row r="197" spans="3:133">
      <c r="R197" s="15"/>
      <c r="DS197" s="8"/>
      <c r="DT197" s="8"/>
      <c r="DU197" s="8"/>
      <c r="DV197" s="8"/>
      <c r="DW197" s="14"/>
      <c r="DX197" s="14"/>
    </row>
    <row r="198" spans="3:133">
      <c r="C198" s="17"/>
      <c r="D198" s="17"/>
      <c r="E198" s="17"/>
      <c r="F198" s="17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14"/>
      <c r="DX198" s="14"/>
    </row>
    <row r="199" spans="3:133">
      <c r="C199" s="17"/>
      <c r="D199" s="17"/>
      <c r="E199" s="17"/>
      <c r="F199" s="17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14"/>
      <c r="DX199" s="14"/>
    </row>
    <row r="200" spans="3:133">
      <c r="C200" s="17"/>
      <c r="D200" s="17"/>
      <c r="E200" s="17"/>
      <c r="F200" s="17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</row>
    <row r="201" spans="3:133">
      <c r="C201" s="17"/>
      <c r="D201" s="17"/>
      <c r="E201" s="17"/>
      <c r="F201" s="17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</row>
    <row r="202" spans="3:133">
      <c r="F202" s="394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3:133">
      <c r="F203" s="394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3:133">
      <c r="F204" s="394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3:133">
      <c r="F205" s="395"/>
      <c r="H205" s="5"/>
      <c r="J205" s="5"/>
      <c r="K205" s="5"/>
      <c r="L205" s="5"/>
    </row>
    <row r="206" spans="3:133">
      <c r="F206" s="394"/>
      <c r="DW206" s="1"/>
      <c r="DX206" s="1"/>
      <c r="DY206" s="1"/>
      <c r="DZ206" s="1"/>
      <c r="EA206" s="1"/>
      <c r="EB206" s="1"/>
      <c r="EC206" s="1"/>
    </row>
    <row r="207" spans="3:133">
      <c r="F207" s="394"/>
      <c r="DW207" s="1"/>
      <c r="DX207" s="1"/>
      <c r="DY207" s="1"/>
      <c r="DZ207" s="1"/>
      <c r="EA207" s="1"/>
      <c r="EB207" s="1"/>
      <c r="EC207" s="1"/>
    </row>
    <row r="208" spans="3:133">
      <c r="F208" s="394"/>
      <c r="DW208" s="1"/>
      <c r="DX208" s="1"/>
      <c r="DY208" s="1"/>
      <c r="DZ208" s="1"/>
      <c r="EA208" s="1"/>
      <c r="EB208" s="1"/>
      <c r="EC208" s="1"/>
    </row>
    <row r="209" spans="6:133">
      <c r="F209" s="394"/>
      <c r="DW209" s="1"/>
      <c r="DX209" s="1"/>
      <c r="DY209" s="1"/>
      <c r="DZ209" s="1"/>
      <c r="EA209" s="1"/>
      <c r="EB209" s="1"/>
      <c r="EC209" s="1"/>
    </row>
    <row r="210" spans="6:133">
      <c r="F210" s="394"/>
      <c r="DW210" s="1"/>
      <c r="DX210" s="1"/>
      <c r="DY210" s="1"/>
      <c r="DZ210" s="1"/>
      <c r="EA210" s="1"/>
      <c r="EB210" s="1"/>
      <c r="EC210" s="1"/>
    </row>
    <row r="211" spans="6:133">
      <c r="F211" s="394"/>
      <c r="DW211" s="1"/>
      <c r="DX211" s="1"/>
      <c r="DY211" s="1"/>
      <c r="DZ211" s="1"/>
      <c r="EA211" s="1"/>
      <c r="EB211" s="1"/>
      <c r="EC211" s="1"/>
    </row>
    <row r="212" spans="6:133">
      <c r="F212" s="394"/>
      <c r="DW212" s="1"/>
      <c r="DX212" s="1"/>
      <c r="DY212" s="1"/>
      <c r="DZ212" s="1"/>
      <c r="EA212" s="1"/>
      <c r="EB212" s="1"/>
      <c r="EC212" s="1"/>
    </row>
    <row r="213" spans="6:133">
      <c r="F213" s="394"/>
      <c r="DW213" s="1"/>
      <c r="DX213" s="1"/>
      <c r="DY213" s="1"/>
      <c r="DZ213" s="1"/>
      <c r="EA213" s="1"/>
      <c r="EB213" s="1"/>
      <c r="EC213" s="1"/>
    </row>
    <row r="214" spans="6:133">
      <c r="F214" s="394"/>
      <c r="DW214" s="1"/>
      <c r="DX214" s="1"/>
      <c r="DY214" s="1"/>
      <c r="DZ214" s="1"/>
      <c r="EA214" s="1"/>
      <c r="EB214" s="1"/>
      <c r="EC214" s="1"/>
    </row>
    <row r="215" spans="6:133">
      <c r="F215" s="394"/>
      <c r="DW215" s="1"/>
      <c r="DX215" s="1"/>
      <c r="DY215" s="1"/>
      <c r="DZ215" s="1"/>
      <c r="EA215" s="1"/>
      <c r="EB215" s="1"/>
      <c r="EC215" s="1"/>
    </row>
    <row r="216" spans="6:133">
      <c r="F216" s="394"/>
      <c r="DW216" s="1"/>
      <c r="DX216" s="1"/>
      <c r="DY216" s="1"/>
      <c r="DZ216" s="1"/>
      <c r="EA216" s="1"/>
      <c r="EB216" s="1"/>
      <c r="EC216" s="1"/>
    </row>
    <row r="217" spans="6:133">
      <c r="F217" s="394"/>
      <c r="DW217" s="1"/>
      <c r="DX217" s="1"/>
      <c r="DY217" s="1"/>
      <c r="DZ217" s="1"/>
      <c r="EA217" s="1"/>
      <c r="EB217" s="1"/>
      <c r="EC217" s="1"/>
    </row>
    <row r="218" spans="6:133">
      <c r="F218" s="394"/>
      <c r="DW218" s="1"/>
      <c r="DX218" s="1"/>
      <c r="DY218" s="1"/>
      <c r="DZ218" s="1"/>
      <c r="EA218" s="1"/>
      <c r="EB218" s="1"/>
      <c r="EC218" s="1"/>
    </row>
    <row r="219" spans="6:133">
      <c r="F219" s="394"/>
      <c r="DW219" s="1"/>
      <c r="DX219" s="1"/>
      <c r="DY219" s="1"/>
      <c r="DZ219" s="1"/>
      <c r="EA219" s="1"/>
      <c r="EB219" s="1"/>
      <c r="EC219" s="1"/>
    </row>
    <row r="220" spans="6:133">
      <c r="F220" s="395"/>
      <c r="DW220" s="1"/>
      <c r="DX220" s="1"/>
      <c r="DY220" s="1"/>
      <c r="DZ220" s="1"/>
      <c r="EA220" s="1"/>
      <c r="EB220" s="1"/>
      <c r="EC220" s="1"/>
    </row>
    <row r="221" spans="6:133">
      <c r="F221" s="395"/>
      <c r="DW221" s="1"/>
      <c r="DX221" s="1"/>
      <c r="DY221" s="1"/>
      <c r="DZ221" s="1"/>
      <c r="EA221" s="1"/>
      <c r="EB221" s="1"/>
      <c r="EC221" s="1"/>
    </row>
    <row r="222" spans="6:133">
      <c r="F222" s="394"/>
      <c r="DW222" s="1"/>
      <c r="DX222" s="1"/>
      <c r="DY222" s="1"/>
      <c r="DZ222" s="1"/>
      <c r="EA222" s="1"/>
      <c r="EB222" s="1"/>
      <c r="EC222" s="1"/>
    </row>
    <row r="223" spans="6:133">
      <c r="F223" s="394"/>
      <c r="DW223" s="1"/>
      <c r="DX223" s="1"/>
      <c r="DY223" s="1"/>
      <c r="DZ223" s="1"/>
      <c r="EA223" s="1"/>
      <c r="EB223" s="1"/>
      <c r="EC223" s="1"/>
    </row>
    <row r="224" spans="6:133">
      <c r="F224" s="394"/>
      <c r="DW224" s="1"/>
      <c r="DX224" s="1"/>
      <c r="DY224" s="1"/>
      <c r="DZ224" s="1"/>
      <c r="EA224" s="1"/>
      <c r="EB224" s="1"/>
      <c r="EC224" s="1"/>
    </row>
    <row r="225" spans="6:133">
      <c r="F225" s="394"/>
      <c r="DW225" s="1"/>
      <c r="DX225" s="1"/>
      <c r="DY225" s="1"/>
      <c r="DZ225" s="1"/>
      <c r="EA225" s="1"/>
      <c r="EB225" s="1"/>
      <c r="EC225" s="1"/>
    </row>
    <row r="226" spans="6:133">
      <c r="F226" s="394"/>
      <c r="DW226" s="1"/>
      <c r="DX226" s="1"/>
      <c r="DY226" s="1"/>
      <c r="DZ226" s="1"/>
      <c r="EA226" s="1"/>
      <c r="EB226" s="1"/>
      <c r="EC226" s="1"/>
    </row>
    <row r="227" spans="6:133">
      <c r="F227" s="394"/>
      <c r="DW227" s="1"/>
      <c r="DX227" s="1"/>
      <c r="DY227" s="1"/>
      <c r="DZ227" s="1"/>
      <c r="EA227" s="1"/>
      <c r="EB227" s="1"/>
      <c r="EC227" s="1"/>
    </row>
    <row r="228" spans="6:133">
      <c r="F228" s="394"/>
      <c r="DW228" s="1"/>
      <c r="DX228" s="1"/>
      <c r="DY228" s="1"/>
      <c r="DZ228" s="1"/>
      <c r="EA228" s="1"/>
      <c r="EB228" s="1"/>
      <c r="EC228" s="1"/>
    </row>
    <row r="229" spans="6:133">
      <c r="F229" s="394"/>
      <c r="DW229" s="1"/>
      <c r="DX229" s="1"/>
      <c r="DY229" s="1"/>
      <c r="DZ229" s="1"/>
      <c r="EA229" s="1"/>
      <c r="EB229" s="1"/>
      <c r="EC229" s="1"/>
    </row>
    <row r="230" spans="6:133">
      <c r="F230" s="394"/>
      <c r="DW230" s="1"/>
      <c r="DX230" s="1"/>
      <c r="DY230" s="1"/>
      <c r="DZ230" s="1"/>
      <c r="EA230" s="1"/>
      <c r="EB230" s="1"/>
      <c r="EC230" s="1"/>
    </row>
    <row r="231" spans="6:133">
      <c r="F231" s="394"/>
      <c r="DW231" s="1"/>
      <c r="DX231" s="1"/>
      <c r="DY231" s="1"/>
      <c r="DZ231" s="1"/>
      <c r="EA231" s="1"/>
      <c r="EB231" s="1"/>
      <c r="EC231" s="1"/>
    </row>
    <row r="232" spans="6:133">
      <c r="F232" s="394"/>
      <c r="DW232" s="1"/>
      <c r="DX232" s="1"/>
      <c r="DY232" s="1"/>
      <c r="DZ232" s="1"/>
      <c r="EA232" s="1"/>
      <c r="EB232" s="1"/>
      <c r="EC232" s="1"/>
    </row>
    <row r="233" spans="6:133">
      <c r="F233" s="394"/>
      <c r="DW233" s="1"/>
      <c r="DX233" s="1"/>
      <c r="DY233" s="1"/>
      <c r="DZ233" s="1"/>
      <c r="EA233" s="1"/>
      <c r="EB233" s="1"/>
      <c r="EC233" s="1"/>
    </row>
    <row r="234" spans="6:133">
      <c r="F234" s="394"/>
      <c r="DW234" s="1"/>
      <c r="DX234" s="1"/>
      <c r="DY234" s="1"/>
      <c r="DZ234" s="1"/>
      <c r="EA234" s="1"/>
      <c r="EB234" s="1"/>
      <c r="EC234" s="1"/>
    </row>
    <row r="235" spans="6:133">
      <c r="F235" s="394"/>
      <c r="DW235" s="1"/>
      <c r="DX235" s="1"/>
      <c r="DY235" s="1"/>
      <c r="DZ235" s="1"/>
      <c r="EA235" s="1"/>
      <c r="EB235" s="1"/>
      <c r="EC235" s="1"/>
    </row>
    <row r="236" spans="6:133">
      <c r="F236" s="395"/>
      <c r="DW236" s="1"/>
      <c r="DX236" s="1"/>
      <c r="DY236" s="1"/>
      <c r="DZ236" s="1"/>
      <c r="EA236" s="1"/>
      <c r="EB236" s="1"/>
      <c r="EC236" s="1"/>
    </row>
    <row r="237" spans="6:133">
      <c r="F237" s="395"/>
      <c r="DW237" s="1"/>
      <c r="DX237" s="1"/>
      <c r="DY237" s="1"/>
      <c r="DZ237" s="1"/>
      <c r="EA237" s="1"/>
      <c r="EB237" s="1"/>
      <c r="EC237" s="1"/>
    </row>
    <row r="238" spans="6:133">
      <c r="F238" s="394"/>
      <c r="DW238" s="1"/>
      <c r="DX238" s="1"/>
      <c r="DY238" s="1"/>
      <c r="DZ238" s="1"/>
      <c r="EA238" s="1"/>
      <c r="EB238" s="1"/>
      <c r="EC238" s="1"/>
    </row>
    <row r="239" spans="6:133">
      <c r="F239" s="394"/>
      <c r="DW239" s="1"/>
      <c r="DX239" s="1"/>
      <c r="DY239" s="1"/>
      <c r="DZ239" s="1"/>
      <c r="EA239" s="1"/>
      <c r="EB239" s="1"/>
      <c r="EC239" s="1"/>
    </row>
    <row r="240" spans="6:133">
      <c r="F240" s="394"/>
      <c r="DW240" s="1"/>
      <c r="DX240" s="1"/>
      <c r="DY240" s="1"/>
      <c r="DZ240" s="1"/>
      <c r="EA240" s="1"/>
      <c r="EB240" s="1"/>
      <c r="EC240" s="1"/>
    </row>
    <row r="241" spans="6:133">
      <c r="F241" s="394"/>
      <c r="DW241" s="1"/>
      <c r="DX241" s="1"/>
      <c r="DY241" s="1"/>
      <c r="DZ241" s="1"/>
      <c r="EA241" s="1"/>
      <c r="EB241" s="1"/>
      <c r="EC241" s="1"/>
    </row>
    <row r="242" spans="6:133">
      <c r="F242" s="394"/>
      <c r="DW242" s="1"/>
      <c r="DX242" s="1"/>
      <c r="DY242" s="1"/>
      <c r="DZ242" s="1"/>
      <c r="EA242" s="1"/>
      <c r="EB242" s="1"/>
      <c r="EC242" s="1"/>
    </row>
    <row r="243" spans="6:133">
      <c r="F243" s="394"/>
      <c r="DW243" s="1"/>
      <c r="DX243" s="1"/>
      <c r="DY243" s="1"/>
      <c r="DZ243" s="1"/>
      <c r="EA243" s="1"/>
      <c r="EB243" s="1"/>
      <c r="EC243" s="1"/>
    </row>
    <row r="244" spans="6:133">
      <c r="F244" s="394"/>
      <c r="DW244" s="1"/>
      <c r="DX244" s="1"/>
      <c r="DY244" s="1"/>
      <c r="DZ244" s="1"/>
      <c r="EA244" s="1"/>
      <c r="EB244" s="1"/>
      <c r="EC244" s="1"/>
    </row>
    <row r="245" spans="6:133">
      <c r="F245" s="394"/>
      <c r="DW245" s="1"/>
      <c r="DX245" s="1"/>
      <c r="DY245" s="1"/>
      <c r="DZ245" s="1"/>
      <c r="EA245" s="1"/>
      <c r="EB245" s="1"/>
      <c r="EC245" s="1"/>
    </row>
    <row r="246" spans="6:133">
      <c r="F246" s="394"/>
      <c r="DW246" s="1"/>
      <c r="DX246" s="1"/>
      <c r="DY246" s="1"/>
      <c r="DZ246" s="1"/>
      <c r="EA246" s="1"/>
      <c r="EB246" s="1"/>
      <c r="EC246" s="1"/>
    </row>
    <row r="247" spans="6:133">
      <c r="F247" s="394"/>
      <c r="DW247" s="1"/>
      <c r="DX247" s="1"/>
      <c r="DY247" s="1"/>
      <c r="DZ247" s="1"/>
      <c r="EA247" s="1"/>
      <c r="EB247" s="1"/>
      <c r="EC247" s="1"/>
    </row>
    <row r="248" spans="6:133">
      <c r="F248" s="394"/>
      <c r="DW248" s="1"/>
      <c r="DX248" s="1"/>
      <c r="DY248" s="1"/>
      <c r="DZ248" s="1"/>
      <c r="EA248" s="1"/>
      <c r="EB248" s="1"/>
      <c r="EC248" s="1"/>
    </row>
    <row r="249" spans="6:133">
      <c r="F249" s="394"/>
      <c r="DW249" s="1"/>
      <c r="DX249" s="1"/>
      <c r="DY249" s="1"/>
      <c r="DZ249" s="1"/>
      <c r="EA249" s="1"/>
      <c r="EB249" s="1"/>
      <c r="EC249" s="1"/>
    </row>
    <row r="250" spans="6:133">
      <c r="F250" s="394"/>
      <c r="DW250" s="1"/>
      <c r="DX250" s="1"/>
      <c r="DY250" s="1"/>
      <c r="DZ250" s="1"/>
      <c r="EA250" s="1"/>
      <c r="EB250" s="1"/>
      <c r="EC250" s="1"/>
    </row>
    <row r="251" spans="6:133">
      <c r="F251" s="394"/>
      <c r="DW251" s="1"/>
      <c r="DX251" s="1"/>
      <c r="DY251" s="1"/>
      <c r="DZ251" s="1"/>
      <c r="EA251" s="1"/>
      <c r="EB251" s="1"/>
      <c r="EC251" s="1"/>
    </row>
    <row r="252" spans="6:133">
      <c r="F252" s="395"/>
      <c r="DW252" s="1"/>
      <c r="DX252" s="1"/>
      <c r="DY252" s="1"/>
      <c r="DZ252" s="1"/>
      <c r="EA252" s="1"/>
      <c r="EB252" s="1"/>
      <c r="EC252" s="1"/>
    </row>
  </sheetData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110" min="2" max="83" man="1"/>
  </rowBreaks>
  <colBreaks count="2" manualBreakCount="2">
    <brk id="31" max="114" man="1"/>
    <brk id="57" max="1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O175"/>
  <sheetViews>
    <sheetView showZeros="0" zoomScale="80" zoomScaleNormal="70" workbookViewId="0">
      <pane xSplit="4" ySplit="5" topLeftCell="E6" activePane="bottomRight" state="frozen"/>
      <selection activeCell="A97" sqref="A97"/>
      <selection pane="topRight" activeCell="A97" sqref="A97"/>
      <selection pane="bottomLeft" activeCell="A97" sqref="A97"/>
      <selection pane="bottomRight" activeCell="E5" sqref="E5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25" style="1" customWidth="1"/>
    <col min="4" max="4" width="21.85546875" style="1" bestFit="1" customWidth="1"/>
    <col min="5" max="82" width="7.7109375" style="1" customWidth="1"/>
    <col min="83" max="83" width="10.7109375" style="1" customWidth="1"/>
    <col min="84" max="84" width="10.7109375" style="1" hidden="1" customWidth="1"/>
    <col min="85" max="85" width="10.7109375" style="1" customWidth="1"/>
    <col min="86" max="86" width="11.7109375" style="1" customWidth="1"/>
    <col min="87" max="87" width="11.7109375" style="3" customWidth="1"/>
    <col min="88" max="93" width="10.7109375" style="3" customWidth="1"/>
    <col min="94" max="256" width="8.85546875" style="1"/>
    <col min="257" max="258" width="0" style="1" hidden="1" customWidth="1"/>
    <col min="259" max="259" width="25" style="1" customWidth="1"/>
    <col min="260" max="260" width="21.85546875" style="1" bestFit="1" customWidth="1"/>
    <col min="261" max="338" width="7.7109375" style="1" customWidth="1"/>
    <col min="339" max="339" width="10.7109375" style="1" customWidth="1"/>
    <col min="340" max="340" width="0" style="1" hidden="1" customWidth="1"/>
    <col min="341" max="341" width="10.7109375" style="1" customWidth="1"/>
    <col min="342" max="343" width="11.7109375" style="1" customWidth="1"/>
    <col min="344" max="349" width="10.7109375" style="1" customWidth="1"/>
    <col min="350" max="512" width="8.85546875" style="1"/>
    <col min="513" max="514" width="0" style="1" hidden="1" customWidth="1"/>
    <col min="515" max="515" width="25" style="1" customWidth="1"/>
    <col min="516" max="516" width="21.85546875" style="1" bestFit="1" customWidth="1"/>
    <col min="517" max="594" width="7.7109375" style="1" customWidth="1"/>
    <col min="595" max="595" width="10.7109375" style="1" customWidth="1"/>
    <col min="596" max="596" width="0" style="1" hidden="1" customWidth="1"/>
    <col min="597" max="597" width="10.7109375" style="1" customWidth="1"/>
    <col min="598" max="599" width="11.7109375" style="1" customWidth="1"/>
    <col min="600" max="605" width="10.7109375" style="1" customWidth="1"/>
    <col min="606" max="768" width="8.85546875" style="1"/>
    <col min="769" max="770" width="0" style="1" hidden="1" customWidth="1"/>
    <col min="771" max="771" width="25" style="1" customWidth="1"/>
    <col min="772" max="772" width="21.85546875" style="1" bestFit="1" customWidth="1"/>
    <col min="773" max="850" width="7.7109375" style="1" customWidth="1"/>
    <col min="851" max="851" width="10.7109375" style="1" customWidth="1"/>
    <col min="852" max="852" width="0" style="1" hidden="1" customWidth="1"/>
    <col min="853" max="853" width="10.7109375" style="1" customWidth="1"/>
    <col min="854" max="855" width="11.7109375" style="1" customWidth="1"/>
    <col min="856" max="861" width="10.7109375" style="1" customWidth="1"/>
    <col min="862" max="1024" width="8.85546875" style="1"/>
    <col min="1025" max="1026" width="0" style="1" hidden="1" customWidth="1"/>
    <col min="1027" max="1027" width="25" style="1" customWidth="1"/>
    <col min="1028" max="1028" width="21.85546875" style="1" bestFit="1" customWidth="1"/>
    <col min="1029" max="1106" width="7.7109375" style="1" customWidth="1"/>
    <col min="1107" max="1107" width="10.7109375" style="1" customWidth="1"/>
    <col min="1108" max="1108" width="0" style="1" hidden="1" customWidth="1"/>
    <col min="1109" max="1109" width="10.7109375" style="1" customWidth="1"/>
    <col min="1110" max="1111" width="11.7109375" style="1" customWidth="1"/>
    <col min="1112" max="1117" width="10.7109375" style="1" customWidth="1"/>
    <col min="1118" max="1280" width="8.85546875" style="1"/>
    <col min="1281" max="1282" width="0" style="1" hidden="1" customWidth="1"/>
    <col min="1283" max="1283" width="25" style="1" customWidth="1"/>
    <col min="1284" max="1284" width="21.85546875" style="1" bestFit="1" customWidth="1"/>
    <col min="1285" max="1362" width="7.7109375" style="1" customWidth="1"/>
    <col min="1363" max="1363" width="10.7109375" style="1" customWidth="1"/>
    <col min="1364" max="1364" width="0" style="1" hidden="1" customWidth="1"/>
    <col min="1365" max="1365" width="10.7109375" style="1" customWidth="1"/>
    <col min="1366" max="1367" width="11.7109375" style="1" customWidth="1"/>
    <col min="1368" max="1373" width="10.7109375" style="1" customWidth="1"/>
    <col min="1374" max="1536" width="8.85546875" style="1"/>
    <col min="1537" max="1538" width="0" style="1" hidden="1" customWidth="1"/>
    <col min="1539" max="1539" width="25" style="1" customWidth="1"/>
    <col min="1540" max="1540" width="21.85546875" style="1" bestFit="1" customWidth="1"/>
    <col min="1541" max="1618" width="7.7109375" style="1" customWidth="1"/>
    <col min="1619" max="1619" width="10.7109375" style="1" customWidth="1"/>
    <col min="1620" max="1620" width="0" style="1" hidden="1" customWidth="1"/>
    <col min="1621" max="1621" width="10.7109375" style="1" customWidth="1"/>
    <col min="1622" max="1623" width="11.7109375" style="1" customWidth="1"/>
    <col min="1624" max="1629" width="10.7109375" style="1" customWidth="1"/>
    <col min="1630" max="1792" width="8.85546875" style="1"/>
    <col min="1793" max="1794" width="0" style="1" hidden="1" customWidth="1"/>
    <col min="1795" max="1795" width="25" style="1" customWidth="1"/>
    <col min="1796" max="1796" width="21.85546875" style="1" bestFit="1" customWidth="1"/>
    <col min="1797" max="1874" width="7.7109375" style="1" customWidth="1"/>
    <col min="1875" max="1875" width="10.7109375" style="1" customWidth="1"/>
    <col min="1876" max="1876" width="0" style="1" hidden="1" customWidth="1"/>
    <col min="1877" max="1877" width="10.7109375" style="1" customWidth="1"/>
    <col min="1878" max="1879" width="11.7109375" style="1" customWidth="1"/>
    <col min="1880" max="1885" width="10.7109375" style="1" customWidth="1"/>
    <col min="1886" max="2048" width="8.85546875" style="1"/>
    <col min="2049" max="2050" width="0" style="1" hidden="1" customWidth="1"/>
    <col min="2051" max="2051" width="25" style="1" customWidth="1"/>
    <col min="2052" max="2052" width="21.85546875" style="1" bestFit="1" customWidth="1"/>
    <col min="2053" max="2130" width="7.7109375" style="1" customWidth="1"/>
    <col min="2131" max="2131" width="10.7109375" style="1" customWidth="1"/>
    <col min="2132" max="2132" width="0" style="1" hidden="1" customWidth="1"/>
    <col min="2133" max="2133" width="10.7109375" style="1" customWidth="1"/>
    <col min="2134" max="2135" width="11.7109375" style="1" customWidth="1"/>
    <col min="2136" max="2141" width="10.7109375" style="1" customWidth="1"/>
    <col min="2142" max="2304" width="8.85546875" style="1"/>
    <col min="2305" max="2306" width="0" style="1" hidden="1" customWidth="1"/>
    <col min="2307" max="2307" width="25" style="1" customWidth="1"/>
    <col min="2308" max="2308" width="21.85546875" style="1" bestFit="1" customWidth="1"/>
    <col min="2309" max="2386" width="7.7109375" style="1" customWidth="1"/>
    <col min="2387" max="2387" width="10.7109375" style="1" customWidth="1"/>
    <col min="2388" max="2388" width="0" style="1" hidden="1" customWidth="1"/>
    <col min="2389" max="2389" width="10.7109375" style="1" customWidth="1"/>
    <col min="2390" max="2391" width="11.7109375" style="1" customWidth="1"/>
    <col min="2392" max="2397" width="10.7109375" style="1" customWidth="1"/>
    <col min="2398" max="2560" width="8.85546875" style="1"/>
    <col min="2561" max="2562" width="0" style="1" hidden="1" customWidth="1"/>
    <col min="2563" max="2563" width="25" style="1" customWidth="1"/>
    <col min="2564" max="2564" width="21.85546875" style="1" bestFit="1" customWidth="1"/>
    <col min="2565" max="2642" width="7.7109375" style="1" customWidth="1"/>
    <col min="2643" max="2643" width="10.7109375" style="1" customWidth="1"/>
    <col min="2644" max="2644" width="0" style="1" hidden="1" customWidth="1"/>
    <col min="2645" max="2645" width="10.7109375" style="1" customWidth="1"/>
    <col min="2646" max="2647" width="11.7109375" style="1" customWidth="1"/>
    <col min="2648" max="2653" width="10.7109375" style="1" customWidth="1"/>
    <col min="2654" max="2816" width="8.85546875" style="1"/>
    <col min="2817" max="2818" width="0" style="1" hidden="1" customWidth="1"/>
    <col min="2819" max="2819" width="25" style="1" customWidth="1"/>
    <col min="2820" max="2820" width="21.85546875" style="1" bestFit="1" customWidth="1"/>
    <col min="2821" max="2898" width="7.7109375" style="1" customWidth="1"/>
    <col min="2899" max="2899" width="10.7109375" style="1" customWidth="1"/>
    <col min="2900" max="2900" width="0" style="1" hidden="1" customWidth="1"/>
    <col min="2901" max="2901" width="10.7109375" style="1" customWidth="1"/>
    <col min="2902" max="2903" width="11.7109375" style="1" customWidth="1"/>
    <col min="2904" max="2909" width="10.7109375" style="1" customWidth="1"/>
    <col min="2910" max="3072" width="8.85546875" style="1"/>
    <col min="3073" max="3074" width="0" style="1" hidden="1" customWidth="1"/>
    <col min="3075" max="3075" width="25" style="1" customWidth="1"/>
    <col min="3076" max="3076" width="21.85546875" style="1" bestFit="1" customWidth="1"/>
    <col min="3077" max="3154" width="7.7109375" style="1" customWidth="1"/>
    <col min="3155" max="3155" width="10.7109375" style="1" customWidth="1"/>
    <col min="3156" max="3156" width="0" style="1" hidden="1" customWidth="1"/>
    <col min="3157" max="3157" width="10.7109375" style="1" customWidth="1"/>
    <col min="3158" max="3159" width="11.7109375" style="1" customWidth="1"/>
    <col min="3160" max="3165" width="10.7109375" style="1" customWidth="1"/>
    <col min="3166" max="3328" width="8.85546875" style="1"/>
    <col min="3329" max="3330" width="0" style="1" hidden="1" customWidth="1"/>
    <col min="3331" max="3331" width="25" style="1" customWidth="1"/>
    <col min="3332" max="3332" width="21.85546875" style="1" bestFit="1" customWidth="1"/>
    <col min="3333" max="3410" width="7.7109375" style="1" customWidth="1"/>
    <col min="3411" max="3411" width="10.7109375" style="1" customWidth="1"/>
    <col min="3412" max="3412" width="0" style="1" hidden="1" customWidth="1"/>
    <col min="3413" max="3413" width="10.7109375" style="1" customWidth="1"/>
    <col min="3414" max="3415" width="11.7109375" style="1" customWidth="1"/>
    <col min="3416" max="3421" width="10.7109375" style="1" customWidth="1"/>
    <col min="3422" max="3584" width="8.85546875" style="1"/>
    <col min="3585" max="3586" width="0" style="1" hidden="1" customWidth="1"/>
    <col min="3587" max="3587" width="25" style="1" customWidth="1"/>
    <col min="3588" max="3588" width="21.85546875" style="1" bestFit="1" customWidth="1"/>
    <col min="3589" max="3666" width="7.7109375" style="1" customWidth="1"/>
    <col min="3667" max="3667" width="10.7109375" style="1" customWidth="1"/>
    <col min="3668" max="3668" width="0" style="1" hidden="1" customWidth="1"/>
    <col min="3669" max="3669" width="10.7109375" style="1" customWidth="1"/>
    <col min="3670" max="3671" width="11.7109375" style="1" customWidth="1"/>
    <col min="3672" max="3677" width="10.7109375" style="1" customWidth="1"/>
    <col min="3678" max="3840" width="8.85546875" style="1"/>
    <col min="3841" max="3842" width="0" style="1" hidden="1" customWidth="1"/>
    <col min="3843" max="3843" width="25" style="1" customWidth="1"/>
    <col min="3844" max="3844" width="21.85546875" style="1" bestFit="1" customWidth="1"/>
    <col min="3845" max="3922" width="7.7109375" style="1" customWidth="1"/>
    <col min="3923" max="3923" width="10.7109375" style="1" customWidth="1"/>
    <col min="3924" max="3924" width="0" style="1" hidden="1" customWidth="1"/>
    <col min="3925" max="3925" width="10.7109375" style="1" customWidth="1"/>
    <col min="3926" max="3927" width="11.7109375" style="1" customWidth="1"/>
    <col min="3928" max="3933" width="10.7109375" style="1" customWidth="1"/>
    <col min="3934" max="4096" width="8.85546875" style="1"/>
    <col min="4097" max="4098" width="0" style="1" hidden="1" customWidth="1"/>
    <col min="4099" max="4099" width="25" style="1" customWidth="1"/>
    <col min="4100" max="4100" width="21.85546875" style="1" bestFit="1" customWidth="1"/>
    <col min="4101" max="4178" width="7.7109375" style="1" customWidth="1"/>
    <col min="4179" max="4179" width="10.7109375" style="1" customWidth="1"/>
    <col min="4180" max="4180" width="0" style="1" hidden="1" customWidth="1"/>
    <col min="4181" max="4181" width="10.7109375" style="1" customWidth="1"/>
    <col min="4182" max="4183" width="11.7109375" style="1" customWidth="1"/>
    <col min="4184" max="4189" width="10.7109375" style="1" customWidth="1"/>
    <col min="4190" max="4352" width="8.85546875" style="1"/>
    <col min="4353" max="4354" width="0" style="1" hidden="1" customWidth="1"/>
    <col min="4355" max="4355" width="25" style="1" customWidth="1"/>
    <col min="4356" max="4356" width="21.85546875" style="1" bestFit="1" customWidth="1"/>
    <col min="4357" max="4434" width="7.7109375" style="1" customWidth="1"/>
    <col min="4435" max="4435" width="10.7109375" style="1" customWidth="1"/>
    <col min="4436" max="4436" width="0" style="1" hidden="1" customWidth="1"/>
    <col min="4437" max="4437" width="10.7109375" style="1" customWidth="1"/>
    <col min="4438" max="4439" width="11.7109375" style="1" customWidth="1"/>
    <col min="4440" max="4445" width="10.7109375" style="1" customWidth="1"/>
    <col min="4446" max="4608" width="8.85546875" style="1"/>
    <col min="4609" max="4610" width="0" style="1" hidden="1" customWidth="1"/>
    <col min="4611" max="4611" width="25" style="1" customWidth="1"/>
    <col min="4612" max="4612" width="21.85546875" style="1" bestFit="1" customWidth="1"/>
    <col min="4613" max="4690" width="7.7109375" style="1" customWidth="1"/>
    <col min="4691" max="4691" width="10.7109375" style="1" customWidth="1"/>
    <col min="4692" max="4692" width="0" style="1" hidden="1" customWidth="1"/>
    <col min="4693" max="4693" width="10.7109375" style="1" customWidth="1"/>
    <col min="4694" max="4695" width="11.7109375" style="1" customWidth="1"/>
    <col min="4696" max="4701" width="10.7109375" style="1" customWidth="1"/>
    <col min="4702" max="4864" width="8.85546875" style="1"/>
    <col min="4865" max="4866" width="0" style="1" hidden="1" customWidth="1"/>
    <col min="4867" max="4867" width="25" style="1" customWidth="1"/>
    <col min="4868" max="4868" width="21.85546875" style="1" bestFit="1" customWidth="1"/>
    <col min="4869" max="4946" width="7.7109375" style="1" customWidth="1"/>
    <col min="4947" max="4947" width="10.7109375" style="1" customWidth="1"/>
    <col min="4948" max="4948" width="0" style="1" hidden="1" customWidth="1"/>
    <col min="4949" max="4949" width="10.7109375" style="1" customWidth="1"/>
    <col min="4950" max="4951" width="11.7109375" style="1" customWidth="1"/>
    <col min="4952" max="4957" width="10.7109375" style="1" customWidth="1"/>
    <col min="4958" max="5120" width="8.85546875" style="1"/>
    <col min="5121" max="5122" width="0" style="1" hidden="1" customWidth="1"/>
    <col min="5123" max="5123" width="25" style="1" customWidth="1"/>
    <col min="5124" max="5124" width="21.85546875" style="1" bestFit="1" customWidth="1"/>
    <col min="5125" max="5202" width="7.7109375" style="1" customWidth="1"/>
    <col min="5203" max="5203" width="10.7109375" style="1" customWidth="1"/>
    <col min="5204" max="5204" width="0" style="1" hidden="1" customWidth="1"/>
    <col min="5205" max="5205" width="10.7109375" style="1" customWidth="1"/>
    <col min="5206" max="5207" width="11.7109375" style="1" customWidth="1"/>
    <col min="5208" max="5213" width="10.7109375" style="1" customWidth="1"/>
    <col min="5214" max="5376" width="8.85546875" style="1"/>
    <col min="5377" max="5378" width="0" style="1" hidden="1" customWidth="1"/>
    <col min="5379" max="5379" width="25" style="1" customWidth="1"/>
    <col min="5380" max="5380" width="21.85546875" style="1" bestFit="1" customWidth="1"/>
    <col min="5381" max="5458" width="7.7109375" style="1" customWidth="1"/>
    <col min="5459" max="5459" width="10.7109375" style="1" customWidth="1"/>
    <col min="5460" max="5460" width="0" style="1" hidden="1" customWidth="1"/>
    <col min="5461" max="5461" width="10.7109375" style="1" customWidth="1"/>
    <col min="5462" max="5463" width="11.7109375" style="1" customWidth="1"/>
    <col min="5464" max="5469" width="10.7109375" style="1" customWidth="1"/>
    <col min="5470" max="5632" width="8.85546875" style="1"/>
    <col min="5633" max="5634" width="0" style="1" hidden="1" customWidth="1"/>
    <col min="5635" max="5635" width="25" style="1" customWidth="1"/>
    <col min="5636" max="5636" width="21.85546875" style="1" bestFit="1" customWidth="1"/>
    <col min="5637" max="5714" width="7.7109375" style="1" customWidth="1"/>
    <col min="5715" max="5715" width="10.7109375" style="1" customWidth="1"/>
    <col min="5716" max="5716" width="0" style="1" hidden="1" customWidth="1"/>
    <col min="5717" max="5717" width="10.7109375" style="1" customWidth="1"/>
    <col min="5718" max="5719" width="11.7109375" style="1" customWidth="1"/>
    <col min="5720" max="5725" width="10.7109375" style="1" customWidth="1"/>
    <col min="5726" max="5888" width="8.85546875" style="1"/>
    <col min="5889" max="5890" width="0" style="1" hidden="1" customWidth="1"/>
    <col min="5891" max="5891" width="25" style="1" customWidth="1"/>
    <col min="5892" max="5892" width="21.85546875" style="1" bestFit="1" customWidth="1"/>
    <col min="5893" max="5970" width="7.7109375" style="1" customWidth="1"/>
    <col min="5971" max="5971" width="10.7109375" style="1" customWidth="1"/>
    <col min="5972" max="5972" width="0" style="1" hidden="1" customWidth="1"/>
    <col min="5973" max="5973" width="10.7109375" style="1" customWidth="1"/>
    <col min="5974" max="5975" width="11.7109375" style="1" customWidth="1"/>
    <col min="5976" max="5981" width="10.7109375" style="1" customWidth="1"/>
    <col min="5982" max="6144" width="8.85546875" style="1"/>
    <col min="6145" max="6146" width="0" style="1" hidden="1" customWidth="1"/>
    <col min="6147" max="6147" width="25" style="1" customWidth="1"/>
    <col min="6148" max="6148" width="21.85546875" style="1" bestFit="1" customWidth="1"/>
    <col min="6149" max="6226" width="7.7109375" style="1" customWidth="1"/>
    <col min="6227" max="6227" width="10.7109375" style="1" customWidth="1"/>
    <col min="6228" max="6228" width="0" style="1" hidden="1" customWidth="1"/>
    <col min="6229" max="6229" width="10.7109375" style="1" customWidth="1"/>
    <col min="6230" max="6231" width="11.7109375" style="1" customWidth="1"/>
    <col min="6232" max="6237" width="10.7109375" style="1" customWidth="1"/>
    <col min="6238" max="6400" width="8.85546875" style="1"/>
    <col min="6401" max="6402" width="0" style="1" hidden="1" customWidth="1"/>
    <col min="6403" max="6403" width="25" style="1" customWidth="1"/>
    <col min="6404" max="6404" width="21.85546875" style="1" bestFit="1" customWidth="1"/>
    <col min="6405" max="6482" width="7.7109375" style="1" customWidth="1"/>
    <col min="6483" max="6483" width="10.7109375" style="1" customWidth="1"/>
    <col min="6484" max="6484" width="0" style="1" hidden="1" customWidth="1"/>
    <col min="6485" max="6485" width="10.7109375" style="1" customWidth="1"/>
    <col min="6486" max="6487" width="11.7109375" style="1" customWidth="1"/>
    <col min="6488" max="6493" width="10.7109375" style="1" customWidth="1"/>
    <col min="6494" max="6656" width="8.85546875" style="1"/>
    <col min="6657" max="6658" width="0" style="1" hidden="1" customWidth="1"/>
    <col min="6659" max="6659" width="25" style="1" customWidth="1"/>
    <col min="6660" max="6660" width="21.85546875" style="1" bestFit="1" customWidth="1"/>
    <col min="6661" max="6738" width="7.7109375" style="1" customWidth="1"/>
    <col min="6739" max="6739" width="10.7109375" style="1" customWidth="1"/>
    <col min="6740" max="6740" width="0" style="1" hidden="1" customWidth="1"/>
    <col min="6741" max="6741" width="10.7109375" style="1" customWidth="1"/>
    <col min="6742" max="6743" width="11.7109375" style="1" customWidth="1"/>
    <col min="6744" max="6749" width="10.7109375" style="1" customWidth="1"/>
    <col min="6750" max="6912" width="8.85546875" style="1"/>
    <col min="6913" max="6914" width="0" style="1" hidden="1" customWidth="1"/>
    <col min="6915" max="6915" width="25" style="1" customWidth="1"/>
    <col min="6916" max="6916" width="21.85546875" style="1" bestFit="1" customWidth="1"/>
    <col min="6917" max="6994" width="7.7109375" style="1" customWidth="1"/>
    <col min="6995" max="6995" width="10.7109375" style="1" customWidth="1"/>
    <col min="6996" max="6996" width="0" style="1" hidden="1" customWidth="1"/>
    <col min="6997" max="6997" width="10.7109375" style="1" customWidth="1"/>
    <col min="6998" max="6999" width="11.7109375" style="1" customWidth="1"/>
    <col min="7000" max="7005" width="10.7109375" style="1" customWidth="1"/>
    <col min="7006" max="7168" width="8.85546875" style="1"/>
    <col min="7169" max="7170" width="0" style="1" hidden="1" customWidth="1"/>
    <col min="7171" max="7171" width="25" style="1" customWidth="1"/>
    <col min="7172" max="7172" width="21.85546875" style="1" bestFit="1" customWidth="1"/>
    <col min="7173" max="7250" width="7.7109375" style="1" customWidth="1"/>
    <col min="7251" max="7251" width="10.7109375" style="1" customWidth="1"/>
    <col min="7252" max="7252" width="0" style="1" hidden="1" customWidth="1"/>
    <col min="7253" max="7253" width="10.7109375" style="1" customWidth="1"/>
    <col min="7254" max="7255" width="11.7109375" style="1" customWidth="1"/>
    <col min="7256" max="7261" width="10.7109375" style="1" customWidth="1"/>
    <col min="7262" max="7424" width="8.85546875" style="1"/>
    <col min="7425" max="7426" width="0" style="1" hidden="1" customWidth="1"/>
    <col min="7427" max="7427" width="25" style="1" customWidth="1"/>
    <col min="7428" max="7428" width="21.85546875" style="1" bestFit="1" customWidth="1"/>
    <col min="7429" max="7506" width="7.7109375" style="1" customWidth="1"/>
    <col min="7507" max="7507" width="10.7109375" style="1" customWidth="1"/>
    <col min="7508" max="7508" width="0" style="1" hidden="1" customWidth="1"/>
    <col min="7509" max="7509" width="10.7109375" style="1" customWidth="1"/>
    <col min="7510" max="7511" width="11.7109375" style="1" customWidth="1"/>
    <col min="7512" max="7517" width="10.7109375" style="1" customWidth="1"/>
    <col min="7518" max="7680" width="8.85546875" style="1"/>
    <col min="7681" max="7682" width="0" style="1" hidden="1" customWidth="1"/>
    <col min="7683" max="7683" width="25" style="1" customWidth="1"/>
    <col min="7684" max="7684" width="21.85546875" style="1" bestFit="1" customWidth="1"/>
    <col min="7685" max="7762" width="7.7109375" style="1" customWidth="1"/>
    <col min="7763" max="7763" width="10.7109375" style="1" customWidth="1"/>
    <col min="7764" max="7764" width="0" style="1" hidden="1" customWidth="1"/>
    <col min="7765" max="7765" width="10.7109375" style="1" customWidth="1"/>
    <col min="7766" max="7767" width="11.7109375" style="1" customWidth="1"/>
    <col min="7768" max="7773" width="10.7109375" style="1" customWidth="1"/>
    <col min="7774" max="7936" width="8.85546875" style="1"/>
    <col min="7937" max="7938" width="0" style="1" hidden="1" customWidth="1"/>
    <col min="7939" max="7939" width="25" style="1" customWidth="1"/>
    <col min="7940" max="7940" width="21.85546875" style="1" bestFit="1" customWidth="1"/>
    <col min="7941" max="8018" width="7.7109375" style="1" customWidth="1"/>
    <col min="8019" max="8019" width="10.7109375" style="1" customWidth="1"/>
    <col min="8020" max="8020" width="0" style="1" hidden="1" customWidth="1"/>
    <col min="8021" max="8021" width="10.7109375" style="1" customWidth="1"/>
    <col min="8022" max="8023" width="11.7109375" style="1" customWidth="1"/>
    <col min="8024" max="8029" width="10.7109375" style="1" customWidth="1"/>
    <col min="8030" max="8192" width="8.85546875" style="1"/>
    <col min="8193" max="8194" width="0" style="1" hidden="1" customWidth="1"/>
    <col min="8195" max="8195" width="25" style="1" customWidth="1"/>
    <col min="8196" max="8196" width="21.85546875" style="1" bestFit="1" customWidth="1"/>
    <col min="8197" max="8274" width="7.7109375" style="1" customWidth="1"/>
    <col min="8275" max="8275" width="10.7109375" style="1" customWidth="1"/>
    <col min="8276" max="8276" width="0" style="1" hidden="1" customWidth="1"/>
    <col min="8277" max="8277" width="10.7109375" style="1" customWidth="1"/>
    <col min="8278" max="8279" width="11.7109375" style="1" customWidth="1"/>
    <col min="8280" max="8285" width="10.7109375" style="1" customWidth="1"/>
    <col min="8286" max="8448" width="8.85546875" style="1"/>
    <col min="8449" max="8450" width="0" style="1" hidden="1" customWidth="1"/>
    <col min="8451" max="8451" width="25" style="1" customWidth="1"/>
    <col min="8452" max="8452" width="21.85546875" style="1" bestFit="1" customWidth="1"/>
    <col min="8453" max="8530" width="7.7109375" style="1" customWidth="1"/>
    <col min="8531" max="8531" width="10.7109375" style="1" customWidth="1"/>
    <col min="8532" max="8532" width="0" style="1" hidden="1" customWidth="1"/>
    <col min="8533" max="8533" width="10.7109375" style="1" customWidth="1"/>
    <col min="8534" max="8535" width="11.7109375" style="1" customWidth="1"/>
    <col min="8536" max="8541" width="10.7109375" style="1" customWidth="1"/>
    <col min="8542" max="8704" width="8.85546875" style="1"/>
    <col min="8705" max="8706" width="0" style="1" hidden="1" customWidth="1"/>
    <col min="8707" max="8707" width="25" style="1" customWidth="1"/>
    <col min="8708" max="8708" width="21.85546875" style="1" bestFit="1" customWidth="1"/>
    <col min="8709" max="8786" width="7.7109375" style="1" customWidth="1"/>
    <col min="8787" max="8787" width="10.7109375" style="1" customWidth="1"/>
    <col min="8788" max="8788" width="0" style="1" hidden="1" customWidth="1"/>
    <col min="8789" max="8789" width="10.7109375" style="1" customWidth="1"/>
    <col min="8790" max="8791" width="11.7109375" style="1" customWidth="1"/>
    <col min="8792" max="8797" width="10.7109375" style="1" customWidth="1"/>
    <col min="8798" max="8960" width="8.85546875" style="1"/>
    <col min="8961" max="8962" width="0" style="1" hidden="1" customWidth="1"/>
    <col min="8963" max="8963" width="25" style="1" customWidth="1"/>
    <col min="8964" max="8964" width="21.85546875" style="1" bestFit="1" customWidth="1"/>
    <col min="8965" max="9042" width="7.7109375" style="1" customWidth="1"/>
    <col min="9043" max="9043" width="10.7109375" style="1" customWidth="1"/>
    <col min="9044" max="9044" width="0" style="1" hidden="1" customWidth="1"/>
    <col min="9045" max="9045" width="10.7109375" style="1" customWidth="1"/>
    <col min="9046" max="9047" width="11.7109375" style="1" customWidth="1"/>
    <col min="9048" max="9053" width="10.7109375" style="1" customWidth="1"/>
    <col min="9054" max="9216" width="8.85546875" style="1"/>
    <col min="9217" max="9218" width="0" style="1" hidden="1" customWidth="1"/>
    <col min="9219" max="9219" width="25" style="1" customWidth="1"/>
    <col min="9220" max="9220" width="21.85546875" style="1" bestFit="1" customWidth="1"/>
    <col min="9221" max="9298" width="7.7109375" style="1" customWidth="1"/>
    <col min="9299" max="9299" width="10.7109375" style="1" customWidth="1"/>
    <col min="9300" max="9300" width="0" style="1" hidden="1" customWidth="1"/>
    <col min="9301" max="9301" width="10.7109375" style="1" customWidth="1"/>
    <col min="9302" max="9303" width="11.7109375" style="1" customWidth="1"/>
    <col min="9304" max="9309" width="10.7109375" style="1" customWidth="1"/>
    <col min="9310" max="9472" width="8.85546875" style="1"/>
    <col min="9473" max="9474" width="0" style="1" hidden="1" customWidth="1"/>
    <col min="9475" max="9475" width="25" style="1" customWidth="1"/>
    <col min="9476" max="9476" width="21.85546875" style="1" bestFit="1" customWidth="1"/>
    <col min="9477" max="9554" width="7.7109375" style="1" customWidth="1"/>
    <col min="9555" max="9555" width="10.7109375" style="1" customWidth="1"/>
    <col min="9556" max="9556" width="0" style="1" hidden="1" customWidth="1"/>
    <col min="9557" max="9557" width="10.7109375" style="1" customWidth="1"/>
    <col min="9558" max="9559" width="11.7109375" style="1" customWidth="1"/>
    <col min="9560" max="9565" width="10.7109375" style="1" customWidth="1"/>
    <col min="9566" max="9728" width="8.85546875" style="1"/>
    <col min="9729" max="9730" width="0" style="1" hidden="1" customWidth="1"/>
    <col min="9731" max="9731" width="25" style="1" customWidth="1"/>
    <col min="9732" max="9732" width="21.85546875" style="1" bestFit="1" customWidth="1"/>
    <col min="9733" max="9810" width="7.7109375" style="1" customWidth="1"/>
    <col min="9811" max="9811" width="10.7109375" style="1" customWidth="1"/>
    <col min="9812" max="9812" width="0" style="1" hidden="1" customWidth="1"/>
    <col min="9813" max="9813" width="10.7109375" style="1" customWidth="1"/>
    <col min="9814" max="9815" width="11.7109375" style="1" customWidth="1"/>
    <col min="9816" max="9821" width="10.7109375" style="1" customWidth="1"/>
    <col min="9822" max="9984" width="8.85546875" style="1"/>
    <col min="9985" max="9986" width="0" style="1" hidden="1" customWidth="1"/>
    <col min="9987" max="9987" width="25" style="1" customWidth="1"/>
    <col min="9988" max="9988" width="21.85546875" style="1" bestFit="1" customWidth="1"/>
    <col min="9989" max="10066" width="7.7109375" style="1" customWidth="1"/>
    <col min="10067" max="10067" width="10.7109375" style="1" customWidth="1"/>
    <col min="10068" max="10068" width="0" style="1" hidden="1" customWidth="1"/>
    <col min="10069" max="10069" width="10.7109375" style="1" customWidth="1"/>
    <col min="10070" max="10071" width="11.7109375" style="1" customWidth="1"/>
    <col min="10072" max="10077" width="10.7109375" style="1" customWidth="1"/>
    <col min="10078" max="10240" width="8.85546875" style="1"/>
    <col min="10241" max="10242" width="0" style="1" hidden="1" customWidth="1"/>
    <col min="10243" max="10243" width="25" style="1" customWidth="1"/>
    <col min="10244" max="10244" width="21.85546875" style="1" bestFit="1" customWidth="1"/>
    <col min="10245" max="10322" width="7.7109375" style="1" customWidth="1"/>
    <col min="10323" max="10323" width="10.7109375" style="1" customWidth="1"/>
    <col min="10324" max="10324" width="0" style="1" hidden="1" customWidth="1"/>
    <col min="10325" max="10325" width="10.7109375" style="1" customWidth="1"/>
    <col min="10326" max="10327" width="11.7109375" style="1" customWidth="1"/>
    <col min="10328" max="10333" width="10.7109375" style="1" customWidth="1"/>
    <col min="10334" max="10496" width="8.85546875" style="1"/>
    <col min="10497" max="10498" width="0" style="1" hidden="1" customWidth="1"/>
    <col min="10499" max="10499" width="25" style="1" customWidth="1"/>
    <col min="10500" max="10500" width="21.85546875" style="1" bestFit="1" customWidth="1"/>
    <col min="10501" max="10578" width="7.7109375" style="1" customWidth="1"/>
    <col min="10579" max="10579" width="10.7109375" style="1" customWidth="1"/>
    <col min="10580" max="10580" width="0" style="1" hidden="1" customWidth="1"/>
    <col min="10581" max="10581" width="10.7109375" style="1" customWidth="1"/>
    <col min="10582" max="10583" width="11.7109375" style="1" customWidth="1"/>
    <col min="10584" max="10589" width="10.7109375" style="1" customWidth="1"/>
    <col min="10590" max="10752" width="8.85546875" style="1"/>
    <col min="10753" max="10754" width="0" style="1" hidden="1" customWidth="1"/>
    <col min="10755" max="10755" width="25" style="1" customWidth="1"/>
    <col min="10756" max="10756" width="21.85546875" style="1" bestFit="1" customWidth="1"/>
    <col min="10757" max="10834" width="7.7109375" style="1" customWidth="1"/>
    <col min="10835" max="10835" width="10.7109375" style="1" customWidth="1"/>
    <col min="10836" max="10836" width="0" style="1" hidden="1" customWidth="1"/>
    <col min="10837" max="10837" width="10.7109375" style="1" customWidth="1"/>
    <col min="10838" max="10839" width="11.7109375" style="1" customWidth="1"/>
    <col min="10840" max="10845" width="10.7109375" style="1" customWidth="1"/>
    <col min="10846" max="11008" width="8.85546875" style="1"/>
    <col min="11009" max="11010" width="0" style="1" hidden="1" customWidth="1"/>
    <col min="11011" max="11011" width="25" style="1" customWidth="1"/>
    <col min="11012" max="11012" width="21.85546875" style="1" bestFit="1" customWidth="1"/>
    <col min="11013" max="11090" width="7.7109375" style="1" customWidth="1"/>
    <col min="11091" max="11091" width="10.7109375" style="1" customWidth="1"/>
    <col min="11092" max="11092" width="0" style="1" hidden="1" customWidth="1"/>
    <col min="11093" max="11093" width="10.7109375" style="1" customWidth="1"/>
    <col min="11094" max="11095" width="11.7109375" style="1" customWidth="1"/>
    <col min="11096" max="11101" width="10.7109375" style="1" customWidth="1"/>
    <col min="11102" max="11264" width="8.85546875" style="1"/>
    <col min="11265" max="11266" width="0" style="1" hidden="1" customWidth="1"/>
    <col min="11267" max="11267" width="25" style="1" customWidth="1"/>
    <col min="11268" max="11268" width="21.85546875" style="1" bestFit="1" customWidth="1"/>
    <col min="11269" max="11346" width="7.7109375" style="1" customWidth="1"/>
    <col min="11347" max="11347" width="10.7109375" style="1" customWidth="1"/>
    <col min="11348" max="11348" width="0" style="1" hidden="1" customWidth="1"/>
    <col min="11349" max="11349" width="10.7109375" style="1" customWidth="1"/>
    <col min="11350" max="11351" width="11.7109375" style="1" customWidth="1"/>
    <col min="11352" max="11357" width="10.7109375" style="1" customWidth="1"/>
    <col min="11358" max="11520" width="8.85546875" style="1"/>
    <col min="11521" max="11522" width="0" style="1" hidden="1" customWidth="1"/>
    <col min="11523" max="11523" width="25" style="1" customWidth="1"/>
    <col min="11524" max="11524" width="21.85546875" style="1" bestFit="1" customWidth="1"/>
    <col min="11525" max="11602" width="7.7109375" style="1" customWidth="1"/>
    <col min="11603" max="11603" width="10.7109375" style="1" customWidth="1"/>
    <col min="11604" max="11604" width="0" style="1" hidden="1" customWidth="1"/>
    <col min="11605" max="11605" width="10.7109375" style="1" customWidth="1"/>
    <col min="11606" max="11607" width="11.7109375" style="1" customWidth="1"/>
    <col min="11608" max="11613" width="10.7109375" style="1" customWidth="1"/>
    <col min="11614" max="11776" width="8.85546875" style="1"/>
    <col min="11777" max="11778" width="0" style="1" hidden="1" customWidth="1"/>
    <col min="11779" max="11779" width="25" style="1" customWidth="1"/>
    <col min="11780" max="11780" width="21.85546875" style="1" bestFit="1" customWidth="1"/>
    <col min="11781" max="11858" width="7.7109375" style="1" customWidth="1"/>
    <col min="11859" max="11859" width="10.7109375" style="1" customWidth="1"/>
    <col min="11860" max="11860" width="0" style="1" hidden="1" customWidth="1"/>
    <col min="11861" max="11861" width="10.7109375" style="1" customWidth="1"/>
    <col min="11862" max="11863" width="11.7109375" style="1" customWidth="1"/>
    <col min="11864" max="11869" width="10.7109375" style="1" customWidth="1"/>
    <col min="11870" max="12032" width="8.85546875" style="1"/>
    <col min="12033" max="12034" width="0" style="1" hidden="1" customWidth="1"/>
    <col min="12035" max="12035" width="25" style="1" customWidth="1"/>
    <col min="12036" max="12036" width="21.85546875" style="1" bestFit="1" customWidth="1"/>
    <col min="12037" max="12114" width="7.7109375" style="1" customWidth="1"/>
    <col min="12115" max="12115" width="10.7109375" style="1" customWidth="1"/>
    <col min="12116" max="12116" width="0" style="1" hidden="1" customWidth="1"/>
    <col min="12117" max="12117" width="10.7109375" style="1" customWidth="1"/>
    <col min="12118" max="12119" width="11.7109375" style="1" customWidth="1"/>
    <col min="12120" max="12125" width="10.7109375" style="1" customWidth="1"/>
    <col min="12126" max="12288" width="8.85546875" style="1"/>
    <col min="12289" max="12290" width="0" style="1" hidden="1" customWidth="1"/>
    <col min="12291" max="12291" width="25" style="1" customWidth="1"/>
    <col min="12292" max="12292" width="21.85546875" style="1" bestFit="1" customWidth="1"/>
    <col min="12293" max="12370" width="7.7109375" style="1" customWidth="1"/>
    <col min="12371" max="12371" width="10.7109375" style="1" customWidth="1"/>
    <col min="12372" max="12372" width="0" style="1" hidden="1" customWidth="1"/>
    <col min="12373" max="12373" width="10.7109375" style="1" customWidth="1"/>
    <col min="12374" max="12375" width="11.7109375" style="1" customWidth="1"/>
    <col min="12376" max="12381" width="10.7109375" style="1" customWidth="1"/>
    <col min="12382" max="12544" width="8.85546875" style="1"/>
    <col min="12545" max="12546" width="0" style="1" hidden="1" customWidth="1"/>
    <col min="12547" max="12547" width="25" style="1" customWidth="1"/>
    <col min="12548" max="12548" width="21.85546875" style="1" bestFit="1" customWidth="1"/>
    <col min="12549" max="12626" width="7.7109375" style="1" customWidth="1"/>
    <col min="12627" max="12627" width="10.7109375" style="1" customWidth="1"/>
    <col min="12628" max="12628" width="0" style="1" hidden="1" customWidth="1"/>
    <col min="12629" max="12629" width="10.7109375" style="1" customWidth="1"/>
    <col min="12630" max="12631" width="11.7109375" style="1" customWidth="1"/>
    <col min="12632" max="12637" width="10.7109375" style="1" customWidth="1"/>
    <col min="12638" max="12800" width="8.85546875" style="1"/>
    <col min="12801" max="12802" width="0" style="1" hidden="1" customWidth="1"/>
    <col min="12803" max="12803" width="25" style="1" customWidth="1"/>
    <col min="12804" max="12804" width="21.85546875" style="1" bestFit="1" customWidth="1"/>
    <col min="12805" max="12882" width="7.7109375" style="1" customWidth="1"/>
    <col min="12883" max="12883" width="10.7109375" style="1" customWidth="1"/>
    <col min="12884" max="12884" width="0" style="1" hidden="1" customWidth="1"/>
    <col min="12885" max="12885" width="10.7109375" style="1" customWidth="1"/>
    <col min="12886" max="12887" width="11.7109375" style="1" customWidth="1"/>
    <col min="12888" max="12893" width="10.7109375" style="1" customWidth="1"/>
    <col min="12894" max="13056" width="8.85546875" style="1"/>
    <col min="13057" max="13058" width="0" style="1" hidden="1" customWidth="1"/>
    <col min="13059" max="13059" width="25" style="1" customWidth="1"/>
    <col min="13060" max="13060" width="21.85546875" style="1" bestFit="1" customWidth="1"/>
    <col min="13061" max="13138" width="7.7109375" style="1" customWidth="1"/>
    <col min="13139" max="13139" width="10.7109375" style="1" customWidth="1"/>
    <col min="13140" max="13140" width="0" style="1" hidden="1" customWidth="1"/>
    <col min="13141" max="13141" width="10.7109375" style="1" customWidth="1"/>
    <col min="13142" max="13143" width="11.7109375" style="1" customWidth="1"/>
    <col min="13144" max="13149" width="10.7109375" style="1" customWidth="1"/>
    <col min="13150" max="13312" width="8.85546875" style="1"/>
    <col min="13313" max="13314" width="0" style="1" hidden="1" customWidth="1"/>
    <col min="13315" max="13315" width="25" style="1" customWidth="1"/>
    <col min="13316" max="13316" width="21.85546875" style="1" bestFit="1" customWidth="1"/>
    <col min="13317" max="13394" width="7.7109375" style="1" customWidth="1"/>
    <col min="13395" max="13395" width="10.7109375" style="1" customWidth="1"/>
    <col min="13396" max="13396" width="0" style="1" hidden="1" customWidth="1"/>
    <col min="13397" max="13397" width="10.7109375" style="1" customWidth="1"/>
    <col min="13398" max="13399" width="11.7109375" style="1" customWidth="1"/>
    <col min="13400" max="13405" width="10.7109375" style="1" customWidth="1"/>
    <col min="13406" max="13568" width="8.85546875" style="1"/>
    <col min="13569" max="13570" width="0" style="1" hidden="1" customWidth="1"/>
    <col min="13571" max="13571" width="25" style="1" customWidth="1"/>
    <col min="13572" max="13572" width="21.85546875" style="1" bestFit="1" customWidth="1"/>
    <col min="13573" max="13650" width="7.7109375" style="1" customWidth="1"/>
    <col min="13651" max="13651" width="10.7109375" style="1" customWidth="1"/>
    <col min="13652" max="13652" width="0" style="1" hidden="1" customWidth="1"/>
    <col min="13653" max="13653" width="10.7109375" style="1" customWidth="1"/>
    <col min="13654" max="13655" width="11.7109375" style="1" customWidth="1"/>
    <col min="13656" max="13661" width="10.7109375" style="1" customWidth="1"/>
    <col min="13662" max="13824" width="8.85546875" style="1"/>
    <col min="13825" max="13826" width="0" style="1" hidden="1" customWidth="1"/>
    <col min="13827" max="13827" width="25" style="1" customWidth="1"/>
    <col min="13828" max="13828" width="21.85546875" style="1" bestFit="1" customWidth="1"/>
    <col min="13829" max="13906" width="7.7109375" style="1" customWidth="1"/>
    <col min="13907" max="13907" width="10.7109375" style="1" customWidth="1"/>
    <col min="13908" max="13908" width="0" style="1" hidden="1" customWidth="1"/>
    <col min="13909" max="13909" width="10.7109375" style="1" customWidth="1"/>
    <col min="13910" max="13911" width="11.7109375" style="1" customWidth="1"/>
    <col min="13912" max="13917" width="10.7109375" style="1" customWidth="1"/>
    <col min="13918" max="14080" width="8.85546875" style="1"/>
    <col min="14081" max="14082" width="0" style="1" hidden="1" customWidth="1"/>
    <col min="14083" max="14083" width="25" style="1" customWidth="1"/>
    <col min="14084" max="14084" width="21.85546875" style="1" bestFit="1" customWidth="1"/>
    <col min="14085" max="14162" width="7.7109375" style="1" customWidth="1"/>
    <col min="14163" max="14163" width="10.7109375" style="1" customWidth="1"/>
    <col min="14164" max="14164" width="0" style="1" hidden="1" customWidth="1"/>
    <col min="14165" max="14165" width="10.7109375" style="1" customWidth="1"/>
    <col min="14166" max="14167" width="11.7109375" style="1" customWidth="1"/>
    <col min="14168" max="14173" width="10.7109375" style="1" customWidth="1"/>
    <col min="14174" max="14336" width="8.85546875" style="1"/>
    <col min="14337" max="14338" width="0" style="1" hidden="1" customWidth="1"/>
    <col min="14339" max="14339" width="25" style="1" customWidth="1"/>
    <col min="14340" max="14340" width="21.85546875" style="1" bestFit="1" customWidth="1"/>
    <col min="14341" max="14418" width="7.7109375" style="1" customWidth="1"/>
    <col min="14419" max="14419" width="10.7109375" style="1" customWidth="1"/>
    <col min="14420" max="14420" width="0" style="1" hidden="1" customWidth="1"/>
    <col min="14421" max="14421" width="10.7109375" style="1" customWidth="1"/>
    <col min="14422" max="14423" width="11.7109375" style="1" customWidth="1"/>
    <col min="14424" max="14429" width="10.7109375" style="1" customWidth="1"/>
    <col min="14430" max="14592" width="8.85546875" style="1"/>
    <col min="14593" max="14594" width="0" style="1" hidden="1" customWidth="1"/>
    <col min="14595" max="14595" width="25" style="1" customWidth="1"/>
    <col min="14596" max="14596" width="21.85546875" style="1" bestFit="1" customWidth="1"/>
    <col min="14597" max="14674" width="7.7109375" style="1" customWidth="1"/>
    <col min="14675" max="14675" width="10.7109375" style="1" customWidth="1"/>
    <col min="14676" max="14676" width="0" style="1" hidden="1" customWidth="1"/>
    <col min="14677" max="14677" width="10.7109375" style="1" customWidth="1"/>
    <col min="14678" max="14679" width="11.7109375" style="1" customWidth="1"/>
    <col min="14680" max="14685" width="10.7109375" style="1" customWidth="1"/>
    <col min="14686" max="14848" width="8.85546875" style="1"/>
    <col min="14849" max="14850" width="0" style="1" hidden="1" customWidth="1"/>
    <col min="14851" max="14851" width="25" style="1" customWidth="1"/>
    <col min="14852" max="14852" width="21.85546875" style="1" bestFit="1" customWidth="1"/>
    <col min="14853" max="14930" width="7.7109375" style="1" customWidth="1"/>
    <col min="14931" max="14931" width="10.7109375" style="1" customWidth="1"/>
    <col min="14932" max="14932" width="0" style="1" hidden="1" customWidth="1"/>
    <col min="14933" max="14933" width="10.7109375" style="1" customWidth="1"/>
    <col min="14934" max="14935" width="11.7109375" style="1" customWidth="1"/>
    <col min="14936" max="14941" width="10.7109375" style="1" customWidth="1"/>
    <col min="14942" max="15104" width="8.85546875" style="1"/>
    <col min="15105" max="15106" width="0" style="1" hidden="1" customWidth="1"/>
    <col min="15107" max="15107" width="25" style="1" customWidth="1"/>
    <col min="15108" max="15108" width="21.85546875" style="1" bestFit="1" customWidth="1"/>
    <col min="15109" max="15186" width="7.7109375" style="1" customWidth="1"/>
    <col min="15187" max="15187" width="10.7109375" style="1" customWidth="1"/>
    <col min="15188" max="15188" width="0" style="1" hidden="1" customWidth="1"/>
    <col min="15189" max="15189" width="10.7109375" style="1" customWidth="1"/>
    <col min="15190" max="15191" width="11.7109375" style="1" customWidth="1"/>
    <col min="15192" max="15197" width="10.7109375" style="1" customWidth="1"/>
    <col min="15198" max="15360" width="8.85546875" style="1"/>
    <col min="15361" max="15362" width="0" style="1" hidden="1" customWidth="1"/>
    <col min="15363" max="15363" width="25" style="1" customWidth="1"/>
    <col min="15364" max="15364" width="21.85546875" style="1" bestFit="1" customWidth="1"/>
    <col min="15365" max="15442" width="7.7109375" style="1" customWidth="1"/>
    <col min="15443" max="15443" width="10.7109375" style="1" customWidth="1"/>
    <col min="15444" max="15444" width="0" style="1" hidden="1" customWidth="1"/>
    <col min="15445" max="15445" width="10.7109375" style="1" customWidth="1"/>
    <col min="15446" max="15447" width="11.7109375" style="1" customWidth="1"/>
    <col min="15448" max="15453" width="10.7109375" style="1" customWidth="1"/>
    <col min="15454" max="15616" width="8.85546875" style="1"/>
    <col min="15617" max="15618" width="0" style="1" hidden="1" customWidth="1"/>
    <col min="15619" max="15619" width="25" style="1" customWidth="1"/>
    <col min="15620" max="15620" width="21.85546875" style="1" bestFit="1" customWidth="1"/>
    <col min="15621" max="15698" width="7.7109375" style="1" customWidth="1"/>
    <col min="15699" max="15699" width="10.7109375" style="1" customWidth="1"/>
    <col min="15700" max="15700" width="0" style="1" hidden="1" customWidth="1"/>
    <col min="15701" max="15701" width="10.7109375" style="1" customWidth="1"/>
    <col min="15702" max="15703" width="11.7109375" style="1" customWidth="1"/>
    <col min="15704" max="15709" width="10.7109375" style="1" customWidth="1"/>
    <col min="15710" max="15872" width="8.85546875" style="1"/>
    <col min="15873" max="15874" width="0" style="1" hidden="1" customWidth="1"/>
    <col min="15875" max="15875" width="25" style="1" customWidth="1"/>
    <col min="15876" max="15876" width="21.85546875" style="1" bestFit="1" customWidth="1"/>
    <col min="15877" max="15954" width="7.7109375" style="1" customWidth="1"/>
    <col min="15955" max="15955" width="10.7109375" style="1" customWidth="1"/>
    <col min="15956" max="15956" width="0" style="1" hidden="1" customWidth="1"/>
    <col min="15957" max="15957" width="10.7109375" style="1" customWidth="1"/>
    <col min="15958" max="15959" width="11.7109375" style="1" customWidth="1"/>
    <col min="15960" max="15965" width="10.7109375" style="1" customWidth="1"/>
    <col min="15966" max="16128" width="8.85546875" style="1"/>
    <col min="16129" max="16130" width="0" style="1" hidden="1" customWidth="1"/>
    <col min="16131" max="16131" width="25" style="1" customWidth="1"/>
    <col min="16132" max="16132" width="21.85546875" style="1" bestFit="1" customWidth="1"/>
    <col min="16133" max="16210" width="7.7109375" style="1" customWidth="1"/>
    <col min="16211" max="16211" width="10.7109375" style="1" customWidth="1"/>
    <col min="16212" max="16212" width="0" style="1" hidden="1" customWidth="1"/>
    <col min="16213" max="16213" width="10.7109375" style="1" customWidth="1"/>
    <col min="16214" max="16215" width="11.7109375" style="1" customWidth="1"/>
    <col min="16216" max="16221" width="10.7109375" style="1" customWidth="1"/>
    <col min="16222" max="16384" width="8.85546875" style="1"/>
  </cols>
  <sheetData>
    <row r="1" spans="1:93">
      <c r="A1" s="1" t="s">
        <v>32</v>
      </c>
      <c r="C1" s="20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3"/>
      <c r="CF1" s="2"/>
      <c r="CG1" s="2"/>
    </row>
    <row r="2" spans="1:93">
      <c r="A2" s="1" t="s">
        <v>33</v>
      </c>
      <c r="C2" s="118" t="s">
        <v>34</v>
      </c>
      <c r="D2" s="119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120"/>
      <c r="CF2" s="2"/>
      <c r="CG2" s="2"/>
    </row>
    <row r="3" spans="1:93">
      <c r="C3" s="134" t="s">
        <v>22</v>
      </c>
      <c r="D3" s="133" t="str">
        <f>+'Staffing-Roles'!$E$3</f>
        <v/>
      </c>
    </row>
    <row r="4" spans="1:93">
      <c r="C4" s="134" t="s">
        <v>23</v>
      </c>
      <c r="D4" s="133" t="str">
        <f>+'Staffing-Roles'!$E$4</f>
        <v/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R4" s="3" t="s">
        <v>1</v>
      </c>
      <c r="S4" s="3" t="s">
        <v>2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E4" s="3" t="s">
        <v>1</v>
      </c>
      <c r="AF4" s="3" t="s">
        <v>2</v>
      </c>
      <c r="AG4" s="3" t="s">
        <v>3</v>
      </c>
      <c r="AH4" s="3" t="s">
        <v>4</v>
      </c>
      <c r="AI4" s="3" t="s">
        <v>5</v>
      </c>
      <c r="AJ4" s="3" t="s">
        <v>6</v>
      </c>
      <c r="AK4" s="3" t="s">
        <v>7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121"/>
      <c r="AR4" s="3" t="s">
        <v>1</v>
      </c>
      <c r="AS4" s="3" t="s">
        <v>2</v>
      </c>
      <c r="AT4" s="3" t="s">
        <v>3</v>
      </c>
      <c r="AU4" s="3" t="s">
        <v>4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 t="s">
        <v>11</v>
      </c>
      <c r="BC4" s="3" t="s">
        <v>12</v>
      </c>
      <c r="BD4" s="121"/>
      <c r="BE4" s="3" t="s">
        <v>1</v>
      </c>
      <c r="BF4" s="3" t="s">
        <v>2</v>
      </c>
      <c r="BG4" s="3" t="s">
        <v>3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121"/>
      <c r="BR4" s="3" t="s">
        <v>1</v>
      </c>
      <c r="BS4" s="3" t="s">
        <v>2</v>
      </c>
      <c r="BT4" s="3" t="s">
        <v>3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121"/>
    </row>
    <row r="5" spans="1:93">
      <c r="C5" s="134" t="s">
        <v>0</v>
      </c>
      <c r="D5" s="133" t="str">
        <f>+'Staffing-Roles'!$E$5</f>
        <v/>
      </c>
      <c r="E5" s="4">
        <v>2016</v>
      </c>
      <c r="F5" s="4">
        <f>E5</f>
        <v>2016</v>
      </c>
      <c r="G5" s="4">
        <f>F5</f>
        <v>2016</v>
      </c>
      <c r="H5" s="4">
        <f t="shared" ref="H5:Q5" si="0">G5</f>
        <v>2016</v>
      </c>
      <c r="I5" s="4">
        <f t="shared" si="0"/>
        <v>2016</v>
      </c>
      <c r="J5" s="4">
        <f t="shared" si="0"/>
        <v>2016</v>
      </c>
      <c r="K5" s="4">
        <f t="shared" si="0"/>
        <v>2016</v>
      </c>
      <c r="L5" s="4">
        <f t="shared" si="0"/>
        <v>2016</v>
      </c>
      <c r="M5" s="4">
        <f t="shared" si="0"/>
        <v>2016</v>
      </c>
      <c r="N5" s="4">
        <f t="shared" si="0"/>
        <v>2016</v>
      </c>
      <c r="O5" s="4">
        <f t="shared" si="0"/>
        <v>2016</v>
      </c>
      <c r="P5" s="4">
        <f t="shared" si="0"/>
        <v>2016</v>
      </c>
      <c r="Q5" s="4">
        <f t="shared" si="0"/>
        <v>2016</v>
      </c>
      <c r="R5" s="4">
        <f>Q5+1</f>
        <v>2017</v>
      </c>
      <c r="S5" s="4">
        <f>R5</f>
        <v>2017</v>
      </c>
      <c r="T5" s="4">
        <f t="shared" ref="T5:AD5" si="1">S5</f>
        <v>2017</v>
      </c>
      <c r="U5" s="4">
        <f t="shared" si="1"/>
        <v>2017</v>
      </c>
      <c r="V5" s="4">
        <f t="shared" si="1"/>
        <v>2017</v>
      </c>
      <c r="W5" s="4">
        <f t="shared" si="1"/>
        <v>2017</v>
      </c>
      <c r="X5" s="4">
        <f t="shared" si="1"/>
        <v>2017</v>
      </c>
      <c r="Y5" s="4">
        <f t="shared" si="1"/>
        <v>2017</v>
      </c>
      <c r="Z5" s="4">
        <f t="shared" si="1"/>
        <v>2017</v>
      </c>
      <c r="AA5" s="4">
        <f t="shared" si="1"/>
        <v>2017</v>
      </c>
      <c r="AB5" s="4">
        <f t="shared" si="1"/>
        <v>2017</v>
      </c>
      <c r="AC5" s="4">
        <f t="shared" si="1"/>
        <v>2017</v>
      </c>
      <c r="AD5" s="4">
        <f t="shared" si="1"/>
        <v>2017</v>
      </c>
      <c r="AE5" s="4">
        <f>AD5+1</f>
        <v>2018</v>
      </c>
      <c r="AF5" s="4">
        <f>AE5</f>
        <v>2018</v>
      </c>
      <c r="AG5" s="4">
        <f t="shared" ref="AG5:AQ5" si="2">AF5</f>
        <v>2018</v>
      </c>
      <c r="AH5" s="4">
        <f t="shared" si="2"/>
        <v>2018</v>
      </c>
      <c r="AI5" s="4">
        <f t="shared" si="2"/>
        <v>2018</v>
      </c>
      <c r="AJ5" s="4">
        <f t="shared" si="2"/>
        <v>2018</v>
      </c>
      <c r="AK5" s="4">
        <f t="shared" si="2"/>
        <v>2018</v>
      </c>
      <c r="AL5" s="4">
        <f t="shared" si="2"/>
        <v>2018</v>
      </c>
      <c r="AM5" s="4">
        <f t="shared" si="2"/>
        <v>2018</v>
      </c>
      <c r="AN5" s="4">
        <f t="shared" si="2"/>
        <v>2018</v>
      </c>
      <c r="AO5" s="4">
        <f t="shared" si="2"/>
        <v>2018</v>
      </c>
      <c r="AP5" s="4">
        <f t="shared" si="2"/>
        <v>2018</v>
      </c>
      <c r="AQ5" s="4">
        <f t="shared" si="2"/>
        <v>2018</v>
      </c>
      <c r="AR5" s="4">
        <f>AQ5+1</f>
        <v>2019</v>
      </c>
      <c r="AS5" s="4">
        <f>AR5</f>
        <v>2019</v>
      </c>
      <c r="AT5" s="4">
        <f t="shared" ref="AT5:BD5" si="3">AS5</f>
        <v>2019</v>
      </c>
      <c r="AU5" s="4">
        <f t="shared" si="3"/>
        <v>2019</v>
      </c>
      <c r="AV5" s="4">
        <f t="shared" si="3"/>
        <v>2019</v>
      </c>
      <c r="AW5" s="4">
        <f t="shared" si="3"/>
        <v>2019</v>
      </c>
      <c r="AX5" s="4">
        <f t="shared" si="3"/>
        <v>2019</v>
      </c>
      <c r="AY5" s="4">
        <f t="shared" si="3"/>
        <v>2019</v>
      </c>
      <c r="AZ5" s="4">
        <f t="shared" si="3"/>
        <v>2019</v>
      </c>
      <c r="BA5" s="4">
        <f t="shared" si="3"/>
        <v>2019</v>
      </c>
      <c r="BB5" s="4">
        <f t="shared" si="3"/>
        <v>2019</v>
      </c>
      <c r="BC5" s="4">
        <f t="shared" si="3"/>
        <v>2019</v>
      </c>
      <c r="BD5" s="4">
        <f t="shared" si="3"/>
        <v>2019</v>
      </c>
      <c r="BE5" s="4">
        <f>BD5+1</f>
        <v>2020</v>
      </c>
      <c r="BF5" s="4">
        <f>BE5</f>
        <v>2020</v>
      </c>
      <c r="BG5" s="4">
        <f t="shared" ref="BG5:BQ5" si="4">BF5</f>
        <v>2020</v>
      </c>
      <c r="BH5" s="4">
        <f t="shared" si="4"/>
        <v>2020</v>
      </c>
      <c r="BI5" s="4">
        <f t="shared" si="4"/>
        <v>2020</v>
      </c>
      <c r="BJ5" s="4">
        <f t="shared" si="4"/>
        <v>2020</v>
      </c>
      <c r="BK5" s="4">
        <f t="shared" si="4"/>
        <v>2020</v>
      </c>
      <c r="BL5" s="4">
        <f t="shared" si="4"/>
        <v>2020</v>
      </c>
      <c r="BM5" s="4">
        <f t="shared" si="4"/>
        <v>2020</v>
      </c>
      <c r="BN5" s="4">
        <f t="shared" si="4"/>
        <v>2020</v>
      </c>
      <c r="BO5" s="4">
        <f t="shared" si="4"/>
        <v>2020</v>
      </c>
      <c r="BP5" s="4">
        <f t="shared" si="4"/>
        <v>2020</v>
      </c>
      <c r="BQ5" s="4">
        <f t="shared" si="4"/>
        <v>2020</v>
      </c>
      <c r="BR5" s="4">
        <f>BQ5+1</f>
        <v>2021</v>
      </c>
      <c r="BS5" s="4">
        <f>BR5</f>
        <v>2021</v>
      </c>
      <c r="BT5" s="4">
        <f t="shared" ref="BT5:CD5" si="5">BS5</f>
        <v>2021</v>
      </c>
      <c r="BU5" s="4">
        <f t="shared" si="5"/>
        <v>2021</v>
      </c>
      <c r="BV5" s="4">
        <f t="shared" si="5"/>
        <v>2021</v>
      </c>
      <c r="BW5" s="4">
        <f t="shared" si="5"/>
        <v>2021</v>
      </c>
      <c r="BX5" s="4">
        <f t="shared" si="5"/>
        <v>2021</v>
      </c>
      <c r="BY5" s="4">
        <f t="shared" si="5"/>
        <v>2021</v>
      </c>
      <c r="BZ5" s="4">
        <f t="shared" si="5"/>
        <v>2021</v>
      </c>
      <c r="CA5" s="4">
        <f t="shared" si="5"/>
        <v>2021</v>
      </c>
      <c r="CB5" s="4">
        <f t="shared" si="5"/>
        <v>2021</v>
      </c>
      <c r="CC5" s="4">
        <f t="shared" si="5"/>
        <v>2021</v>
      </c>
      <c r="CD5" s="4">
        <f t="shared" si="5"/>
        <v>2021</v>
      </c>
      <c r="CE5" s="3" t="s">
        <v>24</v>
      </c>
      <c r="CF5" s="3" t="s">
        <v>35</v>
      </c>
      <c r="CG5" s="3"/>
    </row>
    <row r="6" spans="1:93">
      <c r="C6" s="122" t="s">
        <v>39</v>
      </c>
      <c r="D6" s="5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3"/>
      <c r="CF6" s="3"/>
      <c r="CG6" s="3"/>
      <c r="CI6" s="7"/>
      <c r="CJ6" s="7"/>
      <c r="CK6" s="7"/>
      <c r="CL6" s="7"/>
      <c r="CM6" s="7"/>
      <c r="CN6" s="7"/>
      <c r="CO6" s="7"/>
    </row>
    <row r="7" spans="1:93">
      <c r="C7" s="123" t="s">
        <v>703</v>
      </c>
      <c r="D7" s="8"/>
      <c r="E7" s="124"/>
      <c r="F7" s="124">
        <f>E7</f>
        <v>0</v>
      </c>
      <c r="G7" s="124">
        <f t="shared" ref="G7:P7" si="6">F7</f>
        <v>0</v>
      </c>
      <c r="H7" s="124">
        <f t="shared" si="6"/>
        <v>0</v>
      </c>
      <c r="I7" s="124">
        <f t="shared" si="6"/>
        <v>0</v>
      </c>
      <c r="J7" s="124">
        <f t="shared" si="6"/>
        <v>0</v>
      </c>
      <c r="K7" s="124">
        <f t="shared" si="6"/>
        <v>0</v>
      </c>
      <c r="L7" s="124">
        <f t="shared" si="6"/>
        <v>0</v>
      </c>
      <c r="M7" s="124">
        <f t="shared" si="6"/>
        <v>0</v>
      </c>
      <c r="N7" s="124">
        <f t="shared" si="6"/>
        <v>0</v>
      </c>
      <c r="O7" s="124">
        <f t="shared" si="6"/>
        <v>0</v>
      </c>
      <c r="P7" s="124">
        <f t="shared" si="6"/>
        <v>0</v>
      </c>
      <c r="Q7" s="124"/>
      <c r="R7" s="124">
        <f>P7</f>
        <v>0</v>
      </c>
      <c r="S7" s="124">
        <f>R7</f>
        <v>0</v>
      </c>
      <c r="T7" s="124">
        <f t="shared" ref="T7:AC7" si="7">S7</f>
        <v>0</v>
      </c>
      <c r="U7" s="124">
        <f t="shared" si="7"/>
        <v>0</v>
      </c>
      <c r="V7" s="124">
        <f t="shared" si="7"/>
        <v>0</v>
      </c>
      <c r="W7" s="124">
        <f t="shared" si="7"/>
        <v>0</v>
      </c>
      <c r="X7" s="124">
        <f t="shared" si="7"/>
        <v>0</v>
      </c>
      <c r="Y7" s="124">
        <f t="shared" si="7"/>
        <v>0</v>
      </c>
      <c r="Z7" s="124">
        <f t="shared" si="7"/>
        <v>0</v>
      </c>
      <c r="AA7" s="124">
        <f t="shared" si="7"/>
        <v>0</v>
      </c>
      <c r="AB7" s="124">
        <f t="shared" si="7"/>
        <v>0</v>
      </c>
      <c r="AC7" s="124">
        <f t="shared" si="7"/>
        <v>0</v>
      </c>
      <c r="AD7" s="124"/>
      <c r="AE7" s="124">
        <f>AC7</f>
        <v>0</v>
      </c>
      <c r="AF7" s="124">
        <f>AE7</f>
        <v>0</v>
      </c>
      <c r="AG7" s="124">
        <f>AF7</f>
        <v>0</v>
      </c>
      <c r="AH7" s="124">
        <f t="shared" ref="AH7:AP7" si="8">AG7</f>
        <v>0</v>
      </c>
      <c r="AI7" s="124">
        <f t="shared" si="8"/>
        <v>0</v>
      </c>
      <c r="AJ7" s="124">
        <f t="shared" si="8"/>
        <v>0</v>
      </c>
      <c r="AK7" s="124">
        <f t="shared" si="8"/>
        <v>0</v>
      </c>
      <c r="AL7" s="124">
        <f t="shared" si="8"/>
        <v>0</v>
      </c>
      <c r="AM7" s="124">
        <f t="shared" si="8"/>
        <v>0</v>
      </c>
      <c r="AN7" s="124">
        <f t="shared" si="8"/>
        <v>0</v>
      </c>
      <c r="AO7" s="124">
        <f t="shared" si="8"/>
        <v>0</v>
      </c>
      <c r="AP7" s="124">
        <f t="shared" si="8"/>
        <v>0</v>
      </c>
      <c r="AQ7" s="124"/>
      <c r="AR7" s="124">
        <f>AP7</f>
        <v>0</v>
      </c>
      <c r="AS7" s="124">
        <f>AR7</f>
        <v>0</v>
      </c>
      <c r="AT7" s="124">
        <f>AS7</f>
        <v>0</v>
      </c>
      <c r="AU7" s="124">
        <f t="shared" ref="AU7:BC7" si="9">AT7</f>
        <v>0</v>
      </c>
      <c r="AV7" s="124">
        <f t="shared" si="9"/>
        <v>0</v>
      </c>
      <c r="AW7" s="124">
        <f t="shared" si="9"/>
        <v>0</v>
      </c>
      <c r="AX7" s="124">
        <f t="shared" si="9"/>
        <v>0</v>
      </c>
      <c r="AY7" s="124">
        <f t="shared" si="9"/>
        <v>0</v>
      </c>
      <c r="AZ7" s="124">
        <f t="shared" si="9"/>
        <v>0</v>
      </c>
      <c r="BA7" s="124">
        <f t="shared" si="9"/>
        <v>0</v>
      </c>
      <c r="BB7" s="124">
        <f t="shared" si="9"/>
        <v>0</v>
      </c>
      <c r="BC7" s="124">
        <f t="shared" si="9"/>
        <v>0</v>
      </c>
      <c r="BD7" s="124"/>
      <c r="BE7" s="124">
        <f>BC7</f>
        <v>0</v>
      </c>
      <c r="BF7" s="124">
        <f>BE7</f>
        <v>0</v>
      </c>
      <c r="BG7" s="124">
        <f>BF7</f>
        <v>0</v>
      </c>
      <c r="BH7" s="124">
        <f t="shared" ref="BH7:BP7" si="10">BG7</f>
        <v>0</v>
      </c>
      <c r="BI7" s="124">
        <f t="shared" si="10"/>
        <v>0</v>
      </c>
      <c r="BJ7" s="124">
        <f t="shared" si="10"/>
        <v>0</v>
      </c>
      <c r="BK7" s="124">
        <f t="shared" si="10"/>
        <v>0</v>
      </c>
      <c r="BL7" s="124">
        <f t="shared" si="10"/>
        <v>0</v>
      </c>
      <c r="BM7" s="124">
        <f t="shared" si="10"/>
        <v>0</v>
      </c>
      <c r="BN7" s="124">
        <f t="shared" si="10"/>
        <v>0</v>
      </c>
      <c r="BO7" s="124">
        <f t="shared" si="10"/>
        <v>0</v>
      </c>
      <c r="BP7" s="124">
        <f t="shared" si="10"/>
        <v>0</v>
      </c>
      <c r="BQ7" s="124"/>
      <c r="BR7" s="124">
        <f>BP7</f>
        <v>0</v>
      </c>
      <c r="BS7" s="124">
        <f>BR7</f>
        <v>0</v>
      </c>
      <c r="BT7" s="124">
        <f>BS7</f>
        <v>0</v>
      </c>
      <c r="BU7" s="124">
        <f t="shared" ref="BU7:CC7" si="11">BT7</f>
        <v>0</v>
      </c>
      <c r="BV7" s="124">
        <f t="shared" si="11"/>
        <v>0</v>
      </c>
      <c r="BW7" s="124">
        <f t="shared" si="11"/>
        <v>0</v>
      </c>
      <c r="BX7" s="124">
        <f t="shared" si="11"/>
        <v>0</v>
      </c>
      <c r="BY7" s="124">
        <f t="shared" si="11"/>
        <v>0</v>
      </c>
      <c r="BZ7" s="124">
        <f t="shared" si="11"/>
        <v>0</v>
      </c>
      <c r="CA7" s="124">
        <f t="shared" si="11"/>
        <v>0</v>
      </c>
      <c r="CB7" s="124">
        <f t="shared" si="11"/>
        <v>0</v>
      </c>
      <c r="CC7" s="124">
        <f t="shared" si="11"/>
        <v>0</v>
      </c>
      <c r="CD7" s="125"/>
      <c r="CE7" s="9">
        <f>SUM(E7:P7)+SUM(R7:AC7)+SUM(AE7:AP7)+SUM(AR7:BC7)+SUM(BE7:BP7)+SUM(BR7:CC7)</f>
        <v>0</v>
      </c>
      <c r="CF7" s="126"/>
      <c r="CG7" s="9"/>
      <c r="CH7" s="8"/>
      <c r="CI7" s="7"/>
      <c r="CJ7" s="7"/>
      <c r="CK7" s="7"/>
      <c r="CL7" s="7"/>
      <c r="CM7" s="7"/>
      <c r="CN7" s="7"/>
      <c r="CO7" s="7"/>
    </row>
    <row r="8" spans="1:93">
      <c r="C8" s="122" t="s">
        <v>40</v>
      </c>
      <c r="D8" s="8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9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9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5"/>
      <c r="CE8" s="9"/>
      <c r="CF8" s="126"/>
      <c r="CG8" s="9"/>
      <c r="CH8" s="8"/>
      <c r="CI8" s="7"/>
      <c r="CJ8" s="7"/>
      <c r="CK8" s="7"/>
      <c r="CL8" s="7"/>
      <c r="CM8" s="7"/>
      <c r="CN8" s="7"/>
      <c r="CO8" s="7"/>
    </row>
    <row r="9" spans="1:93">
      <c r="A9" s="1">
        <v>1</v>
      </c>
      <c r="B9" s="1">
        <v>1</v>
      </c>
      <c r="C9" s="123" t="s">
        <v>727</v>
      </c>
      <c r="D9" s="8" t="s">
        <v>13</v>
      </c>
      <c r="E9" s="124"/>
      <c r="F9" s="124">
        <f t="shared" ref="F9:P18" si="12">E9</f>
        <v>0</v>
      </c>
      <c r="G9" s="124">
        <f t="shared" si="12"/>
        <v>0</v>
      </c>
      <c r="H9" s="124">
        <f t="shared" si="12"/>
        <v>0</v>
      </c>
      <c r="I9" s="124">
        <f t="shared" si="12"/>
        <v>0</v>
      </c>
      <c r="J9" s="124">
        <f t="shared" si="12"/>
        <v>0</v>
      </c>
      <c r="K9" s="124">
        <f t="shared" si="12"/>
        <v>0</v>
      </c>
      <c r="L9" s="124">
        <f t="shared" si="12"/>
        <v>0</v>
      </c>
      <c r="M9" s="124">
        <f t="shared" si="12"/>
        <v>0</v>
      </c>
      <c r="N9" s="124">
        <f t="shared" si="12"/>
        <v>0</v>
      </c>
      <c r="O9" s="124">
        <f t="shared" si="12"/>
        <v>0</v>
      </c>
      <c r="P9" s="124">
        <f t="shared" si="12"/>
        <v>0</v>
      </c>
      <c r="Q9" s="124"/>
      <c r="R9" s="124">
        <f>P9</f>
        <v>0</v>
      </c>
      <c r="S9" s="124">
        <f t="shared" ref="S9:AC20" si="13">R9</f>
        <v>0</v>
      </c>
      <c r="T9" s="124">
        <f t="shared" si="13"/>
        <v>0</v>
      </c>
      <c r="U9" s="124">
        <f t="shared" si="13"/>
        <v>0</v>
      </c>
      <c r="V9" s="124">
        <f t="shared" si="13"/>
        <v>0</v>
      </c>
      <c r="W9" s="124">
        <f t="shared" si="13"/>
        <v>0</v>
      </c>
      <c r="X9" s="124">
        <f t="shared" si="13"/>
        <v>0</v>
      </c>
      <c r="Y9" s="124">
        <f t="shared" si="13"/>
        <v>0</v>
      </c>
      <c r="Z9" s="124">
        <f t="shared" si="13"/>
        <v>0</v>
      </c>
      <c r="AA9" s="124">
        <f t="shared" si="13"/>
        <v>0</v>
      </c>
      <c r="AB9" s="124">
        <f t="shared" si="13"/>
        <v>0</v>
      </c>
      <c r="AC9" s="124">
        <f t="shared" si="13"/>
        <v>0</v>
      </c>
      <c r="AD9" s="124"/>
      <c r="AE9" s="124">
        <f t="shared" ref="AE9:AE18" si="14">AC9</f>
        <v>0</v>
      </c>
      <c r="AF9" s="124">
        <f t="shared" ref="AF9:AP18" si="15">AE9</f>
        <v>0</v>
      </c>
      <c r="AG9" s="124">
        <f t="shared" si="15"/>
        <v>0</v>
      </c>
      <c r="AH9" s="124">
        <f t="shared" si="15"/>
        <v>0</v>
      </c>
      <c r="AI9" s="124">
        <f t="shared" si="15"/>
        <v>0</v>
      </c>
      <c r="AJ9" s="124">
        <f t="shared" si="15"/>
        <v>0</v>
      </c>
      <c r="AK9" s="124">
        <f t="shared" si="15"/>
        <v>0</v>
      </c>
      <c r="AL9" s="124">
        <f t="shared" si="15"/>
        <v>0</v>
      </c>
      <c r="AM9" s="124">
        <f t="shared" si="15"/>
        <v>0</v>
      </c>
      <c r="AN9" s="124">
        <f t="shared" si="15"/>
        <v>0</v>
      </c>
      <c r="AO9" s="124">
        <f t="shared" si="15"/>
        <v>0</v>
      </c>
      <c r="AP9" s="124">
        <f t="shared" si="15"/>
        <v>0</v>
      </c>
      <c r="AQ9" s="124"/>
      <c r="AR9" s="124">
        <f t="shared" ref="AR9:AR18" si="16">AP9</f>
        <v>0</v>
      </c>
      <c r="AS9" s="124">
        <f t="shared" ref="AS9:BC18" si="17">AR9</f>
        <v>0</v>
      </c>
      <c r="AT9" s="124">
        <f t="shared" si="17"/>
        <v>0</v>
      </c>
      <c r="AU9" s="124">
        <f t="shared" si="17"/>
        <v>0</v>
      </c>
      <c r="AV9" s="124">
        <f t="shared" si="17"/>
        <v>0</v>
      </c>
      <c r="AW9" s="124">
        <f t="shared" si="17"/>
        <v>0</v>
      </c>
      <c r="AX9" s="124">
        <f t="shared" si="17"/>
        <v>0</v>
      </c>
      <c r="AY9" s="124">
        <f t="shared" si="17"/>
        <v>0</v>
      </c>
      <c r="AZ9" s="124">
        <f t="shared" si="17"/>
        <v>0</v>
      </c>
      <c r="BA9" s="124">
        <f t="shared" si="17"/>
        <v>0</v>
      </c>
      <c r="BB9" s="124">
        <f t="shared" si="17"/>
        <v>0</v>
      </c>
      <c r="BC9" s="124">
        <f t="shared" si="17"/>
        <v>0</v>
      </c>
      <c r="BD9" s="124"/>
      <c r="BE9" s="124">
        <f t="shared" ref="BE9:BE18" si="18">BC9</f>
        <v>0</v>
      </c>
      <c r="BF9" s="124">
        <f t="shared" ref="BF9:BP18" si="19">BE9</f>
        <v>0</v>
      </c>
      <c r="BG9" s="124">
        <f t="shared" si="19"/>
        <v>0</v>
      </c>
      <c r="BH9" s="124">
        <f t="shared" si="19"/>
        <v>0</v>
      </c>
      <c r="BI9" s="124">
        <f t="shared" si="19"/>
        <v>0</v>
      </c>
      <c r="BJ9" s="124">
        <f>BI9</f>
        <v>0</v>
      </c>
      <c r="BK9" s="124">
        <f t="shared" si="19"/>
        <v>0</v>
      </c>
      <c r="BL9" s="124">
        <f t="shared" si="19"/>
        <v>0</v>
      </c>
      <c r="BM9" s="124">
        <f t="shared" si="19"/>
        <v>0</v>
      </c>
      <c r="BN9" s="124">
        <f t="shared" si="19"/>
        <v>0</v>
      </c>
      <c r="BO9" s="124">
        <f t="shared" si="19"/>
        <v>0</v>
      </c>
      <c r="BP9" s="124">
        <f t="shared" si="19"/>
        <v>0</v>
      </c>
      <c r="BQ9" s="124"/>
      <c r="BR9" s="124">
        <f t="shared" ref="BR9:BR17" si="20">BP9</f>
        <v>0</v>
      </c>
      <c r="BS9" s="124">
        <f t="shared" ref="BS9:CC18" si="21">BR9</f>
        <v>0</v>
      </c>
      <c r="BT9" s="124">
        <f t="shared" si="21"/>
        <v>0</v>
      </c>
      <c r="BU9" s="124">
        <f t="shared" si="21"/>
        <v>0</v>
      </c>
      <c r="BV9" s="124">
        <f t="shared" si="21"/>
        <v>0</v>
      </c>
      <c r="BW9" s="124">
        <f t="shared" si="21"/>
        <v>0</v>
      </c>
      <c r="BX9" s="124">
        <f t="shared" si="21"/>
        <v>0</v>
      </c>
      <c r="BY9" s="124">
        <f t="shared" si="21"/>
        <v>0</v>
      </c>
      <c r="BZ9" s="124">
        <f t="shared" si="21"/>
        <v>0</v>
      </c>
      <c r="CA9" s="124">
        <f t="shared" si="21"/>
        <v>0</v>
      </c>
      <c r="CB9" s="124">
        <f t="shared" si="21"/>
        <v>0</v>
      </c>
      <c r="CC9" s="124">
        <f t="shared" si="21"/>
        <v>0</v>
      </c>
      <c r="CD9" s="125"/>
      <c r="CE9" s="9">
        <f t="shared" ref="CE9:CE18" si="22">SUM(E9:P9)+SUM(R9:AC9)+SUM(AE9:AP9)+SUM(AR9:BC9)+SUM(BE9:BP9)+SUM(BR9:CC9)</f>
        <v>0</v>
      </c>
      <c r="CF9" s="126"/>
      <c r="CG9" s="9"/>
      <c r="CH9" s="8"/>
      <c r="CI9" s="7"/>
      <c r="CJ9" s="7"/>
      <c r="CK9" s="7"/>
      <c r="CL9" s="7"/>
      <c r="CM9" s="7"/>
      <c r="CN9" s="7"/>
      <c r="CO9" s="7"/>
    </row>
    <row r="10" spans="1:93">
      <c r="A10" s="1">
        <v>1</v>
      </c>
      <c r="B10" s="1">
        <v>2</v>
      </c>
      <c r="C10" s="123" t="s">
        <v>728</v>
      </c>
      <c r="D10" s="8" t="s">
        <v>41</v>
      </c>
      <c r="E10" s="124"/>
      <c r="F10" s="124">
        <f t="shared" si="12"/>
        <v>0</v>
      </c>
      <c r="G10" s="124">
        <f t="shared" si="12"/>
        <v>0</v>
      </c>
      <c r="H10" s="124">
        <f t="shared" si="12"/>
        <v>0</v>
      </c>
      <c r="I10" s="124">
        <f t="shared" si="12"/>
        <v>0</v>
      </c>
      <c r="J10" s="124">
        <f t="shared" si="12"/>
        <v>0</v>
      </c>
      <c r="K10" s="124">
        <f t="shared" si="12"/>
        <v>0</v>
      </c>
      <c r="L10" s="124">
        <f t="shared" si="12"/>
        <v>0</v>
      </c>
      <c r="M10" s="124">
        <f t="shared" si="12"/>
        <v>0</v>
      </c>
      <c r="N10" s="124">
        <f t="shared" si="12"/>
        <v>0</v>
      </c>
      <c r="O10" s="124">
        <f t="shared" si="12"/>
        <v>0</v>
      </c>
      <c r="P10" s="124">
        <f t="shared" si="12"/>
        <v>0</v>
      </c>
      <c r="Q10" s="124"/>
      <c r="R10" s="124">
        <f>P10</f>
        <v>0</v>
      </c>
      <c r="S10" s="124">
        <f t="shared" si="13"/>
        <v>0</v>
      </c>
      <c r="T10" s="124">
        <f t="shared" si="13"/>
        <v>0</v>
      </c>
      <c r="U10" s="124">
        <f t="shared" si="13"/>
        <v>0</v>
      </c>
      <c r="V10" s="124">
        <f t="shared" si="13"/>
        <v>0</v>
      </c>
      <c r="W10" s="124">
        <f t="shared" si="13"/>
        <v>0</v>
      </c>
      <c r="X10" s="124">
        <f t="shared" si="13"/>
        <v>0</v>
      </c>
      <c r="Y10" s="124">
        <f t="shared" si="13"/>
        <v>0</v>
      </c>
      <c r="Z10" s="124">
        <f t="shared" si="13"/>
        <v>0</v>
      </c>
      <c r="AA10" s="124">
        <f t="shared" si="13"/>
        <v>0</v>
      </c>
      <c r="AB10" s="124">
        <f t="shared" si="13"/>
        <v>0</v>
      </c>
      <c r="AC10" s="124">
        <f t="shared" si="13"/>
        <v>0</v>
      </c>
      <c r="AD10" s="124"/>
      <c r="AE10" s="124">
        <f t="shared" si="14"/>
        <v>0</v>
      </c>
      <c r="AF10" s="124">
        <f t="shared" si="15"/>
        <v>0</v>
      </c>
      <c r="AG10" s="124">
        <f t="shared" si="15"/>
        <v>0</v>
      </c>
      <c r="AH10" s="124">
        <f t="shared" si="15"/>
        <v>0</v>
      </c>
      <c r="AI10" s="124">
        <f t="shared" si="15"/>
        <v>0</v>
      </c>
      <c r="AJ10" s="124">
        <f t="shared" si="15"/>
        <v>0</v>
      </c>
      <c r="AK10" s="124">
        <f t="shared" si="15"/>
        <v>0</v>
      </c>
      <c r="AL10" s="124">
        <f t="shared" si="15"/>
        <v>0</v>
      </c>
      <c r="AM10" s="124">
        <f t="shared" si="15"/>
        <v>0</v>
      </c>
      <c r="AN10" s="124">
        <f t="shared" si="15"/>
        <v>0</v>
      </c>
      <c r="AO10" s="124">
        <f t="shared" si="15"/>
        <v>0</v>
      </c>
      <c r="AP10" s="124">
        <f t="shared" si="15"/>
        <v>0</v>
      </c>
      <c r="AQ10" s="124"/>
      <c r="AR10" s="124">
        <f t="shared" si="16"/>
        <v>0</v>
      </c>
      <c r="AS10" s="124">
        <f t="shared" si="17"/>
        <v>0</v>
      </c>
      <c r="AT10" s="124">
        <f t="shared" si="17"/>
        <v>0</v>
      </c>
      <c r="AU10" s="124">
        <f t="shared" si="17"/>
        <v>0</v>
      </c>
      <c r="AV10" s="124">
        <f t="shared" si="17"/>
        <v>0</v>
      </c>
      <c r="AW10" s="124">
        <f t="shared" si="17"/>
        <v>0</v>
      </c>
      <c r="AX10" s="124">
        <f t="shared" si="17"/>
        <v>0</v>
      </c>
      <c r="AY10" s="124">
        <f t="shared" si="17"/>
        <v>0</v>
      </c>
      <c r="AZ10" s="124">
        <f t="shared" si="17"/>
        <v>0</v>
      </c>
      <c r="BA10" s="124">
        <f t="shared" si="17"/>
        <v>0</v>
      </c>
      <c r="BB10" s="124">
        <f t="shared" si="17"/>
        <v>0</v>
      </c>
      <c r="BC10" s="124">
        <f t="shared" si="17"/>
        <v>0</v>
      </c>
      <c r="BD10" s="124"/>
      <c r="BE10" s="124">
        <f t="shared" si="18"/>
        <v>0</v>
      </c>
      <c r="BF10" s="124">
        <f t="shared" si="19"/>
        <v>0</v>
      </c>
      <c r="BG10" s="124">
        <f t="shared" si="19"/>
        <v>0</v>
      </c>
      <c r="BH10" s="124">
        <f t="shared" si="19"/>
        <v>0</v>
      </c>
      <c r="BI10" s="124">
        <f t="shared" si="19"/>
        <v>0</v>
      </c>
      <c r="BJ10" s="124">
        <f>BI10</f>
        <v>0</v>
      </c>
      <c r="BK10" s="124">
        <f t="shared" si="19"/>
        <v>0</v>
      </c>
      <c r="BL10" s="124">
        <f t="shared" si="19"/>
        <v>0</v>
      </c>
      <c r="BM10" s="124">
        <f t="shared" si="19"/>
        <v>0</v>
      </c>
      <c r="BN10" s="124">
        <f t="shared" si="19"/>
        <v>0</v>
      </c>
      <c r="BO10" s="124">
        <f t="shared" si="19"/>
        <v>0</v>
      </c>
      <c r="BP10" s="124">
        <f t="shared" si="19"/>
        <v>0</v>
      </c>
      <c r="BQ10" s="124"/>
      <c r="BR10" s="124">
        <f t="shared" si="20"/>
        <v>0</v>
      </c>
      <c r="BS10" s="124">
        <f t="shared" si="21"/>
        <v>0</v>
      </c>
      <c r="BT10" s="124">
        <f t="shared" si="21"/>
        <v>0</v>
      </c>
      <c r="BU10" s="124">
        <f t="shared" si="21"/>
        <v>0</v>
      </c>
      <c r="BV10" s="124">
        <f t="shared" si="21"/>
        <v>0</v>
      </c>
      <c r="BW10" s="124">
        <f t="shared" si="21"/>
        <v>0</v>
      </c>
      <c r="BX10" s="124">
        <f t="shared" si="21"/>
        <v>0</v>
      </c>
      <c r="BY10" s="124">
        <f t="shared" si="21"/>
        <v>0</v>
      </c>
      <c r="BZ10" s="124">
        <f t="shared" si="21"/>
        <v>0</v>
      </c>
      <c r="CA10" s="124">
        <f t="shared" si="21"/>
        <v>0</v>
      </c>
      <c r="CB10" s="124">
        <f t="shared" si="21"/>
        <v>0</v>
      </c>
      <c r="CC10" s="124">
        <f t="shared" si="21"/>
        <v>0</v>
      </c>
      <c r="CD10" s="125"/>
      <c r="CE10" s="9">
        <f t="shared" si="22"/>
        <v>0</v>
      </c>
      <c r="CF10" s="126"/>
      <c r="CG10" s="9"/>
      <c r="CH10" s="8"/>
      <c r="CI10" s="7"/>
      <c r="CJ10" s="7"/>
      <c r="CK10" s="7"/>
      <c r="CL10" s="7"/>
      <c r="CM10" s="7"/>
      <c r="CN10" s="7"/>
      <c r="CO10" s="7"/>
    </row>
    <row r="11" spans="1:93">
      <c r="A11" s="1">
        <v>1</v>
      </c>
      <c r="B11" s="1">
        <v>3</v>
      </c>
      <c r="C11" s="123" t="s">
        <v>729</v>
      </c>
      <c r="D11" s="8" t="s">
        <v>42</v>
      </c>
      <c r="E11" s="124"/>
      <c r="F11" s="124">
        <f t="shared" si="12"/>
        <v>0</v>
      </c>
      <c r="G11" s="124">
        <f t="shared" si="12"/>
        <v>0</v>
      </c>
      <c r="H11" s="124">
        <f t="shared" si="12"/>
        <v>0</v>
      </c>
      <c r="I11" s="124">
        <f t="shared" si="12"/>
        <v>0</v>
      </c>
      <c r="J11" s="124">
        <f t="shared" si="12"/>
        <v>0</v>
      </c>
      <c r="K11" s="124">
        <f t="shared" si="12"/>
        <v>0</v>
      </c>
      <c r="L11" s="124">
        <f t="shared" si="12"/>
        <v>0</v>
      </c>
      <c r="M11" s="124">
        <f t="shared" si="12"/>
        <v>0</v>
      </c>
      <c r="N11" s="124">
        <f t="shared" si="12"/>
        <v>0</v>
      </c>
      <c r="O11" s="124">
        <f t="shared" si="12"/>
        <v>0</v>
      </c>
      <c r="P11" s="124">
        <f t="shared" si="12"/>
        <v>0</v>
      </c>
      <c r="Q11" s="124"/>
      <c r="R11" s="124">
        <f>P11</f>
        <v>0</v>
      </c>
      <c r="S11" s="124">
        <f t="shared" si="13"/>
        <v>0</v>
      </c>
      <c r="T11" s="124">
        <f t="shared" si="13"/>
        <v>0</v>
      </c>
      <c r="U11" s="124">
        <f t="shared" si="13"/>
        <v>0</v>
      </c>
      <c r="V11" s="124">
        <f t="shared" si="13"/>
        <v>0</v>
      </c>
      <c r="W11" s="124">
        <f t="shared" si="13"/>
        <v>0</v>
      </c>
      <c r="X11" s="124">
        <f t="shared" si="13"/>
        <v>0</v>
      </c>
      <c r="Y11" s="124">
        <f t="shared" si="13"/>
        <v>0</v>
      </c>
      <c r="Z11" s="124">
        <f t="shared" si="13"/>
        <v>0</v>
      </c>
      <c r="AA11" s="124">
        <f t="shared" si="13"/>
        <v>0</v>
      </c>
      <c r="AB11" s="124">
        <f t="shared" si="13"/>
        <v>0</v>
      </c>
      <c r="AC11" s="124">
        <f t="shared" si="13"/>
        <v>0</v>
      </c>
      <c r="AD11" s="124"/>
      <c r="AE11" s="124">
        <f t="shared" si="14"/>
        <v>0</v>
      </c>
      <c r="AF11" s="124">
        <f t="shared" si="15"/>
        <v>0</v>
      </c>
      <c r="AG11" s="124">
        <f t="shared" si="15"/>
        <v>0</v>
      </c>
      <c r="AH11" s="124">
        <f t="shared" si="15"/>
        <v>0</v>
      </c>
      <c r="AI11" s="124">
        <f t="shared" si="15"/>
        <v>0</v>
      </c>
      <c r="AJ11" s="124">
        <f t="shared" si="15"/>
        <v>0</v>
      </c>
      <c r="AK11" s="124">
        <f t="shared" si="15"/>
        <v>0</v>
      </c>
      <c r="AL11" s="124">
        <f t="shared" si="15"/>
        <v>0</v>
      </c>
      <c r="AM11" s="124">
        <f t="shared" si="15"/>
        <v>0</v>
      </c>
      <c r="AN11" s="124">
        <f t="shared" si="15"/>
        <v>0</v>
      </c>
      <c r="AO11" s="124">
        <f t="shared" si="15"/>
        <v>0</v>
      </c>
      <c r="AP11" s="124">
        <f t="shared" si="15"/>
        <v>0</v>
      </c>
      <c r="AQ11" s="124"/>
      <c r="AR11" s="124">
        <f t="shared" si="16"/>
        <v>0</v>
      </c>
      <c r="AS11" s="124">
        <f t="shared" si="17"/>
        <v>0</v>
      </c>
      <c r="AT11" s="124">
        <f t="shared" si="17"/>
        <v>0</v>
      </c>
      <c r="AU11" s="124">
        <f t="shared" si="17"/>
        <v>0</v>
      </c>
      <c r="AV11" s="124">
        <f t="shared" si="17"/>
        <v>0</v>
      </c>
      <c r="AW11" s="124">
        <f t="shared" si="17"/>
        <v>0</v>
      </c>
      <c r="AX11" s="124">
        <f t="shared" si="17"/>
        <v>0</v>
      </c>
      <c r="AY11" s="124">
        <f t="shared" si="17"/>
        <v>0</v>
      </c>
      <c r="AZ11" s="124">
        <f t="shared" si="17"/>
        <v>0</v>
      </c>
      <c r="BA11" s="124">
        <f t="shared" si="17"/>
        <v>0</v>
      </c>
      <c r="BB11" s="124">
        <f t="shared" si="17"/>
        <v>0</v>
      </c>
      <c r="BC11" s="124">
        <f t="shared" si="17"/>
        <v>0</v>
      </c>
      <c r="BD11" s="124"/>
      <c r="BE11" s="124">
        <f t="shared" si="18"/>
        <v>0</v>
      </c>
      <c r="BF11" s="124">
        <f t="shared" si="19"/>
        <v>0</v>
      </c>
      <c r="BG11" s="124">
        <f t="shared" si="19"/>
        <v>0</v>
      </c>
      <c r="BH11" s="124">
        <f t="shared" si="19"/>
        <v>0</v>
      </c>
      <c r="BI11" s="124">
        <f t="shared" si="19"/>
        <v>0</v>
      </c>
      <c r="BJ11" s="124">
        <f>BI11</f>
        <v>0</v>
      </c>
      <c r="BK11" s="124">
        <f t="shared" si="19"/>
        <v>0</v>
      </c>
      <c r="BL11" s="124">
        <f t="shared" si="19"/>
        <v>0</v>
      </c>
      <c r="BM11" s="124">
        <f t="shared" si="19"/>
        <v>0</v>
      </c>
      <c r="BN11" s="124">
        <f t="shared" si="19"/>
        <v>0</v>
      </c>
      <c r="BO11" s="124">
        <f t="shared" si="19"/>
        <v>0</v>
      </c>
      <c r="BP11" s="124">
        <f t="shared" si="19"/>
        <v>0</v>
      </c>
      <c r="BQ11" s="124"/>
      <c r="BR11" s="124">
        <f t="shared" si="20"/>
        <v>0</v>
      </c>
      <c r="BS11" s="124">
        <f t="shared" si="21"/>
        <v>0</v>
      </c>
      <c r="BT11" s="124">
        <f t="shared" si="21"/>
        <v>0</v>
      </c>
      <c r="BU11" s="124">
        <f t="shared" si="21"/>
        <v>0</v>
      </c>
      <c r="BV11" s="124">
        <f t="shared" si="21"/>
        <v>0</v>
      </c>
      <c r="BW11" s="124">
        <f t="shared" si="21"/>
        <v>0</v>
      </c>
      <c r="BX11" s="124">
        <f t="shared" si="21"/>
        <v>0</v>
      </c>
      <c r="BY11" s="124">
        <f t="shared" si="21"/>
        <v>0</v>
      </c>
      <c r="BZ11" s="124">
        <f t="shared" si="21"/>
        <v>0</v>
      </c>
      <c r="CA11" s="124">
        <f t="shared" si="21"/>
        <v>0</v>
      </c>
      <c r="CB11" s="124">
        <f t="shared" si="21"/>
        <v>0</v>
      </c>
      <c r="CC11" s="124">
        <f t="shared" si="21"/>
        <v>0</v>
      </c>
      <c r="CD11" s="125"/>
      <c r="CE11" s="9">
        <f t="shared" si="22"/>
        <v>0</v>
      </c>
      <c r="CF11" s="126"/>
      <c r="CG11" s="9"/>
      <c r="CH11" s="8"/>
      <c r="CI11" s="7"/>
      <c r="CJ11" s="7"/>
      <c r="CK11" s="7"/>
      <c r="CL11" s="7"/>
      <c r="CM11" s="7"/>
      <c r="CN11" s="7"/>
      <c r="CO11" s="7"/>
    </row>
    <row r="12" spans="1:93">
      <c r="A12" s="1">
        <v>1</v>
      </c>
      <c r="B12" s="1">
        <v>4</v>
      </c>
      <c r="C12" s="123" t="s">
        <v>730</v>
      </c>
      <c r="D12" s="8" t="s">
        <v>14</v>
      </c>
      <c r="E12" s="124"/>
      <c r="F12" s="124">
        <f t="shared" si="12"/>
        <v>0</v>
      </c>
      <c r="G12" s="124">
        <f t="shared" si="12"/>
        <v>0</v>
      </c>
      <c r="H12" s="124">
        <f t="shared" si="12"/>
        <v>0</v>
      </c>
      <c r="I12" s="124">
        <f t="shared" si="12"/>
        <v>0</v>
      </c>
      <c r="J12" s="124">
        <f t="shared" si="12"/>
        <v>0</v>
      </c>
      <c r="K12" s="124">
        <f t="shared" si="12"/>
        <v>0</v>
      </c>
      <c r="L12" s="124">
        <f t="shared" si="12"/>
        <v>0</v>
      </c>
      <c r="M12" s="124">
        <f t="shared" si="12"/>
        <v>0</v>
      </c>
      <c r="N12" s="124">
        <f t="shared" si="12"/>
        <v>0</v>
      </c>
      <c r="O12" s="124">
        <f t="shared" si="12"/>
        <v>0</v>
      </c>
      <c r="P12" s="124">
        <f t="shared" si="12"/>
        <v>0</v>
      </c>
      <c r="Q12" s="124"/>
      <c r="R12" s="124">
        <f t="shared" ref="R12:R18" si="23">P12</f>
        <v>0</v>
      </c>
      <c r="S12" s="124">
        <f t="shared" si="13"/>
        <v>0</v>
      </c>
      <c r="T12" s="124">
        <f t="shared" si="13"/>
        <v>0</v>
      </c>
      <c r="U12" s="124">
        <f t="shared" si="13"/>
        <v>0</v>
      </c>
      <c r="V12" s="124">
        <f t="shared" si="13"/>
        <v>0</v>
      </c>
      <c r="W12" s="124">
        <f t="shared" si="13"/>
        <v>0</v>
      </c>
      <c r="X12" s="124">
        <f t="shared" si="13"/>
        <v>0</v>
      </c>
      <c r="Y12" s="124">
        <f t="shared" si="13"/>
        <v>0</v>
      </c>
      <c r="Z12" s="124">
        <f t="shared" si="13"/>
        <v>0</v>
      </c>
      <c r="AA12" s="124">
        <f t="shared" si="13"/>
        <v>0</v>
      </c>
      <c r="AB12" s="124">
        <f t="shared" si="13"/>
        <v>0</v>
      </c>
      <c r="AC12" s="124">
        <f t="shared" si="13"/>
        <v>0</v>
      </c>
      <c r="AD12" s="124"/>
      <c r="AE12" s="124">
        <f t="shared" si="14"/>
        <v>0</v>
      </c>
      <c r="AF12" s="124">
        <f t="shared" si="15"/>
        <v>0</v>
      </c>
      <c r="AG12" s="124">
        <f t="shared" si="15"/>
        <v>0</v>
      </c>
      <c r="AH12" s="124">
        <f t="shared" si="15"/>
        <v>0</v>
      </c>
      <c r="AI12" s="124">
        <f t="shared" si="15"/>
        <v>0</v>
      </c>
      <c r="AJ12" s="124">
        <f t="shared" si="15"/>
        <v>0</v>
      </c>
      <c r="AK12" s="124">
        <f t="shared" si="15"/>
        <v>0</v>
      </c>
      <c r="AL12" s="124">
        <f t="shared" si="15"/>
        <v>0</v>
      </c>
      <c r="AM12" s="124">
        <f t="shared" si="15"/>
        <v>0</v>
      </c>
      <c r="AN12" s="124">
        <f t="shared" si="15"/>
        <v>0</v>
      </c>
      <c r="AO12" s="124">
        <f t="shared" si="15"/>
        <v>0</v>
      </c>
      <c r="AP12" s="124">
        <f t="shared" si="15"/>
        <v>0</v>
      </c>
      <c r="AQ12" s="124"/>
      <c r="AR12" s="124">
        <f t="shared" si="16"/>
        <v>0</v>
      </c>
      <c r="AS12" s="124">
        <f t="shared" si="17"/>
        <v>0</v>
      </c>
      <c r="AT12" s="124">
        <f t="shared" si="17"/>
        <v>0</v>
      </c>
      <c r="AU12" s="124">
        <f t="shared" si="17"/>
        <v>0</v>
      </c>
      <c r="AV12" s="124">
        <f t="shared" si="17"/>
        <v>0</v>
      </c>
      <c r="AW12" s="124">
        <f t="shared" si="17"/>
        <v>0</v>
      </c>
      <c r="AX12" s="124">
        <f t="shared" si="17"/>
        <v>0</v>
      </c>
      <c r="AY12" s="124">
        <f t="shared" si="17"/>
        <v>0</v>
      </c>
      <c r="AZ12" s="124">
        <f t="shared" si="17"/>
        <v>0</v>
      </c>
      <c r="BA12" s="124">
        <f t="shared" si="17"/>
        <v>0</v>
      </c>
      <c r="BB12" s="124">
        <f t="shared" si="17"/>
        <v>0</v>
      </c>
      <c r="BC12" s="124">
        <f t="shared" si="17"/>
        <v>0</v>
      </c>
      <c r="BD12" s="124"/>
      <c r="BE12" s="124">
        <f t="shared" si="18"/>
        <v>0</v>
      </c>
      <c r="BF12" s="124">
        <f t="shared" si="19"/>
        <v>0</v>
      </c>
      <c r="BG12" s="124">
        <f t="shared" si="19"/>
        <v>0</v>
      </c>
      <c r="BH12" s="124">
        <f t="shared" si="19"/>
        <v>0</v>
      </c>
      <c r="BI12" s="124">
        <f t="shared" si="19"/>
        <v>0</v>
      </c>
      <c r="BJ12" s="124">
        <f t="shared" si="19"/>
        <v>0</v>
      </c>
      <c r="BK12" s="124">
        <f t="shared" si="19"/>
        <v>0</v>
      </c>
      <c r="BL12" s="124">
        <f t="shared" si="19"/>
        <v>0</v>
      </c>
      <c r="BM12" s="124">
        <f t="shared" si="19"/>
        <v>0</v>
      </c>
      <c r="BN12" s="124">
        <f t="shared" si="19"/>
        <v>0</v>
      </c>
      <c r="BO12" s="124">
        <f t="shared" si="19"/>
        <v>0</v>
      </c>
      <c r="BP12" s="124">
        <f t="shared" si="19"/>
        <v>0</v>
      </c>
      <c r="BQ12" s="124"/>
      <c r="BR12" s="124">
        <f t="shared" si="20"/>
        <v>0</v>
      </c>
      <c r="BS12" s="124">
        <f t="shared" si="21"/>
        <v>0</v>
      </c>
      <c r="BT12" s="124">
        <f t="shared" si="21"/>
        <v>0</v>
      </c>
      <c r="BU12" s="124">
        <f t="shared" si="21"/>
        <v>0</v>
      </c>
      <c r="BV12" s="124">
        <f t="shared" si="21"/>
        <v>0</v>
      </c>
      <c r="BW12" s="124">
        <f t="shared" si="21"/>
        <v>0</v>
      </c>
      <c r="BX12" s="124">
        <f t="shared" si="21"/>
        <v>0</v>
      </c>
      <c r="BY12" s="124">
        <f t="shared" si="21"/>
        <v>0</v>
      </c>
      <c r="BZ12" s="124">
        <f t="shared" si="21"/>
        <v>0</v>
      </c>
      <c r="CA12" s="124">
        <f t="shared" si="21"/>
        <v>0</v>
      </c>
      <c r="CB12" s="124">
        <f t="shared" si="21"/>
        <v>0</v>
      </c>
      <c r="CC12" s="124">
        <f t="shared" si="21"/>
        <v>0</v>
      </c>
      <c r="CD12" s="125"/>
      <c r="CE12" s="9">
        <f t="shared" si="22"/>
        <v>0</v>
      </c>
      <c r="CF12" s="126"/>
      <c r="CG12" s="9"/>
      <c r="CH12" s="8"/>
      <c r="CI12" s="7"/>
      <c r="CJ12" s="7"/>
      <c r="CK12" s="7"/>
      <c r="CL12" s="7"/>
      <c r="CM12" s="7"/>
      <c r="CN12" s="7"/>
      <c r="CO12" s="7"/>
    </row>
    <row r="13" spans="1:93">
      <c r="A13" s="1">
        <v>1</v>
      </c>
      <c r="B13" s="1">
        <v>5</v>
      </c>
      <c r="C13" s="123" t="s">
        <v>731</v>
      </c>
      <c r="D13" s="8" t="s">
        <v>15</v>
      </c>
      <c r="E13" s="124"/>
      <c r="F13" s="124">
        <f t="shared" si="12"/>
        <v>0</v>
      </c>
      <c r="G13" s="124">
        <f t="shared" si="12"/>
        <v>0</v>
      </c>
      <c r="H13" s="124">
        <f t="shared" si="12"/>
        <v>0</v>
      </c>
      <c r="I13" s="124">
        <f t="shared" si="12"/>
        <v>0</v>
      </c>
      <c r="J13" s="124">
        <f t="shared" si="12"/>
        <v>0</v>
      </c>
      <c r="K13" s="124">
        <f t="shared" si="12"/>
        <v>0</v>
      </c>
      <c r="L13" s="124">
        <f t="shared" si="12"/>
        <v>0</v>
      </c>
      <c r="M13" s="124">
        <f t="shared" si="12"/>
        <v>0</v>
      </c>
      <c r="N13" s="124">
        <f t="shared" si="12"/>
        <v>0</v>
      </c>
      <c r="O13" s="124">
        <f t="shared" si="12"/>
        <v>0</v>
      </c>
      <c r="P13" s="124">
        <f t="shared" si="12"/>
        <v>0</v>
      </c>
      <c r="Q13" s="124"/>
      <c r="R13" s="124">
        <f t="shared" si="23"/>
        <v>0</v>
      </c>
      <c r="S13" s="124">
        <f t="shared" si="13"/>
        <v>0</v>
      </c>
      <c r="T13" s="124">
        <f t="shared" si="13"/>
        <v>0</v>
      </c>
      <c r="U13" s="124">
        <f t="shared" si="13"/>
        <v>0</v>
      </c>
      <c r="V13" s="124">
        <f t="shared" si="13"/>
        <v>0</v>
      </c>
      <c r="W13" s="124">
        <f t="shared" si="13"/>
        <v>0</v>
      </c>
      <c r="X13" s="124">
        <f t="shared" si="13"/>
        <v>0</v>
      </c>
      <c r="Y13" s="124">
        <f t="shared" si="13"/>
        <v>0</v>
      </c>
      <c r="Z13" s="124">
        <f t="shared" si="13"/>
        <v>0</v>
      </c>
      <c r="AA13" s="124">
        <f t="shared" si="13"/>
        <v>0</v>
      </c>
      <c r="AB13" s="124">
        <f t="shared" si="13"/>
        <v>0</v>
      </c>
      <c r="AC13" s="124">
        <f t="shared" si="13"/>
        <v>0</v>
      </c>
      <c r="AD13" s="124"/>
      <c r="AE13" s="124">
        <f t="shared" si="14"/>
        <v>0</v>
      </c>
      <c r="AF13" s="124">
        <f t="shared" si="15"/>
        <v>0</v>
      </c>
      <c r="AG13" s="124">
        <f t="shared" si="15"/>
        <v>0</v>
      </c>
      <c r="AH13" s="124">
        <f t="shared" si="15"/>
        <v>0</v>
      </c>
      <c r="AI13" s="124">
        <f t="shared" si="15"/>
        <v>0</v>
      </c>
      <c r="AJ13" s="124">
        <f t="shared" si="15"/>
        <v>0</v>
      </c>
      <c r="AK13" s="124">
        <f t="shared" si="15"/>
        <v>0</v>
      </c>
      <c r="AL13" s="124">
        <f t="shared" si="15"/>
        <v>0</v>
      </c>
      <c r="AM13" s="124">
        <f t="shared" si="15"/>
        <v>0</v>
      </c>
      <c r="AN13" s="124">
        <f t="shared" si="15"/>
        <v>0</v>
      </c>
      <c r="AO13" s="124">
        <f t="shared" si="15"/>
        <v>0</v>
      </c>
      <c r="AP13" s="124">
        <f t="shared" si="15"/>
        <v>0</v>
      </c>
      <c r="AQ13" s="124"/>
      <c r="AR13" s="124">
        <f t="shared" si="16"/>
        <v>0</v>
      </c>
      <c r="AS13" s="124">
        <f t="shared" si="17"/>
        <v>0</v>
      </c>
      <c r="AT13" s="124">
        <f t="shared" si="17"/>
        <v>0</v>
      </c>
      <c r="AU13" s="124">
        <f t="shared" si="17"/>
        <v>0</v>
      </c>
      <c r="AV13" s="124">
        <f t="shared" si="17"/>
        <v>0</v>
      </c>
      <c r="AW13" s="124">
        <f t="shared" si="17"/>
        <v>0</v>
      </c>
      <c r="AX13" s="124">
        <f t="shared" si="17"/>
        <v>0</v>
      </c>
      <c r="AY13" s="124">
        <f t="shared" si="17"/>
        <v>0</v>
      </c>
      <c r="AZ13" s="124">
        <f t="shared" si="17"/>
        <v>0</v>
      </c>
      <c r="BA13" s="124">
        <f t="shared" si="17"/>
        <v>0</v>
      </c>
      <c r="BB13" s="124">
        <f t="shared" si="17"/>
        <v>0</v>
      </c>
      <c r="BC13" s="124">
        <f t="shared" si="17"/>
        <v>0</v>
      </c>
      <c r="BD13" s="124"/>
      <c r="BE13" s="124">
        <f t="shared" si="18"/>
        <v>0</v>
      </c>
      <c r="BF13" s="124">
        <f t="shared" si="19"/>
        <v>0</v>
      </c>
      <c r="BG13" s="124">
        <f t="shared" si="19"/>
        <v>0</v>
      </c>
      <c r="BH13" s="124">
        <f t="shared" si="19"/>
        <v>0</v>
      </c>
      <c r="BI13" s="124">
        <f t="shared" si="19"/>
        <v>0</v>
      </c>
      <c r="BJ13" s="124">
        <f t="shared" si="19"/>
        <v>0</v>
      </c>
      <c r="BK13" s="124">
        <f t="shared" si="19"/>
        <v>0</v>
      </c>
      <c r="BL13" s="124">
        <f t="shared" si="19"/>
        <v>0</v>
      </c>
      <c r="BM13" s="124">
        <f t="shared" si="19"/>
        <v>0</v>
      </c>
      <c r="BN13" s="124">
        <f t="shared" si="19"/>
        <v>0</v>
      </c>
      <c r="BO13" s="124">
        <f t="shared" si="19"/>
        <v>0</v>
      </c>
      <c r="BP13" s="124">
        <f t="shared" si="19"/>
        <v>0</v>
      </c>
      <c r="BQ13" s="124"/>
      <c r="BR13" s="124">
        <f t="shared" si="20"/>
        <v>0</v>
      </c>
      <c r="BS13" s="124">
        <f t="shared" si="21"/>
        <v>0</v>
      </c>
      <c r="BT13" s="124">
        <f t="shared" si="21"/>
        <v>0</v>
      </c>
      <c r="BU13" s="124">
        <f t="shared" si="21"/>
        <v>0</v>
      </c>
      <c r="BV13" s="124">
        <f t="shared" si="21"/>
        <v>0</v>
      </c>
      <c r="BW13" s="124">
        <f t="shared" si="21"/>
        <v>0</v>
      </c>
      <c r="BX13" s="124">
        <f t="shared" si="21"/>
        <v>0</v>
      </c>
      <c r="BY13" s="124">
        <f t="shared" si="21"/>
        <v>0</v>
      </c>
      <c r="BZ13" s="124">
        <f t="shared" si="21"/>
        <v>0</v>
      </c>
      <c r="CA13" s="124">
        <f t="shared" si="21"/>
        <v>0</v>
      </c>
      <c r="CB13" s="124">
        <f t="shared" si="21"/>
        <v>0</v>
      </c>
      <c r="CC13" s="124">
        <f t="shared" si="21"/>
        <v>0</v>
      </c>
      <c r="CD13" s="125"/>
      <c r="CE13" s="9">
        <f t="shared" si="22"/>
        <v>0</v>
      </c>
      <c r="CF13" s="126"/>
      <c r="CG13" s="9"/>
      <c r="CH13" s="8"/>
      <c r="CI13" s="7"/>
      <c r="CJ13" s="7"/>
      <c r="CK13" s="7"/>
      <c r="CL13" s="7"/>
      <c r="CM13" s="7"/>
      <c r="CN13" s="7"/>
      <c r="CO13" s="7"/>
    </row>
    <row r="14" spans="1:93">
      <c r="A14" s="1">
        <v>1</v>
      </c>
      <c r="B14" s="1">
        <v>6</v>
      </c>
      <c r="C14" s="123" t="s">
        <v>732</v>
      </c>
      <c r="D14" s="8" t="s">
        <v>16</v>
      </c>
      <c r="E14" s="124"/>
      <c r="F14" s="124">
        <f t="shared" si="12"/>
        <v>0</v>
      </c>
      <c r="G14" s="124">
        <f t="shared" si="12"/>
        <v>0</v>
      </c>
      <c r="H14" s="124">
        <f t="shared" si="12"/>
        <v>0</v>
      </c>
      <c r="I14" s="124">
        <f t="shared" si="12"/>
        <v>0</v>
      </c>
      <c r="J14" s="124">
        <f t="shared" si="12"/>
        <v>0</v>
      </c>
      <c r="K14" s="124">
        <f t="shared" si="12"/>
        <v>0</v>
      </c>
      <c r="L14" s="124">
        <f t="shared" si="12"/>
        <v>0</v>
      </c>
      <c r="M14" s="124">
        <f t="shared" si="12"/>
        <v>0</v>
      </c>
      <c r="N14" s="124">
        <f t="shared" si="12"/>
        <v>0</v>
      </c>
      <c r="O14" s="124">
        <f t="shared" si="12"/>
        <v>0</v>
      </c>
      <c r="P14" s="124">
        <f t="shared" si="12"/>
        <v>0</v>
      </c>
      <c r="Q14" s="124"/>
      <c r="R14" s="124">
        <f t="shared" si="23"/>
        <v>0</v>
      </c>
      <c r="S14" s="124">
        <f t="shared" si="13"/>
        <v>0</v>
      </c>
      <c r="T14" s="124">
        <f t="shared" si="13"/>
        <v>0</v>
      </c>
      <c r="U14" s="124">
        <f t="shared" si="13"/>
        <v>0</v>
      </c>
      <c r="V14" s="124">
        <f t="shared" si="13"/>
        <v>0</v>
      </c>
      <c r="W14" s="124">
        <f t="shared" si="13"/>
        <v>0</v>
      </c>
      <c r="X14" s="124">
        <f t="shared" si="13"/>
        <v>0</v>
      </c>
      <c r="Y14" s="124">
        <f t="shared" si="13"/>
        <v>0</v>
      </c>
      <c r="Z14" s="124">
        <f t="shared" si="13"/>
        <v>0</v>
      </c>
      <c r="AA14" s="124">
        <f t="shared" si="13"/>
        <v>0</v>
      </c>
      <c r="AB14" s="124">
        <f t="shared" si="13"/>
        <v>0</v>
      </c>
      <c r="AC14" s="124">
        <f t="shared" si="13"/>
        <v>0</v>
      </c>
      <c r="AD14" s="124"/>
      <c r="AE14" s="124">
        <f t="shared" si="14"/>
        <v>0</v>
      </c>
      <c r="AF14" s="124">
        <f t="shared" si="15"/>
        <v>0</v>
      </c>
      <c r="AG14" s="124">
        <f t="shared" si="15"/>
        <v>0</v>
      </c>
      <c r="AH14" s="124">
        <f t="shared" si="15"/>
        <v>0</v>
      </c>
      <c r="AI14" s="124">
        <f t="shared" si="15"/>
        <v>0</v>
      </c>
      <c r="AJ14" s="124">
        <f t="shared" si="15"/>
        <v>0</v>
      </c>
      <c r="AK14" s="124">
        <f t="shared" si="15"/>
        <v>0</v>
      </c>
      <c r="AL14" s="124">
        <f t="shared" si="15"/>
        <v>0</v>
      </c>
      <c r="AM14" s="124">
        <f t="shared" si="15"/>
        <v>0</v>
      </c>
      <c r="AN14" s="124">
        <f t="shared" si="15"/>
        <v>0</v>
      </c>
      <c r="AO14" s="124">
        <f t="shared" si="15"/>
        <v>0</v>
      </c>
      <c r="AP14" s="124">
        <f t="shared" si="15"/>
        <v>0</v>
      </c>
      <c r="AQ14" s="124"/>
      <c r="AR14" s="124">
        <f t="shared" si="16"/>
        <v>0</v>
      </c>
      <c r="AS14" s="124">
        <f t="shared" si="17"/>
        <v>0</v>
      </c>
      <c r="AT14" s="124">
        <f t="shared" si="17"/>
        <v>0</v>
      </c>
      <c r="AU14" s="124">
        <f t="shared" si="17"/>
        <v>0</v>
      </c>
      <c r="AV14" s="124">
        <f t="shared" si="17"/>
        <v>0</v>
      </c>
      <c r="AW14" s="124">
        <f t="shared" si="17"/>
        <v>0</v>
      </c>
      <c r="AX14" s="124">
        <f t="shared" si="17"/>
        <v>0</v>
      </c>
      <c r="AY14" s="124">
        <f t="shared" si="17"/>
        <v>0</v>
      </c>
      <c r="AZ14" s="124">
        <f t="shared" si="17"/>
        <v>0</v>
      </c>
      <c r="BA14" s="124">
        <f t="shared" si="17"/>
        <v>0</v>
      </c>
      <c r="BB14" s="124">
        <f t="shared" si="17"/>
        <v>0</v>
      </c>
      <c r="BC14" s="124">
        <f t="shared" si="17"/>
        <v>0</v>
      </c>
      <c r="BD14" s="124"/>
      <c r="BE14" s="124">
        <f t="shared" si="18"/>
        <v>0</v>
      </c>
      <c r="BF14" s="124">
        <f t="shared" si="19"/>
        <v>0</v>
      </c>
      <c r="BG14" s="124">
        <f t="shared" si="19"/>
        <v>0</v>
      </c>
      <c r="BH14" s="124">
        <f t="shared" si="19"/>
        <v>0</v>
      </c>
      <c r="BI14" s="124">
        <f t="shared" si="19"/>
        <v>0</v>
      </c>
      <c r="BJ14" s="124">
        <f t="shared" si="19"/>
        <v>0</v>
      </c>
      <c r="BK14" s="124">
        <f t="shared" si="19"/>
        <v>0</v>
      </c>
      <c r="BL14" s="124">
        <f t="shared" si="19"/>
        <v>0</v>
      </c>
      <c r="BM14" s="124">
        <f t="shared" si="19"/>
        <v>0</v>
      </c>
      <c r="BN14" s="124">
        <f t="shared" si="19"/>
        <v>0</v>
      </c>
      <c r="BO14" s="124">
        <f t="shared" si="19"/>
        <v>0</v>
      </c>
      <c r="BP14" s="124">
        <f t="shared" si="19"/>
        <v>0</v>
      </c>
      <c r="BQ14" s="124"/>
      <c r="BR14" s="124">
        <f t="shared" si="20"/>
        <v>0</v>
      </c>
      <c r="BS14" s="124">
        <f t="shared" si="21"/>
        <v>0</v>
      </c>
      <c r="BT14" s="124">
        <f t="shared" si="21"/>
        <v>0</v>
      </c>
      <c r="BU14" s="124">
        <f t="shared" si="21"/>
        <v>0</v>
      </c>
      <c r="BV14" s="124">
        <f t="shared" si="21"/>
        <v>0</v>
      </c>
      <c r="BW14" s="124">
        <f t="shared" si="21"/>
        <v>0</v>
      </c>
      <c r="BX14" s="124">
        <f t="shared" si="21"/>
        <v>0</v>
      </c>
      <c r="BY14" s="124">
        <f t="shared" si="21"/>
        <v>0</v>
      </c>
      <c r="BZ14" s="124">
        <f t="shared" si="21"/>
        <v>0</v>
      </c>
      <c r="CA14" s="124">
        <f t="shared" si="21"/>
        <v>0</v>
      </c>
      <c r="CB14" s="124">
        <f t="shared" si="21"/>
        <v>0</v>
      </c>
      <c r="CC14" s="124">
        <f t="shared" si="21"/>
        <v>0</v>
      </c>
      <c r="CD14" s="125"/>
      <c r="CE14" s="9">
        <f t="shared" si="22"/>
        <v>0</v>
      </c>
      <c r="CF14" s="126"/>
      <c r="CG14" s="9"/>
      <c r="CH14" s="8"/>
      <c r="CI14" s="7"/>
      <c r="CJ14" s="7"/>
      <c r="CK14" s="7"/>
      <c r="CL14" s="7"/>
      <c r="CM14" s="7"/>
      <c r="CN14" s="7"/>
      <c r="CO14" s="7"/>
    </row>
    <row r="15" spans="1:93">
      <c r="A15" s="1">
        <v>1</v>
      </c>
      <c r="B15" s="1">
        <v>7</v>
      </c>
      <c r="C15" s="123" t="s">
        <v>733</v>
      </c>
      <c r="D15" s="8" t="s">
        <v>17</v>
      </c>
      <c r="E15" s="124"/>
      <c r="F15" s="124">
        <f t="shared" si="12"/>
        <v>0</v>
      </c>
      <c r="G15" s="124">
        <f t="shared" si="12"/>
        <v>0</v>
      </c>
      <c r="H15" s="124">
        <f t="shared" si="12"/>
        <v>0</v>
      </c>
      <c r="I15" s="124">
        <f>H15</f>
        <v>0</v>
      </c>
      <c r="J15" s="124">
        <f t="shared" si="12"/>
        <v>0</v>
      </c>
      <c r="K15" s="124">
        <f t="shared" si="12"/>
        <v>0</v>
      </c>
      <c r="L15" s="124">
        <f t="shared" si="12"/>
        <v>0</v>
      </c>
      <c r="M15" s="124">
        <f t="shared" si="12"/>
        <v>0</v>
      </c>
      <c r="N15" s="124">
        <f t="shared" si="12"/>
        <v>0</v>
      </c>
      <c r="O15" s="124">
        <f t="shared" si="12"/>
        <v>0</v>
      </c>
      <c r="P15" s="124">
        <f t="shared" si="12"/>
        <v>0</v>
      </c>
      <c r="Q15" s="124"/>
      <c r="R15" s="124">
        <f t="shared" si="23"/>
        <v>0</v>
      </c>
      <c r="S15" s="124">
        <f t="shared" si="13"/>
        <v>0</v>
      </c>
      <c r="T15" s="124">
        <f t="shared" si="13"/>
        <v>0</v>
      </c>
      <c r="U15" s="124">
        <f t="shared" si="13"/>
        <v>0</v>
      </c>
      <c r="V15" s="124">
        <f>U15</f>
        <v>0</v>
      </c>
      <c r="W15" s="124">
        <f t="shared" si="13"/>
        <v>0</v>
      </c>
      <c r="X15" s="124">
        <f t="shared" si="13"/>
        <v>0</v>
      </c>
      <c r="Y15" s="124">
        <f t="shared" si="13"/>
        <v>0</v>
      </c>
      <c r="Z15" s="124">
        <f t="shared" si="13"/>
        <v>0</v>
      </c>
      <c r="AA15" s="124">
        <f t="shared" si="13"/>
        <v>0</v>
      </c>
      <c r="AB15" s="124">
        <f t="shared" si="13"/>
        <v>0</v>
      </c>
      <c r="AC15" s="124">
        <f t="shared" si="13"/>
        <v>0</v>
      </c>
      <c r="AD15" s="124"/>
      <c r="AE15" s="124">
        <f t="shared" si="14"/>
        <v>0</v>
      </c>
      <c r="AF15" s="124">
        <f t="shared" si="15"/>
        <v>0</v>
      </c>
      <c r="AG15" s="124">
        <f t="shared" si="15"/>
        <v>0</v>
      </c>
      <c r="AH15" s="124">
        <f t="shared" si="15"/>
        <v>0</v>
      </c>
      <c r="AI15" s="124">
        <f t="shared" si="15"/>
        <v>0</v>
      </c>
      <c r="AJ15" s="124">
        <f t="shared" si="15"/>
        <v>0</v>
      </c>
      <c r="AK15" s="124">
        <f t="shared" si="15"/>
        <v>0</v>
      </c>
      <c r="AL15" s="124">
        <f t="shared" si="15"/>
        <v>0</v>
      </c>
      <c r="AM15" s="124">
        <f t="shared" si="15"/>
        <v>0</v>
      </c>
      <c r="AN15" s="124">
        <f t="shared" si="15"/>
        <v>0</v>
      </c>
      <c r="AO15" s="124">
        <f t="shared" si="15"/>
        <v>0</v>
      </c>
      <c r="AP15" s="124">
        <f t="shared" si="15"/>
        <v>0</v>
      </c>
      <c r="AQ15" s="124"/>
      <c r="AR15" s="124">
        <f t="shared" si="16"/>
        <v>0</v>
      </c>
      <c r="AS15" s="124">
        <f t="shared" si="17"/>
        <v>0</v>
      </c>
      <c r="AT15" s="124">
        <f t="shared" si="17"/>
        <v>0</v>
      </c>
      <c r="AU15" s="124">
        <f t="shared" si="17"/>
        <v>0</v>
      </c>
      <c r="AV15" s="124">
        <f t="shared" si="17"/>
        <v>0</v>
      </c>
      <c r="AW15" s="124">
        <f t="shared" si="17"/>
        <v>0</v>
      </c>
      <c r="AX15" s="124">
        <f t="shared" si="17"/>
        <v>0</v>
      </c>
      <c r="AY15" s="124">
        <f t="shared" si="17"/>
        <v>0</v>
      </c>
      <c r="AZ15" s="124">
        <f t="shared" si="17"/>
        <v>0</v>
      </c>
      <c r="BA15" s="124">
        <f t="shared" si="17"/>
        <v>0</v>
      </c>
      <c r="BB15" s="124">
        <f t="shared" si="17"/>
        <v>0</v>
      </c>
      <c r="BC15" s="124">
        <f t="shared" si="17"/>
        <v>0</v>
      </c>
      <c r="BD15" s="124"/>
      <c r="BE15" s="124">
        <f t="shared" si="18"/>
        <v>0</v>
      </c>
      <c r="BF15" s="124">
        <f t="shared" si="19"/>
        <v>0</v>
      </c>
      <c r="BG15" s="124">
        <f t="shared" si="19"/>
        <v>0</v>
      </c>
      <c r="BH15" s="124">
        <f t="shared" si="19"/>
        <v>0</v>
      </c>
      <c r="BI15" s="124">
        <f t="shared" si="19"/>
        <v>0</v>
      </c>
      <c r="BJ15" s="124">
        <f t="shared" si="19"/>
        <v>0</v>
      </c>
      <c r="BK15" s="124">
        <f t="shared" si="19"/>
        <v>0</v>
      </c>
      <c r="BL15" s="124">
        <f t="shared" si="19"/>
        <v>0</v>
      </c>
      <c r="BM15" s="124">
        <f t="shared" si="19"/>
        <v>0</v>
      </c>
      <c r="BN15" s="124">
        <f t="shared" si="19"/>
        <v>0</v>
      </c>
      <c r="BO15" s="124">
        <f t="shared" si="19"/>
        <v>0</v>
      </c>
      <c r="BP15" s="124">
        <f t="shared" si="19"/>
        <v>0</v>
      </c>
      <c r="BQ15" s="124"/>
      <c r="BR15" s="124">
        <f t="shared" si="20"/>
        <v>0</v>
      </c>
      <c r="BS15" s="124">
        <f t="shared" si="21"/>
        <v>0</v>
      </c>
      <c r="BT15" s="124">
        <f t="shared" si="21"/>
        <v>0</v>
      </c>
      <c r="BU15" s="124">
        <f t="shared" si="21"/>
        <v>0</v>
      </c>
      <c r="BV15" s="124">
        <f t="shared" si="21"/>
        <v>0</v>
      </c>
      <c r="BW15" s="124">
        <f t="shared" si="21"/>
        <v>0</v>
      </c>
      <c r="BX15" s="124">
        <f t="shared" si="21"/>
        <v>0</v>
      </c>
      <c r="BY15" s="124">
        <f t="shared" si="21"/>
        <v>0</v>
      </c>
      <c r="BZ15" s="124">
        <f t="shared" si="21"/>
        <v>0</v>
      </c>
      <c r="CA15" s="124">
        <f t="shared" si="21"/>
        <v>0</v>
      </c>
      <c r="CB15" s="124">
        <f t="shared" si="21"/>
        <v>0</v>
      </c>
      <c r="CC15" s="124">
        <f t="shared" si="21"/>
        <v>0</v>
      </c>
      <c r="CD15" s="125"/>
      <c r="CE15" s="9">
        <f t="shared" si="22"/>
        <v>0</v>
      </c>
      <c r="CF15" s="126"/>
      <c r="CG15" s="9"/>
      <c r="CH15" s="8"/>
      <c r="CI15" s="7"/>
      <c r="CJ15" s="7"/>
      <c r="CK15" s="7"/>
      <c r="CL15" s="7"/>
      <c r="CM15" s="7"/>
      <c r="CN15" s="7"/>
      <c r="CO15" s="7"/>
    </row>
    <row r="16" spans="1:93">
      <c r="A16" s="1">
        <v>1</v>
      </c>
      <c r="B16" s="1">
        <v>8</v>
      </c>
      <c r="C16" s="123" t="s">
        <v>734</v>
      </c>
      <c r="D16" s="8" t="s">
        <v>18</v>
      </c>
      <c r="E16" s="124"/>
      <c r="F16" s="124">
        <f t="shared" si="12"/>
        <v>0</v>
      </c>
      <c r="G16" s="124">
        <f t="shared" si="12"/>
        <v>0</v>
      </c>
      <c r="H16" s="124">
        <f t="shared" si="12"/>
        <v>0</v>
      </c>
      <c r="I16" s="124">
        <f t="shared" si="12"/>
        <v>0</v>
      </c>
      <c r="J16" s="124">
        <f t="shared" si="12"/>
        <v>0</v>
      </c>
      <c r="K16" s="124">
        <f t="shared" si="12"/>
        <v>0</v>
      </c>
      <c r="L16" s="124">
        <f t="shared" si="12"/>
        <v>0</v>
      </c>
      <c r="M16" s="124">
        <f t="shared" si="12"/>
        <v>0</v>
      </c>
      <c r="N16" s="124">
        <f t="shared" si="12"/>
        <v>0</v>
      </c>
      <c r="O16" s="124">
        <f t="shared" si="12"/>
        <v>0</v>
      </c>
      <c r="P16" s="124">
        <f t="shared" si="12"/>
        <v>0</v>
      </c>
      <c r="Q16" s="124"/>
      <c r="R16" s="124">
        <f t="shared" si="23"/>
        <v>0</v>
      </c>
      <c r="S16" s="124">
        <f t="shared" si="13"/>
        <v>0</v>
      </c>
      <c r="T16" s="124">
        <f t="shared" si="13"/>
        <v>0</v>
      </c>
      <c r="U16" s="124">
        <f t="shared" si="13"/>
        <v>0</v>
      </c>
      <c r="V16" s="124">
        <f t="shared" si="13"/>
        <v>0</v>
      </c>
      <c r="W16" s="124">
        <f t="shared" si="13"/>
        <v>0</v>
      </c>
      <c r="X16" s="124">
        <f t="shared" si="13"/>
        <v>0</v>
      </c>
      <c r="Y16" s="124">
        <f t="shared" si="13"/>
        <v>0</v>
      </c>
      <c r="Z16" s="124">
        <f t="shared" si="13"/>
        <v>0</v>
      </c>
      <c r="AA16" s="124">
        <f t="shared" si="13"/>
        <v>0</v>
      </c>
      <c r="AB16" s="124">
        <f t="shared" si="13"/>
        <v>0</v>
      </c>
      <c r="AC16" s="124">
        <f t="shared" si="13"/>
        <v>0</v>
      </c>
      <c r="AD16" s="124"/>
      <c r="AE16" s="124">
        <f t="shared" si="14"/>
        <v>0</v>
      </c>
      <c r="AF16" s="124">
        <f t="shared" si="15"/>
        <v>0</v>
      </c>
      <c r="AG16" s="124">
        <f t="shared" si="15"/>
        <v>0</v>
      </c>
      <c r="AH16" s="124">
        <f t="shared" si="15"/>
        <v>0</v>
      </c>
      <c r="AI16" s="124">
        <f t="shared" si="15"/>
        <v>0</v>
      </c>
      <c r="AJ16" s="124">
        <f t="shared" si="15"/>
        <v>0</v>
      </c>
      <c r="AK16" s="124">
        <f t="shared" si="15"/>
        <v>0</v>
      </c>
      <c r="AL16" s="124">
        <f t="shared" si="15"/>
        <v>0</v>
      </c>
      <c r="AM16" s="124">
        <f t="shared" si="15"/>
        <v>0</v>
      </c>
      <c r="AN16" s="124">
        <f t="shared" si="15"/>
        <v>0</v>
      </c>
      <c r="AO16" s="124">
        <f t="shared" si="15"/>
        <v>0</v>
      </c>
      <c r="AP16" s="124">
        <f t="shared" si="15"/>
        <v>0</v>
      </c>
      <c r="AQ16" s="124"/>
      <c r="AR16" s="124">
        <f t="shared" si="16"/>
        <v>0</v>
      </c>
      <c r="AS16" s="124">
        <f t="shared" si="17"/>
        <v>0</v>
      </c>
      <c r="AT16" s="124">
        <f t="shared" si="17"/>
        <v>0</v>
      </c>
      <c r="AU16" s="124">
        <f t="shared" si="17"/>
        <v>0</v>
      </c>
      <c r="AV16" s="124">
        <f t="shared" si="17"/>
        <v>0</v>
      </c>
      <c r="AW16" s="124">
        <f t="shared" si="17"/>
        <v>0</v>
      </c>
      <c r="AX16" s="124">
        <f t="shared" si="17"/>
        <v>0</v>
      </c>
      <c r="AY16" s="124">
        <f t="shared" si="17"/>
        <v>0</v>
      </c>
      <c r="AZ16" s="124">
        <f t="shared" si="17"/>
        <v>0</v>
      </c>
      <c r="BA16" s="124">
        <f t="shared" si="17"/>
        <v>0</v>
      </c>
      <c r="BB16" s="124">
        <f t="shared" si="17"/>
        <v>0</v>
      </c>
      <c r="BC16" s="124">
        <f t="shared" si="17"/>
        <v>0</v>
      </c>
      <c r="BD16" s="124"/>
      <c r="BE16" s="124">
        <f t="shared" si="18"/>
        <v>0</v>
      </c>
      <c r="BF16" s="124">
        <f t="shared" si="19"/>
        <v>0</v>
      </c>
      <c r="BG16" s="124">
        <f t="shared" si="19"/>
        <v>0</v>
      </c>
      <c r="BH16" s="124">
        <f t="shared" si="19"/>
        <v>0</v>
      </c>
      <c r="BI16" s="124">
        <f t="shared" si="19"/>
        <v>0</v>
      </c>
      <c r="BJ16" s="124">
        <f t="shared" si="19"/>
        <v>0</v>
      </c>
      <c r="BK16" s="124">
        <f t="shared" si="19"/>
        <v>0</v>
      </c>
      <c r="BL16" s="124">
        <f t="shared" si="19"/>
        <v>0</v>
      </c>
      <c r="BM16" s="124">
        <f t="shared" si="19"/>
        <v>0</v>
      </c>
      <c r="BN16" s="124">
        <f t="shared" si="19"/>
        <v>0</v>
      </c>
      <c r="BO16" s="124">
        <f t="shared" si="19"/>
        <v>0</v>
      </c>
      <c r="BP16" s="124">
        <f t="shared" si="19"/>
        <v>0</v>
      </c>
      <c r="BQ16" s="124"/>
      <c r="BR16" s="124">
        <f t="shared" si="20"/>
        <v>0</v>
      </c>
      <c r="BS16" s="124">
        <f t="shared" si="21"/>
        <v>0</v>
      </c>
      <c r="BT16" s="124">
        <f t="shared" si="21"/>
        <v>0</v>
      </c>
      <c r="BU16" s="124">
        <f t="shared" si="21"/>
        <v>0</v>
      </c>
      <c r="BV16" s="124">
        <f t="shared" si="21"/>
        <v>0</v>
      </c>
      <c r="BW16" s="124">
        <f t="shared" si="21"/>
        <v>0</v>
      </c>
      <c r="BX16" s="124">
        <f t="shared" si="21"/>
        <v>0</v>
      </c>
      <c r="BY16" s="124">
        <f t="shared" si="21"/>
        <v>0</v>
      </c>
      <c r="BZ16" s="124">
        <f t="shared" si="21"/>
        <v>0</v>
      </c>
      <c r="CA16" s="124">
        <f t="shared" si="21"/>
        <v>0</v>
      </c>
      <c r="CB16" s="124">
        <f t="shared" si="21"/>
        <v>0</v>
      </c>
      <c r="CC16" s="124">
        <f t="shared" si="21"/>
        <v>0</v>
      </c>
      <c r="CD16" s="125"/>
      <c r="CE16" s="9">
        <f t="shared" si="22"/>
        <v>0</v>
      </c>
      <c r="CF16" s="126"/>
      <c r="CG16" s="9"/>
      <c r="CH16" s="8"/>
      <c r="CI16" s="7"/>
      <c r="CJ16" s="7"/>
      <c r="CK16" s="7"/>
      <c r="CL16" s="7"/>
      <c r="CM16" s="7"/>
      <c r="CN16" s="7"/>
      <c r="CO16" s="7"/>
    </row>
    <row r="17" spans="1:93">
      <c r="A17" s="1">
        <v>1</v>
      </c>
      <c r="B17" s="1">
        <v>9</v>
      </c>
      <c r="C17" s="123" t="s">
        <v>735</v>
      </c>
      <c r="D17" s="8" t="s">
        <v>19</v>
      </c>
      <c r="E17" s="124"/>
      <c r="F17" s="124">
        <f t="shared" si="12"/>
        <v>0</v>
      </c>
      <c r="G17" s="124">
        <f t="shared" si="12"/>
        <v>0</v>
      </c>
      <c r="H17" s="124">
        <f t="shared" si="12"/>
        <v>0</v>
      </c>
      <c r="I17" s="124">
        <f t="shared" si="12"/>
        <v>0</v>
      </c>
      <c r="J17" s="124">
        <f t="shared" si="12"/>
        <v>0</v>
      </c>
      <c r="K17" s="124">
        <f t="shared" si="12"/>
        <v>0</v>
      </c>
      <c r="L17" s="124">
        <f t="shared" si="12"/>
        <v>0</v>
      </c>
      <c r="M17" s="124">
        <f t="shared" si="12"/>
        <v>0</v>
      </c>
      <c r="N17" s="124">
        <f t="shared" si="12"/>
        <v>0</v>
      </c>
      <c r="O17" s="124">
        <f t="shared" si="12"/>
        <v>0</v>
      </c>
      <c r="P17" s="124">
        <f t="shared" si="12"/>
        <v>0</v>
      </c>
      <c r="Q17" s="124"/>
      <c r="R17" s="124">
        <f t="shared" si="23"/>
        <v>0</v>
      </c>
      <c r="S17" s="124">
        <f t="shared" si="13"/>
        <v>0</v>
      </c>
      <c r="T17" s="124">
        <f t="shared" si="13"/>
        <v>0</v>
      </c>
      <c r="U17" s="124">
        <f t="shared" si="13"/>
        <v>0</v>
      </c>
      <c r="V17" s="124">
        <f t="shared" si="13"/>
        <v>0</v>
      </c>
      <c r="W17" s="124">
        <f t="shared" si="13"/>
        <v>0</v>
      </c>
      <c r="X17" s="124">
        <f t="shared" si="13"/>
        <v>0</v>
      </c>
      <c r="Y17" s="124">
        <f t="shared" si="13"/>
        <v>0</v>
      </c>
      <c r="Z17" s="124">
        <f t="shared" si="13"/>
        <v>0</v>
      </c>
      <c r="AA17" s="124">
        <f t="shared" si="13"/>
        <v>0</v>
      </c>
      <c r="AB17" s="124">
        <f t="shared" si="13"/>
        <v>0</v>
      </c>
      <c r="AC17" s="124">
        <f t="shared" si="13"/>
        <v>0</v>
      </c>
      <c r="AD17" s="124"/>
      <c r="AE17" s="124">
        <f t="shared" si="14"/>
        <v>0</v>
      </c>
      <c r="AF17" s="124">
        <f t="shared" si="15"/>
        <v>0</v>
      </c>
      <c r="AG17" s="124">
        <f t="shared" si="15"/>
        <v>0</v>
      </c>
      <c r="AH17" s="124">
        <f t="shared" si="15"/>
        <v>0</v>
      </c>
      <c r="AI17" s="124">
        <f t="shared" si="15"/>
        <v>0</v>
      </c>
      <c r="AJ17" s="124">
        <f t="shared" si="15"/>
        <v>0</v>
      </c>
      <c r="AK17" s="124">
        <f t="shared" si="15"/>
        <v>0</v>
      </c>
      <c r="AL17" s="124">
        <f t="shared" si="15"/>
        <v>0</v>
      </c>
      <c r="AM17" s="124">
        <f t="shared" si="15"/>
        <v>0</v>
      </c>
      <c r="AN17" s="124">
        <f t="shared" si="15"/>
        <v>0</v>
      </c>
      <c r="AO17" s="124">
        <f t="shared" si="15"/>
        <v>0</v>
      </c>
      <c r="AP17" s="124">
        <f t="shared" si="15"/>
        <v>0</v>
      </c>
      <c r="AQ17" s="124"/>
      <c r="AR17" s="124">
        <f t="shared" si="16"/>
        <v>0</v>
      </c>
      <c r="AS17" s="124">
        <f t="shared" si="17"/>
        <v>0</v>
      </c>
      <c r="AT17" s="124">
        <f t="shared" si="17"/>
        <v>0</v>
      </c>
      <c r="AU17" s="124">
        <f t="shared" si="17"/>
        <v>0</v>
      </c>
      <c r="AV17" s="124">
        <f t="shared" si="17"/>
        <v>0</v>
      </c>
      <c r="AW17" s="124">
        <f t="shared" si="17"/>
        <v>0</v>
      </c>
      <c r="AX17" s="124">
        <f t="shared" si="17"/>
        <v>0</v>
      </c>
      <c r="AY17" s="124">
        <f t="shared" si="17"/>
        <v>0</v>
      </c>
      <c r="AZ17" s="124">
        <f t="shared" si="17"/>
        <v>0</v>
      </c>
      <c r="BA17" s="124">
        <f t="shared" si="17"/>
        <v>0</v>
      </c>
      <c r="BB17" s="124">
        <f t="shared" si="17"/>
        <v>0</v>
      </c>
      <c r="BC17" s="124">
        <f t="shared" si="17"/>
        <v>0</v>
      </c>
      <c r="BD17" s="124"/>
      <c r="BE17" s="124">
        <f t="shared" si="18"/>
        <v>0</v>
      </c>
      <c r="BF17" s="124">
        <f t="shared" si="19"/>
        <v>0</v>
      </c>
      <c r="BG17" s="124">
        <f t="shared" si="19"/>
        <v>0</v>
      </c>
      <c r="BH17" s="124">
        <f t="shared" si="19"/>
        <v>0</v>
      </c>
      <c r="BI17" s="124">
        <f t="shared" si="19"/>
        <v>0</v>
      </c>
      <c r="BJ17" s="124">
        <f t="shared" si="19"/>
        <v>0</v>
      </c>
      <c r="BK17" s="124">
        <f t="shared" si="19"/>
        <v>0</v>
      </c>
      <c r="BL17" s="124">
        <f t="shared" si="19"/>
        <v>0</v>
      </c>
      <c r="BM17" s="124">
        <f t="shared" si="19"/>
        <v>0</v>
      </c>
      <c r="BN17" s="124">
        <f t="shared" si="19"/>
        <v>0</v>
      </c>
      <c r="BO17" s="124">
        <f t="shared" si="19"/>
        <v>0</v>
      </c>
      <c r="BP17" s="124">
        <f t="shared" si="19"/>
        <v>0</v>
      </c>
      <c r="BQ17" s="124"/>
      <c r="BR17" s="124">
        <f t="shared" si="20"/>
        <v>0</v>
      </c>
      <c r="BS17" s="124">
        <f t="shared" si="21"/>
        <v>0</v>
      </c>
      <c r="BT17" s="124">
        <f t="shared" si="21"/>
        <v>0</v>
      </c>
      <c r="BU17" s="124">
        <f t="shared" si="21"/>
        <v>0</v>
      </c>
      <c r="BV17" s="124">
        <f t="shared" si="21"/>
        <v>0</v>
      </c>
      <c r="BW17" s="124">
        <f t="shared" si="21"/>
        <v>0</v>
      </c>
      <c r="BX17" s="124">
        <f t="shared" si="21"/>
        <v>0</v>
      </c>
      <c r="BY17" s="124">
        <f t="shared" si="21"/>
        <v>0</v>
      </c>
      <c r="BZ17" s="124">
        <f t="shared" si="21"/>
        <v>0</v>
      </c>
      <c r="CA17" s="124">
        <f t="shared" si="21"/>
        <v>0</v>
      </c>
      <c r="CB17" s="124">
        <f t="shared" si="21"/>
        <v>0</v>
      </c>
      <c r="CC17" s="124">
        <f t="shared" si="21"/>
        <v>0</v>
      </c>
      <c r="CD17" s="125"/>
      <c r="CE17" s="9">
        <f t="shared" si="22"/>
        <v>0</v>
      </c>
      <c r="CF17" s="126"/>
      <c r="CG17" s="9"/>
      <c r="CH17" s="8"/>
      <c r="CI17" s="7"/>
      <c r="CJ17" s="7"/>
      <c r="CK17" s="7"/>
      <c r="CL17" s="7"/>
      <c r="CM17" s="7"/>
      <c r="CN17" s="7"/>
      <c r="CO17" s="7"/>
    </row>
    <row r="18" spans="1:93">
      <c r="C18" s="123" t="s">
        <v>736</v>
      </c>
      <c r="D18" s="8" t="s">
        <v>20</v>
      </c>
      <c r="E18" s="124"/>
      <c r="F18" s="124">
        <f>E18</f>
        <v>0</v>
      </c>
      <c r="G18" s="124">
        <f t="shared" si="12"/>
        <v>0</v>
      </c>
      <c r="H18" s="124">
        <f t="shared" si="12"/>
        <v>0</v>
      </c>
      <c r="I18" s="124">
        <f t="shared" si="12"/>
        <v>0</v>
      </c>
      <c r="J18" s="124">
        <f t="shared" si="12"/>
        <v>0</v>
      </c>
      <c r="K18" s="124">
        <f t="shared" si="12"/>
        <v>0</v>
      </c>
      <c r="L18" s="124">
        <f t="shared" si="12"/>
        <v>0</v>
      </c>
      <c r="M18" s="124">
        <f t="shared" si="12"/>
        <v>0</v>
      </c>
      <c r="N18" s="124">
        <f t="shared" si="12"/>
        <v>0</v>
      </c>
      <c r="O18" s="124">
        <f t="shared" si="12"/>
        <v>0</v>
      </c>
      <c r="P18" s="124">
        <f t="shared" si="12"/>
        <v>0</v>
      </c>
      <c r="Q18" s="124"/>
      <c r="R18" s="124">
        <f t="shared" si="23"/>
        <v>0</v>
      </c>
      <c r="S18" s="124">
        <f t="shared" si="13"/>
        <v>0</v>
      </c>
      <c r="T18" s="124">
        <f t="shared" si="13"/>
        <v>0</v>
      </c>
      <c r="U18" s="124">
        <f t="shared" si="13"/>
        <v>0</v>
      </c>
      <c r="V18" s="124">
        <f t="shared" si="13"/>
        <v>0</v>
      </c>
      <c r="W18" s="124">
        <f t="shared" si="13"/>
        <v>0</v>
      </c>
      <c r="X18" s="124">
        <f t="shared" si="13"/>
        <v>0</v>
      </c>
      <c r="Y18" s="124">
        <f t="shared" si="13"/>
        <v>0</v>
      </c>
      <c r="Z18" s="124">
        <f t="shared" si="13"/>
        <v>0</v>
      </c>
      <c r="AA18" s="124">
        <f t="shared" si="13"/>
        <v>0</v>
      </c>
      <c r="AB18" s="124">
        <f t="shared" si="13"/>
        <v>0</v>
      </c>
      <c r="AC18" s="124">
        <f t="shared" si="13"/>
        <v>0</v>
      </c>
      <c r="AD18" s="124"/>
      <c r="AE18" s="124">
        <f t="shared" si="14"/>
        <v>0</v>
      </c>
      <c r="AF18" s="124">
        <f t="shared" si="15"/>
        <v>0</v>
      </c>
      <c r="AG18" s="124">
        <f t="shared" si="15"/>
        <v>0</v>
      </c>
      <c r="AH18" s="124">
        <f t="shared" si="15"/>
        <v>0</v>
      </c>
      <c r="AI18" s="124">
        <f t="shared" si="15"/>
        <v>0</v>
      </c>
      <c r="AJ18" s="124">
        <f t="shared" si="15"/>
        <v>0</v>
      </c>
      <c r="AK18" s="124">
        <f t="shared" si="15"/>
        <v>0</v>
      </c>
      <c r="AL18" s="124">
        <f t="shared" si="15"/>
        <v>0</v>
      </c>
      <c r="AM18" s="124">
        <f t="shared" si="15"/>
        <v>0</v>
      </c>
      <c r="AN18" s="124">
        <f t="shared" si="15"/>
        <v>0</v>
      </c>
      <c r="AO18" s="124">
        <f t="shared" si="15"/>
        <v>0</v>
      </c>
      <c r="AP18" s="124">
        <f t="shared" si="15"/>
        <v>0</v>
      </c>
      <c r="AQ18" s="124"/>
      <c r="AR18" s="124">
        <f t="shared" si="16"/>
        <v>0</v>
      </c>
      <c r="AS18" s="124">
        <f t="shared" si="17"/>
        <v>0</v>
      </c>
      <c r="AT18" s="124">
        <f t="shared" si="17"/>
        <v>0</v>
      </c>
      <c r="AU18" s="124">
        <f t="shared" si="17"/>
        <v>0</v>
      </c>
      <c r="AV18" s="124">
        <f t="shared" si="17"/>
        <v>0</v>
      </c>
      <c r="AW18" s="124">
        <f t="shared" si="17"/>
        <v>0</v>
      </c>
      <c r="AX18" s="124">
        <f t="shared" si="17"/>
        <v>0</v>
      </c>
      <c r="AY18" s="124">
        <f t="shared" si="17"/>
        <v>0</v>
      </c>
      <c r="AZ18" s="124">
        <f t="shared" si="17"/>
        <v>0</v>
      </c>
      <c r="BA18" s="124">
        <f t="shared" si="17"/>
        <v>0</v>
      </c>
      <c r="BB18" s="124">
        <f t="shared" si="17"/>
        <v>0</v>
      </c>
      <c r="BC18" s="124">
        <f t="shared" si="17"/>
        <v>0</v>
      </c>
      <c r="BD18" s="124"/>
      <c r="BE18" s="124">
        <f t="shared" si="18"/>
        <v>0</v>
      </c>
      <c r="BF18" s="124">
        <f t="shared" si="19"/>
        <v>0</v>
      </c>
      <c r="BG18" s="124">
        <f t="shared" si="19"/>
        <v>0</v>
      </c>
      <c r="BH18" s="124">
        <f t="shared" si="19"/>
        <v>0</v>
      </c>
      <c r="BI18" s="124">
        <f t="shared" si="19"/>
        <v>0</v>
      </c>
      <c r="BJ18" s="124">
        <f t="shared" si="19"/>
        <v>0</v>
      </c>
      <c r="BK18" s="124">
        <f t="shared" si="19"/>
        <v>0</v>
      </c>
      <c r="BL18" s="124">
        <f t="shared" si="19"/>
        <v>0</v>
      </c>
      <c r="BM18" s="124">
        <f t="shared" si="19"/>
        <v>0</v>
      </c>
      <c r="BN18" s="124">
        <f t="shared" si="19"/>
        <v>0</v>
      </c>
      <c r="BO18" s="124">
        <f t="shared" si="19"/>
        <v>0</v>
      </c>
      <c r="BP18" s="124">
        <f t="shared" si="19"/>
        <v>0</v>
      </c>
      <c r="BQ18" s="124"/>
      <c r="BR18" s="124">
        <f>BP18</f>
        <v>0</v>
      </c>
      <c r="BS18" s="124">
        <f t="shared" si="21"/>
        <v>0</v>
      </c>
      <c r="BT18" s="124">
        <f t="shared" si="21"/>
        <v>0</v>
      </c>
      <c r="BU18" s="124">
        <f t="shared" si="21"/>
        <v>0</v>
      </c>
      <c r="BV18" s="124">
        <f t="shared" si="21"/>
        <v>0</v>
      </c>
      <c r="BW18" s="124">
        <f t="shared" si="21"/>
        <v>0</v>
      </c>
      <c r="BX18" s="124">
        <f t="shared" si="21"/>
        <v>0</v>
      </c>
      <c r="BY18" s="124">
        <f t="shared" si="21"/>
        <v>0</v>
      </c>
      <c r="BZ18" s="124">
        <f t="shared" si="21"/>
        <v>0</v>
      </c>
      <c r="CA18" s="124">
        <f t="shared" si="21"/>
        <v>0</v>
      </c>
      <c r="CB18" s="124">
        <f t="shared" si="21"/>
        <v>0</v>
      </c>
      <c r="CC18" s="124">
        <f t="shared" si="21"/>
        <v>0</v>
      </c>
      <c r="CD18" s="125"/>
      <c r="CE18" s="9">
        <f t="shared" si="22"/>
        <v>0</v>
      </c>
      <c r="CF18" s="126"/>
      <c r="CG18" s="10"/>
      <c r="CH18" s="8"/>
      <c r="CI18" s="7"/>
      <c r="CJ18" s="7"/>
      <c r="CK18" s="7"/>
      <c r="CL18" s="7"/>
      <c r="CM18" s="7"/>
      <c r="CN18" s="7"/>
      <c r="CO18" s="7"/>
    </row>
    <row r="19" spans="1:93" hidden="1">
      <c r="C19" s="8" t="s">
        <v>26</v>
      </c>
      <c r="D19" s="8"/>
      <c r="E19" s="125">
        <v>0</v>
      </c>
      <c r="F19" s="125">
        <f t="shared" ref="F19:P20" si="24">E19</f>
        <v>0</v>
      </c>
      <c r="G19" s="125">
        <f t="shared" si="24"/>
        <v>0</v>
      </c>
      <c r="H19" s="125">
        <f t="shared" si="24"/>
        <v>0</v>
      </c>
      <c r="I19" s="125">
        <f t="shared" si="24"/>
        <v>0</v>
      </c>
      <c r="J19" s="125">
        <f t="shared" si="24"/>
        <v>0</v>
      </c>
      <c r="K19" s="125">
        <f t="shared" si="24"/>
        <v>0</v>
      </c>
      <c r="L19" s="125">
        <f t="shared" si="24"/>
        <v>0</v>
      </c>
      <c r="M19" s="125">
        <f t="shared" si="24"/>
        <v>0</v>
      </c>
      <c r="N19" s="125">
        <f t="shared" si="24"/>
        <v>0</v>
      </c>
      <c r="O19" s="125">
        <f t="shared" si="24"/>
        <v>0</v>
      </c>
      <c r="P19" s="125">
        <f t="shared" si="24"/>
        <v>0</v>
      </c>
      <c r="Q19" s="10"/>
      <c r="R19" s="125">
        <f>P19</f>
        <v>0</v>
      </c>
      <c r="S19" s="125">
        <f t="shared" si="13"/>
        <v>0</v>
      </c>
      <c r="T19" s="125">
        <f t="shared" si="13"/>
        <v>0</v>
      </c>
      <c r="U19" s="125">
        <f t="shared" si="13"/>
        <v>0</v>
      </c>
      <c r="V19" s="125">
        <f t="shared" si="13"/>
        <v>0</v>
      </c>
      <c r="W19" s="125">
        <f t="shared" si="13"/>
        <v>0</v>
      </c>
      <c r="X19" s="125">
        <f t="shared" si="13"/>
        <v>0</v>
      </c>
      <c r="Y19" s="125">
        <f t="shared" si="13"/>
        <v>0</v>
      </c>
      <c r="Z19" s="125">
        <f t="shared" si="13"/>
        <v>0</v>
      </c>
      <c r="AA19" s="125">
        <f t="shared" si="13"/>
        <v>0</v>
      </c>
      <c r="AB19" s="125">
        <f t="shared" si="13"/>
        <v>0</v>
      </c>
      <c r="AC19" s="125">
        <f t="shared" si="13"/>
        <v>0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25">
        <f>AC19*AQ$4/12</f>
        <v>0</v>
      </c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>
        <f>AQ19*BD$4/12</f>
        <v>0</v>
      </c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>
        <f>BD19*BQ$4/12</f>
        <v>0</v>
      </c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>
        <f>BQ19*CD$4/12</f>
        <v>0</v>
      </c>
      <c r="CE19" s="10"/>
      <c r="CF19" s="10"/>
      <c r="CG19" s="10"/>
      <c r="CH19" s="8"/>
      <c r="CI19" s="7"/>
      <c r="CJ19" s="7"/>
      <c r="CK19" s="7"/>
      <c r="CL19" s="7"/>
      <c r="CM19" s="7"/>
      <c r="CN19" s="7"/>
      <c r="CO19" s="7"/>
    </row>
    <row r="20" spans="1:93" hidden="1">
      <c r="C20" s="8" t="s">
        <v>26</v>
      </c>
      <c r="D20" s="8"/>
      <c r="E20" s="125">
        <v>0</v>
      </c>
      <c r="F20" s="125">
        <f t="shared" si="24"/>
        <v>0</v>
      </c>
      <c r="G20" s="125">
        <f t="shared" si="24"/>
        <v>0</v>
      </c>
      <c r="H20" s="125">
        <f t="shared" si="24"/>
        <v>0</v>
      </c>
      <c r="I20" s="125">
        <f t="shared" si="24"/>
        <v>0</v>
      </c>
      <c r="J20" s="125">
        <f t="shared" si="24"/>
        <v>0</v>
      </c>
      <c r="K20" s="125">
        <f t="shared" si="24"/>
        <v>0</v>
      </c>
      <c r="L20" s="125">
        <f t="shared" si="24"/>
        <v>0</v>
      </c>
      <c r="M20" s="125">
        <f t="shared" si="24"/>
        <v>0</v>
      </c>
      <c r="N20" s="125">
        <f t="shared" si="24"/>
        <v>0</v>
      </c>
      <c r="O20" s="125">
        <f t="shared" si="24"/>
        <v>0</v>
      </c>
      <c r="P20" s="125">
        <f t="shared" si="24"/>
        <v>0</v>
      </c>
      <c r="Q20" s="10"/>
      <c r="R20" s="125">
        <f>P20</f>
        <v>0</v>
      </c>
      <c r="S20" s="125">
        <f t="shared" si="13"/>
        <v>0</v>
      </c>
      <c r="T20" s="125">
        <f t="shared" si="13"/>
        <v>0</v>
      </c>
      <c r="U20" s="125">
        <f t="shared" si="13"/>
        <v>0</v>
      </c>
      <c r="V20" s="125">
        <f t="shared" si="13"/>
        <v>0</v>
      </c>
      <c r="W20" s="125">
        <f t="shared" si="13"/>
        <v>0</v>
      </c>
      <c r="X20" s="125">
        <f t="shared" si="13"/>
        <v>0</v>
      </c>
      <c r="Y20" s="125">
        <f t="shared" si="13"/>
        <v>0</v>
      </c>
      <c r="Z20" s="125">
        <f t="shared" si="13"/>
        <v>0</v>
      </c>
      <c r="AA20" s="125">
        <f t="shared" si="13"/>
        <v>0</v>
      </c>
      <c r="AB20" s="125">
        <f t="shared" si="13"/>
        <v>0</v>
      </c>
      <c r="AC20" s="125">
        <f t="shared" si="13"/>
        <v>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25">
        <f>AC20*AQ$4/12</f>
        <v>0</v>
      </c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>
        <f>AQ20*BD$4/12</f>
        <v>0</v>
      </c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>
        <f>BD20*BQ$4/12</f>
        <v>0</v>
      </c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>
        <f>BQ20*CD$4/12</f>
        <v>0</v>
      </c>
      <c r="CE20" s="10"/>
      <c r="CF20" s="10"/>
      <c r="CG20" s="10"/>
      <c r="CH20" s="8"/>
      <c r="CI20" s="11"/>
      <c r="CJ20" s="11"/>
      <c r="CK20" s="11"/>
      <c r="CL20" s="11"/>
      <c r="CM20" s="11"/>
      <c r="CN20" s="11"/>
      <c r="CO20" s="7"/>
    </row>
    <row r="21" spans="1:93">
      <c r="C21" s="8" t="s">
        <v>27</v>
      </c>
      <c r="D21" s="8"/>
      <c r="E21" s="12">
        <f>SUM(E7:E20)</f>
        <v>0</v>
      </c>
      <c r="F21" s="12">
        <f t="shared" ref="F21:BQ21" si="25">SUM(F7:F20)</f>
        <v>0</v>
      </c>
      <c r="G21" s="12">
        <f t="shared" si="25"/>
        <v>0</v>
      </c>
      <c r="H21" s="12">
        <f t="shared" si="25"/>
        <v>0</v>
      </c>
      <c r="I21" s="12">
        <f t="shared" si="25"/>
        <v>0</v>
      </c>
      <c r="J21" s="12">
        <f t="shared" si="25"/>
        <v>0</v>
      </c>
      <c r="K21" s="12">
        <f t="shared" si="25"/>
        <v>0</v>
      </c>
      <c r="L21" s="12">
        <f t="shared" si="25"/>
        <v>0</v>
      </c>
      <c r="M21" s="12">
        <f t="shared" si="25"/>
        <v>0</v>
      </c>
      <c r="N21" s="12">
        <f t="shared" si="25"/>
        <v>0</v>
      </c>
      <c r="O21" s="12">
        <f t="shared" si="25"/>
        <v>0</v>
      </c>
      <c r="P21" s="12">
        <f t="shared" si="25"/>
        <v>0</v>
      </c>
      <c r="Q21" s="12">
        <f t="shared" si="25"/>
        <v>0</v>
      </c>
      <c r="R21" s="12">
        <f t="shared" si="25"/>
        <v>0</v>
      </c>
      <c r="S21" s="12">
        <f t="shared" si="25"/>
        <v>0</v>
      </c>
      <c r="T21" s="12">
        <f t="shared" si="25"/>
        <v>0</v>
      </c>
      <c r="U21" s="12">
        <f t="shared" si="25"/>
        <v>0</v>
      </c>
      <c r="V21" s="12">
        <f t="shared" si="25"/>
        <v>0</v>
      </c>
      <c r="W21" s="12">
        <f t="shared" si="25"/>
        <v>0</v>
      </c>
      <c r="X21" s="12">
        <f t="shared" si="25"/>
        <v>0</v>
      </c>
      <c r="Y21" s="12">
        <f t="shared" si="25"/>
        <v>0</v>
      </c>
      <c r="Z21" s="12">
        <f t="shared" si="25"/>
        <v>0</v>
      </c>
      <c r="AA21" s="12">
        <f t="shared" si="25"/>
        <v>0</v>
      </c>
      <c r="AB21" s="12">
        <f t="shared" si="25"/>
        <v>0</v>
      </c>
      <c r="AC21" s="12">
        <f t="shared" si="25"/>
        <v>0</v>
      </c>
      <c r="AD21" s="12">
        <f t="shared" si="25"/>
        <v>0</v>
      </c>
      <c r="AE21" s="12">
        <f t="shared" si="25"/>
        <v>0</v>
      </c>
      <c r="AF21" s="12">
        <f t="shared" si="25"/>
        <v>0</v>
      </c>
      <c r="AG21" s="12">
        <f t="shared" si="25"/>
        <v>0</v>
      </c>
      <c r="AH21" s="12">
        <f t="shared" si="25"/>
        <v>0</v>
      </c>
      <c r="AI21" s="12">
        <f t="shared" si="25"/>
        <v>0</v>
      </c>
      <c r="AJ21" s="12">
        <f t="shared" si="25"/>
        <v>0</v>
      </c>
      <c r="AK21" s="12">
        <f t="shared" si="25"/>
        <v>0</v>
      </c>
      <c r="AL21" s="12">
        <f t="shared" si="25"/>
        <v>0</v>
      </c>
      <c r="AM21" s="12">
        <f t="shared" si="25"/>
        <v>0</v>
      </c>
      <c r="AN21" s="12">
        <f t="shared" si="25"/>
        <v>0</v>
      </c>
      <c r="AO21" s="12">
        <f t="shared" si="25"/>
        <v>0</v>
      </c>
      <c r="AP21" s="12">
        <f t="shared" si="25"/>
        <v>0</v>
      </c>
      <c r="AQ21" s="12">
        <f t="shared" si="25"/>
        <v>0</v>
      </c>
      <c r="AR21" s="12">
        <f t="shared" si="25"/>
        <v>0</v>
      </c>
      <c r="AS21" s="12">
        <f t="shared" si="25"/>
        <v>0</v>
      </c>
      <c r="AT21" s="12">
        <f t="shared" si="25"/>
        <v>0</v>
      </c>
      <c r="AU21" s="12">
        <f t="shared" si="25"/>
        <v>0</v>
      </c>
      <c r="AV21" s="12">
        <f t="shared" si="25"/>
        <v>0</v>
      </c>
      <c r="AW21" s="12">
        <f t="shared" si="25"/>
        <v>0</v>
      </c>
      <c r="AX21" s="12">
        <f t="shared" si="25"/>
        <v>0</v>
      </c>
      <c r="AY21" s="12">
        <f t="shared" si="25"/>
        <v>0</v>
      </c>
      <c r="AZ21" s="12">
        <f t="shared" si="25"/>
        <v>0</v>
      </c>
      <c r="BA21" s="12">
        <f t="shared" si="25"/>
        <v>0</v>
      </c>
      <c r="BB21" s="12">
        <f t="shared" si="25"/>
        <v>0</v>
      </c>
      <c r="BC21" s="12">
        <f t="shared" si="25"/>
        <v>0</v>
      </c>
      <c r="BD21" s="12">
        <f t="shared" si="25"/>
        <v>0</v>
      </c>
      <c r="BE21" s="12">
        <f t="shared" si="25"/>
        <v>0</v>
      </c>
      <c r="BF21" s="12">
        <f t="shared" si="25"/>
        <v>0</v>
      </c>
      <c r="BG21" s="12">
        <f t="shared" si="25"/>
        <v>0</v>
      </c>
      <c r="BH21" s="12">
        <f t="shared" si="25"/>
        <v>0</v>
      </c>
      <c r="BI21" s="12">
        <f t="shared" si="25"/>
        <v>0</v>
      </c>
      <c r="BJ21" s="12">
        <f t="shared" si="25"/>
        <v>0</v>
      </c>
      <c r="BK21" s="12">
        <f t="shared" si="25"/>
        <v>0</v>
      </c>
      <c r="BL21" s="12">
        <f t="shared" si="25"/>
        <v>0</v>
      </c>
      <c r="BM21" s="12">
        <f t="shared" si="25"/>
        <v>0</v>
      </c>
      <c r="BN21" s="12">
        <f t="shared" si="25"/>
        <v>0</v>
      </c>
      <c r="BO21" s="12">
        <f t="shared" si="25"/>
        <v>0</v>
      </c>
      <c r="BP21" s="12">
        <f t="shared" si="25"/>
        <v>0</v>
      </c>
      <c r="BQ21" s="12">
        <f t="shared" si="25"/>
        <v>0</v>
      </c>
      <c r="BR21" s="12">
        <f t="shared" ref="BR21:CE21" si="26">SUM(BR7:BR20)</f>
        <v>0</v>
      </c>
      <c r="BS21" s="12">
        <f t="shared" si="26"/>
        <v>0</v>
      </c>
      <c r="BT21" s="12">
        <f t="shared" si="26"/>
        <v>0</v>
      </c>
      <c r="BU21" s="12">
        <f t="shared" si="26"/>
        <v>0</v>
      </c>
      <c r="BV21" s="12">
        <f t="shared" si="26"/>
        <v>0</v>
      </c>
      <c r="BW21" s="12">
        <f t="shared" si="26"/>
        <v>0</v>
      </c>
      <c r="BX21" s="12">
        <f t="shared" si="26"/>
        <v>0</v>
      </c>
      <c r="BY21" s="12">
        <f t="shared" si="26"/>
        <v>0</v>
      </c>
      <c r="BZ21" s="12">
        <f t="shared" si="26"/>
        <v>0</v>
      </c>
      <c r="CA21" s="12">
        <f t="shared" si="26"/>
        <v>0</v>
      </c>
      <c r="CB21" s="12">
        <f t="shared" si="26"/>
        <v>0</v>
      </c>
      <c r="CC21" s="12">
        <f t="shared" si="26"/>
        <v>0</v>
      </c>
      <c r="CD21" s="12">
        <f t="shared" si="26"/>
        <v>0</v>
      </c>
      <c r="CE21" s="12">
        <f t="shared" si="26"/>
        <v>0</v>
      </c>
      <c r="CF21" s="12">
        <f>SUM(CF7:CF20)</f>
        <v>0</v>
      </c>
      <c r="CG21" s="13"/>
      <c r="CH21" s="8"/>
      <c r="CI21" s="7"/>
      <c r="CJ21" s="7"/>
      <c r="CK21" s="7"/>
      <c r="CL21" s="7"/>
      <c r="CM21" s="7"/>
      <c r="CN21" s="7"/>
      <c r="CO21" s="7"/>
    </row>
    <row r="22" spans="1:93"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8"/>
      <c r="CI22" s="7"/>
      <c r="CJ22" s="7"/>
      <c r="CK22" s="7"/>
      <c r="CL22" s="7"/>
      <c r="CM22" s="7"/>
      <c r="CN22" s="7"/>
      <c r="CO22" s="7"/>
    </row>
    <row r="23" spans="1:93">
      <c r="C23" s="128" t="s">
        <v>36</v>
      </c>
      <c r="D23" s="12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8"/>
      <c r="CI23" s="7"/>
      <c r="CJ23" s="7"/>
      <c r="CK23" s="7"/>
      <c r="CL23" s="7"/>
      <c r="CM23" s="7"/>
      <c r="CN23" s="7"/>
      <c r="CO23" s="7"/>
    </row>
    <row r="24" spans="1:93">
      <c r="C24" s="8" t="str">
        <f t="shared" ref="C24:D33" si="27">C9</f>
        <v>Account Manager</v>
      </c>
      <c r="D24" s="8" t="str">
        <f t="shared" si="27"/>
        <v>B5 (min 8 yrs)</v>
      </c>
      <c r="E24" s="124"/>
      <c r="F24" s="124">
        <f t="shared" ref="F24:P35" si="28">E24</f>
        <v>0</v>
      </c>
      <c r="G24" s="124">
        <f t="shared" si="28"/>
        <v>0</v>
      </c>
      <c r="H24" s="124">
        <f t="shared" si="28"/>
        <v>0</v>
      </c>
      <c r="I24" s="124">
        <f t="shared" si="28"/>
        <v>0</v>
      </c>
      <c r="J24" s="124">
        <f t="shared" si="28"/>
        <v>0</v>
      </c>
      <c r="K24" s="124">
        <f t="shared" si="28"/>
        <v>0</v>
      </c>
      <c r="L24" s="124">
        <f t="shared" si="28"/>
        <v>0</v>
      </c>
      <c r="M24" s="124">
        <f t="shared" si="28"/>
        <v>0</v>
      </c>
      <c r="N24" s="124">
        <f t="shared" si="28"/>
        <v>0</v>
      </c>
      <c r="O24" s="124">
        <f t="shared" si="28"/>
        <v>0</v>
      </c>
      <c r="P24" s="124">
        <f t="shared" si="28"/>
        <v>0</v>
      </c>
      <c r="Q24" s="124"/>
      <c r="R24" s="124">
        <f t="shared" ref="R24:R33" si="29">P24</f>
        <v>0</v>
      </c>
      <c r="S24" s="124">
        <f t="shared" ref="S24:AC35" si="30">R24</f>
        <v>0</v>
      </c>
      <c r="T24" s="124">
        <f t="shared" si="30"/>
        <v>0</v>
      </c>
      <c r="U24" s="124">
        <f t="shared" si="30"/>
        <v>0</v>
      </c>
      <c r="V24" s="124">
        <f t="shared" si="30"/>
        <v>0</v>
      </c>
      <c r="W24" s="124">
        <f t="shared" si="30"/>
        <v>0</v>
      </c>
      <c r="X24" s="124">
        <f t="shared" si="30"/>
        <v>0</v>
      </c>
      <c r="Y24" s="124">
        <f t="shared" si="30"/>
        <v>0</v>
      </c>
      <c r="Z24" s="124">
        <f t="shared" si="30"/>
        <v>0</v>
      </c>
      <c r="AA24" s="124">
        <f t="shared" si="30"/>
        <v>0</v>
      </c>
      <c r="AB24" s="124">
        <f t="shared" si="30"/>
        <v>0</v>
      </c>
      <c r="AC24" s="124">
        <f t="shared" si="30"/>
        <v>0</v>
      </c>
      <c r="AD24" s="124"/>
      <c r="AE24" s="124">
        <f t="shared" ref="AE24:AE33" si="31">AC24</f>
        <v>0</v>
      </c>
      <c r="AF24" s="124">
        <f t="shared" ref="AF24:AP34" si="32">AE24</f>
        <v>0</v>
      </c>
      <c r="AG24" s="124">
        <f t="shared" si="32"/>
        <v>0</v>
      </c>
      <c r="AH24" s="124">
        <f t="shared" si="32"/>
        <v>0</v>
      </c>
      <c r="AI24" s="124">
        <f t="shared" si="32"/>
        <v>0</v>
      </c>
      <c r="AJ24" s="124">
        <f t="shared" si="32"/>
        <v>0</v>
      </c>
      <c r="AK24" s="124">
        <f t="shared" si="32"/>
        <v>0</v>
      </c>
      <c r="AL24" s="124">
        <f t="shared" si="32"/>
        <v>0</v>
      </c>
      <c r="AM24" s="124">
        <f t="shared" si="32"/>
        <v>0</v>
      </c>
      <c r="AN24" s="124">
        <f t="shared" si="32"/>
        <v>0</v>
      </c>
      <c r="AO24" s="124">
        <f t="shared" si="32"/>
        <v>0</v>
      </c>
      <c r="AP24" s="124">
        <f t="shared" si="32"/>
        <v>0</v>
      </c>
      <c r="AQ24" s="124"/>
      <c r="AR24" s="124">
        <f t="shared" ref="AR24:AR33" si="33">AP24</f>
        <v>0</v>
      </c>
      <c r="AS24" s="124">
        <f t="shared" ref="AS24:BC34" si="34">AR24</f>
        <v>0</v>
      </c>
      <c r="AT24" s="124">
        <f t="shared" si="34"/>
        <v>0</v>
      </c>
      <c r="AU24" s="124">
        <f t="shared" si="34"/>
        <v>0</v>
      </c>
      <c r="AV24" s="124">
        <f t="shared" si="34"/>
        <v>0</v>
      </c>
      <c r="AW24" s="124">
        <f t="shared" si="34"/>
        <v>0</v>
      </c>
      <c r="AX24" s="124">
        <f t="shared" si="34"/>
        <v>0</v>
      </c>
      <c r="AY24" s="124">
        <f t="shared" si="34"/>
        <v>0</v>
      </c>
      <c r="AZ24" s="124">
        <f t="shared" si="34"/>
        <v>0</v>
      </c>
      <c r="BA24" s="124">
        <f t="shared" si="34"/>
        <v>0</v>
      </c>
      <c r="BB24" s="124">
        <f t="shared" si="34"/>
        <v>0</v>
      </c>
      <c r="BC24" s="124">
        <f t="shared" si="34"/>
        <v>0</v>
      </c>
      <c r="BD24" s="124"/>
      <c r="BE24" s="124">
        <f t="shared" ref="BE24:BE33" si="35">BC24</f>
        <v>0</v>
      </c>
      <c r="BF24" s="124">
        <f t="shared" ref="BF24:BP34" si="36">BE24</f>
        <v>0</v>
      </c>
      <c r="BG24" s="124">
        <f t="shared" si="36"/>
        <v>0</v>
      </c>
      <c r="BH24" s="124">
        <f t="shared" si="36"/>
        <v>0</v>
      </c>
      <c r="BI24" s="124">
        <f t="shared" si="36"/>
        <v>0</v>
      </c>
      <c r="BJ24" s="124">
        <f t="shared" si="36"/>
        <v>0</v>
      </c>
      <c r="BK24" s="124">
        <f t="shared" si="36"/>
        <v>0</v>
      </c>
      <c r="BL24" s="124">
        <f t="shared" si="36"/>
        <v>0</v>
      </c>
      <c r="BM24" s="124">
        <f t="shared" si="36"/>
        <v>0</v>
      </c>
      <c r="BN24" s="124">
        <f t="shared" si="36"/>
        <v>0</v>
      </c>
      <c r="BO24" s="124">
        <f t="shared" si="36"/>
        <v>0</v>
      </c>
      <c r="BP24" s="124">
        <f t="shared" si="36"/>
        <v>0</v>
      </c>
      <c r="BQ24" s="124"/>
      <c r="BR24" s="124">
        <f t="shared" ref="BR24:BR33" si="37">BP24</f>
        <v>0</v>
      </c>
      <c r="BS24" s="124">
        <f t="shared" ref="BS24:CC34" si="38">BR24</f>
        <v>0</v>
      </c>
      <c r="BT24" s="124">
        <f t="shared" si="38"/>
        <v>0</v>
      </c>
      <c r="BU24" s="124">
        <f t="shared" si="38"/>
        <v>0</v>
      </c>
      <c r="BV24" s="124">
        <f t="shared" si="38"/>
        <v>0</v>
      </c>
      <c r="BW24" s="124">
        <f t="shared" si="38"/>
        <v>0</v>
      </c>
      <c r="BX24" s="124">
        <f t="shared" si="38"/>
        <v>0</v>
      </c>
      <c r="BY24" s="124">
        <f t="shared" si="38"/>
        <v>0</v>
      </c>
      <c r="BZ24" s="124">
        <f t="shared" si="38"/>
        <v>0</v>
      </c>
      <c r="CA24" s="124">
        <f t="shared" si="38"/>
        <v>0</v>
      </c>
      <c r="CB24" s="124">
        <f t="shared" si="38"/>
        <v>0</v>
      </c>
      <c r="CC24" s="124">
        <f t="shared" si="38"/>
        <v>0</v>
      </c>
      <c r="CD24" s="125"/>
      <c r="CE24" s="9">
        <f t="shared" ref="CE24:CE34" si="39">SUM(E24:P24)+SUM(R24:AC24)+SUM(AE24:AP24)+SUM(AR24:BC24)+SUM(BE24:BP24)+SUM(BR24:CC24)</f>
        <v>0</v>
      </c>
      <c r="CF24" s="126"/>
      <c r="CG24" s="9"/>
      <c r="CH24" s="8"/>
      <c r="CI24" s="7"/>
      <c r="CJ24" s="7"/>
      <c r="CK24" s="7"/>
      <c r="CL24" s="7"/>
      <c r="CM24" s="7"/>
      <c r="CN24" s="7"/>
      <c r="CO24" s="7"/>
    </row>
    <row r="25" spans="1:93">
      <c r="C25" s="8" t="str">
        <f t="shared" si="27"/>
        <v>Sr Project Manager</v>
      </c>
      <c r="D25" s="8" t="str">
        <f t="shared" si="27"/>
        <v>B4 PM3 (12 to 15 yrs)</v>
      </c>
      <c r="E25" s="124"/>
      <c r="F25" s="124">
        <f t="shared" si="28"/>
        <v>0</v>
      </c>
      <c r="G25" s="124">
        <f t="shared" si="28"/>
        <v>0</v>
      </c>
      <c r="H25" s="124">
        <f t="shared" si="28"/>
        <v>0</v>
      </c>
      <c r="I25" s="124">
        <f t="shared" si="28"/>
        <v>0</v>
      </c>
      <c r="J25" s="124">
        <f t="shared" si="28"/>
        <v>0</v>
      </c>
      <c r="K25" s="124">
        <f t="shared" si="28"/>
        <v>0</v>
      </c>
      <c r="L25" s="124">
        <f t="shared" si="28"/>
        <v>0</v>
      </c>
      <c r="M25" s="124">
        <f t="shared" si="28"/>
        <v>0</v>
      </c>
      <c r="N25" s="124">
        <f t="shared" si="28"/>
        <v>0</v>
      </c>
      <c r="O25" s="124">
        <f t="shared" si="28"/>
        <v>0</v>
      </c>
      <c r="P25" s="124">
        <f t="shared" si="28"/>
        <v>0</v>
      </c>
      <c r="Q25" s="124"/>
      <c r="R25" s="124">
        <f t="shared" si="29"/>
        <v>0</v>
      </c>
      <c r="S25" s="124">
        <f t="shared" si="30"/>
        <v>0</v>
      </c>
      <c r="T25" s="124">
        <f t="shared" si="30"/>
        <v>0</v>
      </c>
      <c r="U25" s="124">
        <f t="shared" si="30"/>
        <v>0</v>
      </c>
      <c r="V25" s="124">
        <f t="shared" si="30"/>
        <v>0</v>
      </c>
      <c r="W25" s="124">
        <f t="shared" si="30"/>
        <v>0</v>
      </c>
      <c r="X25" s="124">
        <f t="shared" si="30"/>
        <v>0</v>
      </c>
      <c r="Y25" s="124">
        <f t="shared" si="30"/>
        <v>0</v>
      </c>
      <c r="Z25" s="124">
        <f t="shared" si="30"/>
        <v>0</v>
      </c>
      <c r="AA25" s="124">
        <f t="shared" si="30"/>
        <v>0</v>
      </c>
      <c r="AB25" s="124">
        <f t="shared" si="30"/>
        <v>0</v>
      </c>
      <c r="AC25" s="124">
        <f t="shared" si="30"/>
        <v>0</v>
      </c>
      <c r="AD25" s="124"/>
      <c r="AE25" s="124">
        <f t="shared" si="31"/>
        <v>0</v>
      </c>
      <c r="AF25" s="124">
        <f t="shared" si="32"/>
        <v>0</v>
      </c>
      <c r="AG25" s="124">
        <f t="shared" si="32"/>
        <v>0</v>
      </c>
      <c r="AH25" s="124">
        <f t="shared" si="32"/>
        <v>0</v>
      </c>
      <c r="AI25" s="124">
        <f t="shared" si="32"/>
        <v>0</v>
      </c>
      <c r="AJ25" s="124">
        <f t="shared" si="32"/>
        <v>0</v>
      </c>
      <c r="AK25" s="124">
        <f t="shared" si="32"/>
        <v>0</v>
      </c>
      <c r="AL25" s="124">
        <f t="shared" si="32"/>
        <v>0</v>
      </c>
      <c r="AM25" s="124">
        <f t="shared" si="32"/>
        <v>0</v>
      </c>
      <c r="AN25" s="124">
        <f t="shared" si="32"/>
        <v>0</v>
      </c>
      <c r="AO25" s="124">
        <f t="shared" si="32"/>
        <v>0</v>
      </c>
      <c r="AP25" s="124">
        <f t="shared" si="32"/>
        <v>0</v>
      </c>
      <c r="AQ25" s="124"/>
      <c r="AR25" s="124">
        <f t="shared" si="33"/>
        <v>0</v>
      </c>
      <c r="AS25" s="124">
        <f t="shared" si="34"/>
        <v>0</v>
      </c>
      <c r="AT25" s="124">
        <f t="shared" si="34"/>
        <v>0</v>
      </c>
      <c r="AU25" s="124">
        <f t="shared" si="34"/>
        <v>0</v>
      </c>
      <c r="AV25" s="124">
        <f t="shared" si="34"/>
        <v>0</v>
      </c>
      <c r="AW25" s="124">
        <f t="shared" si="34"/>
        <v>0</v>
      </c>
      <c r="AX25" s="124">
        <f t="shared" si="34"/>
        <v>0</v>
      </c>
      <c r="AY25" s="124">
        <f t="shared" si="34"/>
        <v>0</v>
      </c>
      <c r="AZ25" s="124">
        <f t="shared" si="34"/>
        <v>0</v>
      </c>
      <c r="BA25" s="124">
        <f t="shared" si="34"/>
        <v>0</v>
      </c>
      <c r="BB25" s="124">
        <f t="shared" si="34"/>
        <v>0</v>
      </c>
      <c r="BC25" s="124">
        <f t="shared" si="34"/>
        <v>0</v>
      </c>
      <c r="BD25" s="124"/>
      <c r="BE25" s="124">
        <f t="shared" si="35"/>
        <v>0</v>
      </c>
      <c r="BF25" s="124">
        <f t="shared" si="36"/>
        <v>0</v>
      </c>
      <c r="BG25" s="124">
        <f t="shared" si="36"/>
        <v>0</v>
      </c>
      <c r="BH25" s="124">
        <f t="shared" si="36"/>
        <v>0</v>
      </c>
      <c r="BI25" s="124">
        <f t="shared" si="36"/>
        <v>0</v>
      </c>
      <c r="BJ25" s="124">
        <f t="shared" si="36"/>
        <v>0</v>
      </c>
      <c r="BK25" s="124">
        <f t="shared" si="36"/>
        <v>0</v>
      </c>
      <c r="BL25" s="124">
        <f t="shared" si="36"/>
        <v>0</v>
      </c>
      <c r="BM25" s="124">
        <f t="shared" si="36"/>
        <v>0</v>
      </c>
      <c r="BN25" s="124">
        <f t="shared" si="36"/>
        <v>0</v>
      </c>
      <c r="BO25" s="124">
        <f t="shared" si="36"/>
        <v>0</v>
      </c>
      <c r="BP25" s="124">
        <f t="shared" si="36"/>
        <v>0</v>
      </c>
      <c r="BQ25" s="124"/>
      <c r="BR25" s="124">
        <f t="shared" si="37"/>
        <v>0</v>
      </c>
      <c r="BS25" s="124">
        <f t="shared" si="38"/>
        <v>0</v>
      </c>
      <c r="BT25" s="124">
        <f t="shared" si="38"/>
        <v>0</v>
      </c>
      <c r="BU25" s="124">
        <f t="shared" si="38"/>
        <v>0</v>
      </c>
      <c r="BV25" s="124">
        <f t="shared" si="38"/>
        <v>0</v>
      </c>
      <c r="BW25" s="124">
        <f t="shared" si="38"/>
        <v>0</v>
      </c>
      <c r="BX25" s="124">
        <f t="shared" si="38"/>
        <v>0</v>
      </c>
      <c r="BY25" s="124">
        <f t="shared" si="38"/>
        <v>0</v>
      </c>
      <c r="BZ25" s="124">
        <f t="shared" si="38"/>
        <v>0</v>
      </c>
      <c r="CA25" s="124">
        <f t="shared" si="38"/>
        <v>0</v>
      </c>
      <c r="CB25" s="124">
        <f t="shared" si="38"/>
        <v>0</v>
      </c>
      <c r="CC25" s="124">
        <f t="shared" si="38"/>
        <v>0</v>
      </c>
      <c r="CD25" s="125"/>
      <c r="CE25" s="9">
        <f t="shared" si="39"/>
        <v>0</v>
      </c>
      <c r="CF25" s="126"/>
      <c r="CG25" s="9"/>
      <c r="CH25" s="8"/>
      <c r="CI25" s="7"/>
      <c r="CJ25" s="7"/>
      <c r="CK25" s="7"/>
      <c r="CL25" s="7"/>
      <c r="CM25" s="7"/>
      <c r="CN25" s="7"/>
      <c r="CO25" s="7"/>
    </row>
    <row r="26" spans="1:93">
      <c r="A26" s="1">
        <v>2</v>
      </c>
      <c r="B26" s="1">
        <v>1</v>
      </c>
      <c r="C26" s="8" t="str">
        <f t="shared" si="27"/>
        <v>Project Manager</v>
      </c>
      <c r="D26" s="8" t="str">
        <f t="shared" si="27"/>
        <v>B4 PM2 (10 to 14 yrs)</v>
      </c>
      <c r="E26" s="124"/>
      <c r="F26" s="124">
        <f t="shared" si="28"/>
        <v>0</v>
      </c>
      <c r="G26" s="124">
        <f t="shared" si="28"/>
        <v>0</v>
      </c>
      <c r="H26" s="124">
        <f t="shared" si="28"/>
        <v>0</v>
      </c>
      <c r="I26" s="124">
        <f t="shared" si="28"/>
        <v>0</v>
      </c>
      <c r="J26" s="124">
        <f t="shared" si="28"/>
        <v>0</v>
      </c>
      <c r="K26" s="124">
        <f t="shared" si="28"/>
        <v>0</v>
      </c>
      <c r="L26" s="124">
        <f t="shared" si="28"/>
        <v>0</v>
      </c>
      <c r="M26" s="124">
        <f t="shared" si="28"/>
        <v>0</v>
      </c>
      <c r="N26" s="124">
        <f t="shared" si="28"/>
        <v>0</v>
      </c>
      <c r="O26" s="124">
        <f t="shared" si="28"/>
        <v>0</v>
      </c>
      <c r="P26" s="124">
        <f t="shared" si="28"/>
        <v>0</v>
      </c>
      <c r="Q26" s="124"/>
      <c r="R26" s="124">
        <f t="shared" si="29"/>
        <v>0</v>
      </c>
      <c r="S26" s="124">
        <f t="shared" si="30"/>
        <v>0</v>
      </c>
      <c r="T26" s="124">
        <f t="shared" si="30"/>
        <v>0</v>
      </c>
      <c r="U26" s="124">
        <f t="shared" si="30"/>
        <v>0</v>
      </c>
      <c r="V26" s="124">
        <f t="shared" si="30"/>
        <v>0</v>
      </c>
      <c r="W26" s="124">
        <f t="shared" si="30"/>
        <v>0</v>
      </c>
      <c r="X26" s="124">
        <f t="shared" si="30"/>
        <v>0</v>
      </c>
      <c r="Y26" s="124">
        <f t="shared" si="30"/>
        <v>0</v>
      </c>
      <c r="Z26" s="124">
        <f t="shared" si="30"/>
        <v>0</v>
      </c>
      <c r="AA26" s="124">
        <f t="shared" si="30"/>
        <v>0</v>
      </c>
      <c r="AB26" s="124">
        <f t="shared" si="30"/>
        <v>0</v>
      </c>
      <c r="AC26" s="124">
        <f t="shared" si="30"/>
        <v>0</v>
      </c>
      <c r="AD26" s="124"/>
      <c r="AE26" s="124">
        <f t="shared" si="31"/>
        <v>0</v>
      </c>
      <c r="AF26" s="124">
        <f t="shared" si="32"/>
        <v>0</v>
      </c>
      <c r="AG26" s="124">
        <f t="shared" si="32"/>
        <v>0</v>
      </c>
      <c r="AH26" s="124">
        <f t="shared" si="32"/>
        <v>0</v>
      </c>
      <c r="AI26" s="124">
        <f t="shared" si="32"/>
        <v>0</v>
      </c>
      <c r="AJ26" s="124">
        <f t="shared" si="32"/>
        <v>0</v>
      </c>
      <c r="AK26" s="124">
        <f t="shared" si="32"/>
        <v>0</v>
      </c>
      <c r="AL26" s="124">
        <f t="shared" si="32"/>
        <v>0</v>
      </c>
      <c r="AM26" s="124">
        <f t="shared" si="32"/>
        <v>0</v>
      </c>
      <c r="AN26" s="124">
        <f t="shared" si="32"/>
        <v>0</v>
      </c>
      <c r="AO26" s="124">
        <f t="shared" si="32"/>
        <v>0</v>
      </c>
      <c r="AP26" s="124">
        <f t="shared" si="32"/>
        <v>0</v>
      </c>
      <c r="AQ26" s="124"/>
      <c r="AR26" s="124">
        <f t="shared" si="33"/>
        <v>0</v>
      </c>
      <c r="AS26" s="124">
        <f t="shared" si="34"/>
        <v>0</v>
      </c>
      <c r="AT26" s="124">
        <f t="shared" si="34"/>
        <v>0</v>
      </c>
      <c r="AU26" s="124">
        <f t="shared" si="34"/>
        <v>0</v>
      </c>
      <c r="AV26" s="124">
        <f t="shared" si="34"/>
        <v>0</v>
      </c>
      <c r="AW26" s="124">
        <f t="shared" si="34"/>
        <v>0</v>
      </c>
      <c r="AX26" s="124">
        <f t="shared" si="34"/>
        <v>0</v>
      </c>
      <c r="AY26" s="124">
        <f t="shared" si="34"/>
        <v>0</v>
      </c>
      <c r="AZ26" s="124">
        <f t="shared" si="34"/>
        <v>0</v>
      </c>
      <c r="BA26" s="124">
        <f t="shared" si="34"/>
        <v>0</v>
      </c>
      <c r="BB26" s="124">
        <f t="shared" si="34"/>
        <v>0</v>
      </c>
      <c r="BC26" s="124">
        <f t="shared" si="34"/>
        <v>0</v>
      </c>
      <c r="BD26" s="124"/>
      <c r="BE26" s="124">
        <f t="shared" si="35"/>
        <v>0</v>
      </c>
      <c r="BF26" s="124">
        <f t="shared" si="36"/>
        <v>0</v>
      </c>
      <c r="BG26" s="124">
        <f t="shared" si="36"/>
        <v>0</v>
      </c>
      <c r="BH26" s="124">
        <f t="shared" si="36"/>
        <v>0</v>
      </c>
      <c r="BI26" s="124">
        <f t="shared" si="36"/>
        <v>0</v>
      </c>
      <c r="BJ26" s="124">
        <f t="shared" si="36"/>
        <v>0</v>
      </c>
      <c r="BK26" s="124">
        <f t="shared" si="36"/>
        <v>0</v>
      </c>
      <c r="BL26" s="124">
        <f t="shared" si="36"/>
        <v>0</v>
      </c>
      <c r="BM26" s="124">
        <f t="shared" si="36"/>
        <v>0</v>
      </c>
      <c r="BN26" s="124">
        <f t="shared" si="36"/>
        <v>0</v>
      </c>
      <c r="BO26" s="124">
        <f t="shared" si="36"/>
        <v>0</v>
      </c>
      <c r="BP26" s="124">
        <f t="shared" si="36"/>
        <v>0</v>
      </c>
      <c r="BQ26" s="124"/>
      <c r="BR26" s="124">
        <f t="shared" si="37"/>
        <v>0</v>
      </c>
      <c r="BS26" s="124">
        <f t="shared" si="38"/>
        <v>0</v>
      </c>
      <c r="BT26" s="124">
        <f t="shared" si="38"/>
        <v>0</v>
      </c>
      <c r="BU26" s="124">
        <f t="shared" si="38"/>
        <v>0</v>
      </c>
      <c r="BV26" s="124">
        <f t="shared" si="38"/>
        <v>0</v>
      </c>
      <c r="BW26" s="124">
        <f t="shared" si="38"/>
        <v>0</v>
      </c>
      <c r="BX26" s="124">
        <f t="shared" si="38"/>
        <v>0</v>
      </c>
      <c r="BY26" s="124">
        <f t="shared" si="38"/>
        <v>0</v>
      </c>
      <c r="BZ26" s="124">
        <f t="shared" si="38"/>
        <v>0</v>
      </c>
      <c r="CA26" s="124">
        <f t="shared" si="38"/>
        <v>0</v>
      </c>
      <c r="CB26" s="124">
        <f t="shared" si="38"/>
        <v>0</v>
      </c>
      <c r="CC26" s="124">
        <f t="shared" si="38"/>
        <v>0</v>
      </c>
      <c r="CD26" s="125"/>
      <c r="CE26" s="9">
        <f t="shared" si="39"/>
        <v>0</v>
      </c>
      <c r="CF26" s="126"/>
      <c r="CG26" s="9"/>
      <c r="CH26" s="8"/>
      <c r="CI26" s="7"/>
      <c r="CJ26" s="7"/>
      <c r="CK26" s="7"/>
      <c r="CL26" s="7"/>
      <c r="CM26" s="7"/>
      <c r="CN26" s="7"/>
      <c r="CO26" s="7"/>
    </row>
    <row r="27" spans="1:93">
      <c r="A27" s="1">
        <v>2</v>
      </c>
      <c r="B27" s="1">
        <v>2</v>
      </c>
      <c r="C27" s="8" t="str">
        <f t="shared" si="27"/>
        <v>Jr Project Manager</v>
      </c>
      <c r="D27" s="8" t="str">
        <f t="shared" si="27"/>
        <v>B4 PM1 (9 to 12 yrs)</v>
      </c>
      <c r="E27" s="124"/>
      <c r="F27" s="124">
        <f t="shared" si="28"/>
        <v>0</v>
      </c>
      <c r="G27" s="124">
        <f t="shared" si="28"/>
        <v>0</v>
      </c>
      <c r="H27" s="124">
        <f t="shared" si="28"/>
        <v>0</v>
      </c>
      <c r="I27" s="124">
        <f t="shared" si="28"/>
        <v>0</v>
      </c>
      <c r="J27" s="124">
        <f t="shared" si="28"/>
        <v>0</v>
      </c>
      <c r="K27" s="124">
        <f t="shared" si="28"/>
        <v>0</v>
      </c>
      <c r="L27" s="124">
        <f t="shared" si="28"/>
        <v>0</v>
      </c>
      <c r="M27" s="124">
        <f t="shared" si="28"/>
        <v>0</v>
      </c>
      <c r="N27" s="124">
        <f t="shared" si="28"/>
        <v>0</v>
      </c>
      <c r="O27" s="124">
        <f t="shared" si="28"/>
        <v>0</v>
      </c>
      <c r="P27" s="124">
        <f t="shared" si="28"/>
        <v>0</v>
      </c>
      <c r="Q27" s="124"/>
      <c r="R27" s="124">
        <f t="shared" si="29"/>
        <v>0</v>
      </c>
      <c r="S27" s="124">
        <f t="shared" si="30"/>
        <v>0</v>
      </c>
      <c r="T27" s="124">
        <f t="shared" si="30"/>
        <v>0</v>
      </c>
      <c r="U27" s="124">
        <f t="shared" si="30"/>
        <v>0</v>
      </c>
      <c r="V27" s="124">
        <f t="shared" si="30"/>
        <v>0</v>
      </c>
      <c r="W27" s="124">
        <f t="shared" si="30"/>
        <v>0</v>
      </c>
      <c r="X27" s="124">
        <f t="shared" si="30"/>
        <v>0</v>
      </c>
      <c r="Y27" s="124">
        <f t="shared" si="30"/>
        <v>0</v>
      </c>
      <c r="Z27" s="124">
        <f t="shared" si="30"/>
        <v>0</v>
      </c>
      <c r="AA27" s="124">
        <f t="shared" si="30"/>
        <v>0</v>
      </c>
      <c r="AB27" s="124">
        <f t="shared" si="30"/>
        <v>0</v>
      </c>
      <c r="AC27" s="124">
        <f t="shared" si="30"/>
        <v>0</v>
      </c>
      <c r="AD27" s="124"/>
      <c r="AE27" s="124">
        <f t="shared" si="31"/>
        <v>0</v>
      </c>
      <c r="AF27" s="124">
        <f t="shared" si="32"/>
        <v>0</v>
      </c>
      <c r="AG27" s="124">
        <f t="shared" si="32"/>
        <v>0</v>
      </c>
      <c r="AH27" s="124">
        <f t="shared" si="32"/>
        <v>0</v>
      </c>
      <c r="AI27" s="124">
        <f t="shared" si="32"/>
        <v>0</v>
      </c>
      <c r="AJ27" s="124">
        <f t="shared" si="32"/>
        <v>0</v>
      </c>
      <c r="AK27" s="124">
        <f t="shared" si="32"/>
        <v>0</v>
      </c>
      <c r="AL27" s="124">
        <f t="shared" si="32"/>
        <v>0</v>
      </c>
      <c r="AM27" s="124">
        <f t="shared" si="32"/>
        <v>0</v>
      </c>
      <c r="AN27" s="124">
        <f t="shared" si="32"/>
        <v>0</v>
      </c>
      <c r="AO27" s="124">
        <f t="shared" si="32"/>
        <v>0</v>
      </c>
      <c r="AP27" s="124">
        <f t="shared" si="32"/>
        <v>0</v>
      </c>
      <c r="AQ27" s="124"/>
      <c r="AR27" s="124">
        <f t="shared" si="33"/>
        <v>0</v>
      </c>
      <c r="AS27" s="124">
        <f t="shared" si="34"/>
        <v>0</v>
      </c>
      <c r="AT27" s="124">
        <f t="shared" si="34"/>
        <v>0</v>
      </c>
      <c r="AU27" s="124">
        <f t="shared" si="34"/>
        <v>0</v>
      </c>
      <c r="AV27" s="124">
        <f t="shared" si="34"/>
        <v>0</v>
      </c>
      <c r="AW27" s="124">
        <f t="shared" si="34"/>
        <v>0</v>
      </c>
      <c r="AX27" s="124">
        <f t="shared" si="34"/>
        <v>0</v>
      </c>
      <c r="AY27" s="124">
        <f t="shared" si="34"/>
        <v>0</v>
      </c>
      <c r="AZ27" s="124">
        <f t="shared" si="34"/>
        <v>0</v>
      </c>
      <c r="BA27" s="124">
        <f t="shared" si="34"/>
        <v>0</v>
      </c>
      <c r="BB27" s="124">
        <f t="shared" si="34"/>
        <v>0</v>
      </c>
      <c r="BC27" s="124">
        <f t="shared" si="34"/>
        <v>0</v>
      </c>
      <c r="BD27" s="124"/>
      <c r="BE27" s="124">
        <f t="shared" si="35"/>
        <v>0</v>
      </c>
      <c r="BF27" s="124">
        <f t="shared" si="36"/>
        <v>0</v>
      </c>
      <c r="BG27" s="124">
        <f t="shared" si="36"/>
        <v>0</v>
      </c>
      <c r="BH27" s="124">
        <f t="shared" si="36"/>
        <v>0</v>
      </c>
      <c r="BI27" s="124">
        <f t="shared" si="36"/>
        <v>0</v>
      </c>
      <c r="BJ27" s="124">
        <f t="shared" si="36"/>
        <v>0</v>
      </c>
      <c r="BK27" s="124">
        <f t="shared" si="36"/>
        <v>0</v>
      </c>
      <c r="BL27" s="124">
        <f t="shared" si="36"/>
        <v>0</v>
      </c>
      <c r="BM27" s="124">
        <f t="shared" si="36"/>
        <v>0</v>
      </c>
      <c r="BN27" s="124">
        <f t="shared" si="36"/>
        <v>0</v>
      </c>
      <c r="BO27" s="124">
        <f t="shared" si="36"/>
        <v>0</v>
      </c>
      <c r="BP27" s="124">
        <f t="shared" si="36"/>
        <v>0</v>
      </c>
      <c r="BQ27" s="124"/>
      <c r="BR27" s="124">
        <f t="shared" si="37"/>
        <v>0</v>
      </c>
      <c r="BS27" s="124">
        <f t="shared" si="38"/>
        <v>0</v>
      </c>
      <c r="BT27" s="124">
        <f t="shared" si="38"/>
        <v>0</v>
      </c>
      <c r="BU27" s="124">
        <f t="shared" si="38"/>
        <v>0</v>
      </c>
      <c r="BV27" s="124">
        <f t="shared" si="38"/>
        <v>0</v>
      </c>
      <c r="BW27" s="124">
        <f t="shared" si="38"/>
        <v>0</v>
      </c>
      <c r="BX27" s="124">
        <f t="shared" si="38"/>
        <v>0</v>
      </c>
      <c r="BY27" s="124">
        <f t="shared" si="38"/>
        <v>0</v>
      </c>
      <c r="BZ27" s="124">
        <f t="shared" si="38"/>
        <v>0</v>
      </c>
      <c r="CA27" s="124">
        <f t="shared" si="38"/>
        <v>0</v>
      </c>
      <c r="CB27" s="124">
        <f t="shared" si="38"/>
        <v>0</v>
      </c>
      <c r="CC27" s="124">
        <f t="shared" si="38"/>
        <v>0</v>
      </c>
      <c r="CD27" s="125"/>
      <c r="CE27" s="9">
        <f t="shared" si="39"/>
        <v>0</v>
      </c>
      <c r="CF27" s="126"/>
      <c r="CG27" s="9"/>
      <c r="CH27" s="8"/>
      <c r="CI27" s="7"/>
      <c r="CJ27" s="7"/>
      <c r="CK27" s="7"/>
      <c r="CL27" s="7"/>
      <c r="CM27" s="7"/>
      <c r="CN27" s="7"/>
      <c r="CO27" s="7"/>
    </row>
    <row r="28" spans="1:93">
      <c r="A28" s="1">
        <v>2</v>
      </c>
      <c r="B28" s="1">
        <v>3</v>
      </c>
      <c r="C28" s="8" t="str">
        <f t="shared" si="27"/>
        <v>Sr Project Leader</v>
      </c>
      <c r="D28" s="8" t="str">
        <f t="shared" si="27"/>
        <v>B3 PL3 (7 to 10 yrs)</v>
      </c>
      <c r="E28" s="124"/>
      <c r="F28" s="124">
        <f t="shared" si="28"/>
        <v>0</v>
      </c>
      <c r="G28" s="124">
        <f t="shared" si="28"/>
        <v>0</v>
      </c>
      <c r="H28" s="124">
        <f t="shared" si="28"/>
        <v>0</v>
      </c>
      <c r="I28" s="124">
        <f t="shared" si="28"/>
        <v>0</v>
      </c>
      <c r="J28" s="124">
        <f t="shared" si="28"/>
        <v>0</v>
      </c>
      <c r="K28" s="124">
        <f t="shared" si="28"/>
        <v>0</v>
      </c>
      <c r="L28" s="124">
        <f t="shared" si="28"/>
        <v>0</v>
      </c>
      <c r="M28" s="124">
        <f t="shared" si="28"/>
        <v>0</v>
      </c>
      <c r="N28" s="124">
        <f t="shared" si="28"/>
        <v>0</v>
      </c>
      <c r="O28" s="124">
        <f t="shared" si="28"/>
        <v>0</v>
      </c>
      <c r="P28" s="124">
        <f t="shared" si="28"/>
        <v>0</v>
      </c>
      <c r="Q28" s="124"/>
      <c r="R28" s="124">
        <f t="shared" si="29"/>
        <v>0</v>
      </c>
      <c r="S28" s="124">
        <f t="shared" si="30"/>
        <v>0</v>
      </c>
      <c r="T28" s="124">
        <f t="shared" si="30"/>
        <v>0</v>
      </c>
      <c r="U28" s="124">
        <f t="shared" si="30"/>
        <v>0</v>
      </c>
      <c r="V28" s="124">
        <f t="shared" si="30"/>
        <v>0</v>
      </c>
      <c r="W28" s="124">
        <f t="shared" si="30"/>
        <v>0</v>
      </c>
      <c r="X28" s="124">
        <f t="shared" si="30"/>
        <v>0</v>
      </c>
      <c r="Y28" s="124">
        <f t="shared" si="30"/>
        <v>0</v>
      </c>
      <c r="Z28" s="124">
        <f t="shared" si="30"/>
        <v>0</v>
      </c>
      <c r="AA28" s="124">
        <f t="shared" si="30"/>
        <v>0</v>
      </c>
      <c r="AB28" s="124">
        <f t="shared" si="30"/>
        <v>0</v>
      </c>
      <c r="AC28" s="124">
        <f t="shared" si="30"/>
        <v>0</v>
      </c>
      <c r="AD28" s="124"/>
      <c r="AE28" s="124">
        <f t="shared" si="31"/>
        <v>0</v>
      </c>
      <c r="AF28" s="124">
        <f t="shared" si="32"/>
        <v>0</v>
      </c>
      <c r="AG28" s="124">
        <f t="shared" si="32"/>
        <v>0</v>
      </c>
      <c r="AH28" s="124">
        <f t="shared" si="32"/>
        <v>0</v>
      </c>
      <c r="AI28" s="124">
        <f t="shared" si="32"/>
        <v>0</v>
      </c>
      <c r="AJ28" s="124">
        <f t="shared" si="32"/>
        <v>0</v>
      </c>
      <c r="AK28" s="124">
        <f t="shared" si="32"/>
        <v>0</v>
      </c>
      <c r="AL28" s="124">
        <f t="shared" si="32"/>
        <v>0</v>
      </c>
      <c r="AM28" s="124">
        <f t="shared" si="32"/>
        <v>0</v>
      </c>
      <c r="AN28" s="124">
        <f t="shared" si="32"/>
        <v>0</v>
      </c>
      <c r="AO28" s="124">
        <f t="shared" si="32"/>
        <v>0</v>
      </c>
      <c r="AP28" s="124">
        <f t="shared" si="32"/>
        <v>0</v>
      </c>
      <c r="AQ28" s="124"/>
      <c r="AR28" s="124">
        <f t="shared" si="33"/>
        <v>0</v>
      </c>
      <c r="AS28" s="124">
        <f t="shared" si="34"/>
        <v>0</v>
      </c>
      <c r="AT28" s="124">
        <f t="shared" si="34"/>
        <v>0</v>
      </c>
      <c r="AU28" s="124">
        <f t="shared" si="34"/>
        <v>0</v>
      </c>
      <c r="AV28" s="124">
        <f t="shared" si="34"/>
        <v>0</v>
      </c>
      <c r="AW28" s="124">
        <f t="shared" si="34"/>
        <v>0</v>
      </c>
      <c r="AX28" s="124">
        <f t="shared" si="34"/>
        <v>0</v>
      </c>
      <c r="AY28" s="124">
        <f t="shared" si="34"/>
        <v>0</v>
      </c>
      <c r="AZ28" s="124">
        <f t="shared" si="34"/>
        <v>0</v>
      </c>
      <c r="BA28" s="124">
        <f t="shared" si="34"/>
        <v>0</v>
      </c>
      <c r="BB28" s="124">
        <f t="shared" si="34"/>
        <v>0</v>
      </c>
      <c r="BC28" s="124">
        <f t="shared" si="34"/>
        <v>0</v>
      </c>
      <c r="BD28" s="124"/>
      <c r="BE28" s="124">
        <f t="shared" si="35"/>
        <v>0</v>
      </c>
      <c r="BF28" s="124">
        <f t="shared" si="36"/>
        <v>0</v>
      </c>
      <c r="BG28" s="124">
        <f t="shared" si="36"/>
        <v>0</v>
      </c>
      <c r="BH28" s="124">
        <f t="shared" si="36"/>
        <v>0</v>
      </c>
      <c r="BI28" s="124">
        <f t="shared" si="36"/>
        <v>0</v>
      </c>
      <c r="BJ28" s="124">
        <f t="shared" si="36"/>
        <v>0</v>
      </c>
      <c r="BK28" s="124">
        <f t="shared" si="36"/>
        <v>0</v>
      </c>
      <c r="BL28" s="124">
        <f t="shared" si="36"/>
        <v>0</v>
      </c>
      <c r="BM28" s="124">
        <f t="shared" si="36"/>
        <v>0</v>
      </c>
      <c r="BN28" s="124">
        <f t="shared" si="36"/>
        <v>0</v>
      </c>
      <c r="BO28" s="124">
        <f t="shared" si="36"/>
        <v>0</v>
      </c>
      <c r="BP28" s="124">
        <f t="shared" si="36"/>
        <v>0</v>
      </c>
      <c r="BQ28" s="124"/>
      <c r="BR28" s="124">
        <f t="shared" si="37"/>
        <v>0</v>
      </c>
      <c r="BS28" s="124">
        <f t="shared" si="38"/>
        <v>0</v>
      </c>
      <c r="BT28" s="124">
        <f t="shared" si="38"/>
        <v>0</v>
      </c>
      <c r="BU28" s="124">
        <f t="shared" si="38"/>
        <v>0</v>
      </c>
      <c r="BV28" s="124">
        <f t="shared" si="38"/>
        <v>0</v>
      </c>
      <c r="BW28" s="124">
        <f t="shared" si="38"/>
        <v>0</v>
      </c>
      <c r="BX28" s="124">
        <f t="shared" si="38"/>
        <v>0</v>
      </c>
      <c r="BY28" s="124">
        <f t="shared" si="38"/>
        <v>0</v>
      </c>
      <c r="BZ28" s="124">
        <f t="shared" si="38"/>
        <v>0</v>
      </c>
      <c r="CA28" s="124">
        <f t="shared" si="38"/>
        <v>0</v>
      </c>
      <c r="CB28" s="124">
        <f t="shared" si="38"/>
        <v>0</v>
      </c>
      <c r="CC28" s="124">
        <f t="shared" si="38"/>
        <v>0</v>
      </c>
      <c r="CD28" s="125"/>
      <c r="CE28" s="9">
        <f t="shared" si="39"/>
        <v>0</v>
      </c>
      <c r="CF28" s="126"/>
      <c r="CG28" s="9"/>
      <c r="CH28" s="8"/>
      <c r="CI28" s="7"/>
      <c r="CJ28" s="7"/>
      <c r="CK28" s="7"/>
      <c r="CL28" s="7"/>
      <c r="CM28" s="7"/>
      <c r="CN28" s="7"/>
      <c r="CO28" s="7"/>
    </row>
    <row r="29" spans="1:93">
      <c r="A29" s="1">
        <v>2</v>
      </c>
      <c r="B29" s="1">
        <v>4</v>
      </c>
      <c r="C29" s="8" t="str">
        <f t="shared" si="27"/>
        <v>Project Leader</v>
      </c>
      <c r="D29" s="8" t="str">
        <f t="shared" si="27"/>
        <v>B3 PL2 (6 to 8 yrs)</v>
      </c>
      <c r="E29" s="124"/>
      <c r="F29" s="124">
        <f t="shared" si="28"/>
        <v>0</v>
      </c>
      <c r="G29" s="124">
        <f t="shared" si="28"/>
        <v>0</v>
      </c>
      <c r="H29" s="124">
        <f t="shared" si="28"/>
        <v>0</v>
      </c>
      <c r="I29" s="124">
        <f t="shared" si="28"/>
        <v>0</v>
      </c>
      <c r="J29" s="124">
        <f t="shared" si="28"/>
        <v>0</v>
      </c>
      <c r="K29" s="124">
        <f t="shared" si="28"/>
        <v>0</v>
      </c>
      <c r="L29" s="124">
        <f t="shared" si="28"/>
        <v>0</v>
      </c>
      <c r="M29" s="124">
        <f t="shared" si="28"/>
        <v>0</v>
      </c>
      <c r="N29" s="124">
        <f t="shared" si="28"/>
        <v>0</v>
      </c>
      <c r="O29" s="124">
        <f t="shared" si="28"/>
        <v>0</v>
      </c>
      <c r="P29" s="124">
        <f t="shared" si="28"/>
        <v>0</v>
      </c>
      <c r="Q29" s="124"/>
      <c r="R29" s="124">
        <f t="shared" si="29"/>
        <v>0</v>
      </c>
      <c r="S29" s="124">
        <f t="shared" si="30"/>
        <v>0</v>
      </c>
      <c r="T29" s="124">
        <f t="shared" si="30"/>
        <v>0</v>
      </c>
      <c r="U29" s="124">
        <f t="shared" si="30"/>
        <v>0</v>
      </c>
      <c r="V29" s="124">
        <f t="shared" si="30"/>
        <v>0</v>
      </c>
      <c r="W29" s="124">
        <f t="shared" si="30"/>
        <v>0</v>
      </c>
      <c r="X29" s="124">
        <f t="shared" si="30"/>
        <v>0</v>
      </c>
      <c r="Y29" s="124">
        <f t="shared" si="30"/>
        <v>0</v>
      </c>
      <c r="Z29" s="124">
        <f t="shared" si="30"/>
        <v>0</v>
      </c>
      <c r="AA29" s="124">
        <f t="shared" si="30"/>
        <v>0</v>
      </c>
      <c r="AB29" s="124">
        <f t="shared" si="30"/>
        <v>0</v>
      </c>
      <c r="AC29" s="124">
        <f t="shared" si="30"/>
        <v>0</v>
      </c>
      <c r="AD29" s="124"/>
      <c r="AE29" s="124">
        <f t="shared" si="31"/>
        <v>0</v>
      </c>
      <c r="AF29" s="124">
        <f t="shared" si="32"/>
        <v>0</v>
      </c>
      <c r="AG29" s="124">
        <f t="shared" si="32"/>
        <v>0</v>
      </c>
      <c r="AH29" s="124">
        <f t="shared" si="32"/>
        <v>0</v>
      </c>
      <c r="AI29" s="124">
        <f t="shared" si="32"/>
        <v>0</v>
      </c>
      <c r="AJ29" s="124">
        <f t="shared" si="32"/>
        <v>0</v>
      </c>
      <c r="AK29" s="124">
        <f t="shared" si="32"/>
        <v>0</v>
      </c>
      <c r="AL29" s="124">
        <f t="shared" si="32"/>
        <v>0</v>
      </c>
      <c r="AM29" s="124">
        <f t="shared" si="32"/>
        <v>0</v>
      </c>
      <c r="AN29" s="124">
        <f t="shared" si="32"/>
        <v>0</v>
      </c>
      <c r="AO29" s="124">
        <f t="shared" si="32"/>
        <v>0</v>
      </c>
      <c r="AP29" s="124">
        <f t="shared" si="32"/>
        <v>0</v>
      </c>
      <c r="AQ29" s="124"/>
      <c r="AR29" s="124">
        <f t="shared" si="33"/>
        <v>0</v>
      </c>
      <c r="AS29" s="124">
        <f t="shared" si="34"/>
        <v>0</v>
      </c>
      <c r="AT29" s="124">
        <f t="shared" si="34"/>
        <v>0</v>
      </c>
      <c r="AU29" s="124">
        <f t="shared" si="34"/>
        <v>0</v>
      </c>
      <c r="AV29" s="124">
        <f t="shared" si="34"/>
        <v>0</v>
      </c>
      <c r="AW29" s="124">
        <f t="shared" si="34"/>
        <v>0</v>
      </c>
      <c r="AX29" s="124">
        <f t="shared" si="34"/>
        <v>0</v>
      </c>
      <c r="AY29" s="124">
        <f t="shared" si="34"/>
        <v>0</v>
      </c>
      <c r="AZ29" s="124">
        <f t="shared" si="34"/>
        <v>0</v>
      </c>
      <c r="BA29" s="124">
        <f t="shared" si="34"/>
        <v>0</v>
      </c>
      <c r="BB29" s="124">
        <f t="shared" si="34"/>
        <v>0</v>
      </c>
      <c r="BC29" s="124">
        <f t="shared" si="34"/>
        <v>0</v>
      </c>
      <c r="BD29" s="124"/>
      <c r="BE29" s="124">
        <f t="shared" si="35"/>
        <v>0</v>
      </c>
      <c r="BF29" s="124">
        <f t="shared" si="36"/>
        <v>0</v>
      </c>
      <c r="BG29" s="124">
        <f t="shared" si="36"/>
        <v>0</v>
      </c>
      <c r="BH29" s="124">
        <f t="shared" si="36"/>
        <v>0</v>
      </c>
      <c r="BI29" s="124">
        <f t="shared" si="36"/>
        <v>0</v>
      </c>
      <c r="BJ29" s="124">
        <f t="shared" si="36"/>
        <v>0</v>
      </c>
      <c r="BK29" s="124">
        <f t="shared" si="36"/>
        <v>0</v>
      </c>
      <c r="BL29" s="124">
        <f t="shared" si="36"/>
        <v>0</v>
      </c>
      <c r="BM29" s="124">
        <f t="shared" si="36"/>
        <v>0</v>
      </c>
      <c r="BN29" s="124">
        <f t="shared" si="36"/>
        <v>0</v>
      </c>
      <c r="BO29" s="124">
        <f t="shared" si="36"/>
        <v>0</v>
      </c>
      <c r="BP29" s="124">
        <f t="shared" si="36"/>
        <v>0</v>
      </c>
      <c r="BQ29" s="124"/>
      <c r="BR29" s="124">
        <f t="shared" si="37"/>
        <v>0</v>
      </c>
      <c r="BS29" s="124">
        <f t="shared" si="38"/>
        <v>0</v>
      </c>
      <c r="BT29" s="124">
        <f t="shared" si="38"/>
        <v>0</v>
      </c>
      <c r="BU29" s="124">
        <f t="shared" si="38"/>
        <v>0</v>
      </c>
      <c r="BV29" s="124">
        <f t="shared" si="38"/>
        <v>0</v>
      </c>
      <c r="BW29" s="124">
        <f t="shared" si="38"/>
        <v>0</v>
      </c>
      <c r="BX29" s="124">
        <f t="shared" si="38"/>
        <v>0</v>
      </c>
      <c r="BY29" s="124">
        <f t="shared" si="38"/>
        <v>0</v>
      </c>
      <c r="BZ29" s="124">
        <f t="shared" si="38"/>
        <v>0</v>
      </c>
      <c r="CA29" s="124">
        <f t="shared" si="38"/>
        <v>0</v>
      </c>
      <c r="CB29" s="124">
        <f t="shared" si="38"/>
        <v>0</v>
      </c>
      <c r="CC29" s="124">
        <f t="shared" si="38"/>
        <v>0</v>
      </c>
      <c r="CD29" s="125"/>
      <c r="CE29" s="9">
        <f t="shared" si="39"/>
        <v>0</v>
      </c>
      <c r="CF29" s="126"/>
      <c r="CG29" s="9"/>
      <c r="CH29" s="8"/>
      <c r="CI29" s="7"/>
      <c r="CJ29" s="7"/>
      <c r="CK29" s="7"/>
      <c r="CL29" s="7"/>
      <c r="CM29" s="7"/>
      <c r="CN29" s="7"/>
      <c r="CO29" s="7"/>
    </row>
    <row r="30" spans="1:93">
      <c r="A30" s="1">
        <v>2</v>
      </c>
      <c r="B30" s="1">
        <v>5</v>
      </c>
      <c r="C30" s="8" t="str">
        <f t="shared" si="27"/>
        <v>Jr Project Leader</v>
      </c>
      <c r="D30" s="8" t="str">
        <f t="shared" si="27"/>
        <v>B3 PL1 (5 to 7 yrs)</v>
      </c>
      <c r="E30" s="124"/>
      <c r="F30" s="124">
        <f t="shared" si="28"/>
        <v>0</v>
      </c>
      <c r="G30" s="124">
        <f t="shared" si="28"/>
        <v>0</v>
      </c>
      <c r="H30" s="124">
        <f t="shared" si="28"/>
        <v>0</v>
      </c>
      <c r="I30" s="124">
        <f t="shared" si="28"/>
        <v>0</v>
      </c>
      <c r="J30" s="124">
        <f t="shared" si="28"/>
        <v>0</v>
      </c>
      <c r="K30" s="124">
        <f t="shared" si="28"/>
        <v>0</v>
      </c>
      <c r="L30" s="124">
        <f t="shared" si="28"/>
        <v>0</v>
      </c>
      <c r="M30" s="124">
        <f t="shared" si="28"/>
        <v>0</v>
      </c>
      <c r="N30" s="124">
        <f t="shared" si="28"/>
        <v>0</v>
      </c>
      <c r="O30" s="124">
        <f t="shared" si="28"/>
        <v>0</v>
      </c>
      <c r="P30" s="124">
        <f t="shared" si="28"/>
        <v>0</v>
      </c>
      <c r="Q30" s="124"/>
      <c r="R30" s="124">
        <f t="shared" si="29"/>
        <v>0</v>
      </c>
      <c r="S30" s="124">
        <f t="shared" si="30"/>
        <v>0</v>
      </c>
      <c r="T30" s="124">
        <f t="shared" si="30"/>
        <v>0</v>
      </c>
      <c r="U30" s="124">
        <f t="shared" si="30"/>
        <v>0</v>
      </c>
      <c r="V30" s="124">
        <f t="shared" si="30"/>
        <v>0</v>
      </c>
      <c r="W30" s="124">
        <f t="shared" si="30"/>
        <v>0</v>
      </c>
      <c r="X30" s="124">
        <f t="shared" si="30"/>
        <v>0</v>
      </c>
      <c r="Y30" s="124">
        <f t="shared" si="30"/>
        <v>0</v>
      </c>
      <c r="Z30" s="124">
        <f t="shared" si="30"/>
        <v>0</v>
      </c>
      <c r="AA30" s="124">
        <f t="shared" si="30"/>
        <v>0</v>
      </c>
      <c r="AB30" s="124">
        <f t="shared" si="30"/>
        <v>0</v>
      </c>
      <c r="AC30" s="124">
        <f t="shared" si="30"/>
        <v>0</v>
      </c>
      <c r="AD30" s="124"/>
      <c r="AE30" s="124">
        <f t="shared" si="31"/>
        <v>0</v>
      </c>
      <c r="AF30" s="124">
        <f t="shared" si="32"/>
        <v>0</v>
      </c>
      <c r="AG30" s="124">
        <f t="shared" si="32"/>
        <v>0</v>
      </c>
      <c r="AH30" s="124">
        <f t="shared" si="32"/>
        <v>0</v>
      </c>
      <c r="AI30" s="124">
        <f t="shared" si="32"/>
        <v>0</v>
      </c>
      <c r="AJ30" s="124">
        <f t="shared" si="32"/>
        <v>0</v>
      </c>
      <c r="AK30" s="124">
        <f t="shared" si="32"/>
        <v>0</v>
      </c>
      <c r="AL30" s="124">
        <f t="shared" si="32"/>
        <v>0</v>
      </c>
      <c r="AM30" s="124">
        <f t="shared" si="32"/>
        <v>0</v>
      </c>
      <c r="AN30" s="124">
        <f t="shared" si="32"/>
        <v>0</v>
      </c>
      <c r="AO30" s="124">
        <f t="shared" si="32"/>
        <v>0</v>
      </c>
      <c r="AP30" s="124">
        <f t="shared" si="32"/>
        <v>0</v>
      </c>
      <c r="AQ30" s="124"/>
      <c r="AR30" s="124">
        <f t="shared" si="33"/>
        <v>0</v>
      </c>
      <c r="AS30" s="124">
        <f t="shared" si="34"/>
        <v>0</v>
      </c>
      <c r="AT30" s="124">
        <f t="shared" si="34"/>
        <v>0</v>
      </c>
      <c r="AU30" s="124">
        <f t="shared" si="34"/>
        <v>0</v>
      </c>
      <c r="AV30" s="124">
        <f t="shared" si="34"/>
        <v>0</v>
      </c>
      <c r="AW30" s="124">
        <f t="shared" si="34"/>
        <v>0</v>
      </c>
      <c r="AX30" s="124">
        <f t="shared" si="34"/>
        <v>0</v>
      </c>
      <c r="AY30" s="124">
        <f t="shared" si="34"/>
        <v>0</v>
      </c>
      <c r="AZ30" s="124">
        <f t="shared" si="34"/>
        <v>0</v>
      </c>
      <c r="BA30" s="124">
        <f t="shared" si="34"/>
        <v>0</v>
      </c>
      <c r="BB30" s="124">
        <f t="shared" si="34"/>
        <v>0</v>
      </c>
      <c r="BC30" s="124">
        <f t="shared" si="34"/>
        <v>0</v>
      </c>
      <c r="BD30" s="124"/>
      <c r="BE30" s="124">
        <f t="shared" si="35"/>
        <v>0</v>
      </c>
      <c r="BF30" s="124">
        <f t="shared" si="36"/>
        <v>0</v>
      </c>
      <c r="BG30" s="124">
        <f t="shared" si="36"/>
        <v>0</v>
      </c>
      <c r="BH30" s="124">
        <f t="shared" si="36"/>
        <v>0</v>
      </c>
      <c r="BI30" s="124">
        <f t="shared" si="36"/>
        <v>0</v>
      </c>
      <c r="BJ30" s="124">
        <f t="shared" si="36"/>
        <v>0</v>
      </c>
      <c r="BK30" s="124">
        <f t="shared" si="36"/>
        <v>0</v>
      </c>
      <c r="BL30" s="124">
        <f t="shared" si="36"/>
        <v>0</v>
      </c>
      <c r="BM30" s="124">
        <f t="shared" si="36"/>
        <v>0</v>
      </c>
      <c r="BN30" s="124">
        <f t="shared" si="36"/>
        <v>0</v>
      </c>
      <c r="BO30" s="124">
        <f t="shared" si="36"/>
        <v>0</v>
      </c>
      <c r="BP30" s="124">
        <f t="shared" si="36"/>
        <v>0</v>
      </c>
      <c r="BQ30" s="124"/>
      <c r="BR30" s="124">
        <f t="shared" si="37"/>
        <v>0</v>
      </c>
      <c r="BS30" s="124">
        <f t="shared" si="38"/>
        <v>0</v>
      </c>
      <c r="BT30" s="124">
        <f t="shared" si="38"/>
        <v>0</v>
      </c>
      <c r="BU30" s="124">
        <f t="shared" si="38"/>
        <v>0</v>
      </c>
      <c r="BV30" s="124">
        <f t="shared" si="38"/>
        <v>0</v>
      </c>
      <c r="BW30" s="124">
        <f t="shared" si="38"/>
        <v>0</v>
      </c>
      <c r="BX30" s="124">
        <f t="shared" si="38"/>
        <v>0</v>
      </c>
      <c r="BY30" s="124">
        <f t="shared" si="38"/>
        <v>0</v>
      </c>
      <c r="BZ30" s="124">
        <f t="shared" si="38"/>
        <v>0</v>
      </c>
      <c r="CA30" s="124">
        <f t="shared" si="38"/>
        <v>0</v>
      </c>
      <c r="CB30" s="124">
        <f t="shared" si="38"/>
        <v>0</v>
      </c>
      <c r="CC30" s="124">
        <f t="shared" si="38"/>
        <v>0</v>
      </c>
      <c r="CD30" s="125"/>
      <c r="CE30" s="9">
        <f t="shared" si="39"/>
        <v>0</v>
      </c>
      <c r="CF30" s="126"/>
      <c r="CG30" s="9"/>
      <c r="CH30" s="8"/>
      <c r="CI30" s="7"/>
      <c r="CJ30" s="7"/>
      <c r="CK30" s="7"/>
      <c r="CL30" s="7"/>
      <c r="CM30" s="7"/>
      <c r="CN30" s="7"/>
      <c r="CO30" s="7"/>
    </row>
    <row r="31" spans="1:93">
      <c r="A31" s="1">
        <v>2</v>
      </c>
      <c r="B31" s="1">
        <v>6</v>
      </c>
      <c r="C31" s="8" t="str">
        <f t="shared" si="27"/>
        <v>Sr Developer</v>
      </c>
      <c r="D31" s="8" t="str">
        <f t="shared" si="27"/>
        <v>B2 AP3 (3 to 5 yrs)</v>
      </c>
      <c r="E31" s="124"/>
      <c r="F31" s="124">
        <f t="shared" si="28"/>
        <v>0</v>
      </c>
      <c r="G31" s="124">
        <f t="shared" si="28"/>
        <v>0</v>
      </c>
      <c r="H31" s="124">
        <f t="shared" si="28"/>
        <v>0</v>
      </c>
      <c r="I31" s="124">
        <f t="shared" si="28"/>
        <v>0</v>
      </c>
      <c r="J31" s="124">
        <f t="shared" si="28"/>
        <v>0</v>
      </c>
      <c r="K31" s="124">
        <f t="shared" si="28"/>
        <v>0</v>
      </c>
      <c r="L31" s="124">
        <f t="shared" si="28"/>
        <v>0</v>
      </c>
      <c r="M31" s="124">
        <f t="shared" si="28"/>
        <v>0</v>
      </c>
      <c r="N31" s="124">
        <f t="shared" si="28"/>
        <v>0</v>
      </c>
      <c r="O31" s="124">
        <f t="shared" si="28"/>
        <v>0</v>
      </c>
      <c r="P31" s="124">
        <f t="shared" si="28"/>
        <v>0</v>
      </c>
      <c r="Q31" s="124"/>
      <c r="R31" s="124">
        <f t="shared" si="29"/>
        <v>0</v>
      </c>
      <c r="S31" s="124">
        <f t="shared" si="30"/>
        <v>0</v>
      </c>
      <c r="T31" s="124">
        <f t="shared" si="30"/>
        <v>0</v>
      </c>
      <c r="U31" s="124">
        <f t="shared" si="30"/>
        <v>0</v>
      </c>
      <c r="V31" s="124">
        <f t="shared" si="30"/>
        <v>0</v>
      </c>
      <c r="W31" s="124">
        <f t="shared" si="30"/>
        <v>0</v>
      </c>
      <c r="X31" s="124">
        <f t="shared" si="30"/>
        <v>0</v>
      </c>
      <c r="Y31" s="124">
        <f t="shared" si="30"/>
        <v>0</v>
      </c>
      <c r="Z31" s="124">
        <f t="shared" si="30"/>
        <v>0</v>
      </c>
      <c r="AA31" s="124">
        <f t="shared" si="30"/>
        <v>0</v>
      </c>
      <c r="AB31" s="124">
        <f t="shared" si="30"/>
        <v>0</v>
      </c>
      <c r="AC31" s="124">
        <f t="shared" si="30"/>
        <v>0</v>
      </c>
      <c r="AD31" s="124"/>
      <c r="AE31" s="124">
        <f t="shared" si="31"/>
        <v>0</v>
      </c>
      <c r="AF31" s="124">
        <f t="shared" si="32"/>
        <v>0</v>
      </c>
      <c r="AG31" s="124">
        <f t="shared" si="32"/>
        <v>0</v>
      </c>
      <c r="AH31" s="124">
        <f t="shared" si="32"/>
        <v>0</v>
      </c>
      <c r="AI31" s="124">
        <f t="shared" si="32"/>
        <v>0</v>
      </c>
      <c r="AJ31" s="124">
        <f t="shared" si="32"/>
        <v>0</v>
      </c>
      <c r="AK31" s="124">
        <f t="shared" si="32"/>
        <v>0</v>
      </c>
      <c r="AL31" s="124">
        <f t="shared" si="32"/>
        <v>0</v>
      </c>
      <c r="AM31" s="124">
        <f t="shared" si="32"/>
        <v>0</v>
      </c>
      <c r="AN31" s="124">
        <f t="shared" si="32"/>
        <v>0</v>
      </c>
      <c r="AO31" s="124">
        <f t="shared" si="32"/>
        <v>0</v>
      </c>
      <c r="AP31" s="124">
        <f t="shared" si="32"/>
        <v>0</v>
      </c>
      <c r="AQ31" s="124"/>
      <c r="AR31" s="124">
        <f t="shared" si="33"/>
        <v>0</v>
      </c>
      <c r="AS31" s="124">
        <f t="shared" si="34"/>
        <v>0</v>
      </c>
      <c r="AT31" s="124">
        <f t="shared" si="34"/>
        <v>0</v>
      </c>
      <c r="AU31" s="124">
        <f t="shared" si="34"/>
        <v>0</v>
      </c>
      <c r="AV31" s="124">
        <f t="shared" si="34"/>
        <v>0</v>
      </c>
      <c r="AW31" s="124">
        <f t="shared" si="34"/>
        <v>0</v>
      </c>
      <c r="AX31" s="124">
        <f t="shared" si="34"/>
        <v>0</v>
      </c>
      <c r="AY31" s="124">
        <f t="shared" si="34"/>
        <v>0</v>
      </c>
      <c r="AZ31" s="124">
        <f t="shared" si="34"/>
        <v>0</v>
      </c>
      <c r="BA31" s="124">
        <f t="shared" si="34"/>
        <v>0</v>
      </c>
      <c r="BB31" s="124">
        <f t="shared" si="34"/>
        <v>0</v>
      </c>
      <c r="BC31" s="124">
        <f t="shared" si="34"/>
        <v>0</v>
      </c>
      <c r="BD31" s="124"/>
      <c r="BE31" s="124">
        <f t="shared" si="35"/>
        <v>0</v>
      </c>
      <c r="BF31" s="124">
        <f t="shared" si="36"/>
        <v>0</v>
      </c>
      <c r="BG31" s="124">
        <f t="shared" si="36"/>
        <v>0</v>
      </c>
      <c r="BH31" s="124">
        <f t="shared" si="36"/>
        <v>0</v>
      </c>
      <c r="BI31" s="124">
        <f t="shared" si="36"/>
        <v>0</v>
      </c>
      <c r="BJ31" s="124">
        <f t="shared" si="36"/>
        <v>0</v>
      </c>
      <c r="BK31" s="124">
        <f t="shared" si="36"/>
        <v>0</v>
      </c>
      <c r="BL31" s="124">
        <f t="shared" si="36"/>
        <v>0</v>
      </c>
      <c r="BM31" s="124">
        <f t="shared" si="36"/>
        <v>0</v>
      </c>
      <c r="BN31" s="124">
        <f t="shared" si="36"/>
        <v>0</v>
      </c>
      <c r="BO31" s="124">
        <f t="shared" si="36"/>
        <v>0</v>
      </c>
      <c r="BP31" s="124">
        <f t="shared" si="36"/>
        <v>0</v>
      </c>
      <c r="BQ31" s="124"/>
      <c r="BR31" s="124">
        <f t="shared" si="37"/>
        <v>0</v>
      </c>
      <c r="BS31" s="124">
        <f t="shared" si="38"/>
        <v>0</v>
      </c>
      <c r="BT31" s="124">
        <f t="shared" si="38"/>
        <v>0</v>
      </c>
      <c r="BU31" s="124">
        <f t="shared" si="38"/>
        <v>0</v>
      </c>
      <c r="BV31" s="124">
        <f t="shared" si="38"/>
        <v>0</v>
      </c>
      <c r="BW31" s="124">
        <f t="shared" si="38"/>
        <v>0</v>
      </c>
      <c r="BX31" s="124">
        <f t="shared" si="38"/>
        <v>0</v>
      </c>
      <c r="BY31" s="124">
        <f t="shared" si="38"/>
        <v>0</v>
      </c>
      <c r="BZ31" s="124">
        <f t="shared" si="38"/>
        <v>0</v>
      </c>
      <c r="CA31" s="124">
        <f t="shared" si="38"/>
        <v>0</v>
      </c>
      <c r="CB31" s="124">
        <f t="shared" si="38"/>
        <v>0</v>
      </c>
      <c r="CC31" s="124">
        <f t="shared" si="38"/>
        <v>0</v>
      </c>
      <c r="CD31" s="125"/>
      <c r="CE31" s="9">
        <f t="shared" si="39"/>
        <v>0</v>
      </c>
      <c r="CF31" s="126"/>
      <c r="CG31" s="9"/>
      <c r="CH31" s="8"/>
      <c r="CI31" s="7"/>
      <c r="CJ31" s="7"/>
      <c r="CK31" s="7"/>
      <c r="CL31" s="7"/>
      <c r="CM31" s="7"/>
      <c r="CN31" s="7"/>
      <c r="CO31" s="7"/>
    </row>
    <row r="32" spans="1:93">
      <c r="A32" s="1">
        <v>2</v>
      </c>
      <c r="B32" s="1">
        <v>7</v>
      </c>
      <c r="C32" s="8" t="str">
        <f t="shared" si="27"/>
        <v>Jr Developer</v>
      </c>
      <c r="D32" s="8" t="str">
        <f t="shared" si="27"/>
        <v>B2 AP2 (0.6 to 3 yrs)</v>
      </c>
      <c r="E32" s="124"/>
      <c r="F32" s="124">
        <f t="shared" si="28"/>
        <v>0</v>
      </c>
      <c r="G32" s="124">
        <f t="shared" si="28"/>
        <v>0</v>
      </c>
      <c r="H32" s="124">
        <f t="shared" si="28"/>
        <v>0</v>
      </c>
      <c r="I32" s="124">
        <f t="shared" si="28"/>
        <v>0</v>
      </c>
      <c r="J32" s="124">
        <f t="shared" si="28"/>
        <v>0</v>
      </c>
      <c r="K32" s="124">
        <f t="shared" si="28"/>
        <v>0</v>
      </c>
      <c r="L32" s="124">
        <f t="shared" si="28"/>
        <v>0</v>
      </c>
      <c r="M32" s="124">
        <f t="shared" si="28"/>
        <v>0</v>
      </c>
      <c r="N32" s="124">
        <f t="shared" si="28"/>
        <v>0</v>
      </c>
      <c r="O32" s="124">
        <f t="shared" si="28"/>
        <v>0</v>
      </c>
      <c r="P32" s="124">
        <f t="shared" si="28"/>
        <v>0</v>
      </c>
      <c r="Q32" s="124"/>
      <c r="R32" s="124">
        <f t="shared" si="29"/>
        <v>0</v>
      </c>
      <c r="S32" s="124">
        <f t="shared" si="30"/>
        <v>0</v>
      </c>
      <c r="T32" s="124">
        <f t="shared" si="30"/>
        <v>0</v>
      </c>
      <c r="U32" s="124">
        <f t="shared" si="30"/>
        <v>0</v>
      </c>
      <c r="V32" s="124">
        <f t="shared" si="30"/>
        <v>0</v>
      </c>
      <c r="W32" s="124">
        <f t="shared" si="30"/>
        <v>0</v>
      </c>
      <c r="X32" s="124">
        <f t="shared" si="30"/>
        <v>0</v>
      </c>
      <c r="Y32" s="124">
        <f t="shared" si="30"/>
        <v>0</v>
      </c>
      <c r="Z32" s="124">
        <f t="shared" si="30"/>
        <v>0</v>
      </c>
      <c r="AA32" s="124">
        <f t="shared" si="30"/>
        <v>0</v>
      </c>
      <c r="AB32" s="124">
        <f t="shared" si="30"/>
        <v>0</v>
      </c>
      <c r="AC32" s="124">
        <f t="shared" si="30"/>
        <v>0</v>
      </c>
      <c r="AD32" s="124"/>
      <c r="AE32" s="124">
        <f t="shared" si="31"/>
        <v>0</v>
      </c>
      <c r="AF32" s="124">
        <f t="shared" si="32"/>
        <v>0</v>
      </c>
      <c r="AG32" s="124">
        <f t="shared" si="32"/>
        <v>0</v>
      </c>
      <c r="AH32" s="124">
        <f t="shared" si="32"/>
        <v>0</v>
      </c>
      <c r="AI32" s="124">
        <f t="shared" si="32"/>
        <v>0</v>
      </c>
      <c r="AJ32" s="124">
        <f t="shared" si="32"/>
        <v>0</v>
      </c>
      <c r="AK32" s="124">
        <f t="shared" si="32"/>
        <v>0</v>
      </c>
      <c r="AL32" s="124">
        <f t="shared" si="32"/>
        <v>0</v>
      </c>
      <c r="AM32" s="124">
        <f t="shared" si="32"/>
        <v>0</v>
      </c>
      <c r="AN32" s="124">
        <f t="shared" si="32"/>
        <v>0</v>
      </c>
      <c r="AO32" s="124">
        <f t="shared" si="32"/>
        <v>0</v>
      </c>
      <c r="AP32" s="124">
        <f t="shared" si="32"/>
        <v>0</v>
      </c>
      <c r="AQ32" s="124"/>
      <c r="AR32" s="124">
        <f t="shared" si="33"/>
        <v>0</v>
      </c>
      <c r="AS32" s="124">
        <f t="shared" si="34"/>
        <v>0</v>
      </c>
      <c r="AT32" s="124">
        <f t="shared" si="34"/>
        <v>0</v>
      </c>
      <c r="AU32" s="124">
        <f t="shared" si="34"/>
        <v>0</v>
      </c>
      <c r="AV32" s="124">
        <f t="shared" si="34"/>
        <v>0</v>
      </c>
      <c r="AW32" s="124">
        <f t="shared" si="34"/>
        <v>0</v>
      </c>
      <c r="AX32" s="124">
        <f t="shared" si="34"/>
        <v>0</v>
      </c>
      <c r="AY32" s="124">
        <f t="shared" si="34"/>
        <v>0</v>
      </c>
      <c r="AZ32" s="124">
        <f t="shared" si="34"/>
        <v>0</v>
      </c>
      <c r="BA32" s="124">
        <f t="shared" si="34"/>
        <v>0</v>
      </c>
      <c r="BB32" s="124">
        <f t="shared" si="34"/>
        <v>0</v>
      </c>
      <c r="BC32" s="124">
        <f t="shared" si="34"/>
        <v>0</v>
      </c>
      <c r="BD32" s="124"/>
      <c r="BE32" s="124">
        <f t="shared" si="35"/>
        <v>0</v>
      </c>
      <c r="BF32" s="124">
        <f t="shared" si="36"/>
        <v>0</v>
      </c>
      <c r="BG32" s="124">
        <f t="shared" si="36"/>
        <v>0</v>
      </c>
      <c r="BH32" s="124">
        <f t="shared" si="36"/>
        <v>0</v>
      </c>
      <c r="BI32" s="124">
        <f t="shared" si="36"/>
        <v>0</v>
      </c>
      <c r="BJ32" s="124">
        <f t="shared" si="36"/>
        <v>0</v>
      </c>
      <c r="BK32" s="124">
        <f t="shared" si="36"/>
        <v>0</v>
      </c>
      <c r="BL32" s="124">
        <f t="shared" si="36"/>
        <v>0</v>
      </c>
      <c r="BM32" s="124">
        <f t="shared" si="36"/>
        <v>0</v>
      </c>
      <c r="BN32" s="124">
        <f t="shared" si="36"/>
        <v>0</v>
      </c>
      <c r="BO32" s="124">
        <f t="shared" si="36"/>
        <v>0</v>
      </c>
      <c r="BP32" s="124">
        <f t="shared" si="36"/>
        <v>0</v>
      </c>
      <c r="BQ32" s="124"/>
      <c r="BR32" s="124">
        <f t="shared" si="37"/>
        <v>0</v>
      </c>
      <c r="BS32" s="124">
        <f t="shared" si="38"/>
        <v>0</v>
      </c>
      <c r="BT32" s="124">
        <f t="shared" si="38"/>
        <v>0</v>
      </c>
      <c r="BU32" s="124">
        <f t="shared" si="38"/>
        <v>0</v>
      </c>
      <c r="BV32" s="124">
        <f t="shared" si="38"/>
        <v>0</v>
      </c>
      <c r="BW32" s="124">
        <f t="shared" si="38"/>
        <v>0</v>
      </c>
      <c r="BX32" s="124">
        <f t="shared" si="38"/>
        <v>0</v>
      </c>
      <c r="BY32" s="124">
        <f t="shared" si="38"/>
        <v>0</v>
      </c>
      <c r="BZ32" s="124">
        <f t="shared" si="38"/>
        <v>0</v>
      </c>
      <c r="CA32" s="124">
        <f t="shared" si="38"/>
        <v>0</v>
      </c>
      <c r="CB32" s="124">
        <f t="shared" si="38"/>
        <v>0</v>
      </c>
      <c r="CC32" s="124">
        <f t="shared" si="38"/>
        <v>0</v>
      </c>
      <c r="CD32" s="125"/>
      <c r="CE32" s="9">
        <f t="shared" si="39"/>
        <v>0</v>
      </c>
      <c r="CF32" s="126"/>
      <c r="CG32" s="9"/>
      <c r="CH32" s="8"/>
      <c r="CI32" s="7"/>
      <c r="CJ32" s="7"/>
      <c r="CK32" s="7"/>
      <c r="CL32" s="7"/>
      <c r="CM32" s="7"/>
      <c r="CN32" s="7"/>
      <c r="CO32" s="7"/>
    </row>
    <row r="33" spans="1:93">
      <c r="A33" s="1">
        <v>2</v>
      </c>
      <c r="B33" s="1">
        <v>8</v>
      </c>
      <c r="C33" s="8" t="str">
        <f t="shared" si="27"/>
        <v>Trainees</v>
      </c>
      <c r="D33" s="8" t="str">
        <f t="shared" si="27"/>
        <v>B2 AP1</v>
      </c>
      <c r="E33" s="124"/>
      <c r="F33" s="124">
        <f t="shared" si="28"/>
        <v>0</v>
      </c>
      <c r="G33" s="124">
        <f t="shared" si="28"/>
        <v>0</v>
      </c>
      <c r="H33" s="124">
        <f t="shared" si="28"/>
        <v>0</v>
      </c>
      <c r="I33" s="124">
        <f t="shared" si="28"/>
        <v>0</v>
      </c>
      <c r="J33" s="124">
        <f t="shared" si="28"/>
        <v>0</v>
      </c>
      <c r="K33" s="124">
        <f t="shared" si="28"/>
        <v>0</v>
      </c>
      <c r="L33" s="124">
        <f t="shared" si="28"/>
        <v>0</v>
      </c>
      <c r="M33" s="124">
        <f t="shared" si="28"/>
        <v>0</v>
      </c>
      <c r="N33" s="124">
        <f t="shared" si="28"/>
        <v>0</v>
      </c>
      <c r="O33" s="124">
        <f t="shared" si="28"/>
        <v>0</v>
      </c>
      <c r="P33" s="124">
        <f t="shared" si="28"/>
        <v>0</v>
      </c>
      <c r="Q33" s="124"/>
      <c r="R33" s="124">
        <f t="shared" si="29"/>
        <v>0</v>
      </c>
      <c r="S33" s="124">
        <f t="shared" si="30"/>
        <v>0</v>
      </c>
      <c r="T33" s="124">
        <f t="shared" si="30"/>
        <v>0</v>
      </c>
      <c r="U33" s="124">
        <f t="shared" si="30"/>
        <v>0</v>
      </c>
      <c r="V33" s="124">
        <f t="shared" si="30"/>
        <v>0</v>
      </c>
      <c r="W33" s="124">
        <f t="shared" si="30"/>
        <v>0</v>
      </c>
      <c r="X33" s="124">
        <f t="shared" si="30"/>
        <v>0</v>
      </c>
      <c r="Y33" s="124">
        <f t="shared" si="30"/>
        <v>0</v>
      </c>
      <c r="Z33" s="124">
        <f t="shared" si="30"/>
        <v>0</v>
      </c>
      <c r="AA33" s="124">
        <f t="shared" si="30"/>
        <v>0</v>
      </c>
      <c r="AB33" s="124">
        <f t="shared" si="30"/>
        <v>0</v>
      </c>
      <c r="AC33" s="124">
        <f t="shared" si="30"/>
        <v>0</v>
      </c>
      <c r="AD33" s="124"/>
      <c r="AE33" s="124">
        <f t="shared" si="31"/>
        <v>0</v>
      </c>
      <c r="AF33" s="124">
        <f t="shared" si="32"/>
        <v>0</v>
      </c>
      <c r="AG33" s="124">
        <f t="shared" si="32"/>
        <v>0</v>
      </c>
      <c r="AH33" s="124">
        <f t="shared" si="32"/>
        <v>0</v>
      </c>
      <c r="AI33" s="124">
        <f t="shared" si="32"/>
        <v>0</v>
      </c>
      <c r="AJ33" s="124">
        <f t="shared" si="32"/>
        <v>0</v>
      </c>
      <c r="AK33" s="124">
        <f t="shared" si="32"/>
        <v>0</v>
      </c>
      <c r="AL33" s="124">
        <f t="shared" si="32"/>
        <v>0</v>
      </c>
      <c r="AM33" s="124">
        <f t="shared" si="32"/>
        <v>0</v>
      </c>
      <c r="AN33" s="124">
        <f t="shared" si="32"/>
        <v>0</v>
      </c>
      <c r="AO33" s="124">
        <f t="shared" si="32"/>
        <v>0</v>
      </c>
      <c r="AP33" s="124">
        <f t="shared" si="32"/>
        <v>0</v>
      </c>
      <c r="AQ33" s="124"/>
      <c r="AR33" s="124">
        <f t="shared" si="33"/>
        <v>0</v>
      </c>
      <c r="AS33" s="124">
        <f t="shared" si="34"/>
        <v>0</v>
      </c>
      <c r="AT33" s="124">
        <f t="shared" si="34"/>
        <v>0</v>
      </c>
      <c r="AU33" s="124">
        <f t="shared" si="34"/>
        <v>0</v>
      </c>
      <c r="AV33" s="124">
        <f t="shared" si="34"/>
        <v>0</v>
      </c>
      <c r="AW33" s="124">
        <f t="shared" si="34"/>
        <v>0</v>
      </c>
      <c r="AX33" s="124">
        <f t="shared" si="34"/>
        <v>0</v>
      </c>
      <c r="AY33" s="124">
        <f t="shared" si="34"/>
        <v>0</v>
      </c>
      <c r="AZ33" s="124">
        <f t="shared" si="34"/>
        <v>0</v>
      </c>
      <c r="BA33" s="124">
        <f t="shared" si="34"/>
        <v>0</v>
      </c>
      <c r="BB33" s="124">
        <f t="shared" si="34"/>
        <v>0</v>
      </c>
      <c r="BC33" s="124">
        <f t="shared" si="34"/>
        <v>0</v>
      </c>
      <c r="BD33" s="124"/>
      <c r="BE33" s="124">
        <f t="shared" si="35"/>
        <v>0</v>
      </c>
      <c r="BF33" s="124">
        <f t="shared" si="36"/>
        <v>0</v>
      </c>
      <c r="BG33" s="124">
        <f t="shared" si="36"/>
        <v>0</v>
      </c>
      <c r="BH33" s="124">
        <f t="shared" si="36"/>
        <v>0</v>
      </c>
      <c r="BI33" s="124">
        <f t="shared" si="36"/>
        <v>0</v>
      </c>
      <c r="BJ33" s="124">
        <f t="shared" si="36"/>
        <v>0</v>
      </c>
      <c r="BK33" s="124">
        <f t="shared" si="36"/>
        <v>0</v>
      </c>
      <c r="BL33" s="124">
        <f t="shared" si="36"/>
        <v>0</v>
      </c>
      <c r="BM33" s="124">
        <f t="shared" si="36"/>
        <v>0</v>
      </c>
      <c r="BN33" s="124">
        <f t="shared" si="36"/>
        <v>0</v>
      </c>
      <c r="BO33" s="124">
        <f t="shared" si="36"/>
        <v>0</v>
      </c>
      <c r="BP33" s="124">
        <f t="shared" si="36"/>
        <v>0</v>
      </c>
      <c r="BQ33" s="124"/>
      <c r="BR33" s="124">
        <f t="shared" si="37"/>
        <v>0</v>
      </c>
      <c r="BS33" s="124">
        <f t="shared" si="38"/>
        <v>0</v>
      </c>
      <c r="BT33" s="124">
        <f t="shared" si="38"/>
        <v>0</v>
      </c>
      <c r="BU33" s="124">
        <f t="shared" si="38"/>
        <v>0</v>
      </c>
      <c r="BV33" s="124">
        <f t="shared" si="38"/>
        <v>0</v>
      </c>
      <c r="BW33" s="124">
        <f t="shared" si="38"/>
        <v>0</v>
      </c>
      <c r="BX33" s="124">
        <f t="shared" si="38"/>
        <v>0</v>
      </c>
      <c r="BY33" s="124">
        <f t="shared" si="38"/>
        <v>0</v>
      </c>
      <c r="BZ33" s="124">
        <f t="shared" si="38"/>
        <v>0</v>
      </c>
      <c r="CA33" s="124">
        <f t="shared" si="38"/>
        <v>0</v>
      </c>
      <c r="CB33" s="124">
        <f t="shared" si="38"/>
        <v>0</v>
      </c>
      <c r="CC33" s="124">
        <f t="shared" si="38"/>
        <v>0</v>
      </c>
      <c r="CD33" s="125"/>
      <c r="CE33" s="9">
        <f t="shared" si="39"/>
        <v>0</v>
      </c>
      <c r="CF33" s="126"/>
      <c r="CG33" s="9"/>
      <c r="CI33" s="7"/>
      <c r="CJ33" s="7"/>
      <c r="CK33" s="7"/>
      <c r="CL33" s="7"/>
      <c r="CM33" s="7"/>
      <c r="CN33" s="7"/>
      <c r="CO33" s="7"/>
    </row>
    <row r="34" spans="1:93" hidden="1">
      <c r="A34" s="1">
        <v>2</v>
      </c>
      <c r="B34" s="1">
        <v>9</v>
      </c>
      <c r="C34" s="8" t="s">
        <v>26</v>
      </c>
      <c r="D34" s="8">
        <v>0</v>
      </c>
      <c r="E34" s="125"/>
      <c r="F34" s="125">
        <f t="shared" si="28"/>
        <v>0</v>
      </c>
      <c r="G34" s="125">
        <f t="shared" si="28"/>
        <v>0</v>
      </c>
      <c r="H34" s="125">
        <f t="shared" si="28"/>
        <v>0</v>
      </c>
      <c r="I34" s="125">
        <f t="shared" si="28"/>
        <v>0</v>
      </c>
      <c r="J34" s="125">
        <f t="shared" si="28"/>
        <v>0</v>
      </c>
      <c r="K34" s="125">
        <f t="shared" si="28"/>
        <v>0</v>
      </c>
      <c r="L34" s="125">
        <f t="shared" si="28"/>
        <v>0</v>
      </c>
      <c r="M34" s="125">
        <f t="shared" si="28"/>
        <v>0</v>
      </c>
      <c r="N34" s="125">
        <f t="shared" si="28"/>
        <v>0</v>
      </c>
      <c r="O34" s="125">
        <f t="shared" si="28"/>
        <v>0</v>
      </c>
      <c r="P34" s="125">
        <f t="shared" si="28"/>
        <v>0</v>
      </c>
      <c r="Q34" s="10"/>
      <c r="R34" s="125">
        <f>P34</f>
        <v>0</v>
      </c>
      <c r="S34" s="125">
        <f t="shared" si="30"/>
        <v>0</v>
      </c>
      <c r="T34" s="125">
        <f t="shared" si="30"/>
        <v>0</v>
      </c>
      <c r="U34" s="125">
        <f t="shared" si="30"/>
        <v>0</v>
      </c>
      <c r="V34" s="125">
        <f t="shared" si="30"/>
        <v>0</v>
      </c>
      <c r="W34" s="125">
        <f t="shared" si="30"/>
        <v>0</v>
      </c>
      <c r="X34" s="125">
        <f t="shared" si="30"/>
        <v>0</v>
      </c>
      <c r="Y34" s="125">
        <f t="shared" si="30"/>
        <v>0</v>
      </c>
      <c r="Z34" s="125">
        <f t="shared" si="30"/>
        <v>0</v>
      </c>
      <c r="AA34" s="125">
        <f t="shared" si="30"/>
        <v>0</v>
      </c>
      <c r="AB34" s="125">
        <f t="shared" si="30"/>
        <v>0</v>
      </c>
      <c r="AC34" s="125">
        <f t="shared" si="30"/>
        <v>0</v>
      </c>
      <c r="AD34" s="10"/>
      <c r="AE34" s="125">
        <f>AC34</f>
        <v>0</v>
      </c>
      <c r="AF34" s="125">
        <f t="shared" si="32"/>
        <v>0</v>
      </c>
      <c r="AG34" s="125">
        <f t="shared" si="32"/>
        <v>0</v>
      </c>
      <c r="AH34" s="125">
        <f t="shared" si="32"/>
        <v>0</v>
      </c>
      <c r="AI34" s="125">
        <f t="shared" si="32"/>
        <v>0</v>
      </c>
      <c r="AJ34" s="125">
        <f t="shared" si="32"/>
        <v>0</v>
      </c>
      <c r="AK34" s="125">
        <f t="shared" si="32"/>
        <v>0</v>
      </c>
      <c r="AL34" s="125">
        <f t="shared" si="32"/>
        <v>0</v>
      </c>
      <c r="AM34" s="125">
        <f t="shared" si="32"/>
        <v>0</v>
      </c>
      <c r="AN34" s="125">
        <f t="shared" si="32"/>
        <v>0</v>
      </c>
      <c r="AO34" s="125">
        <f t="shared" si="32"/>
        <v>0</v>
      </c>
      <c r="AP34" s="125">
        <f t="shared" si="32"/>
        <v>0</v>
      </c>
      <c r="AQ34" s="125"/>
      <c r="AR34" s="125">
        <f>AP34</f>
        <v>0</v>
      </c>
      <c r="AS34" s="125">
        <f t="shared" si="34"/>
        <v>0</v>
      </c>
      <c r="AT34" s="125">
        <f t="shared" si="34"/>
        <v>0</v>
      </c>
      <c r="AU34" s="125">
        <f t="shared" si="34"/>
        <v>0</v>
      </c>
      <c r="AV34" s="125">
        <f t="shared" si="34"/>
        <v>0</v>
      </c>
      <c r="AW34" s="125">
        <f t="shared" si="34"/>
        <v>0</v>
      </c>
      <c r="AX34" s="125">
        <f t="shared" si="34"/>
        <v>0</v>
      </c>
      <c r="AY34" s="125">
        <f t="shared" si="34"/>
        <v>0</v>
      </c>
      <c r="AZ34" s="125">
        <f t="shared" si="34"/>
        <v>0</v>
      </c>
      <c r="BA34" s="125">
        <f t="shared" si="34"/>
        <v>0</v>
      </c>
      <c r="BB34" s="125">
        <f t="shared" si="34"/>
        <v>0</v>
      </c>
      <c r="BC34" s="125">
        <f t="shared" si="34"/>
        <v>0</v>
      </c>
      <c r="BD34" s="125"/>
      <c r="BE34" s="125">
        <f>BC34</f>
        <v>0</v>
      </c>
      <c r="BF34" s="125">
        <f t="shared" si="36"/>
        <v>0</v>
      </c>
      <c r="BG34" s="125">
        <f t="shared" si="36"/>
        <v>0</v>
      </c>
      <c r="BH34" s="125">
        <f t="shared" si="36"/>
        <v>0</v>
      </c>
      <c r="BI34" s="125">
        <f t="shared" si="36"/>
        <v>0</v>
      </c>
      <c r="BJ34" s="125">
        <f t="shared" si="36"/>
        <v>0</v>
      </c>
      <c r="BK34" s="125">
        <f t="shared" si="36"/>
        <v>0</v>
      </c>
      <c r="BL34" s="125">
        <f t="shared" si="36"/>
        <v>0</v>
      </c>
      <c r="BM34" s="125">
        <f t="shared" si="36"/>
        <v>0</v>
      </c>
      <c r="BN34" s="125">
        <f t="shared" si="36"/>
        <v>0</v>
      </c>
      <c r="BO34" s="125">
        <f t="shared" si="36"/>
        <v>0</v>
      </c>
      <c r="BP34" s="125">
        <f t="shared" si="36"/>
        <v>0</v>
      </c>
      <c r="BQ34" s="125"/>
      <c r="BR34" s="125">
        <f>BP34</f>
        <v>0</v>
      </c>
      <c r="BS34" s="125">
        <f t="shared" si="38"/>
        <v>0</v>
      </c>
      <c r="BT34" s="125">
        <f t="shared" si="38"/>
        <v>0</v>
      </c>
      <c r="BU34" s="125">
        <f t="shared" si="38"/>
        <v>0</v>
      </c>
      <c r="BV34" s="125">
        <f t="shared" si="38"/>
        <v>0</v>
      </c>
      <c r="BW34" s="125">
        <f t="shared" si="38"/>
        <v>0</v>
      </c>
      <c r="BX34" s="125">
        <f t="shared" si="38"/>
        <v>0</v>
      </c>
      <c r="BY34" s="125">
        <f t="shared" si="38"/>
        <v>0</v>
      </c>
      <c r="BZ34" s="125">
        <f t="shared" si="38"/>
        <v>0</v>
      </c>
      <c r="CA34" s="125">
        <f t="shared" si="38"/>
        <v>0</v>
      </c>
      <c r="CB34" s="125">
        <f t="shared" si="38"/>
        <v>0</v>
      </c>
      <c r="CC34" s="125">
        <f t="shared" si="38"/>
        <v>0</v>
      </c>
      <c r="CD34" s="125"/>
      <c r="CE34" s="9">
        <f t="shared" si="39"/>
        <v>0</v>
      </c>
      <c r="CF34" s="9"/>
      <c r="CG34" s="9"/>
      <c r="CI34" s="7"/>
      <c r="CJ34" s="7"/>
      <c r="CK34" s="7"/>
      <c r="CL34" s="7"/>
      <c r="CM34" s="7"/>
      <c r="CN34" s="7"/>
      <c r="CO34" s="7"/>
    </row>
    <row r="35" spans="1:93" hidden="1">
      <c r="C35" s="8" t="s">
        <v>26</v>
      </c>
      <c r="D35" s="8"/>
      <c r="E35" s="125">
        <v>0</v>
      </c>
      <c r="F35" s="125">
        <f t="shared" si="28"/>
        <v>0</v>
      </c>
      <c r="G35" s="125">
        <f t="shared" si="28"/>
        <v>0</v>
      </c>
      <c r="H35" s="125">
        <f t="shared" si="28"/>
        <v>0</v>
      </c>
      <c r="I35" s="125">
        <f t="shared" si="28"/>
        <v>0</v>
      </c>
      <c r="J35" s="125">
        <f t="shared" si="28"/>
        <v>0</v>
      </c>
      <c r="K35" s="125">
        <f t="shared" si="28"/>
        <v>0</v>
      </c>
      <c r="L35" s="125">
        <f t="shared" si="28"/>
        <v>0</v>
      </c>
      <c r="M35" s="125">
        <f t="shared" si="28"/>
        <v>0</v>
      </c>
      <c r="N35" s="125">
        <f t="shared" si="28"/>
        <v>0</v>
      </c>
      <c r="O35" s="125">
        <f t="shared" si="28"/>
        <v>0</v>
      </c>
      <c r="P35" s="125">
        <f t="shared" si="28"/>
        <v>0</v>
      </c>
      <c r="Q35" s="10"/>
      <c r="R35" s="125">
        <f>P35</f>
        <v>0</v>
      </c>
      <c r="S35" s="125">
        <f t="shared" si="30"/>
        <v>0</v>
      </c>
      <c r="T35" s="125">
        <f t="shared" si="30"/>
        <v>0</v>
      </c>
      <c r="U35" s="125">
        <f t="shared" si="30"/>
        <v>0</v>
      </c>
      <c r="V35" s="125">
        <f t="shared" si="30"/>
        <v>0</v>
      </c>
      <c r="W35" s="125">
        <f t="shared" si="30"/>
        <v>0</v>
      </c>
      <c r="X35" s="125">
        <f t="shared" si="30"/>
        <v>0</v>
      </c>
      <c r="Y35" s="125">
        <f t="shared" si="30"/>
        <v>0</v>
      </c>
      <c r="Z35" s="125">
        <f t="shared" si="30"/>
        <v>0</v>
      </c>
      <c r="AA35" s="125">
        <f t="shared" si="30"/>
        <v>0</v>
      </c>
      <c r="AB35" s="125">
        <f t="shared" si="30"/>
        <v>0</v>
      </c>
      <c r="AC35" s="125">
        <f t="shared" si="30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25">
        <f>AC35*AQ$4/12</f>
        <v>0</v>
      </c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>
        <f>AQ35*BD$4/12</f>
        <v>0</v>
      </c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>
        <f>BD35*BQ$4/12</f>
        <v>0</v>
      </c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>
        <f>BQ35*CD$4/12</f>
        <v>0</v>
      </c>
      <c r="CE35" s="10"/>
      <c r="CF35" s="10"/>
      <c r="CG35" s="10"/>
      <c r="CH35" s="8"/>
      <c r="CI35" s="7"/>
      <c r="CJ35" s="7"/>
      <c r="CK35" s="7"/>
      <c r="CL35" s="7"/>
      <c r="CM35" s="7"/>
      <c r="CN35" s="7"/>
      <c r="CO35" s="7"/>
    </row>
    <row r="36" spans="1:93">
      <c r="C36" s="8" t="str">
        <f>$C21</f>
        <v>Subtotal</v>
      </c>
      <c r="D36" s="8"/>
      <c r="E36" s="12">
        <f>SUM(E24:E35)</f>
        <v>0</v>
      </c>
      <c r="F36" s="12">
        <f t="shared" ref="F36:BQ36" si="40">SUM(F24:F35)</f>
        <v>0</v>
      </c>
      <c r="G36" s="12">
        <f t="shared" si="40"/>
        <v>0</v>
      </c>
      <c r="H36" s="12">
        <f t="shared" si="40"/>
        <v>0</v>
      </c>
      <c r="I36" s="12">
        <f t="shared" si="40"/>
        <v>0</v>
      </c>
      <c r="J36" s="12">
        <f t="shared" si="40"/>
        <v>0</v>
      </c>
      <c r="K36" s="12">
        <f t="shared" si="40"/>
        <v>0</v>
      </c>
      <c r="L36" s="12">
        <f t="shared" si="40"/>
        <v>0</v>
      </c>
      <c r="M36" s="12">
        <f t="shared" si="40"/>
        <v>0</v>
      </c>
      <c r="N36" s="12">
        <f t="shared" si="40"/>
        <v>0</v>
      </c>
      <c r="O36" s="12">
        <f t="shared" si="40"/>
        <v>0</v>
      </c>
      <c r="P36" s="12">
        <f t="shared" si="40"/>
        <v>0</v>
      </c>
      <c r="Q36" s="12">
        <f t="shared" si="40"/>
        <v>0</v>
      </c>
      <c r="R36" s="12">
        <f t="shared" si="40"/>
        <v>0</v>
      </c>
      <c r="S36" s="12">
        <f t="shared" si="40"/>
        <v>0</v>
      </c>
      <c r="T36" s="12">
        <f t="shared" si="40"/>
        <v>0</v>
      </c>
      <c r="U36" s="12">
        <f t="shared" si="40"/>
        <v>0</v>
      </c>
      <c r="V36" s="12">
        <f t="shared" si="40"/>
        <v>0</v>
      </c>
      <c r="W36" s="12">
        <f t="shared" si="40"/>
        <v>0</v>
      </c>
      <c r="X36" s="12">
        <f t="shared" si="40"/>
        <v>0</v>
      </c>
      <c r="Y36" s="12">
        <f t="shared" si="40"/>
        <v>0</v>
      </c>
      <c r="Z36" s="12">
        <f t="shared" si="40"/>
        <v>0</v>
      </c>
      <c r="AA36" s="12">
        <f t="shared" si="40"/>
        <v>0</v>
      </c>
      <c r="AB36" s="12">
        <f t="shared" si="40"/>
        <v>0</v>
      </c>
      <c r="AC36" s="12">
        <f t="shared" si="40"/>
        <v>0</v>
      </c>
      <c r="AD36" s="12">
        <f t="shared" si="40"/>
        <v>0</v>
      </c>
      <c r="AE36" s="12">
        <f t="shared" si="40"/>
        <v>0</v>
      </c>
      <c r="AF36" s="12">
        <f t="shared" si="40"/>
        <v>0</v>
      </c>
      <c r="AG36" s="12">
        <f t="shared" si="40"/>
        <v>0</v>
      </c>
      <c r="AH36" s="12">
        <f t="shared" si="40"/>
        <v>0</v>
      </c>
      <c r="AI36" s="12">
        <f t="shared" si="40"/>
        <v>0</v>
      </c>
      <c r="AJ36" s="12">
        <f t="shared" si="40"/>
        <v>0</v>
      </c>
      <c r="AK36" s="12">
        <f t="shared" si="40"/>
        <v>0</v>
      </c>
      <c r="AL36" s="12">
        <f t="shared" si="40"/>
        <v>0</v>
      </c>
      <c r="AM36" s="12">
        <f t="shared" si="40"/>
        <v>0</v>
      </c>
      <c r="AN36" s="12">
        <f t="shared" si="40"/>
        <v>0</v>
      </c>
      <c r="AO36" s="12">
        <f t="shared" si="40"/>
        <v>0</v>
      </c>
      <c r="AP36" s="12">
        <f t="shared" si="40"/>
        <v>0</v>
      </c>
      <c r="AQ36" s="12">
        <f t="shared" si="40"/>
        <v>0</v>
      </c>
      <c r="AR36" s="12">
        <f t="shared" si="40"/>
        <v>0</v>
      </c>
      <c r="AS36" s="12">
        <f t="shared" si="40"/>
        <v>0</v>
      </c>
      <c r="AT36" s="12">
        <f t="shared" si="40"/>
        <v>0</v>
      </c>
      <c r="AU36" s="12">
        <f t="shared" si="40"/>
        <v>0</v>
      </c>
      <c r="AV36" s="12">
        <f t="shared" si="40"/>
        <v>0</v>
      </c>
      <c r="AW36" s="12">
        <f t="shared" si="40"/>
        <v>0</v>
      </c>
      <c r="AX36" s="12">
        <f t="shared" si="40"/>
        <v>0</v>
      </c>
      <c r="AY36" s="12">
        <f t="shared" si="40"/>
        <v>0</v>
      </c>
      <c r="AZ36" s="12">
        <f t="shared" si="40"/>
        <v>0</v>
      </c>
      <c r="BA36" s="12">
        <f t="shared" si="40"/>
        <v>0</v>
      </c>
      <c r="BB36" s="12">
        <f t="shared" si="40"/>
        <v>0</v>
      </c>
      <c r="BC36" s="12">
        <f t="shared" si="40"/>
        <v>0</v>
      </c>
      <c r="BD36" s="12">
        <f t="shared" si="40"/>
        <v>0</v>
      </c>
      <c r="BE36" s="12">
        <f t="shared" si="40"/>
        <v>0</v>
      </c>
      <c r="BF36" s="12">
        <f t="shared" si="40"/>
        <v>0</v>
      </c>
      <c r="BG36" s="12">
        <f t="shared" si="40"/>
        <v>0</v>
      </c>
      <c r="BH36" s="12">
        <f t="shared" si="40"/>
        <v>0</v>
      </c>
      <c r="BI36" s="12">
        <f t="shared" si="40"/>
        <v>0</v>
      </c>
      <c r="BJ36" s="12">
        <f t="shared" si="40"/>
        <v>0</v>
      </c>
      <c r="BK36" s="12">
        <f t="shared" si="40"/>
        <v>0</v>
      </c>
      <c r="BL36" s="12">
        <f t="shared" si="40"/>
        <v>0</v>
      </c>
      <c r="BM36" s="12">
        <f t="shared" si="40"/>
        <v>0</v>
      </c>
      <c r="BN36" s="12">
        <f t="shared" si="40"/>
        <v>0</v>
      </c>
      <c r="BO36" s="12">
        <f t="shared" si="40"/>
        <v>0</v>
      </c>
      <c r="BP36" s="12">
        <f t="shared" si="40"/>
        <v>0</v>
      </c>
      <c r="BQ36" s="12">
        <f t="shared" si="40"/>
        <v>0</v>
      </c>
      <c r="BR36" s="12">
        <f t="shared" ref="BR36:CE36" si="41">SUM(BR24:BR35)</f>
        <v>0</v>
      </c>
      <c r="BS36" s="12">
        <f t="shared" si="41"/>
        <v>0</v>
      </c>
      <c r="BT36" s="12">
        <f t="shared" si="41"/>
        <v>0</v>
      </c>
      <c r="BU36" s="12">
        <f t="shared" si="41"/>
        <v>0</v>
      </c>
      <c r="BV36" s="12">
        <f t="shared" si="41"/>
        <v>0</v>
      </c>
      <c r="BW36" s="12">
        <f t="shared" si="41"/>
        <v>0</v>
      </c>
      <c r="BX36" s="12">
        <f t="shared" si="41"/>
        <v>0</v>
      </c>
      <c r="BY36" s="12">
        <f t="shared" si="41"/>
        <v>0</v>
      </c>
      <c r="BZ36" s="12">
        <f t="shared" si="41"/>
        <v>0</v>
      </c>
      <c r="CA36" s="12">
        <f t="shared" si="41"/>
        <v>0</v>
      </c>
      <c r="CB36" s="12">
        <f t="shared" si="41"/>
        <v>0</v>
      </c>
      <c r="CC36" s="12">
        <f>SUM(CC24:CC35)</f>
        <v>0</v>
      </c>
      <c r="CD36" s="12">
        <f t="shared" si="41"/>
        <v>0</v>
      </c>
      <c r="CE36" s="12">
        <f t="shared" si="41"/>
        <v>0</v>
      </c>
      <c r="CF36" s="12">
        <f>SUM(CF24:CF35)</f>
        <v>0</v>
      </c>
      <c r="CG36" s="13"/>
      <c r="CH36" s="8"/>
      <c r="CI36" s="7"/>
      <c r="CJ36" s="7"/>
      <c r="CK36" s="7"/>
      <c r="CL36" s="7"/>
      <c r="CM36" s="7"/>
      <c r="CN36" s="7"/>
      <c r="CO36" s="7"/>
    </row>
    <row r="37" spans="1:93"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8"/>
      <c r="CI37" s="7"/>
      <c r="CJ37" s="7"/>
      <c r="CK37" s="7"/>
      <c r="CL37" s="7"/>
      <c r="CM37" s="7"/>
      <c r="CN37" s="7"/>
      <c r="CO37" s="7"/>
    </row>
    <row r="38" spans="1:93">
      <c r="C38" s="130" t="s">
        <v>37</v>
      </c>
      <c r="D38" s="12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8"/>
      <c r="CI38" s="7"/>
      <c r="CJ38" s="7"/>
      <c r="CK38" s="7"/>
      <c r="CL38" s="7"/>
      <c r="CM38" s="7"/>
      <c r="CN38" s="7"/>
      <c r="CO38" s="7"/>
    </row>
    <row r="39" spans="1:93">
      <c r="C39" s="8" t="str">
        <f t="shared" ref="C39:D46" si="42">C24</f>
        <v>Account Manager</v>
      </c>
      <c r="D39" s="8" t="str">
        <f t="shared" si="42"/>
        <v>B5 (min 8 yrs)</v>
      </c>
      <c r="E39" s="124"/>
      <c r="F39" s="124">
        <f t="shared" ref="F39:P50" si="43">E39</f>
        <v>0</v>
      </c>
      <c r="G39" s="124">
        <f t="shared" si="43"/>
        <v>0</v>
      </c>
      <c r="H39" s="124">
        <f t="shared" si="43"/>
        <v>0</v>
      </c>
      <c r="I39" s="124">
        <f t="shared" si="43"/>
        <v>0</v>
      </c>
      <c r="J39" s="124">
        <f t="shared" si="43"/>
        <v>0</v>
      </c>
      <c r="K39" s="124">
        <f t="shared" si="43"/>
        <v>0</v>
      </c>
      <c r="L39" s="124">
        <f t="shared" si="43"/>
        <v>0</v>
      </c>
      <c r="M39" s="124">
        <f t="shared" si="43"/>
        <v>0</v>
      </c>
      <c r="N39" s="124">
        <f t="shared" si="43"/>
        <v>0</v>
      </c>
      <c r="O39" s="124">
        <f t="shared" si="43"/>
        <v>0</v>
      </c>
      <c r="P39" s="124">
        <f t="shared" si="43"/>
        <v>0</v>
      </c>
      <c r="Q39" s="124"/>
      <c r="R39" s="124">
        <f t="shared" ref="R39:R48" si="44">P39</f>
        <v>0</v>
      </c>
      <c r="S39" s="124">
        <f t="shared" ref="S39:AC50" si="45">R39</f>
        <v>0</v>
      </c>
      <c r="T39" s="124">
        <f t="shared" si="45"/>
        <v>0</v>
      </c>
      <c r="U39" s="124">
        <f t="shared" si="45"/>
        <v>0</v>
      </c>
      <c r="V39" s="124">
        <f t="shared" si="45"/>
        <v>0</v>
      </c>
      <c r="W39" s="124">
        <f t="shared" si="45"/>
        <v>0</v>
      </c>
      <c r="X39" s="124">
        <f t="shared" si="45"/>
        <v>0</v>
      </c>
      <c r="Y39" s="124">
        <f t="shared" si="45"/>
        <v>0</v>
      </c>
      <c r="Z39" s="124">
        <f t="shared" si="45"/>
        <v>0</v>
      </c>
      <c r="AA39" s="124">
        <f t="shared" si="45"/>
        <v>0</v>
      </c>
      <c r="AB39" s="124">
        <f t="shared" si="45"/>
        <v>0</v>
      </c>
      <c r="AC39" s="124">
        <f t="shared" si="45"/>
        <v>0</v>
      </c>
      <c r="AD39" s="124"/>
      <c r="AE39" s="124">
        <f t="shared" ref="AE39:AE48" si="46">AC39</f>
        <v>0</v>
      </c>
      <c r="AF39" s="124">
        <f t="shared" ref="AF39:AP49" si="47">AE39</f>
        <v>0</v>
      </c>
      <c r="AG39" s="124">
        <f t="shared" si="47"/>
        <v>0</v>
      </c>
      <c r="AH39" s="124">
        <f t="shared" si="47"/>
        <v>0</v>
      </c>
      <c r="AI39" s="124">
        <f t="shared" si="47"/>
        <v>0</v>
      </c>
      <c r="AJ39" s="124">
        <f t="shared" si="47"/>
        <v>0</v>
      </c>
      <c r="AK39" s="124">
        <f t="shared" si="47"/>
        <v>0</v>
      </c>
      <c r="AL39" s="124">
        <f t="shared" si="47"/>
        <v>0</v>
      </c>
      <c r="AM39" s="124">
        <f t="shared" si="47"/>
        <v>0</v>
      </c>
      <c r="AN39" s="124">
        <f t="shared" si="47"/>
        <v>0</v>
      </c>
      <c r="AO39" s="124">
        <f t="shared" si="47"/>
        <v>0</v>
      </c>
      <c r="AP39" s="124">
        <f t="shared" si="47"/>
        <v>0</v>
      </c>
      <c r="AQ39" s="124"/>
      <c r="AR39" s="124">
        <f t="shared" ref="AR39:AR48" si="48">AP39</f>
        <v>0</v>
      </c>
      <c r="AS39" s="124">
        <f t="shared" ref="AS39:BC49" si="49">AR39</f>
        <v>0</v>
      </c>
      <c r="AT39" s="124">
        <f t="shared" si="49"/>
        <v>0</v>
      </c>
      <c r="AU39" s="124">
        <f t="shared" si="49"/>
        <v>0</v>
      </c>
      <c r="AV39" s="124">
        <f t="shared" si="49"/>
        <v>0</v>
      </c>
      <c r="AW39" s="124">
        <f t="shared" si="49"/>
        <v>0</v>
      </c>
      <c r="AX39" s="124">
        <f t="shared" si="49"/>
        <v>0</v>
      </c>
      <c r="AY39" s="124">
        <f t="shared" si="49"/>
        <v>0</v>
      </c>
      <c r="AZ39" s="124">
        <f t="shared" si="49"/>
        <v>0</v>
      </c>
      <c r="BA39" s="124">
        <f t="shared" si="49"/>
        <v>0</v>
      </c>
      <c r="BB39" s="124">
        <f t="shared" si="49"/>
        <v>0</v>
      </c>
      <c r="BC39" s="124">
        <f t="shared" si="49"/>
        <v>0</v>
      </c>
      <c r="BD39" s="124"/>
      <c r="BE39" s="124">
        <f t="shared" ref="BE39:BE48" si="50">BC39</f>
        <v>0</v>
      </c>
      <c r="BF39" s="124">
        <f t="shared" ref="BF39:BP49" si="51">BE39</f>
        <v>0</v>
      </c>
      <c r="BG39" s="124">
        <f t="shared" si="51"/>
        <v>0</v>
      </c>
      <c r="BH39" s="124">
        <f t="shared" si="51"/>
        <v>0</v>
      </c>
      <c r="BI39" s="124">
        <f t="shared" si="51"/>
        <v>0</v>
      </c>
      <c r="BJ39" s="124">
        <f t="shared" si="51"/>
        <v>0</v>
      </c>
      <c r="BK39" s="124">
        <f t="shared" si="51"/>
        <v>0</v>
      </c>
      <c r="BL39" s="124">
        <f t="shared" si="51"/>
        <v>0</v>
      </c>
      <c r="BM39" s="124">
        <f t="shared" si="51"/>
        <v>0</v>
      </c>
      <c r="BN39" s="124">
        <f t="shared" si="51"/>
        <v>0</v>
      </c>
      <c r="BO39" s="124">
        <f t="shared" si="51"/>
        <v>0</v>
      </c>
      <c r="BP39" s="124">
        <f t="shared" si="51"/>
        <v>0</v>
      </c>
      <c r="BQ39" s="124"/>
      <c r="BR39" s="124">
        <f t="shared" ref="BR39:BR48" si="52">BP39</f>
        <v>0</v>
      </c>
      <c r="BS39" s="124">
        <f t="shared" ref="BS39:CC49" si="53">BR39</f>
        <v>0</v>
      </c>
      <c r="BT39" s="124">
        <f t="shared" si="53"/>
        <v>0</v>
      </c>
      <c r="BU39" s="124">
        <f t="shared" si="53"/>
        <v>0</v>
      </c>
      <c r="BV39" s="124">
        <f t="shared" si="53"/>
        <v>0</v>
      </c>
      <c r="BW39" s="124">
        <f t="shared" si="53"/>
        <v>0</v>
      </c>
      <c r="BX39" s="124">
        <f t="shared" si="53"/>
        <v>0</v>
      </c>
      <c r="BY39" s="124">
        <f t="shared" si="53"/>
        <v>0</v>
      </c>
      <c r="BZ39" s="124">
        <f t="shared" si="53"/>
        <v>0</v>
      </c>
      <c r="CA39" s="124">
        <f t="shared" si="53"/>
        <v>0</v>
      </c>
      <c r="CB39" s="124">
        <f t="shared" si="53"/>
        <v>0</v>
      </c>
      <c r="CC39" s="124">
        <f t="shared" si="53"/>
        <v>0</v>
      </c>
      <c r="CD39" s="125"/>
      <c r="CE39" s="9">
        <f t="shared" ref="CE39:CE49" si="54">SUM(E39:P39)+SUM(R39:AC39)+SUM(AE39:AP39)+SUM(AR39:BC39)+SUM(BE39:BP39)+SUM(BR39:CC39)</f>
        <v>0</v>
      </c>
      <c r="CF39" s="126"/>
      <c r="CG39" s="9"/>
      <c r="CH39" s="8"/>
      <c r="CI39" s="7"/>
      <c r="CJ39" s="7"/>
      <c r="CK39" s="7"/>
      <c r="CL39" s="7"/>
      <c r="CM39" s="7"/>
      <c r="CN39" s="7"/>
      <c r="CO39" s="7"/>
    </row>
    <row r="40" spans="1:93">
      <c r="C40" s="8" t="str">
        <f t="shared" si="42"/>
        <v>Sr Project Manager</v>
      </c>
      <c r="D40" s="8" t="str">
        <f t="shared" si="42"/>
        <v>B4 PM3 (12 to 15 yrs)</v>
      </c>
      <c r="E40" s="124"/>
      <c r="F40" s="124">
        <f t="shared" si="43"/>
        <v>0</v>
      </c>
      <c r="G40" s="124">
        <f t="shared" si="43"/>
        <v>0</v>
      </c>
      <c r="H40" s="124">
        <f t="shared" si="43"/>
        <v>0</v>
      </c>
      <c r="I40" s="124">
        <f t="shared" si="43"/>
        <v>0</v>
      </c>
      <c r="J40" s="124">
        <f t="shared" si="43"/>
        <v>0</v>
      </c>
      <c r="K40" s="124">
        <f t="shared" si="43"/>
        <v>0</v>
      </c>
      <c r="L40" s="124">
        <f t="shared" si="43"/>
        <v>0</v>
      </c>
      <c r="M40" s="124">
        <f t="shared" si="43"/>
        <v>0</v>
      </c>
      <c r="N40" s="124">
        <f t="shared" si="43"/>
        <v>0</v>
      </c>
      <c r="O40" s="124">
        <f t="shared" si="43"/>
        <v>0</v>
      </c>
      <c r="P40" s="124">
        <f t="shared" si="43"/>
        <v>0</v>
      </c>
      <c r="Q40" s="124"/>
      <c r="R40" s="124">
        <f t="shared" si="44"/>
        <v>0</v>
      </c>
      <c r="S40" s="124">
        <f t="shared" si="45"/>
        <v>0</v>
      </c>
      <c r="T40" s="124">
        <f t="shared" si="45"/>
        <v>0</v>
      </c>
      <c r="U40" s="124">
        <f t="shared" si="45"/>
        <v>0</v>
      </c>
      <c r="V40" s="124">
        <f t="shared" si="45"/>
        <v>0</v>
      </c>
      <c r="W40" s="124">
        <f t="shared" si="45"/>
        <v>0</v>
      </c>
      <c r="X40" s="124">
        <f t="shared" si="45"/>
        <v>0</v>
      </c>
      <c r="Y40" s="124">
        <f t="shared" si="45"/>
        <v>0</v>
      </c>
      <c r="Z40" s="124">
        <f t="shared" si="45"/>
        <v>0</v>
      </c>
      <c r="AA40" s="124">
        <f t="shared" si="45"/>
        <v>0</v>
      </c>
      <c r="AB40" s="124">
        <f t="shared" si="45"/>
        <v>0</v>
      </c>
      <c r="AC40" s="124">
        <f t="shared" si="45"/>
        <v>0</v>
      </c>
      <c r="AD40" s="124"/>
      <c r="AE40" s="124">
        <f t="shared" si="46"/>
        <v>0</v>
      </c>
      <c r="AF40" s="124">
        <f t="shared" si="47"/>
        <v>0</v>
      </c>
      <c r="AG40" s="124">
        <f t="shared" si="47"/>
        <v>0</v>
      </c>
      <c r="AH40" s="124">
        <f t="shared" si="47"/>
        <v>0</v>
      </c>
      <c r="AI40" s="124">
        <f t="shared" si="47"/>
        <v>0</v>
      </c>
      <c r="AJ40" s="124">
        <f t="shared" si="47"/>
        <v>0</v>
      </c>
      <c r="AK40" s="124">
        <f t="shared" si="47"/>
        <v>0</v>
      </c>
      <c r="AL40" s="124">
        <f t="shared" si="47"/>
        <v>0</v>
      </c>
      <c r="AM40" s="124">
        <f t="shared" si="47"/>
        <v>0</v>
      </c>
      <c r="AN40" s="124">
        <f t="shared" si="47"/>
        <v>0</v>
      </c>
      <c r="AO40" s="124">
        <f t="shared" si="47"/>
        <v>0</v>
      </c>
      <c r="AP40" s="124">
        <f t="shared" si="47"/>
        <v>0</v>
      </c>
      <c r="AQ40" s="124"/>
      <c r="AR40" s="124">
        <f t="shared" si="48"/>
        <v>0</v>
      </c>
      <c r="AS40" s="124">
        <f t="shared" si="49"/>
        <v>0</v>
      </c>
      <c r="AT40" s="124">
        <f t="shared" si="49"/>
        <v>0</v>
      </c>
      <c r="AU40" s="124">
        <f t="shared" si="49"/>
        <v>0</v>
      </c>
      <c r="AV40" s="124">
        <f t="shared" si="49"/>
        <v>0</v>
      </c>
      <c r="AW40" s="124">
        <f t="shared" si="49"/>
        <v>0</v>
      </c>
      <c r="AX40" s="124">
        <f t="shared" si="49"/>
        <v>0</v>
      </c>
      <c r="AY40" s="124">
        <f t="shared" si="49"/>
        <v>0</v>
      </c>
      <c r="AZ40" s="124">
        <f t="shared" si="49"/>
        <v>0</v>
      </c>
      <c r="BA40" s="124">
        <f t="shared" si="49"/>
        <v>0</v>
      </c>
      <c r="BB40" s="124">
        <f t="shared" si="49"/>
        <v>0</v>
      </c>
      <c r="BC40" s="124">
        <f t="shared" si="49"/>
        <v>0</v>
      </c>
      <c r="BD40" s="124"/>
      <c r="BE40" s="124">
        <f t="shared" si="50"/>
        <v>0</v>
      </c>
      <c r="BF40" s="124">
        <f t="shared" si="51"/>
        <v>0</v>
      </c>
      <c r="BG40" s="124">
        <f t="shared" si="51"/>
        <v>0</v>
      </c>
      <c r="BH40" s="124">
        <f t="shared" si="51"/>
        <v>0</v>
      </c>
      <c r="BI40" s="124">
        <f t="shared" si="51"/>
        <v>0</v>
      </c>
      <c r="BJ40" s="124">
        <f t="shared" si="51"/>
        <v>0</v>
      </c>
      <c r="BK40" s="124">
        <f t="shared" si="51"/>
        <v>0</v>
      </c>
      <c r="BL40" s="124">
        <f t="shared" si="51"/>
        <v>0</v>
      </c>
      <c r="BM40" s="124">
        <f t="shared" si="51"/>
        <v>0</v>
      </c>
      <c r="BN40" s="124">
        <f t="shared" si="51"/>
        <v>0</v>
      </c>
      <c r="BO40" s="124">
        <f t="shared" si="51"/>
        <v>0</v>
      </c>
      <c r="BP40" s="124">
        <f t="shared" si="51"/>
        <v>0</v>
      </c>
      <c r="BQ40" s="124"/>
      <c r="BR40" s="124">
        <f t="shared" si="52"/>
        <v>0</v>
      </c>
      <c r="BS40" s="124">
        <f t="shared" si="53"/>
        <v>0</v>
      </c>
      <c r="BT40" s="124">
        <f t="shared" si="53"/>
        <v>0</v>
      </c>
      <c r="BU40" s="124">
        <f t="shared" si="53"/>
        <v>0</v>
      </c>
      <c r="BV40" s="124">
        <f t="shared" si="53"/>
        <v>0</v>
      </c>
      <c r="BW40" s="124">
        <f t="shared" si="53"/>
        <v>0</v>
      </c>
      <c r="BX40" s="124">
        <f t="shared" si="53"/>
        <v>0</v>
      </c>
      <c r="BY40" s="124">
        <f t="shared" si="53"/>
        <v>0</v>
      </c>
      <c r="BZ40" s="124">
        <f t="shared" si="53"/>
        <v>0</v>
      </c>
      <c r="CA40" s="124">
        <f t="shared" si="53"/>
        <v>0</v>
      </c>
      <c r="CB40" s="124">
        <f t="shared" si="53"/>
        <v>0</v>
      </c>
      <c r="CC40" s="124">
        <f t="shared" si="53"/>
        <v>0</v>
      </c>
      <c r="CD40" s="125"/>
      <c r="CE40" s="9">
        <f t="shared" si="54"/>
        <v>0</v>
      </c>
      <c r="CF40" s="126"/>
      <c r="CG40" s="9"/>
      <c r="CH40" s="8"/>
      <c r="CI40" s="7"/>
      <c r="CJ40" s="7"/>
      <c r="CK40" s="7"/>
      <c r="CL40" s="7"/>
      <c r="CM40" s="7"/>
      <c r="CN40" s="7"/>
      <c r="CO40" s="7"/>
    </row>
    <row r="41" spans="1:93">
      <c r="A41" s="1">
        <v>3</v>
      </c>
      <c r="B41" s="1">
        <v>1</v>
      </c>
      <c r="C41" s="8" t="str">
        <f t="shared" si="42"/>
        <v>Project Manager</v>
      </c>
      <c r="D41" s="8" t="str">
        <f t="shared" si="42"/>
        <v>B4 PM2 (10 to 14 yrs)</v>
      </c>
      <c r="E41" s="124"/>
      <c r="F41" s="124">
        <f t="shared" si="43"/>
        <v>0</v>
      </c>
      <c r="G41" s="124">
        <f t="shared" si="43"/>
        <v>0</v>
      </c>
      <c r="H41" s="124">
        <f t="shared" si="43"/>
        <v>0</v>
      </c>
      <c r="I41" s="124">
        <f t="shared" si="43"/>
        <v>0</v>
      </c>
      <c r="J41" s="124">
        <f t="shared" si="43"/>
        <v>0</v>
      </c>
      <c r="K41" s="124">
        <f t="shared" si="43"/>
        <v>0</v>
      </c>
      <c r="L41" s="124">
        <f t="shared" si="43"/>
        <v>0</v>
      </c>
      <c r="M41" s="124">
        <f t="shared" si="43"/>
        <v>0</v>
      </c>
      <c r="N41" s="124">
        <f t="shared" si="43"/>
        <v>0</v>
      </c>
      <c r="O41" s="124">
        <f t="shared" si="43"/>
        <v>0</v>
      </c>
      <c r="P41" s="124">
        <f t="shared" si="43"/>
        <v>0</v>
      </c>
      <c r="Q41" s="124"/>
      <c r="R41" s="124">
        <f t="shared" si="44"/>
        <v>0</v>
      </c>
      <c r="S41" s="124">
        <f t="shared" si="45"/>
        <v>0</v>
      </c>
      <c r="T41" s="124">
        <f t="shared" si="45"/>
        <v>0</v>
      </c>
      <c r="U41" s="124">
        <f t="shared" si="45"/>
        <v>0</v>
      </c>
      <c r="V41" s="124">
        <f t="shared" si="45"/>
        <v>0</v>
      </c>
      <c r="W41" s="124">
        <f t="shared" si="45"/>
        <v>0</v>
      </c>
      <c r="X41" s="124">
        <f t="shared" si="45"/>
        <v>0</v>
      </c>
      <c r="Y41" s="124">
        <f t="shared" si="45"/>
        <v>0</v>
      </c>
      <c r="Z41" s="124">
        <f t="shared" si="45"/>
        <v>0</v>
      </c>
      <c r="AA41" s="124">
        <f t="shared" si="45"/>
        <v>0</v>
      </c>
      <c r="AB41" s="124">
        <f t="shared" si="45"/>
        <v>0</v>
      </c>
      <c r="AC41" s="124">
        <f t="shared" si="45"/>
        <v>0</v>
      </c>
      <c r="AD41" s="124"/>
      <c r="AE41" s="124">
        <f t="shared" si="46"/>
        <v>0</v>
      </c>
      <c r="AF41" s="124">
        <f t="shared" si="47"/>
        <v>0</v>
      </c>
      <c r="AG41" s="124">
        <f t="shared" si="47"/>
        <v>0</v>
      </c>
      <c r="AH41" s="124">
        <f t="shared" si="47"/>
        <v>0</v>
      </c>
      <c r="AI41" s="124">
        <f t="shared" si="47"/>
        <v>0</v>
      </c>
      <c r="AJ41" s="124">
        <f t="shared" si="47"/>
        <v>0</v>
      </c>
      <c r="AK41" s="124">
        <f t="shared" si="47"/>
        <v>0</v>
      </c>
      <c r="AL41" s="124">
        <f t="shared" si="47"/>
        <v>0</v>
      </c>
      <c r="AM41" s="124">
        <f t="shared" si="47"/>
        <v>0</v>
      </c>
      <c r="AN41" s="124">
        <f t="shared" si="47"/>
        <v>0</v>
      </c>
      <c r="AO41" s="124">
        <f t="shared" si="47"/>
        <v>0</v>
      </c>
      <c r="AP41" s="124">
        <f t="shared" si="47"/>
        <v>0</v>
      </c>
      <c r="AQ41" s="124"/>
      <c r="AR41" s="124">
        <f t="shared" si="48"/>
        <v>0</v>
      </c>
      <c r="AS41" s="124">
        <f t="shared" si="49"/>
        <v>0</v>
      </c>
      <c r="AT41" s="124">
        <f t="shared" si="49"/>
        <v>0</v>
      </c>
      <c r="AU41" s="124">
        <f t="shared" si="49"/>
        <v>0</v>
      </c>
      <c r="AV41" s="124">
        <f t="shared" si="49"/>
        <v>0</v>
      </c>
      <c r="AW41" s="124">
        <f t="shared" si="49"/>
        <v>0</v>
      </c>
      <c r="AX41" s="124">
        <f t="shared" si="49"/>
        <v>0</v>
      </c>
      <c r="AY41" s="124">
        <f t="shared" si="49"/>
        <v>0</v>
      </c>
      <c r="AZ41" s="124">
        <f t="shared" si="49"/>
        <v>0</v>
      </c>
      <c r="BA41" s="124">
        <f t="shared" si="49"/>
        <v>0</v>
      </c>
      <c r="BB41" s="124">
        <f t="shared" si="49"/>
        <v>0</v>
      </c>
      <c r="BC41" s="124">
        <f t="shared" si="49"/>
        <v>0</v>
      </c>
      <c r="BD41" s="124"/>
      <c r="BE41" s="124">
        <f t="shared" si="50"/>
        <v>0</v>
      </c>
      <c r="BF41" s="124">
        <f t="shared" si="51"/>
        <v>0</v>
      </c>
      <c r="BG41" s="124">
        <f t="shared" si="51"/>
        <v>0</v>
      </c>
      <c r="BH41" s="124">
        <f t="shared" si="51"/>
        <v>0</v>
      </c>
      <c r="BI41" s="124">
        <f t="shared" si="51"/>
        <v>0</v>
      </c>
      <c r="BJ41" s="124">
        <f t="shared" si="51"/>
        <v>0</v>
      </c>
      <c r="BK41" s="124">
        <f t="shared" si="51"/>
        <v>0</v>
      </c>
      <c r="BL41" s="124">
        <f t="shared" si="51"/>
        <v>0</v>
      </c>
      <c r="BM41" s="124">
        <f t="shared" si="51"/>
        <v>0</v>
      </c>
      <c r="BN41" s="124">
        <f t="shared" si="51"/>
        <v>0</v>
      </c>
      <c r="BO41" s="124">
        <f t="shared" si="51"/>
        <v>0</v>
      </c>
      <c r="BP41" s="124">
        <f t="shared" si="51"/>
        <v>0</v>
      </c>
      <c r="BQ41" s="124"/>
      <c r="BR41" s="124">
        <f t="shared" si="52"/>
        <v>0</v>
      </c>
      <c r="BS41" s="124">
        <f t="shared" si="53"/>
        <v>0</v>
      </c>
      <c r="BT41" s="124">
        <f t="shared" si="53"/>
        <v>0</v>
      </c>
      <c r="BU41" s="124">
        <f t="shared" si="53"/>
        <v>0</v>
      </c>
      <c r="BV41" s="124">
        <f t="shared" si="53"/>
        <v>0</v>
      </c>
      <c r="BW41" s="124">
        <f t="shared" si="53"/>
        <v>0</v>
      </c>
      <c r="BX41" s="124">
        <f t="shared" si="53"/>
        <v>0</v>
      </c>
      <c r="BY41" s="124">
        <f t="shared" si="53"/>
        <v>0</v>
      </c>
      <c r="BZ41" s="124">
        <f t="shared" si="53"/>
        <v>0</v>
      </c>
      <c r="CA41" s="124">
        <f t="shared" si="53"/>
        <v>0</v>
      </c>
      <c r="CB41" s="124">
        <f t="shared" si="53"/>
        <v>0</v>
      </c>
      <c r="CC41" s="124">
        <f t="shared" si="53"/>
        <v>0</v>
      </c>
      <c r="CD41" s="125"/>
      <c r="CE41" s="9">
        <f t="shared" si="54"/>
        <v>0</v>
      </c>
      <c r="CF41" s="126"/>
      <c r="CG41" s="9"/>
      <c r="CH41" s="8"/>
      <c r="CI41" s="7"/>
      <c r="CJ41" s="7"/>
      <c r="CK41" s="7"/>
      <c r="CL41" s="7"/>
      <c r="CM41" s="7"/>
      <c r="CN41" s="7"/>
      <c r="CO41" s="7"/>
    </row>
    <row r="42" spans="1:93">
      <c r="A42" s="1">
        <v>3</v>
      </c>
      <c r="B42" s="1">
        <v>2</v>
      </c>
      <c r="C42" s="8" t="str">
        <f t="shared" si="42"/>
        <v>Jr Project Manager</v>
      </c>
      <c r="D42" s="8" t="str">
        <f t="shared" si="42"/>
        <v>B4 PM1 (9 to 12 yrs)</v>
      </c>
      <c r="E42" s="124"/>
      <c r="F42" s="124">
        <f t="shared" si="43"/>
        <v>0</v>
      </c>
      <c r="G42" s="124">
        <f t="shared" si="43"/>
        <v>0</v>
      </c>
      <c r="H42" s="124">
        <f t="shared" si="43"/>
        <v>0</v>
      </c>
      <c r="I42" s="124">
        <f t="shared" si="43"/>
        <v>0</v>
      </c>
      <c r="J42" s="124">
        <f t="shared" si="43"/>
        <v>0</v>
      </c>
      <c r="K42" s="124">
        <f t="shared" si="43"/>
        <v>0</v>
      </c>
      <c r="L42" s="124">
        <f t="shared" si="43"/>
        <v>0</v>
      </c>
      <c r="M42" s="124">
        <f t="shared" si="43"/>
        <v>0</v>
      </c>
      <c r="N42" s="124">
        <f t="shared" si="43"/>
        <v>0</v>
      </c>
      <c r="O42" s="124">
        <f t="shared" si="43"/>
        <v>0</v>
      </c>
      <c r="P42" s="124">
        <f t="shared" si="43"/>
        <v>0</v>
      </c>
      <c r="Q42" s="124"/>
      <c r="R42" s="124">
        <f t="shared" si="44"/>
        <v>0</v>
      </c>
      <c r="S42" s="124">
        <f t="shared" si="45"/>
        <v>0</v>
      </c>
      <c r="T42" s="124">
        <f t="shared" si="45"/>
        <v>0</v>
      </c>
      <c r="U42" s="124">
        <f t="shared" si="45"/>
        <v>0</v>
      </c>
      <c r="V42" s="124">
        <f t="shared" si="45"/>
        <v>0</v>
      </c>
      <c r="W42" s="124">
        <f t="shared" si="45"/>
        <v>0</v>
      </c>
      <c r="X42" s="124">
        <f t="shared" si="45"/>
        <v>0</v>
      </c>
      <c r="Y42" s="124">
        <f t="shared" si="45"/>
        <v>0</v>
      </c>
      <c r="Z42" s="124">
        <f t="shared" si="45"/>
        <v>0</v>
      </c>
      <c r="AA42" s="124">
        <f t="shared" si="45"/>
        <v>0</v>
      </c>
      <c r="AB42" s="124">
        <f t="shared" si="45"/>
        <v>0</v>
      </c>
      <c r="AC42" s="124">
        <f t="shared" si="45"/>
        <v>0</v>
      </c>
      <c r="AD42" s="124"/>
      <c r="AE42" s="124">
        <f t="shared" si="46"/>
        <v>0</v>
      </c>
      <c r="AF42" s="124">
        <f t="shared" si="47"/>
        <v>0</v>
      </c>
      <c r="AG42" s="124">
        <f t="shared" si="47"/>
        <v>0</v>
      </c>
      <c r="AH42" s="124">
        <f t="shared" si="47"/>
        <v>0</v>
      </c>
      <c r="AI42" s="124">
        <f t="shared" si="47"/>
        <v>0</v>
      </c>
      <c r="AJ42" s="124">
        <f t="shared" si="47"/>
        <v>0</v>
      </c>
      <c r="AK42" s="124">
        <f t="shared" si="47"/>
        <v>0</v>
      </c>
      <c r="AL42" s="124">
        <f t="shared" si="47"/>
        <v>0</v>
      </c>
      <c r="AM42" s="124">
        <f t="shared" si="47"/>
        <v>0</v>
      </c>
      <c r="AN42" s="124">
        <f t="shared" si="47"/>
        <v>0</v>
      </c>
      <c r="AO42" s="124">
        <f t="shared" si="47"/>
        <v>0</v>
      </c>
      <c r="AP42" s="124">
        <f t="shared" si="47"/>
        <v>0</v>
      </c>
      <c r="AQ42" s="124"/>
      <c r="AR42" s="124">
        <f t="shared" si="48"/>
        <v>0</v>
      </c>
      <c r="AS42" s="124">
        <f t="shared" si="49"/>
        <v>0</v>
      </c>
      <c r="AT42" s="124">
        <f t="shared" si="49"/>
        <v>0</v>
      </c>
      <c r="AU42" s="124">
        <f t="shared" si="49"/>
        <v>0</v>
      </c>
      <c r="AV42" s="124">
        <f t="shared" si="49"/>
        <v>0</v>
      </c>
      <c r="AW42" s="124">
        <f t="shared" si="49"/>
        <v>0</v>
      </c>
      <c r="AX42" s="124">
        <f t="shared" si="49"/>
        <v>0</v>
      </c>
      <c r="AY42" s="124">
        <f t="shared" si="49"/>
        <v>0</v>
      </c>
      <c r="AZ42" s="124">
        <f t="shared" si="49"/>
        <v>0</v>
      </c>
      <c r="BA42" s="124">
        <f t="shared" si="49"/>
        <v>0</v>
      </c>
      <c r="BB42" s="124">
        <f t="shared" si="49"/>
        <v>0</v>
      </c>
      <c r="BC42" s="124">
        <f t="shared" si="49"/>
        <v>0</v>
      </c>
      <c r="BD42" s="124"/>
      <c r="BE42" s="124">
        <f t="shared" si="50"/>
        <v>0</v>
      </c>
      <c r="BF42" s="124">
        <f t="shared" si="51"/>
        <v>0</v>
      </c>
      <c r="BG42" s="124">
        <f t="shared" si="51"/>
        <v>0</v>
      </c>
      <c r="BH42" s="124">
        <f t="shared" si="51"/>
        <v>0</v>
      </c>
      <c r="BI42" s="124">
        <f t="shared" si="51"/>
        <v>0</v>
      </c>
      <c r="BJ42" s="124">
        <f t="shared" si="51"/>
        <v>0</v>
      </c>
      <c r="BK42" s="124">
        <f t="shared" si="51"/>
        <v>0</v>
      </c>
      <c r="BL42" s="124">
        <f t="shared" si="51"/>
        <v>0</v>
      </c>
      <c r="BM42" s="124">
        <f t="shared" si="51"/>
        <v>0</v>
      </c>
      <c r="BN42" s="124">
        <f t="shared" si="51"/>
        <v>0</v>
      </c>
      <c r="BO42" s="124">
        <f t="shared" si="51"/>
        <v>0</v>
      </c>
      <c r="BP42" s="124">
        <f t="shared" si="51"/>
        <v>0</v>
      </c>
      <c r="BQ42" s="124"/>
      <c r="BR42" s="124">
        <f t="shared" si="52"/>
        <v>0</v>
      </c>
      <c r="BS42" s="124">
        <f t="shared" si="53"/>
        <v>0</v>
      </c>
      <c r="BT42" s="124">
        <f t="shared" si="53"/>
        <v>0</v>
      </c>
      <c r="BU42" s="124">
        <f t="shared" si="53"/>
        <v>0</v>
      </c>
      <c r="BV42" s="124">
        <f t="shared" si="53"/>
        <v>0</v>
      </c>
      <c r="BW42" s="124">
        <f t="shared" si="53"/>
        <v>0</v>
      </c>
      <c r="BX42" s="124">
        <f t="shared" si="53"/>
        <v>0</v>
      </c>
      <c r="BY42" s="124">
        <f t="shared" si="53"/>
        <v>0</v>
      </c>
      <c r="BZ42" s="124">
        <f t="shared" si="53"/>
        <v>0</v>
      </c>
      <c r="CA42" s="124">
        <f t="shared" si="53"/>
        <v>0</v>
      </c>
      <c r="CB42" s="124">
        <f t="shared" si="53"/>
        <v>0</v>
      </c>
      <c r="CC42" s="124">
        <f t="shared" si="53"/>
        <v>0</v>
      </c>
      <c r="CD42" s="125"/>
      <c r="CE42" s="9">
        <f t="shared" si="54"/>
        <v>0</v>
      </c>
      <c r="CF42" s="126"/>
      <c r="CG42" s="9"/>
      <c r="CH42" s="8"/>
      <c r="CI42" s="7"/>
      <c r="CJ42" s="7"/>
      <c r="CK42" s="7"/>
      <c r="CL42" s="7"/>
      <c r="CM42" s="7"/>
      <c r="CN42" s="7"/>
      <c r="CO42" s="7"/>
    </row>
    <row r="43" spans="1:93">
      <c r="A43" s="1">
        <v>3</v>
      </c>
      <c r="B43" s="1">
        <v>3</v>
      </c>
      <c r="C43" s="8" t="str">
        <f t="shared" si="42"/>
        <v>Sr Project Leader</v>
      </c>
      <c r="D43" s="8" t="str">
        <f t="shared" si="42"/>
        <v>B3 PL3 (7 to 10 yrs)</v>
      </c>
      <c r="E43" s="124"/>
      <c r="F43" s="124">
        <f t="shared" si="43"/>
        <v>0</v>
      </c>
      <c r="G43" s="124">
        <f t="shared" si="43"/>
        <v>0</v>
      </c>
      <c r="H43" s="124">
        <f t="shared" si="43"/>
        <v>0</v>
      </c>
      <c r="I43" s="124">
        <f t="shared" si="43"/>
        <v>0</v>
      </c>
      <c r="J43" s="124">
        <f t="shared" si="43"/>
        <v>0</v>
      </c>
      <c r="K43" s="124">
        <f t="shared" si="43"/>
        <v>0</v>
      </c>
      <c r="L43" s="124">
        <f t="shared" si="43"/>
        <v>0</v>
      </c>
      <c r="M43" s="124">
        <f t="shared" si="43"/>
        <v>0</v>
      </c>
      <c r="N43" s="124">
        <f t="shared" si="43"/>
        <v>0</v>
      </c>
      <c r="O43" s="124">
        <f t="shared" si="43"/>
        <v>0</v>
      </c>
      <c r="P43" s="124">
        <f t="shared" si="43"/>
        <v>0</v>
      </c>
      <c r="Q43" s="124"/>
      <c r="R43" s="124">
        <f t="shared" si="44"/>
        <v>0</v>
      </c>
      <c r="S43" s="124">
        <f t="shared" si="45"/>
        <v>0</v>
      </c>
      <c r="T43" s="124">
        <f t="shared" si="45"/>
        <v>0</v>
      </c>
      <c r="U43" s="124">
        <f t="shared" si="45"/>
        <v>0</v>
      </c>
      <c r="V43" s="124">
        <f t="shared" si="45"/>
        <v>0</v>
      </c>
      <c r="W43" s="124">
        <f t="shared" si="45"/>
        <v>0</v>
      </c>
      <c r="X43" s="124">
        <f t="shared" si="45"/>
        <v>0</v>
      </c>
      <c r="Y43" s="124">
        <f t="shared" si="45"/>
        <v>0</v>
      </c>
      <c r="Z43" s="124">
        <f t="shared" si="45"/>
        <v>0</v>
      </c>
      <c r="AA43" s="124">
        <f t="shared" si="45"/>
        <v>0</v>
      </c>
      <c r="AB43" s="124">
        <f t="shared" si="45"/>
        <v>0</v>
      </c>
      <c r="AC43" s="124">
        <f t="shared" si="45"/>
        <v>0</v>
      </c>
      <c r="AD43" s="124"/>
      <c r="AE43" s="124">
        <f t="shared" si="46"/>
        <v>0</v>
      </c>
      <c r="AF43" s="124">
        <f t="shared" si="47"/>
        <v>0</v>
      </c>
      <c r="AG43" s="124">
        <f t="shared" si="47"/>
        <v>0</v>
      </c>
      <c r="AH43" s="124">
        <f t="shared" si="47"/>
        <v>0</v>
      </c>
      <c r="AI43" s="124">
        <f t="shared" si="47"/>
        <v>0</v>
      </c>
      <c r="AJ43" s="124">
        <f t="shared" si="47"/>
        <v>0</v>
      </c>
      <c r="AK43" s="124">
        <f t="shared" si="47"/>
        <v>0</v>
      </c>
      <c r="AL43" s="124">
        <f t="shared" si="47"/>
        <v>0</v>
      </c>
      <c r="AM43" s="124">
        <f t="shared" si="47"/>
        <v>0</v>
      </c>
      <c r="AN43" s="124">
        <f t="shared" si="47"/>
        <v>0</v>
      </c>
      <c r="AO43" s="124">
        <f t="shared" si="47"/>
        <v>0</v>
      </c>
      <c r="AP43" s="124">
        <f t="shared" si="47"/>
        <v>0</v>
      </c>
      <c r="AQ43" s="124"/>
      <c r="AR43" s="124">
        <f t="shared" si="48"/>
        <v>0</v>
      </c>
      <c r="AS43" s="124">
        <f t="shared" si="49"/>
        <v>0</v>
      </c>
      <c r="AT43" s="124">
        <f t="shared" si="49"/>
        <v>0</v>
      </c>
      <c r="AU43" s="124">
        <f t="shared" si="49"/>
        <v>0</v>
      </c>
      <c r="AV43" s="124">
        <f t="shared" si="49"/>
        <v>0</v>
      </c>
      <c r="AW43" s="124">
        <f t="shared" si="49"/>
        <v>0</v>
      </c>
      <c r="AX43" s="124">
        <f t="shared" si="49"/>
        <v>0</v>
      </c>
      <c r="AY43" s="124">
        <f t="shared" si="49"/>
        <v>0</v>
      </c>
      <c r="AZ43" s="124">
        <f t="shared" si="49"/>
        <v>0</v>
      </c>
      <c r="BA43" s="124">
        <f t="shared" si="49"/>
        <v>0</v>
      </c>
      <c r="BB43" s="124">
        <f t="shared" si="49"/>
        <v>0</v>
      </c>
      <c r="BC43" s="124">
        <f t="shared" si="49"/>
        <v>0</v>
      </c>
      <c r="BD43" s="124"/>
      <c r="BE43" s="124">
        <f t="shared" si="50"/>
        <v>0</v>
      </c>
      <c r="BF43" s="124">
        <f t="shared" si="51"/>
        <v>0</v>
      </c>
      <c r="BG43" s="124">
        <f t="shared" si="51"/>
        <v>0</v>
      </c>
      <c r="BH43" s="124">
        <f t="shared" si="51"/>
        <v>0</v>
      </c>
      <c r="BI43" s="124">
        <f t="shared" si="51"/>
        <v>0</v>
      </c>
      <c r="BJ43" s="124">
        <f t="shared" si="51"/>
        <v>0</v>
      </c>
      <c r="BK43" s="124">
        <f t="shared" si="51"/>
        <v>0</v>
      </c>
      <c r="BL43" s="124">
        <f t="shared" si="51"/>
        <v>0</v>
      </c>
      <c r="BM43" s="124">
        <f t="shared" si="51"/>
        <v>0</v>
      </c>
      <c r="BN43" s="124">
        <f t="shared" si="51"/>
        <v>0</v>
      </c>
      <c r="BO43" s="124">
        <f t="shared" si="51"/>
        <v>0</v>
      </c>
      <c r="BP43" s="124">
        <f t="shared" si="51"/>
        <v>0</v>
      </c>
      <c r="BQ43" s="124"/>
      <c r="BR43" s="124">
        <f t="shared" si="52"/>
        <v>0</v>
      </c>
      <c r="BS43" s="124">
        <f t="shared" si="53"/>
        <v>0</v>
      </c>
      <c r="BT43" s="124">
        <f t="shared" si="53"/>
        <v>0</v>
      </c>
      <c r="BU43" s="124">
        <f t="shared" si="53"/>
        <v>0</v>
      </c>
      <c r="BV43" s="124">
        <f t="shared" si="53"/>
        <v>0</v>
      </c>
      <c r="BW43" s="124">
        <f t="shared" si="53"/>
        <v>0</v>
      </c>
      <c r="BX43" s="124">
        <f t="shared" si="53"/>
        <v>0</v>
      </c>
      <c r="BY43" s="124">
        <f t="shared" si="53"/>
        <v>0</v>
      </c>
      <c r="BZ43" s="124">
        <f t="shared" si="53"/>
        <v>0</v>
      </c>
      <c r="CA43" s="124">
        <f t="shared" si="53"/>
        <v>0</v>
      </c>
      <c r="CB43" s="124">
        <f t="shared" si="53"/>
        <v>0</v>
      </c>
      <c r="CC43" s="124">
        <f t="shared" si="53"/>
        <v>0</v>
      </c>
      <c r="CD43" s="125"/>
      <c r="CE43" s="9">
        <f t="shared" si="54"/>
        <v>0</v>
      </c>
      <c r="CF43" s="126"/>
      <c r="CG43" s="9"/>
      <c r="CH43" s="8"/>
      <c r="CI43" s="7"/>
      <c r="CJ43" s="7"/>
      <c r="CK43" s="7"/>
      <c r="CL43" s="7"/>
      <c r="CM43" s="7"/>
      <c r="CN43" s="7"/>
      <c r="CO43" s="7"/>
    </row>
    <row r="44" spans="1:93">
      <c r="A44" s="1">
        <v>3</v>
      </c>
      <c r="B44" s="1">
        <v>4</v>
      </c>
      <c r="C44" s="8" t="str">
        <f t="shared" si="42"/>
        <v>Project Leader</v>
      </c>
      <c r="D44" s="8" t="str">
        <f t="shared" si="42"/>
        <v>B3 PL2 (6 to 8 yrs)</v>
      </c>
      <c r="E44" s="124"/>
      <c r="F44" s="124">
        <f t="shared" si="43"/>
        <v>0</v>
      </c>
      <c r="G44" s="124">
        <f t="shared" si="43"/>
        <v>0</v>
      </c>
      <c r="H44" s="124">
        <f t="shared" si="43"/>
        <v>0</v>
      </c>
      <c r="I44" s="124">
        <f t="shared" si="43"/>
        <v>0</v>
      </c>
      <c r="J44" s="124">
        <f t="shared" si="43"/>
        <v>0</v>
      </c>
      <c r="K44" s="124">
        <f t="shared" si="43"/>
        <v>0</v>
      </c>
      <c r="L44" s="124">
        <f t="shared" si="43"/>
        <v>0</v>
      </c>
      <c r="M44" s="124">
        <f t="shared" si="43"/>
        <v>0</v>
      </c>
      <c r="N44" s="124">
        <f t="shared" si="43"/>
        <v>0</v>
      </c>
      <c r="O44" s="124">
        <f t="shared" si="43"/>
        <v>0</v>
      </c>
      <c r="P44" s="124">
        <f t="shared" si="43"/>
        <v>0</v>
      </c>
      <c r="Q44" s="124"/>
      <c r="R44" s="124">
        <f t="shared" si="44"/>
        <v>0</v>
      </c>
      <c r="S44" s="124">
        <f t="shared" si="45"/>
        <v>0</v>
      </c>
      <c r="T44" s="124">
        <f t="shared" si="45"/>
        <v>0</v>
      </c>
      <c r="U44" s="124">
        <f t="shared" si="45"/>
        <v>0</v>
      </c>
      <c r="V44" s="124">
        <f t="shared" si="45"/>
        <v>0</v>
      </c>
      <c r="W44" s="124">
        <f t="shared" si="45"/>
        <v>0</v>
      </c>
      <c r="X44" s="124">
        <f t="shared" si="45"/>
        <v>0</v>
      </c>
      <c r="Y44" s="124">
        <f t="shared" si="45"/>
        <v>0</v>
      </c>
      <c r="Z44" s="124">
        <f t="shared" si="45"/>
        <v>0</v>
      </c>
      <c r="AA44" s="124">
        <f t="shared" si="45"/>
        <v>0</v>
      </c>
      <c r="AB44" s="124">
        <f t="shared" si="45"/>
        <v>0</v>
      </c>
      <c r="AC44" s="124">
        <f t="shared" si="45"/>
        <v>0</v>
      </c>
      <c r="AD44" s="124"/>
      <c r="AE44" s="124">
        <f t="shared" si="46"/>
        <v>0</v>
      </c>
      <c r="AF44" s="124">
        <f t="shared" si="47"/>
        <v>0</v>
      </c>
      <c r="AG44" s="124">
        <f t="shared" si="47"/>
        <v>0</v>
      </c>
      <c r="AH44" s="124">
        <f t="shared" si="47"/>
        <v>0</v>
      </c>
      <c r="AI44" s="124">
        <f t="shared" si="47"/>
        <v>0</v>
      </c>
      <c r="AJ44" s="124">
        <f t="shared" si="47"/>
        <v>0</v>
      </c>
      <c r="AK44" s="124">
        <f t="shared" si="47"/>
        <v>0</v>
      </c>
      <c r="AL44" s="124">
        <f t="shared" si="47"/>
        <v>0</v>
      </c>
      <c r="AM44" s="124">
        <f t="shared" si="47"/>
        <v>0</v>
      </c>
      <c r="AN44" s="124">
        <f t="shared" si="47"/>
        <v>0</v>
      </c>
      <c r="AO44" s="124">
        <f t="shared" si="47"/>
        <v>0</v>
      </c>
      <c r="AP44" s="124">
        <f t="shared" si="47"/>
        <v>0</v>
      </c>
      <c r="AQ44" s="124"/>
      <c r="AR44" s="124">
        <f t="shared" si="48"/>
        <v>0</v>
      </c>
      <c r="AS44" s="124">
        <f t="shared" si="49"/>
        <v>0</v>
      </c>
      <c r="AT44" s="124">
        <f t="shared" si="49"/>
        <v>0</v>
      </c>
      <c r="AU44" s="124">
        <f t="shared" si="49"/>
        <v>0</v>
      </c>
      <c r="AV44" s="124">
        <f t="shared" si="49"/>
        <v>0</v>
      </c>
      <c r="AW44" s="124">
        <f t="shared" si="49"/>
        <v>0</v>
      </c>
      <c r="AX44" s="124">
        <f t="shared" si="49"/>
        <v>0</v>
      </c>
      <c r="AY44" s="124">
        <f t="shared" si="49"/>
        <v>0</v>
      </c>
      <c r="AZ44" s="124">
        <f t="shared" si="49"/>
        <v>0</v>
      </c>
      <c r="BA44" s="124">
        <f t="shared" si="49"/>
        <v>0</v>
      </c>
      <c r="BB44" s="124">
        <f t="shared" si="49"/>
        <v>0</v>
      </c>
      <c r="BC44" s="124">
        <f t="shared" si="49"/>
        <v>0</v>
      </c>
      <c r="BD44" s="124"/>
      <c r="BE44" s="124">
        <f t="shared" si="50"/>
        <v>0</v>
      </c>
      <c r="BF44" s="124">
        <f t="shared" si="51"/>
        <v>0</v>
      </c>
      <c r="BG44" s="124">
        <f t="shared" si="51"/>
        <v>0</v>
      </c>
      <c r="BH44" s="124">
        <f t="shared" si="51"/>
        <v>0</v>
      </c>
      <c r="BI44" s="124">
        <f t="shared" si="51"/>
        <v>0</v>
      </c>
      <c r="BJ44" s="124">
        <f t="shared" si="51"/>
        <v>0</v>
      </c>
      <c r="BK44" s="124">
        <f t="shared" si="51"/>
        <v>0</v>
      </c>
      <c r="BL44" s="124">
        <f t="shared" si="51"/>
        <v>0</v>
      </c>
      <c r="BM44" s="124">
        <f t="shared" si="51"/>
        <v>0</v>
      </c>
      <c r="BN44" s="124">
        <f t="shared" si="51"/>
        <v>0</v>
      </c>
      <c r="BO44" s="124">
        <f t="shared" si="51"/>
        <v>0</v>
      </c>
      <c r="BP44" s="124">
        <f t="shared" si="51"/>
        <v>0</v>
      </c>
      <c r="BQ44" s="124"/>
      <c r="BR44" s="124">
        <f t="shared" si="52"/>
        <v>0</v>
      </c>
      <c r="BS44" s="124">
        <f t="shared" si="53"/>
        <v>0</v>
      </c>
      <c r="BT44" s="124">
        <f t="shared" si="53"/>
        <v>0</v>
      </c>
      <c r="BU44" s="124">
        <f t="shared" si="53"/>
        <v>0</v>
      </c>
      <c r="BV44" s="124">
        <f t="shared" si="53"/>
        <v>0</v>
      </c>
      <c r="BW44" s="124">
        <f t="shared" si="53"/>
        <v>0</v>
      </c>
      <c r="BX44" s="124">
        <f t="shared" si="53"/>
        <v>0</v>
      </c>
      <c r="BY44" s="124">
        <f t="shared" si="53"/>
        <v>0</v>
      </c>
      <c r="BZ44" s="124">
        <f t="shared" si="53"/>
        <v>0</v>
      </c>
      <c r="CA44" s="124">
        <f t="shared" si="53"/>
        <v>0</v>
      </c>
      <c r="CB44" s="124">
        <f t="shared" si="53"/>
        <v>0</v>
      </c>
      <c r="CC44" s="124">
        <f t="shared" si="53"/>
        <v>0</v>
      </c>
      <c r="CD44" s="125"/>
      <c r="CE44" s="9">
        <f t="shared" si="54"/>
        <v>0</v>
      </c>
      <c r="CF44" s="126"/>
      <c r="CG44" s="9"/>
      <c r="CH44" s="8"/>
      <c r="CI44" s="7"/>
      <c r="CJ44" s="7"/>
      <c r="CK44" s="7"/>
      <c r="CL44" s="7"/>
      <c r="CM44" s="7"/>
      <c r="CN44" s="7"/>
      <c r="CO44" s="7"/>
    </row>
    <row r="45" spans="1:93">
      <c r="A45" s="1">
        <v>3</v>
      </c>
      <c r="B45" s="1">
        <v>5</v>
      </c>
      <c r="C45" s="8" t="str">
        <f t="shared" si="42"/>
        <v>Jr Project Leader</v>
      </c>
      <c r="D45" s="8" t="str">
        <f t="shared" si="42"/>
        <v>B3 PL1 (5 to 7 yrs)</v>
      </c>
      <c r="E45" s="124"/>
      <c r="F45" s="124">
        <f t="shared" si="43"/>
        <v>0</v>
      </c>
      <c r="G45" s="124">
        <f t="shared" si="43"/>
        <v>0</v>
      </c>
      <c r="H45" s="124">
        <f t="shared" si="43"/>
        <v>0</v>
      </c>
      <c r="I45" s="124">
        <f t="shared" si="43"/>
        <v>0</v>
      </c>
      <c r="J45" s="124">
        <f t="shared" si="43"/>
        <v>0</v>
      </c>
      <c r="K45" s="124">
        <f t="shared" si="43"/>
        <v>0</v>
      </c>
      <c r="L45" s="124">
        <f t="shared" si="43"/>
        <v>0</v>
      </c>
      <c r="M45" s="124">
        <f t="shared" si="43"/>
        <v>0</v>
      </c>
      <c r="N45" s="124">
        <f t="shared" si="43"/>
        <v>0</v>
      </c>
      <c r="O45" s="124">
        <f t="shared" si="43"/>
        <v>0</v>
      </c>
      <c r="P45" s="124">
        <f t="shared" si="43"/>
        <v>0</v>
      </c>
      <c r="Q45" s="124"/>
      <c r="R45" s="124">
        <f t="shared" si="44"/>
        <v>0</v>
      </c>
      <c r="S45" s="124">
        <f t="shared" si="45"/>
        <v>0</v>
      </c>
      <c r="T45" s="124">
        <f t="shared" si="45"/>
        <v>0</v>
      </c>
      <c r="U45" s="124">
        <f t="shared" si="45"/>
        <v>0</v>
      </c>
      <c r="V45" s="124">
        <f t="shared" si="45"/>
        <v>0</v>
      </c>
      <c r="W45" s="124">
        <f t="shared" si="45"/>
        <v>0</v>
      </c>
      <c r="X45" s="124">
        <f t="shared" si="45"/>
        <v>0</v>
      </c>
      <c r="Y45" s="124">
        <f t="shared" si="45"/>
        <v>0</v>
      </c>
      <c r="Z45" s="124">
        <f t="shared" si="45"/>
        <v>0</v>
      </c>
      <c r="AA45" s="124">
        <f t="shared" si="45"/>
        <v>0</v>
      </c>
      <c r="AB45" s="124">
        <f t="shared" si="45"/>
        <v>0</v>
      </c>
      <c r="AC45" s="124">
        <f t="shared" si="45"/>
        <v>0</v>
      </c>
      <c r="AD45" s="124"/>
      <c r="AE45" s="124">
        <f t="shared" si="46"/>
        <v>0</v>
      </c>
      <c r="AF45" s="124">
        <f t="shared" si="47"/>
        <v>0</v>
      </c>
      <c r="AG45" s="124">
        <f t="shared" si="47"/>
        <v>0</v>
      </c>
      <c r="AH45" s="124">
        <f t="shared" si="47"/>
        <v>0</v>
      </c>
      <c r="AI45" s="124">
        <f t="shared" si="47"/>
        <v>0</v>
      </c>
      <c r="AJ45" s="124">
        <f t="shared" si="47"/>
        <v>0</v>
      </c>
      <c r="AK45" s="124">
        <f t="shared" si="47"/>
        <v>0</v>
      </c>
      <c r="AL45" s="124">
        <f t="shared" si="47"/>
        <v>0</v>
      </c>
      <c r="AM45" s="124">
        <f t="shared" si="47"/>
        <v>0</v>
      </c>
      <c r="AN45" s="124">
        <f t="shared" si="47"/>
        <v>0</v>
      </c>
      <c r="AO45" s="124">
        <f t="shared" si="47"/>
        <v>0</v>
      </c>
      <c r="AP45" s="124">
        <f t="shared" si="47"/>
        <v>0</v>
      </c>
      <c r="AQ45" s="124"/>
      <c r="AR45" s="124">
        <f t="shared" si="48"/>
        <v>0</v>
      </c>
      <c r="AS45" s="124">
        <f t="shared" si="49"/>
        <v>0</v>
      </c>
      <c r="AT45" s="124">
        <f t="shared" si="49"/>
        <v>0</v>
      </c>
      <c r="AU45" s="124">
        <f t="shared" si="49"/>
        <v>0</v>
      </c>
      <c r="AV45" s="124">
        <f t="shared" si="49"/>
        <v>0</v>
      </c>
      <c r="AW45" s="124">
        <f t="shared" si="49"/>
        <v>0</v>
      </c>
      <c r="AX45" s="124">
        <f t="shared" si="49"/>
        <v>0</v>
      </c>
      <c r="AY45" s="124">
        <f t="shared" si="49"/>
        <v>0</v>
      </c>
      <c r="AZ45" s="124">
        <f t="shared" si="49"/>
        <v>0</v>
      </c>
      <c r="BA45" s="124">
        <f t="shared" si="49"/>
        <v>0</v>
      </c>
      <c r="BB45" s="124">
        <f t="shared" si="49"/>
        <v>0</v>
      </c>
      <c r="BC45" s="124">
        <f t="shared" si="49"/>
        <v>0</v>
      </c>
      <c r="BD45" s="124"/>
      <c r="BE45" s="124">
        <f t="shared" si="50"/>
        <v>0</v>
      </c>
      <c r="BF45" s="124">
        <f t="shared" si="51"/>
        <v>0</v>
      </c>
      <c r="BG45" s="124">
        <f t="shared" si="51"/>
        <v>0</v>
      </c>
      <c r="BH45" s="124">
        <f t="shared" si="51"/>
        <v>0</v>
      </c>
      <c r="BI45" s="124">
        <f t="shared" si="51"/>
        <v>0</v>
      </c>
      <c r="BJ45" s="124">
        <f t="shared" si="51"/>
        <v>0</v>
      </c>
      <c r="BK45" s="124">
        <f t="shared" si="51"/>
        <v>0</v>
      </c>
      <c r="BL45" s="124">
        <f t="shared" si="51"/>
        <v>0</v>
      </c>
      <c r="BM45" s="124">
        <f t="shared" si="51"/>
        <v>0</v>
      </c>
      <c r="BN45" s="124">
        <f t="shared" si="51"/>
        <v>0</v>
      </c>
      <c r="BO45" s="124">
        <f t="shared" si="51"/>
        <v>0</v>
      </c>
      <c r="BP45" s="124">
        <f t="shared" si="51"/>
        <v>0</v>
      </c>
      <c r="BQ45" s="124"/>
      <c r="BR45" s="124">
        <f t="shared" si="52"/>
        <v>0</v>
      </c>
      <c r="BS45" s="124">
        <f t="shared" si="53"/>
        <v>0</v>
      </c>
      <c r="BT45" s="124">
        <f t="shared" si="53"/>
        <v>0</v>
      </c>
      <c r="BU45" s="124">
        <f t="shared" si="53"/>
        <v>0</v>
      </c>
      <c r="BV45" s="124">
        <f t="shared" si="53"/>
        <v>0</v>
      </c>
      <c r="BW45" s="124">
        <f t="shared" si="53"/>
        <v>0</v>
      </c>
      <c r="BX45" s="124">
        <f t="shared" si="53"/>
        <v>0</v>
      </c>
      <c r="BY45" s="124">
        <f t="shared" si="53"/>
        <v>0</v>
      </c>
      <c r="BZ45" s="124">
        <f t="shared" si="53"/>
        <v>0</v>
      </c>
      <c r="CA45" s="124">
        <f t="shared" si="53"/>
        <v>0</v>
      </c>
      <c r="CB45" s="124">
        <f t="shared" si="53"/>
        <v>0</v>
      </c>
      <c r="CC45" s="124">
        <f t="shared" si="53"/>
        <v>0</v>
      </c>
      <c r="CD45" s="125"/>
      <c r="CE45" s="9">
        <f t="shared" si="54"/>
        <v>0</v>
      </c>
      <c r="CF45" s="126"/>
      <c r="CG45" s="9"/>
      <c r="CH45" s="8"/>
      <c r="CI45" s="7"/>
      <c r="CJ45" s="7"/>
      <c r="CK45" s="7"/>
      <c r="CL45" s="7"/>
      <c r="CM45" s="7"/>
      <c r="CN45" s="7"/>
      <c r="CO45" s="7"/>
    </row>
    <row r="46" spans="1:93">
      <c r="A46" s="1">
        <v>3</v>
      </c>
      <c r="B46" s="1">
        <v>6</v>
      </c>
      <c r="C46" s="8" t="str">
        <f t="shared" si="42"/>
        <v>Sr Developer</v>
      </c>
      <c r="D46" s="8" t="str">
        <f t="shared" si="42"/>
        <v>B2 AP3 (3 to 5 yrs)</v>
      </c>
      <c r="E46" s="124"/>
      <c r="F46" s="124">
        <f t="shared" si="43"/>
        <v>0</v>
      </c>
      <c r="G46" s="124">
        <f t="shared" si="43"/>
        <v>0</v>
      </c>
      <c r="H46" s="124">
        <f t="shared" si="43"/>
        <v>0</v>
      </c>
      <c r="I46" s="124">
        <f t="shared" si="43"/>
        <v>0</v>
      </c>
      <c r="J46" s="124">
        <f t="shared" si="43"/>
        <v>0</v>
      </c>
      <c r="K46" s="124">
        <f t="shared" si="43"/>
        <v>0</v>
      </c>
      <c r="L46" s="124">
        <f t="shared" si="43"/>
        <v>0</v>
      </c>
      <c r="M46" s="124">
        <f t="shared" si="43"/>
        <v>0</v>
      </c>
      <c r="N46" s="124">
        <f t="shared" si="43"/>
        <v>0</v>
      </c>
      <c r="O46" s="124">
        <f t="shared" si="43"/>
        <v>0</v>
      </c>
      <c r="P46" s="124">
        <f t="shared" si="43"/>
        <v>0</v>
      </c>
      <c r="Q46" s="124"/>
      <c r="R46" s="124">
        <f t="shared" si="44"/>
        <v>0</v>
      </c>
      <c r="S46" s="124">
        <f t="shared" si="45"/>
        <v>0</v>
      </c>
      <c r="T46" s="124">
        <f t="shared" si="45"/>
        <v>0</v>
      </c>
      <c r="U46" s="124">
        <f t="shared" si="45"/>
        <v>0</v>
      </c>
      <c r="V46" s="124">
        <f t="shared" si="45"/>
        <v>0</v>
      </c>
      <c r="W46" s="124">
        <f t="shared" si="45"/>
        <v>0</v>
      </c>
      <c r="X46" s="124">
        <f t="shared" si="45"/>
        <v>0</v>
      </c>
      <c r="Y46" s="124">
        <f t="shared" si="45"/>
        <v>0</v>
      </c>
      <c r="Z46" s="124">
        <f t="shared" si="45"/>
        <v>0</v>
      </c>
      <c r="AA46" s="124">
        <f t="shared" si="45"/>
        <v>0</v>
      </c>
      <c r="AB46" s="124">
        <f t="shared" si="45"/>
        <v>0</v>
      </c>
      <c r="AC46" s="124">
        <f t="shared" si="45"/>
        <v>0</v>
      </c>
      <c r="AD46" s="124"/>
      <c r="AE46" s="124">
        <f t="shared" si="46"/>
        <v>0</v>
      </c>
      <c r="AF46" s="124">
        <f t="shared" si="47"/>
        <v>0</v>
      </c>
      <c r="AG46" s="124">
        <f t="shared" si="47"/>
        <v>0</v>
      </c>
      <c r="AH46" s="124">
        <f t="shared" si="47"/>
        <v>0</v>
      </c>
      <c r="AI46" s="124">
        <f t="shared" si="47"/>
        <v>0</v>
      </c>
      <c r="AJ46" s="124">
        <f t="shared" si="47"/>
        <v>0</v>
      </c>
      <c r="AK46" s="124">
        <f t="shared" si="47"/>
        <v>0</v>
      </c>
      <c r="AL46" s="124">
        <f t="shared" si="47"/>
        <v>0</v>
      </c>
      <c r="AM46" s="124">
        <f t="shared" si="47"/>
        <v>0</v>
      </c>
      <c r="AN46" s="124">
        <f t="shared" si="47"/>
        <v>0</v>
      </c>
      <c r="AO46" s="124">
        <f t="shared" si="47"/>
        <v>0</v>
      </c>
      <c r="AP46" s="124">
        <f t="shared" si="47"/>
        <v>0</v>
      </c>
      <c r="AQ46" s="124"/>
      <c r="AR46" s="124">
        <f t="shared" si="48"/>
        <v>0</v>
      </c>
      <c r="AS46" s="124">
        <f t="shared" si="49"/>
        <v>0</v>
      </c>
      <c r="AT46" s="124">
        <f t="shared" si="49"/>
        <v>0</v>
      </c>
      <c r="AU46" s="124">
        <f t="shared" si="49"/>
        <v>0</v>
      </c>
      <c r="AV46" s="124">
        <f t="shared" si="49"/>
        <v>0</v>
      </c>
      <c r="AW46" s="124">
        <f t="shared" si="49"/>
        <v>0</v>
      </c>
      <c r="AX46" s="124">
        <f t="shared" si="49"/>
        <v>0</v>
      </c>
      <c r="AY46" s="124">
        <f t="shared" si="49"/>
        <v>0</v>
      </c>
      <c r="AZ46" s="124">
        <f t="shared" si="49"/>
        <v>0</v>
      </c>
      <c r="BA46" s="124">
        <f t="shared" si="49"/>
        <v>0</v>
      </c>
      <c r="BB46" s="124">
        <f t="shared" si="49"/>
        <v>0</v>
      </c>
      <c r="BC46" s="124">
        <f t="shared" si="49"/>
        <v>0</v>
      </c>
      <c r="BD46" s="124"/>
      <c r="BE46" s="124">
        <f t="shared" si="50"/>
        <v>0</v>
      </c>
      <c r="BF46" s="124">
        <f t="shared" si="51"/>
        <v>0</v>
      </c>
      <c r="BG46" s="124">
        <f t="shared" si="51"/>
        <v>0</v>
      </c>
      <c r="BH46" s="124">
        <f t="shared" si="51"/>
        <v>0</v>
      </c>
      <c r="BI46" s="124">
        <f t="shared" si="51"/>
        <v>0</v>
      </c>
      <c r="BJ46" s="124">
        <f t="shared" si="51"/>
        <v>0</v>
      </c>
      <c r="BK46" s="124">
        <f t="shared" si="51"/>
        <v>0</v>
      </c>
      <c r="BL46" s="124">
        <f t="shared" si="51"/>
        <v>0</v>
      </c>
      <c r="BM46" s="124">
        <f t="shared" si="51"/>
        <v>0</v>
      </c>
      <c r="BN46" s="124">
        <f t="shared" si="51"/>
        <v>0</v>
      </c>
      <c r="BO46" s="124">
        <f t="shared" si="51"/>
        <v>0</v>
      </c>
      <c r="BP46" s="124">
        <f t="shared" si="51"/>
        <v>0</v>
      </c>
      <c r="BQ46" s="124"/>
      <c r="BR46" s="124">
        <f t="shared" si="52"/>
        <v>0</v>
      </c>
      <c r="BS46" s="124">
        <f t="shared" si="53"/>
        <v>0</v>
      </c>
      <c r="BT46" s="124">
        <f t="shared" si="53"/>
        <v>0</v>
      </c>
      <c r="BU46" s="124">
        <f t="shared" si="53"/>
        <v>0</v>
      </c>
      <c r="BV46" s="124">
        <f t="shared" si="53"/>
        <v>0</v>
      </c>
      <c r="BW46" s="124">
        <f t="shared" si="53"/>
        <v>0</v>
      </c>
      <c r="BX46" s="124">
        <f t="shared" si="53"/>
        <v>0</v>
      </c>
      <c r="BY46" s="124">
        <f t="shared" si="53"/>
        <v>0</v>
      </c>
      <c r="BZ46" s="124">
        <f t="shared" si="53"/>
        <v>0</v>
      </c>
      <c r="CA46" s="124">
        <f t="shared" si="53"/>
        <v>0</v>
      </c>
      <c r="CB46" s="124">
        <f t="shared" si="53"/>
        <v>0</v>
      </c>
      <c r="CC46" s="124">
        <f t="shared" si="53"/>
        <v>0</v>
      </c>
      <c r="CD46" s="125"/>
      <c r="CE46" s="9">
        <f t="shared" si="54"/>
        <v>0</v>
      </c>
      <c r="CF46" s="126"/>
      <c r="CG46" s="9"/>
      <c r="CH46" s="8"/>
      <c r="CI46" s="7"/>
      <c r="CJ46" s="7"/>
      <c r="CK46" s="7"/>
      <c r="CL46" s="7"/>
      <c r="CM46" s="7"/>
      <c r="CN46" s="7"/>
      <c r="CO46" s="7"/>
    </row>
    <row r="47" spans="1:93">
      <c r="A47" s="1">
        <v>3</v>
      </c>
      <c r="B47" s="1">
        <v>7</v>
      </c>
      <c r="C47" s="8" t="str">
        <f>C32</f>
        <v>Jr Developer</v>
      </c>
      <c r="D47" s="8" t="str">
        <f>D32</f>
        <v>B2 AP2 (0.6 to 3 yrs)</v>
      </c>
      <c r="E47" s="124"/>
      <c r="F47" s="124">
        <f t="shared" si="43"/>
        <v>0</v>
      </c>
      <c r="G47" s="124">
        <f t="shared" si="43"/>
        <v>0</v>
      </c>
      <c r="H47" s="124">
        <f t="shared" si="43"/>
        <v>0</v>
      </c>
      <c r="I47" s="124">
        <f t="shared" si="43"/>
        <v>0</v>
      </c>
      <c r="J47" s="124">
        <f t="shared" si="43"/>
        <v>0</v>
      </c>
      <c r="K47" s="124">
        <f t="shared" si="43"/>
        <v>0</v>
      </c>
      <c r="L47" s="124">
        <f t="shared" si="43"/>
        <v>0</v>
      </c>
      <c r="M47" s="124">
        <f t="shared" si="43"/>
        <v>0</v>
      </c>
      <c r="N47" s="124">
        <f t="shared" si="43"/>
        <v>0</v>
      </c>
      <c r="O47" s="124">
        <f t="shared" si="43"/>
        <v>0</v>
      </c>
      <c r="P47" s="124">
        <f t="shared" si="43"/>
        <v>0</v>
      </c>
      <c r="Q47" s="124"/>
      <c r="R47" s="124">
        <f t="shared" si="44"/>
        <v>0</v>
      </c>
      <c r="S47" s="124">
        <f t="shared" si="45"/>
        <v>0</v>
      </c>
      <c r="T47" s="124">
        <f t="shared" si="45"/>
        <v>0</v>
      </c>
      <c r="U47" s="124">
        <f t="shared" si="45"/>
        <v>0</v>
      </c>
      <c r="V47" s="124">
        <f t="shared" si="45"/>
        <v>0</v>
      </c>
      <c r="W47" s="124">
        <f t="shared" si="45"/>
        <v>0</v>
      </c>
      <c r="X47" s="124">
        <f t="shared" si="45"/>
        <v>0</v>
      </c>
      <c r="Y47" s="124">
        <f t="shared" si="45"/>
        <v>0</v>
      </c>
      <c r="Z47" s="124">
        <f t="shared" si="45"/>
        <v>0</v>
      </c>
      <c r="AA47" s="124">
        <f t="shared" si="45"/>
        <v>0</v>
      </c>
      <c r="AB47" s="124">
        <f t="shared" si="45"/>
        <v>0</v>
      </c>
      <c r="AC47" s="124">
        <f t="shared" si="45"/>
        <v>0</v>
      </c>
      <c r="AD47" s="124"/>
      <c r="AE47" s="124">
        <f t="shared" si="46"/>
        <v>0</v>
      </c>
      <c r="AF47" s="124">
        <f t="shared" si="47"/>
        <v>0</v>
      </c>
      <c r="AG47" s="124">
        <f t="shared" si="47"/>
        <v>0</v>
      </c>
      <c r="AH47" s="124">
        <f t="shared" si="47"/>
        <v>0</v>
      </c>
      <c r="AI47" s="124">
        <f t="shared" si="47"/>
        <v>0</v>
      </c>
      <c r="AJ47" s="124">
        <f t="shared" si="47"/>
        <v>0</v>
      </c>
      <c r="AK47" s="124">
        <f t="shared" si="47"/>
        <v>0</v>
      </c>
      <c r="AL47" s="124">
        <f t="shared" si="47"/>
        <v>0</v>
      </c>
      <c r="AM47" s="124">
        <f t="shared" si="47"/>
        <v>0</v>
      </c>
      <c r="AN47" s="124">
        <f t="shared" si="47"/>
        <v>0</v>
      </c>
      <c r="AO47" s="124">
        <f t="shared" si="47"/>
        <v>0</v>
      </c>
      <c r="AP47" s="124">
        <f t="shared" si="47"/>
        <v>0</v>
      </c>
      <c r="AQ47" s="124"/>
      <c r="AR47" s="124">
        <f t="shared" si="48"/>
        <v>0</v>
      </c>
      <c r="AS47" s="124">
        <f t="shared" si="49"/>
        <v>0</v>
      </c>
      <c r="AT47" s="124">
        <f t="shared" si="49"/>
        <v>0</v>
      </c>
      <c r="AU47" s="124">
        <f t="shared" si="49"/>
        <v>0</v>
      </c>
      <c r="AV47" s="124">
        <f t="shared" si="49"/>
        <v>0</v>
      </c>
      <c r="AW47" s="124">
        <f t="shared" si="49"/>
        <v>0</v>
      </c>
      <c r="AX47" s="124">
        <f t="shared" si="49"/>
        <v>0</v>
      </c>
      <c r="AY47" s="124">
        <f t="shared" si="49"/>
        <v>0</v>
      </c>
      <c r="AZ47" s="124">
        <f t="shared" si="49"/>
        <v>0</v>
      </c>
      <c r="BA47" s="124">
        <f t="shared" si="49"/>
        <v>0</v>
      </c>
      <c r="BB47" s="124">
        <f t="shared" si="49"/>
        <v>0</v>
      </c>
      <c r="BC47" s="124">
        <f t="shared" si="49"/>
        <v>0</v>
      </c>
      <c r="BD47" s="124"/>
      <c r="BE47" s="124">
        <f t="shared" si="50"/>
        <v>0</v>
      </c>
      <c r="BF47" s="124">
        <f t="shared" si="51"/>
        <v>0</v>
      </c>
      <c r="BG47" s="124">
        <f t="shared" si="51"/>
        <v>0</v>
      </c>
      <c r="BH47" s="124">
        <f t="shared" si="51"/>
        <v>0</v>
      </c>
      <c r="BI47" s="124">
        <f t="shared" si="51"/>
        <v>0</v>
      </c>
      <c r="BJ47" s="124">
        <f t="shared" si="51"/>
        <v>0</v>
      </c>
      <c r="BK47" s="124">
        <f t="shared" si="51"/>
        <v>0</v>
      </c>
      <c r="BL47" s="124">
        <f t="shared" si="51"/>
        <v>0</v>
      </c>
      <c r="BM47" s="124">
        <f t="shared" si="51"/>
        <v>0</v>
      </c>
      <c r="BN47" s="124">
        <f t="shared" si="51"/>
        <v>0</v>
      </c>
      <c r="BO47" s="124">
        <f t="shared" si="51"/>
        <v>0</v>
      </c>
      <c r="BP47" s="124">
        <f t="shared" si="51"/>
        <v>0</v>
      </c>
      <c r="BQ47" s="124"/>
      <c r="BR47" s="124">
        <f t="shared" si="52"/>
        <v>0</v>
      </c>
      <c r="BS47" s="124">
        <f t="shared" si="53"/>
        <v>0</v>
      </c>
      <c r="BT47" s="124">
        <f t="shared" si="53"/>
        <v>0</v>
      </c>
      <c r="BU47" s="124">
        <f t="shared" si="53"/>
        <v>0</v>
      </c>
      <c r="BV47" s="124">
        <f t="shared" si="53"/>
        <v>0</v>
      </c>
      <c r="BW47" s="124">
        <f t="shared" si="53"/>
        <v>0</v>
      </c>
      <c r="BX47" s="124">
        <f t="shared" si="53"/>
        <v>0</v>
      </c>
      <c r="BY47" s="124">
        <f t="shared" si="53"/>
        <v>0</v>
      </c>
      <c r="BZ47" s="124">
        <f t="shared" si="53"/>
        <v>0</v>
      </c>
      <c r="CA47" s="124">
        <f t="shared" si="53"/>
        <v>0</v>
      </c>
      <c r="CB47" s="124">
        <f t="shared" si="53"/>
        <v>0</v>
      </c>
      <c r="CC47" s="124">
        <f t="shared" si="53"/>
        <v>0</v>
      </c>
      <c r="CD47" s="125"/>
      <c r="CE47" s="9">
        <f t="shared" si="54"/>
        <v>0</v>
      </c>
      <c r="CF47" s="126"/>
      <c r="CG47" s="9"/>
      <c r="CH47" s="8"/>
      <c r="CI47" s="7"/>
      <c r="CJ47" s="7"/>
      <c r="CK47" s="7"/>
      <c r="CL47" s="7"/>
      <c r="CM47" s="7"/>
      <c r="CN47" s="7"/>
      <c r="CO47" s="7"/>
    </row>
    <row r="48" spans="1:93">
      <c r="A48" s="1">
        <v>3</v>
      </c>
      <c r="B48" s="1">
        <v>8</v>
      </c>
      <c r="C48" s="8" t="str">
        <f>C33</f>
        <v>Trainees</v>
      </c>
      <c r="D48" s="8" t="str">
        <f>D33</f>
        <v>B2 AP1</v>
      </c>
      <c r="E48" s="124"/>
      <c r="F48" s="124">
        <f t="shared" si="43"/>
        <v>0</v>
      </c>
      <c r="G48" s="124">
        <f t="shared" si="43"/>
        <v>0</v>
      </c>
      <c r="H48" s="124">
        <f t="shared" si="43"/>
        <v>0</v>
      </c>
      <c r="I48" s="124">
        <f t="shared" si="43"/>
        <v>0</v>
      </c>
      <c r="J48" s="124">
        <f t="shared" si="43"/>
        <v>0</v>
      </c>
      <c r="K48" s="124">
        <f t="shared" si="43"/>
        <v>0</v>
      </c>
      <c r="L48" s="124">
        <f t="shared" si="43"/>
        <v>0</v>
      </c>
      <c r="M48" s="124">
        <f t="shared" si="43"/>
        <v>0</v>
      </c>
      <c r="N48" s="124">
        <f t="shared" si="43"/>
        <v>0</v>
      </c>
      <c r="O48" s="124">
        <f t="shared" si="43"/>
        <v>0</v>
      </c>
      <c r="P48" s="124">
        <f t="shared" si="43"/>
        <v>0</v>
      </c>
      <c r="Q48" s="124"/>
      <c r="R48" s="124">
        <f t="shared" si="44"/>
        <v>0</v>
      </c>
      <c r="S48" s="124">
        <f t="shared" si="45"/>
        <v>0</v>
      </c>
      <c r="T48" s="124">
        <f t="shared" si="45"/>
        <v>0</v>
      </c>
      <c r="U48" s="124">
        <f t="shared" si="45"/>
        <v>0</v>
      </c>
      <c r="V48" s="124">
        <f t="shared" si="45"/>
        <v>0</v>
      </c>
      <c r="W48" s="124">
        <f t="shared" si="45"/>
        <v>0</v>
      </c>
      <c r="X48" s="124">
        <f t="shared" si="45"/>
        <v>0</v>
      </c>
      <c r="Y48" s="124">
        <f t="shared" si="45"/>
        <v>0</v>
      </c>
      <c r="Z48" s="124">
        <f t="shared" si="45"/>
        <v>0</v>
      </c>
      <c r="AA48" s="124">
        <f t="shared" si="45"/>
        <v>0</v>
      </c>
      <c r="AB48" s="124">
        <f t="shared" si="45"/>
        <v>0</v>
      </c>
      <c r="AC48" s="124">
        <f t="shared" si="45"/>
        <v>0</v>
      </c>
      <c r="AD48" s="124"/>
      <c r="AE48" s="124">
        <f t="shared" si="46"/>
        <v>0</v>
      </c>
      <c r="AF48" s="124">
        <f t="shared" si="47"/>
        <v>0</v>
      </c>
      <c r="AG48" s="124">
        <f t="shared" si="47"/>
        <v>0</v>
      </c>
      <c r="AH48" s="124">
        <f t="shared" si="47"/>
        <v>0</v>
      </c>
      <c r="AI48" s="124">
        <f t="shared" si="47"/>
        <v>0</v>
      </c>
      <c r="AJ48" s="124">
        <f t="shared" si="47"/>
        <v>0</v>
      </c>
      <c r="AK48" s="124">
        <f t="shared" si="47"/>
        <v>0</v>
      </c>
      <c r="AL48" s="124">
        <f t="shared" si="47"/>
        <v>0</v>
      </c>
      <c r="AM48" s="124">
        <f t="shared" si="47"/>
        <v>0</v>
      </c>
      <c r="AN48" s="124">
        <f t="shared" si="47"/>
        <v>0</v>
      </c>
      <c r="AO48" s="124">
        <f t="shared" si="47"/>
        <v>0</v>
      </c>
      <c r="AP48" s="124">
        <f t="shared" si="47"/>
        <v>0</v>
      </c>
      <c r="AQ48" s="124"/>
      <c r="AR48" s="124">
        <f t="shared" si="48"/>
        <v>0</v>
      </c>
      <c r="AS48" s="124">
        <f t="shared" si="49"/>
        <v>0</v>
      </c>
      <c r="AT48" s="124">
        <f t="shared" si="49"/>
        <v>0</v>
      </c>
      <c r="AU48" s="124">
        <f t="shared" si="49"/>
        <v>0</v>
      </c>
      <c r="AV48" s="124">
        <f t="shared" si="49"/>
        <v>0</v>
      </c>
      <c r="AW48" s="124">
        <f t="shared" si="49"/>
        <v>0</v>
      </c>
      <c r="AX48" s="124">
        <f t="shared" si="49"/>
        <v>0</v>
      </c>
      <c r="AY48" s="124">
        <f t="shared" si="49"/>
        <v>0</v>
      </c>
      <c r="AZ48" s="124">
        <f t="shared" si="49"/>
        <v>0</v>
      </c>
      <c r="BA48" s="124">
        <f t="shared" si="49"/>
        <v>0</v>
      </c>
      <c r="BB48" s="124">
        <f t="shared" si="49"/>
        <v>0</v>
      </c>
      <c r="BC48" s="124">
        <f t="shared" si="49"/>
        <v>0</v>
      </c>
      <c r="BD48" s="124"/>
      <c r="BE48" s="124">
        <f t="shared" si="50"/>
        <v>0</v>
      </c>
      <c r="BF48" s="124">
        <f t="shared" si="51"/>
        <v>0</v>
      </c>
      <c r="BG48" s="124">
        <f t="shared" si="51"/>
        <v>0</v>
      </c>
      <c r="BH48" s="124">
        <f t="shared" si="51"/>
        <v>0</v>
      </c>
      <c r="BI48" s="124">
        <f t="shared" si="51"/>
        <v>0</v>
      </c>
      <c r="BJ48" s="124">
        <f t="shared" si="51"/>
        <v>0</v>
      </c>
      <c r="BK48" s="124">
        <f t="shared" si="51"/>
        <v>0</v>
      </c>
      <c r="BL48" s="124">
        <f t="shared" si="51"/>
        <v>0</v>
      </c>
      <c r="BM48" s="124">
        <f t="shared" si="51"/>
        <v>0</v>
      </c>
      <c r="BN48" s="124">
        <f t="shared" si="51"/>
        <v>0</v>
      </c>
      <c r="BO48" s="124">
        <f t="shared" si="51"/>
        <v>0</v>
      </c>
      <c r="BP48" s="124">
        <f t="shared" si="51"/>
        <v>0</v>
      </c>
      <c r="BQ48" s="124"/>
      <c r="BR48" s="124">
        <f t="shared" si="52"/>
        <v>0</v>
      </c>
      <c r="BS48" s="124">
        <f t="shared" si="53"/>
        <v>0</v>
      </c>
      <c r="BT48" s="124">
        <f t="shared" si="53"/>
        <v>0</v>
      </c>
      <c r="BU48" s="124">
        <f t="shared" si="53"/>
        <v>0</v>
      </c>
      <c r="BV48" s="124">
        <f t="shared" si="53"/>
        <v>0</v>
      </c>
      <c r="BW48" s="124">
        <f t="shared" si="53"/>
        <v>0</v>
      </c>
      <c r="BX48" s="124">
        <f t="shared" si="53"/>
        <v>0</v>
      </c>
      <c r="BY48" s="124">
        <f t="shared" si="53"/>
        <v>0</v>
      </c>
      <c r="BZ48" s="124">
        <f t="shared" si="53"/>
        <v>0</v>
      </c>
      <c r="CA48" s="124">
        <f t="shared" si="53"/>
        <v>0</v>
      </c>
      <c r="CB48" s="124">
        <f t="shared" si="53"/>
        <v>0</v>
      </c>
      <c r="CC48" s="124">
        <f t="shared" si="53"/>
        <v>0</v>
      </c>
      <c r="CD48" s="125"/>
      <c r="CE48" s="9">
        <f>SUM(E48:P48)+SUM(R48:AC48)+SUM(AE48:AP48)+SUM(AR48:BC48)+SUM(BE48:BP48)+SUM(BR48:CC48)</f>
        <v>0</v>
      </c>
      <c r="CF48" s="126"/>
      <c r="CG48" s="9"/>
      <c r="CI48" s="7"/>
      <c r="CJ48" s="7"/>
      <c r="CK48" s="7"/>
      <c r="CL48" s="7"/>
      <c r="CM48" s="7"/>
      <c r="CN48" s="7"/>
      <c r="CO48" s="7"/>
    </row>
    <row r="49" spans="1:93" hidden="1">
      <c r="A49" s="1">
        <v>3</v>
      </c>
      <c r="B49" s="1">
        <v>9</v>
      </c>
      <c r="C49" s="8" t="s">
        <v>26</v>
      </c>
      <c r="D49" s="8">
        <v>0</v>
      </c>
      <c r="E49" s="125"/>
      <c r="F49" s="125">
        <f t="shared" si="43"/>
        <v>0</v>
      </c>
      <c r="G49" s="125">
        <f t="shared" si="43"/>
        <v>0</v>
      </c>
      <c r="H49" s="125">
        <f t="shared" si="43"/>
        <v>0</v>
      </c>
      <c r="I49" s="125">
        <f t="shared" si="43"/>
        <v>0</v>
      </c>
      <c r="J49" s="125">
        <f t="shared" si="43"/>
        <v>0</v>
      </c>
      <c r="K49" s="125">
        <f t="shared" si="43"/>
        <v>0</v>
      </c>
      <c r="L49" s="125">
        <f t="shared" si="43"/>
        <v>0</v>
      </c>
      <c r="M49" s="125">
        <f t="shared" si="43"/>
        <v>0</v>
      </c>
      <c r="N49" s="125">
        <f t="shared" si="43"/>
        <v>0</v>
      </c>
      <c r="O49" s="125">
        <f t="shared" si="43"/>
        <v>0</v>
      </c>
      <c r="P49" s="125">
        <f t="shared" si="43"/>
        <v>0</v>
      </c>
      <c r="Q49" s="10"/>
      <c r="R49" s="125">
        <f>P49</f>
        <v>0</v>
      </c>
      <c r="S49" s="125">
        <f t="shared" si="45"/>
        <v>0</v>
      </c>
      <c r="T49" s="125">
        <f t="shared" si="45"/>
        <v>0</v>
      </c>
      <c r="U49" s="125">
        <f t="shared" si="45"/>
        <v>0</v>
      </c>
      <c r="V49" s="125">
        <f t="shared" si="45"/>
        <v>0</v>
      </c>
      <c r="W49" s="125">
        <f t="shared" si="45"/>
        <v>0</v>
      </c>
      <c r="X49" s="125">
        <f t="shared" si="45"/>
        <v>0</v>
      </c>
      <c r="Y49" s="125">
        <f t="shared" si="45"/>
        <v>0</v>
      </c>
      <c r="Z49" s="125">
        <f t="shared" si="45"/>
        <v>0</v>
      </c>
      <c r="AA49" s="125">
        <f t="shared" si="45"/>
        <v>0</v>
      </c>
      <c r="AB49" s="125">
        <f t="shared" si="45"/>
        <v>0</v>
      </c>
      <c r="AC49" s="125">
        <f t="shared" si="45"/>
        <v>0</v>
      </c>
      <c r="AD49" s="10"/>
      <c r="AE49" s="125">
        <f>AC49</f>
        <v>0</v>
      </c>
      <c r="AF49" s="125">
        <f t="shared" si="47"/>
        <v>0</v>
      </c>
      <c r="AG49" s="125">
        <f t="shared" si="47"/>
        <v>0</v>
      </c>
      <c r="AH49" s="125">
        <f t="shared" si="47"/>
        <v>0</v>
      </c>
      <c r="AI49" s="125">
        <f t="shared" si="47"/>
        <v>0</v>
      </c>
      <c r="AJ49" s="125">
        <f t="shared" si="47"/>
        <v>0</v>
      </c>
      <c r="AK49" s="125">
        <f t="shared" si="47"/>
        <v>0</v>
      </c>
      <c r="AL49" s="125">
        <f t="shared" si="47"/>
        <v>0</v>
      </c>
      <c r="AM49" s="125">
        <f t="shared" si="47"/>
        <v>0</v>
      </c>
      <c r="AN49" s="125">
        <f t="shared" si="47"/>
        <v>0</v>
      </c>
      <c r="AO49" s="125">
        <f t="shared" si="47"/>
        <v>0</v>
      </c>
      <c r="AP49" s="125">
        <f t="shared" si="47"/>
        <v>0</v>
      </c>
      <c r="AQ49" s="125"/>
      <c r="AR49" s="125">
        <f>AP49</f>
        <v>0</v>
      </c>
      <c r="AS49" s="125">
        <f t="shared" si="49"/>
        <v>0</v>
      </c>
      <c r="AT49" s="125">
        <f t="shared" si="49"/>
        <v>0</v>
      </c>
      <c r="AU49" s="125">
        <f t="shared" si="49"/>
        <v>0</v>
      </c>
      <c r="AV49" s="125">
        <f t="shared" si="49"/>
        <v>0</v>
      </c>
      <c r="AW49" s="125">
        <f t="shared" si="49"/>
        <v>0</v>
      </c>
      <c r="AX49" s="125">
        <f t="shared" si="49"/>
        <v>0</v>
      </c>
      <c r="AY49" s="125">
        <f t="shared" si="49"/>
        <v>0</v>
      </c>
      <c r="AZ49" s="125">
        <f t="shared" si="49"/>
        <v>0</v>
      </c>
      <c r="BA49" s="125">
        <f t="shared" si="49"/>
        <v>0</v>
      </c>
      <c r="BB49" s="125">
        <f t="shared" si="49"/>
        <v>0</v>
      </c>
      <c r="BC49" s="125">
        <f t="shared" si="49"/>
        <v>0</v>
      </c>
      <c r="BD49" s="125"/>
      <c r="BE49" s="125">
        <f>BC49</f>
        <v>0</v>
      </c>
      <c r="BF49" s="125">
        <f t="shared" si="51"/>
        <v>0</v>
      </c>
      <c r="BG49" s="125">
        <f t="shared" si="51"/>
        <v>0</v>
      </c>
      <c r="BH49" s="125">
        <f t="shared" si="51"/>
        <v>0</v>
      </c>
      <c r="BI49" s="125">
        <f t="shared" si="51"/>
        <v>0</v>
      </c>
      <c r="BJ49" s="125">
        <f t="shared" si="51"/>
        <v>0</v>
      </c>
      <c r="BK49" s="125">
        <f t="shared" si="51"/>
        <v>0</v>
      </c>
      <c r="BL49" s="125">
        <f t="shared" si="51"/>
        <v>0</v>
      </c>
      <c r="BM49" s="125">
        <f t="shared" si="51"/>
        <v>0</v>
      </c>
      <c r="BN49" s="125">
        <f t="shared" si="51"/>
        <v>0</v>
      </c>
      <c r="BO49" s="125">
        <f t="shared" si="51"/>
        <v>0</v>
      </c>
      <c r="BP49" s="125">
        <f t="shared" si="51"/>
        <v>0</v>
      </c>
      <c r="BQ49" s="125"/>
      <c r="BR49" s="125">
        <f>BP49</f>
        <v>0</v>
      </c>
      <c r="BS49" s="125">
        <f t="shared" si="53"/>
        <v>0</v>
      </c>
      <c r="BT49" s="125">
        <f t="shared" si="53"/>
        <v>0</v>
      </c>
      <c r="BU49" s="125">
        <f t="shared" si="53"/>
        <v>0</v>
      </c>
      <c r="BV49" s="125">
        <f t="shared" si="53"/>
        <v>0</v>
      </c>
      <c r="BW49" s="125">
        <f t="shared" si="53"/>
        <v>0</v>
      </c>
      <c r="BX49" s="125">
        <f t="shared" si="53"/>
        <v>0</v>
      </c>
      <c r="BY49" s="125">
        <f t="shared" si="53"/>
        <v>0</v>
      </c>
      <c r="BZ49" s="125">
        <f t="shared" si="53"/>
        <v>0</v>
      </c>
      <c r="CA49" s="125">
        <f t="shared" si="53"/>
        <v>0</v>
      </c>
      <c r="CB49" s="125">
        <f t="shared" si="53"/>
        <v>0</v>
      </c>
      <c r="CC49" s="125">
        <f t="shared" si="53"/>
        <v>0</v>
      </c>
      <c r="CD49" s="125"/>
      <c r="CE49" s="9">
        <f t="shared" si="54"/>
        <v>0</v>
      </c>
      <c r="CF49" s="9"/>
      <c r="CG49" s="9"/>
      <c r="CI49" s="7"/>
      <c r="CJ49" s="7"/>
      <c r="CK49" s="7"/>
      <c r="CL49" s="7"/>
      <c r="CM49" s="7"/>
      <c r="CN49" s="7"/>
      <c r="CO49" s="7"/>
    </row>
    <row r="50" spans="1:93" hidden="1">
      <c r="C50" s="8" t="s">
        <v>26</v>
      </c>
      <c r="D50" s="8">
        <v>0</v>
      </c>
      <c r="E50" s="125">
        <v>0</v>
      </c>
      <c r="F50" s="125">
        <f t="shared" si="43"/>
        <v>0</v>
      </c>
      <c r="G50" s="125">
        <f t="shared" si="43"/>
        <v>0</v>
      </c>
      <c r="H50" s="125">
        <f t="shared" si="43"/>
        <v>0</v>
      </c>
      <c r="I50" s="125">
        <f t="shared" si="43"/>
        <v>0</v>
      </c>
      <c r="J50" s="125">
        <f t="shared" si="43"/>
        <v>0</v>
      </c>
      <c r="K50" s="125">
        <f t="shared" si="43"/>
        <v>0</v>
      </c>
      <c r="L50" s="125">
        <f t="shared" si="43"/>
        <v>0</v>
      </c>
      <c r="M50" s="125">
        <f t="shared" si="43"/>
        <v>0</v>
      </c>
      <c r="N50" s="125">
        <f t="shared" si="43"/>
        <v>0</v>
      </c>
      <c r="O50" s="125">
        <f t="shared" si="43"/>
        <v>0</v>
      </c>
      <c r="P50" s="125">
        <f t="shared" si="43"/>
        <v>0</v>
      </c>
      <c r="Q50" s="10"/>
      <c r="R50" s="125">
        <f>P50</f>
        <v>0</v>
      </c>
      <c r="S50" s="125">
        <f t="shared" si="45"/>
        <v>0</v>
      </c>
      <c r="T50" s="125">
        <f t="shared" si="45"/>
        <v>0</v>
      </c>
      <c r="U50" s="125">
        <f t="shared" si="45"/>
        <v>0</v>
      </c>
      <c r="V50" s="125">
        <f t="shared" si="45"/>
        <v>0</v>
      </c>
      <c r="W50" s="125">
        <f t="shared" si="45"/>
        <v>0</v>
      </c>
      <c r="X50" s="125">
        <f t="shared" si="45"/>
        <v>0</v>
      </c>
      <c r="Y50" s="125">
        <f t="shared" si="45"/>
        <v>0</v>
      </c>
      <c r="Z50" s="125">
        <f t="shared" si="45"/>
        <v>0</v>
      </c>
      <c r="AA50" s="125">
        <f t="shared" si="45"/>
        <v>0</v>
      </c>
      <c r="AB50" s="125">
        <f t="shared" si="45"/>
        <v>0</v>
      </c>
      <c r="AC50" s="125">
        <f t="shared" si="45"/>
        <v>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25">
        <f>AC50*AQ$4/12</f>
        <v>0</v>
      </c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>
        <f>AQ50*BD$4/12</f>
        <v>0</v>
      </c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>
        <f>BD50*BQ$4/12</f>
        <v>0</v>
      </c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>
        <f>BQ50*CD$4/12</f>
        <v>0</v>
      </c>
      <c r="CE50" s="10"/>
      <c r="CF50" s="10"/>
      <c r="CG50" s="10"/>
      <c r="CH50" s="8"/>
      <c r="CI50" s="7"/>
      <c r="CJ50" s="7"/>
      <c r="CK50" s="7"/>
      <c r="CL50" s="7"/>
      <c r="CM50" s="7"/>
      <c r="CN50" s="7"/>
      <c r="CO50" s="7"/>
    </row>
    <row r="51" spans="1:93">
      <c r="C51" s="8" t="s">
        <v>27</v>
      </c>
      <c r="D51" s="8"/>
      <c r="E51" s="12">
        <f>SUM(E39:E50)</f>
        <v>0</v>
      </c>
      <c r="F51" s="12">
        <f t="shared" ref="F51:BQ51" si="55">SUM(F39:F50)</f>
        <v>0</v>
      </c>
      <c r="G51" s="12">
        <f t="shared" si="55"/>
        <v>0</v>
      </c>
      <c r="H51" s="12">
        <f t="shared" si="55"/>
        <v>0</v>
      </c>
      <c r="I51" s="12">
        <f t="shared" si="55"/>
        <v>0</v>
      </c>
      <c r="J51" s="12">
        <f t="shared" si="55"/>
        <v>0</v>
      </c>
      <c r="K51" s="12">
        <f t="shared" si="55"/>
        <v>0</v>
      </c>
      <c r="L51" s="12">
        <f t="shared" si="55"/>
        <v>0</v>
      </c>
      <c r="M51" s="12">
        <f t="shared" si="55"/>
        <v>0</v>
      </c>
      <c r="N51" s="12">
        <f t="shared" si="55"/>
        <v>0</v>
      </c>
      <c r="O51" s="12">
        <f t="shared" si="55"/>
        <v>0</v>
      </c>
      <c r="P51" s="12">
        <f t="shared" si="55"/>
        <v>0</v>
      </c>
      <c r="Q51" s="12">
        <f t="shared" si="55"/>
        <v>0</v>
      </c>
      <c r="R51" s="12">
        <f t="shared" si="55"/>
        <v>0</v>
      </c>
      <c r="S51" s="12">
        <f t="shared" si="55"/>
        <v>0</v>
      </c>
      <c r="T51" s="12">
        <f t="shared" si="55"/>
        <v>0</v>
      </c>
      <c r="U51" s="12">
        <f t="shared" si="55"/>
        <v>0</v>
      </c>
      <c r="V51" s="12">
        <f t="shared" si="55"/>
        <v>0</v>
      </c>
      <c r="W51" s="12">
        <f t="shared" si="55"/>
        <v>0</v>
      </c>
      <c r="X51" s="12">
        <f t="shared" si="55"/>
        <v>0</v>
      </c>
      <c r="Y51" s="12">
        <f t="shared" si="55"/>
        <v>0</v>
      </c>
      <c r="Z51" s="12">
        <f t="shared" si="55"/>
        <v>0</v>
      </c>
      <c r="AA51" s="12">
        <f t="shared" si="55"/>
        <v>0</v>
      </c>
      <c r="AB51" s="12">
        <f t="shared" si="55"/>
        <v>0</v>
      </c>
      <c r="AC51" s="12">
        <f t="shared" si="55"/>
        <v>0</v>
      </c>
      <c r="AD51" s="12">
        <f t="shared" si="55"/>
        <v>0</v>
      </c>
      <c r="AE51" s="12">
        <f t="shared" si="55"/>
        <v>0</v>
      </c>
      <c r="AF51" s="12">
        <f t="shared" si="55"/>
        <v>0</v>
      </c>
      <c r="AG51" s="12">
        <f t="shared" si="55"/>
        <v>0</v>
      </c>
      <c r="AH51" s="12">
        <f t="shared" si="55"/>
        <v>0</v>
      </c>
      <c r="AI51" s="12">
        <f t="shared" si="55"/>
        <v>0</v>
      </c>
      <c r="AJ51" s="12">
        <f t="shared" si="55"/>
        <v>0</v>
      </c>
      <c r="AK51" s="12">
        <f t="shared" si="55"/>
        <v>0</v>
      </c>
      <c r="AL51" s="12">
        <f t="shared" si="55"/>
        <v>0</v>
      </c>
      <c r="AM51" s="12">
        <f t="shared" si="55"/>
        <v>0</v>
      </c>
      <c r="AN51" s="12">
        <f t="shared" si="55"/>
        <v>0</v>
      </c>
      <c r="AO51" s="12">
        <f t="shared" si="55"/>
        <v>0</v>
      </c>
      <c r="AP51" s="12">
        <f t="shared" si="55"/>
        <v>0</v>
      </c>
      <c r="AQ51" s="12">
        <f t="shared" si="55"/>
        <v>0</v>
      </c>
      <c r="AR51" s="12">
        <f t="shared" si="55"/>
        <v>0</v>
      </c>
      <c r="AS51" s="12">
        <f t="shared" si="55"/>
        <v>0</v>
      </c>
      <c r="AT51" s="12">
        <f t="shared" si="55"/>
        <v>0</v>
      </c>
      <c r="AU51" s="12">
        <f t="shared" si="55"/>
        <v>0</v>
      </c>
      <c r="AV51" s="12">
        <f t="shared" si="55"/>
        <v>0</v>
      </c>
      <c r="AW51" s="12">
        <f t="shared" si="55"/>
        <v>0</v>
      </c>
      <c r="AX51" s="12">
        <f t="shared" si="55"/>
        <v>0</v>
      </c>
      <c r="AY51" s="12">
        <f t="shared" si="55"/>
        <v>0</v>
      </c>
      <c r="AZ51" s="12">
        <f t="shared" si="55"/>
        <v>0</v>
      </c>
      <c r="BA51" s="12">
        <f t="shared" si="55"/>
        <v>0</v>
      </c>
      <c r="BB51" s="12">
        <f t="shared" si="55"/>
        <v>0</v>
      </c>
      <c r="BC51" s="12">
        <f t="shared" si="55"/>
        <v>0</v>
      </c>
      <c r="BD51" s="12">
        <f t="shared" si="55"/>
        <v>0</v>
      </c>
      <c r="BE51" s="12">
        <f t="shared" si="55"/>
        <v>0</v>
      </c>
      <c r="BF51" s="12">
        <f t="shared" si="55"/>
        <v>0</v>
      </c>
      <c r="BG51" s="12">
        <f t="shared" si="55"/>
        <v>0</v>
      </c>
      <c r="BH51" s="12">
        <f t="shared" si="55"/>
        <v>0</v>
      </c>
      <c r="BI51" s="12">
        <f t="shared" si="55"/>
        <v>0</v>
      </c>
      <c r="BJ51" s="12">
        <f t="shared" si="55"/>
        <v>0</v>
      </c>
      <c r="BK51" s="12">
        <f t="shared" si="55"/>
        <v>0</v>
      </c>
      <c r="BL51" s="12">
        <f t="shared" si="55"/>
        <v>0</v>
      </c>
      <c r="BM51" s="12">
        <f t="shared" si="55"/>
        <v>0</v>
      </c>
      <c r="BN51" s="12">
        <f t="shared" si="55"/>
        <v>0</v>
      </c>
      <c r="BO51" s="12">
        <f t="shared" si="55"/>
        <v>0</v>
      </c>
      <c r="BP51" s="12">
        <f t="shared" si="55"/>
        <v>0</v>
      </c>
      <c r="BQ51" s="12">
        <f t="shared" si="55"/>
        <v>0</v>
      </c>
      <c r="BR51" s="12">
        <f t="shared" ref="BR51:CE51" si="56">SUM(BR39:BR50)</f>
        <v>0</v>
      </c>
      <c r="BS51" s="12">
        <f t="shared" si="56"/>
        <v>0</v>
      </c>
      <c r="BT51" s="12">
        <f t="shared" si="56"/>
        <v>0</v>
      </c>
      <c r="BU51" s="12">
        <f t="shared" si="56"/>
        <v>0</v>
      </c>
      <c r="BV51" s="12">
        <f t="shared" si="56"/>
        <v>0</v>
      </c>
      <c r="BW51" s="12">
        <f t="shared" si="56"/>
        <v>0</v>
      </c>
      <c r="BX51" s="12">
        <f t="shared" si="56"/>
        <v>0</v>
      </c>
      <c r="BY51" s="12">
        <f t="shared" si="56"/>
        <v>0</v>
      </c>
      <c r="BZ51" s="12">
        <f t="shared" si="56"/>
        <v>0</v>
      </c>
      <c r="CA51" s="12">
        <f t="shared" si="56"/>
        <v>0</v>
      </c>
      <c r="CB51" s="12">
        <f t="shared" si="56"/>
        <v>0</v>
      </c>
      <c r="CC51" s="12">
        <f t="shared" si="56"/>
        <v>0</v>
      </c>
      <c r="CD51" s="12">
        <f t="shared" si="56"/>
        <v>0</v>
      </c>
      <c r="CE51" s="12">
        <f t="shared" si="56"/>
        <v>0</v>
      </c>
      <c r="CF51" s="12">
        <f>SUM(CF39:CF50)</f>
        <v>0</v>
      </c>
      <c r="CG51" s="13"/>
      <c r="CH51" s="8"/>
      <c r="CI51" s="7"/>
      <c r="CJ51" s="7"/>
      <c r="CK51" s="7"/>
      <c r="CL51" s="7"/>
      <c r="CM51" s="7"/>
      <c r="CN51" s="7"/>
      <c r="CO51" s="7"/>
    </row>
    <row r="52" spans="1:93">
      <c r="C52" s="8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8"/>
      <c r="CI52" s="7"/>
      <c r="CJ52" s="7"/>
      <c r="CK52" s="7"/>
      <c r="CL52" s="7"/>
      <c r="CM52" s="7"/>
      <c r="CN52" s="7"/>
      <c r="CO52" s="7"/>
    </row>
    <row r="53" spans="1:93">
      <c r="C53" s="130" t="s">
        <v>38</v>
      </c>
      <c r="D53" s="12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8"/>
      <c r="CI53" s="7"/>
      <c r="CJ53" s="7"/>
      <c r="CK53" s="7"/>
      <c r="CL53" s="7"/>
      <c r="CM53" s="7"/>
      <c r="CN53" s="7"/>
      <c r="CO53" s="7"/>
    </row>
    <row r="54" spans="1:93">
      <c r="C54" s="8" t="str">
        <f t="shared" ref="C54:D62" si="57">C39</f>
        <v>Account Manager</v>
      </c>
      <c r="D54" s="8" t="str">
        <f t="shared" si="57"/>
        <v>B5 (min 8 yrs)</v>
      </c>
      <c r="E54" s="124"/>
      <c r="F54" s="124">
        <f t="shared" ref="F54:P65" si="58">E54</f>
        <v>0</v>
      </c>
      <c r="G54" s="124">
        <f t="shared" si="58"/>
        <v>0</v>
      </c>
      <c r="H54" s="124">
        <f t="shared" si="58"/>
        <v>0</v>
      </c>
      <c r="I54" s="124">
        <f t="shared" si="58"/>
        <v>0</v>
      </c>
      <c r="J54" s="124">
        <f t="shared" si="58"/>
        <v>0</v>
      </c>
      <c r="K54" s="124">
        <f>J54</f>
        <v>0</v>
      </c>
      <c r="L54" s="124">
        <f t="shared" si="58"/>
        <v>0</v>
      </c>
      <c r="M54" s="124">
        <f t="shared" si="58"/>
        <v>0</v>
      </c>
      <c r="N54" s="124">
        <f t="shared" si="58"/>
        <v>0</v>
      </c>
      <c r="O54" s="124">
        <f t="shared" si="58"/>
        <v>0</v>
      </c>
      <c r="P54" s="124">
        <f t="shared" si="58"/>
        <v>0</v>
      </c>
      <c r="Q54" s="124"/>
      <c r="R54" s="124">
        <f t="shared" ref="R54:R63" si="59">P54</f>
        <v>0</v>
      </c>
      <c r="S54" s="124">
        <f t="shared" ref="S54:AC65" si="60">R54</f>
        <v>0</v>
      </c>
      <c r="T54" s="124">
        <f t="shared" si="60"/>
        <v>0</v>
      </c>
      <c r="U54" s="124">
        <f t="shared" si="60"/>
        <v>0</v>
      </c>
      <c r="V54" s="124">
        <f t="shared" si="60"/>
        <v>0</v>
      </c>
      <c r="W54" s="124">
        <f t="shared" si="60"/>
        <v>0</v>
      </c>
      <c r="X54" s="124">
        <f t="shared" si="60"/>
        <v>0</v>
      </c>
      <c r="Y54" s="124">
        <f t="shared" si="60"/>
        <v>0</v>
      </c>
      <c r="Z54" s="124">
        <f t="shared" si="60"/>
        <v>0</v>
      </c>
      <c r="AA54" s="124">
        <f t="shared" si="60"/>
        <v>0</v>
      </c>
      <c r="AB54" s="124">
        <f t="shared" si="60"/>
        <v>0</v>
      </c>
      <c r="AC54" s="124">
        <f t="shared" si="60"/>
        <v>0</v>
      </c>
      <c r="AD54" s="124"/>
      <c r="AE54" s="124">
        <f t="shared" ref="AE54:AE63" si="61">AC54</f>
        <v>0</v>
      </c>
      <c r="AF54" s="124">
        <f t="shared" ref="AF54:AP64" si="62">AE54</f>
        <v>0</v>
      </c>
      <c r="AG54" s="124">
        <f t="shared" si="62"/>
        <v>0</v>
      </c>
      <c r="AH54" s="124">
        <f t="shared" si="62"/>
        <v>0</v>
      </c>
      <c r="AI54" s="124">
        <f t="shared" si="62"/>
        <v>0</v>
      </c>
      <c r="AJ54" s="124">
        <f t="shared" si="62"/>
        <v>0</v>
      </c>
      <c r="AK54" s="124">
        <f t="shared" si="62"/>
        <v>0</v>
      </c>
      <c r="AL54" s="124">
        <f t="shared" si="62"/>
        <v>0</v>
      </c>
      <c r="AM54" s="124">
        <f t="shared" si="62"/>
        <v>0</v>
      </c>
      <c r="AN54" s="124">
        <f t="shared" si="62"/>
        <v>0</v>
      </c>
      <c r="AO54" s="124">
        <f t="shared" si="62"/>
        <v>0</v>
      </c>
      <c r="AP54" s="124">
        <f t="shared" si="62"/>
        <v>0</v>
      </c>
      <c r="AQ54" s="124"/>
      <c r="AR54" s="124">
        <f t="shared" ref="AR54:AR63" si="63">AP54</f>
        <v>0</v>
      </c>
      <c r="AS54" s="124">
        <f t="shared" ref="AS54:BC64" si="64">AR54</f>
        <v>0</v>
      </c>
      <c r="AT54" s="124">
        <f t="shared" si="64"/>
        <v>0</v>
      </c>
      <c r="AU54" s="124">
        <f t="shared" si="64"/>
        <v>0</v>
      </c>
      <c r="AV54" s="124">
        <f t="shared" si="64"/>
        <v>0</v>
      </c>
      <c r="AW54" s="124">
        <f t="shared" si="64"/>
        <v>0</v>
      </c>
      <c r="AX54" s="124">
        <f t="shared" si="64"/>
        <v>0</v>
      </c>
      <c r="AY54" s="124">
        <f t="shared" si="64"/>
        <v>0</v>
      </c>
      <c r="AZ54" s="124">
        <f t="shared" si="64"/>
        <v>0</v>
      </c>
      <c r="BA54" s="124">
        <f t="shared" si="64"/>
        <v>0</v>
      </c>
      <c r="BB54" s="124">
        <f t="shared" si="64"/>
        <v>0</v>
      </c>
      <c r="BC54" s="124">
        <f t="shared" si="64"/>
        <v>0</v>
      </c>
      <c r="BD54" s="124"/>
      <c r="BE54" s="124">
        <f t="shared" ref="BE54:BE63" si="65">BC54</f>
        <v>0</v>
      </c>
      <c r="BF54" s="124">
        <f t="shared" ref="BF54:BP64" si="66">BE54</f>
        <v>0</v>
      </c>
      <c r="BG54" s="124">
        <f t="shared" si="66"/>
        <v>0</v>
      </c>
      <c r="BH54" s="124">
        <f t="shared" si="66"/>
        <v>0</v>
      </c>
      <c r="BI54" s="124">
        <f t="shared" si="66"/>
        <v>0</v>
      </c>
      <c r="BJ54" s="124">
        <f t="shared" si="66"/>
        <v>0</v>
      </c>
      <c r="BK54" s="124">
        <f t="shared" si="66"/>
        <v>0</v>
      </c>
      <c r="BL54" s="124">
        <f t="shared" si="66"/>
        <v>0</v>
      </c>
      <c r="BM54" s="124">
        <f t="shared" si="66"/>
        <v>0</v>
      </c>
      <c r="BN54" s="124">
        <f t="shared" si="66"/>
        <v>0</v>
      </c>
      <c r="BO54" s="124">
        <f t="shared" si="66"/>
        <v>0</v>
      </c>
      <c r="BP54" s="124">
        <f t="shared" si="66"/>
        <v>0</v>
      </c>
      <c r="BQ54" s="124"/>
      <c r="BR54" s="124">
        <f t="shared" ref="BR54:BR63" si="67">BP54</f>
        <v>0</v>
      </c>
      <c r="BS54" s="124">
        <f t="shared" ref="BS54:CC64" si="68">BR54</f>
        <v>0</v>
      </c>
      <c r="BT54" s="124">
        <f t="shared" si="68"/>
        <v>0</v>
      </c>
      <c r="BU54" s="124">
        <f t="shared" si="68"/>
        <v>0</v>
      </c>
      <c r="BV54" s="124">
        <f t="shared" si="68"/>
        <v>0</v>
      </c>
      <c r="BW54" s="124">
        <f t="shared" si="68"/>
        <v>0</v>
      </c>
      <c r="BX54" s="124">
        <f t="shared" si="68"/>
        <v>0</v>
      </c>
      <c r="BY54" s="124">
        <f t="shared" si="68"/>
        <v>0</v>
      </c>
      <c r="BZ54" s="124">
        <f t="shared" si="68"/>
        <v>0</v>
      </c>
      <c r="CA54" s="124">
        <f t="shared" si="68"/>
        <v>0</v>
      </c>
      <c r="CB54" s="124">
        <f t="shared" si="68"/>
        <v>0</v>
      </c>
      <c r="CC54" s="124">
        <f t="shared" si="68"/>
        <v>0</v>
      </c>
      <c r="CD54" s="125"/>
      <c r="CE54" s="9">
        <f t="shared" ref="CE54:CE64" si="69">SUM(E54:P54)+SUM(R54:AC54)+SUM(AE54:AP54)+SUM(AR54:BC54)+SUM(BE54:BP54)+SUM(BR54:CC54)</f>
        <v>0</v>
      </c>
      <c r="CF54" s="126"/>
      <c r="CG54" s="9"/>
      <c r="CH54" s="8"/>
      <c r="CI54" s="7"/>
      <c r="CJ54" s="7"/>
      <c r="CK54" s="7"/>
      <c r="CL54" s="7"/>
      <c r="CM54" s="7"/>
      <c r="CN54" s="7"/>
      <c r="CO54" s="7"/>
    </row>
    <row r="55" spans="1:93">
      <c r="C55" s="8" t="str">
        <f t="shared" si="57"/>
        <v>Sr Project Manager</v>
      </c>
      <c r="D55" s="8" t="str">
        <f t="shared" si="57"/>
        <v>B4 PM3 (12 to 15 yrs)</v>
      </c>
      <c r="E55" s="124"/>
      <c r="F55" s="124">
        <f t="shared" si="58"/>
        <v>0</v>
      </c>
      <c r="G55" s="124">
        <f t="shared" si="58"/>
        <v>0</v>
      </c>
      <c r="H55" s="124">
        <f t="shared" si="58"/>
        <v>0</v>
      </c>
      <c r="I55" s="124">
        <f t="shared" si="58"/>
        <v>0</v>
      </c>
      <c r="J55" s="124">
        <f t="shared" si="58"/>
        <v>0</v>
      </c>
      <c r="K55" s="124">
        <f t="shared" si="58"/>
        <v>0</v>
      </c>
      <c r="L55" s="124">
        <f t="shared" si="58"/>
        <v>0</v>
      </c>
      <c r="M55" s="124">
        <f t="shared" si="58"/>
        <v>0</v>
      </c>
      <c r="N55" s="124">
        <f t="shared" si="58"/>
        <v>0</v>
      </c>
      <c r="O55" s="124">
        <f t="shared" si="58"/>
        <v>0</v>
      </c>
      <c r="P55" s="124">
        <f t="shared" si="58"/>
        <v>0</v>
      </c>
      <c r="Q55" s="124"/>
      <c r="R55" s="124">
        <f t="shared" si="59"/>
        <v>0</v>
      </c>
      <c r="S55" s="124">
        <f t="shared" si="60"/>
        <v>0</v>
      </c>
      <c r="T55" s="124">
        <f t="shared" si="60"/>
        <v>0</v>
      </c>
      <c r="U55" s="124">
        <f t="shared" si="60"/>
        <v>0</v>
      </c>
      <c r="V55" s="124">
        <f t="shared" si="60"/>
        <v>0</v>
      </c>
      <c r="W55" s="124">
        <f t="shared" si="60"/>
        <v>0</v>
      </c>
      <c r="X55" s="124">
        <f t="shared" si="60"/>
        <v>0</v>
      </c>
      <c r="Y55" s="124">
        <f t="shared" si="60"/>
        <v>0</v>
      </c>
      <c r="Z55" s="124">
        <f t="shared" si="60"/>
        <v>0</v>
      </c>
      <c r="AA55" s="124">
        <f t="shared" si="60"/>
        <v>0</v>
      </c>
      <c r="AB55" s="124">
        <f t="shared" si="60"/>
        <v>0</v>
      </c>
      <c r="AC55" s="124">
        <f t="shared" si="60"/>
        <v>0</v>
      </c>
      <c r="AD55" s="124"/>
      <c r="AE55" s="124">
        <f t="shared" si="61"/>
        <v>0</v>
      </c>
      <c r="AF55" s="124">
        <f t="shared" si="62"/>
        <v>0</v>
      </c>
      <c r="AG55" s="124">
        <f t="shared" si="62"/>
        <v>0</v>
      </c>
      <c r="AH55" s="124">
        <f t="shared" si="62"/>
        <v>0</v>
      </c>
      <c r="AI55" s="124">
        <f t="shared" si="62"/>
        <v>0</v>
      </c>
      <c r="AJ55" s="124">
        <f t="shared" si="62"/>
        <v>0</v>
      </c>
      <c r="AK55" s="124">
        <f t="shared" si="62"/>
        <v>0</v>
      </c>
      <c r="AL55" s="124">
        <f t="shared" si="62"/>
        <v>0</v>
      </c>
      <c r="AM55" s="124">
        <f t="shared" si="62"/>
        <v>0</v>
      </c>
      <c r="AN55" s="124">
        <f t="shared" si="62"/>
        <v>0</v>
      </c>
      <c r="AO55" s="124">
        <f t="shared" si="62"/>
        <v>0</v>
      </c>
      <c r="AP55" s="124">
        <f t="shared" si="62"/>
        <v>0</v>
      </c>
      <c r="AQ55" s="124"/>
      <c r="AR55" s="124">
        <f t="shared" si="63"/>
        <v>0</v>
      </c>
      <c r="AS55" s="124">
        <f t="shared" si="64"/>
        <v>0</v>
      </c>
      <c r="AT55" s="124">
        <f t="shared" si="64"/>
        <v>0</v>
      </c>
      <c r="AU55" s="124">
        <f t="shared" si="64"/>
        <v>0</v>
      </c>
      <c r="AV55" s="124">
        <f t="shared" si="64"/>
        <v>0</v>
      </c>
      <c r="AW55" s="124">
        <f t="shared" si="64"/>
        <v>0</v>
      </c>
      <c r="AX55" s="124">
        <f t="shared" si="64"/>
        <v>0</v>
      </c>
      <c r="AY55" s="124">
        <f t="shared" si="64"/>
        <v>0</v>
      </c>
      <c r="AZ55" s="124">
        <f t="shared" si="64"/>
        <v>0</v>
      </c>
      <c r="BA55" s="124">
        <f t="shared" si="64"/>
        <v>0</v>
      </c>
      <c r="BB55" s="124">
        <f t="shared" si="64"/>
        <v>0</v>
      </c>
      <c r="BC55" s="124">
        <f t="shared" si="64"/>
        <v>0</v>
      </c>
      <c r="BD55" s="124"/>
      <c r="BE55" s="124">
        <f t="shared" si="65"/>
        <v>0</v>
      </c>
      <c r="BF55" s="124">
        <f t="shared" si="66"/>
        <v>0</v>
      </c>
      <c r="BG55" s="124">
        <f t="shared" si="66"/>
        <v>0</v>
      </c>
      <c r="BH55" s="124">
        <f t="shared" si="66"/>
        <v>0</v>
      </c>
      <c r="BI55" s="124">
        <f t="shared" si="66"/>
        <v>0</v>
      </c>
      <c r="BJ55" s="124">
        <f t="shared" si="66"/>
        <v>0</v>
      </c>
      <c r="BK55" s="124">
        <f t="shared" si="66"/>
        <v>0</v>
      </c>
      <c r="BL55" s="124">
        <f t="shared" si="66"/>
        <v>0</v>
      </c>
      <c r="BM55" s="124">
        <f t="shared" si="66"/>
        <v>0</v>
      </c>
      <c r="BN55" s="124">
        <f t="shared" si="66"/>
        <v>0</v>
      </c>
      <c r="BO55" s="124">
        <f t="shared" si="66"/>
        <v>0</v>
      </c>
      <c r="BP55" s="124">
        <f t="shared" si="66"/>
        <v>0</v>
      </c>
      <c r="BQ55" s="124"/>
      <c r="BR55" s="124">
        <f t="shared" si="67"/>
        <v>0</v>
      </c>
      <c r="BS55" s="124">
        <f t="shared" si="68"/>
        <v>0</v>
      </c>
      <c r="BT55" s="124">
        <f t="shared" si="68"/>
        <v>0</v>
      </c>
      <c r="BU55" s="124">
        <f t="shared" si="68"/>
        <v>0</v>
      </c>
      <c r="BV55" s="124">
        <f t="shared" si="68"/>
        <v>0</v>
      </c>
      <c r="BW55" s="124">
        <f t="shared" si="68"/>
        <v>0</v>
      </c>
      <c r="BX55" s="124">
        <f t="shared" si="68"/>
        <v>0</v>
      </c>
      <c r="BY55" s="124">
        <f t="shared" si="68"/>
        <v>0</v>
      </c>
      <c r="BZ55" s="124">
        <f t="shared" si="68"/>
        <v>0</v>
      </c>
      <c r="CA55" s="124">
        <f t="shared" si="68"/>
        <v>0</v>
      </c>
      <c r="CB55" s="124">
        <f t="shared" si="68"/>
        <v>0</v>
      </c>
      <c r="CC55" s="124">
        <f t="shared" si="68"/>
        <v>0</v>
      </c>
      <c r="CD55" s="125"/>
      <c r="CE55" s="9">
        <f t="shared" si="69"/>
        <v>0</v>
      </c>
      <c r="CF55" s="126"/>
      <c r="CG55" s="9"/>
      <c r="CH55" s="8"/>
      <c r="CI55" s="7"/>
      <c r="CJ55" s="7"/>
      <c r="CK55" s="7"/>
      <c r="CL55" s="7"/>
      <c r="CM55" s="7"/>
      <c r="CN55" s="7"/>
      <c r="CO55" s="7"/>
    </row>
    <row r="56" spans="1:93">
      <c r="C56" s="8" t="str">
        <f t="shared" si="57"/>
        <v>Project Manager</v>
      </c>
      <c r="D56" s="8" t="str">
        <f t="shared" si="57"/>
        <v>B4 PM2 (10 to 14 yrs)</v>
      </c>
      <c r="E56" s="124"/>
      <c r="F56" s="124">
        <f t="shared" si="58"/>
        <v>0</v>
      </c>
      <c r="G56" s="124">
        <f t="shared" si="58"/>
        <v>0</v>
      </c>
      <c r="H56" s="124">
        <f t="shared" si="58"/>
        <v>0</v>
      </c>
      <c r="I56" s="124">
        <f t="shared" si="58"/>
        <v>0</v>
      </c>
      <c r="J56" s="124">
        <f t="shared" si="58"/>
        <v>0</v>
      </c>
      <c r="K56" s="124">
        <f t="shared" si="58"/>
        <v>0</v>
      </c>
      <c r="L56" s="124">
        <f t="shared" si="58"/>
        <v>0</v>
      </c>
      <c r="M56" s="124">
        <f t="shared" si="58"/>
        <v>0</v>
      </c>
      <c r="N56" s="124">
        <f t="shared" si="58"/>
        <v>0</v>
      </c>
      <c r="O56" s="124">
        <f t="shared" si="58"/>
        <v>0</v>
      </c>
      <c r="P56" s="124">
        <f t="shared" si="58"/>
        <v>0</v>
      </c>
      <c r="Q56" s="124"/>
      <c r="R56" s="124">
        <f t="shared" si="59"/>
        <v>0</v>
      </c>
      <c r="S56" s="124">
        <f t="shared" si="60"/>
        <v>0</v>
      </c>
      <c r="T56" s="124">
        <f t="shared" si="60"/>
        <v>0</v>
      </c>
      <c r="U56" s="124">
        <f t="shared" si="60"/>
        <v>0</v>
      </c>
      <c r="V56" s="124">
        <f t="shared" si="60"/>
        <v>0</v>
      </c>
      <c r="W56" s="124">
        <f t="shared" si="60"/>
        <v>0</v>
      </c>
      <c r="X56" s="124">
        <f t="shared" si="60"/>
        <v>0</v>
      </c>
      <c r="Y56" s="124">
        <f t="shared" si="60"/>
        <v>0</v>
      </c>
      <c r="Z56" s="124">
        <f t="shared" si="60"/>
        <v>0</v>
      </c>
      <c r="AA56" s="124">
        <f t="shared" si="60"/>
        <v>0</v>
      </c>
      <c r="AB56" s="124">
        <f t="shared" si="60"/>
        <v>0</v>
      </c>
      <c r="AC56" s="124">
        <f t="shared" si="60"/>
        <v>0</v>
      </c>
      <c r="AD56" s="124"/>
      <c r="AE56" s="124">
        <f t="shared" si="61"/>
        <v>0</v>
      </c>
      <c r="AF56" s="124">
        <f t="shared" si="62"/>
        <v>0</v>
      </c>
      <c r="AG56" s="124">
        <f t="shared" si="62"/>
        <v>0</v>
      </c>
      <c r="AH56" s="124">
        <f t="shared" si="62"/>
        <v>0</v>
      </c>
      <c r="AI56" s="124">
        <f t="shared" si="62"/>
        <v>0</v>
      </c>
      <c r="AJ56" s="124">
        <f t="shared" si="62"/>
        <v>0</v>
      </c>
      <c r="AK56" s="124">
        <f t="shared" si="62"/>
        <v>0</v>
      </c>
      <c r="AL56" s="124">
        <f t="shared" si="62"/>
        <v>0</v>
      </c>
      <c r="AM56" s="124">
        <f t="shared" si="62"/>
        <v>0</v>
      </c>
      <c r="AN56" s="124">
        <f t="shared" si="62"/>
        <v>0</v>
      </c>
      <c r="AO56" s="124">
        <f t="shared" si="62"/>
        <v>0</v>
      </c>
      <c r="AP56" s="124">
        <f t="shared" si="62"/>
        <v>0</v>
      </c>
      <c r="AQ56" s="124"/>
      <c r="AR56" s="124">
        <f t="shared" si="63"/>
        <v>0</v>
      </c>
      <c r="AS56" s="124">
        <f t="shared" si="64"/>
        <v>0</v>
      </c>
      <c r="AT56" s="124">
        <f t="shared" si="64"/>
        <v>0</v>
      </c>
      <c r="AU56" s="124">
        <f t="shared" si="64"/>
        <v>0</v>
      </c>
      <c r="AV56" s="124">
        <f t="shared" si="64"/>
        <v>0</v>
      </c>
      <c r="AW56" s="124">
        <f t="shared" si="64"/>
        <v>0</v>
      </c>
      <c r="AX56" s="124">
        <f t="shared" si="64"/>
        <v>0</v>
      </c>
      <c r="AY56" s="124">
        <f t="shared" si="64"/>
        <v>0</v>
      </c>
      <c r="AZ56" s="124">
        <f t="shared" si="64"/>
        <v>0</v>
      </c>
      <c r="BA56" s="124">
        <f t="shared" si="64"/>
        <v>0</v>
      </c>
      <c r="BB56" s="124">
        <f t="shared" si="64"/>
        <v>0</v>
      </c>
      <c r="BC56" s="124">
        <f t="shared" si="64"/>
        <v>0</v>
      </c>
      <c r="BD56" s="124"/>
      <c r="BE56" s="124">
        <f t="shared" si="65"/>
        <v>0</v>
      </c>
      <c r="BF56" s="124">
        <f t="shared" si="66"/>
        <v>0</v>
      </c>
      <c r="BG56" s="124">
        <f t="shared" si="66"/>
        <v>0</v>
      </c>
      <c r="BH56" s="124">
        <f t="shared" si="66"/>
        <v>0</v>
      </c>
      <c r="BI56" s="124">
        <f t="shared" si="66"/>
        <v>0</v>
      </c>
      <c r="BJ56" s="124">
        <f t="shared" si="66"/>
        <v>0</v>
      </c>
      <c r="BK56" s="124">
        <f t="shared" si="66"/>
        <v>0</v>
      </c>
      <c r="BL56" s="124">
        <f t="shared" si="66"/>
        <v>0</v>
      </c>
      <c r="BM56" s="124">
        <f t="shared" si="66"/>
        <v>0</v>
      </c>
      <c r="BN56" s="124">
        <f t="shared" si="66"/>
        <v>0</v>
      </c>
      <c r="BO56" s="124">
        <f t="shared" si="66"/>
        <v>0</v>
      </c>
      <c r="BP56" s="124">
        <f t="shared" si="66"/>
        <v>0</v>
      </c>
      <c r="BQ56" s="124"/>
      <c r="BR56" s="124">
        <f t="shared" si="67"/>
        <v>0</v>
      </c>
      <c r="BS56" s="124">
        <f t="shared" si="68"/>
        <v>0</v>
      </c>
      <c r="BT56" s="124">
        <f t="shared" si="68"/>
        <v>0</v>
      </c>
      <c r="BU56" s="124">
        <f t="shared" si="68"/>
        <v>0</v>
      </c>
      <c r="BV56" s="124">
        <f t="shared" si="68"/>
        <v>0</v>
      </c>
      <c r="BW56" s="124">
        <f t="shared" si="68"/>
        <v>0</v>
      </c>
      <c r="BX56" s="124">
        <f t="shared" si="68"/>
        <v>0</v>
      </c>
      <c r="BY56" s="124">
        <f t="shared" si="68"/>
        <v>0</v>
      </c>
      <c r="BZ56" s="124">
        <f t="shared" si="68"/>
        <v>0</v>
      </c>
      <c r="CA56" s="124">
        <f t="shared" si="68"/>
        <v>0</v>
      </c>
      <c r="CB56" s="124">
        <f t="shared" si="68"/>
        <v>0</v>
      </c>
      <c r="CC56" s="124">
        <f t="shared" si="68"/>
        <v>0</v>
      </c>
      <c r="CD56" s="125"/>
      <c r="CE56" s="9">
        <f t="shared" si="69"/>
        <v>0</v>
      </c>
      <c r="CF56" s="126"/>
      <c r="CG56" s="9"/>
      <c r="CH56" s="8"/>
      <c r="CI56" s="7"/>
      <c r="CJ56" s="7"/>
      <c r="CK56" s="7"/>
      <c r="CL56" s="7"/>
      <c r="CM56" s="7"/>
      <c r="CN56" s="7"/>
      <c r="CO56" s="7"/>
    </row>
    <row r="57" spans="1:93">
      <c r="C57" s="8" t="str">
        <f t="shared" si="57"/>
        <v>Jr Project Manager</v>
      </c>
      <c r="D57" s="8" t="str">
        <f t="shared" si="57"/>
        <v>B4 PM1 (9 to 12 yrs)</v>
      </c>
      <c r="E57" s="124"/>
      <c r="F57" s="124">
        <f t="shared" si="58"/>
        <v>0</v>
      </c>
      <c r="G57" s="124">
        <f t="shared" si="58"/>
        <v>0</v>
      </c>
      <c r="H57" s="124">
        <f t="shared" si="58"/>
        <v>0</v>
      </c>
      <c r="I57" s="124">
        <f t="shared" si="58"/>
        <v>0</v>
      </c>
      <c r="J57" s="124">
        <f t="shared" si="58"/>
        <v>0</v>
      </c>
      <c r="K57" s="124">
        <f t="shared" si="58"/>
        <v>0</v>
      </c>
      <c r="L57" s="124">
        <f t="shared" si="58"/>
        <v>0</v>
      </c>
      <c r="M57" s="124">
        <f t="shared" si="58"/>
        <v>0</v>
      </c>
      <c r="N57" s="124">
        <f t="shared" si="58"/>
        <v>0</v>
      </c>
      <c r="O57" s="124">
        <f t="shared" si="58"/>
        <v>0</v>
      </c>
      <c r="P57" s="124">
        <f t="shared" si="58"/>
        <v>0</v>
      </c>
      <c r="Q57" s="124"/>
      <c r="R57" s="124">
        <f t="shared" si="59"/>
        <v>0</v>
      </c>
      <c r="S57" s="124">
        <f t="shared" si="60"/>
        <v>0</v>
      </c>
      <c r="T57" s="124">
        <f t="shared" si="60"/>
        <v>0</v>
      </c>
      <c r="U57" s="124">
        <f t="shared" si="60"/>
        <v>0</v>
      </c>
      <c r="V57" s="124">
        <f t="shared" si="60"/>
        <v>0</v>
      </c>
      <c r="W57" s="124">
        <f t="shared" si="60"/>
        <v>0</v>
      </c>
      <c r="X57" s="124">
        <f t="shared" si="60"/>
        <v>0</v>
      </c>
      <c r="Y57" s="124">
        <f t="shared" si="60"/>
        <v>0</v>
      </c>
      <c r="Z57" s="124">
        <f t="shared" si="60"/>
        <v>0</v>
      </c>
      <c r="AA57" s="124">
        <f t="shared" si="60"/>
        <v>0</v>
      </c>
      <c r="AB57" s="124">
        <f t="shared" si="60"/>
        <v>0</v>
      </c>
      <c r="AC57" s="124">
        <f t="shared" si="60"/>
        <v>0</v>
      </c>
      <c r="AD57" s="124"/>
      <c r="AE57" s="124">
        <f t="shared" si="61"/>
        <v>0</v>
      </c>
      <c r="AF57" s="124">
        <f t="shared" si="62"/>
        <v>0</v>
      </c>
      <c r="AG57" s="124">
        <f t="shared" si="62"/>
        <v>0</v>
      </c>
      <c r="AH57" s="124">
        <f t="shared" si="62"/>
        <v>0</v>
      </c>
      <c r="AI57" s="124">
        <f t="shared" si="62"/>
        <v>0</v>
      </c>
      <c r="AJ57" s="124">
        <f t="shared" si="62"/>
        <v>0</v>
      </c>
      <c r="AK57" s="124">
        <f t="shared" si="62"/>
        <v>0</v>
      </c>
      <c r="AL57" s="124">
        <f t="shared" si="62"/>
        <v>0</v>
      </c>
      <c r="AM57" s="124">
        <f t="shared" si="62"/>
        <v>0</v>
      </c>
      <c r="AN57" s="124">
        <f t="shared" si="62"/>
        <v>0</v>
      </c>
      <c r="AO57" s="124">
        <f t="shared" si="62"/>
        <v>0</v>
      </c>
      <c r="AP57" s="124">
        <f t="shared" si="62"/>
        <v>0</v>
      </c>
      <c r="AQ57" s="124"/>
      <c r="AR57" s="124">
        <f t="shared" si="63"/>
        <v>0</v>
      </c>
      <c r="AS57" s="124">
        <f t="shared" si="64"/>
        <v>0</v>
      </c>
      <c r="AT57" s="124">
        <f t="shared" si="64"/>
        <v>0</v>
      </c>
      <c r="AU57" s="124">
        <f t="shared" si="64"/>
        <v>0</v>
      </c>
      <c r="AV57" s="124">
        <f t="shared" si="64"/>
        <v>0</v>
      </c>
      <c r="AW57" s="124">
        <f t="shared" si="64"/>
        <v>0</v>
      </c>
      <c r="AX57" s="124">
        <f t="shared" si="64"/>
        <v>0</v>
      </c>
      <c r="AY57" s="124">
        <f t="shared" si="64"/>
        <v>0</v>
      </c>
      <c r="AZ57" s="124">
        <f t="shared" si="64"/>
        <v>0</v>
      </c>
      <c r="BA57" s="124">
        <f t="shared" si="64"/>
        <v>0</v>
      </c>
      <c r="BB57" s="124">
        <f t="shared" si="64"/>
        <v>0</v>
      </c>
      <c r="BC57" s="124">
        <f t="shared" si="64"/>
        <v>0</v>
      </c>
      <c r="BD57" s="124"/>
      <c r="BE57" s="124">
        <f t="shared" si="65"/>
        <v>0</v>
      </c>
      <c r="BF57" s="124">
        <f t="shared" si="66"/>
        <v>0</v>
      </c>
      <c r="BG57" s="124">
        <f t="shared" si="66"/>
        <v>0</v>
      </c>
      <c r="BH57" s="124">
        <f t="shared" si="66"/>
        <v>0</v>
      </c>
      <c r="BI57" s="124">
        <f t="shared" si="66"/>
        <v>0</v>
      </c>
      <c r="BJ57" s="124">
        <f t="shared" si="66"/>
        <v>0</v>
      </c>
      <c r="BK57" s="124">
        <f t="shared" si="66"/>
        <v>0</v>
      </c>
      <c r="BL57" s="124">
        <f t="shared" si="66"/>
        <v>0</v>
      </c>
      <c r="BM57" s="124">
        <f t="shared" si="66"/>
        <v>0</v>
      </c>
      <c r="BN57" s="124">
        <f t="shared" si="66"/>
        <v>0</v>
      </c>
      <c r="BO57" s="124">
        <f t="shared" si="66"/>
        <v>0</v>
      </c>
      <c r="BP57" s="124">
        <f t="shared" si="66"/>
        <v>0</v>
      </c>
      <c r="BQ57" s="124"/>
      <c r="BR57" s="124">
        <f t="shared" si="67"/>
        <v>0</v>
      </c>
      <c r="BS57" s="124">
        <f t="shared" si="68"/>
        <v>0</v>
      </c>
      <c r="BT57" s="124">
        <f t="shared" si="68"/>
        <v>0</v>
      </c>
      <c r="BU57" s="124">
        <f t="shared" si="68"/>
        <v>0</v>
      </c>
      <c r="BV57" s="124">
        <f t="shared" si="68"/>
        <v>0</v>
      </c>
      <c r="BW57" s="124">
        <f t="shared" si="68"/>
        <v>0</v>
      </c>
      <c r="BX57" s="124">
        <f t="shared" si="68"/>
        <v>0</v>
      </c>
      <c r="BY57" s="124">
        <f t="shared" si="68"/>
        <v>0</v>
      </c>
      <c r="BZ57" s="124">
        <f t="shared" si="68"/>
        <v>0</v>
      </c>
      <c r="CA57" s="124">
        <f t="shared" si="68"/>
        <v>0</v>
      </c>
      <c r="CB57" s="124">
        <f t="shared" si="68"/>
        <v>0</v>
      </c>
      <c r="CC57" s="124">
        <f t="shared" si="68"/>
        <v>0</v>
      </c>
      <c r="CD57" s="125"/>
      <c r="CE57" s="9">
        <f t="shared" si="69"/>
        <v>0</v>
      </c>
      <c r="CF57" s="126"/>
      <c r="CG57" s="9"/>
      <c r="CH57" s="8"/>
      <c r="CI57" s="7"/>
      <c r="CJ57" s="7"/>
      <c r="CK57" s="7"/>
      <c r="CL57" s="7"/>
      <c r="CM57" s="7"/>
      <c r="CN57" s="7"/>
      <c r="CO57" s="7"/>
    </row>
    <row r="58" spans="1:93">
      <c r="C58" s="8" t="str">
        <f t="shared" si="57"/>
        <v>Sr Project Leader</v>
      </c>
      <c r="D58" s="8" t="str">
        <f t="shared" si="57"/>
        <v>B3 PL3 (7 to 10 yrs)</v>
      </c>
      <c r="E58" s="124"/>
      <c r="F58" s="124">
        <f t="shared" si="58"/>
        <v>0</v>
      </c>
      <c r="G58" s="124">
        <f t="shared" si="58"/>
        <v>0</v>
      </c>
      <c r="H58" s="124">
        <f t="shared" si="58"/>
        <v>0</v>
      </c>
      <c r="I58" s="124">
        <f t="shared" si="58"/>
        <v>0</v>
      </c>
      <c r="J58" s="124">
        <f t="shared" si="58"/>
        <v>0</v>
      </c>
      <c r="K58" s="124">
        <f t="shared" si="58"/>
        <v>0</v>
      </c>
      <c r="L58" s="124">
        <f t="shared" si="58"/>
        <v>0</v>
      </c>
      <c r="M58" s="124">
        <f t="shared" si="58"/>
        <v>0</v>
      </c>
      <c r="N58" s="124">
        <f t="shared" si="58"/>
        <v>0</v>
      </c>
      <c r="O58" s="124">
        <f t="shared" si="58"/>
        <v>0</v>
      </c>
      <c r="P58" s="124">
        <f t="shared" si="58"/>
        <v>0</v>
      </c>
      <c r="Q58" s="124"/>
      <c r="R58" s="124">
        <f t="shared" si="59"/>
        <v>0</v>
      </c>
      <c r="S58" s="124">
        <f t="shared" si="60"/>
        <v>0</v>
      </c>
      <c r="T58" s="124">
        <f t="shared" si="60"/>
        <v>0</v>
      </c>
      <c r="U58" s="124">
        <f t="shared" si="60"/>
        <v>0</v>
      </c>
      <c r="V58" s="124">
        <f t="shared" si="60"/>
        <v>0</v>
      </c>
      <c r="W58" s="124">
        <f t="shared" si="60"/>
        <v>0</v>
      </c>
      <c r="X58" s="124">
        <f t="shared" si="60"/>
        <v>0</v>
      </c>
      <c r="Y58" s="124">
        <f t="shared" si="60"/>
        <v>0</v>
      </c>
      <c r="Z58" s="124">
        <f t="shared" si="60"/>
        <v>0</v>
      </c>
      <c r="AA58" s="124">
        <f t="shared" si="60"/>
        <v>0</v>
      </c>
      <c r="AB58" s="124">
        <f t="shared" si="60"/>
        <v>0</v>
      </c>
      <c r="AC58" s="124">
        <f t="shared" si="60"/>
        <v>0</v>
      </c>
      <c r="AD58" s="124"/>
      <c r="AE58" s="124">
        <f t="shared" si="61"/>
        <v>0</v>
      </c>
      <c r="AF58" s="124">
        <f t="shared" si="62"/>
        <v>0</v>
      </c>
      <c r="AG58" s="124">
        <f t="shared" si="62"/>
        <v>0</v>
      </c>
      <c r="AH58" s="124">
        <f t="shared" si="62"/>
        <v>0</v>
      </c>
      <c r="AI58" s="124">
        <f t="shared" si="62"/>
        <v>0</v>
      </c>
      <c r="AJ58" s="124">
        <f t="shared" si="62"/>
        <v>0</v>
      </c>
      <c r="AK58" s="124">
        <f t="shared" si="62"/>
        <v>0</v>
      </c>
      <c r="AL58" s="124">
        <f t="shared" si="62"/>
        <v>0</v>
      </c>
      <c r="AM58" s="124">
        <f t="shared" si="62"/>
        <v>0</v>
      </c>
      <c r="AN58" s="124">
        <f t="shared" si="62"/>
        <v>0</v>
      </c>
      <c r="AO58" s="124">
        <f t="shared" si="62"/>
        <v>0</v>
      </c>
      <c r="AP58" s="124">
        <f t="shared" si="62"/>
        <v>0</v>
      </c>
      <c r="AQ58" s="124"/>
      <c r="AR58" s="124">
        <f t="shared" si="63"/>
        <v>0</v>
      </c>
      <c r="AS58" s="124">
        <f t="shared" si="64"/>
        <v>0</v>
      </c>
      <c r="AT58" s="124">
        <f t="shared" si="64"/>
        <v>0</v>
      </c>
      <c r="AU58" s="124">
        <f t="shared" si="64"/>
        <v>0</v>
      </c>
      <c r="AV58" s="124">
        <f t="shared" si="64"/>
        <v>0</v>
      </c>
      <c r="AW58" s="124">
        <f t="shared" si="64"/>
        <v>0</v>
      </c>
      <c r="AX58" s="124">
        <f t="shared" si="64"/>
        <v>0</v>
      </c>
      <c r="AY58" s="124">
        <f t="shared" si="64"/>
        <v>0</v>
      </c>
      <c r="AZ58" s="124">
        <f t="shared" si="64"/>
        <v>0</v>
      </c>
      <c r="BA58" s="124">
        <f t="shared" si="64"/>
        <v>0</v>
      </c>
      <c r="BB58" s="124">
        <f t="shared" si="64"/>
        <v>0</v>
      </c>
      <c r="BC58" s="124">
        <f t="shared" si="64"/>
        <v>0</v>
      </c>
      <c r="BD58" s="124"/>
      <c r="BE58" s="124">
        <f t="shared" si="65"/>
        <v>0</v>
      </c>
      <c r="BF58" s="124">
        <f t="shared" si="66"/>
        <v>0</v>
      </c>
      <c r="BG58" s="124">
        <f t="shared" si="66"/>
        <v>0</v>
      </c>
      <c r="BH58" s="124">
        <f t="shared" si="66"/>
        <v>0</v>
      </c>
      <c r="BI58" s="124">
        <f t="shared" si="66"/>
        <v>0</v>
      </c>
      <c r="BJ58" s="124">
        <f t="shared" si="66"/>
        <v>0</v>
      </c>
      <c r="BK58" s="124">
        <f t="shared" si="66"/>
        <v>0</v>
      </c>
      <c r="BL58" s="124">
        <f t="shared" si="66"/>
        <v>0</v>
      </c>
      <c r="BM58" s="124">
        <f t="shared" si="66"/>
        <v>0</v>
      </c>
      <c r="BN58" s="124">
        <f t="shared" si="66"/>
        <v>0</v>
      </c>
      <c r="BO58" s="124">
        <f t="shared" si="66"/>
        <v>0</v>
      </c>
      <c r="BP58" s="124">
        <f t="shared" si="66"/>
        <v>0</v>
      </c>
      <c r="BQ58" s="124"/>
      <c r="BR58" s="124">
        <f t="shared" si="67"/>
        <v>0</v>
      </c>
      <c r="BS58" s="124">
        <f t="shared" si="68"/>
        <v>0</v>
      </c>
      <c r="BT58" s="124">
        <f t="shared" si="68"/>
        <v>0</v>
      </c>
      <c r="BU58" s="124">
        <f t="shared" si="68"/>
        <v>0</v>
      </c>
      <c r="BV58" s="124">
        <f t="shared" si="68"/>
        <v>0</v>
      </c>
      <c r="BW58" s="124">
        <f t="shared" si="68"/>
        <v>0</v>
      </c>
      <c r="BX58" s="124">
        <f t="shared" si="68"/>
        <v>0</v>
      </c>
      <c r="BY58" s="124">
        <f t="shared" si="68"/>
        <v>0</v>
      </c>
      <c r="BZ58" s="124">
        <f t="shared" si="68"/>
        <v>0</v>
      </c>
      <c r="CA58" s="124">
        <f t="shared" si="68"/>
        <v>0</v>
      </c>
      <c r="CB58" s="124">
        <f t="shared" si="68"/>
        <v>0</v>
      </c>
      <c r="CC58" s="124">
        <f t="shared" si="68"/>
        <v>0</v>
      </c>
      <c r="CD58" s="125"/>
      <c r="CE58" s="9">
        <f t="shared" si="69"/>
        <v>0</v>
      </c>
      <c r="CF58" s="126"/>
      <c r="CG58" s="9"/>
      <c r="CH58" s="8"/>
      <c r="CI58" s="7"/>
      <c r="CJ58" s="7"/>
      <c r="CK58" s="7"/>
      <c r="CL58" s="7"/>
      <c r="CM58" s="7"/>
      <c r="CN58" s="7"/>
      <c r="CO58" s="7"/>
    </row>
    <row r="59" spans="1:93">
      <c r="C59" s="8" t="str">
        <f t="shared" si="57"/>
        <v>Project Leader</v>
      </c>
      <c r="D59" s="8" t="str">
        <f t="shared" si="57"/>
        <v>B3 PL2 (6 to 8 yrs)</v>
      </c>
      <c r="E59" s="124"/>
      <c r="F59" s="124">
        <f t="shared" si="58"/>
        <v>0</v>
      </c>
      <c r="G59" s="124">
        <f t="shared" si="58"/>
        <v>0</v>
      </c>
      <c r="H59" s="124">
        <f t="shared" si="58"/>
        <v>0</v>
      </c>
      <c r="I59" s="124">
        <f t="shared" si="58"/>
        <v>0</v>
      </c>
      <c r="J59" s="124">
        <f t="shared" si="58"/>
        <v>0</v>
      </c>
      <c r="K59" s="124">
        <f t="shared" si="58"/>
        <v>0</v>
      </c>
      <c r="L59" s="124">
        <f t="shared" si="58"/>
        <v>0</v>
      </c>
      <c r="M59" s="124">
        <f t="shared" si="58"/>
        <v>0</v>
      </c>
      <c r="N59" s="124">
        <f t="shared" si="58"/>
        <v>0</v>
      </c>
      <c r="O59" s="124">
        <f t="shared" si="58"/>
        <v>0</v>
      </c>
      <c r="P59" s="124">
        <f t="shared" si="58"/>
        <v>0</v>
      </c>
      <c r="Q59" s="124"/>
      <c r="R59" s="124">
        <f t="shared" si="59"/>
        <v>0</v>
      </c>
      <c r="S59" s="124">
        <f t="shared" si="60"/>
        <v>0</v>
      </c>
      <c r="T59" s="124">
        <f t="shared" si="60"/>
        <v>0</v>
      </c>
      <c r="U59" s="124">
        <f t="shared" si="60"/>
        <v>0</v>
      </c>
      <c r="V59" s="124">
        <f t="shared" si="60"/>
        <v>0</v>
      </c>
      <c r="W59" s="124">
        <f t="shared" si="60"/>
        <v>0</v>
      </c>
      <c r="X59" s="124">
        <f t="shared" si="60"/>
        <v>0</v>
      </c>
      <c r="Y59" s="124">
        <f t="shared" si="60"/>
        <v>0</v>
      </c>
      <c r="Z59" s="124">
        <f t="shared" si="60"/>
        <v>0</v>
      </c>
      <c r="AA59" s="124">
        <f t="shared" si="60"/>
        <v>0</v>
      </c>
      <c r="AB59" s="124">
        <f t="shared" si="60"/>
        <v>0</v>
      </c>
      <c r="AC59" s="124">
        <f t="shared" si="60"/>
        <v>0</v>
      </c>
      <c r="AD59" s="124"/>
      <c r="AE59" s="124">
        <f t="shared" si="61"/>
        <v>0</v>
      </c>
      <c r="AF59" s="124">
        <f t="shared" si="62"/>
        <v>0</v>
      </c>
      <c r="AG59" s="124">
        <f t="shared" si="62"/>
        <v>0</v>
      </c>
      <c r="AH59" s="124">
        <f t="shared" si="62"/>
        <v>0</v>
      </c>
      <c r="AI59" s="124">
        <f t="shared" si="62"/>
        <v>0</v>
      </c>
      <c r="AJ59" s="124">
        <f t="shared" si="62"/>
        <v>0</v>
      </c>
      <c r="AK59" s="124">
        <f t="shared" si="62"/>
        <v>0</v>
      </c>
      <c r="AL59" s="124">
        <f t="shared" si="62"/>
        <v>0</v>
      </c>
      <c r="AM59" s="124">
        <f t="shared" si="62"/>
        <v>0</v>
      </c>
      <c r="AN59" s="124">
        <f t="shared" si="62"/>
        <v>0</v>
      </c>
      <c r="AO59" s="124">
        <f t="shared" si="62"/>
        <v>0</v>
      </c>
      <c r="AP59" s="124">
        <f t="shared" si="62"/>
        <v>0</v>
      </c>
      <c r="AQ59" s="124"/>
      <c r="AR59" s="124">
        <f t="shared" si="63"/>
        <v>0</v>
      </c>
      <c r="AS59" s="124">
        <f t="shared" si="64"/>
        <v>0</v>
      </c>
      <c r="AT59" s="124">
        <f t="shared" si="64"/>
        <v>0</v>
      </c>
      <c r="AU59" s="124">
        <f t="shared" si="64"/>
        <v>0</v>
      </c>
      <c r="AV59" s="124">
        <f t="shared" si="64"/>
        <v>0</v>
      </c>
      <c r="AW59" s="124">
        <f t="shared" si="64"/>
        <v>0</v>
      </c>
      <c r="AX59" s="124">
        <f t="shared" si="64"/>
        <v>0</v>
      </c>
      <c r="AY59" s="124">
        <f t="shared" si="64"/>
        <v>0</v>
      </c>
      <c r="AZ59" s="124">
        <f t="shared" si="64"/>
        <v>0</v>
      </c>
      <c r="BA59" s="124">
        <f t="shared" si="64"/>
        <v>0</v>
      </c>
      <c r="BB59" s="124">
        <f t="shared" si="64"/>
        <v>0</v>
      </c>
      <c r="BC59" s="124">
        <f t="shared" si="64"/>
        <v>0</v>
      </c>
      <c r="BD59" s="124"/>
      <c r="BE59" s="124">
        <f t="shared" si="65"/>
        <v>0</v>
      </c>
      <c r="BF59" s="124">
        <f t="shared" si="66"/>
        <v>0</v>
      </c>
      <c r="BG59" s="124">
        <f t="shared" si="66"/>
        <v>0</v>
      </c>
      <c r="BH59" s="124">
        <f t="shared" si="66"/>
        <v>0</v>
      </c>
      <c r="BI59" s="124">
        <f t="shared" si="66"/>
        <v>0</v>
      </c>
      <c r="BJ59" s="124">
        <f t="shared" si="66"/>
        <v>0</v>
      </c>
      <c r="BK59" s="124">
        <f t="shared" si="66"/>
        <v>0</v>
      </c>
      <c r="BL59" s="124">
        <f t="shared" si="66"/>
        <v>0</v>
      </c>
      <c r="BM59" s="124">
        <f t="shared" si="66"/>
        <v>0</v>
      </c>
      <c r="BN59" s="124">
        <f t="shared" si="66"/>
        <v>0</v>
      </c>
      <c r="BO59" s="124">
        <f t="shared" si="66"/>
        <v>0</v>
      </c>
      <c r="BP59" s="124">
        <f t="shared" si="66"/>
        <v>0</v>
      </c>
      <c r="BQ59" s="124"/>
      <c r="BR59" s="124">
        <f t="shared" si="67"/>
        <v>0</v>
      </c>
      <c r="BS59" s="124">
        <f t="shared" si="68"/>
        <v>0</v>
      </c>
      <c r="BT59" s="124">
        <f t="shared" si="68"/>
        <v>0</v>
      </c>
      <c r="BU59" s="124">
        <f t="shared" si="68"/>
        <v>0</v>
      </c>
      <c r="BV59" s="124">
        <f t="shared" si="68"/>
        <v>0</v>
      </c>
      <c r="BW59" s="124">
        <f t="shared" si="68"/>
        <v>0</v>
      </c>
      <c r="BX59" s="124">
        <f t="shared" si="68"/>
        <v>0</v>
      </c>
      <c r="BY59" s="124">
        <f t="shared" si="68"/>
        <v>0</v>
      </c>
      <c r="BZ59" s="124">
        <f t="shared" si="68"/>
        <v>0</v>
      </c>
      <c r="CA59" s="124">
        <f t="shared" si="68"/>
        <v>0</v>
      </c>
      <c r="CB59" s="124">
        <f t="shared" si="68"/>
        <v>0</v>
      </c>
      <c r="CC59" s="124">
        <f t="shared" si="68"/>
        <v>0</v>
      </c>
      <c r="CD59" s="125"/>
      <c r="CE59" s="9">
        <f t="shared" si="69"/>
        <v>0</v>
      </c>
      <c r="CF59" s="126"/>
      <c r="CG59" s="9"/>
      <c r="CH59" s="8"/>
      <c r="CI59" s="7"/>
      <c r="CJ59" s="7"/>
      <c r="CK59" s="7"/>
      <c r="CL59" s="7"/>
      <c r="CM59" s="7"/>
      <c r="CN59" s="7"/>
      <c r="CO59" s="7"/>
    </row>
    <row r="60" spans="1:93">
      <c r="C60" s="8" t="str">
        <f t="shared" si="57"/>
        <v>Jr Project Leader</v>
      </c>
      <c r="D60" s="8" t="str">
        <f t="shared" si="57"/>
        <v>B3 PL1 (5 to 7 yrs)</v>
      </c>
      <c r="E60" s="124"/>
      <c r="F60" s="124">
        <f t="shared" si="58"/>
        <v>0</v>
      </c>
      <c r="G60" s="124">
        <f t="shared" si="58"/>
        <v>0</v>
      </c>
      <c r="H60" s="124">
        <f t="shared" si="58"/>
        <v>0</v>
      </c>
      <c r="I60" s="124">
        <f t="shared" si="58"/>
        <v>0</v>
      </c>
      <c r="J60" s="124">
        <f t="shared" si="58"/>
        <v>0</v>
      </c>
      <c r="K60" s="124">
        <f t="shared" si="58"/>
        <v>0</v>
      </c>
      <c r="L60" s="124">
        <f t="shared" si="58"/>
        <v>0</v>
      </c>
      <c r="M60" s="124">
        <f t="shared" si="58"/>
        <v>0</v>
      </c>
      <c r="N60" s="124">
        <f t="shared" si="58"/>
        <v>0</v>
      </c>
      <c r="O60" s="124">
        <f t="shared" si="58"/>
        <v>0</v>
      </c>
      <c r="P60" s="124">
        <f t="shared" si="58"/>
        <v>0</v>
      </c>
      <c r="Q60" s="124"/>
      <c r="R60" s="124">
        <f t="shared" si="59"/>
        <v>0</v>
      </c>
      <c r="S60" s="124">
        <f t="shared" si="60"/>
        <v>0</v>
      </c>
      <c r="T60" s="124">
        <f t="shared" si="60"/>
        <v>0</v>
      </c>
      <c r="U60" s="124">
        <f t="shared" si="60"/>
        <v>0</v>
      </c>
      <c r="V60" s="124">
        <f t="shared" si="60"/>
        <v>0</v>
      </c>
      <c r="W60" s="124">
        <f t="shared" si="60"/>
        <v>0</v>
      </c>
      <c r="X60" s="124">
        <f t="shared" si="60"/>
        <v>0</v>
      </c>
      <c r="Y60" s="124">
        <f t="shared" si="60"/>
        <v>0</v>
      </c>
      <c r="Z60" s="124">
        <f t="shared" si="60"/>
        <v>0</v>
      </c>
      <c r="AA60" s="124">
        <f t="shared" si="60"/>
        <v>0</v>
      </c>
      <c r="AB60" s="124">
        <f t="shared" si="60"/>
        <v>0</v>
      </c>
      <c r="AC60" s="124">
        <f t="shared" si="60"/>
        <v>0</v>
      </c>
      <c r="AD60" s="124"/>
      <c r="AE60" s="124">
        <f t="shared" si="61"/>
        <v>0</v>
      </c>
      <c r="AF60" s="124">
        <f t="shared" si="62"/>
        <v>0</v>
      </c>
      <c r="AG60" s="124">
        <f t="shared" si="62"/>
        <v>0</v>
      </c>
      <c r="AH60" s="124">
        <f t="shared" si="62"/>
        <v>0</v>
      </c>
      <c r="AI60" s="124">
        <f t="shared" si="62"/>
        <v>0</v>
      </c>
      <c r="AJ60" s="124">
        <f t="shared" si="62"/>
        <v>0</v>
      </c>
      <c r="AK60" s="124">
        <f t="shared" si="62"/>
        <v>0</v>
      </c>
      <c r="AL60" s="124">
        <f t="shared" si="62"/>
        <v>0</v>
      </c>
      <c r="AM60" s="124">
        <f t="shared" si="62"/>
        <v>0</v>
      </c>
      <c r="AN60" s="124">
        <f t="shared" si="62"/>
        <v>0</v>
      </c>
      <c r="AO60" s="124">
        <f t="shared" si="62"/>
        <v>0</v>
      </c>
      <c r="AP60" s="124">
        <f t="shared" si="62"/>
        <v>0</v>
      </c>
      <c r="AQ60" s="124"/>
      <c r="AR60" s="124">
        <f t="shared" si="63"/>
        <v>0</v>
      </c>
      <c r="AS60" s="124">
        <f t="shared" si="64"/>
        <v>0</v>
      </c>
      <c r="AT60" s="124">
        <f t="shared" si="64"/>
        <v>0</v>
      </c>
      <c r="AU60" s="124">
        <f t="shared" si="64"/>
        <v>0</v>
      </c>
      <c r="AV60" s="124">
        <f t="shared" si="64"/>
        <v>0</v>
      </c>
      <c r="AW60" s="124">
        <f t="shared" si="64"/>
        <v>0</v>
      </c>
      <c r="AX60" s="124">
        <f t="shared" si="64"/>
        <v>0</v>
      </c>
      <c r="AY60" s="124">
        <f t="shared" si="64"/>
        <v>0</v>
      </c>
      <c r="AZ60" s="124">
        <f t="shared" si="64"/>
        <v>0</v>
      </c>
      <c r="BA60" s="124">
        <f t="shared" si="64"/>
        <v>0</v>
      </c>
      <c r="BB60" s="124">
        <f t="shared" si="64"/>
        <v>0</v>
      </c>
      <c r="BC60" s="124">
        <f t="shared" si="64"/>
        <v>0</v>
      </c>
      <c r="BD60" s="124"/>
      <c r="BE60" s="124">
        <f t="shared" si="65"/>
        <v>0</v>
      </c>
      <c r="BF60" s="124">
        <f t="shared" si="66"/>
        <v>0</v>
      </c>
      <c r="BG60" s="124">
        <f t="shared" si="66"/>
        <v>0</v>
      </c>
      <c r="BH60" s="124">
        <f t="shared" si="66"/>
        <v>0</v>
      </c>
      <c r="BI60" s="124">
        <f t="shared" si="66"/>
        <v>0</v>
      </c>
      <c r="BJ60" s="124">
        <f t="shared" si="66"/>
        <v>0</v>
      </c>
      <c r="BK60" s="124">
        <f t="shared" si="66"/>
        <v>0</v>
      </c>
      <c r="BL60" s="124">
        <f t="shared" si="66"/>
        <v>0</v>
      </c>
      <c r="BM60" s="124">
        <f t="shared" si="66"/>
        <v>0</v>
      </c>
      <c r="BN60" s="124">
        <f t="shared" si="66"/>
        <v>0</v>
      </c>
      <c r="BO60" s="124">
        <f t="shared" si="66"/>
        <v>0</v>
      </c>
      <c r="BP60" s="124">
        <f t="shared" si="66"/>
        <v>0</v>
      </c>
      <c r="BQ60" s="124"/>
      <c r="BR60" s="124">
        <f t="shared" si="67"/>
        <v>0</v>
      </c>
      <c r="BS60" s="124">
        <f t="shared" si="68"/>
        <v>0</v>
      </c>
      <c r="BT60" s="124">
        <f t="shared" si="68"/>
        <v>0</v>
      </c>
      <c r="BU60" s="124">
        <f t="shared" si="68"/>
        <v>0</v>
      </c>
      <c r="BV60" s="124">
        <f t="shared" si="68"/>
        <v>0</v>
      </c>
      <c r="BW60" s="124">
        <f t="shared" si="68"/>
        <v>0</v>
      </c>
      <c r="BX60" s="124">
        <f t="shared" si="68"/>
        <v>0</v>
      </c>
      <c r="BY60" s="124">
        <f t="shared" si="68"/>
        <v>0</v>
      </c>
      <c r="BZ60" s="124">
        <f t="shared" si="68"/>
        <v>0</v>
      </c>
      <c r="CA60" s="124">
        <f t="shared" si="68"/>
        <v>0</v>
      </c>
      <c r="CB60" s="124">
        <f t="shared" si="68"/>
        <v>0</v>
      </c>
      <c r="CC60" s="124">
        <f t="shared" si="68"/>
        <v>0</v>
      </c>
      <c r="CD60" s="125"/>
      <c r="CE60" s="9">
        <f t="shared" si="69"/>
        <v>0</v>
      </c>
      <c r="CF60" s="126"/>
      <c r="CG60" s="9"/>
      <c r="CH60" s="8"/>
      <c r="CI60" s="7"/>
      <c r="CJ60" s="7"/>
      <c r="CK60" s="7"/>
      <c r="CL60" s="7"/>
      <c r="CM60" s="7"/>
      <c r="CN60" s="7"/>
      <c r="CO60" s="7"/>
    </row>
    <row r="61" spans="1:93">
      <c r="C61" s="8" t="str">
        <f t="shared" si="57"/>
        <v>Sr Developer</v>
      </c>
      <c r="D61" s="8" t="str">
        <f t="shared" si="57"/>
        <v>B2 AP3 (3 to 5 yrs)</v>
      </c>
      <c r="E61" s="124"/>
      <c r="F61" s="124">
        <f t="shared" si="58"/>
        <v>0</v>
      </c>
      <c r="G61" s="124">
        <f t="shared" si="58"/>
        <v>0</v>
      </c>
      <c r="H61" s="124">
        <f t="shared" si="58"/>
        <v>0</v>
      </c>
      <c r="I61" s="124">
        <f>H61</f>
        <v>0</v>
      </c>
      <c r="J61" s="124">
        <f t="shared" si="58"/>
        <v>0</v>
      </c>
      <c r="K61" s="124">
        <f>J61</f>
        <v>0</v>
      </c>
      <c r="L61" s="124">
        <f t="shared" si="58"/>
        <v>0</v>
      </c>
      <c r="M61" s="124">
        <f t="shared" si="58"/>
        <v>0</v>
      </c>
      <c r="N61" s="124">
        <f t="shared" si="58"/>
        <v>0</v>
      </c>
      <c r="O61" s="124">
        <f t="shared" si="58"/>
        <v>0</v>
      </c>
      <c r="P61" s="124">
        <f t="shared" si="58"/>
        <v>0</v>
      </c>
      <c r="Q61" s="124"/>
      <c r="R61" s="124">
        <f t="shared" si="59"/>
        <v>0</v>
      </c>
      <c r="S61" s="124">
        <f t="shared" si="60"/>
        <v>0</v>
      </c>
      <c r="T61" s="124">
        <f t="shared" si="60"/>
        <v>0</v>
      </c>
      <c r="U61" s="124">
        <f t="shared" si="60"/>
        <v>0</v>
      </c>
      <c r="V61" s="124">
        <f t="shared" si="60"/>
        <v>0</v>
      </c>
      <c r="W61" s="124">
        <f t="shared" si="60"/>
        <v>0</v>
      </c>
      <c r="X61" s="124">
        <f t="shared" si="60"/>
        <v>0</v>
      </c>
      <c r="Y61" s="124">
        <f t="shared" si="60"/>
        <v>0</v>
      </c>
      <c r="Z61" s="124">
        <f t="shared" si="60"/>
        <v>0</v>
      </c>
      <c r="AA61" s="124">
        <f t="shared" si="60"/>
        <v>0</v>
      </c>
      <c r="AB61" s="124">
        <f t="shared" si="60"/>
        <v>0</v>
      </c>
      <c r="AC61" s="124">
        <f t="shared" si="60"/>
        <v>0</v>
      </c>
      <c r="AD61" s="124"/>
      <c r="AE61" s="124">
        <f t="shared" si="61"/>
        <v>0</v>
      </c>
      <c r="AF61" s="124">
        <f t="shared" si="62"/>
        <v>0</v>
      </c>
      <c r="AG61" s="124">
        <f t="shared" si="62"/>
        <v>0</v>
      </c>
      <c r="AH61" s="124">
        <f t="shared" si="62"/>
        <v>0</v>
      </c>
      <c r="AI61" s="124">
        <f t="shared" si="62"/>
        <v>0</v>
      </c>
      <c r="AJ61" s="124">
        <f t="shared" si="62"/>
        <v>0</v>
      </c>
      <c r="AK61" s="124">
        <f t="shared" si="62"/>
        <v>0</v>
      </c>
      <c r="AL61" s="124">
        <f t="shared" si="62"/>
        <v>0</v>
      </c>
      <c r="AM61" s="124">
        <f t="shared" si="62"/>
        <v>0</v>
      </c>
      <c r="AN61" s="124">
        <f t="shared" si="62"/>
        <v>0</v>
      </c>
      <c r="AO61" s="124">
        <f t="shared" si="62"/>
        <v>0</v>
      </c>
      <c r="AP61" s="124">
        <f t="shared" si="62"/>
        <v>0</v>
      </c>
      <c r="AQ61" s="124"/>
      <c r="AR61" s="124">
        <f t="shared" si="63"/>
        <v>0</v>
      </c>
      <c r="AS61" s="124">
        <f t="shared" si="64"/>
        <v>0</v>
      </c>
      <c r="AT61" s="124">
        <f t="shared" si="64"/>
        <v>0</v>
      </c>
      <c r="AU61" s="124">
        <f t="shared" si="64"/>
        <v>0</v>
      </c>
      <c r="AV61" s="124">
        <f t="shared" si="64"/>
        <v>0</v>
      </c>
      <c r="AW61" s="124">
        <f t="shared" si="64"/>
        <v>0</v>
      </c>
      <c r="AX61" s="124">
        <f t="shared" si="64"/>
        <v>0</v>
      </c>
      <c r="AY61" s="124">
        <f t="shared" si="64"/>
        <v>0</v>
      </c>
      <c r="AZ61" s="124">
        <f t="shared" si="64"/>
        <v>0</v>
      </c>
      <c r="BA61" s="124">
        <f t="shared" si="64"/>
        <v>0</v>
      </c>
      <c r="BB61" s="124">
        <f t="shared" si="64"/>
        <v>0</v>
      </c>
      <c r="BC61" s="124">
        <f t="shared" si="64"/>
        <v>0</v>
      </c>
      <c r="BD61" s="124"/>
      <c r="BE61" s="124">
        <f t="shared" si="65"/>
        <v>0</v>
      </c>
      <c r="BF61" s="124">
        <f t="shared" si="66"/>
        <v>0</v>
      </c>
      <c r="BG61" s="124">
        <f t="shared" si="66"/>
        <v>0</v>
      </c>
      <c r="BH61" s="124">
        <f t="shared" si="66"/>
        <v>0</v>
      </c>
      <c r="BI61" s="124">
        <f t="shared" si="66"/>
        <v>0</v>
      </c>
      <c r="BJ61" s="124">
        <f t="shared" si="66"/>
        <v>0</v>
      </c>
      <c r="BK61" s="124">
        <f t="shared" si="66"/>
        <v>0</v>
      </c>
      <c r="BL61" s="124">
        <f t="shared" si="66"/>
        <v>0</v>
      </c>
      <c r="BM61" s="124">
        <f t="shared" si="66"/>
        <v>0</v>
      </c>
      <c r="BN61" s="124">
        <f t="shared" si="66"/>
        <v>0</v>
      </c>
      <c r="BO61" s="124">
        <f t="shared" si="66"/>
        <v>0</v>
      </c>
      <c r="BP61" s="124">
        <f t="shared" si="66"/>
        <v>0</v>
      </c>
      <c r="BQ61" s="124"/>
      <c r="BR61" s="124">
        <f t="shared" si="67"/>
        <v>0</v>
      </c>
      <c r="BS61" s="124">
        <f t="shared" si="68"/>
        <v>0</v>
      </c>
      <c r="BT61" s="124">
        <f t="shared" si="68"/>
        <v>0</v>
      </c>
      <c r="BU61" s="124">
        <f t="shared" si="68"/>
        <v>0</v>
      </c>
      <c r="BV61" s="124">
        <f t="shared" si="68"/>
        <v>0</v>
      </c>
      <c r="BW61" s="124">
        <f t="shared" si="68"/>
        <v>0</v>
      </c>
      <c r="BX61" s="124">
        <f t="shared" si="68"/>
        <v>0</v>
      </c>
      <c r="BY61" s="124">
        <f t="shared" si="68"/>
        <v>0</v>
      </c>
      <c r="BZ61" s="124">
        <f t="shared" si="68"/>
        <v>0</v>
      </c>
      <c r="CA61" s="124">
        <f t="shared" si="68"/>
        <v>0</v>
      </c>
      <c r="CB61" s="124">
        <f t="shared" si="68"/>
        <v>0</v>
      </c>
      <c r="CC61" s="124">
        <f t="shared" si="68"/>
        <v>0</v>
      </c>
      <c r="CD61" s="125"/>
      <c r="CE61" s="9">
        <f t="shared" si="69"/>
        <v>0</v>
      </c>
      <c r="CF61" s="126"/>
      <c r="CG61" s="9"/>
      <c r="CH61" s="8"/>
      <c r="CI61" s="7"/>
      <c r="CJ61" s="7"/>
      <c r="CK61" s="7"/>
      <c r="CL61" s="7"/>
      <c r="CM61" s="7"/>
      <c r="CN61" s="7"/>
      <c r="CO61" s="7"/>
    </row>
    <row r="62" spans="1:93">
      <c r="C62" s="8" t="str">
        <f t="shared" si="57"/>
        <v>Jr Developer</v>
      </c>
      <c r="D62" s="8" t="str">
        <f t="shared" si="57"/>
        <v>B2 AP2 (0.6 to 3 yrs)</v>
      </c>
      <c r="E62" s="124"/>
      <c r="F62" s="124">
        <f t="shared" si="58"/>
        <v>0</v>
      </c>
      <c r="G62" s="124">
        <f t="shared" si="58"/>
        <v>0</v>
      </c>
      <c r="H62" s="124">
        <f t="shared" si="58"/>
        <v>0</v>
      </c>
      <c r="I62" s="124">
        <f t="shared" si="58"/>
        <v>0</v>
      </c>
      <c r="J62" s="124">
        <f t="shared" si="58"/>
        <v>0</v>
      </c>
      <c r="K62" s="124">
        <f t="shared" si="58"/>
        <v>0</v>
      </c>
      <c r="L62" s="124">
        <f t="shared" si="58"/>
        <v>0</v>
      </c>
      <c r="M62" s="124">
        <f t="shared" si="58"/>
        <v>0</v>
      </c>
      <c r="N62" s="124">
        <f t="shared" si="58"/>
        <v>0</v>
      </c>
      <c r="O62" s="124">
        <f t="shared" si="58"/>
        <v>0</v>
      </c>
      <c r="P62" s="124">
        <f t="shared" si="58"/>
        <v>0</v>
      </c>
      <c r="Q62" s="124"/>
      <c r="R62" s="124">
        <f t="shared" si="59"/>
        <v>0</v>
      </c>
      <c r="S62" s="124">
        <f t="shared" si="60"/>
        <v>0</v>
      </c>
      <c r="T62" s="124">
        <f t="shared" si="60"/>
        <v>0</v>
      </c>
      <c r="U62" s="124">
        <f t="shared" si="60"/>
        <v>0</v>
      </c>
      <c r="V62" s="124">
        <f t="shared" si="60"/>
        <v>0</v>
      </c>
      <c r="W62" s="124">
        <f t="shared" si="60"/>
        <v>0</v>
      </c>
      <c r="X62" s="124">
        <f t="shared" si="60"/>
        <v>0</v>
      </c>
      <c r="Y62" s="124">
        <f t="shared" si="60"/>
        <v>0</v>
      </c>
      <c r="Z62" s="124">
        <f t="shared" si="60"/>
        <v>0</v>
      </c>
      <c r="AA62" s="124">
        <f t="shared" si="60"/>
        <v>0</v>
      </c>
      <c r="AB62" s="124">
        <f t="shared" si="60"/>
        <v>0</v>
      </c>
      <c r="AC62" s="124">
        <f t="shared" si="60"/>
        <v>0</v>
      </c>
      <c r="AD62" s="124"/>
      <c r="AE62" s="124">
        <f t="shared" si="61"/>
        <v>0</v>
      </c>
      <c r="AF62" s="124">
        <f t="shared" si="62"/>
        <v>0</v>
      </c>
      <c r="AG62" s="124">
        <f t="shared" si="62"/>
        <v>0</v>
      </c>
      <c r="AH62" s="124">
        <f t="shared" si="62"/>
        <v>0</v>
      </c>
      <c r="AI62" s="124">
        <f t="shared" si="62"/>
        <v>0</v>
      </c>
      <c r="AJ62" s="124">
        <f t="shared" si="62"/>
        <v>0</v>
      </c>
      <c r="AK62" s="124">
        <f t="shared" si="62"/>
        <v>0</v>
      </c>
      <c r="AL62" s="124">
        <f t="shared" si="62"/>
        <v>0</v>
      </c>
      <c r="AM62" s="124">
        <f t="shared" si="62"/>
        <v>0</v>
      </c>
      <c r="AN62" s="124">
        <f t="shared" si="62"/>
        <v>0</v>
      </c>
      <c r="AO62" s="124">
        <f t="shared" si="62"/>
        <v>0</v>
      </c>
      <c r="AP62" s="124">
        <f t="shared" si="62"/>
        <v>0</v>
      </c>
      <c r="AQ62" s="124"/>
      <c r="AR62" s="124">
        <f t="shared" si="63"/>
        <v>0</v>
      </c>
      <c r="AS62" s="124">
        <f t="shared" si="64"/>
        <v>0</v>
      </c>
      <c r="AT62" s="124">
        <f t="shared" si="64"/>
        <v>0</v>
      </c>
      <c r="AU62" s="124">
        <f t="shared" si="64"/>
        <v>0</v>
      </c>
      <c r="AV62" s="124">
        <f t="shared" si="64"/>
        <v>0</v>
      </c>
      <c r="AW62" s="124">
        <f t="shared" si="64"/>
        <v>0</v>
      </c>
      <c r="AX62" s="124">
        <f t="shared" si="64"/>
        <v>0</v>
      </c>
      <c r="AY62" s="124">
        <f t="shared" si="64"/>
        <v>0</v>
      </c>
      <c r="AZ62" s="124">
        <f t="shared" si="64"/>
        <v>0</v>
      </c>
      <c r="BA62" s="124">
        <f t="shared" si="64"/>
        <v>0</v>
      </c>
      <c r="BB62" s="124">
        <f t="shared" si="64"/>
        <v>0</v>
      </c>
      <c r="BC62" s="124">
        <f t="shared" si="64"/>
        <v>0</v>
      </c>
      <c r="BD62" s="124"/>
      <c r="BE62" s="124">
        <f t="shared" si="65"/>
        <v>0</v>
      </c>
      <c r="BF62" s="124">
        <f t="shared" si="66"/>
        <v>0</v>
      </c>
      <c r="BG62" s="124">
        <f t="shared" si="66"/>
        <v>0</v>
      </c>
      <c r="BH62" s="124">
        <f t="shared" si="66"/>
        <v>0</v>
      </c>
      <c r="BI62" s="124">
        <f t="shared" si="66"/>
        <v>0</v>
      </c>
      <c r="BJ62" s="124">
        <f t="shared" si="66"/>
        <v>0</v>
      </c>
      <c r="BK62" s="124">
        <f t="shared" si="66"/>
        <v>0</v>
      </c>
      <c r="BL62" s="124">
        <f t="shared" si="66"/>
        <v>0</v>
      </c>
      <c r="BM62" s="124">
        <f t="shared" si="66"/>
        <v>0</v>
      </c>
      <c r="BN62" s="124">
        <f t="shared" si="66"/>
        <v>0</v>
      </c>
      <c r="BO62" s="124">
        <f t="shared" si="66"/>
        <v>0</v>
      </c>
      <c r="BP62" s="124">
        <f t="shared" si="66"/>
        <v>0</v>
      </c>
      <c r="BQ62" s="124"/>
      <c r="BR62" s="124">
        <f t="shared" si="67"/>
        <v>0</v>
      </c>
      <c r="BS62" s="124">
        <f t="shared" si="68"/>
        <v>0</v>
      </c>
      <c r="BT62" s="124">
        <f t="shared" si="68"/>
        <v>0</v>
      </c>
      <c r="BU62" s="124">
        <f t="shared" si="68"/>
        <v>0</v>
      </c>
      <c r="BV62" s="124">
        <f t="shared" si="68"/>
        <v>0</v>
      </c>
      <c r="BW62" s="124">
        <f t="shared" si="68"/>
        <v>0</v>
      </c>
      <c r="BX62" s="124">
        <f t="shared" si="68"/>
        <v>0</v>
      </c>
      <c r="BY62" s="124">
        <f t="shared" si="68"/>
        <v>0</v>
      </c>
      <c r="BZ62" s="124">
        <f t="shared" si="68"/>
        <v>0</v>
      </c>
      <c r="CA62" s="124">
        <f t="shared" si="68"/>
        <v>0</v>
      </c>
      <c r="CB62" s="124">
        <f t="shared" si="68"/>
        <v>0</v>
      </c>
      <c r="CC62" s="124">
        <f t="shared" si="68"/>
        <v>0</v>
      </c>
      <c r="CD62" s="125"/>
      <c r="CE62" s="9">
        <f t="shared" si="69"/>
        <v>0</v>
      </c>
      <c r="CF62" s="126"/>
      <c r="CG62" s="9"/>
      <c r="CH62" s="8"/>
      <c r="CI62" s="7"/>
      <c r="CJ62" s="7"/>
      <c r="CK62" s="7"/>
      <c r="CL62" s="7"/>
      <c r="CM62" s="7"/>
      <c r="CN62" s="7"/>
      <c r="CO62" s="7"/>
    </row>
    <row r="63" spans="1:93">
      <c r="C63" s="8" t="str">
        <f>C48</f>
        <v>Trainees</v>
      </c>
      <c r="D63" s="8" t="str">
        <f>D48</f>
        <v>B2 AP1</v>
      </c>
      <c r="E63" s="124"/>
      <c r="F63" s="124">
        <f t="shared" si="58"/>
        <v>0</v>
      </c>
      <c r="G63" s="124">
        <f t="shared" si="58"/>
        <v>0</v>
      </c>
      <c r="H63" s="124">
        <f t="shared" si="58"/>
        <v>0</v>
      </c>
      <c r="I63" s="124">
        <f t="shared" si="58"/>
        <v>0</v>
      </c>
      <c r="J63" s="124">
        <f t="shared" si="58"/>
        <v>0</v>
      </c>
      <c r="K63" s="124">
        <f t="shared" si="58"/>
        <v>0</v>
      </c>
      <c r="L63" s="124">
        <f t="shared" si="58"/>
        <v>0</v>
      </c>
      <c r="M63" s="124">
        <f t="shared" si="58"/>
        <v>0</v>
      </c>
      <c r="N63" s="124">
        <f t="shared" si="58"/>
        <v>0</v>
      </c>
      <c r="O63" s="124">
        <f t="shared" si="58"/>
        <v>0</v>
      </c>
      <c r="P63" s="124">
        <f t="shared" si="58"/>
        <v>0</v>
      </c>
      <c r="Q63" s="124"/>
      <c r="R63" s="124">
        <f t="shared" si="59"/>
        <v>0</v>
      </c>
      <c r="S63" s="124">
        <f t="shared" si="60"/>
        <v>0</v>
      </c>
      <c r="T63" s="124">
        <f t="shared" si="60"/>
        <v>0</v>
      </c>
      <c r="U63" s="124">
        <f t="shared" si="60"/>
        <v>0</v>
      </c>
      <c r="V63" s="124">
        <f t="shared" si="60"/>
        <v>0</v>
      </c>
      <c r="W63" s="124">
        <f t="shared" si="60"/>
        <v>0</v>
      </c>
      <c r="X63" s="124">
        <f t="shared" si="60"/>
        <v>0</v>
      </c>
      <c r="Y63" s="124">
        <f t="shared" si="60"/>
        <v>0</v>
      </c>
      <c r="Z63" s="124">
        <f t="shared" si="60"/>
        <v>0</v>
      </c>
      <c r="AA63" s="124">
        <f t="shared" si="60"/>
        <v>0</v>
      </c>
      <c r="AB63" s="124">
        <f t="shared" si="60"/>
        <v>0</v>
      </c>
      <c r="AC63" s="124">
        <f t="shared" si="60"/>
        <v>0</v>
      </c>
      <c r="AD63" s="124"/>
      <c r="AE63" s="124">
        <f t="shared" si="61"/>
        <v>0</v>
      </c>
      <c r="AF63" s="124">
        <f t="shared" si="62"/>
        <v>0</v>
      </c>
      <c r="AG63" s="124">
        <f t="shared" si="62"/>
        <v>0</v>
      </c>
      <c r="AH63" s="124">
        <f t="shared" si="62"/>
        <v>0</v>
      </c>
      <c r="AI63" s="124">
        <f t="shared" si="62"/>
        <v>0</v>
      </c>
      <c r="AJ63" s="124">
        <f t="shared" si="62"/>
        <v>0</v>
      </c>
      <c r="AK63" s="124">
        <f t="shared" si="62"/>
        <v>0</v>
      </c>
      <c r="AL63" s="124">
        <f t="shared" si="62"/>
        <v>0</v>
      </c>
      <c r="AM63" s="124">
        <f t="shared" si="62"/>
        <v>0</v>
      </c>
      <c r="AN63" s="124">
        <f t="shared" si="62"/>
        <v>0</v>
      </c>
      <c r="AO63" s="124">
        <f t="shared" si="62"/>
        <v>0</v>
      </c>
      <c r="AP63" s="124">
        <f t="shared" si="62"/>
        <v>0</v>
      </c>
      <c r="AQ63" s="124"/>
      <c r="AR63" s="124">
        <f t="shared" si="63"/>
        <v>0</v>
      </c>
      <c r="AS63" s="124">
        <f t="shared" si="64"/>
        <v>0</v>
      </c>
      <c r="AT63" s="124">
        <f t="shared" si="64"/>
        <v>0</v>
      </c>
      <c r="AU63" s="124">
        <f t="shared" si="64"/>
        <v>0</v>
      </c>
      <c r="AV63" s="124">
        <f t="shared" si="64"/>
        <v>0</v>
      </c>
      <c r="AW63" s="124">
        <f t="shared" si="64"/>
        <v>0</v>
      </c>
      <c r="AX63" s="124">
        <f t="shared" si="64"/>
        <v>0</v>
      </c>
      <c r="AY63" s="124">
        <f t="shared" si="64"/>
        <v>0</v>
      </c>
      <c r="AZ63" s="124">
        <f t="shared" si="64"/>
        <v>0</v>
      </c>
      <c r="BA63" s="124">
        <f t="shared" si="64"/>
        <v>0</v>
      </c>
      <c r="BB63" s="124">
        <f t="shared" si="64"/>
        <v>0</v>
      </c>
      <c r="BC63" s="124">
        <f t="shared" si="64"/>
        <v>0</v>
      </c>
      <c r="BD63" s="124"/>
      <c r="BE63" s="124">
        <f t="shared" si="65"/>
        <v>0</v>
      </c>
      <c r="BF63" s="124">
        <f t="shared" si="66"/>
        <v>0</v>
      </c>
      <c r="BG63" s="124">
        <f t="shared" si="66"/>
        <v>0</v>
      </c>
      <c r="BH63" s="124">
        <f t="shared" si="66"/>
        <v>0</v>
      </c>
      <c r="BI63" s="124">
        <f t="shared" si="66"/>
        <v>0</v>
      </c>
      <c r="BJ63" s="124">
        <f t="shared" si="66"/>
        <v>0</v>
      </c>
      <c r="BK63" s="124">
        <f t="shared" si="66"/>
        <v>0</v>
      </c>
      <c r="BL63" s="124">
        <f t="shared" si="66"/>
        <v>0</v>
      </c>
      <c r="BM63" s="124">
        <f t="shared" si="66"/>
        <v>0</v>
      </c>
      <c r="BN63" s="124">
        <f t="shared" si="66"/>
        <v>0</v>
      </c>
      <c r="BO63" s="124">
        <f t="shared" si="66"/>
        <v>0</v>
      </c>
      <c r="BP63" s="124">
        <f t="shared" si="66"/>
        <v>0</v>
      </c>
      <c r="BQ63" s="124"/>
      <c r="BR63" s="124">
        <f t="shared" si="67"/>
        <v>0</v>
      </c>
      <c r="BS63" s="124">
        <f t="shared" si="68"/>
        <v>0</v>
      </c>
      <c r="BT63" s="124">
        <f t="shared" si="68"/>
        <v>0</v>
      </c>
      <c r="BU63" s="124">
        <f t="shared" si="68"/>
        <v>0</v>
      </c>
      <c r="BV63" s="124">
        <f t="shared" si="68"/>
        <v>0</v>
      </c>
      <c r="BW63" s="124">
        <f t="shared" si="68"/>
        <v>0</v>
      </c>
      <c r="BX63" s="124">
        <f t="shared" si="68"/>
        <v>0</v>
      </c>
      <c r="BY63" s="124">
        <f t="shared" si="68"/>
        <v>0</v>
      </c>
      <c r="BZ63" s="124">
        <f t="shared" si="68"/>
        <v>0</v>
      </c>
      <c r="CA63" s="124">
        <f t="shared" si="68"/>
        <v>0</v>
      </c>
      <c r="CB63" s="124">
        <f t="shared" si="68"/>
        <v>0</v>
      </c>
      <c r="CC63" s="124">
        <f t="shared" si="68"/>
        <v>0</v>
      </c>
      <c r="CD63" s="125"/>
      <c r="CE63" s="9">
        <f t="shared" si="69"/>
        <v>0</v>
      </c>
      <c r="CF63" s="126"/>
      <c r="CG63" s="9"/>
      <c r="CI63" s="7"/>
      <c r="CJ63" s="7"/>
      <c r="CK63" s="7"/>
      <c r="CL63" s="7"/>
      <c r="CM63" s="7"/>
      <c r="CN63" s="7"/>
      <c r="CO63" s="7"/>
    </row>
    <row r="64" spans="1:93" hidden="1">
      <c r="C64" s="8" t="s">
        <v>26</v>
      </c>
      <c r="D64" s="8">
        <v>0</v>
      </c>
      <c r="E64" s="125"/>
      <c r="F64" s="125">
        <f t="shared" si="58"/>
        <v>0</v>
      </c>
      <c r="G64" s="125">
        <f t="shared" si="58"/>
        <v>0</v>
      </c>
      <c r="H64" s="125">
        <f t="shared" si="58"/>
        <v>0</v>
      </c>
      <c r="I64" s="125">
        <f t="shared" si="58"/>
        <v>0</v>
      </c>
      <c r="J64" s="125">
        <f t="shared" si="58"/>
        <v>0</v>
      </c>
      <c r="K64" s="125">
        <f t="shared" si="58"/>
        <v>0</v>
      </c>
      <c r="L64" s="125">
        <f t="shared" si="58"/>
        <v>0</v>
      </c>
      <c r="M64" s="125">
        <f t="shared" si="58"/>
        <v>0</v>
      </c>
      <c r="N64" s="125">
        <f t="shared" si="58"/>
        <v>0</v>
      </c>
      <c r="O64" s="125">
        <f t="shared" si="58"/>
        <v>0</v>
      </c>
      <c r="P64" s="125">
        <f t="shared" si="58"/>
        <v>0</v>
      </c>
      <c r="Q64" s="10"/>
      <c r="R64" s="125">
        <f>P64</f>
        <v>0</v>
      </c>
      <c r="S64" s="125">
        <f t="shared" si="60"/>
        <v>0</v>
      </c>
      <c r="T64" s="125">
        <f t="shared" si="60"/>
        <v>0</v>
      </c>
      <c r="U64" s="125">
        <f t="shared" si="60"/>
        <v>0</v>
      </c>
      <c r="V64" s="125">
        <f t="shared" si="60"/>
        <v>0</v>
      </c>
      <c r="W64" s="125">
        <f t="shared" si="60"/>
        <v>0</v>
      </c>
      <c r="X64" s="125">
        <f t="shared" si="60"/>
        <v>0</v>
      </c>
      <c r="Y64" s="125">
        <f t="shared" si="60"/>
        <v>0</v>
      </c>
      <c r="Z64" s="125">
        <f t="shared" si="60"/>
        <v>0</v>
      </c>
      <c r="AA64" s="125">
        <f t="shared" si="60"/>
        <v>0</v>
      </c>
      <c r="AB64" s="125">
        <f t="shared" si="60"/>
        <v>0</v>
      </c>
      <c r="AC64" s="125">
        <f t="shared" si="60"/>
        <v>0</v>
      </c>
      <c r="AD64" s="10"/>
      <c r="AE64" s="10">
        <f>AC64</f>
        <v>0</v>
      </c>
      <c r="AF64" s="10">
        <f t="shared" si="62"/>
        <v>0</v>
      </c>
      <c r="AG64" s="10">
        <f t="shared" si="62"/>
        <v>0</v>
      </c>
      <c r="AH64" s="10">
        <f t="shared" si="62"/>
        <v>0</v>
      </c>
      <c r="AI64" s="10">
        <f t="shared" si="62"/>
        <v>0</v>
      </c>
      <c r="AJ64" s="10">
        <f t="shared" si="62"/>
        <v>0</v>
      </c>
      <c r="AK64" s="10">
        <f t="shared" si="62"/>
        <v>0</v>
      </c>
      <c r="AL64" s="10">
        <f t="shared" si="62"/>
        <v>0</v>
      </c>
      <c r="AM64" s="10">
        <f t="shared" si="62"/>
        <v>0</v>
      </c>
      <c r="AN64" s="10">
        <f t="shared" si="62"/>
        <v>0</v>
      </c>
      <c r="AO64" s="10">
        <f t="shared" si="62"/>
        <v>0</v>
      </c>
      <c r="AP64" s="10">
        <f t="shared" si="62"/>
        <v>0</v>
      </c>
      <c r="AQ64" s="125"/>
      <c r="AR64" s="125">
        <f>AP64</f>
        <v>0</v>
      </c>
      <c r="AS64" s="125">
        <f t="shared" si="64"/>
        <v>0</v>
      </c>
      <c r="AT64" s="125">
        <f t="shared" si="64"/>
        <v>0</v>
      </c>
      <c r="AU64" s="125">
        <f t="shared" si="64"/>
        <v>0</v>
      </c>
      <c r="AV64" s="125">
        <f t="shared" si="64"/>
        <v>0</v>
      </c>
      <c r="AW64" s="125">
        <f t="shared" si="64"/>
        <v>0</v>
      </c>
      <c r="AX64" s="125">
        <f t="shared" si="64"/>
        <v>0</v>
      </c>
      <c r="AY64" s="125">
        <f t="shared" si="64"/>
        <v>0</v>
      </c>
      <c r="AZ64" s="125">
        <f t="shared" si="64"/>
        <v>0</v>
      </c>
      <c r="BA64" s="125">
        <f t="shared" si="64"/>
        <v>0</v>
      </c>
      <c r="BB64" s="125">
        <f t="shared" si="64"/>
        <v>0</v>
      </c>
      <c r="BC64" s="125">
        <f t="shared" si="64"/>
        <v>0</v>
      </c>
      <c r="BD64" s="125"/>
      <c r="BE64" s="125">
        <f>BC64</f>
        <v>0</v>
      </c>
      <c r="BF64" s="125">
        <f t="shared" si="66"/>
        <v>0</v>
      </c>
      <c r="BG64" s="125">
        <f t="shared" si="66"/>
        <v>0</v>
      </c>
      <c r="BH64" s="125">
        <f t="shared" si="66"/>
        <v>0</v>
      </c>
      <c r="BI64" s="125">
        <f t="shared" si="66"/>
        <v>0</v>
      </c>
      <c r="BJ64" s="125">
        <f t="shared" si="66"/>
        <v>0</v>
      </c>
      <c r="BK64" s="125">
        <f t="shared" si="66"/>
        <v>0</v>
      </c>
      <c r="BL64" s="125">
        <f t="shared" si="66"/>
        <v>0</v>
      </c>
      <c r="BM64" s="125">
        <f t="shared" si="66"/>
        <v>0</v>
      </c>
      <c r="BN64" s="125">
        <f t="shared" si="66"/>
        <v>0</v>
      </c>
      <c r="BO64" s="125">
        <f t="shared" si="66"/>
        <v>0</v>
      </c>
      <c r="BP64" s="125">
        <f t="shared" si="66"/>
        <v>0</v>
      </c>
      <c r="BQ64" s="125"/>
      <c r="BR64" s="125">
        <f>BP64</f>
        <v>0</v>
      </c>
      <c r="BS64" s="125">
        <f t="shared" si="68"/>
        <v>0</v>
      </c>
      <c r="BT64" s="125">
        <f t="shared" si="68"/>
        <v>0</v>
      </c>
      <c r="BU64" s="125">
        <f t="shared" si="68"/>
        <v>0</v>
      </c>
      <c r="BV64" s="125">
        <f t="shared" si="68"/>
        <v>0</v>
      </c>
      <c r="BW64" s="125">
        <f t="shared" si="68"/>
        <v>0</v>
      </c>
      <c r="BX64" s="125">
        <f t="shared" si="68"/>
        <v>0</v>
      </c>
      <c r="BY64" s="125">
        <f t="shared" si="68"/>
        <v>0</v>
      </c>
      <c r="BZ64" s="125">
        <f t="shared" si="68"/>
        <v>0</v>
      </c>
      <c r="CA64" s="125">
        <f t="shared" si="68"/>
        <v>0</v>
      </c>
      <c r="CB64" s="125">
        <f t="shared" si="68"/>
        <v>0</v>
      </c>
      <c r="CC64" s="125">
        <f t="shared" si="68"/>
        <v>0</v>
      </c>
      <c r="CD64" s="125">
        <f>BQ64*CD$4/12</f>
        <v>0</v>
      </c>
      <c r="CE64" s="9">
        <f t="shared" si="69"/>
        <v>0</v>
      </c>
      <c r="CF64" s="9"/>
      <c r="CG64" s="9"/>
      <c r="CI64" s="7"/>
      <c r="CJ64" s="7"/>
      <c r="CK64" s="7"/>
      <c r="CL64" s="7"/>
      <c r="CM64" s="7"/>
      <c r="CN64" s="7"/>
      <c r="CO64" s="7"/>
    </row>
    <row r="65" spans="3:93" hidden="1">
      <c r="C65" s="8" t="s">
        <v>26</v>
      </c>
      <c r="D65" s="8">
        <v>0</v>
      </c>
      <c r="E65" s="125">
        <v>0</v>
      </c>
      <c r="F65" s="125">
        <f t="shared" si="58"/>
        <v>0</v>
      </c>
      <c r="G65" s="125">
        <f t="shared" si="58"/>
        <v>0</v>
      </c>
      <c r="H65" s="125">
        <f t="shared" si="58"/>
        <v>0</v>
      </c>
      <c r="I65" s="125">
        <f t="shared" si="58"/>
        <v>0</v>
      </c>
      <c r="J65" s="125">
        <f t="shared" si="58"/>
        <v>0</v>
      </c>
      <c r="K65" s="125">
        <f t="shared" si="58"/>
        <v>0</v>
      </c>
      <c r="L65" s="125">
        <f t="shared" si="58"/>
        <v>0</v>
      </c>
      <c r="M65" s="125">
        <f t="shared" si="58"/>
        <v>0</v>
      </c>
      <c r="N65" s="125">
        <f t="shared" si="58"/>
        <v>0</v>
      </c>
      <c r="O65" s="125">
        <f t="shared" si="58"/>
        <v>0</v>
      </c>
      <c r="P65" s="125">
        <f t="shared" si="58"/>
        <v>0</v>
      </c>
      <c r="Q65" s="10"/>
      <c r="R65" s="125">
        <f>P65</f>
        <v>0</v>
      </c>
      <c r="S65" s="125">
        <f t="shared" si="60"/>
        <v>0</v>
      </c>
      <c r="T65" s="125">
        <f t="shared" si="60"/>
        <v>0</v>
      </c>
      <c r="U65" s="125">
        <f t="shared" si="60"/>
        <v>0</v>
      </c>
      <c r="V65" s="125">
        <f t="shared" si="60"/>
        <v>0</v>
      </c>
      <c r="W65" s="125">
        <f t="shared" si="60"/>
        <v>0</v>
      </c>
      <c r="X65" s="125">
        <f t="shared" si="60"/>
        <v>0</v>
      </c>
      <c r="Y65" s="125">
        <f t="shared" si="60"/>
        <v>0</v>
      </c>
      <c r="Z65" s="125">
        <f t="shared" si="60"/>
        <v>0</v>
      </c>
      <c r="AA65" s="125">
        <f t="shared" si="60"/>
        <v>0</v>
      </c>
      <c r="AB65" s="125">
        <f t="shared" si="60"/>
        <v>0</v>
      </c>
      <c r="AC65" s="125">
        <f t="shared" si="60"/>
        <v>0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25">
        <f>AC65*AQ$4/12</f>
        <v>0</v>
      </c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>
        <f>AQ65*BD$4/12</f>
        <v>0</v>
      </c>
      <c r="BE65" s="125"/>
      <c r="BF65" s="125"/>
      <c r="BG65" s="125"/>
      <c r="BH65" s="125"/>
      <c r="BI65" s="125"/>
      <c r="BJ65" s="125"/>
      <c r="BK65" s="125"/>
      <c r="BL65" s="125"/>
      <c r="BM65" s="125"/>
      <c r="BN65" s="125"/>
      <c r="BO65" s="125"/>
      <c r="BP65" s="125"/>
      <c r="BQ65" s="125">
        <f>BD65*BQ$4/12</f>
        <v>0</v>
      </c>
      <c r="BR65" s="125"/>
      <c r="BS65" s="125"/>
      <c r="BT65" s="125"/>
      <c r="BU65" s="125"/>
      <c r="BV65" s="125"/>
      <c r="BW65" s="125"/>
      <c r="BX65" s="125"/>
      <c r="BY65" s="125"/>
      <c r="BZ65" s="125"/>
      <c r="CA65" s="125"/>
      <c r="CB65" s="125"/>
      <c r="CC65" s="125"/>
      <c r="CD65" s="125">
        <f>BQ65*CD$4/12</f>
        <v>0</v>
      </c>
      <c r="CE65" s="10"/>
      <c r="CF65" s="9"/>
      <c r="CG65" s="10"/>
      <c r="CH65" s="8"/>
      <c r="CI65" s="7"/>
      <c r="CJ65" s="7"/>
      <c r="CK65" s="7"/>
      <c r="CL65" s="7"/>
      <c r="CM65" s="7"/>
      <c r="CN65" s="7"/>
      <c r="CO65" s="7"/>
    </row>
    <row r="66" spans="3:93">
      <c r="C66" s="8" t="s">
        <v>737</v>
      </c>
      <c r="D66" s="8"/>
      <c r="E66" s="12">
        <f>SUM(E54:E65)</f>
        <v>0</v>
      </c>
      <c r="F66" s="12">
        <f t="shared" ref="F66:BQ66" si="70">SUM(F54:F65)</f>
        <v>0</v>
      </c>
      <c r="G66" s="12">
        <f t="shared" si="70"/>
        <v>0</v>
      </c>
      <c r="H66" s="12">
        <f t="shared" si="70"/>
        <v>0</v>
      </c>
      <c r="I66" s="12">
        <f t="shared" si="70"/>
        <v>0</v>
      </c>
      <c r="J66" s="12">
        <f t="shared" si="70"/>
        <v>0</v>
      </c>
      <c r="K66" s="12">
        <f t="shared" si="70"/>
        <v>0</v>
      </c>
      <c r="L66" s="12">
        <f t="shared" si="70"/>
        <v>0</v>
      </c>
      <c r="M66" s="12">
        <f t="shared" si="70"/>
        <v>0</v>
      </c>
      <c r="N66" s="12">
        <f t="shared" si="70"/>
        <v>0</v>
      </c>
      <c r="O66" s="12">
        <f t="shared" si="70"/>
        <v>0</v>
      </c>
      <c r="P66" s="12">
        <f t="shared" si="70"/>
        <v>0</v>
      </c>
      <c r="Q66" s="12">
        <f t="shared" si="70"/>
        <v>0</v>
      </c>
      <c r="R66" s="12">
        <f t="shared" si="70"/>
        <v>0</v>
      </c>
      <c r="S66" s="12">
        <f t="shared" si="70"/>
        <v>0</v>
      </c>
      <c r="T66" s="12">
        <f t="shared" si="70"/>
        <v>0</v>
      </c>
      <c r="U66" s="12">
        <f t="shared" si="70"/>
        <v>0</v>
      </c>
      <c r="V66" s="12">
        <f t="shared" si="70"/>
        <v>0</v>
      </c>
      <c r="W66" s="12">
        <f t="shared" si="70"/>
        <v>0</v>
      </c>
      <c r="X66" s="12">
        <f t="shared" si="70"/>
        <v>0</v>
      </c>
      <c r="Y66" s="12">
        <f t="shared" si="70"/>
        <v>0</v>
      </c>
      <c r="Z66" s="12">
        <f t="shared" si="70"/>
        <v>0</v>
      </c>
      <c r="AA66" s="12">
        <f t="shared" si="70"/>
        <v>0</v>
      </c>
      <c r="AB66" s="12">
        <f t="shared" si="70"/>
        <v>0</v>
      </c>
      <c r="AC66" s="12">
        <f t="shared" si="70"/>
        <v>0</v>
      </c>
      <c r="AD66" s="12">
        <f t="shared" si="70"/>
        <v>0</v>
      </c>
      <c r="AE66" s="12">
        <f t="shared" si="70"/>
        <v>0</v>
      </c>
      <c r="AF66" s="12">
        <f t="shared" si="70"/>
        <v>0</v>
      </c>
      <c r="AG66" s="12">
        <f t="shared" si="70"/>
        <v>0</v>
      </c>
      <c r="AH66" s="12">
        <f t="shared" si="70"/>
        <v>0</v>
      </c>
      <c r="AI66" s="12">
        <f t="shared" si="70"/>
        <v>0</v>
      </c>
      <c r="AJ66" s="12">
        <f t="shared" si="70"/>
        <v>0</v>
      </c>
      <c r="AK66" s="12">
        <f t="shared" si="70"/>
        <v>0</v>
      </c>
      <c r="AL66" s="12">
        <f t="shared" si="70"/>
        <v>0</v>
      </c>
      <c r="AM66" s="12">
        <f t="shared" si="70"/>
        <v>0</v>
      </c>
      <c r="AN66" s="12">
        <f t="shared" si="70"/>
        <v>0</v>
      </c>
      <c r="AO66" s="12">
        <f t="shared" si="70"/>
        <v>0</v>
      </c>
      <c r="AP66" s="12">
        <f t="shared" si="70"/>
        <v>0</v>
      </c>
      <c r="AQ66" s="12">
        <f t="shared" si="70"/>
        <v>0</v>
      </c>
      <c r="AR66" s="12">
        <f t="shared" si="70"/>
        <v>0</v>
      </c>
      <c r="AS66" s="12">
        <f t="shared" si="70"/>
        <v>0</v>
      </c>
      <c r="AT66" s="12">
        <f t="shared" si="70"/>
        <v>0</v>
      </c>
      <c r="AU66" s="12">
        <f t="shared" si="70"/>
        <v>0</v>
      </c>
      <c r="AV66" s="12">
        <f t="shared" si="70"/>
        <v>0</v>
      </c>
      <c r="AW66" s="12">
        <f t="shared" si="70"/>
        <v>0</v>
      </c>
      <c r="AX66" s="12">
        <f t="shared" si="70"/>
        <v>0</v>
      </c>
      <c r="AY66" s="12">
        <f t="shared" si="70"/>
        <v>0</v>
      </c>
      <c r="AZ66" s="12">
        <f t="shared" si="70"/>
        <v>0</v>
      </c>
      <c r="BA66" s="12">
        <f t="shared" si="70"/>
        <v>0</v>
      </c>
      <c r="BB66" s="12">
        <f t="shared" si="70"/>
        <v>0</v>
      </c>
      <c r="BC66" s="12">
        <f t="shared" si="70"/>
        <v>0</v>
      </c>
      <c r="BD66" s="12">
        <f t="shared" si="70"/>
        <v>0</v>
      </c>
      <c r="BE66" s="12">
        <f t="shared" si="70"/>
        <v>0</v>
      </c>
      <c r="BF66" s="12">
        <f t="shared" si="70"/>
        <v>0</v>
      </c>
      <c r="BG66" s="12">
        <f t="shared" si="70"/>
        <v>0</v>
      </c>
      <c r="BH66" s="12">
        <f t="shared" si="70"/>
        <v>0</v>
      </c>
      <c r="BI66" s="12">
        <f t="shared" si="70"/>
        <v>0</v>
      </c>
      <c r="BJ66" s="12">
        <f t="shared" si="70"/>
        <v>0</v>
      </c>
      <c r="BK66" s="12">
        <f t="shared" si="70"/>
        <v>0</v>
      </c>
      <c r="BL66" s="12">
        <f t="shared" si="70"/>
        <v>0</v>
      </c>
      <c r="BM66" s="12">
        <f t="shared" si="70"/>
        <v>0</v>
      </c>
      <c r="BN66" s="12">
        <f t="shared" si="70"/>
        <v>0</v>
      </c>
      <c r="BO66" s="12">
        <f t="shared" si="70"/>
        <v>0</v>
      </c>
      <c r="BP66" s="12">
        <f t="shared" si="70"/>
        <v>0</v>
      </c>
      <c r="BQ66" s="12">
        <f t="shared" si="70"/>
        <v>0</v>
      </c>
      <c r="BR66" s="12">
        <f t="shared" ref="BR66:CE66" si="71">SUM(BR54:BR65)</f>
        <v>0</v>
      </c>
      <c r="BS66" s="12">
        <f t="shared" si="71"/>
        <v>0</v>
      </c>
      <c r="BT66" s="12">
        <f t="shared" si="71"/>
        <v>0</v>
      </c>
      <c r="BU66" s="12">
        <f t="shared" si="71"/>
        <v>0</v>
      </c>
      <c r="BV66" s="12">
        <f t="shared" si="71"/>
        <v>0</v>
      </c>
      <c r="BW66" s="12">
        <f t="shared" si="71"/>
        <v>0</v>
      </c>
      <c r="BX66" s="12">
        <f t="shared" si="71"/>
        <v>0</v>
      </c>
      <c r="BY66" s="12">
        <f t="shared" si="71"/>
        <v>0</v>
      </c>
      <c r="BZ66" s="12">
        <f t="shared" si="71"/>
        <v>0</v>
      </c>
      <c r="CA66" s="12">
        <f t="shared" si="71"/>
        <v>0</v>
      </c>
      <c r="CB66" s="12">
        <f t="shared" si="71"/>
        <v>0</v>
      </c>
      <c r="CC66" s="12">
        <f t="shared" si="71"/>
        <v>0</v>
      </c>
      <c r="CD66" s="12">
        <f t="shared" si="71"/>
        <v>0</v>
      </c>
      <c r="CE66" s="12">
        <f t="shared" si="71"/>
        <v>0</v>
      </c>
      <c r="CF66" s="12">
        <f>SUM(CF54:CF65)</f>
        <v>0</v>
      </c>
      <c r="CG66" s="13"/>
      <c r="CH66" s="8"/>
      <c r="CI66" s="7"/>
      <c r="CJ66" s="7"/>
      <c r="CK66" s="7"/>
      <c r="CL66" s="7"/>
      <c r="CM66" s="7"/>
      <c r="CN66" s="7"/>
      <c r="CO66" s="7"/>
    </row>
    <row r="67" spans="3:93"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8"/>
      <c r="CI67" s="7"/>
      <c r="CJ67" s="7"/>
      <c r="CK67" s="7"/>
      <c r="CL67" s="7"/>
      <c r="CM67" s="7"/>
      <c r="CN67" s="7"/>
      <c r="CO67" s="7"/>
    </row>
    <row r="68" spans="3:93">
      <c r="C68" s="128" t="s">
        <v>28</v>
      </c>
      <c r="D68" s="12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8"/>
      <c r="CI68" s="7"/>
      <c r="CJ68" s="7"/>
      <c r="CK68" s="7"/>
      <c r="CL68" s="7"/>
      <c r="CM68" s="7"/>
      <c r="CN68" s="7"/>
      <c r="CO68" s="7"/>
    </row>
    <row r="69" spans="3:93">
      <c r="C69" s="8" t="str">
        <f>C7</f>
        <v>Skillbay/Contract Hires</v>
      </c>
      <c r="D69" s="8"/>
      <c r="E69" s="9">
        <f>E7</f>
        <v>0</v>
      </c>
      <c r="F69" s="9">
        <f t="shared" ref="F69:BQ69" si="72">F7</f>
        <v>0</v>
      </c>
      <c r="G69" s="9">
        <f t="shared" si="72"/>
        <v>0</v>
      </c>
      <c r="H69" s="9">
        <f t="shared" si="72"/>
        <v>0</v>
      </c>
      <c r="I69" s="9">
        <f t="shared" si="72"/>
        <v>0</v>
      </c>
      <c r="J69" s="9">
        <f t="shared" si="72"/>
        <v>0</v>
      </c>
      <c r="K69" s="9">
        <f t="shared" si="72"/>
        <v>0</v>
      </c>
      <c r="L69" s="9">
        <f t="shared" si="72"/>
        <v>0</v>
      </c>
      <c r="M69" s="9">
        <f t="shared" si="72"/>
        <v>0</v>
      </c>
      <c r="N69" s="9">
        <f t="shared" si="72"/>
        <v>0</v>
      </c>
      <c r="O69" s="9">
        <f t="shared" si="72"/>
        <v>0</v>
      </c>
      <c r="P69" s="9">
        <f t="shared" si="72"/>
        <v>0</v>
      </c>
      <c r="Q69" s="9">
        <f t="shared" si="72"/>
        <v>0</v>
      </c>
      <c r="R69" s="9">
        <f t="shared" si="72"/>
        <v>0</v>
      </c>
      <c r="S69" s="9">
        <f t="shared" si="72"/>
        <v>0</v>
      </c>
      <c r="T69" s="9">
        <f t="shared" si="72"/>
        <v>0</v>
      </c>
      <c r="U69" s="9">
        <f t="shared" si="72"/>
        <v>0</v>
      </c>
      <c r="V69" s="9">
        <f t="shared" si="72"/>
        <v>0</v>
      </c>
      <c r="W69" s="9">
        <f t="shared" si="72"/>
        <v>0</v>
      </c>
      <c r="X69" s="9">
        <f t="shared" si="72"/>
        <v>0</v>
      </c>
      <c r="Y69" s="9">
        <f t="shared" si="72"/>
        <v>0</v>
      </c>
      <c r="Z69" s="9">
        <f t="shared" si="72"/>
        <v>0</v>
      </c>
      <c r="AA69" s="9">
        <f t="shared" si="72"/>
        <v>0</v>
      </c>
      <c r="AB69" s="9">
        <f t="shared" si="72"/>
        <v>0</v>
      </c>
      <c r="AC69" s="9">
        <f t="shared" si="72"/>
        <v>0</v>
      </c>
      <c r="AD69" s="9">
        <f t="shared" si="72"/>
        <v>0</v>
      </c>
      <c r="AE69" s="9">
        <f t="shared" si="72"/>
        <v>0</v>
      </c>
      <c r="AF69" s="9">
        <f t="shared" si="72"/>
        <v>0</v>
      </c>
      <c r="AG69" s="9">
        <f t="shared" si="72"/>
        <v>0</v>
      </c>
      <c r="AH69" s="9">
        <f t="shared" si="72"/>
        <v>0</v>
      </c>
      <c r="AI69" s="9">
        <f t="shared" si="72"/>
        <v>0</v>
      </c>
      <c r="AJ69" s="9">
        <f t="shared" si="72"/>
        <v>0</v>
      </c>
      <c r="AK69" s="9">
        <f t="shared" si="72"/>
        <v>0</v>
      </c>
      <c r="AL69" s="9">
        <f t="shared" si="72"/>
        <v>0</v>
      </c>
      <c r="AM69" s="9">
        <f t="shared" si="72"/>
        <v>0</v>
      </c>
      <c r="AN69" s="9">
        <f t="shared" si="72"/>
        <v>0</v>
      </c>
      <c r="AO69" s="9">
        <f t="shared" si="72"/>
        <v>0</v>
      </c>
      <c r="AP69" s="9">
        <f t="shared" si="72"/>
        <v>0</v>
      </c>
      <c r="AQ69" s="9">
        <f t="shared" si="72"/>
        <v>0</v>
      </c>
      <c r="AR69" s="9">
        <f t="shared" si="72"/>
        <v>0</v>
      </c>
      <c r="AS69" s="9">
        <f t="shared" si="72"/>
        <v>0</v>
      </c>
      <c r="AT69" s="9">
        <f t="shared" si="72"/>
        <v>0</v>
      </c>
      <c r="AU69" s="9">
        <f t="shared" si="72"/>
        <v>0</v>
      </c>
      <c r="AV69" s="9">
        <f t="shared" si="72"/>
        <v>0</v>
      </c>
      <c r="AW69" s="9">
        <f t="shared" si="72"/>
        <v>0</v>
      </c>
      <c r="AX69" s="9">
        <f t="shared" si="72"/>
        <v>0</v>
      </c>
      <c r="AY69" s="9">
        <f t="shared" si="72"/>
        <v>0</v>
      </c>
      <c r="AZ69" s="9">
        <f t="shared" si="72"/>
        <v>0</v>
      </c>
      <c r="BA69" s="9">
        <f t="shared" si="72"/>
        <v>0</v>
      </c>
      <c r="BB69" s="9">
        <f t="shared" si="72"/>
        <v>0</v>
      </c>
      <c r="BC69" s="9">
        <f t="shared" si="72"/>
        <v>0</v>
      </c>
      <c r="BD69" s="9">
        <f t="shared" si="72"/>
        <v>0</v>
      </c>
      <c r="BE69" s="9">
        <f t="shared" si="72"/>
        <v>0</v>
      </c>
      <c r="BF69" s="9">
        <f t="shared" si="72"/>
        <v>0</v>
      </c>
      <c r="BG69" s="9">
        <f t="shared" si="72"/>
        <v>0</v>
      </c>
      <c r="BH69" s="9">
        <f t="shared" si="72"/>
        <v>0</v>
      </c>
      <c r="BI69" s="9">
        <f t="shared" si="72"/>
        <v>0</v>
      </c>
      <c r="BJ69" s="9">
        <f t="shared" si="72"/>
        <v>0</v>
      </c>
      <c r="BK69" s="9">
        <f t="shared" si="72"/>
        <v>0</v>
      </c>
      <c r="BL69" s="9">
        <f t="shared" si="72"/>
        <v>0</v>
      </c>
      <c r="BM69" s="9">
        <f t="shared" si="72"/>
        <v>0</v>
      </c>
      <c r="BN69" s="9">
        <f t="shared" si="72"/>
        <v>0</v>
      </c>
      <c r="BO69" s="9">
        <f t="shared" si="72"/>
        <v>0</v>
      </c>
      <c r="BP69" s="9">
        <f t="shared" si="72"/>
        <v>0</v>
      </c>
      <c r="BQ69" s="9">
        <f t="shared" si="72"/>
        <v>0</v>
      </c>
      <c r="BR69" s="9">
        <f t="shared" ref="BR69:CC69" si="73">BR7</f>
        <v>0</v>
      </c>
      <c r="BS69" s="9">
        <f t="shared" si="73"/>
        <v>0</v>
      </c>
      <c r="BT69" s="9">
        <f t="shared" si="73"/>
        <v>0</v>
      </c>
      <c r="BU69" s="9">
        <f t="shared" si="73"/>
        <v>0</v>
      </c>
      <c r="BV69" s="9">
        <f t="shared" si="73"/>
        <v>0</v>
      </c>
      <c r="BW69" s="9">
        <f t="shared" si="73"/>
        <v>0</v>
      </c>
      <c r="BX69" s="9">
        <f t="shared" si="73"/>
        <v>0</v>
      </c>
      <c r="BY69" s="9">
        <f t="shared" si="73"/>
        <v>0</v>
      </c>
      <c r="BZ69" s="9">
        <f t="shared" si="73"/>
        <v>0</v>
      </c>
      <c r="CA69" s="9">
        <f t="shared" si="73"/>
        <v>0</v>
      </c>
      <c r="CB69" s="9">
        <f t="shared" si="73"/>
        <v>0</v>
      </c>
      <c r="CC69" s="9">
        <f t="shared" si="73"/>
        <v>0</v>
      </c>
      <c r="CD69" s="9"/>
      <c r="CE69" s="9">
        <f t="shared" ref="CE69:CE79" si="74">SUM(E69:P69)+SUM(R69:AC69)+SUM(AE69:AP69)+SUM(AR69:BC69)+SUM(BE69:BP69)+SUM(BR69:CC69)</f>
        <v>0</v>
      </c>
      <c r="CF69" s="9"/>
      <c r="CG69" s="9"/>
      <c r="CH69" s="8"/>
      <c r="CI69" s="7"/>
      <c r="CJ69" s="7"/>
      <c r="CK69" s="7"/>
      <c r="CL69" s="7"/>
      <c r="CM69" s="7"/>
      <c r="CN69" s="7"/>
      <c r="CO69" s="7"/>
    </row>
    <row r="70" spans="3:93">
      <c r="C70" s="8" t="str">
        <f t="shared" ref="C70:D78" si="75">C54</f>
        <v>Account Manager</v>
      </c>
      <c r="D70" s="8" t="str">
        <f t="shared" si="75"/>
        <v>B5 (min 8 yrs)</v>
      </c>
      <c r="E70" s="9">
        <f>E9+E24+E39+E54</f>
        <v>0</v>
      </c>
      <c r="F70" s="9">
        <f t="shared" ref="F70:BQ76" si="76">F9+F24+F39+F54</f>
        <v>0</v>
      </c>
      <c r="G70" s="9">
        <f t="shared" si="76"/>
        <v>0</v>
      </c>
      <c r="H70" s="9">
        <f t="shared" si="76"/>
        <v>0</v>
      </c>
      <c r="I70" s="9">
        <f t="shared" si="76"/>
        <v>0</v>
      </c>
      <c r="J70" s="9">
        <f t="shared" si="76"/>
        <v>0</v>
      </c>
      <c r="K70" s="9">
        <f t="shared" si="76"/>
        <v>0</v>
      </c>
      <c r="L70" s="9">
        <f t="shared" si="76"/>
        <v>0</v>
      </c>
      <c r="M70" s="9">
        <f t="shared" si="76"/>
        <v>0</v>
      </c>
      <c r="N70" s="9">
        <f t="shared" si="76"/>
        <v>0</v>
      </c>
      <c r="O70" s="9">
        <f t="shared" si="76"/>
        <v>0</v>
      </c>
      <c r="P70" s="9">
        <f t="shared" si="76"/>
        <v>0</v>
      </c>
      <c r="Q70" s="9"/>
      <c r="R70" s="9">
        <f t="shared" si="76"/>
        <v>0</v>
      </c>
      <c r="S70" s="9">
        <f t="shared" si="76"/>
        <v>0</v>
      </c>
      <c r="T70" s="9">
        <f t="shared" si="76"/>
        <v>0</v>
      </c>
      <c r="U70" s="9">
        <f t="shared" si="76"/>
        <v>0</v>
      </c>
      <c r="V70" s="9">
        <f t="shared" si="76"/>
        <v>0</v>
      </c>
      <c r="W70" s="9">
        <f t="shared" si="76"/>
        <v>0</v>
      </c>
      <c r="X70" s="9">
        <f t="shared" si="76"/>
        <v>0</v>
      </c>
      <c r="Y70" s="9">
        <f t="shared" si="76"/>
        <v>0</v>
      </c>
      <c r="Z70" s="9">
        <f t="shared" si="76"/>
        <v>0</v>
      </c>
      <c r="AA70" s="9">
        <f t="shared" si="76"/>
        <v>0</v>
      </c>
      <c r="AB70" s="9">
        <f t="shared" si="76"/>
        <v>0</v>
      </c>
      <c r="AC70" s="9">
        <f t="shared" si="76"/>
        <v>0</v>
      </c>
      <c r="AD70" s="9">
        <f t="shared" si="76"/>
        <v>0</v>
      </c>
      <c r="AE70" s="9">
        <f t="shared" si="76"/>
        <v>0</v>
      </c>
      <c r="AF70" s="9">
        <f t="shared" si="76"/>
        <v>0</v>
      </c>
      <c r="AG70" s="9">
        <f t="shared" si="76"/>
        <v>0</v>
      </c>
      <c r="AH70" s="9">
        <f t="shared" si="76"/>
        <v>0</v>
      </c>
      <c r="AI70" s="9">
        <f t="shared" si="76"/>
        <v>0</v>
      </c>
      <c r="AJ70" s="9">
        <f t="shared" si="76"/>
        <v>0</v>
      </c>
      <c r="AK70" s="9">
        <f t="shared" si="76"/>
        <v>0</v>
      </c>
      <c r="AL70" s="9">
        <f t="shared" si="76"/>
        <v>0</v>
      </c>
      <c r="AM70" s="9">
        <f t="shared" si="76"/>
        <v>0</v>
      </c>
      <c r="AN70" s="9">
        <f t="shared" si="76"/>
        <v>0</v>
      </c>
      <c r="AO70" s="9">
        <f t="shared" si="76"/>
        <v>0</v>
      </c>
      <c r="AP70" s="9">
        <f t="shared" si="76"/>
        <v>0</v>
      </c>
      <c r="AQ70" s="9">
        <f t="shared" si="76"/>
        <v>0</v>
      </c>
      <c r="AR70" s="9">
        <f t="shared" si="76"/>
        <v>0</v>
      </c>
      <c r="AS70" s="9">
        <f t="shared" si="76"/>
        <v>0</v>
      </c>
      <c r="AT70" s="9">
        <f t="shared" si="76"/>
        <v>0</v>
      </c>
      <c r="AU70" s="9">
        <f t="shared" si="76"/>
        <v>0</v>
      </c>
      <c r="AV70" s="9">
        <f t="shared" si="76"/>
        <v>0</v>
      </c>
      <c r="AW70" s="9">
        <f t="shared" si="76"/>
        <v>0</v>
      </c>
      <c r="AX70" s="9">
        <f t="shared" si="76"/>
        <v>0</v>
      </c>
      <c r="AY70" s="9">
        <f t="shared" si="76"/>
        <v>0</v>
      </c>
      <c r="AZ70" s="9">
        <f t="shared" si="76"/>
        <v>0</v>
      </c>
      <c r="BA70" s="9">
        <f t="shared" si="76"/>
        <v>0</v>
      </c>
      <c r="BB70" s="9">
        <f t="shared" si="76"/>
        <v>0</v>
      </c>
      <c r="BC70" s="9">
        <f t="shared" si="76"/>
        <v>0</v>
      </c>
      <c r="BD70" s="9">
        <f t="shared" si="76"/>
        <v>0</v>
      </c>
      <c r="BE70" s="9">
        <f t="shared" si="76"/>
        <v>0</v>
      </c>
      <c r="BF70" s="9">
        <f t="shared" si="76"/>
        <v>0</v>
      </c>
      <c r="BG70" s="9">
        <f t="shared" si="76"/>
        <v>0</v>
      </c>
      <c r="BH70" s="9">
        <f t="shared" si="76"/>
        <v>0</v>
      </c>
      <c r="BI70" s="9">
        <f t="shared" si="76"/>
        <v>0</v>
      </c>
      <c r="BJ70" s="9">
        <f t="shared" si="76"/>
        <v>0</v>
      </c>
      <c r="BK70" s="9">
        <f t="shared" si="76"/>
        <v>0</v>
      </c>
      <c r="BL70" s="9">
        <f t="shared" si="76"/>
        <v>0</v>
      </c>
      <c r="BM70" s="9">
        <f t="shared" si="76"/>
        <v>0</v>
      </c>
      <c r="BN70" s="9">
        <f t="shared" si="76"/>
        <v>0</v>
      </c>
      <c r="BO70" s="9">
        <f t="shared" si="76"/>
        <v>0</v>
      </c>
      <c r="BP70" s="9">
        <f t="shared" si="76"/>
        <v>0</v>
      </c>
      <c r="BQ70" s="9">
        <f t="shared" si="76"/>
        <v>0</v>
      </c>
      <c r="BR70" s="9">
        <f t="shared" ref="BR70:CC75" si="77">BR9+BR24+BR39+BR54</f>
        <v>0</v>
      </c>
      <c r="BS70" s="9">
        <f t="shared" si="77"/>
        <v>0</v>
      </c>
      <c r="BT70" s="9">
        <f t="shared" si="77"/>
        <v>0</v>
      </c>
      <c r="BU70" s="9">
        <f t="shared" si="77"/>
        <v>0</v>
      </c>
      <c r="BV70" s="9">
        <f t="shared" si="77"/>
        <v>0</v>
      </c>
      <c r="BW70" s="9">
        <f t="shared" si="77"/>
        <v>0</v>
      </c>
      <c r="BX70" s="9">
        <f t="shared" si="77"/>
        <v>0</v>
      </c>
      <c r="BY70" s="9">
        <f t="shared" si="77"/>
        <v>0</v>
      </c>
      <c r="BZ70" s="9">
        <f t="shared" si="77"/>
        <v>0</v>
      </c>
      <c r="CA70" s="9">
        <f t="shared" si="77"/>
        <v>0</v>
      </c>
      <c r="CB70" s="9">
        <f t="shared" si="77"/>
        <v>0</v>
      </c>
      <c r="CC70" s="9">
        <f t="shared" si="77"/>
        <v>0</v>
      </c>
      <c r="CD70" s="9"/>
      <c r="CE70" s="9">
        <f t="shared" si="74"/>
        <v>0</v>
      </c>
      <c r="CF70" s="9">
        <f>CF9+CF24+CF39+CF54</f>
        <v>0</v>
      </c>
      <c r="CG70" s="9"/>
      <c r="CH70" s="8"/>
      <c r="CI70" s="7"/>
      <c r="CJ70" s="7"/>
      <c r="CK70" s="7"/>
      <c r="CL70" s="7"/>
      <c r="CM70" s="7"/>
      <c r="CN70" s="7"/>
      <c r="CO70" s="7"/>
    </row>
    <row r="71" spans="3:93">
      <c r="C71" s="8" t="str">
        <f t="shared" si="75"/>
        <v>Sr Project Manager</v>
      </c>
      <c r="D71" s="8" t="str">
        <f t="shared" si="75"/>
        <v>B4 PM3 (12 to 15 yrs)</v>
      </c>
      <c r="E71" s="9">
        <f t="shared" ref="E71:AJ79" si="78">E10+E25+E40+E55</f>
        <v>0</v>
      </c>
      <c r="F71" s="9">
        <f t="shared" si="78"/>
        <v>0</v>
      </c>
      <c r="G71" s="9">
        <f t="shared" si="78"/>
        <v>0</v>
      </c>
      <c r="H71" s="9">
        <f t="shared" si="78"/>
        <v>0</v>
      </c>
      <c r="I71" s="9">
        <f t="shared" si="78"/>
        <v>0</v>
      </c>
      <c r="J71" s="9">
        <f t="shared" si="78"/>
        <v>0</v>
      </c>
      <c r="K71" s="9">
        <f t="shared" si="78"/>
        <v>0</v>
      </c>
      <c r="L71" s="9">
        <f t="shared" si="78"/>
        <v>0</v>
      </c>
      <c r="M71" s="9">
        <f t="shared" si="78"/>
        <v>0</v>
      </c>
      <c r="N71" s="9">
        <f t="shared" si="78"/>
        <v>0</v>
      </c>
      <c r="O71" s="9">
        <f t="shared" si="78"/>
        <v>0</v>
      </c>
      <c r="P71" s="9">
        <f t="shared" si="78"/>
        <v>0</v>
      </c>
      <c r="Q71" s="9"/>
      <c r="R71" s="9">
        <f t="shared" si="78"/>
        <v>0</v>
      </c>
      <c r="S71" s="9">
        <f t="shared" si="78"/>
        <v>0</v>
      </c>
      <c r="T71" s="9">
        <f t="shared" si="78"/>
        <v>0</v>
      </c>
      <c r="U71" s="9">
        <f t="shared" si="78"/>
        <v>0</v>
      </c>
      <c r="V71" s="9">
        <f t="shared" si="78"/>
        <v>0</v>
      </c>
      <c r="W71" s="9">
        <f t="shared" si="78"/>
        <v>0</v>
      </c>
      <c r="X71" s="9">
        <f t="shared" si="78"/>
        <v>0</v>
      </c>
      <c r="Y71" s="9">
        <f t="shared" si="78"/>
        <v>0</v>
      </c>
      <c r="Z71" s="9">
        <f t="shared" si="78"/>
        <v>0</v>
      </c>
      <c r="AA71" s="9">
        <f t="shared" si="78"/>
        <v>0</v>
      </c>
      <c r="AB71" s="9">
        <f t="shared" si="78"/>
        <v>0</v>
      </c>
      <c r="AC71" s="9">
        <f t="shared" si="78"/>
        <v>0</v>
      </c>
      <c r="AD71" s="9">
        <f t="shared" si="78"/>
        <v>0</v>
      </c>
      <c r="AE71" s="9">
        <f t="shared" si="78"/>
        <v>0</v>
      </c>
      <c r="AF71" s="9">
        <f t="shared" si="78"/>
        <v>0</v>
      </c>
      <c r="AG71" s="9">
        <f t="shared" si="78"/>
        <v>0</v>
      </c>
      <c r="AH71" s="9">
        <f t="shared" si="78"/>
        <v>0</v>
      </c>
      <c r="AI71" s="9">
        <f t="shared" si="78"/>
        <v>0</v>
      </c>
      <c r="AJ71" s="9">
        <f t="shared" si="78"/>
        <v>0</v>
      </c>
      <c r="AK71" s="9">
        <f t="shared" si="76"/>
        <v>0</v>
      </c>
      <c r="AL71" s="9">
        <f t="shared" si="76"/>
        <v>0</v>
      </c>
      <c r="AM71" s="9">
        <f t="shared" si="76"/>
        <v>0</v>
      </c>
      <c r="AN71" s="9">
        <f t="shared" si="76"/>
        <v>0</v>
      </c>
      <c r="AO71" s="9">
        <f t="shared" si="76"/>
        <v>0</v>
      </c>
      <c r="AP71" s="9">
        <f t="shared" si="76"/>
        <v>0</v>
      </c>
      <c r="AQ71" s="9">
        <f t="shared" si="76"/>
        <v>0</v>
      </c>
      <c r="AR71" s="9">
        <f t="shared" si="76"/>
        <v>0</v>
      </c>
      <c r="AS71" s="9">
        <f t="shared" si="76"/>
        <v>0</v>
      </c>
      <c r="AT71" s="9">
        <f t="shared" si="76"/>
        <v>0</v>
      </c>
      <c r="AU71" s="9">
        <f t="shared" si="76"/>
        <v>0</v>
      </c>
      <c r="AV71" s="9">
        <f t="shared" si="76"/>
        <v>0</v>
      </c>
      <c r="AW71" s="9">
        <f t="shared" si="76"/>
        <v>0</v>
      </c>
      <c r="AX71" s="9">
        <f t="shared" si="76"/>
        <v>0</v>
      </c>
      <c r="AY71" s="9">
        <f t="shared" si="76"/>
        <v>0</v>
      </c>
      <c r="AZ71" s="9">
        <f t="shared" si="76"/>
        <v>0</v>
      </c>
      <c r="BA71" s="9">
        <f t="shared" si="76"/>
        <v>0</v>
      </c>
      <c r="BB71" s="9">
        <f t="shared" si="76"/>
        <v>0</v>
      </c>
      <c r="BC71" s="9">
        <f t="shared" si="76"/>
        <v>0</v>
      </c>
      <c r="BD71" s="9">
        <f t="shared" si="76"/>
        <v>0</v>
      </c>
      <c r="BE71" s="9">
        <f t="shared" si="76"/>
        <v>0</v>
      </c>
      <c r="BF71" s="9">
        <f t="shared" si="76"/>
        <v>0</v>
      </c>
      <c r="BG71" s="9">
        <f t="shared" si="76"/>
        <v>0</v>
      </c>
      <c r="BH71" s="9">
        <f t="shared" si="76"/>
        <v>0</v>
      </c>
      <c r="BI71" s="9">
        <f t="shared" si="76"/>
        <v>0</v>
      </c>
      <c r="BJ71" s="9">
        <f t="shared" si="76"/>
        <v>0</v>
      </c>
      <c r="BK71" s="9">
        <f t="shared" si="76"/>
        <v>0</v>
      </c>
      <c r="BL71" s="9">
        <f t="shared" si="76"/>
        <v>0</v>
      </c>
      <c r="BM71" s="9">
        <f t="shared" si="76"/>
        <v>0</v>
      </c>
      <c r="BN71" s="9">
        <f t="shared" si="76"/>
        <v>0</v>
      </c>
      <c r="BO71" s="9">
        <f t="shared" si="76"/>
        <v>0</v>
      </c>
      <c r="BP71" s="9">
        <f t="shared" si="76"/>
        <v>0</v>
      </c>
      <c r="BQ71" s="9">
        <f t="shared" si="76"/>
        <v>0</v>
      </c>
      <c r="BR71" s="9">
        <f t="shared" si="77"/>
        <v>0</v>
      </c>
      <c r="BS71" s="9">
        <f t="shared" si="77"/>
        <v>0</v>
      </c>
      <c r="BT71" s="9">
        <f t="shared" si="77"/>
        <v>0</v>
      </c>
      <c r="BU71" s="9">
        <f t="shared" si="77"/>
        <v>0</v>
      </c>
      <c r="BV71" s="9">
        <f t="shared" si="77"/>
        <v>0</v>
      </c>
      <c r="BW71" s="9">
        <f t="shared" si="77"/>
        <v>0</v>
      </c>
      <c r="BX71" s="9">
        <f t="shared" si="77"/>
        <v>0</v>
      </c>
      <c r="BY71" s="9">
        <f t="shared" si="77"/>
        <v>0</v>
      </c>
      <c r="BZ71" s="9">
        <f t="shared" si="77"/>
        <v>0</v>
      </c>
      <c r="CA71" s="9">
        <f t="shared" si="77"/>
        <v>0</v>
      </c>
      <c r="CB71" s="9">
        <f t="shared" si="77"/>
        <v>0</v>
      </c>
      <c r="CC71" s="9">
        <f t="shared" si="77"/>
        <v>0</v>
      </c>
      <c r="CD71" s="9"/>
      <c r="CE71" s="9">
        <f t="shared" si="74"/>
        <v>0</v>
      </c>
      <c r="CF71" s="9">
        <f>CF10+CF25+CF40+CF55</f>
        <v>0</v>
      </c>
      <c r="CG71" s="9"/>
      <c r="CH71" s="8"/>
      <c r="CI71" s="7"/>
      <c r="CJ71" s="7"/>
      <c r="CK71" s="7"/>
      <c r="CL71" s="7"/>
      <c r="CM71" s="7"/>
      <c r="CN71" s="7"/>
      <c r="CO71" s="7"/>
    </row>
    <row r="72" spans="3:93">
      <c r="C72" s="8" t="str">
        <f t="shared" si="75"/>
        <v>Project Manager</v>
      </c>
      <c r="D72" s="8" t="str">
        <f t="shared" si="75"/>
        <v>B4 PM2 (10 to 14 yrs)</v>
      </c>
      <c r="E72" s="9">
        <f t="shared" si="78"/>
        <v>0</v>
      </c>
      <c r="F72" s="9">
        <f t="shared" si="78"/>
        <v>0</v>
      </c>
      <c r="G72" s="9">
        <f t="shared" si="78"/>
        <v>0</v>
      </c>
      <c r="H72" s="9">
        <f t="shared" si="78"/>
        <v>0</v>
      </c>
      <c r="I72" s="9">
        <f t="shared" si="78"/>
        <v>0</v>
      </c>
      <c r="J72" s="9">
        <f t="shared" si="78"/>
        <v>0</v>
      </c>
      <c r="K72" s="9">
        <f t="shared" si="78"/>
        <v>0</v>
      </c>
      <c r="L72" s="9">
        <f t="shared" si="78"/>
        <v>0</v>
      </c>
      <c r="M72" s="9">
        <f t="shared" si="78"/>
        <v>0</v>
      </c>
      <c r="N72" s="9">
        <f t="shared" si="78"/>
        <v>0</v>
      </c>
      <c r="O72" s="9">
        <f t="shared" si="78"/>
        <v>0</v>
      </c>
      <c r="P72" s="9">
        <f t="shared" si="78"/>
        <v>0</v>
      </c>
      <c r="Q72" s="9"/>
      <c r="R72" s="9">
        <f t="shared" si="78"/>
        <v>0</v>
      </c>
      <c r="S72" s="9">
        <f t="shared" si="78"/>
        <v>0</v>
      </c>
      <c r="T72" s="9">
        <f t="shared" si="78"/>
        <v>0</v>
      </c>
      <c r="U72" s="9">
        <f t="shared" si="78"/>
        <v>0</v>
      </c>
      <c r="V72" s="9">
        <f t="shared" si="78"/>
        <v>0</v>
      </c>
      <c r="W72" s="9">
        <f t="shared" si="78"/>
        <v>0</v>
      </c>
      <c r="X72" s="9">
        <f t="shared" si="78"/>
        <v>0</v>
      </c>
      <c r="Y72" s="9">
        <f t="shared" si="78"/>
        <v>0</v>
      </c>
      <c r="Z72" s="9">
        <f t="shared" si="78"/>
        <v>0</v>
      </c>
      <c r="AA72" s="9">
        <f t="shared" si="78"/>
        <v>0</v>
      </c>
      <c r="AB72" s="9">
        <f t="shared" si="78"/>
        <v>0</v>
      </c>
      <c r="AC72" s="9">
        <f t="shared" si="78"/>
        <v>0</v>
      </c>
      <c r="AD72" s="9">
        <f t="shared" si="78"/>
        <v>0</v>
      </c>
      <c r="AE72" s="9">
        <f t="shared" si="78"/>
        <v>0</v>
      </c>
      <c r="AF72" s="9">
        <f t="shared" si="78"/>
        <v>0</v>
      </c>
      <c r="AG72" s="9">
        <f t="shared" si="78"/>
        <v>0</v>
      </c>
      <c r="AH72" s="9">
        <f t="shared" si="78"/>
        <v>0</v>
      </c>
      <c r="AI72" s="9">
        <f t="shared" si="78"/>
        <v>0</v>
      </c>
      <c r="AJ72" s="9">
        <f t="shared" si="78"/>
        <v>0</v>
      </c>
      <c r="AK72" s="9">
        <f t="shared" si="76"/>
        <v>0</v>
      </c>
      <c r="AL72" s="9">
        <f t="shared" si="76"/>
        <v>0</v>
      </c>
      <c r="AM72" s="9">
        <f t="shared" si="76"/>
        <v>0</v>
      </c>
      <c r="AN72" s="9">
        <f t="shared" si="76"/>
        <v>0</v>
      </c>
      <c r="AO72" s="9">
        <f t="shared" si="76"/>
        <v>0</v>
      </c>
      <c r="AP72" s="9">
        <f t="shared" si="76"/>
        <v>0</v>
      </c>
      <c r="AQ72" s="9">
        <f t="shared" si="76"/>
        <v>0</v>
      </c>
      <c r="AR72" s="9">
        <f t="shared" si="76"/>
        <v>0</v>
      </c>
      <c r="AS72" s="9">
        <f t="shared" si="76"/>
        <v>0</v>
      </c>
      <c r="AT72" s="9">
        <f t="shared" si="76"/>
        <v>0</v>
      </c>
      <c r="AU72" s="9">
        <f t="shared" si="76"/>
        <v>0</v>
      </c>
      <c r="AV72" s="9">
        <f t="shared" si="76"/>
        <v>0</v>
      </c>
      <c r="AW72" s="9">
        <f t="shared" si="76"/>
        <v>0</v>
      </c>
      <c r="AX72" s="9">
        <f t="shared" si="76"/>
        <v>0</v>
      </c>
      <c r="AY72" s="9">
        <f t="shared" si="76"/>
        <v>0</v>
      </c>
      <c r="AZ72" s="9">
        <f t="shared" si="76"/>
        <v>0</v>
      </c>
      <c r="BA72" s="9">
        <f t="shared" si="76"/>
        <v>0</v>
      </c>
      <c r="BB72" s="9">
        <f t="shared" si="76"/>
        <v>0</v>
      </c>
      <c r="BC72" s="9">
        <f t="shared" si="76"/>
        <v>0</v>
      </c>
      <c r="BD72" s="9">
        <f t="shared" si="76"/>
        <v>0</v>
      </c>
      <c r="BE72" s="9">
        <f t="shared" si="76"/>
        <v>0</v>
      </c>
      <c r="BF72" s="9">
        <f t="shared" si="76"/>
        <v>0</v>
      </c>
      <c r="BG72" s="9">
        <f t="shared" si="76"/>
        <v>0</v>
      </c>
      <c r="BH72" s="9">
        <f t="shared" si="76"/>
        <v>0</v>
      </c>
      <c r="BI72" s="9">
        <f t="shared" si="76"/>
        <v>0</v>
      </c>
      <c r="BJ72" s="9">
        <f t="shared" si="76"/>
        <v>0</v>
      </c>
      <c r="BK72" s="9">
        <f t="shared" si="76"/>
        <v>0</v>
      </c>
      <c r="BL72" s="9">
        <f t="shared" si="76"/>
        <v>0</v>
      </c>
      <c r="BM72" s="9">
        <f t="shared" si="76"/>
        <v>0</v>
      </c>
      <c r="BN72" s="9">
        <f t="shared" si="76"/>
        <v>0</v>
      </c>
      <c r="BO72" s="9">
        <f t="shared" si="76"/>
        <v>0</v>
      </c>
      <c r="BP72" s="9">
        <f t="shared" si="76"/>
        <v>0</v>
      </c>
      <c r="BQ72" s="9">
        <f t="shared" si="76"/>
        <v>0</v>
      </c>
      <c r="BR72" s="9">
        <f t="shared" si="77"/>
        <v>0</v>
      </c>
      <c r="BS72" s="9">
        <f t="shared" si="77"/>
        <v>0</v>
      </c>
      <c r="BT72" s="9">
        <f t="shared" si="77"/>
        <v>0</v>
      </c>
      <c r="BU72" s="9">
        <f t="shared" si="77"/>
        <v>0</v>
      </c>
      <c r="BV72" s="9">
        <f t="shared" si="77"/>
        <v>0</v>
      </c>
      <c r="BW72" s="9">
        <f t="shared" si="77"/>
        <v>0</v>
      </c>
      <c r="BX72" s="9">
        <f t="shared" si="77"/>
        <v>0</v>
      </c>
      <c r="BY72" s="9">
        <f t="shared" si="77"/>
        <v>0</v>
      </c>
      <c r="BZ72" s="9">
        <f t="shared" si="77"/>
        <v>0</v>
      </c>
      <c r="CA72" s="9">
        <f t="shared" si="77"/>
        <v>0</v>
      </c>
      <c r="CB72" s="9">
        <f t="shared" si="77"/>
        <v>0</v>
      </c>
      <c r="CC72" s="9">
        <f t="shared" si="77"/>
        <v>0</v>
      </c>
      <c r="CD72" s="9"/>
      <c r="CE72" s="9">
        <f t="shared" si="74"/>
        <v>0</v>
      </c>
      <c r="CF72" s="9">
        <f>CF11+CF26+CF41+CF56</f>
        <v>0</v>
      </c>
      <c r="CG72" s="9"/>
      <c r="CH72" s="8"/>
      <c r="CI72" s="7"/>
      <c r="CJ72" s="7"/>
      <c r="CK72" s="7"/>
      <c r="CL72" s="7"/>
      <c r="CM72" s="7"/>
      <c r="CN72" s="7"/>
      <c r="CO72" s="7"/>
    </row>
    <row r="73" spans="3:93">
      <c r="C73" s="8" t="str">
        <f t="shared" si="75"/>
        <v>Jr Project Manager</v>
      </c>
      <c r="D73" s="8" t="str">
        <f t="shared" si="75"/>
        <v>B4 PM1 (9 to 12 yrs)</v>
      </c>
      <c r="E73" s="9">
        <f t="shared" si="78"/>
        <v>0</v>
      </c>
      <c r="F73" s="9">
        <f t="shared" si="78"/>
        <v>0</v>
      </c>
      <c r="G73" s="9">
        <f t="shared" si="78"/>
        <v>0</v>
      </c>
      <c r="H73" s="9">
        <f t="shared" si="78"/>
        <v>0</v>
      </c>
      <c r="I73" s="9">
        <f t="shared" si="78"/>
        <v>0</v>
      </c>
      <c r="J73" s="9">
        <f t="shared" si="78"/>
        <v>0</v>
      </c>
      <c r="K73" s="9">
        <f t="shared" si="78"/>
        <v>0</v>
      </c>
      <c r="L73" s="9">
        <f t="shared" si="78"/>
        <v>0</v>
      </c>
      <c r="M73" s="9">
        <f t="shared" si="78"/>
        <v>0</v>
      </c>
      <c r="N73" s="9">
        <f t="shared" si="78"/>
        <v>0</v>
      </c>
      <c r="O73" s="9">
        <f t="shared" si="78"/>
        <v>0</v>
      </c>
      <c r="P73" s="9">
        <f t="shared" si="78"/>
        <v>0</v>
      </c>
      <c r="Q73" s="9"/>
      <c r="R73" s="9">
        <f t="shared" si="78"/>
        <v>0</v>
      </c>
      <c r="S73" s="9">
        <f t="shared" si="78"/>
        <v>0</v>
      </c>
      <c r="T73" s="9">
        <f t="shared" si="78"/>
        <v>0</v>
      </c>
      <c r="U73" s="9">
        <f t="shared" si="78"/>
        <v>0</v>
      </c>
      <c r="V73" s="9">
        <f t="shared" si="78"/>
        <v>0</v>
      </c>
      <c r="W73" s="9">
        <f t="shared" si="78"/>
        <v>0</v>
      </c>
      <c r="X73" s="9">
        <f t="shared" si="78"/>
        <v>0</v>
      </c>
      <c r="Y73" s="9">
        <f t="shared" si="78"/>
        <v>0</v>
      </c>
      <c r="Z73" s="9">
        <f t="shared" si="78"/>
        <v>0</v>
      </c>
      <c r="AA73" s="9">
        <f t="shared" si="78"/>
        <v>0</v>
      </c>
      <c r="AB73" s="9">
        <f t="shared" si="78"/>
        <v>0</v>
      </c>
      <c r="AC73" s="9">
        <f t="shared" si="78"/>
        <v>0</v>
      </c>
      <c r="AD73" s="9">
        <f t="shared" si="78"/>
        <v>0</v>
      </c>
      <c r="AE73" s="9">
        <f t="shared" si="78"/>
        <v>0</v>
      </c>
      <c r="AF73" s="9">
        <f t="shared" si="78"/>
        <v>0</v>
      </c>
      <c r="AG73" s="9">
        <f t="shared" si="78"/>
        <v>0</v>
      </c>
      <c r="AH73" s="9">
        <f t="shared" si="78"/>
        <v>0</v>
      </c>
      <c r="AI73" s="9">
        <f t="shared" si="78"/>
        <v>0</v>
      </c>
      <c r="AJ73" s="9">
        <f t="shared" si="78"/>
        <v>0</v>
      </c>
      <c r="AK73" s="9">
        <f t="shared" si="76"/>
        <v>0</v>
      </c>
      <c r="AL73" s="9">
        <f t="shared" si="76"/>
        <v>0</v>
      </c>
      <c r="AM73" s="9">
        <f t="shared" si="76"/>
        <v>0</v>
      </c>
      <c r="AN73" s="9">
        <f t="shared" si="76"/>
        <v>0</v>
      </c>
      <c r="AO73" s="9">
        <f t="shared" si="76"/>
        <v>0</v>
      </c>
      <c r="AP73" s="9">
        <f t="shared" si="76"/>
        <v>0</v>
      </c>
      <c r="AQ73" s="9">
        <f t="shared" si="76"/>
        <v>0</v>
      </c>
      <c r="AR73" s="9">
        <f t="shared" si="76"/>
        <v>0</v>
      </c>
      <c r="AS73" s="9">
        <f t="shared" si="76"/>
        <v>0</v>
      </c>
      <c r="AT73" s="9">
        <f t="shared" si="76"/>
        <v>0</v>
      </c>
      <c r="AU73" s="9">
        <f t="shared" si="76"/>
        <v>0</v>
      </c>
      <c r="AV73" s="9">
        <f t="shared" si="76"/>
        <v>0</v>
      </c>
      <c r="AW73" s="9">
        <f t="shared" si="76"/>
        <v>0</v>
      </c>
      <c r="AX73" s="9">
        <f t="shared" si="76"/>
        <v>0</v>
      </c>
      <c r="AY73" s="9">
        <f t="shared" si="76"/>
        <v>0</v>
      </c>
      <c r="AZ73" s="9">
        <f t="shared" si="76"/>
        <v>0</v>
      </c>
      <c r="BA73" s="9">
        <f t="shared" si="76"/>
        <v>0</v>
      </c>
      <c r="BB73" s="9">
        <f t="shared" si="76"/>
        <v>0</v>
      </c>
      <c r="BC73" s="9">
        <f t="shared" si="76"/>
        <v>0</v>
      </c>
      <c r="BD73" s="9">
        <f t="shared" si="76"/>
        <v>0</v>
      </c>
      <c r="BE73" s="9">
        <f t="shared" si="76"/>
        <v>0</v>
      </c>
      <c r="BF73" s="9">
        <f t="shared" si="76"/>
        <v>0</v>
      </c>
      <c r="BG73" s="9">
        <f t="shared" si="76"/>
        <v>0</v>
      </c>
      <c r="BH73" s="9">
        <f t="shared" si="76"/>
        <v>0</v>
      </c>
      <c r="BI73" s="9">
        <f t="shared" si="76"/>
        <v>0</v>
      </c>
      <c r="BJ73" s="9">
        <f t="shared" si="76"/>
        <v>0</v>
      </c>
      <c r="BK73" s="9">
        <f t="shared" si="76"/>
        <v>0</v>
      </c>
      <c r="BL73" s="9">
        <f t="shared" si="76"/>
        <v>0</v>
      </c>
      <c r="BM73" s="9">
        <f t="shared" si="76"/>
        <v>0</v>
      </c>
      <c r="BN73" s="9">
        <f t="shared" si="76"/>
        <v>0</v>
      </c>
      <c r="BO73" s="9">
        <f t="shared" si="76"/>
        <v>0</v>
      </c>
      <c r="BP73" s="9">
        <f t="shared" si="76"/>
        <v>0</v>
      </c>
      <c r="BQ73" s="9">
        <f t="shared" si="76"/>
        <v>0</v>
      </c>
      <c r="BR73" s="9">
        <f t="shared" si="77"/>
        <v>0</v>
      </c>
      <c r="BS73" s="9">
        <f t="shared" si="77"/>
        <v>0</v>
      </c>
      <c r="BT73" s="9">
        <f t="shared" si="77"/>
        <v>0</v>
      </c>
      <c r="BU73" s="9">
        <f t="shared" si="77"/>
        <v>0</v>
      </c>
      <c r="BV73" s="9">
        <f t="shared" si="77"/>
        <v>0</v>
      </c>
      <c r="BW73" s="9">
        <f t="shared" si="77"/>
        <v>0</v>
      </c>
      <c r="BX73" s="9">
        <f t="shared" si="77"/>
        <v>0</v>
      </c>
      <c r="BY73" s="9">
        <f t="shared" si="77"/>
        <v>0</v>
      </c>
      <c r="BZ73" s="9">
        <f t="shared" si="77"/>
        <v>0</v>
      </c>
      <c r="CA73" s="9">
        <f t="shared" si="77"/>
        <v>0</v>
      </c>
      <c r="CB73" s="9">
        <f t="shared" si="77"/>
        <v>0</v>
      </c>
      <c r="CC73" s="9">
        <f t="shared" si="77"/>
        <v>0</v>
      </c>
      <c r="CD73" s="9"/>
      <c r="CE73" s="9">
        <f t="shared" si="74"/>
        <v>0</v>
      </c>
      <c r="CF73" s="9">
        <f>CF12+CF27+CF42+CF57</f>
        <v>0</v>
      </c>
      <c r="CG73" s="9"/>
      <c r="CH73" s="8"/>
      <c r="CI73" s="7"/>
      <c r="CJ73" s="7"/>
      <c r="CK73" s="7"/>
      <c r="CL73" s="7"/>
      <c r="CM73" s="7"/>
      <c r="CN73" s="7"/>
      <c r="CO73" s="7"/>
    </row>
    <row r="74" spans="3:93">
      <c r="C74" s="8" t="str">
        <f t="shared" si="75"/>
        <v>Sr Project Leader</v>
      </c>
      <c r="D74" s="8" t="str">
        <f t="shared" si="75"/>
        <v>B3 PL3 (7 to 10 yrs)</v>
      </c>
      <c r="E74" s="9">
        <f t="shared" si="78"/>
        <v>0</v>
      </c>
      <c r="F74" s="9">
        <f t="shared" si="78"/>
        <v>0</v>
      </c>
      <c r="G74" s="9">
        <f t="shared" si="78"/>
        <v>0</v>
      </c>
      <c r="H74" s="9">
        <f t="shared" si="78"/>
        <v>0</v>
      </c>
      <c r="I74" s="9">
        <f t="shared" si="78"/>
        <v>0</v>
      </c>
      <c r="J74" s="9">
        <f t="shared" si="78"/>
        <v>0</v>
      </c>
      <c r="K74" s="9">
        <f t="shared" si="78"/>
        <v>0</v>
      </c>
      <c r="L74" s="9">
        <f t="shared" si="78"/>
        <v>0</v>
      </c>
      <c r="M74" s="9">
        <f t="shared" si="78"/>
        <v>0</v>
      </c>
      <c r="N74" s="9">
        <f t="shared" si="78"/>
        <v>0</v>
      </c>
      <c r="O74" s="9">
        <f t="shared" si="78"/>
        <v>0</v>
      </c>
      <c r="P74" s="9">
        <f t="shared" si="78"/>
        <v>0</v>
      </c>
      <c r="Q74" s="9"/>
      <c r="R74" s="9">
        <f t="shared" si="78"/>
        <v>0</v>
      </c>
      <c r="S74" s="9">
        <f t="shared" si="78"/>
        <v>0</v>
      </c>
      <c r="T74" s="9">
        <f t="shared" si="78"/>
        <v>0</v>
      </c>
      <c r="U74" s="9">
        <f t="shared" si="78"/>
        <v>0</v>
      </c>
      <c r="V74" s="9">
        <f t="shared" si="78"/>
        <v>0</v>
      </c>
      <c r="W74" s="9">
        <f t="shared" si="78"/>
        <v>0</v>
      </c>
      <c r="X74" s="9">
        <f t="shared" si="78"/>
        <v>0</v>
      </c>
      <c r="Y74" s="9">
        <f t="shared" si="78"/>
        <v>0</v>
      </c>
      <c r="Z74" s="9">
        <f t="shared" si="78"/>
        <v>0</v>
      </c>
      <c r="AA74" s="9">
        <f t="shared" si="78"/>
        <v>0</v>
      </c>
      <c r="AB74" s="9">
        <f t="shared" si="78"/>
        <v>0</v>
      </c>
      <c r="AC74" s="9">
        <f t="shared" si="78"/>
        <v>0</v>
      </c>
      <c r="AD74" s="9">
        <f t="shared" si="78"/>
        <v>0</v>
      </c>
      <c r="AE74" s="9">
        <f t="shared" si="78"/>
        <v>0</v>
      </c>
      <c r="AF74" s="9">
        <f t="shared" si="78"/>
        <v>0</v>
      </c>
      <c r="AG74" s="9">
        <f t="shared" si="78"/>
        <v>0</v>
      </c>
      <c r="AH74" s="9">
        <f t="shared" si="78"/>
        <v>0</v>
      </c>
      <c r="AI74" s="9">
        <f t="shared" si="78"/>
        <v>0</v>
      </c>
      <c r="AJ74" s="9">
        <f t="shared" si="78"/>
        <v>0</v>
      </c>
      <c r="AK74" s="9">
        <f t="shared" si="76"/>
        <v>0</v>
      </c>
      <c r="AL74" s="9">
        <f t="shared" si="76"/>
        <v>0</v>
      </c>
      <c r="AM74" s="9">
        <f t="shared" si="76"/>
        <v>0</v>
      </c>
      <c r="AN74" s="9">
        <f t="shared" si="76"/>
        <v>0</v>
      </c>
      <c r="AO74" s="9">
        <f t="shared" si="76"/>
        <v>0</v>
      </c>
      <c r="AP74" s="9">
        <f t="shared" si="76"/>
        <v>0</v>
      </c>
      <c r="AQ74" s="9">
        <f t="shared" si="76"/>
        <v>0</v>
      </c>
      <c r="AR74" s="9">
        <f t="shared" si="76"/>
        <v>0</v>
      </c>
      <c r="AS74" s="9">
        <f t="shared" si="76"/>
        <v>0</v>
      </c>
      <c r="AT74" s="9">
        <f t="shared" si="76"/>
        <v>0</v>
      </c>
      <c r="AU74" s="9">
        <f t="shared" si="76"/>
        <v>0</v>
      </c>
      <c r="AV74" s="9">
        <f t="shared" si="76"/>
        <v>0</v>
      </c>
      <c r="AW74" s="9">
        <f t="shared" si="76"/>
        <v>0</v>
      </c>
      <c r="AX74" s="9">
        <f t="shared" si="76"/>
        <v>0</v>
      </c>
      <c r="AY74" s="9">
        <f t="shared" si="76"/>
        <v>0</v>
      </c>
      <c r="AZ74" s="9">
        <f t="shared" si="76"/>
        <v>0</v>
      </c>
      <c r="BA74" s="9">
        <f t="shared" si="76"/>
        <v>0</v>
      </c>
      <c r="BB74" s="9">
        <f t="shared" si="76"/>
        <v>0</v>
      </c>
      <c r="BC74" s="9">
        <f t="shared" si="76"/>
        <v>0</v>
      </c>
      <c r="BD74" s="9">
        <f t="shared" si="76"/>
        <v>0</v>
      </c>
      <c r="BE74" s="9">
        <f t="shared" si="76"/>
        <v>0</v>
      </c>
      <c r="BF74" s="9">
        <f t="shared" si="76"/>
        <v>0</v>
      </c>
      <c r="BG74" s="9">
        <f t="shared" si="76"/>
        <v>0</v>
      </c>
      <c r="BH74" s="9">
        <f t="shared" si="76"/>
        <v>0</v>
      </c>
      <c r="BI74" s="9">
        <f t="shared" si="76"/>
        <v>0</v>
      </c>
      <c r="BJ74" s="9">
        <f t="shared" si="76"/>
        <v>0</v>
      </c>
      <c r="BK74" s="9">
        <f t="shared" si="76"/>
        <v>0</v>
      </c>
      <c r="BL74" s="9">
        <f t="shared" si="76"/>
        <v>0</v>
      </c>
      <c r="BM74" s="9">
        <f t="shared" si="76"/>
        <v>0</v>
      </c>
      <c r="BN74" s="9">
        <f t="shared" si="76"/>
        <v>0</v>
      </c>
      <c r="BO74" s="9">
        <f t="shared" si="76"/>
        <v>0</v>
      </c>
      <c r="BP74" s="9">
        <f t="shared" si="76"/>
        <v>0</v>
      </c>
      <c r="BQ74" s="9">
        <f t="shared" si="76"/>
        <v>0</v>
      </c>
      <c r="BR74" s="9">
        <f t="shared" si="77"/>
        <v>0</v>
      </c>
      <c r="BS74" s="9">
        <f t="shared" si="77"/>
        <v>0</v>
      </c>
      <c r="BT74" s="9">
        <f t="shared" si="77"/>
        <v>0</v>
      </c>
      <c r="BU74" s="9">
        <f t="shared" si="77"/>
        <v>0</v>
      </c>
      <c r="BV74" s="9">
        <f t="shared" si="77"/>
        <v>0</v>
      </c>
      <c r="BW74" s="9">
        <f t="shared" si="77"/>
        <v>0</v>
      </c>
      <c r="BX74" s="9">
        <f t="shared" si="77"/>
        <v>0</v>
      </c>
      <c r="BY74" s="9">
        <f t="shared" si="77"/>
        <v>0</v>
      </c>
      <c r="BZ74" s="9">
        <f t="shared" si="77"/>
        <v>0</v>
      </c>
      <c r="CA74" s="9">
        <f t="shared" si="77"/>
        <v>0</v>
      </c>
      <c r="CB74" s="9">
        <f t="shared" si="77"/>
        <v>0</v>
      </c>
      <c r="CC74" s="9">
        <f t="shared" si="77"/>
        <v>0</v>
      </c>
      <c r="CD74" s="9"/>
      <c r="CE74" s="9">
        <f t="shared" si="74"/>
        <v>0</v>
      </c>
      <c r="CF74" s="9">
        <f t="shared" ref="CF74:CF81" si="79">CF13+CF28+CF43+CF58</f>
        <v>0</v>
      </c>
      <c r="CG74" s="9"/>
      <c r="CH74" s="8"/>
      <c r="CI74" s="7"/>
      <c r="CJ74" s="7"/>
      <c r="CK74" s="7"/>
      <c r="CL74" s="7"/>
      <c r="CM74" s="7"/>
      <c r="CN74" s="7"/>
      <c r="CO74" s="7"/>
    </row>
    <row r="75" spans="3:93">
      <c r="C75" s="8" t="str">
        <f t="shared" si="75"/>
        <v>Project Leader</v>
      </c>
      <c r="D75" s="8" t="str">
        <f t="shared" si="75"/>
        <v>B3 PL2 (6 to 8 yrs)</v>
      </c>
      <c r="E75" s="9">
        <f t="shared" si="78"/>
        <v>0</v>
      </c>
      <c r="F75" s="9">
        <f t="shared" si="78"/>
        <v>0</v>
      </c>
      <c r="G75" s="9">
        <f t="shared" si="78"/>
        <v>0</v>
      </c>
      <c r="H75" s="9">
        <f t="shared" si="78"/>
        <v>0</v>
      </c>
      <c r="I75" s="9">
        <f t="shared" si="78"/>
        <v>0</v>
      </c>
      <c r="J75" s="9">
        <f t="shared" si="78"/>
        <v>0</v>
      </c>
      <c r="K75" s="9">
        <f t="shared" si="78"/>
        <v>0</v>
      </c>
      <c r="L75" s="9">
        <f t="shared" si="78"/>
        <v>0</v>
      </c>
      <c r="M75" s="9">
        <f t="shared" si="78"/>
        <v>0</v>
      </c>
      <c r="N75" s="9">
        <f t="shared" si="78"/>
        <v>0</v>
      </c>
      <c r="O75" s="9">
        <f t="shared" si="78"/>
        <v>0</v>
      </c>
      <c r="P75" s="9">
        <f t="shared" si="78"/>
        <v>0</v>
      </c>
      <c r="Q75" s="9"/>
      <c r="R75" s="9">
        <f t="shared" si="78"/>
        <v>0</v>
      </c>
      <c r="S75" s="9">
        <f t="shared" si="78"/>
        <v>0</v>
      </c>
      <c r="T75" s="9">
        <f t="shared" si="78"/>
        <v>0</v>
      </c>
      <c r="U75" s="9">
        <f t="shared" si="78"/>
        <v>0</v>
      </c>
      <c r="V75" s="9">
        <f t="shared" si="78"/>
        <v>0</v>
      </c>
      <c r="W75" s="9">
        <f t="shared" si="78"/>
        <v>0</v>
      </c>
      <c r="X75" s="9">
        <f t="shared" si="78"/>
        <v>0</v>
      </c>
      <c r="Y75" s="9">
        <f t="shared" si="78"/>
        <v>0</v>
      </c>
      <c r="Z75" s="9">
        <f t="shared" si="78"/>
        <v>0</v>
      </c>
      <c r="AA75" s="9">
        <f t="shared" si="78"/>
        <v>0</v>
      </c>
      <c r="AB75" s="9">
        <f t="shared" si="78"/>
        <v>0</v>
      </c>
      <c r="AC75" s="9">
        <f t="shared" si="78"/>
        <v>0</v>
      </c>
      <c r="AD75" s="9">
        <f t="shared" si="78"/>
        <v>0</v>
      </c>
      <c r="AE75" s="9">
        <f t="shared" si="78"/>
        <v>0</v>
      </c>
      <c r="AF75" s="9">
        <f t="shared" si="78"/>
        <v>0</v>
      </c>
      <c r="AG75" s="9">
        <f t="shared" si="78"/>
        <v>0</v>
      </c>
      <c r="AH75" s="9">
        <f t="shared" si="78"/>
        <v>0</v>
      </c>
      <c r="AI75" s="9">
        <f t="shared" si="78"/>
        <v>0</v>
      </c>
      <c r="AJ75" s="9">
        <f t="shared" si="78"/>
        <v>0</v>
      </c>
      <c r="AK75" s="9">
        <f t="shared" si="76"/>
        <v>0</v>
      </c>
      <c r="AL75" s="9">
        <f t="shared" si="76"/>
        <v>0</v>
      </c>
      <c r="AM75" s="9">
        <f t="shared" si="76"/>
        <v>0</v>
      </c>
      <c r="AN75" s="9">
        <f t="shared" si="76"/>
        <v>0</v>
      </c>
      <c r="AO75" s="9">
        <f t="shared" si="76"/>
        <v>0</v>
      </c>
      <c r="AP75" s="9">
        <f t="shared" si="76"/>
        <v>0</v>
      </c>
      <c r="AQ75" s="9">
        <f t="shared" si="76"/>
        <v>0</v>
      </c>
      <c r="AR75" s="9">
        <f t="shared" si="76"/>
        <v>0</v>
      </c>
      <c r="AS75" s="9">
        <f t="shared" si="76"/>
        <v>0</v>
      </c>
      <c r="AT75" s="9">
        <f t="shared" si="76"/>
        <v>0</v>
      </c>
      <c r="AU75" s="9">
        <f t="shared" si="76"/>
        <v>0</v>
      </c>
      <c r="AV75" s="9">
        <f t="shared" si="76"/>
        <v>0</v>
      </c>
      <c r="AW75" s="9">
        <f t="shared" si="76"/>
        <v>0</v>
      </c>
      <c r="AX75" s="9">
        <f t="shared" si="76"/>
        <v>0</v>
      </c>
      <c r="AY75" s="9">
        <f t="shared" si="76"/>
        <v>0</v>
      </c>
      <c r="AZ75" s="9">
        <f t="shared" si="76"/>
        <v>0</v>
      </c>
      <c r="BA75" s="9">
        <f t="shared" si="76"/>
        <v>0</v>
      </c>
      <c r="BB75" s="9">
        <f t="shared" si="76"/>
        <v>0</v>
      </c>
      <c r="BC75" s="9">
        <f t="shared" si="76"/>
        <v>0</v>
      </c>
      <c r="BD75" s="9">
        <f t="shared" si="76"/>
        <v>0</v>
      </c>
      <c r="BE75" s="9">
        <f t="shared" si="76"/>
        <v>0</v>
      </c>
      <c r="BF75" s="9">
        <f t="shared" si="76"/>
        <v>0</v>
      </c>
      <c r="BG75" s="9">
        <f t="shared" si="76"/>
        <v>0</v>
      </c>
      <c r="BH75" s="9">
        <f t="shared" si="76"/>
        <v>0</v>
      </c>
      <c r="BI75" s="9">
        <f t="shared" si="76"/>
        <v>0</v>
      </c>
      <c r="BJ75" s="9">
        <f t="shared" si="76"/>
        <v>0</v>
      </c>
      <c r="BK75" s="9">
        <f t="shared" si="76"/>
        <v>0</v>
      </c>
      <c r="BL75" s="9">
        <f t="shared" si="76"/>
        <v>0</v>
      </c>
      <c r="BM75" s="9">
        <f t="shared" si="76"/>
        <v>0</v>
      </c>
      <c r="BN75" s="9">
        <f t="shared" si="76"/>
        <v>0</v>
      </c>
      <c r="BO75" s="9">
        <f t="shared" si="76"/>
        <v>0</v>
      </c>
      <c r="BP75" s="9">
        <f t="shared" si="76"/>
        <v>0</v>
      </c>
      <c r="BQ75" s="9">
        <f t="shared" si="76"/>
        <v>0</v>
      </c>
      <c r="BR75" s="9">
        <f t="shared" si="77"/>
        <v>0</v>
      </c>
      <c r="BS75" s="9">
        <f t="shared" si="77"/>
        <v>0</v>
      </c>
      <c r="BT75" s="9">
        <f t="shared" si="77"/>
        <v>0</v>
      </c>
      <c r="BU75" s="9">
        <f t="shared" si="77"/>
        <v>0</v>
      </c>
      <c r="BV75" s="9">
        <f t="shared" si="77"/>
        <v>0</v>
      </c>
      <c r="BW75" s="9">
        <f t="shared" si="77"/>
        <v>0</v>
      </c>
      <c r="BX75" s="9">
        <f t="shared" si="77"/>
        <v>0</v>
      </c>
      <c r="BY75" s="9">
        <f t="shared" si="77"/>
        <v>0</v>
      </c>
      <c r="BZ75" s="9">
        <f t="shared" si="77"/>
        <v>0</v>
      </c>
      <c r="CA75" s="9">
        <f t="shared" si="77"/>
        <v>0</v>
      </c>
      <c r="CB75" s="9">
        <f t="shared" si="77"/>
        <v>0</v>
      </c>
      <c r="CC75" s="9">
        <f t="shared" si="77"/>
        <v>0</v>
      </c>
      <c r="CD75" s="9"/>
      <c r="CE75" s="9">
        <f t="shared" si="74"/>
        <v>0</v>
      </c>
      <c r="CF75" s="9">
        <f t="shared" si="79"/>
        <v>0</v>
      </c>
      <c r="CG75" s="9"/>
      <c r="CH75" s="8"/>
      <c r="CI75" s="7"/>
      <c r="CJ75" s="7"/>
      <c r="CK75" s="7"/>
      <c r="CL75" s="7"/>
      <c r="CM75" s="7"/>
      <c r="CN75" s="7"/>
      <c r="CO75" s="7"/>
    </row>
    <row r="76" spans="3:93">
      <c r="C76" s="8" t="str">
        <f t="shared" si="75"/>
        <v>Jr Project Leader</v>
      </c>
      <c r="D76" s="8" t="str">
        <f t="shared" si="75"/>
        <v>B3 PL1 (5 to 7 yrs)</v>
      </c>
      <c r="E76" s="9">
        <f t="shared" si="78"/>
        <v>0</v>
      </c>
      <c r="F76" s="9">
        <f t="shared" si="78"/>
        <v>0</v>
      </c>
      <c r="G76" s="9">
        <f t="shared" si="78"/>
        <v>0</v>
      </c>
      <c r="H76" s="9">
        <f t="shared" si="78"/>
        <v>0</v>
      </c>
      <c r="I76" s="9">
        <f t="shared" si="78"/>
        <v>0</v>
      </c>
      <c r="J76" s="9">
        <f t="shared" si="78"/>
        <v>0</v>
      </c>
      <c r="K76" s="9">
        <f t="shared" si="78"/>
        <v>0</v>
      </c>
      <c r="L76" s="9">
        <f t="shared" si="78"/>
        <v>0</v>
      </c>
      <c r="M76" s="9">
        <f t="shared" si="78"/>
        <v>0</v>
      </c>
      <c r="N76" s="9">
        <f t="shared" si="78"/>
        <v>0</v>
      </c>
      <c r="O76" s="9">
        <f t="shared" si="78"/>
        <v>0</v>
      </c>
      <c r="P76" s="9">
        <f t="shared" si="78"/>
        <v>0</v>
      </c>
      <c r="Q76" s="9"/>
      <c r="R76" s="9">
        <f t="shared" si="78"/>
        <v>0</v>
      </c>
      <c r="S76" s="9">
        <f t="shared" si="78"/>
        <v>0</v>
      </c>
      <c r="T76" s="9">
        <f t="shared" si="78"/>
        <v>0</v>
      </c>
      <c r="U76" s="9">
        <f t="shared" si="78"/>
        <v>0</v>
      </c>
      <c r="V76" s="9">
        <f t="shared" si="78"/>
        <v>0</v>
      </c>
      <c r="W76" s="9">
        <f t="shared" si="78"/>
        <v>0</v>
      </c>
      <c r="X76" s="9">
        <f t="shared" si="78"/>
        <v>0</v>
      </c>
      <c r="Y76" s="9">
        <f t="shared" si="78"/>
        <v>0</v>
      </c>
      <c r="Z76" s="9">
        <f t="shared" si="78"/>
        <v>0</v>
      </c>
      <c r="AA76" s="9">
        <f t="shared" si="78"/>
        <v>0</v>
      </c>
      <c r="AB76" s="9">
        <f t="shared" si="78"/>
        <v>0</v>
      </c>
      <c r="AC76" s="9">
        <f t="shared" si="78"/>
        <v>0</v>
      </c>
      <c r="AD76" s="9">
        <f t="shared" si="78"/>
        <v>0</v>
      </c>
      <c r="AE76" s="9">
        <f t="shared" si="78"/>
        <v>0</v>
      </c>
      <c r="AF76" s="9">
        <f t="shared" si="78"/>
        <v>0</v>
      </c>
      <c r="AG76" s="9">
        <f t="shared" si="78"/>
        <v>0</v>
      </c>
      <c r="AH76" s="9">
        <f t="shared" si="78"/>
        <v>0</v>
      </c>
      <c r="AI76" s="9">
        <f t="shared" si="78"/>
        <v>0</v>
      </c>
      <c r="AJ76" s="9">
        <f t="shared" si="78"/>
        <v>0</v>
      </c>
      <c r="AK76" s="9">
        <f t="shared" si="76"/>
        <v>0</v>
      </c>
      <c r="AL76" s="9">
        <f t="shared" si="76"/>
        <v>0</v>
      </c>
      <c r="AM76" s="9">
        <f t="shared" si="76"/>
        <v>0</v>
      </c>
      <c r="AN76" s="9">
        <f t="shared" si="76"/>
        <v>0</v>
      </c>
      <c r="AO76" s="9">
        <f t="shared" si="76"/>
        <v>0</v>
      </c>
      <c r="AP76" s="9">
        <f t="shared" si="76"/>
        <v>0</v>
      </c>
      <c r="AQ76" s="9">
        <f t="shared" si="76"/>
        <v>0</v>
      </c>
      <c r="AR76" s="9">
        <f t="shared" si="76"/>
        <v>0</v>
      </c>
      <c r="AS76" s="9">
        <f t="shared" si="76"/>
        <v>0</v>
      </c>
      <c r="AT76" s="9">
        <f t="shared" si="76"/>
        <v>0</v>
      </c>
      <c r="AU76" s="9">
        <f t="shared" si="76"/>
        <v>0</v>
      </c>
      <c r="AV76" s="9">
        <f t="shared" si="76"/>
        <v>0</v>
      </c>
      <c r="AW76" s="9">
        <f t="shared" si="76"/>
        <v>0</v>
      </c>
      <c r="AX76" s="9">
        <f t="shared" si="76"/>
        <v>0</v>
      </c>
      <c r="AY76" s="9">
        <f t="shared" si="76"/>
        <v>0</v>
      </c>
      <c r="AZ76" s="9">
        <f t="shared" si="76"/>
        <v>0</v>
      </c>
      <c r="BA76" s="9">
        <f t="shared" si="76"/>
        <v>0</v>
      </c>
      <c r="BB76" s="9">
        <f t="shared" si="76"/>
        <v>0</v>
      </c>
      <c r="BC76" s="9">
        <f t="shared" si="76"/>
        <v>0</v>
      </c>
      <c r="BD76" s="9">
        <f t="shared" si="76"/>
        <v>0</v>
      </c>
      <c r="BE76" s="9">
        <f t="shared" si="76"/>
        <v>0</v>
      </c>
      <c r="BF76" s="9">
        <f t="shared" si="76"/>
        <v>0</v>
      </c>
      <c r="BG76" s="9">
        <f t="shared" si="76"/>
        <v>0</v>
      </c>
      <c r="BH76" s="9">
        <f t="shared" si="76"/>
        <v>0</v>
      </c>
      <c r="BI76" s="9">
        <f t="shared" si="76"/>
        <v>0</v>
      </c>
      <c r="BJ76" s="9">
        <f t="shared" si="76"/>
        <v>0</v>
      </c>
      <c r="BK76" s="9">
        <f t="shared" si="76"/>
        <v>0</v>
      </c>
      <c r="BL76" s="9">
        <f t="shared" ref="BL76:CC81" si="80">BL15+BL30+BL45+BL60</f>
        <v>0</v>
      </c>
      <c r="BM76" s="9">
        <f t="shared" si="80"/>
        <v>0</v>
      </c>
      <c r="BN76" s="9">
        <f t="shared" si="80"/>
        <v>0</v>
      </c>
      <c r="BO76" s="9">
        <f t="shared" si="80"/>
        <v>0</v>
      </c>
      <c r="BP76" s="9">
        <f t="shared" si="80"/>
        <v>0</v>
      </c>
      <c r="BQ76" s="9">
        <f t="shared" si="80"/>
        <v>0</v>
      </c>
      <c r="BR76" s="9">
        <f t="shared" si="80"/>
        <v>0</v>
      </c>
      <c r="BS76" s="9">
        <f t="shared" si="80"/>
        <v>0</v>
      </c>
      <c r="BT76" s="9">
        <f t="shared" si="80"/>
        <v>0</v>
      </c>
      <c r="BU76" s="9">
        <f t="shared" si="80"/>
        <v>0</v>
      </c>
      <c r="BV76" s="9">
        <f t="shared" si="80"/>
        <v>0</v>
      </c>
      <c r="BW76" s="9">
        <f t="shared" si="80"/>
        <v>0</v>
      </c>
      <c r="BX76" s="9">
        <f t="shared" si="80"/>
        <v>0</v>
      </c>
      <c r="BY76" s="9">
        <f t="shared" si="80"/>
        <v>0</v>
      </c>
      <c r="BZ76" s="9">
        <f t="shared" si="80"/>
        <v>0</v>
      </c>
      <c r="CA76" s="9">
        <f t="shared" si="80"/>
        <v>0</v>
      </c>
      <c r="CB76" s="9">
        <f t="shared" si="80"/>
        <v>0</v>
      </c>
      <c r="CC76" s="9">
        <f t="shared" si="80"/>
        <v>0</v>
      </c>
      <c r="CD76" s="9"/>
      <c r="CE76" s="9">
        <f t="shared" si="74"/>
        <v>0</v>
      </c>
      <c r="CF76" s="9">
        <f t="shared" si="79"/>
        <v>0</v>
      </c>
      <c r="CG76" s="9"/>
      <c r="CH76" s="8"/>
      <c r="CI76" s="7"/>
      <c r="CJ76" s="7"/>
      <c r="CK76" s="7"/>
      <c r="CL76" s="7"/>
      <c r="CM76" s="7"/>
      <c r="CN76" s="7"/>
      <c r="CO76" s="7"/>
    </row>
    <row r="77" spans="3:93">
      <c r="C77" s="8" t="str">
        <f t="shared" si="75"/>
        <v>Sr Developer</v>
      </c>
      <c r="D77" s="8" t="str">
        <f t="shared" si="75"/>
        <v>B2 AP3 (3 to 5 yrs)</v>
      </c>
      <c r="E77" s="9">
        <f t="shared" si="78"/>
        <v>0</v>
      </c>
      <c r="F77" s="9">
        <f t="shared" si="78"/>
        <v>0</v>
      </c>
      <c r="G77" s="9">
        <f t="shared" si="78"/>
        <v>0</v>
      </c>
      <c r="H77" s="9">
        <f t="shared" si="78"/>
        <v>0</v>
      </c>
      <c r="I77" s="9">
        <f t="shared" si="78"/>
        <v>0</v>
      </c>
      <c r="J77" s="9">
        <f t="shared" si="78"/>
        <v>0</v>
      </c>
      <c r="K77" s="9">
        <f t="shared" si="78"/>
        <v>0</v>
      </c>
      <c r="L77" s="9">
        <f t="shared" si="78"/>
        <v>0</v>
      </c>
      <c r="M77" s="9">
        <f t="shared" si="78"/>
        <v>0</v>
      </c>
      <c r="N77" s="9">
        <f t="shared" si="78"/>
        <v>0</v>
      </c>
      <c r="O77" s="9">
        <f t="shared" si="78"/>
        <v>0</v>
      </c>
      <c r="P77" s="9">
        <f t="shared" si="78"/>
        <v>0</v>
      </c>
      <c r="Q77" s="9"/>
      <c r="R77" s="9">
        <f t="shared" si="78"/>
        <v>0</v>
      </c>
      <c r="S77" s="9">
        <f t="shared" si="78"/>
        <v>0</v>
      </c>
      <c r="T77" s="9">
        <f t="shared" si="78"/>
        <v>0</v>
      </c>
      <c r="U77" s="9">
        <f t="shared" si="78"/>
        <v>0</v>
      </c>
      <c r="V77" s="9">
        <f t="shared" si="78"/>
        <v>0</v>
      </c>
      <c r="W77" s="9">
        <f t="shared" si="78"/>
        <v>0</v>
      </c>
      <c r="X77" s="9">
        <f t="shared" si="78"/>
        <v>0</v>
      </c>
      <c r="Y77" s="9">
        <f t="shared" si="78"/>
        <v>0</v>
      </c>
      <c r="Z77" s="9">
        <f t="shared" si="78"/>
        <v>0</v>
      </c>
      <c r="AA77" s="9">
        <f t="shared" si="78"/>
        <v>0</v>
      </c>
      <c r="AB77" s="9">
        <f t="shared" si="78"/>
        <v>0</v>
      </c>
      <c r="AC77" s="9">
        <f t="shared" si="78"/>
        <v>0</v>
      </c>
      <c r="AD77" s="9">
        <f t="shared" si="78"/>
        <v>0</v>
      </c>
      <c r="AE77" s="9">
        <f t="shared" si="78"/>
        <v>0</v>
      </c>
      <c r="AF77" s="9">
        <f t="shared" si="78"/>
        <v>0</v>
      </c>
      <c r="AG77" s="9">
        <f t="shared" si="78"/>
        <v>0</v>
      </c>
      <c r="AH77" s="9">
        <f t="shared" si="78"/>
        <v>0</v>
      </c>
      <c r="AI77" s="9">
        <f t="shared" si="78"/>
        <v>0</v>
      </c>
      <c r="AJ77" s="9">
        <f t="shared" si="78"/>
        <v>0</v>
      </c>
      <c r="AK77" s="9">
        <f t="shared" ref="AK77:BP81" si="81">AK16+AK31+AK46+AK61</f>
        <v>0</v>
      </c>
      <c r="AL77" s="9">
        <f t="shared" si="81"/>
        <v>0</v>
      </c>
      <c r="AM77" s="9">
        <f t="shared" si="81"/>
        <v>0</v>
      </c>
      <c r="AN77" s="9">
        <f t="shared" si="81"/>
        <v>0</v>
      </c>
      <c r="AO77" s="9">
        <f t="shared" si="81"/>
        <v>0</v>
      </c>
      <c r="AP77" s="9">
        <f t="shared" si="81"/>
        <v>0</v>
      </c>
      <c r="AQ77" s="9">
        <f t="shared" si="81"/>
        <v>0</v>
      </c>
      <c r="AR77" s="9">
        <f t="shared" si="81"/>
        <v>0</v>
      </c>
      <c r="AS77" s="9">
        <f t="shared" si="81"/>
        <v>0</v>
      </c>
      <c r="AT77" s="9">
        <f t="shared" si="81"/>
        <v>0</v>
      </c>
      <c r="AU77" s="9">
        <f t="shared" si="81"/>
        <v>0</v>
      </c>
      <c r="AV77" s="9">
        <f t="shared" si="81"/>
        <v>0</v>
      </c>
      <c r="AW77" s="9">
        <f t="shared" si="81"/>
        <v>0</v>
      </c>
      <c r="AX77" s="9">
        <f t="shared" si="81"/>
        <v>0</v>
      </c>
      <c r="AY77" s="9">
        <f t="shared" si="81"/>
        <v>0</v>
      </c>
      <c r="AZ77" s="9">
        <f t="shared" si="81"/>
        <v>0</v>
      </c>
      <c r="BA77" s="9">
        <f t="shared" si="81"/>
        <v>0</v>
      </c>
      <c r="BB77" s="9">
        <f t="shared" si="81"/>
        <v>0</v>
      </c>
      <c r="BC77" s="9">
        <f t="shared" si="81"/>
        <v>0</v>
      </c>
      <c r="BD77" s="9">
        <f t="shared" si="81"/>
        <v>0</v>
      </c>
      <c r="BE77" s="9">
        <f t="shared" si="81"/>
        <v>0</v>
      </c>
      <c r="BF77" s="9">
        <f t="shared" si="81"/>
        <v>0</v>
      </c>
      <c r="BG77" s="9">
        <f t="shared" si="81"/>
        <v>0</v>
      </c>
      <c r="BH77" s="9">
        <f t="shared" si="81"/>
        <v>0</v>
      </c>
      <c r="BI77" s="9">
        <f t="shared" si="81"/>
        <v>0</v>
      </c>
      <c r="BJ77" s="9">
        <f t="shared" si="81"/>
        <v>0</v>
      </c>
      <c r="BK77" s="9">
        <f t="shared" si="81"/>
        <v>0</v>
      </c>
      <c r="BL77" s="9">
        <f t="shared" si="81"/>
        <v>0</v>
      </c>
      <c r="BM77" s="9">
        <f t="shared" si="81"/>
        <v>0</v>
      </c>
      <c r="BN77" s="9">
        <f t="shared" si="81"/>
        <v>0</v>
      </c>
      <c r="BO77" s="9">
        <f t="shared" si="81"/>
        <v>0</v>
      </c>
      <c r="BP77" s="9">
        <f t="shared" si="81"/>
        <v>0</v>
      </c>
      <c r="BQ77" s="9">
        <f t="shared" si="80"/>
        <v>0</v>
      </c>
      <c r="BR77" s="9">
        <f t="shared" si="80"/>
        <v>0</v>
      </c>
      <c r="BS77" s="9">
        <f t="shared" si="80"/>
        <v>0</v>
      </c>
      <c r="BT77" s="9">
        <f t="shared" si="80"/>
        <v>0</v>
      </c>
      <c r="BU77" s="9">
        <f t="shared" si="80"/>
        <v>0</v>
      </c>
      <c r="BV77" s="9">
        <f t="shared" si="80"/>
        <v>0</v>
      </c>
      <c r="BW77" s="9">
        <f t="shared" si="80"/>
        <v>0</v>
      </c>
      <c r="BX77" s="9">
        <f t="shared" si="80"/>
        <v>0</v>
      </c>
      <c r="BY77" s="9">
        <f t="shared" si="80"/>
        <v>0</v>
      </c>
      <c r="BZ77" s="9">
        <f t="shared" si="80"/>
        <v>0</v>
      </c>
      <c r="CA77" s="9">
        <f t="shared" si="80"/>
        <v>0</v>
      </c>
      <c r="CB77" s="9">
        <f t="shared" si="80"/>
        <v>0</v>
      </c>
      <c r="CC77" s="9">
        <f t="shared" si="80"/>
        <v>0</v>
      </c>
      <c r="CD77" s="9"/>
      <c r="CE77" s="9">
        <f t="shared" si="74"/>
        <v>0</v>
      </c>
      <c r="CF77" s="9">
        <f t="shared" si="79"/>
        <v>0</v>
      </c>
      <c r="CG77" s="9"/>
      <c r="CH77" s="8"/>
      <c r="CI77" s="7"/>
      <c r="CJ77" s="7"/>
      <c r="CK77" s="7"/>
      <c r="CL77" s="7"/>
      <c r="CM77" s="7"/>
      <c r="CN77" s="7"/>
      <c r="CO77" s="7"/>
    </row>
    <row r="78" spans="3:93">
      <c r="C78" s="8" t="str">
        <f t="shared" si="75"/>
        <v>Jr Developer</v>
      </c>
      <c r="D78" s="8" t="str">
        <f t="shared" si="75"/>
        <v>B2 AP2 (0.6 to 3 yrs)</v>
      </c>
      <c r="E78" s="9">
        <f t="shared" si="78"/>
        <v>0</v>
      </c>
      <c r="F78" s="9">
        <f t="shared" si="78"/>
        <v>0</v>
      </c>
      <c r="G78" s="9">
        <f t="shared" si="78"/>
        <v>0</v>
      </c>
      <c r="H78" s="9">
        <f t="shared" si="78"/>
        <v>0</v>
      </c>
      <c r="I78" s="9">
        <f t="shared" si="78"/>
        <v>0</v>
      </c>
      <c r="J78" s="9">
        <f t="shared" si="78"/>
        <v>0</v>
      </c>
      <c r="K78" s="9">
        <f t="shared" si="78"/>
        <v>0</v>
      </c>
      <c r="L78" s="9">
        <f t="shared" si="78"/>
        <v>0</v>
      </c>
      <c r="M78" s="9">
        <f t="shared" si="78"/>
        <v>0</v>
      </c>
      <c r="N78" s="9">
        <f t="shared" si="78"/>
        <v>0</v>
      </c>
      <c r="O78" s="9">
        <f t="shared" si="78"/>
        <v>0</v>
      </c>
      <c r="P78" s="9">
        <f t="shared" si="78"/>
        <v>0</v>
      </c>
      <c r="Q78" s="9"/>
      <c r="R78" s="9">
        <f t="shared" si="78"/>
        <v>0</v>
      </c>
      <c r="S78" s="9">
        <f t="shared" si="78"/>
        <v>0</v>
      </c>
      <c r="T78" s="9">
        <f t="shared" si="78"/>
        <v>0</v>
      </c>
      <c r="U78" s="9">
        <f t="shared" si="78"/>
        <v>0</v>
      </c>
      <c r="V78" s="9">
        <f t="shared" si="78"/>
        <v>0</v>
      </c>
      <c r="W78" s="9">
        <f t="shared" si="78"/>
        <v>0</v>
      </c>
      <c r="X78" s="9">
        <f t="shared" si="78"/>
        <v>0</v>
      </c>
      <c r="Y78" s="9">
        <f t="shared" si="78"/>
        <v>0</v>
      </c>
      <c r="Z78" s="9">
        <f t="shared" si="78"/>
        <v>0</v>
      </c>
      <c r="AA78" s="9">
        <f t="shared" si="78"/>
        <v>0</v>
      </c>
      <c r="AB78" s="9">
        <f t="shared" si="78"/>
        <v>0</v>
      </c>
      <c r="AC78" s="9">
        <f t="shared" si="78"/>
        <v>0</v>
      </c>
      <c r="AD78" s="9">
        <f t="shared" si="78"/>
        <v>0</v>
      </c>
      <c r="AE78" s="9">
        <f t="shared" si="78"/>
        <v>0</v>
      </c>
      <c r="AF78" s="9">
        <f t="shared" si="78"/>
        <v>0</v>
      </c>
      <c r="AG78" s="9">
        <f t="shared" si="78"/>
        <v>0</v>
      </c>
      <c r="AH78" s="9">
        <f t="shared" si="78"/>
        <v>0</v>
      </c>
      <c r="AI78" s="9">
        <f t="shared" si="78"/>
        <v>0</v>
      </c>
      <c r="AJ78" s="9">
        <f t="shared" si="78"/>
        <v>0</v>
      </c>
      <c r="AK78" s="9">
        <f t="shared" si="81"/>
        <v>0</v>
      </c>
      <c r="AL78" s="9">
        <f t="shared" si="81"/>
        <v>0</v>
      </c>
      <c r="AM78" s="9">
        <f t="shared" si="81"/>
        <v>0</v>
      </c>
      <c r="AN78" s="9">
        <f t="shared" si="81"/>
        <v>0</v>
      </c>
      <c r="AO78" s="9">
        <f t="shared" si="81"/>
        <v>0</v>
      </c>
      <c r="AP78" s="9">
        <f t="shared" si="81"/>
        <v>0</v>
      </c>
      <c r="AQ78" s="9">
        <f t="shared" si="81"/>
        <v>0</v>
      </c>
      <c r="AR78" s="9">
        <f t="shared" si="81"/>
        <v>0</v>
      </c>
      <c r="AS78" s="9">
        <f t="shared" si="81"/>
        <v>0</v>
      </c>
      <c r="AT78" s="9">
        <f t="shared" si="81"/>
        <v>0</v>
      </c>
      <c r="AU78" s="9">
        <f t="shared" si="81"/>
        <v>0</v>
      </c>
      <c r="AV78" s="9">
        <f t="shared" si="81"/>
        <v>0</v>
      </c>
      <c r="AW78" s="9">
        <f t="shared" si="81"/>
        <v>0</v>
      </c>
      <c r="AX78" s="9">
        <f t="shared" si="81"/>
        <v>0</v>
      </c>
      <c r="AY78" s="9">
        <f t="shared" si="81"/>
        <v>0</v>
      </c>
      <c r="AZ78" s="9">
        <f t="shared" si="81"/>
        <v>0</v>
      </c>
      <c r="BA78" s="9">
        <f t="shared" si="81"/>
        <v>0</v>
      </c>
      <c r="BB78" s="9">
        <f t="shared" si="81"/>
        <v>0</v>
      </c>
      <c r="BC78" s="9">
        <f t="shared" si="81"/>
        <v>0</v>
      </c>
      <c r="BD78" s="9">
        <f t="shared" si="81"/>
        <v>0</v>
      </c>
      <c r="BE78" s="9">
        <f t="shared" si="81"/>
        <v>0</v>
      </c>
      <c r="BF78" s="9">
        <f t="shared" si="81"/>
        <v>0</v>
      </c>
      <c r="BG78" s="9">
        <f t="shared" si="81"/>
        <v>0</v>
      </c>
      <c r="BH78" s="9">
        <f t="shared" si="81"/>
        <v>0</v>
      </c>
      <c r="BI78" s="9">
        <f t="shared" si="81"/>
        <v>0</v>
      </c>
      <c r="BJ78" s="9">
        <f t="shared" si="81"/>
        <v>0</v>
      </c>
      <c r="BK78" s="9">
        <f t="shared" si="81"/>
        <v>0</v>
      </c>
      <c r="BL78" s="9">
        <f t="shared" si="81"/>
        <v>0</v>
      </c>
      <c r="BM78" s="9">
        <f t="shared" si="81"/>
        <v>0</v>
      </c>
      <c r="BN78" s="9">
        <f t="shared" si="81"/>
        <v>0</v>
      </c>
      <c r="BO78" s="9">
        <f t="shared" si="81"/>
        <v>0</v>
      </c>
      <c r="BP78" s="9">
        <f t="shared" si="81"/>
        <v>0</v>
      </c>
      <c r="BQ78" s="9">
        <f t="shared" si="80"/>
        <v>0</v>
      </c>
      <c r="BR78" s="9">
        <f t="shared" si="80"/>
        <v>0</v>
      </c>
      <c r="BS78" s="9">
        <f t="shared" si="80"/>
        <v>0</v>
      </c>
      <c r="BT78" s="9">
        <f t="shared" si="80"/>
        <v>0</v>
      </c>
      <c r="BU78" s="9">
        <f t="shared" si="80"/>
        <v>0</v>
      </c>
      <c r="BV78" s="9">
        <f t="shared" si="80"/>
        <v>0</v>
      </c>
      <c r="BW78" s="9">
        <f t="shared" si="80"/>
        <v>0</v>
      </c>
      <c r="BX78" s="9">
        <f t="shared" si="80"/>
        <v>0</v>
      </c>
      <c r="BY78" s="9">
        <f t="shared" si="80"/>
        <v>0</v>
      </c>
      <c r="BZ78" s="9">
        <f t="shared" si="80"/>
        <v>0</v>
      </c>
      <c r="CA78" s="9">
        <f t="shared" si="80"/>
        <v>0</v>
      </c>
      <c r="CB78" s="9">
        <f t="shared" si="80"/>
        <v>0</v>
      </c>
      <c r="CC78" s="9">
        <f t="shared" si="80"/>
        <v>0</v>
      </c>
      <c r="CD78" s="9"/>
      <c r="CE78" s="9">
        <f t="shared" si="74"/>
        <v>0</v>
      </c>
      <c r="CF78" s="9">
        <f t="shared" si="79"/>
        <v>0</v>
      </c>
      <c r="CG78" s="9"/>
      <c r="CH78" s="8"/>
      <c r="CI78" s="7"/>
      <c r="CJ78" s="7"/>
      <c r="CK78" s="7"/>
      <c r="CL78" s="7"/>
      <c r="CM78" s="7"/>
      <c r="CN78" s="7"/>
      <c r="CO78" s="7"/>
    </row>
    <row r="79" spans="3:93">
      <c r="C79" s="8" t="str">
        <f>C63</f>
        <v>Trainees</v>
      </c>
      <c r="D79" s="8" t="str">
        <f>D63</f>
        <v>B2 AP1</v>
      </c>
      <c r="E79" s="9">
        <f t="shared" si="78"/>
        <v>0</v>
      </c>
      <c r="F79" s="9">
        <f t="shared" si="78"/>
        <v>0</v>
      </c>
      <c r="G79" s="9">
        <f t="shared" si="78"/>
        <v>0</v>
      </c>
      <c r="H79" s="9">
        <f t="shared" si="78"/>
        <v>0</v>
      </c>
      <c r="I79" s="9">
        <f t="shared" si="78"/>
        <v>0</v>
      </c>
      <c r="J79" s="9">
        <f t="shared" si="78"/>
        <v>0</v>
      </c>
      <c r="K79" s="9">
        <f t="shared" si="78"/>
        <v>0</v>
      </c>
      <c r="L79" s="9">
        <f t="shared" ref="L79:AJ79" si="82">L18+L33+L48+L63</f>
        <v>0</v>
      </c>
      <c r="M79" s="9">
        <f t="shared" si="82"/>
        <v>0</v>
      </c>
      <c r="N79" s="9">
        <f t="shared" si="82"/>
        <v>0</v>
      </c>
      <c r="O79" s="9">
        <f t="shared" si="82"/>
        <v>0</v>
      </c>
      <c r="P79" s="9">
        <f t="shared" si="82"/>
        <v>0</v>
      </c>
      <c r="Q79" s="9"/>
      <c r="R79" s="9">
        <f t="shared" si="82"/>
        <v>0</v>
      </c>
      <c r="S79" s="9">
        <f t="shared" si="82"/>
        <v>0</v>
      </c>
      <c r="T79" s="9">
        <f t="shared" si="82"/>
        <v>0</v>
      </c>
      <c r="U79" s="9">
        <f t="shared" si="82"/>
        <v>0</v>
      </c>
      <c r="V79" s="9">
        <f t="shared" si="82"/>
        <v>0</v>
      </c>
      <c r="W79" s="9">
        <f t="shared" si="82"/>
        <v>0</v>
      </c>
      <c r="X79" s="9">
        <f t="shared" si="82"/>
        <v>0</v>
      </c>
      <c r="Y79" s="9">
        <f t="shared" si="82"/>
        <v>0</v>
      </c>
      <c r="Z79" s="9">
        <f t="shared" si="82"/>
        <v>0</v>
      </c>
      <c r="AA79" s="9">
        <f t="shared" si="82"/>
        <v>0</v>
      </c>
      <c r="AB79" s="9">
        <f t="shared" si="82"/>
        <v>0</v>
      </c>
      <c r="AC79" s="9">
        <f t="shared" si="82"/>
        <v>0</v>
      </c>
      <c r="AD79" s="9">
        <f t="shared" si="82"/>
        <v>0</v>
      </c>
      <c r="AE79" s="9">
        <f t="shared" si="82"/>
        <v>0</v>
      </c>
      <c r="AF79" s="9">
        <f t="shared" si="82"/>
        <v>0</v>
      </c>
      <c r="AG79" s="9">
        <f t="shared" si="82"/>
        <v>0</v>
      </c>
      <c r="AH79" s="9">
        <f t="shared" si="82"/>
        <v>0</v>
      </c>
      <c r="AI79" s="9">
        <f t="shared" si="82"/>
        <v>0</v>
      </c>
      <c r="AJ79" s="9">
        <f t="shared" si="82"/>
        <v>0</v>
      </c>
      <c r="AK79" s="9">
        <f t="shared" si="81"/>
        <v>0</v>
      </c>
      <c r="AL79" s="9">
        <f t="shared" si="81"/>
        <v>0</v>
      </c>
      <c r="AM79" s="9">
        <f t="shared" si="81"/>
        <v>0</v>
      </c>
      <c r="AN79" s="9">
        <f t="shared" si="81"/>
        <v>0</v>
      </c>
      <c r="AO79" s="9">
        <f t="shared" si="81"/>
        <v>0</v>
      </c>
      <c r="AP79" s="9">
        <f t="shared" si="81"/>
        <v>0</v>
      </c>
      <c r="AQ79" s="9">
        <f t="shared" si="81"/>
        <v>0</v>
      </c>
      <c r="AR79" s="9">
        <f t="shared" si="81"/>
        <v>0</v>
      </c>
      <c r="AS79" s="9">
        <f t="shared" si="81"/>
        <v>0</v>
      </c>
      <c r="AT79" s="9">
        <f t="shared" si="81"/>
        <v>0</v>
      </c>
      <c r="AU79" s="9">
        <f t="shared" si="81"/>
        <v>0</v>
      </c>
      <c r="AV79" s="9">
        <f t="shared" si="81"/>
        <v>0</v>
      </c>
      <c r="AW79" s="9">
        <f t="shared" si="81"/>
        <v>0</v>
      </c>
      <c r="AX79" s="9">
        <f t="shared" si="81"/>
        <v>0</v>
      </c>
      <c r="AY79" s="9">
        <f t="shared" si="81"/>
        <v>0</v>
      </c>
      <c r="AZ79" s="9">
        <f t="shared" si="81"/>
        <v>0</v>
      </c>
      <c r="BA79" s="9">
        <f t="shared" si="81"/>
        <v>0</v>
      </c>
      <c r="BB79" s="9">
        <f t="shared" si="81"/>
        <v>0</v>
      </c>
      <c r="BC79" s="9">
        <f t="shared" si="81"/>
        <v>0</v>
      </c>
      <c r="BD79" s="9">
        <f t="shared" si="81"/>
        <v>0</v>
      </c>
      <c r="BE79" s="9">
        <f t="shared" si="81"/>
        <v>0</v>
      </c>
      <c r="BF79" s="9">
        <f t="shared" si="81"/>
        <v>0</v>
      </c>
      <c r="BG79" s="9">
        <f t="shared" si="81"/>
        <v>0</v>
      </c>
      <c r="BH79" s="9">
        <f t="shared" si="81"/>
        <v>0</v>
      </c>
      <c r="BI79" s="9">
        <f t="shared" si="81"/>
        <v>0</v>
      </c>
      <c r="BJ79" s="9">
        <f t="shared" si="81"/>
        <v>0</v>
      </c>
      <c r="BK79" s="9">
        <f t="shared" si="81"/>
        <v>0</v>
      </c>
      <c r="BL79" s="9">
        <f t="shared" si="81"/>
        <v>0</v>
      </c>
      <c r="BM79" s="9">
        <f t="shared" si="81"/>
        <v>0</v>
      </c>
      <c r="BN79" s="9">
        <f t="shared" si="81"/>
        <v>0</v>
      </c>
      <c r="BO79" s="9">
        <f t="shared" si="81"/>
        <v>0</v>
      </c>
      <c r="BP79" s="9">
        <f t="shared" si="81"/>
        <v>0</v>
      </c>
      <c r="BQ79" s="9">
        <f t="shared" si="80"/>
        <v>0</v>
      </c>
      <c r="BR79" s="9">
        <f t="shared" si="80"/>
        <v>0</v>
      </c>
      <c r="BS79" s="9">
        <f t="shared" si="80"/>
        <v>0</v>
      </c>
      <c r="BT79" s="9">
        <f t="shared" si="80"/>
        <v>0</v>
      </c>
      <c r="BU79" s="9">
        <f t="shared" si="80"/>
        <v>0</v>
      </c>
      <c r="BV79" s="9">
        <f t="shared" si="80"/>
        <v>0</v>
      </c>
      <c r="BW79" s="9">
        <f t="shared" si="80"/>
        <v>0</v>
      </c>
      <c r="BX79" s="9">
        <f t="shared" si="80"/>
        <v>0</v>
      </c>
      <c r="BY79" s="9">
        <f t="shared" si="80"/>
        <v>0</v>
      </c>
      <c r="BZ79" s="9">
        <f t="shared" si="80"/>
        <v>0</v>
      </c>
      <c r="CA79" s="9">
        <f t="shared" si="80"/>
        <v>0</v>
      </c>
      <c r="CB79" s="9">
        <f t="shared" si="80"/>
        <v>0</v>
      </c>
      <c r="CC79" s="9">
        <f t="shared" si="80"/>
        <v>0</v>
      </c>
      <c r="CD79" s="9"/>
      <c r="CE79" s="9">
        <f t="shared" si="74"/>
        <v>0</v>
      </c>
      <c r="CF79" s="9">
        <f t="shared" si="79"/>
        <v>0</v>
      </c>
      <c r="CG79" s="9"/>
      <c r="CH79" s="8"/>
      <c r="CI79" s="7"/>
      <c r="CJ79" s="7"/>
      <c r="CK79" s="7"/>
      <c r="CL79" s="7"/>
      <c r="CM79" s="7"/>
      <c r="CN79" s="7"/>
      <c r="CO79" s="7"/>
    </row>
    <row r="80" spans="3:93" hidden="1">
      <c r="C80" s="8" t="s">
        <v>26</v>
      </c>
      <c r="D80" s="8"/>
      <c r="E80" s="9">
        <f t="shared" ref="E80:AJ81" si="83">E19+E34+E49+E64</f>
        <v>0</v>
      </c>
      <c r="F80" s="9">
        <f t="shared" si="83"/>
        <v>0</v>
      </c>
      <c r="G80" s="9">
        <f t="shared" si="83"/>
        <v>0</v>
      </c>
      <c r="H80" s="9">
        <f t="shared" si="83"/>
        <v>0</v>
      </c>
      <c r="I80" s="9">
        <f t="shared" si="83"/>
        <v>0</v>
      </c>
      <c r="J80" s="9">
        <f t="shared" si="83"/>
        <v>0</v>
      </c>
      <c r="K80" s="9">
        <f t="shared" si="83"/>
        <v>0</v>
      </c>
      <c r="L80" s="9">
        <f t="shared" si="83"/>
        <v>0</v>
      </c>
      <c r="M80" s="9">
        <f t="shared" si="83"/>
        <v>0</v>
      </c>
      <c r="N80" s="9">
        <f t="shared" si="83"/>
        <v>0</v>
      </c>
      <c r="O80" s="9">
        <f t="shared" si="83"/>
        <v>0</v>
      </c>
      <c r="P80" s="9">
        <f t="shared" si="83"/>
        <v>0</v>
      </c>
      <c r="Q80" s="9">
        <f t="shared" si="83"/>
        <v>0</v>
      </c>
      <c r="R80" s="9">
        <f t="shared" si="83"/>
        <v>0</v>
      </c>
      <c r="S80" s="9">
        <f t="shared" si="83"/>
        <v>0</v>
      </c>
      <c r="T80" s="9">
        <f t="shared" si="83"/>
        <v>0</v>
      </c>
      <c r="U80" s="9">
        <f t="shared" si="83"/>
        <v>0</v>
      </c>
      <c r="V80" s="9">
        <f t="shared" si="83"/>
        <v>0</v>
      </c>
      <c r="W80" s="9">
        <f t="shared" si="83"/>
        <v>0</v>
      </c>
      <c r="X80" s="9">
        <f t="shared" si="83"/>
        <v>0</v>
      </c>
      <c r="Y80" s="9">
        <f t="shared" si="83"/>
        <v>0</v>
      </c>
      <c r="Z80" s="9">
        <f t="shared" si="83"/>
        <v>0</v>
      </c>
      <c r="AA80" s="9">
        <f t="shared" si="83"/>
        <v>0</v>
      </c>
      <c r="AB80" s="9">
        <f t="shared" si="83"/>
        <v>0</v>
      </c>
      <c r="AC80" s="9">
        <f t="shared" si="83"/>
        <v>0</v>
      </c>
      <c r="AD80" s="9">
        <f t="shared" si="83"/>
        <v>0</v>
      </c>
      <c r="AE80" s="9">
        <f t="shared" si="83"/>
        <v>0</v>
      </c>
      <c r="AF80" s="9">
        <f t="shared" si="83"/>
        <v>0</v>
      </c>
      <c r="AG80" s="9">
        <f t="shared" si="83"/>
        <v>0</v>
      </c>
      <c r="AH80" s="9">
        <f t="shared" si="83"/>
        <v>0</v>
      </c>
      <c r="AI80" s="9">
        <f t="shared" si="83"/>
        <v>0</v>
      </c>
      <c r="AJ80" s="9">
        <f t="shared" si="83"/>
        <v>0</v>
      </c>
      <c r="AK80" s="9">
        <f t="shared" si="81"/>
        <v>0</v>
      </c>
      <c r="AL80" s="9">
        <f t="shared" si="81"/>
        <v>0</v>
      </c>
      <c r="AM80" s="9">
        <f t="shared" si="81"/>
        <v>0</v>
      </c>
      <c r="AN80" s="9">
        <f t="shared" si="81"/>
        <v>0</v>
      </c>
      <c r="AO80" s="9">
        <f t="shared" si="81"/>
        <v>0</v>
      </c>
      <c r="AP80" s="9">
        <f t="shared" si="81"/>
        <v>0</v>
      </c>
      <c r="AQ80" s="9">
        <f t="shared" si="81"/>
        <v>0</v>
      </c>
      <c r="AR80" s="9">
        <f t="shared" si="81"/>
        <v>0</v>
      </c>
      <c r="AS80" s="9">
        <f t="shared" si="81"/>
        <v>0</v>
      </c>
      <c r="AT80" s="9">
        <f t="shared" si="81"/>
        <v>0</v>
      </c>
      <c r="AU80" s="9">
        <f t="shared" si="81"/>
        <v>0</v>
      </c>
      <c r="AV80" s="9">
        <f t="shared" si="81"/>
        <v>0</v>
      </c>
      <c r="AW80" s="9">
        <f t="shared" si="81"/>
        <v>0</v>
      </c>
      <c r="AX80" s="9">
        <f t="shared" si="81"/>
        <v>0</v>
      </c>
      <c r="AY80" s="9">
        <f t="shared" si="81"/>
        <v>0</v>
      </c>
      <c r="AZ80" s="9">
        <f t="shared" si="81"/>
        <v>0</v>
      </c>
      <c r="BA80" s="9">
        <f t="shared" si="81"/>
        <v>0</v>
      </c>
      <c r="BB80" s="9">
        <f t="shared" si="81"/>
        <v>0</v>
      </c>
      <c r="BC80" s="9">
        <f t="shared" si="81"/>
        <v>0</v>
      </c>
      <c r="BD80" s="9">
        <f t="shared" si="81"/>
        <v>0</v>
      </c>
      <c r="BE80" s="9">
        <f t="shared" si="81"/>
        <v>0</v>
      </c>
      <c r="BF80" s="9">
        <f t="shared" si="81"/>
        <v>0</v>
      </c>
      <c r="BG80" s="9">
        <f t="shared" si="81"/>
        <v>0</v>
      </c>
      <c r="BH80" s="9">
        <f t="shared" si="81"/>
        <v>0</v>
      </c>
      <c r="BI80" s="9">
        <f t="shared" si="81"/>
        <v>0</v>
      </c>
      <c r="BJ80" s="9">
        <f t="shared" si="81"/>
        <v>0</v>
      </c>
      <c r="BK80" s="9">
        <f t="shared" si="81"/>
        <v>0</v>
      </c>
      <c r="BL80" s="9">
        <f t="shared" si="81"/>
        <v>0</v>
      </c>
      <c r="BM80" s="9">
        <f t="shared" si="81"/>
        <v>0</v>
      </c>
      <c r="BN80" s="9">
        <f t="shared" si="81"/>
        <v>0</v>
      </c>
      <c r="BO80" s="9">
        <f t="shared" si="81"/>
        <v>0</v>
      </c>
      <c r="BP80" s="9">
        <f t="shared" si="81"/>
        <v>0</v>
      </c>
      <c r="BQ80" s="9">
        <f t="shared" si="80"/>
        <v>0</v>
      </c>
      <c r="BR80" s="9">
        <f t="shared" si="80"/>
        <v>0</v>
      </c>
      <c r="BS80" s="9">
        <f t="shared" si="80"/>
        <v>0</v>
      </c>
      <c r="BT80" s="9">
        <f t="shared" si="80"/>
        <v>0</v>
      </c>
      <c r="BU80" s="9">
        <f t="shared" si="80"/>
        <v>0</v>
      </c>
      <c r="BV80" s="9">
        <f t="shared" si="80"/>
        <v>0</v>
      </c>
      <c r="BW80" s="9">
        <f t="shared" si="80"/>
        <v>0</v>
      </c>
      <c r="BX80" s="9">
        <f t="shared" si="80"/>
        <v>0</v>
      </c>
      <c r="BY80" s="9">
        <f t="shared" si="80"/>
        <v>0</v>
      </c>
      <c r="BZ80" s="9">
        <f t="shared" si="80"/>
        <v>0</v>
      </c>
      <c r="CA80" s="9">
        <f t="shared" si="80"/>
        <v>0</v>
      </c>
      <c r="CB80" s="9">
        <f t="shared" si="80"/>
        <v>0</v>
      </c>
      <c r="CC80" s="9">
        <f t="shared" si="80"/>
        <v>0</v>
      </c>
      <c r="CD80" s="9">
        <f>CD18+CD35+CD50</f>
        <v>0</v>
      </c>
      <c r="CE80" s="9"/>
      <c r="CF80" s="9">
        <f t="shared" si="79"/>
        <v>0</v>
      </c>
      <c r="CG80" s="9"/>
      <c r="CH80" s="8"/>
      <c r="CI80" s="7"/>
      <c r="CJ80" s="7"/>
      <c r="CK80" s="7"/>
      <c r="CL80" s="7"/>
      <c r="CM80" s="7"/>
      <c r="CN80" s="7"/>
      <c r="CO80" s="7"/>
    </row>
    <row r="81" spans="1:93" hidden="1">
      <c r="C81" s="8" t="str">
        <f>$C19</f>
        <v>Open</v>
      </c>
      <c r="D81" s="8"/>
      <c r="E81" s="9">
        <f t="shared" si="83"/>
        <v>0</v>
      </c>
      <c r="F81" s="9">
        <f t="shared" si="83"/>
        <v>0</v>
      </c>
      <c r="G81" s="9">
        <f t="shared" si="83"/>
        <v>0</v>
      </c>
      <c r="H81" s="9">
        <f t="shared" si="83"/>
        <v>0</v>
      </c>
      <c r="I81" s="9">
        <f t="shared" si="83"/>
        <v>0</v>
      </c>
      <c r="J81" s="9">
        <f t="shared" si="83"/>
        <v>0</v>
      </c>
      <c r="K81" s="9">
        <f t="shared" si="83"/>
        <v>0</v>
      </c>
      <c r="L81" s="9">
        <f t="shared" si="83"/>
        <v>0</v>
      </c>
      <c r="M81" s="9">
        <f t="shared" si="83"/>
        <v>0</v>
      </c>
      <c r="N81" s="9">
        <f t="shared" si="83"/>
        <v>0</v>
      </c>
      <c r="O81" s="9">
        <f t="shared" si="83"/>
        <v>0</v>
      </c>
      <c r="P81" s="9">
        <f t="shared" si="83"/>
        <v>0</v>
      </c>
      <c r="Q81" s="9">
        <f t="shared" si="83"/>
        <v>0</v>
      </c>
      <c r="R81" s="9">
        <f t="shared" si="83"/>
        <v>0</v>
      </c>
      <c r="S81" s="9">
        <f t="shared" si="83"/>
        <v>0</v>
      </c>
      <c r="T81" s="9">
        <f t="shared" si="83"/>
        <v>0</v>
      </c>
      <c r="U81" s="9">
        <f t="shared" si="83"/>
        <v>0</v>
      </c>
      <c r="V81" s="9">
        <f t="shared" si="83"/>
        <v>0</v>
      </c>
      <c r="W81" s="9">
        <f t="shared" si="83"/>
        <v>0</v>
      </c>
      <c r="X81" s="9">
        <f t="shared" si="83"/>
        <v>0</v>
      </c>
      <c r="Y81" s="9">
        <f t="shared" si="83"/>
        <v>0</v>
      </c>
      <c r="Z81" s="9">
        <f t="shared" si="83"/>
        <v>0</v>
      </c>
      <c r="AA81" s="9">
        <f t="shared" si="83"/>
        <v>0</v>
      </c>
      <c r="AB81" s="9">
        <f t="shared" si="83"/>
        <v>0</v>
      </c>
      <c r="AC81" s="9">
        <f t="shared" si="83"/>
        <v>0</v>
      </c>
      <c r="AD81" s="9">
        <f t="shared" si="83"/>
        <v>0</v>
      </c>
      <c r="AE81" s="9">
        <f t="shared" si="83"/>
        <v>0</v>
      </c>
      <c r="AF81" s="9">
        <f t="shared" si="83"/>
        <v>0</v>
      </c>
      <c r="AG81" s="9">
        <f t="shared" si="83"/>
        <v>0</v>
      </c>
      <c r="AH81" s="9">
        <f t="shared" si="83"/>
        <v>0</v>
      </c>
      <c r="AI81" s="9">
        <f t="shared" si="83"/>
        <v>0</v>
      </c>
      <c r="AJ81" s="9">
        <f t="shared" si="83"/>
        <v>0</v>
      </c>
      <c r="AK81" s="9">
        <f t="shared" si="81"/>
        <v>0</v>
      </c>
      <c r="AL81" s="9">
        <f t="shared" si="81"/>
        <v>0</v>
      </c>
      <c r="AM81" s="9">
        <f t="shared" si="81"/>
        <v>0</v>
      </c>
      <c r="AN81" s="9">
        <f t="shared" si="81"/>
        <v>0</v>
      </c>
      <c r="AO81" s="9">
        <f t="shared" si="81"/>
        <v>0</v>
      </c>
      <c r="AP81" s="9">
        <f t="shared" si="81"/>
        <v>0</v>
      </c>
      <c r="AQ81" s="9">
        <f t="shared" si="81"/>
        <v>0</v>
      </c>
      <c r="AR81" s="9">
        <f t="shared" si="81"/>
        <v>0</v>
      </c>
      <c r="AS81" s="9">
        <f t="shared" si="81"/>
        <v>0</v>
      </c>
      <c r="AT81" s="9">
        <f t="shared" si="81"/>
        <v>0</v>
      </c>
      <c r="AU81" s="9">
        <f t="shared" si="81"/>
        <v>0</v>
      </c>
      <c r="AV81" s="9">
        <f t="shared" si="81"/>
        <v>0</v>
      </c>
      <c r="AW81" s="9">
        <f t="shared" si="81"/>
        <v>0</v>
      </c>
      <c r="AX81" s="9">
        <f t="shared" si="81"/>
        <v>0</v>
      </c>
      <c r="AY81" s="9">
        <f t="shared" si="81"/>
        <v>0</v>
      </c>
      <c r="AZ81" s="9">
        <f t="shared" si="81"/>
        <v>0</v>
      </c>
      <c r="BA81" s="9">
        <f t="shared" si="81"/>
        <v>0</v>
      </c>
      <c r="BB81" s="9">
        <f t="shared" si="81"/>
        <v>0</v>
      </c>
      <c r="BC81" s="9">
        <f t="shared" si="81"/>
        <v>0</v>
      </c>
      <c r="BD81" s="9">
        <f t="shared" si="81"/>
        <v>0</v>
      </c>
      <c r="BE81" s="9">
        <f t="shared" si="81"/>
        <v>0</v>
      </c>
      <c r="BF81" s="9">
        <f t="shared" si="81"/>
        <v>0</v>
      </c>
      <c r="BG81" s="9">
        <f t="shared" si="81"/>
        <v>0</v>
      </c>
      <c r="BH81" s="9">
        <f t="shared" si="81"/>
        <v>0</v>
      </c>
      <c r="BI81" s="9">
        <f t="shared" si="81"/>
        <v>0</v>
      </c>
      <c r="BJ81" s="9">
        <f t="shared" si="81"/>
        <v>0</v>
      </c>
      <c r="BK81" s="9">
        <f t="shared" si="81"/>
        <v>0</v>
      </c>
      <c r="BL81" s="9">
        <f t="shared" si="81"/>
        <v>0</v>
      </c>
      <c r="BM81" s="9">
        <f t="shared" si="81"/>
        <v>0</v>
      </c>
      <c r="BN81" s="9">
        <f t="shared" si="81"/>
        <v>0</v>
      </c>
      <c r="BO81" s="9">
        <f t="shared" si="81"/>
        <v>0</v>
      </c>
      <c r="BP81" s="9">
        <f t="shared" si="81"/>
        <v>0</v>
      </c>
      <c r="BQ81" s="9">
        <f t="shared" si="80"/>
        <v>0</v>
      </c>
      <c r="BR81" s="9">
        <f t="shared" si="80"/>
        <v>0</v>
      </c>
      <c r="BS81" s="9">
        <f t="shared" si="80"/>
        <v>0</v>
      </c>
      <c r="BT81" s="9">
        <f t="shared" si="80"/>
        <v>0</v>
      </c>
      <c r="BU81" s="9">
        <f t="shared" si="80"/>
        <v>0</v>
      </c>
      <c r="BV81" s="9">
        <f t="shared" si="80"/>
        <v>0</v>
      </c>
      <c r="BW81" s="9">
        <f t="shared" si="80"/>
        <v>0</v>
      </c>
      <c r="BX81" s="9">
        <f t="shared" si="80"/>
        <v>0</v>
      </c>
      <c r="BY81" s="9">
        <f t="shared" si="80"/>
        <v>0</v>
      </c>
      <c r="BZ81" s="9">
        <f t="shared" si="80"/>
        <v>0</v>
      </c>
      <c r="CA81" s="9">
        <f t="shared" si="80"/>
        <v>0</v>
      </c>
      <c r="CB81" s="9">
        <f t="shared" si="80"/>
        <v>0</v>
      </c>
      <c r="CC81" s="9">
        <f t="shared" si="80"/>
        <v>0</v>
      </c>
      <c r="CD81" s="9"/>
      <c r="CE81" s="9"/>
      <c r="CF81" s="9">
        <f t="shared" si="79"/>
        <v>0</v>
      </c>
      <c r="CG81" s="9"/>
      <c r="CH81" s="8"/>
      <c r="CI81" s="7"/>
      <c r="CJ81" s="7"/>
      <c r="CK81" s="7"/>
      <c r="CL81" s="7"/>
      <c r="CM81" s="7"/>
      <c r="CN81" s="7"/>
      <c r="CO81" s="7"/>
    </row>
    <row r="82" spans="1:93">
      <c r="C82" s="8" t="s">
        <v>28</v>
      </c>
      <c r="D82" s="8"/>
      <c r="E82" s="12">
        <f>SUM(E69:E81)</f>
        <v>0</v>
      </c>
      <c r="F82" s="12">
        <f t="shared" ref="F82:BQ82" si="84">SUM(F69:F81)</f>
        <v>0</v>
      </c>
      <c r="G82" s="12">
        <f t="shared" si="84"/>
        <v>0</v>
      </c>
      <c r="H82" s="12">
        <f t="shared" si="84"/>
        <v>0</v>
      </c>
      <c r="I82" s="12">
        <f t="shared" si="84"/>
        <v>0</v>
      </c>
      <c r="J82" s="12">
        <f t="shared" si="84"/>
        <v>0</v>
      </c>
      <c r="K82" s="12">
        <f t="shared" si="84"/>
        <v>0</v>
      </c>
      <c r="L82" s="12">
        <f t="shared" si="84"/>
        <v>0</v>
      </c>
      <c r="M82" s="12">
        <f t="shared" si="84"/>
        <v>0</v>
      </c>
      <c r="N82" s="12">
        <f t="shared" si="84"/>
        <v>0</v>
      </c>
      <c r="O82" s="12">
        <f t="shared" si="84"/>
        <v>0</v>
      </c>
      <c r="P82" s="12">
        <f t="shared" si="84"/>
        <v>0</v>
      </c>
      <c r="Q82" s="12">
        <f t="shared" si="84"/>
        <v>0</v>
      </c>
      <c r="R82" s="12">
        <f t="shared" si="84"/>
        <v>0</v>
      </c>
      <c r="S82" s="12">
        <f t="shared" si="84"/>
        <v>0</v>
      </c>
      <c r="T82" s="12">
        <f t="shared" si="84"/>
        <v>0</v>
      </c>
      <c r="U82" s="12">
        <f t="shared" si="84"/>
        <v>0</v>
      </c>
      <c r="V82" s="12">
        <f t="shared" si="84"/>
        <v>0</v>
      </c>
      <c r="W82" s="12">
        <f t="shared" si="84"/>
        <v>0</v>
      </c>
      <c r="X82" s="12">
        <f t="shared" si="84"/>
        <v>0</v>
      </c>
      <c r="Y82" s="12">
        <f t="shared" si="84"/>
        <v>0</v>
      </c>
      <c r="Z82" s="12">
        <f t="shared" si="84"/>
        <v>0</v>
      </c>
      <c r="AA82" s="12">
        <f t="shared" si="84"/>
        <v>0</v>
      </c>
      <c r="AB82" s="12">
        <f t="shared" si="84"/>
        <v>0</v>
      </c>
      <c r="AC82" s="12">
        <f t="shared" si="84"/>
        <v>0</v>
      </c>
      <c r="AD82" s="12">
        <f t="shared" si="84"/>
        <v>0</v>
      </c>
      <c r="AE82" s="12">
        <f t="shared" si="84"/>
        <v>0</v>
      </c>
      <c r="AF82" s="12">
        <f t="shared" si="84"/>
        <v>0</v>
      </c>
      <c r="AG82" s="12">
        <f t="shared" si="84"/>
        <v>0</v>
      </c>
      <c r="AH82" s="12">
        <f t="shared" si="84"/>
        <v>0</v>
      </c>
      <c r="AI82" s="12">
        <f t="shared" si="84"/>
        <v>0</v>
      </c>
      <c r="AJ82" s="12">
        <f t="shared" si="84"/>
        <v>0</v>
      </c>
      <c r="AK82" s="12">
        <f t="shared" si="84"/>
        <v>0</v>
      </c>
      <c r="AL82" s="12">
        <f t="shared" si="84"/>
        <v>0</v>
      </c>
      <c r="AM82" s="12">
        <f t="shared" si="84"/>
        <v>0</v>
      </c>
      <c r="AN82" s="12">
        <f t="shared" si="84"/>
        <v>0</v>
      </c>
      <c r="AO82" s="12">
        <f t="shared" si="84"/>
        <v>0</v>
      </c>
      <c r="AP82" s="12">
        <f t="shared" si="84"/>
        <v>0</v>
      </c>
      <c r="AQ82" s="12">
        <f t="shared" si="84"/>
        <v>0</v>
      </c>
      <c r="AR82" s="12">
        <f t="shared" si="84"/>
        <v>0</v>
      </c>
      <c r="AS82" s="12">
        <f t="shared" si="84"/>
        <v>0</v>
      </c>
      <c r="AT82" s="12">
        <f t="shared" si="84"/>
        <v>0</v>
      </c>
      <c r="AU82" s="12">
        <f t="shared" si="84"/>
        <v>0</v>
      </c>
      <c r="AV82" s="12">
        <f t="shared" si="84"/>
        <v>0</v>
      </c>
      <c r="AW82" s="12">
        <f t="shared" si="84"/>
        <v>0</v>
      </c>
      <c r="AX82" s="12">
        <f t="shared" si="84"/>
        <v>0</v>
      </c>
      <c r="AY82" s="12">
        <f t="shared" si="84"/>
        <v>0</v>
      </c>
      <c r="AZ82" s="12">
        <f t="shared" si="84"/>
        <v>0</v>
      </c>
      <c r="BA82" s="12">
        <f t="shared" si="84"/>
        <v>0</v>
      </c>
      <c r="BB82" s="12">
        <f t="shared" si="84"/>
        <v>0</v>
      </c>
      <c r="BC82" s="12">
        <f t="shared" si="84"/>
        <v>0</v>
      </c>
      <c r="BD82" s="12">
        <f t="shared" si="84"/>
        <v>0</v>
      </c>
      <c r="BE82" s="12">
        <f t="shared" si="84"/>
        <v>0</v>
      </c>
      <c r="BF82" s="12">
        <f t="shared" si="84"/>
        <v>0</v>
      </c>
      <c r="BG82" s="12">
        <f t="shared" si="84"/>
        <v>0</v>
      </c>
      <c r="BH82" s="12">
        <f t="shared" si="84"/>
        <v>0</v>
      </c>
      <c r="BI82" s="12">
        <f t="shared" si="84"/>
        <v>0</v>
      </c>
      <c r="BJ82" s="12">
        <f t="shared" si="84"/>
        <v>0</v>
      </c>
      <c r="BK82" s="12">
        <f t="shared" si="84"/>
        <v>0</v>
      </c>
      <c r="BL82" s="12">
        <f t="shared" si="84"/>
        <v>0</v>
      </c>
      <c r="BM82" s="12">
        <f t="shared" si="84"/>
        <v>0</v>
      </c>
      <c r="BN82" s="12">
        <f t="shared" si="84"/>
        <v>0</v>
      </c>
      <c r="BO82" s="12">
        <f t="shared" si="84"/>
        <v>0</v>
      </c>
      <c r="BP82" s="12">
        <f t="shared" si="84"/>
        <v>0</v>
      </c>
      <c r="BQ82" s="12">
        <f t="shared" si="84"/>
        <v>0</v>
      </c>
      <c r="BR82" s="12">
        <f t="shared" ref="BR82:CE82" si="85">SUM(BR69:BR81)</f>
        <v>0</v>
      </c>
      <c r="BS82" s="12">
        <f t="shared" si="85"/>
        <v>0</v>
      </c>
      <c r="BT82" s="12">
        <f t="shared" si="85"/>
        <v>0</v>
      </c>
      <c r="BU82" s="12">
        <f t="shared" si="85"/>
        <v>0</v>
      </c>
      <c r="BV82" s="12">
        <f t="shared" si="85"/>
        <v>0</v>
      </c>
      <c r="BW82" s="12">
        <f t="shared" si="85"/>
        <v>0</v>
      </c>
      <c r="BX82" s="12">
        <f t="shared" si="85"/>
        <v>0</v>
      </c>
      <c r="BY82" s="12">
        <f t="shared" si="85"/>
        <v>0</v>
      </c>
      <c r="BZ82" s="12">
        <f t="shared" si="85"/>
        <v>0</v>
      </c>
      <c r="CA82" s="12">
        <f t="shared" si="85"/>
        <v>0</v>
      </c>
      <c r="CB82" s="12">
        <f t="shared" si="85"/>
        <v>0</v>
      </c>
      <c r="CC82" s="12">
        <f t="shared" si="85"/>
        <v>0</v>
      </c>
      <c r="CD82" s="12">
        <f t="shared" si="85"/>
        <v>0</v>
      </c>
      <c r="CE82" s="12">
        <f t="shared" si="85"/>
        <v>0</v>
      </c>
      <c r="CF82" s="12">
        <f>SUM(CF69:CF81)</f>
        <v>0</v>
      </c>
      <c r="CG82" s="13"/>
      <c r="CH82" s="8"/>
      <c r="CI82" s="7"/>
      <c r="CJ82" s="7"/>
      <c r="CK82" s="7"/>
      <c r="CL82" s="7"/>
      <c r="CM82" s="7"/>
      <c r="CN82" s="7"/>
      <c r="CO82" s="7"/>
    </row>
    <row r="83" spans="1:93">
      <c r="C83" s="8"/>
      <c r="D83" s="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8"/>
      <c r="CI83" s="7"/>
      <c r="CJ83" s="7"/>
      <c r="CK83" s="7"/>
      <c r="CL83" s="7"/>
      <c r="CM83" s="7"/>
      <c r="CN83" s="7"/>
      <c r="CO83" s="7"/>
    </row>
    <row r="84" spans="1:93">
      <c r="C84" s="128" t="s">
        <v>21</v>
      </c>
      <c r="D84" s="129"/>
      <c r="E84" s="9"/>
      <c r="F84" s="9"/>
      <c r="G84" s="9"/>
      <c r="H84" s="9"/>
      <c r="I84" s="12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8"/>
      <c r="CI84" s="7"/>
      <c r="CJ84" s="7"/>
      <c r="CK84" s="7"/>
      <c r="CL84" s="7"/>
      <c r="CM84" s="7"/>
      <c r="CN84" s="7"/>
      <c r="CO84" s="7"/>
    </row>
    <row r="85" spans="1:93">
      <c r="C85" s="8" t="str">
        <f t="shared" ref="C85:D95" si="86">C69</f>
        <v>Skillbay/Contract Hires</v>
      </c>
      <c r="D85" s="8">
        <f t="shared" si="86"/>
        <v>0</v>
      </c>
      <c r="E85" s="124"/>
      <c r="F85" s="124">
        <f t="shared" ref="F85:P97" si="87">E85</f>
        <v>0</v>
      </c>
      <c r="G85" s="124">
        <f t="shared" si="87"/>
        <v>0</v>
      </c>
      <c r="H85" s="124">
        <f t="shared" si="87"/>
        <v>0</v>
      </c>
      <c r="I85" s="124">
        <f t="shared" si="87"/>
        <v>0</v>
      </c>
      <c r="J85" s="124">
        <f t="shared" si="87"/>
        <v>0</v>
      </c>
      <c r="K85" s="124">
        <f t="shared" si="87"/>
        <v>0</v>
      </c>
      <c r="L85" s="124">
        <f t="shared" si="87"/>
        <v>0</v>
      </c>
      <c r="M85" s="124">
        <f t="shared" si="87"/>
        <v>0</v>
      </c>
      <c r="N85" s="124">
        <f t="shared" si="87"/>
        <v>0</v>
      </c>
      <c r="O85" s="124">
        <f t="shared" si="87"/>
        <v>0</v>
      </c>
      <c r="P85" s="124">
        <f t="shared" si="87"/>
        <v>0</v>
      </c>
      <c r="Q85" s="124"/>
      <c r="R85" s="124">
        <f>P85</f>
        <v>0</v>
      </c>
      <c r="S85" s="124">
        <f t="shared" ref="S85:AC97" si="88">R85</f>
        <v>0</v>
      </c>
      <c r="T85" s="124">
        <f t="shared" si="88"/>
        <v>0</v>
      </c>
      <c r="U85" s="124">
        <f t="shared" si="88"/>
        <v>0</v>
      </c>
      <c r="V85" s="124">
        <f t="shared" si="88"/>
        <v>0</v>
      </c>
      <c r="W85" s="124">
        <f t="shared" si="88"/>
        <v>0</v>
      </c>
      <c r="X85" s="124">
        <f t="shared" si="88"/>
        <v>0</v>
      </c>
      <c r="Y85" s="124">
        <f t="shared" si="88"/>
        <v>0</v>
      </c>
      <c r="Z85" s="124">
        <f t="shared" si="88"/>
        <v>0</v>
      </c>
      <c r="AA85" s="124">
        <f t="shared" si="88"/>
        <v>0</v>
      </c>
      <c r="AB85" s="124">
        <f t="shared" si="88"/>
        <v>0</v>
      </c>
      <c r="AC85" s="124">
        <f t="shared" si="88"/>
        <v>0</v>
      </c>
      <c r="AD85" s="124"/>
      <c r="AE85" s="124">
        <f>AC85</f>
        <v>0</v>
      </c>
      <c r="AF85" s="124">
        <f t="shared" ref="AF85:AP96" si="89">AE85</f>
        <v>0</v>
      </c>
      <c r="AG85" s="124">
        <f t="shared" si="89"/>
        <v>0</v>
      </c>
      <c r="AH85" s="124">
        <f t="shared" si="89"/>
        <v>0</v>
      </c>
      <c r="AI85" s="124">
        <f t="shared" si="89"/>
        <v>0</v>
      </c>
      <c r="AJ85" s="124">
        <f t="shared" si="89"/>
        <v>0</v>
      </c>
      <c r="AK85" s="124">
        <f t="shared" si="89"/>
        <v>0</v>
      </c>
      <c r="AL85" s="124">
        <f t="shared" si="89"/>
        <v>0</v>
      </c>
      <c r="AM85" s="124">
        <f t="shared" si="89"/>
        <v>0</v>
      </c>
      <c r="AN85" s="124">
        <f t="shared" si="89"/>
        <v>0</v>
      </c>
      <c r="AO85" s="124">
        <f t="shared" si="89"/>
        <v>0</v>
      </c>
      <c r="AP85" s="124">
        <f t="shared" si="89"/>
        <v>0</v>
      </c>
      <c r="AQ85" s="124"/>
      <c r="AR85" s="124">
        <f>AP85</f>
        <v>0</v>
      </c>
      <c r="AS85" s="124">
        <f t="shared" ref="AS85:BC96" si="90">AR85</f>
        <v>0</v>
      </c>
      <c r="AT85" s="124">
        <f t="shared" si="90"/>
        <v>0</v>
      </c>
      <c r="AU85" s="124">
        <f t="shared" si="90"/>
        <v>0</v>
      </c>
      <c r="AV85" s="124">
        <f t="shared" si="90"/>
        <v>0</v>
      </c>
      <c r="AW85" s="124">
        <f t="shared" si="90"/>
        <v>0</v>
      </c>
      <c r="AX85" s="124">
        <f t="shared" si="90"/>
        <v>0</v>
      </c>
      <c r="AY85" s="124">
        <f t="shared" si="90"/>
        <v>0</v>
      </c>
      <c r="AZ85" s="124">
        <f t="shared" si="90"/>
        <v>0</v>
      </c>
      <c r="BA85" s="124">
        <f t="shared" si="90"/>
        <v>0</v>
      </c>
      <c r="BB85" s="124">
        <f t="shared" si="90"/>
        <v>0</v>
      </c>
      <c r="BC85" s="124">
        <f t="shared" si="90"/>
        <v>0</v>
      </c>
      <c r="BD85" s="124"/>
      <c r="BE85" s="124">
        <f>BC85</f>
        <v>0</v>
      </c>
      <c r="BF85" s="124">
        <f t="shared" ref="BF85:BP96" si="91">BE85</f>
        <v>0</v>
      </c>
      <c r="BG85" s="124">
        <f t="shared" si="91"/>
        <v>0</v>
      </c>
      <c r="BH85" s="124">
        <f t="shared" si="91"/>
        <v>0</v>
      </c>
      <c r="BI85" s="124">
        <f t="shared" si="91"/>
        <v>0</v>
      </c>
      <c r="BJ85" s="124">
        <f t="shared" si="91"/>
        <v>0</v>
      </c>
      <c r="BK85" s="124">
        <f t="shared" si="91"/>
        <v>0</v>
      </c>
      <c r="BL85" s="124">
        <f t="shared" si="91"/>
        <v>0</v>
      </c>
      <c r="BM85" s="124">
        <f t="shared" si="91"/>
        <v>0</v>
      </c>
      <c r="BN85" s="124">
        <f t="shared" si="91"/>
        <v>0</v>
      </c>
      <c r="BO85" s="124">
        <f t="shared" si="91"/>
        <v>0</v>
      </c>
      <c r="BP85" s="124">
        <f t="shared" si="91"/>
        <v>0</v>
      </c>
      <c r="BQ85" s="124"/>
      <c r="BR85" s="124">
        <f>BP85</f>
        <v>0</v>
      </c>
      <c r="BS85" s="124">
        <f t="shared" ref="BS85:CC96" si="92">BR85</f>
        <v>0</v>
      </c>
      <c r="BT85" s="124">
        <f t="shared" si="92"/>
        <v>0</v>
      </c>
      <c r="BU85" s="124">
        <f t="shared" si="92"/>
        <v>0</v>
      </c>
      <c r="BV85" s="124">
        <f t="shared" si="92"/>
        <v>0</v>
      </c>
      <c r="BW85" s="124">
        <f t="shared" si="92"/>
        <v>0</v>
      </c>
      <c r="BX85" s="124">
        <f t="shared" si="92"/>
        <v>0</v>
      </c>
      <c r="BY85" s="124">
        <f t="shared" si="92"/>
        <v>0</v>
      </c>
      <c r="BZ85" s="124">
        <f t="shared" si="92"/>
        <v>0</v>
      </c>
      <c r="CA85" s="124">
        <f t="shared" si="92"/>
        <v>0</v>
      </c>
      <c r="CB85" s="124">
        <f t="shared" si="92"/>
        <v>0</v>
      </c>
      <c r="CC85" s="124">
        <f t="shared" si="92"/>
        <v>0</v>
      </c>
      <c r="CD85" s="125"/>
      <c r="CE85" s="9">
        <f t="shared" ref="CE85:CE96" si="93">SUM(E85:P85)+SUM(R85:AC85)+SUM(AE85:AP85)+SUM(AR85:BC85)+SUM(BE85:BP85)+SUM(BR85:CC85)</f>
        <v>0</v>
      </c>
      <c r="CF85" s="126"/>
      <c r="CG85" s="9"/>
      <c r="CH85" s="8"/>
      <c r="CI85" s="7"/>
      <c r="CJ85" s="7"/>
      <c r="CK85" s="7"/>
      <c r="CL85" s="7"/>
      <c r="CM85" s="7"/>
      <c r="CN85" s="7"/>
      <c r="CO85" s="7"/>
    </row>
    <row r="86" spans="1:93">
      <c r="C86" s="8" t="str">
        <f t="shared" si="86"/>
        <v>Account Manager</v>
      </c>
      <c r="D86" s="8" t="str">
        <f t="shared" si="86"/>
        <v>B5 (min 8 yrs)</v>
      </c>
      <c r="E86" s="124"/>
      <c r="F86" s="124">
        <f t="shared" si="87"/>
        <v>0</v>
      </c>
      <c r="G86" s="124">
        <f t="shared" si="87"/>
        <v>0</v>
      </c>
      <c r="H86" s="124">
        <f t="shared" si="87"/>
        <v>0</v>
      </c>
      <c r="I86" s="124">
        <f t="shared" si="87"/>
        <v>0</v>
      </c>
      <c r="J86" s="124">
        <f t="shared" si="87"/>
        <v>0</v>
      </c>
      <c r="K86" s="124">
        <f t="shared" si="87"/>
        <v>0</v>
      </c>
      <c r="L86" s="124">
        <f t="shared" si="87"/>
        <v>0</v>
      </c>
      <c r="M86" s="124">
        <f t="shared" si="87"/>
        <v>0</v>
      </c>
      <c r="N86" s="124">
        <f t="shared" si="87"/>
        <v>0</v>
      </c>
      <c r="O86" s="124">
        <f t="shared" si="87"/>
        <v>0</v>
      </c>
      <c r="P86" s="124">
        <f t="shared" si="87"/>
        <v>0</v>
      </c>
      <c r="Q86" s="124"/>
      <c r="R86" s="124">
        <f t="shared" ref="R86:R95" si="94">P86</f>
        <v>0</v>
      </c>
      <c r="S86" s="124">
        <f t="shared" si="88"/>
        <v>0</v>
      </c>
      <c r="T86" s="124">
        <f t="shared" si="88"/>
        <v>0</v>
      </c>
      <c r="U86" s="124">
        <f t="shared" si="88"/>
        <v>0</v>
      </c>
      <c r="V86" s="124">
        <f t="shared" si="88"/>
        <v>0</v>
      </c>
      <c r="W86" s="124">
        <f t="shared" si="88"/>
        <v>0</v>
      </c>
      <c r="X86" s="124">
        <f t="shared" si="88"/>
        <v>0</v>
      </c>
      <c r="Y86" s="124">
        <f t="shared" si="88"/>
        <v>0</v>
      </c>
      <c r="Z86" s="124">
        <f t="shared" si="88"/>
        <v>0</v>
      </c>
      <c r="AA86" s="124">
        <f t="shared" si="88"/>
        <v>0</v>
      </c>
      <c r="AB86" s="124">
        <f t="shared" si="88"/>
        <v>0</v>
      </c>
      <c r="AC86" s="124">
        <f t="shared" si="88"/>
        <v>0</v>
      </c>
      <c r="AD86" s="124"/>
      <c r="AE86" s="124">
        <f t="shared" ref="AE86:AE95" si="95">AC86</f>
        <v>0</v>
      </c>
      <c r="AF86" s="124">
        <f t="shared" si="89"/>
        <v>0</v>
      </c>
      <c r="AG86" s="124">
        <f t="shared" si="89"/>
        <v>0</v>
      </c>
      <c r="AH86" s="124">
        <f t="shared" si="89"/>
        <v>0</v>
      </c>
      <c r="AI86" s="124">
        <f t="shared" si="89"/>
        <v>0</v>
      </c>
      <c r="AJ86" s="124">
        <f t="shared" si="89"/>
        <v>0</v>
      </c>
      <c r="AK86" s="124">
        <f t="shared" si="89"/>
        <v>0</v>
      </c>
      <c r="AL86" s="124">
        <f t="shared" si="89"/>
        <v>0</v>
      </c>
      <c r="AM86" s="124">
        <f t="shared" si="89"/>
        <v>0</v>
      </c>
      <c r="AN86" s="124">
        <f t="shared" si="89"/>
        <v>0</v>
      </c>
      <c r="AO86" s="124">
        <f t="shared" si="89"/>
        <v>0</v>
      </c>
      <c r="AP86" s="124">
        <f t="shared" si="89"/>
        <v>0</v>
      </c>
      <c r="AQ86" s="124"/>
      <c r="AR86" s="124">
        <f t="shared" ref="AR86:AR95" si="96">AP86</f>
        <v>0</v>
      </c>
      <c r="AS86" s="124">
        <f t="shared" si="90"/>
        <v>0</v>
      </c>
      <c r="AT86" s="124">
        <f t="shared" si="90"/>
        <v>0</v>
      </c>
      <c r="AU86" s="124">
        <f t="shared" si="90"/>
        <v>0</v>
      </c>
      <c r="AV86" s="124">
        <f t="shared" si="90"/>
        <v>0</v>
      </c>
      <c r="AW86" s="124">
        <f t="shared" si="90"/>
        <v>0</v>
      </c>
      <c r="AX86" s="124">
        <f t="shared" si="90"/>
        <v>0</v>
      </c>
      <c r="AY86" s="124">
        <f t="shared" si="90"/>
        <v>0</v>
      </c>
      <c r="AZ86" s="124">
        <f t="shared" si="90"/>
        <v>0</v>
      </c>
      <c r="BA86" s="124">
        <f t="shared" si="90"/>
        <v>0</v>
      </c>
      <c r="BB86" s="124">
        <f t="shared" si="90"/>
        <v>0</v>
      </c>
      <c r="BC86" s="124">
        <f t="shared" si="90"/>
        <v>0</v>
      </c>
      <c r="BD86" s="124"/>
      <c r="BE86" s="124">
        <f t="shared" ref="BE86:BE95" si="97">BC86</f>
        <v>0</v>
      </c>
      <c r="BF86" s="124">
        <f t="shared" si="91"/>
        <v>0</v>
      </c>
      <c r="BG86" s="124">
        <f t="shared" si="91"/>
        <v>0</v>
      </c>
      <c r="BH86" s="124">
        <f t="shared" si="91"/>
        <v>0</v>
      </c>
      <c r="BI86" s="124">
        <f t="shared" si="91"/>
        <v>0</v>
      </c>
      <c r="BJ86" s="124">
        <f t="shared" si="91"/>
        <v>0</v>
      </c>
      <c r="BK86" s="124">
        <f t="shared" si="91"/>
        <v>0</v>
      </c>
      <c r="BL86" s="124">
        <f t="shared" si="91"/>
        <v>0</v>
      </c>
      <c r="BM86" s="124">
        <f t="shared" si="91"/>
        <v>0</v>
      </c>
      <c r="BN86" s="124">
        <f t="shared" si="91"/>
        <v>0</v>
      </c>
      <c r="BO86" s="124">
        <f t="shared" si="91"/>
        <v>0</v>
      </c>
      <c r="BP86" s="124">
        <f t="shared" si="91"/>
        <v>0</v>
      </c>
      <c r="BQ86" s="124"/>
      <c r="BR86" s="124">
        <f t="shared" ref="BR86:BR95" si="98">BP86</f>
        <v>0</v>
      </c>
      <c r="BS86" s="124">
        <f t="shared" si="92"/>
        <v>0</v>
      </c>
      <c r="BT86" s="124">
        <f t="shared" si="92"/>
        <v>0</v>
      </c>
      <c r="BU86" s="124">
        <f t="shared" si="92"/>
        <v>0</v>
      </c>
      <c r="BV86" s="124">
        <f t="shared" si="92"/>
        <v>0</v>
      </c>
      <c r="BW86" s="124">
        <f t="shared" si="92"/>
        <v>0</v>
      </c>
      <c r="BX86" s="124">
        <f t="shared" si="92"/>
        <v>0</v>
      </c>
      <c r="BY86" s="124">
        <f t="shared" si="92"/>
        <v>0</v>
      </c>
      <c r="BZ86" s="124">
        <f t="shared" si="92"/>
        <v>0</v>
      </c>
      <c r="CA86" s="124">
        <f t="shared" si="92"/>
        <v>0</v>
      </c>
      <c r="CB86" s="124">
        <f t="shared" si="92"/>
        <v>0</v>
      </c>
      <c r="CC86" s="124">
        <f t="shared" si="92"/>
        <v>0</v>
      </c>
      <c r="CD86" s="125"/>
      <c r="CE86" s="9">
        <f t="shared" si="93"/>
        <v>0</v>
      </c>
      <c r="CF86" s="126"/>
      <c r="CG86" s="9"/>
      <c r="CH86" s="8"/>
      <c r="CI86" s="7"/>
      <c r="CJ86" s="7"/>
      <c r="CK86" s="7"/>
      <c r="CL86" s="7"/>
      <c r="CM86" s="7"/>
      <c r="CN86" s="7"/>
      <c r="CO86" s="7"/>
    </row>
    <row r="87" spans="1:93">
      <c r="A87" s="1">
        <v>5</v>
      </c>
      <c r="B87" s="1">
        <v>1</v>
      </c>
      <c r="C87" s="8" t="str">
        <f t="shared" si="86"/>
        <v>Sr Project Manager</v>
      </c>
      <c r="D87" s="8" t="str">
        <f t="shared" si="86"/>
        <v>B4 PM3 (12 to 15 yrs)</v>
      </c>
      <c r="E87" s="124"/>
      <c r="F87" s="124">
        <f t="shared" si="87"/>
        <v>0</v>
      </c>
      <c r="G87" s="124">
        <f t="shared" si="87"/>
        <v>0</v>
      </c>
      <c r="H87" s="124">
        <f t="shared" si="87"/>
        <v>0</v>
      </c>
      <c r="I87" s="124">
        <f t="shared" si="87"/>
        <v>0</v>
      </c>
      <c r="J87" s="124">
        <f t="shared" si="87"/>
        <v>0</v>
      </c>
      <c r="K87" s="124">
        <f t="shared" si="87"/>
        <v>0</v>
      </c>
      <c r="L87" s="124">
        <f t="shared" si="87"/>
        <v>0</v>
      </c>
      <c r="M87" s="124">
        <f t="shared" si="87"/>
        <v>0</v>
      </c>
      <c r="N87" s="124">
        <f t="shared" si="87"/>
        <v>0</v>
      </c>
      <c r="O87" s="124">
        <f t="shared" si="87"/>
        <v>0</v>
      </c>
      <c r="P87" s="124">
        <f t="shared" si="87"/>
        <v>0</v>
      </c>
      <c r="Q87" s="124"/>
      <c r="R87" s="124">
        <f t="shared" si="94"/>
        <v>0</v>
      </c>
      <c r="S87" s="124">
        <f t="shared" si="88"/>
        <v>0</v>
      </c>
      <c r="T87" s="124">
        <f t="shared" si="88"/>
        <v>0</v>
      </c>
      <c r="U87" s="124">
        <f t="shared" si="88"/>
        <v>0</v>
      </c>
      <c r="V87" s="124">
        <f t="shared" si="88"/>
        <v>0</v>
      </c>
      <c r="W87" s="124">
        <f t="shared" si="88"/>
        <v>0</v>
      </c>
      <c r="X87" s="124">
        <f t="shared" si="88"/>
        <v>0</v>
      </c>
      <c r="Y87" s="124">
        <f t="shared" si="88"/>
        <v>0</v>
      </c>
      <c r="Z87" s="124">
        <f t="shared" si="88"/>
        <v>0</v>
      </c>
      <c r="AA87" s="124">
        <f t="shared" si="88"/>
        <v>0</v>
      </c>
      <c r="AB87" s="124">
        <f t="shared" si="88"/>
        <v>0</v>
      </c>
      <c r="AC87" s="124">
        <f t="shared" si="88"/>
        <v>0</v>
      </c>
      <c r="AD87" s="124"/>
      <c r="AE87" s="124">
        <f t="shared" si="95"/>
        <v>0</v>
      </c>
      <c r="AF87" s="124">
        <f t="shared" si="89"/>
        <v>0</v>
      </c>
      <c r="AG87" s="124">
        <f t="shared" si="89"/>
        <v>0</v>
      </c>
      <c r="AH87" s="124">
        <f t="shared" si="89"/>
        <v>0</v>
      </c>
      <c r="AI87" s="124">
        <f t="shared" si="89"/>
        <v>0</v>
      </c>
      <c r="AJ87" s="124">
        <f t="shared" si="89"/>
        <v>0</v>
      </c>
      <c r="AK87" s="124">
        <f t="shared" si="89"/>
        <v>0</v>
      </c>
      <c r="AL87" s="124">
        <f t="shared" si="89"/>
        <v>0</v>
      </c>
      <c r="AM87" s="124">
        <f t="shared" si="89"/>
        <v>0</v>
      </c>
      <c r="AN87" s="124">
        <f t="shared" si="89"/>
        <v>0</v>
      </c>
      <c r="AO87" s="124">
        <f t="shared" si="89"/>
        <v>0</v>
      </c>
      <c r="AP87" s="124">
        <f t="shared" si="89"/>
        <v>0</v>
      </c>
      <c r="AQ87" s="124"/>
      <c r="AR87" s="124">
        <f t="shared" si="96"/>
        <v>0</v>
      </c>
      <c r="AS87" s="124">
        <f t="shared" si="90"/>
        <v>0</v>
      </c>
      <c r="AT87" s="124">
        <f t="shared" si="90"/>
        <v>0</v>
      </c>
      <c r="AU87" s="124">
        <f t="shared" si="90"/>
        <v>0</v>
      </c>
      <c r="AV87" s="124">
        <f t="shared" si="90"/>
        <v>0</v>
      </c>
      <c r="AW87" s="124">
        <f t="shared" si="90"/>
        <v>0</v>
      </c>
      <c r="AX87" s="124">
        <f t="shared" si="90"/>
        <v>0</v>
      </c>
      <c r="AY87" s="124">
        <f t="shared" si="90"/>
        <v>0</v>
      </c>
      <c r="AZ87" s="124">
        <f t="shared" si="90"/>
        <v>0</v>
      </c>
      <c r="BA87" s="124">
        <f t="shared" si="90"/>
        <v>0</v>
      </c>
      <c r="BB87" s="124">
        <f t="shared" si="90"/>
        <v>0</v>
      </c>
      <c r="BC87" s="124">
        <f t="shared" si="90"/>
        <v>0</v>
      </c>
      <c r="BD87" s="124"/>
      <c r="BE87" s="124">
        <f t="shared" si="97"/>
        <v>0</v>
      </c>
      <c r="BF87" s="124">
        <f t="shared" si="91"/>
        <v>0</v>
      </c>
      <c r="BG87" s="124">
        <f t="shared" si="91"/>
        <v>0</v>
      </c>
      <c r="BH87" s="124">
        <f t="shared" si="91"/>
        <v>0</v>
      </c>
      <c r="BI87" s="124">
        <f t="shared" si="91"/>
        <v>0</v>
      </c>
      <c r="BJ87" s="124">
        <f t="shared" si="91"/>
        <v>0</v>
      </c>
      <c r="BK87" s="124">
        <f t="shared" si="91"/>
        <v>0</v>
      </c>
      <c r="BL87" s="124">
        <f t="shared" si="91"/>
        <v>0</v>
      </c>
      <c r="BM87" s="124">
        <f t="shared" si="91"/>
        <v>0</v>
      </c>
      <c r="BN87" s="124">
        <f t="shared" si="91"/>
        <v>0</v>
      </c>
      <c r="BO87" s="124">
        <f t="shared" si="91"/>
        <v>0</v>
      </c>
      <c r="BP87" s="124">
        <f t="shared" si="91"/>
        <v>0</v>
      </c>
      <c r="BQ87" s="124"/>
      <c r="BR87" s="124">
        <f t="shared" si="98"/>
        <v>0</v>
      </c>
      <c r="BS87" s="124">
        <f t="shared" si="92"/>
        <v>0</v>
      </c>
      <c r="BT87" s="124">
        <f t="shared" si="92"/>
        <v>0</v>
      </c>
      <c r="BU87" s="124">
        <f t="shared" si="92"/>
        <v>0</v>
      </c>
      <c r="BV87" s="124">
        <f t="shared" si="92"/>
        <v>0</v>
      </c>
      <c r="BW87" s="124">
        <f t="shared" si="92"/>
        <v>0</v>
      </c>
      <c r="BX87" s="124">
        <f t="shared" si="92"/>
        <v>0</v>
      </c>
      <c r="BY87" s="124">
        <f t="shared" si="92"/>
        <v>0</v>
      </c>
      <c r="BZ87" s="124">
        <f t="shared" si="92"/>
        <v>0</v>
      </c>
      <c r="CA87" s="124">
        <f t="shared" si="92"/>
        <v>0</v>
      </c>
      <c r="CB87" s="124">
        <f t="shared" si="92"/>
        <v>0</v>
      </c>
      <c r="CC87" s="124">
        <f t="shared" si="92"/>
        <v>0</v>
      </c>
      <c r="CD87" s="125"/>
      <c r="CE87" s="9">
        <f t="shared" si="93"/>
        <v>0</v>
      </c>
      <c r="CF87" s="126"/>
      <c r="CG87" s="9"/>
      <c r="CH87" s="8"/>
      <c r="CI87" s="7"/>
      <c r="CJ87" s="7"/>
      <c r="CK87" s="7"/>
      <c r="CL87" s="7"/>
      <c r="CM87" s="7"/>
      <c r="CN87" s="7"/>
      <c r="CO87" s="7"/>
    </row>
    <row r="88" spans="1:93">
      <c r="A88" s="1">
        <v>5</v>
      </c>
      <c r="B88" s="1">
        <v>2</v>
      </c>
      <c r="C88" s="8" t="str">
        <f t="shared" si="86"/>
        <v>Project Manager</v>
      </c>
      <c r="D88" s="8" t="str">
        <f t="shared" si="86"/>
        <v>B4 PM2 (10 to 14 yrs)</v>
      </c>
      <c r="E88" s="124"/>
      <c r="F88" s="124">
        <f t="shared" si="87"/>
        <v>0</v>
      </c>
      <c r="G88" s="124">
        <f t="shared" si="87"/>
        <v>0</v>
      </c>
      <c r="H88" s="124">
        <f t="shared" si="87"/>
        <v>0</v>
      </c>
      <c r="I88" s="124">
        <f t="shared" si="87"/>
        <v>0</v>
      </c>
      <c r="J88" s="124">
        <f t="shared" si="87"/>
        <v>0</v>
      </c>
      <c r="K88" s="124">
        <f t="shared" si="87"/>
        <v>0</v>
      </c>
      <c r="L88" s="124">
        <f t="shared" si="87"/>
        <v>0</v>
      </c>
      <c r="M88" s="124">
        <f t="shared" si="87"/>
        <v>0</v>
      </c>
      <c r="N88" s="124">
        <f t="shared" si="87"/>
        <v>0</v>
      </c>
      <c r="O88" s="124">
        <f t="shared" si="87"/>
        <v>0</v>
      </c>
      <c r="P88" s="124">
        <f t="shared" si="87"/>
        <v>0</v>
      </c>
      <c r="Q88" s="124"/>
      <c r="R88" s="124">
        <f t="shared" si="94"/>
        <v>0</v>
      </c>
      <c r="S88" s="124">
        <f t="shared" si="88"/>
        <v>0</v>
      </c>
      <c r="T88" s="124">
        <f t="shared" si="88"/>
        <v>0</v>
      </c>
      <c r="U88" s="124">
        <f t="shared" si="88"/>
        <v>0</v>
      </c>
      <c r="V88" s="124">
        <f t="shared" si="88"/>
        <v>0</v>
      </c>
      <c r="W88" s="124">
        <f t="shared" si="88"/>
        <v>0</v>
      </c>
      <c r="X88" s="124">
        <f t="shared" si="88"/>
        <v>0</v>
      </c>
      <c r="Y88" s="124">
        <f t="shared" si="88"/>
        <v>0</v>
      </c>
      <c r="Z88" s="124">
        <f t="shared" si="88"/>
        <v>0</v>
      </c>
      <c r="AA88" s="124">
        <f t="shared" si="88"/>
        <v>0</v>
      </c>
      <c r="AB88" s="124">
        <f t="shared" si="88"/>
        <v>0</v>
      </c>
      <c r="AC88" s="124">
        <f t="shared" si="88"/>
        <v>0</v>
      </c>
      <c r="AD88" s="124"/>
      <c r="AE88" s="124">
        <f t="shared" si="95"/>
        <v>0</v>
      </c>
      <c r="AF88" s="124">
        <f t="shared" si="89"/>
        <v>0</v>
      </c>
      <c r="AG88" s="124">
        <f t="shared" si="89"/>
        <v>0</v>
      </c>
      <c r="AH88" s="124">
        <f t="shared" si="89"/>
        <v>0</v>
      </c>
      <c r="AI88" s="124">
        <f t="shared" si="89"/>
        <v>0</v>
      </c>
      <c r="AJ88" s="124">
        <f t="shared" si="89"/>
        <v>0</v>
      </c>
      <c r="AK88" s="124">
        <f t="shared" si="89"/>
        <v>0</v>
      </c>
      <c r="AL88" s="124">
        <f t="shared" si="89"/>
        <v>0</v>
      </c>
      <c r="AM88" s="124">
        <f t="shared" si="89"/>
        <v>0</v>
      </c>
      <c r="AN88" s="124">
        <f t="shared" si="89"/>
        <v>0</v>
      </c>
      <c r="AO88" s="124">
        <f t="shared" si="89"/>
        <v>0</v>
      </c>
      <c r="AP88" s="124">
        <f t="shared" si="89"/>
        <v>0</v>
      </c>
      <c r="AQ88" s="124"/>
      <c r="AR88" s="124">
        <f t="shared" si="96"/>
        <v>0</v>
      </c>
      <c r="AS88" s="124">
        <f t="shared" si="90"/>
        <v>0</v>
      </c>
      <c r="AT88" s="124">
        <f t="shared" si="90"/>
        <v>0</v>
      </c>
      <c r="AU88" s="124">
        <f t="shared" si="90"/>
        <v>0</v>
      </c>
      <c r="AV88" s="124">
        <f t="shared" si="90"/>
        <v>0</v>
      </c>
      <c r="AW88" s="124">
        <f t="shared" si="90"/>
        <v>0</v>
      </c>
      <c r="AX88" s="124">
        <f t="shared" si="90"/>
        <v>0</v>
      </c>
      <c r="AY88" s="124">
        <f t="shared" si="90"/>
        <v>0</v>
      </c>
      <c r="AZ88" s="124">
        <f t="shared" si="90"/>
        <v>0</v>
      </c>
      <c r="BA88" s="124">
        <f t="shared" si="90"/>
        <v>0</v>
      </c>
      <c r="BB88" s="124">
        <f t="shared" si="90"/>
        <v>0</v>
      </c>
      <c r="BC88" s="124">
        <f t="shared" si="90"/>
        <v>0</v>
      </c>
      <c r="BD88" s="124"/>
      <c r="BE88" s="124">
        <f t="shared" si="97"/>
        <v>0</v>
      </c>
      <c r="BF88" s="124">
        <f t="shared" si="91"/>
        <v>0</v>
      </c>
      <c r="BG88" s="124">
        <f t="shared" si="91"/>
        <v>0</v>
      </c>
      <c r="BH88" s="124">
        <f t="shared" si="91"/>
        <v>0</v>
      </c>
      <c r="BI88" s="124">
        <f t="shared" si="91"/>
        <v>0</v>
      </c>
      <c r="BJ88" s="124">
        <f t="shared" si="91"/>
        <v>0</v>
      </c>
      <c r="BK88" s="124">
        <f t="shared" si="91"/>
        <v>0</v>
      </c>
      <c r="BL88" s="124">
        <f t="shared" si="91"/>
        <v>0</v>
      </c>
      <c r="BM88" s="124">
        <f t="shared" si="91"/>
        <v>0</v>
      </c>
      <c r="BN88" s="124">
        <f t="shared" si="91"/>
        <v>0</v>
      </c>
      <c r="BO88" s="124">
        <f t="shared" si="91"/>
        <v>0</v>
      </c>
      <c r="BP88" s="124">
        <f t="shared" si="91"/>
        <v>0</v>
      </c>
      <c r="BQ88" s="124"/>
      <c r="BR88" s="124">
        <f t="shared" si="98"/>
        <v>0</v>
      </c>
      <c r="BS88" s="124">
        <f t="shared" si="92"/>
        <v>0</v>
      </c>
      <c r="BT88" s="124">
        <f t="shared" si="92"/>
        <v>0</v>
      </c>
      <c r="BU88" s="124">
        <f t="shared" si="92"/>
        <v>0</v>
      </c>
      <c r="BV88" s="124">
        <f t="shared" si="92"/>
        <v>0</v>
      </c>
      <c r="BW88" s="124">
        <f t="shared" si="92"/>
        <v>0</v>
      </c>
      <c r="BX88" s="124">
        <f t="shared" si="92"/>
        <v>0</v>
      </c>
      <c r="BY88" s="124">
        <f t="shared" si="92"/>
        <v>0</v>
      </c>
      <c r="BZ88" s="124">
        <f t="shared" si="92"/>
        <v>0</v>
      </c>
      <c r="CA88" s="124">
        <f t="shared" si="92"/>
        <v>0</v>
      </c>
      <c r="CB88" s="124">
        <f t="shared" si="92"/>
        <v>0</v>
      </c>
      <c r="CC88" s="124">
        <f t="shared" si="92"/>
        <v>0</v>
      </c>
      <c r="CD88" s="125"/>
      <c r="CE88" s="9">
        <f t="shared" si="93"/>
        <v>0</v>
      </c>
      <c r="CF88" s="126"/>
      <c r="CG88" s="9"/>
      <c r="CH88" s="8"/>
      <c r="CI88" s="7"/>
      <c r="CJ88" s="7"/>
      <c r="CK88" s="7"/>
      <c r="CL88" s="7"/>
      <c r="CM88" s="7"/>
      <c r="CN88" s="7"/>
      <c r="CO88" s="7"/>
    </row>
    <row r="89" spans="1:93">
      <c r="A89" s="1">
        <v>5</v>
      </c>
      <c r="B89" s="1">
        <v>3</v>
      </c>
      <c r="C89" s="8" t="str">
        <f t="shared" si="86"/>
        <v>Jr Project Manager</v>
      </c>
      <c r="D89" s="8" t="str">
        <f t="shared" si="86"/>
        <v>B4 PM1 (9 to 12 yrs)</v>
      </c>
      <c r="E89" s="124"/>
      <c r="F89" s="124">
        <f t="shared" si="87"/>
        <v>0</v>
      </c>
      <c r="G89" s="124">
        <f t="shared" si="87"/>
        <v>0</v>
      </c>
      <c r="H89" s="124">
        <f t="shared" si="87"/>
        <v>0</v>
      </c>
      <c r="I89" s="124">
        <f t="shared" si="87"/>
        <v>0</v>
      </c>
      <c r="J89" s="124">
        <f t="shared" si="87"/>
        <v>0</v>
      </c>
      <c r="K89" s="124">
        <f t="shared" si="87"/>
        <v>0</v>
      </c>
      <c r="L89" s="124">
        <f t="shared" si="87"/>
        <v>0</v>
      </c>
      <c r="M89" s="124">
        <f t="shared" si="87"/>
        <v>0</v>
      </c>
      <c r="N89" s="124">
        <f t="shared" si="87"/>
        <v>0</v>
      </c>
      <c r="O89" s="124">
        <f t="shared" si="87"/>
        <v>0</v>
      </c>
      <c r="P89" s="124">
        <f t="shared" si="87"/>
        <v>0</v>
      </c>
      <c r="Q89" s="124"/>
      <c r="R89" s="124">
        <f t="shared" si="94"/>
        <v>0</v>
      </c>
      <c r="S89" s="124">
        <f t="shared" si="88"/>
        <v>0</v>
      </c>
      <c r="T89" s="124">
        <f t="shared" si="88"/>
        <v>0</v>
      </c>
      <c r="U89" s="124">
        <f t="shared" si="88"/>
        <v>0</v>
      </c>
      <c r="V89" s="124">
        <f t="shared" si="88"/>
        <v>0</v>
      </c>
      <c r="W89" s="124">
        <f t="shared" si="88"/>
        <v>0</v>
      </c>
      <c r="X89" s="124">
        <f t="shared" si="88"/>
        <v>0</v>
      </c>
      <c r="Y89" s="124">
        <f t="shared" si="88"/>
        <v>0</v>
      </c>
      <c r="Z89" s="124">
        <f t="shared" si="88"/>
        <v>0</v>
      </c>
      <c r="AA89" s="124">
        <f t="shared" si="88"/>
        <v>0</v>
      </c>
      <c r="AB89" s="124">
        <f t="shared" si="88"/>
        <v>0</v>
      </c>
      <c r="AC89" s="124">
        <f t="shared" si="88"/>
        <v>0</v>
      </c>
      <c r="AD89" s="124"/>
      <c r="AE89" s="124">
        <f t="shared" si="95"/>
        <v>0</v>
      </c>
      <c r="AF89" s="124">
        <f t="shared" si="89"/>
        <v>0</v>
      </c>
      <c r="AG89" s="124">
        <f t="shared" si="89"/>
        <v>0</v>
      </c>
      <c r="AH89" s="124">
        <f t="shared" si="89"/>
        <v>0</v>
      </c>
      <c r="AI89" s="124">
        <f t="shared" si="89"/>
        <v>0</v>
      </c>
      <c r="AJ89" s="124">
        <f t="shared" si="89"/>
        <v>0</v>
      </c>
      <c r="AK89" s="124">
        <f t="shared" si="89"/>
        <v>0</v>
      </c>
      <c r="AL89" s="124">
        <f t="shared" si="89"/>
        <v>0</v>
      </c>
      <c r="AM89" s="124">
        <f t="shared" si="89"/>
        <v>0</v>
      </c>
      <c r="AN89" s="124">
        <f t="shared" si="89"/>
        <v>0</v>
      </c>
      <c r="AO89" s="124">
        <f t="shared" si="89"/>
        <v>0</v>
      </c>
      <c r="AP89" s="124">
        <f t="shared" si="89"/>
        <v>0</v>
      </c>
      <c r="AQ89" s="124"/>
      <c r="AR89" s="124">
        <f t="shared" si="96"/>
        <v>0</v>
      </c>
      <c r="AS89" s="124">
        <f t="shared" si="90"/>
        <v>0</v>
      </c>
      <c r="AT89" s="124">
        <f t="shared" si="90"/>
        <v>0</v>
      </c>
      <c r="AU89" s="124">
        <f t="shared" si="90"/>
        <v>0</v>
      </c>
      <c r="AV89" s="124">
        <f t="shared" si="90"/>
        <v>0</v>
      </c>
      <c r="AW89" s="124">
        <f t="shared" si="90"/>
        <v>0</v>
      </c>
      <c r="AX89" s="124">
        <f t="shared" si="90"/>
        <v>0</v>
      </c>
      <c r="AY89" s="124">
        <f t="shared" si="90"/>
        <v>0</v>
      </c>
      <c r="AZ89" s="124">
        <f t="shared" si="90"/>
        <v>0</v>
      </c>
      <c r="BA89" s="124">
        <f t="shared" si="90"/>
        <v>0</v>
      </c>
      <c r="BB89" s="124">
        <f t="shared" si="90"/>
        <v>0</v>
      </c>
      <c r="BC89" s="124">
        <f t="shared" si="90"/>
        <v>0</v>
      </c>
      <c r="BD89" s="124"/>
      <c r="BE89" s="124">
        <f t="shared" si="97"/>
        <v>0</v>
      </c>
      <c r="BF89" s="124">
        <f t="shared" si="91"/>
        <v>0</v>
      </c>
      <c r="BG89" s="124">
        <f t="shared" si="91"/>
        <v>0</v>
      </c>
      <c r="BH89" s="124">
        <f t="shared" si="91"/>
        <v>0</v>
      </c>
      <c r="BI89" s="124">
        <f t="shared" si="91"/>
        <v>0</v>
      </c>
      <c r="BJ89" s="124">
        <f t="shared" si="91"/>
        <v>0</v>
      </c>
      <c r="BK89" s="124">
        <f t="shared" si="91"/>
        <v>0</v>
      </c>
      <c r="BL89" s="124">
        <f t="shared" si="91"/>
        <v>0</v>
      </c>
      <c r="BM89" s="124">
        <f t="shared" si="91"/>
        <v>0</v>
      </c>
      <c r="BN89" s="124">
        <f t="shared" si="91"/>
        <v>0</v>
      </c>
      <c r="BO89" s="124">
        <f t="shared" si="91"/>
        <v>0</v>
      </c>
      <c r="BP89" s="124">
        <f t="shared" si="91"/>
        <v>0</v>
      </c>
      <c r="BQ89" s="124"/>
      <c r="BR89" s="124">
        <f t="shared" si="98"/>
        <v>0</v>
      </c>
      <c r="BS89" s="124">
        <f t="shared" si="92"/>
        <v>0</v>
      </c>
      <c r="BT89" s="124">
        <f t="shared" si="92"/>
        <v>0</v>
      </c>
      <c r="BU89" s="124">
        <f t="shared" si="92"/>
        <v>0</v>
      </c>
      <c r="BV89" s="124">
        <f t="shared" si="92"/>
        <v>0</v>
      </c>
      <c r="BW89" s="124">
        <f t="shared" si="92"/>
        <v>0</v>
      </c>
      <c r="BX89" s="124">
        <f t="shared" si="92"/>
        <v>0</v>
      </c>
      <c r="BY89" s="124">
        <f t="shared" si="92"/>
        <v>0</v>
      </c>
      <c r="BZ89" s="124">
        <f t="shared" si="92"/>
        <v>0</v>
      </c>
      <c r="CA89" s="124">
        <f t="shared" si="92"/>
        <v>0</v>
      </c>
      <c r="CB89" s="124">
        <f t="shared" si="92"/>
        <v>0</v>
      </c>
      <c r="CC89" s="124">
        <f t="shared" si="92"/>
        <v>0</v>
      </c>
      <c r="CD89" s="125"/>
      <c r="CE89" s="9">
        <f t="shared" si="93"/>
        <v>0</v>
      </c>
      <c r="CF89" s="126"/>
      <c r="CG89" s="9"/>
      <c r="CH89" s="8"/>
      <c r="CI89" s="7"/>
      <c r="CJ89" s="7"/>
      <c r="CK89" s="7"/>
      <c r="CL89" s="7"/>
      <c r="CM89" s="7"/>
      <c r="CN89" s="7"/>
      <c r="CO89" s="7"/>
    </row>
    <row r="90" spans="1:93">
      <c r="A90" s="1">
        <v>5</v>
      </c>
      <c r="B90" s="1">
        <v>4</v>
      </c>
      <c r="C90" s="8" t="str">
        <f t="shared" si="86"/>
        <v>Sr Project Leader</v>
      </c>
      <c r="D90" s="8" t="str">
        <f t="shared" si="86"/>
        <v>B3 PL3 (7 to 10 yrs)</v>
      </c>
      <c r="E90" s="124"/>
      <c r="F90" s="124">
        <f t="shared" si="87"/>
        <v>0</v>
      </c>
      <c r="G90" s="124">
        <f t="shared" si="87"/>
        <v>0</v>
      </c>
      <c r="H90" s="124">
        <f t="shared" si="87"/>
        <v>0</v>
      </c>
      <c r="I90" s="124">
        <f t="shared" si="87"/>
        <v>0</v>
      </c>
      <c r="J90" s="124">
        <f t="shared" si="87"/>
        <v>0</v>
      </c>
      <c r="K90" s="124">
        <f t="shared" si="87"/>
        <v>0</v>
      </c>
      <c r="L90" s="124">
        <f t="shared" si="87"/>
        <v>0</v>
      </c>
      <c r="M90" s="124">
        <f t="shared" si="87"/>
        <v>0</v>
      </c>
      <c r="N90" s="124">
        <f t="shared" si="87"/>
        <v>0</v>
      </c>
      <c r="O90" s="124">
        <f t="shared" si="87"/>
        <v>0</v>
      </c>
      <c r="P90" s="124">
        <f t="shared" si="87"/>
        <v>0</v>
      </c>
      <c r="Q90" s="124"/>
      <c r="R90" s="124">
        <f t="shared" si="94"/>
        <v>0</v>
      </c>
      <c r="S90" s="124">
        <f t="shared" si="88"/>
        <v>0</v>
      </c>
      <c r="T90" s="124">
        <f t="shared" si="88"/>
        <v>0</v>
      </c>
      <c r="U90" s="124">
        <f t="shared" si="88"/>
        <v>0</v>
      </c>
      <c r="V90" s="124">
        <f t="shared" si="88"/>
        <v>0</v>
      </c>
      <c r="W90" s="124">
        <f t="shared" si="88"/>
        <v>0</v>
      </c>
      <c r="X90" s="124">
        <f t="shared" si="88"/>
        <v>0</v>
      </c>
      <c r="Y90" s="124">
        <f t="shared" si="88"/>
        <v>0</v>
      </c>
      <c r="Z90" s="124">
        <f t="shared" si="88"/>
        <v>0</v>
      </c>
      <c r="AA90" s="124">
        <f t="shared" si="88"/>
        <v>0</v>
      </c>
      <c r="AB90" s="124">
        <f t="shared" si="88"/>
        <v>0</v>
      </c>
      <c r="AC90" s="124">
        <f t="shared" si="88"/>
        <v>0</v>
      </c>
      <c r="AD90" s="124"/>
      <c r="AE90" s="124">
        <f t="shared" si="95"/>
        <v>0</v>
      </c>
      <c r="AF90" s="124">
        <f t="shared" si="89"/>
        <v>0</v>
      </c>
      <c r="AG90" s="124">
        <f t="shared" si="89"/>
        <v>0</v>
      </c>
      <c r="AH90" s="124">
        <f t="shared" si="89"/>
        <v>0</v>
      </c>
      <c r="AI90" s="124">
        <f t="shared" si="89"/>
        <v>0</v>
      </c>
      <c r="AJ90" s="124">
        <f t="shared" si="89"/>
        <v>0</v>
      </c>
      <c r="AK90" s="124">
        <f t="shared" si="89"/>
        <v>0</v>
      </c>
      <c r="AL90" s="124">
        <f t="shared" si="89"/>
        <v>0</v>
      </c>
      <c r="AM90" s="124">
        <f t="shared" si="89"/>
        <v>0</v>
      </c>
      <c r="AN90" s="124">
        <f t="shared" si="89"/>
        <v>0</v>
      </c>
      <c r="AO90" s="124">
        <f t="shared" si="89"/>
        <v>0</v>
      </c>
      <c r="AP90" s="124">
        <f t="shared" si="89"/>
        <v>0</v>
      </c>
      <c r="AQ90" s="124"/>
      <c r="AR90" s="124">
        <f t="shared" si="96"/>
        <v>0</v>
      </c>
      <c r="AS90" s="124">
        <f t="shared" si="90"/>
        <v>0</v>
      </c>
      <c r="AT90" s="124">
        <f t="shared" si="90"/>
        <v>0</v>
      </c>
      <c r="AU90" s="124">
        <f t="shared" si="90"/>
        <v>0</v>
      </c>
      <c r="AV90" s="124">
        <f t="shared" si="90"/>
        <v>0</v>
      </c>
      <c r="AW90" s="124">
        <f t="shared" si="90"/>
        <v>0</v>
      </c>
      <c r="AX90" s="124">
        <f t="shared" si="90"/>
        <v>0</v>
      </c>
      <c r="AY90" s="124">
        <f t="shared" si="90"/>
        <v>0</v>
      </c>
      <c r="AZ90" s="124">
        <f t="shared" si="90"/>
        <v>0</v>
      </c>
      <c r="BA90" s="124">
        <f t="shared" si="90"/>
        <v>0</v>
      </c>
      <c r="BB90" s="124">
        <f t="shared" si="90"/>
        <v>0</v>
      </c>
      <c r="BC90" s="124">
        <f t="shared" si="90"/>
        <v>0</v>
      </c>
      <c r="BD90" s="124"/>
      <c r="BE90" s="124">
        <f t="shared" si="97"/>
        <v>0</v>
      </c>
      <c r="BF90" s="124">
        <f t="shared" si="91"/>
        <v>0</v>
      </c>
      <c r="BG90" s="124">
        <f t="shared" si="91"/>
        <v>0</v>
      </c>
      <c r="BH90" s="124">
        <f t="shared" si="91"/>
        <v>0</v>
      </c>
      <c r="BI90" s="124">
        <f t="shared" si="91"/>
        <v>0</v>
      </c>
      <c r="BJ90" s="124">
        <f t="shared" si="91"/>
        <v>0</v>
      </c>
      <c r="BK90" s="124">
        <f t="shared" si="91"/>
        <v>0</v>
      </c>
      <c r="BL90" s="124">
        <f t="shared" si="91"/>
        <v>0</v>
      </c>
      <c r="BM90" s="124">
        <f t="shared" si="91"/>
        <v>0</v>
      </c>
      <c r="BN90" s="124">
        <f t="shared" si="91"/>
        <v>0</v>
      </c>
      <c r="BO90" s="124">
        <f t="shared" si="91"/>
        <v>0</v>
      </c>
      <c r="BP90" s="124">
        <f t="shared" si="91"/>
        <v>0</v>
      </c>
      <c r="BQ90" s="124"/>
      <c r="BR90" s="124">
        <f t="shared" si="98"/>
        <v>0</v>
      </c>
      <c r="BS90" s="124">
        <f t="shared" si="92"/>
        <v>0</v>
      </c>
      <c r="BT90" s="124">
        <f t="shared" si="92"/>
        <v>0</v>
      </c>
      <c r="BU90" s="124">
        <f t="shared" si="92"/>
        <v>0</v>
      </c>
      <c r="BV90" s="124">
        <f t="shared" si="92"/>
        <v>0</v>
      </c>
      <c r="BW90" s="124">
        <f t="shared" si="92"/>
        <v>0</v>
      </c>
      <c r="BX90" s="124">
        <f t="shared" si="92"/>
        <v>0</v>
      </c>
      <c r="BY90" s="124">
        <f t="shared" si="92"/>
        <v>0</v>
      </c>
      <c r="BZ90" s="124">
        <f t="shared" si="92"/>
        <v>0</v>
      </c>
      <c r="CA90" s="124">
        <f t="shared" si="92"/>
        <v>0</v>
      </c>
      <c r="CB90" s="124">
        <f t="shared" si="92"/>
        <v>0</v>
      </c>
      <c r="CC90" s="124">
        <f t="shared" si="92"/>
        <v>0</v>
      </c>
      <c r="CD90" s="125"/>
      <c r="CE90" s="9">
        <f t="shared" si="93"/>
        <v>0</v>
      </c>
      <c r="CF90" s="126"/>
      <c r="CG90" s="9"/>
      <c r="CH90" s="8"/>
      <c r="CI90" s="7"/>
      <c r="CJ90" s="7"/>
      <c r="CK90" s="7"/>
      <c r="CL90" s="7"/>
      <c r="CM90" s="7"/>
      <c r="CN90" s="7"/>
      <c r="CO90" s="7"/>
    </row>
    <row r="91" spans="1:93">
      <c r="A91" s="1">
        <v>5</v>
      </c>
      <c r="B91" s="1">
        <v>5</v>
      </c>
      <c r="C91" s="8" t="str">
        <f t="shared" si="86"/>
        <v>Project Leader</v>
      </c>
      <c r="D91" s="8" t="str">
        <f t="shared" si="86"/>
        <v>B3 PL2 (6 to 8 yrs)</v>
      </c>
      <c r="E91" s="124"/>
      <c r="F91" s="124">
        <f t="shared" si="87"/>
        <v>0</v>
      </c>
      <c r="G91" s="124">
        <f t="shared" si="87"/>
        <v>0</v>
      </c>
      <c r="H91" s="124">
        <f t="shared" si="87"/>
        <v>0</v>
      </c>
      <c r="I91" s="124">
        <f t="shared" si="87"/>
        <v>0</v>
      </c>
      <c r="J91" s="124">
        <f t="shared" si="87"/>
        <v>0</v>
      </c>
      <c r="K91" s="124">
        <f t="shared" si="87"/>
        <v>0</v>
      </c>
      <c r="L91" s="124">
        <f t="shared" si="87"/>
        <v>0</v>
      </c>
      <c r="M91" s="124">
        <f t="shared" si="87"/>
        <v>0</v>
      </c>
      <c r="N91" s="124">
        <f t="shared" si="87"/>
        <v>0</v>
      </c>
      <c r="O91" s="124">
        <f t="shared" si="87"/>
        <v>0</v>
      </c>
      <c r="P91" s="124">
        <f t="shared" si="87"/>
        <v>0</v>
      </c>
      <c r="Q91" s="124"/>
      <c r="R91" s="124">
        <f t="shared" si="94"/>
        <v>0</v>
      </c>
      <c r="S91" s="124">
        <f t="shared" si="88"/>
        <v>0</v>
      </c>
      <c r="T91" s="124">
        <f t="shared" si="88"/>
        <v>0</v>
      </c>
      <c r="U91" s="124">
        <f t="shared" si="88"/>
        <v>0</v>
      </c>
      <c r="V91" s="124">
        <f t="shared" si="88"/>
        <v>0</v>
      </c>
      <c r="W91" s="124">
        <f t="shared" si="88"/>
        <v>0</v>
      </c>
      <c r="X91" s="124">
        <f t="shared" si="88"/>
        <v>0</v>
      </c>
      <c r="Y91" s="124">
        <f t="shared" si="88"/>
        <v>0</v>
      </c>
      <c r="Z91" s="124">
        <f t="shared" si="88"/>
        <v>0</v>
      </c>
      <c r="AA91" s="124">
        <f t="shared" si="88"/>
        <v>0</v>
      </c>
      <c r="AB91" s="124">
        <f t="shared" si="88"/>
        <v>0</v>
      </c>
      <c r="AC91" s="124">
        <f t="shared" si="88"/>
        <v>0</v>
      </c>
      <c r="AD91" s="124"/>
      <c r="AE91" s="124">
        <f t="shared" si="95"/>
        <v>0</v>
      </c>
      <c r="AF91" s="124">
        <f t="shared" si="89"/>
        <v>0</v>
      </c>
      <c r="AG91" s="124">
        <f t="shared" si="89"/>
        <v>0</v>
      </c>
      <c r="AH91" s="124">
        <f t="shared" si="89"/>
        <v>0</v>
      </c>
      <c r="AI91" s="124">
        <f t="shared" si="89"/>
        <v>0</v>
      </c>
      <c r="AJ91" s="124">
        <f t="shared" si="89"/>
        <v>0</v>
      </c>
      <c r="AK91" s="124">
        <f t="shared" si="89"/>
        <v>0</v>
      </c>
      <c r="AL91" s="124">
        <f t="shared" si="89"/>
        <v>0</v>
      </c>
      <c r="AM91" s="124">
        <f t="shared" si="89"/>
        <v>0</v>
      </c>
      <c r="AN91" s="124">
        <f t="shared" si="89"/>
        <v>0</v>
      </c>
      <c r="AO91" s="124">
        <f t="shared" si="89"/>
        <v>0</v>
      </c>
      <c r="AP91" s="124">
        <f t="shared" si="89"/>
        <v>0</v>
      </c>
      <c r="AQ91" s="124"/>
      <c r="AR91" s="124">
        <f t="shared" si="96"/>
        <v>0</v>
      </c>
      <c r="AS91" s="124">
        <f t="shared" si="90"/>
        <v>0</v>
      </c>
      <c r="AT91" s="124">
        <f t="shared" si="90"/>
        <v>0</v>
      </c>
      <c r="AU91" s="124">
        <f t="shared" si="90"/>
        <v>0</v>
      </c>
      <c r="AV91" s="124">
        <f t="shared" si="90"/>
        <v>0</v>
      </c>
      <c r="AW91" s="124">
        <f t="shared" si="90"/>
        <v>0</v>
      </c>
      <c r="AX91" s="124">
        <f t="shared" si="90"/>
        <v>0</v>
      </c>
      <c r="AY91" s="124">
        <f t="shared" si="90"/>
        <v>0</v>
      </c>
      <c r="AZ91" s="124">
        <f t="shared" si="90"/>
        <v>0</v>
      </c>
      <c r="BA91" s="124">
        <f t="shared" si="90"/>
        <v>0</v>
      </c>
      <c r="BB91" s="124">
        <f t="shared" si="90"/>
        <v>0</v>
      </c>
      <c r="BC91" s="124">
        <f t="shared" si="90"/>
        <v>0</v>
      </c>
      <c r="BD91" s="124"/>
      <c r="BE91" s="124">
        <f t="shared" si="97"/>
        <v>0</v>
      </c>
      <c r="BF91" s="124">
        <f t="shared" si="91"/>
        <v>0</v>
      </c>
      <c r="BG91" s="124">
        <f t="shared" si="91"/>
        <v>0</v>
      </c>
      <c r="BH91" s="124">
        <f t="shared" si="91"/>
        <v>0</v>
      </c>
      <c r="BI91" s="124">
        <f t="shared" si="91"/>
        <v>0</v>
      </c>
      <c r="BJ91" s="124">
        <f t="shared" si="91"/>
        <v>0</v>
      </c>
      <c r="BK91" s="124">
        <f t="shared" si="91"/>
        <v>0</v>
      </c>
      <c r="BL91" s="124">
        <f t="shared" si="91"/>
        <v>0</v>
      </c>
      <c r="BM91" s="124">
        <f t="shared" si="91"/>
        <v>0</v>
      </c>
      <c r="BN91" s="124">
        <f t="shared" si="91"/>
        <v>0</v>
      </c>
      <c r="BO91" s="124">
        <f t="shared" si="91"/>
        <v>0</v>
      </c>
      <c r="BP91" s="124">
        <f t="shared" si="91"/>
        <v>0</v>
      </c>
      <c r="BQ91" s="124"/>
      <c r="BR91" s="124">
        <f t="shared" si="98"/>
        <v>0</v>
      </c>
      <c r="BS91" s="124">
        <f t="shared" si="92"/>
        <v>0</v>
      </c>
      <c r="BT91" s="124">
        <f t="shared" si="92"/>
        <v>0</v>
      </c>
      <c r="BU91" s="124">
        <f t="shared" si="92"/>
        <v>0</v>
      </c>
      <c r="BV91" s="124">
        <f t="shared" si="92"/>
        <v>0</v>
      </c>
      <c r="BW91" s="124">
        <f t="shared" si="92"/>
        <v>0</v>
      </c>
      <c r="BX91" s="124">
        <f t="shared" si="92"/>
        <v>0</v>
      </c>
      <c r="BY91" s="124">
        <f t="shared" si="92"/>
        <v>0</v>
      </c>
      <c r="BZ91" s="124">
        <f t="shared" si="92"/>
        <v>0</v>
      </c>
      <c r="CA91" s="124">
        <f t="shared" si="92"/>
        <v>0</v>
      </c>
      <c r="CB91" s="124">
        <f t="shared" si="92"/>
        <v>0</v>
      </c>
      <c r="CC91" s="124">
        <f t="shared" si="92"/>
        <v>0</v>
      </c>
      <c r="CD91" s="125"/>
      <c r="CE91" s="9">
        <f t="shared" si="93"/>
        <v>0</v>
      </c>
      <c r="CF91" s="126"/>
      <c r="CG91" s="9"/>
      <c r="CH91" s="8"/>
      <c r="CI91" s="7"/>
      <c r="CJ91" s="7"/>
      <c r="CK91" s="7"/>
      <c r="CL91" s="7"/>
      <c r="CM91" s="7"/>
      <c r="CN91" s="7"/>
      <c r="CO91" s="7"/>
    </row>
    <row r="92" spans="1:93">
      <c r="A92" s="1">
        <v>5</v>
      </c>
      <c r="B92" s="1">
        <v>6</v>
      </c>
      <c r="C92" s="8" t="str">
        <f t="shared" si="86"/>
        <v>Jr Project Leader</v>
      </c>
      <c r="D92" s="8" t="str">
        <f t="shared" si="86"/>
        <v>B3 PL1 (5 to 7 yrs)</v>
      </c>
      <c r="E92" s="124"/>
      <c r="F92" s="124">
        <f t="shared" si="87"/>
        <v>0</v>
      </c>
      <c r="G92" s="124">
        <f t="shared" si="87"/>
        <v>0</v>
      </c>
      <c r="H92" s="124">
        <f t="shared" si="87"/>
        <v>0</v>
      </c>
      <c r="I92" s="124">
        <f t="shared" si="87"/>
        <v>0</v>
      </c>
      <c r="J92" s="124">
        <f t="shared" si="87"/>
        <v>0</v>
      </c>
      <c r="K92" s="124">
        <f t="shared" si="87"/>
        <v>0</v>
      </c>
      <c r="L92" s="124">
        <f t="shared" si="87"/>
        <v>0</v>
      </c>
      <c r="M92" s="124">
        <f t="shared" si="87"/>
        <v>0</v>
      </c>
      <c r="N92" s="124">
        <f t="shared" si="87"/>
        <v>0</v>
      </c>
      <c r="O92" s="124">
        <f t="shared" si="87"/>
        <v>0</v>
      </c>
      <c r="P92" s="124">
        <f t="shared" si="87"/>
        <v>0</v>
      </c>
      <c r="Q92" s="124"/>
      <c r="R92" s="124">
        <f t="shared" si="94"/>
        <v>0</v>
      </c>
      <c r="S92" s="124">
        <f t="shared" si="88"/>
        <v>0</v>
      </c>
      <c r="T92" s="124">
        <f t="shared" si="88"/>
        <v>0</v>
      </c>
      <c r="U92" s="124">
        <f t="shared" si="88"/>
        <v>0</v>
      </c>
      <c r="V92" s="124">
        <f t="shared" si="88"/>
        <v>0</v>
      </c>
      <c r="W92" s="124">
        <f t="shared" si="88"/>
        <v>0</v>
      </c>
      <c r="X92" s="124">
        <f t="shared" si="88"/>
        <v>0</v>
      </c>
      <c r="Y92" s="124">
        <f t="shared" si="88"/>
        <v>0</v>
      </c>
      <c r="Z92" s="124">
        <f t="shared" si="88"/>
        <v>0</v>
      </c>
      <c r="AA92" s="124">
        <f t="shared" si="88"/>
        <v>0</v>
      </c>
      <c r="AB92" s="124">
        <f t="shared" si="88"/>
        <v>0</v>
      </c>
      <c r="AC92" s="124">
        <f t="shared" si="88"/>
        <v>0</v>
      </c>
      <c r="AD92" s="124"/>
      <c r="AE92" s="124">
        <f t="shared" si="95"/>
        <v>0</v>
      </c>
      <c r="AF92" s="124">
        <f t="shared" si="89"/>
        <v>0</v>
      </c>
      <c r="AG92" s="124">
        <f t="shared" si="89"/>
        <v>0</v>
      </c>
      <c r="AH92" s="124">
        <f t="shared" si="89"/>
        <v>0</v>
      </c>
      <c r="AI92" s="124">
        <f t="shared" si="89"/>
        <v>0</v>
      </c>
      <c r="AJ92" s="124">
        <f t="shared" si="89"/>
        <v>0</v>
      </c>
      <c r="AK92" s="124">
        <f t="shared" si="89"/>
        <v>0</v>
      </c>
      <c r="AL92" s="124">
        <f t="shared" si="89"/>
        <v>0</v>
      </c>
      <c r="AM92" s="124">
        <f t="shared" si="89"/>
        <v>0</v>
      </c>
      <c r="AN92" s="124">
        <f t="shared" si="89"/>
        <v>0</v>
      </c>
      <c r="AO92" s="124">
        <f t="shared" si="89"/>
        <v>0</v>
      </c>
      <c r="AP92" s="124">
        <f t="shared" si="89"/>
        <v>0</v>
      </c>
      <c r="AQ92" s="124"/>
      <c r="AR92" s="124">
        <f t="shared" si="96"/>
        <v>0</v>
      </c>
      <c r="AS92" s="124">
        <f t="shared" si="90"/>
        <v>0</v>
      </c>
      <c r="AT92" s="124">
        <f t="shared" si="90"/>
        <v>0</v>
      </c>
      <c r="AU92" s="124">
        <f t="shared" si="90"/>
        <v>0</v>
      </c>
      <c r="AV92" s="124">
        <f t="shared" si="90"/>
        <v>0</v>
      </c>
      <c r="AW92" s="124">
        <f t="shared" si="90"/>
        <v>0</v>
      </c>
      <c r="AX92" s="124">
        <f t="shared" si="90"/>
        <v>0</v>
      </c>
      <c r="AY92" s="124">
        <f t="shared" si="90"/>
        <v>0</v>
      </c>
      <c r="AZ92" s="124">
        <f t="shared" si="90"/>
        <v>0</v>
      </c>
      <c r="BA92" s="124">
        <f t="shared" si="90"/>
        <v>0</v>
      </c>
      <c r="BB92" s="124">
        <f t="shared" si="90"/>
        <v>0</v>
      </c>
      <c r="BC92" s="124">
        <f t="shared" si="90"/>
        <v>0</v>
      </c>
      <c r="BD92" s="124"/>
      <c r="BE92" s="124">
        <f t="shared" si="97"/>
        <v>0</v>
      </c>
      <c r="BF92" s="124">
        <f t="shared" si="91"/>
        <v>0</v>
      </c>
      <c r="BG92" s="124">
        <f t="shared" si="91"/>
        <v>0</v>
      </c>
      <c r="BH92" s="124">
        <f t="shared" si="91"/>
        <v>0</v>
      </c>
      <c r="BI92" s="124">
        <f t="shared" si="91"/>
        <v>0</v>
      </c>
      <c r="BJ92" s="124">
        <f t="shared" si="91"/>
        <v>0</v>
      </c>
      <c r="BK92" s="124">
        <f t="shared" si="91"/>
        <v>0</v>
      </c>
      <c r="BL92" s="124">
        <f t="shared" si="91"/>
        <v>0</v>
      </c>
      <c r="BM92" s="124">
        <f t="shared" si="91"/>
        <v>0</v>
      </c>
      <c r="BN92" s="124">
        <f t="shared" si="91"/>
        <v>0</v>
      </c>
      <c r="BO92" s="124">
        <f t="shared" si="91"/>
        <v>0</v>
      </c>
      <c r="BP92" s="124">
        <f t="shared" si="91"/>
        <v>0</v>
      </c>
      <c r="BQ92" s="124"/>
      <c r="BR92" s="124">
        <f t="shared" si="98"/>
        <v>0</v>
      </c>
      <c r="BS92" s="124">
        <f t="shared" si="92"/>
        <v>0</v>
      </c>
      <c r="BT92" s="124">
        <f t="shared" si="92"/>
        <v>0</v>
      </c>
      <c r="BU92" s="124">
        <f t="shared" si="92"/>
        <v>0</v>
      </c>
      <c r="BV92" s="124">
        <f t="shared" si="92"/>
        <v>0</v>
      </c>
      <c r="BW92" s="124">
        <f t="shared" si="92"/>
        <v>0</v>
      </c>
      <c r="BX92" s="124">
        <f t="shared" si="92"/>
        <v>0</v>
      </c>
      <c r="BY92" s="124">
        <f t="shared" si="92"/>
        <v>0</v>
      </c>
      <c r="BZ92" s="124">
        <f t="shared" si="92"/>
        <v>0</v>
      </c>
      <c r="CA92" s="124">
        <f t="shared" si="92"/>
        <v>0</v>
      </c>
      <c r="CB92" s="124">
        <f t="shared" si="92"/>
        <v>0</v>
      </c>
      <c r="CC92" s="124">
        <f t="shared" si="92"/>
        <v>0</v>
      </c>
      <c r="CD92" s="125"/>
      <c r="CE92" s="9">
        <f t="shared" si="93"/>
        <v>0</v>
      </c>
      <c r="CF92" s="126"/>
      <c r="CG92" s="9"/>
      <c r="CH92" s="8"/>
      <c r="CI92" s="7"/>
      <c r="CJ92" s="7"/>
      <c r="CK92" s="7"/>
      <c r="CL92" s="7"/>
      <c r="CM92" s="7"/>
      <c r="CN92" s="7"/>
      <c r="CO92" s="7"/>
    </row>
    <row r="93" spans="1:93">
      <c r="A93" s="1">
        <v>5</v>
      </c>
      <c r="B93" s="1">
        <v>7</v>
      </c>
      <c r="C93" s="8" t="str">
        <f t="shared" si="86"/>
        <v>Sr Developer</v>
      </c>
      <c r="D93" s="8" t="str">
        <f t="shared" si="86"/>
        <v>B2 AP3 (3 to 5 yrs)</v>
      </c>
      <c r="E93" s="124"/>
      <c r="F93" s="124">
        <f t="shared" si="87"/>
        <v>0</v>
      </c>
      <c r="G93" s="124">
        <f t="shared" si="87"/>
        <v>0</v>
      </c>
      <c r="H93" s="124">
        <f t="shared" si="87"/>
        <v>0</v>
      </c>
      <c r="I93" s="124">
        <f t="shared" si="87"/>
        <v>0</v>
      </c>
      <c r="J93" s="124">
        <f t="shared" si="87"/>
        <v>0</v>
      </c>
      <c r="K93" s="124">
        <f>J93</f>
        <v>0</v>
      </c>
      <c r="L93" s="124">
        <f t="shared" si="87"/>
        <v>0</v>
      </c>
      <c r="M93" s="124">
        <f t="shared" si="87"/>
        <v>0</v>
      </c>
      <c r="N93" s="124">
        <f t="shared" si="87"/>
        <v>0</v>
      </c>
      <c r="O93" s="124">
        <f t="shared" si="87"/>
        <v>0</v>
      </c>
      <c r="P93" s="124">
        <f t="shared" si="87"/>
        <v>0</v>
      </c>
      <c r="Q93" s="124"/>
      <c r="R93" s="124">
        <f t="shared" si="94"/>
        <v>0</v>
      </c>
      <c r="S93" s="124">
        <f t="shared" si="88"/>
        <v>0</v>
      </c>
      <c r="T93" s="124">
        <f t="shared" si="88"/>
        <v>0</v>
      </c>
      <c r="U93" s="124">
        <f t="shared" si="88"/>
        <v>0</v>
      </c>
      <c r="V93" s="124">
        <f>U93</f>
        <v>0</v>
      </c>
      <c r="W93" s="124">
        <f t="shared" si="88"/>
        <v>0</v>
      </c>
      <c r="X93" s="124">
        <f t="shared" si="88"/>
        <v>0</v>
      </c>
      <c r="Y93" s="124">
        <f t="shared" si="88"/>
        <v>0</v>
      </c>
      <c r="Z93" s="124">
        <f t="shared" si="88"/>
        <v>0</v>
      </c>
      <c r="AA93" s="124">
        <f t="shared" si="88"/>
        <v>0</v>
      </c>
      <c r="AB93" s="124">
        <f t="shared" si="88"/>
        <v>0</v>
      </c>
      <c r="AC93" s="124">
        <f t="shared" si="88"/>
        <v>0</v>
      </c>
      <c r="AD93" s="124"/>
      <c r="AE93" s="124">
        <f t="shared" si="95"/>
        <v>0</v>
      </c>
      <c r="AF93" s="124">
        <f t="shared" si="89"/>
        <v>0</v>
      </c>
      <c r="AG93" s="124">
        <f t="shared" si="89"/>
        <v>0</v>
      </c>
      <c r="AH93" s="124">
        <f t="shared" si="89"/>
        <v>0</v>
      </c>
      <c r="AI93" s="124">
        <f t="shared" si="89"/>
        <v>0</v>
      </c>
      <c r="AJ93" s="124">
        <f t="shared" si="89"/>
        <v>0</v>
      </c>
      <c r="AK93" s="124">
        <f t="shared" si="89"/>
        <v>0</v>
      </c>
      <c r="AL93" s="124">
        <f t="shared" si="89"/>
        <v>0</v>
      </c>
      <c r="AM93" s="124">
        <f t="shared" si="89"/>
        <v>0</v>
      </c>
      <c r="AN93" s="124">
        <f t="shared" si="89"/>
        <v>0</v>
      </c>
      <c r="AO93" s="124">
        <f t="shared" si="89"/>
        <v>0</v>
      </c>
      <c r="AP93" s="124">
        <f t="shared" si="89"/>
        <v>0</v>
      </c>
      <c r="AQ93" s="124"/>
      <c r="AR93" s="124">
        <f t="shared" si="96"/>
        <v>0</v>
      </c>
      <c r="AS93" s="124">
        <f t="shared" si="90"/>
        <v>0</v>
      </c>
      <c r="AT93" s="124">
        <f t="shared" si="90"/>
        <v>0</v>
      </c>
      <c r="AU93" s="124">
        <f t="shared" si="90"/>
        <v>0</v>
      </c>
      <c r="AV93" s="124">
        <f t="shared" si="90"/>
        <v>0</v>
      </c>
      <c r="AW93" s="124">
        <f t="shared" si="90"/>
        <v>0</v>
      </c>
      <c r="AX93" s="124">
        <f t="shared" si="90"/>
        <v>0</v>
      </c>
      <c r="AY93" s="124">
        <f t="shared" si="90"/>
        <v>0</v>
      </c>
      <c r="AZ93" s="124">
        <f t="shared" si="90"/>
        <v>0</v>
      </c>
      <c r="BA93" s="124">
        <f t="shared" si="90"/>
        <v>0</v>
      </c>
      <c r="BB93" s="124">
        <f t="shared" si="90"/>
        <v>0</v>
      </c>
      <c r="BC93" s="124">
        <f t="shared" si="90"/>
        <v>0</v>
      </c>
      <c r="BD93" s="124"/>
      <c r="BE93" s="124">
        <f t="shared" si="97"/>
        <v>0</v>
      </c>
      <c r="BF93" s="124">
        <f t="shared" si="91"/>
        <v>0</v>
      </c>
      <c r="BG93" s="124">
        <f t="shared" si="91"/>
        <v>0</v>
      </c>
      <c r="BH93" s="124">
        <f t="shared" si="91"/>
        <v>0</v>
      </c>
      <c r="BI93" s="124">
        <f t="shared" si="91"/>
        <v>0</v>
      </c>
      <c r="BJ93" s="124">
        <f t="shared" si="91"/>
        <v>0</v>
      </c>
      <c r="BK93" s="124">
        <f t="shared" si="91"/>
        <v>0</v>
      </c>
      <c r="BL93" s="124">
        <f t="shared" si="91"/>
        <v>0</v>
      </c>
      <c r="BM93" s="124">
        <f t="shared" si="91"/>
        <v>0</v>
      </c>
      <c r="BN93" s="124">
        <f t="shared" si="91"/>
        <v>0</v>
      </c>
      <c r="BO93" s="124">
        <f t="shared" si="91"/>
        <v>0</v>
      </c>
      <c r="BP93" s="124">
        <f t="shared" si="91"/>
        <v>0</v>
      </c>
      <c r="BQ93" s="124"/>
      <c r="BR93" s="124">
        <f t="shared" si="98"/>
        <v>0</v>
      </c>
      <c r="BS93" s="124">
        <f t="shared" si="92"/>
        <v>0</v>
      </c>
      <c r="BT93" s="124">
        <f t="shared" si="92"/>
        <v>0</v>
      </c>
      <c r="BU93" s="124">
        <f t="shared" si="92"/>
        <v>0</v>
      </c>
      <c r="BV93" s="124">
        <f t="shared" si="92"/>
        <v>0</v>
      </c>
      <c r="BW93" s="124">
        <f t="shared" si="92"/>
        <v>0</v>
      </c>
      <c r="BX93" s="124">
        <f t="shared" si="92"/>
        <v>0</v>
      </c>
      <c r="BY93" s="124">
        <f t="shared" si="92"/>
        <v>0</v>
      </c>
      <c r="BZ93" s="124">
        <f t="shared" si="92"/>
        <v>0</v>
      </c>
      <c r="CA93" s="124">
        <f t="shared" si="92"/>
        <v>0</v>
      </c>
      <c r="CB93" s="124">
        <f t="shared" si="92"/>
        <v>0</v>
      </c>
      <c r="CC93" s="124">
        <f t="shared" si="92"/>
        <v>0</v>
      </c>
      <c r="CD93" s="125"/>
      <c r="CE93" s="9">
        <f t="shared" si="93"/>
        <v>0</v>
      </c>
      <c r="CF93" s="126"/>
      <c r="CG93" s="9"/>
      <c r="CH93" s="8"/>
      <c r="CI93" s="7"/>
      <c r="CJ93" s="7"/>
      <c r="CK93" s="7"/>
      <c r="CL93" s="7"/>
      <c r="CM93" s="7"/>
      <c r="CN93" s="7"/>
      <c r="CO93" s="7"/>
    </row>
    <row r="94" spans="1:93">
      <c r="A94" s="1">
        <v>5</v>
      </c>
      <c r="B94" s="1">
        <v>8</v>
      </c>
      <c r="C94" s="8" t="str">
        <f t="shared" si="86"/>
        <v>Jr Developer</v>
      </c>
      <c r="D94" s="8" t="str">
        <f t="shared" si="86"/>
        <v>B2 AP2 (0.6 to 3 yrs)</v>
      </c>
      <c r="E94" s="124"/>
      <c r="F94" s="124">
        <f t="shared" si="87"/>
        <v>0</v>
      </c>
      <c r="G94" s="124">
        <f t="shared" si="87"/>
        <v>0</v>
      </c>
      <c r="H94" s="124">
        <f t="shared" si="87"/>
        <v>0</v>
      </c>
      <c r="I94" s="124">
        <f t="shared" si="87"/>
        <v>0</v>
      </c>
      <c r="J94" s="124">
        <f t="shared" si="87"/>
        <v>0</v>
      </c>
      <c r="K94" s="124">
        <f>J94</f>
        <v>0</v>
      </c>
      <c r="L94" s="124">
        <f t="shared" si="87"/>
        <v>0</v>
      </c>
      <c r="M94" s="124">
        <f t="shared" si="87"/>
        <v>0</v>
      </c>
      <c r="N94" s="124">
        <f t="shared" si="87"/>
        <v>0</v>
      </c>
      <c r="O94" s="124">
        <f t="shared" si="87"/>
        <v>0</v>
      </c>
      <c r="P94" s="124">
        <f t="shared" si="87"/>
        <v>0</v>
      </c>
      <c r="Q94" s="124"/>
      <c r="R94" s="124">
        <f t="shared" si="94"/>
        <v>0</v>
      </c>
      <c r="S94" s="124">
        <f t="shared" si="88"/>
        <v>0</v>
      </c>
      <c r="T94" s="124">
        <f t="shared" si="88"/>
        <v>0</v>
      </c>
      <c r="U94" s="124">
        <f t="shared" si="88"/>
        <v>0</v>
      </c>
      <c r="V94" s="124">
        <f>U94</f>
        <v>0</v>
      </c>
      <c r="W94" s="124">
        <f t="shared" si="88"/>
        <v>0</v>
      </c>
      <c r="X94" s="124">
        <f t="shared" si="88"/>
        <v>0</v>
      </c>
      <c r="Y94" s="124">
        <f t="shared" si="88"/>
        <v>0</v>
      </c>
      <c r="Z94" s="124">
        <f t="shared" si="88"/>
        <v>0</v>
      </c>
      <c r="AA94" s="124">
        <f t="shared" si="88"/>
        <v>0</v>
      </c>
      <c r="AB94" s="124">
        <f t="shared" si="88"/>
        <v>0</v>
      </c>
      <c r="AC94" s="124">
        <f t="shared" si="88"/>
        <v>0</v>
      </c>
      <c r="AD94" s="124"/>
      <c r="AE94" s="124">
        <f t="shared" si="95"/>
        <v>0</v>
      </c>
      <c r="AF94" s="124">
        <f t="shared" si="89"/>
        <v>0</v>
      </c>
      <c r="AG94" s="124">
        <f t="shared" si="89"/>
        <v>0</v>
      </c>
      <c r="AH94" s="124">
        <f t="shared" si="89"/>
        <v>0</v>
      </c>
      <c r="AI94" s="124">
        <f t="shared" si="89"/>
        <v>0</v>
      </c>
      <c r="AJ94" s="124">
        <f t="shared" si="89"/>
        <v>0</v>
      </c>
      <c r="AK94" s="124">
        <f t="shared" si="89"/>
        <v>0</v>
      </c>
      <c r="AL94" s="124">
        <f t="shared" si="89"/>
        <v>0</v>
      </c>
      <c r="AM94" s="124">
        <f t="shared" si="89"/>
        <v>0</v>
      </c>
      <c r="AN94" s="124">
        <f t="shared" si="89"/>
        <v>0</v>
      </c>
      <c r="AO94" s="124">
        <f t="shared" si="89"/>
        <v>0</v>
      </c>
      <c r="AP94" s="124">
        <f t="shared" si="89"/>
        <v>0</v>
      </c>
      <c r="AQ94" s="124"/>
      <c r="AR94" s="124">
        <f t="shared" si="96"/>
        <v>0</v>
      </c>
      <c r="AS94" s="124">
        <f t="shared" si="90"/>
        <v>0</v>
      </c>
      <c r="AT94" s="124">
        <f t="shared" si="90"/>
        <v>0</v>
      </c>
      <c r="AU94" s="124">
        <f t="shared" si="90"/>
        <v>0</v>
      </c>
      <c r="AV94" s="124">
        <f t="shared" si="90"/>
        <v>0</v>
      </c>
      <c r="AW94" s="124">
        <f t="shared" si="90"/>
        <v>0</v>
      </c>
      <c r="AX94" s="124">
        <f t="shared" si="90"/>
        <v>0</v>
      </c>
      <c r="AY94" s="124">
        <f t="shared" si="90"/>
        <v>0</v>
      </c>
      <c r="AZ94" s="124">
        <f t="shared" si="90"/>
        <v>0</v>
      </c>
      <c r="BA94" s="124">
        <f t="shared" si="90"/>
        <v>0</v>
      </c>
      <c r="BB94" s="124">
        <f t="shared" si="90"/>
        <v>0</v>
      </c>
      <c r="BC94" s="124">
        <f t="shared" si="90"/>
        <v>0</v>
      </c>
      <c r="BD94" s="124"/>
      <c r="BE94" s="124">
        <f t="shared" si="97"/>
        <v>0</v>
      </c>
      <c r="BF94" s="124">
        <f t="shared" si="91"/>
        <v>0</v>
      </c>
      <c r="BG94" s="124">
        <f t="shared" si="91"/>
        <v>0</v>
      </c>
      <c r="BH94" s="124">
        <f t="shared" si="91"/>
        <v>0</v>
      </c>
      <c r="BI94" s="124">
        <f t="shared" si="91"/>
        <v>0</v>
      </c>
      <c r="BJ94" s="124">
        <f t="shared" si="91"/>
        <v>0</v>
      </c>
      <c r="BK94" s="124">
        <f t="shared" si="91"/>
        <v>0</v>
      </c>
      <c r="BL94" s="124">
        <f t="shared" si="91"/>
        <v>0</v>
      </c>
      <c r="BM94" s="124">
        <f t="shared" si="91"/>
        <v>0</v>
      </c>
      <c r="BN94" s="124">
        <f t="shared" si="91"/>
        <v>0</v>
      </c>
      <c r="BO94" s="124">
        <f t="shared" si="91"/>
        <v>0</v>
      </c>
      <c r="BP94" s="124">
        <f t="shared" si="91"/>
        <v>0</v>
      </c>
      <c r="BQ94" s="124"/>
      <c r="BR94" s="124">
        <f t="shared" si="98"/>
        <v>0</v>
      </c>
      <c r="BS94" s="124">
        <f t="shared" si="92"/>
        <v>0</v>
      </c>
      <c r="BT94" s="124">
        <f t="shared" si="92"/>
        <v>0</v>
      </c>
      <c r="BU94" s="124">
        <f t="shared" si="92"/>
        <v>0</v>
      </c>
      <c r="BV94" s="124">
        <f t="shared" si="92"/>
        <v>0</v>
      </c>
      <c r="BW94" s="124">
        <f t="shared" si="92"/>
        <v>0</v>
      </c>
      <c r="BX94" s="124">
        <f t="shared" si="92"/>
        <v>0</v>
      </c>
      <c r="BY94" s="124">
        <f t="shared" si="92"/>
        <v>0</v>
      </c>
      <c r="BZ94" s="124">
        <f t="shared" si="92"/>
        <v>0</v>
      </c>
      <c r="CA94" s="124">
        <f t="shared" si="92"/>
        <v>0</v>
      </c>
      <c r="CB94" s="124">
        <f t="shared" si="92"/>
        <v>0</v>
      </c>
      <c r="CC94" s="124">
        <f t="shared" si="92"/>
        <v>0</v>
      </c>
      <c r="CD94" s="125"/>
      <c r="CE94" s="9">
        <f t="shared" si="93"/>
        <v>0</v>
      </c>
      <c r="CF94" s="126"/>
      <c r="CG94" s="9"/>
      <c r="CH94" s="8"/>
      <c r="CI94" s="7"/>
      <c r="CJ94" s="7"/>
      <c r="CK94" s="7"/>
      <c r="CL94" s="7"/>
      <c r="CM94" s="7"/>
      <c r="CN94" s="7"/>
      <c r="CO94" s="7"/>
    </row>
    <row r="95" spans="1:93">
      <c r="A95" s="1">
        <v>5</v>
      </c>
      <c r="B95" s="1">
        <v>9</v>
      </c>
      <c r="C95" s="8" t="str">
        <f t="shared" si="86"/>
        <v>Trainees</v>
      </c>
      <c r="D95" s="8" t="str">
        <f t="shared" si="86"/>
        <v>B2 AP1</v>
      </c>
      <c r="E95" s="124"/>
      <c r="F95" s="124">
        <f t="shared" si="87"/>
        <v>0</v>
      </c>
      <c r="G95" s="124">
        <f t="shared" si="87"/>
        <v>0</v>
      </c>
      <c r="H95" s="124">
        <f t="shared" si="87"/>
        <v>0</v>
      </c>
      <c r="I95" s="124">
        <f t="shared" si="87"/>
        <v>0</v>
      </c>
      <c r="J95" s="124">
        <f t="shared" si="87"/>
        <v>0</v>
      </c>
      <c r="K95" s="124">
        <f t="shared" si="87"/>
        <v>0</v>
      </c>
      <c r="L95" s="124">
        <f t="shared" si="87"/>
        <v>0</v>
      </c>
      <c r="M95" s="124">
        <f t="shared" si="87"/>
        <v>0</v>
      </c>
      <c r="N95" s="124">
        <f t="shared" si="87"/>
        <v>0</v>
      </c>
      <c r="O95" s="124">
        <f t="shared" si="87"/>
        <v>0</v>
      </c>
      <c r="P95" s="124">
        <f t="shared" si="87"/>
        <v>0</v>
      </c>
      <c r="Q95" s="124"/>
      <c r="R95" s="124">
        <f t="shared" si="94"/>
        <v>0</v>
      </c>
      <c r="S95" s="124">
        <f t="shared" si="88"/>
        <v>0</v>
      </c>
      <c r="T95" s="124">
        <f t="shared" si="88"/>
        <v>0</v>
      </c>
      <c r="U95" s="124">
        <f t="shared" si="88"/>
        <v>0</v>
      </c>
      <c r="V95" s="124">
        <f t="shared" si="88"/>
        <v>0</v>
      </c>
      <c r="W95" s="124">
        <f t="shared" si="88"/>
        <v>0</v>
      </c>
      <c r="X95" s="124">
        <f t="shared" si="88"/>
        <v>0</v>
      </c>
      <c r="Y95" s="124">
        <f t="shared" si="88"/>
        <v>0</v>
      </c>
      <c r="Z95" s="124">
        <f t="shared" si="88"/>
        <v>0</v>
      </c>
      <c r="AA95" s="124">
        <f t="shared" si="88"/>
        <v>0</v>
      </c>
      <c r="AB95" s="124">
        <f t="shared" si="88"/>
        <v>0</v>
      </c>
      <c r="AC95" s="124">
        <f t="shared" si="88"/>
        <v>0</v>
      </c>
      <c r="AD95" s="124"/>
      <c r="AE95" s="124">
        <f t="shared" si="95"/>
        <v>0</v>
      </c>
      <c r="AF95" s="124">
        <f t="shared" si="89"/>
        <v>0</v>
      </c>
      <c r="AG95" s="124">
        <f t="shared" si="89"/>
        <v>0</v>
      </c>
      <c r="AH95" s="124">
        <f t="shared" si="89"/>
        <v>0</v>
      </c>
      <c r="AI95" s="124">
        <f t="shared" si="89"/>
        <v>0</v>
      </c>
      <c r="AJ95" s="124">
        <f t="shared" si="89"/>
        <v>0</v>
      </c>
      <c r="AK95" s="124">
        <f t="shared" si="89"/>
        <v>0</v>
      </c>
      <c r="AL95" s="124">
        <f t="shared" si="89"/>
        <v>0</v>
      </c>
      <c r="AM95" s="124">
        <f t="shared" si="89"/>
        <v>0</v>
      </c>
      <c r="AN95" s="124">
        <f t="shared" si="89"/>
        <v>0</v>
      </c>
      <c r="AO95" s="124">
        <f t="shared" si="89"/>
        <v>0</v>
      </c>
      <c r="AP95" s="124">
        <f t="shared" si="89"/>
        <v>0</v>
      </c>
      <c r="AQ95" s="124"/>
      <c r="AR95" s="124">
        <f t="shared" si="96"/>
        <v>0</v>
      </c>
      <c r="AS95" s="124">
        <f t="shared" si="90"/>
        <v>0</v>
      </c>
      <c r="AT95" s="124">
        <f t="shared" si="90"/>
        <v>0</v>
      </c>
      <c r="AU95" s="124">
        <f t="shared" si="90"/>
        <v>0</v>
      </c>
      <c r="AV95" s="124">
        <f t="shared" si="90"/>
        <v>0</v>
      </c>
      <c r="AW95" s="124">
        <f t="shared" si="90"/>
        <v>0</v>
      </c>
      <c r="AX95" s="124">
        <f t="shared" si="90"/>
        <v>0</v>
      </c>
      <c r="AY95" s="124">
        <f t="shared" si="90"/>
        <v>0</v>
      </c>
      <c r="AZ95" s="124">
        <f t="shared" si="90"/>
        <v>0</v>
      </c>
      <c r="BA95" s="124">
        <f t="shared" si="90"/>
        <v>0</v>
      </c>
      <c r="BB95" s="124">
        <f t="shared" si="90"/>
        <v>0</v>
      </c>
      <c r="BC95" s="124">
        <f t="shared" si="90"/>
        <v>0</v>
      </c>
      <c r="BD95" s="124"/>
      <c r="BE95" s="124">
        <f t="shared" si="97"/>
        <v>0</v>
      </c>
      <c r="BF95" s="124">
        <f t="shared" si="91"/>
        <v>0</v>
      </c>
      <c r="BG95" s="124">
        <f t="shared" si="91"/>
        <v>0</v>
      </c>
      <c r="BH95" s="124">
        <f t="shared" si="91"/>
        <v>0</v>
      </c>
      <c r="BI95" s="124">
        <f t="shared" si="91"/>
        <v>0</v>
      </c>
      <c r="BJ95" s="124">
        <f t="shared" si="91"/>
        <v>0</v>
      </c>
      <c r="BK95" s="124">
        <f t="shared" si="91"/>
        <v>0</v>
      </c>
      <c r="BL95" s="124">
        <f t="shared" si="91"/>
        <v>0</v>
      </c>
      <c r="BM95" s="124">
        <f t="shared" si="91"/>
        <v>0</v>
      </c>
      <c r="BN95" s="124">
        <f t="shared" si="91"/>
        <v>0</v>
      </c>
      <c r="BO95" s="124">
        <f t="shared" si="91"/>
        <v>0</v>
      </c>
      <c r="BP95" s="124">
        <f t="shared" si="91"/>
        <v>0</v>
      </c>
      <c r="BQ95" s="124"/>
      <c r="BR95" s="124">
        <f t="shared" si="98"/>
        <v>0</v>
      </c>
      <c r="BS95" s="124">
        <f t="shared" si="92"/>
        <v>0</v>
      </c>
      <c r="BT95" s="124">
        <f t="shared" si="92"/>
        <v>0</v>
      </c>
      <c r="BU95" s="124">
        <f t="shared" si="92"/>
        <v>0</v>
      </c>
      <c r="BV95" s="124">
        <f t="shared" si="92"/>
        <v>0</v>
      </c>
      <c r="BW95" s="124">
        <f t="shared" si="92"/>
        <v>0</v>
      </c>
      <c r="BX95" s="124">
        <f t="shared" si="92"/>
        <v>0</v>
      </c>
      <c r="BY95" s="124">
        <f t="shared" si="92"/>
        <v>0</v>
      </c>
      <c r="BZ95" s="124">
        <f t="shared" si="92"/>
        <v>0</v>
      </c>
      <c r="CA95" s="124">
        <f t="shared" si="92"/>
        <v>0</v>
      </c>
      <c r="CB95" s="124">
        <f t="shared" si="92"/>
        <v>0</v>
      </c>
      <c r="CC95" s="124">
        <f t="shared" si="92"/>
        <v>0</v>
      </c>
      <c r="CD95" s="125"/>
      <c r="CE95" s="9">
        <f t="shared" si="93"/>
        <v>0</v>
      </c>
      <c r="CF95" s="126"/>
      <c r="CG95" s="9"/>
      <c r="CI95" s="7"/>
      <c r="CJ95" s="7"/>
      <c r="CK95" s="7"/>
      <c r="CL95" s="7"/>
      <c r="CM95" s="7"/>
      <c r="CN95" s="7"/>
      <c r="CO95" s="7"/>
    </row>
    <row r="96" spans="1:93" hidden="1">
      <c r="A96" s="1">
        <v>4</v>
      </c>
      <c r="C96" s="8" t="str">
        <f>C64</f>
        <v>Open</v>
      </c>
      <c r="D96" s="8"/>
      <c r="E96" s="125"/>
      <c r="F96" s="125">
        <f t="shared" si="87"/>
        <v>0</v>
      </c>
      <c r="G96" s="125">
        <f t="shared" si="87"/>
        <v>0</v>
      </c>
      <c r="H96" s="125">
        <f t="shared" si="87"/>
        <v>0</v>
      </c>
      <c r="I96" s="125">
        <f t="shared" si="87"/>
        <v>0</v>
      </c>
      <c r="J96" s="125">
        <f t="shared" si="87"/>
        <v>0</v>
      </c>
      <c r="K96" s="125">
        <f t="shared" si="87"/>
        <v>0</v>
      </c>
      <c r="L96" s="125">
        <f t="shared" si="87"/>
        <v>0</v>
      </c>
      <c r="M96" s="125">
        <f t="shared" si="87"/>
        <v>0</v>
      </c>
      <c r="N96" s="125">
        <f t="shared" si="87"/>
        <v>0</v>
      </c>
      <c r="O96" s="125">
        <f t="shared" si="87"/>
        <v>0</v>
      </c>
      <c r="P96" s="125">
        <f t="shared" si="87"/>
        <v>0</v>
      </c>
      <c r="Q96" s="10"/>
      <c r="R96" s="125">
        <f>P96</f>
        <v>0</v>
      </c>
      <c r="S96" s="125">
        <f t="shared" si="88"/>
        <v>0</v>
      </c>
      <c r="T96" s="125">
        <f t="shared" si="88"/>
        <v>0</v>
      </c>
      <c r="U96" s="125">
        <f t="shared" si="88"/>
        <v>0</v>
      </c>
      <c r="V96" s="125">
        <f t="shared" si="88"/>
        <v>0</v>
      </c>
      <c r="W96" s="125">
        <f t="shared" si="88"/>
        <v>0</v>
      </c>
      <c r="X96" s="125">
        <f t="shared" si="88"/>
        <v>0</v>
      </c>
      <c r="Y96" s="125">
        <f t="shared" si="88"/>
        <v>0</v>
      </c>
      <c r="Z96" s="125">
        <f t="shared" si="88"/>
        <v>0</v>
      </c>
      <c r="AA96" s="125">
        <f t="shared" si="88"/>
        <v>0</v>
      </c>
      <c r="AB96" s="125">
        <f t="shared" si="88"/>
        <v>0</v>
      </c>
      <c r="AC96" s="125">
        <f t="shared" si="88"/>
        <v>0</v>
      </c>
      <c r="AD96" s="10"/>
      <c r="AE96" s="125">
        <f>AC96</f>
        <v>0</v>
      </c>
      <c r="AF96" s="125">
        <f t="shared" si="89"/>
        <v>0</v>
      </c>
      <c r="AG96" s="125">
        <f t="shared" si="89"/>
        <v>0</v>
      </c>
      <c r="AH96" s="125">
        <f t="shared" si="89"/>
        <v>0</v>
      </c>
      <c r="AI96" s="125">
        <f t="shared" si="89"/>
        <v>0</v>
      </c>
      <c r="AJ96" s="125">
        <f t="shared" si="89"/>
        <v>0</v>
      </c>
      <c r="AK96" s="125">
        <f t="shared" si="89"/>
        <v>0</v>
      </c>
      <c r="AL96" s="125">
        <f t="shared" si="89"/>
        <v>0</v>
      </c>
      <c r="AM96" s="125">
        <f t="shared" si="89"/>
        <v>0</v>
      </c>
      <c r="AN96" s="125">
        <f t="shared" si="89"/>
        <v>0</v>
      </c>
      <c r="AO96" s="125">
        <f t="shared" si="89"/>
        <v>0</v>
      </c>
      <c r="AP96" s="125">
        <f t="shared" si="89"/>
        <v>0</v>
      </c>
      <c r="AQ96" s="125"/>
      <c r="AR96" s="125">
        <f>AP96</f>
        <v>0</v>
      </c>
      <c r="AS96" s="125">
        <f t="shared" si="90"/>
        <v>0</v>
      </c>
      <c r="AT96" s="125">
        <f t="shared" si="90"/>
        <v>0</v>
      </c>
      <c r="AU96" s="125">
        <f t="shared" si="90"/>
        <v>0</v>
      </c>
      <c r="AV96" s="125">
        <f t="shared" si="90"/>
        <v>0</v>
      </c>
      <c r="AW96" s="125">
        <f t="shared" si="90"/>
        <v>0</v>
      </c>
      <c r="AX96" s="125">
        <f t="shared" si="90"/>
        <v>0</v>
      </c>
      <c r="AY96" s="125">
        <f t="shared" si="90"/>
        <v>0</v>
      </c>
      <c r="AZ96" s="125">
        <f t="shared" si="90"/>
        <v>0</v>
      </c>
      <c r="BA96" s="125">
        <f t="shared" si="90"/>
        <v>0</v>
      </c>
      <c r="BB96" s="125">
        <f t="shared" si="90"/>
        <v>0</v>
      </c>
      <c r="BC96" s="125">
        <f t="shared" si="90"/>
        <v>0</v>
      </c>
      <c r="BD96" s="125"/>
      <c r="BE96" s="125">
        <f>BC96</f>
        <v>0</v>
      </c>
      <c r="BF96" s="125">
        <f t="shared" si="91"/>
        <v>0</v>
      </c>
      <c r="BG96" s="125">
        <f t="shared" si="91"/>
        <v>0</v>
      </c>
      <c r="BH96" s="125">
        <f t="shared" si="91"/>
        <v>0</v>
      </c>
      <c r="BI96" s="125">
        <f t="shared" si="91"/>
        <v>0</v>
      </c>
      <c r="BJ96" s="125">
        <f t="shared" si="91"/>
        <v>0</v>
      </c>
      <c r="BK96" s="125">
        <f t="shared" si="91"/>
        <v>0</v>
      </c>
      <c r="BL96" s="125">
        <f t="shared" si="91"/>
        <v>0</v>
      </c>
      <c r="BM96" s="125">
        <f t="shared" si="91"/>
        <v>0</v>
      </c>
      <c r="BN96" s="125">
        <f t="shared" si="91"/>
        <v>0</v>
      </c>
      <c r="BO96" s="125">
        <f t="shared" si="91"/>
        <v>0</v>
      </c>
      <c r="BP96" s="125">
        <f t="shared" si="91"/>
        <v>0</v>
      </c>
      <c r="BQ96" s="125"/>
      <c r="BR96" s="125">
        <f>BP96</f>
        <v>0</v>
      </c>
      <c r="BS96" s="125">
        <f t="shared" si="92"/>
        <v>0</v>
      </c>
      <c r="BT96" s="125">
        <f t="shared" si="92"/>
        <v>0</v>
      </c>
      <c r="BU96" s="125">
        <f t="shared" si="92"/>
        <v>0</v>
      </c>
      <c r="BV96" s="125">
        <f t="shared" si="92"/>
        <v>0</v>
      </c>
      <c r="BW96" s="125">
        <f t="shared" si="92"/>
        <v>0</v>
      </c>
      <c r="BX96" s="125">
        <f t="shared" si="92"/>
        <v>0</v>
      </c>
      <c r="BY96" s="125">
        <f t="shared" si="92"/>
        <v>0</v>
      </c>
      <c r="BZ96" s="125">
        <f t="shared" si="92"/>
        <v>0</v>
      </c>
      <c r="CA96" s="125">
        <f t="shared" si="92"/>
        <v>0</v>
      </c>
      <c r="CB96" s="125">
        <f t="shared" si="92"/>
        <v>0</v>
      </c>
      <c r="CC96" s="125">
        <f t="shared" si="92"/>
        <v>0</v>
      </c>
      <c r="CD96" s="125"/>
      <c r="CE96" s="9">
        <f t="shared" si="93"/>
        <v>0</v>
      </c>
      <c r="CF96" s="9"/>
      <c r="CG96" s="9"/>
      <c r="CH96" s="8"/>
      <c r="CI96" s="7"/>
      <c r="CJ96" s="7"/>
      <c r="CK96" s="7"/>
      <c r="CL96" s="7"/>
      <c r="CM96" s="7"/>
      <c r="CN96" s="7"/>
      <c r="CO96" s="7"/>
    </row>
    <row r="97" spans="3:93" hidden="1">
      <c r="C97" s="8" t="str">
        <f>C81</f>
        <v>Open</v>
      </c>
      <c r="D97" s="8"/>
      <c r="E97" s="125">
        <v>0</v>
      </c>
      <c r="F97" s="125">
        <f t="shared" si="87"/>
        <v>0</v>
      </c>
      <c r="G97" s="125">
        <f t="shared" si="87"/>
        <v>0</v>
      </c>
      <c r="H97" s="125">
        <f t="shared" si="87"/>
        <v>0</v>
      </c>
      <c r="I97" s="125">
        <f t="shared" si="87"/>
        <v>0</v>
      </c>
      <c r="J97" s="125">
        <f t="shared" si="87"/>
        <v>0</v>
      </c>
      <c r="K97" s="125">
        <f t="shared" si="87"/>
        <v>0</v>
      </c>
      <c r="L97" s="125">
        <f t="shared" si="87"/>
        <v>0</v>
      </c>
      <c r="M97" s="125">
        <f t="shared" si="87"/>
        <v>0</v>
      </c>
      <c r="N97" s="125">
        <f t="shared" si="87"/>
        <v>0</v>
      </c>
      <c r="O97" s="125">
        <f t="shared" si="87"/>
        <v>0</v>
      </c>
      <c r="P97" s="125">
        <f t="shared" si="87"/>
        <v>0</v>
      </c>
      <c r="Q97" s="10"/>
      <c r="R97" s="125">
        <f>P97</f>
        <v>0</v>
      </c>
      <c r="S97" s="125">
        <f t="shared" si="88"/>
        <v>0</v>
      </c>
      <c r="T97" s="125">
        <f t="shared" si="88"/>
        <v>0</v>
      </c>
      <c r="U97" s="125">
        <f t="shared" si="88"/>
        <v>0</v>
      </c>
      <c r="V97" s="125">
        <f t="shared" si="88"/>
        <v>0</v>
      </c>
      <c r="W97" s="125">
        <f t="shared" si="88"/>
        <v>0</v>
      </c>
      <c r="X97" s="125">
        <f t="shared" si="88"/>
        <v>0</v>
      </c>
      <c r="Y97" s="125">
        <f t="shared" si="88"/>
        <v>0</v>
      </c>
      <c r="Z97" s="125">
        <f t="shared" si="88"/>
        <v>0</v>
      </c>
      <c r="AA97" s="125">
        <f t="shared" si="88"/>
        <v>0</v>
      </c>
      <c r="AB97" s="125">
        <f t="shared" si="88"/>
        <v>0</v>
      </c>
      <c r="AC97" s="125">
        <f t="shared" si="88"/>
        <v>0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25">
        <f>AC97*AQ$4/12</f>
        <v>0</v>
      </c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>
        <f>AQ97*BD$4/12</f>
        <v>0</v>
      </c>
      <c r="BE97" s="125"/>
      <c r="BF97" s="125"/>
      <c r="BG97" s="125"/>
      <c r="BH97" s="125"/>
      <c r="BI97" s="125"/>
      <c r="BJ97" s="125"/>
      <c r="BK97" s="125"/>
      <c r="BL97" s="125"/>
      <c r="BM97" s="125"/>
      <c r="BN97" s="125"/>
      <c r="BO97" s="125"/>
      <c r="BP97" s="125"/>
      <c r="BQ97" s="125">
        <f>BD97*BQ$4/12</f>
        <v>0</v>
      </c>
      <c r="BR97" s="125"/>
      <c r="BS97" s="125"/>
      <c r="BT97" s="125"/>
      <c r="BU97" s="125"/>
      <c r="BV97" s="125"/>
      <c r="BW97" s="125"/>
      <c r="BX97" s="125"/>
      <c r="BY97" s="125"/>
      <c r="BZ97" s="125"/>
      <c r="CA97" s="125"/>
      <c r="CB97" s="125"/>
      <c r="CC97" s="125"/>
      <c r="CD97" s="125">
        <f>BQ97*CD$4/12</f>
        <v>0</v>
      </c>
      <c r="CE97" s="10"/>
      <c r="CF97" s="9"/>
      <c r="CG97" s="10"/>
      <c r="CH97" s="8"/>
      <c r="CI97" s="7"/>
      <c r="CJ97" s="7"/>
      <c r="CK97" s="7"/>
      <c r="CL97" s="7"/>
      <c r="CM97" s="7"/>
      <c r="CN97" s="7"/>
      <c r="CO97" s="7"/>
    </row>
    <row r="98" spans="3:93">
      <c r="C98" s="8" t="s">
        <v>21</v>
      </c>
      <c r="D98" s="8"/>
      <c r="E98" s="12">
        <f t="shared" ref="E98:BP98" si="99">SUM(E85:E97)</f>
        <v>0</v>
      </c>
      <c r="F98" s="12">
        <f t="shared" si="99"/>
        <v>0</v>
      </c>
      <c r="G98" s="12">
        <f t="shared" si="99"/>
        <v>0</v>
      </c>
      <c r="H98" s="12">
        <f t="shared" si="99"/>
        <v>0</v>
      </c>
      <c r="I98" s="12">
        <f t="shared" si="99"/>
        <v>0</v>
      </c>
      <c r="J98" s="12">
        <f t="shared" si="99"/>
        <v>0</v>
      </c>
      <c r="K98" s="12">
        <f t="shared" si="99"/>
        <v>0</v>
      </c>
      <c r="L98" s="12">
        <f t="shared" si="99"/>
        <v>0</v>
      </c>
      <c r="M98" s="12">
        <f t="shared" si="99"/>
        <v>0</v>
      </c>
      <c r="N98" s="12">
        <f t="shared" si="99"/>
        <v>0</v>
      </c>
      <c r="O98" s="12">
        <f t="shared" si="99"/>
        <v>0</v>
      </c>
      <c r="P98" s="12">
        <f t="shared" si="99"/>
        <v>0</v>
      </c>
      <c r="Q98" s="12">
        <f t="shared" si="99"/>
        <v>0</v>
      </c>
      <c r="R98" s="12">
        <f t="shared" si="99"/>
        <v>0</v>
      </c>
      <c r="S98" s="12">
        <f t="shared" si="99"/>
        <v>0</v>
      </c>
      <c r="T98" s="12">
        <f t="shared" si="99"/>
        <v>0</v>
      </c>
      <c r="U98" s="12">
        <f t="shared" si="99"/>
        <v>0</v>
      </c>
      <c r="V98" s="12">
        <f t="shared" si="99"/>
        <v>0</v>
      </c>
      <c r="W98" s="12">
        <f t="shared" si="99"/>
        <v>0</v>
      </c>
      <c r="X98" s="12">
        <f t="shared" si="99"/>
        <v>0</v>
      </c>
      <c r="Y98" s="12">
        <f t="shared" si="99"/>
        <v>0</v>
      </c>
      <c r="Z98" s="12">
        <f t="shared" si="99"/>
        <v>0</v>
      </c>
      <c r="AA98" s="12">
        <f t="shared" si="99"/>
        <v>0</v>
      </c>
      <c r="AB98" s="12">
        <f t="shared" si="99"/>
        <v>0</v>
      </c>
      <c r="AC98" s="12">
        <f t="shared" si="99"/>
        <v>0</v>
      </c>
      <c r="AD98" s="12">
        <f t="shared" si="99"/>
        <v>0</v>
      </c>
      <c r="AE98" s="12">
        <f t="shared" si="99"/>
        <v>0</v>
      </c>
      <c r="AF98" s="12">
        <f t="shared" si="99"/>
        <v>0</v>
      </c>
      <c r="AG98" s="12">
        <f t="shared" si="99"/>
        <v>0</v>
      </c>
      <c r="AH98" s="12">
        <f t="shared" si="99"/>
        <v>0</v>
      </c>
      <c r="AI98" s="12">
        <f t="shared" si="99"/>
        <v>0</v>
      </c>
      <c r="AJ98" s="12">
        <f t="shared" si="99"/>
        <v>0</v>
      </c>
      <c r="AK98" s="12">
        <f t="shared" si="99"/>
        <v>0</v>
      </c>
      <c r="AL98" s="12">
        <f t="shared" si="99"/>
        <v>0</v>
      </c>
      <c r="AM98" s="12">
        <f t="shared" si="99"/>
        <v>0</v>
      </c>
      <c r="AN98" s="12">
        <f t="shared" si="99"/>
        <v>0</v>
      </c>
      <c r="AO98" s="12">
        <f t="shared" si="99"/>
        <v>0</v>
      </c>
      <c r="AP98" s="12">
        <f t="shared" si="99"/>
        <v>0</v>
      </c>
      <c r="AQ98" s="12">
        <f t="shared" si="99"/>
        <v>0</v>
      </c>
      <c r="AR98" s="12">
        <f t="shared" si="99"/>
        <v>0</v>
      </c>
      <c r="AS98" s="12">
        <f t="shared" si="99"/>
        <v>0</v>
      </c>
      <c r="AT98" s="12">
        <f t="shared" si="99"/>
        <v>0</v>
      </c>
      <c r="AU98" s="12">
        <f t="shared" si="99"/>
        <v>0</v>
      </c>
      <c r="AV98" s="12">
        <f t="shared" si="99"/>
        <v>0</v>
      </c>
      <c r="AW98" s="12">
        <f t="shared" si="99"/>
        <v>0</v>
      </c>
      <c r="AX98" s="12">
        <f t="shared" si="99"/>
        <v>0</v>
      </c>
      <c r="AY98" s="12">
        <f t="shared" si="99"/>
        <v>0</v>
      </c>
      <c r="AZ98" s="12">
        <f t="shared" si="99"/>
        <v>0</v>
      </c>
      <c r="BA98" s="12">
        <f t="shared" si="99"/>
        <v>0</v>
      </c>
      <c r="BB98" s="12">
        <f t="shared" si="99"/>
        <v>0</v>
      </c>
      <c r="BC98" s="12">
        <f t="shared" si="99"/>
        <v>0</v>
      </c>
      <c r="BD98" s="12">
        <f t="shared" si="99"/>
        <v>0</v>
      </c>
      <c r="BE98" s="12">
        <f t="shared" si="99"/>
        <v>0</v>
      </c>
      <c r="BF98" s="12">
        <f t="shared" si="99"/>
        <v>0</v>
      </c>
      <c r="BG98" s="12">
        <f t="shared" si="99"/>
        <v>0</v>
      </c>
      <c r="BH98" s="12">
        <f t="shared" si="99"/>
        <v>0</v>
      </c>
      <c r="BI98" s="12">
        <f t="shared" si="99"/>
        <v>0</v>
      </c>
      <c r="BJ98" s="12">
        <f t="shared" si="99"/>
        <v>0</v>
      </c>
      <c r="BK98" s="12">
        <f t="shared" si="99"/>
        <v>0</v>
      </c>
      <c r="BL98" s="12">
        <f t="shared" si="99"/>
        <v>0</v>
      </c>
      <c r="BM98" s="12">
        <f t="shared" si="99"/>
        <v>0</v>
      </c>
      <c r="BN98" s="12">
        <f t="shared" si="99"/>
        <v>0</v>
      </c>
      <c r="BO98" s="12">
        <f t="shared" si="99"/>
        <v>0</v>
      </c>
      <c r="BP98" s="12">
        <f t="shared" si="99"/>
        <v>0</v>
      </c>
      <c r="BQ98" s="12">
        <f t="shared" ref="BQ98:CF98" si="100">SUM(BQ85:BQ97)</f>
        <v>0</v>
      </c>
      <c r="BR98" s="12">
        <f t="shared" si="100"/>
        <v>0</v>
      </c>
      <c r="BS98" s="12">
        <f t="shared" si="100"/>
        <v>0</v>
      </c>
      <c r="BT98" s="12">
        <f t="shared" si="100"/>
        <v>0</v>
      </c>
      <c r="BU98" s="12">
        <f t="shared" si="100"/>
        <v>0</v>
      </c>
      <c r="BV98" s="12">
        <f t="shared" si="100"/>
        <v>0</v>
      </c>
      <c r="BW98" s="12">
        <f t="shared" si="100"/>
        <v>0</v>
      </c>
      <c r="BX98" s="12">
        <f t="shared" si="100"/>
        <v>0</v>
      </c>
      <c r="BY98" s="12">
        <f t="shared" si="100"/>
        <v>0</v>
      </c>
      <c r="BZ98" s="12">
        <f t="shared" si="100"/>
        <v>0</v>
      </c>
      <c r="CA98" s="12">
        <f t="shared" si="100"/>
        <v>0</v>
      </c>
      <c r="CB98" s="12">
        <f t="shared" si="100"/>
        <v>0</v>
      </c>
      <c r="CC98" s="12">
        <f t="shared" si="100"/>
        <v>0</v>
      </c>
      <c r="CD98" s="12">
        <f t="shared" si="100"/>
        <v>0</v>
      </c>
      <c r="CE98" s="12">
        <f t="shared" si="100"/>
        <v>0</v>
      </c>
      <c r="CF98" s="12">
        <f t="shared" si="100"/>
        <v>0</v>
      </c>
      <c r="CG98" s="13"/>
      <c r="CH98" s="8"/>
      <c r="CI98" s="7"/>
      <c r="CJ98" s="7"/>
      <c r="CK98" s="7"/>
      <c r="CL98" s="7"/>
      <c r="CM98" s="7"/>
      <c r="CN98" s="7"/>
      <c r="CO98" s="7"/>
    </row>
    <row r="99" spans="3:93">
      <c r="C99" s="8"/>
      <c r="D99" s="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8"/>
      <c r="CI99" s="7"/>
      <c r="CJ99" s="7"/>
      <c r="CK99" s="7"/>
      <c r="CL99" s="7"/>
      <c r="CM99" s="7"/>
      <c r="CN99" s="7"/>
      <c r="CO99" s="7"/>
    </row>
    <row r="100" spans="3:93"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8"/>
      <c r="CI100" s="7"/>
      <c r="CJ100" s="7"/>
      <c r="CK100" s="7"/>
      <c r="CL100" s="7"/>
      <c r="CM100" s="7"/>
      <c r="CN100" s="7"/>
      <c r="CO100" s="7"/>
    </row>
    <row r="101" spans="3:93">
      <c r="C101" s="128" t="s">
        <v>29</v>
      </c>
      <c r="D101" s="12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8"/>
      <c r="CI101" s="7"/>
      <c r="CJ101" s="7"/>
      <c r="CK101" s="7"/>
      <c r="CL101" s="7"/>
      <c r="CM101" s="7"/>
      <c r="CN101" s="7"/>
      <c r="CO101" s="7"/>
    </row>
    <row r="102" spans="3:93">
      <c r="C102" s="8" t="str">
        <f>$C7</f>
        <v>Skillbay/Contract Hires</v>
      </c>
      <c r="D102" s="8">
        <f t="shared" ref="D102:D112" si="101">D85</f>
        <v>0</v>
      </c>
      <c r="E102" s="9">
        <f>E69+E85</f>
        <v>0</v>
      </c>
      <c r="F102" s="9">
        <f t="shared" ref="F102:BQ107" si="102">F69+F85</f>
        <v>0</v>
      </c>
      <c r="G102" s="9">
        <f t="shared" si="102"/>
        <v>0</v>
      </c>
      <c r="H102" s="9">
        <f t="shared" si="102"/>
        <v>0</v>
      </c>
      <c r="I102" s="9">
        <f t="shared" si="102"/>
        <v>0</v>
      </c>
      <c r="J102" s="9">
        <f t="shared" si="102"/>
        <v>0</v>
      </c>
      <c r="K102" s="9">
        <f t="shared" si="102"/>
        <v>0</v>
      </c>
      <c r="L102" s="9">
        <f t="shared" si="102"/>
        <v>0</v>
      </c>
      <c r="M102" s="9">
        <f t="shared" si="102"/>
        <v>0</v>
      </c>
      <c r="N102" s="9">
        <f t="shared" si="102"/>
        <v>0</v>
      </c>
      <c r="O102" s="9">
        <f t="shared" si="102"/>
        <v>0</v>
      </c>
      <c r="P102" s="9">
        <f t="shared" si="102"/>
        <v>0</v>
      </c>
      <c r="Q102" s="9">
        <f t="shared" si="102"/>
        <v>0</v>
      </c>
      <c r="R102" s="9">
        <f t="shared" si="102"/>
        <v>0</v>
      </c>
      <c r="S102" s="9">
        <f t="shared" si="102"/>
        <v>0</v>
      </c>
      <c r="T102" s="9">
        <f t="shared" si="102"/>
        <v>0</v>
      </c>
      <c r="U102" s="9">
        <f t="shared" si="102"/>
        <v>0</v>
      </c>
      <c r="V102" s="9">
        <f t="shared" si="102"/>
        <v>0</v>
      </c>
      <c r="W102" s="9">
        <f t="shared" si="102"/>
        <v>0</v>
      </c>
      <c r="X102" s="9">
        <f t="shared" si="102"/>
        <v>0</v>
      </c>
      <c r="Y102" s="9">
        <f t="shared" si="102"/>
        <v>0</v>
      </c>
      <c r="Z102" s="9">
        <f t="shared" si="102"/>
        <v>0</v>
      </c>
      <c r="AA102" s="9">
        <f t="shared" si="102"/>
        <v>0</v>
      </c>
      <c r="AB102" s="9">
        <f t="shared" si="102"/>
        <v>0</v>
      </c>
      <c r="AC102" s="9">
        <f t="shared" si="102"/>
        <v>0</v>
      </c>
      <c r="AD102" s="9">
        <f t="shared" si="102"/>
        <v>0</v>
      </c>
      <c r="AE102" s="9">
        <f t="shared" si="102"/>
        <v>0</v>
      </c>
      <c r="AF102" s="9">
        <f t="shared" si="102"/>
        <v>0</v>
      </c>
      <c r="AG102" s="9">
        <f t="shared" si="102"/>
        <v>0</v>
      </c>
      <c r="AH102" s="9">
        <f t="shared" si="102"/>
        <v>0</v>
      </c>
      <c r="AI102" s="9">
        <f t="shared" si="102"/>
        <v>0</v>
      </c>
      <c r="AJ102" s="9">
        <f t="shared" si="102"/>
        <v>0</v>
      </c>
      <c r="AK102" s="9">
        <f t="shared" si="102"/>
        <v>0</v>
      </c>
      <c r="AL102" s="9">
        <f t="shared" si="102"/>
        <v>0</v>
      </c>
      <c r="AM102" s="9">
        <f t="shared" si="102"/>
        <v>0</v>
      </c>
      <c r="AN102" s="9">
        <f t="shared" si="102"/>
        <v>0</v>
      </c>
      <c r="AO102" s="9">
        <f t="shared" si="102"/>
        <v>0</v>
      </c>
      <c r="AP102" s="9">
        <f t="shared" si="102"/>
        <v>0</v>
      </c>
      <c r="AQ102" s="9">
        <f t="shared" si="102"/>
        <v>0</v>
      </c>
      <c r="AR102" s="9">
        <f t="shared" si="102"/>
        <v>0</v>
      </c>
      <c r="AS102" s="9">
        <f t="shared" si="102"/>
        <v>0</v>
      </c>
      <c r="AT102" s="9">
        <f t="shared" si="102"/>
        <v>0</v>
      </c>
      <c r="AU102" s="9">
        <f t="shared" si="102"/>
        <v>0</v>
      </c>
      <c r="AV102" s="9">
        <f t="shared" si="102"/>
        <v>0</v>
      </c>
      <c r="AW102" s="9">
        <f t="shared" si="102"/>
        <v>0</v>
      </c>
      <c r="AX102" s="9">
        <f t="shared" si="102"/>
        <v>0</v>
      </c>
      <c r="AY102" s="9">
        <f t="shared" si="102"/>
        <v>0</v>
      </c>
      <c r="AZ102" s="9">
        <f t="shared" si="102"/>
        <v>0</v>
      </c>
      <c r="BA102" s="9">
        <f t="shared" si="102"/>
        <v>0</v>
      </c>
      <c r="BB102" s="9">
        <f t="shared" si="102"/>
        <v>0</v>
      </c>
      <c r="BC102" s="9">
        <f t="shared" si="102"/>
        <v>0</v>
      </c>
      <c r="BD102" s="9">
        <f t="shared" si="102"/>
        <v>0</v>
      </c>
      <c r="BE102" s="9">
        <f t="shared" si="102"/>
        <v>0</v>
      </c>
      <c r="BF102" s="9">
        <f t="shared" si="102"/>
        <v>0</v>
      </c>
      <c r="BG102" s="9">
        <f t="shared" si="102"/>
        <v>0</v>
      </c>
      <c r="BH102" s="9">
        <f t="shared" si="102"/>
        <v>0</v>
      </c>
      <c r="BI102" s="9">
        <f t="shared" si="102"/>
        <v>0</v>
      </c>
      <c r="BJ102" s="9">
        <f t="shared" si="102"/>
        <v>0</v>
      </c>
      <c r="BK102" s="9">
        <f t="shared" si="102"/>
        <v>0</v>
      </c>
      <c r="BL102" s="9">
        <f t="shared" si="102"/>
        <v>0</v>
      </c>
      <c r="BM102" s="9">
        <f t="shared" si="102"/>
        <v>0</v>
      </c>
      <c r="BN102" s="9">
        <f t="shared" si="102"/>
        <v>0</v>
      </c>
      <c r="BO102" s="9">
        <f t="shared" si="102"/>
        <v>0</v>
      </c>
      <c r="BP102" s="9">
        <f t="shared" si="102"/>
        <v>0</v>
      </c>
      <c r="BQ102" s="9">
        <f t="shared" si="102"/>
        <v>0</v>
      </c>
      <c r="BR102" s="9">
        <f t="shared" ref="BR102:CD106" si="103">BR69+BR85</f>
        <v>0</v>
      </c>
      <c r="BS102" s="9">
        <f t="shared" si="103"/>
        <v>0</v>
      </c>
      <c r="BT102" s="9">
        <f t="shared" si="103"/>
        <v>0</v>
      </c>
      <c r="BU102" s="9">
        <f t="shared" si="103"/>
        <v>0</v>
      </c>
      <c r="BV102" s="9">
        <f t="shared" si="103"/>
        <v>0</v>
      </c>
      <c r="BW102" s="9">
        <f t="shared" si="103"/>
        <v>0</v>
      </c>
      <c r="BX102" s="9">
        <f t="shared" si="103"/>
        <v>0</v>
      </c>
      <c r="BY102" s="9">
        <f t="shared" si="103"/>
        <v>0</v>
      </c>
      <c r="BZ102" s="9">
        <f t="shared" si="103"/>
        <v>0</v>
      </c>
      <c r="CA102" s="9">
        <f t="shared" si="103"/>
        <v>0</v>
      </c>
      <c r="CB102" s="9">
        <f t="shared" si="103"/>
        <v>0</v>
      </c>
      <c r="CC102" s="9">
        <f t="shared" si="103"/>
        <v>0</v>
      </c>
      <c r="CD102" s="9">
        <f t="shared" si="103"/>
        <v>0</v>
      </c>
      <c r="CE102" s="9">
        <f t="shared" ref="CE102:CE114" si="104">SUM(E102:P102)+SUM(R102:AC102)+SUM(AE102:AP102)+SUM(AR102:BC102)+SUM(BE102:BP102)+SUM(BR102:CC102)</f>
        <v>0</v>
      </c>
      <c r="CF102" s="9"/>
      <c r="CG102" s="9"/>
      <c r="CH102" s="8"/>
      <c r="CI102" s="7"/>
      <c r="CJ102" s="7"/>
      <c r="CK102" s="7"/>
      <c r="CL102" s="7"/>
      <c r="CM102" s="7"/>
      <c r="CN102" s="7"/>
      <c r="CO102" s="7"/>
    </row>
    <row r="103" spans="3:93">
      <c r="C103" s="8" t="str">
        <f>C86</f>
        <v>Account Manager</v>
      </c>
      <c r="D103" s="8" t="str">
        <f t="shared" si="101"/>
        <v>B5 (min 8 yrs)</v>
      </c>
      <c r="E103" s="9">
        <f>E70+E86</f>
        <v>0</v>
      </c>
      <c r="F103" s="9">
        <f t="shared" si="102"/>
        <v>0</v>
      </c>
      <c r="G103" s="9">
        <f t="shared" si="102"/>
        <v>0</v>
      </c>
      <c r="H103" s="9">
        <f t="shared" si="102"/>
        <v>0</v>
      </c>
      <c r="I103" s="9">
        <f t="shared" si="102"/>
        <v>0</v>
      </c>
      <c r="J103" s="9">
        <f t="shared" si="102"/>
        <v>0</v>
      </c>
      <c r="K103" s="9">
        <f t="shared" si="102"/>
        <v>0</v>
      </c>
      <c r="L103" s="9">
        <f t="shared" si="102"/>
        <v>0</v>
      </c>
      <c r="M103" s="9">
        <f t="shared" si="102"/>
        <v>0</v>
      </c>
      <c r="N103" s="9">
        <f t="shared" si="102"/>
        <v>0</v>
      </c>
      <c r="O103" s="9">
        <f t="shared" si="102"/>
        <v>0</v>
      </c>
      <c r="P103" s="9">
        <f t="shared" si="102"/>
        <v>0</v>
      </c>
      <c r="Q103" s="9">
        <f t="shared" si="102"/>
        <v>0</v>
      </c>
      <c r="R103" s="9">
        <f t="shared" si="102"/>
        <v>0</v>
      </c>
      <c r="S103" s="9">
        <f t="shared" si="102"/>
        <v>0</v>
      </c>
      <c r="T103" s="9">
        <f t="shared" si="102"/>
        <v>0</v>
      </c>
      <c r="U103" s="9">
        <f t="shared" si="102"/>
        <v>0</v>
      </c>
      <c r="V103" s="9">
        <f t="shared" si="102"/>
        <v>0</v>
      </c>
      <c r="W103" s="9">
        <f t="shared" si="102"/>
        <v>0</v>
      </c>
      <c r="X103" s="9">
        <f t="shared" si="102"/>
        <v>0</v>
      </c>
      <c r="Y103" s="9">
        <f t="shared" si="102"/>
        <v>0</v>
      </c>
      <c r="Z103" s="9">
        <f t="shared" si="102"/>
        <v>0</v>
      </c>
      <c r="AA103" s="9">
        <f t="shared" si="102"/>
        <v>0</v>
      </c>
      <c r="AB103" s="9">
        <f t="shared" si="102"/>
        <v>0</v>
      </c>
      <c r="AC103" s="9">
        <f t="shared" si="102"/>
        <v>0</v>
      </c>
      <c r="AD103" s="9">
        <f t="shared" si="102"/>
        <v>0</v>
      </c>
      <c r="AE103" s="9">
        <f t="shared" si="102"/>
        <v>0</v>
      </c>
      <c r="AF103" s="9">
        <f t="shared" si="102"/>
        <v>0</v>
      </c>
      <c r="AG103" s="9">
        <f t="shared" si="102"/>
        <v>0</v>
      </c>
      <c r="AH103" s="9">
        <f t="shared" si="102"/>
        <v>0</v>
      </c>
      <c r="AI103" s="9">
        <f t="shared" si="102"/>
        <v>0</v>
      </c>
      <c r="AJ103" s="9">
        <f t="shared" si="102"/>
        <v>0</v>
      </c>
      <c r="AK103" s="9">
        <f t="shared" si="102"/>
        <v>0</v>
      </c>
      <c r="AL103" s="9">
        <f t="shared" si="102"/>
        <v>0</v>
      </c>
      <c r="AM103" s="9">
        <f t="shared" si="102"/>
        <v>0</v>
      </c>
      <c r="AN103" s="9">
        <f t="shared" si="102"/>
        <v>0</v>
      </c>
      <c r="AO103" s="9">
        <f t="shared" si="102"/>
        <v>0</v>
      </c>
      <c r="AP103" s="9">
        <f t="shared" si="102"/>
        <v>0</v>
      </c>
      <c r="AQ103" s="9">
        <f t="shared" si="102"/>
        <v>0</v>
      </c>
      <c r="AR103" s="9">
        <f t="shared" si="102"/>
        <v>0</v>
      </c>
      <c r="AS103" s="9">
        <f t="shared" si="102"/>
        <v>0</v>
      </c>
      <c r="AT103" s="9">
        <f t="shared" si="102"/>
        <v>0</v>
      </c>
      <c r="AU103" s="9">
        <f t="shared" si="102"/>
        <v>0</v>
      </c>
      <c r="AV103" s="9">
        <f t="shared" si="102"/>
        <v>0</v>
      </c>
      <c r="AW103" s="9">
        <f t="shared" si="102"/>
        <v>0</v>
      </c>
      <c r="AX103" s="9">
        <f t="shared" si="102"/>
        <v>0</v>
      </c>
      <c r="AY103" s="9">
        <f t="shared" si="102"/>
        <v>0</v>
      </c>
      <c r="AZ103" s="9">
        <f t="shared" si="102"/>
        <v>0</v>
      </c>
      <c r="BA103" s="9">
        <f t="shared" si="102"/>
        <v>0</v>
      </c>
      <c r="BB103" s="9">
        <f t="shared" si="102"/>
        <v>0</v>
      </c>
      <c r="BC103" s="9">
        <f t="shared" si="102"/>
        <v>0</v>
      </c>
      <c r="BD103" s="9">
        <f t="shared" si="102"/>
        <v>0</v>
      </c>
      <c r="BE103" s="9">
        <f t="shared" si="102"/>
        <v>0</v>
      </c>
      <c r="BF103" s="9">
        <f t="shared" si="102"/>
        <v>0</v>
      </c>
      <c r="BG103" s="9">
        <f t="shared" si="102"/>
        <v>0</v>
      </c>
      <c r="BH103" s="9">
        <f t="shared" si="102"/>
        <v>0</v>
      </c>
      <c r="BI103" s="9">
        <f t="shared" si="102"/>
        <v>0</v>
      </c>
      <c r="BJ103" s="9">
        <f t="shared" si="102"/>
        <v>0</v>
      </c>
      <c r="BK103" s="9">
        <f t="shared" si="102"/>
        <v>0</v>
      </c>
      <c r="BL103" s="9">
        <f t="shared" si="102"/>
        <v>0</v>
      </c>
      <c r="BM103" s="9">
        <f t="shared" si="102"/>
        <v>0</v>
      </c>
      <c r="BN103" s="9">
        <f t="shared" si="102"/>
        <v>0</v>
      </c>
      <c r="BO103" s="9">
        <f t="shared" si="102"/>
        <v>0</v>
      </c>
      <c r="BP103" s="9">
        <f t="shared" si="102"/>
        <v>0</v>
      </c>
      <c r="BQ103" s="9">
        <f t="shared" si="102"/>
        <v>0</v>
      </c>
      <c r="BR103" s="9">
        <f t="shared" si="103"/>
        <v>0</v>
      </c>
      <c r="BS103" s="9">
        <f t="shared" si="103"/>
        <v>0</v>
      </c>
      <c r="BT103" s="9">
        <f t="shared" si="103"/>
        <v>0</v>
      </c>
      <c r="BU103" s="9">
        <f t="shared" si="103"/>
        <v>0</v>
      </c>
      <c r="BV103" s="9">
        <f t="shared" si="103"/>
        <v>0</v>
      </c>
      <c r="BW103" s="9">
        <f t="shared" si="103"/>
        <v>0</v>
      </c>
      <c r="BX103" s="9">
        <f t="shared" si="103"/>
        <v>0</v>
      </c>
      <c r="BY103" s="9">
        <f t="shared" si="103"/>
        <v>0</v>
      </c>
      <c r="BZ103" s="9">
        <f t="shared" si="103"/>
        <v>0</v>
      </c>
      <c r="CA103" s="9">
        <f t="shared" si="103"/>
        <v>0</v>
      </c>
      <c r="CB103" s="9">
        <f t="shared" si="103"/>
        <v>0</v>
      </c>
      <c r="CC103" s="9">
        <f t="shared" si="103"/>
        <v>0</v>
      </c>
      <c r="CD103" s="9">
        <f t="shared" si="103"/>
        <v>0</v>
      </c>
      <c r="CE103" s="9">
        <f t="shared" si="104"/>
        <v>0</v>
      </c>
      <c r="CF103" s="9">
        <f t="shared" ref="CF103:CF114" si="105">CF70+CF86</f>
        <v>0</v>
      </c>
      <c r="CG103" s="9"/>
      <c r="CH103" s="8"/>
      <c r="CI103" s="7"/>
      <c r="CJ103" s="7"/>
      <c r="CK103" s="7"/>
      <c r="CL103" s="7"/>
      <c r="CM103" s="7"/>
      <c r="CN103" s="7"/>
      <c r="CO103" s="7"/>
    </row>
    <row r="104" spans="3:93">
      <c r="C104" s="8" t="str">
        <f t="shared" ref="C104:C112" si="106">C87</f>
        <v>Sr Project Manager</v>
      </c>
      <c r="D104" s="8" t="str">
        <f t="shared" si="101"/>
        <v>B4 PM3 (12 to 15 yrs)</v>
      </c>
      <c r="E104" s="9">
        <f t="shared" ref="E104:AJ111" si="107">E71+E87</f>
        <v>0</v>
      </c>
      <c r="F104" s="9">
        <f t="shared" si="107"/>
        <v>0</v>
      </c>
      <c r="G104" s="9">
        <f t="shared" si="107"/>
        <v>0</v>
      </c>
      <c r="H104" s="9">
        <f t="shared" si="107"/>
        <v>0</v>
      </c>
      <c r="I104" s="9">
        <f t="shared" si="107"/>
        <v>0</v>
      </c>
      <c r="J104" s="9">
        <f t="shared" si="107"/>
        <v>0</v>
      </c>
      <c r="K104" s="9">
        <f t="shared" si="107"/>
        <v>0</v>
      </c>
      <c r="L104" s="9">
        <f t="shared" si="107"/>
        <v>0</v>
      </c>
      <c r="M104" s="9">
        <f t="shared" si="107"/>
        <v>0</v>
      </c>
      <c r="N104" s="9">
        <f t="shared" si="107"/>
        <v>0</v>
      </c>
      <c r="O104" s="9">
        <f t="shared" si="107"/>
        <v>0</v>
      </c>
      <c r="P104" s="9">
        <f t="shared" si="107"/>
        <v>0</v>
      </c>
      <c r="Q104" s="9">
        <f t="shared" si="107"/>
        <v>0</v>
      </c>
      <c r="R104" s="9">
        <f t="shared" si="107"/>
        <v>0</v>
      </c>
      <c r="S104" s="9">
        <f t="shared" si="107"/>
        <v>0</v>
      </c>
      <c r="T104" s="9">
        <f t="shared" si="107"/>
        <v>0</v>
      </c>
      <c r="U104" s="9">
        <f t="shared" si="107"/>
        <v>0</v>
      </c>
      <c r="V104" s="9">
        <f t="shared" si="107"/>
        <v>0</v>
      </c>
      <c r="W104" s="9">
        <f t="shared" si="107"/>
        <v>0</v>
      </c>
      <c r="X104" s="9">
        <f t="shared" si="107"/>
        <v>0</v>
      </c>
      <c r="Y104" s="9">
        <f t="shared" si="107"/>
        <v>0</v>
      </c>
      <c r="Z104" s="9">
        <f t="shared" si="107"/>
        <v>0</v>
      </c>
      <c r="AA104" s="9">
        <f t="shared" si="107"/>
        <v>0</v>
      </c>
      <c r="AB104" s="9">
        <f t="shared" si="107"/>
        <v>0</v>
      </c>
      <c r="AC104" s="9">
        <f t="shared" si="107"/>
        <v>0</v>
      </c>
      <c r="AD104" s="9">
        <f t="shared" si="107"/>
        <v>0</v>
      </c>
      <c r="AE104" s="9">
        <f t="shared" si="107"/>
        <v>0</v>
      </c>
      <c r="AF104" s="9">
        <f t="shared" si="107"/>
        <v>0</v>
      </c>
      <c r="AG104" s="9">
        <f t="shared" si="107"/>
        <v>0</v>
      </c>
      <c r="AH104" s="9">
        <f t="shared" si="107"/>
        <v>0</v>
      </c>
      <c r="AI104" s="9">
        <f t="shared" si="107"/>
        <v>0</v>
      </c>
      <c r="AJ104" s="9">
        <f t="shared" si="107"/>
        <v>0</v>
      </c>
      <c r="AK104" s="9">
        <f t="shared" si="102"/>
        <v>0</v>
      </c>
      <c r="AL104" s="9">
        <f t="shared" si="102"/>
        <v>0</v>
      </c>
      <c r="AM104" s="9">
        <f t="shared" si="102"/>
        <v>0</v>
      </c>
      <c r="AN104" s="9">
        <f t="shared" si="102"/>
        <v>0</v>
      </c>
      <c r="AO104" s="9">
        <f t="shared" si="102"/>
        <v>0</v>
      </c>
      <c r="AP104" s="9">
        <f t="shared" si="102"/>
        <v>0</v>
      </c>
      <c r="AQ104" s="9">
        <f t="shared" si="102"/>
        <v>0</v>
      </c>
      <c r="AR104" s="9">
        <f t="shared" si="102"/>
        <v>0</v>
      </c>
      <c r="AS104" s="9">
        <f t="shared" si="102"/>
        <v>0</v>
      </c>
      <c r="AT104" s="9">
        <f t="shared" si="102"/>
        <v>0</v>
      </c>
      <c r="AU104" s="9">
        <f t="shared" si="102"/>
        <v>0</v>
      </c>
      <c r="AV104" s="9">
        <f t="shared" si="102"/>
        <v>0</v>
      </c>
      <c r="AW104" s="9">
        <f t="shared" si="102"/>
        <v>0</v>
      </c>
      <c r="AX104" s="9">
        <f t="shared" si="102"/>
        <v>0</v>
      </c>
      <c r="AY104" s="9">
        <f t="shared" si="102"/>
        <v>0</v>
      </c>
      <c r="AZ104" s="9">
        <f t="shared" si="102"/>
        <v>0</v>
      </c>
      <c r="BA104" s="9">
        <f t="shared" si="102"/>
        <v>0</v>
      </c>
      <c r="BB104" s="9">
        <f t="shared" si="102"/>
        <v>0</v>
      </c>
      <c r="BC104" s="9">
        <f t="shared" si="102"/>
        <v>0</v>
      </c>
      <c r="BD104" s="9">
        <f t="shared" si="102"/>
        <v>0</v>
      </c>
      <c r="BE104" s="9">
        <f t="shared" si="102"/>
        <v>0</v>
      </c>
      <c r="BF104" s="9">
        <f t="shared" si="102"/>
        <v>0</v>
      </c>
      <c r="BG104" s="9">
        <f t="shared" si="102"/>
        <v>0</v>
      </c>
      <c r="BH104" s="9">
        <f t="shared" si="102"/>
        <v>0</v>
      </c>
      <c r="BI104" s="9">
        <f t="shared" si="102"/>
        <v>0</v>
      </c>
      <c r="BJ104" s="9">
        <f t="shared" si="102"/>
        <v>0</v>
      </c>
      <c r="BK104" s="9">
        <f t="shared" si="102"/>
        <v>0</v>
      </c>
      <c r="BL104" s="9">
        <f t="shared" si="102"/>
        <v>0</v>
      </c>
      <c r="BM104" s="9">
        <f t="shared" si="102"/>
        <v>0</v>
      </c>
      <c r="BN104" s="9">
        <f t="shared" si="102"/>
        <v>0</v>
      </c>
      <c r="BO104" s="9">
        <f t="shared" si="102"/>
        <v>0</v>
      </c>
      <c r="BP104" s="9">
        <f t="shared" si="102"/>
        <v>0</v>
      </c>
      <c r="BQ104" s="9">
        <f t="shared" si="102"/>
        <v>0</v>
      </c>
      <c r="BR104" s="9">
        <f t="shared" si="103"/>
        <v>0</v>
      </c>
      <c r="BS104" s="9">
        <f t="shared" si="103"/>
        <v>0</v>
      </c>
      <c r="BT104" s="9">
        <f t="shared" si="103"/>
        <v>0</v>
      </c>
      <c r="BU104" s="9">
        <f t="shared" si="103"/>
        <v>0</v>
      </c>
      <c r="BV104" s="9">
        <f t="shared" si="103"/>
        <v>0</v>
      </c>
      <c r="BW104" s="9">
        <f t="shared" si="103"/>
        <v>0</v>
      </c>
      <c r="BX104" s="9">
        <f t="shared" si="103"/>
        <v>0</v>
      </c>
      <c r="BY104" s="9">
        <f t="shared" si="103"/>
        <v>0</v>
      </c>
      <c r="BZ104" s="9">
        <f t="shared" si="103"/>
        <v>0</v>
      </c>
      <c r="CA104" s="9">
        <f t="shared" si="103"/>
        <v>0</v>
      </c>
      <c r="CB104" s="9">
        <f t="shared" si="103"/>
        <v>0</v>
      </c>
      <c r="CC104" s="9">
        <f t="shared" si="103"/>
        <v>0</v>
      </c>
      <c r="CD104" s="9">
        <f t="shared" si="103"/>
        <v>0</v>
      </c>
      <c r="CE104" s="9">
        <f t="shared" si="104"/>
        <v>0</v>
      </c>
      <c r="CF104" s="9">
        <f t="shared" si="105"/>
        <v>0</v>
      </c>
      <c r="CG104" s="9"/>
      <c r="CH104" s="8"/>
      <c r="CI104" s="7"/>
      <c r="CJ104" s="7"/>
      <c r="CK104" s="7"/>
      <c r="CL104" s="7"/>
      <c r="CM104" s="7"/>
      <c r="CN104" s="7"/>
      <c r="CO104" s="7"/>
    </row>
    <row r="105" spans="3:93">
      <c r="C105" s="8" t="str">
        <f t="shared" si="106"/>
        <v>Project Manager</v>
      </c>
      <c r="D105" s="8" t="str">
        <f t="shared" si="101"/>
        <v>B4 PM2 (10 to 14 yrs)</v>
      </c>
      <c r="E105" s="9">
        <f t="shared" si="107"/>
        <v>0</v>
      </c>
      <c r="F105" s="9">
        <f t="shared" si="107"/>
        <v>0</v>
      </c>
      <c r="G105" s="9">
        <f t="shared" si="107"/>
        <v>0</v>
      </c>
      <c r="H105" s="9">
        <f t="shared" si="107"/>
        <v>0</v>
      </c>
      <c r="I105" s="9">
        <f t="shared" si="107"/>
        <v>0</v>
      </c>
      <c r="J105" s="9">
        <f t="shared" si="107"/>
        <v>0</v>
      </c>
      <c r="K105" s="9">
        <f t="shared" si="107"/>
        <v>0</v>
      </c>
      <c r="L105" s="9">
        <f t="shared" si="107"/>
        <v>0</v>
      </c>
      <c r="M105" s="9">
        <f t="shared" si="107"/>
        <v>0</v>
      </c>
      <c r="N105" s="9">
        <f t="shared" si="107"/>
        <v>0</v>
      </c>
      <c r="O105" s="9">
        <f t="shared" si="107"/>
        <v>0</v>
      </c>
      <c r="P105" s="9">
        <f t="shared" si="107"/>
        <v>0</v>
      </c>
      <c r="Q105" s="9">
        <f t="shared" si="107"/>
        <v>0</v>
      </c>
      <c r="R105" s="9">
        <f t="shared" si="107"/>
        <v>0</v>
      </c>
      <c r="S105" s="9">
        <f t="shared" si="107"/>
        <v>0</v>
      </c>
      <c r="T105" s="9">
        <f t="shared" si="107"/>
        <v>0</v>
      </c>
      <c r="U105" s="9">
        <f t="shared" si="107"/>
        <v>0</v>
      </c>
      <c r="V105" s="9">
        <f t="shared" si="107"/>
        <v>0</v>
      </c>
      <c r="W105" s="9">
        <f t="shared" si="107"/>
        <v>0</v>
      </c>
      <c r="X105" s="9">
        <f t="shared" si="107"/>
        <v>0</v>
      </c>
      <c r="Y105" s="9">
        <f t="shared" si="107"/>
        <v>0</v>
      </c>
      <c r="Z105" s="9">
        <f t="shared" si="107"/>
        <v>0</v>
      </c>
      <c r="AA105" s="9">
        <f t="shared" si="107"/>
        <v>0</v>
      </c>
      <c r="AB105" s="9">
        <f t="shared" si="107"/>
        <v>0</v>
      </c>
      <c r="AC105" s="9">
        <f t="shared" si="107"/>
        <v>0</v>
      </c>
      <c r="AD105" s="9">
        <f t="shared" si="107"/>
        <v>0</v>
      </c>
      <c r="AE105" s="9">
        <f t="shared" si="107"/>
        <v>0</v>
      </c>
      <c r="AF105" s="9">
        <f t="shared" si="107"/>
        <v>0</v>
      </c>
      <c r="AG105" s="9">
        <f t="shared" si="107"/>
        <v>0</v>
      </c>
      <c r="AH105" s="9">
        <f t="shared" si="107"/>
        <v>0</v>
      </c>
      <c r="AI105" s="9">
        <f t="shared" si="107"/>
        <v>0</v>
      </c>
      <c r="AJ105" s="9">
        <f t="shared" si="107"/>
        <v>0</v>
      </c>
      <c r="AK105" s="9">
        <f t="shared" si="102"/>
        <v>0</v>
      </c>
      <c r="AL105" s="9">
        <f t="shared" si="102"/>
        <v>0</v>
      </c>
      <c r="AM105" s="9">
        <f t="shared" si="102"/>
        <v>0</v>
      </c>
      <c r="AN105" s="9">
        <f t="shared" si="102"/>
        <v>0</v>
      </c>
      <c r="AO105" s="9">
        <f t="shared" si="102"/>
        <v>0</v>
      </c>
      <c r="AP105" s="9">
        <f t="shared" si="102"/>
        <v>0</v>
      </c>
      <c r="AQ105" s="9">
        <f t="shared" si="102"/>
        <v>0</v>
      </c>
      <c r="AR105" s="9">
        <f t="shared" si="102"/>
        <v>0</v>
      </c>
      <c r="AS105" s="9">
        <f t="shared" si="102"/>
        <v>0</v>
      </c>
      <c r="AT105" s="9">
        <f t="shared" si="102"/>
        <v>0</v>
      </c>
      <c r="AU105" s="9">
        <f t="shared" si="102"/>
        <v>0</v>
      </c>
      <c r="AV105" s="9">
        <f t="shared" si="102"/>
        <v>0</v>
      </c>
      <c r="AW105" s="9">
        <f t="shared" si="102"/>
        <v>0</v>
      </c>
      <c r="AX105" s="9">
        <f t="shared" si="102"/>
        <v>0</v>
      </c>
      <c r="AY105" s="9">
        <f t="shared" si="102"/>
        <v>0</v>
      </c>
      <c r="AZ105" s="9">
        <f t="shared" si="102"/>
        <v>0</v>
      </c>
      <c r="BA105" s="9">
        <f t="shared" si="102"/>
        <v>0</v>
      </c>
      <c r="BB105" s="9">
        <f t="shared" si="102"/>
        <v>0</v>
      </c>
      <c r="BC105" s="9">
        <f t="shared" si="102"/>
        <v>0</v>
      </c>
      <c r="BD105" s="9">
        <f t="shared" si="102"/>
        <v>0</v>
      </c>
      <c r="BE105" s="9">
        <f t="shared" si="102"/>
        <v>0</v>
      </c>
      <c r="BF105" s="9">
        <f t="shared" si="102"/>
        <v>0</v>
      </c>
      <c r="BG105" s="9">
        <f t="shared" si="102"/>
        <v>0</v>
      </c>
      <c r="BH105" s="9">
        <f t="shared" si="102"/>
        <v>0</v>
      </c>
      <c r="BI105" s="9">
        <f t="shared" si="102"/>
        <v>0</v>
      </c>
      <c r="BJ105" s="9">
        <f t="shared" si="102"/>
        <v>0</v>
      </c>
      <c r="BK105" s="9">
        <f t="shared" si="102"/>
        <v>0</v>
      </c>
      <c r="BL105" s="9">
        <f t="shared" si="102"/>
        <v>0</v>
      </c>
      <c r="BM105" s="9">
        <f t="shared" si="102"/>
        <v>0</v>
      </c>
      <c r="BN105" s="9">
        <f t="shared" si="102"/>
        <v>0</v>
      </c>
      <c r="BO105" s="9">
        <f t="shared" si="102"/>
        <v>0</v>
      </c>
      <c r="BP105" s="9">
        <f t="shared" si="102"/>
        <v>0</v>
      </c>
      <c r="BQ105" s="9">
        <f t="shared" si="102"/>
        <v>0</v>
      </c>
      <c r="BR105" s="9">
        <f t="shared" si="103"/>
        <v>0</v>
      </c>
      <c r="BS105" s="9">
        <f t="shared" si="103"/>
        <v>0</v>
      </c>
      <c r="BT105" s="9">
        <f t="shared" si="103"/>
        <v>0</v>
      </c>
      <c r="BU105" s="9">
        <f t="shared" si="103"/>
        <v>0</v>
      </c>
      <c r="BV105" s="9">
        <f t="shared" si="103"/>
        <v>0</v>
      </c>
      <c r="BW105" s="9">
        <f t="shared" si="103"/>
        <v>0</v>
      </c>
      <c r="BX105" s="9">
        <f t="shared" si="103"/>
        <v>0</v>
      </c>
      <c r="BY105" s="9">
        <f t="shared" si="103"/>
        <v>0</v>
      </c>
      <c r="BZ105" s="9">
        <f t="shared" si="103"/>
        <v>0</v>
      </c>
      <c r="CA105" s="9">
        <f t="shared" si="103"/>
        <v>0</v>
      </c>
      <c r="CB105" s="9">
        <f t="shared" si="103"/>
        <v>0</v>
      </c>
      <c r="CC105" s="9">
        <f t="shared" si="103"/>
        <v>0</v>
      </c>
      <c r="CD105" s="9">
        <f t="shared" si="103"/>
        <v>0</v>
      </c>
      <c r="CE105" s="9">
        <f t="shared" si="104"/>
        <v>0</v>
      </c>
      <c r="CF105" s="9">
        <f t="shared" si="105"/>
        <v>0</v>
      </c>
      <c r="CG105" s="9"/>
      <c r="CH105" s="8"/>
      <c r="CI105" s="7"/>
      <c r="CJ105" s="7"/>
      <c r="CK105" s="7"/>
      <c r="CL105" s="7"/>
      <c r="CM105" s="7"/>
      <c r="CN105" s="7"/>
      <c r="CO105" s="7"/>
    </row>
    <row r="106" spans="3:93">
      <c r="C106" s="8" t="str">
        <f t="shared" si="106"/>
        <v>Jr Project Manager</v>
      </c>
      <c r="D106" s="8" t="str">
        <f t="shared" si="101"/>
        <v>B4 PM1 (9 to 12 yrs)</v>
      </c>
      <c r="E106" s="9">
        <f t="shared" si="107"/>
        <v>0</v>
      </c>
      <c r="F106" s="9">
        <f t="shared" si="107"/>
        <v>0</v>
      </c>
      <c r="G106" s="9">
        <f t="shared" si="107"/>
        <v>0</v>
      </c>
      <c r="H106" s="9">
        <f t="shared" si="107"/>
        <v>0</v>
      </c>
      <c r="I106" s="9">
        <f t="shared" si="107"/>
        <v>0</v>
      </c>
      <c r="J106" s="9">
        <f t="shared" si="107"/>
        <v>0</v>
      </c>
      <c r="K106" s="9">
        <f t="shared" si="107"/>
        <v>0</v>
      </c>
      <c r="L106" s="9">
        <f t="shared" si="107"/>
        <v>0</v>
      </c>
      <c r="M106" s="9">
        <f t="shared" si="107"/>
        <v>0</v>
      </c>
      <c r="N106" s="9">
        <f t="shared" si="107"/>
        <v>0</v>
      </c>
      <c r="O106" s="9">
        <f t="shared" si="107"/>
        <v>0</v>
      </c>
      <c r="P106" s="9">
        <f t="shared" si="107"/>
        <v>0</v>
      </c>
      <c r="Q106" s="9">
        <f t="shared" si="107"/>
        <v>0</v>
      </c>
      <c r="R106" s="9">
        <f t="shared" si="107"/>
        <v>0</v>
      </c>
      <c r="S106" s="9">
        <f t="shared" si="107"/>
        <v>0</v>
      </c>
      <c r="T106" s="9">
        <f t="shared" si="107"/>
        <v>0</v>
      </c>
      <c r="U106" s="9">
        <f t="shared" si="107"/>
        <v>0</v>
      </c>
      <c r="V106" s="9">
        <f t="shared" si="107"/>
        <v>0</v>
      </c>
      <c r="W106" s="9">
        <f t="shared" si="107"/>
        <v>0</v>
      </c>
      <c r="X106" s="9">
        <f t="shared" si="107"/>
        <v>0</v>
      </c>
      <c r="Y106" s="9">
        <f t="shared" si="107"/>
        <v>0</v>
      </c>
      <c r="Z106" s="9">
        <f t="shared" si="107"/>
        <v>0</v>
      </c>
      <c r="AA106" s="9">
        <f t="shared" si="107"/>
        <v>0</v>
      </c>
      <c r="AB106" s="9">
        <f t="shared" si="107"/>
        <v>0</v>
      </c>
      <c r="AC106" s="9">
        <f t="shared" si="107"/>
        <v>0</v>
      </c>
      <c r="AD106" s="9">
        <f t="shared" si="107"/>
        <v>0</v>
      </c>
      <c r="AE106" s="9">
        <f t="shared" si="107"/>
        <v>0</v>
      </c>
      <c r="AF106" s="9">
        <f t="shared" si="107"/>
        <v>0</v>
      </c>
      <c r="AG106" s="9">
        <f t="shared" si="107"/>
        <v>0</v>
      </c>
      <c r="AH106" s="9">
        <f t="shared" si="107"/>
        <v>0</v>
      </c>
      <c r="AI106" s="9">
        <f t="shared" si="107"/>
        <v>0</v>
      </c>
      <c r="AJ106" s="9">
        <f t="shared" si="107"/>
        <v>0</v>
      </c>
      <c r="AK106" s="9">
        <f t="shared" si="102"/>
        <v>0</v>
      </c>
      <c r="AL106" s="9">
        <f t="shared" si="102"/>
        <v>0</v>
      </c>
      <c r="AM106" s="9">
        <f t="shared" si="102"/>
        <v>0</v>
      </c>
      <c r="AN106" s="9">
        <f t="shared" si="102"/>
        <v>0</v>
      </c>
      <c r="AO106" s="9">
        <f t="shared" si="102"/>
        <v>0</v>
      </c>
      <c r="AP106" s="9">
        <f t="shared" si="102"/>
        <v>0</v>
      </c>
      <c r="AQ106" s="9">
        <f t="shared" si="102"/>
        <v>0</v>
      </c>
      <c r="AR106" s="9">
        <f t="shared" si="102"/>
        <v>0</v>
      </c>
      <c r="AS106" s="9">
        <f t="shared" si="102"/>
        <v>0</v>
      </c>
      <c r="AT106" s="9">
        <f t="shared" si="102"/>
        <v>0</v>
      </c>
      <c r="AU106" s="9">
        <f t="shared" si="102"/>
        <v>0</v>
      </c>
      <c r="AV106" s="9">
        <f t="shared" si="102"/>
        <v>0</v>
      </c>
      <c r="AW106" s="9">
        <f t="shared" si="102"/>
        <v>0</v>
      </c>
      <c r="AX106" s="9">
        <f t="shared" si="102"/>
        <v>0</v>
      </c>
      <c r="AY106" s="9">
        <f t="shared" si="102"/>
        <v>0</v>
      </c>
      <c r="AZ106" s="9">
        <f t="shared" si="102"/>
        <v>0</v>
      </c>
      <c r="BA106" s="9">
        <f t="shared" si="102"/>
        <v>0</v>
      </c>
      <c r="BB106" s="9">
        <f t="shared" si="102"/>
        <v>0</v>
      </c>
      <c r="BC106" s="9">
        <f t="shared" si="102"/>
        <v>0</v>
      </c>
      <c r="BD106" s="9">
        <f t="shared" si="102"/>
        <v>0</v>
      </c>
      <c r="BE106" s="9">
        <f t="shared" si="102"/>
        <v>0</v>
      </c>
      <c r="BF106" s="9">
        <f t="shared" si="102"/>
        <v>0</v>
      </c>
      <c r="BG106" s="9">
        <f t="shared" si="102"/>
        <v>0</v>
      </c>
      <c r="BH106" s="9">
        <f t="shared" si="102"/>
        <v>0</v>
      </c>
      <c r="BI106" s="9">
        <f t="shared" si="102"/>
        <v>0</v>
      </c>
      <c r="BJ106" s="9">
        <f t="shared" si="102"/>
        <v>0</v>
      </c>
      <c r="BK106" s="9">
        <f t="shared" si="102"/>
        <v>0</v>
      </c>
      <c r="BL106" s="9">
        <f t="shared" si="102"/>
        <v>0</v>
      </c>
      <c r="BM106" s="9">
        <f t="shared" si="102"/>
        <v>0</v>
      </c>
      <c r="BN106" s="9">
        <f t="shared" si="102"/>
        <v>0</v>
      </c>
      <c r="BO106" s="9">
        <f t="shared" si="102"/>
        <v>0</v>
      </c>
      <c r="BP106" s="9">
        <f t="shared" si="102"/>
        <v>0</v>
      </c>
      <c r="BQ106" s="9">
        <f t="shared" si="102"/>
        <v>0</v>
      </c>
      <c r="BR106" s="9">
        <f t="shared" si="103"/>
        <v>0</v>
      </c>
      <c r="BS106" s="9">
        <f t="shared" si="103"/>
        <v>0</v>
      </c>
      <c r="BT106" s="9">
        <f t="shared" si="103"/>
        <v>0</v>
      </c>
      <c r="BU106" s="9">
        <f t="shared" si="103"/>
        <v>0</v>
      </c>
      <c r="BV106" s="9">
        <f t="shared" si="103"/>
        <v>0</v>
      </c>
      <c r="BW106" s="9">
        <f t="shared" si="103"/>
        <v>0</v>
      </c>
      <c r="BX106" s="9">
        <f t="shared" si="103"/>
        <v>0</v>
      </c>
      <c r="BY106" s="9">
        <f t="shared" si="103"/>
        <v>0</v>
      </c>
      <c r="BZ106" s="9">
        <f t="shared" si="103"/>
        <v>0</v>
      </c>
      <c r="CA106" s="9">
        <f t="shared" si="103"/>
        <v>0</v>
      </c>
      <c r="CB106" s="9">
        <f t="shared" si="103"/>
        <v>0</v>
      </c>
      <c r="CC106" s="9">
        <f t="shared" si="103"/>
        <v>0</v>
      </c>
      <c r="CD106" s="9">
        <f t="shared" si="103"/>
        <v>0</v>
      </c>
      <c r="CE106" s="9">
        <f t="shared" si="104"/>
        <v>0</v>
      </c>
      <c r="CF106" s="9">
        <f t="shared" si="105"/>
        <v>0</v>
      </c>
      <c r="CG106" s="9"/>
      <c r="CH106" s="8"/>
      <c r="CI106" s="7"/>
      <c r="CJ106" s="7"/>
      <c r="CK106" s="7"/>
      <c r="CL106" s="7"/>
      <c r="CM106" s="7"/>
      <c r="CN106" s="7"/>
      <c r="CO106" s="7"/>
    </row>
    <row r="107" spans="3:93">
      <c r="C107" s="8" t="str">
        <f t="shared" si="106"/>
        <v>Sr Project Leader</v>
      </c>
      <c r="D107" s="8" t="str">
        <f t="shared" si="101"/>
        <v>B3 PL3 (7 to 10 yrs)</v>
      </c>
      <c r="E107" s="9">
        <f t="shared" si="107"/>
        <v>0</v>
      </c>
      <c r="F107" s="9">
        <f t="shared" si="107"/>
        <v>0</v>
      </c>
      <c r="G107" s="9">
        <f t="shared" si="107"/>
        <v>0</v>
      </c>
      <c r="H107" s="9">
        <f t="shared" si="107"/>
        <v>0</v>
      </c>
      <c r="I107" s="9">
        <f t="shared" si="107"/>
        <v>0</v>
      </c>
      <c r="J107" s="9">
        <f t="shared" si="107"/>
        <v>0</v>
      </c>
      <c r="K107" s="9">
        <f t="shared" si="107"/>
        <v>0</v>
      </c>
      <c r="L107" s="9">
        <f t="shared" si="107"/>
        <v>0</v>
      </c>
      <c r="M107" s="9">
        <f t="shared" si="107"/>
        <v>0</v>
      </c>
      <c r="N107" s="9">
        <f t="shared" si="107"/>
        <v>0</v>
      </c>
      <c r="O107" s="9">
        <f t="shared" si="107"/>
        <v>0</v>
      </c>
      <c r="P107" s="9">
        <f t="shared" si="107"/>
        <v>0</v>
      </c>
      <c r="Q107" s="9">
        <f t="shared" si="107"/>
        <v>0</v>
      </c>
      <c r="R107" s="9">
        <f t="shared" si="107"/>
        <v>0</v>
      </c>
      <c r="S107" s="9">
        <f t="shared" si="107"/>
        <v>0</v>
      </c>
      <c r="T107" s="9">
        <f t="shared" si="107"/>
        <v>0</v>
      </c>
      <c r="U107" s="9">
        <f t="shared" si="107"/>
        <v>0</v>
      </c>
      <c r="V107" s="9">
        <f t="shared" si="107"/>
        <v>0</v>
      </c>
      <c r="W107" s="9">
        <f t="shared" si="107"/>
        <v>0</v>
      </c>
      <c r="X107" s="9">
        <f t="shared" si="107"/>
        <v>0</v>
      </c>
      <c r="Y107" s="9">
        <f t="shared" si="107"/>
        <v>0</v>
      </c>
      <c r="Z107" s="9">
        <f t="shared" si="107"/>
        <v>0</v>
      </c>
      <c r="AA107" s="9">
        <f t="shared" si="107"/>
        <v>0</v>
      </c>
      <c r="AB107" s="9">
        <f t="shared" si="107"/>
        <v>0</v>
      </c>
      <c r="AC107" s="9">
        <f t="shared" si="107"/>
        <v>0</v>
      </c>
      <c r="AD107" s="9">
        <f t="shared" si="107"/>
        <v>0</v>
      </c>
      <c r="AE107" s="9">
        <f t="shared" si="107"/>
        <v>0</v>
      </c>
      <c r="AF107" s="9">
        <f t="shared" si="107"/>
        <v>0</v>
      </c>
      <c r="AG107" s="9">
        <f t="shared" si="107"/>
        <v>0</v>
      </c>
      <c r="AH107" s="9">
        <f t="shared" si="107"/>
        <v>0</v>
      </c>
      <c r="AI107" s="9">
        <f t="shared" si="107"/>
        <v>0</v>
      </c>
      <c r="AJ107" s="9">
        <f t="shared" si="107"/>
        <v>0</v>
      </c>
      <c r="AK107" s="9">
        <f t="shared" si="102"/>
        <v>0</v>
      </c>
      <c r="AL107" s="9">
        <f t="shared" si="102"/>
        <v>0</v>
      </c>
      <c r="AM107" s="9">
        <f t="shared" si="102"/>
        <v>0</v>
      </c>
      <c r="AN107" s="9">
        <f t="shared" si="102"/>
        <v>0</v>
      </c>
      <c r="AO107" s="9">
        <f t="shared" si="102"/>
        <v>0</v>
      </c>
      <c r="AP107" s="9">
        <f t="shared" si="102"/>
        <v>0</v>
      </c>
      <c r="AQ107" s="9">
        <f t="shared" si="102"/>
        <v>0</v>
      </c>
      <c r="AR107" s="9">
        <f t="shared" si="102"/>
        <v>0</v>
      </c>
      <c r="AS107" s="9">
        <f t="shared" si="102"/>
        <v>0</v>
      </c>
      <c r="AT107" s="9">
        <f t="shared" si="102"/>
        <v>0</v>
      </c>
      <c r="AU107" s="9">
        <f t="shared" si="102"/>
        <v>0</v>
      </c>
      <c r="AV107" s="9">
        <f t="shared" si="102"/>
        <v>0</v>
      </c>
      <c r="AW107" s="9">
        <f t="shared" si="102"/>
        <v>0</v>
      </c>
      <c r="AX107" s="9">
        <f t="shared" si="102"/>
        <v>0</v>
      </c>
      <c r="AY107" s="9">
        <f t="shared" si="102"/>
        <v>0</v>
      </c>
      <c r="AZ107" s="9">
        <f t="shared" si="102"/>
        <v>0</v>
      </c>
      <c r="BA107" s="9">
        <f t="shared" si="102"/>
        <v>0</v>
      </c>
      <c r="BB107" s="9">
        <f t="shared" si="102"/>
        <v>0</v>
      </c>
      <c r="BC107" s="9">
        <f t="shared" si="102"/>
        <v>0</v>
      </c>
      <c r="BD107" s="9">
        <f t="shared" si="102"/>
        <v>0</v>
      </c>
      <c r="BE107" s="9">
        <f t="shared" si="102"/>
        <v>0</v>
      </c>
      <c r="BF107" s="9">
        <f t="shared" si="102"/>
        <v>0</v>
      </c>
      <c r="BG107" s="9">
        <f t="shared" si="102"/>
        <v>0</v>
      </c>
      <c r="BH107" s="9">
        <f t="shared" si="102"/>
        <v>0</v>
      </c>
      <c r="BI107" s="9">
        <f t="shared" si="102"/>
        <v>0</v>
      </c>
      <c r="BJ107" s="9">
        <f t="shared" si="102"/>
        <v>0</v>
      </c>
      <c r="BK107" s="9">
        <f t="shared" si="102"/>
        <v>0</v>
      </c>
      <c r="BL107" s="9">
        <f t="shared" si="102"/>
        <v>0</v>
      </c>
      <c r="BM107" s="9">
        <f t="shared" ref="BM107:CD114" si="108">BM74+BM90</f>
        <v>0</v>
      </c>
      <c r="BN107" s="9">
        <f t="shared" si="108"/>
        <v>0</v>
      </c>
      <c r="BO107" s="9">
        <f t="shared" si="108"/>
        <v>0</v>
      </c>
      <c r="BP107" s="9">
        <f t="shared" si="108"/>
        <v>0</v>
      </c>
      <c r="BQ107" s="9">
        <f t="shared" si="108"/>
        <v>0</v>
      </c>
      <c r="BR107" s="9">
        <f t="shared" si="108"/>
        <v>0</v>
      </c>
      <c r="BS107" s="9">
        <f t="shared" si="108"/>
        <v>0</v>
      </c>
      <c r="BT107" s="9">
        <f t="shared" si="108"/>
        <v>0</v>
      </c>
      <c r="BU107" s="9">
        <f t="shared" si="108"/>
        <v>0</v>
      </c>
      <c r="BV107" s="9">
        <f t="shared" si="108"/>
        <v>0</v>
      </c>
      <c r="BW107" s="9">
        <f t="shared" si="108"/>
        <v>0</v>
      </c>
      <c r="BX107" s="9">
        <f t="shared" si="108"/>
        <v>0</v>
      </c>
      <c r="BY107" s="9">
        <f t="shared" si="108"/>
        <v>0</v>
      </c>
      <c r="BZ107" s="9">
        <f t="shared" si="108"/>
        <v>0</v>
      </c>
      <c r="CA107" s="9">
        <f t="shared" si="108"/>
        <v>0</v>
      </c>
      <c r="CB107" s="9">
        <f t="shared" si="108"/>
        <v>0</v>
      </c>
      <c r="CC107" s="9">
        <f t="shared" si="108"/>
        <v>0</v>
      </c>
      <c r="CD107" s="9">
        <f t="shared" si="108"/>
        <v>0</v>
      </c>
      <c r="CE107" s="9">
        <f t="shared" si="104"/>
        <v>0</v>
      </c>
      <c r="CF107" s="9">
        <f t="shared" si="105"/>
        <v>0</v>
      </c>
      <c r="CG107" s="9"/>
      <c r="CH107" s="8"/>
      <c r="CI107" s="7"/>
      <c r="CJ107" s="7"/>
      <c r="CK107" s="7"/>
      <c r="CL107" s="7"/>
      <c r="CM107" s="7"/>
      <c r="CN107" s="7"/>
      <c r="CO107" s="7"/>
    </row>
    <row r="108" spans="3:93">
      <c r="C108" s="8" t="str">
        <f t="shared" si="106"/>
        <v>Project Leader</v>
      </c>
      <c r="D108" s="8" t="str">
        <f t="shared" si="101"/>
        <v>B3 PL2 (6 to 8 yrs)</v>
      </c>
      <c r="E108" s="9">
        <f t="shared" si="107"/>
        <v>0</v>
      </c>
      <c r="F108" s="9">
        <f t="shared" si="107"/>
        <v>0</v>
      </c>
      <c r="G108" s="9">
        <f t="shared" si="107"/>
        <v>0</v>
      </c>
      <c r="H108" s="9">
        <f t="shared" si="107"/>
        <v>0</v>
      </c>
      <c r="I108" s="9">
        <f t="shared" si="107"/>
        <v>0</v>
      </c>
      <c r="J108" s="9">
        <f t="shared" si="107"/>
        <v>0</v>
      </c>
      <c r="K108" s="9">
        <f t="shared" si="107"/>
        <v>0</v>
      </c>
      <c r="L108" s="9">
        <f t="shared" si="107"/>
        <v>0</v>
      </c>
      <c r="M108" s="9">
        <f t="shared" si="107"/>
        <v>0</v>
      </c>
      <c r="N108" s="9">
        <f t="shared" si="107"/>
        <v>0</v>
      </c>
      <c r="O108" s="9">
        <f t="shared" si="107"/>
        <v>0</v>
      </c>
      <c r="P108" s="9">
        <f t="shared" si="107"/>
        <v>0</v>
      </c>
      <c r="Q108" s="9">
        <f t="shared" si="107"/>
        <v>0</v>
      </c>
      <c r="R108" s="9">
        <f t="shared" si="107"/>
        <v>0</v>
      </c>
      <c r="S108" s="9">
        <f t="shared" si="107"/>
        <v>0</v>
      </c>
      <c r="T108" s="9">
        <f t="shared" si="107"/>
        <v>0</v>
      </c>
      <c r="U108" s="9">
        <f t="shared" si="107"/>
        <v>0</v>
      </c>
      <c r="V108" s="9">
        <f t="shared" si="107"/>
        <v>0</v>
      </c>
      <c r="W108" s="9">
        <f t="shared" si="107"/>
        <v>0</v>
      </c>
      <c r="X108" s="9">
        <f t="shared" si="107"/>
        <v>0</v>
      </c>
      <c r="Y108" s="9">
        <f t="shared" si="107"/>
        <v>0</v>
      </c>
      <c r="Z108" s="9">
        <f t="shared" si="107"/>
        <v>0</v>
      </c>
      <c r="AA108" s="9">
        <f t="shared" si="107"/>
        <v>0</v>
      </c>
      <c r="AB108" s="9">
        <f t="shared" si="107"/>
        <v>0</v>
      </c>
      <c r="AC108" s="9">
        <f t="shared" si="107"/>
        <v>0</v>
      </c>
      <c r="AD108" s="9">
        <f t="shared" si="107"/>
        <v>0</v>
      </c>
      <c r="AE108" s="9">
        <f t="shared" si="107"/>
        <v>0</v>
      </c>
      <c r="AF108" s="9">
        <f t="shared" si="107"/>
        <v>0</v>
      </c>
      <c r="AG108" s="9">
        <f t="shared" si="107"/>
        <v>0</v>
      </c>
      <c r="AH108" s="9">
        <f t="shared" si="107"/>
        <v>0</v>
      </c>
      <c r="AI108" s="9">
        <f t="shared" si="107"/>
        <v>0</v>
      </c>
      <c r="AJ108" s="9">
        <f t="shared" si="107"/>
        <v>0</v>
      </c>
      <c r="AK108" s="9">
        <f t="shared" ref="AK108:BP114" si="109">AK75+AK91</f>
        <v>0</v>
      </c>
      <c r="AL108" s="9">
        <f t="shared" si="109"/>
        <v>0</v>
      </c>
      <c r="AM108" s="9">
        <f t="shared" si="109"/>
        <v>0</v>
      </c>
      <c r="AN108" s="9">
        <f t="shared" si="109"/>
        <v>0</v>
      </c>
      <c r="AO108" s="9">
        <f t="shared" si="109"/>
        <v>0</v>
      </c>
      <c r="AP108" s="9">
        <f t="shared" si="109"/>
        <v>0</v>
      </c>
      <c r="AQ108" s="9">
        <f t="shared" si="109"/>
        <v>0</v>
      </c>
      <c r="AR108" s="9">
        <f t="shared" si="109"/>
        <v>0</v>
      </c>
      <c r="AS108" s="9">
        <f t="shared" si="109"/>
        <v>0</v>
      </c>
      <c r="AT108" s="9">
        <f t="shared" si="109"/>
        <v>0</v>
      </c>
      <c r="AU108" s="9">
        <f t="shared" si="109"/>
        <v>0</v>
      </c>
      <c r="AV108" s="9">
        <f t="shared" si="109"/>
        <v>0</v>
      </c>
      <c r="AW108" s="9">
        <f t="shared" si="109"/>
        <v>0</v>
      </c>
      <c r="AX108" s="9">
        <f t="shared" si="109"/>
        <v>0</v>
      </c>
      <c r="AY108" s="9">
        <f t="shared" si="109"/>
        <v>0</v>
      </c>
      <c r="AZ108" s="9">
        <f t="shared" si="109"/>
        <v>0</v>
      </c>
      <c r="BA108" s="9">
        <f t="shared" si="109"/>
        <v>0</v>
      </c>
      <c r="BB108" s="9">
        <f t="shared" si="109"/>
        <v>0</v>
      </c>
      <c r="BC108" s="9">
        <f t="shared" si="109"/>
        <v>0</v>
      </c>
      <c r="BD108" s="9">
        <f t="shared" si="109"/>
        <v>0</v>
      </c>
      <c r="BE108" s="9">
        <f t="shared" si="109"/>
        <v>0</v>
      </c>
      <c r="BF108" s="9">
        <f t="shared" si="109"/>
        <v>0</v>
      </c>
      <c r="BG108" s="9">
        <f t="shared" si="109"/>
        <v>0</v>
      </c>
      <c r="BH108" s="9">
        <f t="shared" si="109"/>
        <v>0</v>
      </c>
      <c r="BI108" s="9">
        <f t="shared" si="109"/>
        <v>0</v>
      </c>
      <c r="BJ108" s="9">
        <f t="shared" si="109"/>
        <v>0</v>
      </c>
      <c r="BK108" s="9">
        <f t="shared" si="109"/>
        <v>0</v>
      </c>
      <c r="BL108" s="9">
        <f t="shared" si="109"/>
        <v>0</v>
      </c>
      <c r="BM108" s="9">
        <f t="shared" si="109"/>
        <v>0</v>
      </c>
      <c r="BN108" s="9">
        <f t="shared" si="109"/>
        <v>0</v>
      </c>
      <c r="BO108" s="9">
        <f t="shared" si="109"/>
        <v>0</v>
      </c>
      <c r="BP108" s="9">
        <f t="shared" si="109"/>
        <v>0</v>
      </c>
      <c r="BQ108" s="9">
        <f t="shared" si="108"/>
        <v>0</v>
      </c>
      <c r="BR108" s="9">
        <f t="shared" si="108"/>
        <v>0</v>
      </c>
      <c r="BS108" s="9">
        <f t="shared" si="108"/>
        <v>0</v>
      </c>
      <c r="BT108" s="9">
        <f t="shared" si="108"/>
        <v>0</v>
      </c>
      <c r="BU108" s="9">
        <f t="shared" si="108"/>
        <v>0</v>
      </c>
      <c r="BV108" s="9">
        <f t="shared" si="108"/>
        <v>0</v>
      </c>
      <c r="BW108" s="9">
        <f t="shared" si="108"/>
        <v>0</v>
      </c>
      <c r="BX108" s="9">
        <f t="shared" si="108"/>
        <v>0</v>
      </c>
      <c r="BY108" s="9">
        <f t="shared" si="108"/>
        <v>0</v>
      </c>
      <c r="BZ108" s="9">
        <f t="shared" si="108"/>
        <v>0</v>
      </c>
      <c r="CA108" s="9">
        <f t="shared" si="108"/>
        <v>0</v>
      </c>
      <c r="CB108" s="9">
        <f t="shared" si="108"/>
        <v>0</v>
      </c>
      <c r="CC108" s="9">
        <f t="shared" si="108"/>
        <v>0</v>
      </c>
      <c r="CD108" s="9">
        <f t="shared" si="108"/>
        <v>0</v>
      </c>
      <c r="CE108" s="9">
        <f t="shared" si="104"/>
        <v>0</v>
      </c>
      <c r="CF108" s="9">
        <f t="shared" si="105"/>
        <v>0</v>
      </c>
      <c r="CG108" s="9"/>
      <c r="CH108" s="8"/>
      <c r="CI108" s="7"/>
      <c r="CJ108" s="7"/>
      <c r="CK108" s="7"/>
      <c r="CL108" s="7"/>
      <c r="CM108" s="7"/>
      <c r="CN108" s="7"/>
      <c r="CO108" s="7"/>
    </row>
    <row r="109" spans="3:93">
      <c r="C109" s="8" t="str">
        <f t="shared" si="106"/>
        <v>Jr Project Leader</v>
      </c>
      <c r="D109" s="8" t="str">
        <f t="shared" si="101"/>
        <v>B3 PL1 (5 to 7 yrs)</v>
      </c>
      <c r="E109" s="9">
        <f t="shared" si="107"/>
        <v>0</v>
      </c>
      <c r="F109" s="9">
        <f t="shared" si="107"/>
        <v>0</v>
      </c>
      <c r="G109" s="9">
        <f t="shared" si="107"/>
        <v>0</v>
      </c>
      <c r="H109" s="9">
        <f t="shared" si="107"/>
        <v>0</v>
      </c>
      <c r="I109" s="9">
        <f t="shared" si="107"/>
        <v>0</v>
      </c>
      <c r="J109" s="9">
        <f t="shared" si="107"/>
        <v>0</v>
      </c>
      <c r="K109" s="9">
        <f t="shared" si="107"/>
        <v>0</v>
      </c>
      <c r="L109" s="9">
        <f t="shared" si="107"/>
        <v>0</v>
      </c>
      <c r="M109" s="9">
        <f t="shared" si="107"/>
        <v>0</v>
      </c>
      <c r="N109" s="9">
        <f t="shared" si="107"/>
        <v>0</v>
      </c>
      <c r="O109" s="9">
        <f t="shared" si="107"/>
        <v>0</v>
      </c>
      <c r="P109" s="9">
        <f t="shared" si="107"/>
        <v>0</v>
      </c>
      <c r="Q109" s="9">
        <f t="shared" si="107"/>
        <v>0</v>
      </c>
      <c r="R109" s="9">
        <f t="shared" si="107"/>
        <v>0</v>
      </c>
      <c r="S109" s="9">
        <f t="shared" si="107"/>
        <v>0</v>
      </c>
      <c r="T109" s="9">
        <f t="shared" si="107"/>
        <v>0</v>
      </c>
      <c r="U109" s="9">
        <f t="shared" si="107"/>
        <v>0</v>
      </c>
      <c r="V109" s="9">
        <f t="shared" si="107"/>
        <v>0</v>
      </c>
      <c r="W109" s="9">
        <f t="shared" si="107"/>
        <v>0</v>
      </c>
      <c r="X109" s="9">
        <f t="shared" si="107"/>
        <v>0</v>
      </c>
      <c r="Y109" s="9">
        <f t="shared" si="107"/>
        <v>0</v>
      </c>
      <c r="Z109" s="9">
        <f t="shared" si="107"/>
        <v>0</v>
      </c>
      <c r="AA109" s="9">
        <f t="shared" si="107"/>
        <v>0</v>
      </c>
      <c r="AB109" s="9">
        <f t="shared" si="107"/>
        <v>0</v>
      </c>
      <c r="AC109" s="9">
        <f t="shared" si="107"/>
        <v>0</v>
      </c>
      <c r="AD109" s="9">
        <f t="shared" si="107"/>
        <v>0</v>
      </c>
      <c r="AE109" s="9">
        <f t="shared" si="107"/>
        <v>0</v>
      </c>
      <c r="AF109" s="9">
        <f t="shared" si="107"/>
        <v>0</v>
      </c>
      <c r="AG109" s="9">
        <f t="shared" si="107"/>
        <v>0</v>
      </c>
      <c r="AH109" s="9">
        <f t="shared" si="107"/>
        <v>0</v>
      </c>
      <c r="AI109" s="9">
        <f t="shared" si="107"/>
        <v>0</v>
      </c>
      <c r="AJ109" s="9">
        <f t="shared" si="107"/>
        <v>0</v>
      </c>
      <c r="AK109" s="9">
        <f t="shared" si="109"/>
        <v>0</v>
      </c>
      <c r="AL109" s="9">
        <f t="shared" si="109"/>
        <v>0</v>
      </c>
      <c r="AM109" s="9">
        <f t="shared" si="109"/>
        <v>0</v>
      </c>
      <c r="AN109" s="9">
        <f t="shared" si="109"/>
        <v>0</v>
      </c>
      <c r="AO109" s="9">
        <f t="shared" si="109"/>
        <v>0</v>
      </c>
      <c r="AP109" s="9">
        <f t="shared" si="109"/>
        <v>0</v>
      </c>
      <c r="AQ109" s="9">
        <f t="shared" si="109"/>
        <v>0</v>
      </c>
      <c r="AR109" s="9">
        <f t="shared" si="109"/>
        <v>0</v>
      </c>
      <c r="AS109" s="9">
        <f t="shared" si="109"/>
        <v>0</v>
      </c>
      <c r="AT109" s="9">
        <f t="shared" si="109"/>
        <v>0</v>
      </c>
      <c r="AU109" s="9">
        <f t="shared" si="109"/>
        <v>0</v>
      </c>
      <c r="AV109" s="9">
        <f t="shared" si="109"/>
        <v>0</v>
      </c>
      <c r="AW109" s="9">
        <f t="shared" si="109"/>
        <v>0</v>
      </c>
      <c r="AX109" s="9">
        <f t="shared" si="109"/>
        <v>0</v>
      </c>
      <c r="AY109" s="9">
        <f t="shared" si="109"/>
        <v>0</v>
      </c>
      <c r="AZ109" s="9">
        <f t="shared" si="109"/>
        <v>0</v>
      </c>
      <c r="BA109" s="9">
        <f t="shared" si="109"/>
        <v>0</v>
      </c>
      <c r="BB109" s="9">
        <f t="shared" si="109"/>
        <v>0</v>
      </c>
      <c r="BC109" s="9">
        <f t="shared" si="109"/>
        <v>0</v>
      </c>
      <c r="BD109" s="9">
        <f t="shared" si="109"/>
        <v>0</v>
      </c>
      <c r="BE109" s="9">
        <f t="shared" si="109"/>
        <v>0</v>
      </c>
      <c r="BF109" s="9">
        <f t="shared" si="109"/>
        <v>0</v>
      </c>
      <c r="BG109" s="9">
        <f t="shared" si="109"/>
        <v>0</v>
      </c>
      <c r="BH109" s="9">
        <f t="shared" si="109"/>
        <v>0</v>
      </c>
      <c r="BI109" s="9">
        <f t="shared" si="109"/>
        <v>0</v>
      </c>
      <c r="BJ109" s="9">
        <f t="shared" si="109"/>
        <v>0</v>
      </c>
      <c r="BK109" s="9">
        <f t="shared" si="109"/>
        <v>0</v>
      </c>
      <c r="BL109" s="9">
        <f t="shared" si="109"/>
        <v>0</v>
      </c>
      <c r="BM109" s="9">
        <f t="shared" si="109"/>
        <v>0</v>
      </c>
      <c r="BN109" s="9">
        <f t="shared" si="109"/>
        <v>0</v>
      </c>
      <c r="BO109" s="9">
        <f t="shared" si="109"/>
        <v>0</v>
      </c>
      <c r="BP109" s="9">
        <f t="shared" si="109"/>
        <v>0</v>
      </c>
      <c r="BQ109" s="9">
        <f t="shared" si="108"/>
        <v>0</v>
      </c>
      <c r="BR109" s="9">
        <f t="shared" si="108"/>
        <v>0</v>
      </c>
      <c r="BS109" s="9">
        <f t="shared" si="108"/>
        <v>0</v>
      </c>
      <c r="BT109" s="9">
        <f t="shared" si="108"/>
        <v>0</v>
      </c>
      <c r="BU109" s="9">
        <f t="shared" si="108"/>
        <v>0</v>
      </c>
      <c r="BV109" s="9">
        <f t="shared" si="108"/>
        <v>0</v>
      </c>
      <c r="BW109" s="9">
        <f t="shared" si="108"/>
        <v>0</v>
      </c>
      <c r="BX109" s="9">
        <f t="shared" si="108"/>
        <v>0</v>
      </c>
      <c r="BY109" s="9">
        <f t="shared" si="108"/>
        <v>0</v>
      </c>
      <c r="BZ109" s="9">
        <f t="shared" si="108"/>
        <v>0</v>
      </c>
      <c r="CA109" s="9">
        <f t="shared" si="108"/>
        <v>0</v>
      </c>
      <c r="CB109" s="9">
        <f t="shared" si="108"/>
        <v>0</v>
      </c>
      <c r="CC109" s="9">
        <f t="shared" si="108"/>
        <v>0</v>
      </c>
      <c r="CD109" s="9">
        <f t="shared" si="108"/>
        <v>0</v>
      </c>
      <c r="CE109" s="9">
        <f t="shared" si="104"/>
        <v>0</v>
      </c>
      <c r="CF109" s="9">
        <f t="shared" si="105"/>
        <v>0</v>
      </c>
      <c r="CG109" s="9"/>
      <c r="CH109" s="8"/>
      <c r="CI109" s="7"/>
      <c r="CJ109" s="7"/>
      <c r="CK109" s="7"/>
      <c r="CL109" s="7"/>
      <c r="CM109" s="7"/>
      <c r="CN109" s="7"/>
      <c r="CO109" s="7"/>
    </row>
    <row r="110" spans="3:93">
      <c r="C110" s="8" t="str">
        <f t="shared" si="106"/>
        <v>Sr Developer</v>
      </c>
      <c r="D110" s="8" t="str">
        <f t="shared" si="101"/>
        <v>B2 AP3 (3 to 5 yrs)</v>
      </c>
      <c r="E110" s="9">
        <f t="shared" si="107"/>
        <v>0</v>
      </c>
      <c r="F110" s="9">
        <f t="shared" si="107"/>
        <v>0</v>
      </c>
      <c r="G110" s="9">
        <f t="shared" si="107"/>
        <v>0</v>
      </c>
      <c r="H110" s="9">
        <f t="shared" si="107"/>
        <v>0</v>
      </c>
      <c r="I110" s="9">
        <f t="shared" si="107"/>
        <v>0</v>
      </c>
      <c r="J110" s="9">
        <f t="shared" si="107"/>
        <v>0</v>
      </c>
      <c r="K110" s="9">
        <f t="shared" si="107"/>
        <v>0</v>
      </c>
      <c r="L110" s="9">
        <f t="shared" si="107"/>
        <v>0</v>
      </c>
      <c r="M110" s="9">
        <f t="shared" si="107"/>
        <v>0</v>
      </c>
      <c r="N110" s="9">
        <f t="shared" si="107"/>
        <v>0</v>
      </c>
      <c r="O110" s="9">
        <f t="shared" si="107"/>
        <v>0</v>
      </c>
      <c r="P110" s="9">
        <f t="shared" si="107"/>
        <v>0</v>
      </c>
      <c r="Q110" s="9">
        <f t="shared" si="107"/>
        <v>0</v>
      </c>
      <c r="R110" s="9">
        <f t="shared" si="107"/>
        <v>0</v>
      </c>
      <c r="S110" s="9">
        <f t="shared" si="107"/>
        <v>0</v>
      </c>
      <c r="T110" s="9">
        <f t="shared" si="107"/>
        <v>0</v>
      </c>
      <c r="U110" s="9">
        <f t="shared" si="107"/>
        <v>0</v>
      </c>
      <c r="V110" s="9">
        <f t="shared" si="107"/>
        <v>0</v>
      </c>
      <c r="W110" s="9">
        <f t="shared" si="107"/>
        <v>0</v>
      </c>
      <c r="X110" s="9">
        <f t="shared" si="107"/>
        <v>0</v>
      </c>
      <c r="Y110" s="9">
        <f t="shared" si="107"/>
        <v>0</v>
      </c>
      <c r="Z110" s="9">
        <f t="shared" si="107"/>
        <v>0</v>
      </c>
      <c r="AA110" s="9">
        <f t="shared" si="107"/>
        <v>0</v>
      </c>
      <c r="AB110" s="9">
        <f t="shared" si="107"/>
        <v>0</v>
      </c>
      <c r="AC110" s="9">
        <f t="shared" si="107"/>
        <v>0</v>
      </c>
      <c r="AD110" s="9">
        <f t="shared" si="107"/>
        <v>0</v>
      </c>
      <c r="AE110" s="9">
        <f t="shared" si="107"/>
        <v>0</v>
      </c>
      <c r="AF110" s="9">
        <f t="shared" si="107"/>
        <v>0</v>
      </c>
      <c r="AG110" s="9">
        <f t="shared" si="107"/>
        <v>0</v>
      </c>
      <c r="AH110" s="9">
        <f t="shared" si="107"/>
        <v>0</v>
      </c>
      <c r="AI110" s="9">
        <f t="shared" si="107"/>
        <v>0</v>
      </c>
      <c r="AJ110" s="9">
        <f t="shared" si="107"/>
        <v>0</v>
      </c>
      <c r="AK110" s="9">
        <f t="shared" si="109"/>
        <v>0</v>
      </c>
      <c r="AL110" s="9">
        <f t="shared" si="109"/>
        <v>0</v>
      </c>
      <c r="AM110" s="9">
        <f t="shared" si="109"/>
        <v>0</v>
      </c>
      <c r="AN110" s="9">
        <f t="shared" si="109"/>
        <v>0</v>
      </c>
      <c r="AO110" s="9">
        <f t="shared" si="109"/>
        <v>0</v>
      </c>
      <c r="AP110" s="9">
        <f t="shared" si="109"/>
        <v>0</v>
      </c>
      <c r="AQ110" s="9">
        <f t="shared" si="109"/>
        <v>0</v>
      </c>
      <c r="AR110" s="9">
        <f t="shared" si="109"/>
        <v>0</v>
      </c>
      <c r="AS110" s="9">
        <f t="shared" si="109"/>
        <v>0</v>
      </c>
      <c r="AT110" s="9">
        <f t="shared" si="109"/>
        <v>0</v>
      </c>
      <c r="AU110" s="9">
        <f t="shared" si="109"/>
        <v>0</v>
      </c>
      <c r="AV110" s="9">
        <f t="shared" si="109"/>
        <v>0</v>
      </c>
      <c r="AW110" s="9">
        <f t="shared" si="109"/>
        <v>0</v>
      </c>
      <c r="AX110" s="9">
        <f t="shared" si="109"/>
        <v>0</v>
      </c>
      <c r="AY110" s="9">
        <f t="shared" si="109"/>
        <v>0</v>
      </c>
      <c r="AZ110" s="9">
        <f t="shared" si="109"/>
        <v>0</v>
      </c>
      <c r="BA110" s="9">
        <f t="shared" si="109"/>
        <v>0</v>
      </c>
      <c r="BB110" s="9">
        <f t="shared" si="109"/>
        <v>0</v>
      </c>
      <c r="BC110" s="9">
        <f t="shared" si="109"/>
        <v>0</v>
      </c>
      <c r="BD110" s="9">
        <f t="shared" si="109"/>
        <v>0</v>
      </c>
      <c r="BE110" s="9">
        <f t="shared" si="109"/>
        <v>0</v>
      </c>
      <c r="BF110" s="9">
        <f t="shared" si="109"/>
        <v>0</v>
      </c>
      <c r="BG110" s="9">
        <f t="shared" si="109"/>
        <v>0</v>
      </c>
      <c r="BH110" s="9">
        <f t="shared" si="109"/>
        <v>0</v>
      </c>
      <c r="BI110" s="9">
        <f t="shared" si="109"/>
        <v>0</v>
      </c>
      <c r="BJ110" s="9">
        <f t="shared" si="109"/>
        <v>0</v>
      </c>
      <c r="BK110" s="9">
        <f t="shared" si="109"/>
        <v>0</v>
      </c>
      <c r="BL110" s="9">
        <f t="shared" si="109"/>
        <v>0</v>
      </c>
      <c r="BM110" s="9">
        <f t="shared" si="109"/>
        <v>0</v>
      </c>
      <c r="BN110" s="9">
        <f t="shared" si="109"/>
        <v>0</v>
      </c>
      <c r="BO110" s="9">
        <f t="shared" si="109"/>
        <v>0</v>
      </c>
      <c r="BP110" s="9">
        <f t="shared" si="109"/>
        <v>0</v>
      </c>
      <c r="BQ110" s="9">
        <f t="shared" si="108"/>
        <v>0</v>
      </c>
      <c r="BR110" s="9">
        <f t="shared" si="108"/>
        <v>0</v>
      </c>
      <c r="BS110" s="9">
        <f t="shared" si="108"/>
        <v>0</v>
      </c>
      <c r="BT110" s="9">
        <f t="shared" si="108"/>
        <v>0</v>
      </c>
      <c r="BU110" s="9">
        <f t="shared" si="108"/>
        <v>0</v>
      </c>
      <c r="BV110" s="9">
        <f t="shared" si="108"/>
        <v>0</v>
      </c>
      <c r="BW110" s="9">
        <f t="shared" si="108"/>
        <v>0</v>
      </c>
      <c r="BX110" s="9">
        <f t="shared" si="108"/>
        <v>0</v>
      </c>
      <c r="BY110" s="9">
        <f t="shared" si="108"/>
        <v>0</v>
      </c>
      <c r="BZ110" s="9">
        <f t="shared" si="108"/>
        <v>0</v>
      </c>
      <c r="CA110" s="9">
        <f t="shared" si="108"/>
        <v>0</v>
      </c>
      <c r="CB110" s="9">
        <f t="shared" si="108"/>
        <v>0</v>
      </c>
      <c r="CC110" s="9">
        <f t="shared" si="108"/>
        <v>0</v>
      </c>
      <c r="CD110" s="9">
        <f t="shared" si="108"/>
        <v>0</v>
      </c>
      <c r="CE110" s="9">
        <f t="shared" si="104"/>
        <v>0</v>
      </c>
      <c r="CF110" s="9">
        <f t="shared" si="105"/>
        <v>0</v>
      </c>
      <c r="CG110" s="9"/>
      <c r="CH110" s="8"/>
      <c r="CI110" s="7"/>
      <c r="CJ110" s="7"/>
      <c r="CK110" s="7"/>
      <c r="CL110" s="7"/>
      <c r="CM110" s="7"/>
      <c r="CN110" s="7"/>
      <c r="CO110" s="7"/>
    </row>
    <row r="111" spans="3:93">
      <c r="C111" s="8" t="str">
        <f t="shared" si="106"/>
        <v>Jr Developer</v>
      </c>
      <c r="D111" s="8" t="str">
        <f t="shared" si="101"/>
        <v>B2 AP2 (0.6 to 3 yrs)</v>
      </c>
      <c r="E111" s="9">
        <f t="shared" si="107"/>
        <v>0</v>
      </c>
      <c r="F111" s="9">
        <f t="shared" si="107"/>
        <v>0</v>
      </c>
      <c r="G111" s="9">
        <f t="shared" si="107"/>
        <v>0</v>
      </c>
      <c r="H111" s="9">
        <f t="shared" si="107"/>
        <v>0</v>
      </c>
      <c r="I111" s="9">
        <f t="shared" si="107"/>
        <v>0</v>
      </c>
      <c r="J111" s="9">
        <f t="shared" si="107"/>
        <v>0</v>
      </c>
      <c r="K111" s="9">
        <f t="shared" si="107"/>
        <v>0</v>
      </c>
      <c r="L111" s="9">
        <f t="shared" si="107"/>
        <v>0</v>
      </c>
      <c r="M111" s="9">
        <f t="shared" si="107"/>
        <v>0</v>
      </c>
      <c r="N111" s="9">
        <f t="shared" si="107"/>
        <v>0</v>
      </c>
      <c r="O111" s="9">
        <f t="shared" si="107"/>
        <v>0</v>
      </c>
      <c r="P111" s="9">
        <f t="shared" si="107"/>
        <v>0</v>
      </c>
      <c r="Q111" s="9">
        <f t="shared" si="107"/>
        <v>0</v>
      </c>
      <c r="R111" s="9">
        <f t="shared" si="107"/>
        <v>0</v>
      </c>
      <c r="S111" s="9">
        <f t="shared" si="107"/>
        <v>0</v>
      </c>
      <c r="T111" s="9">
        <f t="shared" si="107"/>
        <v>0</v>
      </c>
      <c r="U111" s="9">
        <f t="shared" si="107"/>
        <v>0</v>
      </c>
      <c r="V111" s="9">
        <f t="shared" si="107"/>
        <v>0</v>
      </c>
      <c r="W111" s="9">
        <f t="shared" si="107"/>
        <v>0</v>
      </c>
      <c r="X111" s="9">
        <f t="shared" si="107"/>
        <v>0</v>
      </c>
      <c r="Y111" s="9">
        <f t="shared" si="107"/>
        <v>0</v>
      </c>
      <c r="Z111" s="9">
        <f t="shared" si="107"/>
        <v>0</v>
      </c>
      <c r="AA111" s="9">
        <f t="shared" si="107"/>
        <v>0</v>
      </c>
      <c r="AB111" s="9">
        <f t="shared" si="107"/>
        <v>0</v>
      </c>
      <c r="AC111" s="9">
        <f t="shared" si="107"/>
        <v>0</v>
      </c>
      <c r="AD111" s="9">
        <f t="shared" si="107"/>
        <v>0</v>
      </c>
      <c r="AE111" s="9">
        <f t="shared" si="107"/>
        <v>0</v>
      </c>
      <c r="AF111" s="9">
        <f t="shared" si="107"/>
        <v>0</v>
      </c>
      <c r="AG111" s="9">
        <f t="shared" si="107"/>
        <v>0</v>
      </c>
      <c r="AH111" s="9">
        <f t="shared" si="107"/>
        <v>0</v>
      </c>
      <c r="AI111" s="9">
        <f t="shared" si="107"/>
        <v>0</v>
      </c>
      <c r="AJ111" s="9">
        <f t="shared" ref="AJ111" si="110">AJ78+AJ94</f>
        <v>0</v>
      </c>
      <c r="AK111" s="9">
        <f t="shared" si="109"/>
        <v>0</v>
      </c>
      <c r="AL111" s="9">
        <f t="shared" si="109"/>
        <v>0</v>
      </c>
      <c r="AM111" s="9">
        <f t="shared" si="109"/>
        <v>0</v>
      </c>
      <c r="AN111" s="9">
        <f t="shared" si="109"/>
        <v>0</v>
      </c>
      <c r="AO111" s="9">
        <f t="shared" si="109"/>
        <v>0</v>
      </c>
      <c r="AP111" s="9">
        <f t="shared" si="109"/>
        <v>0</v>
      </c>
      <c r="AQ111" s="9">
        <f t="shared" si="109"/>
        <v>0</v>
      </c>
      <c r="AR111" s="9">
        <f t="shared" si="109"/>
        <v>0</v>
      </c>
      <c r="AS111" s="9">
        <f t="shared" si="109"/>
        <v>0</v>
      </c>
      <c r="AT111" s="9">
        <f t="shared" si="109"/>
        <v>0</v>
      </c>
      <c r="AU111" s="9">
        <f t="shared" si="109"/>
        <v>0</v>
      </c>
      <c r="AV111" s="9">
        <f t="shared" si="109"/>
        <v>0</v>
      </c>
      <c r="AW111" s="9">
        <f t="shared" si="109"/>
        <v>0</v>
      </c>
      <c r="AX111" s="9">
        <f t="shared" si="109"/>
        <v>0</v>
      </c>
      <c r="AY111" s="9">
        <f t="shared" si="109"/>
        <v>0</v>
      </c>
      <c r="AZ111" s="9">
        <f t="shared" si="109"/>
        <v>0</v>
      </c>
      <c r="BA111" s="9">
        <f t="shared" si="109"/>
        <v>0</v>
      </c>
      <c r="BB111" s="9">
        <f t="shared" si="109"/>
        <v>0</v>
      </c>
      <c r="BC111" s="9">
        <f t="shared" si="109"/>
        <v>0</v>
      </c>
      <c r="BD111" s="9">
        <f t="shared" si="109"/>
        <v>0</v>
      </c>
      <c r="BE111" s="9">
        <f t="shared" si="109"/>
        <v>0</v>
      </c>
      <c r="BF111" s="9">
        <f t="shared" si="109"/>
        <v>0</v>
      </c>
      <c r="BG111" s="9">
        <f t="shared" si="109"/>
        <v>0</v>
      </c>
      <c r="BH111" s="9">
        <f t="shared" si="109"/>
        <v>0</v>
      </c>
      <c r="BI111" s="9">
        <f t="shared" si="109"/>
        <v>0</v>
      </c>
      <c r="BJ111" s="9">
        <f t="shared" si="109"/>
        <v>0</v>
      </c>
      <c r="BK111" s="9">
        <f t="shared" si="109"/>
        <v>0</v>
      </c>
      <c r="BL111" s="9">
        <f t="shared" si="109"/>
        <v>0</v>
      </c>
      <c r="BM111" s="9">
        <f t="shared" si="109"/>
        <v>0</v>
      </c>
      <c r="BN111" s="9">
        <f t="shared" si="109"/>
        <v>0</v>
      </c>
      <c r="BO111" s="9">
        <f t="shared" si="109"/>
        <v>0</v>
      </c>
      <c r="BP111" s="9">
        <f t="shared" si="109"/>
        <v>0</v>
      </c>
      <c r="BQ111" s="9">
        <f t="shared" si="108"/>
        <v>0</v>
      </c>
      <c r="BR111" s="9">
        <f t="shared" si="108"/>
        <v>0</v>
      </c>
      <c r="BS111" s="9">
        <f t="shared" si="108"/>
        <v>0</v>
      </c>
      <c r="BT111" s="9">
        <f t="shared" si="108"/>
        <v>0</v>
      </c>
      <c r="BU111" s="9">
        <f t="shared" si="108"/>
        <v>0</v>
      </c>
      <c r="BV111" s="9">
        <f t="shared" si="108"/>
        <v>0</v>
      </c>
      <c r="BW111" s="9">
        <f t="shared" si="108"/>
        <v>0</v>
      </c>
      <c r="BX111" s="9">
        <f t="shared" si="108"/>
        <v>0</v>
      </c>
      <c r="BY111" s="9">
        <f t="shared" si="108"/>
        <v>0</v>
      </c>
      <c r="BZ111" s="9">
        <f t="shared" si="108"/>
        <v>0</v>
      </c>
      <c r="CA111" s="9">
        <f t="shared" si="108"/>
        <v>0</v>
      </c>
      <c r="CB111" s="9">
        <f t="shared" si="108"/>
        <v>0</v>
      </c>
      <c r="CC111" s="9">
        <f t="shared" si="108"/>
        <v>0</v>
      </c>
      <c r="CD111" s="9">
        <f t="shared" si="108"/>
        <v>0</v>
      </c>
      <c r="CE111" s="9">
        <f t="shared" si="104"/>
        <v>0</v>
      </c>
      <c r="CF111" s="9">
        <f t="shared" si="105"/>
        <v>0</v>
      </c>
      <c r="CG111" s="9"/>
      <c r="CH111" s="8"/>
      <c r="CI111" s="7"/>
      <c r="CJ111" s="7"/>
      <c r="CK111" s="7"/>
      <c r="CL111" s="7"/>
      <c r="CM111" s="7"/>
      <c r="CN111" s="7"/>
      <c r="CO111" s="7"/>
    </row>
    <row r="112" spans="3:93">
      <c r="C112" s="8" t="str">
        <f t="shared" si="106"/>
        <v>Trainees</v>
      </c>
      <c r="D112" s="8" t="str">
        <f t="shared" si="101"/>
        <v>B2 AP1</v>
      </c>
      <c r="E112" s="9">
        <f>E79+E95</f>
        <v>0</v>
      </c>
      <c r="F112" s="9">
        <f t="shared" ref="F112:AJ112" si="111">F79+F95</f>
        <v>0</v>
      </c>
      <c r="G112" s="9">
        <f t="shared" si="111"/>
        <v>0</v>
      </c>
      <c r="H112" s="9">
        <f t="shared" si="111"/>
        <v>0</v>
      </c>
      <c r="I112" s="9">
        <f t="shared" si="111"/>
        <v>0</v>
      </c>
      <c r="J112" s="9">
        <f t="shared" si="111"/>
        <v>0</v>
      </c>
      <c r="K112" s="9">
        <f t="shared" si="111"/>
        <v>0</v>
      </c>
      <c r="L112" s="9">
        <f t="shared" si="111"/>
        <v>0</v>
      </c>
      <c r="M112" s="9">
        <f t="shared" si="111"/>
        <v>0</v>
      </c>
      <c r="N112" s="9">
        <f t="shared" si="111"/>
        <v>0</v>
      </c>
      <c r="O112" s="9">
        <f t="shared" si="111"/>
        <v>0</v>
      </c>
      <c r="P112" s="9">
        <f t="shared" si="111"/>
        <v>0</v>
      </c>
      <c r="Q112" s="9">
        <f t="shared" si="111"/>
        <v>0</v>
      </c>
      <c r="R112" s="9">
        <f t="shared" si="111"/>
        <v>0</v>
      </c>
      <c r="S112" s="9">
        <f t="shared" si="111"/>
        <v>0</v>
      </c>
      <c r="T112" s="9">
        <f t="shared" si="111"/>
        <v>0</v>
      </c>
      <c r="U112" s="9">
        <f t="shared" si="111"/>
        <v>0</v>
      </c>
      <c r="V112" s="9">
        <f t="shared" si="111"/>
        <v>0</v>
      </c>
      <c r="W112" s="9">
        <f t="shared" si="111"/>
        <v>0</v>
      </c>
      <c r="X112" s="9">
        <f t="shared" si="111"/>
        <v>0</v>
      </c>
      <c r="Y112" s="9">
        <f t="shared" si="111"/>
        <v>0</v>
      </c>
      <c r="Z112" s="9">
        <f t="shared" si="111"/>
        <v>0</v>
      </c>
      <c r="AA112" s="9">
        <f t="shared" si="111"/>
        <v>0</v>
      </c>
      <c r="AB112" s="9">
        <f t="shared" si="111"/>
        <v>0</v>
      </c>
      <c r="AC112" s="9">
        <f t="shared" si="111"/>
        <v>0</v>
      </c>
      <c r="AD112" s="9">
        <f t="shared" si="111"/>
        <v>0</v>
      </c>
      <c r="AE112" s="9">
        <f t="shared" si="111"/>
        <v>0</v>
      </c>
      <c r="AF112" s="9">
        <f t="shared" si="111"/>
        <v>0</v>
      </c>
      <c r="AG112" s="9">
        <f t="shared" si="111"/>
        <v>0</v>
      </c>
      <c r="AH112" s="9">
        <f t="shared" si="111"/>
        <v>0</v>
      </c>
      <c r="AI112" s="9">
        <f t="shared" si="111"/>
        <v>0</v>
      </c>
      <c r="AJ112" s="9">
        <f t="shared" si="111"/>
        <v>0</v>
      </c>
      <c r="AK112" s="9">
        <f t="shared" si="109"/>
        <v>0</v>
      </c>
      <c r="AL112" s="9">
        <f t="shared" si="109"/>
        <v>0</v>
      </c>
      <c r="AM112" s="9">
        <f t="shared" si="109"/>
        <v>0</v>
      </c>
      <c r="AN112" s="9">
        <f t="shared" si="109"/>
        <v>0</v>
      </c>
      <c r="AO112" s="9">
        <f t="shared" si="109"/>
        <v>0</v>
      </c>
      <c r="AP112" s="9">
        <f t="shared" si="109"/>
        <v>0</v>
      </c>
      <c r="AQ112" s="9">
        <f t="shared" si="109"/>
        <v>0</v>
      </c>
      <c r="AR112" s="9">
        <f t="shared" si="109"/>
        <v>0</v>
      </c>
      <c r="AS112" s="9">
        <f t="shared" si="109"/>
        <v>0</v>
      </c>
      <c r="AT112" s="9">
        <f t="shared" si="109"/>
        <v>0</v>
      </c>
      <c r="AU112" s="9">
        <f t="shared" si="109"/>
        <v>0</v>
      </c>
      <c r="AV112" s="9">
        <f t="shared" si="109"/>
        <v>0</v>
      </c>
      <c r="AW112" s="9">
        <f t="shared" si="109"/>
        <v>0</v>
      </c>
      <c r="AX112" s="9">
        <f t="shared" si="109"/>
        <v>0</v>
      </c>
      <c r="AY112" s="9">
        <f t="shared" si="109"/>
        <v>0</v>
      </c>
      <c r="AZ112" s="9">
        <f t="shared" si="109"/>
        <v>0</v>
      </c>
      <c r="BA112" s="9">
        <f t="shared" si="109"/>
        <v>0</v>
      </c>
      <c r="BB112" s="9">
        <f t="shared" si="109"/>
        <v>0</v>
      </c>
      <c r="BC112" s="9">
        <f t="shared" si="109"/>
        <v>0</v>
      </c>
      <c r="BD112" s="9">
        <f t="shared" si="109"/>
        <v>0</v>
      </c>
      <c r="BE112" s="9">
        <f t="shared" si="109"/>
        <v>0</v>
      </c>
      <c r="BF112" s="9">
        <f t="shared" si="109"/>
        <v>0</v>
      </c>
      <c r="BG112" s="9">
        <f t="shared" si="109"/>
        <v>0</v>
      </c>
      <c r="BH112" s="9">
        <f t="shared" si="109"/>
        <v>0</v>
      </c>
      <c r="BI112" s="9">
        <f t="shared" si="109"/>
        <v>0</v>
      </c>
      <c r="BJ112" s="9">
        <f t="shared" si="109"/>
        <v>0</v>
      </c>
      <c r="BK112" s="9">
        <f t="shared" si="109"/>
        <v>0</v>
      </c>
      <c r="BL112" s="9">
        <f t="shared" si="109"/>
        <v>0</v>
      </c>
      <c r="BM112" s="9">
        <f t="shared" si="109"/>
        <v>0</v>
      </c>
      <c r="BN112" s="9">
        <f t="shared" si="109"/>
        <v>0</v>
      </c>
      <c r="BO112" s="9">
        <f t="shared" si="109"/>
        <v>0</v>
      </c>
      <c r="BP112" s="9">
        <f t="shared" si="109"/>
        <v>0</v>
      </c>
      <c r="BQ112" s="9">
        <f t="shared" si="108"/>
        <v>0</v>
      </c>
      <c r="BR112" s="9">
        <f t="shared" si="108"/>
        <v>0</v>
      </c>
      <c r="BS112" s="9">
        <f t="shared" si="108"/>
        <v>0</v>
      </c>
      <c r="BT112" s="9">
        <f t="shared" si="108"/>
        <v>0</v>
      </c>
      <c r="BU112" s="9">
        <f t="shared" si="108"/>
        <v>0</v>
      </c>
      <c r="BV112" s="9">
        <f t="shared" si="108"/>
        <v>0</v>
      </c>
      <c r="BW112" s="9">
        <f t="shared" si="108"/>
        <v>0</v>
      </c>
      <c r="BX112" s="9">
        <f t="shared" si="108"/>
        <v>0</v>
      </c>
      <c r="BY112" s="9">
        <f t="shared" si="108"/>
        <v>0</v>
      </c>
      <c r="BZ112" s="9">
        <f t="shared" si="108"/>
        <v>0</v>
      </c>
      <c r="CA112" s="9">
        <f t="shared" si="108"/>
        <v>0</v>
      </c>
      <c r="CB112" s="9">
        <f t="shared" si="108"/>
        <v>0</v>
      </c>
      <c r="CC112" s="9">
        <f t="shared" si="108"/>
        <v>0</v>
      </c>
      <c r="CD112" s="9">
        <f t="shared" si="108"/>
        <v>0</v>
      </c>
      <c r="CE112" s="9">
        <f t="shared" si="104"/>
        <v>0</v>
      </c>
      <c r="CF112" s="9">
        <f t="shared" si="105"/>
        <v>0</v>
      </c>
      <c r="CG112" s="9"/>
      <c r="CH112" s="8"/>
      <c r="CI112" s="7"/>
      <c r="CJ112" s="7"/>
      <c r="CK112" s="7"/>
      <c r="CL112" s="7"/>
      <c r="CM112" s="7"/>
      <c r="CN112" s="7"/>
      <c r="CO112" s="7"/>
    </row>
    <row r="113" spans="3:93" hidden="1">
      <c r="C113" s="8" t="str">
        <f>C96</f>
        <v>Open</v>
      </c>
      <c r="D113" s="8"/>
      <c r="E113" s="9">
        <f t="shared" ref="E113:AJ114" si="112">E80+E96</f>
        <v>0</v>
      </c>
      <c r="F113" s="9">
        <f t="shared" si="112"/>
        <v>0</v>
      </c>
      <c r="G113" s="9">
        <f t="shared" si="112"/>
        <v>0</v>
      </c>
      <c r="H113" s="9">
        <f t="shared" si="112"/>
        <v>0</v>
      </c>
      <c r="I113" s="9">
        <f t="shared" si="112"/>
        <v>0</v>
      </c>
      <c r="J113" s="9">
        <f t="shared" si="112"/>
        <v>0</v>
      </c>
      <c r="K113" s="9">
        <f t="shared" si="112"/>
        <v>0</v>
      </c>
      <c r="L113" s="9">
        <f t="shared" si="112"/>
        <v>0</v>
      </c>
      <c r="M113" s="9">
        <f t="shared" si="112"/>
        <v>0</v>
      </c>
      <c r="N113" s="9">
        <f t="shared" si="112"/>
        <v>0</v>
      </c>
      <c r="O113" s="9">
        <f t="shared" si="112"/>
        <v>0</v>
      </c>
      <c r="P113" s="9">
        <f t="shared" si="112"/>
        <v>0</v>
      </c>
      <c r="Q113" s="9">
        <f t="shared" si="112"/>
        <v>0</v>
      </c>
      <c r="R113" s="9">
        <f t="shared" si="112"/>
        <v>0</v>
      </c>
      <c r="S113" s="9">
        <f t="shared" si="112"/>
        <v>0</v>
      </c>
      <c r="T113" s="9">
        <f t="shared" si="112"/>
        <v>0</v>
      </c>
      <c r="U113" s="9">
        <f t="shared" si="112"/>
        <v>0</v>
      </c>
      <c r="V113" s="9">
        <f t="shared" si="112"/>
        <v>0</v>
      </c>
      <c r="W113" s="9">
        <f t="shared" si="112"/>
        <v>0</v>
      </c>
      <c r="X113" s="9">
        <f t="shared" si="112"/>
        <v>0</v>
      </c>
      <c r="Y113" s="9">
        <f t="shared" si="112"/>
        <v>0</v>
      </c>
      <c r="Z113" s="9">
        <f t="shared" si="112"/>
        <v>0</v>
      </c>
      <c r="AA113" s="9">
        <f t="shared" si="112"/>
        <v>0</v>
      </c>
      <c r="AB113" s="9">
        <f t="shared" si="112"/>
        <v>0</v>
      </c>
      <c r="AC113" s="9">
        <f t="shared" si="112"/>
        <v>0</v>
      </c>
      <c r="AD113" s="9">
        <f t="shared" si="112"/>
        <v>0</v>
      </c>
      <c r="AE113" s="9">
        <f t="shared" si="112"/>
        <v>0</v>
      </c>
      <c r="AF113" s="9">
        <f t="shared" si="112"/>
        <v>0</v>
      </c>
      <c r="AG113" s="9">
        <f t="shared" si="112"/>
        <v>0</v>
      </c>
      <c r="AH113" s="9">
        <f t="shared" si="112"/>
        <v>0</v>
      </c>
      <c r="AI113" s="9">
        <f t="shared" si="112"/>
        <v>0</v>
      </c>
      <c r="AJ113" s="9">
        <f t="shared" si="112"/>
        <v>0</v>
      </c>
      <c r="AK113" s="9">
        <f t="shared" si="109"/>
        <v>0</v>
      </c>
      <c r="AL113" s="9">
        <f t="shared" si="109"/>
        <v>0</v>
      </c>
      <c r="AM113" s="9">
        <f t="shared" si="109"/>
        <v>0</v>
      </c>
      <c r="AN113" s="9">
        <f t="shared" si="109"/>
        <v>0</v>
      </c>
      <c r="AO113" s="9">
        <f t="shared" si="109"/>
        <v>0</v>
      </c>
      <c r="AP113" s="9">
        <f t="shared" si="109"/>
        <v>0</v>
      </c>
      <c r="AQ113" s="9">
        <f t="shared" si="109"/>
        <v>0</v>
      </c>
      <c r="AR113" s="9">
        <f t="shared" si="109"/>
        <v>0</v>
      </c>
      <c r="AS113" s="9">
        <f t="shared" si="109"/>
        <v>0</v>
      </c>
      <c r="AT113" s="9">
        <f t="shared" si="109"/>
        <v>0</v>
      </c>
      <c r="AU113" s="9">
        <f t="shared" si="109"/>
        <v>0</v>
      </c>
      <c r="AV113" s="9">
        <f t="shared" si="109"/>
        <v>0</v>
      </c>
      <c r="AW113" s="9">
        <f t="shared" si="109"/>
        <v>0</v>
      </c>
      <c r="AX113" s="9">
        <f t="shared" si="109"/>
        <v>0</v>
      </c>
      <c r="AY113" s="9">
        <f t="shared" si="109"/>
        <v>0</v>
      </c>
      <c r="AZ113" s="9">
        <f t="shared" si="109"/>
        <v>0</v>
      </c>
      <c r="BA113" s="9">
        <f t="shared" si="109"/>
        <v>0</v>
      </c>
      <c r="BB113" s="9">
        <f t="shared" si="109"/>
        <v>0</v>
      </c>
      <c r="BC113" s="9">
        <f t="shared" si="109"/>
        <v>0</v>
      </c>
      <c r="BD113" s="9">
        <f t="shared" si="109"/>
        <v>0</v>
      </c>
      <c r="BE113" s="9">
        <f t="shared" si="109"/>
        <v>0</v>
      </c>
      <c r="BF113" s="9">
        <f t="shared" si="109"/>
        <v>0</v>
      </c>
      <c r="BG113" s="9">
        <f t="shared" si="109"/>
        <v>0</v>
      </c>
      <c r="BH113" s="9">
        <f t="shared" si="109"/>
        <v>0</v>
      </c>
      <c r="BI113" s="9">
        <f t="shared" si="109"/>
        <v>0</v>
      </c>
      <c r="BJ113" s="9">
        <f t="shared" si="109"/>
        <v>0</v>
      </c>
      <c r="BK113" s="9">
        <f t="shared" si="109"/>
        <v>0</v>
      </c>
      <c r="BL113" s="9">
        <f t="shared" si="109"/>
        <v>0</v>
      </c>
      <c r="BM113" s="9">
        <f t="shared" si="109"/>
        <v>0</v>
      </c>
      <c r="BN113" s="9">
        <f t="shared" si="109"/>
        <v>0</v>
      </c>
      <c r="BO113" s="9">
        <f t="shared" si="109"/>
        <v>0</v>
      </c>
      <c r="BP113" s="9">
        <f t="shared" si="109"/>
        <v>0</v>
      </c>
      <c r="BQ113" s="9">
        <f t="shared" si="108"/>
        <v>0</v>
      </c>
      <c r="BR113" s="9">
        <f t="shared" si="108"/>
        <v>0</v>
      </c>
      <c r="BS113" s="9">
        <f t="shared" si="108"/>
        <v>0</v>
      </c>
      <c r="BT113" s="9">
        <f t="shared" si="108"/>
        <v>0</v>
      </c>
      <c r="BU113" s="9">
        <f t="shared" si="108"/>
        <v>0</v>
      </c>
      <c r="BV113" s="9">
        <f t="shared" si="108"/>
        <v>0</v>
      </c>
      <c r="BW113" s="9">
        <f t="shared" si="108"/>
        <v>0</v>
      </c>
      <c r="BX113" s="9">
        <f t="shared" si="108"/>
        <v>0</v>
      </c>
      <c r="BY113" s="9">
        <f t="shared" si="108"/>
        <v>0</v>
      </c>
      <c r="BZ113" s="9">
        <f t="shared" si="108"/>
        <v>0</v>
      </c>
      <c r="CA113" s="9">
        <f t="shared" si="108"/>
        <v>0</v>
      </c>
      <c r="CB113" s="9">
        <f t="shared" si="108"/>
        <v>0</v>
      </c>
      <c r="CC113" s="9">
        <f t="shared" si="108"/>
        <v>0</v>
      </c>
      <c r="CD113" s="9">
        <f t="shared" si="108"/>
        <v>0</v>
      </c>
      <c r="CE113" s="9">
        <f t="shared" si="104"/>
        <v>0</v>
      </c>
      <c r="CF113" s="9">
        <f t="shared" si="105"/>
        <v>0</v>
      </c>
      <c r="CG113" s="9"/>
      <c r="CH113" s="8"/>
      <c r="CI113" s="7"/>
      <c r="CJ113" s="7"/>
      <c r="CK113" s="7"/>
      <c r="CL113" s="7"/>
      <c r="CM113" s="7"/>
      <c r="CN113" s="7"/>
      <c r="CO113" s="7"/>
    </row>
    <row r="114" spans="3:93" hidden="1">
      <c r="C114" s="8" t="str">
        <f>$C19</f>
        <v>Open</v>
      </c>
      <c r="D114" s="8"/>
      <c r="E114" s="9">
        <f t="shared" si="112"/>
        <v>0</v>
      </c>
      <c r="F114" s="9">
        <f t="shared" si="112"/>
        <v>0</v>
      </c>
      <c r="G114" s="9">
        <f t="shared" si="112"/>
        <v>0</v>
      </c>
      <c r="H114" s="9">
        <f t="shared" si="112"/>
        <v>0</v>
      </c>
      <c r="I114" s="9">
        <f t="shared" si="112"/>
        <v>0</v>
      </c>
      <c r="J114" s="9">
        <f t="shared" si="112"/>
        <v>0</v>
      </c>
      <c r="K114" s="9">
        <f t="shared" si="112"/>
        <v>0</v>
      </c>
      <c r="L114" s="9">
        <f t="shared" si="112"/>
        <v>0</v>
      </c>
      <c r="M114" s="9">
        <f t="shared" si="112"/>
        <v>0</v>
      </c>
      <c r="N114" s="9">
        <f t="shared" si="112"/>
        <v>0</v>
      </c>
      <c r="O114" s="9">
        <f t="shared" si="112"/>
        <v>0</v>
      </c>
      <c r="P114" s="9">
        <f t="shared" si="112"/>
        <v>0</v>
      </c>
      <c r="Q114" s="9">
        <f t="shared" si="112"/>
        <v>0</v>
      </c>
      <c r="R114" s="9">
        <f t="shared" si="112"/>
        <v>0</v>
      </c>
      <c r="S114" s="9">
        <f t="shared" si="112"/>
        <v>0</v>
      </c>
      <c r="T114" s="9">
        <f t="shared" si="112"/>
        <v>0</v>
      </c>
      <c r="U114" s="9">
        <f t="shared" si="112"/>
        <v>0</v>
      </c>
      <c r="V114" s="9">
        <f t="shared" si="112"/>
        <v>0</v>
      </c>
      <c r="W114" s="9">
        <f t="shared" si="112"/>
        <v>0</v>
      </c>
      <c r="X114" s="9">
        <f t="shared" si="112"/>
        <v>0</v>
      </c>
      <c r="Y114" s="9">
        <f t="shared" si="112"/>
        <v>0</v>
      </c>
      <c r="Z114" s="9">
        <f t="shared" si="112"/>
        <v>0</v>
      </c>
      <c r="AA114" s="9">
        <f t="shared" si="112"/>
        <v>0</v>
      </c>
      <c r="AB114" s="9">
        <f t="shared" si="112"/>
        <v>0</v>
      </c>
      <c r="AC114" s="9">
        <f t="shared" si="112"/>
        <v>0</v>
      </c>
      <c r="AD114" s="9">
        <f t="shared" si="112"/>
        <v>0</v>
      </c>
      <c r="AE114" s="9">
        <f t="shared" si="112"/>
        <v>0</v>
      </c>
      <c r="AF114" s="9">
        <f t="shared" si="112"/>
        <v>0</v>
      </c>
      <c r="AG114" s="9">
        <f t="shared" si="112"/>
        <v>0</v>
      </c>
      <c r="AH114" s="9">
        <f t="shared" si="112"/>
        <v>0</v>
      </c>
      <c r="AI114" s="9">
        <f t="shared" si="112"/>
        <v>0</v>
      </c>
      <c r="AJ114" s="9">
        <f t="shared" si="112"/>
        <v>0</v>
      </c>
      <c r="AK114" s="9">
        <f t="shared" si="109"/>
        <v>0</v>
      </c>
      <c r="AL114" s="9">
        <f t="shared" si="109"/>
        <v>0</v>
      </c>
      <c r="AM114" s="9">
        <f t="shared" si="109"/>
        <v>0</v>
      </c>
      <c r="AN114" s="9">
        <f t="shared" si="109"/>
        <v>0</v>
      </c>
      <c r="AO114" s="9">
        <f t="shared" si="109"/>
        <v>0</v>
      </c>
      <c r="AP114" s="9">
        <f t="shared" si="109"/>
        <v>0</v>
      </c>
      <c r="AQ114" s="9">
        <f t="shared" si="109"/>
        <v>0</v>
      </c>
      <c r="AR114" s="9">
        <f t="shared" si="109"/>
        <v>0</v>
      </c>
      <c r="AS114" s="9">
        <f t="shared" si="109"/>
        <v>0</v>
      </c>
      <c r="AT114" s="9">
        <f t="shared" si="109"/>
        <v>0</v>
      </c>
      <c r="AU114" s="9">
        <f t="shared" si="109"/>
        <v>0</v>
      </c>
      <c r="AV114" s="9">
        <f t="shared" si="109"/>
        <v>0</v>
      </c>
      <c r="AW114" s="9">
        <f t="shared" si="109"/>
        <v>0</v>
      </c>
      <c r="AX114" s="9">
        <f t="shared" si="109"/>
        <v>0</v>
      </c>
      <c r="AY114" s="9">
        <f t="shared" si="109"/>
        <v>0</v>
      </c>
      <c r="AZ114" s="9">
        <f t="shared" si="109"/>
        <v>0</v>
      </c>
      <c r="BA114" s="9">
        <f t="shared" si="109"/>
        <v>0</v>
      </c>
      <c r="BB114" s="9">
        <f t="shared" si="109"/>
        <v>0</v>
      </c>
      <c r="BC114" s="9">
        <f t="shared" si="109"/>
        <v>0</v>
      </c>
      <c r="BD114" s="9">
        <f t="shared" si="109"/>
        <v>0</v>
      </c>
      <c r="BE114" s="9">
        <f t="shared" si="109"/>
        <v>0</v>
      </c>
      <c r="BF114" s="9">
        <f t="shared" si="109"/>
        <v>0</v>
      </c>
      <c r="BG114" s="9">
        <f t="shared" si="109"/>
        <v>0</v>
      </c>
      <c r="BH114" s="9">
        <f t="shared" si="109"/>
        <v>0</v>
      </c>
      <c r="BI114" s="9">
        <f t="shared" si="109"/>
        <v>0</v>
      </c>
      <c r="BJ114" s="9">
        <f t="shared" si="109"/>
        <v>0</v>
      </c>
      <c r="BK114" s="9">
        <f t="shared" si="109"/>
        <v>0</v>
      </c>
      <c r="BL114" s="9">
        <f t="shared" si="109"/>
        <v>0</v>
      </c>
      <c r="BM114" s="9">
        <f t="shared" si="109"/>
        <v>0</v>
      </c>
      <c r="BN114" s="9">
        <f t="shared" si="109"/>
        <v>0</v>
      </c>
      <c r="BO114" s="9">
        <f t="shared" si="109"/>
        <v>0</v>
      </c>
      <c r="BP114" s="9">
        <f t="shared" si="109"/>
        <v>0</v>
      </c>
      <c r="BQ114" s="9">
        <f t="shared" si="108"/>
        <v>0</v>
      </c>
      <c r="BR114" s="9">
        <f t="shared" si="108"/>
        <v>0</v>
      </c>
      <c r="BS114" s="9">
        <f t="shared" si="108"/>
        <v>0</v>
      </c>
      <c r="BT114" s="9">
        <f t="shared" si="108"/>
        <v>0</v>
      </c>
      <c r="BU114" s="9">
        <f t="shared" si="108"/>
        <v>0</v>
      </c>
      <c r="BV114" s="9">
        <f t="shared" si="108"/>
        <v>0</v>
      </c>
      <c r="BW114" s="9">
        <f t="shared" si="108"/>
        <v>0</v>
      </c>
      <c r="BX114" s="9">
        <f t="shared" si="108"/>
        <v>0</v>
      </c>
      <c r="BY114" s="9">
        <f t="shared" si="108"/>
        <v>0</v>
      </c>
      <c r="BZ114" s="9">
        <f t="shared" si="108"/>
        <v>0</v>
      </c>
      <c r="CA114" s="9">
        <f t="shared" si="108"/>
        <v>0</v>
      </c>
      <c r="CB114" s="9">
        <f t="shared" si="108"/>
        <v>0</v>
      </c>
      <c r="CC114" s="9">
        <f t="shared" si="108"/>
        <v>0</v>
      </c>
      <c r="CD114" s="9">
        <f t="shared" si="108"/>
        <v>0</v>
      </c>
      <c r="CE114" s="9">
        <f t="shared" si="104"/>
        <v>0</v>
      </c>
      <c r="CF114" s="9">
        <f t="shared" si="105"/>
        <v>0</v>
      </c>
      <c r="CG114" s="9"/>
      <c r="CH114" s="8"/>
      <c r="CI114" s="7"/>
      <c r="CJ114" s="7"/>
      <c r="CK114" s="7"/>
      <c r="CL114" s="7"/>
      <c r="CM114" s="7"/>
      <c r="CN114" s="7"/>
      <c r="CO114" s="7"/>
    </row>
    <row r="115" spans="3:93">
      <c r="C115" s="8" t="s">
        <v>29</v>
      </c>
      <c r="D115" s="8"/>
      <c r="E115" s="12">
        <f t="shared" ref="E115:P115" si="113">SUM(E102:E114)</f>
        <v>0</v>
      </c>
      <c r="F115" s="12">
        <f t="shared" si="113"/>
        <v>0</v>
      </c>
      <c r="G115" s="12">
        <f t="shared" si="113"/>
        <v>0</v>
      </c>
      <c r="H115" s="12">
        <f t="shared" si="113"/>
        <v>0</v>
      </c>
      <c r="I115" s="12">
        <f t="shared" si="113"/>
        <v>0</v>
      </c>
      <c r="J115" s="12">
        <f t="shared" si="113"/>
        <v>0</v>
      </c>
      <c r="K115" s="12">
        <f t="shared" si="113"/>
        <v>0</v>
      </c>
      <c r="L115" s="12">
        <f t="shared" si="113"/>
        <v>0</v>
      </c>
      <c r="M115" s="12">
        <f t="shared" si="113"/>
        <v>0</v>
      </c>
      <c r="N115" s="12">
        <f t="shared" si="113"/>
        <v>0</v>
      </c>
      <c r="O115" s="12">
        <f t="shared" si="113"/>
        <v>0</v>
      </c>
      <c r="P115" s="12">
        <f t="shared" si="113"/>
        <v>0</v>
      </c>
      <c r="Q115" s="12"/>
      <c r="R115" s="12">
        <f t="shared" ref="R115:AC115" si="114">SUM(R102:R114)</f>
        <v>0</v>
      </c>
      <c r="S115" s="12">
        <f t="shared" si="114"/>
        <v>0</v>
      </c>
      <c r="T115" s="12">
        <f t="shared" si="114"/>
        <v>0</v>
      </c>
      <c r="U115" s="12">
        <f t="shared" si="114"/>
        <v>0</v>
      </c>
      <c r="V115" s="12">
        <f t="shared" si="114"/>
        <v>0</v>
      </c>
      <c r="W115" s="12">
        <f t="shared" si="114"/>
        <v>0</v>
      </c>
      <c r="X115" s="12">
        <f t="shared" si="114"/>
        <v>0</v>
      </c>
      <c r="Y115" s="12">
        <f t="shared" si="114"/>
        <v>0</v>
      </c>
      <c r="Z115" s="12">
        <f t="shared" si="114"/>
        <v>0</v>
      </c>
      <c r="AA115" s="12">
        <f t="shared" si="114"/>
        <v>0</v>
      </c>
      <c r="AB115" s="12">
        <f t="shared" si="114"/>
        <v>0</v>
      </c>
      <c r="AC115" s="12">
        <f t="shared" si="114"/>
        <v>0</v>
      </c>
      <c r="AD115" s="12"/>
      <c r="AE115" s="12">
        <f t="shared" ref="AE115:AP115" si="115">SUM(AE102:AE114)</f>
        <v>0</v>
      </c>
      <c r="AF115" s="12">
        <f t="shared" si="115"/>
        <v>0</v>
      </c>
      <c r="AG115" s="12">
        <f t="shared" si="115"/>
        <v>0</v>
      </c>
      <c r="AH115" s="12">
        <f t="shared" si="115"/>
        <v>0</v>
      </c>
      <c r="AI115" s="12">
        <f t="shared" si="115"/>
        <v>0</v>
      </c>
      <c r="AJ115" s="12">
        <f t="shared" si="115"/>
        <v>0</v>
      </c>
      <c r="AK115" s="12">
        <f t="shared" si="115"/>
        <v>0</v>
      </c>
      <c r="AL115" s="12">
        <f t="shared" si="115"/>
        <v>0</v>
      </c>
      <c r="AM115" s="12">
        <f t="shared" si="115"/>
        <v>0</v>
      </c>
      <c r="AN115" s="12">
        <f t="shared" si="115"/>
        <v>0</v>
      </c>
      <c r="AO115" s="12">
        <f t="shared" si="115"/>
        <v>0</v>
      </c>
      <c r="AP115" s="12">
        <f t="shared" si="115"/>
        <v>0</v>
      </c>
      <c r="AQ115" s="12"/>
      <c r="AR115" s="12">
        <f t="shared" ref="AR115:BC115" si="116">SUM(AR102:AR114)</f>
        <v>0</v>
      </c>
      <c r="AS115" s="12">
        <f t="shared" si="116"/>
        <v>0</v>
      </c>
      <c r="AT115" s="12">
        <f t="shared" si="116"/>
        <v>0</v>
      </c>
      <c r="AU115" s="12">
        <f t="shared" si="116"/>
        <v>0</v>
      </c>
      <c r="AV115" s="12">
        <f t="shared" si="116"/>
        <v>0</v>
      </c>
      <c r="AW115" s="12">
        <f t="shared" si="116"/>
        <v>0</v>
      </c>
      <c r="AX115" s="12">
        <f t="shared" si="116"/>
        <v>0</v>
      </c>
      <c r="AY115" s="12">
        <f t="shared" si="116"/>
        <v>0</v>
      </c>
      <c r="AZ115" s="12">
        <f t="shared" si="116"/>
        <v>0</v>
      </c>
      <c r="BA115" s="12">
        <f t="shared" si="116"/>
        <v>0</v>
      </c>
      <c r="BB115" s="12">
        <f t="shared" si="116"/>
        <v>0</v>
      </c>
      <c r="BC115" s="12">
        <f t="shared" si="116"/>
        <v>0</v>
      </c>
      <c r="BD115" s="12"/>
      <c r="BE115" s="12">
        <f t="shared" ref="BE115:BP115" si="117">SUM(BE102:BE114)</f>
        <v>0</v>
      </c>
      <c r="BF115" s="12">
        <f t="shared" si="117"/>
        <v>0</v>
      </c>
      <c r="BG115" s="12">
        <f t="shared" si="117"/>
        <v>0</v>
      </c>
      <c r="BH115" s="12">
        <f t="shared" si="117"/>
        <v>0</v>
      </c>
      <c r="BI115" s="12">
        <f t="shared" si="117"/>
        <v>0</v>
      </c>
      <c r="BJ115" s="12">
        <f t="shared" si="117"/>
        <v>0</v>
      </c>
      <c r="BK115" s="12">
        <f t="shared" si="117"/>
        <v>0</v>
      </c>
      <c r="BL115" s="12">
        <f t="shared" si="117"/>
        <v>0</v>
      </c>
      <c r="BM115" s="12">
        <f t="shared" si="117"/>
        <v>0</v>
      </c>
      <c r="BN115" s="12">
        <f t="shared" si="117"/>
        <v>0</v>
      </c>
      <c r="BO115" s="12">
        <f t="shared" si="117"/>
        <v>0</v>
      </c>
      <c r="BP115" s="12">
        <f t="shared" si="117"/>
        <v>0</v>
      </c>
      <c r="BQ115" s="12"/>
      <c r="BR115" s="12">
        <f t="shared" ref="BR115:CC115" si="118">SUM(BR102:BR114)</f>
        <v>0</v>
      </c>
      <c r="BS115" s="12">
        <f t="shared" si="118"/>
        <v>0</v>
      </c>
      <c r="BT115" s="12">
        <f t="shared" si="118"/>
        <v>0</v>
      </c>
      <c r="BU115" s="12">
        <f t="shared" si="118"/>
        <v>0</v>
      </c>
      <c r="BV115" s="12">
        <f t="shared" si="118"/>
        <v>0</v>
      </c>
      <c r="BW115" s="12">
        <f t="shared" si="118"/>
        <v>0</v>
      </c>
      <c r="BX115" s="12">
        <f t="shared" si="118"/>
        <v>0</v>
      </c>
      <c r="BY115" s="12">
        <f t="shared" si="118"/>
        <v>0</v>
      </c>
      <c r="BZ115" s="12">
        <f t="shared" si="118"/>
        <v>0</v>
      </c>
      <c r="CA115" s="12">
        <f t="shared" si="118"/>
        <v>0</v>
      </c>
      <c r="CB115" s="12">
        <f t="shared" si="118"/>
        <v>0</v>
      </c>
      <c r="CC115" s="12">
        <f t="shared" si="118"/>
        <v>0</v>
      </c>
      <c r="CD115" s="12"/>
      <c r="CE115" s="12">
        <f>SUM(CE102:CE114)</f>
        <v>0</v>
      </c>
      <c r="CF115" s="12">
        <f>SUM(CF102:CF114)</f>
        <v>0</v>
      </c>
      <c r="CG115" s="13"/>
      <c r="CH115" s="8"/>
      <c r="CI115" s="7"/>
      <c r="CJ115" s="7"/>
      <c r="CK115" s="7"/>
      <c r="CL115" s="7"/>
      <c r="CM115" s="7"/>
      <c r="CN115" s="7"/>
      <c r="CO115" s="7"/>
    </row>
    <row r="116" spans="3:93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14"/>
      <c r="CJ116" s="14"/>
    </row>
    <row r="117" spans="3:93" s="15" customFormat="1">
      <c r="E117" s="15" t="str">
        <f>IF(E115=0,"",DATE(E5,1,1))</f>
        <v/>
      </c>
      <c r="F117" s="15" t="str">
        <f>IF(F115=0,"",DATE(F5,2,1))</f>
        <v/>
      </c>
      <c r="G117" s="15" t="str">
        <f>IF(G115=0,"",DATE(G5,3,1))</f>
        <v/>
      </c>
      <c r="H117" s="15" t="str">
        <f>IF(H115=0,"",DATE(H5,4,1))</f>
        <v/>
      </c>
      <c r="I117" s="15" t="str">
        <f>IF(I115=0,"",DATE(I5,5,1))</f>
        <v/>
      </c>
      <c r="J117" s="15" t="str">
        <f>IF(J115=0,"",DATE(J5,6,1))</f>
        <v/>
      </c>
      <c r="K117" s="15" t="str">
        <f>IF(K115=0,"",DATE(K5,7,1))</f>
        <v/>
      </c>
      <c r="L117" s="15" t="str">
        <f>IF(L115=0,"",DATE(L5,8,1))</f>
        <v/>
      </c>
      <c r="M117" s="15" t="str">
        <f>IF(M115=0,"",DATE(M5,9,1))</f>
        <v/>
      </c>
      <c r="N117" s="15" t="str">
        <f>IF(N115=0,"",DATE(N5,10,1))</f>
        <v/>
      </c>
      <c r="O117" s="15" t="str">
        <f>IF(O115=0,"",DATE(O5,11,1))</f>
        <v/>
      </c>
      <c r="P117" s="15" t="str">
        <f>IF(P115=0,"",DATE(P5,12,1))</f>
        <v/>
      </c>
      <c r="R117" s="15" t="str">
        <f>IF(R115=0,"",DATE(R5,1,1))</f>
        <v/>
      </c>
      <c r="S117" s="15" t="str">
        <f>IF(S115=0,"",DATE(S5,2,1))</f>
        <v/>
      </c>
      <c r="T117" s="15" t="str">
        <f>IF(T115=0,"",DATE(T5,3,1))</f>
        <v/>
      </c>
      <c r="U117" s="15" t="str">
        <f>IF(U115=0,"",DATE(U5,4,1))</f>
        <v/>
      </c>
      <c r="V117" s="15" t="str">
        <f>IF(V115=0,"",DATE(V5,5,1))</f>
        <v/>
      </c>
      <c r="W117" s="15" t="str">
        <f>IF(W115=0,"",DATE(W5,6,1))</f>
        <v/>
      </c>
      <c r="X117" s="15" t="str">
        <f>IF(X115=0,"",DATE(X5,7,1))</f>
        <v/>
      </c>
      <c r="Y117" s="15" t="str">
        <f>IF(Y115=0,"",DATE(Y5,8,1))</f>
        <v/>
      </c>
      <c r="Z117" s="15" t="str">
        <f>IF(Z115=0,"",DATE(Z5,9,1))</f>
        <v/>
      </c>
      <c r="AA117" s="15" t="str">
        <f>IF(AA115=0,"",DATE(AA5,10,1))</f>
        <v/>
      </c>
      <c r="AB117" s="15" t="str">
        <f>IF(AB115=0,"",DATE(AB5,11,1))</f>
        <v/>
      </c>
      <c r="AC117" s="15" t="str">
        <f>IF(AC115=0,"",DATE(AC5,12,1))</f>
        <v/>
      </c>
      <c r="AE117" s="15" t="str">
        <f>IF(AE115=0,"",DATE(AE5,1,1))</f>
        <v/>
      </c>
      <c r="AF117" s="15" t="str">
        <f>IF(AF115=0,"",DATE(AF5,2,1))</f>
        <v/>
      </c>
      <c r="AG117" s="15" t="str">
        <f>IF(AG115=0,"",DATE(AG5,3,1))</f>
        <v/>
      </c>
      <c r="AH117" s="15" t="str">
        <f>IF(AH115=0,"",DATE(AH5,4,1))</f>
        <v/>
      </c>
      <c r="AI117" s="15" t="str">
        <f>IF(AI115=0,"",DATE(AI5,5,1))</f>
        <v/>
      </c>
      <c r="AJ117" s="15" t="str">
        <f>IF(AJ115=0,"",DATE(AJ5,6,1))</f>
        <v/>
      </c>
      <c r="AK117" s="15" t="str">
        <f>IF(AK115=0,"",DATE(AK5,7,1))</f>
        <v/>
      </c>
      <c r="AL117" s="15" t="str">
        <f>IF(AL115=0,"",DATE(AL5,8,1))</f>
        <v/>
      </c>
      <c r="AM117" s="15" t="str">
        <f>IF(AM115=0,"",DATE(AM5,9,1))</f>
        <v/>
      </c>
      <c r="AN117" s="15" t="str">
        <f>IF(AN115=0,"",DATE(AN5,10,1))</f>
        <v/>
      </c>
      <c r="AO117" s="15" t="str">
        <f>IF(AO115=0,"",DATE(AO5,11,1))</f>
        <v/>
      </c>
      <c r="AP117" s="15" t="str">
        <f>IF(AP115=0,"",DATE(AP5,12,1))</f>
        <v/>
      </c>
      <c r="AQ117" s="15" t="str">
        <f>IF(AQ115=0,"",IF(AQ4=1,DATE(2004,1,1),IF(AQ4=2,DATE(2004,2,1),IF(AQ4=3,DATE(2004,3,1),IF(AQ4=4,DATE(2004,4,1),IF(AQ4=5,DATE(2004,5,1),IF(AQ4=6,DATE(2004,6,1),"")))))))</f>
        <v/>
      </c>
      <c r="AR117" s="15" t="str">
        <f>IF(AR115=0,"",DATE(AR5,1,1))</f>
        <v/>
      </c>
      <c r="AS117" s="15" t="str">
        <f>IF(AS115=0,"",DATE(AS5,2,1))</f>
        <v/>
      </c>
      <c r="AT117" s="15" t="str">
        <f>IF(AT115=0,"",DATE(AT5,3,1))</f>
        <v/>
      </c>
      <c r="AU117" s="15" t="str">
        <f>IF(AU115=0,"",DATE(AU5,4,1))</f>
        <v/>
      </c>
      <c r="AV117" s="15" t="str">
        <f>IF(AV115=0,"",DATE(AV5,5,1))</f>
        <v/>
      </c>
      <c r="AW117" s="15" t="str">
        <f>IF(AW115=0,"",DATE(AW5,6,1))</f>
        <v/>
      </c>
      <c r="AX117" s="15" t="str">
        <f>IF(AX115=0,"",DATE(AX5,7,1))</f>
        <v/>
      </c>
      <c r="AY117" s="15" t="str">
        <f>IF(AY115=0,"",DATE(AY5,8,1))</f>
        <v/>
      </c>
      <c r="AZ117" s="15" t="str">
        <f>IF(AZ115=0,"",DATE(AZ5,9,1))</f>
        <v/>
      </c>
      <c r="BA117" s="15" t="str">
        <f>IF(BA115=0,"",DATE(BA5,10,1))</f>
        <v/>
      </c>
      <c r="BB117" s="15" t="str">
        <f>IF(BB115=0,"",DATE(BB5,11,1))</f>
        <v/>
      </c>
      <c r="BC117" s="15" t="str">
        <f>IF(BC115=0,"",DATE(BC5,12,1))</f>
        <v/>
      </c>
      <c r="BD117" s="15" t="str">
        <f>IF(BD115=0,"",IF(BD4=1,DATE(2005,1,1),IF(BD4=2,DATE(2005,2,1),IF(BD4=3,DATE(2005,3,1),IF(BD4=4,DATE(2005,4,1),IF(BD4=5,DATE(2005,5,1),IF(BD4=6,DATE(2005,6,1),"")))))))</f>
        <v/>
      </c>
      <c r="BE117" s="15" t="str">
        <f>IF(BE115=0,"",DATE(BE5,1,1))</f>
        <v/>
      </c>
      <c r="BF117" s="15" t="str">
        <f>IF(BF115=0,"",DATE(BF5,2,1))</f>
        <v/>
      </c>
      <c r="BG117" s="15" t="str">
        <f>IF(BG115=0,"",DATE(BG5,3,1))</f>
        <v/>
      </c>
      <c r="BH117" s="15" t="str">
        <f>IF(BH115=0,"",DATE(BH5,4,1))</f>
        <v/>
      </c>
      <c r="BI117" s="15" t="str">
        <f>IF(BI115=0,"",DATE(BI5,5,1))</f>
        <v/>
      </c>
      <c r="BJ117" s="15" t="str">
        <f>IF(BJ115=0,"",DATE(BJ5,6,1))</f>
        <v/>
      </c>
      <c r="BK117" s="15" t="str">
        <f>IF(BK115=0,"",DATE(BK5,7,1))</f>
        <v/>
      </c>
      <c r="BL117" s="15" t="str">
        <f>IF(BL115=0,"",DATE(BL5,8,1))</f>
        <v/>
      </c>
      <c r="BM117" s="15" t="str">
        <f>IF(BM115=0,"",DATE(BM5,9,1))</f>
        <v/>
      </c>
      <c r="BN117" s="15" t="str">
        <f>IF(BN115=0,"",DATE(BN5,10,1))</f>
        <v/>
      </c>
      <c r="BO117" s="15" t="str">
        <f>IF(BO115=0,"",DATE(BO5,11,1))</f>
        <v/>
      </c>
      <c r="BP117" s="15" t="str">
        <f>IF(BP115=0,"",DATE(BP5,12,1))</f>
        <v/>
      </c>
      <c r="BQ117" s="15" t="str">
        <f>IF(BQ115=0,"",IF(BQ4=1,DATE(2006,1,1),IF(BQ4=2,DATE(2006,2,1),IF(BQ4=3,DATE(2006,3,1),IF(BQ4=4,DATE(2006,4,1),IF(BQ4=5,DATE(2006,5,1),IF(BQ4=6,DATE(2006,6,1),"")))))))</f>
        <v/>
      </c>
      <c r="BR117" s="15" t="str">
        <f>IF(BR115=0,"",DATE(BR5,1,1))</f>
        <v/>
      </c>
      <c r="BS117" s="15" t="str">
        <f>IF(BS115=0,"",DATE(BS5,2,1))</f>
        <v/>
      </c>
      <c r="BT117" s="15" t="str">
        <f>IF(BT115=0,"",DATE(BT5,3,1))</f>
        <v/>
      </c>
      <c r="BU117" s="15" t="str">
        <f>IF(BU115=0,"",DATE(BU5,4,1))</f>
        <v/>
      </c>
      <c r="BV117" s="15" t="str">
        <f>IF(BV115=0,"",DATE(BV5,5,1))</f>
        <v/>
      </c>
      <c r="BW117" s="15" t="str">
        <f>IF(BW115=0,"",DATE(BW5,6,1))</f>
        <v/>
      </c>
      <c r="BX117" s="15" t="str">
        <f>IF(BX115=0,"",DATE(BX5,7,1))</f>
        <v/>
      </c>
      <c r="BY117" s="15" t="str">
        <f>IF(BY115=0,"",DATE(BY5,8,1))</f>
        <v/>
      </c>
      <c r="BZ117" s="15" t="str">
        <f>IF(BZ115=0,"",DATE(BZ5,9,1))</f>
        <v/>
      </c>
      <c r="CA117" s="15" t="str">
        <f>IF(CA115=0,"",DATE(CA5,10,1))</f>
        <v/>
      </c>
      <c r="CB117" s="15" t="str">
        <f>IF(CB115=0,"",DATE(CB5,11,1))</f>
        <v/>
      </c>
      <c r="CC117" s="15" t="str">
        <f>IF(CC115=0,"",DATE(CC5,12,1))</f>
        <v/>
      </c>
      <c r="CD117" s="15" t="str">
        <f>IF(CD115=0,"",IF(CD4=1,DATE(2007,1,1),IF(CD4=2,DATE(2007,2,1),IF(CD4=3,DATE(2007,3,1),IF(CD4=4,DATE(2007,4,1),IF(CD4=5,DATE(2007,5,1),IF(CD4=6,DATE(2007,6,1),"")))))))</f>
        <v/>
      </c>
      <c r="CI117" s="16"/>
      <c r="CJ117" s="16"/>
      <c r="CK117" s="16"/>
      <c r="CL117" s="16"/>
      <c r="CM117" s="16"/>
      <c r="CN117" s="16"/>
      <c r="CO117" s="16"/>
    </row>
    <row r="118" spans="3:93">
      <c r="C118" s="8"/>
      <c r="D118" s="8"/>
      <c r="E118" s="1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15" t="str">
        <f>IF(OR(AQ4&lt;7,AQ115=0),"",IF(AQ4=7,DATE(2004,7,1),IF(AQ4=8,DATE(2004,8,1),IF(AQ4=9,DATE(2004,9,1),IF(AQ4=10,DATE(2004,10,1),IF(AQ4=11,DATE(2004,11,1),IF(AQ4=12,DATE(2004,12,1),"")))))))</f>
        <v/>
      </c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 t="str">
        <f>IF(OR(BD4&lt;7,BD115=0),"",IF(BD4=7,DATE(2005,7,1),IF(BD4=8,DATE(2005,8,1),IF(BD4=9,DATE(2005,9,1),IF(BD4=10,DATE(2005,10,1),IF(BD4=11,DATE(2005,11,1),IF(BD4=12,DATE(2005,12,1),"")))))))</f>
        <v/>
      </c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 t="str">
        <f>IF(OR(BQ4&lt;7,BQ115=0),"",IF(BQ4=7,DATE(2006,7,1),IF(BQ4=8,DATE(2006,8,1),IF(BQ4=9,DATE(2006,9,1),IF(BQ4=10,DATE(2006,10,1),IF(BQ4=11,DATE(2006,11,1),IF(BQ4=12,DATE(2006,12,1),"")))))))</f>
        <v/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 t="str">
        <f>IF(OR(CD4&lt;7,CD115=0),"",IF(CD4=7,DATE(2007,7,1),IF(CD4=8,DATE(2007,8,1),IF(CD4=9,DATE(2007,9,1),IF(CD4=10,DATE(2007,10,1),IF(CD4=11,DATE(2007,11,1),IF(CD4=12,DATE(2007,12,1),"")))))))</f>
        <v/>
      </c>
      <c r="CE118" s="8"/>
      <c r="CF118" s="8"/>
      <c r="CG118" s="8"/>
      <c r="CH118" s="8"/>
      <c r="CI118" s="14"/>
      <c r="CJ118" s="14"/>
    </row>
    <row r="119" spans="3:93">
      <c r="C119" s="17"/>
      <c r="D119" s="17"/>
      <c r="E119" s="15" t="str">
        <f>IF(AND(E117="",E118=""),"",MAX(E117:E118))</f>
        <v/>
      </c>
      <c r="F119" s="15" t="str">
        <f t="shared" ref="F119:AP119" si="119">IF(AND(F117="",F118=""),"",MAX(F117:F118))</f>
        <v/>
      </c>
      <c r="G119" s="15" t="str">
        <f t="shared" si="119"/>
        <v/>
      </c>
      <c r="H119" s="15" t="str">
        <f t="shared" si="119"/>
        <v/>
      </c>
      <c r="I119" s="15" t="str">
        <f t="shared" si="119"/>
        <v/>
      </c>
      <c r="J119" s="15" t="str">
        <f t="shared" si="119"/>
        <v/>
      </c>
      <c r="K119" s="15" t="str">
        <f t="shared" si="119"/>
        <v/>
      </c>
      <c r="L119" s="15" t="str">
        <f t="shared" si="119"/>
        <v/>
      </c>
      <c r="M119" s="15" t="str">
        <f t="shared" si="119"/>
        <v/>
      </c>
      <c r="N119" s="15" t="str">
        <f t="shared" si="119"/>
        <v/>
      </c>
      <c r="O119" s="15" t="str">
        <f t="shared" si="119"/>
        <v/>
      </c>
      <c r="P119" s="15" t="str">
        <f t="shared" si="119"/>
        <v/>
      </c>
      <c r="Q119" s="15" t="str">
        <f t="shared" si="119"/>
        <v/>
      </c>
      <c r="R119" s="15" t="str">
        <f t="shared" si="119"/>
        <v/>
      </c>
      <c r="S119" s="15" t="str">
        <f t="shared" si="119"/>
        <v/>
      </c>
      <c r="T119" s="15" t="str">
        <f t="shared" si="119"/>
        <v/>
      </c>
      <c r="U119" s="15" t="str">
        <f t="shared" si="119"/>
        <v/>
      </c>
      <c r="V119" s="15" t="str">
        <f t="shared" si="119"/>
        <v/>
      </c>
      <c r="W119" s="15" t="str">
        <f t="shared" si="119"/>
        <v/>
      </c>
      <c r="X119" s="15" t="str">
        <f t="shared" si="119"/>
        <v/>
      </c>
      <c r="Y119" s="15" t="str">
        <f t="shared" si="119"/>
        <v/>
      </c>
      <c r="Z119" s="15" t="str">
        <f t="shared" si="119"/>
        <v/>
      </c>
      <c r="AA119" s="15" t="str">
        <f t="shared" si="119"/>
        <v/>
      </c>
      <c r="AB119" s="15" t="str">
        <f t="shared" si="119"/>
        <v/>
      </c>
      <c r="AC119" s="15" t="str">
        <f>IF(AND(AC117="",AC118=""),"",MAX(AC117:AC118))</f>
        <v/>
      </c>
      <c r="AD119" s="15" t="str">
        <f t="shared" si="119"/>
        <v/>
      </c>
      <c r="AE119" s="15" t="str">
        <f t="shared" si="119"/>
        <v/>
      </c>
      <c r="AF119" s="15" t="str">
        <f t="shared" si="119"/>
        <v/>
      </c>
      <c r="AG119" s="15" t="str">
        <f t="shared" si="119"/>
        <v/>
      </c>
      <c r="AH119" s="15" t="str">
        <f t="shared" si="119"/>
        <v/>
      </c>
      <c r="AI119" s="15" t="str">
        <f t="shared" si="119"/>
        <v/>
      </c>
      <c r="AJ119" s="15" t="str">
        <f t="shared" si="119"/>
        <v/>
      </c>
      <c r="AK119" s="15" t="str">
        <f t="shared" si="119"/>
        <v/>
      </c>
      <c r="AL119" s="15" t="str">
        <f t="shared" si="119"/>
        <v/>
      </c>
      <c r="AM119" s="15" t="str">
        <f t="shared" si="119"/>
        <v/>
      </c>
      <c r="AN119" s="15" t="str">
        <f t="shared" si="119"/>
        <v/>
      </c>
      <c r="AO119" s="15" t="str">
        <f t="shared" si="119"/>
        <v/>
      </c>
      <c r="AP119" s="15" t="str">
        <f t="shared" si="119"/>
        <v/>
      </c>
      <c r="AQ119" s="15" t="str">
        <f>IF(AND(AQ117="",AQ118=""),"",MAX(AQ117:AQ118))</f>
        <v/>
      </c>
      <c r="AR119" s="15" t="str">
        <f t="shared" ref="AR119:BC119" si="120">IF(AND(AR117="",AR118=""),"",MAX(AR117:AR118))</f>
        <v/>
      </c>
      <c r="AS119" s="15" t="str">
        <f t="shared" si="120"/>
        <v/>
      </c>
      <c r="AT119" s="15" t="str">
        <f t="shared" si="120"/>
        <v/>
      </c>
      <c r="AU119" s="15" t="str">
        <f t="shared" si="120"/>
        <v/>
      </c>
      <c r="AV119" s="15" t="str">
        <f t="shared" si="120"/>
        <v/>
      </c>
      <c r="AW119" s="15" t="str">
        <f t="shared" si="120"/>
        <v/>
      </c>
      <c r="AX119" s="15" t="str">
        <f t="shared" si="120"/>
        <v/>
      </c>
      <c r="AY119" s="15" t="str">
        <f t="shared" si="120"/>
        <v/>
      </c>
      <c r="AZ119" s="15" t="str">
        <f t="shared" si="120"/>
        <v/>
      </c>
      <c r="BA119" s="15" t="str">
        <f t="shared" si="120"/>
        <v/>
      </c>
      <c r="BB119" s="15" t="str">
        <f t="shared" si="120"/>
        <v/>
      </c>
      <c r="BC119" s="15" t="str">
        <f t="shared" si="120"/>
        <v/>
      </c>
      <c r="BD119" s="15" t="str">
        <f>IF(AND(BD117="",BD118=""),"",MAX(BD117:BD118))</f>
        <v/>
      </c>
      <c r="BE119" s="15" t="str">
        <f t="shared" ref="BE119:BP119" si="121">IF(AND(BE117="",BE118=""),"",MAX(BE117:BE118))</f>
        <v/>
      </c>
      <c r="BF119" s="15" t="str">
        <f t="shared" si="121"/>
        <v/>
      </c>
      <c r="BG119" s="15" t="str">
        <f t="shared" si="121"/>
        <v/>
      </c>
      <c r="BH119" s="15" t="str">
        <f t="shared" si="121"/>
        <v/>
      </c>
      <c r="BI119" s="15" t="str">
        <f t="shared" si="121"/>
        <v/>
      </c>
      <c r="BJ119" s="15" t="str">
        <f t="shared" si="121"/>
        <v/>
      </c>
      <c r="BK119" s="15" t="str">
        <f t="shared" si="121"/>
        <v/>
      </c>
      <c r="BL119" s="15" t="str">
        <f t="shared" si="121"/>
        <v/>
      </c>
      <c r="BM119" s="15" t="str">
        <f t="shared" si="121"/>
        <v/>
      </c>
      <c r="BN119" s="15" t="str">
        <f t="shared" si="121"/>
        <v/>
      </c>
      <c r="BO119" s="15" t="str">
        <f t="shared" si="121"/>
        <v/>
      </c>
      <c r="BP119" s="15" t="str">
        <f t="shared" si="121"/>
        <v/>
      </c>
      <c r="BQ119" s="15" t="str">
        <f>IF(AND(BQ117="",BQ118=""),"",MAX(BQ117:BQ118))</f>
        <v/>
      </c>
      <c r="BR119" s="15" t="str">
        <f t="shared" ref="BR119:CC119" si="122">IF(AND(BR117="",BR118=""),"",MAX(BR117:BR118))</f>
        <v/>
      </c>
      <c r="BS119" s="15" t="str">
        <f t="shared" si="122"/>
        <v/>
      </c>
      <c r="BT119" s="15" t="str">
        <f t="shared" si="122"/>
        <v/>
      </c>
      <c r="BU119" s="15" t="str">
        <f t="shared" si="122"/>
        <v/>
      </c>
      <c r="BV119" s="15" t="str">
        <f t="shared" si="122"/>
        <v/>
      </c>
      <c r="BW119" s="15" t="str">
        <f t="shared" si="122"/>
        <v/>
      </c>
      <c r="BX119" s="15" t="str">
        <f t="shared" si="122"/>
        <v/>
      </c>
      <c r="BY119" s="15" t="str">
        <f t="shared" si="122"/>
        <v/>
      </c>
      <c r="BZ119" s="15" t="str">
        <f t="shared" si="122"/>
        <v/>
      </c>
      <c r="CA119" s="15" t="str">
        <f t="shared" si="122"/>
        <v/>
      </c>
      <c r="CB119" s="15" t="str">
        <f t="shared" si="122"/>
        <v/>
      </c>
      <c r="CC119" s="15" t="str">
        <f t="shared" si="122"/>
        <v/>
      </c>
      <c r="CD119" s="15" t="str">
        <f>IF(AND(CD117="",CD118=""),"",MAX(CD117:CD118))</f>
        <v/>
      </c>
      <c r="CE119" s="8"/>
      <c r="CF119" s="8"/>
      <c r="CG119" s="8"/>
      <c r="CH119" s="8"/>
      <c r="CI119" s="14"/>
      <c r="CJ119" s="14"/>
      <c r="CO119" s="14"/>
    </row>
    <row r="120" spans="3:93">
      <c r="Q120" s="15"/>
      <c r="CE120" s="8"/>
      <c r="CF120" s="8"/>
      <c r="CG120" s="8"/>
      <c r="CH120" s="8"/>
      <c r="CI120" s="14"/>
      <c r="CJ120" s="14"/>
    </row>
    <row r="121" spans="3:93">
      <c r="C121" s="17"/>
      <c r="D121" s="17"/>
      <c r="E121" s="1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14"/>
      <c r="CJ121" s="14"/>
    </row>
    <row r="122" spans="3:93">
      <c r="C122" s="17"/>
      <c r="D122" s="17"/>
      <c r="E122" s="1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14"/>
      <c r="CJ122" s="14"/>
    </row>
    <row r="123" spans="3:93">
      <c r="C123" s="17"/>
      <c r="D123" s="17"/>
      <c r="E123" s="1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3:93">
      <c r="C124" s="17"/>
      <c r="D124" s="17"/>
      <c r="E124" s="1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3:93">
      <c r="E125" s="131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3:93">
      <c r="E126" s="131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3:93">
      <c r="E127" s="131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3:93">
      <c r="E128" s="132"/>
      <c r="G128" s="5"/>
      <c r="I128" s="5"/>
      <c r="J128" s="5"/>
      <c r="K128" s="5"/>
    </row>
    <row r="129" spans="5:5">
      <c r="E129" s="131"/>
    </row>
    <row r="130" spans="5:5">
      <c r="E130" s="131"/>
    </row>
    <row r="131" spans="5:5">
      <c r="E131" s="131"/>
    </row>
    <row r="132" spans="5:5">
      <c r="E132" s="131"/>
    </row>
    <row r="133" spans="5:5">
      <c r="E133" s="131"/>
    </row>
    <row r="134" spans="5:5">
      <c r="E134" s="131"/>
    </row>
    <row r="135" spans="5:5">
      <c r="E135" s="131"/>
    </row>
    <row r="136" spans="5:5">
      <c r="E136" s="131"/>
    </row>
    <row r="137" spans="5:5">
      <c r="E137" s="131"/>
    </row>
    <row r="138" spans="5:5">
      <c r="E138" s="131"/>
    </row>
    <row r="139" spans="5:5">
      <c r="E139" s="131"/>
    </row>
    <row r="140" spans="5:5">
      <c r="E140" s="131"/>
    </row>
    <row r="141" spans="5:5">
      <c r="E141" s="131"/>
    </row>
    <row r="142" spans="5:5">
      <c r="E142" s="131"/>
    </row>
    <row r="143" spans="5:5">
      <c r="E143" s="132"/>
    </row>
    <row r="144" spans="5:5">
      <c r="E144" s="132"/>
    </row>
    <row r="145" spans="5:5">
      <c r="E145" s="131"/>
    </row>
    <row r="146" spans="5:5">
      <c r="E146" s="131"/>
    </row>
    <row r="147" spans="5:5">
      <c r="E147" s="131"/>
    </row>
    <row r="148" spans="5:5">
      <c r="E148" s="131"/>
    </row>
    <row r="149" spans="5:5">
      <c r="E149" s="131"/>
    </row>
    <row r="150" spans="5:5">
      <c r="E150" s="131"/>
    </row>
    <row r="151" spans="5:5">
      <c r="E151" s="131"/>
    </row>
    <row r="152" spans="5:5">
      <c r="E152" s="131"/>
    </row>
    <row r="153" spans="5:5">
      <c r="E153" s="131"/>
    </row>
    <row r="154" spans="5:5">
      <c r="E154" s="131"/>
    </row>
    <row r="155" spans="5:5">
      <c r="E155" s="131"/>
    </row>
    <row r="156" spans="5:5">
      <c r="E156" s="131"/>
    </row>
    <row r="157" spans="5:5">
      <c r="E157" s="131"/>
    </row>
    <row r="158" spans="5:5">
      <c r="E158" s="131"/>
    </row>
    <row r="159" spans="5:5">
      <c r="E159" s="132"/>
    </row>
    <row r="160" spans="5:5">
      <c r="E160" s="132"/>
    </row>
    <row r="161" spans="5:5">
      <c r="E161" s="131"/>
    </row>
    <row r="162" spans="5:5">
      <c r="E162" s="131"/>
    </row>
    <row r="163" spans="5:5">
      <c r="E163" s="131"/>
    </row>
    <row r="164" spans="5:5">
      <c r="E164" s="131"/>
    </row>
    <row r="165" spans="5:5">
      <c r="E165" s="131"/>
    </row>
    <row r="166" spans="5:5">
      <c r="E166" s="131"/>
    </row>
    <row r="167" spans="5:5">
      <c r="E167" s="131"/>
    </row>
    <row r="168" spans="5:5">
      <c r="E168" s="131"/>
    </row>
    <row r="169" spans="5:5">
      <c r="E169" s="131"/>
    </row>
    <row r="170" spans="5:5">
      <c r="E170" s="131"/>
    </row>
    <row r="171" spans="5:5">
      <c r="E171" s="131"/>
    </row>
    <row r="172" spans="5:5">
      <c r="E172" s="131"/>
    </row>
    <row r="173" spans="5:5">
      <c r="E173" s="131"/>
    </row>
    <row r="174" spans="5:5">
      <c r="E174" s="131"/>
    </row>
    <row r="175" spans="5:5">
      <c r="E175" s="132"/>
    </row>
  </sheetData>
  <sheetProtection algorithmName="SHA-512" hashValue="CdYOrTmDVxvYxvXAkZXsYYt6bPdpOD/ldNcb7k8KwXqvw9F+npV7Pwj0ruNmPYMLVC2PeA/f5E+6PCqdeme/FQ==" saltValue="UNy53bcw1u7vivWqWhFXgQ==" spinCount="100000" sheet="1" objects="1" scenarios="1"/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66" min="2" max="83" man="1"/>
  </rowBreaks>
  <colBreaks count="2" manualBreakCount="2">
    <brk id="30" max="114" man="1"/>
    <brk id="56" max="11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B43"/>
  <sheetViews>
    <sheetView workbookViewId="0">
      <selection activeCell="D18" sqref="D18:D19"/>
    </sheetView>
  </sheetViews>
  <sheetFormatPr defaultRowHeight="12.75"/>
  <cols>
    <col min="1" max="1" width="34.85546875" customWidth="1"/>
    <col min="2" max="2" width="12" customWidth="1"/>
  </cols>
  <sheetData>
    <row r="2" spans="1:2" ht="13.5" thickBot="1"/>
    <row r="3" spans="1:2" ht="13.5" thickBot="1">
      <c r="A3" s="517" t="s">
        <v>802</v>
      </c>
      <c r="B3" s="518"/>
    </row>
    <row r="4" spans="1:2" ht="13.5" thickBot="1"/>
    <row r="5" spans="1:2" ht="13.5" thickBot="1">
      <c r="A5" s="294" t="s">
        <v>806</v>
      </c>
      <c r="B5" s="294" t="s">
        <v>807</v>
      </c>
    </row>
    <row r="6" spans="1:2">
      <c r="A6" s="281" t="s">
        <v>804</v>
      </c>
      <c r="B6" s="284">
        <f>SUMIF('Staffing-Roles'!E141:E161,A6,'Staffing-Roles'!DS141:DS161)</f>
        <v>0</v>
      </c>
    </row>
    <row r="7" spans="1:2">
      <c r="A7" s="282" t="s">
        <v>805</v>
      </c>
      <c r="B7" s="285">
        <f>SUMIF('Staffing-Roles'!E141:E161,A7,'Staffing-Roles'!DS141:DS161)</f>
        <v>0</v>
      </c>
    </row>
    <row r="8" spans="1:2" ht="15.75" thickBot="1">
      <c r="A8" s="283" t="s">
        <v>803</v>
      </c>
      <c r="B8" s="286">
        <f>IFERROR((B6+B7)/'Staffing-Roles'!DS164,0)</f>
        <v>0</v>
      </c>
    </row>
    <row r="9" spans="1:2" ht="13.5" thickBot="1"/>
    <row r="10" spans="1:2" ht="13.5" thickBot="1">
      <c r="A10" s="280" t="s">
        <v>809</v>
      </c>
      <c r="B10" s="278" t="s">
        <v>808</v>
      </c>
    </row>
    <row r="11" spans="1:2">
      <c r="A11" s="287" t="s">
        <v>757</v>
      </c>
      <c r="B11" s="290">
        <v>0.15</v>
      </c>
    </row>
    <row r="12" spans="1:2">
      <c r="A12" s="288" t="s">
        <v>758</v>
      </c>
      <c r="B12" s="291">
        <v>0.2</v>
      </c>
    </row>
    <row r="13" spans="1:2" ht="13.5" thickBot="1">
      <c r="A13" s="289" t="s">
        <v>751</v>
      </c>
      <c r="B13" s="292">
        <v>0.08</v>
      </c>
    </row>
    <row r="14" spans="1:2">
      <c r="A14" s="279"/>
      <c r="B14" s="293"/>
    </row>
    <row r="15" spans="1:2">
      <c r="A15" s="279"/>
      <c r="B15" s="293"/>
    </row>
    <row r="16" spans="1:2">
      <c r="A16" s="279"/>
      <c r="B16" s="293"/>
    </row>
    <row r="17" spans="1:2">
      <c r="A17" s="279"/>
      <c r="B17" s="293"/>
    </row>
    <row r="18" spans="1:2">
      <c r="A18" s="279"/>
      <c r="B18" s="293"/>
    </row>
    <row r="19" spans="1:2">
      <c r="A19" s="279"/>
      <c r="B19" s="293"/>
    </row>
    <row r="20" spans="1:2">
      <c r="A20" s="279"/>
      <c r="B20" s="293"/>
    </row>
    <row r="21" spans="1:2">
      <c r="A21" s="279"/>
      <c r="B21" s="293"/>
    </row>
    <row r="22" spans="1:2">
      <c r="A22" s="279"/>
      <c r="B22" s="293"/>
    </row>
    <row r="23" spans="1:2">
      <c r="A23" s="279"/>
      <c r="B23" s="293"/>
    </row>
    <row r="24" spans="1:2">
      <c r="A24" s="279"/>
      <c r="B24" s="293"/>
    </row>
    <row r="25" spans="1:2">
      <c r="A25" s="279"/>
      <c r="B25" s="293"/>
    </row>
    <row r="26" spans="1:2">
      <c r="A26" s="279"/>
      <c r="B26" s="293"/>
    </row>
    <row r="27" spans="1:2">
      <c r="A27" s="279"/>
      <c r="B27" s="293"/>
    </row>
    <row r="28" spans="1:2">
      <c r="A28" s="279"/>
      <c r="B28" s="293"/>
    </row>
    <row r="29" spans="1:2">
      <c r="A29" s="279"/>
      <c r="B29" s="293"/>
    </row>
    <row r="30" spans="1:2">
      <c r="A30" s="279"/>
      <c r="B30" s="293"/>
    </row>
    <row r="31" spans="1:2">
      <c r="A31" s="279"/>
      <c r="B31" s="293"/>
    </row>
    <row r="32" spans="1:2">
      <c r="A32" s="279"/>
      <c r="B32" s="293"/>
    </row>
    <row r="33" spans="1:2">
      <c r="A33" s="279"/>
      <c r="B33" s="293"/>
    </row>
    <row r="34" spans="1:2">
      <c r="A34" s="279"/>
      <c r="B34" s="293"/>
    </row>
    <row r="35" spans="1:2">
      <c r="A35" s="279"/>
      <c r="B35" s="293"/>
    </row>
    <row r="36" spans="1:2">
      <c r="A36" s="279"/>
      <c r="B36" s="293"/>
    </row>
    <row r="37" spans="1:2">
      <c r="A37" s="279"/>
      <c r="B37" s="293"/>
    </row>
    <row r="38" spans="1:2" hidden="1">
      <c r="A38" s="279"/>
      <c r="B38" s="293"/>
    </row>
    <row r="39" spans="1:2" hidden="1">
      <c r="A39" s="279"/>
      <c r="B39" s="293"/>
    </row>
    <row r="40" spans="1:2" hidden="1"/>
    <row r="41" spans="1:2" hidden="1">
      <c r="A41" t="str">
        <f>CheckList!G43</f>
        <v>Fixed Price - Development</v>
      </c>
      <c r="B41" s="277">
        <f>IFERROR(VLOOKUP(CheckList!G43,'Campus Hires %'!A11:B13,2,0),0)</f>
        <v>0.15</v>
      </c>
    </row>
    <row r="42" spans="1:2" hidden="1">
      <c r="B42">
        <f>IF(B8&gt;=B41,1,0)</f>
        <v>0</v>
      </c>
    </row>
    <row r="43" spans="1:2" hidden="1"/>
  </sheetData>
  <sheetProtection algorithmName="SHA-512" hashValue="/iFduCJEcWfUljifwW6hdTyM1BCIF+LfPrc9eroiqO+KYAHBa6a2DoxfORL64m2VPOlDU1Pw4S9qIk4t9Mn0Gg==" saltValue="8dWYuHib6YWZbBQbo1B+og==" spinCount="100000" sheet="1" objects="1" scenarios="1"/>
  <mergeCells count="1"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X58"/>
  <sheetViews>
    <sheetView zoomScale="80" zoomScaleNormal="80" workbookViewId="0">
      <pane xSplit="1" ySplit="17" topLeftCell="B18" activePane="bottomRight" state="frozen"/>
      <selection pane="topRight" activeCell="B1" sqref="B1"/>
      <selection pane="bottomLeft" activeCell="A18" sqref="A18"/>
      <selection pane="bottomRight" activeCell="K5" sqref="K5"/>
    </sheetView>
  </sheetViews>
  <sheetFormatPr defaultColWidth="9.140625" defaultRowHeight="12.75"/>
  <cols>
    <col min="1" max="1" width="4" style="397" customWidth="1"/>
    <col min="2" max="2" width="29.42578125" style="397" customWidth="1"/>
    <col min="3" max="3" width="32" style="397" customWidth="1"/>
    <col min="4" max="4" width="15.28515625" style="397" customWidth="1"/>
    <col min="5" max="6" width="7.42578125" style="399" customWidth="1"/>
    <col min="7" max="7" width="5.28515625" style="397" bestFit="1" customWidth="1"/>
    <col min="8" max="19" width="9.28515625" style="397" customWidth="1"/>
    <col min="20" max="20" width="12.28515625" style="397" bestFit="1" customWidth="1"/>
    <col min="21" max="22" width="9.140625" style="397"/>
    <col min="23" max="23" width="11.28515625" style="397" bestFit="1" customWidth="1"/>
    <col min="24" max="16384" width="9.140625" style="397"/>
  </cols>
  <sheetData>
    <row r="2" spans="1:24">
      <c r="B2" s="398" t="s">
        <v>1386</v>
      </c>
    </row>
    <row r="3" spans="1:24">
      <c r="A3" s="397">
        <v>1</v>
      </c>
      <c r="B3" s="400" t="s">
        <v>1402</v>
      </c>
    </row>
    <row r="4" spans="1:24">
      <c r="A4" s="397">
        <v>2</v>
      </c>
      <c r="B4" s="400" t="s">
        <v>1385</v>
      </c>
    </row>
    <row r="5" spans="1:24">
      <c r="A5" s="397">
        <v>3</v>
      </c>
      <c r="B5" s="400" t="s">
        <v>1401</v>
      </c>
    </row>
    <row r="6" spans="1:24">
      <c r="A6" s="397">
        <v>4</v>
      </c>
      <c r="B6" s="400" t="s">
        <v>1414</v>
      </c>
    </row>
    <row r="7" spans="1:24">
      <c r="A7" s="397">
        <v>5</v>
      </c>
      <c r="B7" s="400" t="s">
        <v>1415</v>
      </c>
    </row>
    <row r="8" spans="1:24">
      <c r="A8" s="397">
        <v>6</v>
      </c>
      <c r="B8" s="400" t="s">
        <v>1403</v>
      </c>
    </row>
    <row r="9" spans="1:24">
      <c r="B9" s="400"/>
    </row>
    <row r="11" spans="1:24">
      <c r="B11" s="401" t="s">
        <v>1397</v>
      </c>
      <c r="C11" s="402"/>
    </row>
    <row r="12" spans="1:24">
      <c r="B12" s="401" t="s">
        <v>1367</v>
      </c>
      <c r="C12" s="403">
        <f>CheckList!G5</f>
        <v>0</v>
      </c>
      <c r="E12" s="526"/>
      <c r="F12" s="527"/>
      <c r="G12" s="527"/>
      <c r="H12" s="404" t="s">
        <v>1315</v>
      </c>
      <c r="I12" s="405" t="s">
        <v>0</v>
      </c>
      <c r="J12" s="404" t="s">
        <v>1315</v>
      </c>
      <c r="K12" s="405" t="s">
        <v>0</v>
      </c>
      <c r="L12" s="404" t="s">
        <v>1315</v>
      </c>
      <c r="M12" s="405" t="s">
        <v>0</v>
      </c>
      <c r="N12" s="404" t="s">
        <v>1315</v>
      </c>
      <c r="O12" s="405" t="s">
        <v>0</v>
      </c>
      <c r="P12" s="406" t="s">
        <v>1315</v>
      </c>
      <c r="Q12" s="405" t="s">
        <v>0</v>
      </c>
      <c r="R12" s="406" t="s">
        <v>1315</v>
      </c>
      <c r="S12" s="405" t="s">
        <v>0</v>
      </c>
    </row>
    <row r="13" spans="1:24">
      <c r="B13" s="407" t="s">
        <v>1368</v>
      </c>
      <c r="C13" s="403">
        <f>CheckList!G8</f>
        <v>0</v>
      </c>
      <c r="E13" s="528" t="s">
        <v>1369</v>
      </c>
      <c r="F13" s="529"/>
      <c r="G13" s="529"/>
      <c r="H13" s="408"/>
      <c r="I13" s="409"/>
      <c r="J13" s="488">
        <v>0.05</v>
      </c>
      <c r="K13" s="489">
        <v>7.0000000000000007E-2</v>
      </c>
      <c r="L13" s="488">
        <v>0.05</v>
      </c>
      <c r="M13" s="489">
        <v>7.0000000000000007E-2</v>
      </c>
      <c r="N13" s="488">
        <v>0.05</v>
      </c>
      <c r="O13" s="489">
        <v>7.0000000000000007E-2</v>
      </c>
      <c r="P13" s="490">
        <v>0.05</v>
      </c>
      <c r="Q13" s="489">
        <v>7.0000000000000007E-2</v>
      </c>
      <c r="R13" s="490">
        <v>0.05</v>
      </c>
      <c r="S13" s="489">
        <v>7.0000000000000007E-2</v>
      </c>
    </row>
    <row r="14" spans="1:24" ht="13.5" thickBot="1">
      <c r="B14" s="401" t="s">
        <v>809</v>
      </c>
      <c r="C14" s="410" t="str">
        <f>CheckList!G43</f>
        <v>Fixed Price - Development</v>
      </c>
    </row>
    <row r="15" spans="1:24" ht="13.5" thickBot="1">
      <c r="H15" s="519">
        <f>'Staffing-Roles'!R5</f>
        <v>2019</v>
      </c>
      <c r="I15" s="520"/>
      <c r="J15" s="519">
        <f>'Staffing-Roles'!AE5</f>
        <v>2020</v>
      </c>
      <c r="K15" s="520"/>
      <c r="L15" s="519">
        <f>'Staffing-Roles'!AR5</f>
        <v>2021</v>
      </c>
      <c r="M15" s="520"/>
      <c r="N15" s="519">
        <f>'Staffing-Roles'!BE5</f>
        <v>2022</v>
      </c>
      <c r="O15" s="520"/>
      <c r="P15" s="519">
        <f>'Staffing-Roles'!BR5</f>
        <v>2023</v>
      </c>
      <c r="Q15" s="520"/>
      <c r="R15" s="519">
        <f>'Staffing-Roles'!CE5</f>
        <v>2024</v>
      </c>
      <c r="S15" s="520"/>
    </row>
    <row r="16" spans="1:24">
      <c r="B16" s="411"/>
      <c r="C16" s="412"/>
      <c r="D16" s="413"/>
      <c r="E16" s="530" t="s">
        <v>1370</v>
      </c>
      <c r="F16" s="531"/>
      <c r="G16" s="414"/>
      <c r="H16" s="532" t="s">
        <v>1371</v>
      </c>
      <c r="I16" s="533"/>
      <c r="J16" s="521" t="s">
        <v>1372</v>
      </c>
      <c r="K16" s="522"/>
      <c r="L16" s="521" t="s">
        <v>1373</v>
      </c>
      <c r="M16" s="522"/>
      <c r="N16" s="521" t="s">
        <v>1374</v>
      </c>
      <c r="O16" s="522"/>
      <c r="P16" s="521" t="s">
        <v>1375</v>
      </c>
      <c r="Q16" s="522"/>
      <c r="R16" s="521" t="s">
        <v>1399</v>
      </c>
      <c r="S16" s="522"/>
      <c r="T16" s="413"/>
      <c r="W16" s="397" t="s">
        <v>1400</v>
      </c>
      <c r="X16" s="397" t="s">
        <v>1400</v>
      </c>
    </row>
    <row r="17" spans="2:24">
      <c r="B17" s="415" t="s">
        <v>1376</v>
      </c>
      <c r="C17" s="416" t="s">
        <v>1377</v>
      </c>
      <c r="D17" s="417" t="s">
        <v>1378</v>
      </c>
      <c r="E17" s="418" t="s">
        <v>1315</v>
      </c>
      <c r="F17" s="419" t="s">
        <v>1379</v>
      </c>
      <c r="G17" s="420" t="s">
        <v>1380</v>
      </c>
      <c r="H17" s="421" t="s">
        <v>1315</v>
      </c>
      <c r="I17" s="422" t="s">
        <v>1379</v>
      </c>
      <c r="J17" s="421" t="s">
        <v>1315</v>
      </c>
      <c r="K17" s="422" t="s">
        <v>1379</v>
      </c>
      <c r="L17" s="421" t="s">
        <v>1315</v>
      </c>
      <c r="M17" s="422" t="s">
        <v>1379</v>
      </c>
      <c r="N17" s="421" t="s">
        <v>1315</v>
      </c>
      <c r="O17" s="422" t="s">
        <v>1379</v>
      </c>
      <c r="P17" s="421" t="s">
        <v>1315</v>
      </c>
      <c r="Q17" s="422" t="s">
        <v>1379</v>
      </c>
      <c r="R17" s="421" t="s">
        <v>1315</v>
      </c>
      <c r="S17" s="422" t="s">
        <v>1379</v>
      </c>
      <c r="T17" s="423" t="s">
        <v>1381</v>
      </c>
    </row>
    <row r="18" spans="2:24">
      <c r="B18" s="424" t="str">
        <f>IFERROR('Staffing-Roles'!C113,0)</f>
        <v>Skillbay/Contract Hires-</v>
      </c>
      <c r="C18" s="425">
        <f>IFERROR('Staffing-Roles'!E113,0)</f>
        <v>0</v>
      </c>
      <c r="D18" s="426"/>
      <c r="E18" s="427"/>
      <c r="F18" s="428"/>
      <c r="G18" s="429"/>
      <c r="H18" s="430">
        <f>IFERROR(SUM('Staffing-Roles'!F113:Q113),0)</f>
        <v>0</v>
      </c>
      <c r="I18" s="431">
        <f>IFERROR(SUM('Staffing-Roles'!F140:Q140),0)</f>
        <v>0</v>
      </c>
      <c r="J18" s="430">
        <f>IFERROR(SUM('Staffing-Roles'!S113:AD113),0)</f>
        <v>0</v>
      </c>
      <c r="K18" s="431">
        <f>IFERROR(SUM('Staffing-Roles'!S140:AD140),0)</f>
        <v>0</v>
      </c>
      <c r="L18" s="430">
        <f>IFERROR(SUM('Staffing-Roles'!AF113:AQ113),0)</f>
        <v>0</v>
      </c>
      <c r="M18" s="431">
        <f>IFERROR(SUM('Staffing-Roles'!AF140:AQ140),0)</f>
        <v>0</v>
      </c>
      <c r="N18" s="430">
        <f>IFERROR(SUM('Staffing-Roles'!AS113:BD113),0)</f>
        <v>0</v>
      </c>
      <c r="O18" s="431">
        <f>IFERROR(SUM('Staffing-Roles'!AS140:BD140),0)</f>
        <v>0</v>
      </c>
      <c r="P18" s="430">
        <f>IFERROR(SUM('Staffing-Roles'!BF113:BQ113),0)</f>
        <v>0</v>
      </c>
      <c r="Q18" s="431">
        <f>IFERROR(SUM('Staffing-Roles'!BF140:BQ140),0)</f>
        <v>0</v>
      </c>
      <c r="R18" s="430">
        <f>IFERROR(SUM('Staffing-Roles'!BS113:CD113),0)</f>
        <v>0</v>
      </c>
      <c r="S18" s="431">
        <f>IFERROR(SUM('Staffing-Roles'!BS140:CD140),0)</f>
        <v>0</v>
      </c>
      <c r="T18" s="432">
        <f>H18*52*5/12*E18*IF(G18="Daily",1,8)*(1+$H$13)^0+I18*52*5/12*F18*IF(G18="Daily",1,8.5)*(1+$I$13)+J18*52*5/12*E18*IF(G18="Daily",1,8)*(1+$H$13)*(1+$J$13)+K18*52*5/12*F18*IF(G18="Daily",1,8.5)*(1+$I$13)*(1+$K$13)+L18*52*5/12*E18*IF(G18="Daily",1,8)*(1+$H$13)*(1+$J$13)*(1+$L$13)+M18*52*5/12*F18*IF(G18="Daily",1,8.5)*(1+$I$13)*(1+$K$13)*(1+$M$13)+N18*52*5/12*E18*IF(G18="Daily",1,8)*(1+$H$13)*(1+$J$13)*(1+$L$13)*(1+$N$13)+O18*52*5/12*F18*IF(G18="Daily",1,8.5)*(1+$I$13)*(1+$K$13)*(1+$M$13)*(1+$O$13)+P18*52*5/12*E18*IF(G18="Daily",1,8)*(1+$H$13)*(1+$J$13)*(1+$L$13)*(1+$N$13)*(1+$P$13)+Q18*52*5/12*F18*IF(G18="Daily",1,8.5)*(1+$I$13)*(1+$K$13)*(1+$M$13)*(1+$O$13)*(1+$Q$13)+R18*52*5/12*E18*IF(G18="Daily",1,8)*(1+$H$13)*(1+$J$13)*(1+$L$13)*(1+$N$13)*(1+$P$13)*(1+$R$13)+S18*52*5/12*F18*IF(G18="Daily",1,8.5)*(1+$I$13)*(1+$K$13)*(1+$M$13)*(1+$O$13)*(1+$Q$13)*(1+$S$13)</f>
        <v>0</v>
      </c>
      <c r="V18" s="433"/>
      <c r="W18" s="434">
        <f>H18+J18+L18+N18+P18+R18-'Staffing-Roles'!DS113</f>
        <v>0</v>
      </c>
      <c r="X18" s="434">
        <f>I18+K18+M18+O18+Q18+S18-'Staffing-Roles'!DS140</f>
        <v>0</v>
      </c>
    </row>
    <row r="19" spans="2:24">
      <c r="B19" s="424" t="str">
        <f>IFERROR('Staffing-Roles'!C114,0)</f>
        <v>IT/JavaNetColdFusionIT/DeveloperJavaNetColdFusion/Junior</v>
      </c>
      <c r="C19" s="435" t="str">
        <f>IFERROR('Staffing-Roles'!E114,0)</f>
        <v>B2 AP1 / B2 AP2 (0.6 to 3 yrs)</v>
      </c>
      <c r="D19" s="426">
        <f>'Role Selection'!HO6</f>
        <v>0</v>
      </c>
      <c r="E19" s="436">
        <f>'Role Selection'!I6</f>
        <v>0</v>
      </c>
      <c r="F19" s="437">
        <f>'Role Selection'!J6</f>
        <v>0</v>
      </c>
      <c r="G19" s="438"/>
      <c r="H19" s="430">
        <f>IFERROR(SUM('Staffing-Roles'!F114:Q114),0)</f>
        <v>0</v>
      </c>
      <c r="I19" s="431">
        <f>IFERROR(SUM('Staffing-Roles'!F141:Q141),0)</f>
        <v>0</v>
      </c>
      <c r="J19" s="430">
        <f>IFERROR(SUM('Staffing-Roles'!S114:AD114),0)</f>
        <v>0</v>
      </c>
      <c r="K19" s="431">
        <f>IFERROR(SUM('Staffing-Roles'!S141:AD141),0)</f>
        <v>0</v>
      </c>
      <c r="L19" s="430">
        <f>IFERROR(SUM('Staffing-Roles'!AF114:AQ114),0)</f>
        <v>0</v>
      </c>
      <c r="M19" s="431">
        <f>IFERROR(SUM('Staffing-Roles'!AF141:AQ141),0)</f>
        <v>0</v>
      </c>
      <c r="N19" s="430">
        <f>IFERROR(SUM('Staffing-Roles'!AS114:BD114),0)</f>
        <v>0</v>
      </c>
      <c r="O19" s="431">
        <f>IFERROR(SUM('Staffing-Roles'!AS141:BD141),0)</f>
        <v>0</v>
      </c>
      <c r="P19" s="430">
        <f>IFERROR(SUM('Staffing-Roles'!BF114:BQ114),0)</f>
        <v>0</v>
      </c>
      <c r="Q19" s="431">
        <f>IFERROR(SUM('Staffing-Roles'!BF141:BQ141),0)</f>
        <v>0</v>
      </c>
      <c r="R19" s="430">
        <f>IFERROR(SUM('Staffing-Roles'!BS114:CD114),0)</f>
        <v>0</v>
      </c>
      <c r="S19" s="431">
        <f>IFERROR(SUM('Staffing-Roles'!BS141:CD141),0)</f>
        <v>0</v>
      </c>
      <c r="T19" s="439">
        <f t="shared" ref="T19:T46" si="0">H19*52*5/12*E19*IF(G19="Daily",1,8)*(1+$H$13)^0+I19*52*5/12*F19*IF(G19="Daily",1,8.5)*(1+$I$13)+J19*52*5/12*E19*IF(G19="Daily",1,8)*(1+$H$13)*(1+$J$13)+K19*52*5/12*F19*IF(G19="Daily",1,8.5)*(1+$I$13)*(1+$K$13)+L19*52*5/12*E19*IF(G19="Daily",1,8)*(1+$H$13)*(1+$J$13)*(1+$L$13)+M19*52*5/12*F19*IF(G19="Daily",1,8.5)*(1+$I$13)*(1+$K$13)*(1+$M$13)+N19*52*5/12*E19*IF(G19="Daily",1,8)*(1+$H$13)*(1+$J$13)*(1+$L$13)*(1+$N$13)+O19*52*5/12*F19*IF(G19="Daily",1,8.5)*(1+$I$13)*(1+$K$13)*(1+$M$13)*(1+$O$13)+P19*52*5/12*E19*IF(G19="Daily",1,8)*(1+$H$13)*(1+$J$13)*(1+$L$13)*(1+$N$13)*(1+$P$13)+Q19*52*5/12*F19*IF(G19="Daily",1,8.5)*(1+$I$13)*(1+$K$13)*(1+$M$13)*(1+$O$13)*(1+$Q$13)+R19*52*5/12*E19*IF(G19="Daily",1,8)*(1+$H$13)*(1+$J$13)*(1+$L$13)*(1+$N$13)*(1+$P$13)*(1+$R$13)+S19*52*5/12*F19*IF(G19="Daily",1,8.5)*(1+$I$13)*(1+$K$13)*(1+$M$13)*(1+$O$13)*(1+$Q$13)*(1+$S$13)</f>
        <v>0</v>
      </c>
      <c r="W19" s="434">
        <f>H19+J19+L19+N19+P19+R19-'Staffing-Roles'!DS114</f>
        <v>0</v>
      </c>
      <c r="X19" s="434">
        <f>I19+K19+M19+O19+Q19+S19-'Staffing-Roles'!DS141</f>
        <v>0</v>
      </c>
    </row>
    <row r="20" spans="2:24">
      <c r="B20" s="424" t="str">
        <f>IFERROR('Staffing-Roles'!C115,0)</f>
        <v>///</v>
      </c>
      <c r="C20" s="435">
        <f>IFERROR('Staffing-Roles'!E115,0)</f>
        <v>0</v>
      </c>
      <c r="D20" s="426">
        <f>'Role Selection'!HO7</f>
        <v>0</v>
      </c>
      <c r="E20" s="436">
        <f>'Role Selection'!I7</f>
        <v>0</v>
      </c>
      <c r="F20" s="437">
        <f>'Role Selection'!J7</f>
        <v>0</v>
      </c>
      <c r="G20" s="438"/>
      <c r="H20" s="430">
        <f>IFERROR(SUM('Staffing-Roles'!F115:Q115),0)</f>
        <v>0</v>
      </c>
      <c r="I20" s="431">
        <f>IFERROR(SUM('Staffing-Roles'!F142:Q142),0)</f>
        <v>0</v>
      </c>
      <c r="J20" s="430">
        <f>IFERROR(SUM('Staffing-Roles'!S115:AD115),0)</f>
        <v>0</v>
      </c>
      <c r="K20" s="431">
        <f>IFERROR(SUM('Staffing-Roles'!S142:AD142),0)</f>
        <v>0</v>
      </c>
      <c r="L20" s="430">
        <f>IFERROR(SUM('Staffing-Roles'!AF115:AQ115),0)</f>
        <v>0</v>
      </c>
      <c r="M20" s="431">
        <f>IFERROR(SUM('Staffing-Roles'!AF142:AQ142),0)</f>
        <v>0</v>
      </c>
      <c r="N20" s="430">
        <f>IFERROR(SUM('Staffing-Roles'!AS115:BD115),0)</f>
        <v>0</v>
      </c>
      <c r="O20" s="431">
        <f>IFERROR(SUM('Staffing-Roles'!AS142:BD142),0)</f>
        <v>0</v>
      </c>
      <c r="P20" s="430">
        <f>IFERROR(SUM('Staffing-Roles'!BF115:BQ115),0)</f>
        <v>0</v>
      </c>
      <c r="Q20" s="431">
        <f>IFERROR(SUM('Staffing-Roles'!BF142:BQ142),0)</f>
        <v>0</v>
      </c>
      <c r="R20" s="430">
        <f>IFERROR(SUM('Staffing-Roles'!BS115:CD115),0)</f>
        <v>0</v>
      </c>
      <c r="S20" s="431">
        <f>IFERROR(SUM('Staffing-Roles'!BS142:CD142),0)</f>
        <v>0</v>
      </c>
      <c r="T20" s="439">
        <f t="shared" si="0"/>
        <v>0</v>
      </c>
      <c r="W20" s="434">
        <f>H20+J20+L20+N20+P20+R20-'Staffing-Roles'!DS115</f>
        <v>0</v>
      </c>
      <c r="X20" s="434">
        <f>I20+K20+M20+O20+Q20+S20-'Staffing-Roles'!DS142</f>
        <v>0</v>
      </c>
    </row>
    <row r="21" spans="2:24">
      <c r="B21" s="424" t="str">
        <f>IFERROR('Staffing-Roles'!C116,0)</f>
        <v>///</v>
      </c>
      <c r="C21" s="435">
        <f>IFERROR('Staffing-Roles'!E116,0)</f>
        <v>0</v>
      </c>
      <c r="D21" s="426">
        <f>'Role Selection'!HO8</f>
        <v>0</v>
      </c>
      <c r="E21" s="436">
        <f>'Role Selection'!I8</f>
        <v>0</v>
      </c>
      <c r="F21" s="437">
        <f>'Role Selection'!J8</f>
        <v>0</v>
      </c>
      <c r="G21" s="438"/>
      <c r="H21" s="430">
        <f>IFERROR(SUM('Staffing-Roles'!F116:Q116),0)</f>
        <v>0</v>
      </c>
      <c r="I21" s="431">
        <f>IFERROR(SUM('Staffing-Roles'!F143:Q143),0)</f>
        <v>0</v>
      </c>
      <c r="J21" s="430">
        <f>IFERROR(SUM('Staffing-Roles'!S116:AD116),0)</f>
        <v>0</v>
      </c>
      <c r="K21" s="431">
        <f>IFERROR(SUM('Staffing-Roles'!S143:AD143),0)</f>
        <v>0</v>
      </c>
      <c r="L21" s="430">
        <f>IFERROR(SUM('Staffing-Roles'!AF116:AQ116),0)</f>
        <v>0</v>
      </c>
      <c r="M21" s="431">
        <f>IFERROR(SUM('Staffing-Roles'!AF143:AQ143),0)</f>
        <v>0</v>
      </c>
      <c r="N21" s="430">
        <f>IFERROR(SUM('Staffing-Roles'!AS116:BD116),0)</f>
        <v>0</v>
      </c>
      <c r="O21" s="431">
        <f>IFERROR(SUM('Staffing-Roles'!AS143:BD143),0)</f>
        <v>0</v>
      </c>
      <c r="P21" s="430">
        <f>IFERROR(SUM('Staffing-Roles'!BF116:BQ116),0)</f>
        <v>0</v>
      </c>
      <c r="Q21" s="431">
        <f>IFERROR(SUM('Staffing-Roles'!BF143:BQ143),0)</f>
        <v>0</v>
      </c>
      <c r="R21" s="430">
        <f>IFERROR(SUM('Staffing-Roles'!BS116:CD116),0)</f>
        <v>0</v>
      </c>
      <c r="S21" s="431">
        <f>IFERROR(SUM('Staffing-Roles'!BS143:CD143),0)</f>
        <v>0</v>
      </c>
      <c r="T21" s="439">
        <f t="shared" si="0"/>
        <v>0</v>
      </c>
      <c r="W21" s="434">
        <f>H21+J21+L21+N21+P21+R21-'Staffing-Roles'!DS116</f>
        <v>0</v>
      </c>
      <c r="X21" s="434">
        <f>I21+K21+M21+O21+Q21+S21-'Staffing-Roles'!DS143</f>
        <v>0</v>
      </c>
    </row>
    <row r="22" spans="2:24">
      <c r="B22" s="424" t="str">
        <f>IFERROR('Staffing-Roles'!C117,0)</f>
        <v>///</v>
      </c>
      <c r="C22" s="435">
        <f>IFERROR('Staffing-Roles'!E117,0)</f>
        <v>0</v>
      </c>
      <c r="D22" s="426">
        <f>'Role Selection'!HO9</f>
        <v>0</v>
      </c>
      <c r="E22" s="436">
        <f>'Role Selection'!I9</f>
        <v>0</v>
      </c>
      <c r="F22" s="437">
        <f>'Role Selection'!J9</f>
        <v>0</v>
      </c>
      <c r="G22" s="438"/>
      <c r="H22" s="430">
        <f>IFERROR(SUM('Staffing-Roles'!F117:Q117),0)</f>
        <v>0</v>
      </c>
      <c r="I22" s="431">
        <f>IFERROR(SUM('Staffing-Roles'!F144:Q144),0)</f>
        <v>0</v>
      </c>
      <c r="J22" s="430">
        <f>IFERROR(SUM('Staffing-Roles'!S117:AD117),0)</f>
        <v>0</v>
      </c>
      <c r="K22" s="431">
        <f>IFERROR(SUM('Staffing-Roles'!S144:AD144),0)</f>
        <v>0</v>
      </c>
      <c r="L22" s="430">
        <f>IFERROR(SUM('Staffing-Roles'!AF117:AQ117),0)</f>
        <v>0</v>
      </c>
      <c r="M22" s="431">
        <f>IFERROR(SUM('Staffing-Roles'!AF144:AQ144),0)</f>
        <v>0</v>
      </c>
      <c r="N22" s="430">
        <f>IFERROR(SUM('Staffing-Roles'!AS117:BD117),0)</f>
        <v>0</v>
      </c>
      <c r="O22" s="431">
        <f>IFERROR(SUM('Staffing-Roles'!AS144:BD144),0)</f>
        <v>0</v>
      </c>
      <c r="P22" s="430">
        <f>IFERROR(SUM('Staffing-Roles'!BF117:BQ117),0)</f>
        <v>0</v>
      </c>
      <c r="Q22" s="431">
        <f>IFERROR(SUM('Staffing-Roles'!BF144:BQ144),0)</f>
        <v>0</v>
      </c>
      <c r="R22" s="430">
        <f>IFERROR(SUM('Staffing-Roles'!BS117:CD117),0)</f>
        <v>0</v>
      </c>
      <c r="S22" s="431">
        <f>IFERROR(SUM('Staffing-Roles'!BS144:CD144),0)</f>
        <v>0</v>
      </c>
      <c r="T22" s="439">
        <f t="shared" si="0"/>
        <v>0</v>
      </c>
      <c r="W22" s="434">
        <f>H22+J22+L22+N22+P22+R22-'Staffing-Roles'!DS117</f>
        <v>0</v>
      </c>
      <c r="X22" s="434">
        <f>I22+K22+M22+O22+Q22+S22-'Staffing-Roles'!DS144</f>
        <v>0</v>
      </c>
    </row>
    <row r="23" spans="2:24">
      <c r="B23" s="424" t="str">
        <f>IFERROR('Staffing-Roles'!C118,0)</f>
        <v>///</v>
      </c>
      <c r="C23" s="435">
        <f>IFERROR('Staffing-Roles'!E118,0)</f>
        <v>0</v>
      </c>
      <c r="D23" s="426">
        <f>'Role Selection'!HO10</f>
        <v>0</v>
      </c>
      <c r="E23" s="436">
        <f>'Role Selection'!I10</f>
        <v>0</v>
      </c>
      <c r="F23" s="437">
        <f>'Role Selection'!J10</f>
        <v>0</v>
      </c>
      <c r="G23" s="438"/>
      <c r="H23" s="430">
        <f>IFERROR(SUM('Staffing-Roles'!F118:Q118),0)</f>
        <v>0</v>
      </c>
      <c r="I23" s="431">
        <f>IFERROR(SUM('Staffing-Roles'!F145:Q145),0)</f>
        <v>0</v>
      </c>
      <c r="J23" s="430">
        <f>IFERROR(SUM('Staffing-Roles'!S118:AD118),0)</f>
        <v>0</v>
      </c>
      <c r="K23" s="431">
        <f>IFERROR(SUM('Staffing-Roles'!S145:AD145),0)</f>
        <v>0</v>
      </c>
      <c r="L23" s="430">
        <f>IFERROR(SUM('Staffing-Roles'!AF118:AQ118),0)</f>
        <v>0</v>
      </c>
      <c r="M23" s="431">
        <f>IFERROR(SUM('Staffing-Roles'!AF145:AQ145),0)</f>
        <v>0</v>
      </c>
      <c r="N23" s="430">
        <f>IFERROR(SUM('Staffing-Roles'!AS118:BD118),0)</f>
        <v>0</v>
      </c>
      <c r="O23" s="431">
        <f>IFERROR(SUM('Staffing-Roles'!AS145:BD145),0)</f>
        <v>0</v>
      </c>
      <c r="P23" s="430">
        <f>IFERROR(SUM('Staffing-Roles'!BF118:BQ118),0)</f>
        <v>0</v>
      </c>
      <c r="Q23" s="431">
        <f>IFERROR(SUM('Staffing-Roles'!BF145:BQ145),0)</f>
        <v>0</v>
      </c>
      <c r="R23" s="430">
        <f>IFERROR(SUM('Staffing-Roles'!BS118:CD118),0)</f>
        <v>0</v>
      </c>
      <c r="S23" s="431">
        <f>IFERROR(SUM('Staffing-Roles'!BS145:CD145),0)</f>
        <v>0</v>
      </c>
      <c r="T23" s="439">
        <f t="shared" si="0"/>
        <v>0</v>
      </c>
      <c r="W23" s="434">
        <f>H23+J23+L23+N23+P23+R23-'Staffing-Roles'!DS118</f>
        <v>0</v>
      </c>
      <c r="X23" s="434">
        <f>I23+K23+M23+O23+Q23+S23-'Staffing-Roles'!DS145</f>
        <v>0</v>
      </c>
    </row>
    <row r="24" spans="2:24">
      <c r="B24" s="424" t="str">
        <f>IFERROR('Staffing-Roles'!C119,0)</f>
        <v>///</v>
      </c>
      <c r="C24" s="435">
        <f>IFERROR('Staffing-Roles'!E119,0)</f>
        <v>0</v>
      </c>
      <c r="D24" s="426">
        <f>'Role Selection'!HO11</f>
        <v>0</v>
      </c>
      <c r="E24" s="436">
        <f>'Role Selection'!I11</f>
        <v>0</v>
      </c>
      <c r="F24" s="437">
        <f>'Role Selection'!J11</f>
        <v>0</v>
      </c>
      <c r="G24" s="438"/>
      <c r="H24" s="430">
        <f>IFERROR(SUM('Staffing-Roles'!F119:Q119),0)</f>
        <v>0</v>
      </c>
      <c r="I24" s="431">
        <f>IFERROR(SUM('Staffing-Roles'!F146:Q146),0)</f>
        <v>0</v>
      </c>
      <c r="J24" s="430">
        <f>IFERROR(SUM('Staffing-Roles'!S119:AD119),0)</f>
        <v>0</v>
      </c>
      <c r="K24" s="431">
        <f>IFERROR(SUM('Staffing-Roles'!S146:AD146),0)</f>
        <v>0</v>
      </c>
      <c r="L24" s="430">
        <f>IFERROR(SUM('Staffing-Roles'!AF119:AQ119),0)</f>
        <v>0</v>
      </c>
      <c r="M24" s="431">
        <f>IFERROR(SUM('Staffing-Roles'!AF146:AQ146),0)</f>
        <v>0</v>
      </c>
      <c r="N24" s="430">
        <f>IFERROR(SUM('Staffing-Roles'!AS119:BD119),0)</f>
        <v>0</v>
      </c>
      <c r="O24" s="431">
        <f>IFERROR(SUM('Staffing-Roles'!AS146:BD146),0)</f>
        <v>0</v>
      </c>
      <c r="P24" s="430">
        <f>IFERROR(SUM('Staffing-Roles'!BF119:BQ119),0)</f>
        <v>0</v>
      </c>
      <c r="Q24" s="431">
        <f>IFERROR(SUM('Staffing-Roles'!BF146:BQ146),0)</f>
        <v>0</v>
      </c>
      <c r="R24" s="430">
        <f>IFERROR(SUM('Staffing-Roles'!BS119:CD119),0)</f>
        <v>0</v>
      </c>
      <c r="S24" s="431">
        <f>IFERROR(SUM('Staffing-Roles'!BS146:CD146),0)</f>
        <v>0</v>
      </c>
      <c r="T24" s="439">
        <f t="shared" si="0"/>
        <v>0</v>
      </c>
      <c r="W24" s="434">
        <f>H24+J24+L24+N24+P24+R24-'Staffing-Roles'!DS119</f>
        <v>0</v>
      </c>
      <c r="X24" s="434">
        <f>I24+K24+M24+O24+Q24+S24-'Staffing-Roles'!DS146</f>
        <v>0</v>
      </c>
    </row>
    <row r="25" spans="2:24">
      <c r="B25" s="424" t="str">
        <f>IFERROR('Staffing-Roles'!C120,0)</f>
        <v>///</v>
      </c>
      <c r="C25" s="435">
        <f>IFERROR('Staffing-Roles'!E120,0)</f>
        <v>0</v>
      </c>
      <c r="D25" s="426">
        <f>'Role Selection'!HO12</f>
        <v>0</v>
      </c>
      <c r="E25" s="436">
        <f>'Role Selection'!I12</f>
        <v>0</v>
      </c>
      <c r="F25" s="437">
        <f>'Role Selection'!J12</f>
        <v>0</v>
      </c>
      <c r="G25" s="438"/>
      <c r="H25" s="430">
        <f>IFERROR(SUM('Staffing-Roles'!F120:Q120),0)</f>
        <v>0</v>
      </c>
      <c r="I25" s="431">
        <f>IFERROR(SUM('Staffing-Roles'!F147:Q147),0)</f>
        <v>0</v>
      </c>
      <c r="J25" s="430">
        <f>IFERROR(SUM('Staffing-Roles'!S120:AD120),0)</f>
        <v>0</v>
      </c>
      <c r="K25" s="431">
        <f>IFERROR(SUM('Staffing-Roles'!S147:AD147),0)</f>
        <v>0</v>
      </c>
      <c r="L25" s="430">
        <f>IFERROR(SUM('Staffing-Roles'!AF120:AQ120),0)</f>
        <v>0</v>
      </c>
      <c r="M25" s="431">
        <f>IFERROR(SUM('Staffing-Roles'!AF147:AQ147),0)</f>
        <v>0</v>
      </c>
      <c r="N25" s="430">
        <f>IFERROR(SUM('Staffing-Roles'!AS120:BD120),0)</f>
        <v>0</v>
      </c>
      <c r="O25" s="431">
        <f>IFERROR(SUM('Staffing-Roles'!AS147:BD147),0)</f>
        <v>0</v>
      </c>
      <c r="P25" s="430">
        <f>IFERROR(SUM('Staffing-Roles'!BF120:BQ120),0)</f>
        <v>0</v>
      </c>
      <c r="Q25" s="431">
        <f>IFERROR(SUM('Staffing-Roles'!BF147:BQ147),0)</f>
        <v>0</v>
      </c>
      <c r="R25" s="430">
        <f>IFERROR(SUM('Staffing-Roles'!BS120:CD120),0)</f>
        <v>0</v>
      </c>
      <c r="S25" s="431">
        <f>IFERROR(SUM('Staffing-Roles'!BS147:CD147),0)</f>
        <v>0</v>
      </c>
      <c r="T25" s="439">
        <f t="shared" si="0"/>
        <v>0</v>
      </c>
      <c r="W25" s="434">
        <f>H25+J25+L25+N25+P25+R25-'Staffing-Roles'!DS120</f>
        <v>0</v>
      </c>
      <c r="X25" s="434">
        <f>I25+K25+M25+O25+Q25+S25-'Staffing-Roles'!DS147</f>
        <v>0</v>
      </c>
    </row>
    <row r="26" spans="2:24">
      <c r="B26" s="424" t="str">
        <f>IFERROR('Staffing-Roles'!C121,0)</f>
        <v>///</v>
      </c>
      <c r="C26" s="435">
        <f>IFERROR('Staffing-Roles'!E121,0)</f>
        <v>0</v>
      </c>
      <c r="D26" s="426">
        <f>'Role Selection'!HO13</f>
        <v>0</v>
      </c>
      <c r="E26" s="436">
        <f>'Role Selection'!I13</f>
        <v>0</v>
      </c>
      <c r="F26" s="437">
        <f>'Role Selection'!J13</f>
        <v>0</v>
      </c>
      <c r="G26" s="438"/>
      <c r="H26" s="430">
        <f>IFERROR(SUM('Staffing-Roles'!F121:Q121),0)</f>
        <v>0</v>
      </c>
      <c r="I26" s="431">
        <f>IFERROR(SUM('Staffing-Roles'!F148:Q148),0)</f>
        <v>0</v>
      </c>
      <c r="J26" s="430">
        <f>IFERROR(SUM('Staffing-Roles'!S121:AD121),0)</f>
        <v>0</v>
      </c>
      <c r="K26" s="431">
        <f>IFERROR(SUM('Staffing-Roles'!S148:AD148),0)</f>
        <v>0</v>
      </c>
      <c r="L26" s="430">
        <f>IFERROR(SUM('Staffing-Roles'!AF121:AQ121),0)</f>
        <v>0</v>
      </c>
      <c r="M26" s="431">
        <f>IFERROR(SUM('Staffing-Roles'!AF148:AQ148),0)</f>
        <v>0</v>
      </c>
      <c r="N26" s="430">
        <f>IFERROR(SUM('Staffing-Roles'!AS121:BD121),0)</f>
        <v>0</v>
      </c>
      <c r="O26" s="431">
        <f>IFERROR(SUM('Staffing-Roles'!AS148:BD148),0)</f>
        <v>0</v>
      </c>
      <c r="P26" s="430">
        <f>IFERROR(SUM('Staffing-Roles'!BF121:BQ121),0)</f>
        <v>0</v>
      </c>
      <c r="Q26" s="431">
        <f>IFERROR(SUM('Staffing-Roles'!BF148:BQ148),0)</f>
        <v>0</v>
      </c>
      <c r="R26" s="430">
        <f>IFERROR(SUM('Staffing-Roles'!BS121:CD121),0)</f>
        <v>0</v>
      </c>
      <c r="S26" s="431">
        <f>IFERROR(SUM('Staffing-Roles'!BS148:CD148),0)</f>
        <v>0</v>
      </c>
      <c r="T26" s="439">
        <f t="shared" si="0"/>
        <v>0</v>
      </c>
      <c r="W26" s="434">
        <f>H26+J26+L26+N26+P26+R26-'Staffing-Roles'!DS121</f>
        <v>0</v>
      </c>
      <c r="X26" s="434">
        <f>I26+K26+M26+O26+Q26+S26-'Staffing-Roles'!DS148</f>
        <v>0</v>
      </c>
    </row>
    <row r="27" spans="2:24">
      <c r="B27" s="424" t="str">
        <f>IFERROR('Staffing-Roles'!C122,0)</f>
        <v>///</v>
      </c>
      <c r="C27" s="435">
        <f>IFERROR('Staffing-Roles'!E122,0)</f>
        <v>0</v>
      </c>
      <c r="D27" s="426">
        <f>'Role Selection'!HO14</f>
        <v>0</v>
      </c>
      <c r="E27" s="436">
        <f>'Role Selection'!I14</f>
        <v>0</v>
      </c>
      <c r="F27" s="437">
        <f>'Role Selection'!J14</f>
        <v>0</v>
      </c>
      <c r="G27" s="438"/>
      <c r="H27" s="430">
        <f>IFERROR(SUM('Staffing-Roles'!F122:Q122),0)</f>
        <v>0</v>
      </c>
      <c r="I27" s="431">
        <f>IFERROR(SUM('Staffing-Roles'!F149:Q149),0)</f>
        <v>0</v>
      </c>
      <c r="J27" s="430">
        <f>IFERROR(SUM('Staffing-Roles'!S122:AD122),0)</f>
        <v>0</v>
      </c>
      <c r="K27" s="431">
        <f>IFERROR(SUM('Staffing-Roles'!S149:AD149),0)</f>
        <v>0</v>
      </c>
      <c r="L27" s="430">
        <f>IFERROR(SUM('Staffing-Roles'!AF122:AQ122),0)</f>
        <v>0</v>
      </c>
      <c r="M27" s="431">
        <f>IFERROR(SUM('Staffing-Roles'!AF149:AQ149),0)</f>
        <v>0</v>
      </c>
      <c r="N27" s="430">
        <f>IFERROR(SUM('Staffing-Roles'!AS122:BD122),0)</f>
        <v>0</v>
      </c>
      <c r="O27" s="431">
        <f>IFERROR(SUM('Staffing-Roles'!AS149:BD149),0)</f>
        <v>0</v>
      </c>
      <c r="P27" s="430">
        <f>IFERROR(SUM('Staffing-Roles'!BF122:BQ122),0)</f>
        <v>0</v>
      </c>
      <c r="Q27" s="431">
        <f>IFERROR(SUM('Staffing-Roles'!BF149:BQ149),0)</f>
        <v>0</v>
      </c>
      <c r="R27" s="430">
        <f>IFERROR(SUM('Staffing-Roles'!BS122:CD122),0)</f>
        <v>0</v>
      </c>
      <c r="S27" s="431">
        <f>IFERROR(SUM('Staffing-Roles'!BS149:CD149),0)</f>
        <v>0</v>
      </c>
      <c r="T27" s="439">
        <f t="shared" si="0"/>
        <v>0</v>
      </c>
      <c r="W27" s="434">
        <f>H27+J27+L27+N27+P27+R27-'Staffing-Roles'!DS122</f>
        <v>0</v>
      </c>
      <c r="X27" s="434">
        <f>I27+K27+M27+O27+Q27+S27-'Staffing-Roles'!DS149</f>
        <v>0</v>
      </c>
    </row>
    <row r="28" spans="2:24">
      <c r="B28" s="424" t="str">
        <f>IFERROR('Staffing-Roles'!C123,0)</f>
        <v>///</v>
      </c>
      <c r="C28" s="435">
        <f>IFERROR('Staffing-Roles'!E123,0)</f>
        <v>0</v>
      </c>
      <c r="D28" s="426">
        <f>'Role Selection'!HO15</f>
        <v>0</v>
      </c>
      <c r="E28" s="436">
        <f>'Role Selection'!I15</f>
        <v>0</v>
      </c>
      <c r="F28" s="437">
        <f>'Role Selection'!J15</f>
        <v>0</v>
      </c>
      <c r="G28" s="438"/>
      <c r="H28" s="430">
        <f>IFERROR(SUM('Staffing-Roles'!F123:Q123),0)</f>
        <v>0</v>
      </c>
      <c r="I28" s="431">
        <f>IFERROR(SUM('Staffing-Roles'!F150:Q150),0)</f>
        <v>0</v>
      </c>
      <c r="J28" s="430">
        <f>IFERROR(SUM('Staffing-Roles'!S123:AD123),0)</f>
        <v>0</v>
      </c>
      <c r="K28" s="431">
        <f>IFERROR(SUM('Staffing-Roles'!S150:AD150),0)</f>
        <v>0</v>
      </c>
      <c r="L28" s="430">
        <f>IFERROR(SUM('Staffing-Roles'!AF123:AQ123),0)</f>
        <v>0</v>
      </c>
      <c r="M28" s="431">
        <f>IFERROR(SUM('Staffing-Roles'!AF150:AQ150),0)</f>
        <v>0</v>
      </c>
      <c r="N28" s="430">
        <f>IFERROR(SUM('Staffing-Roles'!AS123:BD123),0)</f>
        <v>0</v>
      </c>
      <c r="O28" s="431">
        <f>IFERROR(SUM('Staffing-Roles'!AS150:BD150),0)</f>
        <v>0</v>
      </c>
      <c r="P28" s="430">
        <f>IFERROR(SUM('Staffing-Roles'!BF123:BQ123),0)</f>
        <v>0</v>
      </c>
      <c r="Q28" s="431">
        <f>IFERROR(SUM('Staffing-Roles'!BF150:BQ150),0)</f>
        <v>0</v>
      </c>
      <c r="R28" s="430">
        <f>IFERROR(SUM('Staffing-Roles'!BS123:CD123),0)</f>
        <v>0</v>
      </c>
      <c r="S28" s="431">
        <f>IFERROR(SUM('Staffing-Roles'!BS150:CD150),0)</f>
        <v>0</v>
      </c>
      <c r="T28" s="439">
        <f t="shared" si="0"/>
        <v>0</v>
      </c>
      <c r="W28" s="434">
        <f>H28+J28+L28+N28+P28+R28-'Staffing-Roles'!DS123</f>
        <v>0</v>
      </c>
      <c r="X28" s="434">
        <f>I28+K28+M28+O28+Q28+S28-'Staffing-Roles'!DS150</f>
        <v>0</v>
      </c>
    </row>
    <row r="29" spans="2:24">
      <c r="B29" s="424" t="str">
        <f>IFERROR('Staffing-Roles'!C124,0)</f>
        <v>///</v>
      </c>
      <c r="C29" s="435">
        <f>IFERROR('Staffing-Roles'!E124,0)</f>
        <v>0</v>
      </c>
      <c r="D29" s="426">
        <f>'Role Selection'!HO16</f>
        <v>0</v>
      </c>
      <c r="E29" s="436">
        <f>'Role Selection'!I16</f>
        <v>0</v>
      </c>
      <c r="F29" s="437">
        <f>'Role Selection'!J16</f>
        <v>0</v>
      </c>
      <c r="G29" s="438"/>
      <c r="H29" s="430">
        <f>IFERROR(SUM('Staffing-Roles'!F124:Q124),0)</f>
        <v>0</v>
      </c>
      <c r="I29" s="431">
        <f>IFERROR(SUM('Staffing-Roles'!F151:Q151),0)</f>
        <v>0</v>
      </c>
      <c r="J29" s="430">
        <f>IFERROR(SUM('Staffing-Roles'!S124:AD124),0)</f>
        <v>0</v>
      </c>
      <c r="K29" s="431">
        <f>IFERROR(SUM('Staffing-Roles'!S151:AD151),0)</f>
        <v>0</v>
      </c>
      <c r="L29" s="430">
        <f>IFERROR(SUM('Staffing-Roles'!AF124:AQ124),0)</f>
        <v>0</v>
      </c>
      <c r="M29" s="431">
        <f>IFERROR(SUM('Staffing-Roles'!AF151:AQ151),0)</f>
        <v>0</v>
      </c>
      <c r="N29" s="430">
        <f>IFERROR(SUM('Staffing-Roles'!AS124:BD124),0)</f>
        <v>0</v>
      </c>
      <c r="O29" s="431">
        <f>IFERROR(SUM('Staffing-Roles'!AS151:BD151),0)</f>
        <v>0</v>
      </c>
      <c r="P29" s="430">
        <f>IFERROR(SUM('Staffing-Roles'!BF124:BQ124),0)</f>
        <v>0</v>
      </c>
      <c r="Q29" s="431">
        <f>IFERROR(SUM('Staffing-Roles'!BF151:BQ151),0)</f>
        <v>0</v>
      </c>
      <c r="R29" s="430">
        <f>IFERROR(SUM('Staffing-Roles'!BS124:CD124),0)</f>
        <v>0</v>
      </c>
      <c r="S29" s="431">
        <f>IFERROR(SUM('Staffing-Roles'!BS151:CD151),0)</f>
        <v>0</v>
      </c>
      <c r="T29" s="439">
        <f t="shared" si="0"/>
        <v>0</v>
      </c>
      <c r="W29" s="434">
        <f>H29+J29+L29+N29+P29+R29-'Staffing-Roles'!DS124</f>
        <v>0</v>
      </c>
      <c r="X29" s="434">
        <f>I29+K29+M29+O29+Q29+S29-'Staffing-Roles'!DS151</f>
        <v>0</v>
      </c>
    </row>
    <row r="30" spans="2:24">
      <c r="B30" s="424" t="str">
        <f>IFERROR('Staffing-Roles'!C125,0)</f>
        <v>///</v>
      </c>
      <c r="C30" s="435">
        <f>IFERROR('Staffing-Roles'!E125,0)</f>
        <v>0</v>
      </c>
      <c r="D30" s="426">
        <f>'Role Selection'!HO17</f>
        <v>0</v>
      </c>
      <c r="E30" s="436">
        <f>'Role Selection'!I17</f>
        <v>0</v>
      </c>
      <c r="F30" s="437">
        <f>'Role Selection'!J17</f>
        <v>0</v>
      </c>
      <c r="G30" s="438"/>
      <c r="H30" s="430">
        <f>IFERROR(SUM('Staffing-Roles'!F125:Q125),0)</f>
        <v>0</v>
      </c>
      <c r="I30" s="431">
        <f>IFERROR(SUM('Staffing-Roles'!F152:Q152),0)</f>
        <v>0</v>
      </c>
      <c r="J30" s="430">
        <f>IFERROR(SUM('Staffing-Roles'!S125:AD125),0)</f>
        <v>0</v>
      </c>
      <c r="K30" s="431">
        <f>IFERROR(SUM('Staffing-Roles'!S152:AD152),0)</f>
        <v>0</v>
      </c>
      <c r="L30" s="430">
        <f>IFERROR(SUM('Staffing-Roles'!AF125:AQ125),0)</f>
        <v>0</v>
      </c>
      <c r="M30" s="431">
        <f>IFERROR(SUM('Staffing-Roles'!AF152:AQ152),0)</f>
        <v>0</v>
      </c>
      <c r="N30" s="430">
        <f>IFERROR(SUM('Staffing-Roles'!AS125:BD125),0)</f>
        <v>0</v>
      </c>
      <c r="O30" s="431">
        <f>IFERROR(SUM('Staffing-Roles'!AS152:BD152),0)</f>
        <v>0</v>
      </c>
      <c r="P30" s="430">
        <f>IFERROR(SUM('Staffing-Roles'!BF125:BQ125),0)</f>
        <v>0</v>
      </c>
      <c r="Q30" s="431">
        <f>IFERROR(SUM('Staffing-Roles'!BF152:BQ152),0)</f>
        <v>0</v>
      </c>
      <c r="R30" s="430">
        <f>IFERROR(SUM('Staffing-Roles'!BS125:CD125),0)</f>
        <v>0</v>
      </c>
      <c r="S30" s="431">
        <f>IFERROR(SUM('Staffing-Roles'!BS152:CD152),0)</f>
        <v>0</v>
      </c>
      <c r="T30" s="439">
        <f t="shared" si="0"/>
        <v>0</v>
      </c>
      <c r="W30" s="434">
        <f>H30+J30+L30+N30+P30+R30-'Staffing-Roles'!DS125</f>
        <v>0</v>
      </c>
      <c r="X30" s="434">
        <f>I30+K30+M30+O30+Q30+S30-'Staffing-Roles'!DS152</f>
        <v>0</v>
      </c>
    </row>
    <row r="31" spans="2:24">
      <c r="B31" s="424" t="str">
        <f>IFERROR('Staffing-Roles'!C126,0)</f>
        <v>///</v>
      </c>
      <c r="C31" s="435">
        <f>IFERROR('Staffing-Roles'!E126,0)</f>
        <v>0</v>
      </c>
      <c r="D31" s="426">
        <f>'Role Selection'!HO18</f>
        <v>0</v>
      </c>
      <c r="E31" s="436">
        <f>'Role Selection'!I18</f>
        <v>0</v>
      </c>
      <c r="F31" s="437">
        <f>'Role Selection'!J18</f>
        <v>0</v>
      </c>
      <c r="G31" s="438"/>
      <c r="H31" s="430">
        <f>IFERROR(SUM('Staffing-Roles'!F126:Q126),0)</f>
        <v>0</v>
      </c>
      <c r="I31" s="431">
        <f>IFERROR(SUM('Staffing-Roles'!F153:Q153),0)</f>
        <v>0</v>
      </c>
      <c r="J31" s="430">
        <f>IFERROR(SUM('Staffing-Roles'!S126:AD126),0)</f>
        <v>0</v>
      </c>
      <c r="K31" s="431">
        <f>IFERROR(SUM('Staffing-Roles'!S153:AD153),0)</f>
        <v>0</v>
      </c>
      <c r="L31" s="430">
        <f>IFERROR(SUM('Staffing-Roles'!AF126:AQ126),0)</f>
        <v>0</v>
      </c>
      <c r="M31" s="431">
        <f>IFERROR(SUM('Staffing-Roles'!AF153:AQ153),0)</f>
        <v>0</v>
      </c>
      <c r="N31" s="430">
        <f>IFERROR(SUM('Staffing-Roles'!AS126:BD126),0)</f>
        <v>0</v>
      </c>
      <c r="O31" s="431">
        <f>IFERROR(SUM('Staffing-Roles'!AS153:BD153),0)</f>
        <v>0</v>
      </c>
      <c r="P31" s="430">
        <f>IFERROR(SUM('Staffing-Roles'!BF126:BQ126),0)</f>
        <v>0</v>
      </c>
      <c r="Q31" s="431">
        <f>IFERROR(SUM('Staffing-Roles'!BF153:BQ153),0)</f>
        <v>0</v>
      </c>
      <c r="R31" s="430">
        <f>IFERROR(SUM('Staffing-Roles'!BS126:CD126),0)</f>
        <v>0</v>
      </c>
      <c r="S31" s="431">
        <f>IFERROR(SUM('Staffing-Roles'!BS153:CD153),0)</f>
        <v>0</v>
      </c>
      <c r="T31" s="439">
        <f t="shared" si="0"/>
        <v>0</v>
      </c>
      <c r="W31" s="434">
        <f>H31+J31+L31+N31+P31+R31-'Staffing-Roles'!DS126</f>
        <v>0</v>
      </c>
      <c r="X31" s="434">
        <f>I31+K31+M31+O31+Q31+S31-'Staffing-Roles'!DS153</f>
        <v>0</v>
      </c>
    </row>
    <row r="32" spans="2:24">
      <c r="B32" s="424" t="str">
        <f>IFERROR('Staffing-Roles'!C127,0)</f>
        <v>///</v>
      </c>
      <c r="C32" s="435">
        <f>IFERROR('Staffing-Roles'!E127,0)</f>
        <v>0</v>
      </c>
      <c r="D32" s="426">
        <f>'Role Selection'!HO19</f>
        <v>0</v>
      </c>
      <c r="E32" s="436">
        <f>'Role Selection'!I19</f>
        <v>0</v>
      </c>
      <c r="F32" s="437">
        <f>'Role Selection'!J19</f>
        <v>0</v>
      </c>
      <c r="G32" s="438"/>
      <c r="H32" s="430">
        <f>IFERROR(SUM('Staffing-Roles'!F127:Q127),0)</f>
        <v>0</v>
      </c>
      <c r="I32" s="431">
        <f>IFERROR(SUM('Staffing-Roles'!F154:Q154),0)</f>
        <v>0</v>
      </c>
      <c r="J32" s="430">
        <f>IFERROR(SUM('Staffing-Roles'!S127:AD127),0)</f>
        <v>0</v>
      </c>
      <c r="K32" s="431">
        <f>IFERROR(SUM('Staffing-Roles'!S154:AD154),0)</f>
        <v>0</v>
      </c>
      <c r="L32" s="430">
        <f>IFERROR(SUM('Staffing-Roles'!AF127:AQ127),0)</f>
        <v>0</v>
      </c>
      <c r="M32" s="431">
        <f>IFERROR(SUM('Staffing-Roles'!AF154:AQ154),0)</f>
        <v>0</v>
      </c>
      <c r="N32" s="430">
        <f>IFERROR(SUM('Staffing-Roles'!AS127:BD127),0)</f>
        <v>0</v>
      </c>
      <c r="O32" s="431">
        <f>IFERROR(SUM('Staffing-Roles'!AS154:BD154),0)</f>
        <v>0</v>
      </c>
      <c r="P32" s="430">
        <f>IFERROR(SUM('Staffing-Roles'!BF127:BQ127),0)</f>
        <v>0</v>
      </c>
      <c r="Q32" s="431">
        <f>IFERROR(SUM('Staffing-Roles'!BF154:BQ154),0)</f>
        <v>0</v>
      </c>
      <c r="R32" s="430">
        <f>IFERROR(SUM('Staffing-Roles'!BS127:CD127),0)</f>
        <v>0</v>
      </c>
      <c r="S32" s="431">
        <f>IFERROR(SUM('Staffing-Roles'!BS154:CD154),0)</f>
        <v>0</v>
      </c>
      <c r="T32" s="439">
        <f t="shared" si="0"/>
        <v>0</v>
      </c>
      <c r="W32" s="434">
        <f>H32+J32+L32+N32+P32+R32-'Staffing-Roles'!DS127</f>
        <v>0</v>
      </c>
      <c r="X32" s="434">
        <f>I32+K32+M32+O32+Q32+S32-'Staffing-Roles'!DS154</f>
        <v>0</v>
      </c>
    </row>
    <row r="33" spans="2:24">
      <c r="B33" s="424" t="str">
        <f>IFERROR('Staffing-Roles'!C128,0)</f>
        <v>///</v>
      </c>
      <c r="C33" s="435">
        <f>IFERROR('Staffing-Roles'!E128,0)</f>
        <v>0</v>
      </c>
      <c r="D33" s="426">
        <f>'Role Selection'!HO20</f>
        <v>0</v>
      </c>
      <c r="E33" s="436">
        <f>'Role Selection'!I20</f>
        <v>0</v>
      </c>
      <c r="F33" s="437">
        <f>'Role Selection'!J20</f>
        <v>0</v>
      </c>
      <c r="G33" s="438"/>
      <c r="H33" s="430">
        <f>IFERROR(SUM('Staffing-Roles'!F128:Q128),0)</f>
        <v>0</v>
      </c>
      <c r="I33" s="431">
        <f>IFERROR(SUM('Staffing-Roles'!F155:Q155),0)</f>
        <v>0</v>
      </c>
      <c r="J33" s="430">
        <f>IFERROR(SUM('Staffing-Roles'!S128:AD128),0)</f>
        <v>0</v>
      </c>
      <c r="K33" s="431">
        <f>IFERROR(SUM('Staffing-Roles'!S155:AD155),0)</f>
        <v>0</v>
      </c>
      <c r="L33" s="430">
        <f>IFERROR(SUM('Staffing-Roles'!AF128:AQ128),0)</f>
        <v>0</v>
      </c>
      <c r="M33" s="431">
        <f>IFERROR(SUM('Staffing-Roles'!AF155:AQ155),0)</f>
        <v>0</v>
      </c>
      <c r="N33" s="430">
        <f>IFERROR(SUM('Staffing-Roles'!AS128:BD128),0)</f>
        <v>0</v>
      </c>
      <c r="O33" s="431">
        <f>IFERROR(SUM('Staffing-Roles'!AS155:BD155),0)</f>
        <v>0</v>
      </c>
      <c r="P33" s="430">
        <f>IFERROR(SUM('Staffing-Roles'!BF128:BQ128),0)</f>
        <v>0</v>
      </c>
      <c r="Q33" s="431">
        <f>IFERROR(SUM('Staffing-Roles'!BF155:BQ155),0)</f>
        <v>0</v>
      </c>
      <c r="R33" s="430">
        <f>IFERROR(SUM('Staffing-Roles'!BS128:CD128),0)</f>
        <v>0</v>
      </c>
      <c r="S33" s="431">
        <f>IFERROR(SUM('Staffing-Roles'!BS155:CD155),0)</f>
        <v>0</v>
      </c>
      <c r="T33" s="439">
        <f t="shared" si="0"/>
        <v>0</v>
      </c>
      <c r="W33" s="434">
        <f>H33+J33+L33+N33+P33+R33-'Staffing-Roles'!DS128</f>
        <v>0</v>
      </c>
      <c r="X33" s="434">
        <f>I33+K33+M33+O33+Q33+S33-'Staffing-Roles'!DS155</f>
        <v>0</v>
      </c>
    </row>
    <row r="34" spans="2:24">
      <c r="B34" s="424" t="str">
        <f>IFERROR('Staffing-Roles'!C129,0)</f>
        <v>///</v>
      </c>
      <c r="C34" s="435">
        <f>IFERROR('Staffing-Roles'!E129,0)</f>
        <v>0</v>
      </c>
      <c r="D34" s="426">
        <f>'Role Selection'!HO21</f>
        <v>0</v>
      </c>
      <c r="E34" s="436">
        <f>'Role Selection'!I21</f>
        <v>0</v>
      </c>
      <c r="F34" s="437">
        <f>'Role Selection'!J21</f>
        <v>0</v>
      </c>
      <c r="G34" s="438"/>
      <c r="H34" s="430">
        <f>IFERROR(SUM('Staffing-Roles'!F129:Q129),0)</f>
        <v>0</v>
      </c>
      <c r="I34" s="431">
        <f>IFERROR(SUM('Staffing-Roles'!F156:Q156),0)</f>
        <v>0</v>
      </c>
      <c r="J34" s="430">
        <f>IFERROR(SUM('Staffing-Roles'!S129:AD129),0)</f>
        <v>0</v>
      </c>
      <c r="K34" s="431">
        <f>IFERROR(SUM('Staffing-Roles'!S156:AD156),0)</f>
        <v>0</v>
      </c>
      <c r="L34" s="430">
        <f>IFERROR(SUM('Staffing-Roles'!AF129:AQ129),0)</f>
        <v>0</v>
      </c>
      <c r="M34" s="431">
        <f>IFERROR(SUM('Staffing-Roles'!AF156:AQ156),0)</f>
        <v>0</v>
      </c>
      <c r="N34" s="430">
        <f>IFERROR(SUM('Staffing-Roles'!AS129:BD129),0)</f>
        <v>0</v>
      </c>
      <c r="O34" s="431">
        <f>IFERROR(SUM('Staffing-Roles'!AS156:BD156),0)</f>
        <v>0</v>
      </c>
      <c r="P34" s="430">
        <f>IFERROR(SUM('Staffing-Roles'!BF129:BQ129),0)</f>
        <v>0</v>
      </c>
      <c r="Q34" s="431">
        <f>IFERROR(SUM('Staffing-Roles'!BF156:BQ156),0)</f>
        <v>0</v>
      </c>
      <c r="R34" s="430">
        <f>IFERROR(SUM('Staffing-Roles'!BS129:CD129),0)</f>
        <v>0</v>
      </c>
      <c r="S34" s="431">
        <f>IFERROR(SUM('Staffing-Roles'!BS156:CD156),0)</f>
        <v>0</v>
      </c>
      <c r="T34" s="439">
        <f t="shared" si="0"/>
        <v>0</v>
      </c>
      <c r="W34" s="434">
        <f>H34+J34+L34+N34+P34+R34-'Staffing-Roles'!DS129</f>
        <v>0</v>
      </c>
      <c r="X34" s="434">
        <f>I34+K34+M34+O34+Q34+S34-'Staffing-Roles'!DS156</f>
        <v>0</v>
      </c>
    </row>
    <row r="35" spans="2:24">
      <c r="B35" s="424" t="str">
        <f>IFERROR('Staffing-Roles'!C130,0)</f>
        <v>///</v>
      </c>
      <c r="C35" s="435">
        <f>IFERROR('Staffing-Roles'!E130,0)</f>
        <v>0</v>
      </c>
      <c r="D35" s="426">
        <f>'Role Selection'!HO22</f>
        <v>0</v>
      </c>
      <c r="E35" s="436">
        <f>'Role Selection'!I22</f>
        <v>0</v>
      </c>
      <c r="F35" s="437">
        <f>'Role Selection'!J22</f>
        <v>0</v>
      </c>
      <c r="G35" s="438"/>
      <c r="H35" s="430">
        <f>IFERROR(SUM('Staffing-Roles'!F130:Q130),0)</f>
        <v>0</v>
      </c>
      <c r="I35" s="431">
        <f>IFERROR(SUM('Staffing-Roles'!F157:Q157),0)</f>
        <v>0</v>
      </c>
      <c r="J35" s="430">
        <f>IFERROR(SUM('Staffing-Roles'!S130:AD130),0)</f>
        <v>0</v>
      </c>
      <c r="K35" s="431">
        <f>IFERROR(SUM('Staffing-Roles'!S157:AD157),0)</f>
        <v>0</v>
      </c>
      <c r="L35" s="430">
        <f>IFERROR(SUM('Staffing-Roles'!AF130:AQ130),0)</f>
        <v>0</v>
      </c>
      <c r="M35" s="431">
        <f>IFERROR(SUM('Staffing-Roles'!AF157:AQ157),0)</f>
        <v>0</v>
      </c>
      <c r="N35" s="430">
        <f>IFERROR(SUM('Staffing-Roles'!AS130:BD130),0)</f>
        <v>0</v>
      </c>
      <c r="O35" s="431">
        <f>IFERROR(SUM('Staffing-Roles'!AS157:BD157),0)</f>
        <v>0</v>
      </c>
      <c r="P35" s="430">
        <f>IFERROR(SUM('Staffing-Roles'!BF130:BQ130),0)</f>
        <v>0</v>
      </c>
      <c r="Q35" s="431">
        <f>IFERROR(SUM('Staffing-Roles'!BF157:BQ157),0)</f>
        <v>0</v>
      </c>
      <c r="R35" s="430">
        <f>IFERROR(SUM('Staffing-Roles'!BS130:CD130),0)</f>
        <v>0</v>
      </c>
      <c r="S35" s="431">
        <f>IFERROR(SUM('Staffing-Roles'!BS157:CD157),0)</f>
        <v>0</v>
      </c>
      <c r="T35" s="439">
        <f t="shared" si="0"/>
        <v>0</v>
      </c>
      <c r="W35" s="434">
        <f>H35+J35+L35+N35+P35+R35-'Staffing-Roles'!DS130</f>
        <v>0</v>
      </c>
      <c r="X35" s="434">
        <f>I35+K35+M35+O35+Q35+S35-'Staffing-Roles'!DS157</f>
        <v>0</v>
      </c>
    </row>
    <row r="36" spans="2:24">
      <c r="B36" s="424" t="str">
        <f>IFERROR('Staffing-Roles'!C131,0)</f>
        <v>///</v>
      </c>
      <c r="C36" s="435">
        <f>IFERROR('Staffing-Roles'!E131,0)</f>
        <v>0</v>
      </c>
      <c r="D36" s="426">
        <f>'Role Selection'!HO23</f>
        <v>0</v>
      </c>
      <c r="E36" s="436">
        <f>'Role Selection'!I23</f>
        <v>0</v>
      </c>
      <c r="F36" s="437">
        <f>'Role Selection'!J23</f>
        <v>0</v>
      </c>
      <c r="G36" s="438"/>
      <c r="H36" s="430">
        <f>IFERROR(SUM('Staffing-Roles'!F131:Q131),0)</f>
        <v>0</v>
      </c>
      <c r="I36" s="431">
        <f>IFERROR(SUM('Staffing-Roles'!F158:Q158),0)</f>
        <v>0</v>
      </c>
      <c r="J36" s="430">
        <f>IFERROR(SUM('Staffing-Roles'!S131:AD131),0)</f>
        <v>0</v>
      </c>
      <c r="K36" s="431">
        <f>IFERROR(SUM('Staffing-Roles'!S158:AD158),0)</f>
        <v>0</v>
      </c>
      <c r="L36" s="430">
        <f>IFERROR(SUM('Staffing-Roles'!AF131:AQ131),0)</f>
        <v>0</v>
      </c>
      <c r="M36" s="431">
        <f>IFERROR(SUM('Staffing-Roles'!AF158:AQ158),0)</f>
        <v>0</v>
      </c>
      <c r="N36" s="430">
        <f>IFERROR(SUM('Staffing-Roles'!AS131:BD131),0)</f>
        <v>0</v>
      </c>
      <c r="O36" s="431">
        <f>IFERROR(SUM('Staffing-Roles'!AS158:BD158),0)</f>
        <v>0</v>
      </c>
      <c r="P36" s="430">
        <f>IFERROR(SUM('Staffing-Roles'!BF131:BQ131),0)</f>
        <v>0</v>
      </c>
      <c r="Q36" s="431">
        <f>IFERROR(SUM('Staffing-Roles'!BF158:BQ158),0)</f>
        <v>0</v>
      </c>
      <c r="R36" s="430">
        <f>IFERROR(SUM('Staffing-Roles'!BS131:CD131),0)</f>
        <v>0</v>
      </c>
      <c r="S36" s="431">
        <f>IFERROR(SUM('Staffing-Roles'!BS158:CD158),0)</f>
        <v>0</v>
      </c>
      <c r="T36" s="439">
        <f t="shared" si="0"/>
        <v>0</v>
      </c>
      <c r="W36" s="434">
        <f>H36+J36+L36+N36+P36+R36-'Staffing-Roles'!DS131</f>
        <v>0</v>
      </c>
      <c r="X36" s="434">
        <f>I36+K36+M36+O36+Q36+S36-'Staffing-Roles'!DS158</f>
        <v>0</v>
      </c>
    </row>
    <row r="37" spans="2:24">
      <c r="B37" s="424" t="str">
        <f>IFERROR('Staffing-Roles'!C132,0)</f>
        <v>///</v>
      </c>
      <c r="C37" s="435">
        <f>IFERROR('Staffing-Roles'!E132,0)</f>
        <v>0</v>
      </c>
      <c r="D37" s="426">
        <f>'Role Selection'!HO24</f>
        <v>0</v>
      </c>
      <c r="E37" s="436">
        <f>'Role Selection'!I24</f>
        <v>0</v>
      </c>
      <c r="F37" s="437">
        <f>'Role Selection'!J24</f>
        <v>0</v>
      </c>
      <c r="G37" s="438"/>
      <c r="H37" s="430">
        <f>IFERROR(SUM('Staffing-Roles'!F132:Q132),0)</f>
        <v>0</v>
      </c>
      <c r="I37" s="431">
        <f>IFERROR(SUM('Staffing-Roles'!F159:Q159),0)</f>
        <v>0</v>
      </c>
      <c r="J37" s="430">
        <f>IFERROR(SUM('Staffing-Roles'!S132:AD132),0)</f>
        <v>0</v>
      </c>
      <c r="K37" s="431">
        <f>IFERROR(SUM('Staffing-Roles'!S159:AD159),0)</f>
        <v>0</v>
      </c>
      <c r="L37" s="430">
        <f>IFERROR(SUM('Staffing-Roles'!AF132:AQ132),0)</f>
        <v>0</v>
      </c>
      <c r="M37" s="431">
        <f>IFERROR(SUM('Staffing-Roles'!AF159:AQ159),0)</f>
        <v>0</v>
      </c>
      <c r="N37" s="430">
        <f>IFERROR(SUM('Staffing-Roles'!AS132:BD132),0)</f>
        <v>0</v>
      </c>
      <c r="O37" s="431">
        <f>IFERROR(SUM('Staffing-Roles'!AS159:BD159),0)</f>
        <v>0</v>
      </c>
      <c r="P37" s="430">
        <f>IFERROR(SUM('Staffing-Roles'!BF132:BQ132),0)</f>
        <v>0</v>
      </c>
      <c r="Q37" s="431">
        <f>IFERROR(SUM('Staffing-Roles'!BF159:BQ159),0)</f>
        <v>0</v>
      </c>
      <c r="R37" s="430">
        <f>IFERROR(SUM('Staffing-Roles'!BS132:CD132),0)</f>
        <v>0</v>
      </c>
      <c r="S37" s="431">
        <f>IFERROR(SUM('Staffing-Roles'!BS159:CD159),0)</f>
        <v>0</v>
      </c>
      <c r="T37" s="439">
        <f t="shared" si="0"/>
        <v>0</v>
      </c>
      <c r="W37" s="434">
        <f>H37+J37+L37+N37+P37+R37-'Staffing-Roles'!DS132</f>
        <v>0</v>
      </c>
      <c r="X37" s="434">
        <f>I37+K37+M37+O37+Q37+S37-'Staffing-Roles'!DS159</f>
        <v>0</v>
      </c>
    </row>
    <row r="38" spans="2:24">
      <c r="B38" s="424" t="str">
        <f>IFERROR('Staffing-Roles'!C133,0)</f>
        <v>///</v>
      </c>
      <c r="C38" s="435">
        <f>IFERROR('Staffing-Roles'!E133,0)</f>
        <v>0</v>
      </c>
      <c r="D38" s="426">
        <f>'Role Selection'!HO25</f>
        <v>0</v>
      </c>
      <c r="E38" s="436">
        <f>'Role Selection'!I25</f>
        <v>0</v>
      </c>
      <c r="F38" s="437">
        <f>'Role Selection'!J25</f>
        <v>0</v>
      </c>
      <c r="G38" s="438"/>
      <c r="H38" s="430">
        <f>IFERROR(SUM('Staffing-Roles'!F133:Q133),0)</f>
        <v>0</v>
      </c>
      <c r="I38" s="431">
        <f>IFERROR(SUM('Staffing-Roles'!F160:Q160),0)</f>
        <v>0</v>
      </c>
      <c r="J38" s="430">
        <f>IFERROR(SUM('Staffing-Roles'!S133:AD133),0)</f>
        <v>0</v>
      </c>
      <c r="K38" s="431">
        <f>IFERROR(SUM('Staffing-Roles'!S160:AD160),0)</f>
        <v>0</v>
      </c>
      <c r="L38" s="430">
        <f>IFERROR(SUM('Staffing-Roles'!AF133:AQ133),0)</f>
        <v>0</v>
      </c>
      <c r="M38" s="431">
        <f>IFERROR(SUM('Staffing-Roles'!AF160:AQ160),0)</f>
        <v>0</v>
      </c>
      <c r="N38" s="430">
        <f>IFERROR(SUM('Staffing-Roles'!AS133:BD133),0)</f>
        <v>0</v>
      </c>
      <c r="O38" s="431">
        <f>IFERROR(SUM('Staffing-Roles'!AS160:BD160),0)</f>
        <v>0</v>
      </c>
      <c r="P38" s="430">
        <f>IFERROR(SUM('Staffing-Roles'!BF133:BQ133),0)</f>
        <v>0</v>
      </c>
      <c r="Q38" s="431">
        <f>IFERROR(SUM('Staffing-Roles'!BF160:BQ160),0)</f>
        <v>0</v>
      </c>
      <c r="R38" s="430">
        <f>IFERROR(SUM('Staffing-Roles'!BS133:CD133),0)</f>
        <v>0</v>
      </c>
      <c r="S38" s="431">
        <f>IFERROR(SUM('Staffing-Roles'!BS160:CD160),0)</f>
        <v>0</v>
      </c>
      <c r="T38" s="439">
        <f t="shared" si="0"/>
        <v>0</v>
      </c>
      <c r="W38" s="434">
        <f>H38+J38+L38+N38+P38+R38-'Staffing-Roles'!DS133</f>
        <v>0</v>
      </c>
      <c r="X38" s="434">
        <f>I38+K38+M38+O38+Q38+S38-'Staffing-Roles'!DS160</f>
        <v>0</v>
      </c>
    </row>
    <row r="39" spans="2:24" ht="13.5" thickBot="1">
      <c r="B39" s="440" t="str">
        <f>IFERROR('Staffing-Roles'!C134,0)</f>
        <v>///</v>
      </c>
      <c r="C39" s="441">
        <f>IFERROR('Staffing-Roles'!E134,0)</f>
        <v>0</v>
      </c>
      <c r="D39" s="442">
        <f>'Role Selection'!HO26</f>
        <v>0</v>
      </c>
      <c r="E39" s="436">
        <f>'Role Selection'!I26</f>
        <v>0</v>
      </c>
      <c r="F39" s="437">
        <f>'Role Selection'!J26</f>
        <v>0</v>
      </c>
      <c r="G39" s="443"/>
      <c r="H39" s="444">
        <f>IFERROR(SUM('Staffing-Roles'!F134:Q134),0)</f>
        <v>0</v>
      </c>
      <c r="I39" s="445">
        <f>IFERROR(SUM('Staffing-Roles'!F161:Q161),0)</f>
        <v>0</v>
      </c>
      <c r="J39" s="444">
        <f>IFERROR(SUM('Staffing-Roles'!S134:AD134),0)</f>
        <v>0</v>
      </c>
      <c r="K39" s="445">
        <f>IFERROR(SUM('Staffing-Roles'!S161:AD161),0)</f>
        <v>0</v>
      </c>
      <c r="L39" s="444">
        <f>IFERROR(SUM('Staffing-Roles'!AF134:AQ134),0)</f>
        <v>0</v>
      </c>
      <c r="M39" s="445">
        <f>IFERROR(SUM('Staffing-Roles'!AF161:AQ161),0)</f>
        <v>0</v>
      </c>
      <c r="N39" s="444">
        <f>IFERROR(SUM('Staffing-Roles'!AS134:BD134),0)</f>
        <v>0</v>
      </c>
      <c r="O39" s="445">
        <f>IFERROR(SUM('Staffing-Roles'!AS161:BD161),0)</f>
        <v>0</v>
      </c>
      <c r="P39" s="444">
        <f>IFERROR(SUM('Staffing-Roles'!BF134:BQ134),0)</f>
        <v>0</v>
      </c>
      <c r="Q39" s="445">
        <f>IFERROR(SUM('Staffing-Roles'!BF161:BQ161),0)</f>
        <v>0</v>
      </c>
      <c r="R39" s="444">
        <f>IFERROR(SUM('Staffing-Roles'!BS134:CD134),0)</f>
        <v>0</v>
      </c>
      <c r="S39" s="445">
        <f>IFERROR(SUM('Staffing-Roles'!BS161:CD161),0)</f>
        <v>0</v>
      </c>
      <c r="T39" s="423">
        <f t="shared" si="0"/>
        <v>0</v>
      </c>
      <c r="W39" s="434">
        <f>H39+J39+L39+N39+P39+R39-'Staffing-Roles'!DS134</f>
        <v>0</v>
      </c>
      <c r="X39" s="434">
        <f>I39+K39+M39+O39+Q39+S39-'Staffing-Roles'!DS161</f>
        <v>0</v>
      </c>
    </row>
    <row r="40" spans="2:24" hidden="1">
      <c r="B40" s="446"/>
      <c r="C40" s="447"/>
      <c r="D40" s="448"/>
      <c r="E40" s="449"/>
      <c r="F40" s="450"/>
      <c r="G40" s="451"/>
      <c r="H40" s="452"/>
      <c r="I40" s="453"/>
      <c r="J40" s="452"/>
      <c r="K40" s="453"/>
      <c r="L40" s="452"/>
      <c r="M40" s="453"/>
      <c r="N40" s="452"/>
      <c r="O40" s="453"/>
      <c r="P40" s="452"/>
      <c r="Q40" s="453"/>
      <c r="R40" s="452"/>
      <c r="S40" s="453"/>
      <c r="T40" s="439">
        <f t="shared" si="0"/>
        <v>0</v>
      </c>
    </row>
    <row r="41" spans="2:24" hidden="1">
      <c r="B41" s="454"/>
      <c r="C41" s="455"/>
      <c r="D41" s="448"/>
      <c r="E41" s="449"/>
      <c r="F41" s="450"/>
      <c r="G41" s="451"/>
      <c r="H41" s="452"/>
      <c r="I41" s="453"/>
      <c r="J41" s="452"/>
      <c r="K41" s="453"/>
      <c r="L41" s="452"/>
      <c r="M41" s="453"/>
      <c r="N41" s="452"/>
      <c r="O41" s="453"/>
      <c r="P41" s="452"/>
      <c r="Q41" s="453"/>
      <c r="R41" s="453"/>
      <c r="S41" s="453"/>
      <c r="T41" s="439">
        <f t="shared" si="0"/>
        <v>0</v>
      </c>
    </row>
    <row r="42" spans="2:24" hidden="1">
      <c r="B42" s="454"/>
      <c r="C42" s="455"/>
      <c r="D42" s="448"/>
      <c r="E42" s="449"/>
      <c r="F42" s="450"/>
      <c r="G42" s="451"/>
      <c r="H42" s="452"/>
      <c r="I42" s="453"/>
      <c r="J42" s="452"/>
      <c r="K42" s="453"/>
      <c r="L42" s="452"/>
      <c r="M42" s="453"/>
      <c r="N42" s="452"/>
      <c r="O42" s="453"/>
      <c r="P42" s="452"/>
      <c r="Q42" s="453"/>
      <c r="R42" s="453"/>
      <c r="S42" s="453"/>
      <c r="T42" s="439">
        <f t="shared" si="0"/>
        <v>0</v>
      </c>
    </row>
    <row r="43" spans="2:24" hidden="1">
      <c r="B43" s="454"/>
      <c r="C43" s="455"/>
      <c r="D43" s="448"/>
      <c r="E43" s="449"/>
      <c r="F43" s="450"/>
      <c r="G43" s="451"/>
      <c r="H43" s="452"/>
      <c r="I43" s="453"/>
      <c r="J43" s="452"/>
      <c r="K43" s="453"/>
      <c r="L43" s="452"/>
      <c r="M43" s="453"/>
      <c r="N43" s="452"/>
      <c r="O43" s="453"/>
      <c r="P43" s="452"/>
      <c r="Q43" s="453"/>
      <c r="R43" s="453"/>
      <c r="S43" s="453"/>
      <c r="T43" s="439">
        <f t="shared" si="0"/>
        <v>0</v>
      </c>
    </row>
    <row r="44" spans="2:24" hidden="1">
      <c r="B44" s="446"/>
      <c r="C44" s="447"/>
      <c r="D44" s="448"/>
      <c r="E44" s="449"/>
      <c r="F44" s="450"/>
      <c r="G44" s="451"/>
      <c r="H44" s="452"/>
      <c r="I44" s="453"/>
      <c r="J44" s="452"/>
      <c r="K44" s="453"/>
      <c r="L44" s="452"/>
      <c r="M44" s="453"/>
      <c r="N44" s="452"/>
      <c r="O44" s="453"/>
      <c r="P44" s="452"/>
      <c r="Q44" s="453"/>
      <c r="R44" s="453"/>
      <c r="S44" s="453"/>
      <c r="T44" s="439">
        <f t="shared" si="0"/>
        <v>0</v>
      </c>
    </row>
    <row r="45" spans="2:24" hidden="1">
      <c r="B45" s="446"/>
      <c r="C45" s="447"/>
      <c r="D45" s="448"/>
      <c r="E45" s="449"/>
      <c r="F45" s="450"/>
      <c r="G45" s="451"/>
      <c r="H45" s="452"/>
      <c r="I45" s="453"/>
      <c r="J45" s="452"/>
      <c r="K45" s="453"/>
      <c r="L45" s="452"/>
      <c r="M45" s="453"/>
      <c r="N45" s="452"/>
      <c r="O45" s="453"/>
      <c r="P45" s="452"/>
      <c r="Q45" s="453"/>
      <c r="R45" s="453"/>
      <c r="S45" s="453"/>
      <c r="T45" s="439">
        <f t="shared" si="0"/>
        <v>0</v>
      </c>
    </row>
    <row r="46" spans="2:24" hidden="1">
      <c r="B46" s="446"/>
      <c r="C46" s="447"/>
      <c r="D46" s="448"/>
      <c r="E46" s="449"/>
      <c r="F46" s="450"/>
      <c r="G46" s="451"/>
      <c r="H46" s="452"/>
      <c r="I46" s="453"/>
      <c r="J46" s="452"/>
      <c r="K46" s="453"/>
      <c r="L46" s="452"/>
      <c r="M46" s="453"/>
      <c r="N46" s="452"/>
      <c r="O46" s="453"/>
      <c r="P46" s="452"/>
      <c r="Q46" s="453"/>
      <c r="R46" s="453"/>
      <c r="S46" s="453"/>
      <c r="T46" s="439">
        <f t="shared" si="0"/>
        <v>0</v>
      </c>
    </row>
    <row r="47" spans="2:24" hidden="1">
      <c r="B47" s="456"/>
      <c r="C47" s="457"/>
      <c r="D47" s="458"/>
      <c r="E47" s="459"/>
      <c r="F47" s="460"/>
      <c r="G47" s="461"/>
      <c r="H47" s="462"/>
      <c r="I47" s="463"/>
      <c r="J47" s="462"/>
      <c r="K47" s="464"/>
      <c r="L47" s="465"/>
      <c r="M47" s="464"/>
      <c r="N47" s="465"/>
      <c r="O47" s="464"/>
      <c r="P47" s="465"/>
      <c r="Q47" s="464"/>
      <c r="R47" s="464"/>
      <c r="S47" s="464"/>
      <c r="T47" s="423"/>
    </row>
    <row r="48" spans="2:24">
      <c r="B48" s="466"/>
      <c r="C48" s="466"/>
      <c r="D48" s="466"/>
      <c r="H48" s="467"/>
      <c r="I48" s="467"/>
      <c r="K48" s="468" t="s">
        <v>1382</v>
      </c>
      <c r="L48" s="468"/>
      <c r="M48" s="469"/>
      <c r="N48" s="470"/>
      <c r="O48" s="469"/>
      <c r="P48" s="469"/>
      <c r="Q48" s="471"/>
      <c r="R48" s="471"/>
      <c r="S48" s="471"/>
      <c r="T48" s="472"/>
      <c r="U48" s="400"/>
    </row>
    <row r="49" spans="2:22">
      <c r="B49" s="473"/>
      <c r="C49" s="473"/>
      <c r="D49" s="473"/>
      <c r="H49" s="467"/>
      <c r="I49" s="467"/>
      <c r="K49" s="468" t="s">
        <v>1383</v>
      </c>
      <c r="L49" s="468"/>
      <c r="M49" s="474"/>
      <c r="N49" s="470"/>
      <c r="O49" s="406"/>
      <c r="P49" s="406"/>
      <c r="Q49" s="405"/>
      <c r="R49" s="405"/>
      <c r="S49" s="405"/>
      <c r="T49" s="475">
        <f>SUM(T18:T47)+T48*1.2</f>
        <v>0</v>
      </c>
    </row>
    <row r="50" spans="2:22">
      <c r="C50" s="473"/>
      <c r="D50" s="473"/>
      <c r="H50" s="467"/>
      <c r="I50" s="467"/>
      <c r="K50" s="468" t="s">
        <v>1392</v>
      </c>
      <c r="L50" s="468"/>
      <c r="M50" s="406"/>
      <c r="N50" s="470"/>
      <c r="O50" s="406"/>
      <c r="P50" s="406"/>
      <c r="Q50" s="405"/>
      <c r="R50" s="413"/>
      <c r="S50" s="413"/>
      <c r="T50" s="476">
        <v>0</v>
      </c>
      <c r="U50" s="477"/>
    </row>
    <row r="51" spans="2:22" ht="25.5" customHeight="1">
      <c r="C51" s="473"/>
      <c r="D51" s="473"/>
      <c r="H51" s="467"/>
      <c r="J51" s="398" t="s">
        <v>1391</v>
      </c>
      <c r="K51" s="523" t="s">
        <v>1394</v>
      </c>
      <c r="L51" s="524"/>
      <c r="M51" s="524"/>
      <c r="N51" s="524"/>
      <c r="O51" s="524"/>
      <c r="P51" s="524"/>
      <c r="Q51" s="525"/>
      <c r="R51" s="478"/>
      <c r="S51" s="478"/>
      <c r="T51" s="491" t="str">
        <f>CheckList!G90</f>
        <v>0</v>
      </c>
      <c r="U51" s="479" t="s">
        <v>1396</v>
      </c>
      <c r="V51" s="400"/>
    </row>
    <row r="52" spans="2:22" ht="15.75" customHeight="1">
      <c r="C52" s="473"/>
      <c r="D52" s="473"/>
      <c r="H52" s="467"/>
      <c r="I52" s="467"/>
      <c r="K52" s="480" t="s">
        <v>1393</v>
      </c>
      <c r="L52" s="406"/>
      <c r="M52" s="481"/>
      <c r="N52" s="481"/>
      <c r="O52" s="481"/>
      <c r="P52" s="481"/>
      <c r="Q52" s="482"/>
      <c r="R52" s="478"/>
      <c r="S52" s="478"/>
      <c r="T52" s="491">
        <f>SUM(T50:T51)</f>
        <v>0</v>
      </c>
      <c r="U52" s="477"/>
    </row>
    <row r="53" spans="2:22">
      <c r="H53" s="467"/>
      <c r="I53" s="467"/>
      <c r="K53" s="483" t="s">
        <v>1384</v>
      </c>
      <c r="L53" s="417"/>
      <c r="M53" s="417"/>
      <c r="N53" s="484"/>
      <c r="O53" s="417"/>
      <c r="P53" s="417"/>
      <c r="Q53" s="485"/>
      <c r="R53" s="485"/>
      <c r="S53" s="485"/>
      <c r="T53" s="486">
        <f>IFERROR(T52/T49-1,0)</f>
        <v>0</v>
      </c>
      <c r="U53" s="487"/>
    </row>
    <row r="54" spans="2:22">
      <c r="U54" s="400"/>
    </row>
    <row r="58" spans="2:22">
      <c r="K58" s="398"/>
    </row>
  </sheetData>
  <sheetProtection algorithmName="SHA-512" hashValue="jEsOREs00M3EhUXbA0k8FPoJIO7v1yxQilPHFRrOgFjwHyYRb27QAAiSJSxjJpJ23BKq1PRnCIQiLKc3RRmV6g==" saltValue="LXNVL4Eah2FiNuoaHxoQOw==" spinCount="100000" sheet="1" objects="1" scenarios="1" formatCells="0" formatColumns="0"/>
  <protectedRanges>
    <protectedRange sqref="C11 J13:S13 T48 T50" name="Range2"/>
  </protectedRanges>
  <mergeCells count="16">
    <mergeCell ref="E12:G12"/>
    <mergeCell ref="E13:G13"/>
    <mergeCell ref="E16:F16"/>
    <mergeCell ref="H16:I16"/>
    <mergeCell ref="J16:K16"/>
    <mergeCell ref="H15:I15"/>
    <mergeCell ref="J15:K15"/>
    <mergeCell ref="R15:S15"/>
    <mergeCell ref="R16:S16"/>
    <mergeCell ref="N16:O16"/>
    <mergeCell ref="P16:Q16"/>
    <mergeCell ref="K51:Q51"/>
    <mergeCell ref="L16:M16"/>
    <mergeCell ref="L15:M15"/>
    <mergeCell ref="N15:O15"/>
    <mergeCell ref="P15:Q15"/>
  </mergeCells>
  <dataValidations count="1">
    <dataValidation type="list" allowBlank="1" showInputMessage="1" showErrorMessage="1" sqref="Q48:S48 G18:G47">
      <formula1>"Hrly,Daily"</formula1>
    </dataValidation>
  </dataValidations>
  <pageMargins left="0.7" right="0.7" top="0.75" bottom="0.75" header="0.3" footer="0.3"/>
  <pageSetup orientation="portrait" r:id="rId1"/>
  <ignoredErrors>
    <ignoredError sqref="D19:D39 C12:C14 B18:C38 S15 Q15 O15 M15 K15 I15 H16:S39 H15 J15 L15 N15 P15 R15 T51:T52 W18:X49 E19:F39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H42"/>
  <sheetViews>
    <sheetView topLeftCell="A7" zoomScale="90" zoomScaleNormal="90" workbookViewId="0">
      <selection activeCell="D17" sqref="D17"/>
    </sheetView>
  </sheetViews>
  <sheetFormatPr defaultRowHeight="12.75"/>
  <cols>
    <col min="1" max="1" width="4.28515625" customWidth="1"/>
    <col min="2" max="2" width="56.42578125" customWidth="1"/>
    <col min="3" max="3" width="12" customWidth="1"/>
    <col min="4" max="4" width="9.7109375" customWidth="1"/>
    <col min="5" max="5" width="13.42578125" customWidth="1"/>
    <col min="6" max="6" width="13.7109375" customWidth="1"/>
    <col min="7" max="7" width="27.140625" customWidth="1"/>
    <col min="8" max="8" width="11" bestFit="1" customWidth="1"/>
  </cols>
  <sheetData>
    <row r="1" spans="2:8" hidden="1"/>
    <row r="2" spans="2:8" hidden="1"/>
    <row r="3" spans="2:8" hidden="1"/>
    <row r="4" spans="2:8" ht="13.5" thickBot="1"/>
    <row r="5" spans="2:8" ht="31.5" customHeight="1" thickBot="1">
      <c r="B5" s="537" t="s">
        <v>771</v>
      </c>
      <c r="C5" s="538"/>
      <c r="D5" s="538"/>
      <c r="E5" s="538"/>
      <c r="F5" s="539"/>
    </row>
    <row r="7" spans="2:8" ht="13.5" thickBot="1"/>
    <row r="8" spans="2:8" ht="16.5" thickBot="1">
      <c r="B8" s="534" t="s">
        <v>760</v>
      </c>
      <c r="C8" s="535"/>
      <c r="D8" s="535"/>
      <c r="E8" s="535"/>
      <c r="F8" s="536"/>
    </row>
    <row r="9" spans="2:8" ht="31.5">
      <c r="B9" s="211" t="s">
        <v>761</v>
      </c>
      <c r="C9" s="175" t="s">
        <v>762</v>
      </c>
      <c r="D9" s="175" t="s">
        <v>763</v>
      </c>
      <c r="E9" s="175" t="s">
        <v>764</v>
      </c>
      <c r="F9" s="176" t="s">
        <v>24</v>
      </c>
      <c r="G9" s="222" t="s">
        <v>777</v>
      </c>
    </row>
    <row r="10" spans="2:8" ht="15">
      <c r="B10" s="194"/>
      <c r="C10" s="177"/>
      <c r="D10" s="177"/>
      <c r="E10" s="177"/>
      <c r="F10" s="178"/>
      <c r="G10" s="212"/>
    </row>
    <row r="11" spans="2:8" ht="15.75">
      <c r="B11" s="179" t="s">
        <v>765</v>
      </c>
      <c r="C11" s="180"/>
      <c r="D11" s="181">
        <v>900</v>
      </c>
      <c r="E11" s="182" t="s">
        <v>705</v>
      </c>
      <c r="F11" s="183">
        <f>+C11*D11</f>
        <v>0</v>
      </c>
      <c r="G11" s="213"/>
      <c r="H11" s="199" t="s">
        <v>773</v>
      </c>
    </row>
    <row r="12" spans="2:8" ht="15.75">
      <c r="B12" s="179"/>
      <c r="C12" s="184"/>
      <c r="D12" s="185"/>
      <c r="E12" s="182"/>
      <c r="F12" s="183">
        <f>+C12*D12</f>
        <v>0</v>
      </c>
      <c r="G12" s="213"/>
    </row>
    <row r="13" spans="2:8" ht="15.75">
      <c r="B13" s="179" t="s">
        <v>766</v>
      </c>
      <c r="C13" s="180"/>
      <c r="D13" s="181"/>
      <c r="E13" s="182" t="s">
        <v>705</v>
      </c>
      <c r="F13" s="183">
        <f>+C13*D13</f>
        <v>0</v>
      </c>
      <c r="G13" s="213"/>
    </row>
    <row r="14" spans="2:8" ht="15.75">
      <c r="B14" s="179"/>
      <c r="C14" s="184"/>
      <c r="D14" s="185"/>
      <c r="E14" s="182"/>
      <c r="F14" s="186"/>
      <c r="G14" s="213"/>
    </row>
    <row r="15" spans="2:8" ht="15.75">
      <c r="B15" s="187" t="s">
        <v>772</v>
      </c>
      <c r="C15" s="188"/>
      <c r="D15" s="189"/>
      <c r="E15" s="188"/>
      <c r="F15" s="186">
        <f>+C15*D15*E15</f>
        <v>0</v>
      </c>
      <c r="G15" s="214"/>
    </row>
    <row r="16" spans="2:8" ht="15.75">
      <c r="B16" s="179"/>
      <c r="C16" s="184"/>
      <c r="D16" s="185"/>
      <c r="E16" s="182"/>
      <c r="F16" s="186">
        <f>C16*D16*E16</f>
        <v>0</v>
      </c>
      <c r="G16" s="213"/>
    </row>
    <row r="17" spans="2:8" ht="15.75">
      <c r="B17" s="200" t="s">
        <v>774</v>
      </c>
      <c r="C17" s="201"/>
      <c r="D17" s="202">
        <v>250</v>
      </c>
      <c r="E17" s="182" t="s">
        <v>705</v>
      </c>
      <c r="F17" s="183">
        <f>+C17*D17</f>
        <v>0</v>
      </c>
      <c r="G17" s="215"/>
      <c r="H17" s="540"/>
    </row>
    <row r="18" spans="2:8" ht="15.75">
      <c r="B18" s="200"/>
      <c r="C18" s="203"/>
      <c r="D18" s="204"/>
      <c r="E18" s="182"/>
      <c r="F18" s="186"/>
      <c r="G18" s="215"/>
    </row>
    <row r="19" spans="2:8" ht="15.75">
      <c r="B19" s="200" t="s">
        <v>775</v>
      </c>
      <c r="C19" s="201"/>
      <c r="D19" s="205"/>
      <c r="E19" s="180"/>
      <c r="F19" s="183">
        <f>+C19*D19*E19</f>
        <v>0</v>
      </c>
      <c r="G19" s="215"/>
    </row>
    <row r="20" spans="2:8" ht="15.75">
      <c r="B20" s="179"/>
      <c r="C20" s="184"/>
      <c r="D20" s="185"/>
      <c r="E20" s="182"/>
      <c r="F20" s="186"/>
      <c r="G20" s="213"/>
    </row>
    <row r="21" spans="2:8" ht="15.75">
      <c r="B21" s="179" t="s">
        <v>767</v>
      </c>
      <c r="C21" s="184"/>
      <c r="D21" s="185"/>
      <c r="E21" s="182"/>
      <c r="F21" s="190">
        <v>0</v>
      </c>
      <c r="G21" s="213"/>
    </row>
    <row r="22" spans="2:8" ht="15.75">
      <c r="B22" s="179"/>
      <c r="C22" s="184"/>
      <c r="D22" s="185"/>
      <c r="E22" s="182"/>
      <c r="F22" s="186"/>
      <c r="G22" s="213"/>
    </row>
    <row r="23" spans="2:8" ht="15.75" hidden="1">
      <c r="B23" s="191"/>
      <c r="C23" s="184"/>
      <c r="D23" s="185"/>
      <c r="E23" s="182"/>
      <c r="F23" s="190"/>
      <c r="G23" s="216"/>
    </row>
    <row r="24" spans="2:8" ht="15.75" hidden="1">
      <c r="B24" s="191"/>
      <c r="C24" s="184"/>
      <c r="D24" s="185"/>
      <c r="E24" s="182"/>
      <c r="F24" s="192"/>
      <c r="G24" s="216"/>
    </row>
    <row r="25" spans="2:8" ht="15.75" hidden="1">
      <c r="B25" s="191"/>
      <c r="C25" s="184"/>
      <c r="D25" s="185"/>
      <c r="E25" s="182"/>
      <c r="F25" s="190"/>
      <c r="G25" s="216"/>
    </row>
    <row r="26" spans="2:8" ht="15.75" hidden="1">
      <c r="B26" s="191"/>
      <c r="C26" s="184"/>
      <c r="D26" s="185"/>
      <c r="E26" s="182"/>
      <c r="F26" s="192"/>
      <c r="G26" s="216"/>
    </row>
    <row r="27" spans="2:8" ht="15.75">
      <c r="B27" s="191" t="s">
        <v>799</v>
      </c>
      <c r="C27" s="184"/>
      <c r="D27" s="185"/>
      <c r="E27" s="182"/>
      <c r="F27" s="190">
        <v>0</v>
      </c>
      <c r="G27" s="216"/>
    </row>
    <row r="28" spans="2:8" ht="15.75">
      <c r="B28" s="191"/>
      <c r="C28" s="184"/>
      <c r="D28" s="185"/>
      <c r="E28" s="182"/>
      <c r="F28" s="183"/>
      <c r="G28" s="216"/>
    </row>
    <row r="29" spans="2:8" ht="15.75">
      <c r="B29" s="179" t="s">
        <v>800</v>
      </c>
      <c r="C29" s="184"/>
      <c r="D29" s="185"/>
      <c r="E29" s="182"/>
      <c r="F29" s="183"/>
      <c r="G29" s="213"/>
    </row>
    <row r="30" spans="2:8" ht="15.75">
      <c r="B30" s="193" t="s">
        <v>768</v>
      </c>
      <c r="C30" s="180"/>
      <c r="D30" s="181"/>
      <c r="E30" s="182" t="s">
        <v>705</v>
      </c>
      <c r="F30" s="183">
        <f>+C30*D30</f>
        <v>0</v>
      </c>
      <c r="G30" s="217"/>
    </row>
    <row r="31" spans="2:8" ht="15.75">
      <c r="B31" s="193" t="s">
        <v>769</v>
      </c>
      <c r="C31" s="180"/>
      <c r="D31" s="181"/>
      <c r="E31" s="180"/>
      <c r="F31" s="183">
        <f>+C31*D31*E31</f>
        <v>0</v>
      </c>
      <c r="G31" s="217"/>
    </row>
    <row r="32" spans="2:8" ht="15.75">
      <c r="B32" s="193" t="s">
        <v>768</v>
      </c>
      <c r="C32" s="180"/>
      <c r="D32" s="181"/>
      <c r="E32" s="182" t="s">
        <v>705</v>
      </c>
      <c r="F32" s="183">
        <f>+C32*D32</f>
        <v>0</v>
      </c>
      <c r="G32" s="217"/>
    </row>
    <row r="33" spans="2:7" ht="15.75">
      <c r="B33" s="193" t="s">
        <v>769</v>
      </c>
      <c r="C33" s="180"/>
      <c r="D33" s="181"/>
      <c r="E33" s="180"/>
      <c r="F33" s="183">
        <f>+C33*D33*E33</f>
        <v>0</v>
      </c>
      <c r="G33" s="217"/>
    </row>
    <row r="34" spans="2:7" ht="15.75">
      <c r="B34" s="179"/>
      <c r="C34" s="184"/>
      <c r="D34" s="185"/>
      <c r="E34" s="182"/>
      <c r="F34" s="183"/>
      <c r="G34" s="213"/>
    </row>
    <row r="35" spans="2:7" ht="15.75">
      <c r="B35" s="179" t="s">
        <v>801</v>
      </c>
      <c r="C35" s="184"/>
      <c r="D35" s="185"/>
      <c r="E35" s="182"/>
      <c r="F35" s="183"/>
      <c r="G35" s="213"/>
    </row>
    <row r="36" spans="2:7" ht="15.75">
      <c r="B36" s="193" t="s">
        <v>768</v>
      </c>
      <c r="C36" s="180"/>
      <c r="D36" s="181"/>
      <c r="E36" s="182" t="s">
        <v>705</v>
      </c>
      <c r="F36" s="183">
        <f>+C36*D36</f>
        <v>0</v>
      </c>
      <c r="G36" s="217"/>
    </row>
    <row r="37" spans="2:7" ht="15.75">
      <c r="B37" s="193" t="s">
        <v>769</v>
      </c>
      <c r="C37" s="180"/>
      <c r="D37" s="181"/>
      <c r="E37" s="180"/>
      <c r="F37" s="183">
        <f>+C37*D37*E37</f>
        <v>0</v>
      </c>
      <c r="G37" s="217"/>
    </row>
    <row r="38" spans="2:7" ht="15.75">
      <c r="B38" s="193" t="s">
        <v>768</v>
      </c>
      <c r="C38" s="180"/>
      <c r="D38" s="181"/>
      <c r="E38" s="182" t="s">
        <v>705</v>
      </c>
      <c r="F38" s="183">
        <f>+C38*D38</f>
        <v>0</v>
      </c>
      <c r="G38" s="217"/>
    </row>
    <row r="39" spans="2:7" ht="15.75">
      <c r="B39" s="193" t="s">
        <v>769</v>
      </c>
      <c r="C39" s="180"/>
      <c r="D39" s="181"/>
      <c r="E39" s="180"/>
      <c r="F39" s="183">
        <f>+C39*D39*E39</f>
        <v>0</v>
      </c>
      <c r="G39" s="217"/>
    </row>
    <row r="40" spans="2:7" ht="15.75" thickBot="1">
      <c r="B40" s="218"/>
      <c r="C40" s="219"/>
      <c r="D40" s="219"/>
      <c r="E40" s="219"/>
      <c r="F40" s="220"/>
      <c r="G40" s="221"/>
    </row>
    <row r="41" spans="2:7" ht="15">
      <c r="B41" s="208"/>
      <c r="C41" s="209"/>
      <c r="D41" s="209"/>
      <c r="E41" s="209"/>
      <c r="F41" s="210"/>
    </row>
    <row r="42" spans="2:7" ht="16.5" thickBot="1">
      <c r="B42" s="195" t="s">
        <v>770</v>
      </c>
      <c r="C42" s="196"/>
      <c r="D42" s="196"/>
      <c r="E42" s="196"/>
      <c r="F42" s="197">
        <f>SUM(F11:F40)</f>
        <v>0</v>
      </c>
    </row>
  </sheetData>
  <protectedRanges>
    <protectedRange sqref="F27 F25 E15 E19 C30:D33 C36:D39 E33 E31 F21 F23 E39 E37 C11:D16" name="Range1_1_2_1"/>
    <protectedRange sqref="C17:D19" name="Range1_1_2_1_1"/>
  </protectedRanges>
  <mergeCells count="2">
    <mergeCell ref="B8:F8"/>
    <mergeCell ref="B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247</vt:i4>
      </vt:variant>
    </vt:vector>
  </HeadingPairs>
  <TitlesOfParts>
    <vt:vector size="253" baseType="lpstr">
      <vt:lpstr>CheckList</vt:lpstr>
      <vt:lpstr>Role Selection</vt:lpstr>
      <vt:lpstr>Staffing-Roles</vt:lpstr>
      <vt:lpstr>Campus Hires %</vt:lpstr>
      <vt:lpstr>T&amp;M TCV calculation</vt:lpstr>
      <vt:lpstr>Hardware Software Cost</vt:lpstr>
      <vt:lpstr>'Role Selection'!Administrator</vt:lpstr>
      <vt:lpstr>'Role Selection'!AdministratorBIDW</vt:lpstr>
      <vt:lpstr>'Role Selection'!AdministratorMiddleware</vt:lpstr>
      <vt:lpstr>'Role Selection'!AdministratorNetwork</vt:lpstr>
      <vt:lpstr>'Role Selection'!AdministratorSecurity</vt:lpstr>
      <vt:lpstr>'Role Selection'!AdministratorSharepoint</vt:lpstr>
      <vt:lpstr>'Role Selection'!AdministratorStorage</vt:lpstr>
      <vt:lpstr>'Role Selection'!AdministratorSystems</vt:lpstr>
      <vt:lpstr>'Role Selection'!AdministratorSystemsMSSQLOracle</vt:lpstr>
      <vt:lpstr>'Role Selection'!AdministratorSystemsSolaris</vt:lpstr>
      <vt:lpstr>'Role Selection'!AdministratorSystemsSybase</vt:lpstr>
      <vt:lpstr>'Role Selection'!AdministratorSystemsVMWareSCCMCitrix</vt:lpstr>
      <vt:lpstr>'Role Selection'!ADS</vt:lpstr>
      <vt:lpstr>'Role Selection'!Amdocs</vt:lpstr>
      <vt:lpstr>'Role Selection'!AnalystBusinessRules</vt:lpstr>
      <vt:lpstr>'Role Selection'!ApplicationArchitect</vt:lpstr>
      <vt:lpstr>'Role Selection'!Architect</vt:lpstr>
      <vt:lpstr>'Role Selection'!ArchitectAIMS</vt:lpstr>
      <vt:lpstr>'Role Selection'!ArchitectASG</vt:lpstr>
      <vt:lpstr>'Role Selection'!ArchitectBIDW</vt:lpstr>
      <vt:lpstr>'Role Selection'!ArchitectBusinessRules</vt:lpstr>
      <vt:lpstr>'Role Selection'!ArchitectDuckCreek</vt:lpstr>
      <vt:lpstr>'Role Selection'!ArchitectEAI</vt:lpstr>
      <vt:lpstr>'Role Selection'!ArchitectIMS</vt:lpstr>
      <vt:lpstr>'Role Selection'!ArchitectJavaNet</vt:lpstr>
      <vt:lpstr>'Role Selection'!ArchitectMobility</vt:lpstr>
      <vt:lpstr>'Role Selection'!ArchitectProcess</vt:lpstr>
      <vt:lpstr>'Role Selection'!ArchitectSharepoint</vt:lpstr>
      <vt:lpstr>'Role Selection'!ArchitectTIBCO</vt:lpstr>
      <vt:lpstr>'Role Selection'!ASG</vt:lpstr>
      <vt:lpstr>'Role Selection'!Automation</vt:lpstr>
      <vt:lpstr>'Role Selection'!AutomationTester</vt:lpstr>
      <vt:lpstr>'Role Selection'!AutomationTestLead</vt:lpstr>
      <vt:lpstr>'Role Selection'!AutomationTestManager</vt:lpstr>
      <vt:lpstr>'Role Selection'!BIDW</vt:lpstr>
      <vt:lpstr>'Role Selection'!BuildandReleaseManagement</vt:lpstr>
      <vt:lpstr>'Role Selection'!BuildManager</vt:lpstr>
      <vt:lpstr>'Role Selection'!BusinessAnalyst</vt:lpstr>
      <vt:lpstr>'Role Selection'!BusinessSystemsAnalyst</vt:lpstr>
      <vt:lpstr>'Role Selection'!Cloud</vt:lpstr>
      <vt:lpstr>'Role Selection'!Collaboration</vt:lpstr>
      <vt:lpstr>'Role Selection'!Collaboration_Developer</vt:lpstr>
      <vt:lpstr>'Role Selection'!Collaboration_TechnicalArchitect</vt:lpstr>
      <vt:lpstr>'Role Selection'!Collaboration_TechnicalLead</vt:lpstr>
      <vt:lpstr>'Role Selection'!Configurator</vt:lpstr>
      <vt:lpstr>'Role Selection'!ConfiguratorMercatorMQ</vt:lpstr>
      <vt:lpstr>'Role Selection'!ConsultantCloud</vt:lpstr>
      <vt:lpstr>'Role Selection'!ConsultantDomain</vt:lpstr>
      <vt:lpstr>'Role Selection'!ConsultantInfoSec</vt:lpstr>
      <vt:lpstr>'Role Selection'!ConsultantITIL</vt:lpstr>
      <vt:lpstr>'Role Selection'!ConsultantITSM</vt:lpstr>
      <vt:lpstr>'Role Selection'!ConsultantPeoplesoft</vt:lpstr>
      <vt:lpstr>'Role Selection'!ConsultantTIBCO</vt:lpstr>
      <vt:lpstr>'Role Selection'!Consulting</vt:lpstr>
      <vt:lpstr>'Role Selection'!Customer_Communication_Management</vt:lpstr>
      <vt:lpstr>'Role Selection'!Customer_Communication_Management_Developer</vt:lpstr>
      <vt:lpstr>'Role Selection'!Customer_Communication_Management_TechnicalArchitect</vt:lpstr>
      <vt:lpstr>'Role Selection'!Customer_Communication_Management_TechnicalLead</vt:lpstr>
      <vt:lpstr>'Role Selection'!DatabaseAdministratorIMSGeneric</vt:lpstr>
      <vt:lpstr>'Role Selection'!DatabaseAdministratorOracle</vt:lpstr>
      <vt:lpstr>'Role Selection'!DatabaseAdministratorPeoplesoft</vt:lpstr>
      <vt:lpstr>'Role Selection'!DatabaseAdministratorSystemsMSSQLOracle</vt:lpstr>
      <vt:lpstr>'Role Selection'!DatabaseAdministratorSystemsSybase</vt:lpstr>
      <vt:lpstr>'Role Selection'!DataCenterOperations</vt:lpstr>
      <vt:lpstr>'Role Selection'!DataCentre</vt:lpstr>
      <vt:lpstr>'Role Selection'!Desktop</vt:lpstr>
      <vt:lpstr>'Role Selection'!DesktopEngineer</vt:lpstr>
      <vt:lpstr>'Role Selection'!DesktopEngineerNOC</vt:lpstr>
      <vt:lpstr>'Role Selection'!Developer</vt:lpstr>
      <vt:lpstr>'Role Selection'!DeveloperAmdocs</vt:lpstr>
      <vt:lpstr>'Role Selection'!DeveloperBIDW</vt:lpstr>
      <vt:lpstr>'Role Selection'!DeveloperBIDWCognos</vt:lpstr>
      <vt:lpstr>'Role Selection'!DeveloperBIDWETL</vt:lpstr>
      <vt:lpstr>'Role Selection'!DeveloperBIDWInformatica</vt:lpstr>
      <vt:lpstr>'Role Selection'!DeveloperBIDWReporting</vt:lpstr>
      <vt:lpstr>'Role Selection'!DeveloperBusinessRules</vt:lpstr>
      <vt:lpstr>'Role Selection'!DeveloperEAI</vt:lpstr>
      <vt:lpstr>'Role Selection'!DeveloperEDI</vt:lpstr>
      <vt:lpstr>'Role Selection'!DeveloperGoldenSource</vt:lpstr>
      <vt:lpstr>'Role Selection'!DeveloperIBMWebSphereMessageBroker</vt:lpstr>
      <vt:lpstr>'Role Selection'!DeveloperIBMWebSphereProcessServer</vt:lpstr>
      <vt:lpstr>'Role Selection'!DeveloperJavaNetColdFusion</vt:lpstr>
      <vt:lpstr>'Role Selection'!DeveloperLatentZero</vt:lpstr>
      <vt:lpstr>'Role Selection'!DeveloperLotusNotes</vt:lpstr>
      <vt:lpstr>'Role Selection'!DeveloperMainframe</vt:lpstr>
      <vt:lpstr>'Role Selection'!DeveloperMobility</vt:lpstr>
      <vt:lpstr>'Role Selection'!DeveloperOracle</vt:lpstr>
      <vt:lpstr>'Role Selection'!DeveloperRemedy</vt:lpstr>
      <vt:lpstr>'Role Selection'!DeveloperSharepoint</vt:lpstr>
      <vt:lpstr>'Role Selection'!DeveloperSQL</vt:lpstr>
      <vt:lpstr>'Role Selection'!DeveloperTibco</vt:lpstr>
      <vt:lpstr>'Role Selection'!DeveloperTumbleWeed</vt:lpstr>
      <vt:lpstr>'Role Selection'!DeveloperVaricent</vt:lpstr>
      <vt:lpstr>'Role Selection'!DeveloperVermillion</vt:lpstr>
      <vt:lpstr>'Role Selection'!DeveloperWebApplicationIntegrationMiddlewareInfrastructure</vt:lpstr>
      <vt:lpstr>'Role Selection'!DeveloperWebMethods</vt:lpstr>
      <vt:lpstr>'Role Selection'!Document_Management</vt:lpstr>
      <vt:lpstr>'Role Selection'!Document_Management_Developer</vt:lpstr>
      <vt:lpstr>'Role Selection'!Document_Management_TechnicalArchitect</vt:lpstr>
      <vt:lpstr>'Role Selection'!Document_Management_TechnicalLead</vt:lpstr>
      <vt:lpstr>'Role Selection'!Domain</vt:lpstr>
      <vt:lpstr>'Role Selection'!DomainIT</vt:lpstr>
      <vt:lpstr>'Role Selection'!DomainTestBusinessAnalyst</vt:lpstr>
      <vt:lpstr>'Role Selection'!DomainTesting</vt:lpstr>
      <vt:lpstr>'Role Selection'!DuckCreek</vt:lpstr>
      <vt:lpstr>'Role Selection'!EAI</vt:lpstr>
      <vt:lpstr>'Role Selection'!ECM</vt:lpstr>
      <vt:lpstr>'Role Selection'!EDI</vt:lpstr>
      <vt:lpstr>'Role Selection'!EnggServices</vt:lpstr>
      <vt:lpstr>'Role Selection'!EnggServicesAnalyst</vt:lpstr>
      <vt:lpstr>'Role Selection'!EnggServicesDesigner</vt:lpstr>
      <vt:lpstr>'Role Selection'!EnggServicesDeveloper</vt:lpstr>
      <vt:lpstr>'Role Selection'!EnggServicesProject_Lead</vt:lpstr>
      <vt:lpstr>'Role Selection'!EnggServicesProjectManager</vt:lpstr>
      <vt:lpstr>'Role Selection'!EnterpriseArchitect</vt:lpstr>
      <vt:lpstr>'Role Selection'!FunctionalDomain</vt:lpstr>
      <vt:lpstr>'Role Selection'!FunctionalOracle</vt:lpstr>
      <vt:lpstr>'Role Selection'!FunctionalPeoplesoft</vt:lpstr>
      <vt:lpstr>'Role Selection'!Generic</vt:lpstr>
      <vt:lpstr>'Role Selection'!GoldenSource</vt:lpstr>
      <vt:lpstr>'Role Selection'!HelpDesk</vt:lpstr>
      <vt:lpstr>'Role Selection'!HelpDeskAnalyst</vt:lpstr>
      <vt:lpstr>'Role Selection'!Imaging_and_Scanning</vt:lpstr>
      <vt:lpstr>'Role Selection'!Imaging_and_Scanning_Developer</vt:lpstr>
      <vt:lpstr>'Role Selection'!Imaging_and_Scanning_TechnicalArchitect</vt:lpstr>
      <vt:lpstr>'Role Selection'!Imaging_and_Scanning_TechnicalLead</vt:lpstr>
      <vt:lpstr>'Role Selection'!IMS</vt:lpstr>
      <vt:lpstr>'Role Selection'!IMSArchitect</vt:lpstr>
      <vt:lpstr>'Role Selection'!IMSBASIC</vt:lpstr>
      <vt:lpstr>'Role Selection'!IMSGeneric</vt:lpstr>
      <vt:lpstr>'Role Selection'!InfoSecurity</vt:lpstr>
      <vt:lpstr>'Role Selection'!Integrator</vt:lpstr>
      <vt:lpstr>'Role Selection'!Intergration</vt:lpstr>
      <vt:lpstr>'Role Selection'!IT</vt:lpstr>
      <vt:lpstr>'Role Selection'!ITIL</vt:lpstr>
      <vt:lpstr>'Role Selection'!ITSM</vt:lpstr>
      <vt:lpstr>'Role Selection'!JavaNet</vt:lpstr>
      <vt:lpstr>'Role Selection'!JavaNetColdFusion</vt:lpstr>
      <vt:lpstr>'Role Selection'!JavaNetColdFusionIT</vt:lpstr>
      <vt:lpstr>'Role Selection'!LatentZero</vt:lpstr>
      <vt:lpstr>'Role Selection'!LotusNotes</vt:lpstr>
      <vt:lpstr>'Role Selection'!MailSetup</vt:lpstr>
      <vt:lpstr>'Role Selection'!Mainframe</vt:lpstr>
      <vt:lpstr>'Role Selection'!MainframeAdministratorSystems</vt:lpstr>
      <vt:lpstr>'Role Selection'!Management</vt:lpstr>
      <vt:lpstr>'Role Selection'!ManagementIT</vt:lpstr>
      <vt:lpstr>'Role Selection'!ManualTesting</vt:lpstr>
      <vt:lpstr>'Role Selection'!ManualTestingTester</vt:lpstr>
      <vt:lpstr>'Role Selection'!ManualTestingTestLead</vt:lpstr>
      <vt:lpstr>'Role Selection'!ManualTestingTestManager</vt:lpstr>
      <vt:lpstr>'Role Selection'!Middleware</vt:lpstr>
      <vt:lpstr>'Role Selection'!Mobility</vt:lpstr>
      <vt:lpstr>'Role Selection'!MobilityE</vt:lpstr>
      <vt:lpstr>'Role Selection'!Network</vt:lpstr>
      <vt:lpstr>'Role Selection'!NOCDesktop</vt:lpstr>
      <vt:lpstr>'Role Selection'!Operation</vt:lpstr>
      <vt:lpstr>'Role Selection'!OpnSupportIMS2</vt:lpstr>
      <vt:lpstr>'Role Selection'!OpnSupportIMSBASIC</vt:lpstr>
      <vt:lpstr>'Role Selection'!OpsSupport</vt:lpstr>
      <vt:lpstr>'Role Selection'!Oracle</vt:lpstr>
      <vt:lpstr>'Role Selection'!Others</vt:lpstr>
      <vt:lpstr>PEGA</vt:lpstr>
      <vt:lpstr>PEGAArchitect</vt:lpstr>
      <vt:lpstr>PEGADeveloper</vt:lpstr>
      <vt:lpstr>PEGAEAI</vt:lpstr>
      <vt:lpstr>PEGALeadSystemArchitect</vt:lpstr>
      <vt:lpstr>PEGAProjectManager</vt:lpstr>
      <vt:lpstr>PEGASeniorArchitect</vt:lpstr>
      <vt:lpstr>'Role Selection'!Peoplesoft</vt:lpstr>
      <vt:lpstr>'Role Selection'!Performance</vt:lpstr>
      <vt:lpstr>'Role Selection'!PerformanceTester</vt:lpstr>
      <vt:lpstr>'Role Selection'!PerformanceTestLead</vt:lpstr>
      <vt:lpstr>'Role Selection'!PerformanceTestManager</vt:lpstr>
      <vt:lpstr>'Role Selection'!PLM</vt:lpstr>
      <vt:lpstr>'Role Selection'!PLM1_</vt:lpstr>
      <vt:lpstr>'Role Selection'!PLMAdministrator</vt:lpstr>
      <vt:lpstr>'Role Selection'!PLMDesigner</vt:lpstr>
      <vt:lpstr>'Role Selection'!PLMDeveloper</vt:lpstr>
      <vt:lpstr>'Role Selection'!PLMEnggServices</vt:lpstr>
      <vt:lpstr>'Role Selection'!PLMProjectManager</vt:lpstr>
      <vt:lpstr>'Role Selection'!PLMTechnicalLead</vt:lpstr>
      <vt:lpstr>'Role Selection'!Practice</vt:lpstr>
      <vt:lpstr>Staffing!Print_Area</vt:lpstr>
      <vt:lpstr>'Staffing-Roles'!Print_Area</vt:lpstr>
      <vt:lpstr>Staffing!Print_Titles</vt:lpstr>
      <vt:lpstr>'Staffing-Roles'!Print_Titles</vt:lpstr>
      <vt:lpstr>'Role Selection'!ProductBased</vt:lpstr>
      <vt:lpstr>'Role Selection'!ProductBasedTester</vt:lpstr>
      <vt:lpstr>'Role Selection'!ProductBasedTestLead</vt:lpstr>
      <vt:lpstr>'Role Selection'!ProductBasedTestManager</vt:lpstr>
      <vt:lpstr>'Role Selection'!ProgramManager</vt:lpstr>
      <vt:lpstr>'Role Selection'!ProgramManagerManagement</vt:lpstr>
      <vt:lpstr>'Role Selection'!ProjectManager</vt:lpstr>
      <vt:lpstr>'Role Selection'!ProjectManagerAmdocs</vt:lpstr>
      <vt:lpstr>'Role Selection'!ProjectManagerBIDW</vt:lpstr>
      <vt:lpstr>'Role Selection'!ProjectManagerDuckCreek</vt:lpstr>
      <vt:lpstr>'Role Selection'!ProjectManagerEAI</vt:lpstr>
      <vt:lpstr>'Role Selection'!ProjectManagerIT</vt:lpstr>
      <vt:lpstr>'Role Selection'!ProjectManagerManagement</vt:lpstr>
      <vt:lpstr>'Role Selection'!ProjectManagerOracle</vt:lpstr>
      <vt:lpstr>'Role Selection'!ProjectManagerPeoplesoft</vt:lpstr>
      <vt:lpstr>'Role Selection'!ProjectManagerSAPManagement</vt:lpstr>
      <vt:lpstr>'Role Selection'!PvtPubCloud</vt:lpstr>
      <vt:lpstr>'Role Selection'!Remedy</vt:lpstr>
      <vt:lpstr>'Role Selection'!SAPABAP</vt:lpstr>
      <vt:lpstr>'Role Selection'!SAPArchitect</vt:lpstr>
      <vt:lpstr>'Role Selection'!SAPBasis</vt:lpstr>
      <vt:lpstr>'Role Selection'!SAPDomain</vt:lpstr>
      <vt:lpstr>'Role Selection'!SAPManagement</vt:lpstr>
      <vt:lpstr>'Role Selection'!SAPOne</vt:lpstr>
      <vt:lpstr>'Role Selection'!Security</vt:lpstr>
      <vt:lpstr>'Role Selection'!SharePoint</vt:lpstr>
      <vt:lpstr>'Role Selection'!SOG</vt:lpstr>
      <vt:lpstr>'Role Selection'!SOGTWO</vt:lpstr>
      <vt:lpstr>'Role Selection'!SolutionArchitect</vt:lpstr>
      <vt:lpstr>'Role Selection'!SQL</vt:lpstr>
      <vt:lpstr>'Role Selection'!Storage</vt:lpstr>
      <vt:lpstr>'Role Selection'!Systems</vt:lpstr>
      <vt:lpstr>'Role Selection'!TechnicalABAP</vt:lpstr>
      <vt:lpstr>'Role Selection'!TechnicalBasis</vt:lpstr>
      <vt:lpstr>'Role Selection'!TechnicalLead</vt:lpstr>
      <vt:lpstr>'Role Selection'!TechnicalLeadAbinitioInformaticaDatastage</vt:lpstr>
      <vt:lpstr>'Role Selection'!TechnicalLeadActuateCrystal</vt:lpstr>
      <vt:lpstr>'Role Selection'!TechnicalLeadCognosBO</vt:lpstr>
      <vt:lpstr>'Role Selection'!TechnicalLeadEAI</vt:lpstr>
      <vt:lpstr>'Role Selection'!TechnicalLeadJavaNetColdFusion</vt:lpstr>
      <vt:lpstr>'Role Selection'!TechnicalLeadMicrostrategyAbinitioTeradata</vt:lpstr>
      <vt:lpstr>'Role Selection'!TechnicalLeadMobility</vt:lpstr>
      <vt:lpstr>'Role Selection'!TechnicalLeadReporting</vt:lpstr>
      <vt:lpstr>'Role Selection'!TechnicalLeadSharepoint</vt:lpstr>
      <vt:lpstr>'Role Selection'!TechnicalOracle</vt:lpstr>
      <vt:lpstr>'Role Selection'!TechnicalPeoplesoft</vt:lpstr>
      <vt:lpstr>'Role Selection'!TechnicalWriter</vt:lpstr>
      <vt:lpstr>'Role Selection'!Technician</vt:lpstr>
      <vt:lpstr>'Role Selection'!Telecom</vt:lpstr>
      <vt:lpstr>'Role Selection'!TesterBIDW</vt:lpstr>
      <vt:lpstr>'Role Selection'!TesterSharepoint</vt:lpstr>
      <vt:lpstr>'Role Selection'!Testing</vt:lpstr>
      <vt:lpstr>'Role Selection'!TestingTwo</vt:lpstr>
      <vt:lpstr>'Role Selection'!TestLeadShaerpoint</vt:lpstr>
      <vt:lpstr>'Role Selection'!TumbleWeed</vt:lpstr>
      <vt:lpstr>'Role Selection'!Varicent</vt:lpstr>
      <vt:lpstr>'Role Selection'!Vermillion</vt:lpstr>
      <vt:lpstr>'Role Selection'!Web_Content_Management</vt:lpstr>
      <vt:lpstr>'Role Selection'!Web_Content_Management_Developer</vt:lpstr>
      <vt:lpstr>'Role Selection'!Web_Content_Management_TechnicalArchitect</vt:lpstr>
      <vt:lpstr>'Role Selection'!Web_Content_Management_TechnicalLead</vt:lpstr>
    </vt:vector>
  </TitlesOfParts>
  <Company>SYNTEL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Nikhil Kapoor</dc:title>
  <dc:subject>New- Fixed Price Costing Model- US</dc:subject>
  <dc:creator>nkapoor</dc:creator>
  <cp:lastModifiedBy>Surve, Milind</cp:lastModifiedBy>
  <cp:lastPrinted>2009-05-12T13:59:45Z</cp:lastPrinted>
  <dcterms:created xsi:type="dcterms:W3CDTF">2008-07-30T11:21:05Z</dcterms:created>
  <dcterms:modified xsi:type="dcterms:W3CDTF">2019-03-01T08:39:54Z</dcterms:modified>
</cp:coreProperties>
</file>